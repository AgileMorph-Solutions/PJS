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e1b34c60ccc372/Desktop/MAYANK YAKRO - 2026/20-08-2026-UPDATED FILE/"/>
    </mc:Choice>
  </mc:AlternateContent>
  <xr:revisionPtr revIDLastSave="445" documentId="13_ncr:1_{C759775D-7AD2-4025-A6C8-485329506981}" xr6:coauthVersionLast="47" xr6:coauthVersionMax="47" xr10:uidLastSave="{EFE12DB6-4D53-496A-A2F8-4B2C37D4B4CD}"/>
  <bookViews>
    <workbookView minimized="1" xWindow="11796" yWindow="4056" windowWidth="11940" windowHeight="8880" activeTab="4" xr2:uid="{245885EA-A7E0-48E1-B290-A2DD45B7BAFF}"/>
  </bookViews>
  <sheets>
    <sheet name="LBA-2026" sheetId="4" r:id="rId1"/>
    <sheet name="RCN INWARD FACTORY YAKRO 2026" sheetId="1" r:id="rId2"/>
    <sheet name="JUte Bag Record (2)" sheetId="9" r:id="rId3"/>
    <sheet name="Sheet1" sheetId="10" r:id="rId4"/>
    <sheet name="JUte Bag Record" sheetId="8" r:id="rId5"/>
  </sheets>
  <externalReferences>
    <externalReference r:id="rId6"/>
  </externalReferences>
  <definedNames>
    <definedName name="_xlnm._FilterDatabase" localSheetId="4" hidden="1">'JUte Bag Record'!$C$61:$H$166</definedName>
    <definedName name="_xlnm._FilterDatabase" localSheetId="2" hidden="1">'JUte Bag Record (2)'!$C$61:$H$165</definedName>
    <definedName name="_xlnm._FilterDatabase" localSheetId="0" hidden="1">'LBA-2026'!$B$2:$C$60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9" l="1"/>
  <c r="M17" i="10"/>
  <c r="I17" i="10"/>
  <c r="J17" i="10" s="1"/>
  <c r="P17" i="10" s="1"/>
  <c r="K16" i="10"/>
  <c r="I16" i="10"/>
  <c r="J16" i="10" s="1"/>
  <c r="P16" i="10" s="1"/>
  <c r="J15" i="10"/>
  <c r="X15" i="10" s="1"/>
  <c r="R14" i="10"/>
  <c r="T14" i="10" s="1"/>
  <c r="L14" i="10"/>
  <c r="J14" i="10"/>
  <c r="P14" i="10" s="1"/>
  <c r="Q14" i="10" s="1"/>
  <c r="H14" i="10"/>
  <c r="I14" i="10" s="1"/>
  <c r="J5" i="10" l="1"/>
  <c r="AR260" i="1" l="1"/>
  <c r="AC260" i="1"/>
  <c r="AH260" i="1" s="1"/>
  <c r="AK260" i="1" s="1"/>
  <c r="AL260" i="1" s="1"/>
  <c r="AA260" i="1"/>
  <c r="Y260" i="1"/>
  <c r="AN260" i="1" l="1"/>
  <c r="AP260" i="1" s="1"/>
  <c r="AR259" i="1"/>
  <c r="AR258" i="1"/>
  <c r="AC259" i="1"/>
  <c r="AH259" i="1" s="1"/>
  <c r="AN259" i="1" s="1"/>
  <c r="AA259" i="1"/>
  <c r="W258" i="1"/>
  <c r="AC258" i="1" s="1"/>
  <c r="AH258" i="1" s="1"/>
  <c r="AN258" i="1" s="1"/>
  <c r="CH258" i="1"/>
  <c r="CH257" i="1"/>
  <c r="CH256" i="1"/>
  <c r="CH255" i="1"/>
  <c r="CH254" i="1"/>
  <c r="CH253" i="1"/>
  <c r="CH252" i="1"/>
  <c r="CH251" i="1"/>
  <c r="CH250" i="1"/>
  <c r="AR265" i="1"/>
  <c r="AR264" i="1"/>
  <c r="AR263" i="1"/>
  <c r="AR262" i="1"/>
  <c r="AR261" i="1"/>
  <c r="AP261" i="1"/>
  <c r="AO265" i="1"/>
  <c r="AQ265" i="1" s="1"/>
  <c r="AO264" i="1"/>
  <c r="AQ264" i="1" s="1"/>
  <c r="AO263" i="1"/>
  <c r="AQ263" i="1" s="1"/>
  <c r="AO262" i="1"/>
  <c r="AQ262" i="1" s="1"/>
  <c r="AO261" i="1"/>
  <c r="AT261" i="1" s="1"/>
  <c r="AO260" i="1"/>
  <c r="AN265" i="1"/>
  <c r="AP265" i="1" s="1"/>
  <c r="AN264" i="1"/>
  <c r="AP264" i="1" s="1"/>
  <c r="AN263" i="1"/>
  <c r="AP263" i="1" s="1"/>
  <c r="AN262" i="1"/>
  <c r="AP262" i="1" s="1"/>
  <c r="AN261" i="1"/>
  <c r="L5" i="10"/>
  <c r="R5" i="10"/>
  <c r="T5" i="10" s="1"/>
  <c r="M8" i="10"/>
  <c r="I8" i="10"/>
  <c r="J8" i="10" s="1"/>
  <c r="I7" i="10"/>
  <c r="K7" i="10"/>
  <c r="J7" i="10"/>
  <c r="P7" i="10" s="1"/>
  <c r="J6" i="10"/>
  <c r="X6" i="10" s="1"/>
  <c r="H5" i="10"/>
  <c r="K5" i="10"/>
  <c r="AA258" i="1" l="1"/>
  <c r="AT260" i="1"/>
  <c r="AQ260" i="1"/>
  <c r="AQ261" i="1"/>
  <c r="AK259" i="1"/>
  <c r="AL259" i="1" s="1"/>
  <c r="AO259" i="1"/>
  <c r="AP259" i="1"/>
  <c r="AP258" i="1"/>
  <c r="AO258" i="1"/>
  <c r="AK258" i="1"/>
  <c r="AL258" i="1" s="1"/>
  <c r="P8" i="10"/>
  <c r="AT258" i="1" l="1"/>
  <c r="AQ258" i="1"/>
  <c r="AQ259" i="1"/>
  <c r="AT259" i="1"/>
  <c r="AA5" i="1"/>
  <c r="AO5" i="1" s="1"/>
  <c r="N82" i="9" l="1"/>
  <c r="BY260" i="1" l="1"/>
  <c r="BY259" i="1"/>
  <c r="BY258" i="1"/>
  <c r="BY257" i="1"/>
  <c r="BY256" i="1"/>
  <c r="BV260" i="1"/>
  <c r="BV259" i="1"/>
  <c r="BV258" i="1"/>
  <c r="BV257" i="1"/>
  <c r="BV256" i="1"/>
  <c r="BU260" i="1"/>
  <c r="BU259" i="1"/>
  <c r="BU258" i="1"/>
  <c r="BU257" i="1"/>
  <c r="BU256" i="1"/>
  <c r="BQ260" i="1"/>
  <c r="BQ259" i="1"/>
  <c r="BQ258" i="1"/>
  <c r="BQ257" i="1"/>
  <c r="BQ256" i="1"/>
  <c r="AR257" i="1"/>
  <c r="AR256" i="1"/>
  <c r="AC257" i="1"/>
  <c r="AH257" i="1" s="1"/>
  <c r="AC256" i="1"/>
  <c r="AH256" i="1" s="1"/>
  <c r="AA257" i="1"/>
  <c r="AA256" i="1"/>
  <c r="Y257" i="1"/>
  <c r="AS257" i="1" s="1"/>
  <c r="Y256" i="1"/>
  <c r="AS256" i="1" s="1"/>
  <c r="AO256" i="1" l="1"/>
  <c r="AT256" i="1" s="1"/>
  <c r="AN256" i="1"/>
  <c r="AP256" i="1" s="1"/>
  <c r="AK256" i="1"/>
  <c r="AL256" i="1" s="1"/>
  <c r="AO257" i="1"/>
  <c r="AN257" i="1"/>
  <c r="AP257" i="1" s="1"/>
  <c r="AK257" i="1"/>
  <c r="AL257" i="1" s="1"/>
  <c r="AQ256" i="1" l="1"/>
  <c r="AQ257" i="1"/>
  <c r="AT257" i="1"/>
  <c r="I164" i="9" l="1"/>
  <c r="I163" i="9"/>
  <c r="I162" i="9"/>
  <c r="I158" i="9"/>
  <c r="I155" i="9"/>
  <c r="I150" i="9"/>
  <c r="I144" i="9"/>
  <c r="I143" i="9"/>
  <c r="I142" i="9"/>
  <c r="I141" i="9"/>
  <c r="I137" i="9"/>
  <c r="I122" i="9"/>
  <c r="I121" i="9"/>
  <c r="I120" i="9"/>
  <c r="I119" i="9"/>
  <c r="I116" i="9"/>
  <c r="I115" i="9"/>
  <c r="I114" i="9"/>
  <c r="I112" i="9"/>
  <c r="I111" i="9"/>
  <c r="I110" i="9"/>
  <c r="I104" i="9"/>
  <c r="I101" i="9"/>
  <c r="I93" i="9"/>
  <c r="D93" i="9"/>
  <c r="N90" i="9"/>
  <c r="I89" i="9"/>
  <c r="I86" i="9"/>
  <c r="H86" i="9"/>
  <c r="N71" i="9" s="1"/>
  <c r="I82" i="9"/>
  <c r="I81" i="9"/>
  <c r="N79" i="9"/>
  <c r="N75" i="9"/>
  <c r="I68" i="9"/>
  <c r="N64" i="9"/>
  <c r="D62" i="9"/>
  <c r="I62" i="9" s="1"/>
  <c r="E48" i="9"/>
  <c r="C48" i="9"/>
  <c r="E47" i="9"/>
  <c r="C47" i="9"/>
  <c r="C46" i="9"/>
  <c r="C45" i="9"/>
  <c r="E44" i="9"/>
  <c r="C44" i="9"/>
  <c r="C43" i="9"/>
  <c r="C42" i="9"/>
  <c r="E41" i="9"/>
  <c r="C41" i="9"/>
  <c r="C40" i="9"/>
  <c r="E39" i="9"/>
  <c r="C39" i="9"/>
  <c r="G38" i="9"/>
  <c r="G45" i="9" s="1"/>
  <c r="G46" i="9" s="1"/>
  <c r="C38" i="9"/>
  <c r="E37" i="9"/>
  <c r="C37" i="9"/>
  <c r="E36" i="9"/>
  <c r="C36" i="9"/>
  <c r="E35" i="9"/>
  <c r="C35" i="9"/>
  <c r="C34" i="9"/>
  <c r="C33" i="9"/>
  <c r="C32" i="9"/>
  <c r="C31" i="9"/>
  <c r="C30" i="9"/>
  <c r="E29" i="9"/>
  <c r="C29" i="9"/>
  <c r="C28" i="9"/>
  <c r="C27" i="9"/>
  <c r="G26" i="9"/>
  <c r="G28" i="9" s="1"/>
  <c r="C26" i="9"/>
  <c r="E25" i="9"/>
  <c r="C25" i="9"/>
  <c r="G24" i="9"/>
  <c r="G27" i="9" s="1"/>
  <c r="G30" i="9" s="1"/>
  <c r="G31" i="9" s="1"/>
  <c r="G32" i="9" s="1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G11" i="9"/>
  <c r="C11" i="9"/>
  <c r="E10" i="9"/>
  <c r="C10" i="9"/>
  <c r="E9" i="9"/>
  <c r="C9" i="9"/>
  <c r="E8" i="9"/>
  <c r="C8" i="9"/>
  <c r="E7" i="9"/>
  <c r="C7" i="9"/>
  <c r="C6" i="9"/>
  <c r="E5" i="9"/>
  <c r="C5" i="9"/>
  <c r="E4" i="9"/>
  <c r="C4" i="9"/>
  <c r="I2" i="9"/>
  <c r="N77" i="9" l="1"/>
  <c r="N78" i="9" s="1"/>
  <c r="N80" i="9" s="1"/>
  <c r="N2" i="9"/>
  <c r="G40" i="9"/>
  <c r="G42" i="9" s="1"/>
  <c r="G43" i="9" s="1"/>
  <c r="G34" i="9"/>
  <c r="N90" i="8" l="1"/>
  <c r="N82" i="8"/>
  <c r="N75" i="8"/>
  <c r="N64" i="8"/>
  <c r="N79" i="8" l="1"/>
  <c r="BY255" i="1" l="1"/>
  <c r="BV255" i="1"/>
  <c r="BU255" i="1"/>
  <c r="BQ255" i="1"/>
  <c r="AR255" i="1"/>
  <c r="AC255" i="1"/>
  <c r="AH255" i="1" s="1"/>
  <c r="AA255" i="1"/>
  <c r="Y255" i="1"/>
  <c r="AK255" i="1" l="1"/>
  <c r="AL255" i="1" s="1"/>
  <c r="AO255" i="1"/>
  <c r="AN255" i="1"/>
  <c r="AP255" i="1" s="1"/>
  <c r="BY254" i="1"/>
  <c r="BY253" i="1"/>
  <c r="BV254" i="1"/>
  <c r="BV253" i="1"/>
  <c r="BU254" i="1"/>
  <c r="BU253" i="1"/>
  <c r="Y254" i="1"/>
  <c r="Y253" i="1"/>
  <c r="AR254" i="1"/>
  <c r="AR253" i="1"/>
  <c r="AC254" i="1"/>
  <c r="AH254" i="1" s="1"/>
  <c r="AC253" i="1"/>
  <c r="AH253" i="1" s="1"/>
  <c r="AA254" i="1"/>
  <c r="AA253" i="1"/>
  <c r="AO157" i="1"/>
  <c r="BQ254" i="1"/>
  <c r="BQ253" i="1"/>
  <c r="BQ252" i="1"/>
  <c r="AK254" i="1" l="1"/>
  <c r="AL254" i="1" s="1"/>
  <c r="AO254" i="1"/>
  <c r="AT255" i="1"/>
  <c r="AQ255" i="1"/>
  <c r="AK253" i="1"/>
  <c r="AL253" i="1" s="1"/>
  <c r="AO253" i="1"/>
  <c r="AN253" i="1"/>
  <c r="AP253" i="1" s="1"/>
  <c r="AN254" i="1"/>
  <c r="AP254" i="1" s="1"/>
  <c r="D93" i="8"/>
  <c r="I93" i="8" s="1"/>
  <c r="AR252" i="1"/>
  <c r="AC252" i="1"/>
  <c r="AH252" i="1" s="1"/>
  <c r="AK252" i="1" s="1"/>
  <c r="AL252" i="1" s="1"/>
  <c r="AB252" i="1"/>
  <c r="AA252" i="1"/>
  <c r="Y252" i="1"/>
  <c r="AS252" i="1" s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Q253" i="1" l="1"/>
  <c r="AT253" i="1"/>
  <c r="AT254" i="1"/>
  <c r="AQ254" i="1"/>
  <c r="AN252" i="1"/>
  <c r="AP252" i="1" s="1"/>
  <c r="AO252" i="1"/>
  <c r="AQ252" i="1" s="1"/>
  <c r="BY252" i="1"/>
  <c r="BY251" i="1"/>
  <c r="BY250" i="1"/>
  <c r="BY249" i="1"/>
  <c r="BY248" i="1"/>
  <c r="BY247" i="1"/>
  <c r="BV252" i="1"/>
  <c r="BV251" i="1"/>
  <c r="BV250" i="1"/>
  <c r="BV249" i="1"/>
  <c r="BV248" i="1"/>
  <c r="BV247" i="1"/>
  <c r="BU252" i="1"/>
  <c r="BU251" i="1"/>
  <c r="BU250" i="1"/>
  <c r="BU249" i="1"/>
  <c r="BU248" i="1"/>
  <c r="BU247" i="1"/>
  <c r="BQ251" i="1"/>
  <c r="BQ250" i="1"/>
  <c r="BQ249" i="1"/>
  <c r="BQ248" i="1"/>
  <c r="BQ247" i="1"/>
  <c r="AR251" i="1"/>
  <c r="AC251" i="1"/>
  <c r="AH251" i="1" s="1"/>
  <c r="AO251" i="1" s="1"/>
  <c r="AQ251" i="1" s="1"/>
  <c r="AB251" i="1"/>
  <c r="AA251" i="1"/>
  <c r="Y251" i="1"/>
  <c r="AS251" i="1" s="1"/>
  <c r="AF2" i="1"/>
  <c r="AT252" i="1" l="1"/>
  <c r="AK251" i="1"/>
  <c r="AL251" i="1" s="1"/>
  <c r="AN251" i="1"/>
  <c r="AP251" i="1" s="1"/>
  <c r="AT251" i="1"/>
  <c r="AR250" i="1"/>
  <c r="AC250" i="1"/>
  <c r="AH250" i="1" s="1"/>
  <c r="AB250" i="1"/>
  <c r="AA250" i="1"/>
  <c r="Y250" i="1"/>
  <c r="I165" i="8"/>
  <c r="I82" i="8"/>
  <c r="I112" i="8"/>
  <c r="AO250" i="1" l="1"/>
  <c r="AN250" i="1"/>
  <c r="AP250" i="1" s="1"/>
  <c r="AK250" i="1"/>
  <c r="AL250" i="1" s="1"/>
  <c r="CH249" i="1"/>
  <c r="CH248" i="1"/>
  <c r="CH247" i="1"/>
  <c r="AC248" i="1"/>
  <c r="AH248" i="1" s="1"/>
  <c r="AK248" i="1" s="1"/>
  <c r="AL248" i="1" s="1"/>
  <c r="AB248" i="1"/>
  <c r="AA248" i="1"/>
  <c r="Y248" i="1"/>
  <c r="AR249" i="1"/>
  <c r="AC249" i="1"/>
  <c r="AH249" i="1" s="1"/>
  <c r="AB249" i="1"/>
  <c r="AA249" i="1"/>
  <c r="Y249" i="1"/>
  <c r="AS249" i="1" s="1"/>
  <c r="I159" i="8"/>
  <c r="CH5" i="1"/>
  <c r="AR247" i="1"/>
  <c r="AR248" i="1"/>
  <c r="AB247" i="1"/>
  <c r="Y247" i="1"/>
  <c r="AQ250" i="1" l="1"/>
  <c r="AT250" i="1"/>
  <c r="AO249" i="1"/>
  <c r="AN249" i="1"/>
  <c r="AP249" i="1" s="1"/>
  <c r="AK249" i="1"/>
  <c r="AL249" i="1" s="1"/>
  <c r="AO248" i="1"/>
  <c r="AN248" i="1"/>
  <c r="AP248" i="1" s="1"/>
  <c r="D62" i="8"/>
  <c r="I62" i="8" s="1"/>
  <c r="I81" i="8"/>
  <c r="I110" i="8"/>
  <c r="I115" i="8"/>
  <c r="I121" i="8"/>
  <c r="I143" i="8"/>
  <c r="I144" i="8"/>
  <c r="I163" i="8"/>
  <c r="H86" i="8"/>
  <c r="I111" i="8"/>
  <c r="I101" i="8"/>
  <c r="I120" i="8"/>
  <c r="I138" i="8"/>
  <c r="I68" i="8"/>
  <c r="I142" i="8"/>
  <c r="I116" i="8"/>
  <c r="I86" i="8"/>
  <c r="I151" i="8"/>
  <c r="I156" i="8"/>
  <c r="I104" i="8"/>
  <c r="I114" i="8"/>
  <c r="I89" i="8"/>
  <c r="I164" i="8"/>
  <c r="I145" i="8"/>
  <c r="I122" i="8"/>
  <c r="I119" i="8"/>
  <c r="H60" i="8" l="1"/>
  <c r="N71" i="8" s="1"/>
  <c r="N77" i="8" s="1"/>
  <c r="N78" i="8" s="1"/>
  <c r="AQ249" i="1"/>
  <c r="AT249" i="1"/>
  <c r="AQ248" i="1"/>
  <c r="AT248" i="1"/>
  <c r="E48" i="8"/>
  <c r="C48" i="8"/>
  <c r="E47" i="8"/>
  <c r="C47" i="8"/>
  <c r="I2" i="8"/>
  <c r="C46" i="8"/>
  <c r="C45" i="8"/>
  <c r="E44" i="8"/>
  <c r="C44" i="8"/>
  <c r="C43" i="8"/>
  <c r="C42" i="8"/>
  <c r="E41" i="8"/>
  <c r="C41" i="8"/>
  <c r="C40" i="8"/>
  <c r="E39" i="8"/>
  <c r="C39" i="8"/>
  <c r="G38" i="8"/>
  <c r="G45" i="8" s="1"/>
  <c r="G46" i="8" s="1"/>
  <c r="C38" i="8"/>
  <c r="E37" i="8"/>
  <c r="C37" i="8"/>
  <c r="E36" i="8"/>
  <c r="C36" i="8"/>
  <c r="E35" i="8"/>
  <c r="C35" i="8"/>
  <c r="C34" i="8"/>
  <c r="C33" i="8"/>
  <c r="C32" i="8"/>
  <c r="C31" i="8"/>
  <c r="C30" i="8"/>
  <c r="E29" i="8"/>
  <c r="C29" i="8"/>
  <c r="C28" i="8"/>
  <c r="C27" i="8"/>
  <c r="G26" i="8"/>
  <c r="G28" i="8" s="1"/>
  <c r="C26" i="8"/>
  <c r="E25" i="8"/>
  <c r="C25" i="8"/>
  <c r="G24" i="8"/>
  <c r="G27" i="8" s="1"/>
  <c r="G30" i="8" s="1"/>
  <c r="G31" i="8" s="1"/>
  <c r="G32" i="8" s="1"/>
  <c r="G34" i="8" s="1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G11" i="8"/>
  <c r="C11" i="8"/>
  <c r="E10" i="8"/>
  <c r="C10" i="8"/>
  <c r="E9" i="8"/>
  <c r="C9" i="8"/>
  <c r="E8" i="8"/>
  <c r="C8" i="8"/>
  <c r="E7" i="8"/>
  <c r="C7" i="8"/>
  <c r="C6" i="8"/>
  <c r="E5" i="8"/>
  <c r="C5" i="8"/>
  <c r="E4" i="8"/>
  <c r="C4" i="8"/>
  <c r="N80" i="8" l="1"/>
  <c r="G40" i="8"/>
  <c r="G42" i="8" s="1"/>
  <c r="G43" i="8" s="1"/>
  <c r="N2" i="8" l="1"/>
  <c r="CH246" i="1" l="1"/>
  <c r="CH245" i="1"/>
  <c r="CH244" i="1"/>
  <c r="CH243" i="1"/>
  <c r="CH242" i="1"/>
  <c r="CH241" i="1"/>
  <c r="CH240" i="1"/>
  <c r="CH239" i="1"/>
  <c r="CH238" i="1"/>
  <c r="CH237" i="1"/>
  <c r="CH236" i="1"/>
  <c r="CH235" i="1"/>
  <c r="CH234" i="1"/>
  <c r="CH233" i="1"/>
  <c r="CH232" i="1"/>
  <c r="CH231" i="1"/>
  <c r="CH230" i="1"/>
  <c r="CH229" i="1"/>
  <c r="CH228" i="1"/>
  <c r="CH227" i="1"/>
  <c r="CH226" i="1"/>
  <c r="CH225" i="1"/>
  <c r="CH224" i="1"/>
  <c r="CH223" i="1"/>
  <c r="CH222" i="1"/>
  <c r="CH221" i="1"/>
  <c r="CH220" i="1"/>
  <c r="CH219" i="1"/>
  <c r="CH218" i="1"/>
  <c r="CH217" i="1"/>
  <c r="CH216" i="1"/>
  <c r="CH215" i="1"/>
  <c r="CH214" i="1"/>
  <c r="CH213" i="1"/>
  <c r="CH212" i="1"/>
  <c r="CH211" i="1"/>
  <c r="CH210" i="1"/>
  <c r="CH209" i="1"/>
  <c r="CH208" i="1"/>
  <c r="CH207" i="1"/>
  <c r="CH206" i="1"/>
  <c r="CH205" i="1"/>
  <c r="CH204" i="1"/>
  <c r="CH203" i="1"/>
  <c r="CH202" i="1"/>
  <c r="CH201" i="1"/>
  <c r="CH200" i="1"/>
  <c r="CH199" i="1"/>
  <c r="CH198" i="1"/>
  <c r="CH197" i="1"/>
  <c r="CH196" i="1"/>
  <c r="CH195" i="1"/>
  <c r="CH194" i="1"/>
  <c r="CH193" i="1"/>
  <c r="CH192" i="1"/>
  <c r="CH191" i="1"/>
  <c r="CH190" i="1"/>
  <c r="CH189" i="1"/>
  <c r="CH188" i="1"/>
  <c r="CH187" i="1"/>
  <c r="CH186" i="1"/>
  <c r="CH185" i="1"/>
  <c r="CH184" i="1"/>
  <c r="CH183" i="1"/>
  <c r="CH182" i="1"/>
  <c r="CH181" i="1"/>
  <c r="CH180" i="1"/>
  <c r="CH179" i="1"/>
  <c r="CH178" i="1"/>
  <c r="CH177" i="1"/>
  <c r="CH176" i="1"/>
  <c r="CH175" i="1"/>
  <c r="CH174" i="1"/>
  <c r="CH173" i="1"/>
  <c r="CH172" i="1"/>
  <c r="CH171" i="1"/>
  <c r="CH170" i="1"/>
  <c r="CH169" i="1"/>
  <c r="CH168" i="1"/>
  <c r="CH167" i="1"/>
  <c r="CH166" i="1"/>
  <c r="CH165" i="1"/>
  <c r="CH164" i="1"/>
  <c r="CH163" i="1"/>
  <c r="CH162" i="1"/>
  <c r="CH161" i="1"/>
  <c r="CH160" i="1"/>
  <c r="CH159" i="1"/>
  <c r="CH158" i="1"/>
  <c r="CH157" i="1"/>
  <c r="CH156" i="1"/>
  <c r="CH155" i="1"/>
  <c r="CH154" i="1"/>
  <c r="CH153" i="1"/>
  <c r="CH152" i="1"/>
  <c r="CH151" i="1"/>
  <c r="CH150" i="1"/>
  <c r="CH149" i="1"/>
  <c r="CH148" i="1"/>
  <c r="CH147" i="1"/>
  <c r="CH146" i="1"/>
  <c r="CH145" i="1"/>
  <c r="CH144" i="1"/>
  <c r="CH143" i="1"/>
  <c r="CH142" i="1"/>
  <c r="CH141" i="1"/>
  <c r="CH140" i="1"/>
  <c r="CH139" i="1"/>
  <c r="CH138" i="1"/>
  <c r="CH137" i="1"/>
  <c r="CH136" i="1"/>
  <c r="CH135" i="1"/>
  <c r="CH134" i="1"/>
  <c r="CH133" i="1"/>
  <c r="CH132" i="1"/>
  <c r="CH131" i="1"/>
  <c r="CH130" i="1"/>
  <c r="CH129" i="1"/>
  <c r="CH128" i="1"/>
  <c r="CH127" i="1"/>
  <c r="CH126" i="1"/>
  <c r="CH125" i="1"/>
  <c r="CH124" i="1"/>
  <c r="CH123" i="1"/>
  <c r="CH122" i="1"/>
  <c r="CH121" i="1"/>
  <c r="CH120" i="1"/>
  <c r="CH119" i="1"/>
  <c r="CH118" i="1"/>
  <c r="CH117" i="1"/>
  <c r="CH116" i="1"/>
  <c r="CH115" i="1"/>
  <c r="CH114" i="1"/>
  <c r="CH113" i="1"/>
  <c r="CH112" i="1"/>
  <c r="CH111" i="1"/>
  <c r="CH110" i="1"/>
  <c r="CH109" i="1"/>
  <c r="CH108" i="1"/>
  <c r="CH107" i="1"/>
  <c r="CH106" i="1"/>
  <c r="CH105" i="1"/>
  <c r="CH104" i="1"/>
  <c r="CH103" i="1"/>
  <c r="CH102" i="1"/>
  <c r="CH101" i="1"/>
  <c r="CH100" i="1"/>
  <c r="CH99" i="1"/>
  <c r="CH98" i="1"/>
  <c r="CH97" i="1"/>
  <c r="CH96" i="1"/>
  <c r="CH95" i="1"/>
  <c r="CH94" i="1"/>
  <c r="CH93" i="1"/>
  <c r="CH92" i="1"/>
  <c r="CH91" i="1"/>
  <c r="CH90" i="1"/>
  <c r="CH89" i="1"/>
  <c r="CH88" i="1"/>
  <c r="CH87" i="1"/>
  <c r="CH86" i="1"/>
  <c r="CH85" i="1"/>
  <c r="CH84" i="1"/>
  <c r="CH83" i="1"/>
  <c r="CH82" i="1"/>
  <c r="CH81" i="1"/>
  <c r="CH80" i="1"/>
  <c r="CH79" i="1"/>
  <c r="CH78" i="1"/>
  <c r="CH77" i="1"/>
  <c r="CH76" i="1"/>
  <c r="CH75" i="1"/>
  <c r="CH74" i="1"/>
  <c r="CH73" i="1"/>
  <c r="CH72" i="1"/>
  <c r="CH71" i="1"/>
  <c r="CH70" i="1"/>
  <c r="CH69" i="1"/>
  <c r="CH68" i="1"/>
  <c r="CH67" i="1"/>
  <c r="CH66" i="1"/>
  <c r="CH65" i="1"/>
  <c r="CH64" i="1"/>
  <c r="CH63" i="1"/>
  <c r="CH62" i="1"/>
  <c r="CH61" i="1"/>
  <c r="CH60" i="1"/>
  <c r="CH59" i="1"/>
  <c r="CH58" i="1"/>
  <c r="CH57" i="1"/>
  <c r="CH56" i="1"/>
  <c r="CH55" i="1"/>
  <c r="CH54" i="1"/>
  <c r="CH53" i="1"/>
  <c r="CH52" i="1"/>
  <c r="CH51" i="1"/>
  <c r="CH50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3" i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BY246" i="1"/>
  <c r="BY245" i="1"/>
  <c r="BY244" i="1"/>
  <c r="BY243" i="1"/>
  <c r="BV246" i="1"/>
  <c r="BV245" i="1"/>
  <c r="BV244" i="1"/>
  <c r="BV243" i="1"/>
  <c r="BU246" i="1"/>
  <c r="BU245" i="1"/>
  <c r="BU244" i="1"/>
  <c r="BU243" i="1"/>
  <c r="BQ246" i="1"/>
  <c r="BQ245" i="1"/>
  <c r="BQ244" i="1"/>
  <c r="BQ243" i="1"/>
  <c r="AR246" i="1" l="1"/>
  <c r="AR245" i="1"/>
  <c r="Y246" i="1"/>
  <c r="Y245" i="1"/>
  <c r="Y244" i="1"/>
  <c r="AC247" i="1"/>
  <c r="AH247" i="1" s="1"/>
  <c r="AC246" i="1"/>
  <c r="AH246" i="1" s="1"/>
  <c r="AN246" i="1" s="1"/>
  <c r="AP246" i="1" s="1"/>
  <c r="AC245" i="1"/>
  <c r="AH245" i="1" s="1"/>
  <c r="AN245" i="1" s="1"/>
  <c r="AP245" i="1" s="1"/>
  <c r="AC244" i="1"/>
  <c r="AH244" i="1" s="1"/>
  <c r="AN244" i="1" s="1"/>
  <c r="AA247" i="1"/>
  <c r="AA246" i="1"/>
  <c r="AA245" i="1"/>
  <c r="AA244" i="1"/>
  <c r="AB246" i="1"/>
  <c r="AB245" i="1"/>
  <c r="AB244" i="1"/>
  <c r="AB243" i="1"/>
  <c r="AB242" i="1"/>
  <c r="AB241" i="1"/>
  <c r="AB240" i="1"/>
  <c r="AK247" i="1" l="1"/>
  <c r="AL247" i="1" s="1"/>
  <c r="AN247" i="1"/>
  <c r="AP247" i="1" s="1"/>
  <c r="AO247" i="1"/>
  <c r="AO245" i="1"/>
  <c r="AQ245" i="1" s="1"/>
  <c r="AO246" i="1"/>
  <c r="AK245" i="1"/>
  <c r="AL245" i="1" s="1"/>
  <c r="AK246" i="1"/>
  <c r="AL246" i="1" s="1"/>
  <c r="AK244" i="1"/>
  <c r="AL244" i="1" s="1"/>
  <c r="BY242" i="1"/>
  <c r="BY241" i="1"/>
  <c r="BY240" i="1"/>
  <c r="BY239" i="1"/>
  <c r="BY238" i="1"/>
  <c r="BV242" i="1"/>
  <c r="BU242" i="1"/>
  <c r="BV241" i="1"/>
  <c r="BU241" i="1"/>
  <c r="BV240" i="1"/>
  <c r="BU240" i="1"/>
  <c r="BV239" i="1"/>
  <c r="BU239" i="1"/>
  <c r="BV238" i="1"/>
  <c r="BU238" i="1"/>
  <c r="BQ242" i="1"/>
  <c r="BQ241" i="1"/>
  <c r="BQ240" i="1"/>
  <c r="BQ239" i="1"/>
  <c r="BQ238" i="1"/>
  <c r="AQ247" i="1" l="1"/>
  <c r="AT247" i="1"/>
  <c r="AQ246" i="1"/>
  <c r="AT246" i="1"/>
  <c r="AS284" i="1" l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CB260" i="1"/>
  <c r="CA260" i="1"/>
  <c r="BZ260" i="1"/>
  <c r="BI260" i="1"/>
  <c r="BH260" i="1"/>
  <c r="BG260" i="1"/>
  <c r="BF260" i="1"/>
  <c r="BD260" i="1"/>
  <c r="BC260" i="1"/>
  <c r="AY260" i="1"/>
  <c r="AS260" i="1"/>
  <c r="CB259" i="1"/>
  <c r="CA259" i="1"/>
  <c r="BZ259" i="1"/>
  <c r="BI259" i="1"/>
  <c r="BH259" i="1"/>
  <c r="BG259" i="1"/>
  <c r="BF259" i="1"/>
  <c r="BD259" i="1"/>
  <c r="BC259" i="1"/>
  <c r="AY259" i="1"/>
  <c r="AS259" i="1"/>
  <c r="CB258" i="1"/>
  <c r="CA258" i="1"/>
  <c r="BZ258" i="1"/>
  <c r="BI258" i="1"/>
  <c r="BH258" i="1"/>
  <c r="BG258" i="1"/>
  <c r="BF258" i="1"/>
  <c r="BD258" i="1"/>
  <c r="BC258" i="1"/>
  <c r="AY258" i="1"/>
  <c r="AS258" i="1"/>
  <c r="CB257" i="1"/>
  <c r="CA257" i="1"/>
  <c r="BZ257" i="1"/>
  <c r="BI257" i="1"/>
  <c r="BH257" i="1"/>
  <c r="BG257" i="1"/>
  <c r="BF257" i="1"/>
  <c r="BD257" i="1"/>
  <c r="BC257" i="1"/>
  <c r="AY257" i="1"/>
  <c r="CB256" i="1"/>
  <c r="CA256" i="1"/>
  <c r="BZ256" i="1"/>
  <c r="BI256" i="1"/>
  <c r="BH256" i="1"/>
  <c r="BG256" i="1"/>
  <c r="BF256" i="1"/>
  <c r="BD256" i="1"/>
  <c r="BC256" i="1"/>
  <c r="AY256" i="1"/>
  <c r="CB255" i="1"/>
  <c r="CA255" i="1"/>
  <c r="BZ255" i="1"/>
  <c r="BI255" i="1"/>
  <c r="BH255" i="1"/>
  <c r="BG255" i="1"/>
  <c r="BF255" i="1"/>
  <c r="BD255" i="1"/>
  <c r="BC255" i="1"/>
  <c r="AY255" i="1"/>
  <c r="AS255" i="1"/>
  <c r="CB254" i="1"/>
  <c r="CA254" i="1"/>
  <c r="BZ254" i="1"/>
  <c r="BI254" i="1"/>
  <c r="BH254" i="1"/>
  <c r="BG254" i="1"/>
  <c r="BF254" i="1"/>
  <c r="BD254" i="1"/>
  <c r="BC254" i="1"/>
  <c r="AY254" i="1"/>
  <c r="AS254" i="1"/>
  <c r="CB253" i="1"/>
  <c r="CA253" i="1"/>
  <c r="BZ253" i="1"/>
  <c r="BI253" i="1"/>
  <c r="BH253" i="1"/>
  <c r="BG253" i="1"/>
  <c r="BF253" i="1"/>
  <c r="BD253" i="1"/>
  <c r="BC253" i="1"/>
  <c r="AY253" i="1"/>
  <c r="AS253" i="1"/>
  <c r="CB252" i="1"/>
  <c r="CA252" i="1"/>
  <c r="BZ252" i="1"/>
  <c r="BI252" i="1"/>
  <c r="BH252" i="1"/>
  <c r="BG252" i="1"/>
  <c r="BF252" i="1"/>
  <c r="BD252" i="1"/>
  <c r="BC252" i="1"/>
  <c r="AY252" i="1"/>
  <c r="CB251" i="1"/>
  <c r="CA251" i="1"/>
  <c r="BZ251" i="1"/>
  <c r="BI251" i="1"/>
  <c r="BH251" i="1"/>
  <c r="BG251" i="1"/>
  <c r="BF251" i="1"/>
  <c r="BD251" i="1"/>
  <c r="BC251" i="1"/>
  <c r="AY251" i="1"/>
  <c r="CB250" i="1"/>
  <c r="CA250" i="1"/>
  <c r="BZ250" i="1"/>
  <c r="BI250" i="1"/>
  <c r="BH250" i="1"/>
  <c r="BG250" i="1"/>
  <c r="BF250" i="1"/>
  <c r="BD250" i="1"/>
  <c r="BC250" i="1"/>
  <c r="AY250" i="1"/>
  <c r="AS250" i="1"/>
  <c r="CB249" i="1"/>
  <c r="CA249" i="1"/>
  <c r="BZ249" i="1"/>
  <c r="BI249" i="1"/>
  <c r="BH249" i="1"/>
  <c r="BG249" i="1"/>
  <c r="BF249" i="1"/>
  <c r="BD249" i="1"/>
  <c r="BC249" i="1"/>
  <c r="AY249" i="1"/>
  <c r="CB248" i="1"/>
  <c r="CA248" i="1"/>
  <c r="BZ248" i="1"/>
  <c r="BI248" i="1"/>
  <c r="BH248" i="1"/>
  <c r="BG248" i="1"/>
  <c r="BF248" i="1"/>
  <c r="BD248" i="1"/>
  <c r="BC248" i="1"/>
  <c r="AY248" i="1"/>
  <c r="AS248" i="1"/>
  <c r="CB247" i="1"/>
  <c r="CA247" i="1"/>
  <c r="BZ247" i="1"/>
  <c r="BI247" i="1"/>
  <c r="BH247" i="1"/>
  <c r="BG247" i="1"/>
  <c r="BF247" i="1"/>
  <c r="BD247" i="1"/>
  <c r="BC247" i="1"/>
  <c r="AY247" i="1"/>
  <c r="AS247" i="1"/>
  <c r="CB246" i="1"/>
  <c r="CA246" i="1"/>
  <c r="BZ246" i="1"/>
  <c r="BI246" i="1"/>
  <c r="BH246" i="1"/>
  <c r="BG246" i="1"/>
  <c r="BF246" i="1"/>
  <c r="BD246" i="1"/>
  <c r="BC246" i="1"/>
  <c r="AY246" i="1"/>
  <c r="AS246" i="1"/>
  <c r="CB245" i="1"/>
  <c r="CA245" i="1"/>
  <c r="BZ245" i="1"/>
  <c r="BI245" i="1"/>
  <c r="BH245" i="1"/>
  <c r="BG245" i="1"/>
  <c r="BF245" i="1"/>
  <c r="BD245" i="1"/>
  <c r="BC245" i="1"/>
  <c r="AY245" i="1"/>
  <c r="AT245" i="1"/>
  <c r="AS245" i="1"/>
  <c r="CB244" i="1"/>
  <c r="CA244" i="1"/>
  <c r="BZ244" i="1"/>
  <c r="BI244" i="1"/>
  <c r="BH244" i="1"/>
  <c r="BG244" i="1"/>
  <c r="BF244" i="1"/>
  <c r="BD244" i="1"/>
  <c r="BC244" i="1"/>
  <c r="AY244" i="1"/>
  <c r="AS244" i="1"/>
  <c r="AR244" i="1"/>
  <c r="AP244" i="1"/>
  <c r="AO244" i="1"/>
  <c r="AQ244" i="1" s="1"/>
  <c r="CB243" i="1"/>
  <c r="CA243" i="1"/>
  <c r="BZ243" i="1"/>
  <c r="BI243" i="1"/>
  <c r="BH243" i="1"/>
  <c r="BG243" i="1"/>
  <c r="BF243" i="1"/>
  <c r="BD243" i="1"/>
  <c r="BC243" i="1"/>
  <c r="AY243" i="1"/>
  <c r="AE243" i="1"/>
  <c r="AR243" i="1" s="1"/>
  <c r="AC243" i="1"/>
  <c r="AA243" i="1"/>
  <c r="Y243" i="1"/>
  <c r="AS243" i="1" s="1"/>
  <c r="CB242" i="1"/>
  <c r="CA242" i="1"/>
  <c r="BZ242" i="1"/>
  <c r="BI242" i="1"/>
  <c r="BH242" i="1"/>
  <c r="BG242" i="1"/>
  <c r="BF242" i="1"/>
  <c r="BD242" i="1"/>
  <c r="BC242" i="1"/>
  <c r="AY242" i="1"/>
  <c r="AE242" i="1"/>
  <c r="AC242" i="1"/>
  <c r="AA242" i="1"/>
  <c r="Y242" i="1"/>
  <c r="AS242" i="1" s="1"/>
  <c r="CB241" i="1"/>
  <c r="CA241" i="1"/>
  <c r="BZ241" i="1"/>
  <c r="BI241" i="1"/>
  <c r="BH241" i="1"/>
  <c r="BG241" i="1"/>
  <c r="BF241" i="1"/>
  <c r="BD241" i="1"/>
  <c r="BC241" i="1"/>
  <c r="AY241" i="1"/>
  <c r="AE241" i="1"/>
  <c r="AC241" i="1"/>
  <c r="AA241" i="1"/>
  <c r="Y241" i="1"/>
  <c r="AS241" i="1" s="1"/>
  <c r="CB240" i="1"/>
  <c r="CA240" i="1"/>
  <c r="BZ240" i="1"/>
  <c r="BI240" i="1"/>
  <c r="BH240" i="1"/>
  <c r="BG240" i="1"/>
  <c r="BF240" i="1"/>
  <c r="BD240" i="1"/>
  <c r="BC240" i="1"/>
  <c r="AY240" i="1"/>
  <c r="AC240" i="1"/>
  <c r="AH240" i="1" s="1"/>
  <c r="AK240" i="1" s="1"/>
  <c r="AL240" i="1" s="1"/>
  <c r="AA240" i="1"/>
  <c r="Y240" i="1"/>
  <c r="AS240" i="1" s="1"/>
  <c r="CB239" i="1"/>
  <c r="CA239" i="1"/>
  <c r="BZ239" i="1"/>
  <c r="BI239" i="1"/>
  <c r="BH239" i="1"/>
  <c r="BG239" i="1"/>
  <c r="BF239" i="1"/>
  <c r="BD239" i="1"/>
  <c r="BC239" i="1"/>
  <c r="AY239" i="1"/>
  <c r="AE239" i="1"/>
  <c r="AC239" i="1"/>
  <c r="AB239" i="1"/>
  <c r="AA239" i="1"/>
  <c r="Y239" i="1"/>
  <c r="AS239" i="1" s="1"/>
  <c r="CB238" i="1"/>
  <c r="CA238" i="1"/>
  <c r="BZ238" i="1"/>
  <c r="BI238" i="1"/>
  <c r="BH238" i="1"/>
  <c r="BG238" i="1"/>
  <c r="BF238" i="1"/>
  <c r="BD238" i="1"/>
  <c r="BC238" i="1"/>
  <c r="AY238" i="1"/>
  <c r="AR238" i="1"/>
  <c r="AC238" i="1"/>
  <c r="AH238" i="1" s="1"/>
  <c r="AB238" i="1"/>
  <c r="AA238" i="1"/>
  <c r="Y238" i="1"/>
  <c r="AS238" i="1" s="1"/>
  <c r="CB237" i="1"/>
  <c r="CA237" i="1"/>
  <c r="BZ237" i="1"/>
  <c r="BY237" i="1"/>
  <c r="BV237" i="1"/>
  <c r="BU237" i="1"/>
  <c r="BQ237" i="1"/>
  <c r="BI237" i="1"/>
  <c r="BH237" i="1"/>
  <c r="BG237" i="1"/>
  <c r="BF237" i="1"/>
  <c r="BD237" i="1"/>
  <c r="BC237" i="1"/>
  <c r="AY237" i="1"/>
  <c r="AR237" i="1"/>
  <c r="AC237" i="1"/>
  <c r="AH237" i="1" s="1"/>
  <c r="AB237" i="1"/>
  <c r="AA237" i="1"/>
  <c r="Y237" i="1"/>
  <c r="AS237" i="1" s="1"/>
  <c r="CB236" i="1"/>
  <c r="CA236" i="1"/>
  <c r="BZ236" i="1"/>
  <c r="BY236" i="1"/>
  <c r="BV236" i="1"/>
  <c r="BU236" i="1"/>
  <c r="BQ236" i="1"/>
  <c r="BI236" i="1"/>
  <c r="BH236" i="1"/>
  <c r="BG236" i="1"/>
  <c r="BF236" i="1"/>
  <c r="BD236" i="1"/>
  <c r="BC236" i="1"/>
  <c r="AY236" i="1"/>
  <c r="AE236" i="1"/>
  <c r="AC236" i="1"/>
  <c r="AB236" i="1"/>
  <c r="AA236" i="1"/>
  <c r="Y236" i="1"/>
  <c r="AS236" i="1" s="1"/>
  <c r="CB235" i="1"/>
  <c r="CA235" i="1"/>
  <c r="BZ235" i="1"/>
  <c r="BY235" i="1"/>
  <c r="BV235" i="1"/>
  <c r="BU235" i="1"/>
  <c r="BQ235" i="1"/>
  <c r="BI235" i="1"/>
  <c r="BH235" i="1"/>
  <c r="BG235" i="1"/>
  <c r="BF235" i="1"/>
  <c r="BD235" i="1"/>
  <c r="BC235" i="1"/>
  <c r="AY235" i="1"/>
  <c r="AR235" i="1"/>
  <c r="AC235" i="1"/>
  <c r="AH235" i="1" s="1"/>
  <c r="AB235" i="1"/>
  <c r="AA235" i="1"/>
  <c r="Y235" i="1"/>
  <c r="AS235" i="1" s="1"/>
  <c r="CB234" i="1"/>
  <c r="CA234" i="1"/>
  <c r="BZ234" i="1"/>
  <c r="BY234" i="1"/>
  <c r="BV234" i="1"/>
  <c r="BU234" i="1"/>
  <c r="BQ234" i="1"/>
  <c r="BI234" i="1"/>
  <c r="BH234" i="1"/>
  <c r="BG234" i="1"/>
  <c r="BF234" i="1"/>
  <c r="BD234" i="1"/>
  <c r="BC234" i="1"/>
  <c r="AY234" i="1"/>
  <c r="AR234" i="1"/>
  <c r="AC234" i="1"/>
  <c r="AH234" i="1" s="1"/>
  <c r="AO234" i="1" s="1"/>
  <c r="AB234" i="1"/>
  <c r="AA234" i="1"/>
  <c r="Y234" i="1"/>
  <c r="AS234" i="1" s="1"/>
  <c r="CB233" i="1"/>
  <c r="CA233" i="1"/>
  <c r="BZ233" i="1"/>
  <c r="BY233" i="1"/>
  <c r="BV233" i="1"/>
  <c r="BU233" i="1"/>
  <c r="BQ233" i="1"/>
  <c r="BI233" i="1"/>
  <c r="BH233" i="1"/>
  <c r="BG233" i="1"/>
  <c r="BF233" i="1"/>
  <c r="BD233" i="1"/>
  <c r="BC233" i="1"/>
  <c r="AY233" i="1"/>
  <c r="AE233" i="1"/>
  <c r="AR233" i="1" s="1"/>
  <c r="AC233" i="1"/>
  <c r="AB233" i="1"/>
  <c r="AA233" i="1"/>
  <c r="Y233" i="1"/>
  <c r="AS233" i="1" s="1"/>
  <c r="CB232" i="1"/>
  <c r="CA232" i="1"/>
  <c r="BZ232" i="1"/>
  <c r="BY232" i="1"/>
  <c r="BV232" i="1"/>
  <c r="BU232" i="1"/>
  <c r="BQ232" i="1"/>
  <c r="BI232" i="1"/>
  <c r="BH232" i="1"/>
  <c r="BG232" i="1"/>
  <c r="BF232" i="1"/>
  <c r="BD232" i="1"/>
  <c r="BC232" i="1"/>
  <c r="AY232" i="1"/>
  <c r="AE232" i="1"/>
  <c r="AR232" i="1" s="1"/>
  <c r="AC232" i="1"/>
  <c r="AB232" i="1"/>
  <c r="AA232" i="1"/>
  <c r="Y232" i="1"/>
  <c r="AS232" i="1" s="1"/>
  <c r="CB231" i="1"/>
  <c r="CA231" i="1"/>
  <c r="BZ231" i="1"/>
  <c r="BY231" i="1"/>
  <c r="BV231" i="1"/>
  <c r="BU231" i="1"/>
  <c r="BQ231" i="1"/>
  <c r="BI231" i="1"/>
  <c r="BH231" i="1"/>
  <c r="BG231" i="1"/>
  <c r="BF231" i="1"/>
  <c r="BD231" i="1"/>
  <c r="BC231" i="1"/>
  <c r="AY231" i="1"/>
  <c r="AE231" i="1"/>
  <c r="AC231" i="1"/>
  <c r="AB231" i="1"/>
  <c r="AA231" i="1"/>
  <c r="Y231" i="1"/>
  <c r="AS231" i="1" s="1"/>
  <c r="CB230" i="1"/>
  <c r="CA230" i="1"/>
  <c r="BZ230" i="1"/>
  <c r="BY230" i="1"/>
  <c r="BV230" i="1"/>
  <c r="BU230" i="1"/>
  <c r="BQ230" i="1"/>
  <c r="BI230" i="1"/>
  <c r="BH230" i="1"/>
  <c r="BG230" i="1"/>
  <c r="BF230" i="1"/>
  <c r="BD230" i="1"/>
  <c r="BC230" i="1"/>
  <c r="AY230" i="1"/>
  <c r="AE230" i="1"/>
  <c r="AC230" i="1"/>
  <c r="AB230" i="1"/>
  <c r="AA230" i="1"/>
  <c r="Y230" i="1"/>
  <c r="AS230" i="1" s="1"/>
  <c r="CB229" i="1"/>
  <c r="CA229" i="1"/>
  <c r="BZ229" i="1"/>
  <c r="BY229" i="1"/>
  <c r="BV229" i="1"/>
  <c r="BU229" i="1"/>
  <c r="BQ229" i="1"/>
  <c r="BI229" i="1"/>
  <c r="BH229" i="1"/>
  <c r="BG229" i="1"/>
  <c r="BF229" i="1"/>
  <c r="BD229" i="1"/>
  <c r="BC229" i="1"/>
  <c r="AY229" i="1"/>
  <c r="AE229" i="1"/>
  <c r="AC229" i="1"/>
  <c r="AB229" i="1"/>
  <c r="AA229" i="1"/>
  <c r="Y229" i="1"/>
  <c r="AS229" i="1" s="1"/>
  <c r="CB228" i="1"/>
  <c r="CA228" i="1"/>
  <c r="BZ228" i="1"/>
  <c r="BY228" i="1"/>
  <c r="BV228" i="1"/>
  <c r="BU228" i="1"/>
  <c r="BQ228" i="1"/>
  <c r="BI228" i="1"/>
  <c r="BH228" i="1"/>
  <c r="BG228" i="1"/>
  <c r="BF228" i="1"/>
  <c r="BD228" i="1"/>
  <c r="BC228" i="1"/>
  <c r="AY228" i="1"/>
  <c r="AE228" i="1"/>
  <c r="AR228" i="1" s="1"/>
  <c r="AC228" i="1"/>
  <c r="AB228" i="1"/>
  <c r="AA228" i="1"/>
  <c r="Y228" i="1"/>
  <c r="AS228" i="1" s="1"/>
  <c r="CB227" i="1"/>
  <c r="CA227" i="1"/>
  <c r="BZ227" i="1"/>
  <c r="BY227" i="1"/>
  <c r="BV227" i="1"/>
  <c r="BU227" i="1"/>
  <c r="BQ227" i="1"/>
  <c r="BI227" i="1"/>
  <c r="BH227" i="1"/>
  <c r="BG227" i="1"/>
  <c r="BF227" i="1"/>
  <c r="BD227" i="1"/>
  <c r="BC227" i="1"/>
  <c r="AY227" i="1"/>
  <c r="AE227" i="1"/>
  <c r="AR227" i="1" s="1"/>
  <c r="AC227" i="1"/>
  <c r="AB227" i="1"/>
  <c r="AA227" i="1"/>
  <c r="Y227" i="1"/>
  <c r="AS227" i="1" s="1"/>
  <c r="CB226" i="1"/>
  <c r="CA226" i="1"/>
  <c r="BZ226" i="1"/>
  <c r="BY226" i="1"/>
  <c r="BV226" i="1"/>
  <c r="BU226" i="1"/>
  <c r="BQ226" i="1"/>
  <c r="BI226" i="1"/>
  <c r="BH226" i="1"/>
  <c r="BG226" i="1"/>
  <c r="BF226" i="1"/>
  <c r="BD226" i="1"/>
  <c r="BC226" i="1"/>
  <c r="AY226" i="1"/>
  <c r="AE226" i="1"/>
  <c r="AC226" i="1"/>
  <c r="AB226" i="1"/>
  <c r="AA226" i="1"/>
  <c r="Y226" i="1"/>
  <c r="AS226" i="1" s="1"/>
  <c r="CB225" i="1"/>
  <c r="CA225" i="1"/>
  <c r="BZ225" i="1"/>
  <c r="BY225" i="1"/>
  <c r="BV225" i="1"/>
  <c r="BU225" i="1"/>
  <c r="BQ225" i="1"/>
  <c r="BI225" i="1"/>
  <c r="BH225" i="1"/>
  <c r="BG225" i="1"/>
  <c r="BF225" i="1"/>
  <c r="BD225" i="1"/>
  <c r="BC225" i="1"/>
  <c r="AY225" i="1"/>
  <c r="AR225" i="1"/>
  <c r="AC225" i="1"/>
  <c r="AH225" i="1" s="1"/>
  <c r="AO225" i="1" s="1"/>
  <c r="AB225" i="1"/>
  <c r="AA225" i="1"/>
  <c r="Y225" i="1"/>
  <c r="CB224" i="1"/>
  <c r="CA224" i="1"/>
  <c r="BZ224" i="1"/>
  <c r="BY224" i="1"/>
  <c r="BV224" i="1"/>
  <c r="BU224" i="1"/>
  <c r="BQ224" i="1"/>
  <c r="BI224" i="1"/>
  <c r="BH224" i="1"/>
  <c r="BG224" i="1"/>
  <c r="BF224" i="1"/>
  <c r="BD224" i="1"/>
  <c r="BC224" i="1"/>
  <c r="AY224" i="1"/>
  <c r="AE224" i="1"/>
  <c r="AR224" i="1" s="1"/>
  <c r="AC224" i="1"/>
  <c r="AB224" i="1"/>
  <c r="AA224" i="1"/>
  <c r="Y224" i="1"/>
  <c r="AS224" i="1" s="1"/>
  <c r="CB223" i="1"/>
  <c r="CA223" i="1"/>
  <c r="BZ223" i="1"/>
  <c r="BY223" i="1"/>
  <c r="BV223" i="1"/>
  <c r="BU223" i="1"/>
  <c r="BQ223" i="1"/>
  <c r="BI223" i="1"/>
  <c r="BH223" i="1"/>
  <c r="BG223" i="1"/>
  <c r="BF223" i="1"/>
  <c r="BD223" i="1"/>
  <c r="BC223" i="1"/>
  <c r="AY223" i="1"/>
  <c r="AE223" i="1"/>
  <c r="AC223" i="1"/>
  <c r="AB223" i="1"/>
  <c r="AA223" i="1"/>
  <c r="Y223" i="1"/>
  <c r="AS223" i="1" s="1"/>
  <c r="CB222" i="1"/>
  <c r="CA222" i="1"/>
  <c r="BZ222" i="1"/>
  <c r="BY222" i="1"/>
  <c r="BV222" i="1"/>
  <c r="BU222" i="1"/>
  <c r="BQ222" i="1"/>
  <c r="BI222" i="1"/>
  <c r="BH222" i="1"/>
  <c r="BG222" i="1"/>
  <c r="BF222" i="1"/>
  <c r="BD222" i="1"/>
  <c r="BC222" i="1"/>
  <c r="AY222" i="1"/>
  <c r="AE222" i="1"/>
  <c r="AC222" i="1"/>
  <c r="AB222" i="1"/>
  <c r="AA222" i="1"/>
  <c r="Y222" i="1"/>
  <c r="AS222" i="1" s="1"/>
  <c r="CB221" i="1"/>
  <c r="CA221" i="1"/>
  <c r="BZ221" i="1"/>
  <c r="BY221" i="1"/>
  <c r="BV221" i="1"/>
  <c r="BU221" i="1"/>
  <c r="BQ221" i="1"/>
  <c r="BI221" i="1"/>
  <c r="BH221" i="1"/>
  <c r="BG221" i="1"/>
  <c r="BF221" i="1"/>
  <c r="BD221" i="1"/>
  <c r="BC221" i="1"/>
  <c r="AY221" i="1"/>
  <c r="AE221" i="1"/>
  <c r="AC221" i="1"/>
  <c r="AB221" i="1"/>
  <c r="AA221" i="1"/>
  <c r="Y221" i="1"/>
  <c r="AS221" i="1" s="1"/>
  <c r="CB220" i="1"/>
  <c r="CA220" i="1"/>
  <c r="BZ220" i="1"/>
  <c r="BY220" i="1"/>
  <c r="BV220" i="1"/>
  <c r="BU220" i="1"/>
  <c r="BQ220" i="1"/>
  <c r="BI220" i="1"/>
  <c r="BH220" i="1"/>
  <c r="BG220" i="1"/>
  <c r="BF220" i="1"/>
  <c r="BD220" i="1"/>
  <c r="BC220" i="1"/>
  <c r="AY220" i="1"/>
  <c r="AE220" i="1"/>
  <c r="AR220" i="1" s="1"/>
  <c r="AC220" i="1"/>
  <c r="AB220" i="1"/>
  <c r="AA220" i="1"/>
  <c r="Y220" i="1"/>
  <c r="AS220" i="1" s="1"/>
  <c r="CB219" i="1"/>
  <c r="CA219" i="1"/>
  <c r="BZ219" i="1"/>
  <c r="BY219" i="1"/>
  <c r="BV219" i="1"/>
  <c r="BU219" i="1"/>
  <c r="BQ219" i="1"/>
  <c r="BI219" i="1"/>
  <c r="BH219" i="1"/>
  <c r="BG219" i="1"/>
  <c r="BF219" i="1"/>
  <c r="BD219" i="1"/>
  <c r="BC219" i="1"/>
  <c r="AY219" i="1"/>
  <c r="AE219" i="1"/>
  <c r="AC219" i="1"/>
  <c r="AB219" i="1"/>
  <c r="AA219" i="1"/>
  <c r="Y219" i="1"/>
  <c r="AS219" i="1" s="1"/>
  <c r="CB218" i="1"/>
  <c r="CA218" i="1"/>
  <c r="BZ218" i="1"/>
  <c r="BY218" i="1"/>
  <c r="BV218" i="1"/>
  <c r="BU218" i="1"/>
  <c r="BQ218" i="1"/>
  <c r="BI218" i="1"/>
  <c r="BH218" i="1"/>
  <c r="BG218" i="1"/>
  <c r="BF218" i="1"/>
  <c r="BD218" i="1"/>
  <c r="BC218" i="1"/>
  <c r="AY218" i="1"/>
  <c r="AE218" i="1"/>
  <c r="AR218" i="1" s="1"/>
  <c r="AC218" i="1"/>
  <c r="AB218" i="1"/>
  <c r="AA218" i="1"/>
  <c r="Y218" i="1"/>
  <c r="AS218" i="1" s="1"/>
  <c r="CB217" i="1"/>
  <c r="CA217" i="1"/>
  <c r="BZ217" i="1"/>
  <c r="BY217" i="1"/>
  <c r="BV217" i="1"/>
  <c r="BU217" i="1"/>
  <c r="BQ217" i="1"/>
  <c r="BI217" i="1"/>
  <c r="BH217" i="1"/>
  <c r="BG217" i="1"/>
  <c r="BF217" i="1"/>
  <c r="BD217" i="1"/>
  <c r="BC217" i="1"/>
  <c r="AY217" i="1"/>
  <c r="AE217" i="1"/>
  <c r="AR217" i="1" s="1"/>
  <c r="AC217" i="1"/>
  <c r="AB217" i="1"/>
  <c r="AA217" i="1"/>
  <c r="Y217" i="1"/>
  <c r="AS217" i="1" s="1"/>
  <c r="CB216" i="1"/>
  <c r="CA216" i="1"/>
  <c r="BZ216" i="1"/>
  <c r="BY216" i="1"/>
  <c r="BV216" i="1"/>
  <c r="BU216" i="1"/>
  <c r="BQ216" i="1"/>
  <c r="BI216" i="1"/>
  <c r="BH216" i="1"/>
  <c r="BG216" i="1"/>
  <c r="BF216" i="1"/>
  <c r="BD216" i="1"/>
  <c r="BC216" i="1"/>
  <c r="AY216" i="1"/>
  <c r="AE216" i="1"/>
  <c r="AR216" i="1" s="1"/>
  <c r="AC216" i="1"/>
  <c r="AB216" i="1"/>
  <c r="AA216" i="1"/>
  <c r="Y216" i="1"/>
  <c r="CB215" i="1"/>
  <c r="CA215" i="1"/>
  <c r="BZ215" i="1"/>
  <c r="BY215" i="1"/>
  <c r="BV215" i="1"/>
  <c r="BU215" i="1"/>
  <c r="BQ215" i="1"/>
  <c r="BI215" i="1"/>
  <c r="BH215" i="1"/>
  <c r="BG215" i="1"/>
  <c r="BF215" i="1"/>
  <c r="BD215" i="1"/>
  <c r="BC215" i="1"/>
  <c r="AY215" i="1"/>
  <c r="AE215" i="1"/>
  <c r="AR215" i="1" s="1"/>
  <c r="AC215" i="1"/>
  <c r="AB215" i="1"/>
  <c r="AA215" i="1"/>
  <c r="Y215" i="1"/>
  <c r="AS215" i="1" s="1"/>
  <c r="CB214" i="1"/>
  <c r="CA214" i="1"/>
  <c r="BZ214" i="1"/>
  <c r="BY214" i="1"/>
  <c r="BV214" i="1"/>
  <c r="BU214" i="1"/>
  <c r="BQ214" i="1"/>
  <c r="BI214" i="1"/>
  <c r="BH214" i="1"/>
  <c r="BG214" i="1"/>
  <c r="BF214" i="1"/>
  <c r="BD214" i="1"/>
  <c r="BC214" i="1"/>
  <c r="AY214" i="1"/>
  <c r="AE214" i="1"/>
  <c r="AR214" i="1" s="1"/>
  <c r="AC214" i="1"/>
  <c r="AB214" i="1"/>
  <c r="AA214" i="1"/>
  <c r="Y214" i="1"/>
  <c r="AS214" i="1" s="1"/>
  <c r="CB213" i="1"/>
  <c r="CA213" i="1"/>
  <c r="BZ213" i="1"/>
  <c r="BY213" i="1"/>
  <c r="BV213" i="1"/>
  <c r="BU213" i="1"/>
  <c r="BQ213" i="1"/>
  <c r="BI213" i="1"/>
  <c r="BH213" i="1"/>
  <c r="BG213" i="1"/>
  <c r="BF213" i="1"/>
  <c r="BD213" i="1"/>
  <c r="BC213" i="1"/>
  <c r="AY213" i="1"/>
  <c r="AR213" i="1"/>
  <c r="AC213" i="1"/>
  <c r="AH213" i="1" s="1"/>
  <c r="AB213" i="1"/>
  <c r="AA213" i="1"/>
  <c r="Y213" i="1"/>
  <c r="AS213" i="1" s="1"/>
  <c r="CB212" i="1"/>
  <c r="CA212" i="1"/>
  <c r="BZ212" i="1"/>
  <c r="BY212" i="1"/>
  <c r="BV212" i="1"/>
  <c r="BU212" i="1"/>
  <c r="BQ212" i="1"/>
  <c r="BI212" i="1"/>
  <c r="BH212" i="1"/>
  <c r="BG212" i="1"/>
  <c r="BF212" i="1"/>
  <c r="BD212" i="1"/>
  <c r="BC212" i="1"/>
  <c r="AY212" i="1"/>
  <c r="AE212" i="1"/>
  <c r="AC212" i="1"/>
  <c r="AB212" i="1"/>
  <c r="AA212" i="1"/>
  <c r="Y212" i="1"/>
  <c r="CB211" i="1"/>
  <c r="CA211" i="1"/>
  <c r="BZ211" i="1"/>
  <c r="BY211" i="1"/>
  <c r="BV211" i="1"/>
  <c r="BU211" i="1"/>
  <c r="BQ211" i="1"/>
  <c r="BI211" i="1"/>
  <c r="BH211" i="1"/>
  <c r="BG211" i="1"/>
  <c r="BF211" i="1"/>
  <c r="BD211" i="1"/>
  <c r="BC211" i="1"/>
  <c r="AY211" i="1"/>
  <c r="AE211" i="1"/>
  <c r="AC211" i="1"/>
  <c r="AB211" i="1"/>
  <c r="AA211" i="1"/>
  <c r="Y211" i="1"/>
  <c r="CB210" i="1"/>
  <c r="CA210" i="1"/>
  <c r="BZ210" i="1"/>
  <c r="BY210" i="1"/>
  <c r="BV210" i="1"/>
  <c r="BU210" i="1"/>
  <c r="BQ210" i="1"/>
  <c r="BI210" i="1"/>
  <c r="BH210" i="1"/>
  <c r="BG210" i="1"/>
  <c r="BF210" i="1"/>
  <c r="BD210" i="1"/>
  <c r="BC210" i="1"/>
  <c r="AY210" i="1"/>
  <c r="AE210" i="1"/>
  <c r="AR210" i="1" s="1"/>
  <c r="AC210" i="1"/>
  <c r="AB210" i="1"/>
  <c r="AA210" i="1"/>
  <c r="Y210" i="1"/>
  <c r="AS210" i="1" s="1"/>
  <c r="CB209" i="1"/>
  <c r="CA209" i="1"/>
  <c r="BZ209" i="1"/>
  <c r="BY209" i="1"/>
  <c r="BV209" i="1"/>
  <c r="BU209" i="1"/>
  <c r="BQ209" i="1"/>
  <c r="BI209" i="1"/>
  <c r="BH209" i="1"/>
  <c r="BG209" i="1"/>
  <c r="BF209" i="1"/>
  <c r="BD209" i="1"/>
  <c r="BC209" i="1"/>
  <c r="AY209" i="1"/>
  <c r="AE209" i="1"/>
  <c r="AC209" i="1"/>
  <c r="AB209" i="1"/>
  <c r="AA209" i="1"/>
  <c r="Y209" i="1"/>
  <c r="AS209" i="1" s="1"/>
  <c r="CB208" i="1"/>
  <c r="CA208" i="1"/>
  <c r="BZ208" i="1"/>
  <c r="BY208" i="1"/>
  <c r="BV208" i="1"/>
  <c r="BU208" i="1"/>
  <c r="BQ208" i="1"/>
  <c r="BI208" i="1"/>
  <c r="BH208" i="1"/>
  <c r="BG208" i="1"/>
  <c r="BF208" i="1"/>
  <c r="BD208" i="1"/>
  <c r="BC208" i="1"/>
  <c r="AY208" i="1"/>
  <c r="AE208" i="1"/>
  <c r="AC208" i="1"/>
  <c r="AB208" i="1"/>
  <c r="AA208" i="1"/>
  <c r="Y208" i="1"/>
  <c r="AS208" i="1" s="1"/>
  <c r="CB207" i="1"/>
  <c r="CA207" i="1"/>
  <c r="BZ207" i="1"/>
  <c r="BY207" i="1"/>
  <c r="BV207" i="1"/>
  <c r="BU207" i="1"/>
  <c r="BQ207" i="1"/>
  <c r="BI207" i="1"/>
  <c r="BH207" i="1"/>
  <c r="BG207" i="1"/>
  <c r="BF207" i="1"/>
  <c r="BD207" i="1"/>
  <c r="BC207" i="1"/>
  <c r="AY207" i="1"/>
  <c r="AR207" i="1"/>
  <c r="AC207" i="1"/>
  <c r="AH207" i="1" s="1"/>
  <c r="AB207" i="1"/>
  <c r="AA207" i="1"/>
  <c r="Y207" i="1"/>
  <c r="AS207" i="1" s="1"/>
  <c r="CB206" i="1"/>
  <c r="CA206" i="1"/>
  <c r="BZ206" i="1"/>
  <c r="BY206" i="1"/>
  <c r="BV206" i="1"/>
  <c r="BU206" i="1"/>
  <c r="BQ206" i="1"/>
  <c r="BI206" i="1"/>
  <c r="BH206" i="1"/>
  <c r="BG206" i="1"/>
  <c r="BF206" i="1"/>
  <c r="BD206" i="1"/>
  <c r="BC206" i="1"/>
  <c r="AY206" i="1"/>
  <c r="AE206" i="1"/>
  <c r="AR206" i="1" s="1"/>
  <c r="AC206" i="1"/>
  <c r="AB206" i="1"/>
  <c r="AA206" i="1"/>
  <c r="Y206" i="1"/>
  <c r="CB205" i="1"/>
  <c r="CA205" i="1"/>
  <c r="BZ205" i="1"/>
  <c r="BY205" i="1"/>
  <c r="BV205" i="1"/>
  <c r="BU205" i="1"/>
  <c r="BQ205" i="1"/>
  <c r="BI205" i="1"/>
  <c r="BH205" i="1"/>
  <c r="BG205" i="1"/>
  <c r="BF205" i="1"/>
  <c r="BD205" i="1"/>
  <c r="BC205" i="1"/>
  <c r="AY205" i="1"/>
  <c r="AE205" i="1"/>
  <c r="AC205" i="1"/>
  <c r="AB205" i="1"/>
  <c r="AA205" i="1"/>
  <c r="Y205" i="1"/>
  <c r="AS205" i="1" s="1"/>
  <c r="CB204" i="1"/>
  <c r="CA204" i="1"/>
  <c r="BZ204" i="1"/>
  <c r="BY204" i="1"/>
  <c r="BV204" i="1"/>
  <c r="BU204" i="1"/>
  <c r="BQ204" i="1"/>
  <c r="BI204" i="1"/>
  <c r="BH204" i="1"/>
  <c r="BG204" i="1"/>
  <c r="BF204" i="1"/>
  <c r="BD204" i="1"/>
  <c r="BC204" i="1"/>
  <c r="AY204" i="1"/>
  <c r="AE204" i="1"/>
  <c r="AR204" i="1" s="1"/>
  <c r="AC204" i="1"/>
  <c r="AB204" i="1"/>
  <c r="AA204" i="1"/>
  <c r="Y204" i="1"/>
  <c r="AS204" i="1" s="1"/>
  <c r="CB203" i="1"/>
  <c r="CA203" i="1"/>
  <c r="BZ203" i="1"/>
  <c r="BY203" i="1"/>
  <c r="BV203" i="1"/>
  <c r="BU203" i="1"/>
  <c r="BQ203" i="1"/>
  <c r="BI203" i="1"/>
  <c r="BH203" i="1"/>
  <c r="BG203" i="1"/>
  <c r="BF203" i="1"/>
  <c r="BD203" i="1"/>
  <c r="BC203" i="1"/>
  <c r="AY203" i="1"/>
  <c r="AE203" i="1"/>
  <c r="AC203" i="1"/>
  <c r="AB203" i="1"/>
  <c r="AA203" i="1"/>
  <c r="Y203" i="1"/>
  <c r="CB202" i="1"/>
  <c r="CA202" i="1"/>
  <c r="BZ202" i="1"/>
  <c r="BY202" i="1"/>
  <c r="BV202" i="1"/>
  <c r="BU202" i="1"/>
  <c r="BQ202" i="1"/>
  <c r="BI202" i="1"/>
  <c r="BH202" i="1"/>
  <c r="BG202" i="1"/>
  <c r="BF202" i="1"/>
  <c r="BD202" i="1"/>
  <c r="BC202" i="1"/>
  <c r="AY202" i="1"/>
  <c r="AE202" i="1"/>
  <c r="AC202" i="1"/>
  <c r="AB202" i="1"/>
  <c r="AA202" i="1"/>
  <c r="Y202" i="1"/>
  <c r="CB201" i="1"/>
  <c r="CA201" i="1"/>
  <c r="BZ201" i="1"/>
  <c r="BY201" i="1"/>
  <c r="BV201" i="1"/>
  <c r="BU201" i="1"/>
  <c r="BQ201" i="1"/>
  <c r="BI201" i="1"/>
  <c r="BH201" i="1"/>
  <c r="BG201" i="1"/>
  <c r="BF201" i="1"/>
  <c r="BD201" i="1"/>
  <c r="BC201" i="1"/>
  <c r="AY201" i="1"/>
  <c r="AE201" i="1"/>
  <c r="AC201" i="1"/>
  <c r="AB201" i="1"/>
  <c r="AA201" i="1"/>
  <c r="Y201" i="1"/>
  <c r="CB200" i="1"/>
  <c r="CA200" i="1"/>
  <c r="BZ200" i="1"/>
  <c r="BY200" i="1"/>
  <c r="BV200" i="1"/>
  <c r="BU200" i="1"/>
  <c r="BQ200" i="1"/>
  <c r="BI200" i="1"/>
  <c r="BH200" i="1"/>
  <c r="BG200" i="1"/>
  <c r="BF200" i="1"/>
  <c r="BD200" i="1"/>
  <c r="BC200" i="1"/>
  <c r="AY200" i="1"/>
  <c r="AE200" i="1"/>
  <c r="AC200" i="1"/>
  <c r="AB200" i="1"/>
  <c r="AA200" i="1"/>
  <c r="Y200" i="1"/>
  <c r="AS200" i="1" s="1"/>
  <c r="CB199" i="1"/>
  <c r="CA199" i="1"/>
  <c r="BZ199" i="1"/>
  <c r="BY199" i="1"/>
  <c r="BV199" i="1"/>
  <c r="BU199" i="1"/>
  <c r="BQ199" i="1"/>
  <c r="BI199" i="1"/>
  <c r="BH199" i="1"/>
  <c r="BG199" i="1"/>
  <c r="BF199" i="1"/>
  <c r="BD199" i="1"/>
  <c r="BC199" i="1"/>
  <c r="AY199" i="1"/>
  <c r="AE199" i="1"/>
  <c r="AR199" i="1" s="1"/>
  <c r="AC199" i="1"/>
  <c r="AB199" i="1"/>
  <c r="AA199" i="1"/>
  <c r="Y199" i="1"/>
  <c r="AS199" i="1" s="1"/>
  <c r="CB198" i="1"/>
  <c r="CA198" i="1"/>
  <c r="BZ198" i="1"/>
  <c r="BY198" i="1"/>
  <c r="BV198" i="1"/>
  <c r="BU198" i="1"/>
  <c r="BQ198" i="1"/>
  <c r="BI198" i="1"/>
  <c r="BH198" i="1"/>
  <c r="BG198" i="1"/>
  <c r="BF198" i="1"/>
  <c r="BD198" i="1"/>
  <c r="BC198" i="1"/>
  <c r="AY198" i="1"/>
  <c r="AE198" i="1"/>
  <c r="AR198" i="1" s="1"/>
  <c r="AC198" i="1"/>
  <c r="AB198" i="1"/>
  <c r="AA198" i="1"/>
  <c r="Y198" i="1"/>
  <c r="AS198" i="1" s="1"/>
  <c r="CB197" i="1"/>
  <c r="CA197" i="1"/>
  <c r="BZ197" i="1"/>
  <c r="BY197" i="1"/>
  <c r="BV197" i="1"/>
  <c r="BU197" i="1"/>
  <c r="BQ197" i="1"/>
  <c r="BI197" i="1"/>
  <c r="BH197" i="1"/>
  <c r="BG197" i="1"/>
  <c r="BF197" i="1"/>
  <c r="BD197" i="1"/>
  <c r="BC197" i="1"/>
  <c r="AY197" i="1"/>
  <c r="AE197" i="1"/>
  <c r="AC197" i="1"/>
  <c r="AB197" i="1"/>
  <c r="AA197" i="1"/>
  <c r="Y197" i="1"/>
  <c r="CB196" i="1"/>
  <c r="CA196" i="1"/>
  <c r="BZ196" i="1"/>
  <c r="BY196" i="1"/>
  <c r="BV196" i="1"/>
  <c r="BU196" i="1"/>
  <c r="BQ196" i="1"/>
  <c r="BI196" i="1"/>
  <c r="BH196" i="1"/>
  <c r="BG196" i="1"/>
  <c r="BF196" i="1"/>
  <c r="BD196" i="1"/>
  <c r="BC196" i="1"/>
  <c r="AY196" i="1"/>
  <c r="AE196" i="1"/>
  <c r="AR196" i="1" s="1"/>
  <c r="AC196" i="1"/>
  <c r="AB196" i="1"/>
  <c r="AA196" i="1"/>
  <c r="Y196" i="1"/>
  <c r="AS196" i="1" s="1"/>
  <c r="CB195" i="1"/>
  <c r="CA195" i="1"/>
  <c r="BZ195" i="1"/>
  <c r="BY195" i="1"/>
  <c r="BV195" i="1"/>
  <c r="BU195" i="1"/>
  <c r="BQ195" i="1"/>
  <c r="BI195" i="1"/>
  <c r="BH195" i="1"/>
  <c r="BG195" i="1"/>
  <c r="BF195" i="1"/>
  <c r="BD195" i="1"/>
  <c r="BC195" i="1"/>
  <c r="AY195" i="1"/>
  <c r="AE195" i="1"/>
  <c r="AR195" i="1" s="1"/>
  <c r="AC195" i="1"/>
  <c r="AB195" i="1"/>
  <c r="AA195" i="1"/>
  <c r="Y195" i="1"/>
  <c r="CB194" i="1"/>
  <c r="CA194" i="1"/>
  <c r="BZ194" i="1"/>
  <c r="BY194" i="1"/>
  <c r="BV194" i="1"/>
  <c r="BU194" i="1"/>
  <c r="BQ194" i="1"/>
  <c r="BI194" i="1"/>
  <c r="BH194" i="1"/>
  <c r="BG194" i="1"/>
  <c r="BF194" i="1"/>
  <c r="BD194" i="1"/>
  <c r="BC194" i="1"/>
  <c r="AY194" i="1"/>
  <c r="AE194" i="1"/>
  <c r="AR194" i="1" s="1"/>
  <c r="AC194" i="1"/>
  <c r="AB194" i="1"/>
  <c r="AA194" i="1"/>
  <c r="Y194" i="1"/>
  <c r="AS194" i="1" s="1"/>
  <c r="CB193" i="1"/>
  <c r="CA193" i="1"/>
  <c r="BZ193" i="1"/>
  <c r="BY193" i="1"/>
  <c r="BV193" i="1"/>
  <c r="BU193" i="1"/>
  <c r="BQ193" i="1"/>
  <c r="BI193" i="1"/>
  <c r="BH193" i="1"/>
  <c r="BG193" i="1"/>
  <c r="BF193" i="1"/>
  <c r="BD193" i="1"/>
  <c r="BC193" i="1"/>
  <c r="AY193" i="1"/>
  <c r="AE193" i="1"/>
  <c r="AR193" i="1" s="1"/>
  <c r="AC193" i="1"/>
  <c r="AB193" i="1"/>
  <c r="AA193" i="1"/>
  <c r="Y193" i="1"/>
  <c r="AS193" i="1" s="1"/>
  <c r="CB192" i="1"/>
  <c r="CA192" i="1"/>
  <c r="BZ192" i="1"/>
  <c r="BY192" i="1"/>
  <c r="BV192" i="1"/>
  <c r="BU192" i="1"/>
  <c r="BQ192" i="1"/>
  <c r="BI192" i="1"/>
  <c r="BH192" i="1"/>
  <c r="BG192" i="1"/>
  <c r="BF192" i="1"/>
  <c r="BD192" i="1"/>
  <c r="BC192" i="1"/>
  <c r="AY192" i="1"/>
  <c r="AE192" i="1"/>
  <c r="AR192" i="1" s="1"/>
  <c r="AC192" i="1"/>
  <c r="AB192" i="1"/>
  <c r="AA192" i="1"/>
  <c r="Y192" i="1"/>
  <c r="AS192" i="1" s="1"/>
  <c r="CB191" i="1"/>
  <c r="CA191" i="1"/>
  <c r="BZ191" i="1"/>
  <c r="BY191" i="1"/>
  <c r="BV191" i="1"/>
  <c r="BU191" i="1"/>
  <c r="BQ191" i="1"/>
  <c r="BI191" i="1"/>
  <c r="BH191" i="1"/>
  <c r="BG191" i="1"/>
  <c r="BF191" i="1"/>
  <c r="BD191" i="1"/>
  <c r="BC191" i="1"/>
  <c r="AY191" i="1"/>
  <c r="AE191" i="1"/>
  <c r="AR191" i="1" s="1"/>
  <c r="AC191" i="1"/>
  <c r="AB191" i="1"/>
  <c r="AA191" i="1"/>
  <c r="Y191" i="1"/>
  <c r="AS191" i="1" s="1"/>
  <c r="CB190" i="1"/>
  <c r="CA190" i="1"/>
  <c r="BZ190" i="1"/>
  <c r="BY190" i="1"/>
  <c r="BV190" i="1"/>
  <c r="BU190" i="1"/>
  <c r="BQ190" i="1"/>
  <c r="BI190" i="1"/>
  <c r="BH190" i="1"/>
  <c r="BG190" i="1"/>
  <c r="BF190" i="1"/>
  <c r="BD190" i="1"/>
  <c r="BC190" i="1"/>
  <c r="AY190" i="1"/>
  <c r="AE190" i="1"/>
  <c r="AC190" i="1"/>
  <c r="AB190" i="1"/>
  <c r="AA190" i="1"/>
  <c r="Y190" i="1"/>
  <c r="AS190" i="1" s="1"/>
  <c r="CB189" i="1"/>
  <c r="CA189" i="1"/>
  <c r="BZ189" i="1"/>
  <c r="BY189" i="1"/>
  <c r="BV189" i="1"/>
  <c r="BU189" i="1"/>
  <c r="BQ189" i="1"/>
  <c r="BI189" i="1"/>
  <c r="BH189" i="1"/>
  <c r="BG189" i="1"/>
  <c r="BF189" i="1"/>
  <c r="BD189" i="1"/>
  <c r="BC189" i="1"/>
  <c r="AY189" i="1"/>
  <c r="AE189" i="1"/>
  <c r="AC189" i="1"/>
  <c r="AB189" i="1"/>
  <c r="AA189" i="1"/>
  <c r="Y189" i="1"/>
  <c r="AS189" i="1" s="1"/>
  <c r="CB188" i="1"/>
  <c r="CA188" i="1"/>
  <c r="BZ188" i="1"/>
  <c r="BY188" i="1"/>
  <c r="BV188" i="1"/>
  <c r="BU188" i="1"/>
  <c r="BQ188" i="1"/>
  <c r="BI188" i="1"/>
  <c r="BH188" i="1"/>
  <c r="BG188" i="1"/>
  <c r="BF188" i="1"/>
  <c r="BD188" i="1"/>
  <c r="BC188" i="1"/>
  <c r="AY188" i="1"/>
  <c r="AS188" i="1"/>
  <c r="AR188" i="1"/>
  <c r="AC188" i="1"/>
  <c r="AB188" i="1"/>
  <c r="AA188" i="1"/>
  <c r="CB187" i="1"/>
  <c r="CA187" i="1"/>
  <c r="BZ187" i="1"/>
  <c r="BY187" i="1"/>
  <c r="BV187" i="1"/>
  <c r="BU187" i="1"/>
  <c r="BQ187" i="1"/>
  <c r="BI187" i="1"/>
  <c r="BH187" i="1"/>
  <c r="BG187" i="1"/>
  <c r="BF187" i="1"/>
  <c r="BD187" i="1"/>
  <c r="BC187" i="1"/>
  <c r="AY187" i="1"/>
  <c r="AE187" i="1"/>
  <c r="AR187" i="1" s="1"/>
  <c r="AC187" i="1"/>
  <c r="AB187" i="1"/>
  <c r="AA187" i="1"/>
  <c r="Y187" i="1"/>
  <c r="AS187" i="1" s="1"/>
  <c r="CB186" i="1"/>
  <c r="CA186" i="1"/>
  <c r="BZ186" i="1"/>
  <c r="BY186" i="1"/>
  <c r="BV186" i="1"/>
  <c r="BU186" i="1"/>
  <c r="BQ186" i="1"/>
  <c r="BI186" i="1"/>
  <c r="BH186" i="1"/>
  <c r="BG186" i="1"/>
  <c r="BF186" i="1"/>
  <c r="BD186" i="1"/>
  <c r="BC186" i="1"/>
  <c r="AY186" i="1"/>
  <c r="AE186" i="1"/>
  <c r="AR186" i="1" s="1"/>
  <c r="AC186" i="1"/>
  <c r="AB186" i="1"/>
  <c r="AA186" i="1"/>
  <c r="Y186" i="1"/>
  <c r="AS186" i="1" s="1"/>
  <c r="CB185" i="1"/>
  <c r="CA185" i="1"/>
  <c r="BZ185" i="1"/>
  <c r="BY185" i="1"/>
  <c r="BV185" i="1"/>
  <c r="BU185" i="1"/>
  <c r="BQ185" i="1"/>
  <c r="BI185" i="1"/>
  <c r="BH185" i="1"/>
  <c r="BG185" i="1"/>
  <c r="BF185" i="1"/>
  <c r="BD185" i="1"/>
  <c r="BC185" i="1"/>
  <c r="AY185" i="1"/>
  <c r="AR185" i="1"/>
  <c r="AC185" i="1"/>
  <c r="AH185" i="1" s="1"/>
  <c r="AN185" i="1" s="1"/>
  <c r="AP185" i="1" s="1"/>
  <c r="AB185" i="1"/>
  <c r="AA185" i="1"/>
  <c r="Y185" i="1"/>
  <c r="AS185" i="1" s="1"/>
  <c r="CB184" i="1"/>
  <c r="CA184" i="1"/>
  <c r="BZ184" i="1"/>
  <c r="BY184" i="1"/>
  <c r="BV184" i="1"/>
  <c r="BU184" i="1"/>
  <c r="BQ184" i="1"/>
  <c r="BI184" i="1"/>
  <c r="BH184" i="1"/>
  <c r="BG184" i="1"/>
  <c r="BF184" i="1"/>
  <c r="BD184" i="1"/>
  <c r="BC184" i="1"/>
  <c r="AY184" i="1"/>
  <c r="AE184" i="1"/>
  <c r="AR184" i="1" s="1"/>
  <c r="AC184" i="1"/>
  <c r="AB184" i="1"/>
  <c r="AA184" i="1"/>
  <c r="Y184" i="1"/>
  <c r="CB183" i="1"/>
  <c r="CA183" i="1"/>
  <c r="BZ183" i="1"/>
  <c r="BY183" i="1"/>
  <c r="BV183" i="1"/>
  <c r="BU183" i="1"/>
  <c r="BQ183" i="1"/>
  <c r="BI183" i="1"/>
  <c r="BH183" i="1"/>
  <c r="BG183" i="1"/>
  <c r="BF183" i="1"/>
  <c r="BD183" i="1"/>
  <c r="BC183" i="1"/>
  <c r="AY183" i="1"/>
  <c r="AR183" i="1"/>
  <c r="AC183" i="1"/>
  <c r="AH183" i="1" s="1"/>
  <c r="AB183" i="1"/>
  <c r="AA183" i="1"/>
  <c r="Y183" i="1"/>
  <c r="AS183" i="1" s="1"/>
  <c r="CB182" i="1"/>
  <c r="CA182" i="1"/>
  <c r="BZ182" i="1"/>
  <c r="BY182" i="1"/>
  <c r="BV182" i="1"/>
  <c r="BU182" i="1"/>
  <c r="BQ182" i="1"/>
  <c r="BI182" i="1"/>
  <c r="BH182" i="1"/>
  <c r="BG182" i="1"/>
  <c r="BF182" i="1"/>
  <c r="BD182" i="1"/>
  <c r="BC182" i="1"/>
  <c r="AY182" i="1"/>
  <c r="AE182" i="1"/>
  <c r="AC182" i="1"/>
  <c r="AB182" i="1"/>
  <c r="AA182" i="1"/>
  <c r="Y182" i="1"/>
  <c r="AS182" i="1" s="1"/>
  <c r="CB181" i="1"/>
  <c r="CA181" i="1"/>
  <c r="BZ181" i="1"/>
  <c r="BY181" i="1"/>
  <c r="BV181" i="1"/>
  <c r="BU181" i="1"/>
  <c r="BQ181" i="1"/>
  <c r="BI181" i="1"/>
  <c r="BH181" i="1"/>
  <c r="BG181" i="1"/>
  <c r="BF181" i="1"/>
  <c r="BD181" i="1"/>
  <c r="BC181" i="1"/>
  <c r="AY181" i="1"/>
  <c r="AE181" i="1"/>
  <c r="AR181" i="1" s="1"/>
  <c r="AC181" i="1"/>
  <c r="AB181" i="1"/>
  <c r="AA181" i="1"/>
  <c r="Y181" i="1"/>
  <c r="AS181" i="1" s="1"/>
  <c r="CB180" i="1"/>
  <c r="CA180" i="1"/>
  <c r="BZ180" i="1"/>
  <c r="BY180" i="1"/>
  <c r="BV180" i="1"/>
  <c r="BU180" i="1"/>
  <c r="BQ180" i="1"/>
  <c r="BI180" i="1"/>
  <c r="BH180" i="1"/>
  <c r="BG180" i="1"/>
  <c r="BF180" i="1"/>
  <c r="BD180" i="1"/>
  <c r="BC180" i="1"/>
  <c r="AY180" i="1"/>
  <c r="AE180" i="1"/>
  <c r="AR180" i="1" s="1"/>
  <c r="AC180" i="1"/>
  <c r="AB180" i="1"/>
  <c r="AA180" i="1"/>
  <c r="Y180" i="1"/>
  <c r="AS180" i="1" s="1"/>
  <c r="CB179" i="1"/>
  <c r="CA179" i="1"/>
  <c r="BZ179" i="1"/>
  <c r="BY179" i="1"/>
  <c r="BV179" i="1"/>
  <c r="BU179" i="1"/>
  <c r="BQ179" i="1"/>
  <c r="BI179" i="1"/>
  <c r="BH179" i="1"/>
  <c r="BG179" i="1"/>
  <c r="BF179" i="1"/>
  <c r="BD179" i="1"/>
  <c r="BC179" i="1"/>
  <c r="AY179" i="1"/>
  <c r="AE179" i="1"/>
  <c r="AR179" i="1" s="1"/>
  <c r="AC179" i="1"/>
  <c r="AB179" i="1"/>
  <c r="AA179" i="1"/>
  <c r="Y179" i="1"/>
  <c r="AS179" i="1" s="1"/>
  <c r="CB178" i="1"/>
  <c r="CA178" i="1"/>
  <c r="BZ178" i="1"/>
  <c r="BY178" i="1"/>
  <c r="BV178" i="1"/>
  <c r="BU178" i="1"/>
  <c r="BQ178" i="1"/>
  <c r="BI178" i="1"/>
  <c r="BH178" i="1"/>
  <c r="BG178" i="1"/>
  <c r="BF178" i="1"/>
  <c r="BD178" i="1"/>
  <c r="BC178" i="1"/>
  <c r="AY178" i="1"/>
  <c r="AE178" i="1"/>
  <c r="AC178" i="1"/>
  <c r="AB178" i="1"/>
  <c r="AA178" i="1"/>
  <c r="Y178" i="1"/>
  <c r="AS178" i="1" s="1"/>
  <c r="CB177" i="1"/>
  <c r="CA177" i="1"/>
  <c r="BZ177" i="1"/>
  <c r="BY177" i="1"/>
  <c r="BV177" i="1"/>
  <c r="BU177" i="1"/>
  <c r="BQ177" i="1"/>
  <c r="BI177" i="1"/>
  <c r="BH177" i="1"/>
  <c r="BG177" i="1"/>
  <c r="BF177" i="1"/>
  <c r="BD177" i="1"/>
  <c r="BC177" i="1"/>
  <c r="AY177" i="1"/>
  <c r="AE177" i="1"/>
  <c r="AR177" i="1" s="1"/>
  <c r="AC177" i="1"/>
  <c r="AB177" i="1"/>
  <c r="AA177" i="1"/>
  <c r="Y177" i="1"/>
  <c r="AS177" i="1" s="1"/>
  <c r="CB176" i="1"/>
  <c r="CA176" i="1"/>
  <c r="BZ176" i="1"/>
  <c r="BY176" i="1"/>
  <c r="BV176" i="1"/>
  <c r="BU176" i="1"/>
  <c r="BQ176" i="1"/>
  <c r="BI176" i="1"/>
  <c r="BH176" i="1"/>
  <c r="BG176" i="1"/>
  <c r="BF176" i="1"/>
  <c r="BD176" i="1"/>
  <c r="BC176" i="1"/>
  <c r="AY176" i="1"/>
  <c r="AE176" i="1"/>
  <c r="AC176" i="1"/>
  <c r="AB176" i="1"/>
  <c r="AA176" i="1"/>
  <c r="Y176" i="1"/>
  <c r="CB175" i="1"/>
  <c r="CA175" i="1"/>
  <c r="BZ175" i="1"/>
  <c r="BY175" i="1"/>
  <c r="BV175" i="1"/>
  <c r="BU175" i="1"/>
  <c r="BQ175" i="1"/>
  <c r="BI175" i="1"/>
  <c r="BH175" i="1"/>
  <c r="BG175" i="1"/>
  <c r="BF175" i="1"/>
  <c r="BD175" i="1"/>
  <c r="BC175" i="1"/>
  <c r="AY175" i="1"/>
  <c r="AE175" i="1"/>
  <c r="AR175" i="1" s="1"/>
  <c r="AC175" i="1"/>
  <c r="AB175" i="1"/>
  <c r="AA175" i="1"/>
  <c r="Y175" i="1"/>
  <c r="AS175" i="1" s="1"/>
  <c r="CB174" i="1"/>
  <c r="CA174" i="1"/>
  <c r="BZ174" i="1"/>
  <c r="BY174" i="1"/>
  <c r="BV174" i="1"/>
  <c r="BU174" i="1"/>
  <c r="BQ174" i="1"/>
  <c r="BI174" i="1"/>
  <c r="BH174" i="1"/>
  <c r="BG174" i="1"/>
  <c r="BF174" i="1"/>
  <c r="BD174" i="1"/>
  <c r="BC174" i="1"/>
  <c r="AY174" i="1"/>
  <c r="AE174" i="1"/>
  <c r="AR174" i="1" s="1"/>
  <c r="AC174" i="1"/>
  <c r="AB174" i="1"/>
  <c r="AA174" i="1"/>
  <c r="Y174" i="1"/>
  <c r="AS174" i="1" s="1"/>
  <c r="CB173" i="1"/>
  <c r="CA173" i="1"/>
  <c r="BZ173" i="1"/>
  <c r="BY173" i="1"/>
  <c r="BV173" i="1"/>
  <c r="BU173" i="1"/>
  <c r="BQ173" i="1"/>
  <c r="BI173" i="1"/>
  <c r="BH173" i="1"/>
  <c r="BG173" i="1"/>
  <c r="BF173" i="1"/>
  <c r="BD173" i="1"/>
  <c r="BC173" i="1"/>
  <c r="AY173" i="1"/>
  <c r="AE173" i="1"/>
  <c r="AR173" i="1" s="1"/>
  <c r="AC173" i="1"/>
  <c r="AB173" i="1"/>
  <c r="AA173" i="1"/>
  <c r="Y173" i="1"/>
  <c r="CB172" i="1"/>
  <c r="CA172" i="1"/>
  <c r="BZ172" i="1"/>
  <c r="BY172" i="1"/>
  <c r="BV172" i="1"/>
  <c r="BU172" i="1"/>
  <c r="BQ172" i="1"/>
  <c r="BI172" i="1"/>
  <c r="BH172" i="1"/>
  <c r="BG172" i="1"/>
  <c r="BF172" i="1"/>
  <c r="BD172" i="1"/>
  <c r="BC172" i="1"/>
  <c r="AY172" i="1"/>
  <c r="AE172" i="1"/>
  <c r="AC172" i="1"/>
  <c r="AB172" i="1"/>
  <c r="AA172" i="1"/>
  <c r="Y172" i="1"/>
  <c r="AS172" i="1" s="1"/>
  <c r="CB171" i="1"/>
  <c r="CA171" i="1"/>
  <c r="BZ171" i="1"/>
  <c r="BY171" i="1"/>
  <c r="BV171" i="1"/>
  <c r="BU171" i="1"/>
  <c r="BQ171" i="1"/>
  <c r="BI171" i="1"/>
  <c r="BH171" i="1"/>
  <c r="BG171" i="1"/>
  <c r="BF171" i="1"/>
  <c r="BD171" i="1"/>
  <c r="BC171" i="1"/>
  <c r="AY171" i="1"/>
  <c r="AE171" i="1"/>
  <c r="AC171" i="1"/>
  <c r="AB171" i="1"/>
  <c r="AA171" i="1"/>
  <c r="Y171" i="1"/>
  <c r="CB170" i="1"/>
  <c r="CA170" i="1"/>
  <c r="BZ170" i="1"/>
  <c r="BY170" i="1"/>
  <c r="BV170" i="1"/>
  <c r="BU170" i="1"/>
  <c r="BQ170" i="1"/>
  <c r="BI170" i="1"/>
  <c r="BH170" i="1"/>
  <c r="BG170" i="1"/>
  <c r="BF170" i="1"/>
  <c r="BD170" i="1"/>
  <c r="BC170" i="1"/>
  <c r="AY170" i="1"/>
  <c r="AE170" i="1"/>
  <c r="AR170" i="1" s="1"/>
  <c r="AC170" i="1"/>
  <c r="AB170" i="1"/>
  <c r="AA170" i="1"/>
  <c r="Y170" i="1"/>
  <c r="CB169" i="1"/>
  <c r="CA169" i="1"/>
  <c r="BZ169" i="1"/>
  <c r="BY169" i="1"/>
  <c r="BV169" i="1"/>
  <c r="BU169" i="1"/>
  <c r="BQ169" i="1"/>
  <c r="BI169" i="1"/>
  <c r="BH169" i="1"/>
  <c r="BG169" i="1"/>
  <c r="BF169" i="1"/>
  <c r="BD169" i="1"/>
  <c r="BC169" i="1"/>
  <c r="AY169" i="1"/>
  <c r="AE169" i="1"/>
  <c r="AR169" i="1" s="1"/>
  <c r="AC169" i="1"/>
  <c r="AB169" i="1"/>
  <c r="AA169" i="1"/>
  <c r="Y169" i="1"/>
  <c r="AS169" i="1" s="1"/>
  <c r="CB168" i="1"/>
  <c r="CA168" i="1"/>
  <c r="BZ168" i="1"/>
  <c r="BY168" i="1"/>
  <c r="BV168" i="1"/>
  <c r="BU168" i="1"/>
  <c r="BQ168" i="1"/>
  <c r="BI168" i="1"/>
  <c r="BH168" i="1"/>
  <c r="BG168" i="1"/>
  <c r="BF168" i="1"/>
  <c r="BD168" i="1"/>
  <c r="BC168" i="1"/>
  <c r="AY168" i="1"/>
  <c r="AE168" i="1"/>
  <c r="AR168" i="1" s="1"/>
  <c r="AC168" i="1"/>
  <c r="AB168" i="1"/>
  <c r="AA168" i="1"/>
  <c r="Y168" i="1"/>
  <c r="AS168" i="1" s="1"/>
  <c r="CB167" i="1"/>
  <c r="CA167" i="1"/>
  <c r="BZ167" i="1"/>
  <c r="BY167" i="1"/>
  <c r="BV167" i="1"/>
  <c r="BU167" i="1"/>
  <c r="BQ167" i="1"/>
  <c r="BI167" i="1"/>
  <c r="BH167" i="1"/>
  <c r="BG167" i="1"/>
  <c r="BF167" i="1"/>
  <c r="BD167" i="1"/>
  <c r="BC167" i="1"/>
  <c r="AY167" i="1"/>
  <c r="AE167" i="1"/>
  <c r="AC167" i="1"/>
  <c r="AB167" i="1"/>
  <c r="AA167" i="1"/>
  <c r="Y167" i="1"/>
  <c r="AS167" i="1" s="1"/>
  <c r="CB166" i="1"/>
  <c r="CA166" i="1"/>
  <c r="BZ166" i="1"/>
  <c r="BY166" i="1"/>
  <c r="BV166" i="1"/>
  <c r="BU166" i="1"/>
  <c r="BQ166" i="1"/>
  <c r="BI166" i="1"/>
  <c r="BH166" i="1"/>
  <c r="BG166" i="1"/>
  <c r="BF166" i="1"/>
  <c r="BD166" i="1"/>
  <c r="BC166" i="1"/>
  <c r="AY166" i="1"/>
  <c r="AE166" i="1"/>
  <c r="AC166" i="1"/>
  <c r="AB166" i="1"/>
  <c r="AA166" i="1"/>
  <c r="Y166" i="1"/>
  <c r="AS166" i="1" s="1"/>
  <c r="CB165" i="1"/>
  <c r="CA165" i="1"/>
  <c r="BZ165" i="1"/>
  <c r="BY165" i="1"/>
  <c r="BV165" i="1"/>
  <c r="BU165" i="1"/>
  <c r="BQ165" i="1"/>
  <c r="BI165" i="1"/>
  <c r="BH165" i="1"/>
  <c r="BG165" i="1"/>
  <c r="BF165" i="1"/>
  <c r="BD165" i="1"/>
  <c r="BC165" i="1"/>
  <c r="AY165" i="1"/>
  <c r="AR165" i="1"/>
  <c r="AC165" i="1"/>
  <c r="AH165" i="1" s="1"/>
  <c r="AB165" i="1"/>
  <c r="AA165" i="1"/>
  <c r="Y165" i="1"/>
  <c r="AS165" i="1" s="1"/>
  <c r="CB164" i="1"/>
  <c r="CA164" i="1"/>
  <c r="BZ164" i="1"/>
  <c r="BY164" i="1"/>
  <c r="BV164" i="1"/>
  <c r="BU164" i="1"/>
  <c r="BQ164" i="1"/>
  <c r="BI164" i="1"/>
  <c r="BH164" i="1"/>
  <c r="BG164" i="1"/>
  <c r="BF164" i="1"/>
  <c r="BD164" i="1"/>
  <c r="BC164" i="1"/>
  <c r="AY164" i="1"/>
  <c r="AE164" i="1"/>
  <c r="AC164" i="1"/>
  <c r="AB164" i="1"/>
  <c r="AA164" i="1"/>
  <c r="Y164" i="1"/>
  <c r="AS164" i="1" s="1"/>
  <c r="CB163" i="1"/>
  <c r="CA163" i="1"/>
  <c r="BZ163" i="1"/>
  <c r="BY163" i="1"/>
  <c r="BV163" i="1"/>
  <c r="BU163" i="1"/>
  <c r="BQ163" i="1"/>
  <c r="BI163" i="1"/>
  <c r="BH163" i="1"/>
  <c r="BG163" i="1"/>
  <c r="BF163" i="1"/>
  <c r="BD163" i="1"/>
  <c r="BC163" i="1"/>
  <c r="AY163" i="1"/>
  <c r="AE163" i="1"/>
  <c r="AC163" i="1"/>
  <c r="AB163" i="1"/>
  <c r="AA163" i="1"/>
  <c r="Y163" i="1"/>
  <c r="CB162" i="1"/>
  <c r="CA162" i="1"/>
  <c r="BZ162" i="1"/>
  <c r="BY162" i="1"/>
  <c r="BV162" i="1"/>
  <c r="BU162" i="1"/>
  <c r="BQ162" i="1"/>
  <c r="BI162" i="1"/>
  <c r="BH162" i="1"/>
  <c r="BG162" i="1"/>
  <c r="BF162" i="1"/>
  <c r="BD162" i="1"/>
  <c r="BC162" i="1"/>
  <c r="AY162" i="1"/>
  <c r="AE162" i="1"/>
  <c r="AH162" i="1" s="1"/>
  <c r="AB162" i="1"/>
  <c r="AA162" i="1"/>
  <c r="Y162" i="1"/>
  <c r="AS162" i="1" s="1"/>
  <c r="CB161" i="1"/>
  <c r="CA161" i="1"/>
  <c r="BZ161" i="1"/>
  <c r="BY161" i="1"/>
  <c r="BV161" i="1"/>
  <c r="BU161" i="1"/>
  <c r="BQ161" i="1"/>
  <c r="BI161" i="1"/>
  <c r="BH161" i="1"/>
  <c r="BG161" i="1"/>
  <c r="BF161" i="1"/>
  <c r="BD161" i="1"/>
  <c r="BC161" i="1"/>
  <c r="AY161" i="1"/>
  <c r="AE161" i="1"/>
  <c r="AR161" i="1" s="1"/>
  <c r="AC161" i="1"/>
  <c r="AB161" i="1"/>
  <c r="AA161" i="1"/>
  <c r="Y161" i="1"/>
  <c r="AS161" i="1" s="1"/>
  <c r="CB160" i="1"/>
  <c r="CA160" i="1"/>
  <c r="BZ160" i="1"/>
  <c r="BY160" i="1"/>
  <c r="BV160" i="1"/>
  <c r="BU160" i="1"/>
  <c r="BQ160" i="1"/>
  <c r="BI160" i="1"/>
  <c r="BH160" i="1"/>
  <c r="BG160" i="1"/>
  <c r="BF160" i="1"/>
  <c r="BD160" i="1"/>
  <c r="BC160" i="1"/>
  <c r="AY160" i="1"/>
  <c r="AE160" i="1"/>
  <c r="AC160" i="1"/>
  <c r="AB160" i="1"/>
  <c r="AA160" i="1"/>
  <c r="Y160" i="1"/>
  <c r="CB159" i="1"/>
  <c r="CA159" i="1"/>
  <c r="BZ159" i="1"/>
  <c r="BY159" i="1"/>
  <c r="BV159" i="1"/>
  <c r="BU159" i="1"/>
  <c r="BQ159" i="1"/>
  <c r="BI159" i="1"/>
  <c r="BH159" i="1"/>
  <c r="BG159" i="1"/>
  <c r="BF159" i="1"/>
  <c r="BD159" i="1"/>
  <c r="BC159" i="1"/>
  <c r="AY159" i="1"/>
  <c r="AE159" i="1"/>
  <c r="AC159" i="1"/>
  <c r="AB159" i="1"/>
  <c r="AA159" i="1"/>
  <c r="Y159" i="1"/>
  <c r="CB158" i="1"/>
  <c r="CA158" i="1"/>
  <c r="BZ158" i="1"/>
  <c r="BY158" i="1"/>
  <c r="BV158" i="1"/>
  <c r="BU158" i="1"/>
  <c r="BQ158" i="1"/>
  <c r="BI158" i="1"/>
  <c r="BH158" i="1"/>
  <c r="BG158" i="1"/>
  <c r="BF158" i="1"/>
  <c r="BD158" i="1"/>
  <c r="BC158" i="1"/>
  <c r="AY158" i="1"/>
  <c r="AE158" i="1"/>
  <c r="AR158" i="1" s="1"/>
  <c r="AC158" i="1"/>
  <c r="AB158" i="1"/>
  <c r="AA158" i="1"/>
  <c r="Y158" i="1"/>
  <c r="AS158" i="1" s="1"/>
  <c r="CB157" i="1"/>
  <c r="CA157" i="1"/>
  <c r="BZ157" i="1"/>
  <c r="BY157" i="1"/>
  <c r="BV157" i="1"/>
  <c r="BU157" i="1"/>
  <c r="BQ157" i="1"/>
  <c r="BI157" i="1"/>
  <c r="BH157" i="1"/>
  <c r="BG157" i="1"/>
  <c r="BF157" i="1"/>
  <c r="BD157" i="1"/>
  <c r="BC157" i="1"/>
  <c r="AY157" i="1"/>
  <c r="AE157" i="1"/>
  <c r="AC157" i="1"/>
  <c r="AB157" i="1"/>
  <c r="AA157" i="1"/>
  <c r="AS157" i="1"/>
  <c r="CB156" i="1"/>
  <c r="CA156" i="1"/>
  <c r="BZ156" i="1"/>
  <c r="BY156" i="1"/>
  <c r="BV156" i="1"/>
  <c r="BU156" i="1"/>
  <c r="BQ156" i="1"/>
  <c r="BI156" i="1"/>
  <c r="BH156" i="1"/>
  <c r="BG156" i="1"/>
  <c r="BF156" i="1"/>
  <c r="BD156" i="1"/>
  <c r="BC156" i="1"/>
  <c r="AY156" i="1"/>
  <c r="AE156" i="1"/>
  <c r="AR156" i="1" s="1"/>
  <c r="AC156" i="1"/>
  <c r="AB156" i="1"/>
  <c r="AA156" i="1"/>
  <c r="Y156" i="1"/>
  <c r="AS156" i="1" s="1"/>
  <c r="CB155" i="1"/>
  <c r="CA155" i="1"/>
  <c r="BZ155" i="1"/>
  <c r="BY155" i="1"/>
  <c r="BV155" i="1"/>
  <c r="BU155" i="1"/>
  <c r="BQ155" i="1"/>
  <c r="BI155" i="1"/>
  <c r="BH155" i="1"/>
  <c r="BG155" i="1"/>
  <c r="BF155" i="1"/>
  <c r="BD155" i="1"/>
  <c r="BC155" i="1"/>
  <c r="AY155" i="1"/>
  <c r="AE155" i="1"/>
  <c r="AR155" i="1" s="1"/>
  <c r="AC155" i="1"/>
  <c r="AB155" i="1"/>
  <c r="AA155" i="1"/>
  <c r="Y155" i="1"/>
  <c r="CB154" i="1"/>
  <c r="CA154" i="1"/>
  <c r="BZ154" i="1"/>
  <c r="BY154" i="1"/>
  <c r="BV154" i="1"/>
  <c r="BU154" i="1"/>
  <c r="BQ154" i="1"/>
  <c r="BI154" i="1"/>
  <c r="BH154" i="1"/>
  <c r="BG154" i="1"/>
  <c r="BF154" i="1"/>
  <c r="BD154" i="1"/>
  <c r="BC154" i="1"/>
  <c r="AY154" i="1"/>
  <c r="AE154" i="1"/>
  <c r="AC154" i="1"/>
  <c r="AB154" i="1"/>
  <c r="AA154" i="1"/>
  <c r="Y154" i="1"/>
  <c r="AS154" i="1" s="1"/>
  <c r="CB153" i="1"/>
  <c r="CA153" i="1"/>
  <c r="BZ153" i="1"/>
  <c r="BY153" i="1"/>
  <c r="BV153" i="1"/>
  <c r="BU153" i="1"/>
  <c r="BQ153" i="1"/>
  <c r="BI153" i="1"/>
  <c r="BH153" i="1"/>
  <c r="BG153" i="1"/>
  <c r="BF153" i="1"/>
  <c r="BD153" i="1"/>
  <c r="BC153" i="1"/>
  <c r="AY153" i="1"/>
  <c r="AE153" i="1"/>
  <c r="AR153" i="1" s="1"/>
  <c r="AC153" i="1"/>
  <c r="AB153" i="1"/>
  <c r="AA153" i="1"/>
  <c r="Y153" i="1"/>
  <c r="AS153" i="1" s="1"/>
  <c r="CB152" i="1"/>
  <c r="CA152" i="1"/>
  <c r="BZ152" i="1"/>
  <c r="BY152" i="1"/>
  <c r="BV152" i="1"/>
  <c r="BU152" i="1"/>
  <c r="BQ152" i="1"/>
  <c r="BI152" i="1"/>
  <c r="BH152" i="1"/>
  <c r="BG152" i="1"/>
  <c r="BF152" i="1"/>
  <c r="BD152" i="1"/>
  <c r="BC152" i="1"/>
  <c r="AY152" i="1"/>
  <c r="AE152" i="1"/>
  <c r="AC152" i="1"/>
  <c r="AB152" i="1"/>
  <c r="AA152" i="1"/>
  <c r="Y152" i="1"/>
  <c r="AS152" i="1" s="1"/>
  <c r="CB151" i="1"/>
  <c r="CA151" i="1"/>
  <c r="BZ151" i="1"/>
  <c r="BY151" i="1"/>
  <c r="BV151" i="1"/>
  <c r="BU151" i="1"/>
  <c r="BQ151" i="1"/>
  <c r="BI151" i="1"/>
  <c r="BH151" i="1"/>
  <c r="BG151" i="1"/>
  <c r="BF151" i="1"/>
  <c r="BD151" i="1"/>
  <c r="BC151" i="1"/>
  <c r="AY151" i="1"/>
  <c r="AE151" i="1"/>
  <c r="AC151" i="1"/>
  <c r="AB151" i="1"/>
  <c r="AA151" i="1"/>
  <c r="Y151" i="1"/>
  <c r="AS151" i="1" s="1"/>
  <c r="CB150" i="1"/>
  <c r="CA150" i="1"/>
  <c r="BZ150" i="1"/>
  <c r="BY150" i="1"/>
  <c r="BV150" i="1"/>
  <c r="BU150" i="1"/>
  <c r="BQ150" i="1"/>
  <c r="BI150" i="1"/>
  <c r="BH150" i="1"/>
  <c r="BG150" i="1"/>
  <c r="BF150" i="1"/>
  <c r="BD150" i="1"/>
  <c r="BC150" i="1"/>
  <c r="AY150" i="1"/>
  <c r="AE150" i="1"/>
  <c r="AC150" i="1"/>
  <c r="AB150" i="1"/>
  <c r="AA150" i="1"/>
  <c r="Y150" i="1"/>
  <c r="AS150" i="1" s="1"/>
  <c r="CB149" i="1"/>
  <c r="CA149" i="1"/>
  <c r="BZ149" i="1"/>
  <c r="BY149" i="1"/>
  <c r="BV149" i="1"/>
  <c r="BU149" i="1"/>
  <c r="BQ149" i="1"/>
  <c r="BI149" i="1"/>
  <c r="BH149" i="1"/>
  <c r="BG149" i="1"/>
  <c r="BF149" i="1"/>
  <c r="BD149" i="1"/>
  <c r="BC149" i="1"/>
  <c r="AY149" i="1"/>
  <c r="AE149" i="1"/>
  <c r="AR149" i="1" s="1"/>
  <c r="AC149" i="1"/>
  <c r="AB149" i="1"/>
  <c r="AA149" i="1"/>
  <c r="Y149" i="1"/>
  <c r="AS149" i="1" s="1"/>
  <c r="CB148" i="1"/>
  <c r="CA148" i="1"/>
  <c r="BZ148" i="1"/>
  <c r="BY148" i="1"/>
  <c r="BV148" i="1"/>
  <c r="BU148" i="1"/>
  <c r="BQ148" i="1"/>
  <c r="BI148" i="1"/>
  <c r="BH148" i="1"/>
  <c r="BG148" i="1"/>
  <c r="BF148" i="1"/>
  <c r="BD148" i="1"/>
  <c r="BC148" i="1"/>
  <c r="AY148" i="1"/>
  <c r="AE148" i="1"/>
  <c r="AR148" i="1" s="1"/>
  <c r="AC148" i="1"/>
  <c r="AB148" i="1"/>
  <c r="AA148" i="1"/>
  <c r="Y148" i="1"/>
  <c r="CB147" i="1"/>
  <c r="CA147" i="1"/>
  <c r="BZ147" i="1"/>
  <c r="BY147" i="1"/>
  <c r="BV147" i="1"/>
  <c r="BU147" i="1"/>
  <c r="BQ147" i="1"/>
  <c r="BI147" i="1"/>
  <c r="BH147" i="1"/>
  <c r="BG147" i="1"/>
  <c r="BF147" i="1"/>
  <c r="BD147" i="1"/>
  <c r="BC147" i="1"/>
  <c r="AY147" i="1"/>
  <c r="AE147" i="1"/>
  <c r="AC147" i="1"/>
  <c r="AB147" i="1"/>
  <c r="AA147" i="1"/>
  <c r="Y147" i="1"/>
  <c r="AS147" i="1" s="1"/>
  <c r="CB146" i="1"/>
  <c r="CA146" i="1"/>
  <c r="BZ146" i="1"/>
  <c r="BY146" i="1"/>
  <c r="BV146" i="1"/>
  <c r="BU146" i="1"/>
  <c r="BQ146" i="1"/>
  <c r="BI146" i="1"/>
  <c r="BH146" i="1"/>
  <c r="BG146" i="1"/>
  <c r="BF146" i="1"/>
  <c r="BD146" i="1"/>
  <c r="BC146" i="1"/>
  <c r="AY146" i="1"/>
  <c r="AE146" i="1"/>
  <c r="AR146" i="1" s="1"/>
  <c r="AC146" i="1"/>
  <c r="AB146" i="1"/>
  <c r="AA146" i="1"/>
  <c r="Y146" i="1"/>
  <c r="AS146" i="1" s="1"/>
  <c r="CB145" i="1"/>
  <c r="CA145" i="1"/>
  <c r="BZ145" i="1"/>
  <c r="BY145" i="1"/>
  <c r="BV145" i="1"/>
  <c r="BU145" i="1"/>
  <c r="BQ145" i="1"/>
  <c r="BI145" i="1"/>
  <c r="BH145" i="1"/>
  <c r="BG145" i="1"/>
  <c r="BF145" i="1"/>
  <c r="BD145" i="1"/>
  <c r="BC145" i="1"/>
  <c r="AY145" i="1"/>
  <c r="AE145" i="1"/>
  <c r="AR145" i="1" s="1"/>
  <c r="AC145" i="1"/>
  <c r="AB145" i="1"/>
  <c r="AA145" i="1"/>
  <c r="Y145" i="1"/>
  <c r="AS145" i="1" s="1"/>
  <c r="CB144" i="1"/>
  <c r="CA144" i="1"/>
  <c r="BZ144" i="1"/>
  <c r="BY144" i="1"/>
  <c r="BV144" i="1"/>
  <c r="BU144" i="1"/>
  <c r="BQ144" i="1"/>
  <c r="BI144" i="1"/>
  <c r="BH144" i="1"/>
  <c r="BG144" i="1"/>
  <c r="BF144" i="1"/>
  <c r="BD144" i="1"/>
  <c r="BC144" i="1"/>
  <c r="AY144" i="1"/>
  <c r="AE144" i="1"/>
  <c r="AR144" i="1" s="1"/>
  <c r="AC144" i="1"/>
  <c r="AB144" i="1"/>
  <c r="AA144" i="1"/>
  <c r="Y144" i="1"/>
  <c r="AS144" i="1" s="1"/>
  <c r="CB143" i="1"/>
  <c r="CA143" i="1"/>
  <c r="BZ143" i="1"/>
  <c r="BY143" i="1"/>
  <c r="BV143" i="1"/>
  <c r="BU143" i="1"/>
  <c r="BQ143" i="1"/>
  <c r="BI143" i="1"/>
  <c r="BH143" i="1"/>
  <c r="BG143" i="1"/>
  <c r="BF143" i="1"/>
  <c r="BD143" i="1"/>
  <c r="BC143" i="1"/>
  <c r="AY143" i="1"/>
  <c r="AE143" i="1"/>
  <c r="AC143" i="1"/>
  <c r="AB143" i="1"/>
  <c r="AA143" i="1"/>
  <c r="Y143" i="1"/>
  <c r="AS143" i="1" s="1"/>
  <c r="CB142" i="1"/>
  <c r="CA142" i="1"/>
  <c r="BZ142" i="1"/>
  <c r="BY142" i="1"/>
  <c r="BV142" i="1"/>
  <c r="BU142" i="1"/>
  <c r="BQ142" i="1"/>
  <c r="BI142" i="1"/>
  <c r="BH142" i="1"/>
  <c r="BG142" i="1"/>
  <c r="BF142" i="1"/>
  <c r="BD142" i="1"/>
  <c r="BC142" i="1"/>
  <c r="AY142" i="1"/>
  <c r="AE142" i="1"/>
  <c r="AC142" i="1"/>
  <c r="AB142" i="1"/>
  <c r="AA142" i="1"/>
  <c r="Y142" i="1"/>
  <c r="AS142" i="1" s="1"/>
  <c r="CB141" i="1"/>
  <c r="CA141" i="1"/>
  <c r="BZ141" i="1"/>
  <c r="BY141" i="1"/>
  <c r="BV141" i="1"/>
  <c r="BU141" i="1"/>
  <c r="BQ141" i="1"/>
  <c r="BI141" i="1"/>
  <c r="BH141" i="1"/>
  <c r="BG141" i="1"/>
  <c r="BF141" i="1"/>
  <c r="BD141" i="1"/>
  <c r="BC141" i="1"/>
  <c r="AY141" i="1"/>
  <c r="AE141" i="1"/>
  <c r="AC141" i="1"/>
  <c r="AB141" i="1"/>
  <c r="AA141" i="1"/>
  <c r="Y141" i="1"/>
  <c r="CB140" i="1"/>
  <c r="CA140" i="1"/>
  <c r="BZ140" i="1"/>
  <c r="BY140" i="1"/>
  <c r="BV140" i="1"/>
  <c r="BU140" i="1"/>
  <c r="BQ140" i="1"/>
  <c r="BI140" i="1"/>
  <c r="BH140" i="1"/>
  <c r="BG140" i="1"/>
  <c r="BF140" i="1"/>
  <c r="BD140" i="1"/>
  <c r="BC140" i="1"/>
  <c r="AY140" i="1"/>
  <c r="AE140" i="1"/>
  <c r="AR140" i="1" s="1"/>
  <c r="AC140" i="1"/>
  <c r="AB140" i="1"/>
  <c r="AA140" i="1"/>
  <c r="Y140" i="1"/>
  <c r="AS140" i="1" s="1"/>
  <c r="CB139" i="1"/>
  <c r="CA139" i="1"/>
  <c r="BZ139" i="1"/>
  <c r="BY139" i="1"/>
  <c r="BV139" i="1"/>
  <c r="BU139" i="1"/>
  <c r="BQ139" i="1"/>
  <c r="BI139" i="1"/>
  <c r="BH139" i="1"/>
  <c r="BG139" i="1"/>
  <c r="BF139" i="1"/>
  <c r="BD139" i="1"/>
  <c r="BC139" i="1"/>
  <c r="AY139" i="1"/>
  <c r="AE139" i="1"/>
  <c r="AC139" i="1"/>
  <c r="AB139" i="1"/>
  <c r="AA139" i="1"/>
  <c r="Y139" i="1"/>
  <c r="AS139" i="1" s="1"/>
  <c r="CB138" i="1"/>
  <c r="CA138" i="1"/>
  <c r="BZ138" i="1"/>
  <c r="BY138" i="1"/>
  <c r="BV138" i="1"/>
  <c r="BU138" i="1"/>
  <c r="BQ138" i="1"/>
  <c r="BI138" i="1"/>
  <c r="BH138" i="1"/>
  <c r="BG138" i="1"/>
  <c r="BF138" i="1"/>
  <c r="BD138" i="1"/>
  <c r="BC138" i="1"/>
  <c r="AY138" i="1"/>
  <c r="AE138" i="1"/>
  <c r="AR138" i="1" s="1"/>
  <c r="AC138" i="1"/>
  <c r="AB138" i="1"/>
  <c r="AA138" i="1"/>
  <c r="Y138" i="1"/>
  <c r="AS138" i="1" s="1"/>
  <c r="CB137" i="1"/>
  <c r="CA137" i="1"/>
  <c r="BZ137" i="1"/>
  <c r="BY137" i="1"/>
  <c r="BV137" i="1"/>
  <c r="BU137" i="1"/>
  <c r="BQ137" i="1"/>
  <c r="BI137" i="1"/>
  <c r="BH137" i="1"/>
  <c r="BG137" i="1"/>
  <c r="BF137" i="1"/>
  <c r="BD137" i="1"/>
  <c r="BC137" i="1"/>
  <c r="AY137" i="1"/>
  <c r="AE137" i="1"/>
  <c r="AC137" i="1"/>
  <c r="AB137" i="1"/>
  <c r="AA137" i="1"/>
  <c r="Y137" i="1"/>
  <c r="AS137" i="1" s="1"/>
  <c r="CB136" i="1"/>
  <c r="CA136" i="1"/>
  <c r="BZ136" i="1"/>
  <c r="BY136" i="1"/>
  <c r="BV136" i="1"/>
  <c r="BU136" i="1"/>
  <c r="BQ136" i="1"/>
  <c r="BI136" i="1"/>
  <c r="BH136" i="1"/>
  <c r="BG136" i="1"/>
  <c r="BF136" i="1"/>
  <c r="BD136" i="1"/>
  <c r="BC136" i="1"/>
  <c r="AY136" i="1"/>
  <c r="AE136" i="1"/>
  <c r="AR136" i="1" s="1"/>
  <c r="AC136" i="1"/>
  <c r="AB136" i="1"/>
  <c r="AA136" i="1"/>
  <c r="Y136" i="1"/>
  <c r="CB135" i="1"/>
  <c r="CA135" i="1"/>
  <c r="BZ135" i="1"/>
  <c r="BY135" i="1"/>
  <c r="BV135" i="1"/>
  <c r="BU135" i="1"/>
  <c r="BQ135" i="1"/>
  <c r="BI135" i="1"/>
  <c r="BH135" i="1"/>
  <c r="BG135" i="1"/>
  <c r="BF135" i="1"/>
  <c r="BD135" i="1"/>
  <c r="BC135" i="1"/>
  <c r="AY135" i="1"/>
  <c r="AE135" i="1"/>
  <c r="AR135" i="1" s="1"/>
  <c r="AC135" i="1"/>
  <c r="AB135" i="1"/>
  <c r="AA135" i="1"/>
  <c r="Y135" i="1"/>
  <c r="AS135" i="1" s="1"/>
  <c r="CB134" i="1"/>
  <c r="CA134" i="1"/>
  <c r="BZ134" i="1"/>
  <c r="BY134" i="1"/>
  <c r="BV134" i="1"/>
  <c r="BU134" i="1"/>
  <c r="BQ134" i="1"/>
  <c r="BI134" i="1"/>
  <c r="BH134" i="1"/>
  <c r="BG134" i="1"/>
  <c r="BF134" i="1"/>
  <c r="BD134" i="1"/>
  <c r="BC134" i="1"/>
  <c r="AY134" i="1"/>
  <c r="AE134" i="1"/>
  <c r="AC134" i="1"/>
  <c r="AB134" i="1"/>
  <c r="AA134" i="1"/>
  <c r="Y134" i="1"/>
  <c r="AS134" i="1" s="1"/>
  <c r="CB133" i="1"/>
  <c r="CA133" i="1"/>
  <c r="BZ133" i="1"/>
  <c r="BY133" i="1"/>
  <c r="BV133" i="1"/>
  <c r="BU133" i="1"/>
  <c r="BQ133" i="1"/>
  <c r="BI133" i="1"/>
  <c r="BH133" i="1"/>
  <c r="BG133" i="1"/>
  <c r="BF133" i="1"/>
  <c r="BD133" i="1"/>
  <c r="BC133" i="1"/>
  <c r="AY133" i="1"/>
  <c r="AE133" i="1"/>
  <c r="AC133" i="1"/>
  <c r="AB133" i="1"/>
  <c r="AA133" i="1"/>
  <c r="Y133" i="1"/>
  <c r="CB132" i="1"/>
  <c r="CA132" i="1"/>
  <c r="BZ132" i="1"/>
  <c r="BY132" i="1"/>
  <c r="BV132" i="1"/>
  <c r="BU132" i="1"/>
  <c r="BQ132" i="1"/>
  <c r="BI132" i="1"/>
  <c r="BH132" i="1"/>
  <c r="BG132" i="1"/>
  <c r="BF132" i="1"/>
  <c r="BD132" i="1"/>
  <c r="BC132" i="1"/>
  <c r="AY132" i="1"/>
  <c r="AE132" i="1"/>
  <c r="AR132" i="1" s="1"/>
  <c r="AC132" i="1"/>
  <c r="AB132" i="1"/>
  <c r="AA132" i="1"/>
  <c r="Y132" i="1"/>
  <c r="CB131" i="1"/>
  <c r="CA131" i="1"/>
  <c r="BZ131" i="1"/>
  <c r="BY131" i="1"/>
  <c r="BV131" i="1"/>
  <c r="BU131" i="1"/>
  <c r="BQ131" i="1"/>
  <c r="BI131" i="1"/>
  <c r="BH131" i="1"/>
  <c r="BG131" i="1"/>
  <c r="BF131" i="1"/>
  <c r="BD131" i="1"/>
  <c r="BC131" i="1"/>
  <c r="AY131" i="1"/>
  <c r="AE131" i="1"/>
  <c r="AC131" i="1"/>
  <c r="AB131" i="1"/>
  <c r="AA131" i="1"/>
  <c r="Y131" i="1"/>
  <c r="CB130" i="1"/>
  <c r="CA130" i="1"/>
  <c r="BZ130" i="1"/>
  <c r="BY130" i="1"/>
  <c r="BV130" i="1"/>
  <c r="BU130" i="1"/>
  <c r="BQ130" i="1"/>
  <c r="BI130" i="1"/>
  <c r="BH130" i="1"/>
  <c r="BG130" i="1"/>
  <c r="BF130" i="1"/>
  <c r="BD130" i="1"/>
  <c r="BC130" i="1"/>
  <c r="AY130" i="1"/>
  <c r="AE130" i="1"/>
  <c r="AC130" i="1"/>
  <c r="AB130" i="1"/>
  <c r="AA130" i="1"/>
  <c r="Y130" i="1"/>
  <c r="CB129" i="1"/>
  <c r="CA129" i="1"/>
  <c r="BZ129" i="1"/>
  <c r="BY129" i="1"/>
  <c r="BV129" i="1"/>
  <c r="BU129" i="1"/>
  <c r="BQ129" i="1"/>
  <c r="BI129" i="1"/>
  <c r="BH129" i="1"/>
  <c r="BG129" i="1"/>
  <c r="BF129" i="1"/>
  <c r="BD129" i="1"/>
  <c r="BC129" i="1"/>
  <c r="AY129" i="1"/>
  <c r="AE129" i="1"/>
  <c r="AC129" i="1"/>
  <c r="AB129" i="1"/>
  <c r="AA129" i="1"/>
  <c r="Y129" i="1"/>
  <c r="AS129" i="1" s="1"/>
  <c r="CB128" i="1"/>
  <c r="CA128" i="1"/>
  <c r="BZ128" i="1"/>
  <c r="BY128" i="1"/>
  <c r="BV128" i="1"/>
  <c r="BU128" i="1"/>
  <c r="BQ128" i="1"/>
  <c r="BI128" i="1"/>
  <c r="BH128" i="1"/>
  <c r="BG128" i="1"/>
  <c r="BF128" i="1"/>
  <c r="BD128" i="1"/>
  <c r="BC128" i="1"/>
  <c r="AY128" i="1"/>
  <c r="AE128" i="1"/>
  <c r="AR128" i="1" s="1"/>
  <c r="AC128" i="1"/>
  <c r="AB128" i="1"/>
  <c r="AA128" i="1"/>
  <c r="Y128" i="1"/>
  <c r="AS128" i="1" s="1"/>
  <c r="CB127" i="1"/>
  <c r="CA127" i="1"/>
  <c r="BZ127" i="1"/>
  <c r="BY127" i="1"/>
  <c r="BV127" i="1"/>
  <c r="BU127" i="1"/>
  <c r="BQ127" i="1"/>
  <c r="BI127" i="1"/>
  <c r="BH127" i="1"/>
  <c r="BG127" i="1"/>
  <c r="BF127" i="1"/>
  <c r="BD127" i="1"/>
  <c r="BC127" i="1"/>
  <c r="AY127" i="1"/>
  <c r="AE127" i="1"/>
  <c r="AC127" i="1"/>
  <c r="AB127" i="1"/>
  <c r="AA127" i="1"/>
  <c r="Y127" i="1"/>
  <c r="CB126" i="1"/>
  <c r="CA126" i="1"/>
  <c r="BZ126" i="1"/>
  <c r="BY126" i="1"/>
  <c r="BV126" i="1"/>
  <c r="BU126" i="1"/>
  <c r="BQ126" i="1"/>
  <c r="BI126" i="1"/>
  <c r="BH126" i="1"/>
  <c r="BG126" i="1"/>
  <c r="BF126" i="1"/>
  <c r="BD126" i="1"/>
  <c r="BC126" i="1"/>
  <c r="AY126" i="1"/>
  <c r="AE126" i="1"/>
  <c r="AC126" i="1"/>
  <c r="AB126" i="1"/>
  <c r="AA126" i="1"/>
  <c r="Y126" i="1"/>
  <c r="AS126" i="1" s="1"/>
  <c r="CB125" i="1"/>
  <c r="CA125" i="1"/>
  <c r="BZ125" i="1"/>
  <c r="BY125" i="1"/>
  <c r="BV125" i="1"/>
  <c r="BU125" i="1"/>
  <c r="BQ125" i="1"/>
  <c r="BI125" i="1"/>
  <c r="BH125" i="1"/>
  <c r="BG125" i="1"/>
  <c r="BF125" i="1"/>
  <c r="BD125" i="1"/>
  <c r="BC125" i="1"/>
  <c r="AY125" i="1"/>
  <c r="AE125" i="1"/>
  <c r="AR125" i="1" s="1"/>
  <c r="AC125" i="1"/>
  <c r="AB125" i="1"/>
  <c r="AA125" i="1"/>
  <c r="Y125" i="1"/>
  <c r="AS125" i="1" s="1"/>
  <c r="CB124" i="1"/>
  <c r="CA124" i="1"/>
  <c r="BZ124" i="1"/>
  <c r="BY124" i="1"/>
  <c r="BV124" i="1"/>
  <c r="BU124" i="1"/>
  <c r="BQ124" i="1"/>
  <c r="BI124" i="1"/>
  <c r="BH124" i="1"/>
  <c r="BG124" i="1"/>
  <c r="BF124" i="1"/>
  <c r="BD124" i="1"/>
  <c r="BC124" i="1"/>
  <c r="AY124" i="1"/>
  <c r="AE124" i="1"/>
  <c r="AR124" i="1" s="1"/>
  <c r="AC124" i="1"/>
  <c r="AB124" i="1"/>
  <c r="AA124" i="1"/>
  <c r="Y124" i="1"/>
  <c r="AS124" i="1" s="1"/>
  <c r="CB123" i="1"/>
  <c r="CA123" i="1"/>
  <c r="BZ123" i="1"/>
  <c r="BY123" i="1"/>
  <c r="BV123" i="1"/>
  <c r="BU123" i="1"/>
  <c r="BQ123" i="1"/>
  <c r="BI123" i="1"/>
  <c r="BH123" i="1"/>
  <c r="BG123" i="1"/>
  <c r="BF123" i="1"/>
  <c r="BD123" i="1"/>
  <c r="BC123" i="1"/>
  <c r="AY123" i="1"/>
  <c r="AE123" i="1"/>
  <c r="AC123" i="1"/>
  <c r="AB123" i="1"/>
  <c r="AA123" i="1"/>
  <c r="Y123" i="1"/>
  <c r="AS123" i="1" s="1"/>
  <c r="CB122" i="1"/>
  <c r="CA122" i="1"/>
  <c r="BZ122" i="1"/>
  <c r="BY122" i="1"/>
  <c r="BV122" i="1"/>
  <c r="BU122" i="1"/>
  <c r="BQ122" i="1"/>
  <c r="BI122" i="1"/>
  <c r="BH122" i="1"/>
  <c r="BG122" i="1"/>
  <c r="BF122" i="1"/>
  <c r="BD122" i="1"/>
  <c r="BC122" i="1"/>
  <c r="AY122" i="1"/>
  <c r="AE122" i="1"/>
  <c r="AC122" i="1"/>
  <c r="AB122" i="1"/>
  <c r="AA122" i="1"/>
  <c r="Y122" i="1"/>
  <c r="AS122" i="1" s="1"/>
  <c r="CB121" i="1"/>
  <c r="CA121" i="1"/>
  <c r="BZ121" i="1"/>
  <c r="BY121" i="1"/>
  <c r="BV121" i="1"/>
  <c r="BU121" i="1"/>
  <c r="BQ121" i="1"/>
  <c r="BI121" i="1"/>
  <c r="BH121" i="1"/>
  <c r="BG121" i="1"/>
  <c r="BF121" i="1"/>
  <c r="BD121" i="1"/>
  <c r="BC121" i="1"/>
  <c r="AY121" i="1"/>
  <c r="AE121" i="1"/>
  <c r="AR121" i="1" s="1"/>
  <c r="AC121" i="1"/>
  <c r="AB121" i="1"/>
  <c r="AA121" i="1"/>
  <c r="Y121" i="1"/>
  <c r="AS121" i="1" s="1"/>
  <c r="CB120" i="1"/>
  <c r="CA120" i="1"/>
  <c r="BZ120" i="1"/>
  <c r="BY120" i="1"/>
  <c r="BV120" i="1"/>
  <c r="BU120" i="1"/>
  <c r="BQ120" i="1"/>
  <c r="BI120" i="1"/>
  <c r="BH120" i="1"/>
  <c r="BG120" i="1"/>
  <c r="BF120" i="1"/>
  <c r="BD120" i="1"/>
  <c r="BC120" i="1"/>
  <c r="AY120" i="1"/>
  <c r="AE120" i="1"/>
  <c r="AC120" i="1"/>
  <c r="AB120" i="1"/>
  <c r="AA120" i="1"/>
  <c r="Y120" i="1"/>
  <c r="CB119" i="1"/>
  <c r="CA119" i="1"/>
  <c r="BZ119" i="1"/>
  <c r="BY119" i="1"/>
  <c r="BV119" i="1"/>
  <c r="BU119" i="1"/>
  <c r="BQ119" i="1"/>
  <c r="BI119" i="1"/>
  <c r="BH119" i="1"/>
  <c r="BG119" i="1"/>
  <c r="BF119" i="1"/>
  <c r="BD119" i="1"/>
  <c r="BC119" i="1"/>
  <c r="AY119" i="1"/>
  <c r="AE119" i="1"/>
  <c r="AC119" i="1"/>
  <c r="AB119" i="1"/>
  <c r="AA119" i="1"/>
  <c r="Y119" i="1"/>
  <c r="AS119" i="1" s="1"/>
  <c r="CB118" i="1"/>
  <c r="CA118" i="1"/>
  <c r="BZ118" i="1"/>
  <c r="BY118" i="1"/>
  <c r="BV118" i="1"/>
  <c r="BU118" i="1"/>
  <c r="BQ118" i="1"/>
  <c r="BI118" i="1"/>
  <c r="BH118" i="1"/>
  <c r="BG118" i="1"/>
  <c r="BF118" i="1"/>
  <c r="BD118" i="1"/>
  <c r="BC118" i="1"/>
  <c r="AY118" i="1"/>
  <c r="AE118" i="1"/>
  <c r="AR118" i="1" s="1"/>
  <c r="AC118" i="1"/>
  <c r="AB118" i="1"/>
  <c r="AA118" i="1"/>
  <c r="Y118" i="1"/>
  <c r="AS118" i="1" s="1"/>
  <c r="CB117" i="1"/>
  <c r="CA117" i="1"/>
  <c r="BZ117" i="1"/>
  <c r="BY117" i="1"/>
  <c r="BV117" i="1"/>
  <c r="BU117" i="1"/>
  <c r="BQ117" i="1"/>
  <c r="BI117" i="1"/>
  <c r="BH117" i="1"/>
  <c r="BG117" i="1"/>
  <c r="BF117" i="1"/>
  <c r="BD117" i="1"/>
  <c r="BC117" i="1"/>
  <c r="AY117" i="1"/>
  <c r="AE117" i="1"/>
  <c r="AR117" i="1" s="1"/>
  <c r="AC117" i="1"/>
  <c r="AB117" i="1"/>
  <c r="AA117" i="1"/>
  <c r="Y117" i="1"/>
  <c r="AS117" i="1" s="1"/>
  <c r="CB116" i="1"/>
  <c r="CA116" i="1"/>
  <c r="BZ116" i="1"/>
  <c r="BY116" i="1"/>
  <c r="BV116" i="1"/>
  <c r="BU116" i="1"/>
  <c r="BQ116" i="1"/>
  <c r="BI116" i="1"/>
  <c r="BH116" i="1"/>
  <c r="BG116" i="1"/>
  <c r="BF116" i="1"/>
  <c r="BD116" i="1"/>
  <c r="BC116" i="1"/>
  <c r="AY116" i="1"/>
  <c r="AE116" i="1"/>
  <c r="AR116" i="1" s="1"/>
  <c r="AC116" i="1"/>
  <c r="AB116" i="1"/>
  <c r="AA116" i="1"/>
  <c r="Y116" i="1"/>
  <c r="AS116" i="1" s="1"/>
  <c r="CB115" i="1"/>
  <c r="CA115" i="1"/>
  <c r="BZ115" i="1"/>
  <c r="BY115" i="1"/>
  <c r="BV115" i="1"/>
  <c r="BU115" i="1"/>
  <c r="BQ115" i="1"/>
  <c r="BI115" i="1"/>
  <c r="BH115" i="1"/>
  <c r="BG115" i="1"/>
  <c r="BF115" i="1"/>
  <c r="BD115" i="1"/>
  <c r="BC115" i="1"/>
  <c r="AY115" i="1"/>
  <c r="AE115" i="1"/>
  <c r="AC115" i="1"/>
  <c r="AB115" i="1"/>
  <c r="AA115" i="1"/>
  <c r="Y115" i="1"/>
  <c r="AS115" i="1" s="1"/>
  <c r="CB114" i="1"/>
  <c r="CA114" i="1"/>
  <c r="BZ114" i="1"/>
  <c r="BY114" i="1"/>
  <c r="BV114" i="1"/>
  <c r="BU114" i="1"/>
  <c r="BQ114" i="1"/>
  <c r="BI114" i="1"/>
  <c r="BH114" i="1"/>
  <c r="BG114" i="1"/>
  <c r="BF114" i="1"/>
  <c r="BD114" i="1"/>
  <c r="BC114" i="1"/>
  <c r="AY114" i="1"/>
  <c r="AE114" i="1"/>
  <c r="AR114" i="1" s="1"/>
  <c r="AC114" i="1"/>
  <c r="AB114" i="1"/>
  <c r="AA114" i="1"/>
  <c r="Y114" i="1"/>
  <c r="CB113" i="1"/>
  <c r="CA113" i="1"/>
  <c r="BZ113" i="1"/>
  <c r="BY113" i="1"/>
  <c r="BV113" i="1"/>
  <c r="BU113" i="1"/>
  <c r="BQ113" i="1"/>
  <c r="BI113" i="1"/>
  <c r="BH113" i="1"/>
  <c r="BG113" i="1"/>
  <c r="BF113" i="1"/>
  <c r="BD113" i="1"/>
  <c r="BC113" i="1"/>
  <c r="AY113" i="1"/>
  <c r="AE113" i="1"/>
  <c r="AC113" i="1"/>
  <c r="AB113" i="1"/>
  <c r="AA113" i="1"/>
  <c r="Y113" i="1"/>
  <c r="AS113" i="1" s="1"/>
  <c r="CB112" i="1"/>
  <c r="CA112" i="1"/>
  <c r="BZ112" i="1"/>
  <c r="BY112" i="1"/>
  <c r="BV112" i="1"/>
  <c r="BU112" i="1"/>
  <c r="BQ112" i="1"/>
  <c r="BI112" i="1"/>
  <c r="BH112" i="1"/>
  <c r="BG112" i="1"/>
  <c r="BF112" i="1"/>
  <c r="BD112" i="1"/>
  <c r="BC112" i="1"/>
  <c r="AY112" i="1"/>
  <c r="AE112" i="1"/>
  <c r="AR112" i="1" s="1"/>
  <c r="AC112" i="1"/>
  <c r="AB112" i="1"/>
  <c r="AA112" i="1"/>
  <c r="Y112" i="1"/>
  <c r="AS112" i="1" s="1"/>
  <c r="CB111" i="1"/>
  <c r="CA111" i="1"/>
  <c r="BZ111" i="1"/>
  <c r="BY111" i="1"/>
  <c r="BV111" i="1"/>
  <c r="BU111" i="1"/>
  <c r="BQ111" i="1"/>
  <c r="BI111" i="1"/>
  <c r="BH111" i="1"/>
  <c r="BG111" i="1"/>
  <c r="BF111" i="1"/>
  <c r="BD111" i="1"/>
  <c r="BC111" i="1"/>
  <c r="AY111" i="1"/>
  <c r="AE111" i="1"/>
  <c r="AR111" i="1" s="1"/>
  <c r="AC111" i="1"/>
  <c r="AB111" i="1"/>
  <c r="AA111" i="1"/>
  <c r="Y111" i="1"/>
  <c r="CB110" i="1"/>
  <c r="CA110" i="1"/>
  <c r="BZ110" i="1"/>
  <c r="BY110" i="1"/>
  <c r="BV110" i="1"/>
  <c r="BU110" i="1"/>
  <c r="BQ110" i="1"/>
  <c r="BI110" i="1"/>
  <c r="BH110" i="1"/>
  <c r="BG110" i="1"/>
  <c r="BF110" i="1"/>
  <c r="BD110" i="1"/>
  <c r="BC110" i="1"/>
  <c r="AY110" i="1"/>
  <c r="AE110" i="1"/>
  <c r="AC110" i="1"/>
  <c r="AB110" i="1"/>
  <c r="AA110" i="1"/>
  <c r="Y110" i="1"/>
  <c r="AS110" i="1" s="1"/>
  <c r="CB109" i="1"/>
  <c r="CA109" i="1"/>
  <c r="BZ109" i="1"/>
  <c r="BY109" i="1"/>
  <c r="BV109" i="1"/>
  <c r="BU109" i="1"/>
  <c r="BQ109" i="1"/>
  <c r="BI109" i="1"/>
  <c r="BH109" i="1"/>
  <c r="BG109" i="1"/>
  <c r="BF109" i="1"/>
  <c r="BD109" i="1"/>
  <c r="BC109" i="1"/>
  <c r="AY109" i="1"/>
  <c r="AE109" i="1"/>
  <c r="AC109" i="1"/>
  <c r="AB109" i="1"/>
  <c r="AA109" i="1"/>
  <c r="Y109" i="1"/>
  <c r="AS109" i="1" s="1"/>
  <c r="CB108" i="1"/>
  <c r="CA108" i="1"/>
  <c r="BZ108" i="1"/>
  <c r="BY108" i="1"/>
  <c r="BV108" i="1"/>
  <c r="BU108" i="1"/>
  <c r="BQ108" i="1"/>
  <c r="BI108" i="1"/>
  <c r="BH108" i="1"/>
  <c r="BG108" i="1"/>
  <c r="BF108" i="1"/>
  <c r="BD108" i="1"/>
  <c r="BC108" i="1"/>
  <c r="AY108" i="1"/>
  <c r="AE108" i="1"/>
  <c r="AR108" i="1" s="1"/>
  <c r="AC108" i="1"/>
  <c r="AB108" i="1"/>
  <c r="AA108" i="1"/>
  <c r="Y108" i="1"/>
  <c r="AS108" i="1" s="1"/>
  <c r="CB107" i="1"/>
  <c r="CA107" i="1"/>
  <c r="BZ107" i="1"/>
  <c r="BY107" i="1"/>
  <c r="BV107" i="1"/>
  <c r="BU107" i="1"/>
  <c r="BQ107" i="1"/>
  <c r="BI107" i="1"/>
  <c r="BH107" i="1"/>
  <c r="BG107" i="1"/>
  <c r="BF107" i="1"/>
  <c r="BD107" i="1"/>
  <c r="BC107" i="1"/>
  <c r="AY107" i="1"/>
  <c r="AE107" i="1"/>
  <c r="AC107" i="1"/>
  <c r="AB107" i="1"/>
  <c r="AA107" i="1"/>
  <c r="Y107" i="1"/>
  <c r="AS107" i="1" s="1"/>
  <c r="CB106" i="1"/>
  <c r="CA106" i="1"/>
  <c r="BZ106" i="1"/>
  <c r="BY106" i="1"/>
  <c r="BV106" i="1"/>
  <c r="BU106" i="1"/>
  <c r="BQ106" i="1"/>
  <c r="BI106" i="1"/>
  <c r="BH106" i="1"/>
  <c r="BG106" i="1"/>
  <c r="BF106" i="1"/>
  <c r="BD106" i="1"/>
  <c r="BC106" i="1"/>
  <c r="AY106" i="1"/>
  <c r="AE106" i="1"/>
  <c r="AC106" i="1"/>
  <c r="AB106" i="1"/>
  <c r="AA106" i="1"/>
  <c r="Y106" i="1"/>
  <c r="AS106" i="1" s="1"/>
  <c r="CB105" i="1"/>
  <c r="CA105" i="1"/>
  <c r="BZ105" i="1"/>
  <c r="BY105" i="1"/>
  <c r="BV105" i="1"/>
  <c r="BU105" i="1"/>
  <c r="BQ105" i="1"/>
  <c r="BI105" i="1"/>
  <c r="BH105" i="1"/>
  <c r="BG105" i="1"/>
  <c r="BF105" i="1"/>
  <c r="BD105" i="1"/>
  <c r="BC105" i="1"/>
  <c r="AY105" i="1"/>
  <c r="AE105" i="1"/>
  <c r="AR105" i="1" s="1"/>
  <c r="AC105" i="1"/>
  <c r="AB105" i="1"/>
  <c r="AA105" i="1"/>
  <c r="Y105" i="1"/>
  <c r="AS105" i="1" s="1"/>
  <c r="CB104" i="1"/>
  <c r="CA104" i="1"/>
  <c r="BZ104" i="1"/>
  <c r="BY104" i="1"/>
  <c r="BV104" i="1"/>
  <c r="BU104" i="1"/>
  <c r="BQ104" i="1"/>
  <c r="BI104" i="1"/>
  <c r="BH104" i="1"/>
  <c r="BG104" i="1"/>
  <c r="BF104" i="1"/>
  <c r="BD104" i="1"/>
  <c r="BC104" i="1"/>
  <c r="AY104" i="1"/>
  <c r="AE104" i="1"/>
  <c r="AR104" i="1" s="1"/>
  <c r="AC104" i="1"/>
  <c r="AB104" i="1"/>
  <c r="AA104" i="1"/>
  <c r="Y104" i="1"/>
  <c r="AS104" i="1" s="1"/>
  <c r="CB103" i="1"/>
  <c r="CA103" i="1"/>
  <c r="BZ103" i="1"/>
  <c r="BY103" i="1"/>
  <c r="BV103" i="1"/>
  <c r="BU103" i="1"/>
  <c r="BQ103" i="1"/>
  <c r="BI103" i="1"/>
  <c r="BH103" i="1"/>
  <c r="BG103" i="1"/>
  <c r="BF103" i="1"/>
  <c r="BD103" i="1"/>
  <c r="BC103" i="1"/>
  <c r="AY103" i="1"/>
  <c r="AE103" i="1"/>
  <c r="AR103" i="1" s="1"/>
  <c r="AC103" i="1"/>
  <c r="AB103" i="1"/>
  <c r="AA103" i="1"/>
  <c r="Y103" i="1"/>
  <c r="AS103" i="1" s="1"/>
  <c r="CB102" i="1"/>
  <c r="CA102" i="1"/>
  <c r="BZ102" i="1"/>
  <c r="BY102" i="1"/>
  <c r="BV102" i="1"/>
  <c r="BU102" i="1"/>
  <c r="BQ102" i="1"/>
  <c r="BI102" i="1"/>
  <c r="BH102" i="1"/>
  <c r="BG102" i="1"/>
  <c r="BF102" i="1"/>
  <c r="BD102" i="1"/>
  <c r="BC102" i="1"/>
  <c r="AY102" i="1"/>
  <c r="AE102" i="1"/>
  <c r="AR102" i="1" s="1"/>
  <c r="AC102" i="1"/>
  <c r="AB102" i="1"/>
  <c r="AA102" i="1"/>
  <c r="Y102" i="1"/>
  <c r="AS102" i="1" s="1"/>
  <c r="CB101" i="1"/>
  <c r="CA101" i="1"/>
  <c r="BZ101" i="1"/>
  <c r="BY101" i="1"/>
  <c r="BV101" i="1"/>
  <c r="BU101" i="1"/>
  <c r="BQ101" i="1"/>
  <c r="BI101" i="1"/>
  <c r="BH101" i="1"/>
  <c r="BG101" i="1"/>
  <c r="BF101" i="1"/>
  <c r="BD101" i="1"/>
  <c r="BC101" i="1"/>
  <c r="AY101" i="1"/>
  <c r="AE101" i="1"/>
  <c r="AC101" i="1"/>
  <c r="AB101" i="1"/>
  <c r="AA101" i="1"/>
  <c r="Y101" i="1"/>
  <c r="AS101" i="1" s="1"/>
  <c r="CB100" i="1"/>
  <c r="CA100" i="1"/>
  <c r="BZ100" i="1"/>
  <c r="BY100" i="1"/>
  <c r="BV100" i="1"/>
  <c r="BU100" i="1"/>
  <c r="BQ100" i="1"/>
  <c r="BI100" i="1"/>
  <c r="BH100" i="1"/>
  <c r="BG100" i="1"/>
  <c r="BF100" i="1"/>
  <c r="BD100" i="1"/>
  <c r="BC100" i="1"/>
  <c r="AY100" i="1"/>
  <c r="AE100" i="1"/>
  <c r="AC100" i="1"/>
  <c r="AB100" i="1"/>
  <c r="AA100" i="1"/>
  <c r="Y100" i="1"/>
  <c r="AS100" i="1" s="1"/>
  <c r="CB99" i="1"/>
  <c r="CA99" i="1"/>
  <c r="BZ99" i="1"/>
  <c r="BY99" i="1"/>
  <c r="BV99" i="1"/>
  <c r="BU99" i="1"/>
  <c r="BQ99" i="1"/>
  <c r="BI99" i="1"/>
  <c r="BH99" i="1"/>
  <c r="BG99" i="1"/>
  <c r="BF99" i="1"/>
  <c r="BD99" i="1"/>
  <c r="BC99" i="1"/>
  <c r="AY99" i="1"/>
  <c r="AE99" i="1"/>
  <c r="AC99" i="1"/>
  <c r="AB99" i="1"/>
  <c r="AA99" i="1"/>
  <c r="Y99" i="1"/>
  <c r="CB98" i="1"/>
  <c r="CA98" i="1"/>
  <c r="BZ98" i="1"/>
  <c r="BY98" i="1"/>
  <c r="BV98" i="1"/>
  <c r="BU98" i="1"/>
  <c r="BQ98" i="1"/>
  <c r="BI98" i="1"/>
  <c r="BH98" i="1"/>
  <c r="BG98" i="1"/>
  <c r="BF98" i="1"/>
  <c r="BD98" i="1"/>
  <c r="BC98" i="1"/>
  <c r="AY98" i="1"/>
  <c r="AE98" i="1"/>
  <c r="AC98" i="1"/>
  <c r="AB98" i="1"/>
  <c r="AA98" i="1"/>
  <c r="Y98" i="1"/>
  <c r="AS98" i="1" s="1"/>
  <c r="CB97" i="1"/>
  <c r="CA97" i="1"/>
  <c r="BZ97" i="1"/>
  <c r="BY97" i="1"/>
  <c r="BV97" i="1"/>
  <c r="BU97" i="1"/>
  <c r="BQ97" i="1"/>
  <c r="BI97" i="1"/>
  <c r="BH97" i="1"/>
  <c r="BG97" i="1"/>
  <c r="BF97" i="1"/>
  <c r="BD97" i="1"/>
  <c r="BC97" i="1"/>
  <c r="AY97" i="1"/>
  <c r="AE97" i="1"/>
  <c r="AR97" i="1" s="1"/>
  <c r="AC97" i="1"/>
  <c r="AB97" i="1"/>
  <c r="AA97" i="1"/>
  <c r="Y97" i="1"/>
  <c r="CB96" i="1"/>
  <c r="CA96" i="1"/>
  <c r="BZ96" i="1"/>
  <c r="BY96" i="1"/>
  <c r="BV96" i="1"/>
  <c r="BU96" i="1"/>
  <c r="BQ96" i="1"/>
  <c r="BI96" i="1"/>
  <c r="BH96" i="1"/>
  <c r="BG96" i="1"/>
  <c r="BF96" i="1"/>
  <c r="BD96" i="1"/>
  <c r="BC96" i="1"/>
  <c r="AY96" i="1"/>
  <c r="AE96" i="1"/>
  <c r="AR96" i="1" s="1"/>
  <c r="AC96" i="1"/>
  <c r="AB96" i="1"/>
  <c r="AA96" i="1"/>
  <c r="Y96" i="1"/>
  <c r="AS96" i="1" s="1"/>
  <c r="CB95" i="1"/>
  <c r="CA95" i="1"/>
  <c r="BZ95" i="1"/>
  <c r="BY95" i="1"/>
  <c r="BV95" i="1"/>
  <c r="BU95" i="1"/>
  <c r="BQ95" i="1"/>
  <c r="BI95" i="1"/>
  <c r="BH95" i="1"/>
  <c r="BG95" i="1"/>
  <c r="BF95" i="1"/>
  <c r="BD95" i="1"/>
  <c r="BC95" i="1"/>
  <c r="AY95" i="1"/>
  <c r="AE95" i="1"/>
  <c r="AR95" i="1" s="1"/>
  <c r="AC95" i="1"/>
  <c r="AB95" i="1"/>
  <c r="AA95" i="1"/>
  <c r="Y95" i="1"/>
  <c r="CB94" i="1"/>
  <c r="CA94" i="1"/>
  <c r="BZ94" i="1"/>
  <c r="BY94" i="1"/>
  <c r="BV94" i="1"/>
  <c r="BU94" i="1"/>
  <c r="BQ94" i="1"/>
  <c r="BI94" i="1"/>
  <c r="BH94" i="1"/>
  <c r="BG94" i="1"/>
  <c r="BF94" i="1"/>
  <c r="BD94" i="1"/>
  <c r="BC94" i="1"/>
  <c r="AY94" i="1"/>
  <c r="AE94" i="1"/>
  <c r="AR94" i="1" s="1"/>
  <c r="AC94" i="1"/>
  <c r="AB94" i="1"/>
  <c r="AA94" i="1"/>
  <c r="Y94" i="1"/>
  <c r="AS94" i="1" s="1"/>
  <c r="CB93" i="1"/>
  <c r="CA93" i="1"/>
  <c r="BZ93" i="1"/>
  <c r="BY93" i="1"/>
  <c r="BV93" i="1"/>
  <c r="BU93" i="1"/>
  <c r="BQ93" i="1"/>
  <c r="BI93" i="1"/>
  <c r="BH93" i="1"/>
  <c r="BG93" i="1"/>
  <c r="BF93" i="1"/>
  <c r="BD93" i="1"/>
  <c r="BC93" i="1"/>
  <c r="AY93" i="1"/>
  <c r="AE93" i="1"/>
  <c r="AC93" i="1"/>
  <c r="AB93" i="1"/>
  <c r="AA93" i="1"/>
  <c r="Y93" i="1"/>
  <c r="AS93" i="1" s="1"/>
  <c r="CB92" i="1"/>
  <c r="CA92" i="1"/>
  <c r="BZ92" i="1"/>
  <c r="BY92" i="1"/>
  <c r="BV92" i="1"/>
  <c r="BU92" i="1"/>
  <c r="BQ92" i="1"/>
  <c r="BI92" i="1"/>
  <c r="BH92" i="1"/>
  <c r="BG92" i="1"/>
  <c r="BF92" i="1"/>
  <c r="BD92" i="1"/>
  <c r="BC92" i="1"/>
  <c r="AY92" i="1"/>
  <c r="AE92" i="1"/>
  <c r="AR92" i="1" s="1"/>
  <c r="AC92" i="1"/>
  <c r="AB92" i="1"/>
  <c r="AA92" i="1"/>
  <c r="Y92" i="1"/>
  <c r="AS92" i="1" s="1"/>
  <c r="CB91" i="1"/>
  <c r="CA91" i="1"/>
  <c r="BZ91" i="1"/>
  <c r="BY91" i="1"/>
  <c r="BV91" i="1"/>
  <c r="BU91" i="1"/>
  <c r="BQ91" i="1"/>
  <c r="BI91" i="1"/>
  <c r="BH91" i="1"/>
  <c r="BG91" i="1"/>
  <c r="BF91" i="1"/>
  <c r="BD91" i="1"/>
  <c r="BC91" i="1"/>
  <c r="AY91" i="1"/>
  <c r="AE91" i="1"/>
  <c r="AC91" i="1"/>
  <c r="AB91" i="1"/>
  <c r="AA91" i="1"/>
  <c r="Y91" i="1"/>
  <c r="AS91" i="1" s="1"/>
  <c r="CB90" i="1"/>
  <c r="CA90" i="1"/>
  <c r="BZ90" i="1"/>
  <c r="BY90" i="1"/>
  <c r="BV90" i="1"/>
  <c r="BU90" i="1"/>
  <c r="BQ90" i="1"/>
  <c r="BI90" i="1"/>
  <c r="BH90" i="1"/>
  <c r="BG90" i="1"/>
  <c r="BF90" i="1"/>
  <c r="BD90" i="1"/>
  <c r="BC90" i="1"/>
  <c r="AY90" i="1"/>
  <c r="AE90" i="1"/>
  <c r="AR90" i="1" s="1"/>
  <c r="AC90" i="1"/>
  <c r="AB90" i="1"/>
  <c r="AA90" i="1"/>
  <c r="Y90" i="1"/>
  <c r="AS90" i="1" s="1"/>
  <c r="CB89" i="1"/>
  <c r="CA89" i="1"/>
  <c r="BZ89" i="1"/>
  <c r="BY89" i="1"/>
  <c r="BV89" i="1"/>
  <c r="BU89" i="1"/>
  <c r="BQ89" i="1"/>
  <c r="BI89" i="1"/>
  <c r="BH89" i="1"/>
  <c r="BG89" i="1"/>
  <c r="BF89" i="1"/>
  <c r="BD89" i="1"/>
  <c r="BC89" i="1"/>
  <c r="AY89" i="1"/>
  <c r="AE89" i="1"/>
  <c r="AR89" i="1" s="1"/>
  <c r="AC89" i="1"/>
  <c r="AB89" i="1"/>
  <c r="AA89" i="1"/>
  <c r="Y89" i="1"/>
  <c r="CB88" i="1"/>
  <c r="CA88" i="1"/>
  <c r="BZ88" i="1"/>
  <c r="BY88" i="1"/>
  <c r="BV88" i="1"/>
  <c r="BU88" i="1"/>
  <c r="BQ88" i="1"/>
  <c r="BI88" i="1"/>
  <c r="BH88" i="1"/>
  <c r="BG88" i="1"/>
  <c r="BF88" i="1"/>
  <c r="BD88" i="1"/>
  <c r="BC88" i="1"/>
  <c r="AY88" i="1"/>
  <c r="AE88" i="1"/>
  <c r="AC88" i="1"/>
  <c r="AB88" i="1"/>
  <c r="AA88" i="1"/>
  <c r="Y88" i="1"/>
  <c r="AS88" i="1" s="1"/>
  <c r="CB87" i="1"/>
  <c r="CA87" i="1"/>
  <c r="BZ87" i="1"/>
  <c r="BY87" i="1"/>
  <c r="BV87" i="1"/>
  <c r="BU87" i="1"/>
  <c r="BQ87" i="1"/>
  <c r="BI87" i="1"/>
  <c r="BH87" i="1"/>
  <c r="BG87" i="1"/>
  <c r="BF87" i="1"/>
  <c r="BD87" i="1"/>
  <c r="BC87" i="1"/>
  <c r="AY87" i="1"/>
  <c r="AE87" i="1"/>
  <c r="AR87" i="1" s="1"/>
  <c r="AC87" i="1"/>
  <c r="AB87" i="1"/>
  <c r="AA87" i="1"/>
  <c r="Y87" i="1"/>
  <c r="AS87" i="1" s="1"/>
  <c r="CB86" i="1"/>
  <c r="CA86" i="1"/>
  <c r="BZ86" i="1"/>
  <c r="BY86" i="1"/>
  <c r="BV86" i="1"/>
  <c r="BU86" i="1"/>
  <c r="BQ86" i="1"/>
  <c r="BI86" i="1"/>
  <c r="BH86" i="1"/>
  <c r="BG86" i="1"/>
  <c r="BF86" i="1"/>
  <c r="BD86" i="1"/>
  <c r="BC86" i="1"/>
  <c r="AY86" i="1"/>
  <c r="AE86" i="1"/>
  <c r="AC86" i="1"/>
  <c r="AB86" i="1"/>
  <c r="AA86" i="1"/>
  <c r="Y86" i="1"/>
  <c r="CB85" i="1"/>
  <c r="CA85" i="1"/>
  <c r="BZ85" i="1"/>
  <c r="BY85" i="1"/>
  <c r="BV85" i="1"/>
  <c r="BU85" i="1"/>
  <c r="BQ85" i="1"/>
  <c r="BI85" i="1"/>
  <c r="BH85" i="1"/>
  <c r="BG85" i="1"/>
  <c r="BF85" i="1"/>
  <c r="BD85" i="1"/>
  <c r="BC85" i="1"/>
  <c r="AY85" i="1"/>
  <c r="AE85" i="1"/>
  <c r="AR85" i="1" s="1"/>
  <c r="AC85" i="1"/>
  <c r="AB85" i="1"/>
  <c r="AA85" i="1"/>
  <c r="Y85" i="1"/>
  <c r="CB84" i="1"/>
  <c r="CA84" i="1"/>
  <c r="BZ84" i="1"/>
  <c r="BY84" i="1"/>
  <c r="BV84" i="1"/>
  <c r="BU84" i="1"/>
  <c r="BQ84" i="1"/>
  <c r="BI84" i="1"/>
  <c r="BH84" i="1"/>
  <c r="BG84" i="1"/>
  <c r="BF84" i="1"/>
  <c r="BD84" i="1"/>
  <c r="BC84" i="1"/>
  <c r="AY84" i="1"/>
  <c r="AE84" i="1"/>
  <c r="AC84" i="1"/>
  <c r="AB84" i="1"/>
  <c r="AA84" i="1"/>
  <c r="Y84" i="1"/>
  <c r="CB83" i="1"/>
  <c r="CA83" i="1"/>
  <c r="BZ83" i="1"/>
  <c r="BY83" i="1"/>
  <c r="BV83" i="1"/>
  <c r="BU83" i="1"/>
  <c r="BQ83" i="1"/>
  <c r="BI83" i="1"/>
  <c r="BH83" i="1"/>
  <c r="BG83" i="1"/>
  <c r="BF83" i="1"/>
  <c r="BD83" i="1"/>
  <c r="BC83" i="1"/>
  <c r="AY83" i="1"/>
  <c r="AE83" i="1"/>
  <c r="AR83" i="1" s="1"/>
  <c r="AC83" i="1"/>
  <c r="AB83" i="1"/>
  <c r="AA83" i="1"/>
  <c r="Y83" i="1"/>
  <c r="CB82" i="1"/>
  <c r="CA82" i="1"/>
  <c r="BZ82" i="1"/>
  <c r="BY82" i="1"/>
  <c r="BV82" i="1"/>
  <c r="BU82" i="1"/>
  <c r="BQ82" i="1"/>
  <c r="BI82" i="1"/>
  <c r="BH82" i="1"/>
  <c r="BG82" i="1"/>
  <c r="BF82" i="1"/>
  <c r="BD82" i="1"/>
  <c r="BC82" i="1"/>
  <c r="AY82" i="1"/>
  <c r="AE82" i="1"/>
  <c r="AC82" i="1"/>
  <c r="AB82" i="1"/>
  <c r="AA82" i="1"/>
  <c r="Y82" i="1"/>
  <c r="AS82" i="1" s="1"/>
  <c r="CB81" i="1"/>
  <c r="CA81" i="1"/>
  <c r="BZ81" i="1"/>
  <c r="BY81" i="1"/>
  <c r="BV81" i="1"/>
  <c r="BU81" i="1"/>
  <c r="BQ81" i="1"/>
  <c r="BI81" i="1"/>
  <c r="BH81" i="1"/>
  <c r="BG81" i="1"/>
  <c r="BF81" i="1"/>
  <c r="BD81" i="1"/>
  <c r="BC81" i="1"/>
  <c r="AY81" i="1"/>
  <c r="AE81" i="1"/>
  <c r="AR81" i="1" s="1"/>
  <c r="AC81" i="1"/>
  <c r="AB81" i="1"/>
  <c r="AA81" i="1"/>
  <c r="Y81" i="1"/>
  <c r="AS81" i="1" s="1"/>
  <c r="CB80" i="1"/>
  <c r="CA80" i="1"/>
  <c r="BZ80" i="1"/>
  <c r="BY80" i="1"/>
  <c r="BV80" i="1"/>
  <c r="BU80" i="1"/>
  <c r="BQ80" i="1"/>
  <c r="BI80" i="1"/>
  <c r="BH80" i="1"/>
  <c r="BG80" i="1"/>
  <c r="BF80" i="1"/>
  <c r="BD80" i="1"/>
  <c r="BC80" i="1"/>
  <c r="AY80" i="1"/>
  <c r="AE80" i="1"/>
  <c r="AC80" i="1"/>
  <c r="AB80" i="1"/>
  <c r="AA80" i="1"/>
  <c r="Y80" i="1"/>
  <c r="AS80" i="1" s="1"/>
  <c r="CB79" i="1"/>
  <c r="CA79" i="1"/>
  <c r="BZ79" i="1"/>
  <c r="BY79" i="1"/>
  <c r="BV79" i="1"/>
  <c r="BU79" i="1"/>
  <c r="BQ79" i="1"/>
  <c r="BI79" i="1"/>
  <c r="BH79" i="1"/>
  <c r="BG79" i="1"/>
  <c r="BF79" i="1"/>
  <c r="BD79" i="1"/>
  <c r="BC79" i="1"/>
  <c r="AY79" i="1"/>
  <c r="AE79" i="1"/>
  <c r="AC79" i="1"/>
  <c r="AB79" i="1"/>
  <c r="AA79" i="1"/>
  <c r="Y79" i="1"/>
  <c r="AS79" i="1" s="1"/>
  <c r="CB78" i="1"/>
  <c r="CA78" i="1"/>
  <c r="BZ78" i="1"/>
  <c r="BY78" i="1"/>
  <c r="BV78" i="1"/>
  <c r="BU78" i="1"/>
  <c r="BQ78" i="1"/>
  <c r="BI78" i="1"/>
  <c r="BH78" i="1"/>
  <c r="BG78" i="1"/>
  <c r="BF78" i="1"/>
  <c r="BD78" i="1"/>
  <c r="BC78" i="1"/>
  <c r="AY78" i="1"/>
  <c r="AE78" i="1"/>
  <c r="AR78" i="1" s="1"/>
  <c r="AC78" i="1"/>
  <c r="AB78" i="1"/>
  <c r="AA78" i="1"/>
  <c r="Y78" i="1"/>
  <c r="AS78" i="1" s="1"/>
  <c r="CB77" i="1"/>
  <c r="CA77" i="1"/>
  <c r="BZ77" i="1"/>
  <c r="BY77" i="1"/>
  <c r="BV77" i="1"/>
  <c r="BU77" i="1"/>
  <c r="BQ77" i="1"/>
  <c r="BI77" i="1"/>
  <c r="BH77" i="1"/>
  <c r="BG77" i="1"/>
  <c r="BF77" i="1"/>
  <c r="BD77" i="1"/>
  <c r="BC77" i="1"/>
  <c r="AY77" i="1"/>
  <c r="AE77" i="1"/>
  <c r="AR77" i="1" s="1"/>
  <c r="AC77" i="1"/>
  <c r="AB77" i="1"/>
  <c r="AA77" i="1"/>
  <c r="Y77" i="1"/>
  <c r="AS77" i="1" s="1"/>
  <c r="CB76" i="1"/>
  <c r="CA76" i="1"/>
  <c r="BZ76" i="1"/>
  <c r="BY76" i="1"/>
  <c r="BV76" i="1"/>
  <c r="BU76" i="1"/>
  <c r="BQ76" i="1"/>
  <c r="BI76" i="1"/>
  <c r="BH76" i="1"/>
  <c r="BG76" i="1"/>
  <c r="BF76" i="1"/>
  <c r="BD76" i="1"/>
  <c r="BC76" i="1"/>
  <c r="AY76" i="1"/>
  <c r="AE76" i="1"/>
  <c r="AC76" i="1"/>
  <c r="AB76" i="1"/>
  <c r="AA76" i="1"/>
  <c r="Y76" i="1"/>
  <c r="AS76" i="1" s="1"/>
  <c r="CB75" i="1"/>
  <c r="CA75" i="1"/>
  <c r="BZ75" i="1"/>
  <c r="BY75" i="1"/>
  <c r="BV75" i="1"/>
  <c r="BU75" i="1"/>
  <c r="BQ75" i="1"/>
  <c r="BI75" i="1"/>
  <c r="BH75" i="1"/>
  <c r="BG75" i="1"/>
  <c r="BF75" i="1"/>
  <c r="BD75" i="1"/>
  <c r="BC75" i="1"/>
  <c r="AY75" i="1"/>
  <c r="AE75" i="1"/>
  <c r="AC75" i="1"/>
  <c r="AB75" i="1"/>
  <c r="AA75" i="1"/>
  <c r="Y75" i="1"/>
  <c r="AS75" i="1" s="1"/>
  <c r="CB74" i="1"/>
  <c r="CA74" i="1"/>
  <c r="BZ74" i="1"/>
  <c r="BY74" i="1"/>
  <c r="BV74" i="1"/>
  <c r="BU74" i="1"/>
  <c r="BQ74" i="1"/>
  <c r="BI74" i="1"/>
  <c r="BH74" i="1"/>
  <c r="BG74" i="1"/>
  <c r="BF74" i="1"/>
  <c r="BD74" i="1"/>
  <c r="BC74" i="1"/>
  <c r="AY74" i="1"/>
  <c r="AE74" i="1"/>
  <c r="AR74" i="1" s="1"/>
  <c r="AC74" i="1"/>
  <c r="AB74" i="1"/>
  <c r="AA74" i="1"/>
  <c r="Y74" i="1"/>
  <c r="AS74" i="1" s="1"/>
  <c r="CB73" i="1"/>
  <c r="CA73" i="1"/>
  <c r="BZ73" i="1"/>
  <c r="BY73" i="1"/>
  <c r="BV73" i="1"/>
  <c r="BU73" i="1"/>
  <c r="BQ73" i="1"/>
  <c r="BI73" i="1"/>
  <c r="BH73" i="1"/>
  <c r="BG73" i="1"/>
  <c r="BF73" i="1"/>
  <c r="BD73" i="1"/>
  <c r="BC73" i="1"/>
  <c r="AY73" i="1"/>
  <c r="AE73" i="1"/>
  <c r="AR73" i="1" s="1"/>
  <c r="AC73" i="1"/>
  <c r="AB73" i="1"/>
  <c r="AA73" i="1"/>
  <c r="Y73" i="1"/>
  <c r="AS73" i="1" s="1"/>
  <c r="CB72" i="1"/>
  <c r="CA72" i="1"/>
  <c r="BZ72" i="1"/>
  <c r="BY72" i="1"/>
  <c r="BV72" i="1"/>
  <c r="BU72" i="1"/>
  <c r="BQ72" i="1"/>
  <c r="BI72" i="1"/>
  <c r="BH72" i="1"/>
  <c r="BG72" i="1"/>
  <c r="BF72" i="1"/>
  <c r="BD72" i="1"/>
  <c r="BC72" i="1"/>
  <c r="AY72" i="1"/>
  <c r="AE72" i="1"/>
  <c r="AR72" i="1" s="1"/>
  <c r="AC72" i="1"/>
  <c r="AB72" i="1"/>
  <c r="AA72" i="1"/>
  <c r="Y72" i="1"/>
  <c r="CB71" i="1"/>
  <c r="CA71" i="1"/>
  <c r="BZ71" i="1"/>
  <c r="BY71" i="1"/>
  <c r="BV71" i="1"/>
  <c r="BU71" i="1"/>
  <c r="BQ71" i="1"/>
  <c r="BI71" i="1"/>
  <c r="BH71" i="1"/>
  <c r="BG71" i="1"/>
  <c r="BF71" i="1"/>
  <c r="BD71" i="1"/>
  <c r="BC71" i="1"/>
  <c r="AY71" i="1"/>
  <c r="AR71" i="1"/>
  <c r="AH71" i="1"/>
  <c r="AO71" i="1" s="1"/>
  <c r="AB71" i="1"/>
  <c r="AA71" i="1"/>
  <c r="Y71" i="1"/>
  <c r="AS71" i="1" s="1"/>
  <c r="CB70" i="1"/>
  <c r="CA70" i="1"/>
  <c r="BZ70" i="1"/>
  <c r="BY70" i="1"/>
  <c r="BV70" i="1"/>
  <c r="BU70" i="1"/>
  <c r="BQ70" i="1"/>
  <c r="BI70" i="1"/>
  <c r="BH70" i="1"/>
  <c r="BG70" i="1"/>
  <c r="BF70" i="1"/>
  <c r="BD70" i="1"/>
  <c r="BC70" i="1"/>
  <c r="AY70" i="1"/>
  <c r="AR70" i="1"/>
  <c r="AH70" i="1"/>
  <c r="AN70" i="1" s="1"/>
  <c r="AP70" i="1" s="1"/>
  <c r="AB70" i="1"/>
  <c r="AA70" i="1"/>
  <c r="Y70" i="1"/>
  <c r="AS70" i="1" s="1"/>
  <c r="CB69" i="1"/>
  <c r="CA69" i="1"/>
  <c r="BZ69" i="1"/>
  <c r="BY69" i="1"/>
  <c r="BV69" i="1"/>
  <c r="BU69" i="1"/>
  <c r="BQ69" i="1"/>
  <c r="BI69" i="1"/>
  <c r="BH69" i="1"/>
  <c r="BG69" i="1"/>
  <c r="BF69" i="1"/>
  <c r="BD69" i="1"/>
  <c r="BC69" i="1"/>
  <c r="AY69" i="1"/>
  <c r="AR69" i="1"/>
  <c r="AH69" i="1"/>
  <c r="AK69" i="1" s="1"/>
  <c r="AL69" i="1" s="1"/>
  <c r="AB69" i="1"/>
  <c r="Y69" i="1"/>
  <c r="AS69" i="1" s="1"/>
  <c r="CB68" i="1"/>
  <c r="CA68" i="1"/>
  <c r="BZ68" i="1"/>
  <c r="BY68" i="1"/>
  <c r="BV68" i="1"/>
  <c r="BU68" i="1"/>
  <c r="BQ68" i="1"/>
  <c r="BI68" i="1"/>
  <c r="BH68" i="1"/>
  <c r="BG68" i="1"/>
  <c r="BF68" i="1"/>
  <c r="BD68" i="1"/>
  <c r="BC68" i="1"/>
  <c r="AY68" i="1"/>
  <c r="AR68" i="1"/>
  <c r="AH68" i="1"/>
  <c r="AB68" i="1"/>
  <c r="AA68" i="1"/>
  <c r="Y68" i="1"/>
  <c r="CB67" i="1"/>
  <c r="CA67" i="1"/>
  <c r="BZ67" i="1"/>
  <c r="BY67" i="1"/>
  <c r="BV67" i="1"/>
  <c r="BU67" i="1"/>
  <c r="BQ67" i="1"/>
  <c r="BI67" i="1"/>
  <c r="BH67" i="1"/>
  <c r="BG67" i="1"/>
  <c r="BF67" i="1"/>
  <c r="BD67" i="1"/>
  <c r="BC67" i="1"/>
  <c r="AY67" i="1"/>
  <c r="AR67" i="1"/>
  <c r="AH67" i="1"/>
  <c r="AK67" i="1" s="1"/>
  <c r="AL67" i="1" s="1"/>
  <c r="AB67" i="1"/>
  <c r="AA67" i="1"/>
  <c r="Y67" i="1"/>
  <c r="AS67" i="1" s="1"/>
  <c r="CB66" i="1"/>
  <c r="CA66" i="1"/>
  <c r="BZ66" i="1"/>
  <c r="BY66" i="1"/>
  <c r="BV66" i="1"/>
  <c r="BU66" i="1"/>
  <c r="BQ66" i="1"/>
  <c r="BI66" i="1"/>
  <c r="BH66" i="1"/>
  <c r="BG66" i="1"/>
  <c r="BF66" i="1"/>
  <c r="BD66" i="1"/>
  <c r="BC66" i="1"/>
  <c r="AY66" i="1"/>
  <c r="AR66" i="1"/>
  <c r="AH66" i="1"/>
  <c r="AO66" i="1" s="1"/>
  <c r="AB66" i="1"/>
  <c r="AA66" i="1"/>
  <c r="Y66" i="1"/>
  <c r="AS66" i="1" s="1"/>
  <c r="CB65" i="1"/>
  <c r="CA65" i="1"/>
  <c r="BZ65" i="1"/>
  <c r="BY65" i="1"/>
  <c r="BU65" i="1"/>
  <c r="BQ65" i="1"/>
  <c r="BI65" i="1"/>
  <c r="BH65" i="1"/>
  <c r="BG65" i="1"/>
  <c r="BF65" i="1"/>
  <c r="BD65" i="1"/>
  <c r="BC65" i="1"/>
  <c r="AY65" i="1"/>
  <c r="AR65" i="1"/>
  <c r="AH65" i="1"/>
  <c r="AN65" i="1" s="1"/>
  <c r="AP65" i="1" s="1"/>
  <c r="AB65" i="1"/>
  <c r="AA65" i="1"/>
  <c r="Y65" i="1"/>
  <c r="AS65" i="1" s="1"/>
  <c r="CB64" i="1"/>
  <c r="CA64" i="1"/>
  <c r="BZ64" i="1"/>
  <c r="BY64" i="1"/>
  <c r="BV64" i="1"/>
  <c r="BU64" i="1"/>
  <c r="BQ64" i="1"/>
  <c r="BI64" i="1"/>
  <c r="BH64" i="1"/>
  <c r="BG64" i="1"/>
  <c r="BF64" i="1"/>
  <c r="BD64" i="1"/>
  <c r="BC64" i="1"/>
  <c r="AY64" i="1"/>
  <c r="AR64" i="1"/>
  <c r="AH64" i="1"/>
  <c r="AK64" i="1" s="1"/>
  <c r="AL64" i="1" s="1"/>
  <c r="AB64" i="1"/>
  <c r="AA64" i="1"/>
  <c r="Y64" i="1"/>
  <c r="AS64" i="1" s="1"/>
  <c r="CB63" i="1"/>
  <c r="CA63" i="1"/>
  <c r="BZ63" i="1"/>
  <c r="BY63" i="1"/>
  <c r="BV63" i="1"/>
  <c r="BU63" i="1"/>
  <c r="BQ63" i="1"/>
  <c r="BI63" i="1"/>
  <c r="BH63" i="1"/>
  <c r="BG63" i="1"/>
  <c r="BF63" i="1"/>
  <c r="BD63" i="1"/>
  <c r="BC63" i="1"/>
  <c r="AY63" i="1"/>
  <c r="AR63" i="1"/>
  <c r="AH63" i="1"/>
  <c r="AO63" i="1" s="1"/>
  <c r="AT63" i="1" s="1"/>
  <c r="AB63" i="1"/>
  <c r="AA63" i="1"/>
  <c r="Y63" i="1"/>
  <c r="AS63" i="1" s="1"/>
  <c r="CB62" i="1"/>
  <c r="CA62" i="1"/>
  <c r="BZ62" i="1"/>
  <c r="BY62" i="1"/>
  <c r="BV62" i="1"/>
  <c r="BU62" i="1"/>
  <c r="BQ62" i="1"/>
  <c r="BI62" i="1"/>
  <c r="BH62" i="1"/>
  <c r="BG62" i="1"/>
  <c r="BF62" i="1"/>
  <c r="BD62" i="1"/>
  <c r="BC62" i="1"/>
  <c r="AY62" i="1"/>
  <c r="AR62" i="1"/>
  <c r="AH62" i="1"/>
  <c r="AK62" i="1" s="1"/>
  <c r="AL62" i="1" s="1"/>
  <c r="AB62" i="1"/>
  <c r="AA62" i="1"/>
  <c r="Y62" i="1"/>
  <c r="AS62" i="1" s="1"/>
  <c r="CB61" i="1"/>
  <c r="CA61" i="1"/>
  <c r="BZ61" i="1"/>
  <c r="BY61" i="1"/>
  <c r="BV61" i="1"/>
  <c r="BU61" i="1"/>
  <c r="BQ61" i="1"/>
  <c r="BI61" i="1"/>
  <c r="BH61" i="1"/>
  <c r="BG61" i="1"/>
  <c r="BF61" i="1"/>
  <c r="BD61" i="1"/>
  <c r="BC61" i="1"/>
  <c r="AY61" i="1"/>
  <c r="AR61" i="1"/>
  <c r="AH61" i="1"/>
  <c r="AB61" i="1"/>
  <c r="AA61" i="1"/>
  <c r="Y61" i="1"/>
  <c r="AS61" i="1" s="1"/>
  <c r="CB60" i="1"/>
  <c r="CA60" i="1"/>
  <c r="BZ60" i="1"/>
  <c r="BY60" i="1"/>
  <c r="BV60" i="1"/>
  <c r="BU60" i="1"/>
  <c r="BQ60" i="1"/>
  <c r="BI60" i="1"/>
  <c r="BH60" i="1"/>
  <c r="BG60" i="1"/>
  <c r="BF60" i="1"/>
  <c r="BD60" i="1"/>
  <c r="BC60" i="1"/>
  <c r="AY60" i="1"/>
  <c r="AR60" i="1"/>
  <c r="AH60" i="1"/>
  <c r="AN60" i="1" s="1"/>
  <c r="AP60" i="1" s="1"/>
  <c r="AB60" i="1"/>
  <c r="AA60" i="1"/>
  <c r="Y60" i="1"/>
  <c r="CB59" i="1"/>
  <c r="CA59" i="1"/>
  <c r="BZ59" i="1"/>
  <c r="BY59" i="1"/>
  <c r="BV59" i="1"/>
  <c r="BU59" i="1"/>
  <c r="BQ59" i="1"/>
  <c r="BI59" i="1"/>
  <c r="BH59" i="1"/>
  <c r="BG59" i="1"/>
  <c r="BF59" i="1"/>
  <c r="BD59" i="1"/>
  <c r="BC59" i="1"/>
  <c r="AY59" i="1"/>
  <c r="AR59" i="1"/>
  <c r="AH59" i="1"/>
  <c r="AB59" i="1"/>
  <c r="AA59" i="1"/>
  <c r="Y59" i="1"/>
  <c r="CB58" i="1"/>
  <c r="CA58" i="1"/>
  <c r="BZ58" i="1"/>
  <c r="BY58" i="1"/>
  <c r="BV58" i="1"/>
  <c r="BU58" i="1"/>
  <c r="BQ58" i="1"/>
  <c r="BI58" i="1"/>
  <c r="BH58" i="1"/>
  <c r="BG58" i="1"/>
  <c r="BF58" i="1"/>
  <c r="BD58" i="1"/>
  <c r="BC58" i="1"/>
  <c r="AY58" i="1"/>
  <c r="AR58" i="1"/>
  <c r="AH58" i="1"/>
  <c r="AB58" i="1"/>
  <c r="AA58" i="1"/>
  <c r="Y58" i="1"/>
  <c r="AS58" i="1" s="1"/>
  <c r="CB57" i="1"/>
  <c r="CA57" i="1"/>
  <c r="BZ57" i="1"/>
  <c r="BY57" i="1"/>
  <c r="BV57" i="1"/>
  <c r="BU57" i="1"/>
  <c r="BQ57" i="1"/>
  <c r="BI57" i="1"/>
  <c r="BH57" i="1"/>
  <c r="BG57" i="1"/>
  <c r="BF57" i="1"/>
  <c r="BD57" i="1"/>
  <c r="BC57" i="1"/>
  <c r="AY57" i="1"/>
  <c r="AE57" i="1"/>
  <c r="AR57" i="1" s="1"/>
  <c r="AC57" i="1"/>
  <c r="AB57" i="1"/>
  <c r="AA57" i="1"/>
  <c r="Y57" i="1"/>
  <c r="CB56" i="1"/>
  <c r="CA56" i="1"/>
  <c r="BZ56" i="1"/>
  <c r="BY56" i="1"/>
  <c r="BV56" i="1"/>
  <c r="BU56" i="1"/>
  <c r="BQ56" i="1"/>
  <c r="BI56" i="1"/>
  <c r="BH56" i="1"/>
  <c r="BG56" i="1"/>
  <c r="BF56" i="1"/>
  <c r="BD56" i="1"/>
  <c r="BC56" i="1"/>
  <c r="AY56" i="1"/>
  <c r="AE56" i="1"/>
  <c r="AR56" i="1" s="1"/>
  <c r="AB56" i="1"/>
  <c r="AA56" i="1"/>
  <c r="Y56" i="1"/>
  <c r="AS56" i="1" s="1"/>
  <c r="CB55" i="1"/>
  <c r="CA55" i="1"/>
  <c r="BZ55" i="1"/>
  <c r="BY55" i="1"/>
  <c r="BV55" i="1"/>
  <c r="BU55" i="1"/>
  <c r="BQ55" i="1"/>
  <c r="BI55" i="1"/>
  <c r="BH55" i="1"/>
  <c r="BG55" i="1"/>
  <c r="BF55" i="1"/>
  <c r="BD55" i="1"/>
  <c r="BC55" i="1"/>
  <c r="AY55" i="1"/>
  <c r="AR55" i="1"/>
  <c r="AH55" i="1"/>
  <c r="AB55" i="1"/>
  <c r="AA55" i="1"/>
  <c r="Y55" i="1"/>
  <c r="AS55" i="1" s="1"/>
  <c r="CB54" i="1"/>
  <c r="CA54" i="1"/>
  <c r="BZ54" i="1"/>
  <c r="BY54" i="1"/>
  <c r="BV54" i="1"/>
  <c r="BU54" i="1"/>
  <c r="BQ54" i="1"/>
  <c r="BI54" i="1"/>
  <c r="BH54" i="1"/>
  <c r="BG54" i="1"/>
  <c r="BF54" i="1"/>
  <c r="BD54" i="1"/>
  <c r="BC54" i="1"/>
  <c r="AY54" i="1"/>
  <c r="AE54" i="1"/>
  <c r="AH54" i="1" s="1"/>
  <c r="AO54" i="1" s="1"/>
  <c r="AB54" i="1"/>
  <c r="AA54" i="1"/>
  <c r="Y54" i="1"/>
  <c r="AS54" i="1" s="1"/>
  <c r="CB53" i="1"/>
  <c r="CA53" i="1"/>
  <c r="BZ53" i="1"/>
  <c r="BY53" i="1"/>
  <c r="BV53" i="1"/>
  <c r="BU53" i="1"/>
  <c r="BQ53" i="1"/>
  <c r="BI53" i="1"/>
  <c r="BH53" i="1"/>
  <c r="BG53" i="1"/>
  <c r="BF53" i="1"/>
  <c r="BD53" i="1"/>
  <c r="BC53" i="1"/>
  <c r="AY53" i="1"/>
  <c r="AR53" i="1"/>
  <c r="AH53" i="1"/>
  <c r="AN53" i="1" s="1"/>
  <c r="AP53" i="1" s="1"/>
  <c r="AB53" i="1"/>
  <c r="AA53" i="1"/>
  <c r="Y53" i="1"/>
  <c r="AS53" i="1" s="1"/>
  <c r="CB52" i="1"/>
  <c r="CA52" i="1"/>
  <c r="BZ52" i="1"/>
  <c r="BY52" i="1"/>
  <c r="BV52" i="1"/>
  <c r="BU52" i="1"/>
  <c r="BQ52" i="1"/>
  <c r="BI52" i="1"/>
  <c r="BH52" i="1"/>
  <c r="BG52" i="1"/>
  <c r="BF52" i="1"/>
  <c r="BD52" i="1"/>
  <c r="BC52" i="1"/>
  <c r="AY52" i="1"/>
  <c r="AR52" i="1"/>
  <c r="AH52" i="1"/>
  <c r="AN52" i="1" s="1"/>
  <c r="AP52" i="1" s="1"/>
  <c r="AB52" i="1"/>
  <c r="AA52" i="1"/>
  <c r="Y52" i="1"/>
  <c r="AS52" i="1" s="1"/>
  <c r="CB51" i="1"/>
  <c r="CA51" i="1"/>
  <c r="BZ51" i="1"/>
  <c r="BY51" i="1"/>
  <c r="BV51" i="1"/>
  <c r="BU51" i="1"/>
  <c r="BQ51" i="1"/>
  <c r="BI51" i="1"/>
  <c r="BH51" i="1"/>
  <c r="BG51" i="1"/>
  <c r="BF51" i="1"/>
  <c r="BD51" i="1"/>
  <c r="BC51" i="1"/>
  <c r="AY51" i="1"/>
  <c r="AR51" i="1"/>
  <c r="AH51" i="1"/>
  <c r="AN51" i="1" s="1"/>
  <c r="AP51" i="1" s="1"/>
  <c r="AB51" i="1"/>
  <c r="Y51" i="1"/>
  <c r="AS51" i="1" s="1"/>
  <c r="CB50" i="1"/>
  <c r="CA50" i="1"/>
  <c r="BZ50" i="1"/>
  <c r="BY50" i="1"/>
  <c r="BV50" i="1"/>
  <c r="BU50" i="1"/>
  <c r="BQ50" i="1"/>
  <c r="BI50" i="1"/>
  <c r="BH50" i="1"/>
  <c r="BG50" i="1"/>
  <c r="BF50" i="1"/>
  <c r="BD50" i="1"/>
  <c r="BC50" i="1"/>
  <c r="AY50" i="1"/>
  <c r="AR50" i="1"/>
  <c r="AH50" i="1"/>
  <c r="AO50" i="1" s="1"/>
  <c r="AQ50" i="1" s="1"/>
  <c r="AB50" i="1"/>
  <c r="Y50" i="1"/>
  <c r="AS50" i="1" s="1"/>
  <c r="CB49" i="1"/>
  <c r="CA49" i="1"/>
  <c r="BZ49" i="1"/>
  <c r="BY49" i="1"/>
  <c r="BV49" i="1"/>
  <c r="BU49" i="1"/>
  <c r="BQ49" i="1"/>
  <c r="BI49" i="1"/>
  <c r="BH49" i="1"/>
  <c r="BG49" i="1"/>
  <c r="BF49" i="1"/>
  <c r="BD49" i="1"/>
  <c r="AY49" i="1"/>
  <c r="AE49" i="1"/>
  <c r="AR49" i="1" s="1"/>
  <c r="AC49" i="1"/>
  <c r="AB49" i="1"/>
  <c r="AA49" i="1"/>
  <c r="Y49" i="1"/>
  <c r="CB48" i="1"/>
  <c r="CA48" i="1"/>
  <c r="BZ48" i="1"/>
  <c r="BY48" i="1"/>
  <c r="BV48" i="1"/>
  <c r="BU48" i="1"/>
  <c r="BQ48" i="1"/>
  <c r="BI48" i="1"/>
  <c r="BH48" i="1"/>
  <c r="BG48" i="1"/>
  <c r="BF48" i="1"/>
  <c r="BD48" i="1"/>
  <c r="BC48" i="1"/>
  <c r="AY48" i="1"/>
  <c r="AE48" i="1"/>
  <c r="AC48" i="1"/>
  <c r="AB48" i="1"/>
  <c r="AA48" i="1"/>
  <c r="Y48" i="1"/>
  <c r="CB47" i="1"/>
  <c r="CA47" i="1"/>
  <c r="BZ47" i="1"/>
  <c r="BY47" i="1"/>
  <c r="BV47" i="1"/>
  <c r="BU47" i="1"/>
  <c r="BQ47" i="1"/>
  <c r="BI47" i="1"/>
  <c r="BH47" i="1"/>
  <c r="BG47" i="1"/>
  <c r="BF47" i="1"/>
  <c r="BD47" i="1"/>
  <c r="BC47" i="1"/>
  <c r="AY47" i="1"/>
  <c r="AE47" i="1"/>
  <c r="AR47" i="1" s="1"/>
  <c r="AC47" i="1"/>
  <c r="AB47" i="1"/>
  <c r="Y47" i="1"/>
  <c r="AS47" i="1" s="1"/>
  <c r="CB46" i="1"/>
  <c r="CA46" i="1"/>
  <c r="BZ46" i="1"/>
  <c r="BY46" i="1"/>
  <c r="BV46" i="1"/>
  <c r="BU46" i="1"/>
  <c r="BQ46" i="1"/>
  <c r="BI46" i="1"/>
  <c r="BH46" i="1"/>
  <c r="BG46" i="1"/>
  <c r="BF46" i="1"/>
  <c r="BD46" i="1"/>
  <c r="BC46" i="1"/>
  <c r="AY46" i="1"/>
  <c r="AE46" i="1"/>
  <c r="AR46" i="1" s="1"/>
  <c r="AC46" i="1"/>
  <c r="AB46" i="1"/>
  <c r="AA46" i="1"/>
  <c r="Y46" i="1"/>
  <c r="AS46" i="1" s="1"/>
  <c r="CB45" i="1"/>
  <c r="CA45" i="1"/>
  <c r="BZ45" i="1"/>
  <c r="BY45" i="1"/>
  <c r="BV45" i="1"/>
  <c r="BU45" i="1"/>
  <c r="BQ45" i="1"/>
  <c r="BI45" i="1"/>
  <c r="BH45" i="1"/>
  <c r="BG45" i="1"/>
  <c r="BF45" i="1"/>
  <c r="BD45" i="1"/>
  <c r="BC45" i="1"/>
  <c r="AY45" i="1"/>
  <c r="AR45" i="1"/>
  <c r="AH45" i="1"/>
  <c r="AK45" i="1" s="1"/>
  <c r="AL45" i="1" s="1"/>
  <c r="AB45" i="1"/>
  <c r="Y45" i="1"/>
  <c r="AS45" i="1" s="1"/>
  <c r="CB44" i="1"/>
  <c r="CA44" i="1"/>
  <c r="BZ44" i="1"/>
  <c r="BY44" i="1"/>
  <c r="BV44" i="1"/>
  <c r="BU44" i="1"/>
  <c r="BQ44" i="1"/>
  <c r="BI44" i="1"/>
  <c r="BH44" i="1"/>
  <c r="BG44" i="1"/>
  <c r="BF44" i="1"/>
  <c r="BD44" i="1"/>
  <c r="BC44" i="1"/>
  <c r="AY44" i="1"/>
  <c r="AE44" i="1"/>
  <c r="AR44" i="1" s="1"/>
  <c r="AC44" i="1"/>
  <c r="AB44" i="1"/>
  <c r="Y44" i="1"/>
  <c r="AS44" i="1" s="1"/>
  <c r="CB43" i="1"/>
  <c r="CA43" i="1"/>
  <c r="BZ43" i="1"/>
  <c r="BY43" i="1"/>
  <c r="BV43" i="1"/>
  <c r="BU43" i="1"/>
  <c r="BQ43" i="1"/>
  <c r="BI43" i="1"/>
  <c r="BH43" i="1"/>
  <c r="BG43" i="1"/>
  <c r="BF43" i="1"/>
  <c r="BD43" i="1"/>
  <c r="BC43" i="1"/>
  <c r="AY43" i="1"/>
  <c r="AE43" i="1"/>
  <c r="AR43" i="1" s="1"/>
  <c r="AC43" i="1"/>
  <c r="AB43" i="1"/>
  <c r="Y43" i="1"/>
  <c r="CB42" i="1"/>
  <c r="CA42" i="1"/>
  <c r="BZ42" i="1"/>
  <c r="BY42" i="1"/>
  <c r="BV42" i="1"/>
  <c r="BU42" i="1"/>
  <c r="BQ42" i="1"/>
  <c r="BI42" i="1"/>
  <c r="BH42" i="1"/>
  <c r="BG42" i="1"/>
  <c r="BF42" i="1"/>
  <c r="BD42" i="1"/>
  <c r="BC42" i="1"/>
  <c r="AY42" i="1"/>
  <c r="AE42" i="1"/>
  <c r="AC42" i="1"/>
  <c r="AB42" i="1"/>
  <c r="AA42" i="1"/>
  <c r="Y42" i="1"/>
  <c r="AS42" i="1" s="1"/>
  <c r="CB41" i="1"/>
  <c r="CA41" i="1"/>
  <c r="BZ41" i="1"/>
  <c r="BY41" i="1"/>
  <c r="BV41" i="1"/>
  <c r="BU41" i="1"/>
  <c r="BQ41" i="1"/>
  <c r="BI41" i="1"/>
  <c r="BH41" i="1"/>
  <c r="BG41" i="1"/>
  <c r="BF41" i="1"/>
  <c r="BD41" i="1"/>
  <c r="BC41" i="1"/>
  <c r="AY41" i="1"/>
  <c r="AE41" i="1"/>
  <c r="AR41" i="1" s="1"/>
  <c r="AC41" i="1"/>
  <c r="AB41" i="1"/>
  <c r="AA41" i="1"/>
  <c r="Y41" i="1"/>
  <c r="AS41" i="1" s="1"/>
  <c r="CB40" i="1"/>
  <c r="CA40" i="1"/>
  <c r="BZ40" i="1"/>
  <c r="BY40" i="1"/>
  <c r="BV40" i="1"/>
  <c r="BU40" i="1"/>
  <c r="BQ40" i="1"/>
  <c r="BI40" i="1"/>
  <c r="BH40" i="1"/>
  <c r="BG40" i="1"/>
  <c r="BF40" i="1"/>
  <c r="BD40" i="1"/>
  <c r="BC40" i="1"/>
  <c r="AY40" i="1"/>
  <c r="AE40" i="1"/>
  <c r="AR40" i="1" s="1"/>
  <c r="AC40" i="1"/>
  <c r="AB40" i="1"/>
  <c r="AA40" i="1"/>
  <c r="Y40" i="1"/>
  <c r="CB39" i="1"/>
  <c r="CA39" i="1"/>
  <c r="BZ39" i="1"/>
  <c r="BY39" i="1"/>
  <c r="BV39" i="1"/>
  <c r="BU39" i="1"/>
  <c r="BQ39" i="1"/>
  <c r="BI39" i="1"/>
  <c r="BH39" i="1"/>
  <c r="BG39" i="1"/>
  <c r="BF39" i="1"/>
  <c r="BD39" i="1"/>
  <c r="BC39" i="1"/>
  <c r="AY39" i="1"/>
  <c r="AR39" i="1"/>
  <c r="AC39" i="1"/>
  <c r="AH39" i="1" s="1"/>
  <c r="AB39" i="1"/>
  <c r="AA39" i="1"/>
  <c r="Y39" i="1"/>
  <c r="CB38" i="1"/>
  <c r="CA38" i="1"/>
  <c r="BZ38" i="1"/>
  <c r="BY38" i="1"/>
  <c r="BV38" i="1"/>
  <c r="BU38" i="1"/>
  <c r="BQ38" i="1"/>
  <c r="BI38" i="1"/>
  <c r="BH38" i="1"/>
  <c r="BG38" i="1"/>
  <c r="BF38" i="1"/>
  <c r="BD38" i="1"/>
  <c r="BC38" i="1"/>
  <c r="AY38" i="1"/>
  <c r="AR38" i="1"/>
  <c r="AO38" i="1"/>
  <c r="AQ38" i="1" s="1"/>
  <c r="AN38" i="1"/>
  <c r="AP38" i="1" s="1"/>
  <c r="AK38" i="1"/>
  <c r="AL38" i="1" s="1"/>
  <c r="AC38" i="1"/>
  <c r="AB38" i="1"/>
  <c r="AA38" i="1"/>
  <c r="Y38" i="1"/>
  <c r="CB37" i="1"/>
  <c r="CA37" i="1"/>
  <c r="BZ37" i="1"/>
  <c r="BY37" i="1"/>
  <c r="BV37" i="1"/>
  <c r="BU37" i="1"/>
  <c r="BQ37" i="1"/>
  <c r="BI37" i="1"/>
  <c r="BH37" i="1"/>
  <c r="BG37" i="1"/>
  <c r="BF37" i="1"/>
  <c r="BD37" i="1"/>
  <c r="BC37" i="1"/>
  <c r="AY37" i="1"/>
  <c r="AE37" i="1"/>
  <c r="AC37" i="1"/>
  <c r="AB37" i="1"/>
  <c r="AA37" i="1"/>
  <c r="Y37" i="1"/>
  <c r="CB36" i="1"/>
  <c r="CA36" i="1"/>
  <c r="BZ36" i="1"/>
  <c r="BY36" i="1"/>
  <c r="BV36" i="1"/>
  <c r="BU36" i="1"/>
  <c r="BQ36" i="1"/>
  <c r="BI36" i="1"/>
  <c r="BH36" i="1"/>
  <c r="BG36" i="1"/>
  <c r="BF36" i="1"/>
  <c r="BD36" i="1"/>
  <c r="BC36" i="1"/>
  <c r="AY36" i="1"/>
  <c r="AE36" i="1"/>
  <c r="AR36" i="1" s="1"/>
  <c r="AC36" i="1"/>
  <c r="AB36" i="1"/>
  <c r="AA36" i="1"/>
  <c r="Y36" i="1"/>
  <c r="AS36" i="1" s="1"/>
  <c r="CB35" i="1"/>
  <c r="CA35" i="1"/>
  <c r="BZ35" i="1"/>
  <c r="BY35" i="1"/>
  <c r="BV35" i="1"/>
  <c r="BU35" i="1"/>
  <c r="BQ35" i="1"/>
  <c r="BI35" i="1"/>
  <c r="BH35" i="1"/>
  <c r="BG35" i="1"/>
  <c r="BF35" i="1"/>
  <c r="BD35" i="1"/>
  <c r="BC35" i="1"/>
  <c r="AY35" i="1"/>
  <c r="AR35" i="1"/>
  <c r="AO35" i="1"/>
  <c r="AT35" i="1" s="1"/>
  <c r="AN35" i="1"/>
  <c r="AP35" i="1" s="1"/>
  <c r="AB35" i="1"/>
  <c r="AA35" i="1"/>
  <c r="Y35" i="1"/>
  <c r="AS35" i="1" s="1"/>
  <c r="CB34" i="1"/>
  <c r="CA34" i="1"/>
  <c r="BZ34" i="1"/>
  <c r="BY34" i="1"/>
  <c r="BV34" i="1"/>
  <c r="BU34" i="1"/>
  <c r="BQ34" i="1"/>
  <c r="BI34" i="1"/>
  <c r="BH34" i="1"/>
  <c r="BG34" i="1"/>
  <c r="BF34" i="1"/>
  <c r="BD34" i="1"/>
  <c r="BC34" i="1"/>
  <c r="AY34" i="1"/>
  <c r="AR34" i="1"/>
  <c r="AC34" i="1"/>
  <c r="AH34" i="1" s="1"/>
  <c r="AB34" i="1"/>
  <c r="AA34" i="1"/>
  <c r="Y34" i="1"/>
  <c r="AS34" i="1" s="1"/>
  <c r="CB33" i="1"/>
  <c r="CA33" i="1"/>
  <c r="BZ33" i="1"/>
  <c r="BY33" i="1"/>
  <c r="BV33" i="1"/>
  <c r="BU33" i="1"/>
  <c r="BQ33" i="1"/>
  <c r="BI33" i="1"/>
  <c r="BH33" i="1"/>
  <c r="BG33" i="1"/>
  <c r="BF33" i="1"/>
  <c r="BD33" i="1"/>
  <c r="BC33" i="1"/>
  <c r="AY33" i="1"/>
  <c r="AR33" i="1"/>
  <c r="AO33" i="1"/>
  <c r="AT33" i="1" s="1"/>
  <c r="AN33" i="1"/>
  <c r="AP33" i="1" s="1"/>
  <c r="AB33" i="1"/>
  <c r="AA33" i="1"/>
  <c r="Y33" i="1"/>
  <c r="CB32" i="1"/>
  <c r="CA32" i="1"/>
  <c r="BZ32" i="1"/>
  <c r="BY32" i="1"/>
  <c r="BV32" i="1"/>
  <c r="BU32" i="1"/>
  <c r="BQ32" i="1"/>
  <c r="BI32" i="1"/>
  <c r="BH32" i="1"/>
  <c r="BG32" i="1"/>
  <c r="BF32" i="1"/>
  <c r="BD32" i="1"/>
  <c r="BC32" i="1"/>
  <c r="AY32" i="1"/>
  <c r="AR32" i="1"/>
  <c r="AO32" i="1"/>
  <c r="AT32" i="1" s="1"/>
  <c r="AN32" i="1"/>
  <c r="AP32" i="1" s="1"/>
  <c r="AL32" i="1"/>
  <c r="AB32" i="1"/>
  <c r="AA32" i="1"/>
  <c r="Y32" i="1"/>
  <c r="AS32" i="1" s="1"/>
  <c r="CB31" i="1"/>
  <c r="CA31" i="1"/>
  <c r="BZ31" i="1"/>
  <c r="BY31" i="1"/>
  <c r="BV31" i="1"/>
  <c r="BU31" i="1"/>
  <c r="BQ31" i="1"/>
  <c r="BI31" i="1"/>
  <c r="BH31" i="1"/>
  <c r="BG31" i="1"/>
  <c r="BF31" i="1"/>
  <c r="BD31" i="1"/>
  <c r="BC31" i="1"/>
  <c r="AY31" i="1"/>
  <c r="AR31" i="1"/>
  <c r="AO31" i="1"/>
  <c r="AQ31" i="1" s="1"/>
  <c r="AN31" i="1"/>
  <c r="AP31" i="1" s="1"/>
  <c r="AL31" i="1"/>
  <c r="AB31" i="1"/>
  <c r="AA31" i="1"/>
  <c r="Y31" i="1"/>
  <c r="AS31" i="1" s="1"/>
  <c r="CB30" i="1"/>
  <c r="CA30" i="1"/>
  <c r="BZ30" i="1"/>
  <c r="BY30" i="1"/>
  <c r="BV30" i="1"/>
  <c r="BU30" i="1"/>
  <c r="BQ30" i="1"/>
  <c r="BI30" i="1"/>
  <c r="BH30" i="1"/>
  <c r="BG30" i="1"/>
  <c r="BF30" i="1"/>
  <c r="BD30" i="1"/>
  <c r="BC30" i="1"/>
  <c r="AY30" i="1"/>
  <c r="AR30" i="1"/>
  <c r="AO30" i="1"/>
  <c r="AQ30" i="1" s="1"/>
  <c r="AN30" i="1"/>
  <c r="AP30" i="1" s="1"/>
  <c r="AL30" i="1"/>
  <c r="AB30" i="1"/>
  <c r="AA30" i="1"/>
  <c r="Y30" i="1"/>
  <c r="AS30" i="1" s="1"/>
  <c r="CB29" i="1"/>
  <c r="CA29" i="1"/>
  <c r="BZ29" i="1"/>
  <c r="BY29" i="1"/>
  <c r="BV29" i="1"/>
  <c r="BU29" i="1"/>
  <c r="BQ29" i="1"/>
  <c r="BI29" i="1"/>
  <c r="BH29" i="1"/>
  <c r="BG29" i="1"/>
  <c r="BF29" i="1"/>
  <c r="BD29" i="1"/>
  <c r="BC29" i="1"/>
  <c r="AY29" i="1"/>
  <c r="AR29" i="1"/>
  <c r="AO29" i="1"/>
  <c r="AT29" i="1" s="1"/>
  <c r="AN29" i="1"/>
  <c r="AP29" i="1" s="1"/>
  <c r="AL29" i="1"/>
  <c r="AB29" i="1"/>
  <c r="AA29" i="1"/>
  <c r="Y29" i="1"/>
  <c r="AS29" i="1" s="1"/>
  <c r="CB28" i="1"/>
  <c r="CA28" i="1"/>
  <c r="BZ28" i="1"/>
  <c r="BY28" i="1"/>
  <c r="BV28" i="1"/>
  <c r="BU28" i="1"/>
  <c r="BQ28" i="1"/>
  <c r="BI28" i="1"/>
  <c r="BH28" i="1"/>
  <c r="BG28" i="1"/>
  <c r="BF28" i="1"/>
  <c r="BD28" i="1"/>
  <c r="BC28" i="1"/>
  <c r="AY28" i="1"/>
  <c r="AR28" i="1"/>
  <c r="AO28" i="1"/>
  <c r="AT28" i="1" s="1"/>
  <c r="AN28" i="1"/>
  <c r="AP28" i="1" s="1"/>
  <c r="AL28" i="1"/>
  <c r="AB28" i="1"/>
  <c r="AA28" i="1"/>
  <c r="Y28" i="1"/>
  <c r="AS28" i="1" s="1"/>
  <c r="CB27" i="1"/>
  <c r="CA27" i="1"/>
  <c r="BZ27" i="1"/>
  <c r="BY27" i="1"/>
  <c r="BV27" i="1"/>
  <c r="BU27" i="1"/>
  <c r="BQ27" i="1"/>
  <c r="BI27" i="1"/>
  <c r="BH27" i="1"/>
  <c r="BG27" i="1"/>
  <c r="BF27" i="1"/>
  <c r="BD27" i="1"/>
  <c r="BC27" i="1"/>
  <c r="AY27" i="1"/>
  <c r="AR27" i="1"/>
  <c r="AO27" i="1"/>
  <c r="AN27" i="1"/>
  <c r="AP27" i="1" s="1"/>
  <c r="AL27" i="1"/>
  <c r="AB27" i="1"/>
  <c r="AA27" i="1"/>
  <c r="Y27" i="1"/>
  <c r="AS27" i="1" s="1"/>
  <c r="CB26" i="1"/>
  <c r="CA26" i="1"/>
  <c r="BZ26" i="1"/>
  <c r="BY26" i="1"/>
  <c r="BV26" i="1"/>
  <c r="BU26" i="1"/>
  <c r="BQ26" i="1"/>
  <c r="BI26" i="1"/>
  <c r="BH26" i="1"/>
  <c r="BG26" i="1"/>
  <c r="BF26" i="1"/>
  <c r="BD26" i="1"/>
  <c r="BC26" i="1"/>
  <c r="AY26" i="1"/>
  <c r="AR26" i="1"/>
  <c r="AO26" i="1"/>
  <c r="AQ26" i="1" s="1"/>
  <c r="AN26" i="1"/>
  <c r="AP26" i="1" s="1"/>
  <c r="AL26" i="1"/>
  <c r="AB26" i="1"/>
  <c r="AA26" i="1"/>
  <c r="Y26" i="1"/>
  <c r="AS26" i="1" s="1"/>
  <c r="CB25" i="1"/>
  <c r="CA25" i="1"/>
  <c r="BZ25" i="1"/>
  <c r="BY25" i="1"/>
  <c r="BV25" i="1"/>
  <c r="BU25" i="1"/>
  <c r="BQ25" i="1"/>
  <c r="BI25" i="1"/>
  <c r="BH25" i="1"/>
  <c r="BG25" i="1"/>
  <c r="BF25" i="1"/>
  <c r="BD25" i="1"/>
  <c r="BC25" i="1"/>
  <c r="AY25" i="1"/>
  <c r="AR25" i="1"/>
  <c r="AO25" i="1"/>
  <c r="AQ25" i="1" s="1"/>
  <c r="AN25" i="1"/>
  <c r="AP25" i="1" s="1"/>
  <c r="AL25" i="1"/>
  <c r="AB25" i="1"/>
  <c r="AA25" i="1"/>
  <c r="Y25" i="1"/>
  <c r="AS25" i="1" s="1"/>
  <c r="CB24" i="1"/>
  <c r="CA24" i="1"/>
  <c r="BZ24" i="1"/>
  <c r="BY24" i="1"/>
  <c r="BV24" i="1"/>
  <c r="BU24" i="1"/>
  <c r="BQ24" i="1"/>
  <c r="BI24" i="1"/>
  <c r="BH24" i="1"/>
  <c r="BG24" i="1"/>
  <c r="BF24" i="1"/>
  <c r="BD24" i="1"/>
  <c r="BC24" i="1"/>
  <c r="AY24" i="1"/>
  <c r="AR24" i="1"/>
  <c r="AO24" i="1"/>
  <c r="AT24" i="1" s="1"/>
  <c r="AN24" i="1"/>
  <c r="AP24" i="1" s="1"/>
  <c r="AL24" i="1"/>
  <c r="AB24" i="1"/>
  <c r="AA24" i="1"/>
  <c r="Y24" i="1"/>
  <c r="CB23" i="1"/>
  <c r="CA23" i="1"/>
  <c r="BZ23" i="1"/>
  <c r="BY23" i="1"/>
  <c r="BV23" i="1"/>
  <c r="BU23" i="1"/>
  <c r="BQ23" i="1"/>
  <c r="BI23" i="1"/>
  <c r="BH23" i="1"/>
  <c r="BG23" i="1"/>
  <c r="BF23" i="1"/>
  <c r="BD23" i="1"/>
  <c r="BC23" i="1"/>
  <c r="AY23" i="1"/>
  <c r="AR23" i="1"/>
  <c r="AO23" i="1"/>
  <c r="AT23" i="1" s="1"/>
  <c r="AN23" i="1"/>
  <c r="AP23" i="1" s="1"/>
  <c r="AL23" i="1"/>
  <c r="AB23" i="1"/>
  <c r="AA23" i="1"/>
  <c r="Y23" i="1"/>
  <c r="AS23" i="1" s="1"/>
  <c r="CB22" i="1"/>
  <c r="CA22" i="1"/>
  <c r="BZ22" i="1"/>
  <c r="BY22" i="1"/>
  <c r="BV22" i="1"/>
  <c r="BU22" i="1"/>
  <c r="BQ22" i="1"/>
  <c r="BI22" i="1"/>
  <c r="BH22" i="1"/>
  <c r="BG22" i="1"/>
  <c r="BF22" i="1"/>
  <c r="BD22" i="1"/>
  <c r="BC22" i="1"/>
  <c r="AY22" i="1"/>
  <c r="AR22" i="1"/>
  <c r="AL22" i="1"/>
  <c r="AH22" i="1"/>
  <c r="AN22" i="1" s="1"/>
  <c r="AP22" i="1" s="1"/>
  <c r="AB22" i="1"/>
  <c r="AA22" i="1"/>
  <c r="Y22" i="1"/>
  <c r="AS22" i="1" s="1"/>
  <c r="CB21" i="1"/>
  <c r="CA21" i="1"/>
  <c r="BZ21" i="1"/>
  <c r="BY21" i="1"/>
  <c r="BV21" i="1"/>
  <c r="BU21" i="1"/>
  <c r="BQ21" i="1"/>
  <c r="BI21" i="1"/>
  <c r="BH21" i="1"/>
  <c r="BG21" i="1"/>
  <c r="BF21" i="1"/>
  <c r="BD21" i="1"/>
  <c r="BC21" i="1"/>
  <c r="AY21" i="1"/>
  <c r="AR21" i="1"/>
  <c r="AL21" i="1"/>
  <c r="AH21" i="1"/>
  <c r="AO21" i="1" s="1"/>
  <c r="AT21" i="1" s="1"/>
  <c r="AB21" i="1"/>
  <c r="AA21" i="1"/>
  <c r="Y21" i="1"/>
  <c r="AS21" i="1" s="1"/>
  <c r="CB20" i="1"/>
  <c r="CA20" i="1"/>
  <c r="BZ20" i="1"/>
  <c r="BY20" i="1"/>
  <c r="BV20" i="1"/>
  <c r="BU20" i="1"/>
  <c r="BQ20" i="1"/>
  <c r="BI20" i="1"/>
  <c r="BH20" i="1"/>
  <c r="BG20" i="1"/>
  <c r="BF20" i="1"/>
  <c r="BD20" i="1"/>
  <c r="BC20" i="1"/>
  <c r="AY20" i="1"/>
  <c r="AR20" i="1"/>
  <c r="AL20" i="1"/>
  <c r="AH20" i="1"/>
  <c r="AN20" i="1" s="1"/>
  <c r="AP20" i="1" s="1"/>
  <c r="AB20" i="1"/>
  <c r="AA20" i="1"/>
  <c r="Y20" i="1"/>
  <c r="AS20" i="1" s="1"/>
  <c r="CB19" i="1"/>
  <c r="CA19" i="1"/>
  <c r="BZ19" i="1"/>
  <c r="BY19" i="1"/>
  <c r="BV19" i="1"/>
  <c r="BU19" i="1"/>
  <c r="BQ19" i="1"/>
  <c r="BI19" i="1"/>
  <c r="BH19" i="1"/>
  <c r="BG19" i="1"/>
  <c r="BF19" i="1"/>
  <c r="BD19" i="1"/>
  <c r="BC19" i="1"/>
  <c r="AY19" i="1"/>
  <c r="AR19" i="1"/>
  <c r="AL19" i="1"/>
  <c r="AH19" i="1"/>
  <c r="AO19" i="1" s="1"/>
  <c r="AB19" i="1"/>
  <c r="AA19" i="1"/>
  <c r="Y19" i="1"/>
  <c r="AS19" i="1" s="1"/>
  <c r="CB18" i="1"/>
  <c r="CA18" i="1"/>
  <c r="BZ18" i="1"/>
  <c r="BY18" i="1"/>
  <c r="BV18" i="1"/>
  <c r="BU18" i="1"/>
  <c r="BQ18" i="1"/>
  <c r="BI18" i="1"/>
  <c r="BH18" i="1"/>
  <c r="BG18" i="1"/>
  <c r="BF18" i="1"/>
  <c r="BD18" i="1"/>
  <c r="BC18" i="1"/>
  <c r="AY18" i="1"/>
  <c r="AR18" i="1"/>
  <c r="AL18" i="1"/>
  <c r="AH18" i="1"/>
  <c r="AO18" i="1" s="1"/>
  <c r="AQ18" i="1" s="1"/>
  <c r="AB18" i="1"/>
  <c r="AA18" i="1"/>
  <c r="Y18" i="1"/>
  <c r="AS18" i="1" s="1"/>
  <c r="CB17" i="1"/>
  <c r="CA17" i="1"/>
  <c r="BZ17" i="1"/>
  <c r="BY17" i="1"/>
  <c r="BV17" i="1"/>
  <c r="BU17" i="1"/>
  <c r="BQ17" i="1"/>
  <c r="BI17" i="1"/>
  <c r="BH17" i="1"/>
  <c r="BG17" i="1"/>
  <c r="BF17" i="1"/>
  <c r="BD17" i="1"/>
  <c r="BC17" i="1"/>
  <c r="AY17" i="1"/>
  <c r="AR17" i="1"/>
  <c r="AL17" i="1"/>
  <c r="AH17" i="1"/>
  <c r="AO17" i="1" s="1"/>
  <c r="AT17" i="1" s="1"/>
  <c r="AB17" i="1"/>
  <c r="AA17" i="1"/>
  <c r="Y17" i="1"/>
  <c r="AS17" i="1" s="1"/>
  <c r="CB16" i="1"/>
  <c r="CA16" i="1"/>
  <c r="BZ16" i="1"/>
  <c r="BY16" i="1"/>
  <c r="BV16" i="1"/>
  <c r="BU16" i="1"/>
  <c r="BQ16" i="1"/>
  <c r="BI16" i="1"/>
  <c r="BH16" i="1"/>
  <c r="BG16" i="1"/>
  <c r="BF16" i="1"/>
  <c r="BD16" i="1"/>
  <c r="BC16" i="1"/>
  <c r="AY16" i="1"/>
  <c r="AR16" i="1"/>
  <c r="AL16" i="1"/>
  <c r="AH16" i="1"/>
  <c r="AN16" i="1" s="1"/>
  <c r="AP16" i="1" s="1"/>
  <c r="AB16" i="1"/>
  <c r="AA16" i="1"/>
  <c r="Y16" i="1"/>
  <c r="AS16" i="1" s="1"/>
  <c r="CB15" i="1"/>
  <c r="CA15" i="1"/>
  <c r="BZ15" i="1"/>
  <c r="BY15" i="1"/>
  <c r="BV15" i="1"/>
  <c r="BU15" i="1"/>
  <c r="BQ15" i="1"/>
  <c r="BI15" i="1"/>
  <c r="BH15" i="1"/>
  <c r="BG15" i="1"/>
  <c r="BF15" i="1"/>
  <c r="BD15" i="1"/>
  <c r="BC15" i="1"/>
  <c r="AY15" i="1"/>
  <c r="AR15" i="1"/>
  <c r="AL15" i="1"/>
  <c r="AH15" i="1"/>
  <c r="AN15" i="1" s="1"/>
  <c r="AP15" i="1" s="1"/>
  <c r="AB15" i="1"/>
  <c r="AA15" i="1"/>
  <c r="Y15" i="1"/>
  <c r="CB14" i="1"/>
  <c r="CA14" i="1"/>
  <c r="BZ14" i="1"/>
  <c r="BY14" i="1"/>
  <c r="BV14" i="1"/>
  <c r="BU14" i="1"/>
  <c r="BQ14" i="1"/>
  <c r="BI14" i="1"/>
  <c r="BH14" i="1"/>
  <c r="BG14" i="1"/>
  <c r="BF14" i="1"/>
  <c r="BD14" i="1"/>
  <c r="BC14" i="1"/>
  <c r="AY14" i="1"/>
  <c r="AR14" i="1"/>
  <c r="AL14" i="1"/>
  <c r="AH14" i="1"/>
  <c r="AB14" i="1"/>
  <c r="AA14" i="1"/>
  <c r="Y14" i="1"/>
  <c r="AS14" i="1" s="1"/>
  <c r="CB13" i="1"/>
  <c r="CA13" i="1"/>
  <c r="BZ13" i="1"/>
  <c r="BY13" i="1"/>
  <c r="BV13" i="1"/>
  <c r="BU13" i="1"/>
  <c r="BQ13" i="1"/>
  <c r="BI13" i="1"/>
  <c r="BH13" i="1"/>
  <c r="BG13" i="1"/>
  <c r="BF13" i="1"/>
  <c r="BD13" i="1"/>
  <c r="BC13" i="1"/>
  <c r="AY13" i="1"/>
  <c r="AR13" i="1"/>
  <c r="AL13" i="1"/>
  <c r="AH13" i="1"/>
  <c r="AB13" i="1"/>
  <c r="AA13" i="1"/>
  <c r="Y13" i="1"/>
  <c r="AS13" i="1" s="1"/>
  <c r="CB12" i="1"/>
  <c r="CA12" i="1"/>
  <c r="BZ12" i="1"/>
  <c r="BY12" i="1"/>
  <c r="BV12" i="1"/>
  <c r="BU12" i="1"/>
  <c r="BQ12" i="1"/>
  <c r="BI12" i="1"/>
  <c r="BH12" i="1"/>
  <c r="BG12" i="1"/>
  <c r="BF12" i="1"/>
  <c r="BD12" i="1"/>
  <c r="BC12" i="1"/>
  <c r="AY12" i="1"/>
  <c r="AR12" i="1"/>
  <c r="AL12" i="1"/>
  <c r="AH12" i="1"/>
  <c r="AB12" i="1"/>
  <c r="AA12" i="1"/>
  <c r="Y12" i="1"/>
  <c r="AS12" i="1" s="1"/>
  <c r="CB11" i="1"/>
  <c r="CA11" i="1"/>
  <c r="BZ11" i="1"/>
  <c r="BY11" i="1"/>
  <c r="BV11" i="1"/>
  <c r="BU11" i="1"/>
  <c r="BQ11" i="1"/>
  <c r="BI11" i="1"/>
  <c r="BH11" i="1"/>
  <c r="BG11" i="1"/>
  <c r="BF11" i="1"/>
  <c r="BD11" i="1"/>
  <c r="BC11" i="1"/>
  <c r="AY11" i="1"/>
  <c r="AR11" i="1"/>
  <c r="AL11" i="1"/>
  <c r="AH11" i="1"/>
  <c r="AB11" i="1"/>
  <c r="AA11" i="1"/>
  <c r="Y11" i="1"/>
  <c r="AS11" i="1" s="1"/>
  <c r="CB10" i="1"/>
  <c r="CA10" i="1"/>
  <c r="BZ10" i="1"/>
  <c r="BY10" i="1"/>
  <c r="BV10" i="1"/>
  <c r="BU10" i="1"/>
  <c r="BQ10" i="1"/>
  <c r="BI10" i="1"/>
  <c r="BH10" i="1"/>
  <c r="BG10" i="1"/>
  <c r="BF10" i="1"/>
  <c r="BD10" i="1"/>
  <c r="BC10" i="1"/>
  <c r="AY10" i="1"/>
  <c r="AR10" i="1"/>
  <c r="AL10" i="1"/>
  <c r="AH10" i="1"/>
  <c r="AO10" i="1" s="1"/>
  <c r="AB10" i="1"/>
  <c r="AA10" i="1"/>
  <c r="Y10" i="1"/>
  <c r="AS10" i="1" s="1"/>
  <c r="CB9" i="1"/>
  <c r="CA9" i="1"/>
  <c r="BZ9" i="1"/>
  <c r="BY9" i="1"/>
  <c r="BV9" i="1"/>
  <c r="BU9" i="1"/>
  <c r="BQ9" i="1"/>
  <c r="BI9" i="1"/>
  <c r="BH9" i="1"/>
  <c r="BG9" i="1"/>
  <c r="BF9" i="1"/>
  <c r="BD9" i="1"/>
  <c r="BC9" i="1"/>
  <c r="AY9" i="1"/>
  <c r="AR9" i="1"/>
  <c r="AL9" i="1"/>
  <c r="AH9" i="1"/>
  <c r="AB9" i="1"/>
  <c r="AA9" i="1"/>
  <c r="Y9" i="1"/>
  <c r="CB8" i="1"/>
  <c r="CA8" i="1"/>
  <c r="BZ8" i="1"/>
  <c r="BY8" i="1"/>
  <c r="BV8" i="1"/>
  <c r="BU8" i="1"/>
  <c r="BQ8" i="1"/>
  <c r="BI8" i="1"/>
  <c r="BH8" i="1"/>
  <c r="BG8" i="1"/>
  <c r="BF8" i="1"/>
  <c r="BD8" i="1"/>
  <c r="BC8" i="1"/>
  <c r="AY8" i="1"/>
  <c r="AR8" i="1"/>
  <c r="AL8" i="1"/>
  <c r="AH8" i="1"/>
  <c r="AO8" i="1" s="1"/>
  <c r="AB8" i="1"/>
  <c r="AA8" i="1"/>
  <c r="Y8" i="1"/>
  <c r="CB7" i="1"/>
  <c r="CA7" i="1"/>
  <c r="BZ7" i="1"/>
  <c r="BY7" i="1"/>
  <c r="BV7" i="1"/>
  <c r="BU7" i="1"/>
  <c r="BQ7" i="1"/>
  <c r="BI7" i="1"/>
  <c r="BH7" i="1"/>
  <c r="BG7" i="1"/>
  <c r="BF7" i="1"/>
  <c r="BE7" i="1"/>
  <c r="BD7" i="1"/>
  <c r="BC7" i="1"/>
  <c r="AY7" i="1"/>
  <c r="AR7" i="1"/>
  <c r="AL7" i="1"/>
  <c r="AH7" i="1"/>
  <c r="AB7" i="1"/>
  <c r="AA7" i="1"/>
  <c r="AO7" i="1" s="1"/>
  <c r="AP7" i="1" s="1"/>
  <c r="Y7" i="1"/>
  <c r="AS7" i="1" s="1"/>
  <c r="CB6" i="1"/>
  <c r="CA6" i="1"/>
  <c r="BZ6" i="1"/>
  <c r="BY6" i="1"/>
  <c r="BV6" i="1"/>
  <c r="BU6" i="1"/>
  <c r="BQ6" i="1"/>
  <c r="BI6" i="1"/>
  <c r="BH6" i="1"/>
  <c r="BG6" i="1"/>
  <c r="BF6" i="1"/>
  <c r="BD6" i="1"/>
  <c r="BC6" i="1"/>
  <c r="AY6" i="1"/>
  <c r="AR6" i="1"/>
  <c r="AL6" i="1"/>
  <c r="AH6" i="1"/>
  <c r="AB6" i="1"/>
  <c r="AA6" i="1"/>
  <c r="AO6" i="1" s="1"/>
  <c r="AP6" i="1" s="1"/>
  <c r="Y6" i="1"/>
  <c r="AS6" i="1" s="1"/>
  <c r="CB5" i="1"/>
  <c r="CA5" i="1"/>
  <c r="BZ5" i="1"/>
  <c r="BY5" i="1"/>
  <c r="BV5" i="1"/>
  <c r="BQ5" i="1"/>
  <c r="BI5" i="1"/>
  <c r="BH5" i="1"/>
  <c r="BG5" i="1"/>
  <c r="BF5" i="1"/>
  <c r="BD5" i="1"/>
  <c r="BC5" i="1"/>
  <c r="AY5" i="1"/>
  <c r="AR5" i="1"/>
  <c r="AL5" i="1"/>
  <c r="AH5" i="1"/>
  <c r="AN5" i="1" s="1"/>
  <c r="AB5" i="1"/>
  <c r="AP5" i="1"/>
  <c r="Y5" i="1"/>
  <c r="AM2" i="1"/>
  <c r="AJ2" i="1"/>
  <c r="AI2" i="1"/>
  <c r="AG2" i="1"/>
  <c r="AD2" i="1"/>
  <c r="Z2" i="1"/>
  <c r="X2" i="1"/>
  <c r="W2" i="1"/>
  <c r="AM1" i="1"/>
  <c r="AJ1" i="1"/>
  <c r="AI1" i="1"/>
  <c r="AD1" i="1"/>
  <c r="AH188" i="1" l="1"/>
  <c r="AN188" i="1" s="1"/>
  <c r="AP188" i="1" s="1"/>
  <c r="AS72" i="1"/>
  <c r="AO72" i="1"/>
  <c r="AS39" i="1"/>
  <c r="AN39" i="1"/>
  <c r="AP39" i="1" s="1"/>
  <c r="AO39" i="1"/>
  <c r="AT6" i="1"/>
  <c r="AQ5" i="1"/>
  <c r="Y2" i="1"/>
  <c r="AS9" i="1"/>
  <c r="AS48" i="1"/>
  <c r="AS33" i="1"/>
  <c r="AH243" i="1"/>
  <c r="AN243" i="1" s="1"/>
  <c r="AP243" i="1" s="1"/>
  <c r="AS38" i="1"/>
  <c r="AS148" i="1"/>
  <c r="AS130" i="1"/>
  <c r="AS184" i="1"/>
  <c r="AS225" i="1"/>
  <c r="AS159" i="1"/>
  <c r="AS59" i="1"/>
  <c r="AS163" i="1"/>
  <c r="AS37" i="1"/>
  <c r="AS86" i="1"/>
  <c r="AS57" i="1"/>
  <c r="AS120" i="1"/>
  <c r="AS197" i="1"/>
  <c r="AS195" i="1"/>
  <c r="AS211" i="1"/>
  <c r="AS60" i="1"/>
  <c r="AS43" i="1"/>
  <c r="AS170" i="1"/>
  <c r="AS173" i="1"/>
  <c r="AS127" i="1"/>
  <c r="AS136" i="1"/>
  <c r="AH228" i="1"/>
  <c r="AN228" i="1" s="1"/>
  <c r="AP228" i="1" s="1"/>
  <c r="AS141" i="1"/>
  <c r="AS89" i="1"/>
  <c r="AS131" i="1"/>
  <c r="AS68" i="1"/>
  <c r="AS160" i="1"/>
  <c r="AS114" i="1"/>
  <c r="AS83" i="1"/>
  <c r="AS203" i="1"/>
  <c r="AS5" i="1"/>
  <c r="AS212" i="1"/>
  <c r="AS15" i="1"/>
  <c r="AS206" i="1"/>
  <c r="AS84" i="1"/>
  <c r="AS24" i="1"/>
  <c r="AS201" i="1"/>
  <c r="AS97" i="1"/>
  <c r="AS171" i="1"/>
  <c r="AS132" i="1"/>
  <c r="AS111" i="1"/>
  <c r="AS85" i="1"/>
  <c r="AS49" i="1"/>
  <c r="AS133" i="1"/>
  <c r="AS99" i="1"/>
  <c r="AS40" i="1"/>
  <c r="AS95" i="1"/>
  <c r="AS8" i="1"/>
  <c r="AS155" i="1"/>
  <c r="AS216" i="1"/>
  <c r="AS176" i="1"/>
  <c r="AS202" i="1"/>
  <c r="AH239" i="1"/>
  <c r="AK239" i="1" s="1"/>
  <c r="AL239" i="1" s="1"/>
  <c r="AH218" i="1"/>
  <c r="AN218" i="1" s="1"/>
  <c r="AP218" i="1" s="1"/>
  <c r="AH184" i="1"/>
  <c r="AO184" i="1" s="1"/>
  <c r="AT184" i="1" s="1"/>
  <c r="AH220" i="1"/>
  <c r="AO220" i="1" s="1"/>
  <c r="AH148" i="1"/>
  <c r="AN148" i="1" s="1"/>
  <c r="AP148" i="1" s="1"/>
  <c r="AH160" i="1"/>
  <c r="AK160" i="1" s="1"/>
  <c r="AL160" i="1" s="1"/>
  <c r="AH167" i="1"/>
  <c r="AO167" i="1" s="1"/>
  <c r="AQ167" i="1" s="1"/>
  <c r="AH215" i="1"/>
  <c r="AK215" i="1" s="1"/>
  <c r="AL215" i="1" s="1"/>
  <c r="AH227" i="1"/>
  <c r="AO227" i="1" s="1"/>
  <c r="AH241" i="1"/>
  <c r="AO241" i="1" s="1"/>
  <c r="AQ241" i="1" s="1"/>
  <c r="AT244" i="1"/>
  <c r="AH100" i="1"/>
  <c r="AK100" i="1" s="1"/>
  <c r="AL100" i="1" s="1"/>
  <c r="AH82" i="1"/>
  <c r="AO82" i="1" s="1"/>
  <c r="AT82" i="1" s="1"/>
  <c r="AH179" i="1"/>
  <c r="AK179" i="1" s="1"/>
  <c r="AL179" i="1" s="1"/>
  <c r="AH94" i="1"/>
  <c r="AK94" i="1" s="1"/>
  <c r="AL94" i="1" s="1"/>
  <c r="AH42" i="1"/>
  <c r="AO42" i="1" s="1"/>
  <c r="AH57" i="1"/>
  <c r="AK57" i="1" s="1"/>
  <c r="AL57" i="1" s="1"/>
  <c r="AH119" i="1"/>
  <c r="AN119" i="1" s="1"/>
  <c r="AP119" i="1" s="1"/>
  <c r="AH131" i="1"/>
  <c r="AN131" i="1" s="1"/>
  <c r="AP131" i="1" s="1"/>
  <c r="AH143" i="1"/>
  <c r="AN143" i="1" s="1"/>
  <c r="AP143" i="1" s="1"/>
  <c r="AH210" i="1"/>
  <c r="AK210" i="1" s="1"/>
  <c r="AL210" i="1" s="1"/>
  <c r="AH169" i="1"/>
  <c r="AK169" i="1" s="1"/>
  <c r="AL169" i="1" s="1"/>
  <c r="AH193" i="1"/>
  <c r="AN193" i="1" s="1"/>
  <c r="AP193" i="1" s="1"/>
  <c r="AH217" i="1"/>
  <c r="AK217" i="1" s="1"/>
  <c r="AL217" i="1" s="1"/>
  <c r="AH242" i="1"/>
  <c r="AO242" i="1" s="1"/>
  <c r="AQ242" i="1" s="1"/>
  <c r="AH122" i="1"/>
  <c r="AO122" i="1" s="1"/>
  <c r="AH46" i="1"/>
  <c r="AN46" i="1" s="1"/>
  <c r="AP46" i="1" s="1"/>
  <c r="AH114" i="1"/>
  <c r="AK114" i="1" s="1"/>
  <c r="AL114" i="1" s="1"/>
  <c r="AH48" i="1"/>
  <c r="AO48" i="1" s="1"/>
  <c r="AQ48" i="1" s="1"/>
  <c r="AH73" i="1"/>
  <c r="AO73" i="1" s="1"/>
  <c r="AH92" i="1"/>
  <c r="AN92" i="1" s="1"/>
  <c r="AP92" i="1" s="1"/>
  <c r="AH104" i="1"/>
  <c r="AO104" i="1" s="1"/>
  <c r="AH159" i="1"/>
  <c r="AK159" i="1" s="1"/>
  <c r="AL159" i="1" s="1"/>
  <c r="AH190" i="1"/>
  <c r="AN190" i="1" s="1"/>
  <c r="AP190" i="1" s="1"/>
  <c r="AH202" i="1"/>
  <c r="AK202" i="1" s="1"/>
  <c r="AL202" i="1" s="1"/>
  <c r="AH214" i="1"/>
  <c r="AN214" i="1" s="1"/>
  <c r="AP214" i="1" s="1"/>
  <c r="AH126" i="1"/>
  <c r="AK126" i="1" s="1"/>
  <c r="AL126" i="1" s="1"/>
  <c r="AH164" i="1"/>
  <c r="AN164" i="1" s="1"/>
  <c r="AP164" i="1" s="1"/>
  <c r="AH216" i="1"/>
  <c r="AK216" i="1" s="1"/>
  <c r="AL216" i="1" s="1"/>
  <c r="AH87" i="1"/>
  <c r="AO87" i="1" s="1"/>
  <c r="AT87" i="1" s="1"/>
  <c r="AH116" i="1"/>
  <c r="AO116" i="1" s="1"/>
  <c r="AH152" i="1"/>
  <c r="AK152" i="1" s="1"/>
  <c r="AL152" i="1" s="1"/>
  <c r="AH224" i="1"/>
  <c r="AK224" i="1" s="1"/>
  <c r="AL224" i="1" s="1"/>
  <c r="AH43" i="1"/>
  <c r="AO43" i="1" s="1"/>
  <c r="AH101" i="1"/>
  <c r="AK101" i="1" s="1"/>
  <c r="AL101" i="1" s="1"/>
  <c r="AH173" i="1"/>
  <c r="AO173" i="1" s="1"/>
  <c r="AH192" i="1"/>
  <c r="AO192" i="1" s="1"/>
  <c r="AH132" i="1"/>
  <c r="AK132" i="1" s="1"/>
  <c r="AL132" i="1" s="1"/>
  <c r="AH156" i="1"/>
  <c r="AK156" i="1" s="1"/>
  <c r="AL156" i="1" s="1"/>
  <c r="AH145" i="1"/>
  <c r="AK145" i="1" s="1"/>
  <c r="AL145" i="1" s="1"/>
  <c r="AO15" i="1"/>
  <c r="AQ15" i="1" s="1"/>
  <c r="AH47" i="1"/>
  <c r="AO47" i="1" s="1"/>
  <c r="AT47" i="1" s="1"/>
  <c r="AH84" i="1"/>
  <c r="AN84" i="1" s="1"/>
  <c r="AP84" i="1" s="1"/>
  <c r="AH125" i="1"/>
  <c r="AK125" i="1" s="1"/>
  <c r="AL125" i="1" s="1"/>
  <c r="AH180" i="1"/>
  <c r="AN180" i="1" s="1"/>
  <c r="AP180" i="1" s="1"/>
  <c r="AH197" i="1"/>
  <c r="AN197" i="1" s="1"/>
  <c r="AP197" i="1" s="1"/>
  <c r="AH209" i="1"/>
  <c r="AN209" i="1" s="1"/>
  <c r="AP209" i="1" s="1"/>
  <c r="AH98" i="1"/>
  <c r="AN98" i="1" s="1"/>
  <c r="AP98" i="1" s="1"/>
  <c r="AH127" i="1"/>
  <c r="AN127" i="1" s="1"/>
  <c r="AP127" i="1" s="1"/>
  <c r="AH139" i="1"/>
  <c r="AN139" i="1" s="1"/>
  <c r="AP139" i="1" s="1"/>
  <c r="AH170" i="1"/>
  <c r="AK170" i="1" s="1"/>
  <c r="AL170" i="1" s="1"/>
  <c r="AH187" i="1"/>
  <c r="AO187" i="1" s="1"/>
  <c r="AT187" i="1" s="1"/>
  <c r="AH199" i="1"/>
  <c r="AO199" i="1" s="1"/>
  <c r="AH206" i="1"/>
  <c r="AO206" i="1" s="1"/>
  <c r="AQ206" i="1" s="1"/>
  <c r="AH88" i="1"/>
  <c r="AK88" i="1" s="1"/>
  <c r="AL88" i="1" s="1"/>
  <c r="AH117" i="1"/>
  <c r="AK117" i="1" s="1"/>
  <c r="AL117" i="1" s="1"/>
  <c r="AH182" i="1"/>
  <c r="AK182" i="1" s="1"/>
  <c r="AL182" i="1" s="1"/>
  <c r="AQ63" i="1"/>
  <c r="AH95" i="1"/>
  <c r="AK95" i="1" s="1"/>
  <c r="AL95" i="1" s="1"/>
  <c r="AH107" i="1"/>
  <c r="AO107" i="1" s="1"/>
  <c r="AH153" i="1"/>
  <c r="AO153" i="1" s="1"/>
  <c r="AH172" i="1"/>
  <c r="AO172" i="1" s="1"/>
  <c r="AH189" i="1"/>
  <c r="AN189" i="1" s="1"/>
  <c r="AP189" i="1" s="1"/>
  <c r="AH75" i="1"/>
  <c r="AK75" i="1" s="1"/>
  <c r="AL75" i="1" s="1"/>
  <c r="AH205" i="1"/>
  <c r="AK205" i="1" s="1"/>
  <c r="AL205" i="1" s="1"/>
  <c r="AQ29" i="1"/>
  <c r="AO16" i="1"/>
  <c r="AQ16" i="1" s="1"/>
  <c r="AH120" i="1"/>
  <c r="AO120" i="1" s="1"/>
  <c r="AH142" i="1"/>
  <c r="AN142" i="1" s="1"/>
  <c r="AP142" i="1" s="1"/>
  <c r="AH147" i="1"/>
  <c r="AN147" i="1" s="1"/>
  <c r="AP147" i="1" s="1"/>
  <c r="AH226" i="1"/>
  <c r="AN226" i="1" s="1"/>
  <c r="AP226" i="1" s="1"/>
  <c r="AH151" i="1"/>
  <c r="AK151" i="1" s="1"/>
  <c r="AL151" i="1" s="1"/>
  <c r="AN69" i="1"/>
  <c r="AP69" i="1" s="1"/>
  <c r="AT50" i="1"/>
  <c r="AH155" i="1"/>
  <c r="AK155" i="1" s="1"/>
  <c r="AL155" i="1" s="1"/>
  <c r="AH219" i="1"/>
  <c r="AO219" i="1" s="1"/>
  <c r="AQ219" i="1" s="1"/>
  <c r="AH40" i="1"/>
  <c r="AK40" i="1" s="1"/>
  <c r="AL40" i="1" s="1"/>
  <c r="AH49" i="1"/>
  <c r="AO49" i="1" s="1"/>
  <c r="AT49" i="1" s="1"/>
  <c r="AH85" i="1"/>
  <c r="AK85" i="1" s="1"/>
  <c r="AL85" i="1" s="1"/>
  <c r="AH93" i="1"/>
  <c r="AN93" i="1" s="1"/>
  <c r="AP93" i="1" s="1"/>
  <c r="AH105" i="1"/>
  <c r="AO105" i="1" s="1"/>
  <c r="AQ105" i="1" s="1"/>
  <c r="AH110" i="1"/>
  <c r="AK110" i="1" s="1"/>
  <c r="AL110" i="1" s="1"/>
  <c r="AH176" i="1"/>
  <c r="AO176" i="1" s="1"/>
  <c r="AT176" i="1" s="1"/>
  <c r="AH196" i="1"/>
  <c r="AO196" i="1" s="1"/>
  <c r="AQ196" i="1" s="1"/>
  <c r="AH223" i="1"/>
  <c r="AK223" i="1" s="1"/>
  <c r="AL223" i="1" s="1"/>
  <c r="AQ32" i="1"/>
  <c r="AK65" i="1"/>
  <c r="AL65" i="1" s="1"/>
  <c r="AH79" i="1"/>
  <c r="AO79" i="1" s="1"/>
  <c r="AT79" i="1" s="1"/>
  <c r="AH229" i="1"/>
  <c r="AK229" i="1" s="1"/>
  <c r="AL229" i="1" s="1"/>
  <c r="AO51" i="1"/>
  <c r="AT51" i="1" s="1"/>
  <c r="AO65" i="1"/>
  <c r="AT65" i="1" s="1"/>
  <c r="AK70" i="1"/>
  <c r="AL70" i="1" s="1"/>
  <c r="AR163" i="1"/>
  <c r="AQ24" i="1"/>
  <c r="AR151" i="1"/>
  <c r="AR75" i="1"/>
  <c r="AR205" i="1"/>
  <c r="AO52" i="1"/>
  <c r="AQ52" i="1" s="1"/>
  <c r="AH163" i="1"/>
  <c r="AO22" i="1"/>
  <c r="AQ22" i="1" s="1"/>
  <c r="AN64" i="1"/>
  <c r="AP64" i="1" s="1"/>
  <c r="AO70" i="1"/>
  <c r="AT70" i="1" s="1"/>
  <c r="AH76" i="1"/>
  <c r="AO76" i="1" s="1"/>
  <c r="AQ76" i="1" s="1"/>
  <c r="AH231" i="1"/>
  <c r="AO231" i="1" s="1"/>
  <c r="AH102" i="1"/>
  <c r="AK102" i="1" s="1"/>
  <c r="AL102" i="1" s="1"/>
  <c r="AH115" i="1"/>
  <c r="AN115" i="1" s="1"/>
  <c r="AP115" i="1" s="1"/>
  <c r="AH140" i="1"/>
  <c r="AN140" i="1" s="1"/>
  <c r="AP140" i="1" s="1"/>
  <c r="AH178" i="1"/>
  <c r="AO178" i="1" s="1"/>
  <c r="AH181" i="1"/>
  <c r="AK181" i="1" s="1"/>
  <c r="AL181" i="1" s="1"/>
  <c r="AH194" i="1"/>
  <c r="AO194" i="1" s="1"/>
  <c r="AT194" i="1" s="1"/>
  <c r="AH233" i="1"/>
  <c r="AN233" i="1" s="1"/>
  <c r="AP233" i="1" s="1"/>
  <c r="AN62" i="1"/>
  <c r="AP62" i="1" s="1"/>
  <c r="AH177" i="1"/>
  <c r="AO177" i="1" s="1"/>
  <c r="AT177" i="1" s="1"/>
  <c r="AQ33" i="1"/>
  <c r="AH150" i="1"/>
  <c r="AO150" i="1" s="1"/>
  <c r="AT150" i="1" s="1"/>
  <c r="AK51" i="1"/>
  <c r="AL51" i="1" s="1"/>
  <c r="AR79" i="1"/>
  <c r="AH201" i="1"/>
  <c r="AO201" i="1" s="1"/>
  <c r="AQ201" i="1" s="1"/>
  <c r="AH135" i="1"/>
  <c r="AN135" i="1" s="1"/>
  <c r="AP135" i="1" s="1"/>
  <c r="AN34" i="1"/>
  <c r="AP34" i="1" s="1"/>
  <c r="AO34" i="1"/>
  <c r="AT34" i="1" s="1"/>
  <c r="AT19" i="1"/>
  <c r="AQ19" i="1"/>
  <c r="AN237" i="1"/>
  <c r="AP237" i="1" s="1"/>
  <c r="AO237" i="1"/>
  <c r="AT237" i="1" s="1"/>
  <c r="AR241" i="1"/>
  <c r="AR123" i="1"/>
  <c r="AH138" i="1"/>
  <c r="AN138" i="1" s="1"/>
  <c r="AP138" i="1" s="1"/>
  <c r="AR182" i="1"/>
  <c r="AN19" i="1"/>
  <c r="AP19" i="1" s="1"/>
  <c r="AQ6" i="1"/>
  <c r="AH108" i="1"/>
  <c r="AR222" i="1"/>
  <c r="AR82" i="1"/>
  <c r="AR122" i="1"/>
  <c r="AH128" i="1"/>
  <c r="AN240" i="1"/>
  <c r="AP240" i="1" s="1"/>
  <c r="AR242" i="1"/>
  <c r="AN21" i="1"/>
  <c r="AP21" i="1" s="1"/>
  <c r="AH74" i="1"/>
  <c r="AK74" i="1" s="1"/>
  <c r="AL74" i="1" s="1"/>
  <c r="AH124" i="1"/>
  <c r="AR139" i="1"/>
  <c r="AR229" i="1"/>
  <c r="AH232" i="1"/>
  <c r="AO232" i="1" s="1"/>
  <c r="AH112" i="1"/>
  <c r="AO112" i="1" s="1"/>
  <c r="AQ112" i="1" s="1"/>
  <c r="AT31" i="1"/>
  <c r="AQ28" i="1"/>
  <c r="AB2" i="1"/>
  <c r="AR200" i="1"/>
  <c r="AR119" i="1"/>
  <c r="AK235" i="1"/>
  <c r="AL235" i="1" s="1"/>
  <c r="AO235" i="1"/>
  <c r="AT235" i="1" s="1"/>
  <c r="AN235" i="1"/>
  <c r="AP235" i="1" s="1"/>
  <c r="AO240" i="1"/>
  <c r="AQ71" i="1"/>
  <c r="AT71" i="1"/>
  <c r="AR141" i="1"/>
  <c r="AK234" i="1"/>
  <c r="AL234" i="1" s="1"/>
  <c r="AN234" i="1"/>
  <c r="AP234" i="1" s="1"/>
  <c r="AK237" i="1"/>
  <c r="AL237" i="1" s="1"/>
  <c r="AQ23" i="1"/>
  <c r="AO9" i="1"/>
  <c r="AT9" i="1" s="1"/>
  <c r="AN9" i="1"/>
  <c r="AP9" i="1" s="1"/>
  <c r="AO20" i="1"/>
  <c r="AH77" i="1"/>
  <c r="AN77" i="1" s="1"/>
  <c r="AP77" i="1" s="1"/>
  <c r="AH141" i="1"/>
  <c r="AH208" i="1"/>
  <c r="AN208" i="1" s="1"/>
  <c r="AP208" i="1" s="1"/>
  <c r="AA2" i="1"/>
  <c r="AH41" i="1"/>
  <c r="AK41" i="1" s="1"/>
  <c r="AL41" i="1" s="1"/>
  <c r="AH81" i="1"/>
  <c r="AN81" i="1" s="1"/>
  <c r="AP81" i="1" s="1"/>
  <c r="AH91" i="1"/>
  <c r="AN91" i="1" s="1"/>
  <c r="AP91" i="1" s="1"/>
  <c r="AR99" i="1"/>
  <c r="AH123" i="1"/>
  <c r="AH129" i="1"/>
  <c r="AO129" i="1" s="1"/>
  <c r="AH157" i="1"/>
  <c r="AH171" i="1"/>
  <c r="AN171" i="1" s="1"/>
  <c r="AP171" i="1" s="1"/>
  <c r="AH174" i="1"/>
  <c r="AH200" i="1"/>
  <c r="AH204" i="1"/>
  <c r="AO204" i="1" s="1"/>
  <c r="AR239" i="1"/>
  <c r="AR240" i="1"/>
  <c r="AR162" i="1"/>
  <c r="AN45" i="1"/>
  <c r="AP45" i="1" s="1"/>
  <c r="AK50" i="1"/>
  <c r="AL50" i="1" s="1"/>
  <c r="AK52" i="1"/>
  <c r="AL52" i="1" s="1"/>
  <c r="AK53" i="1"/>
  <c r="AL53" i="1" s="1"/>
  <c r="AR54" i="1"/>
  <c r="AK63" i="1"/>
  <c r="AL63" i="1" s="1"/>
  <c r="AK66" i="1"/>
  <c r="AL66" i="1" s="1"/>
  <c r="AK71" i="1"/>
  <c r="AL71" i="1" s="1"/>
  <c r="AH72" i="1"/>
  <c r="AH96" i="1"/>
  <c r="AN96" i="1" s="1"/>
  <c r="AP96" i="1" s="1"/>
  <c r="AH99" i="1"/>
  <c r="AN99" i="1" s="1"/>
  <c r="AP99" i="1" s="1"/>
  <c r="AH103" i="1"/>
  <c r="AO103" i="1" s="1"/>
  <c r="AH121" i="1"/>
  <c r="AK121" i="1" s="1"/>
  <c r="AL121" i="1" s="1"/>
  <c r="AH134" i="1"/>
  <c r="AO134" i="1" s="1"/>
  <c r="AH144" i="1"/>
  <c r="AH146" i="1"/>
  <c r="AO146" i="1" s="1"/>
  <c r="AH186" i="1"/>
  <c r="AK186" i="1" s="1"/>
  <c r="AL186" i="1" s="1"/>
  <c r="AH203" i="1"/>
  <c r="AO203" i="1" s="1"/>
  <c r="AN7" i="1"/>
  <c r="AO45" i="1"/>
  <c r="AQ45" i="1" s="1"/>
  <c r="AN50" i="1"/>
  <c r="AP50" i="1" s="1"/>
  <c r="AO53" i="1"/>
  <c r="AT53" i="1" s="1"/>
  <c r="AN66" i="1"/>
  <c r="AP66" i="1" s="1"/>
  <c r="AN71" i="1"/>
  <c r="AP71" i="1" s="1"/>
  <c r="AH236" i="1"/>
  <c r="AO236" i="1" s="1"/>
  <c r="AN6" i="1"/>
  <c r="AO62" i="1"/>
  <c r="AN63" i="1"/>
  <c r="AP63" i="1" s="1"/>
  <c r="AO64" i="1"/>
  <c r="AO69" i="1"/>
  <c r="AH83" i="1"/>
  <c r="AN83" i="1" s="1"/>
  <c r="AP83" i="1" s="1"/>
  <c r="AH89" i="1"/>
  <c r="AN89" i="1" s="1"/>
  <c r="AP89" i="1" s="1"/>
  <c r="AH130" i="1"/>
  <c r="AK130" i="1" s="1"/>
  <c r="AL130" i="1" s="1"/>
  <c r="AH149" i="1"/>
  <c r="AH154" i="1"/>
  <c r="AN154" i="1" s="1"/>
  <c r="AP154" i="1" s="1"/>
  <c r="AH158" i="1"/>
  <c r="AK158" i="1" s="1"/>
  <c r="AL158" i="1" s="1"/>
  <c r="AH161" i="1"/>
  <c r="AN161" i="1" s="1"/>
  <c r="AP161" i="1" s="1"/>
  <c r="AH168" i="1"/>
  <c r="AO168" i="1" s="1"/>
  <c r="AT168" i="1" s="1"/>
  <c r="AH222" i="1"/>
  <c r="AN222" i="1" s="1"/>
  <c r="AP222" i="1" s="1"/>
  <c r="AQ10" i="1"/>
  <c r="AT10" i="1"/>
  <c r="AN165" i="1"/>
  <c r="AP165" i="1" s="1"/>
  <c r="AO165" i="1"/>
  <c r="AK165" i="1"/>
  <c r="AL165" i="1" s="1"/>
  <c r="AC1" i="1"/>
  <c r="AR127" i="1"/>
  <c r="AR154" i="1"/>
  <c r="AH166" i="1"/>
  <c r="AN166" i="1" s="1"/>
  <c r="AP166" i="1" s="1"/>
  <c r="AR166" i="1"/>
  <c r="AO183" i="1"/>
  <c r="AN183" i="1"/>
  <c r="AP183" i="1" s="1"/>
  <c r="AK183" i="1"/>
  <c r="AL183" i="1" s="1"/>
  <c r="AR211" i="1"/>
  <c r="AN8" i="1"/>
  <c r="AQ21" i="1"/>
  <c r="AQ27" i="1"/>
  <c r="AT27" i="1"/>
  <c r="AT30" i="1"/>
  <c r="AN54" i="1"/>
  <c r="AP54" i="1" s="1"/>
  <c r="AR142" i="1"/>
  <c r="AC2" i="1"/>
  <c r="AH37" i="1"/>
  <c r="AN37" i="1" s="1"/>
  <c r="AP37" i="1" s="1"/>
  <c r="AO55" i="1"/>
  <c r="AN55" i="1"/>
  <c r="AP55" i="1" s="1"/>
  <c r="AR80" i="1"/>
  <c r="AR115" i="1"/>
  <c r="AO238" i="1"/>
  <c r="AN238" i="1"/>
  <c r="AP238" i="1" s="1"/>
  <c r="AK238" i="1"/>
  <c r="AL238" i="1" s="1"/>
  <c r="AH36" i="1"/>
  <c r="AN36" i="1" s="1"/>
  <c r="AP36" i="1" s="1"/>
  <c r="AK55" i="1"/>
  <c r="AL55" i="1" s="1"/>
  <c r="AH80" i="1"/>
  <c r="AR147" i="1"/>
  <c r="AR209" i="1"/>
  <c r="AQ54" i="1"/>
  <c r="AT54" i="1"/>
  <c r="AO59" i="1"/>
  <c r="AN59" i="1"/>
  <c r="AP59" i="1" s="1"/>
  <c r="AR126" i="1"/>
  <c r="AR143" i="1"/>
  <c r="AO11" i="1"/>
  <c r="AN11" i="1"/>
  <c r="AP11" i="1" s="1"/>
  <c r="AQ35" i="1"/>
  <c r="AK54" i="1"/>
  <c r="AL54" i="1" s="1"/>
  <c r="AK59" i="1"/>
  <c r="AL59" i="1" s="1"/>
  <c r="AR107" i="1"/>
  <c r="AR113" i="1"/>
  <c r="AR130" i="1"/>
  <c r="AK39" i="1"/>
  <c r="AL39" i="1" s="1"/>
  <c r="AR172" i="1"/>
  <c r="AK213" i="1"/>
  <c r="AL213" i="1" s="1"/>
  <c r="AO213" i="1"/>
  <c r="AN213" i="1"/>
  <c r="AP213" i="1" s="1"/>
  <c r="AR230" i="1"/>
  <c r="AH230" i="1"/>
  <c r="AN230" i="1" s="1"/>
  <c r="AP230" i="1" s="1"/>
  <c r="AR236" i="1"/>
  <c r="AN10" i="1"/>
  <c r="AP10" i="1" s="1"/>
  <c r="AQ17" i="1"/>
  <c r="AT18" i="1"/>
  <c r="AN58" i="1"/>
  <c r="AP58" i="1" s="1"/>
  <c r="AO58" i="1"/>
  <c r="AK207" i="1"/>
  <c r="AL207" i="1" s="1"/>
  <c r="AN207" i="1"/>
  <c r="AP207" i="1" s="1"/>
  <c r="AO207" i="1"/>
  <c r="AK58" i="1"/>
  <c r="AL58" i="1" s="1"/>
  <c r="AH106" i="1"/>
  <c r="AR129" i="1"/>
  <c r="AR176" i="1"/>
  <c r="AH191" i="1"/>
  <c r="AN191" i="1" s="1"/>
  <c r="AP191" i="1" s="1"/>
  <c r="AR37" i="1"/>
  <c r="AK60" i="1"/>
  <c r="AL60" i="1" s="1"/>
  <c r="AO60" i="1"/>
  <c r="AH211" i="1"/>
  <c r="AT5" i="1"/>
  <c r="AQ7" i="1"/>
  <c r="AT7" i="1"/>
  <c r="AR106" i="1"/>
  <c r="AR212" i="1"/>
  <c r="AQ234" i="1"/>
  <c r="AT234" i="1"/>
  <c r="AK225" i="1"/>
  <c r="AL225" i="1" s="1"/>
  <c r="AO13" i="1"/>
  <c r="AN13" i="1"/>
  <c r="AP13" i="1" s="1"/>
  <c r="AT26" i="1"/>
  <c r="AN68" i="1"/>
  <c r="AP68" i="1" s="1"/>
  <c r="AO68" i="1"/>
  <c r="AK68" i="1"/>
  <c r="AL68" i="1" s="1"/>
  <c r="AR101" i="1"/>
  <c r="AN225" i="1"/>
  <c r="AP225" i="1" s="1"/>
  <c r="AO12" i="1"/>
  <c r="AN12" i="1"/>
  <c r="AP12" i="1" s="1"/>
  <c r="AR42" i="1"/>
  <c r="AR93" i="1"/>
  <c r="AR100" i="1"/>
  <c r="AR152" i="1"/>
  <c r="AR157" i="1"/>
  <c r="AR202" i="1"/>
  <c r="AR109" i="1"/>
  <c r="AR190" i="1"/>
  <c r="AN14" i="1"/>
  <c r="AP14" i="1" s="1"/>
  <c r="AO14" i="1"/>
  <c r="AH86" i="1"/>
  <c r="AH109" i="1"/>
  <c r="AR164" i="1"/>
  <c r="AK185" i="1"/>
  <c r="AL185" i="1" s="1"/>
  <c r="AO185" i="1"/>
  <c r="AT225" i="1"/>
  <c r="AQ225" i="1"/>
  <c r="AR120" i="1"/>
  <c r="AN17" i="1"/>
  <c r="AP17" i="1" s="1"/>
  <c r="AN18" i="1"/>
  <c r="AP18" i="1" s="1"/>
  <c r="AT25" i="1"/>
  <c r="AT38" i="1"/>
  <c r="AO61" i="1"/>
  <c r="AN61" i="1"/>
  <c r="AP61" i="1" s="1"/>
  <c r="AK61" i="1"/>
  <c r="AL61" i="1" s="1"/>
  <c r="AO67" i="1"/>
  <c r="AN67" i="1"/>
  <c r="AP67" i="1" s="1"/>
  <c r="AR86" i="1"/>
  <c r="AR131" i="1"/>
  <c r="AR167" i="1"/>
  <c r="AH195" i="1"/>
  <c r="AR201" i="1"/>
  <c r="AR84" i="1"/>
  <c r="AR189" i="1"/>
  <c r="AR208" i="1"/>
  <c r="AH90" i="1"/>
  <c r="AN90" i="1" s="1"/>
  <c r="AP90" i="1" s="1"/>
  <c r="AH97" i="1"/>
  <c r="AN97" i="1" s="1"/>
  <c r="AP97" i="1" s="1"/>
  <c r="AR133" i="1"/>
  <c r="AH133" i="1"/>
  <c r="AR171" i="1"/>
  <c r="AR88" i="1"/>
  <c r="AH198" i="1"/>
  <c r="AR48" i="1"/>
  <c r="AT66" i="1"/>
  <c r="AQ66" i="1"/>
  <c r="AR76" i="1"/>
  <c r="AR91" i="1"/>
  <c r="AR98" i="1"/>
  <c r="AR178" i="1"/>
  <c r="AR197" i="1"/>
  <c r="AR203" i="1"/>
  <c r="AH212" i="1"/>
  <c r="AN212" i="1" s="1"/>
  <c r="AP212" i="1" s="1"/>
  <c r="AH221" i="1"/>
  <c r="AR134" i="1"/>
  <c r="AH56" i="1"/>
  <c r="AH136" i="1"/>
  <c r="AR159" i="1"/>
  <c r="AR160" i="1"/>
  <c r="AR221" i="1"/>
  <c r="AR223" i="1"/>
  <c r="AR137" i="1"/>
  <c r="AH44" i="1"/>
  <c r="AH78" i="1"/>
  <c r="AR110" i="1"/>
  <c r="AH113" i="1"/>
  <c r="AN113" i="1" s="1"/>
  <c r="AP113" i="1" s="1"/>
  <c r="AH137" i="1"/>
  <c r="AR219" i="1"/>
  <c r="AR226" i="1"/>
  <c r="AR231" i="1"/>
  <c r="AO162" i="1"/>
  <c r="AK162" i="1"/>
  <c r="AL162" i="1" s="1"/>
  <c r="AH111" i="1"/>
  <c r="AR150" i="1"/>
  <c r="AN162" i="1"/>
  <c r="AP162" i="1" s="1"/>
  <c r="AH118" i="1"/>
  <c r="AH175" i="1"/>
  <c r="AK188" i="1" l="1"/>
  <c r="AL188" i="1" s="1"/>
  <c r="AT72" i="1"/>
  <c r="AO188" i="1"/>
  <c r="AT188" i="1" s="1"/>
  <c r="AK228" i="1"/>
  <c r="AL228" i="1" s="1"/>
  <c r="AO228" i="1"/>
  <c r="AQ228" i="1" s="1"/>
  <c r="AS2" i="1"/>
  <c r="AN184" i="1"/>
  <c r="AP184" i="1" s="1"/>
  <c r="AO148" i="1"/>
  <c r="AT148" i="1" s="1"/>
  <c r="AK220" i="1"/>
  <c r="AL220" i="1" s="1"/>
  <c r="AO239" i="1"/>
  <c r="AQ239" i="1" s="1"/>
  <c r="AK148" i="1"/>
  <c r="AL148" i="1" s="1"/>
  <c r="AO94" i="1"/>
  <c r="AQ94" i="1" s="1"/>
  <c r="AN239" i="1"/>
  <c r="AP239" i="1" s="1"/>
  <c r="AN167" i="1"/>
  <c r="AP167" i="1" s="1"/>
  <c r="AN220" i="1"/>
  <c r="AP220" i="1" s="1"/>
  <c r="AN160" i="1"/>
  <c r="AP160" i="1" s="1"/>
  <c r="AQ184" i="1"/>
  <c r="AT167" i="1"/>
  <c r="AO160" i="1"/>
  <c r="AQ160" i="1" s="1"/>
  <c r="AK184" i="1"/>
  <c r="AL184" i="1" s="1"/>
  <c r="AO218" i="1"/>
  <c r="AQ218" i="1" s="1"/>
  <c r="AK218" i="1"/>
  <c r="AL218" i="1" s="1"/>
  <c r="AN215" i="1"/>
  <c r="AP215" i="1" s="1"/>
  <c r="AK167" i="1"/>
  <c r="AL167" i="1" s="1"/>
  <c r="AO215" i="1"/>
  <c r="AQ215" i="1" s="1"/>
  <c r="AN100" i="1"/>
  <c r="AP100" i="1" s="1"/>
  <c r="AN82" i="1"/>
  <c r="AP82" i="1" s="1"/>
  <c r="AN241" i="1"/>
  <c r="AP241" i="1" s="1"/>
  <c r="AO100" i="1"/>
  <c r="AT100" i="1" s="1"/>
  <c r="AK227" i="1"/>
  <c r="AL227" i="1" s="1"/>
  <c r="AN227" i="1"/>
  <c r="AP227" i="1" s="1"/>
  <c r="AQ82" i="1"/>
  <c r="AO179" i="1"/>
  <c r="AT179" i="1" s="1"/>
  <c r="AK82" i="1"/>
  <c r="AL82" i="1" s="1"/>
  <c r="AN57" i="1"/>
  <c r="AP57" i="1" s="1"/>
  <c r="AO57" i="1"/>
  <c r="AQ57" i="1" s="1"/>
  <c r="AN179" i="1"/>
  <c r="AP179" i="1" s="1"/>
  <c r="AK143" i="1"/>
  <c r="AL143" i="1" s="1"/>
  <c r="AO143" i="1"/>
  <c r="AT143" i="1" s="1"/>
  <c r="AN42" i="1"/>
  <c r="AP42" i="1" s="1"/>
  <c r="AK42" i="1"/>
  <c r="AL42" i="1" s="1"/>
  <c r="AN94" i="1"/>
  <c r="AP94" i="1" s="1"/>
  <c r="AO193" i="1"/>
  <c r="AQ193" i="1" s="1"/>
  <c r="AO210" i="1"/>
  <c r="AT210" i="1" s="1"/>
  <c r="AN242" i="1"/>
  <c r="AP242" i="1" s="1"/>
  <c r="AK119" i="1"/>
  <c r="AL119" i="1" s="1"/>
  <c r="AO131" i="1"/>
  <c r="AT131" i="1" s="1"/>
  <c r="AN169" i="1"/>
  <c r="AP169" i="1" s="1"/>
  <c r="AO119" i="1"/>
  <c r="AT119" i="1" s="1"/>
  <c r="AK131" i="1"/>
  <c r="AL131" i="1" s="1"/>
  <c r="AO169" i="1"/>
  <c r="AT169" i="1" s="1"/>
  <c r="AN210" i="1"/>
  <c r="AP210" i="1" s="1"/>
  <c r="AK193" i="1"/>
  <c r="AL193" i="1" s="1"/>
  <c r="AK92" i="1"/>
  <c r="AL92" i="1" s="1"/>
  <c r="AO114" i="1"/>
  <c r="AT114" i="1" s="1"/>
  <c r="AN73" i="1"/>
  <c r="AP73" i="1" s="1"/>
  <c r="AN217" i="1"/>
  <c r="AP217" i="1" s="1"/>
  <c r="AO46" i="1"/>
  <c r="AT46" i="1" s="1"/>
  <c r="AK242" i="1"/>
  <c r="AL242" i="1" s="1"/>
  <c r="AK46" i="1"/>
  <c r="AL46" i="1" s="1"/>
  <c r="AN48" i="1"/>
  <c r="AK122" i="1"/>
  <c r="AL122" i="1" s="1"/>
  <c r="AN122" i="1"/>
  <c r="AP122" i="1" s="1"/>
  <c r="AT48" i="1"/>
  <c r="AO159" i="1"/>
  <c r="AQ159" i="1" s="1"/>
  <c r="AN159" i="1"/>
  <c r="AP159" i="1" s="1"/>
  <c r="AN114" i="1"/>
  <c r="AP114" i="1" s="1"/>
  <c r="AO92" i="1"/>
  <c r="AT92" i="1" s="1"/>
  <c r="AO217" i="1"/>
  <c r="AT217" i="1" s="1"/>
  <c r="AK73" i="1"/>
  <c r="AL73" i="1" s="1"/>
  <c r="AK104" i="1"/>
  <c r="AL104" i="1" s="1"/>
  <c r="AO101" i="1"/>
  <c r="AQ101" i="1" s="1"/>
  <c r="AN104" i="1"/>
  <c r="AP104" i="1" s="1"/>
  <c r="AK43" i="1"/>
  <c r="AL43" i="1" s="1"/>
  <c r="AN43" i="1"/>
  <c r="AP43" i="1" s="1"/>
  <c r="AK48" i="1"/>
  <c r="AL48" i="1" s="1"/>
  <c r="AO126" i="1"/>
  <c r="AT126" i="1" s="1"/>
  <c r="AQ87" i="1"/>
  <c r="AK214" i="1"/>
  <c r="AL214" i="1" s="1"/>
  <c r="AO214" i="1"/>
  <c r="AQ214" i="1" s="1"/>
  <c r="AO202" i="1"/>
  <c r="AQ202" i="1" s="1"/>
  <c r="AO190" i="1"/>
  <c r="AT190" i="1" s="1"/>
  <c r="AT16" i="1"/>
  <c r="AN192" i="1"/>
  <c r="AP192" i="1" s="1"/>
  <c r="AN202" i="1"/>
  <c r="AP202" i="1" s="1"/>
  <c r="AK164" i="1"/>
  <c r="AL164" i="1" s="1"/>
  <c r="AK190" i="1"/>
  <c r="AL190" i="1" s="1"/>
  <c r="AO164" i="1"/>
  <c r="AQ164" i="1" s="1"/>
  <c r="AK154" i="1"/>
  <c r="AL154" i="1" s="1"/>
  <c r="AT206" i="1"/>
  <c r="AN224" i="1"/>
  <c r="AP224" i="1" s="1"/>
  <c r="AN126" i="1"/>
  <c r="AP126" i="1" s="1"/>
  <c r="AO233" i="1"/>
  <c r="AQ233" i="1" s="1"/>
  <c r="AN216" i="1"/>
  <c r="AP216" i="1" s="1"/>
  <c r="AO216" i="1"/>
  <c r="AQ216" i="1" s="1"/>
  <c r="AN152" i="1"/>
  <c r="AP152" i="1" s="1"/>
  <c r="AN47" i="1"/>
  <c r="AP47" i="1" s="1"/>
  <c r="AN87" i="1"/>
  <c r="AP87" i="1" s="1"/>
  <c r="AO84" i="1"/>
  <c r="AQ84" i="1" s="1"/>
  <c r="AK116" i="1"/>
  <c r="AL116" i="1" s="1"/>
  <c r="AO152" i="1"/>
  <c r="AQ152" i="1" s="1"/>
  <c r="AN116" i="1"/>
  <c r="AP116" i="1" s="1"/>
  <c r="AK192" i="1"/>
  <c r="AL192" i="1" s="1"/>
  <c r="AK173" i="1"/>
  <c r="AL173" i="1" s="1"/>
  <c r="AN101" i="1"/>
  <c r="AP101" i="1" s="1"/>
  <c r="AK87" i="1"/>
  <c r="AL87" i="1" s="1"/>
  <c r="AO224" i="1"/>
  <c r="AT224" i="1" s="1"/>
  <c r="AN156" i="1"/>
  <c r="AP156" i="1" s="1"/>
  <c r="AO156" i="1"/>
  <c r="AT156" i="1" s="1"/>
  <c r="AK187" i="1"/>
  <c r="AL187" i="1" s="1"/>
  <c r="AT219" i="1"/>
  <c r="AK199" i="1"/>
  <c r="AL199" i="1" s="1"/>
  <c r="AN132" i="1"/>
  <c r="AP132" i="1" s="1"/>
  <c r="AO132" i="1"/>
  <c r="AQ132" i="1" s="1"/>
  <c r="AN145" i="1"/>
  <c r="AP145" i="1" s="1"/>
  <c r="AN173" i="1"/>
  <c r="AP173" i="1" s="1"/>
  <c r="AN199" i="1"/>
  <c r="AP199" i="1" s="1"/>
  <c r="AK233" i="1"/>
  <c r="AL233" i="1" s="1"/>
  <c r="AQ53" i="1"/>
  <c r="AK180" i="1"/>
  <c r="AL180" i="1" s="1"/>
  <c r="AK93" i="1"/>
  <c r="AL93" i="1" s="1"/>
  <c r="AO93" i="1"/>
  <c r="AQ93" i="1" s="1"/>
  <c r="AK47" i="1"/>
  <c r="AL47" i="1" s="1"/>
  <c r="AQ49" i="1"/>
  <c r="AO145" i="1"/>
  <c r="AT145" i="1" s="1"/>
  <c r="AN88" i="1"/>
  <c r="AP88" i="1" s="1"/>
  <c r="AK206" i="1"/>
  <c r="AL206" i="1" s="1"/>
  <c r="AO209" i="1"/>
  <c r="AT209" i="1" s="1"/>
  <c r="AN85" i="1"/>
  <c r="AP85" i="1" s="1"/>
  <c r="AK177" i="1"/>
  <c r="AL177" i="1" s="1"/>
  <c r="AQ187" i="1"/>
  <c r="AQ47" i="1"/>
  <c r="AQ51" i="1"/>
  <c r="AO88" i="1"/>
  <c r="AQ88" i="1" s="1"/>
  <c r="AN206" i="1"/>
  <c r="AP206" i="1" s="1"/>
  <c r="AQ176" i="1"/>
  <c r="AN182" i="1"/>
  <c r="AP182" i="1" s="1"/>
  <c r="AK120" i="1"/>
  <c r="AL120" i="1" s="1"/>
  <c r="AN187" i="1"/>
  <c r="AP187" i="1" s="1"/>
  <c r="AN168" i="1"/>
  <c r="AP168" i="1" s="1"/>
  <c r="AK84" i="1"/>
  <c r="AL84" i="1" s="1"/>
  <c r="AK161" i="1"/>
  <c r="AL161" i="1" s="1"/>
  <c r="AO95" i="1"/>
  <c r="AQ95" i="1" s="1"/>
  <c r="AK197" i="1"/>
  <c r="AL197" i="1" s="1"/>
  <c r="AK79" i="1"/>
  <c r="AL79" i="1" s="1"/>
  <c r="AO142" i="1"/>
  <c r="AQ142" i="1" s="1"/>
  <c r="AT105" i="1"/>
  <c r="AN120" i="1"/>
  <c r="AP120" i="1" s="1"/>
  <c r="AO197" i="1"/>
  <c r="AT197" i="1" s="1"/>
  <c r="AK209" i="1"/>
  <c r="AL209" i="1" s="1"/>
  <c r="AO180" i="1"/>
  <c r="AQ180" i="1" s="1"/>
  <c r="AK98" i="1"/>
  <c r="AL98" i="1" s="1"/>
  <c r="AO154" i="1"/>
  <c r="AT154" i="1" s="1"/>
  <c r="AO139" i="1"/>
  <c r="AQ139" i="1" s="1"/>
  <c r="AO98" i="1"/>
  <c r="AQ98" i="1" s="1"/>
  <c r="AK139" i="1"/>
  <c r="AL139" i="1" s="1"/>
  <c r="AN41" i="1"/>
  <c r="AP41" i="1" s="1"/>
  <c r="AK81" i="1"/>
  <c r="AL81" i="1" s="1"/>
  <c r="AK127" i="1"/>
  <c r="AL127" i="1" s="1"/>
  <c r="AK226" i="1"/>
  <c r="AL226" i="1" s="1"/>
  <c r="AO81" i="1"/>
  <c r="AQ81" i="1" s="1"/>
  <c r="AK172" i="1"/>
  <c r="AL172" i="1" s="1"/>
  <c r="AK189" i="1"/>
  <c r="AL189" i="1" s="1"/>
  <c r="AO127" i="1"/>
  <c r="AQ127" i="1" s="1"/>
  <c r="AK115" i="1"/>
  <c r="AL115" i="1" s="1"/>
  <c r="AO226" i="1"/>
  <c r="AQ226" i="1" s="1"/>
  <c r="AO74" i="1"/>
  <c r="AQ74" i="1" s="1"/>
  <c r="AN172" i="1"/>
  <c r="AP172" i="1" s="1"/>
  <c r="AO189" i="1"/>
  <c r="AQ189" i="1" s="1"/>
  <c r="AO115" i="1"/>
  <c r="AQ115" i="1" s="1"/>
  <c r="AO85" i="1"/>
  <c r="AT85" i="1" s="1"/>
  <c r="AN130" i="1"/>
  <c r="AP130" i="1" s="1"/>
  <c r="AN117" i="1"/>
  <c r="AP117" i="1" s="1"/>
  <c r="AQ65" i="1"/>
  <c r="AO170" i="1"/>
  <c r="AT170" i="1" s="1"/>
  <c r="AN170" i="1"/>
  <c r="AP170" i="1" s="1"/>
  <c r="AN49" i="1"/>
  <c r="AP49" i="1" s="1"/>
  <c r="AO117" i="1"/>
  <c r="AT117" i="1" s="1"/>
  <c r="AO147" i="1"/>
  <c r="AQ147" i="1" s="1"/>
  <c r="AO125" i="1"/>
  <c r="AQ125" i="1" s="1"/>
  <c r="AN125" i="1"/>
  <c r="AP125" i="1" s="1"/>
  <c r="AO130" i="1"/>
  <c r="AQ130" i="1" s="1"/>
  <c r="AK76" i="1"/>
  <c r="AL76" i="1" s="1"/>
  <c r="AK142" i="1"/>
  <c r="AL142" i="1" s="1"/>
  <c r="AO182" i="1"/>
  <c r="AT182" i="1" s="1"/>
  <c r="AT15" i="1"/>
  <c r="AO75" i="1"/>
  <c r="AT75" i="1" s="1"/>
  <c r="AO41" i="1"/>
  <c r="AT41" i="1" s="1"/>
  <c r="AT52" i="1"/>
  <c r="AK147" i="1"/>
  <c r="AL147" i="1" s="1"/>
  <c r="AN194" i="1"/>
  <c r="AP194" i="1" s="1"/>
  <c r="AN79" i="1"/>
  <c r="AP79" i="1" s="1"/>
  <c r="AN75" i="1"/>
  <c r="AP75" i="1" s="1"/>
  <c r="AN134" i="1"/>
  <c r="AP134" i="1" s="1"/>
  <c r="AO135" i="1"/>
  <c r="AT135" i="1" s="1"/>
  <c r="AK153" i="1"/>
  <c r="AL153" i="1" s="1"/>
  <c r="AO40" i="1"/>
  <c r="AQ40" i="1" s="1"/>
  <c r="AK107" i="1"/>
  <c r="AL107" i="1" s="1"/>
  <c r="AK176" i="1"/>
  <c r="AL176" i="1" s="1"/>
  <c r="AQ194" i="1"/>
  <c r="AN40" i="1"/>
  <c r="AP40" i="1" s="1"/>
  <c r="AO205" i="1"/>
  <c r="AQ205" i="1" s="1"/>
  <c r="AN107" i="1"/>
  <c r="AP107" i="1" s="1"/>
  <c r="AQ79" i="1"/>
  <c r="AN219" i="1"/>
  <c r="AP219" i="1" s="1"/>
  <c r="AN95" i="1"/>
  <c r="AP95" i="1" s="1"/>
  <c r="AK219" i="1"/>
  <c r="AL219" i="1" s="1"/>
  <c r="AT112" i="1"/>
  <c r="AO181" i="1"/>
  <c r="AQ181" i="1" s="1"/>
  <c r="AN153" i="1"/>
  <c r="AP153" i="1" s="1"/>
  <c r="AK135" i="1"/>
  <c r="AL135" i="1" s="1"/>
  <c r="AN196" i="1"/>
  <c r="AP196" i="1" s="1"/>
  <c r="AO151" i="1"/>
  <c r="AQ151" i="1" s="1"/>
  <c r="AN103" i="1"/>
  <c r="AP103" i="1" s="1"/>
  <c r="AK105" i="1"/>
  <c r="AL105" i="1" s="1"/>
  <c r="AN201" i="1"/>
  <c r="AP201" i="1" s="1"/>
  <c r="AO171" i="1"/>
  <c r="AT171" i="1" s="1"/>
  <c r="AN178" i="1"/>
  <c r="AP178" i="1" s="1"/>
  <c r="AN223" i="1"/>
  <c r="AP223" i="1" s="1"/>
  <c r="AO140" i="1"/>
  <c r="AQ140" i="1" s="1"/>
  <c r="AK196" i="1"/>
  <c r="AL196" i="1" s="1"/>
  <c r="AK140" i="1"/>
  <c r="AL140" i="1" s="1"/>
  <c r="AO223" i="1"/>
  <c r="AT223" i="1" s="1"/>
  <c r="AK91" i="1"/>
  <c r="AL91" i="1" s="1"/>
  <c r="AK77" i="1"/>
  <c r="AL77" i="1" s="1"/>
  <c r="AT196" i="1"/>
  <c r="AO91" i="1"/>
  <c r="AQ91" i="1" s="1"/>
  <c r="AK201" i="1"/>
  <c r="AL201" i="1" s="1"/>
  <c r="AN151" i="1"/>
  <c r="AP151" i="1" s="1"/>
  <c r="AN155" i="1"/>
  <c r="AP155" i="1" s="1"/>
  <c r="AN110" i="1"/>
  <c r="AP110" i="1" s="1"/>
  <c r="AO77" i="1"/>
  <c r="AQ77" i="1" s="1"/>
  <c r="AK146" i="1"/>
  <c r="AL146" i="1" s="1"/>
  <c r="AN105" i="1"/>
  <c r="AP105" i="1" s="1"/>
  <c r="AK232" i="1"/>
  <c r="AL232" i="1" s="1"/>
  <c r="AQ237" i="1"/>
  <c r="AN176" i="1"/>
  <c r="AP176" i="1" s="1"/>
  <c r="AO110" i="1"/>
  <c r="AQ110" i="1" s="1"/>
  <c r="AQ177" i="1"/>
  <c r="AK178" i="1"/>
  <c r="AL178" i="1" s="1"/>
  <c r="AO155" i="1"/>
  <c r="AQ155" i="1" s="1"/>
  <c r="AK150" i="1"/>
  <c r="AL150" i="1" s="1"/>
  <c r="AN205" i="1"/>
  <c r="AP205" i="1" s="1"/>
  <c r="AK49" i="1"/>
  <c r="AL49" i="1" s="1"/>
  <c r="AN231" i="1"/>
  <c r="AP231" i="1" s="1"/>
  <c r="AN74" i="1"/>
  <c r="AP74" i="1" s="1"/>
  <c r="AO102" i="1"/>
  <c r="AT102" i="1" s="1"/>
  <c r="AO163" i="1"/>
  <c r="AK163" i="1"/>
  <c r="AL163" i="1" s="1"/>
  <c r="AN150" i="1"/>
  <c r="AP150" i="1" s="1"/>
  <c r="AQ150" i="1"/>
  <c r="AK204" i="1"/>
  <c r="AL204" i="1" s="1"/>
  <c r="AQ9" i="1"/>
  <c r="AQ72" i="1"/>
  <c r="AN129" i="1"/>
  <c r="AP129" i="1" s="1"/>
  <c r="AK194" i="1"/>
  <c r="AL194" i="1" s="1"/>
  <c r="AQ235" i="1"/>
  <c r="AO229" i="1"/>
  <c r="AT229" i="1" s="1"/>
  <c r="AN102" i="1"/>
  <c r="AP102" i="1" s="1"/>
  <c r="AK231" i="1"/>
  <c r="AL231" i="1" s="1"/>
  <c r="AN76" i="1"/>
  <c r="AP76" i="1" s="1"/>
  <c r="AN204" i="1"/>
  <c r="AP204" i="1" s="1"/>
  <c r="AK83" i="1"/>
  <c r="AL83" i="1" s="1"/>
  <c r="AO83" i="1"/>
  <c r="AQ83" i="1" s="1"/>
  <c r="AN72" i="1"/>
  <c r="AP72" i="1" s="1"/>
  <c r="AT45" i="1"/>
  <c r="AN177" i="1"/>
  <c r="AP177" i="1" s="1"/>
  <c r="AN232" i="1"/>
  <c r="AP232" i="1" s="1"/>
  <c r="AQ70" i="1"/>
  <c r="AT22" i="1"/>
  <c r="AQ168" i="1"/>
  <c r="AK171" i="1"/>
  <c r="AL171" i="1" s="1"/>
  <c r="AR1" i="1"/>
  <c r="AN229" i="1"/>
  <c r="AP229" i="1" s="1"/>
  <c r="AT76" i="1"/>
  <c r="AN181" i="1"/>
  <c r="AP181" i="1" s="1"/>
  <c r="AN163" i="1"/>
  <c r="AP163" i="1" s="1"/>
  <c r="AT199" i="1"/>
  <c r="AQ199" i="1"/>
  <c r="AK124" i="1"/>
  <c r="AL124" i="1" s="1"/>
  <c r="AO124" i="1"/>
  <c r="AK128" i="1"/>
  <c r="AL128" i="1" s="1"/>
  <c r="AO128" i="1"/>
  <c r="AK144" i="1"/>
  <c r="AL144" i="1" s="1"/>
  <c r="AO144" i="1"/>
  <c r="AQ240" i="1"/>
  <c r="AT240" i="1"/>
  <c r="AO123" i="1"/>
  <c r="AK123" i="1"/>
  <c r="AL123" i="1" s="1"/>
  <c r="AO161" i="1"/>
  <c r="AT161" i="1" s="1"/>
  <c r="AK112" i="1"/>
  <c r="AL112" i="1" s="1"/>
  <c r="AT20" i="1"/>
  <c r="AQ20" i="1"/>
  <c r="AN203" i="1"/>
  <c r="AP203" i="1" s="1"/>
  <c r="AN123" i="1"/>
  <c r="AP123" i="1" s="1"/>
  <c r="AT64" i="1"/>
  <c r="AQ64" i="1"/>
  <c r="AK174" i="1"/>
  <c r="AL174" i="1" s="1"/>
  <c r="AO174" i="1"/>
  <c r="AO108" i="1"/>
  <c r="AK108" i="1"/>
  <c r="AL108" i="1" s="1"/>
  <c r="AK222" i="1"/>
  <c r="AL222" i="1" s="1"/>
  <c r="AO222" i="1"/>
  <c r="AT62" i="1"/>
  <c r="AQ62" i="1"/>
  <c r="AK141" i="1"/>
  <c r="AL141" i="1" s="1"/>
  <c r="AO141" i="1"/>
  <c r="AN157" i="1"/>
  <c r="AP157" i="1" s="1"/>
  <c r="AN124" i="1"/>
  <c r="AP124" i="1" s="1"/>
  <c r="AN144" i="1"/>
  <c r="AP144" i="1" s="1"/>
  <c r="AN112" i="1"/>
  <c r="AP112" i="1" s="1"/>
  <c r="AO138" i="1"/>
  <c r="AK138" i="1"/>
  <c r="AL138" i="1" s="1"/>
  <c r="AN141" i="1"/>
  <c r="AP141" i="1" s="1"/>
  <c r="AN174" i="1"/>
  <c r="AP174" i="1" s="1"/>
  <c r="AK157" i="1"/>
  <c r="AL157" i="1" s="1"/>
  <c r="AK203" i="1"/>
  <c r="AL203" i="1" s="1"/>
  <c r="AN121" i="1"/>
  <c r="AP121" i="1" s="1"/>
  <c r="AK134" i="1"/>
  <c r="AL134" i="1" s="1"/>
  <c r="AN108" i="1"/>
  <c r="AP108" i="1" s="1"/>
  <c r="AN158" i="1"/>
  <c r="AP158" i="1" s="1"/>
  <c r="AK129" i="1"/>
  <c r="AL129" i="1" s="1"/>
  <c r="AO121" i="1"/>
  <c r="AT121" i="1" s="1"/>
  <c r="AN146" i="1"/>
  <c r="AP146" i="1" s="1"/>
  <c r="AK208" i="1"/>
  <c r="AL208" i="1" s="1"/>
  <c r="AK149" i="1"/>
  <c r="AL149" i="1" s="1"/>
  <c r="AO149" i="1"/>
  <c r="AK99" i="1"/>
  <c r="AL99" i="1" s="1"/>
  <c r="AO99" i="1"/>
  <c r="AN128" i="1"/>
  <c r="AP128" i="1" s="1"/>
  <c r="AO186" i="1"/>
  <c r="AQ186" i="1" s="1"/>
  <c r="AN186" i="1"/>
  <c r="AP186" i="1" s="1"/>
  <c r="AO158" i="1"/>
  <c r="AT158" i="1" s="1"/>
  <c r="AK103" i="1"/>
  <c r="AL103" i="1" s="1"/>
  <c r="AO208" i="1"/>
  <c r="AQ208" i="1" s="1"/>
  <c r="AK96" i="1"/>
  <c r="AL96" i="1" s="1"/>
  <c r="AO96" i="1"/>
  <c r="AO243" i="1"/>
  <c r="AQ243" i="1" s="1"/>
  <c r="AK243" i="1"/>
  <c r="AL243" i="1" s="1"/>
  <c r="AQ34" i="1"/>
  <c r="AK89" i="1"/>
  <c r="AL89" i="1" s="1"/>
  <c r="AO89" i="1"/>
  <c r="AT201" i="1"/>
  <c r="AK72" i="1"/>
  <c r="AL72" i="1" s="1"/>
  <c r="AN236" i="1"/>
  <c r="AP236" i="1" s="1"/>
  <c r="AK236" i="1"/>
  <c r="AL236" i="1" s="1"/>
  <c r="AK241" i="1"/>
  <c r="AL241" i="1" s="1"/>
  <c r="AN149" i="1"/>
  <c r="AP149" i="1" s="1"/>
  <c r="AK168" i="1"/>
  <c r="AL168" i="1" s="1"/>
  <c r="AT69" i="1"/>
  <c r="AQ69" i="1"/>
  <c r="AO200" i="1"/>
  <c r="AK200" i="1"/>
  <c r="AL200" i="1" s="1"/>
  <c r="AN200" i="1"/>
  <c r="AP200" i="1" s="1"/>
  <c r="AT242" i="1"/>
  <c r="AQ59" i="1"/>
  <c r="AT59" i="1"/>
  <c r="AT103" i="1"/>
  <c r="AQ103" i="1"/>
  <c r="AK175" i="1"/>
  <c r="AL175" i="1" s="1"/>
  <c r="AO175" i="1"/>
  <c r="AQ172" i="1"/>
  <c r="AT172" i="1"/>
  <c r="AO230" i="1"/>
  <c r="AK230" i="1"/>
  <c r="AL230" i="1" s="1"/>
  <c r="AT231" i="1"/>
  <c r="AQ231" i="1"/>
  <c r="AQ227" i="1"/>
  <c r="AT227" i="1"/>
  <c r="AT183" i="1"/>
  <c r="AQ183" i="1"/>
  <c r="AQ165" i="1"/>
  <c r="AT165" i="1"/>
  <c r="AQ162" i="1"/>
  <c r="AT162" i="1"/>
  <c r="AO221" i="1"/>
  <c r="AK221" i="1"/>
  <c r="AL221" i="1" s="1"/>
  <c r="AQ67" i="1"/>
  <c r="AT67" i="1"/>
  <c r="AO56" i="1"/>
  <c r="AK56" i="1"/>
  <c r="AL56" i="1" s="1"/>
  <c r="AN175" i="1"/>
  <c r="AP175" i="1" s="1"/>
  <c r="AT213" i="1"/>
  <c r="AQ213" i="1"/>
  <c r="AO80" i="1"/>
  <c r="AK80" i="1"/>
  <c r="AL80" i="1" s="1"/>
  <c r="AQ55" i="1"/>
  <c r="AT55" i="1"/>
  <c r="AP8" i="1"/>
  <c r="AO198" i="1"/>
  <c r="AK198" i="1"/>
  <c r="AL198" i="1" s="1"/>
  <c r="AQ134" i="1"/>
  <c r="AT134" i="1"/>
  <c r="AK37" i="1"/>
  <c r="AL37" i="1" s="1"/>
  <c r="AO37" i="1"/>
  <c r="AT236" i="1"/>
  <c r="AQ236" i="1"/>
  <c r="AT232" i="1"/>
  <c r="AQ232" i="1"/>
  <c r="AK133" i="1"/>
  <c r="AL133" i="1" s="1"/>
  <c r="AO133" i="1"/>
  <c r="AT153" i="1"/>
  <c r="AQ153" i="1"/>
  <c r="AQ12" i="1"/>
  <c r="AT12" i="1"/>
  <c r="AO137" i="1"/>
  <c r="AK137" i="1"/>
  <c r="AL137" i="1" s="1"/>
  <c r="AK136" i="1"/>
  <c r="AL136" i="1" s="1"/>
  <c r="AO136" i="1"/>
  <c r="AO211" i="1"/>
  <c r="AK211" i="1"/>
  <c r="AL211" i="1" s="1"/>
  <c r="AT11" i="1"/>
  <c r="AQ11" i="1"/>
  <c r="AN221" i="1"/>
  <c r="AP221" i="1" s="1"/>
  <c r="AQ173" i="1"/>
  <c r="AT173" i="1"/>
  <c r="AQ157" i="1"/>
  <c r="AT157" i="1"/>
  <c r="AQ185" i="1"/>
  <c r="AT185" i="1"/>
  <c r="AO109" i="1"/>
  <c r="AK109" i="1"/>
  <c r="AL109" i="1" s="1"/>
  <c r="AQ43" i="1"/>
  <c r="AT43" i="1"/>
  <c r="AH1" i="1"/>
  <c r="AK166" i="1"/>
  <c r="AL166" i="1" s="1"/>
  <c r="AO166" i="1"/>
  <c r="AR2" i="1"/>
  <c r="AO90" i="1"/>
  <c r="AK90" i="1"/>
  <c r="AL90" i="1" s="1"/>
  <c r="AQ13" i="1"/>
  <c r="AT13" i="1"/>
  <c r="AO191" i="1"/>
  <c r="AK191" i="1"/>
  <c r="AL191" i="1" s="1"/>
  <c r="AT8" i="1"/>
  <c r="AQ8" i="1"/>
  <c r="AQ129" i="1"/>
  <c r="AT129" i="1"/>
  <c r="AO36" i="1"/>
  <c r="AK36" i="1"/>
  <c r="AN211" i="1"/>
  <c r="AP211" i="1" s="1"/>
  <c r="AN44" i="1"/>
  <c r="AP44" i="1" s="1"/>
  <c r="AK44" i="1"/>
  <c r="AL44" i="1" s="1"/>
  <c r="AO44" i="1"/>
  <c r="AN198" i="1"/>
  <c r="AP198" i="1" s="1"/>
  <c r="AO86" i="1"/>
  <c r="AK86" i="1"/>
  <c r="AL86" i="1" s="1"/>
  <c r="AN86" i="1"/>
  <c r="AP86" i="1" s="1"/>
  <c r="AT73" i="1"/>
  <c r="AQ73" i="1"/>
  <c r="AQ146" i="1"/>
  <c r="AT146" i="1"/>
  <c r="AK118" i="1"/>
  <c r="AL118" i="1" s="1"/>
  <c r="AO118" i="1"/>
  <c r="AN133" i="1"/>
  <c r="AP133" i="1" s="1"/>
  <c r="AQ192" i="1"/>
  <c r="AT192" i="1"/>
  <c r="AT220" i="1"/>
  <c r="AQ220" i="1"/>
  <c r="AN136" i="1"/>
  <c r="AP136" i="1" s="1"/>
  <c r="AQ120" i="1"/>
  <c r="AT120" i="1"/>
  <c r="AK106" i="1"/>
  <c r="AL106" i="1" s="1"/>
  <c r="AO106" i="1"/>
  <c r="AN80" i="1"/>
  <c r="AP80" i="1" s="1"/>
  <c r="AK113" i="1"/>
  <c r="AL113" i="1" s="1"/>
  <c r="AO113" i="1"/>
  <c r="AK212" i="1"/>
  <c r="AL212" i="1" s="1"/>
  <c r="AO212" i="1"/>
  <c r="AO97" i="1"/>
  <c r="AK97" i="1"/>
  <c r="AL97" i="1" s="1"/>
  <c r="AT204" i="1"/>
  <c r="AQ204" i="1"/>
  <c r="AT203" i="1"/>
  <c r="AQ203" i="1"/>
  <c r="AN118" i="1"/>
  <c r="AP118" i="1" s="1"/>
  <c r="AQ107" i="1"/>
  <c r="AT107" i="1"/>
  <c r="AQ61" i="1"/>
  <c r="AT61" i="1"/>
  <c r="AQ42" i="1"/>
  <c r="AT42" i="1"/>
  <c r="AT178" i="1"/>
  <c r="AQ178" i="1"/>
  <c r="AN137" i="1"/>
  <c r="AP137" i="1" s="1"/>
  <c r="AT122" i="1"/>
  <c r="AQ122" i="1"/>
  <c r="AQ116" i="1"/>
  <c r="AT116" i="1"/>
  <c r="AQ39" i="1"/>
  <c r="AT39" i="1"/>
  <c r="AK195" i="1"/>
  <c r="AL195" i="1" s="1"/>
  <c r="AO195" i="1"/>
  <c r="AN109" i="1"/>
  <c r="AP109" i="1" s="1"/>
  <c r="AK78" i="1"/>
  <c r="AL78" i="1" s="1"/>
  <c r="AO78" i="1"/>
  <c r="AN78" i="1"/>
  <c r="AP78" i="1" s="1"/>
  <c r="AN111" i="1"/>
  <c r="AP111" i="1" s="1"/>
  <c r="AK111" i="1"/>
  <c r="AL111" i="1" s="1"/>
  <c r="AO111" i="1"/>
  <c r="AN56" i="1"/>
  <c r="AP56" i="1" s="1"/>
  <c r="AN195" i="1"/>
  <c r="AP195" i="1" s="1"/>
  <c r="AT104" i="1"/>
  <c r="AQ104" i="1"/>
  <c r="AH2" i="1"/>
  <c r="AQ14" i="1"/>
  <c r="AT14" i="1"/>
  <c r="AQ68" i="1"/>
  <c r="AT68" i="1"/>
  <c r="AN106" i="1"/>
  <c r="AP106" i="1" s="1"/>
  <c r="AQ60" i="1"/>
  <c r="AT60" i="1"/>
  <c r="AT207" i="1"/>
  <c r="AQ207" i="1"/>
  <c r="AT58" i="1"/>
  <c r="AQ58" i="1"/>
  <c r="AT238" i="1"/>
  <c r="AQ238" i="1"/>
  <c r="AP298" i="1" l="1"/>
  <c r="AP2" i="1" s="1"/>
  <c r="AQ188" i="1"/>
  <c r="AQ148" i="1"/>
  <c r="AT228" i="1"/>
  <c r="AT239" i="1"/>
  <c r="AT94" i="1"/>
  <c r="AT218" i="1"/>
  <c r="AT215" i="1"/>
  <c r="AQ131" i="1"/>
  <c r="AT160" i="1"/>
  <c r="AQ179" i="1"/>
  <c r="AQ100" i="1"/>
  <c r="AT57" i="1"/>
  <c r="AT193" i="1"/>
  <c r="AQ143" i="1"/>
  <c r="AQ46" i="1"/>
  <c r="AQ210" i="1"/>
  <c r="AT101" i="1"/>
  <c r="AQ119" i="1"/>
  <c r="AQ169" i="1"/>
  <c r="AQ217" i="1"/>
  <c r="AQ114" i="1"/>
  <c r="AT159" i="1"/>
  <c r="AT216" i="1"/>
  <c r="AQ92" i="1"/>
  <c r="AQ224" i="1"/>
  <c r="AT202" i="1"/>
  <c r="AT214" i="1"/>
  <c r="AQ126" i="1"/>
  <c r="AT164" i="1"/>
  <c r="AQ190" i="1"/>
  <c r="AT152" i="1"/>
  <c r="AQ145" i="1"/>
  <c r="AT233" i="1"/>
  <c r="AT84" i="1"/>
  <c r="AQ156" i="1"/>
  <c r="AT93" i="1"/>
  <c r="AT88" i="1"/>
  <c r="AQ209" i="1"/>
  <c r="AT132" i="1"/>
  <c r="AQ154" i="1"/>
  <c r="AQ41" i="1"/>
  <c r="AT127" i="1"/>
  <c r="AT151" i="1"/>
  <c r="AT139" i="1"/>
  <c r="AQ117" i="1"/>
  <c r="AQ197" i="1"/>
  <c r="AT180" i="1"/>
  <c r="AT95" i="1"/>
  <c r="AT81" i="1"/>
  <c r="AT142" i="1"/>
  <c r="AT74" i="1"/>
  <c r="AQ229" i="1"/>
  <c r="AT115" i="1"/>
  <c r="AQ171" i="1"/>
  <c r="AT186" i="1"/>
  <c r="AT125" i="1"/>
  <c r="AQ182" i="1"/>
  <c r="AT98" i="1"/>
  <c r="AT226" i="1"/>
  <c r="AT205" i="1"/>
  <c r="AQ170" i="1"/>
  <c r="AQ75" i="1"/>
  <c r="AT77" i="1"/>
  <c r="AT130" i="1"/>
  <c r="AQ85" i="1"/>
  <c r="AT147" i="1"/>
  <c r="AT189" i="1"/>
  <c r="AQ135" i="1"/>
  <c r="AQ102" i="1"/>
  <c r="AQ223" i="1"/>
  <c r="AT181" i="1"/>
  <c r="AT40" i="1"/>
  <c r="AT155" i="1"/>
  <c r="AQ161" i="1"/>
  <c r="AT208" i="1"/>
  <c r="AT140" i="1"/>
  <c r="AT91" i="1"/>
  <c r="AT110" i="1"/>
  <c r="AQ121" i="1"/>
  <c r="AO1" i="1"/>
  <c r="AT163" i="1"/>
  <c r="AQ163" i="1"/>
  <c r="AT83" i="1"/>
  <c r="AT99" i="1"/>
  <c r="AQ99" i="1"/>
  <c r="AQ123" i="1"/>
  <c r="AT123" i="1"/>
  <c r="AT96" i="1"/>
  <c r="AQ96" i="1"/>
  <c r="AQ141" i="1"/>
  <c r="AT141" i="1"/>
  <c r="AT128" i="1"/>
  <c r="AQ128" i="1"/>
  <c r="AT89" i="1"/>
  <c r="AQ89" i="1"/>
  <c r="AT222" i="1"/>
  <c r="AQ222" i="1"/>
  <c r="AT200" i="1"/>
  <c r="AQ200" i="1"/>
  <c r="AQ138" i="1"/>
  <c r="AT138" i="1"/>
  <c r="AT243" i="1"/>
  <c r="AQ158" i="1"/>
  <c r="AT241" i="1"/>
  <c r="AQ108" i="1"/>
  <c r="AT108" i="1"/>
  <c r="AT149" i="1"/>
  <c r="AQ149" i="1"/>
  <c r="AT144" i="1"/>
  <c r="AQ144" i="1"/>
  <c r="AQ124" i="1"/>
  <c r="AT124" i="1"/>
  <c r="AT174" i="1"/>
  <c r="AQ174" i="1"/>
  <c r="AT137" i="1"/>
  <c r="AQ137" i="1"/>
  <c r="AT175" i="1"/>
  <c r="AQ175" i="1"/>
  <c r="AT56" i="1"/>
  <c r="AQ56" i="1"/>
  <c r="AN1" i="1"/>
  <c r="AQ36" i="1"/>
  <c r="AT36" i="1"/>
  <c r="AO2" i="1"/>
  <c r="AT221" i="1"/>
  <c r="AQ221" i="1"/>
  <c r="AN2" i="1"/>
  <c r="AT106" i="1"/>
  <c r="AQ106" i="1"/>
  <c r="AT118" i="1"/>
  <c r="AQ118" i="1"/>
  <c r="AQ109" i="1"/>
  <c r="AT109" i="1"/>
  <c r="AK2" i="1"/>
  <c r="AK1" i="1"/>
  <c r="AT230" i="1"/>
  <c r="AQ230" i="1"/>
  <c r="AT90" i="1"/>
  <c r="AQ90" i="1"/>
  <c r="AT195" i="1"/>
  <c r="AQ195" i="1"/>
  <c r="AT97" i="1"/>
  <c r="AQ97" i="1"/>
  <c r="AT198" i="1"/>
  <c r="AQ198" i="1"/>
  <c r="AQ212" i="1"/>
  <c r="AT212" i="1"/>
  <c r="AT86" i="1"/>
  <c r="AQ86" i="1"/>
  <c r="AT166" i="1"/>
  <c r="AQ166" i="1"/>
  <c r="AT136" i="1"/>
  <c r="AQ136" i="1"/>
  <c r="AT80" i="1"/>
  <c r="AQ80" i="1"/>
  <c r="AT78" i="1"/>
  <c r="AQ78" i="1"/>
  <c r="AT191" i="1"/>
  <c r="AQ191" i="1"/>
  <c r="AT37" i="1"/>
  <c r="AQ37" i="1"/>
  <c r="AL1" i="1"/>
  <c r="AL2" i="1"/>
  <c r="AT133" i="1"/>
  <c r="AQ133" i="1"/>
  <c r="AQ211" i="1"/>
  <c r="AT211" i="1"/>
  <c r="AT111" i="1"/>
  <c r="AQ111" i="1"/>
  <c r="AT113" i="1"/>
  <c r="AQ113" i="1"/>
  <c r="AT44" i="1"/>
  <c r="AQ44" i="1"/>
  <c r="AP1" i="1" l="1"/>
  <c r="AQ1" i="1"/>
  <c r="AQ2" i="1"/>
  <c r="BT2" i="1" a="1"/>
  <c r="BT2" i="1" s="1"/>
  <c r="BU2" i="1" a="1"/>
  <c r="BU2" i="1" s="1"/>
  <c r="BC2" i="1" a="1"/>
  <c r="BC2" i="1" s="1"/>
  <c r="BM2" i="1" a="1"/>
  <c r="BM2" i="1" s="1"/>
  <c r="BB2" i="1" a="1"/>
  <c r="BB2" i="1" s="1"/>
  <c r="AV2" i="1" a="1"/>
  <c r="AV2" i="1" s="1"/>
  <c r="BG2" i="1" a="1"/>
  <c r="BG2" i="1" s="1"/>
  <c r="CD2" i="1" a="1"/>
  <c r="CD2" i="1" s="1"/>
  <c r="BJ2" i="1" a="1"/>
  <c r="BJ2" i="1" s="1"/>
  <c r="AY2" i="1" a="1"/>
  <c r="AY2" i="1" s="1"/>
  <c r="BF2" i="1" a="1"/>
  <c r="BF2" i="1" s="1"/>
  <c r="BQ2" i="1" a="1"/>
  <c r="BQ2" i="1" s="1"/>
  <c r="BS2" i="1" a="1"/>
  <c r="BS2" i="1" s="1"/>
  <c r="AX2" i="1" a="1"/>
  <c r="AX2" i="1" s="1"/>
  <c r="BR2" i="1" a="1"/>
  <c r="BR2" i="1" s="1"/>
  <c r="AW2" i="1" a="1"/>
  <c r="AW2" i="1" s="1"/>
  <c r="BD2" i="1"/>
  <c r="BV2" i="1" s="1"/>
  <c r="BZ2" i="1" a="1"/>
  <c r="BZ2" i="1" s="1"/>
  <c r="BP2" i="1" a="1"/>
  <c r="BP2" i="1" s="1"/>
  <c r="AZ2" i="1" a="1"/>
  <c r="AZ2" i="1" s="1"/>
  <c r="BY2" i="1" a="1"/>
  <c r="BY2" i="1" s="1"/>
  <c r="BK2" i="1" a="1"/>
  <c r="BK2" i="1" s="1"/>
  <c r="CC2" i="1" a="1"/>
  <c r="CC2" i="1" s="1"/>
  <c r="BA2" i="1" a="1"/>
  <c r="BA2" i="1" s="1"/>
  <c r="BO2" i="1" a="1"/>
  <c r="BO2" i="1" s="1"/>
  <c r="I5" i="10" l="1"/>
  <c r="P5" i="10"/>
  <c r="Q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BM19" authorId="0" shapeId="0" xr:uid="{BEAEFEE3-3F2B-49BA-AB22-C25538461DEB}">
      <text>
        <r>
          <rPr>
            <b/>
            <sz val="9"/>
            <color indexed="81"/>
            <rFont val="Tahoma"/>
            <family val="2"/>
          </rPr>
          <t xml:space="preserve">Deepak -Anagroci:
As per Murli Lokesh asked the % of rejection with cell 
</t>
        </r>
      </text>
    </comment>
    <comment ref="BM20" authorId="0" shapeId="0" xr:uid="{46B5B8F5-7B1B-4184-84D0-74A3B002FE4C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BM21" authorId="0" shapeId="0" xr:uid="{0E114477-3B75-438E-AA56-77BCE04E3844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AN22" authorId="0" shapeId="0" xr:uid="{FEAA6DF1-F80C-41A4-B63F-B79BB6D360C5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Referection Calculated 
1Bag =3kg
</t>
        </r>
      </text>
    </comment>
    <comment ref="AQ22" authorId="0" shapeId="0" xr:uid="{A6BA20C1-9DAB-4160-86FF-2180CC3B5276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Referection Calculated 
1Bag=3Kg
</t>
        </r>
      </text>
    </comment>
    <comment ref="BM22" authorId="0" shapeId="0" xr:uid="{BB63A55B-5789-49C0-9FC9-4C793CD372E6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BM23" authorId="0" shapeId="0" xr:uid="{681308F4-B6FC-43D3-AC20-5857710F7D38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AP88" authorId="0" shapeId="0" xr:uid="{D0D7DA6E-7EA6-4655-A6BB-0897F77D4518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Humid sac deducted
</t>
        </r>
      </text>
    </comment>
    <comment ref="AP120" authorId="0" shapeId="0" xr:uid="{62531B8D-EAFF-4FA9-9902-6D0250E53113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DEDUCTED 160
</t>
        </r>
      </text>
    </comment>
    <comment ref="AP122" authorId="0" shapeId="0" xr:uid="{C36BA8BC-84A5-4C15-B1C0-70651CE54DB6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DEEDUCTED -192=24*8
</t>
        </r>
      </text>
    </comment>
    <comment ref="O246" authorId="0" shapeId="0" xr:uid="{40C0F45E-C164-4627-AB89-D5614A575E0E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TRUCK CHANGED 
7650JJ04 TO 1767AY04
</t>
        </r>
      </text>
    </comment>
  </commentList>
</comments>
</file>

<file path=xl/sharedStrings.xml><?xml version="1.0" encoding="utf-8"?>
<sst xmlns="http://schemas.openxmlformats.org/spreadsheetml/2006/main" count="3185" uniqueCount="741">
  <si>
    <t>Daily Report 2026</t>
  </si>
  <si>
    <t>+Q:BC</t>
  </si>
  <si>
    <t>=S2/1000</t>
  </si>
  <si>
    <t xml:space="preserve">2500
</t>
  </si>
  <si>
    <t>Qualit Report - View-1</t>
  </si>
  <si>
    <t>Qualit Report - View-2</t>
  </si>
  <si>
    <t>SUMPRODUCT(AR5:AR5076,$Y5:$Y5076/$Y$2)</t>
  </si>
  <si>
    <t>Delivery Information</t>
  </si>
  <si>
    <t>Bags Information</t>
  </si>
  <si>
    <t>Physical  RCN Bag Stock</t>
  </si>
  <si>
    <t>BAGS INFORMATION</t>
  </si>
  <si>
    <t>OFFLLOADING</t>
  </si>
  <si>
    <t>Detailed Quality Information/ (Sampling Report)</t>
  </si>
  <si>
    <t>Detailed Quality Information/ (Final Offloading Report)</t>
  </si>
  <si>
    <t>S. No.</t>
  </si>
  <si>
    <t>Warehouse  / Site</t>
  </si>
  <si>
    <t xml:space="preserve">Warehouse </t>
  </si>
  <si>
    <t>Lot No</t>
  </si>
  <si>
    <t>Lot Dry</t>
  </si>
  <si>
    <t>Bordereau De Livraison)</t>
  </si>
  <si>
    <t>W/H Receipt No. (F.De DISCHARGMENT)</t>
  </si>
  <si>
    <t>FITCH DATE</t>
  </si>
  <si>
    <t>Date</t>
  </si>
  <si>
    <t>ACTIVITY</t>
  </si>
  <si>
    <t>Storage Area</t>
  </si>
  <si>
    <t xml:space="preserve"> No. Fiche CCA</t>
  </si>
  <si>
    <t>Truck No.</t>
  </si>
  <si>
    <t>Arrival Date</t>
  </si>
  <si>
    <t>Discharge Date</t>
  </si>
  <si>
    <t>Origin</t>
  </si>
  <si>
    <t>Supplier Name</t>
  </si>
  <si>
    <t xml:space="preserve">Linked </t>
  </si>
  <si>
    <t>CCA NO</t>
  </si>
  <si>
    <t>Supplier's Code</t>
  </si>
  <si>
    <t xml:space="preserve">Good Bag Offloaded </t>
  </si>
  <si>
    <t>Damaged Bag Offloladed</t>
  </si>
  <si>
    <t>Total Bag Discharged (Truck)</t>
  </si>
  <si>
    <t xml:space="preserve">Recondition  Bag </t>
  </si>
  <si>
    <t>Total Bag Stock (WH)</t>
  </si>
  <si>
    <t>New Bag (Used in Recondition)</t>
  </si>
  <si>
    <t xml:space="preserve">Bon Sacs </t>
  </si>
  <si>
    <t>Humid Sacs</t>
  </si>
  <si>
    <t>Sacs déchirés</t>
  </si>
  <si>
    <t>Recon Sacs</t>
  </si>
  <si>
    <t>Total Sacs/lot</t>
  </si>
  <si>
    <t>sacs exports</t>
  </si>
  <si>
    <t>sacs bio</t>
  </si>
  <si>
    <t>sacs brousses</t>
  </si>
  <si>
    <t>Total Recd</t>
  </si>
  <si>
    <t>Total Refraction (On Gross Wt)</t>
  </si>
  <si>
    <t>GRN qt(kg)</t>
  </si>
  <si>
    <t xml:space="preserve">Weight Paid </t>
  </si>
  <si>
    <t xml:space="preserve">Net Weight </t>
  </si>
  <si>
    <t>Diff</t>
  </si>
  <si>
    <t>NET WT AS PER BOOK</t>
  </si>
  <si>
    <t>GRN FRESH qty(kg)</t>
  </si>
  <si>
    <t>GRN dried qty(kg)</t>
  </si>
  <si>
    <t>BROWNS/Rejection (gm)</t>
  </si>
  <si>
    <t>VOIDS (gm)</t>
  </si>
  <si>
    <t>OIL (gm)</t>
  </si>
  <si>
    <t>TOT DEFECT</t>
  </si>
  <si>
    <t>Good Kernel (gm)</t>
  </si>
  <si>
    <t>Immature (gm)</t>
  </si>
  <si>
    <t>Spotted (gm)</t>
  </si>
  <si>
    <t>TOT KERNELS gm</t>
  </si>
  <si>
    <t>KOR</t>
  </si>
  <si>
    <t xml:space="preserve">Murli </t>
  </si>
  <si>
    <t>SHOT</t>
  </si>
  <si>
    <t>FOT</t>
  </si>
  <si>
    <t>Useful Kernels Yield %</t>
  </si>
  <si>
    <t>Total Yield %</t>
  </si>
  <si>
    <t>Moisture</t>
  </si>
  <si>
    <t>NC</t>
  </si>
  <si>
    <t>Shell (gm)</t>
  </si>
  <si>
    <t>BROWNS/Rejection (gm) (NUT)</t>
  </si>
  <si>
    <t>MURLI(TOTAL %)</t>
  </si>
  <si>
    <t>VOIDS (GM )</t>
  </si>
  <si>
    <t>OIL (g m)</t>
  </si>
  <si>
    <t>TOTAL DEFECT</t>
  </si>
  <si>
    <t>Good Kernel (G M)</t>
  </si>
  <si>
    <t>Immature (g m)</t>
  </si>
  <si>
    <t>Spotted (g m)</t>
  </si>
  <si>
    <t>TOT KERNELS (g m)</t>
  </si>
  <si>
    <t>KOR-</t>
  </si>
  <si>
    <t>Murli-</t>
  </si>
  <si>
    <t>After Dry -KOR</t>
  </si>
  <si>
    <t>SHOT-</t>
  </si>
  <si>
    <t>FOT-</t>
  </si>
  <si>
    <t>Useful Kernels Yield %2</t>
  </si>
  <si>
    <t>Total Yield %-</t>
  </si>
  <si>
    <t>Moisture-</t>
  </si>
  <si>
    <t>NC-</t>
  </si>
  <si>
    <t>Shell (gm)-</t>
  </si>
  <si>
    <t xml:space="preserve">Remarks </t>
  </si>
  <si>
    <t>Column3</t>
  </si>
  <si>
    <t>YAMOUSSOUKRO</t>
  </si>
  <si>
    <t>ANAGROCI-01</t>
  </si>
  <si>
    <t>25/02/2026</t>
  </si>
  <si>
    <t>B3</t>
  </si>
  <si>
    <t>4379LL 02</t>
  </si>
  <si>
    <t>VAVOUA</t>
  </si>
  <si>
    <t>SCAAMT COOP CA</t>
  </si>
  <si>
    <t>LBA-002-SCA</t>
  </si>
  <si>
    <t>1367 LH 01</t>
  </si>
  <si>
    <t>2744 KK 02</t>
  </si>
  <si>
    <t>26/02/2026</t>
  </si>
  <si>
    <t>AA 335 NH 01</t>
  </si>
  <si>
    <t>COP JAVA SCOOP</t>
  </si>
  <si>
    <t>LBA-005-JAV</t>
  </si>
  <si>
    <t>AA 114 NQ 02</t>
  </si>
  <si>
    <t xml:space="preserve">SOVA SCOOP </t>
  </si>
  <si>
    <t>DIS-005-SOV</t>
  </si>
  <si>
    <t>2319 LR 02</t>
  </si>
  <si>
    <t>285 LA 01</t>
  </si>
  <si>
    <t>2744 KK02</t>
  </si>
  <si>
    <t>7727 GR 01</t>
  </si>
  <si>
    <t>KOUNAHIRI</t>
  </si>
  <si>
    <t>RCN SOCOSAM</t>
  </si>
  <si>
    <t>DIS-011-SAM</t>
  </si>
  <si>
    <t>27/02/2026</t>
  </si>
  <si>
    <t>AA 721 PZ 01</t>
  </si>
  <si>
    <t>23/02/2026</t>
  </si>
  <si>
    <t>AA 944 AR 02</t>
  </si>
  <si>
    <t>2744KK02</t>
  </si>
  <si>
    <t>AA 944 AK</t>
  </si>
  <si>
    <t>8867 GY 03</t>
  </si>
  <si>
    <t>KOROGHO</t>
  </si>
  <si>
    <t>RCN SCOOPS SKS</t>
  </si>
  <si>
    <t>LBA-020-SKS</t>
  </si>
  <si>
    <t>5739 GH 01</t>
  </si>
  <si>
    <t>Dry Lot</t>
  </si>
  <si>
    <t>4379 LL 02</t>
  </si>
  <si>
    <t>WOROBOUGOU</t>
  </si>
  <si>
    <t>5739 GN 01</t>
  </si>
  <si>
    <t>5533 KT 01</t>
  </si>
  <si>
    <t>8751 EZ 01</t>
  </si>
  <si>
    <t>2744 kk 02</t>
  </si>
  <si>
    <t>5176LG04</t>
  </si>
  <si>
    <t>BONIEREDOUGOU</t>
  </si>
  <si>
    <t>SCOOPS WEBE(EUNI)</t>
  </si>
  <si>
    <t>LBA-004-WEB</t>
  </si>
  <si>
    <t>8751EZ01</t>
  </si>
  <si>
    <t>285LA01</t>
  </si>
  <si>
    <t>AV2744KK02</t>
  </si>
  <si>
    <t>32LA01/7741BE01</t>
  </si>
  <si>
    <t>DIANRA</t>
  </si>
  <si>
    <t>SCOOPS DPVICA</t>
  </si>
  <si>
    <t>LBA-017-DPV</t>
  </si>
  <si>
    <t>4981JR06/7378CB01</t>
  </si>
  <si>
    <t>SCOOPS WEBE (EUNI)</t>
  </si>
  <si>
    <t>AA944AR/AA740BB01</t>
  </si>
  <si>
    <t>AA680YJ/AR7672YR08</t>
  </si>
  <si>
    <t>DECARRE DAVID &amp; DJOUMA</t>
  </si>
  <si>
    <t>DIS-019-DEC</t>
  </si>
  <si>
    <t>8751EZ01/7636</t>
  </si>
  <si>
    <t>7695HJ01/520BH04</t>
  </si>
  <si>
    <t>1480LY01/6263HP01</t>
  </si>
  <si>
    <t>LBA-022-NEG</t>
  </si>
  <si>
    <t>2319LK02/5342BE03</t>
  </si>
  <si>
    <t>5533KT01/8841CG01</t>
  </si>
  <si>
    <t>7115GU01/7131</t>
  </si>
  <si>
    <t>AA944AR/AA7408RB</t>
  </si>
  <si>
    <t>1060KT04/1285KY04</t>
  </si>
  <si>
    <t>KANIASSO</t>
  </si>
  <si>
    <t xml:space="preserve"> SCOOPS-SOCOSIDJI</t>
  </si>
  <si>
    <t>LBA-001-SOC</t>
  </si>
  <si>
    <t>1714LE01/671HN01</t>
  </si>
  <si>
    <t>BOUAFLE</t>
  </si>
  <si>
    <t>DIS-021-KOB</t>
  </si>
  <si>
    <t>285LA01/3126FE02</t>
  </si>
  <si>
    <t>4379LL022/AA848RC</t>
  </si>
  <si>
    <t>2319LR02/5342BE03</t>
  </si>
  <si>
    <t>2744KK02/7778FX04</t>
  </si>
  <si>
    <t>3452HA01/7184EJ01</t>
  </si>
  <si>
    <t>SCOOPS COOPRES</t>
  </si>
  <si>
    <t>DIS-022-RES</t>
  </si>
  <si>
    <t>BOUNDIALI</t>
  </si>
  <si>
    <t>7603EY01/3725JE01</t>
  </si>
  <si>
    <t>KONONFIA</t>
  </si>
  <si>
    <t>SCOOPS ICFB</t>
  </si>
  <si>
    <t>DIS-023-ICF</t>
  </si>
  <si>
    <t>3937KT/8071CY05</t>
  </si>
  <si>
    <t>KOTI</t>
  </si>
  <si>
    <t>AA721PZ01/6248EQ01</t>
  </si>
  <si>
    <t>AA141VT01/7287JT01</t>
  </si>
  <si>
    <t>1847KS01/2119BC01</t>
  </si>
  <si>
    <t>AA562YL04/354LH01</t>
  </si>
  <si>
    <t>138GL01/136GL01</t>
  </si>
  <si>
    <t>AGNIBILEKRO</t>
  </si>
  <si>
    <t>3620KT01/4671EE01</t>
  </si>
  <si>
    <t>6139KV01/4326AT02</t>
  </si>
  <si>
    <t>DE MARAHOUE</t>
  </si>
  <si>
    <t>5739GH01/3196CX01</t>
  </si>
  <si>
    <t>AA721PZ01</t>
  </si>
  <si>
    <t>8751EZ01/7636HZ05</t>
  </si>
  <si>
    <t>4919KV01/2517KE03</t>
  </si>
  <si>
    <t>9527FV03/8454CF04</t>
  </si>
  <si>
    <t>MARANDALLAH</t>
  </si>
  <si>
    <t>SANOGO SINDOU</t>
  </si>
  <si>
    <t>LBA-021-SAN</t>
  </si>
  <si>
    <t>GUEMON</t>
  </si>
  <si>
    <t xml:space="preserve"> RCN SIMAYAT COOP CA</t>
  </si>
  <si>
    <t>DIS-025-SIM</t>
  </si>
  <si>
    <t>621KF01/8421BH01</t>
  </si>
  <si>
    <t>BAGOUE</t>
  </si>
  <si>
    <t xml:space="preserve"> RCN SCOOP BAOBAB</t>
  </si>
  <si>
    <t>DIS-027-BAO</t>
  </si>
  <si>
    <t>794JL01/4133CR03</t>
  </si>
  <si>
    <t>GUEZON</t>
  </si>
  <si>
    <t>SCOOPS DJGUISSEME</t>
  </si>
  <si>
    <t>AA333NH/78HV01</t>
  </si>
  <si>
    <t>285LA01/3126EE02</t>
  </si>
  <si>
    <t>938HF03/2633CX02</t>
  </si>
  <si>
    <t>GBEKE</t>
  </si>
  <si>
    <t>5365GX01/1920GG01</t>
  </si>
  <si>
    <t>2744KK02/777BF04</t>
  </si>
  <si>
    <t>2114LP01/93K604</t>
  </si>
  <si>
    <t>BOWNDIALI</t>
  </si>
  <si>
    <t>AA5760V02/877BHB01</t>
  </si>
  <si>
    <t>CPAS SCOOPS</t>
  </si>
  <si>
    <t>0429-0462</t>
  </si>
  <si>
    <t>DIS-029-CPA</t>
  </si>
  <si>
    <t>4919KN01/2517KE03</t>
  </si>
  <si>
    <t>8773JC01/3277CK04</t>
  </si>
  <si>
    <t>BERE</t>
  </si>
  <si>
    <t>RCN SCOOPS COOPRAKA</t>
  </si>
  <si>
    <t>LBA-018-COP</t>
  </si>
  <si>
    <t>5261JV01/5136JV02</t>
  </si>
  <si>
    <t>SASSANDRA</t>
  </si>
  <si>
    <t>270LC03/3175GB03</t>
  </si>
  <si>
    <t>PORO</t>
  </si>
  <si>
    <t xml:space="preserve">KONE ADAMA </t>
  </si>
  <si>
    <t>AA783NC03/3962KZ03</t>
  </si>
  <si>
    <t>AA721PZ0/624BEG01</t>
  </si>
  <si>
    <t>14/04/2026</t>
  </si>
  <si>
    <t>1361KL01/6210HV02</t>
  </si>
  <si>
    <t>13/04/2026</t>
  </si>
  <si>
    <t>1300L01/1366L01</t>
  </si>
  <si>
    <t>BAFFBEBO</t>
  </si>
  <si>
    <t>4434EZ01/4434EZ01</t>
  </si>
  <si>
    <t>GUESSABO</t>
  </si>
  <si>
    <t>1464KJ01/3330J04</t>
  </si>
  <si>
    <t>IBERE</t>
  </si>
  <si>
    <t>2542LG01/4982HG01</t>
  </si>
  <si>
    <t>1633LR01/3770HV01</t>
  </si>
  <si>
    <t>AB026AH/7354FY02</t>
  </si>
  <si>
    <t>15/04/2026</t>
  </si>
  <si>
    <t>696FV02/4139CR03</t>
  </si>
  <si>
    <t>AA141VT01/265BJ01</t>
  </si>
  <si>
    <t>AA359EJ/8882CG01</t>
  </si>
  <si>
    <t>MINIGNAN</t>
  </si>
  <si>
    <t>2028GY01/1591EQ01</t>
  </si>
  <si>
    <t>8567FK03/8568FK03</t>
  </si>
  <si>
    <t>7650GJ04/2490CF01</t>
  </si>
  <si>
    <t>16/04/2026</t>
  </si>
  <si>
    <t>KONANFLA</t>
  </si>
  <si>
    <t>SEITIFLA</t>
  </si>
  <si>
    <t>AA822NQ01/2818CZ01</t>
  </si>
  <si>
    <t>11AA095EV/1185FH04</t>
  </si>
  <si>
    <t>17/04/2026</t>
  </si>
  <si>
    <t>BOUKE</t>
  </si>
  <si>
    <t>SCOOPS CDAG</t>
  </si>
  <si>
    <t>AA721PZ01/624BEQ01</t>
  </si>
  <si>
    <t>AA439NX06/AA627LR04</t>
  </si>
  <si>
    <t>BONIERDOUGOU</t>
  </si>
  <si>
    <t>SCOOP EUNI</t>
  </si>
  <si>
    <t>3143LH03/954FS01</t>
  </si>
  <si>
    <t>HAUT SASSANDRA</t>
  </si>
  <si>
    <t>AA141VT01</t>
  </si>
  <si>
    <t>AA161JA03/AA216CV03</t>
  </si>
  <si>
    <t>18/04/2026</t>
  </si>
  <si>
    <t>SCOOPS PS</t>
  </si>
  <si>
    <t>0401-0094</t>
  </si>
  <si>
    <t>138BL01/136BL01</t>
  </si>
  <si>
    <t>ABENGOUROU</t>
  </si>
  <si>
    <t>DALOA</t>
  </si>
  <si>
    <t xml:space="preserve"> RCN SCOOP SAHS</t>
  </si>
  <si>
    <t>DIS-010-SAH</t>
  </si>
  <si>
    <t>319KV01/49KV02</t>
  </si>
  <si>
    <t>18/042026</t>
  </si>
  <si>
    <t>OCEAN NEGOSE</t>
  </si>
  <si>
    <t>DIS-034-OCE</t>
  </si>
  <si>
    <t>9086GX03/3340EK03</t>
  </si>
  <si>
    <t>5116HF01/1321CT01</t>
  </si>
  <si>
    <t>2743CU03/8763AZ03</t>
  </si>
  <si>
    <t>KOROGO</t>
  </si>
  <si>
    <t>SCOOP DYNAMAQUE-CDAG</t>
  </si>
  <si>
    <t>19/04/2026</t>
  </si>
  <si>
    <t>AA115LF01/8789JS04</t>
  </si>
  <si>
    <t>5740EH03/5742EH03</t>
  </si>
  <si>
    <t>BOUAKE</t>
  </si>
  <si>
    <t>2596FZ03/6947CU03</t>
  </si>
  <si>
    <t>4520KR01/7498BH02</t>
  </si>
  <si>
    <t>AA929ZT01/AA679JQ01</t>
  </si>
  <si>
    <t>20286Y01/1591EQ01</t>
  </si>
  <si>
    <t>1861K01/1648KR01</t>
  </si>
  <si>
    <t>4124JH03/8364BE01</t>
  </si>
  <si>
    <t>BELIER</t>
  </si>
  <si>
    <t>DIS-035-SNC</t>
  </si>
  <si>
    <t>9333WWCI01/AAB4BBC</t>
  </si>
  <si>
    <t>20/04/2026</t>
  </si>
  <si>
    <t>1889KH01/4102KG02</t>
  </si>
  <si>
    <t>MARAHOUE</t>
  </si>
  <si>
    <t>BAGOISE</t>
  </si>
  <si>
    <t>1361KL01/6218V02</t>
  </si>
  <si>
    <t>21/04/2026</t>
  </si>
  <si>
    <t>8774KS04</t>
  </si>
  <si>
    <t>DIS-036-SEY</t>
  </si>
  <si>
    <t>AA798AV/5489JE01</t>
  </si>
  <si>
    <t>AA161TA03</t>
  </si>
  <si>
    <t>550FL02/8832CP01</t>
  </si>
  <si>
    <t>23/04/2026</t>
  </si>
  <si>
    <t>DJEBONOUA</t>
  </si>
  <si>
    <t>SCOOPS LAGANFIA</t>
  </si>
  <si>
    <t>1388L01/1360L01</t>
  </si>
  <si>
    <t>22/04/2026</t>
  </si>
  <si>
    <t>IFFOU</t>
  </si>
  <si>
    <t>SCOOP CA BENKADI</t>
  </si>
  <si>
    <t>2767HC01/2774HC01</t>
  </si>
  <si>
    <t>5176LG/5177LG04</t>
  </si>
  <si>
    <t>HAMBOL</t>
  </si>
  <si>
    <t>SCOOPS EUNI(WEBE)</t>
  </si>
  <si>
    <t>7650BJ04/2490CF01</t>
  </si>
  <si>
    <t>17/03/2026</t>
  </si>
  <si>
    <t>AA717FV03/AA749FV03</t>
  </si>
  <si>
    <t>22/04/206</t>
  </si>
  <si>
    <t>AA141VT01/2658BJ01</t>
  </si>
  <si>
    <t>DIARNA</t>
  </si>
  <si>
    <t>AA547FT01/4022LU03</t>
  </si>
  <si>
    <t>BROBO</t>
  </si>
  <si>
    <t>6526HZ04/5374EQ04</t>
  </si>
  <si>
    <t>NAFANA</t>
  </si>
  <si>
    <t>4794HN01/9260CH01</t>
  </si>
  <si>
    <t>RCN SCOOPS AH AL NOUR</t>
  </si>
  <si>
    <t>LBA-016-NOU</t>
  </si>
  <si>
    <t>AA560LJ01/4094KC04</t>
  </si>
  <si>
    <t>KOLIA</t>
  </si>
  <si>
    <t>HOMBOL</t>
  </si>
  <si>
    <t>718-01</t>
  </si>
  <si>
    <t>3257KE01</t>
  </si>
  <si>
    <t>5446KV07/8128EC01</t>
  </si>
  <si>
    <t>CAPCD- SCOOPS</t>
  </si>
  <si>
    <t>LBA-010-CAP</t>
  </si>
  <si>
    <t>9970HE07/1562BY07</t>
  </si>
  <si>
    <t>4114JH03/B364BE01</t>
  </si>
  <si>
    <t>TIEBISSOU</t>
  </si>
  <si>
    <t>7444FK03/1845AZ03</t>
  </si>
  <si>
    <t>24/04/2026</t>
  </si>
  <si>
    <t>9791HS033/7200CL04</t>
  </si>
  <si>
    <t>MAKANO</t>
  </si>
  <si>
    <t>1861KY01/1648KR01</t>
  </si>
  <si>
    <t>AA518FY/B62</t>
  </si>
  <si>
    <t>SCOOPS PAGNG YELEN (CDAG)</t>
  </si>
  <si>
    <t>2605LP03/5697HR03</t>
  </si>
  <si>
    <t>1361KL01/6218HV02</t>
  </si>
  <si>
    <t>25/04/2026</t>
  </si>
  <si>
    <t>560GS01/4126HX03</t>
  </si>
  <si>
    <t>RCN SOCOOP ADD COOP CA</t>
  </si>
  <si>
    <t>DIS-039-DIS</t>
  </si>
  <si>
    <t>6589GN01/3779CN01</t>
  </si>
  <si>
    <t>6557HY07/2886JH07</t>
  </si>
  <si>
    <t>3679LF07/8304FH07</t>
  </si>
  <si>
    <t>4817JE04/8370JR04</t>
  </si>
  <si>
    <t>3543KB01/276BEE02</t>
  </si>
  <si>
    <t>26/04/2026</t>
  </si>
  <si>
    <t>AA465KK01/AA13RL01</t>
  </si>
  <si>
    <t xml:space="preserve"> </t>
  </si>
  <si>
    <t>AA539FT01/1003GX01</t>
  </si>
  <si>
    <t>DUFFREBO</t>
  </si>
  <si>
    <t>SCOOPS CADEXI</t>
  </si>
  <si>
    <t>3294KV01/5646BC03</t>
  </si>
  <si>
    <t>3916LL02/6890EU01</t>
  </si>
  <si>
    <t>SJ459687/6847AZ03</t>
  </si>
  <si>
    <t>4139EP01/489EG01</t>
  </si>
  <si>
    <t>RCN SCOOPS CORISPORT</t>
  </si>
  <si>
    <t>DIS-002-COR</t>
  </si>
  <si>
    <t>8087JB01/8087JB01</t>
  </si>
  <si>
    <t>28/04/2026</t>
  </si>
  <si>
    <t>BROUMA SARL</t>
  </si>
  <si>
    <t>DIS-041-BRO</t>
  </si>
  <si>
    <t>2641CV03/2641CV01</t>
  </si>
  <si>
    <t>BORO</t>
  </si>
  <si>
    <t>SCAN COOP CA</t>
  </si>
  <si>
    <t>AA56QV02/8778HB01</t>
  </si>
  <si>
    <t>STAKED</t>
  </si>
  <si>
    <t>2060HR01/3591CV01</t>
  </si>
  <si>
    <t>27/04/2026</t>
  </si>
  <si>
    <t>9330KC01/4796FJ01</t>
  </si>
  <si>
    <t>9551HL01/B521GH01</t>
  </si>
  <si>
    <t>33725JE01/7603Y01</t>
  </si>
  <si>
    <t>2744KK02/777BF02</t>
  </si>
  <si>
    <t>8751EX01/7636HZ05</t>
  </si>
  <si>
    <t>1504LB01/2853JZ01</t>
  </si>
  <si>
    <t>SCOOPS BENKADI-CDAG</t>
  </si>
  <si>
    <t>AB714BE04/3382AZ04</t>
  </si>
  <si>
    <t>29/04/2026</t>
  </si>
  <si>
    <t>RCN SOLANDA CI</t>
  </si>
  <si>
    <t>DIS-040-SOL</t>
  </si>
  <si>
    <t>AA335NH/78HV01</t>
  </si>
  <si>
    <t>9173JA01/2838C701</t>
  </si>
  <si>
    <t>2123LH01/1007HH04</t>
  </si>
  <si>
    <t>4557KE01/789KX01</t>
  </si>
  <si>
    <t>26/04/206</t>
  </si>
  <si>
    <t>FOLON</t>
  </si>
  <si>
    <t>CODJISA</t>
  </si>
  <si>
    <t>2429CX03/4734LE03</t>
  </si>
  <si>
    <t>AA576QV02/8778HB01</t>
  </si>
  <si>
    <t>3725JE01/7603FY01</t>
  </si>
  <si>
    <t>30/04/2026</t>
  </si>
  <si>
    <t>ON PALLET</t>
  </si>
  <si>
    <t>9333WWCI01/AA848B13</t>
  </si>
  <si>
    <t>9783JH04/9989AS04</t>
  </si>
  <si>
    <t>3039KT01/7442CL02</t>
  </si>
  <si>
    <t>SCOOPS MOAYE BKE</t>
  </si>
  <si>
    <t>0426-0386</t>
  </si>
  <si>
    <t>54GH04/8971GL04</t>
  </si>
  <si>
    <t>TCHOLOGO</t>
  </si>
  <si>
    <t>0401-0057</t>
  </si>
  <si>
    <t>AA343ET01/2071EG01</t>
  </si>
  <si>
    <t>HUMBOL</t>
  </si>
  <si>
    <t>NAFI</t>
  </si>
  <si>
    <t>0431-0018</t>
  </si>
  <si>
    <t>0429-0180</t>
  </si>
  <si>
    <t>4050LE07/4907HL07</t>
  </si>
  <si>
    <t>AA141VT01/2638BJ01</t>
  </si>
  <si>
    <t>0420-0251</t>
  </si>
  <si>
    <t>03/052026</t>
  </si>
  <si>
    <t>0425-0218</t>
  </si>
  <si>
    <t>2744KK02/7778FX02</t>
  </si>
  <si>
    <t>AA184AV/7772HU01</t>
  </si>
  <si>
    <t>1861KY01/1648BKR01</t>
  </si>
  <si>
    <t xml:space="preserve">Supplier </t>
  </si>
  <si>
    <t>4668LR04/381KF01</t>
  </si>
  <si>
    <t>7987JL03/8171HF02</t>
  </si>
  <si>
    <t>0408-0287</t>
  </si>
  <si>
    <t>SCOOPS AGRO NEGOCE</t>
  </si>
  <si>
    <t>0427-0048</t>
  </si>
  <si>
    <t>SCOOPS BENKADI-CDGA</t>
  </si>
  <si>
    <t>044-0048</t>
  </si>
  <si>
    <t>SI NO</t>
  </si>
  <si>
    <t>Supplier Name (LBA)</t>
  </si>
  <si>
    <t>Supplier Code LBA)</t>
  </si>
  <si>
    <t>RCN ADAM IVOIRE</t>
  </si>
  <si>
    <t>DIS-031-ADA</t>
  </si>
  <si>
    <t>RCN AGRICAS IVOIRE</t>
  </si>
  <si>
    <t>LBA-023-AGR</t>
  </si>
  <si>
    <t>RCN ALFCOUL GROUP</t>
  </si>
  <si>
    <t>DIS-028-ALF</t>
  </si>
  <si>
    <t>RCN BROUMA SARL</t>
  </si>
  <si>
    <t>RCN CADEPO COOP CA</t>
  </si>
  <si>
    <t>DIS-024-CAD</t>
  </si>
  <si>
    <t>RCN CAPCD- SCOOPS</t>
  </si>
  <si>
    <t>RCN CASP-S SCOOPS</t>
  </si>
  <si>
    <t>LBA-007-CAS</t>
  </si>
  <si>
    <t>RCN COOPCA TOE SEYDOU</t>
  </si>
  <si>
    <t>RCN COPJAVA SCOOP</t>
  </si>
  <si>
    <t>LBA -005-JAV</t>
  </si>
  <si>
    <t>RCN CPAS SCOOPS</t>
  </si>
  <si>
    <t xml:space="preserve">RCN DAGNOGO KARIM </t>
  </si>
  <si>
    <t>LBA-013-DAG</t>
  </si>
  <si>
    <t>RCN DECARRE DAVID &amp; DJOUMAN</t>
  </si>
  <si>
    <t>RCN ICFB</t>
  </si>
  <si>
    <t>RCN OCEAN NEGOSE</t>
  </si>
  <si>
    <t>RCN SANOGO SINDOU</t>
  </si>
  <si>
    <t>RCN SCAAMT COOP CA</t>
  </si>
  <si>
    <t>RCN SCMB COOP CA</t>
  </si>
  <si>
    <t>DIS-032-SCM</t>
  </si>
  <si>
    <t>RCN SCOOP HERE B</t>
  </si>
  <si>
    <t xml:space="preserve">LBA--003-HER </t>
  </si>
  <si>
    <t>RCN SCOOP IMANE</t>
  </si>
  <si>
    <t>LBA-006-IMA</t>
  </si>
  <si>
    <t>RCN SCOOP OUMI/KONE SIDY</t>
  </si>
  <si>
    <t>LBA-015-OUM</t>
  </si>
  <si>
    <t>RCN SCOOP SAHS</t>
  </si>
  <si>
    <t>RCN SCOOP -SOCOSIDJI</t>
  </si>
  <si>
    <t>LBA -001-SOC</t>
  </si>
  <si>
    <t>RCN SCOOP WEBE</t>
  </si>
  <si>
    <t>RCN SCOOPASS</t>
  </si>
  <si>
    <t>DIS-007-SPA</t>
  </si>
  <si>
    <t>RCN SCOOPPADA SCOOPS</t>
  </si>
  <si>
    <t>DIS-001-SCO</t>
  </si>
  <si>
    <t>RCN SCOOPS AC SOURCING</t>
  </si>
  <si>
    <t>DIS-020-SOU</t>
  </si>
  <si>
    <t>RCN SCOOPS AGRO NEGOCE</t>
  </si>
  <si>
    <t>RCN SCOOPS AJCB</t>
  </si>
  <si>
    <t>DIS-033-AJC</t>
  </si>
  <si>
    <t>RCN SCOOPS AKF</t>
  </si>
  <si>
    <t>DIS-038-AKF</t>
  </si>
  <si>
    <t>RCN SCOOPS ASER</t>
  </si>
  <si>
    <t>LBA-011-ASR</t>
  </si>
  <si>
    <t>RCN SCOOPS BAOBAB</t>
  </si>
  <si>
    <t xml:space="preserve">RCN SCOOPS BAY SCOOPS </t>
  </si>
  <si>
    <t>LBA-014-BAY</t>
  </si>
  <si>
    <t>RCN SCOOPS -CA/COBAN</t>
  </si>
  <si>
    <t>LBS-008-COB</t>
  </si>
  <si>
    <t>RCN SCOOPS COOPRES</t>
  </si>
  <si>
    <t>RCN SCOOPS DDEMBOL</t>
  </si>
  <si>
    <t>DIS-003-DEM</t>
  </si>
  <si>
    <t xml:space="preserve">RCN SCOOPS DIENE </t>
  </si>
  <si>
    <t>DIS-006-DIE</t>
  </si>
  <si>
    <t>RCN SCOOPS DPVICA</t>
  </si>
  <si>
    <t>RCN SCOOPS FOUNDARA</t>
  </si>
  <si>
    <t>DIS-008-FOU</t>
  </si>
  <si>
    <t>RCN SCOOPS FRA PRO</t>
  </si>
  <si>
    <t>LBA-019-FRA</t>
  </si>
  <si>
    <t>RCN SCOOPS IB</t>
  </si>
  <si>
    <t>DIS-016-SIB</t>
  </si>
  <si>
    <t>RCN SCOOPS JPPAGG</t>
  </si>
  <si>
    <t>DIS-030-JPP</t>
  </si>
  <si>
    <t>RCN SCOOPS KOB S</t>
  </si>
  <si>
    <t>RCN SCOOPS KPESSO</t>
  </si>
  <si>
    <t>LBA-012-KPE</t>
  </si>
  <si>
    <t>RCN SCOOPS MASSATIGUI</t>
  </si>
  <si>
    <t>DIS-017-MAS</t>
  </si>
  <si>
    <t>RCN SCOOPS MOAYE BKE</t>
  </si>
  <si>
    <t>DIS-026-MOA</t>
  </si>
  <si>
    <t>RCN SCOOPS PAP</t>
  </si>
  <si>
    <t>DIS-037-PAP</t>
  </si>
  <si>
    <t>RCN SCOOPS PAPN</t>
  </si>
  <si>
    <t>DIS-018-PAP</t>
  </si>
  <si>
    <t>RCN SCOOPS SCNB</t>
  </si>
  <si>
    <t>RCN SCOPPAS  SCOOPS</t>
  </si>
  <si>
    <t>LBA-009-SCO</t>
  </si>
  <si>
    <t>RCN SIMAYAT COOP CA</t>
  </si>
  <si>
    <t>DIS-039-ADD</t>
  </si>
  <si>
    <t>RCN SOVA SCOOPS</t>
  </si>
  <si>
    <t>SCOOPS SCNB</t>
  </si>
  <si>
    <t>3008FT01/1635LF01</t>
  </si>
  <si>
    <t>AA352CE01/9496JS03</t>
  </si>
  <si>
    <t>KABADOUGOU</t>
  </si>
  <si>
    <t>0520-0024</t>
  </si>
  <si>
    <t>3680FK04/1767AY04</t>
  </si>
  <si>
    <t>Aging</t>
  </si>
  <si>
    <t>COOP CA TOE SEYDOU</t>
  </si>
  <si>
    <t>WEBE</t>
  </si>
  <si>
    <t>SOCOSIDJI</t>
  </si>
  <si>
    <t>FICHE No</t>
  </si>
  <si>
    <t xml:space="preserve">Bag Discharged </t>
  </si>
  <si>
    <t xml:space="preserve">Bag Issued </t>
  </si>
  <si>
    <t xml:space="preserve">Supplier Code </t>
  </si>
  <si>
    <t>Link</t>
  </si>
  <si>
    <t>Sanogo</t>
  </si>
  <si>
    <t>Linked Supplier Code</t>
  </si>
  <si>
    <t xml:space="preserve"> SCOOP  KOB S</t>
  </si>
  <si>
    <t>Issue Slip No</t>
  </si>
  <si>
    <t>Date of Issue</t>
  </si>
  <si>
    <t xml:space="preserve">Balance to Issue </t>
  </si>
  <si>
    <t>Total Discharged</t>
  </si>
  <si>
    <t>Status</t>
  </si>
  <si>
    <t>SCOOPS BENKADY-CINPA</t>
  </si>
  <si>
    <t>SANOGO</t>
  </si>
  <si>
    <t>Supplier</t>
  </si>
  <si>
    <t>Bag Discharged</t>
  </si>
  <si>
    <t>Webe</t>
  </si>
  <si>
    <t>Balance</t>
  </si>
  <si>
    <t>Slip No</t>
  </si>
  <si>
    <t>Truck No</t>
  </si>
  <si>
    <t>7540GS01</t>
  </si>
  <si>
    <t>14/03/2026</t>
  </si>
  <si>
    <t>30/03/2026</t>
  </si>
  <si>
    <t>2919LR01</t>
  </si>
  <si>
    <t>4379LC02</t>
  </si>
  <si>
    <t>2319LR02</t>
  </si>
  <si>
    <t>9333WWCI01</t>
  </si>
  <si>
    <t>2744KK02/7778EX</t>
  </si>
  <si>
    <t>26/03/2026</t>
  </si>
  <si>
    <t>AA562YL04</t>
  </si>
  <si>
    <t>5740EH03</t>
  </si>
  <si>
    <t>32LA01</t>
  </si>
  <si>
    <t>28/02/2026</t>
  </si>
  <si>
    <t>2319LR01</t>
  </si>
  <si>
    <t>5446KV07</t>
  </si>
  <si>
    <t>SCOOPS BAOBAB</t>
  </si>
  <si>
    <t>2123LH01</t>
  </si>
  <si>
    <t>2174LP01</t>
  </si>
  <si>
    <t>62115F01</t>
  </si>
  <si>
    <t>AA560LJ01</t>
  </si>
  <si>
    <t>2605LP03</t>
  </si>
  <si>
    <t>1714LE01</t>
  </si>
  <si>
    <t>4981GR04/7378CB01</t>
  </si>
  <si>
    <t>4981JL04</t>
  </si>
  <si>
    <t>AA576IV01</t>
  </si>
  <si>
    <t>3143LH03</t>
  </si>
  <si>
    <t>1861KY01</t>
  </si>
  <si>
    <t>AA576UV02</t>
  </si>
  <si>
    <t>27/03/2026</t>
  </si>
  <si>
    <t>6129KV01</t>
  </si>
  <si>
    <t>G130KV01</t>
  </si>
  <si>
    <t>3680FK04</t>
  </si>
  <si>
    <t>7624GJ04</t>
  </si>
  <si>
    <t>3452HA01</t>
  </si>
  <si>
    <t>621KF01</t>
  </si>
  <si>
    <t>AA359EJ01/8882CG01</t>
  </si>
  <si>
    <t>29/03/2026</t>
  </si>
  <si>
    <t>138GL01</t>
  </si>
  <si>
    <t>3937KT01</t>
  </si>
  <si>
    <t>16/03/2026</t>
  </si>
  <si>
    <t>3176LG04</t>
  </si>
  <si>
    <t>23/03/2026</t>
  </si>
  <si>
    <t>AB026</t>
  </si>
  <si>
    <t>17/3/2026</t>
  </si>
  <si>
    <t>4520KR01</t>
  </si>
  <si>
    <t>2767HC01</t>
  </si>
  <si>
    <t>138LG01</t>
  </si>
  <si>
    <t>5493GR01</t>
  </si>
  <si>
    <t>1687LX02</t>
  </si>
  <si>
    <t>2899LF01</t>
  </si>
  <si>
    <t>9155HP04/9079CJ01</t>
  </si>
  <si>
    <t>13/05/2026</t>
  </si>
  <si>
    <t>BEWER</t>
  </si>
  <si>
    <t>21/05/2026</t>
  </si>
  <si>
    <t>AB649AZ</t>
  </si>
  <si>
    <t>8549CE03/8708BE04</t>
  </si>
  <si>
    <t>17/05/2026</t>
  </si>
  <si>
    <t>694KA03/2051JT01</t>
  </si>
  <si>
    <t>19/05/2026</t>
  </si>
  <si>
    <t>NZI</t>
  </si>
  <si>
    <t>AA218PY</t>
  </si>
  <si>
    <t>14/05/2026</t>
  </si>
  <si>
    <t>15/05/2026</t>
  </si>
  <si>
    <t>5382GG01</t>
  </si>
  <si>
    <t>SCOOPS ASER</t>
  </si>
  <si>
    <t>5832GG01</t>
  </si>
  <si>
    <t>2301JC03/5347BC03</t>
  </si>
  <si>
    <t>SCOOPS ADD COOPCA</t>
  </si>
  <si>
    <t>0426-0063</t>
  </si>
  <si>
    <t xml:space="preserve">Total Received </t>
  </si>
  <si>
    <t xml:space="preserve">Bouake </t>
  </si>
  <si>
    <t>Issued to Drying</t>
  </si>
  <si>
    <t>Remarks</t>
  </si>
  <si>
    <t>Total Used (Issue + Recondition+Drying)</t>
  </si>
  <si>
    <t xml:space="preserve">Total Balance </t>
  </si>
  <si>
    <t>Recondition</t>
  </si>
  <si>
    <t>CCAK VALIDATED</t>
  </si>
  <si>
    <t>OK</t>
  </si>
  <si>
    <t>AA576QV02/877BHB01</t>
  </si>
  <si>
    <t>ok</t>
  </si>
  <si>
    <t>0k</t>
  </si>
  <si>
    <t>NAME ISSUE</t>
  </si>
  <si>
    <t>30/05/2026</t>
  </si>
  <si>
    <t>NOT ENTERD BY CCAK</t>
  </si>
  <si>
    <t>BIN-016</t>
  </si>
  <si>
    <t>BIN-015</t>
  </si>
  <si>
    <t>BIN-013</t>
  </si>
  <si>
    <t>GROSS WT</t>
  </si>
  <si>
    <t>SCOOPS SAHS</t>
  </si>
  <si>
    <t>5966CK07/5967CK07</t>
  </si>
  <si>
    <t>AA122GP01/7915AY06</t>
  </si>
  <si>
    <t>18/06/2026</t>
  </si>
  <si>
    <t xml:space="preserve">Received from Calibrator </t>
  </si>
  <si>
    <t>Good Bag</t>
  </si>
  <si>
    <t>Damaged Bag</t>
  </si>
  <si>
    <t xml:space="preserve">Bag Stiched </t>
  </si>
  <si>
    <t xml:space="preserve">Good Bag Balance </t>
  </si>
  <si>
    <t>Balance Bag (Damaged Bag)</t>
  </si>
  <si>
    <t xml:space="preserve">Received from Bouake </t>
  </si>
  <si>
    <t>`</t>
  </si>
  <si>
    <t xml:space="preserve">New Bag Received </t>
  </si>
  <si>
    <t>26-02-2026</t>
  </si>
  <si>
    <t>Total Issued to Supplier</t>
  </si>
  <si>
    <t>Reccondition</t>
  </si>
  <si>
    <t>Total Recondition</t>
  </si>
  <si>
    <t xml:space="preserve">Issued to Calibrator </t>
  </si>
  <si>
    <t xml:space="preserve">Pallet Received </t>
  </si>
  <si>
    <t>Bouake (Old)</t>
  </si>
  <si>
    <t>New Pallet</t>
  </si>
  <si>
    <t xml:space="preserve">Moisture Meter </t>
  </si>
  <si>
    <t xml:space="preserve">Scoop </t>
  </si>
  <si>
    <t xml:space="preserve">Total Pallet </t>
  </si>
  <si>
    <t>Total Damaged Bag (Approx)</t>
  </si>
  <si>
    <t>Weighment Scale (5ton)</t>
  </si>
  <si>
    <t xml:space="preserve">Weighment Scale (1KG) </t>
  </si>
  <si>
    <t>BIN-005</t>
  </si>
  <si>
    <t>BIN-006</t>
  </si>
  <si>
    <t>BIN-003</t>
  </si>
  <si>
    <t>BIN NO.</t>
  </si>
  <si>
    <t>BIN-03A</t>
  </si>
  <si>
    <t>BIN-001A</t>
  </si>
  <si>
    <t>BIN-04A</t>
  </si>
  <si>
    <t>BIN-02A</t>
  </si>
  <si>
    <t>BIN-002</t>
  </si>
  <si>
    <t>BIN-001</t>
  </si>
  <si>
    <t>BIN-010</t>
  </si>
  <si>
    <t>BIN-07A</t>
  </si>
  <si>
    <t>BIN-009</t>
  </si>
  <si>
    <t>BIN-008B</t>
  </si>
  <si>
    <t>BIN-03B</t>
  </si>
  <si>
    <t>BIN-007</t>
  </si>
  <si>
    <t>BIN-011</t>
  </si>
  <si>
    <t>BIN-06A</t>
  </si>
  <si>
    <t>BIN-012</t>
  </si>
  <si>
    <t>BIN-03C</t>
  </si>
  <si>
    <t>BIN-05B</t>
  </si>
  <si>
    <t>BIN-004</t>
  </si>
  <si>
    <t>1070KA01/2482HR01</t>
  </si>
  <si>
    <t>23/06/2026</t>
  </si>
  <si>
    <t>NAFA</t>
  </si>
  <si>
    <t>ANAGROCI UT CcA</t>
  </si>
  <si>
    <t>20/06/2026</t>
  </si>
  <si>
    <t>ICFB</t>
  </si>
  <si>
    <t xml:space="preserve">Date </t>
  </si>
  <si>
    <t xml:space="preserve">Opening Balance </t>
  </si>
  <si>
    <t xml:space="preserve">Purchased </t>
  </si>
  <si>
    <t>Jute Bag</t>
  </si>
  <si>
    <t>Pallet</t>
  </si>
  <si>
    <t xml:space="preserve">Issued to Supplier </t>
  </si>
  <si>
    <t xml:space="preserve">Balance </t>
  </si>
  <si>
    <t xml:space="preserve">Used in Drying </t>
  </si>
  <si>
    <t>Used in Recondition</t>
  </si>
  <si>
    <t>30/06/2026</t>
  </si>
  <si>
    <t>Total</t>
  </si>
  <si>
    <t>Item</t>
  </si>
  <si>
    <t>Location</t>
  </si>
  <si>
    <t>Yakro rcn wh</t>
  </si>
  <si>
    <t>Yakro RCN wh</t>
  </si>
  <si>
    <t xml:space="preserve">Pallet in use by production/ Actual damage is not calculated  </t>
  </si>
  <si>
    <t>Bouake rcn wh</t>
  </si>
  <si>
    <t>Used all/ Damaged in use after repair.</t>
  </si>
  <si>
    <t>Inter WH Transfer Receiving</t>
  </si>
  <si>
    <t xml:space="preserve">Inter wh tranfer </t>
  </si>
  <si>
    <t xml:space="preserve">In use </t>
  </si>
  <si>
    <t xml:space="preserve">Pallet repaire and Used </t>
  </si>
  <si>
    <t xml:space="preserve">Fully Damaged </t>
  </si>
  <si>
    <t xml:space="preserve">Received from Supplier </t>
  </si>
  <si>
    <t xml:space="preserve">Repaired Bag Used </t>
  </si>
  <si>
    <t xml:space="preserve">Damaged  Bag Repaired </t>
  </si>
  <si>
    <t>Good Bag  (New Bags )</t>
  </si>
  <si>
    <t>Repaired Bag Balance</t>
  </si>
  <si>
    <t>Summary Report (As requested dated 6/7/2026)</t>
  </si>
  <si>
    <t>1294JS02/7484CL02</t>
  </si>
  <si>
    <t>0301-0064</t>
  </si>
  <si>
    <t>9153JR01/7205JP02</t>
  </si>
  <si>
    <t>Jute Bag Received from Calibratation</t>
  </si>
  <si>
    <t>Issue to Calibrator @ Qty</t>
  </si>
  <si>
    <t>Qty Received from Calibrator</t>
  </si>
  <si>
    <t xml:space="preserve">Good Bag </t>
  </si>
  <si>
    <t xml:space="preserve">Repairable </t>
  </si>
  <si>
    <t>Complete Damaged Bag</t>
  </si>
  <si>
    <t>AA626NT/4605KT01</t>
  </si>
  <si>
    <t>24/07/2026</t>
  </si>
  <si>
    <t>Summary Report (As requested dated 08/08/2026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</si>
</sst>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_-* #,##0\ _€_-;\-* #,##0\ _€_-;_-* &quot;-&quot;??\ _€_-;_-@_-"/>
    <numFmt numFmtId="167" formatCode="_-* #,##0_-;\-* #,##0_-;_-* &quot;-&quot;??_-;_-@_-"/>
    <numFmt numFmtId="168" formatCode="0.0"/>
    <numFmt numFmtId="169" formatCode="0.0%"/>
    <numFmt numFmtId="170" formatCode="[$-409]d\-mmm\-yyyy;@"/>
    <numFmt numFmtId="171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  <font>
      <b/>
      <sz val="9"/>
      <color rgb="FF007D7B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Book Antiqua"/>
      <family val="1"/>
    </font>
    <font>
      <sz val="9"/>
      <color rgb="FFFF0000"/>
      <name val="Calibri"/>
      <family val="2"/>
      <scheme val="minor"/>
    </font>
    <font>
      <sz val="9"/>
      <name val="Calibri Light"/>
      <family val="1"/>
      <scheme val="major"/>
    </font>
    <font>
      <sz val="9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color theme="1"/>
      <name val="Calibri Light"/>
      <family val="1"/>
      <scheme val="major"/>
    </font>
    <font>
      <b/>
      <i/>
      <sz val="9"/>
      <color rgb="FFFF0000"/>
      <name val="Calibri Light"/>
      <family val="1"/>
      <scheme val="major"/>
    </font>
    <font>
      <b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i/>
      <sz val="9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Arial"/>
      <family val="2"/>
    </font>
    <font>
      <i/>
      <sz val="9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BAF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6" fillId="0" borderId="0"/>
    <xf numFmtId="164" fontId="6" fillId="0" borderId="0"/>
    <xf numFmtId="164" fontId="1" fillId="0" borderId="0"/>
    <xf numFmtId="9" fontId="1" fillId="0" borderId="0"/>
    <xf numFmtId="0" fontId="1" fillId="0" borderId="0"/>
  </cellStyleXfs>
  <cellXfs count="239">
    <xf numFmtId="0" fontId="0" fillId="0" borderId="0" xfId="0"/>
    <xf numFmtId="0" fontId="2" fillId="0" borderId="0" xfId="0" applyFont="1" applyAlignment="1">
      <alignment horizontal="center" vertical="top" wrapText="1"/>
    </xf>
    <xf numFmtId="49" fontId="4" fillId="2" borderId="0" xfId="3" applyNumberFormat="1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2" borderId="0" xfId="3" applyFont="1" applyFill="1" applyAlignment="1">
      <alignment horizontal="center" vertical="center" wrapText="1"/>
    </xf>
    <xf numFmtId="0" fontId="4" fillId="2" borderId="0" xfId="3" applyFont="1" applyFill="1" applyAlignment="1">
      <alignment horizontal="left" vertical="center" wrapText="1"/>
    </xf>
    <xf numFmtId="0" fontId="4" fillId="2" borderId="0" xfId="3" applyFont="1" applyFill="1" applyAlignment="1">
      <alignment horizontal="center" vertical="center" wrapText="1"/>
    </xf>
    <xf numFmtId="49" fontId="5" fillId="2" borderId="0" xfId="3" applyNumberFormat="1" applyFont="1" applyFill="1" applyAlignment="1">
      <alignment horizontal="center" vertical="center" wrapText="1"/>
    </xf>
    <xf numFmtId="49" fontId="5" fillId="2" borderId="0" xfId="3" applyNumberFormat="1" applyFont="1" applyFill="1" applyAlignment="1">
      <alignment vertical="center" wrapText="1"/>
    </xf>
    <xf numFmtId="49" fontId="5" fillId="3" borderId="0" xfId="3" applyNumberFormat="1" applyFont="1" applyFill="1" applyAlignment="1">
      <alignment vertical="center" wrapText="1"/>
    </xf>
    <xf numFmtId="3" fontId="7" fillId="0" borderId="0" xfId="4" applyNumberFormat="1" applyFont="1" applyAlignment="1">
      <alignment vertical="center" wrapText="1"/>
    </xf>
    <xf numFmtId="3" fontId="7" fillId="4" borderId="0" xfId="4" applyNumberFormat="1" applyFont="1" applyFill="1" applyAlignment="1">
      <alignment vertical="center" wrapText="1"/>
    </xf>
    <xf numFmtId="0" fontId="5" fillId="2" borderId="0" xfId="3" applyFont="1" applyFill="1" applyAlignment="1">
      <alignment vertical="center" wrapText="1"/>
    </xf>
    <xf numFmtId="0" fontId="8" fillId="5" borderId="0" xfId="3" applyFont="1" applyFill="1" applyAlignment="1">
      <alignment vertical="center"/>
    </xf>
    <xf numFmtId="0" fontId="8" fillId="5" borderId="0" xfId="3" applyFont="1" applyFill="1" applyAlignment="1">
      <alignment vertical="center" wrapText="1"/>
    </xf>
    <xf numFmtId="0" fontId="9" fillId="2" borderId="0" xfId="3" applyFont="1" applyFill="1" applyAlignment="1">
      <alignment vertical="center" wrapText="1"/>
    </xf>
    <xf numFmtId="0" fontId="9" fillId="2" borderId="0" xfId="3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9" fontId="7" fillId="0" borderId="0" xfId="2" applyFont="1" applyAlignment="1">
      <alignment vertical="center" wrapText="1"/>
    </xf>
    <xf numFmtId="2" fontId="7" fillId="0" borderId="0" xfId="0" applyNumberFormat="1" applyFont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7" fillId="8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  <xf numFmtId="3" fontId="7" fillId="4" borderId="6" xfId="4" applyNumberFormat="1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shrinkToFit="1"/>
    </xf>
    <xf numFmtId="49" fontId="7" fillId="4" borderId="10" xfId="0" applyNumberFormat="1" applyFont="1" applyFill="1" applyBorder="1" applyAlignment="1">
      <alignment horizontal="center" vertical="center" shrinkToFit="1"/>
    </xf>
    <xf numFmtId="49" fontId="7" fillId="4" borderId="10" xfId="0" applyNumberFormat="1" applyFont="1" applyFill="1" applyBorder="1" applyAlignment="1">
      <alignment horizontal="center" vertical="center" wrapText="1" shrinkToFit="1"/>
    </xf>
    <xf numFmtId="0" fontId="7" fillId="4" borderId="10" xfId="0" applyFont="1" applyFill="1" applyBorder="1" applyAlignment="1">
      <alignment horizontal="center" vertical="center" wrapText="1" shrinkToFit="1"/>
    </xf>
    <xf numFmtId="0" fontId="7" fillId="11" borderId="10" xfId="0" applyFont="1" applyFill="1" applyBorder="1" applyAlignment="1">
      <alignment horizontal="center" vertical="center" wrapText="1" shrinkToFit="1"/>
    </xf>
    <xf numFmtId="0" fontId="7" fillId="8" borderId="10" xfId="0" applyFont="1" applyFill="1" applyBorder="1" applyAlignment="1">
      <alignment vertical="center" wrapText="1" shrinkToFit="1"/>
    </xf>
    <xf numFmtId="0" fontId="7" fillId="4" borderId="10" xfId="0" applyFont="1" applyFill="1" applyBorder="1" applyAlignment="1">
      <alignment vertical="center" wrapText="1" shrinkToFit="1"/>
    </xf>
    <xf numFmtId="0" fontId="7" fillId="9" borderId="10" xfId="0" applyFont="1" applyFill="1" applyBorder="1" applyAlignment="1">
      <alignment vertical="center" wrapText="1" shrinkToFit="1"/>
    </xf>
    <xf numFmtId="0" fontId="7" fillId="4" borderId="11" xfId="0" applyFont="1" applyFill="1" applyBorder="1" applyAlignment="1">
      <alignment vertical="center" wrapText="1" shrinkToFit="1"/>
    </xf>
    <xf numFmtId="3" fontId="7" fillId="4" borderId="10" xfId="0" applyNumberFormat="1" applyFont="1" applyFill="1" applyBorder="1" applyAlignment="1">
      <alignment vertical="center" wrapText="1" shrinkToFit="1"/>
    </xf>
    <xf numFmtId="2" fontId="7" fillId="10" borderId="10" xfId="0" applyNumberFormat="1" applyFont="1" applyFill="1" applyBorder="1" applyAlignment="1">
      <alignment vertical="center" wrapText="1" shrinkToFit="1"/>
    </xf>
    <xf numFmtId="2" fontId="9" fillId="10" borderId="10" xfId="0" applyNumberFormat="1" applyFont="1" applyFill="1" applyBorder="1" applyAlignment="1">
      <alignment vertical="center" wrapText="1" shrinkToFit="1"/>
    </xf>
    <xf numFmtId="0" fontId="7" fillId="10" borderId="10" xfId="0" applyFont="1" applyFill="1" applyBorder="1" applyAlignment="1">
      <alignment vertical="center" wrapText="1" shrinkToFit="1"/>
    </xf>
    <xf numFmtId="2" fontId="7" fillId="8" borderId="10" xfId="0" applyNumberFormat="1" applyFont="1" applyFill="1" applyBorder="1" applyAlignment="1">
      <alignment vertical="center" wrapText="1" shrinkToFit="1"/>
    </xf>
    <xf numFmtId="0" fontId="9" fillId="8" borderId="10" xfId="0" applyFont="1" applyFill="1" applyBorder="1" applyAlignment="1">
      <alignment vertical="center" wrapText="1" shrinkToFit="1"/>
    </xf>
    <xf numFmtId="2" fontId="7" fillId="11" borderId="10" xfId="0" applyNumberFormat="1" applyFont="1" applyFill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top" wrapText="1"/>
    </xf>
    <xf numFmtId="0" fontId="10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0" fillId="0" borderId="0" xfId="0" applyFont="1"/>
    <xf numFmtId="0" fontId="10" fillId="6" borderId="12" xfId="0" applyFont="1" applyFill="1" applyBorder="1" applyAlignment="1">
      <alignment horizontal="center" vertical="center" wrapText="1"/>
    </xf>
    <xf numFmtId="165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/>
    </xf>
    <xf numFmtId="0" fontId="10" fillId="4" borderId="12" xfId="0" applyFont="1" applyFill="1" applyBorder="1" applyAlignment="1">
      <alignment vertical="center" wrapText="1"/>
    </xf>
    <xf numFmtId="1" fontId="13" fillId="0" borderId="12" xfId="0" applyNumberFormat="1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166" fontId="10" fillId="0" borderId="12" xfId="0" applyNumberFormat="1" applyFont="1" applyBorder="1" applyAlignment="1">
      <alignment vertical="center" wrapText="1"/>
    </xf>
    <xf numFmtId="167" fontId="10" fillId="0" borderId="12" xfId="5" applyNumberFormat="1" applyFont="1" applyBorder="1" applyAlignment="1">
      <alignment vertical="center" wrapText="1"/>
    </xf>
    <xf numFmtId="43" fontId="10" fillId="0" borderId="12" xfId="1" applyFont="1" applyFill="1" applyBorder="1" applyAlignment="1">
      <alignment vertical="center" wrapText="1"/>
    </xf>
    <xf numFmtId="167" fontId="10" fillId="0" borderId="12" xfId="6" applyNumberFormat="1" applyFont="1" applyBorder="1" applyAlignment="1">
      <alignment vertical="center" wrapText="1"/>
    </xf>
    <xf numFmtId="167" fontId="10" fillId="4" borderId="12" xfId="6" applyNumberFormat="1" applyFont="1" applyFill="1" applyBorder="1" applyAlignment="1">
      <alignment vertical="center" wrapText="1"/>
    </xf>
    <xf numFmtId="9" fontId="10" fillId="0" borderId="12" xfId="7" applyFont="1" applyBorder="1" applyAlignment="1">
      <alignment vertical="center" wrapText="1"/>
    </xf>
    <xf numFmtId="0" fontId="13" fillId="0" borderId="12" xfId="8" applyFont="1" applyBorder="1" applyAlignment="1">
      <alignment vertical="center" wrapText="1"/>
    </xf>
    <xf numFmtId="168" fontId="13" fillId="0" borderId="12" xfId="8" applyNumberFormat="1" applyFont="1" applyBorder="1" applyAlignment="1">
      <alignment vertical="center" wrapText="1"/>
    </xf>
    <xf numFmtId="2" fontId="13" fillId="0" borderId="12" xfId="0" applyNumberFormat="1" applyFont="1" applyBorder="1" applyAlignment="1">
      <alignment vertical="center" wrapText="1"/>
    </xf>
    <xf numFmtId="0" fontId="10" fillId="0" borderId="12" xfId="0" applyFont="1" applyBorder="1"/>
    <xf numFmtId="10" fontId="13" fillId="0" borderId="12" xfId="8" applyNumberFormat="1" applyFont="1" applyBorder="1" applyAlignment="1">
      <alignment vertical="center" wrapText="1"/>
    </xf>
    <xf numFmtId="1" fontId="13" fillId="0" borderId="12" xfId="8" applyNumberFormat="1" applyFont="1" applyBorder="1" applyAlignment="1">
      <alignment vertical="center" wrapText="1"/>
    </xf>
    <xf numFmtId="2" fontId="10" fillId="0" borderId="13" xfId="0" applyNumberFormat="1" applyFont="1" applyBorder="1" applyAlignment="1">
      <alignment vertical="center" wrapText="1"/>
    </xf>
    <xf numFmtId="164" fontId="10" fillId="0" borderId="12" xfId="6" applyFont="1" applyBorder="1" applyAlignment="1">
      <alignment vertical="center" wrapText="1"/>
    </xf>
    <xf numFmtId="9" fontId="13" fillId="0" borderId="12" xfId="8" applyNumberFormat="1" applyFont="1" applyBorder="1" applyAlignment="1">
      <alignment vertical="center" wrapText="1"/>
    </xf>
    <xf numFmtId="0" fontId="14" fillId="6" borderId="12" xfId="0" applyFont="1" applyFill="1" applyBorder="1" applyAlignment="1">
      <alignment horizontal="center" vertical="center" wrapText="1"/>
    </xf>
    <xf numFmtId="167" fontId="12" fillId="4" borderId="12" xfId="6" applyNumberFormat="1" applyFont="1" applyFill="1" applyBorder="1" applyAlignment="1">
      <alignment vertical="center" wrapText="1"/>
    </xf>
    <xf numFmtId="2" fontId="13" fillId="4" borderId="12" xfId="0" applyNumberFormat="1" applyFont="1" applyFill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166" fontId="17" fillId="0" borderId="12" xfId="6" applyNumberFormat="1" applyFont="1" applyBorder="1" applyAlignment="1">
      <alignment vertical="center" wrapText="1"/>
    </xf>
    <xf numFmtId="166" fontId="17" fillId="0" borderId="12" xfId="5" applyNumberFormat="1" applyFont="1" applyBorder="1" applyAlignment="1">
      <alignment vertical="center" wrapText="1"/>
    </xf>
    <xf numFmtId="169" fontId="13" fillId="0" borderId="12" xfId="8" applyNumberFormat="1" applyFont="1" applyBorder="1" applyAlignment="1">
      <alignment vertical="center" wrapText="1"/>
    </xf>
    <xf numFmtId="2" fontId="10" fillId="0" borderId="0" xfId="0" applyNumberFormat="1" applyFont="1"/>
    <xf numFmtId="0" fontId="15" fillId="0" borderId="12" xfId="0" applyFont="1" applyBorder="1" applyAlignment="1">
      <alignment horizontal="left" vertical="center" wrapText="1"/>
    </xf>
    <xf numFmtId="2" fontId="18" fillId="0" borderId="12" xfId="0" applyNumberFormat="1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164" fontId="14" fillId="0" borderId="12" xfId="6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0" fontId="15" fillId="0" borderId="12" xfId="0" applyFont="1" applyBorder="1"/>
    <xf numFmtId="0" fontId="16" fillId="0" borderId="12" xfId="0" applyFont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16" fontId="10" fillId="0" borderId="12" xfId="0" applyNumberFormat="1" applyFont="1" applyBorder="1" applyAlignment="1">
      <alignment horizontal="center"/>
    </xf>
    <xf numFmtId="0" fontId="10" fillId="0" borderId="12" xfId="0" applyFont="1" applyBorder="1" applyAlignment="1">
      <alignment wrapText="1"/>
    </xf>
    <xf numFmtId="0" fontId="10" fillId="0" borderId="12" xfId="0" applyFont="1" applyBorder="1" applyAlignment="1">
      <alignment horizontal="left" wrapText="1"/>
    </xf>
    <xf numFmtId="0" fontId="16" fillId="0" borderId="12" xfId="0" applyFont="1" applyBorder="1" applyAlignment="1">
      <alignment horizontal="right"/>
    </xf>
    <xf numFmtId="0" fontId="12" fillId="6" borderId="12" xfId="0" applyFont="1" applyFill="1" applyBorder="1" applyAlignment="1">
      <alignment horizontal="center"/>
    </xf>
    <xf numFmtId="2" fontId="10" fillId="0" borderId="12" xfId="0" applyNumberFormat="1" applyFont="1" applyBorder="1"/>
    <xf numFmtId="2" fontId="15" fillId="0" borderId="12" xfId="0" applyNumberFormat="1" applyFont="1" applyBorder="1"/>
    <xf numFmtId="170" fontId="10" fillId="0" borderId="12" xfId="0" applyNumberFormat="1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0" fontId="15" fillId="0" borderId="12" xfId="0" applyFont="1" applyBorder="1" applyAlignment="1">
      <alignment wrapText="1"/>
    </xf>
    <xf numFmtId="0" fontId="14" fillId="6" borderId="12" xfId="0" applyFont="1" applyFill="1" applyBorder="1" applyAlignment="1">
      <alignment horizontal="center"/>
    </xf>
    <xf numFmtId="0" fontId="19" fillId="0" borderId="12" xfId="0" applyFont="1" applyBorder="1"/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4" borderId="12" xfId="0" applyFont="1" applyFill="1" applyBorder="1" applyAlignment="1">
      <alignment vertical="center" wrapText="1"/>
    </xf>
    <xf numFmtId="166" fontId="13" fillId="0" borderId="12" xfId="6" applyNumberFormat="1" applyFont="1" applyBorder="1" applyAlignment="1">
      <alignment vertical="center" wrapText="1"/>
    </xf>
    <xf numFmtId="166" fontId="14" fillId="0" borderId="12" xfId="0" applyNumberFormat="1" applyFont="1" applyBorder="1" applyAlignment="1">
      <alignment vertical="center" wrapText="1"/>
    </xf>
    <xf numFmtId="167" fontId="14" fillId="0" borderId="12" xfId="6" applyNumberFormat="1" applyFont="1" applyBorder="1" applyAlignment="1">
      <alignment vertical="center" wrapText="1"/>
    </xf>
    <xf numFmtId="167" fontId="14" fillId="4" borderId="12" xfId="6" applyNumberFormat="1" applyFont="1" applyFill="1" applyBorder="1" applyAlignment="1">
      <alignment vertical="center" wrapText="1"/>
    </xf>
    <xf numFmtId="9" fontId="14" fillId="0" borderId="12" xfId="7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/>
    <xf numFmtId="0" fontId="10" fillId="0" borderId="12" xfId="0" applyFont="1" applyBorder="1" applyAlignment="1">
      <alignment horizontal="left"/>
    </xf>
    <xf numFmtId="0" fontId="20" fillId="0" borderId="12" xfId="0" applyFont="1" applyBorder="1"/>
    <xf numFmtId="0" fontId="14" fillId="0" borderId="12" xfId="0" applyFont="1" applyBorder="1" applyAlignment="1">
      <alignment horizontal="center"/>
    </xf>
    <xf numFmtId="167" fontId="10" fillId="4" borderId="12" xfId="0" applyNumberFormat="1" applyFont="1" applyFill="1" applyBorder="1"/>
    <xf numFmtId="0" fontId="10" fillId="6" borderId="12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15" xfId="0" applyFont="1" applyBorder="1"/>
    <xf numFmtId="168" fontId="13" fillId="0" borderId="15" xfId="8" applyNumberFormat="1" applyFont="1" applyBorder="1" applyAlignment="1">
      <alignment vertical="center" wrapText="1"/>
    </xf>
    <xf numFmtId="0" fontId="13" fillId="0" borderId="15" xfId="8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2" fontId="13" fillId="0" borderId="15" xfId="0" applyNumberFormat="1" applyFont="1" applyBorder="1" applyAlignment="1">
      <alignment vertical="center" wrapText="1"/>
    </xf>
    <xf numFmtId="167" fontId="10" fillId="4" borderId="0" xfId="0" applyNumberFormat="1" applyFont="1" applyFill="1"/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0" borderId="15" xfId="0" applyFont="1" applyBorder="1" applyAlignment="1">
      <alignment wrapText="1"/>
    </xf>
    <xf numFmtId="0" fontId="10" fillId="0" borderId="15" xfId="0" applyFont="1" applyBorder="1" applyAlignment="1">
      <alignment vertical="center" wrapText="1"/>
    </xf>
    <xf numFmtId="0" fontId="10" fillId="4" borderId="15" xfId="0" applyFont="1" applyFill="1" applyBorder="1" applyAlignment="1">
      <alignment vertical="center" wrapText="1"/>
    </xf>
    <xf numFmtId="166" fontId="17" fillId="0" borderId="15" xfId="6" applyNumberFormat="1" applyFont="1" applyBorder="1" applyAlignment="1">
      <alignment vertical="center" wrapText="1"/>
    </xf>
    <xf numFmtId="166" fontId="10" fillId="0" borderId="15" xfId="0" applyNumberFormat="1" applyFont="1" applyBorder="1" applyAlignment="1">
      <alignment vertical="center" wrapText="1"/>
    </xf>
    <xf numFmtId="1" fontId="13" fillId="0" borderId="15" xfId="0" applyNumberFormat="1" applyFont="1" applyBorder="1" applyAlignment="1">
      <alignment vertical="center" wrapText="1"/>
    </xf>
    <xf numFmtId="166" fontId="14" fillId="0" borderId="15" xfId="0" applyNumberFormat="1" applyFont="1" applyBorder="1" applyAlignment="1">
      <alignment vertical="center" wrapText="1"/>
    </xf>
    <xf numFmtId="164" fontId="10" fillId="0" borderId="15" xfId="6" applyFont="1" applyBorder="1" applyAlignment="1">
      <alignment vertical="center" wrapText="1"/>
    </xf>
    <xf numFmtId="167" fontId="10" fillId="0" borderId="15" xfId="6" applyNumberFormat="1" applyFont="1" applyBorder="1" applyAlignment="1">
      <alignment vertical="center" wrapText="1"/>
    </xf>
    <xf numFmtId="14" fontId="10" fillId="0" borderId="12" xfId="0" applyNumberFormat="1" applyFont="1" applyBorder="1"/>
    <xf numFmtId="168" fontId="13" fillId="0" borderId="13" xfId="8" applyNumberFormat="1" applyFont="1" applyBorder="1" applyAlignment="1">
      <alignment vertical="center" wrapText="1"/>
    </xf>
    <xf numFmtId="0" fontId="13" fillId="0" borderId="13" xfId="8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2" fontId="13" fillId="0" borderId="10" xfId="0" applyNumberFormat="1" applyFont="1" applyBorder="1" applyAlignment="1">
      <alignment vertical="center" wrapText="1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10" xfId="0" applyFont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166" fontId="17" fillId="0" borderId="10" xfId="6" applyNumberFormat="1" applyFont="1" applyBorder="1" applyAlignment="1">
      <alignment vertical="center" wrapText="1"/>
    </xf>
    <xf numFmtId="166" fontId="10" fillId="0" borderId="10" xfId="0" applyNumberFormat="1" applyFont="1" applyBorder="1" applyAlignment="1">
      <alignment vertical="center" wrapText="1"/>
    </xf>
    <xf numFmtId="1" fontId="13" fillId="0" borderId="13" xfId="0" applyNumberFormat="1" applyFont="1" applyBorder="1" applyAlignment="1">
      <alignment vertical="center" wrapText="1"/>
    </xf>
    <xf numFmtId="1" fontId="13" fillId="0" borderId="10" xfId="0" applyNumberFormat="1" applyFont="1" applyBorder="1" applyAlignment="1">
      <alignment vertical="center" wrapText="1"/>
    </xf>
    <xf numFmtId="166" fontId="14" fillId="0" borderId="10" xfId="0" applyNumberFormat="1" applyFont="1" applyBorder="1" applyAlignment="1">
      <alignment vertical="center" wrapText="1"/>
    </xf>
    <xf numFmtId="164" fontId="10" fillId="0" borderId="10" xfId="6" applyFont="1" applyBorder="1" applyAlignment="1">
      <alignment vertical="center" wrapText="1"/>
    </xf>
    <xf numFmtId="167" fontId="10" fillId="0" borderId="10" xfId="6" applyNumberFormat="1" applyFont="1" applyBorder="1" applyAlignment="1">
      <alignment vertical="center" wrapText="1"/>
    </xf>
    <xf numFmtId="167" fontId="10" fillId="4" borderId="10" xfId="0" applyNumberFormat="1" applyFont="1" applyFill="1" applyBorder="1"/>
    <xf numFmtId="167" fontId="10" fillId="4" borderId="15" xfId="0" applyNumberFormat="1" applyFont="1" applyFill="1" applyBorder="1"/>
    <xf numFmtId="0" fontId="10" fillId="4" borderId="0" xfId="0" applyFont="1" applyFill="1"/>
    <xf numFmtId="0" fontId="0" fillId="0" borderId="12" xfId="0" applyBorder="1"/>
    <xf numFmtId="0" fontId="23" fillId="0" borderId="12" xfId="0" applyFont="1" applyBorder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0" borderId="0" xfId="0" applyFont="1"/>
    <xf numFmtId="0" fontId="23" fillId="0" borderId="12" xfId="0" applyFont="1" applyBorder="1" applyAlignment="1">
      <alignment horizontal="left"/>
    </xf>
    <xf numFmtId="0" fontId="23" fillId="0" borderId="0" xfId="0" applyFont="1" applyAlignment="1">
      <alignment horizontal="left"/>
    </xf>
    <xf numFmtId="14" fontId="10" fillId="0" borderId="15" xfId="0" applyNumberFormat="1" applyFont="1" applyBorder="1" applyAlignment="1">
      <alignment horizontal="center"/>
    </xf>
    <xf numFmtId="16" fontId="10" fillId="0" borderId="15" xfId="0" applyNumberFormat="1" applyFont="1" applyBorder="1" applyAlignment="1">
      <alignment horizontal="center"/>
    </xf>
    <xf numFmtId="0" fontId="10" fillId="0" borderId="15" xfId="0" applyFont="1" applyBorder="1" applyAlignment="1">
      <alignment horizontal="left" vertical="center" wrapText="1"/>
    </xf>
    <xf numFmtId="0" fontId="24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/>
    </xf>
    <xf numFmtId="0" fontId="20" fillId="12" borderId="0" xfId="0" applyFont="1" applyFill="1"/>
    <xf numFmtId="0" fontId="20" fillId="0" borderId="0" xfId="0" applyFont="1"/>
    <xf numFmtId="0" fontId="10" fillId="0" borderId="0" xfId="0" applyFont="1" applyAlignment="1">
      <alignment horizontal="left" wrapText="1"/>
    </xf>
    <xf numFmtId="2" fontId="13" fillId="0" borderId="0" xfId="0" applyNumberFormat="1" applyFont="1" applyAlignment="1">
      <alignment vertical="center" wrapText="1"/>
    </xf>
    <xf numFmtId="171" fontId="10" fillId="0" borderId="0" xfId="0" applyNumberFormat="1" applyFont="1"/>
    <xf numFmtId="0" fontId="12" fillId="0" borderId="12" xfId="0" applyFont="1" applyBorder="1" applyAlignment="1">
      <alignment horizontal="left" wrapText="1"/>
    </xf>
    <xf numFmtId="0" fontId="12" fillId="0" borderId="12" xfId="0" applyFont="1" applyBorder="1" applyAlignment="1">
      <alignment wrapText="1"/>
    </xf>
    <xf numFmtId="0" fontId="14" fillId="0" borderId="12" xfId="0" applyFont="1" applyBorder="1"/>
    <xf numFmtId="0" fontId="12" fillId="0" borderId="12" xfId="0" applyFont="1" applyBorder="1"/>
    <xf numFmtId="0" fontId="12" fillId="0" borderId="12" xfId="0" applyFont="1" applyBorder="1" applyAlignment="1">
      <alignment horizontal="left"/>
    </xf>
    <xf numFmtId="0" fontId="10" fillId="0" borderId="0" xfId="0" applyFont="1" applyAlignment="1">
      <alignment horizontal="left"/>
    </xf>
    <xf numFmtId="14" fontId="14" fillId="0" borderId="12" xfId="0" applyNumberFormat="1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170" fontId="14" fillId="0" borderId="12" xfId="0" applyNumberFormat="1" applyFont="1" applyBorder="1" applyAlignment="1">
      <alignment horizontal="left"/>
    </xf>
    <xf numFmtId="14" fontId="10" fillId="0" borderId="12" xfId="0" applyNumberFormat="1" applyFont="1" applyBorder="1" applyAlignment="1">
      <alignment horizontal="left"/>
    </xf>
    <xf numFmtId="0" fontId="25" fillId="0" borderId="12" xfId="0" applyFont="1" applyBorder="1"/>
    <xf numFmtId="0" fontId="26" fillId="0" borderId="12" xfId="0" applyFont="1" applyBorder="1"/>
    <xf numFmtId="0" fontId="13" fillId="0" borderId="0" xfId="0" applyFont="1" applyAlignment="1">
      <alignment vertical="center" wrapText="1"/>
    </xf>
    <xf numFmtId="3" fontId="27" fillId="0" borderId="0" xfId="4" applyNumberFormat="1" applyFont="1" applyAlignment="1">
      <alignment vertical="center" wrapText="1"/>
    </xf>
    <xf numFmtId="0" fontId="25" fillId="0" borderId="12" xfId="0" applyFont="1" applyBorder="1" applyAlignment="1">
      <alignment wrapText="1"/>
    </xf>
    <xf numFmtId="0" fontId="25" fillId="0" borderId="12" xfId="0" applyFont="1" applyBorder="1" applyAlignment="1">
      <alignment vertical="center"/>
    </xf>
    <xf numFmtId="43" fontId="10" fillId="0" borderId="0" xfId="0" applyNumberFormat="1" applyFont="1"/>
    <xf numFmtId="0" fontId="20" fillId="13" borderId="12" xfId="0" applyFont="1" applyFill="1" applyBorder="1"/>
    <xf numFmtId="0" fontId="20" fillId="14" borderId="12" xfId="0" applyFont="1" applyFill="1" applyBorder="1"/>
    <xf numFmtId="0" fontId="20" fillId="6" borderId="12" xfId="0" applyFont="1" applyFill="1" applyBorder="1"/>
    <xf numFmtId="0" fontId="20" fillId="15" borderId="12" xfId="0" applyFont="1" applyFill="1" applyBorder="1"/>
    <xf numFmtId="0" fontId="25" fillId="0" borderId="0" xfId="0" applyFont="1"/>
    <xf numFmtId="0" fontId="25" fillId="0" borderId="0" xfId="0" applyFont="1" applyAlignment="1">
      <alignment wrapText="1"/>
    </xf>
    <xf numFmtId="0" fontId="20" fillId="10" borderId="12" xfId="0" applyFont="1" applyFill="1" applyBorder="1"/>
    <xf numFmtId="0" fontId="28" fillId="0" borderId="12" xfId="0" applyFont="1" applyBorder="1" applyAlignment="1">
      <alignment wrapText="1"/>
    </xf>
    <xf numFmtId="0" fontId="15" fillId="6" borderId="12" xfId="0" applyFont="1" applyFill="1" applyBorder="1"/>
    <xf numFmtId="0" fontId="10" fillId="6" borderId="14" xfId="0" applyFont="1" applyFill="1" applyBorder="1" applyAlignment="1">
      <alignment horizontal="center" vertical="center" wrapText="1"/>
    </xf>
    <xf numFmtId="49" fontId="7" fillId="16" borderId="10" xfId="0" applyNumberFormat="1" applyFont="1" applyFill="1" applyBorder="1" applyAlignment="1">
      <alignment horizontal="center" vertical="center" shrinkToFit="1"/>
    </xf>
    <xf numFmtId="3" fontId="10" fillId="0" borderId="0" xfId="0" applyNumberFormat="1" applyFont="1"/>
    <xf numFmtId="0" fontId="20" fillId="17" borderId="0" xfId="0" applyFont="1" applyFill="1"/>
    <xf numFmtId="43" fontId="20" fillId="17" borderId="0" xfId="0" applyNumberFormat="1" applyFont="1" applyFill="1"/>
    <xf numFmtId="0" fontId="29" fillId="0" borderId="12" xfId="0" applyFont="1" applyBorder="1" applyAlignment="1">
      <alignment horizontal="center" vertical="center" wrapText="1"/>
    </xf>
    <xf numFmtId="0" fontId="23" fillId="0" borderId="12" xfId="0" applyFont="1" applyBorder="1"/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wrapText="1"/>
    </xf>
    <xf numFmtId="14" fontId="10" fillId="0" borderId="0" xfId="0" applyNumberFormat="1" applyFont="1"/>
    <xf numFmtId="43" fontId="10" fillId="0" borderId="12" xfId="0" applyNumberFormat="1" applyFont="1" applyBorder="1"/>
    <xf numFmtId="0" fontId="10" fillId="4" borderId="12" xfId="0" applyFont="1" applyFill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7" fillId="4" borderId="0" xfId="0" applyFont="1" applyFill="1" applyAlignment="1">
      <alignment horizontal="center" vertical="center" wrapText="1"/>
    </xf>
    <xf numFmtId="3" fontId="7" fillId="4" borderId="5" xfId="4" applyNumberFormat="1" applyFont="1" applyFill="1" applyBorder="1" applyAlignment="1">
      <alignment horizontal="center" vertical="center" wrapText="1"/>
    </xf>
    <xf numFmtId="3" fontId="7" fillId="4" borderId="0" xfId="4" applyNumberFormat="1" applyFont="1" applyFill="1" applyAlignment="1">
      <alignment horizontal="center" vertical="center" wrapText="1"/>
    </xf>
    <xf numFmtId="2" fontId="7" fillId="10" borderId="7" xfId="0" applyNumberFormat="1" applyFont="1" applyFill="1" applyBorder="1" applyAlignment="1">
      <alignment horizontal="center" vertical="center"/>
    </xf>
    <xf numFmtId="2" fontId="7" fillId="10" borderId="8" xfId="0" applyNumberFormat="1" applyFont="1" applyFill="1" applyBorder="1" applyAlignment="1">
      <alignment horizontal="center" vertical="center"/>
    </xf>
    <xf numFmtId="2" fontId="7" fillId="10" borderId="9" xfId="0" applyNumberFormat="1" applyFont="1" applyFill="1" applyBorder="1" applyAlignment="1">
      <alignment horizontal="center" vertical="center"/>
    </xf>
    <xf numFmtId="2" fontId="7" fillId="8" borderId="7" xfId="0" applyNumberFormat="1" applyFont="1" applyFill="1" applyBorder="1" applyAlignment="1">
      <alignment horizontal="center" vertical="center"/>
    </xf>
    <xf numFmtId="2" fontId="7" fillId="8" borderId="8" xfId="0" applyNumberFormat="1" applyFont="1" applyFill="1" applyBorder="1" applyAlignment="1">
      <alignment horizontal="center" vertical="center"/>
    </xf>
    <xf numFmtId="2" fontId="7" fillId="8" borderId="9" xfId="0" applyNumberFormat="1" applyFont="1" applyFill="1" applyBorder="1" applyAlignment="1">
      <alignment horizontal="center" vertical="center"/>
    </xf>
  </cellXfs>
  <cellStyles count="9">
    <cellStyle name="Comma" xfId="1" builtinId="3"/>
    <cellStyle name="Comma 10 3 10" xfId="5" xr:uid="{1A0B2210-25F4-490F-AE40-6D359BCB2F98}"/>
    <cellStyle name="Comma 247" xfId="6" xr:uid="{3CFA3997-A0FF-4620-87D8-CA412272F946}"/>
    <cellStyle name="Comma_Sheet1 2" xfId="4" xr:uid="{5D3910C6-3C32-43AF-8532-E2E5E03FFDE1}"/>
    <cellStyle name="Normal" xfId="0" builtinId="0"/>
    <cellStyle name="Normal 100" xfId="3" xr:uid="{52938688-8F9E-444E-A66F-E9E0C19DC8C6}"/>
    <cellStyle name="Normal 185" xfId="8" xr:uid="{D652209D-D46D-44CB-9DEC-3E87F2242E91}"/>
    <cellStyle name="Percent" xfId="2" builtinId="5"/>
    <cellStyle name="Percent 50" xfId="7" xr:uid="{06883E71-7B7E-4634-8D47-FD8BD104E52E}"/>
  </cellStyles>
  <dxfs count="1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_-* #,##0_-;\-* #,##0_-;_-* &quot;-&quot;??_-;_-@_-"/>
      <fill>
        <patternFill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1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rgb="FFFFFF00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8e1b34c60ccc372/Desktop/RCN%20YAKRO/RCN%20REPORT/RCN%20BIN%2024-05-2026.xlsx" TargetMode="External"/><Relationship Id="rId1" Type="http://schemas.openxmlformats.org/officeDocument/2006/relationships/externalLinkPath" Target="RCN%20BIN%2024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N-BIN"/>
      <sheetName val="BIN-05-UNDRY -ISSUE"/>
      <sheetName val="BIN-03B-UNDRY-ISSUE"/>
      <sheetName val="BIN SUMMARY"/>
      <sheetName val="BIN CLOSURE "/>
      <sheetName val="BIN-02-DRY BI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93260-0435-4C95-80F5-3FAC044158C3}" name="Table22" displayName="Table22" ref="A4:CG298" totalsRowCount="1" headerRowDxfId="195" dataDxfId="193" headerRowBorderDxfId="194" tableBorderDxfId="192">
  <autoFilter ref="A4:CG297" xr:uid="{00E93260-0435-4C95-80F5-3FAC044158C3}"/>
  <tableColumns count="85">
    <tableColumn id="1" xr3:uid="{EB35D74F-68E9-4E0E-8331-1D5645519ADE}" name="S. No." dataDxfId="191" totalsRowDxfId="190"/>
    <tableColumn id="2" xr3:uid="{E22DF633-AD6E-4DAA-88AD-6649D3898ED1}" name="Warehouse  / Site" dataDxfId="189" totalsRowDxfId="188"/>
    <tableColumn id="3" xr3:uid="{5F304973-6460-474E-B2F7-5B8D53BA6BD0}" name="Warehouse " dataDxfId="187" totalsRowDxfId="186"/>
    <tableColumn id="5" xr3:uid="{0B66A141-AA2A-4179-9542-46224FC9EEE0}" name="Lot No" dataDxfId="185" totalsRowDxfId="184"/>
    <tableColumn id="39" xr3:uid="{8AB0274E-0246-4670-9F7B-F35F2EE7985F}" name="Lot Dry" dataDxfId="183" totalsRowDxfId="182"/>
    <tableColumn id="76" xr3:uid="{D96369F9-F760-4693-9327-7DB582FF3CC2}" name="Bordereau De Livraison)" dataDxfId="181" totalsRowDxfId="180"/>
    <tableColumn id="6" xr3:uid="{429A1459-962E-404E-9994-F4D98B3C39EE}" name="W/H Receipt No. (F.De DISCHARGMENT)" dataDxfId="179" totalsRowDxfId="178"/>
    <tableColumn id="7" xr3:uid="{DD74BB9C-3ADF-4012-BAD0-157F3E149FB5}" name="FITCH DATE" dataDxfId="177" totalsRowDxfId="176"/>
    <tableColumn id="82" xr3:uid="{74ADE003-7102-4BE6-8DB7-199922A397D7}" name="Date" dataDxfId="175" totalsRowDxfId="174"/>
    <tableColumn id="81" xr3:uid="{ECFFF286-A611-45E0-B94D-F0C529B29432}" name="ACTIVITY" dataDxfId="173" totalsRowDxfId="172"/>
    <tableColumn id="85" xr3:uid="{BDCB953D-BECF-48C5-8D71-54F2D1777B89}" name="CCAK VALIDATED" dataDxfId="171" totalsRowDxfId="170"/>
    <tableColumn id="78" xr3:uid="{22A7EF28-A894-4D50-8E49-FA3A9A56E223}" name="Storage Area" dataDxfId="169" totalsRowDxfId="168"/>
    <tableColumn id="8" xr3:uid="{43E31209-298A-40D8-8F41-260A247F3100}" name=" No. Fiche CCA" dataDxfId="167" totalsRowDxfId="166"/>
    <tableColumn id="86" xr3:uid="{4947C722-69B6-4317-8FF7-AB50580A5BE0}" name="BIN NO." dataDxfId="165" totalsRowDxfId="164">
      <calculatedColumnFormula>VLOOKUP(Table22[[#This Row],[ No. Fiche CCA]],'[1]RCN-BIN'!$C$3:$F$461,4,0)</calculatedColumnFormula>
    </tableColumn>
    <tableColumn id="9" xr3:uid="{FBB0793C-7111-464C-B40E-DB302F9FDA74}" name="Truck No." dataDxfId="163" totalsRowDxfId="162"/>
    <tableColumn id="10" xr3:uid="{91295AC7-F308-4DE9-8ADC-938D2D3D2F2B}" name="Arrival Date" dataDxfId="161" totalsRowDxfId="160"/>
    <tableColumn id="11" xr3:uid="{BFDF7BF6-CB78-48FB-B62D-7AF67FF9D8C1}" name="Discharge Date" dataDxfId="159" totalsRowDxfId="158"/>
    <tableColumn id="12" xr3:uid="{AF1D194C-BCEB-44B5-BB9D-F36A6120F0BB}" name="Origin" dataDxfId="157" totalsRowDxfId="156"/>
    <tableColumn id="13" xr3:uid="{3CDF3CBA-2C0A-4F1F-BC2F-205578779F8C}" name="Supplier Name" dataDxfId="155" totalsRowDxfId="154"/>
    <tableColumn id="77" xr3:uid="{06DF06D4-D5DD-41E5-9078-8780D61CCF67}" name="Linked " dataDxfId="153" totalsRowDxfId="152"/>
    <tableColumn id="83" xr3:uid="{A819BD37-A197-408A-B5BF-90B377FE4F77}" name="CCA NO" dataDxfId="151" totalsRowDxfId="150"/>
    <tableColumn id="14" xr3:uid="{B113A265-E4B9-452B-B3FB-304D5FF4C564}" name="Supplier's Code" dataDxfId="149" totalsRowDxfId="148"/>
    <tableColumn id="15" xr3:uid="{0385A4BC-9459-41F5-B181-40B821D2E988}" name="Good Bag Offloaded " dataDxfId="147" totalsRowDxfId="146"/>
    <tableColumn id="16" xr3:uid="{728B336D-A971-4AB6-A706-52247FC7C126}" name="Damaged Bag Offloladed" dataDxfId="145" totalsRowDxfId="144"/>
    <tableColumn id="17" xr3:uid="{B004DDB5-E87C-4B2E-9520-6CE46350F786}" name="Total Bag Discharged (Truck)" dataDxfId="143" totalsRowDxfId="142"/>
    <tableColumn id="18" xr3:uid="{17FDE041-D44E-4E9F-A98B-CD8D311ACB1B}" name="Recondition  Bag " dataDxfId="141" totalsRowDxfId="140"/>
    <tableColumn id="19" xr3:uid="{4E4F436A-E15B-468A-A924-F3C95456EA96}" name="Total Bag Stock (WH)" dataDxfId="139" totalsRowDxfId="138"/>
    <tableColumn id="20" xr3:uid="{065711F7-BE11-4D36-A95C-92CCB3088C4F}" name="New Bag (Used in Recondition)" dataDxfId="137" totalsRowDxfId="136"/>
    <tableColumn id="21" xr3:uid="{9D7C8AF2-EBBB-4CFF-9D93-FD9884FCCFA0}" name="Bon Sacs " dataDxfId="135" totalsRowDxfId="134"/>
    <tableColumn id="22" xr3:uid="{98C5D253-B30C-4A1E-9C1F-2FC3ADC17444}" name="Humid Sacs" dataDxfId="133" totalsRowDxfId="132"/>
    <tableColumn id="23" xr3:uid="{9BA3DC17-EC13-4F22-ACFF-4B0C98A53F64}" name="Sacs déchirés" dataDxfId="131" totalsRowDxfId="130"/>
    <tableColumn id="84" xr3:uid="{58D7FBF0-4969-491B-BBA2-F522471D48D9}" name="Recondition" dataDxfId="129" totalsRowDxfId="128"/>
    <tableColumn id="24" xr3:uid="{10F8FF81-7522-4DD6-AF64-23F6E0B40DCB}" name="Recon Sacs" dataDxfId="127" totalsRowDxfId="126"/>
    <tableColumn id="25" xr3:uid="{92A11844-A480-4499-A6A1-972E3BA9BF5A}" name="Total Sacs/lot" dataDxfId="125" totalsRowDxfId="124"/>
    <tableColumn id="26" xr3:uid="{FA29525C-B10E-4EAB-B615-05B62E053733}" name="sacs exports" dataDxfId="123" totalsRowDxfId="122"/>
    <tableColumn id="27" xr3:uid="{EF34B1DF-1132-4210-B0FE-01A4F1DA1509}" name="sacs bio" dataDxfId="121" totalsRowDxfId="120"/>
    <tableColumn id="28" xr3:uid="{A3865162-F3BB-421B-BDEC-BF2E30D14BBE}" name="sacs brousses" dataDxfId="119" totalsRowDxfId="118"/>
    <tableColumn id="29" xr3:uid="{6251B27C-4B8E-48B6-A2A5-02A1FCBB8203}" name="Total Recd" dataDxfId="117" totalsRowDxfId="116"/>
    <tableColumn id="30" xr3:uid="{EE7C3336-F4F2-4A7C-B4E4-DCBBCA91BB6E}" name="GROSS WT" dataDxfId="115" totalsRowDxfId="114"/>
    <tableColumn id="31" xr3:uid="{0E0F16C4-96B7-4F3A-81BE-693705ACD398}" name="Total Refraction (On Gross Wt)" dataDxfId="113" totalsRowDxfId="112"/>
    <tableColumn id="32" xr3:uid="{09903E51-64D5-421B-A0D3-85A9C611441D}" name="GRN qt(kg)" dataDxfId="111" totalsRowDxfId="110"/>
    <tableColumn id="33" xr3:uid="{8239774A-E5C5-41B1-9B96-A348E461F6B4}" name="Weight Paid " totalsRowFunction="sum" dataDxfId="109" totalsRowDxfId="108"/>
    <tableColumn id="34" xr3:uid="{A61F67B8-78F5-4F8B-8D34-BFCD6F8590C9}" name="Net Weight " dataDxfId="107" totalsRowDxfId="106"/>
    <tableColumn id="35" xr3:uid="{ADBD725F-25E5-4B5C-889B-DDE31A035DEE}" name="Diff" dataDxfId="105" totalsRowDxfId="104"/>
    <tableColumn id="74" xr3:uid="{DFF2357B-7C6B-4EFD-8E88-28B3CBBF8FC8}" name="NET WT AS PER BOOK" dataDxfId="103" totalsRowDxfId="102">
      <calculatedColumnFormula>Table22[[#This Row],[GROSS WT]]-Table22[[#This Row],[Total Bag Discharged (Truck)]]</calculatedColumnFormula>
    </tableColumn>
    <tableColumn id="36" xr3:uid="{73EA2CCB-A861-4B6D-BC3F-7096EA358D83}" name="GRN FRESH qty(kg)" dataDxfId="101" totalsRowDxfId="100"/>
    <tableColumn id="37" xr3:uid="{B9265F08-A4F3-4252-B48A-272B14AA4020}" name="GRN dried qty(kg)" dataDxfId="99" totalsRowDxfId="98"/>
    <tableColumn id="38" xr3:uid="{A5AD102F-E6E9-4E1C-8B9D-F053DC090C54}" name="BROWNS/Rejection (gm)" dataDxfId="97" totalsRowDxfId="96"/>
    <tableColumn id="40" xr3:uid="{F212E68B-A880-4D79-BDE3-8BF674F22FB8}" name="VOIDS (gm)" dataDxfId="95" totalsRowDxfId="94"/>
    <tableColumn id="41" xr3:uid="{A96D0BF3-7675-46A6-A37A-BA1E45B906AA}" name="OIL (gm)" dataDxfId="93" totalsRowDxfId="92"/>
    <tableColumn id="42" xr3:uid="{58AC5702-C8B4-45A7-8A97-546D8BC910CF}" name="TOT DEFECT" dataDxfId="91" totalsRowDxfId="90">
      <calculatedColumnFormula>+AV5+AW5+AX5</calculatedColumnFormula>
    </tableColumn>
    <tableColumn id="43" xr3:uid="{3E281EC0-E871-4D5D-88A8-550EB4A377B5}" name="Good Kernel (gm)" dataDxfId="89" totalsRowDxfId="88"/>
    <tableColumn id="44" xr3:uid="{3E9B45C4-943A-4171-8C0D-873595F761EC}" name="Immature (gm)" dataDxfId="87" totalsRowDxfId="86"/>
    <tableColumn id="45" xr3:uid="{7169DE02-E4A5-49B3-9FA2-7EE4596CB013}" name="Spotted (gm)" dataDxfId="85" totalsRowDxfId="84"/>
    <tableColumn id="46" xr3:uid="{EF140A83-5040-41AB-9094-617A5B3F4B80}" name="TOT KERNELS gm" dataDxfId="83" totalsRowDxfId="82"/>
    <tableColumn id="47" xr3:uid="{55D16226-7F3A-4E3F-8773-C7F47AC0E19A}" name="KOR" dataDxfId="81" totalsRowDxfId="80">
      <calculatedColumnFormula>SUM(Table22[[#This Row],[Good Kernel (gm)]]+(Table22[[#This Row],[Immature (gm)]]+Table22[[#This Row],[Spotted (gm)]])/2)*0.176</calculatedColumnFormula>
    </tableColumn>
    <tableColumn id="48" xr3:uid="{4358B7B5-A170-4E47-A73F-A35A4EE28124}" name="Murli " dataDxfId="79" totalsRowDxfId="78"/>
    <tableColumn id="49" xr3:uid="{5CD0EDB0-3477-4E6E-A51A-B11DE27F7DB9}" name="SHOT" dataDxfId="77" totalsRowDxfId="76">
      <calculatedColumnFormula>(AZ5+BA5+BB5)*0.17637</calculatedColumnFormula>
    </tableColumn>
    <tableColumn id="50" xr3:uid="{7B581145-2729-4DA3-88AF-E9B6FADD2749}" name="FOT" dataDxfId="75" totalsRowDxfId="74">
      <calculatedColumnFormula>+((AX5+AV5+AZ5+BA5+BB5))*0.17637</calculatedColumnFormula>
    </tableColumn>
    <tableColumn id="70" xr3:uid="{52603B15-FBCE-46FD-A3C4-A3645DE95C80}" name="Useful Kernels Yield %" dataDxfId="73" totalsRowDxfId="72">
      <calculatedColumnFormula>SUM(Table22[[#This Row],[Good Kernel (gm)]:[Spotted (gm)]])/1000*100</calculatedColumnFormula>
    </tableColumn>
    <tableColumn id="71" xr3:uid="{A372A70B-AD1E-4C6C-926B-DAAC9ECF56CB}" name="Total Yield %" dataDxfId="71" totalsRowDxfId="70">
      <calculatedColumnFormula>SUM(AV5,AX5,AZ5:BB5)/1000*100</calculatedColumnFormula>
    </tableColumn>
    <tableColumn id="51" xr3:uid="{4404DEE9-7364-46CE-8C29-67E7A24E5A12}" name="Moisture" dataDxfId="69" totalsRowDxfId="68"/>
    <tableColumn id="52" xr3:uid="{5A7B04F0-9AC1-4795-8E62-225C6A94C28A}" name="NC" dataDxfId="67" totalsRowDxfId="66"/>
    <tableColumn id="53" xr3:uid="{AFFF0473-A973-4FC7-B94C-C567A0A1022B}" name="Shell (gm)" dataDxfId="65" totalsRowDxfId="64"/>
    <tableColumn id="54" xr3:uid="{09A27F9D-3A63-4CE2-87CD-04786AAD0FC3}" name="BROWNS/Rejection (gm) (NUT)" dataDxfId="63" totalsRowDxfId="62"/>
    <tableColumn id="55" xr3:uid="{4D8E0501-B764-4874-BD73-8D63C23C2A46}" name="MURLI(TOTAL %)" dataDxfId="61" totalsRowDxfId="60"/>
    <tableColumn id="56" xr3:uid="{461D5E49-8A5F-41DF-82EC-0318B723842C}" name="VOIDS (GM )" dataDxfId="59" totalsRowDxfId="58"/>
    <tableColumn id="57" xr3:uid="{1D59FE87-9F31-4580-B506-7DF4061C29ED}" name="OIL (g m)" dataDxfId="57" totalsRowDxfId="56"/>
    <tableColumn id="58" xr3:uid="{193C37A1-43F6-48DF-BECE-28BE2B4630F9}" name="TOTAL DEFECT" dataDxfId="55" totalsRowDxfId="54"/>
    <tableColumn id="59" xr3:uid="{48AA83BE-C41D-4961-A122-BB70BA3E30DD}" name="Good Kernel (G M)" dataDxfId="53" totalsRowDxfId="52"/>
    <tableColumn id="60" xr3:uid="{AEECF466-98CF-487E-A2EA-24A6BE338431}" name="Immature (g m)" dataDxfId="51" totalsRowDxfId="50"/>
    <tableColumn id="61" xr3:uid="{65E11E98-44ED-4AFE-B571-5BFAB0176C6B}" name="Spotted (g m)" dataDxfId="49" totalsRowDxfId="48"/>
    <tableColumn id="62" xr3:uid="{C31669C6-EB5E-4618-996F-2232EA330E28}" name="TOT KERNELS (g m)" dataDxfId="47" totalsRowDxfId="46"/>
    <tableColumn id="63" xr3:uid="{449A17FA-3915-4ADC-9118-955C057AA910}" name="KOR-" dataDxfId="45" totalsRowDxfId="44"/>
    <tableColumn id="64" xr3:uid="{C67090CC-74D6-405B-8DAD-68A5D61A1F38}" name="Murli-" dataDxfId="43" totalsRowDxfId="42"/>
    <tableColumn id="75" xr3:uid="{5708069D-8144-4B73-82B6-8BFD6E072D50}" name="After Dry -KOR" dataDxfId="41" totalsRowDxfId="40"/>
    <tableColumn id="65" xr3:uid="{1958F98E-5650-4829-B08E-0BDB0B266E50}" name="SHOT-" dataDxfId="39" totalsRowDxfId="38"/>
    <tableColumn id="66" xr3:uid="{B0C7A30E-6B01-4501-AD43-CE2E9DAB273E}" name="FOT-" dataDxfId="37" totalsRowDxfId="36">
      <calculatedColumnFormula>+((BP5+BM5+BR5+BS5+BT5))*0.17637</calculatedColumnFormula>
    </tableColumn>
    <tableColumn id="72" xr3:uid="{1F13A62E-D45D-4961-8035-E75D94E4458C}" name="Useful Kernels Yield %2" dataDxfId="35" totalsRowDxfId="34">
      <calculatedColumnFormula>SUM(Table22[[#This Row],[Good Kernel (G M)]:[Spotted (g m)]])/1000*100</calculatedColumnFormula>
    </tableColumn>
    <tableColumn id="73" xr3:uid="{698975E4-5E8D-418B-9033-D7356D3C8D32}" name="Total Yield %-" dataDxfId="33" totalsRowDxfId="32">
      <calculatedColumnFormula>(Table22[[#This Row],[BROWNS/Rejection (gm) (NUT)]]+Table22[[#This Row],[OIL (g m)]]+Table22[[#This Row],[Good Kernel (G M)]]+Table22[[#This Row],[Immature (g m)]]+Table22[[#This Row],[Spotted (g m)]])/1000*100</calculatedColumnFormula>
    </tableColumn>
    <tableColumn id="67" xr3:uid="{CF2CB0D4-0DE3-4F90-A5A9-4047AEAADA13}" name="Moisture-" dataDxfId="31" totalsRowDxfId="30"/>
    <tableColumn id="68" xr3:uid="{DD44CC38-69FA-4B15-BCEC-F857E4390452}" name="NC-" dataDxfId="29" totalsRowDxfId="28"/>
    <tableColumn id="69" xr3:uid="{8AF32E58-FA1B-4F65-A97B-EB9854B34823}" name="Shell (gm)-" dataDxfId="27" totalsRowDxfId="26"/>
    <tableColumn id="79" xr3:uid="{547629DA-5305-4249-896C-D7AEE12164F3}" name="Remarks " dataDxfId="25" totalsRowDxfId="24"/>
    <tableColumn id="80" xr3:uid="{0312C52C-51B3-440F-9761-C3DB7626EE85}" name="Column3" dataDxfId="23" totalsRow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0FB4-AE1E-4E35-8DBF-751A35D7264B}">
  <sheetPr filterMode="1"/>
  <dimension ref="A2:C61"/>
  <sheetViews>
    <sheetView workbookViewId="0">
      <selection activeCell="F79" sqref="F79"/>
    </sheetView>
  </sheetViews>
  <sheetFormatPr defaultRowHeight="13.8" x14ac:dyDescent="0.3"/>
  <cols>
    <col min="1" max="1" width="8.88671875" style="177"/>
    <col min="2" max="2" width="34.77734375" style="177" customWidth="1"/>
    <col min="3" max="3" width="16.33203125" style="177" bestFit="1" customWidth="1"/>
    <col min="4" max="16384" width="8.88671875" style="177"/>
  </cols>
  <sheetData>
    <row r="2" spans="1:3" x14ac:dyDescent="0.3">
      <c r="A2" s="175" t="s">
        <v>439</v>
      </c>
      <c r="B2" s="176" t="s">
        <v>440</v>
      </c>
      <c r="C2" s="176" t="s">
        <v>441</v>
      </c>
    </row>
    <row r="3" spans="1:3" hidden="1" x14ac:dyDescent="0.3">
      <c r="A3" s="175">
        <v>1</v>
      </c>
      <c r="B3" s="178" t="s">
        <v>442</v>
      </c>
      <c r="C3" s="175" t="s">
        <v>443</v>
      </c>
    </row>
    <row r="4" spans="1:3" hidden="1" x14ac:dyDescent="0.3">
      <c r="A4" s="175">
        <v>2</v>
      </c>
      <c r="B4" s="178" t="s">
        <v>444</v>
      </c>
      <c r="C4" s="175" t="s">
        <v>445</v>
      </c>
    </row>
    <row r="5" spans="1:3" hidden="1" x14ac:dyDescent="0.3">
      <c r="A5" s="175">
        <v>3</v>
      </c>
      <c r="B5" s="178" t="s">
        <v>446</v>
      </c>
      <c r="C5" s="175" t="s">
        <v>447</v>
      </c>
    </row>
    <row r="6" spans="1:3" hidden="1" x14ac:dyDescent="0.3">
      <c r="A6" s="175">
        <v>4</v>
      </c>
      <c r="B6" s="178" t="s">
        <v>448</v>
      </c>
      <c r="C6" s="175" t="s">
        <v>379</v>
      </c>
    </row>
    <row r="7" spans="1:3" hidden="1" x14ac:dyDescent="0.3">
      <c r="A7" s="175">
        <v>5</v>
      </c>
      <c r="B7" s="178" t="s">
        <v>449</v>
      </c>
      <c r="C7" s="175" t="s">
        <v>450</v>
      </c>
    </row>
    <row r="8" spans="1:3" hidden="1" x14ac:dyDescent="0.3">
      <c r="A8" s="175">
        <v>6</v>
      </c>
      <c r="B8" s="178" t="s">
        <v>451</v>
      </c>
      <c r="C8" s="175" t="s">
        <v>342</v>
      </c>
    </row>
    <row r="9" spans="1:3" hidden="1" x14ac:dyDescent="0.3">
      <c r="A9" s="175">
        <v>7</v>
      </c>
      <c r="B9" s="178" t="s">
        <v>452</v>
      </c>
      <c r="C9" s="175" t="s">
        <v>453</v>
      </c>
    </row>
    <row r="10" spans="1:3" hidden="1" x14ac:dyDescent="0.3">
      <c r="A10" s="175">
        <v>8</v>
      </c>
      <c r="B10" s="178" t="s">
        <v>454</v>
      </c>
      <c r="C10" s="175" t="s">
        <v>307</v>
      </c>
    </row>
    <row r="11" spans="1:3" hidden="1" x14ac:dyDescent="0.3">
      <c r="A11" s="175">
        <v>9</v>
      </c>
      <c r="B11" s="178" t="s">
        <v>455</v>
      </c>
      <c r="C11" s="175" t="s">
        <v>456</v>
      </c>
    </row>
    <row r="12" spans="1:3" hidden="1" x14ac:dyDescent="0.3">
      <c r="A12" s="175">
        <v>10</v>
      </c>
      <c r="B12" s="178" t="s">
        <v>457</v>
      </c>
      <c r="C12" s="175" t="s">
        <v>221</v>
      </c>
    </row>
    <row r="13" spans="1:3" hidden="1" x14ac:dyDescent="0.3">
      <c r="A13" s="175">
        <v>11</v>
      </c>
      <c r="B13" s="178" t="s">
        <v>458</v>
      </c>
      <c r="C13" s="175" t="s">
        <v>459</v>
      </c>
    </row>
    <row r="14" spans="1:3" hidden="1" x14ac:dyDescent="0.3">
      <c r="A14" s="175">
        <v>12</v>
      </c>
      <c r="B14" s="178" t="s">
        <v>460</v>
      </c>
      <c r="C14" s="175" t="s">
        <v>153</v>
      </c>
    </row>
    <row r="15" spans="1:3" hidden="1" x14ac:dyDescent="0.3">
      <c r="A15" s="175">
        <v>13</v>
      </c>
      <c r="B15" s="178" t="s">
        <v>461</v>
      </c>
      <c r="C15" s="175" t="s">
        <v>180</v>
      </c>
    </row>
    <row r="16" spans="1:3" hidden="1" x14ac:dyDescent="0.3">
      <c r="A16" s="175">
        <v>14</v>
      </c>
      <c r="B16" s="178" t="s">
        <v>462</v>
      </c>
      <c r="C16" s="175" t="s">
        <v>281</v>
      </c>
    </row>
    <row r="17" spans="1:3" hidden="1" x14ac:dyDescent="0.3">
      <c r="A17" s="175">
        <v>15</v>
      </c>
      <c r="B17" s="178" t="s">
        <v>463</v>
      </c>
      <c r="C17" s="175" t="s">
        <v>199</v>
      </c>
    </row>
    <row r="18" spans="1:3" hidden="1" x14ac:dyDescent="0.3">
      <c r="A18" s="175">
        <v>16</v>
      </c>
      <c r="B18" s="178" t="s">
        <v>464</v>
      </c>
      <c r="C18" s="175" t="s">
        <v>102</v>
      </c>
    </row>
    <row r="19" spans="1:3" hidden="1" x14ac:dyDescent="0.3">
      <c r="A19" s="175">
        <v>17</v>
      </c>
      <c r="B19" s="178" t="s">
        <v>465</v>
      </c>
      <c r="C19" s="175" t="s">
        <v>466</v>
      </c>
    </row>
    <row r="20" spans="1:3" hidden="1" x14ac:dyDescent="0.3">
      <c r="A20" s="175">
        <v>18</v>
      </c>
      <c r="B20" s="178" t="s">
        <v>467</v>
      </c>
      <c r="C20" s="175" t="s">
        <v>468</v>
      </c>
    </row>
    <row r="21" spans="1:3" hidden="1" x14ac:dyDescent="0.3">
      <c r="A21" s="175">
        <v>19</v>
      </c>
      <c r="B21" s="178" t="s">
        <v>469</v>
      </c>
      <c r="C21" s="175" t="s">
        <v>470</v>
      </c>
    </row>
    <row r="22" spans="1:3" hidden="1" x14ac:dyDescent="0.3">
      <c r="A22" s="175">
        <v>20</v>
      </c>
      <c r="B22" s="178" t="s">
        <v>471</v>
      </c>
      <c r="C22" s="175" t="s">
        <v>472</v>
      </c>
    </row>
    <row r="23" spans="1:3" hidden="1" x14ac:dyDescent="0.3">
      <c r="A23" s="175">
        <v>21</v>
      </c>
      <c r="B23" s="178" t="s">
        <v>473</v>
      </c>
      <c r="C23" s="175" t="s">
        <v>277</v>
      </c>
    </row>
    <row r="24" spans="1:3" hidden="1" x14ac:dyDescent="0.3">
      <c r="A24" s="175">
        <v>22</v>
      </c>
      <c r="B24" s="178" t="s">
        <v>474</v>
      </c>
      <c r="C24" s="175" t="s">
        <v>475</v>
      </c>
    </row>
    <row r="25" spans="1:3" hidden="1" x14ac:dyDescent="0.3">
      <c r="A25" s="175">
        <v>23</v>
      </c>
      <c r="B25" s="178" t="s">
        <v>476</v>
      </c>
      <c r="C25" s="175" t="s">
        <v>140</v>
      </c>
    </row>
    <row r="26" spans="1:3" hidden="1" x14ac:dyDescent="0.3">
      <c r="A26" s="175">
        <v>24</v>
      </c>
      <c r="B26" s="178" t="s">
        <v>477</v>
      </c>
      <c r="C26" s="175" t="s">
        <v>478</v>
      </c>
    </row>
    <row r="27" spans="1:3" hidden="1" x14ac:dyDescent="0.3">
      <c r="A27" s="175">
        <v>25</v>
      </c>
      <c r="B27" s="178" t="s">
        <v>479</v>
      </c>
      <c r="C27" s="175" t="s">
        <v>480</v>
      </c>
    </row>
    <row r="28" spans="1:3" hidden="1" x14ac:dyDescent="0.3">
      <c r="A28" s="175">
        <v>26</v>
      </c>
      <c r="B28" s="178" t="s">
        <v>481</v>
      </c>
      <c r="C28" s="175" t="s">
        <v>482</v>
      </c>
    </row>
    <row r="29" spans="1:3" hidden="1" x14ac:dyDescent="0.3">
      <c r="A29" s="175">
        <v>27</v>
      </c>
      <c r="B29" s="178" t="s">
        <v>483</v>
      </c>
      <c r="C29" s="175" t="s">
        <v>157</v>
      </c>
    </row>
    <row r="30" spans="1:3" hidden="1" x14ac:dyDescent="0.3">
      <c r="A30" s="175">
        <v>28</v>
      </c>
      <c r="B30" s="178" t="s">
        <v>333</v>
      </c>
      <c r="C30" s="175" t="s">
        <v>334</v>
      </c>
    </row>
    <row r="31" spans="1:3" hidden="1" x14ac:dyDescent="0.3">
      <c r="A31" s="175">
        <v>29</v>
      </c>
      <c r="B31" s="178" t="s">
        <v>484</v>
      </c>
      <c r="C31" s="175" t="s">
        <v>485</v>
      </c>
    </row>
    <row r="32" spans="1:3" hidden="1" x14ac:dyDescent="0.3">
      <c r="A32" s="175">
        <v>30</v>
      </c>
      <c r="B32" s="178" t="s">
        <v>486</v>
      </c>
      <c r="C32" s="175" t="s">
        <v>487</v>
      </c>
    </row>
    <row r="33" spans="1:3" hidden="1" x14ac:dyDescent="0.3">
      <c r="A33" s="175">
        <v>31</v>
      </c>
      <c r="B33" s="178" t="s">
        <v>488</v>
      </c>
      <c r="C33" s="175" t="s">
        <v>489</v>
      </c>
    </row>
    <row r="34" spans="1:3" hidden="1" x14ac:dyDescent="0.3">
      <c r="A34" s="175">
        <v>32</v>
      </c>
      <c r="B34" s="178" t="s">
        <v>490</v>
      </c>
      <c r="C34" s="175" t="s">
        <v>206</v>
      </c>
    </row>
    <row r="35" spans="1:3" hidden="1" x14ac:dyDescent="0.3">
      <c r="A35" s="175">
        <v>33</v>
      </c>
      <c r="B35" s="178" t="s">
        <v>491</v>
      </c>
      <c r="C35" s="175" t="s">
        <v>492</v>
      </c>
    </row>
    <row r="36" spans="1:3" hidden="1" x14ac:dyDescent="0.3">
      <c r="A36" s="175">
        <v>34</v>
      </c>
      <c r="B36" s="178" t="s">
        <v>493</v>
      </c>
      <c r="C36" s="175" t="s">
        <v>494</v>
      </c>
    </row>
    <row r="37" spans="1:3" hidden="1" x14ac:dyDescent="0.3">
      <c r="A37" s="175">
        <v>35</v>
      </c>
      <c r="B37" s="178" t="s">
        <v>225</v>
      </c>
      <c r="C37" s="175" t="s">
        <v>226</v>
      </c>
    </row>
    <row r="38" spans="1:3" x14ac:dyDescent="0.3">
      <c r="A38" s="175">
        <v>36</v>
      </c>
      <c r="B38" s="178" t="s">
        <v>495</v>
      </c>
      <c r="C38" s="175" t="s">
        <v>175</v>
      </c>
    </row>
    <row r="39" spans="1:3" hidden="1" x14ac:dyDescent="0.3">
      <c r="A39" s="175">
        <v>37</v>
      </c>
      <c r="B39" s="178" t="s">
        <v>374</v>
      </c>
      <c r="C39" s="175" t="s">
        <v>375</v>
      </c>
    </row>
    <row r="40" spans="1:3" hidden="1" x14ac:dyDescent="0.3">
      <c r="A40" s="175">
        <v>38</v>
      </c>
      <c r="B40" s="178" t="s">
        <v>496</v>
      </c>
      <c r="C40" s="175" t="s">
        <v>497</v>
      </c>
    </row>
    <row r="41" spans="1:3" hidden="1" x14ac:dyDescent="0.3">
      <c r="A41" s="175">
        <v>39</v>
      </c>
      <c r="B41" s="178" t="s">
        <v>498</v>
      </c>
      <c r="C41" s="175" t="s">
        <v>499</v>
      </c>
    </row>
    <row r="42" spans="1:3" hidden="1" x14ac:dyDescent="0.3">
      <c r="A42" s="175">
        <v>40</v>
      </c>
      <c r="B42" s="178" t="s">
        <v>500</v>
      </c>
      <c r="C42" s="175" t="s">
        <v>147</v>
      </c>
    </row>
    <row r="43" spans="1:3" hidden="1" x14ac:dyDescent="0.3">
      <c r="A43" s="175">
        <v>41</v>
      </c>
      <c r="B43" s="178" t="s">
        <v>501</v>
      </c>
      <c r="C43" s="175" t="s">
        <v>502</v>
      </c>
    </row>
    <row r="44" spans="1:3" hidden="1" x14ac:dyDescent="0.3">
      <c r="A44" s="175">
        <v>42</v>
      </c>
      <c r="B44" s="178" t="s">
        <v>503</v>
      </c>
      <c r="C44" s="175" t="s">
        <v>504</v>
      </c>
    </row>
    <row r="45" spans="1:3" hidden="1" x14ac:dyDescent="0.3">
      <c r="A45" s="175">
        <v>43</v>
      </c>
      <c r="B45" s="178" t="s">
        <v>505</v>
      </c>
      <c r="C45" s="175" t="s">
        <v>506</v>
      </c>
    </row>
    <row r="46" spans="1:3" hidden="1" x14ac:dyDescent="0.3">
      <c r="A46" s="175">
        <v>44</v>
      </c>
      <c r="B46" s="178" t="s">
        <v>507</v>
      </c>
      <c r="C46" s="175" t="s">
        <v>508</v>
      </c>
    </row>
    <row r="47" spans="1:3" hidden="1" x14ac:dyDescent="0.3">
      <c r="A47" s="175">
        <v>45</v>
      </c>
      <c r="B47" s="178" t="s">
        <v>509</v>
      </c>
      <c r="C47" s="175" t="s">
        <v>168</v>
      </c>
    </row>
    <row r="48" spans="1:3" hidden="1" x14ac:dyDescent="0.3">
      <c r="A48" s="175">
        <v>46</v>
      </c>
      <c r="B48" s="178" t="s">
        <v>510</v>
      </c>
      <c r="C48" s="175" t="s">
        <v>511</v>
      </c>
    </row>
    <row r="49" spans="1:3" hidden="1" x14ac:dyDescent="0.3">
      <c r="A49" s="175">
        <v>47</v>
      </c>
      <c r="B49" s="178" t="s">
        <v>512</v>
      </c>
      <c r="C49" s="175" t="s">
        <v>513</v>
      </c>
    </row>
    <row r="50" spans="1:3" hidden="1" x14ac:dyDescent="0.3">
      <c r="A50" s="175">
        <v>48</v>
      </c>
      <c r="B50" s="178" t="s">
        <v>514</v>
      </c>
      <c r="C50" s="175" t="s">
        <v>515</v>
      </c>
    </row>
    <row r="51" spans="1:3" hidden="1" x14ac:dyDescent="0.3">
      <c r="A51" s="175">
        <v>49</v>
      </c>
      <c r="B51" s="178" t="s">
        <v>516</v>
      </c>
      <c r="C51" s="175" t="s">
        <v>517</v>
      </c>
    </row>
    <row r="52" spans="1:3" hidden="1" x14ac:dyDescent="0.3">
      <c r="A52" s="175">
        <v>50</v>
      </c>
      <c r="B52" s="178" t="s">
        <v>518</v>
      </c>
      <c r="C52" s="175" t="s">
        <v>519</v>
      </c>
    </row>
    <row r="53" spans="1:3" hidden="1" x14ac:dyDescent="0.3">
      <c r="A53" s="175">
        <v>51</v>
      </c>
      <c r="B53" s="178" t="s">
        <v>520</v>
      </c>
      <c r="C53" s="175" t="s">
        <v>298</v>
      </c>
    </row>
    <row r="54" spans="1:3" hidden="1" x14ac:dyDescent="0.3">
      <c r="A54" s="175">
        <v>52</v>
      </c>
      <c r="B54" s="178" t="s">
        <v>127</v>
      </c>
      <c r="C54" s="175" t="s">
        <v>128</v>
      </c>
    </row>
    <row r="55" spans="1:3" hidden="1" x14ac:dyDescent="0.3">
      <c r="A55" s="175">
        <v>53</v>
      </c>
      <c r="B55" s="178" t="s">
        <v>521</v>
      </c>
      <c r="C55" s="175" t="s">
        <v>522</v>
      </c>
    </row>
    <row r="56" spans="1:3" hidden="1" x14ac:dyDescent="0.3">
      <c r="A56" s="175">
        <v>54</v>
      </c>
      <c r="B56" s="178" t="s">
        <v>523</v>
      </c>
      <c r="C56" s="175" t="s">
        <v>202</v>
      </c>
    </row>
    <row r="57" spans="1:3" hidden="1" x14ac:dyDescent="0.3">
      <c r="A57" s="175">
        <v>55</v>
      </c>
      <c r="B57" s="178" t="s">
        <v>357</v>
      </c>
      <c r="C57" s="175" t="s">
        <v>524</v>
      </c>
    </row>
    <row r="58" spans="1:3" hidden="1" x14ac:dyDescent="0.3">
      <c r="A58" s="175">
        <v>56</v>
      </c>
      <c r="B58" s="178" t="s">
        <v>117</v>
      </c>
      <c r="C58" s="175" t="s">
        <v>118</v>
      </c>
    </row>
    <row r="59" spans="1:3" hidden="1" x14ac:dyDescent="0.3">
      <c r="A59" s="175">
        <v>57</v>
      </c>
      <c r="B59" s="178" t="s">
        <v>396</v>
      </c>
      <c r="C59" s="175" t="s">
        <v>397</v>
      </c>
    </row>
    <row r="60" spans="1:3" hidden="1" x14ac:dyDescent="0.3">
      <c r="A60" s="175">
        <v>58</v>
      </c>
      <c r="B60" s="178" t="s">
        <v>525</v>
      </c>
      <c r="C60" s="175" t="s">
        <v>111</v>
      </c>
    </row>
    <row r="61" spans="1:3" x14ac:dyDescent="0.3">
      <c r="B61" s="179"/>
    </row>
  </sheetData>
  <autoFilter ref="B2:C60" xr:uid="{3A9B0FB4-AE1E-4E35-8DBF-751A35D7264B}">
    <filterColumn colId="0">
      <filters>
        <filter val="RCN SCOOPS COOPR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C39E-A33D-4C2B-818B-D76F36813969}">
  <dimension ref="A1:CH298"/>
  <sheetViews>
    <sheetView topLeftCell="W1" zoomScale="99" workbookViewId="0">
      <pane ySplit="4" topLeftCell="A240" activePane="bottomLeft" state="frozen"/>
      <selection pane="bottomLeft" activeCell="AG12" sqref="AG12"/>
    </sheetView>
  </sheetViews>
  <sheetFormatPr defaultColWidth="8.88671875" defaultRowHeight="12" x14ac:dyDescent="0.25"/>
  <cols>
    <col min="1" max="1" width="9.88671875" style="56" customWidth="1"/>
    <col min="2" max="2" width="19.109375" style="56" customWidth="1"/>
    <col min="3" max="3" width="14.109375" style="56" customWidth="1"/>
    <col min="4" max="4" width="10.44140625" style="160" customWidth="1"/>
    <col min="5" max="5" width="10.88671875" style="56" customWidth="1"/>
    <col min="6" max="6" width="12.6640625" style="56" customWidth="1"/>
    <col min="7" max="7" width="15.88671875" style="56" customWidth="1"/>
    <col min="8" max="10" width="15.109375" style="56" customWidth="1"/>
    <col min="11" max="11" width="15.109375" style="160" customWidth="1"/>
    <col min="12" max="12" width="15.44140625" style="56" customWidth="1"/>
    <col min="13" max="14" width="14.77734375" style="160" customWidth="1"/>
    <col min="15" max="15" width="17.44140625" style="56" customWidth="1"/>
    <col min="16" max="16" width="14.5546875" style="160" bestFit="1" customWidth="1"/>
    <col min="17" max="17" width="12.21875" style="160" customWidth="1"/>
    <col min="18" max="18" width="13.6640625" style="136" customWidth="1"/>
    <col min="19" max="19" width="20.21875" style="136" customWidth="1"/>
    <col min="20" max="21" width="12.88671875" style="136" customWidth="1"/>
    <col min="22" max="22" width="13" style="56" customWidth="1"/>
    <col min="23" max="26" width="8.33203125" style="56" customWidth="1"/>
    <col min="27" max="27" width="8.33203125" style="173" customWidth="1"/>
    <col min="28" max="39" width="8.33203125" style="56" customWidth="1"/>
    <col min="40" max="40" width="11.21875" style="56" customWidth="1"/>
    <col min="41" max="41" width="8.88671875" style="56" customWidth="1"/>
    <col min="42" max="43" width="9" style="56" customWidth="1"/>
    <col min="44" max="44" width="8.109375" style="56" customWidth="1"/>
    <col min="45" max="45" width="12" style="173" customWidth="1"/>
    <col min="46" max="46" width="15.21875" style="56" customWidth="1"/>
    <col min="47" max="47" width="8.33203125" style="56" customWidth="1"/>
    <col min="48" max="48" width="8.77734375" style="56" customWidth="1"/>
    <col min="49" max="49" width="8.109375" style="56" customWidth="1"/>
    <col min="50" max="50" width="9.6640625" style="56" customWidth="1"/>
    <col min="51" max="51" width="9.77734375" style="56" customWidth="1"/>
    <col min="52" max="52" width="8.33203125" style="56" customWidth="1"/>
    <col min="53" max="53" width="10.21875" style="56" customWidth="1"/>
    <col min="54" max="54" width="9.21875" style="56" customWidth="1"/>
    <col min="55" max="55" width="11" style="56" customWidth="1"/>
    <col min="56" max="56" width="6.77734375" style="56" customWidth="1"/>
    <col min="57" max="57" width="7" style="56" customWidth="1"/>
    <col min="58" max="58" width="7.77734375" style="56" customWidth="1"/>
    <col min="59" max="61" width="6.44140625" style="56" customWidth="1"/>
    <col min="62" max="62" width="10" style="56" customWidth="1"/>
    <col min="63" max="63" width="5.6640625" style="56" customWidth="1"/>
    <col min="64" max="64" width="7" style="56" customWidth="1"/>
    <col min="65" max="65" width="14.88671875" style="56" customWidth="1"/>
    <col min="66" max="66" width="13.21875" style="56" customWidth="1"/>
    <col min="67" max="67" width="8.109375" style="56" customWidth="1"/>
    <col min="68" max="68" width="7.33203125" style="56" customWidth="1"/>
    <col min="69" max="69" width="10.6640625" style="56" customWidth="1"/>
    <col min="70" max="70" width="8.33203125" style="56" customWidth="1"/>
    <col min="71" max="71" width="10.21875" style="56" customWidth="1"/>
    <col min="72" max="72" width="9.21875" style="56" customWidth="1"/>
    <col min="73" max="73" width="11" style="56" customWidth="1"/>
    <col min="74" max="74" width="7.6640625" style="56" customWidth="1"/>
    <col min="75" max="76" width="8.77734375" style="56" customWidth="1"/>
    <col min="77" max="77" width="9.5546875" style="56" customWidth="1"/>
    <col min="78" max="80" width="8.21875" style="56" customWidth="1"/>
    <col min="81" max="81" width="11.33203125" style="56" customWidth="1"/>
    <col min="82" max="82" width="7.21875" style="56" bestFit="1" customWidth="1"/>
    <col min="83" max="83" width="8.21875" style="56" bestFit="1" customWidth="1"/>
    <col min="84" max="16384" width="8.88671875" style="56"/>
  </cols>
  <sheetData>
    <row r="1" spans="1:86" s="18" customFormat="1" ht="35.4" customHeight="1" x14ac:dyDescent="0.2">
      <c r="A1" s="1"/>
      <c r="B1" s="2" t="s">
        <v>0</v>
      </c>
      <c r="C1" s="3"/>
      <c r="D1" s="3"/>
      <c r="E1" s="3"/>
      <c r="F1" s="3"/>
      <c r="G1" s="3">
        <v>2500</v>
      </c>
      <c r="H1" s="3">
        <v>32133</v>
      </c>
      <c r="I1" s="3"/>
      <c r="J1" s="3"/>
      <c r="K1" s="3"/>
      <c r="L1" s="3"/>
      <c r="M1" s="3"/>
      <c r="N1" s="3"/>
      <c r="O1" s="5"/>
      <c r="P1" s="6"/>
      <c r="Q1" s="6"/>
      <c r="R1" s="4"/>
      <c r="S1" s="7" t="s">
        <v>1</v>
      </c>
      <c r="T1" s="7"/>
      <c r="U1" s="7"/>
      <c r="V1" s="7"/>
      <c r="W1" s="8"/>
      <c r="X1" s="8"/>
      <c r="Y1" s="8"/>
      <c r="Z1" s="8"/>
      <c r="AA1" s="9" t="s">
        <v>2</v>
      </c>
      <c r="AB1" s="8"/>
      <c r="AC1" s="10">
        <f>+SUBTOTAL(9,AC5:AC4274)</f>
        <v>136077</v>
      </c>
      <c r="AD1" s="10">
        <f>+SUBTOTAL(9,AD5:AD4274)</f>
        <v>2373</v>
      </c>
      <c r="AE1" s="10"/>
      <c r="AF1" s="10"/>
      <c r="AG1" s="10"/>
      <c r="AH1" s="10">
        <f t="shared" ref="AH1:AR1" si="0">+SUBTOTAL(9,AH5:AH4274)</f>
        <v>140243</v>
      </c>
      <c r="AI1" s="10">
        <f t="shared" si="0"/>
        <v>0</v>
      </c>
      <c r="AJ1" s="10">
        <f t="shared" si="0"/>
        <v>0</v>
      </c>
      <c r="AK1" s="10">
        <f t="shared" si="0"/>
        <v>139741</v>
      </c>
      <c r="AL1" s="10">
        <f t="shared" si="0"/>
        <v>140454</v>
      </c>
      <c r="AM1" s="10">
        <f t="shared" si="0"/>
        <v>11390255</v>
      </c>
      <c r="AN1" s="10">
        <f t="shared" si="0"/>
        <v>175409</v>
      </c>
      <c r="AO1" s="10">
        <f t="shared" si="0"/>
        <v>11249945</v>
      </c>
      <c r="AP1" s="10">
        <f t="shared" si="0"/>
        <v>11213323</v>
      </c>
      <c r="AQ1" s="10">
        <f t="shared" si="0"/>
        <v>11212919</v>
      </c>
      <c r="AR1" s="10">
        <f t="shared" si="0"/>
        <v>35984</v>
      </c>
      <c r="AS1" s="11"/>
      <c r="AT1" s="12" t="s">
        <v>3</v>
      </c>
      <c r="AU1" s="12"/>
      <c r="AV1" s="13" t="s">
        <v>4</v>
      </c>
      <c r="AW1" s="14"/>
      <c r="AX1" s="15"/>
      <c r="AY1" s="12"/>
      <c r="AZ1" s="15"/>
      <c r="BA1" s="15"/>
      <c r="BB1" s="15"/>
      <c r="BC1" s="12"/>
      <c r="BD1" s="12"/>
      <c r="BE1" s="12"/>
      <c r="BF1" s="12"/>
      <c r="BG1" s="12"/>
      <c r="BH1" s="12"/>
      <c r="BI1" s="12"/>
      <c r="BJ1" s="12"/>
      <c r="BK1" s="16"/>
      <c r="BL1" s="17"/>
      <c r="BM1" s="13" t="s">
        <v>5</v>
      </c>
      <c r="BN1" s="13"/>
      <c r="BO1" s="14"/>
      <c r="BP1" s="15"/>
      <c r="BQ1" s="12"/>
      <c r="BR1" s="15"/>
      <c r="BS1" s="15"/>
      <c r="BT1" s="15"/>
      <c r="BU1" s="12"/>
      <c r="BV1" s="12"/>
      <c r="BW1" s="12"/>
      <c r="BX1" s="12"/>
      <c r="BY1" s="12"/>
      <c r="BZ1" s="12"/>
      <c r="CA1" s="12"/>
      <c r="CB1" s="12"/>
      <c r="CC1" s="12" t="s">
        <v>6</v>
      </c>
      <c r="CD1" s="16"/>
      <c r="CE1" s="17"/>
    </row>
    <row r="2" spans="1:86" s="18" customFormat="1" ht="34.200000000000003" customHeight="1" x14ac:dyDescent="0.2">
      <c r="A2" s="1"/>
      <c r="B2" s="3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3"/>
      <c r="P2" s="21"/>
      <c r="Q2" s="21"/>
      <c r="R2" s="3"/>
      <c r="S2" s="3"/>
      <c r="T2" s="3"/>
      <c r="U2" s="3"/>
      <c r="V2" s="3"/>
      <c r="W2" s="22">
        <f t="shared" ref="W2:AB2" si="1">SUM(W5:W92)</f>
        <v>47143</v>
      </c>
      <c r="X2" s="22">
        <f t="shared" si="1"/>
        <v>3537</v>
      </c>
      <c r="Y2" s="22">
        <f>SUM(Y5:Y318)</f>
        <v>140052</v>
      </c>
      <c r="Z2" s="22">
        <f>SUM(Z5:Z92)</f>
        <v>4239</v>
      </c>
      <c r="AA2" s="23">
        <f>SUM(AA5:AA92)</f>
        <v>51318</v>
      </c>
      <c r="AB2" s="22">
        <f t="shared" si="1"/>
        <v>4239</v>
      </c>
      <c r="AC2" s="10">
        <f>+SUBTOTAL(9,AC5:AC4275)</f>
        <v>136077</v>
      </c>
      <c r="AD2" s="10">
        <f>+SUBTOTAL(9,AD5:AD4275)</f>
        <v>2373</v>
      </c>
      <c r="AE2" s="10"/>
      <c r="AF2" s="10">
        <f>SUM(AF5:AF259)</f>
        <v>8894</v>
      </c>
      <c r="AG2" s="10">
        <f t="shared" ref="AG2:AP2" si="2">+SUBTOTAL(9,AG5:AG4275)</f>
        <v>0</v>
      </c>
      <c r="AH2" s="10">
        <f t="shared" si="2"/>
        <v>140243</v>
      </c>
      <c r="AI2" s="10">
        <f t="shared" si="2"/>
        <v>0</v>
      </c>
      <c r="AJ2" s="10">
        <f t="shared" si="2"/>
        <v>0</v>
      </c>
      <c r="AK2" s="10">
        <f t="shared" si="2"/>
        <v>139741</v>
      </c>
      <c r="AL2" s="10">
        <f t="shared" si="2"/>
        <v>140454</v>
      </c>
      <c r="AM2" s="203">
        <f t="shared" si="2"/>
        <v>11390255</v>
      </c>
      <c r="AN2" s="10">
        <f t="shared" si="2"/>
        <v>175409</v>
      </c>
      <c r="AO2" s="10">
        <f t="shared" si="2"/>
        <v>11249945</v>
      </c>
      <c r="AP2" s="10">
        <f t="shared" si="2"/>
        <v>11213323</v>
      </c>
      <c r="AQ2" s="10">
        <f>+SUBTOTAL(9,AQ5:AQ1187)</f>
        <v>11212919</v>
      </c>
      <c r="AR2" s="10">
        <f>+SUBTOTAL(9,AR5:AR4275)</f>
        <v>35984</v>
      </c>
      <c r="AS2" s="11">
        <f>+SUBTOTAL(9,AS5:AS4275)</f>
        <v>11250203</v>
      </c>
      <c r="AT2" s="24"/>
      <c r="AU2" s="10"/>
      <c r="AV2" s="25">
        <f t="array" ref="AV2">SUMPRODUCT(AV5:AV4284,$AO5:$AO4284/$AO$2)</f>
        <v>27.195206207674808</v>
      </c>
      <c r="AW2" s="25">
        <f t="array" ref="AW2">SUMPRODUCT(AW5:AW4284,$AO5:$AO4284/$AO$2)</f>
        <v>18.203953974886105</v>
      </c>
      <c r="AX2" s="25">
        <f t="array" ref="AX2">SUMPRODUCT(AX5:AX4284,$AO5:$AO4284/$AO$2)</f>
        <v>1.9633749320552238</v>
      </c>
      <c r="AY2" s="25">
        <f t="array" ref="AY2">SUMPRODUCT(AY5:AY4284,$AO5:$AO4284/$AO$2)</f>
        <v>47.362535114616122</v>
      </c>
      <c r="AZ2" s="25">
        <f t="array" ref="AZ2">SUMPRODUCT(AZ5:AZ4284,$AO5:$AO4284/$AO$2)</f>
        <v>232.26517685197578</v>
      </c>
      <c r="BA2" s="25">
        <f t="array" ref="BA2">SUMPRODUCT(BA5:BA4284,$AO5:$AO4284/$AO$2)</f>
        <v>14.403450327979384</v>
      </c>
      <c r="BB2" s="25">
        <f t="array" ref="BB2">SUMPRODUCT(BB5:BB4284,$AO5:$AO4284/$AO$2)</f>
        <v>11.34303856596633</v>
      </c>
      <c r="BC2" s="25" t="e">
        <f t="array" ref="BC2">SUMPRODUCT(BC5:BC4259,$AO5:$AO4284/$AO$2)</f>
        <v>#VALUE!</v>
      </c>
      <c r="BD2" s="25" t="e">
        <f>+#REF!/AO2</f>
        <v>#REF!</v>
      </c>
      <c r="BE2" s="25"/>
      <c r="BF2" s="25" t="e">
        <f t="array" ref="BF2">SUMPRODUCT(BF5:BF4259,$AO5:$AO4284/$AO$2)</f>
        <v>#VALUE!</v>
      </c>
      <c r="BG2" s="25">
        <f t="array" ref="BG2">SUMPRODUCT(BG5:BG4284,$AO5:$AO4284/$AO$2)</f>
        <v>50.648216443222367</v>
      </c>
      <c r="BH2" s="25"/>
      <c r="BI2" s="25"/>
      <c r="BJ2" s="25">
        <f t="array" ref="BJ2">SUMPRODUCT(BJ5:BJ4284,$AO5:$AO4284/$AO$2)</f>
        <v>10.598220769968203</v>
      </c>
      <c r="BK2" s="25">
        <f t="array" ref="BK2">SUMPRODUCT(BK5:BK4284,$AO5:$AO4284/$AO$2)</f>
        <v>179.55229541122185</v>
      </c>
      <c r="BL2" s="17"/>
      <c r="BM2" s="25">
        <f t="array" ref="BM2">SUMPRODUCT(BM5:BM4284,$AO5:$AO4284/$AO$2)</f>
        <v>28.460925746748096</v>
      </c>
      <c r="BN2" s="25"/>
      <c r="BO2" s="25">
        <f t="array" ref="BO2">SUMPRODUCT(BO5:BO4284,$AO5:$AO4284/$AO$2)</f>
        <v>19.165693165611028</v>
      </c>
      <c r="BP2" s="25">
        <f t="array" ref="BP2">SUMPRODUCT(BP5:BP4284,$AO5:$AO4284/$AO$2)</f>
        <v>2.0021016102745399</v>
      </c>
      <c r="BQ2" s="25">
        <f t="array" ref="BQ2">SUMPRODUCT(BQ5:BQ4284,$AO5:$AO4284/$AO$2)</f>
        <v>49.628720522633671</v>
      </c>
      <c r="BR2" s="25">
        <f t="array" ref="BR2">SUMPRODUCT(BR5:BR4284,$AO5:$AO4284/$AO$2)</f>
        <v>235.90638549788483</v>
      </c>
      <c r="BS2" s="25">
        <f t="array" ref="BS2">SUMPRODUCT(BS5:BS4284,$AO5:$AO4284/$AO$2)</f>
        <v>15.199112937885483</v>
      </c>
      <c r="BT2" s="25">
        <f t="array" ref="BT2">SUMPRODUCT(BT5:BT4284,$AO5:$AO4284/$AO$2)</f>
        <v>11.713194686729576</v>
      </c>
      <c r="BU2" s="25">
        <f t="array" ref="BU2">SUMPRODUCT(BU5:BU4284,$AO5:$AO4284/$AO$2)</f>
        <v>262.81869312249972</v>
      </c>
      <c r="BV2" s="25" t="e">
        <f>+#REF!/BD2</f>
        <v>#REF!</v>
      </c>
      <c r="BW2" s="25"/>
      <c r="BX2" s="25"/>
      <c r="BY2" s="25">
        <f t="array" ref="BY2">SUMPRODUCT(BY5:BY4284,$AO5:$AO4284/$AO$2)</f>
        <v>46.353332906015282</v>
      </c>
      <c r="BZ2" s="25">
        <f t="array" ref="BZ2">SUMPRODUCT(BZ5:BZ4284,$AO5:$AO4284/$AO$2)</f>
        <v>51.726097040973372</v>
      </c>
      <c r="CA2" s="25"/>
      <c r="CB2" s="25"/>
      <c r="CC2" s="25">
        <f t="array" ref="CC2">SUMPRODUCT(CC5:CC4284,$AO5:$AO4284/$AO$2)</f>
        <v>10.608979626122613</v>
      </c>
      <c r="CD2" s="25">
        <f t="array" ref="CD2">SUMPRODUCT(CD5:CD4284,$AO5:$AO4284/$AO$2)</f>
        <v>178.27603672729066</v>
      </c>
      <c r="CE2" s="17"/>
    </row>
    <row r="3" spans="1:86" s="18" customFormat="1" ht="34.200000000000003" customHeight="1" x14ac:dyDescent="0.2">
      <c r="A3" s="230" t="s">
        <v>7</v>
      </c>
      <c r="B3" s="230"/>
      <c r="C3" s="230"/>
      <c r="D3" s="26"/>
      <c r="E3" s="27"/>
      <c r="F3" s="27"/>
      <c r="G3" s="27"/>
      <c r="H3" s="27"/>
      <c r="I3" s="27"/>
      <c r="J3" s="27"/>
      <c r="K3" s="26"/>
      <c r="L3" s="27"/>
      <c r="M3" s="26"/>
      <c r="N3" s="26"/>
      <c r="O3" s="27"/>
      <c r="P3" s="26"/>
      <c r="Q3" s="26"/>
      <c r="R3" s="27"/>
      <c r="S3" s="28"/>
      <c r="T3" s="27"/>
      <c r="U3" s="27"/>
      <c r="V3" s="29" t="s">
        <v>8</v>
      </c>
      <c r="W3" s="30" t="s">
        <v>9</v>
      </c>
      <c r="X3" s="30"/>
      <c r="Y3" s="30"/>
      <c r="Z3" s="30"/>
      <c r="AA3" s="30"/>
      <c r="AB3" s="30"/>
      <c r="AC3" s="31" t="s">
        <v>10</v>
      </c>
      <c r="AD3" s="31"/>
      <c r="AE3" s="31"/>
      <c r="AF3" s="31"/>
      <c r="AG3" s="31"/>
      <c r="AH3" s="31"/>
      <c r="AI3" s="31"/>
      <c r="AJ3" s="31"/>
      <c r="AK3" s="32"/>
      <c r="AL3" s="231" t="s">
        <v>11</v>
      </c>
      <c r="AM3" s="232"/>
      <c r="AN3" s="232"/>
      <c r="AO3" s="232"/>
      <c r="AP3" s="11"/>
      <c r="AQ3" s="11"/>
      <c r="AR3" s="11"/>
      <c r="AS3" s="11"/>
      <c r="AT3" s="11"/>
      <c r="AU3" s="33"/>
      <c r="AV3" s="233" t="s">
        <v>12</v>
      </c>
      <c r="AW3" s="234"/>
      <c r="AX3" s="234"/>
      <c r="AY3" s="234"/>
      <c r="AZ3" s="234"/>
      <c r="BA3" s="234"/>
      <c r="BB3" s="234"/>
      <c r="BC3" s="234"/>
      <c r="BD3" s="234"/>
      <c r="BE3" s="234"/>
      <c r="BF3" s="234"/>
      <c r="BG3" s="234"/>
      <c r="BH3" s="234"/>
      <c r="BI3" s="234"/>
      <c r="BJ3" s="234"/>
      <c r="BK3" s="234"/>
      <c r="BL3" s="235"/>
      <c r="BM3" s="236" t="s">
        <v>13</v>
      </c>
      <c r="BN3" s="237"/>
      <c r="BO3" s="237"/>
      <c r="BP3" s="237"/>
      <c r="BQ3" s="237"/>
      <c r="BR3" s="237"/>
      <c r="BS3" s="237"/>
      <c r="BT3" s="237"/>
      <c r="BU3" s="237"/>
      <c r="BV3" s="237"/>
      <c r="BW3" s="237"/>
      <c r="BX3" s="237"/>
      <c r="BY3" s="237"/>
      <c r="BZ3" s="237"/>
      <c r="CA3" s="237"/>
      <c r="CB3" s="237"/>
      <c r="CC3" s="237"/>
      <c r="CD3" s="237"/>
      <c r="CE3" s="238"/>
    </row>
    <row r="4" spans="1:86" s="18" customFormat="1" ht="48" x14ac:dyDescent="0.2">
      <c r="A4" s="34" t="s">
        <v>14</v>
      </c>
      <c r="B4" s="34" t="s">
        <v>15</v>
      </c>
      <c r="C4" s="35" t="s">
        <v>16</v>
      </c>
      <c r="D4" s="35" t="s">
        <v>17</v>
      </c>
      <c r="E4" s="35" t="s">
        <v>18</v>
      </c>
      <c r="F4" s="36" t="s">
        <v>19</v>
      </c>
      <c r="G4" s="36" t="s">
        <v>20</v>
      </c>
      <c r="H4" s="35" t="s">
        <v>21</v>
      </c>
      <c r="I4" s="35" t="s">
        <v>22</v>
      </c>
      <c r="J4" s="35" t="s">
        <v>23</v>
      </c>
      <c r="K4" s="35" t="s">
        <v>633</v>
      </c>
      <c r="L4" s="35" t="s">
        <v>24</v>
      </c>
      <c r="M4" s="35" t="s">
        <v>25</v>
      </c>
      <c r="N4" s="217" t="s">
        <v>675</v>
      </c>
      <c r="O4" s="34" t="s">
        <v>26</v>
      </c>
      <c r="P4" s="34" t="s">
        <v>27</v>
      </c>
      <c r="Q4" s="37" t="s">
        <v>28</v>
      </c>
      <c r="R4" s="37" t="s">
        <v>29</v>
      </c>
      <c r="S4" s="37" t="s">
        <v>30</v>
      </c>
      <c r="T4" s="37" t="s">
        <v>31</v>
      </c>
      <c r="U4" s="37" t="s">
        <v>32</v>
      </c>
      <c r="V4" s="38" t="s">
        <v>33</v>
      </c>
      <c r="W4" s="39" t="s">
        <v>34</v>
      </c>
      <c r="X4" s="39" t="s">
        <v>35</v>
      </c>
      <c r="Y4" s="39" t="s">
        <v>36</v>
      </c>
      <c r="Z4" s="39" t="s">
        <v>37</v>
      </c>
      <c r="AA4" s="40" t="s">
        <v>38</v>
      </c>
      <c r="AB4" s="39" t="s">
        <v>39</v>
      </c>
      <c r="AC4" s="41" t="s">
        <v>40</v>
      </c>
      <c r="AD4" s="41" t="s">
        <v>41</v>
      </c>
      <c r="AE4" s="41" t="s">
        <v>42</v>
      </c>
      <c r="AF4" s="41" t="s">
        <v>632</v>
      </c>
      <c r="AG4" s="41" t="s">
        <v>43</v>
      </c>
      <c r="AH4" s="41" t="s">
        <v>44</v>
      </c>
      <c r="AI4" s="41" t="s">
        <v>45</v>
      </c>
      <c r="AJ4" s="41" t="s">
        <v>46</v>
      </c>
      <c r="AK4" s="41" t="s">
        <v>47</v>
      </c>
      <c r="AL4" s="42" t="s">
        <v>48</v>
      </c>
      <c r="AM4" s="40" t="s">
        <v>644</v>
      </c>
      <c r="AN4" s="40" t="s">
        <v>49</v>
      </c>
      <c r="AO4" s="40" t="s">
        <v>50</v>
      </c>
      <c r="AP4" s="40" t="s">
        <v>51</v>
      </c>
      <c r="AQ4" s="40" t="s">
        <v>52</v>
      </c>
      <c r="AR4" s="43" t="s">
        <v>53</v>
      </c>
      <c r="AS4" s="43" t="s">
        <v>54</v>
      </c>
      <c r="AT4" s="43" t="s">
        <v>55</v>
      </c>
      <c r="AU4" s="43" t="s">
        <v>56</v>
      </c>
      <c r="AV4" s="44" t="s">
        <v>57</v>
      </c>
      <c r="AW4" s="44" t="s">
        <v>58</v>
      </c>
      <c r="AX4" s="44" t="s">
        <v>59</v>
      </c>
      <c r="AY4" s="44" t="s">
        <v>60</v>
      </c>
      <c r="AZ4" s="44" t="s">
        <v>61</v>
      </c>
      <c r="BA4" s="44" t="s">
        <v>62</v>
      </c>
      <c r="BB4" s="44" t="s">
        <v>63</v>
      </c>
      <c r="BC4" s="44" t="s">
        <v>64</v>
      </c>
      <c r="BD4" s="44" t="s">
        <v>65</v>
      </c>
      <c r="BE4" s="45" t="s">
        <v>66</v>
      </c>
      <c r="BF4" s="44" t="s">
        <v>67</v>
      </c>
      <c r="BG4" s="44" t="s">
        <v>68</v>
      </c>
      <c r="BH4" s="44" t="s">
        <v>69</v>
      </c>
      <c r="BI4" s="44" t="s">
        <v>70</v>
      </c>
      <c r="BJ4" s="44" t="s">
        <v>71</v>
      </c>
      <c r="BK4" s="44" t="s">
        <v>72</v>
      </c>
      <c r="BL4" s="46" t="s">
        <v>73</v>
      </c>
      <c r="BM4" s="47" t="s">
        <v>74</v>
      </c>
      <c r="BN4" s="47" t="s">
        <v>75</v>
      </c>
      <c r="BO4" s="39" t="s">
        <v>76</v>
      </c>
      <c r="BP4" s="39" t="s">
        <v>77</v>
      </c>
      <c r="BQ4" s="39" t="s">
        <v>78</v>
      </c>
      <c r="BR4" s="39" t="s">
        <v>79</v>
      </c>
      <c r="BS4" s="39" t="s">
        <v>80</v>
      </c>
      <c r="BT4" s="39" t="s">
        <v>81</v>
      </c>
      <c r="BU4" s="39" t="s">
        <v>82</v>
      </c>
      <c r="BV4" s="39" t="s">
        <v>83</v>
      </c>
      <c r="BW4" s="48" t="s">
        <v>84</v>
      </c>
      <c r="BX4" s="48" t="s">
        <v>85</v>
      </c>
      <c r="BY4" s="39" t="s">
        <v>86</v>
      </c>
      <c r="BZ4" s="39" t="s">
        <v>87</v>
      </c>
      <c r="CA4" s="39" t="s">
        <v>88</v>
      </c>
      <c r="CB4" s="39" t="s">
        <v>89</v>
      </c>
      <c r="CC4" s="39" t="s">
        <v>90</v>
      </c>
      <c r="CD4" s="39" t="s">
        <v>91</v>
      </c>
      <c r="CE4" s="39" t="s">
        <v>92</v>
      </c>
      <c r="CF4" s="49" t="s">
        <v>93</v>
      </c>
      <c r="CG4" s="49" t="s">
        <v>94</v>
      </c>
      <c r="CH4" s="183" t="s">
        <v>532</v>
      </c>
    </row>
    <row r="5" spans="1:86" ht="31.2" customHeight="1" x14ac:dyDescent="0.25">
      <c r="A5" s="50">
        <v>1</v>
      </c>
      <c r="B5" s="51" t="s">
        <v>95</v>
      </c>
      <c r="C5" s="52" t="s">
        <v>96</v>
      </c>
      <c r="D5" s="54">
        <v>1</v>
      </c>
      <c r="E5" s="55"/>
      <c r="F5" s="54">
        <v>851</v>
      </c>
      <c r="H5" s="54" t="s">
        <v>97</v>
      </c>
      <c r="I5" s="54"/>
      <c r="J5" s="54"/>
      <c r="K5" s="54" t="s">
        <v>634</v>
      </c>
      <c r="L5" s="54" t="s">
        <v>98</v>
      </c>
      <c r="M5" s="57">
        <v>68687</v>
      </c>
      <c r="N5" s="57" t="s">
        <v>676</v>
      </c>
      <c r="O5" s="54" t="s">
        <v>99</v>
      </c>
      <c r="P5" s="58">
        <v>46079</v>
      </c>
      <c r="Q5" s="58">
        <v>46079</v>
      </c>
      <c r="R5" s="51" t="s">
        <v>100</v>
      </c>
      <c r="S5" s="59" t="s">
        <v>101</v>
      </c>
      <c r="T5" s="51"/>
      <c r="U5" s="51"/>
      <c r="V5" s="51" t="s">
        <v>102</v>
      </c>
      <c r="W5" s="60">
        <v>621</v>
      </c>
      <c r="X5" s="60">
        <v>63</v>
      </c>
      <c r="Y5" s="60">
        <f>W5+X5</f>
        <v>684</v>
      </c>
      <c r="Z5" s="60">
        <v>75</v>
      </c>
      <c r="AA5" s="61">
        <f>W5+Z5</f>
        <v>696</v>
      </c>
      <c r="AB5" s="51">
        <f>Z5</f>
        <v>75</v>
      </c>
      <c r="AC5" s="62">
        <v>574</v>
      </c>
      <c r="AD5" s="63">
        <v>0</v>
      </c>
      <c r="AE5" s="64">
        <v>87</v>
      </c>
      <c r="AF5" s="64">
        <v>95</v>
      </c>
      <c r="AG5" s="63"/>
      <c r="AH5" s="64">
        <f>+AC5+AD5+AE5+AG5</f>
        <v>661</v>
      </c>
      <c r="AI5" s="62">
        <v>0</v>
      </c>
      <c r="AJ5" s="62">
        <v>0</v>
      </c>
      <c r="AK5" s="62">
        <v>696</v>
      </c>
      <c r="AL5" s="62">
        <f>+AI5+AJ5+AK5</f>
        <v>696</v>
      </c>
      <c r="AM5" s="65">
        <v>53380</v>
      </c>
      <c r="AN5" s="64">
        <f>(AD5*8)+(AE5*4)+(AG5*0)+(AH5*1)</f>
        <v>1009</v>
      </c>
      <c r="AO5" s="66">
        <f>Table22[[#This Row],[GROSS WT]]-Table22[[#This Row],[Total Bag Stock (WH)]]</f>
        <v>52684</v>
      </c>
      <c r="AP5" s="77">
        <f>Table22[[#This Row],[GRN qt(kg)]]-100</f>
        <v>52584</v>
      </c>
      <c r="AQ5" s="66">
        <f t="shared" ref="AQ5:AQ21" si="3">+AO5-AE5*4</f>
        <v>52336</v>
      </c>
      <c r="AR5" s="67">
        <f t="shared" ref="AR5:AR68" si="4">(AD5*40)+(AE5*4)+(AG5*0)</f>
        <v>348</v>
      </c>
      <c r="AS5" s="68">
        <f>Table22[[#This Row],[GROSS WT]]-Table22[[#This Row],[Total Bag Discharged (Truck)]]</f>
        <v>52696</v>
      </c>
      <c r="AT5" s="67">
        <f t="shared" ref="AT5:AT68" si="5">+AO5</f>
        <v>52684</v>
      </c>
      <c r="AU5" s="69"/>
      <c r="AV5" s="70">
        <v>11.6</v>
      </c>
      <c r="AW5" s="70"/>
      <c r="AX5" s="70"/>
      <c r="AY5" s="71">
        <f t="shared" ref="AY5:AY68" si="6">+AV5+AW5+AX5</f>
        <v>11.6</v>
      </c>
      <c r="AZ5" s="70">
        <v>257</v>
      </c>
      <c r="BA5" s="70"/>
      <c r="BB5" s="70">
        <v>11</v>
      </c>
      <c r="BC5" s="63">
        <f>+AZ5+BA5+BB5</f>
        <v>268</v>
      </c>
      <c r="BD5" s="72">
        <f>SUM(Table22[[#This Row],[Good Kernel (gm)]]+(Table22[[#This Row],[Immature (gm)]]+Table22[[#This Row],[Spotted (gm)]])/2)*0.176</f>
        <v>46.199999999999996</v>
      </c>
      <c r="BE5" s="72"/>
      <c r="BF5" s="72">
        <f>(AZ5+BA5+BB5)*0.17637</f>
        <v>47.267159999999997</v>
      </c>
      <c r="BG5" s="72">
        <f t="shared" ref="BG5:BG68" si="7">+((AX5+AV5+AZ5+BA5+BB5))*0.17637</f>
        <v>49.313052000000006</v>
      </c>
      <c r="BH5" s="72">
        <f>SUM(Table22[[#This Row],[Good Kernel (gm)]:[Spotted (gm)]])/1000*100</f>
        <v>26.8</v>
      </c>
      <c r="BI5" s="72">
        <f t="shared" ref="BI5:BI68" si="8">SUM(AV5,AX5,AZ5:BB5)/1000*100</f>
        <v>27.96</v>
      </c>
      <c r="BJ5" s="72">
        <v>8</v>
      </c>
      <c r="BK5" s="51">
        <v>187</v>
      </c>
      <c r="BL5" s="73"/>
      <c r="BM5" s="70">
        <v>18</v>
      </c>
      <c r="BN5" s="74">
        <v>6.6000000000000003E-2</v>
      </c>
      <c r="BO5" s="70">
        <v>5</v>
      </c>
      <c r="BP5" s="70">
        <v>13</v>
      </c>
      <c r="BQ5" s="71">
        <f t="shared" ref="BQ5:BQ68" si="9">+BM5+BO5+BP5</f>
        <v>36</v>
      </c>
      <c r="BR5" s="75">
        <v>253</v>
      </c>
      <c r="BS5" s="75">
        <v>16</v>
      </c>
      <c r="BT5" s="75">
        <v>10</v>
      </c>
      <c r="BU5" s="62">
        <v>279</v>
      </c>
      <c r="BV5" s="72">
        <f>SUM(Table22[[#This Row],[Good Kernel (G M)]]+(Table22[[#This Row],[Immature (g m)]]+Table22[[#This Row],[Spotted (g m)]])/2)*0.176</f>
        <v>46.815999999999995</v>
      </c>
      <c r="BW5" s="72">
        <v>46.81</v>
      </c>
      <c r="BX5" s="72"/>
      <c r="BY5" s="72">
        <f>(BR5+BS5+BT5)*0.17637</f>
        <v>49.207230000000003</v>
      </c>
      <c r="BZ5" s="72">
        <f>+((BP5+BM5+BR5+BS5+BT5))*0.17637</f>
        <v>54.674700000000001</v>
      </c>
      <c r="CA5" s="72">
        <f>SUM(Table22[[#This Row],[Good Kernel (G M)]:[Spotted (g m)]])/1000*100</f>
        <v>27.900000000000002</v>
      </c>
      <c r="CB5" s="72">
        <f>(Table22[[#This Row],[BROWNS/Rejection (gm) (NUT)]]+Table22[[#This Row],[OIL (g m)]]+Table22[[#This Row],[Good Kernel (G M)]]+Table22[[#This Row],[Immature (g m)]]+Table22[[#This Row],[Spotted (g m)]])/1000*100</f>
        <v>31</v>
      </c>
      <c r="CC5" s="72">
        <v>7.9</v>
      </c>
      <c r="CD5" s="51">
        <v>187</v>
      </c>
      <c r="CE5" s="60">
        <v>596</v>
      </c>
      <c r="CF5" s="76"/>
      <c r="CH5" s="184">
        <f ca="1">TODAY()-Table22[[#This Row],[Discharge Date]]</f>
        <v>176</v>
      </c>
    </row>
    <row r="6" spans="1:86" x14ac:dyDescent="0.25">
      <c r="A6" s="50">
        <v>2</v>
      </c>
      <c r="B6" s="51" t="s">
        <v>95</v>
      </c>
      <c r="C6" s="52" t="s">
        <v>96</v>
      </c>
      <c r="D6" s="54">
        <v>2</v>
      </c>
      <c r="E6" s="55"/>
      <c r="F6" s="54">
        <v>852</v>
      </c>
      <c r="H6" s="54" t="s">
        <v>97</v>
      </c>
      <c r="I6" s="54"/>
      <c r="J6" s="54"/>
      <c r="K6" s="54" t="s">
        <v>634</v>
      </c>
      <c r="L6" s="54" t="s">
        <v>98</v>
      </c>
      <c r="M6" s="57">
        <v>68684</v>
      </c>
      <c r="N6" s="57" t="s">
        <v>677</v>
      </c>
      <c r="O6" s="54" t="s">
        <v>103</v>
      </c>
      <c r="P6" s="58">
        <v>46079</v>
      </c>
      <c r="Q6" s="58">
        <v>46079</v>
      </c>
      <c r="R6" s="51" t="s">
        <v>100</v>
      </c>
      <c r="S6" s="59" t="s">
        <v>101</v>
      </c>
      <c r="T6" s="51"/>
      <c r="U6" s="51"/>
      <c r="V6" s="51" t="s">
        <v>102</v>
      </c>
      <c r="W6" s="51">
        <v>574</v>
      </c>
      <c r="X6" s="51">
        <v>87</v>
      </c>
      <c r="Y6" s="60">
        <f t="shared" ref="Y6:Y69" si="10">W6+X6</f>
        <v>661</v>
      </c>
      <c r="Z6" s="51">
        <v>95</v>
      </c>
      <c r="AA6" s="61">
        <f>W6+Z6</f>
        <v>669</v>
      </c>
      <c r="AB6" s="51">
        <f>Z6</f>
        <v>95</v>
      </c>
      <c r="AC6" s="62">
        <v>621</v>
      </c>
      <c r="AD6" s="63">
        <v>0</v>
      </c>
      <c r="AE6" s="64">
        <v>63</v>
      </c>
      <c r="AF6" s="64">
        <v>75</v>
      </c>
      <c r="AG6" s="63"/>
      <c r="AH6" s="64">
        <f>+AC6+AD6+AE6+AG6</f>
        <v>684</v>
      </c>
      <c r="AI6" s="62">
        <v>0</v>
      </c>
      <c r="AJ6" s="62">
        <v>0</v>
      </c>
      <c r="AK6" s="62">
        <v>669</v>
      </c>
      <c r="AL6" s="62">
        <f t="shared" ref="AL6:AL8" si="11">+AI6+AJ6+AK6</f>
        <v>669</v>
      </c>
      <c r="AM6" s="67">
        <v>49700</v>
      </c>
      <c r="AN6" s="64">
        <f>(AD6*40)+(AE6*4)+(AG6*0)+(AH6*1)</f>
        <v>936</v>
      </c>
      <c r="AO6" s="66">
        <f>Table22[[#This Row],[GROSS WT]]-Table22[[#This Row],[Total Bag Stock (WH)]]</f>
        <v>49031</v>
      </c>
      <c r="AP6" s="77">
        <f>Table22[[#This Row],[GRN qt(kg)]]-100</f>
        <v>48931</v>
      </c>
      <c r="AQ6" s="77">
        <f t="shared" si="3"/>
        <v>48779</v>
      </c>
      <c r="AR6" s="67">
        <f t="shared" si="4"/>
        <v>252</v>
      </c>
      <c r="AS6" s="68">
        <f>Table22[[#This Row],[GROSS WT]]-Table22[[#This Row],[Total Bag Discharged (Truck)]]</f>
        <v>49039</v>
      </c>
      <c r="AT6" s="67">
        <f t="shared" si="5"/>
        <v>49031</v>
      </c>
      <c r="AU6" s="69"/>
      <c r="AV6" s="70">
        <v>9.8000000000000007</v>
      </c>
      <c r="AW6" s="70"/>
      <c r="AX6" s="70"/>
      <c r="AY6" s="71">
        <f t="shared" si="6"/>
        <v>9.8000000000000007</v>
      </c>
      <c r="AZ6" s="70">
        <v>274</v>
      </c>
      <c r="BA6" s="70"/>
      <c r="BB6" s="70">
        <v>3</v>
      </c>
      <c r="BC6" s="63">
        <f t="shared" ref="BC6:BC69" si="12">+AZ6+BA6+BB6</f>
        <v>277</v>
      </c>
      <c r="BD6" s="72">
        <f>SUM(Table22[[#This Row],[Good Kernel (gm)]]+(Table22[[#This Row],[Immature (gm)]]+Table22[[#This Row],[Spotted (gm)]])/2)*0.176</f>
        <v>48.488</v>
      </c>
      <c r="BE6" s="72"/>
      <c r="BF6" s="72">
        <f t="shared" ref="BF6:BF69" si="13">(AZ6+BA6+BB6)*0.17637</f>
        <v>48.854489999999998</v>
      </c>
      <c r="BG6" s="72">
        <f t="shared" si="7"/>
        <v>50.582916000000004</v>
      </c>
      <c r="BH6" s="72">
        <f>SUM(Table22[[#This Row],[Good Kernel (gm)]:[Spotted (gm)]])/1000*100</f>
        <v>27.700000000000003</v>
      </c>
      <c r="BI6" s="72">
        <f t="shared" si="8"/>
        <v>28.68</v>
      </c>
      <c r="BJ6" s="72">
        <v>7.9</v>
      </c>
      <c r="BK6" s="51">
        <v>197</v>
      </c>
      <c r="BL6" s="73"/>
      <c r="BM6" s="70">
        <v>18</v>
      </c>
      <c r="BN6" s="74">
        <v>9.4E-2</v>
      </c>
      <c r="BO6" s="70">
        <v>5</v>
      </c>
      <c r="BP6" s="70">
        <v>13</v>
      </c>
      <c r="BQ6" s="71">
        <f t="shared" si="9"/>
        <v>36</v>
      </c>
      <c r="BR6" s="70">
        <v>263</v>
      </c>
      <c r="BS6" s="70">
        <v>16</v>
      </c>
      <c r="BT6" s="70">
        <v>10</v>
      </c>
      <c r="BU6" s="63">
        <f t="shared" ref="BU6:BU69" si="14">+BR6+BS6+BT6</f>
        <v>289</v>
      </c>
      <c r="BV6" s="72">
        <f>SUM(Table22[[#This Row],[Good Kernel (G M)]]+(Table22[[#This Row],[Immature (g m)]]+Table22[[#This Row],[Spotted (g m)]])/2)*0.176</f>
        <v>48.576000000000001</v>
      </c>
      <c r="BW6" s="72">
        <v>48.04</v>
      </c>
      <c r="BX6" s="72"/>
      <c r="BY6" s="72">
        <f t="shared" ref="BY6:BY69" si="15">(BR6+BS6+BT6)*0.17637</f>
        <v>50.970930000000003</v>
      </c>
      <c r="BZ6" s="72">
        <f t="shared" ref="BZ6:BZ69" si="16">+((BP6+BM6+BR6+BS6+BT6))*0.17637</f>
        <v>56.438400000000001</v>
      </c>
      <c r="CA6" s="72">
        <f>SUM(Table22[[#This Row],[Good Kernel (G M)]:[Spotted (g m)]])/1000*100</f>
        <v>28.9</v>
      </c>
      <c r="CB6" s="72">
        <f>(Table22[[#This Row],[BROWNS/Rejection (gm) (NUT)]]+Table22[[#This Row],[OIL (g m)]]+Table22[[#This Row],[Good Kernel (G M)]]+Table22[[#This Row],[Immature (g m)]]+Table22[[#This Row],[Spotted (g m)]])/1000*100</f>
        <v>32</v>
      </c>
      <c r="CC6" s="72">
        <v>7.8</v>
      </c>
      <c r="CD6" s="51">
        <v>193</v>
      </c>
      <c r="CE6" s="60">
        <v>631</v>
      </c>
      <c r="CF6" s="76"/>
      <c r="CH6" s="184">
        <f ca="1">TODAY()-Table22[[#This Row],[Discharge Date]]</f>
        <v>176</v>
      </c>
    </row>
    <row r="7" spans="1:86" x14ac:dyDescent="0.25">
      <c r="A7" s="50">
        <v>3</v>
      </c>
      <c r="B7" s="51" t="s">
        <v>95</v>
      </c>
      <c r="C7" s="52" t="s">
        <v>96</v>
      </c>
      <c r="D7" s="54">
        <v>3</v>
      </c>
      <c r="E7" s="55"/>
      <c r="F7" s="54">
        <v>853</v>
      </c>
      <c r="H7" s="54" t="s">
        <v>97</v>
      </c>
      <c r="I7" s="54"/>
      <c r="J7" s="54"/>
      <c r="K7" s="54"/>
      <c r="L7" s="54" t="s">
        <v>98</v>
      </c>
      <c r="M7" s="57">
        <v>77593</v>
      </c>
      <c r="N7" s="57" t="s">
        <v>677</v>
      </c>
      <c r="O7" s="54" t="s">
        <v>104</v>
      </c>
      <c r="P7" s="58">
        <v>46080</v>
      </c>
      <c r="Q7" s="58">
        <v>46080</v>
      </c>
      <c r="R7" s="51" t="s">
        <v>100</v>
      </c>
      <c r="S7" s="59" t="s">
        <v>101</v>
      </c>
      <c r="T7" s="51"/>
      <c r="U7" s="51"/>
      <c r="V7" s="51" t="s">
        <v>102</v>
      </c>
      <c r="W7" s="51">
        <v>480</v>
      </c>
      <c r="X7" s="51">
        <v>11</v>
      </c>
      <c r="Y7" s="60">
        <f t="shared" si="10"/>
        <v>491</v>
      </c>
      <c r="Z7" s="51">
        <v>19</v>
      </c>
      <c r="AA7" s="61">
        <f t="shared" ref="AA7:AA38" si="17">W7+Z7</f>
        <v>499</v>
      </c>
      <c r="AB7" s="51">
        <f t="shared" ref="AB7:AB70" si="18">Z7</f>
        <v>19</v>
      </c>
      <c r="AC7" s="62">
        <v>489</v>
      </c>
      <c r="AD7" s="63">
        <v>0</v>
      </c>
      <c r="AE7" s="64">
        <v>11</v>
      </c>
      <c r="AF7" s="64">
        <v>19</v>
      </c>
      <c r="AG7" s="63"/>
      <c r="AH7" s="64">
        <f t="shared" ref="AH7:AH22" si="19">+AC7+AD7+AE7+AG7</f>
        <v>500</v>
      </c>
      <c r="AI7" s="62">
        <v>0</v>
      </c>
      <c r="AJ7" s="62">
        <v>0</v>
      </c>
      <c r="AK7" s="62">
        <v>499</v>
      </c>
      <c r="AL7" s="62">
        <f t="shared" si="11"/>
        <v>499</v>
      </c>
      <c r="AM7" s="65">
        <v>39180</v>
      </c>
      <c r="AN7" s="64">
        <f t="shared" ref="AN7:AN21" si="20">(AD7*40)+(AE7*4)+(AG7*0)+(AH7*1)</f>
        <v>544</v>
      </c>
      <c r="AO7" s="77">
        <f>Table22[[#This Row],[GROSS WT]]-Table22[[#This Row],[Total Bag Stock (WH)]]</f>
        <v>38681</v>
      </c>
      <c r="AP7" s="77">
        <f>Table22[[#This Row],[GRN qt(kg)]]-40</f>
        <v>38641</v>
      </c>
      <c r="AQ7" s="77">
        <f t="shared" si="3"/>
        <v>38637</v>
      </c>
      <c r="AR7" s="67">
        <f t="shared" si="4"/>
        <v>44</v>
      </c>
      <c r="AS7" s="68">
        <f>Table22[[#This Row],[GROSS WT]]-Table22[[#This Row],[Total Bag Discharged (Truck)]]</f>
        <v>38689</v>
      </c>
      <c r="AT7" s="67">
        <f t="shared" si="5"/>
        <v>38681</v>
      </c>
      <c r="AU7" s="69"/>
      <c r="AV7" s="70">
        <v>6.2</v>
      </c>
      <c r="AW7" s="70">
        <v>2</v>
      </c>
      <c r="AX7" s="70"/>
      <c r="AY7" s="71">
        <f t="shared" si="6"/>
        <v>8.1999999999999993</v>
      </c>
      <c r="AZ7" s="70">
        <v>270</v>
      </c>
      <c r="BA7" s="70"/>
      <c r="BB7" s="70">
        <v>16</v>
      </c>
      <c r="BC7" s="63">
        <f t="shared" si="12"/>
        <v>286</v>
      </c>
      <c r="BD7" s="72">
        <f>SUM(Table22[[#This Row],[Good Kernel (gm)]]+(Table22[[#This Row],[Immature (gm)]]+Table22[[#This Row],[Spotted (gm)]])/2)*0.176</f>
        <v>48.927999999999997</v>
      </c>
      <c r="BE7" s="72">
        <f>48.92</f>
        <v>48.92</v>
      </c>
      <c r="BF7" s="72">
        <f t="shared" si="13"/>
        <v>50.44182</v>
      </c>
      <c r="BG7" s="72">
        <f t="shared" si="7"/>
        <v>51.535314</v>
      </c>
      <c r="BH7" s="72">
        <f>SUM(Table22[[#This Row],[Good Kernel (gm)]:[Spotted (gm)]])/1000*100</f>
        <v>28.599999999999998</v>
      </c>
      <c r="BI7" s="72">
        <f t="shared" si="8"/>
        <v>29.220000000000002</v>
      </c>
      <c r="BJ7" s="72">
        <v>8.5</v>
      </c>
      <c r="BK7" s="51">
        <v>188</v>
      </c>
      <c r="BL7" s="73">
        <v>626</v>
      </c>
      <c r="BM7" s="70">
        <v>18</v>
      </c>
      <c r="BN7" s="78">
        <v>7.0000000000000007E-2</v>
      </c>
      <c r="BO7" s="70">
        <v>5</v>
      </c>
      <c r="BP7" s="70">
        <v>8</v>
      </c>
      <c r="BQ7" s="71">
        <f t="shared" si="9"/>
        <v>31</v>
      </c>
      <c r="BR7" s="70">
        <v>259</v>
      </c>
      <c r="BS7" s="70">
        <v>18</v>
      </c>
      <c r="BT7" s="70">
        <v>12</v>
      </c>
      <c r="BU7" s="63">
        <f t="shared" si="14"/>
        <v>289</v>
      </c>
      <c r="BV7" s="72">
        <f>SUM(Table22[[#This Row],[Good Kernel (G M)]]+(Table22[[#This Row],[Immature (g m)]]+Table22[[#This Row],[Spotted (g m)]])/2)*0.176</f>
        <v>48.223999999999997</v>
      </c>
      <c r="BW7" s="72">
        <v>48.22</v>
      </c>
      <c r="BX7" s="72"/>
      <c r="BY7" s="72">
        <f t="shared" si="15"/>
        <v>50.970930000000003</v>
      </c>
      <c r="BZ7" s="72">
        <f t="shared" si="16"/>
        <v>55.556550000000001</v>
      </c>
      <c r="CA7" s="72">
        <f>SUM(Table22[[#This Row],[Good Kernel (G M)]:[Spotted (g m)]])/1000*100</f>
        <v>28.9</v>
      </c>
      <c r="CB7" s="72">
        <f>(Table22[[#This Row],[BROWNS/Rejection (gm) (NUT)]]+Table22[[#This Row],[OIL (g m)]]+Table22[[#This Row],[Good Kernel (G M)]]+Table22[[#This Row],[Immature (g m)]]+Table22[[#This Row],[Spotted (g m)]])/1000*100</f>
        <v>31.5</v>
      </c>
      <c r="CC7" s="72">
        <v>7.8</v>
      </c>
      <c r="CD7" s="51">
        <v>187</v>
      </c>
      <c r="CE7" s="60">
        <v>622</v>
      </c>
      <c r="CF7" s="76"/>
      <c r="CH7" s="184">
        <f ca="1">TODAY()-Table22[[#This Row],[Discharge Date]]</f>
        <v>175</v>
      </c>
    </row>
    <row r="8" spans="1:86" ht="28.95" customHeight="1" x14ac:dyDescent="0.25">
      <c r="A8" s="50">
        <v>4</v>
      </c>
      <c r="B8" s="51" t="s">
        <v>95</v>
      </c>
      <c r="C8" s="52" t="s">
        <v>96</v>
      </c>
      <c r="D8" s="54">
        <v>4</v>
      </c>
      <c r="E8" s="55"/>
      <c r="F8" s="54">
        <v>854</v>
      </c>
      <c r="H8" s="54" t="s">
        <v>105</v>
      </c>
      <c r="I8" s="54"/>
      <c r="J8" s="54"/>
      <c r="K8" s="54" t="s">
        <v>634</v>
      </c>
      <c r="L8" s="54" t="s">
        <v>98</v>
      </c>
      <c r="M8" s="57">
        <v>77584</v>
      </c>
      <c r="N8" s="57" t="s">
        <v>676</v>
      </c>
      <c r="O8" s="54" t="s">
        <v>106</v>
      </c>
      <c r="P8" s="58">
        <v>46080</v>
      </c>
      <c r="Q8" s="58">
        <v>46080</v>
      </c>
      <c r="R8" s="51" t="s">
        <v>100</v>
      </c>
      <c r="S8" s="59" t="s">
        <v>107</v>
      </c>
      <c r="T8" s="51"/>
      <c r="U8" s="51"/>
      <c r="V8" s="51" t="s">
        <v>108</v>
      </c>
      <c r="W8" s="51">
        <v>584</v>
      </c>
      <c r="X8" s="51">
        <v>35</v>
      </c>
      <c r="Y8" s="60">
        <f t="shared" si="10"/>
        <v>619</v>
      </c>
      <c r="Z8" s="51">
        <v>40</v>
      </c>
      <c r="AA8" s="61">
        <f t="shared" si="17"/>
        <v>624</v>
      </c>
      <c r="AB8" s="51">
        <f t="shared" si="18"/>
        <v>40</v>
      </c>
      <c r="AC8" s="62">
        <v>604</v>
      </c>
      <c r="AD8" s="63">
        <v>0</v>
      </c>
      <c r="AE8" s="64">
        <v>20</v>
      </c>
      <c r="AF8" s="64">
        <v>40</v>
      </c>
      <c r="AG8" s="63"/>
      <c r="AH8" s="64">
        <f t="shared" si="19"/>
        <v>624</v>
      </c>
      <c r="AI8" s="62">
        <v>0</v>
      </c>
      <c r="AJ8" s="62">
        <v>0</v>
      </c>
      <c r="AK8" s="62">
        <v>624</v>
      </c>
      <c r="AL8" s="62">
        <f t="shared" si="11"/>
        <v>624</v>
      </c>
      <c r="AM8" s="67">
        <v>46440</v>
      </c>
      <c r="AN8" s="64">
        <f t="shared" si="20"/>
        <v>704</v>
      </c>
      <c r="AO8" s="77">
        <f>AM8-AH8</f>
        <v>45816</v>
      </c>
      <c r="AP8" s="77">
        <f t="shared" ref="AP8:AP47" si="21">AM8-AN8</f>
        <v>45736</v>
      </c>
      <c r="AQ8" s="77">
        <f t="shared" si="3"/>
        <v>45736</v>
      </c>
      <c r="AR8" s="67">
        <f t="shared" si="4"/>
        <v>80</v>
      </c>
      <c r="AS8" s="68">
        <f>Table22[[#This Row],[GROSS WT]]-Table22[[#This Row],[Total Bag Discharged (Truck)]]</f>
        <v>45821</v>
      </c>
      <c r="AT8" s="67">
        <f t="shared" si="5"/>
        <v>45816</v>
      </c>
      <c r="AU8" s="69"/>
      <c r="AV8" s="70">
        <v>10.5</v>
      </c>
      <c r="AW8" s="70">
        <v>7</v>
      </c>
      <c r="AX8" s="70">
        <v>11</v>
      </c>
      <c r="AY8" s="71">
        <f t="shared" si="6"/>
        <v>28.5</v>
      </c>
      <c r="AZ8" s="70">
        <v>257</v>
      </c>
      <c r="BA8" s="70">
        <v>8</v>
      </c>
      <c r="BB8" s="70">
        <v>10</v>
      </c>
      <c r="BC8" s="63">
        <f t="shared" si="12"/>
        <v>275</v>
      </c>
      <c r="BD8" s="72">
        <f>SUM(Table22[[#This Row],[Good Kernel (gm)]]+(Table22[[#This Row],[Immature (gm)]]+Table22[[#This Row],[Spotted (gm)]])/2)*0.176</f>
        <v>46.815999999999995</v>
      </c>
      <c r="BE8" s="72">
        <v>46.81</v>
      </c>
      <c r="BF8" s="72">
        <f t="shared" si="13"/>
        <v>48.501750000000001</v>
      </c>
      <c r="BG8" s="72">
        <f t="shared" si="7"/>
        <v>52.293705000000003</v>
      </c>
      <c r="BH8" s="72">
        <f>SUM(Table22[[#This Row],[Good Kernel (gm)]:[Spotted (gm)]])/1000*100</f>
        <v>27.500000000000004</v>
      </c>
      <c r="BI8" s="72">
        <f t="shared" si="8"/>
        <v>29.65</v>
      </c>
      <c r="BJ8" s="72">
        <v>9.1999999999999993</v>
      </c>
      <c r="BK8" s="51">
        <v>191</v>
      </c>
      <c r="BL8" s="73">
        <v>596</v>
      </c>
      <c r="BM8" s="70">
        <v>13</v>
      </c>
      <c r="BN8" s="74">
        <v>6.9000000000000006E-2</v>
      </c>
      <c r="BO8" s="70">
        <v>21</v>
      </c>
      <c r="BP8" s="70">
        <v>20</v>
      </c>
      <c r="BQ8" s="71">
        <f t="shared" si="9"/>
        <v>54</v>
      </c>
      <c r="BR8" s="70">
        <v>250</v>
      </c>
      <c r="BS8" s="70">
        <v>30</v>
      </c>
      <c r="BT8" s="70">
        <v>6</v>
      </c>
      <c r="BU8" s="63">
        <f t="shared" si="14"/>
        <v>286</v>
      </c>
      <c r="BV8" s="72">
        <f>SUM(Table22[[#This Row],[Good Kernel (G M)]]+(Table22[[#This Row],[Immature (g m)]]+Table22[[#This Row],[Spotted (g m)]])/2)*0.176</f>
        <v>47.167999999999999</v>
      </c>
      <c r="BW8" s="72">
        <v>47.16</v>
      </c>
      <c r="BX8" s="72"/>
      <c r="BY8" s="72">
        <f t="shared" si="15"/>
        <v>50.44182</v>
      </c>
      <c r="BZ8" s="72">
        <f t="shared" si="16"/>
        <v>56.262030000000003</v>
      </c>
      <c r="CA8" s="72">
        <f>SUM(Table22[[#This Row],[Good Kernel (G M)]:[Spotted (g m)]])/1000*100</f>
        <v>28.599999999999998</v>
      </c>
      <c r="CB8" s="72">
        <f>(Table22[[#This Row],[BROWNS/Rejection (gm) (NUT)]]+Table22[[#This Row],[OIL (g m)]]+Table22[[#This Row],[Good Kernel (G M)]]+Table22[[#This Row],[Immature (g m)]]+Table22[[#This Row],[Spotted (g m)]])/1000*100</f>
        <v>31.900000000000002</v>
      </c>
      <c r="CC8" s="72">
        <v>8.6</v>
      </c>
      <c r="CD8" s="51">
        <v>187</v>
      </c>
      <c r="CE8" s="60">
        <v>598</v>
      </c>
      <c r="CH8" s="184">
        <f ca="1">TODAY()-Table22[[#This Row],[Discharge Date]]</f>
        <v>175</v>
      </c>
    </row>
    <row r="9" spans="1:86" ht="28.95" customHeight="1" x14ac:dyDescent="0.25">
      <c r="A9" s="50">
        <v>5</v>
      </c>
      <c r="B9" s="51" t="s">
        <v>95</v>
      </c>
      <c r="C9" s="52" t="s">
        <v>96</v>
      </c>
      <c r="D9" s="54">
        <v>5</v>
      </c>
      <c r="E9" s="55"/>
      <c r="F9" s="54">
        <v>855</v>
      </c>
      <c r="H9" s="54" t="s">
        <v>105</v>
      </c>
      <c r="I9" s="54"/>
      <c r="J9" s="54"/>
      <c r="K9" s="54" t="s">
        <v>634</v>
      </c>
      <c r="L9" s="54" t="s">
        <v>98</v>
      </c>
      <c r="M9" s="57">
        <v>77585</v>
      </c>
      <c r="N9" s="57" t="s">
        <v>676</v>
      </c>
      <c r="O9" s="54" t="s">
        <v>109</v>
      </c>
      <c r="P9" s="58">
        <v>46080</v>
      </c>
      <c r="Q9" s="58">
        <v>46080</v>
      </c>
      <c r="R9" s="51" t="s">
        <v>100</v>
      </c>
      <c r="S9" s="59" t="s">
        <v>110</v>
      </c>
      <c r="T9" s="51"/>
      <c r="U9" s="51"/>
      <c r="V9" s="51" t="s">
        <v>111</v>
      </c>
      <c r="W9" s="51">
        <v>617</v>
      </c>
      <c r="X9" s="51">
        <v>25</v>
      </c>
      <c r="Y9" s="60">
        <f t="shared" si="10"/>
        <v>642</v>
      </c>
      <c r="Z9" s="51">
        <v>41</v>
      </c>
      <c r="AA9" s="61">
        <f t="shared" si="17"/>
        <v>658</v>
      </c>
      <c r="AB9" s="51">
        <f t="shared" si="18"/>
        <v>41</v>
      </c>
      <c r="AC9" s="62">
        <v>638</v>
      </c>
      <c r="AD9" s="63">
        <v>0</v>
      </c>
      <c r="AE9" s="64">
        <v>20</v>
      </c>
      <c r="AF9" s="64">
        <v>41</v>
      </c>
      <c r="AG9" s="63"/>
      <c r="AH9" s="64">
        <f t="shared" si="19"/>
        <v>658</v>
      </c>
      <c r="AI9" s="62">
        <v>0</v>
      </c>
      <c r="AJ9" s="62">
        <v>0</v>
      </c>
      <c r="AK9" s="62">
        <v>658</v>
      </c>
      <c r="AL9" s="62">
        <f>+AI9+AJ9+AK9</f>
        <v>658</v>
      </c>
      <c r="AM9" s="67">
        <v>48800</v>
      </c>
      <c r="AN9" s="64">
        <f t="shared" si="20"/>
        <v>738</v>
      </c>
      <c r="AO9" s="77">
        <f t="shared" ref="AO9:AO38" si="22">AM9-AH9</f>
        <v>48142</v>
      </c>
      <c r="AP9" s="77">
        <f t="shared" si="21"/>
        <v>48062</v>
      </c>
      <c r="AQ9" s="77">
        <f t="shared" si="3"/>
        <v>48062</v>
      </c>
      <c r="AR9" s="67">
        <f t="shared" si="4"/>
        <v>80</v>
      </c>
      <c r="AS9" s="68">
        <f>Table22[[#This Row],[GROSS WT]]-Table22[[#This Row],[Total Bag Discharged (Truck)]]</f>
        <v>48158</v>
      </c>
      <c r="AT9" s="67">
        <f t="shared" si="5"/>
        <v>48142</v>
      </c>
      <c r="AU9" s="69"/>
      <c r="AV9" s="70">
        <v>7.8</v>
      </c>
      <c r="AW9" s="70">
        <v>4</v>
      </c>
      <c r="AX9" s="70">
        <v>16</v>
      </c>
      <c r="AY9" s="71">
        <f t="shared" si="6"/>
        <v>27.8</v>
      </c>
      <c r="AZ9" s="70">
        <v>263</v>
      </c>
      <c r="BA9" s="70">
        <v>10</v>
      </c>
      <c r="BB9" s="70">
        <v>8</v>
      </c>
      <c r="BC9" s="63">
        <f t="shared" si="12"/>
        <v>281</v>
      </c>
      <c r="BD9" s="72">
        <f>SUM(Table22[[#This Row],[Good Kernel (gm)]]+(Table22[[#This Row],[Immature (gm)]]+Table22[[#This Row],[Spotted (gm)]])/2)*0.176</f>
        <v>47.872</v>
      </c>
      <c r="BE9" s="72">
        <v>47.87</v>
      </c>
      <c r="BF9" s="72">
        <f t="shared" si="13"/>
        <v>49.55997</v>
      </c>
      <c r="BG9" s="72">
        <f t="shared" si="7"/>
        <v>53.757576</v>
      </c>
      <c r="BH9" s="72">
        <f>SUM(Table22[[#This Row],[Good Kernel (gm)]:[Spotted (gm)]])/1000*100</f>
        <v>28.1</v>
      </c>
      <c r="BI9" s="72">
        <f t="shared" si="8"/>
        <v>30.48</v>
      </c>
      <c r="BJ9" s="72">
        <v>8</v>
      </c>
      <c r="BK9" s="51">
        <v>185</v>
      </c>
      <c r="BL9" s="73">
        <v>616</v>
      </c>
      <c r="BM9" s="70">
        <v>31</v>
      </c>
      <c r="BN9" s="74">
        <v>0.108</v>
      </c>
      <c r="BO9" s="70">
        <v>0</v>
      </c>
      <c r="BP9" s="70">
        <v>19</v>
      </c>
      <c r="BQ9" s="71">
        <f t="shared" si="9"/>
        <v>50</v>
      </c>
      <c r="BR9" s="70">
        <v>253</v>
      </c>
      <c r="BS9" s="70">
        <v>26</v>
      </c>
      <c r="BT9" s="70">
        <v>6</v>
      </c>
      <c r="BU9" s="63">
        <f t="shared" si="14"/>
        <v>285</v>
      </c>
      <c r="BV9" s="72">
        <f>SUM(Table22[[#This Row],[Good Kernel (G M)]]+(Table22[[#This Row],[Immature (g m)]]+Table22[[#This Row],[Spotted (g m)]])/2)*0.176</f>
        <v>47.343999999999994</v>
      </c>
      <c r="BW9" s="72">
        <v>47.34</v>
      </c>
      <c r="BX9" s="72"/>
      <c r="BY9" s="72">
        <f t="shared" si="15"/>
        <v>50.265450000000001</v>
      </c>
      <c r="BZ9" s="72">
        <f t="shared" si="16"/>
        <v>59.083950000000002</v>
      </c>
      <c r="CA9" s="72">
        <f>SUM(Table22[[#This Row],[Good Kernel (G M)]:[Spotted (g m)]])/1000*100</f>
        <v>28.499999999999996</v>
      </c>
      <c r="CB9" s="72">
        <f>(Table22[[#This Row],[BROWNS/Rejection (gm) (NUT)]]+Table22[[#This Row],[OIL (g m)]]+Table22[[#This Row],[Good Kernel (G M)]]+Table22[[#This Row],[Immature (g m)]]+Table22[[#This Row],[Spotted (g m)]])/1000*100</f>
        <v>33.5</v>
      </c>
      <c r="CC9" s="72">
        <v>7.6</v>
      </c>
      <c r="CD9" s="51">
        <v>174</v>
      </c>
      <c r="CE9" s="60">
        <v>582</v>
      </c>
      <c r="CH9" s="184">
        <f ca="1">TODAY()-Table22[[#This Row],[Discharge Date]]</f>
        <v>175</v>
      </c>
    </row>
    <row r="10" spans="1:86" x14ac:dyDescent="0.25">
      <c r="A10" s="50">
        <v>6</v>
      </c>
      <c r="B10" s="51" t="s">
        <v>95</v>
      </c>
      <c r="C10" s="52" t="s">
        <v>96</v>
      </c>
      <c r="D10" s="54">
        <v>6</v>
      </c>
      <c r="E10" s="55"/>
      <c r="F10" s="54">
        <v>856</v>
      </c>
      <c r="H10" s="54" t="s">
        <v>97</v>
      </c>
      <c r="I10" s="54"/>
      <c r="J10" s="54"/>
      <c r="K10" s="54" t="s">
        <v>634</v>
      </c>
      <c r="L10" s="54" t="s">
        <v>98</v>
      </c>
      <c r="M10" s="57">
        <v>77591</v>
      </c>
      <c r="N10" s="57" t="s">
        <v>676</v>
      </c>
      <c r="O10" s="54" t="s">
        <v>112</v>
      </c>
      <c r="P10" s="58">
        <v>46081</v>
      </c>
      <c r="Q10" s="58">
        <v>46081</v>
      </c>
      <c r="R10" s="51" t="s">
        <v>100</v>
      </c>
      <c r="S10" s="59" t="s">
        <v>101</v>
      </c>
      <c r="T10" s="51"/>
      <c r="U10" s="51"/>
      <c r="V10" s="51" t="s">
        <v>102</v>
      </c>
      <c r="W10" s="51">
        <v>493</v>
      </c>
      <c r="X10" s="51">
        <v>35</v>
      </c>
      <c r="Y10" s="60">
        <f t="shared" si="10"/>
        <v>528</v>
      </c>
      <c r="Z10" s="51">
        <v>53</v>
      </c>
      <c r="AA10" s="61">
        <f t="shared" si="17"/>
        <v>546</v>
      </c>
      <c r="AB10" s="51">
        <f t="shared" si="18"/>
        <v>53</v>
      </c>
      <c r="AC10" s="62">
        <v>531</v>
      </c>
      <c r="AD10" s="63">
        <v>0</v>
      </c>
      <c r="AE10" s="64">
        <v>15</v>
      </c>
      <c r="AF10" s="64">
        <v>53</v>
      </c>
      <c r="AG10" s="63"/>
      <c r="AH10" s="64">
        <f t="shared" si="19"/>
        <v>546</v>
      </c>
      <c r="AI10" s="62">
        <v>0</v>
      </c>
      <c r="AJ10" s="62">
        <v>0</v>
      </c>
      <c r="AK10" s="62">
        <v>546</v>
      </c>
      <c r="AL10" s="62">
        <f t="shared" ref="AL10:AL31" si="23">+AI10+AJ10+AK10</f>
        <v>546</v>
      </c>
      <c r="AM10" s="67">
        <v>39560</v>
      </c>
      <c r="AN10" s="64">
        <f t="shared" si="20"/>
        <v>606</v>
      </c>
      <c r="AO10" s="77">
        <f>AM10-AH10</f>
        <v>39014</v>
      </c>
      <c r="AP10" s="77">
        <f t="shared" si="21"/>
        <v>38954</v>
      </c>
      <c r="AQ10" s="77">
        <f t="shared" si="3"/>
        <v>38954</v>
      </c>
      <c r="AR10" s="67">
        <f t="shared" si="4"/>
        <v>60</v>
      </c>
      <c r="AS10" s="68">
        <f>Table22[[#This Row],[GROSS WT]]-Table22[[#This Row],[Total Bag Discharged (Truck)]]</f>
        <v>39032</v>
      </c>
      <c r="AT10" s="67">
        <f t="shared" si="5"/>
        <v>39014</v>
      </c>
      <c r="AU10" s="69"/>
      <c r="AV10" s="70">
        <v>7.3</v>
      </c>
      <c r="AW10" s="70">
        <v>7</v>
      </c>
      <c r="AX10" s="70">
        <v>28</v>
      </c>
      <c r="AY10" s="71">
        <f t="shared" si="6"/>
        <v>42.3</v>
      </c>
      <c r="AZ10" s="70">
        <v>251</v>
      </c>
      <c r="BA10" s="70">
        <v>14</v>
      </c>
      <c r="BB10" s="70">
        <v>8</v>
      </c>
      <c r="BC10" s="63">
        <f t="shared" si="12"/>
        <v>273</v>
      </c>
      <c r="BD10" s="72">
        <f>SUM(Table22[[#This Row],[Good Kernel (gm)]]+(Table22[[#This Row],[Immature (gm)]]+Table22[[#This Row],[Spotted (gm)]])/2)*0.176</f>
        <v>46.111999999999995</v>
      </c>
      <c r="BE10" s="72">
        <v>46.11</v>
      </c>
      <c r="BF10" s="72">
        <f t="shared" si="13"/>
        <v>48.149009999999997</v>
      </c>
      <c r="BG10" s="72">
        <f t="shared" si="7"/>
        <v>54.374870999999999</v>
      </c>
      <c r="BH10" s="72">
        <f>SUM(Table22[[#This Row],[Good Kernel (gm)]:[Spotted (gm)]])/1000*100</f>
        <v>27.3</v>
      </c>
      <c r="BI10" s="72">
        <f t="shared" si="8"/>
        <v>30.830000000000002</v>
      </c>
      <c r="BJ10" s="72">
        <v>8.3000000000000007</v>
      </c>
      <c r="BK10" s="51">
        <v>181</v>
      </c>
      <c r="BL10" s="73">
        <v>612</v>
      </c>
      <c r="BM10" s="70">
        <v>26</v>
      </c>
      <c r="BN10" s="78">
        <v>0.1</v>
      </c>
      <c r="BO10" s="70">
        <v>16</v>
      </c>
      <c r="BP10" s="70">
        <v>23</v>
      </c>
      <c r="BQ10" s="71">
        <f t="shared" si="9"/>
        <v>65</v>
      </c>
      <c r="BR10" s="70">
        <v>246</v>
      </c>
      <c r="BS10" s="70">
        <v>22</v>
      </c>
      <c r="BT10" s="70">
        <v>12</v>
      </c>
      <c r="BU10" s="63">
        <f t="shared" si="14"/>
        <v>280</v>
      </c>
      <c r="BV10" s="72">
        <f>SUM(Table22[[#This Row],[Good Kernel (G M)]]+(Table22[[#This Row],[Immature (g m)]]+Table22[[#This Row],[Spotted (g m)]])/2)*0.176</f>
        <v>46.287999999999997</v>
      </c>
      <c r="BW10" s="72">
        <v>46.28</v>
      </c>
      <c r="BX10" s="72"/>
      <c r="BY10" s="72">
        <f t="shared" si="15"/>
        <v>49.383600000000001</v>
      </c>
      <c r="BZ10" s="72">
        <f t="shared" si="16"/>
        <v>58.025730000000003</v>
      </c>
      <c r="CA10" s="72">
        <f>SUM(Table22[[#This Row],[Good Kernel (G M)]:[Spotted (g m)]])/1000*100</f>
        <v>28.000000000000004</v>
      </c>
      <c r="CB10" s="72">
        <f>(Table22[[#This Row],[BROWNS/Rejection (gm) (NUT)]]+Table22[[#This Row],[OIL (g m)]]+Table22[[#This Row],[Good Kernel (G M)]]+Table22[[#This Row],[Immature (g m)]]+Table22[[#This Row],[Spotted (g m)]])/1000*100</f>
        <v>32.9</v>
      </c>
      <c r="CC10" s="72">
        <v>7.8</v>
      </c>
      <c r="CD10" s="51">
        <v>185</v>
      </c>
      <c r="CE10" s="60">
        <v>575</v>
      </c>
      <c r="CH10" s="184">
        <f ca="1">TODAY()-Table22[[#This Row],[Discharge Date]]</f>
        <v>174</v>
      </c>
    </row>
    <row r="11" spans="1:86" ht="28.95" customHeight="1" x14ac:dyDescent="0.25">
      <c r="A11" s="50">
        <v>7</v>
      </c>
      <c r="B11" s="51" t="s">
        <v>95</v>
      </c>
      <c r="C11" s="52" t="s">
        <v>96</v>
      </c>
      <c r="D11" s="54">
        <v>7</v>
      </c>
      <c r="E11" s="55"/>
      <c r="F11" s="54">
        <v>857</v>
      </c>
      <c r="H11" s="54" t="s">
        <v>105</v>
      </c>
      <c r="I11" s="54"/>
      <c r="J11" s="54"/>
      <c r="K11" s="54" t="s">
        <v>634</v>
      </c>
      <c r="L11" s="54" t="s">
        <v>98</v>
      </c>
      <c r="M11" s="79">
        <v>72555</v>
      </c>
      <c r="N11" s="79" t="s">
        <v>676</v>
      </c>
      <c r="O11" s="54" t="s">
        <v>113</v>
      </c>
      <c r="P11" s="58">
        <v>46081</v>
      </c>
      <c r="Q11" s="58">
        <v>46081</v>
      </c>
      <c r="R11" s="51" t="s">
        <v>100</v>
      </c>
      <c r="S11" s="59" t="s">
        <v>107</v>
      </c>
      <c r="T11" s="51"/>
      <c r="U11" s="51"/>
      <c r="V11" s="51" t="s">
        <v>108</v>
      </c>
      <c r="W11" s="51">
        <v>568</v>
      </c>
      <c r="X11" s="51">
        <v>9</v>
      </c>
      <c r="Y11" s="60">
        <f t="shared" si="10"/>
        <v>577</v>
      </c>
      <c r="Z11" s="51">
        <v>15</v>
      </c>
      <c r="AA11" s="61">
        <f t="shared" si="17"/>
        <v>583</v>
      </c>
      <c r="AB11" s="51">
        <f t="shared" si="18"/>
        <v>15</v>
      </c>
      <c r="AC11" s="62">
        <v>573</v>
      </c>
      <c r="AD11" s="63">
        <v>0</v>
      </c>
      <c r="AE11" s="64">
        <v>10</v>
      </c>
      <c r="AF11" s="64">
        <v>15</v>
      </c>
      <c r="AG11" s="63"/>
      <c r="AH11" s="64">
        <f t="shared" si="19"/>
        <v>583</v>
      </c>
      <c r="AI11" s="62">
        <v>0</v>
      </c>
      <c r="AJ11" s="62">
        <v>0</v>
      </c>
      <c r="AK11" s="62">
        <v>583</v>
      </c>
      <c r="AL11" s="62">
        <f t="shared" si="23"/>
        <v>583</v>
      </c>
      <c r="AM11" s="67">
        <v>42640</v>
      </c>
      <c r="AN11" s="64">
        <f t="shared" si="20"/>
        <v>623</v>
      </c>
      <c r="AO11" s="77">
        <f t="shared" si="22"/>
        <v>42057</v>
      </c>
      <c r="AP11" s="77">
        <f t="shared" si="21"/>
        <v>42017</v>
      </c>
      <c r="AQ11" s="77">
        <f t="shared" si="3"/>
        <v>42017</v>
      </c>
      <c r="AR11" s="67">
        <f t="shared" si="4"/>
        <v>40</v>
      </c>
      <c r="AS11" s="80">
        <f>Table22[[#This Row],[GROSS WT]]-Table22[[#This Row],[Total Bag Discharged (Truck)]]</f>
        <v>42063</v>
      </c>
      <c r="AT11" s="67">
        <f t="shared" si="5"/>
        <v>42057</v>
      </c>
      <c r="AU11" s="69"/>
      <c r="AV11" s="70">
        <v>7.7</v>
      </c>
      <c r="AW11" s="70">
        <v>5</v>
      </c>
      <c r="AX11" s="70">
        <v>8</v>
      </c>
      <c r="AY11" s="71">
        <f t="shared" si="6"/>
        <v>20.7</v>
      </c>
      <c r="AZ11" s="70">
        <v>257</v>
      </c>
      <c r="BA11" s="70">
        <v>10</v>
      </c>
      <c r="BB11" s="70">
        <v>13</v>
      </c>
      <c r="BC11" s="63">
        <f t="shared" si="12"/>
        <v>280</v>
      </c>
      <c r="BD11" s="81">
        <f>SUM(Table22[[#This Row],[Good Kernel (gm)]]+(Table22[[#This Row],[Immature (gm)]]+Table22[[#This Row],[Spotted (gm)]])/2)*0.176</f>
        <v>47.256</v>
      </c>
      <c r="BE11" s="81">
        <v>47.25</v>
      </c>
      <c r="BF11" s="72">
        <f t="shared" si="13"/>
        <v>49.383600000000001</v>
      </c>
      <c r="BG11" s="72">
        <f t="shared" si="7"/>
        <v>52.152608999999998</v>
      </c>
      <c r="BH11" s="72">
        <f>SUM(Table22[[#This Row],[Good Kernel (gm)]:[Spotted (gm)]])/1000*100</f>
        <v>28.000000000000004</v>
      </c>
      <c r="BI11" s="72">
        <f t="shared" si="8"/>
        <v>29.569999999999997</v>
      </c>
      <c r="BJ11" s="72">
        <v>8.8000000000000007</v>
      </c>
      <c r="BK11" s="51">
        <v>176</v>
      </c>
      <c r="BL11" s="73">
        <v>623</v>
      </c>
      <c r="BM11" s="70">
        <v>19</v>
      </c>
      <c r="BN11" s="74">
        <v>7.6999999999999999E-2</v>
      </c>
      <c r="BO11" s="70">
        <v>0</v>
      </c>
      <c r="BP11" s="70">
        <v>11</v>
      </c>
      <c r="BQ11" s="71">
        <f t="shared" si="9"/>
        <v>30</v>
      </c>
      <c r="BR11" s="70">
        <v>256</v>
      </c>
      <c r="BS11" s="70">
        <v>18</v>
      </c>
      <c r="BT11" s="70">
        <v>8</v>
      </c>
      <c r="BU11" s="63">
        <f t="shared" si="14"/>
        <v>282</v>
      </c>
      <c r="BV11" s="72">
        <f>SUM(Table22[[#This Row],[Good Kernel (G M)]]+(Table22[[#This Row],[Immature (g m)]]+Table22[[#This Row],[Spotted (g m)]])/2)*0.176</f>
        <v>47.343999999999994</v>
      </c>
      <c r="BW11" s="72">
        <v>47.34</v>
      </c>
      <c r="BX11" s="72"/>
      <c r="BY11" s="72">
        <f t="shared" si="15"/>
        <v>49.736339999999998</v>
      </c>
      <c r="BZ11" s="72">
        <f t="shared" si="16"/>
        <v>55.027439999999999</v>
      </c>
      <c r="CA11" s="72">
        <f>SUM(Table22[[#This Row],[Good Kernel (G M)]:[Spotted (g m)]])/1000*100</f>
        <v>28.199999999999996</v>
      </c>
      <c r="CB11" s="72">
        <f>(Table22[[#This Row],[BROWNS/Rejection (gm) (NUT)]]+Table22[[#This Row],[OIL (g m)]]+Table22[[#This Row],[Good Kernel (G M)]]+Table22[[#This Row],[Immature (g m)]]+Table22[[#This Row],[Spotted (g m)]])/1000*100</f>
        <v>31.2</v>
      </c>
      <c r="CC11" s="72">
        <v>8.4</v>
      </c>
      <c r="CD11" s="51">
        <v>181</v>
      </c>
      <c r="CE11" s="60">
        <v>607</v>
      </c>
      <c r="CH11" s="184">
        <f ca="1">TODAY()-Table22[[#This Row],[Discharge Date]]</f>
        <v>174</v>
      </c>
    </row>
    <row r="12" spans="1:86" x14ac:dyDescent="0.25">
      <c r="A12" s="50">
        <v>8</v>
      </c>
      <c r="B12" s="51" t="s">
        <v>95</v>
      </c>
      <c r="C12" s="52" t="s">
        <v>96</v>
      </c>
      <c r="D12" s="54">
        <v>8</v>
      </c>
      <c r="E12" s="55"/>
      <c r="F12" s="54">
        <v>858</v>
      </c>
      <c r="H12" s="82">
        <v>46084</v>
      </c>
      <c r="I12" s="82"/>
      <c r="J12" s="82"/>
      <c r="K12" s="82" t="s">
        <v>634</v>
      </c>
      <c r="L12" s="54" t="s">
        <v>98</v>
      </c>
      <c r="M12" s="57">
        <v>77583</v>
      </c>
      <c r="N12" s="57" t="s">
        <v>676</v>
      </c>
      <c r="O12" s="54" t="s">
        <v>113</v>
      </c>
      <c r="P12" s="58">
        <v>46085</v>
      </c>
      <c r="Q12" s="58">
        <v>46085</v>
      </c>
      <c r="R12" s="51" t="s">
        <v>100</v>
      </c>
      <c r="S12" s="59" t="s">
        <v>107</v>
      </c>
      <c r="T12" s="51"/>
      <c r="U12" s="51"/>
      <c r="V12" s="51" t="s">
        <v>108</v>
      </c>
      <c r="W12" s="51">
        <v>543</v>
      </c>
      <c r="X12" s="51">
        <v>41</v>
      </c>
      <c r="Y12" s="60">
        <f t="shared" si="10"/>
        <v>584</v>
      </c>
      <c r="Z12" s="51">
        <v>54</v>
      </c>
      <c r="AA12" s="61">
        <f t="shared" si="17"/>
        <v>597</v>
      </c>
      <c r="AB12" s="51">
        <f t="shared" si="18"/>
        <v>54</v>
      </c>
      <c r="AC12" s="62">
        <v>564</v>
      </c>
      <c r="AD12" s="63">
        <v>0</v>
      </c>
      <c r="AE12" s="64">
        <v>20</v>
      </c>
      <c r="AF12" s="64">
        <v>54</v>
      </c>
      <c r="AG12" s="63"/>
      <c r="AH12" s="64">
        <f t="shared" si="19"/>
        <v>584</v>
      </c>
      <c r="AI12" s="62">
        <v>0</v>
      </c>
      <c r="AJ12" s="62">
        <v>0</v>
      </c>
      <c r="AK12" s="62">
        <v>584</v>
      </c>
      <c r="AL12" s="62">
        <f t="shared" si="23"/>
        <v>584</v>
      </c>
      <c r="AM12" s="65">
        <v>45760</v>
      </c>
      <c r="AN12" s="64">
        <f t="shared" si="20"/>
        <v>664</v>
      </c>
      <c r="AO12" s="77">
        <f t="shared" si="22"/>
        <v>45176</v>
      </c>
      <c r="AP12" s="77">
        <f t="shared" si="21"/>
        <v>45096</v>
      </c>
      <c r="AQ12" s="77">
        <f t="shared" si="3"/>
        <v>45096</v>
      </c>
      <c r="AR12" s="67">
        <f t="shared" si="4"/>
        <v>80</v>
      </c>
      <c r="AS12" s="80">
        <f>Table22[[#This Row],[GROSS WT]]-Table22[[#This Row],[Total Bag Discharged (Truck)]]</f>
        <v>45176</v>
      </c>
      <c r="AT12" s="67">
        <f t="shared" si="5"/>
        <v>45176</v>
      </c>
      <c r="AU12" s="69"/>
      <c r="AV12" s="70">
        <v>8.1999999999999993</v>
      </c>
      <c r="AW12" s="70">
        <v>7</v>
      </c>
      <c r="AX12" s="70">
        <v>0</v>
      </c>
      <c r="AY12" s="71">
        <f t="shared" si="6"/>
        <v>15.2</v>
      </c>
      <c r="AZ12" s="70">
        <v>239</v>
      </c>
      <c r="BA12" s="70">
        <v>36</v>
      </c>
      <c r="BB12" s="70">
        <v>6</v>
      </c>
      <c r="BC12" s="63">
        <f t="shared" si="12"/>
        <v>281</v>
      </c>
      <c r="BD12" s="72">
        <f>SUM(Table22[[#This Row],[Good Kernel (gm)]]+(Table22[[#This Row],[Immature (gm)]]+Table22[[#This Row],[Spotted (gm)]])/2)*0.176</f>
        <v>45.76</v>
      </c>
      <c r="BE12" s="72">
        <v>45.76</v>
      </c>
      <c r="BF12" s="72">
        <f t="shared" si="13"/>
        <v>49.55997</v>
      </c>
      <c r="BG12" s="72">
        <f t="shared" si="7"/>
        <v>51.006203999999997</v>
      </c>
      <c r="BH12" s="72">
        <f>SUM(Table22[[#This Row],[Good Kernel (gm)]:[Spotted (gm)]])/1000*100</f>
        <v>28.1</v>
      </c>
      <c r="BI12" s="72">
        <f t="shared" si="8"/>
        <v>28.92</v>
      </c>
      <c r="BJ12" s="72">
        <v>8.6999999999999993</v>
      </c>
      <c r="BK12" s="51">
        <v>181</v>
      </c>
      <c r="BL12" s="73">
        <v>624</v>
      </c>
      <c r="BM12" s="70">
        <v>29</v>
      </c>
      <c r="BN12" s="74">
        <v>9.8000000000000004E-2</v>
      </c>
      <c r="BO12" s="70">
        <v>8</v>
      </c>
      <c r="BP12" s="70">
        <v>20</v>
      </c>
      <c r="BQ12" s="71">
        <f t="shared" si="9"/>
        <v>57</v>
      </c>
      <c r="BR12" s="70">
        <v>238</v>
      </c>
      <c r="BS12" s="70">
        <v>32</v>
      </c>
      <c r="BT12" s="70">
        <v>10</v>
      </c>
      <c r="BU12" s="63">
        <f t="shared" si="14"/>
        <v>280</v>
      </c>
      <c r="BV12" s="72">
        <f>SUM(Table22[[#This Row],[Good Kernel (G M)]]+(Table22[[#This Row],[Immature (g m)]]+Table22[[#This Row],[Spotted (g m)]])/2)*0.176</f>
        <v>45.583999999999996</v>
      </c>
      <c r="BW12" s="72">
        <v>45.58</v>
      </c>
      <c r="BX12" s="72"/>
      <c r="BY12" s="72">
        <f t="shared" si="15"/>
        <v>49.383600000000001</v>
      </c>
      <c r="BZ12" s="72">
        <f t="shared" si="16"/>
        <v>58.025730000000003</v>
      </c>
      <c r="CA12" s="72">
        <f>SUM(Table22[[#This Row],[Good Kernel (G M)]:[Spotted (g m)]])/1000*100</f>
        <v>28.000000000000004</v>
      </c>
      <c r="CB12" s="72">
        <f>(Table22[[#This Row],[BROWNS/Rejection (gm) (NUT)]]+Table22[[#This Row],[OIL (g m)]]+Table22[[#This Row],[Good Kernel (G M)]]+Table22[[#This Row],[Immature (g m)]]+Table22[[#This Row],[Spotted (g m)]])/1000*100</f>
        <v>32.9</v>
      </c>
      <c r="CC12" s="72">
        <v>9.1</v>
      </c>
      <c r="CD12" s="51">
        <v>187</v>
      </c>
      <c r="CE12" s="60">
        <v>604</v>
      </c>
      <c r="CH12" s="184">
        <f ca="1">TODAY()-Table22[[#This Row],[Discharge Date]]</f>
        <v>170</v>
      </c>
    </row>
    <row r="13" spans="1:86" x14ac:dyDescent="0.25">
      <c r="A13" s="50">
        <v>9</v>
      </c>
      <c r="B13" s="51" t="s">
        <v>95</v>
      </c>
      <c r="C13" s="52" t="s">
        <v>96</v>
      </c>
      <c r="D13" s="54">
        <v>9</v>
      </c>
      <c r="E13" s="55"/>
      <c r="F13" s="83">
        <v>859</v>
      </c>
      <c r="G13" s="54"/>
      <c r="H13" s="82">
        <v>46084</v>
      </c>
      <c r="I13" s="82"/>
      <c r="J13" s="82"/>
      <c r="K13" s="82" t="s">
        <v>634</v>
      </c>
      <c r="L13" s="54" t="s">
        <v>98</v>
      </c>
      <c r="M13" s="57">
        <v>77665</v>
      </c>
      <c r="N13" s="57" t="s">
        <v>678</v>
      </c>
      <c r="O13" s="54" t="s">
        <v>114</v>
      </c>
      <c r="P13" s="58">
        <v>46085</v>
      </c>
      <c r="Q13" s="58">
        <v>46085</v>
      </c>
      <c r="R13" s="51" t="s">
        <v>100</v>
      </c>
      <c r="S13" s="59" t="s">
        <v>101</v>
      </c>
      <c r="T13" s="51"/>
      <c r="U13" s="51"/>
      <c r="V13" s="51" t="s">
        <v>102</v>
      </c>
      <c r="W13" s="51">
        <v>488</v>
      </c>
      <c r="X13" s="51">
        <v>100</v>
      </c>
      <c r="Y13" s="60">
        <f t="shared" si="10"/>
        <v>588</v>
      </c>
      <c r="Z13" s="51">
        <v>108</v>
      </c>
      <c r="AA13" s="61">
        <f t="shared" si="17"/>
        <v>596</v>
      </c>
      <c r="AB13" s="51">
        <f t="shared" si="18"/>
        <v>108</v>
      </c>
      <c r="AC13" s="62">
        <v>473</v>
      </c>
      <c r="AD13" s="63">
        <v>0</v>
      </c>
      <c r="AE13" s="64">
        <v>15</v>
      </c>
      <c r="AF13" s="64">
        <v>108</v>
      </c>
      <c r="AG13" s="63"/>
      <c r="AH13" s="64">
        <f t="shared" si="19"/>
        <v>488</v>
      </c>
      <c r="AI13" s="62">
        <v>0</v>
      </c>
      <c r="AJ13" s="62">
        <v>0</v>
      </c>
      <c r="AK13" s="62">
        <v>488</v>
      </c>
      <c r="AL13" s="62">
        <f t="shared" si="23"/>
        <v>488</v>
      </c>
      <c r="AM13" s="67">
        <v>42080</v>
      </c>
      <c r="AN13" s="64">
        <f t="shared" si="20"/>
        <v>548</v>
      </c>
      <c r="AO13" s="77">
        <f t="shared" si="22"/>
        <v>41592</v>
      </c>
      <c r="AP13" s="77">
        <f t="shared" si="21"/>
        <v>41532</v>
      </c>
      <c r="AQ13" s="77">
        <f t="shared" si="3"/>
        <v>41532</v>
      </c>
      <c r="AR13" s="67">
        <f t="shared" si="4"/>
        <v>60</v>
      </c>
      <c r="AS13" s="80">
        <f>Table22[[#This Row],[GROSS WT]]-Table22[[#This Row],[Total Bag Discharged (Truck)]]</f>
        <v>41492</v>
      </c>
      <c r="AT13" s="67">
        <f t="shared" si="5"/>
        <v>41592</v>
      </c>
      <c r="AU13" s="69"/>
      <c r="AV13" s="70">
        <v>8.4</v>
      </c>
      <c r="AW13" s="70">
        <v>11</v>
      </c>
      <c r="AX13" s="70">
        <v>12</v>
      </c>
      <c r="AY13" s="71">
        <f t="shared" si="6"/>
        <v>31.4</v>
      </c>
      <c r="AZ13" s="70">
        <v>245</v>
      </c>
      <c r="BA13" s="70">
        <v>24</v>
      </c>
      <c r="BB13" s="70">
        <v>4</v>
      </c>
      <c r="BC13" s="63">
        <f t="shared" si="12"/>
        <v>273</v>
      </c>
      <c r="BD13" s="72">
        <f>SUM(Table22[[#This Row],[Good Kernel (gm)]]+(Table22[[#This Row],[Immature (gm)]]+Table22[[#This Row],[Spotted (gm)]])/2)*0.176</f>
        <v>45.583999999999996</v>
      </c>
      <c r="BE13" s="72">
        <v>45.58</v>
      </c>
      <c r="BF13" s="72">
        <f t="shared" si="13"/>
        <v>48.149009999999997</v>
      </c>
      <c r="BG13" s="72">
        <f t="shared" si="7"/>
        <v>51.746957999999992</v>
      </c>
      <c r="BH13" s="72">
        <f>SUM(Table22[[#This Row],[Good Kernel (gm)]:[Spotted (gm)]])/1000*100</f>
        <v>27.3</v>
      </c>
      <c r="BI13" s="72">
        <f t="shared" si="8"/>
        <v>29.34</v>
      </c>
      <c r="BJ13" s="72">
        <v>9</v>
      </c>
      <c r="BK13" s="51">
        <v>180</v>
      </c>
      <c r="BL13" s="73">
        <v>614</v>
      </c>
      <c r="BM13" s="70">
        <v>24</v>
      </c>
      <c r="BN13" s="74">
        <v>8.2000000000000003E-2</v>
      </c>
      <c r="BO13" s="70">
        <v>14</v>
      </c>
      <c r="BP13" s="70">
        <v>15</v>
      </c>
      <c r="BQ13" s="71">
        <f t="shared" si="9"/>
        <v>53</v>
      </c>
      <c r="BR13" s="70">
        <v>244</v>
      </c>
      <c r="BS13" s="70">
        <v>24</v>
      </c>
      <c r="BT13" s="70">
        <v>10</v>
      </c>
      <c r="BU13" s="63">
        <f t="shared" si="14"/>
        <v>278</v>
      </c>
      <c r="BV13" s="72">
        <f>SUM(Table22[[#This Row],[Good Kernel (G M)]]+(Table22[[#This Row],[Immature (g m)]]+Table22[[#This Row],[Spotted (g m)]])/2)*0.176</f>
        <v>45.936</v>
      </c>
      <c r="BW13" s="72">
        <v>45.93</v>
      </c>
      <c r="BX13" s="72"/>
      <c r="BY13" s="72">
        <f t="shared" si="15"/>
        <v>49.030859999999997</v>
      </c>
      <c r="BZ13" s="72">
        <f t="shared" si="16"/>
        <v>55.909289999999999</v>
      </c>
      <c r="CA13" s="72">
        <f>SUM(Table22[[#This Row],[Good Kernel (G M)]:[Spotted (g m)]])/1000*100</f>
        <v>27.800000000000004</v>
      </c>
      <c r="CB13" s="72">
        <f>(Table22[[#This Row],[BROWNS/Rejection (gm) (NUT)]]+Table22[[#This Row],[OIL (g m)]]+Table22[[#This Row],[Good Kernel (G M)]]+Table22[[#This Row],[Immature (g m)]]+Table22[[#This Row],[Spotted (g m)]])/1000*100</f>
        <v>31.7</v>
      </c>
      <c r="CC13" s="72">
        <v>8.8000000000000007</v>
      </c>
      <c r="CD13" s="51">
        <v>189</v>
      </c>
      <c r="CE13" s="60">
        <v>605</v>
      </c>
      <c r="CH13" s="184">
        <f ca="1">TODAY()-Table22[[#This Row],[Discharge Date]]</f>
        <v>170</v>
      </c>
    </row>
    <row r="14" spans="1:86" x14ac:dyDescent="0.25">
      <c r="A14" s="50">
        <v>10</v>
      </c>
      <c r="B14" s="51" t="s">
        <v>95</v>
      </c>
      <c r="C14" s="52" t="s">
        <v>96</v>
      </c>
      <c r="D14" s="54">
        <v>10</v>
      </c>
      <c r="E14" s="55"/>
      <c r="F14" s="83">
        <v>860</v>
      </c>
      <c r="G14" s="54"/>
      <c r="H14" s="82">
        <v>46115</v>
      </c>
      <c r="I14" s="82"/>
      <c r="J14" s="82"/>
      <c r="K14" s="82" t="s">
        <v>634</v>
      </c>
      <c r="L14" s="54" t="s">
        <v>98</v>
      </c>
      <c r="M14" s="57">
        <v>77667</v>
      </c>
      <c r="N14" s="57" t="s">
        <v>676</v>
      </c>
      <c r="O14" s="54" t="s">
        <v>104</v>
      </c>
      <c r="P14" s="58">
        <v>46085</v>
      </c>
      <c r="Q14" s="58">
        <v>46087</v>
      </c>
      <c r="R14" s="51" t="s">
        <v>100</v>
      </c>
      <c r="S14" s="59" t="s">
        <v>101</v>
      </c>
      <c r="T14" s="51"/>
      <c r="U14" s="51"/>
      <c r="V14" s="51" t="s">
        <v>102</v>
      </c>
      <c r="W14" s="84">
        <v>512</v>
      </c>
      <c r="X14" s="51">
        <v>39</v>
      </c>
      <c r="Y14" s="60">
        <f t="shared" si="10"/>
        <v>551</v>
      </c>
      <c r="Z14" s="51">
        <v>37</v>
      </c>
      <c r="AA14" s="61">
        <f t="shared" si="17"/>
        <v>549</v>
      </c>
      <c r="AB14" s="51">
        <f t="shared" si="18"/>
        <v>37</v>
      </c>
      <c r="AC14" s="62">
        <v>536</v>
      </c>
      <c r="AD14" s="63">
        <v>0</v>
      </c>
      <c r="AE14" s="64">
        <v>15</v>
      </c>
      <c r="AF14" s="64">
        <v>37</v>
      </c>
      <c r="AG14" s="63"/>
      <c r="AH14" s="64">
        <f t="shared" si="19"/>
        <v>551</v>
      </c>
      <c r="AI14" s="62">
        <v>0</v>
      </c>
      <c r="AJ14" s="62">
        <v>0</v>
      </c>
      <c r="AK14" s="62">
        <v>551</v>
      </c>
      <c r="AL14" s="62">
        <f t="shared" si="23"/>
        <v>551</v>
      </c>
      <c r="AM14" s="65">
        <v>42220</v>
      </c>
      <c r="AN14" s="64">
        <f t="shared" si="20"/>
        <v>611</v>
      </c>
      <c r="AO14" s="77">
        <f t="shared" si="22"/>
        <v>41669</v>
      </c>
      <c r="AP14" s="77">
        <f t="shared" si="21"/>
        <v>41609</v>
      </c>
      <c r="AQ14" s="77">
        <f t="shared" si="3"/>
        <v>41609</v>
      </c>
      <c r="AR14" s="67">
        <f t="shared" si="4"/>
        <v>60</v>
      </c>
      <c r="AS14" s="68">
        <f>Table22[[#This Row],[GROSS WT]]-Table22[[#This Row],[Total Bag Discharged (Truck)]]</f>
        <v>41669</v>
      </c>
      <c r="AT14" s="67">
        <f t="shared" si="5"/>
        <v>41669</v>
      </c>
      <c r="AU14" s="69"/>
      <c r="AV14" s="70">
        <v>8.3000000000000007</v>
      </c>
      <c r="AW14" s="70">
        <v>15</v>
      </c>
      <c r="AX14" s="70">
        <v>0</v>
      </c>
      <c r="AY14" s="71">
        <f t="shared" si="6"/>
        <v>23.3</v>
      </c>
      <c r="AZ14" s="70">
        <v>243</v>
      </c>
      <c r="BA14" s="70">
        <v>26</v>
      </c>
      <c r="BB14" s="70">
        <v>8</v>
      </c>
      <c r="BC14" s="63">
        <f t="shared" si="12"/>
        <v>277</v>
      </c>
      <c r="BD14" s="72">
        <f>SUM(Table22[[#This Row],[Good Kernel (gm)]]+(Table22[[#This Row],[Immature (gm)]]+Table22[[#This Row],[Spotted (gm)]])/2)*0.176</f>
        <v>45.76</v>
      </c>
      <c r="BE14" s="72">
        <v>45.76</v>
      </c>
      <c r="BF14" s="72">
        <f t="shared" si="13"/>
        <v>48.854489999999998</v>
      </c>
      <c r="BG14" s="72">
        <f t="shared" si="7"/>
        <v>50.318361000000003</v>
      </c>
      <c r="BH14" s="72">
        <f>SUM(Table22[[#This Row],[Good Kernel (gm)]:[Spotted (gm)]])/1000*100</f>
        <v>27.700000000000003</v>
      </c>
      <c r="BI14" s="72">
        <f t="shared" si="8"/>
        <v>28.53</v>
      </c>
      <c r="BJ14" s="72">
        <v>8.9</v>
      </c>
      <c r="BK14" s="51">
        <v>179</v>
      </c>
      <c r="BL14" s="73">
        <v>620</v>
      </c>
      <c r="BM14" s="70">
        <v>31</v>
      </c>
      <c r="BN14" s="74">
        <v>9.8000000000000004E-2</v>
      </c>
      <c r="BO14" s="70">
        <v>12</v>
      </c>
      <c r="BP14" s="70">
        <v>0</v>
      </c>
      <c r="BQ14" s="71">
        <f t="shared" si="9"/>
        <v>43</v>
      </c>
      <c r="BR14" s="70">
        <v>256</v>
      </c>
      <c r="BS14" s="70">
        <v>14</v>
      </c>
      <c r="BT14" s="70">
        <v>8</v>
      </c>
      <c r="BU14" s="63">
        <f t="shared" si="14"/>
        <v>278</v>
      </c>
      <c r="BV14" s="72">
        <f>SUM(Table22[[#This Row],[Good Kernel (G M)]]+(Table22[[#This Row],[Immature (g m)]]+Table22[[#This Row],[Spotted (g m)]])/2)*0.176</f>
        <v>46.991999999999997</v>
      </c>
      <c r="BW14" s="72">
        <v>46.99</v>
      </c>
      <c r="BX14" s="72"/>
      <c r="BY14" s="72">
        <f t="shared" si="15"/>
        <v>49.030859999999997</v>
      </c>
      <c r="BZ14" s="72">
        <f t="shared" si="16"/>
        <v>54.498330000000003</v>
      </c>
      <c r="CA14" s="72">
        <f>SUM(Table22[[#This Row],[Good Kernel (G M)]:[Spotted (g m)]])/1000*100</f>
        <v>27.800000000000004</v>
      </c>
      <c r="CB14" s="72">
        <f>(Table22[[#This Row],[BROWNS/Rejection (gm) (NUT)]]+Table22[[#This Row],[OIL (g m)]]+Table22[[#This Row],[Good Kernel (G M)]]+Table22[[#This Row],[Immature (g m)]]+Table22[[#This Row],[Spotted (g m)]])/1000*100</f>
        <v>30.9</v>
      </c>
      <c r="CC14" s="72">
        <v>8.6</v>
      </c>
      <c r="CD14" s="51">
        <v>184</v>
      </c>
      <c r="CE14" s="60">
        <v>606</v>
      </c>
      <c r="CH14" s="184">
        <f ca="1">TODAY()-Table22[[#This Row],[Discharge Date]]</f>
        <v>168</v>
      </c>
    </row>
    <row r="15" spans="1:86" x14ac:dyDescent="0.25">
      <c r="A15" s="50">
        <v>11</v>
      </c>
      <c r="B15" s="51" t="s">
        <v>95</v>
      </c>
      <c r="C15" s="52" t="s">
        <v>96</v>
      </c>
      <c r="D15" s="54">
        <v>11</v>
      </c>
      <c r="E15" s="55"/>
      <c r="F15" s="83">
        <v>861</v>
      </c>
      <c r="G15" s="54"/>
      <c r="H15" s="82">
        <v>46115</v>
      </c>
      <c r="I15" s="82"/>
      <c r="J15" s="82"/>
      <c r="K15" s="82" t="s">
        <v>634</v>
      </c>
      <c r="L15" s="54" t="s">
        <v>98</v>
      </c>
      <c r="M15" s="57">
        <v>77669</v>
      </c>
      <c r="N15" s="57" t="s">
        <v>679</v>
      </c>
      <c r="O15" s="54" t="s">
        <v>115</v>
      </c>
      <c r="P15" s="58">
        <v>46087</v>
      </c>
      <c r="Q15" s="58">
        <v>46087</v>
      </c>
      <c r="R15" s="51" t="s">
        <v>116</v>
      </c>
      <c r="S15" s="59" t="s">
        <v>117</v>
      </c>
      <c r="T15" s="51"/>
      <c r="U15" s="51"/>
      <c r="V15" s="51" t="s">
        <v>118</v>
      </c>
      <c r="W15" s="51">
        <v>354</v>
      </c>
      <c r="X15" s="51">
        <v>12</v>
      </c>
      <c r="Y15" s="60">
        <f t="shared" si="10"/>
        <v>366</v>
      </c>
      <c r="Z15" s="51">
        <v>23</v>
      </c>
      <c r="AA15" s="61">
        <f t="shared" si="17"/>
        <v>377</v>
      </c>
      <c r="AB15" s="51">
        <f t="shared" si="18"/>
        <v>23</v>
      </c>
      <c r="AC15" s="62">
        <v>354</v>
      </c>
      <c r="AD15" s="63">
        <v>0</v>
      </c>
      <c r="AE15" s="64">
        <v>12</v>
      </c>
      <c r="AF15" s="64">
        <v>23</v>
      </c>
      <c r="AG15" s="63"/>
      <c r="AH15" s="64">
        <f t="shared" si="19"/>
        <v>366</v>
      </c>
      <c r="AI15" s="62">
        <v>0</v>
      </c>
      <c r="AJ15" s="62">
        <v>0</v>
      </c>
      <c r="AK15" s="62">
        <v>366</v>
      </c>
      <c r="AL15" s="62">
        <f t="shared" si="23"/>
        <v>366</v>
      </c>
      <c r="AM15" s="65">
        <v>33020</v>
      </c>
      <c r="AN15" s="64">
        <f t="shared" si="20"/>
        <v>414</v>
      </c>
      <c r="AO15" s="77">
        <f t="shared" si="22"/>
        <v>32654</v>
      </c>
      <c r="AP15" s="77">
        <f t="shared" si="21"/>
        <v>32606</v>
      </c>
      <c r="AQ15" s="77">
        <f t="shared" si="3"/>
        <v>32606</v>
      </c>
      <c r="AR15" s="67">
        <f t="shared" si="4"/>
        <v>48</v>
      </c>
      <c r="AS15" s="68">
        <f>Table22[[#This Row],[GROSS WT]]-Table22[[#This Row],[Total Bag Discharged (Truck)]]</f>
        <v>32654</v>
      </c>
      <c r="AT15" s="67">
        <f t="shared" si="5"/>
        <v>32654</v>
      </c>
      <c r="AU15" s="69"/>
      <c r="AV15" s="70">
        <v>9.1</v>
      </c>
      <c r="AW15" s="70">
        <v>5</v>
      </c>
      <c r="AX15" s="70">
        <v>16</v>
      </c>
      <c r="AY15" s="71">
        <f t="shared" si="6"/>
        <v>30.1</v>
      </c>
      <c r="AZ15" s="70">
        <v>240</v>
      </c>
      <c r="BA15" s="70">
        <v>28</v>
      </c>
      <c r="BB15" s="70">
        <v>10</v>
      </c>
      <c r="BC15" s="63">
        <f t="shared" si="12"/>
        <v>278</v>
      </c>
      <c r="BD15" s="72">
        <f>SUM(Table22[[#This Row],[Good Kernel (gm)]]+(Table22[[#This Row],[Immature (gm)]]+Table22[[#This Row],[Spotted (gm)]])/2)*0.176</f>
        <v>45.583999999999996</v>
      </c>
      <c r="BE15" s="72">
        <v>45.58</v>
      </c>
      <c r="BF15" s="72">
        <f t="shared" si="13"/>
        <v>49.030859999999997</v>
      </c>
      <c r="BG15" s="72">
        <f t="shared" si="7"/>
        <v>53.457747000000005</v>
      </c>
      <c r="BH15" s="72">
        <f>SUM(Table22[[#This Row],[Good Kernel (gm)]:[Spotted (gm)]])/1000*100</f>
        <v>27.800000000000004</v>
      </c>
      <c r="BI15" s="72">
        <f t="shared" si="8"/>
        <v>30.310000000000002</v>
      </c>
      <c r="BJ15" s="72">
        <v>9.3000000000000007</v>
      </c>
      <c r="BK15" s="51">
        <v>174</v>
      </c>
      <c r="BL15" s="73">
        <v>604</v>
      </c>
      <c r="BM15" s="70">
        <v>29</v>
      </c>
      <c r="BN15" s="74">
        <v>0.104</v>
      </c>
      <c r="BO15" s="70">
        <v>17</v>
      </c>
      <c r="BP15" s="70">
        <v>0</v>
      </c>
      <c r="BQ15" s="71">
        <f t="shared" si="9"/>
        <v>46</v>
      </c>
      <c r="BR15" s="70">
        <v>245</v>
      </c>
      <c r="BS15" s="70">
        <v>20</v>
      </c>
      <c r="BT15" s="70">
        <v>4</v>
      </c>
      <c r="BU15" s="63">
        <f t="shared" si="14"/>
        <v>269</v>
      </c>
      <c r="BV15" s="72">
        <f>SUM(Table22[[#This Row],[Good Kernel (G M)]]+(Table22[[#This Row],[Immature (g m)]]+Table22[[#This Row],[Spotted (g m)]])/2)*0.176</f>
        <v>45.231999999999999</v>
      </c>
      <c r="BW15" s="72">
        <v>45.23</v>
      </c>
      <c r="BX15" s="72"/>
      <c r="BY15" s="72">
        <f t="shared" si="15"/>
        <v>47.443530000000003</v>
      </c>
      <c r="BZ15" s="72">
        <f t="shared" si="16"/>
        <v>52.558259999999997</v>
      </c>
      <c r="CA15" s="72">
        <f>SUM(Table22[[#This Row],[Good Kernel (G M)]:[Spotted (g m)]])/1000*100</f>
        <v>26.900000000000002</v>
      </c>
      <c r="CB1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5" s="72">
        <v>9.3000000000000007</v>
      </c>
      <c r="CD15" s="51">
        <v>170</v>
      </c>
      <c r="CE15" s="60">
        <v>604</v>
      </c>
      <c r="CH15" s="184">
        <f ca="1">TODAY()-Table22[[#This Row],[Discharge Date]]</f>
        <v>168</v>
      </c>
    </row>
    <row r="16" spans="1:86" x14ac:dyDescent="0.25">
      <c r="A16" s="50">
        <v>12</v>
      </c>
      <c r="B16" s="51" t="s">
        <v>95</v>
      </c>
      <c r="C16" s="52" t="s">
        <v>96</v>
      </c>
      <c r="D16" s="54">
        <v>12</v>
      </c>
      <c r="E16" s="55"/>
      <c r="F16" s="83">
        <v>862</v>
      </c>
      <c r="G16" s="54"/>
      <c r="H16" s="82">
        <v>46145</v>
      </c>
      <c r="J16" s="82"/>
      <c r="K16" s="82" t="s">
        <v>634</v>
      </c>
      <c r="L16" s="54" t="s">
        <v>98</v>
      </c>
      <c r="M16" s="57">
        <v>77582</v>
      </c>
      <c r="N16" s="57" t="s">
        <v>676</v>
      </c>
      <c r="O16" s="54" t="s">
        <v>113</v>
      </c>
      <c r="P16" s="58">
        <v>46087</v>
      </c>
      <c r="Q16" s="58">
        <v>46087</v>
      </c>
      <c r="R16" s="51" t="s">
        <v>100</v>
      </c>
      <c r="S16" s="59" t="s">
        <v>107</v>
      </c>
      <c r="T16" s="51"/>
      <c r="U16" s="51"/>
      <c r="V16" s="51" t="s">
        <v>108</v>
      </c>
      <c r="W16" s="51">
        <v>505</v>
      </c>
      <c r="X16" s="51">
        <v>1</v>
      </c>
      <c r="Y16" s="60">
        <f t="shared" si="10"/>
        <v>506</v>
      </c>
      <c r="Z16" s="51">
        <v>2</v>
      </c>
      <c r="AA16" s="61">
        <f t="shared" si="17"/>
        <v>507</v>
      </c>
      <c r="AB16" s="51">
        <f t="shared" si="18"/>
        <v>2</v>
      </c>
      <c r="AC16" s="62">
        <v>557</v>
      </c>
      <c r="AD16" s="63">
        <v>0</v>
      </c>
      <c r="AE16" s="64">
        <v>1</v>
      </c>
      <c r="AF16" s="64">
        <v>2</v>
      </c>
      <c r="AG16" s="63"/>
      <c r="AH16" s="64">
        <f t="shared" si="19"/>
        <v>558</v>
      </c>
      <c r="AI16" s="62">
        <v>0</v>
      </c>
      <c r="AJ16" s="62">
        <v>0</v>
      </c>
      <c r="AK16" s="62">
        <v>558</v>
      </c>
      <c r="AL16" s="62">
        <f t="shared" si="23"/>
        <v>558</v>
      </c>
      <c r="AM16" s="67">
        <v>45960</v>
      </c>
      <c r="AN16" s="64">
        <f t="shared" si="20"/>
        <v>562</v>
      </c>
      <c r="AO16" s="77">
        <f t="shared" si="22"/>
        <v>45402</v>
      </c>
      <c r="AP16" s="77">
        <f t="shared" si="21"/>
        <v>45398</v>
      </c>
      <c r="AQ16" s="77">
        <f t="shared" si="3"/>
        <v>45398</v>
      </c>
      <c r="AR16" s="67">
        <f t="shared" si="4"/>
        <v>4</v>
      </c>
      <c r="AS16" s="68">
        <f>Table22[[#This Row],[GROSS WT]]-Table22[[#This Row],[Total Bag Discharged (Truck)]]</f>
        <v>45454</v>
      </c>
      <c r="AT16" s="67">
        <f t="shared" si="5"/>
        <v>45402</v>
      </c>
      <c r="AU16" s="69"/>
      <c r="AV16" s="70">
        <v>8.9</v>
      </c>
      <c r="AW16" s="70">
        <v>0</v>
      </c>
      <c r="AX16" s="70">
        <v>8</v>
      </c>
      <c r="AY16" s="71">
        <f t="shared" si="6"/>
        <v>16.899999999999999</v>
      </c>
      <c r="AZ16" s="70">
        <v>248</v>
      </c>
      <c r="BA16" s="70">
        <v>24</v>
      </c>
      <c r="BB16" s="70">
        <v>4</v>
      </c>
      <c r="BC16" s="63">
        <f t="shared" si="12"/>
        <v>276</v>
      </c>
      <c r="BD16" s="72">
        <f>SUM(Table22[[#This Row],[Good Kernel (gm)]]+(Table22[[#This Row],[Immature (gm)]]+Table22[[#This Row],[Spotted (gm)]])/2)*0.176</f>
        <v>46.111999999999995</v>
      </c>
      <c r="BE16" s="72">
        <v>46.11</v>
      </c>
      <c r="BF16" s="72">
        <f t="shared" si="13"/>
        <v>48.67812</v>
      </c>
      <c r="BG16" s="72">
        <f t="shared" si="7"/>
        <v>51.658772999999997</v>
      </c>
      <c r="BH16" s="72">
        <f>SUM(Table22[[#This Row],[Good Kernel (gm)]:[Spotted (gm)]])/1000*100</f>
        <v>27.6</v>
      </c>
      <c r="BI16" s="72">
        <f t="shared" si="8"/>
        <v>29.29</v>
      </c>
      <c r="BJ16" s="72">
        <v>9</v>
      </c>
      <c r="BK16" s="51">
        <v>181</v>
      </c>
      <c r="BL16" s="73">
        <v>621</v>
      </c>
      <c r="BM16" s="70">
        <v>22</v>
      </c>
      <c r="BN16" s="74">
        <v>7.9000000000000001E-2</v>
      </c>
      <c r="BO16" s="70">
        <v>8</v>
      </c>
      <c r="BP16" s="70">
        <v>8</v>
      </c>
      <c r="BQ16" s="71">
        <f t="shared" si="9"/>
        <v>38</v>
      </c>
      <c r="BR16" s="70">
        <v>254</v>
      </c>
      <c r="BS16" s="70">
        <v>20</v>
      </c>
      <c r="BT16" s="70">
        <v>7</v>
      </c>
      <c r="BU16" s="63">
        <f t="shared" si="14"/>
        <v>281</v>
      </c>
      <c r="BV16" s="72">
        <f>SUM(Table22[[#This Row],[Good Kernel (G M)]]+(Table22[[#This Row],[Immature (g m)]]+Table22[[#This Row],[Spotted (g m)]])/2)*0.176</f>
        <v>47.08</v>
      </c>
      <c r="BW16" s="72">
        <v>47.08</v>
      </c>
      <c r="BX16" s="72"/>
      <c r="BY16" s="72">
        <f t="shared" si="15"/>
        <v>49.55997</v>
      </c>
      <c r="BZ16" s="72">
        <f t="shared" si="16"/>
        <v>54.85107</v>
      </c>
      <c r="CA16" s="72">
        <f>SUM(Table22[[#This Row],[Good Kernel (G M)]:[Spotted (g m)]])/1000*100</f>
        <v>28.1</v>
      </c>
      <c r="CB16" s="72">
        <f>(Table22[[#This Row],[BROWNS/Rejection (gm) (NUT)]]+Table22[[#This Row],[OIL (g m)]]+Table22[[#This Row],[Good Kernel (G M)]]+Table22[[#This Row],[Immature (g m)]]+Table22[[#This Row],[Spotted (g m)]])/1000*100</f>
        <v>31.1</v>
      </c>
      <c r="CC16" s="72">
        <v>9</v>
      </c>
      <c r="CD16" s="51">
        <v>181</v>
      </c>
      <c r="CE16" s="60">
        <v>617</v>
      </c>
      <c r="CH16" s="184">
        <f ca="1">TODAY()-Table22[[#This Row],[Discharge Date]]</f>
        <v>168</v>
      </c>
    </row>
    <row r="17" spans="1:86" x14ac:dyDescent="0.25">
      <c r="A17" s="50">
        <v>13</v>
      </c>
      <c r="B17" s="51" t="s">
        <v>95</v>
      </c>
      <c r="C17" s="52" t="s">
        <v>96</v>
      </c>
      <c r="D17" s="54">
        <v>13</v>
      </c>
      <c r="E17" s="55"/>
      <c r="F17" s="83">
        <v>863</v>
      </c>
      <c r="G17" s="54"/>
      <c r="H17" s="54" t="s">
        <v>119</v>
      </c>
      <c r="I17" s="82"/>
      <c r="J17" s="54"/>
      <c r="K17" s="54" t="s">
        <v>634</v>
      </c>
      <c r="L17" s="54" t="s">
        <v>98</v>
      </c>
      <c r="M17" s="57">
        <v>77588</v>
      </c>
      <c r="N17" s="57" t="s">
        <v>679</v>
      </c>
      <c r="O17" s="54" t="s">
        <v>112</v>
      </c>
      <c r="P17" s="58">
        <v>46087</v>
      </c>
      <c r="Q17" s="58">
        <v>46087</v>
      </c>
      <c r="R17" s="51" t="s">
        <v>100</v>
      </c>
      <c r="S17" s="59" t="s">
        <v>101</v>
      </c>
      <c r="T17" s="51"/>
      <c r="U17" s="51"/>
      <c r="V17" s="51" t="s">
        <v>102</v>
      </c>
      <c r="W17" s="51">
        <v>450</v>
      </c>
      <c r="X17" s="51">
        <v>107</v>
      </c>
      <c r="Y17" s="60">
        <f t="shared" si="10"/>
        <v>557</v>
      </c>
      <c r="Z17" s="51">
        <v>81</v>
      </c>
      <c r="AA17" s="61">
        <f t="shared" si="17"/>
        <v>531</v>
      </c>
      <c r="AB17" s="51">
        <f t="shared" si="18"/>
        <v>81</v>
      </c>
      <c r="AC17" s="62">
        <v>542</v>
      </c>
      <c r="AD17" s="63">
        <v>0</v>
      </c>
      <c r="AE17" s="64">
        <v>15</v>
      </c>
      <c r="AF17" s="64">
        <v>81</v>
      </c>
      <c r="AG17" s="63"/>
      <c r="AH17" s="64">
        <f t="shared" si="19"/>
        <v>557</v>
      </c>
      <c r="AI17" s="62">
        <v>0</v>
      </c>
      <c r="AJ17" s="62">
        <v>0</v>
      </c>
      <c r="AK17" s="62">
        <v>557</v>
      </c>
      <c r="AL17" s="62">
        <f t="shared" si="23"/>
        <v>557</v>
      </c>
      <c r="AM17" s="65">
        <v>40960</v>
      </c>
      <c r="AN17" s="64">
        <f t="shared" si="20"/>
        <v>617</v>
      </c>
      <c r="AO17" s="77">
        <f t="shared" si="22"/>
        <v>40403</v>
      </c>
      <c r="AP17" s="77">
        <f t="shared" si="21"/>
        <v>40343</v>
      </c>
      <c r="AQ17" s="77">
        <f t="shared" si="3"/>
        <v>40343</v>
      </c>
      <c r="AR17" s="67">
        <f t="shared" si="4"/>
        <v>60</v>
      </c>
      <c r="AS17" s="68">
        <f>Table22[[#This Row],[GROSS WT]]-Table22[[#This Row],[Total Bag Discharged (Truck)]]</f>
        <v>40403</v>
      </c>
      <c r="AT17" s="67">
        <f t="shared" si="5"/>
        <v>40403</v>
      </c>
      <c r="AU17" s="69"/>
      <c r="AV17" s="70">
        <v>9.9</v>
      </c>
      <c r="AW17" s="70">
        <v>3</v>
      </c>
      <c r="AX17" s="70">
        <v>0</v>
      </c>
      <c r="AY17" s="71">
        <f t="shared" si="6"/>
        <v>12.9</v>
      </c>
      <c r="AZ17" s="70">
        <v>240</v>
      </c>
      <c r="BA17" s="70">
        <v>28</v>
      </c>
      <c r="BB17" s="70">
        <v>10</v>
      </c>
      <c r="BC17" s="63">
        <f t="shared" si="12"/>
        <v>278</v>
      </c>
      <c r="BD17" s="72">
        <f>SUM(Table22[[#This Row],[Good Kernel (gm)]]+(Table22[[#This Row],[Immature (gm)]]+Table22[[#This Row],[Spotted (gm)]])/2)*0.176</f>
        <v>45.583999999999996</v>
      </c>
      <c r="BE17" s="72">
        <v>45.58</v>
      </c>
      <c r="BF17" s="72">
        <f t="shared" si="13"/>
        <v>49.030859999999997</v>
      </c>
      <c r="BG17" s="72">
        <f t="shared" si="7"/>
        <v>50.776922999999996</v>
      </c>
      <c r="BH17" s="72">
        <f>SUM(Table22[[#This Row],[Good Kernel (gm)]:[Spotted (gm)]])/1000*100</f>
        <v>27.800000000000004</v>
      </c>
      <c r="BI17" s="72">
        <f t="shared" si="8"/>
        <v>28.79</v>
      </c>
      <c r="BJ17" s="72">
        <v>10.1</v>
      </c>
      <c r="BK17" s="51">
        <v>187</v>
      </c>
      <c r="BL17" s="73">
        <v>614</v>
      </c>
      <c r="BM17" s="70">
        <v>29</v>
      </c>
      <c r="BN17" s="78">
        <v>0.09</v>
      </c>
      <c r="BO17" s="70">
        <v>13</v>
      </c>
      <c r="BP17" s="70">
        <v>16</v>
      </c>
      <c r="BQ17" s="71">
        <f t="shared" si="9"/>
        <v>58</v>
      </c>
      <c r="BR17" s="70">
        <v>239</v>
      </c>
      <c r="BS17" s="70">
        <v>28</v>
      </c>
      <c r="BT17" s="70">
        <v>8</v>
      </c>
      <c r="BU17" s="63">
        <f t="shared" si="14"/>
        <v>275</v>
      </c>
      <c r="BV17" s="72">
        <f>SUM(Table22[[#This Row],[Good Kernel (G M)]]+(Table22[[#This Row],[Immature (g m)]]+Table22[[#This Row],[Spotted (g m)]])/2)*0.176</f>
        <v>45.231999999999999</v>
      </c>
      <c r="BW17" s="72">
        <v>45.23</v>
      </c>
      <c r="BX17" s="72"/>
      <c r="BY17" s="72">
        <f t="shared" si="15"/>
        <v>48.501750000000001</v>
      </c>
      <c r="BZ17" s="72">
        <f t="shared" si="16"/>
        <v>56.438400000000001</v>
      </c>
      <c r="CA17" s="72">
        <f>SUM(Table22[[#This Row],[Good Kernel (G M)]:[Spotted (g m)]])/1000*100</f>
        <v>27.500000000000004</v>
      </c>
      <c r="CB17" s="72">
        <f>(Table22[[#This Row],[BROWNS/Rejection (gm) (NUT)]]+Table22[[#This Row],[OIL (g m)]]+Table22[[#This Row],[Good Kernel (G M)]]+Table22[[#This Row],[Immature (g m)]]+Table22[[#This Row],[Spotted (g m)]])/1000*100</f>
        <v>32</v>
      </c>
      <c r="CC17" s="72">
        <v>9.1</v>
      </c>
      <c r="CD17" s="51">
        <v>182</v>
      </c>
      <c r="CE17" s="60">
        <v>600</v>
      </c>
      <c r="CH17" s="184">
        <f ca="1">TODAY()-Table22[[#This Row],[Discharge Date]]</f>
        <v>168</v>
      </c>
    </row>
    <row r="18" spans="1:86" x14ac:dyDescent="0.25">
      <c r="A18" s="50">
        <v>14</v>
      </c>
      <c r="B18" s="51" t="s">
        <v>95</v>
      </c>
      <c r="C18" s="52" t="s">
        <v>96</v>
      </c>
      <c r="D18" s="54">
        <v>14</v>
      </c>
      <c r="E18" s="55"/>
      <c r="F18" s="83">
        <v>864</v>
      </c>
      <c r="G18" s="54"/>
      <c r="H18" s="82">
        <v>46115</v>
      </c>
      <c r="I18" s="82"/>
      <c r="J18" s="82"/>
      <c r="K18" s="82" t="s">
        <v>634</v>
      </c>
      <c r="L18" s="54" t="s">
        <v>98</v>
      </c>
      <c r="M18" s="57">
        <v>77666</v>
      </c>
      <c r="N18" s="57" t="s">
        <v>679</v>
      </c>
      <c r="O18" s="54" t="s">
        <v>120</v>
      </c>
      <c r="P18" s="58">
        <v>46087</v>
      </c>
      <c r="Q18" s="58">
        <v>46087</v>
      </c>
      <c r="R18" s="51" t="s">
        <v>100</v>
      </c>
      <c r="S18" s="59" t="s">
        <v>101</v>
      </c>
      <c r="T18" s="51"/>
      <c r="U18" s="51"/>
      <c r="V18" s="51" t="s">
        <v>102</v>
      </c>
      <c r="W18" s="51">
        <v>488</v>
      </c>
      <c r="X18" s="51">
        <v>150</v>
      </c>
      <c r="Y18" s="60">
        <f t="shared" si="10"/>
        <v>638</v>
      </c>
      <c r="Z18" s="51">
        <v>162</v>
      </c>
      <c r="AA18" s="61">
        <f t="shared" si="17"/>
        <v>650</v>
      </c>
      <c r="AB18" s="51">
        <f t="shared" si="18"/>
        <v>162</v>
      </c>
      <c r="AC18" s="62">
        <v>488</v>
      </c>
      <c r="AD18" s="63">
        <v>0</v>
      </c>
      <c r="AE18" s="64">
        <v>12</v>
      </c>
      <c r="AF18" s="64">
        <v>162</v>
      </c>
      <c r="AG18" s="63"/>
      <c r="AH18" s="64">
        <f t="shared" si="19"/>
        <v>500</v>
      </c>
      <c r="AI18" s="62">
        <v>0</v>
      </c>
      <c r="AJ18" s="62">
        <v>0</v>
      </c>
      <c r="AK18" s="62">
        <v>500</v>
      </c>
      <c r="AL18" s="62">
        <f t="shared" si="23"/>
        <v>500</v>
      </c>
      <c r="AM18" s="65">
        <v>52400</v>
      </c>
      <c r="AN18" s="64">
        <f t="shared" si="20"/>
        <v>548</v>
      </c>
      <c r="AO18" s="77">
        <f t="shared" si="22"/>
        <v>51900</v>
      </c>
      <c r="AP18" s="77">
        <f t="shared" si="21"/>
        <v>51852</v>
      </c>
      <c r="AQ18" s="77">
        <f t="shared" si="3"/>
        <v>51852</v>
      </c>
      <c r="AR18" s="67">
        <f t="shared" si="4"/>
        <v>48</v>
      </c>
      <c r="AS18" s="68">
        <f>Table22[[#This Row],[GROSS WT]]-Table22[[#This Row],[Total Bag Discharged (Truck)]]</f>
        <v>51762</v>
      </c>
      <c r="AT18" s="67">
        <f t="shared" si="5"/>
        <v>51900</v>
      </c>
      <c r="AU18" s="69"/>
      <c r="AV18" s="70">
        <v>9.4</v>
      </c>
      <c r="AW18" s="70">
        <v>7</v>
      </c>
      <c r="AX18" s="70">
        <v>0</v>
      </c>
      <c r="AY18" s="71">
        <f t="shared" si="6"/>
        <v>16.399999999999999</v>
      </c>
      <c r="AZ18" s="70">
        <v>238</v>
      </c>
      <c r="BA18" s="70">
        <v>26</v>
      </c>
      <c r="BB18" s="70">
        <v>14</v>
      </c>
      <c r="BC18" s="63">
        <f t="shared" si="12"/>
        <v>278</v>
      </c>
      <c r="BD18" s="72">
        <f>SUM(Table22[[#This Row],[Good Kernel (gm)]]+(Table22[[#This Row],[Immature (gm)]]+Table22[[#This Row],[Spotted (gm)]])/2)*0.176</f>
        <v>45.407999999999994</v>
      </c>
      <c r="BE18" s="72">
        <v>45.4</v>
      </c>
      <c r="BF18" s="72">
        <f t="shared" si="13"/>
        <v>49.030859999999997</v>
      </c>
      <c r="BG18" s="72">
        <f t="shared" si="7"/>
        <v>50.688737999999994</v>
      </c>
      <c r="BH18" s="72">
        <f>SUM(Table22[[#This Row],[Good Kernel (gm)]:[Spotted (gm)]])/1000*100</f>
        <v>27.800000000000004</v>
      </c>
      <c r="BI18" s="72">
        <f t="shared" si="8"/>
        <v>28.74</v>
      </c>
      <c r="BJ18" s="72">
        <v>8.5</v>
      </c>
      <c r="BK18" s="51">
        <v>189</v>
      </c>
      <c r="BL18" s="73">
        <v>614</v>
      </c>
      <c r="BM18" s="70">
        <v>28</v>
      </c>
      <c r="BN18" s="74">
        <v>0.10100000000000001</v>
      </c>
      <c r="BO18" s="70">
        <v>16</v>
      </c>
      <c r="BP18" s="70">
        <v>0</v>
      </c>
      <c r="BQ18" s="71">
        <f t="shared" si="9"/>
        <v>44</v>
      </c>
      <c r="BR18" s="70">
        <v>244</v>
      </c>
      <c r="BS18" s="70">
        <v>20</v>
      </c>
      <c r="BT18" s="70">
        <v>10</v>
      </c>
      <c r="BU18" s="63">
        <f t="shared" si="14"/>
        <v>274</v>
      </c>
      <c r="BV18" s="72">
        <f>SUM(Table22[[#This Row],[Good Kernel (G M)]]+(Table22[[#This Row],[Immature (g m)]]+Table22[[#This Row],[Spotted (g m)]])/2)*0.176</f>
        <v>45.583999999999996</v>
      </c>
      <c r="BW18" s="72">
        <v>45.58</v>
      </c>
      <c r="BX18" s="72"/>
      <c r="BY18" s="72">
        <f t="shared" si="15"/>
        <v>48.325380000000003</v>
      </c>
      <c r="BZ18" s="72">
        <f t="shared" si="16"/>
        <v>53.263739999999999</v>
      </c>
      <c r="CA18" s="72">
        <f>SUM(Table22[[#This Row],[Good Kernel (G M)]:[Spotted (g m)]])/1000*100</f>
        <v>27.400000000000002</v>
      </c>
      <c r="CB18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18" s="72">
        <v>8.6</v>
      </c>
      <c r="CD18" s="51">
        <v>190</v>
      </c>
      <c r="CE18" s="60">
        <v>604</v>
      </c>
      <c r="CH18" s="184">
        <f ca="1">TODAY()-Table22[[#This Row],[Discharge Date]]</f>
        <v>168</v>
      </c>
    </row>
    <row r="19" spans="1:86" x14ac:dyDescent="0.25">
      <c r="A19" s="50">
        <v>15</v>
      </c>
      <c r="B19" s="51" t="s">
        <v>95</v>
      </c>
      <c r="C19" s="52" t="s">
        <v>96</v>
      </c>
      <c r="D19" s="54">
        <v>15</v>
      </c>
      <c r="E19" s="85"/>
      <c r="F19" s="86">
        <v>865</v>
      </c>
      <c r="G19" s="54"/>
      <c r="H19" s="54" t="s">
        <v>121</v>
      </c>
      <c r="I19" s="54"/>
      <c r="J19" s="54"/>
      <c r="K19" s="54" t="s">
        <v>634</v>
      </c>
      <c r="L19" s="54" t="s">
        <v>98</v>
      </c>
      <c r="M19" s="57">
        <v>68686</v>
      </c>
      <c r="N19" s="57" t="s">
        <v>676</v>
      </c>
      <c r="O19" s="54" t="s">
        <v>122</v>
      </c>
      <c r="P19" s="58">
        <v>46088</v>
      </c>
      <c r="Q19" s="58">
        <v>46088</v>
      </c>
      <c r="R19" s="51" t="s">
        <v>100</v>
      </c>
      <c r="S19" s="59" t="s">
        <v>101</v>
      </c>
      <c r="T19" s="51"/>
      <c r="U19" s="51"/>
      <c r="V19" s="51" t="s">
        <v>102</v>
      </c>
      <c r="W19" s="51">
        <v>583</v>
      </c>
      <c r="X19" s="51">
        <v>50</v>
      </c>
      <c r="Y19" s="60">
        <f t="shared" si="10"/>
        <v>633</v>
      </c>
      <c r="Z19" s="51">
        <v>83</v>
      </c>
      <c r="AA19" s="61">
        <f t="shared" si="17"/>
        <v>666</v>
      </c>
      <c r="AB19" s="51">
        <f t="shared" si="18"/>
        <v>83</v>
      </c>
      <c r="AC19" s="62">
        <v>583</v>
      </c>
      <c r="AD19" s="63">
        <v>0</v>
      </c>
      <c r="AE19" s="64">
        <v>15</v>
      </c>
      <c r="AF19" s="64">
        <v>83</v>
      </c>
      <c r="AG19" s="63"/>
      <c r="AH19" s="64">
        <f t="shared" si="19"/>
        <v>598</v>
      </c>
      <c r="AI19" s="62">
        <v>0</v>
      </c>
      <c r="AJ19" s="62">
        <v>0</v>
      </c>
      <c r="AK19" s="62">
        <v>598</v>
      </c>
      <c r="AL19" s="62">
        <f t="shared" si="23"/>
        <v>598</v>
      </c>
      <c r="AM19" s="67">
        <v>49620</v>
      </c>
      <c r="AN19" s="64">
        <f t="shared" si="20"/>
        <v>658</v>
      </c>
      <c r="AO19" s="77">
        <f t="shared" si="22"/>
        <v>49022</v>
      </c>
      <c r="AP19" s="77">
        <f t="shared" si="21"/>
        <v>48962</v>
      </c>
      <c r="AQ19" s="77">
        <f t="shared" si="3"/>
        <v>48962</v>
      </c>
      <c r="AR19" s="67">
        <f t="shared" si="4"/>
        <v>60</v>
      </c>
      <c r="AS19" s="68">
        <f>Table22[[#This Row],[GROSS WT]]-Table22[[#This Row],[Total Bag Discharged (Truck)]]</f>
        <v>48987</v>
      </c>
      <c r="AT19" s="67">
        <f t="shared" si="5"/>
        <v>49022</v>
      </c>
      <c r="AU19" s="69"/>
      <c r="AV19" s="70">
        <v>9.8000000000000007</v>
      </c>
      <c r="AW19" s="70">
        <v>9</v>
      </c>
      <c r="AX19" s="70">
        <v>0</v>
      </c>
      <c r="AY19" s="71">
        <f t="shared" si="6"/>
        <v>18.8</v>
      </c>
      <c r="AZ19" s="70">
        <v>247</v>
      </c>
      <c r="BA19" s="70">
        <v>20</v>
      </c>
      <c r="BB19" s="70">
        <v>6</v>
      </c>
      <c r="BC19" s="63">
        <f t="shared" si="12"/>
        <v>273</v>
      </c>
      <c r="BD19" s="72">
        <f>SUM(Table22[[#This Row],[Good Kernel (gm)]]+(Table22[[#This Row],[Immature (gm)]]+Table22[[#This Row],[Spotted (gm)]])/2)*0.176</f>
        <v>45.76</v>
      </c>
      <c r="BE19" s="72">
        <v>45.76</v>
      </c>
      <c r="BF19" s="72">
        <f t="shared" si="13"/>
        <v>48.149009999999997</v>
      </c>
      <c r="BG19" s="72">
        <f t="shared" si="7"/>
        <v>49.877436000000003</v>
      </c>
      <c r="BH19" s="72">
        <f>SUM(Table22[[#This Row],[Good Kernel (gm)]:[Spotted (gm)]])/1000*100</f>
        <v>27.3</v>
      </c>
      <c r="BI19" s="72">
        <f t="shared" si="8"/>
        <v>28.28</v>
      </c>
      <c r="BJ19" s="72">
        <v>9.4</v>
      </c>
      <c r="BK19" s="51">
        <v>187</v>
      </c>
      <c r="BL19" s="73">
        <v>615</v>
      </c>
      <c r="BM19" s="70">
        <v>8.6999999999999993</v>
      </c>
      <c r="BN19" s="74">
        <v>8.6999999999999994E-2</v>
      </c>
      <c r="BO19" s="70">
        <v>17</v>
      </c>
      <c r="BP19" s="70">
        <v>0</v>
      </c>
      <c r="BQ19" s="71">
        <f t="shared" si="9"/>
        <v>25.7</v>
      </c>
      <c r="BR19" s="70">
        <v>245</v>
      </c>
      <c r="BS19" s="70">
        <v>28</v>
      </c>
      <c r="BT19" s="70">
        <v>8</v>
      </c>
      <c r="BU19" s="63">
        <f t="shared" si="14"/>
        <v>281</v>
      </c>
      <c r="BV19" s="72">
        <f>SUM(Table22[[#This Row],[Good Kernel (G M)]]+(Table22[[#This Row],[Immature (g m)]]+Table22[[#This Row],[Spotted (g m)]])/2)*0.176</f>
        <v>46.287999999999997</v>
      </c>
      <c r="BW19" s="72">
        <v>46.11</v>
      </c>
      <c r="BX19" s="72"/>
      <c r="BY19" s="72">
        <f t="shared" si="15"/>
        <v>49.55997</v>
      </c>
      <c r="BZ19" s="72">
        <f t="shared" si="16"/>
        <v>51.094389</v>
      </c>
      <c r="CA19" s="72">
        <f>SUM(Table22[[#This Row],[Good Kernel (G M)]:[Spotted (g m)]])/1000*100</f>
        <v>28.1</v>
      </c>
      <c r="CB19" s="72">
        <f>(Table22[[#This Row],[BROWNS/Rejection (gm) (NUT)]]+Table22[[#This Row],[OIL (g m)]]+Table22[[#This Row],[Good Kernel (G M)]]+Table22[[#This Row],[Immature (g m)]]+Table22[[#This Row],[Spotted (g m)]])/1000*100</f>
        <v>28.970000000000002</v>
      </c>
      <c r="CC19" s="72">
        <v>9.1999999999999993</v>
      </c>
      <c r="CD19" s="51">
        <v>185</v>
      </c>
      <c r="CE19" s="60">
        <v>610</v>
      </c>
      <c r="CF19" s="56">
        <v>20</v>
      </c>
      <c r="CG19" s="56">
        <v>677</v>
      </c>
      <c r="CH19" s="184">
        <f ca="1">TODAY()-Table22[[#This Row],[Discharge Date]]</f>
        <v>167</v>
      </c>
    </row>
    <row r="20" spans="1:86" x14ac:dyDescent="0.25">
      <c r="A20" s="50">
        <v>16</v>
      </c>
      <c r="B20" s="51" t="s">
        <v>95</v>
      </c>
      <c r="C20" s="52" t="s">
        <v>96</v>
      </c>
      <c r="D20" s="54">
        <v>16</v>
      </c>
      <c r="E20" s="85"/>
      <c r="F20" s="86">
        <v>866</v>
      </c>
      <c r="G20" s="54"/>
      <c r="H20" s="82">
        <v>46206</v>
      </c>
      <c r="I20" s="82"/>
      <c r="J20" s="82"/>
      <c r="K20" s="82" t="s">
        <v>634</v>
      </c>
      <c r="L20" s="54" t="s">
        <v>98</v>
      </c>
      <c r="M20" s="57">
        <v>77678</v>
      </c>
      <c r="N20" s="216" t="s">
        <v>676</v>
      </c>
      <c r="O20" s="87" t="s">
        <v>123</v>
      </c>
      <c r="P20" s="58">
        <v>46089</v>
      </c>
      <c r="Q20" s="58">
        <v>46089</v>
      </c>
      <c r="R20" s="51" t="s">
        <v>100</v>
      </c>
      <c r="S20" s="59" t="s">
        <v>101</v>
      </c>
      <c r="T20" s="51"/>
      <c r="U20" s="51"/>
      <c r="V20" s="51" t="s">
        <v>102</v>
      </c>
      <c r="W20" s="51">
        <v>497</v>
      </c>
      <c r="X20" s="51">
        <v>24</v>
      </c>
      <c r="Y20" s="60">
        <f t="shared" si="10"/>
        <v>521</v>
      </c>
      <c r="Z20" s="51">
        <v>43</v>
      </c>
      <c r="AA20" s="61">
        <f t="shared" si="17"/>
        <v>540</v>
      </c>
      <c r="AB20" s="51">
        <f t="shared" si="18"/>
        <v>43</v>
      </c>
      <c r="AC20" s="62">
        <v>501</v>
      </c>
      <c r="AD20" s="63">
        <v>0</v>
      </c>
      <c r="AE20" s="64">
        <v>20</v>
      </c>
      <c r="AF20" s="64">
        <v>43</v>
      </c>
      <c r="AG20" s="63"/>
      <c r="AH20" s="64">
        <f t="shared" si="19"/>
        <v>521</v>
      </c>
      <c r="AI20" s="62">
        <v>0</v>
      </c>
      <c r="AJ20" s="62">
        <v>0</v>
      </c>
      <c r="AK20" s="62">
        <v>521</v>
      </c>
      <c r="AL20" s="62">
        <f t="shared" si="23"/>
        <v>521</v>
      </c>
      <c r="AM20" s="65">
        <v>41800</v>
      </c>
      <c r="AN20" s="64">
        <f t="shared" si="20"/>
        <v>601</v>
      </c>
      <c r="AO20" s="77">
        <f t="shared" si="22"/>
        <v>41279</v>
      </c>
      <c r="AP20" s="77">
        <f t="shared" si="21"/>
        <v>41199</v>
      </c>
      <c r="AQ20" s="77">
        <f t="shared" si="3"/>
        <v>41199</v>
      </c>
      <c r="AR20" s="67">
        <f t="shared" si="4"/>
        <v>80</v>
      </c>
      <c r="AS20" s="68">
        <f>Table22[[#This Row],[GROSS WT]]-Table22[[#This Row],[Total Bag Discharged (Truck)]]</f>
        <v>41279</v>
      </c>
      <c r="AT20" s="67">
        <f t="shared" si="5"/>
        <v>41279</v>
      </c>
      <c r="AU20" s="69"/>
      <c r="AV20" s="70">
        <v>8.9</v>
      </c>
      <c r="AW20" s="70">
        <v>4</v>
      </c>
      <c r="AX20" s="70">
        <v>0</v>
      </c>
      <c r="AY20" s="71">
        <f t="shared" si="6"/>
        <v>12.9</v>
      </c>
      <c r="AZ20" s="70">
        <v>252</v>
      </c>
      <c r="BA20" s="70">
        <v>20</v>
      </c>
      <c r="BB20" s="70">
        <v>8</v>
      </c>
      <c r="BC20" s="63">
        <f t="shared" si="12"/>
        <v>280</v>
      </c>
      <c r="BD20" s="72">
        <f>SUM(Table22[[#This Row],[Good Kernel (gm)]]+(Table22[[#This Row],[Immature (gm)]]+Table22[[#This Row],[Spotted (gm)]])/2)*0.176</f>
        <v>46.815999999999995</v>
      </c>
      <c r="BE20" s="72">
        <v>46.81</v>
      </c>
      <c r="BF20" s="72">
        <f t="shared" si="13"/>
        <v>49.383600000000001</v>
      </c>
      <c r="BG20" s="72">
        <f t="shared" si="7"/>
        <v>50.953292999999995</v>
      </c>
      <c r="BH20" s="72">
        <f>SUM(Table22[[#This Row],[Good Kernel (gm)]:[Spotted (gm)]])/1000*100</f>
        <v>28.000000000000004</v>
      </c>
      <c r="BI20" s="72">
        <f t="shared" si="8"/>
        <v>28.89</v>
      </c>
      <c r="BJ20" s="72">
        <v>9.6999999999999993</v>
      </c>
      <c r="BK20" s="51">
        <v>182</v>
      </c>
      <c r="BL20" s="73">
        <v>621</v>
      </c>
      <c r="BM20" s="70">
        <v>9.8000000000000007</v>
      </c>
      <c r="BN20" s="74">
        <v>9.8000000000000004E-2</v>
      </c>
      <c r="BO20" s="70">
        <v>0</v>
      </c>
      <c r="BP20" s="70">
        <v>0</v>
      </c>
      <c r="BQ20" s="71">
        <f t="shared" si="9"/>
        <v>9.8000000000000007</v>
      </c>
      <c r="BR20" s="70">
        <v>247</v>
      </c>
      <c r="BS20" s="70">
        <v>26</v>
      </c>
      <c r="BT20" s="70">
        <v>8</v>
      </c>
      <c r="BU20" s="63">
        <f t="shared" si="14"/>
        <v>281</v>
      </c>
      <c r="BV20" s="72">
        <f>SUM(Table22[[#This Row],[Good Kernel (G M)]]+(Table22[[#This Row],[Immature (g m)]]+Table22[[#This Row],[Spotted (g m)]])/2)*0.176</f>
        <v>46.463999999999999</v>
      </c>
      <c r="BW20" s="72">
        <v>46.46</v>
      </c>
      <c r="BX20" s="72"/>
      <c r="BY20" s="72">
        <f t="shared" si="15"/>
        <v>49.55997</v>
      </c>
      <c r="BZ20" s="72">
        <f t="shared" si="16"/>
        <v>51.288395999999999</v>
      </c>
      <c r="CA20" s="72">
        <f>SUM(Table22[[#This Row],[Good Kernel (G M)]:[Spotted (g m)]])/1000*100</f>
        <v>28.1</v>
      </c>
      <c r="CB20" s="72">
        <f>(Table22[[#This Row],[BROWNS/Rejection (gm) (NUT)]]+Table22[[#This Row],[OIL (g m)]]+Table22[[#This Row],[Good Kernel (G M)]]+Table22[[#This Row],[Immature (g m)]]+Table22[[#This Row],[Spotted (g m)]])/1000*100</f>
        <v>29.080000000000002</v>
      </c>
      <c r="CC20" s="72">
        <v>9.9</v>
      </c>
      <c r="CD20" s="51">
        <v>189</v>
      </c>
      <c r="CE20" s="60">
        <v>617</v>
      </c>
      <c r="CF20" s="56">
        <v>19</v>
      </c>
      <c r="CG20" s="56">
        <v>696</v>
      </c>
      <c r="CH20" s="184">
        <f ca="1">TODAY()-Table22[[#This Row],[Discharge Date]]</f>
        <v>166</v>
      </c>
    </row>
    <row r="21" spans="1:86" ht="28.95" customHeight="1" x14ac:dyDescent="0.25">
      <c r="A21" s="50">
        <v>17</v>
      </c>
      <c r="B21" s="51" t="s">
        <v>95</v>
      </c>
      <c r="C21" s="52" t="s">
        <v>96</v>
      </c>
      <c r="D21" s="54">
        <v>17</v>
      </c>
      <c r="E21" s="85"/>
      <c r="F21" s="86">
        <v>867</v>
      </c>
      <c r="G21" s="54"/>
      <c r="H21" s="82">
        <v>46237</v>
      </c>
      <c r="I21" s="82"/>
      <c r="J21" s="82"/>
      <c r="K21" s="82" t="s">
        <v>634</v>
      </c>
      <c r="L21" s="54" t="s">
        <v>98</v>
      </c>
      <c r="M21" s="57">
        <v>77581</v>
      </c>
      <c r="N21" s="57" t="s">
        <v>676</v>
      </c>
      <c r="O21" s="54" t="s">
        <v>113</v>
      </c>
      <c r="P21" s="58">
        <v>46090</v>
      </c>
      <c r="Q21" s="58">
        <v>46090</v>
      </c>
      <c r="R21" s="51" t="s">
        <v>100</v>
      </c>
      <c r="S21" s="59" t="s">
        <v>107</v>
      </c>
      <c r="T21" s="51"/>
      <c r="U21" s="51"/>
      <c r="V21" s="51" t="s">
        <v>108</v>
      </c>
      <c r="W21" s="51">
        <v>529</v>
      </c>
      <c r="X21" s="51">
        <v>75</v>
      </c>
      <c r="Y21" s="60">
        <f t="shared" si="10"/>
        <v>604</v>
      </c>
      <c r="Z21" s="51">
        <v>81</v>
      </c>
      <c r="AA21" s="61">
        <f t="shared" si="17"/>
        <v>610</v>
      </c>
      <c r="AB21" s="51">
        <f t="shared" si="18"/>
        <v>81</v>
      </c>
      <c r="AC21" s="88">
        <v>584</v>
      </c>
      <c r="AD21" s="63">
        <v>0</v>
      </c>
      <c r="AE21" s="63">
        <v>20</v>
      </c>
      <c r="AF21" s="63">
        <v>81</v>
      </c>
      <c r="AG21" s="63"/>
      <c r="AH21" s="64">
        <f t="shared" si="19"/>
        <v>604</v>
      </c>
      <c r="AI21" s="62">
        <v>0</v>
      </c>
      <c r="AJ21" s="62">
        <v>0</v>
      </c>
      <c r="AK21" s="62">
        <v>604</v>
      </c>
      <c r="AL21" s="62">
        <f t="shared" si="23"/>
        <v>604</v>
      </c>
      <c r="AM21" s="67">
        <v>45400</v>
      </c>
      <c r="AN21" s="64">
        <f t="shared" si="20"/>
        <v>684</v>
      </c>
      <c r="AO21" s="77">
        <f t="shared" si="22"/>
        <v>44796</v>
      </c>
      <c r="AP21" s="77">
        <f t="shared" si="21"/>
        <v>44716</v>
      </c>
      <c r="AQ21" s="77">
        <f t="shared" si="3"/>
        <v>44716</v>
      </c>
      <c r="AR21" s="67">
        <f t="shared" si="4"/>
        <v>80</v>
      </c>
      <c r="AS21" s="68">
        <f>Table22[[#This Row],[GROSS WT]]-Table22[[#This Row],[Total Bag Discharged (Truck)]]</f>
        <v>44796</v>
      </c>
      <c r="AT21" s="67">
        <f t="shared" si="5"/>
        <v>44796</v>
      </c>
      <c r="AU21" s="69"/>
      <c r="AV21" s="70">
        <v>9.6999999999999993</v>
      </c>
      <c r="AW21" s="70">
        <v>4</v>
      </c>
      <c r="AX21" s="70">
        <v>5</v>
      </c>
      <c r="AY21" s="71">
        <f t="shared" si="6"/>
        <v>18.7</v>
      </c>
      <c r="AZ21" s="70">
        <v>242</v>
      </c>
      <c r="BA21" s="70">
        <v>26</v>
      </c>
      <c r="BB21" s="70">
        <v>6</v>
      </c>
      <c r="BC21" s="63">
        <f t="shared" si="12"/>
        <v>274</v>
      </c>
      <c r="BD21" s="72">
        <f>SUM(Table22[[#This Row],[Good Kernel (gm)]]+(Table22[[#This Row],[Immature (gm)]]+Table22[[#This Row],[Spotted (gm)]])/2)*0.176</f>
        <v>45.407999999999994</v>
      </c>
      <c r="BE21" s="72">
        <v>45.4</v>
      </c>
      <c r="BF21" s="72">
        <f t="shared" si="13"/>
        <v>48.325380000000003</v>
      </c>
      <c r="BG21" s="72">
        <f t="shared" si="7"/>
        <v>50.918019000000001</v>
      </c>
      <c r="BH21" s="72">
        <f>SUM(Table22[[#This Row],[Good Kernel (gm)]:[Spotted (gm)]])/1000*100</f>
        <v>27.400000000000002</v>
      </c>
      <c r="BI21" s="72">
        <f t="shared" si="8"/>
        <v>28.87</v>
      </c>
      <c r="BJ21" s="72">
        <v>11.3</v>
      </c>
      <c r="BK21" s="51">
        <v>178</v>
      </c>
      <c r="BL21" s="73">
        <v>615</v>
      </c>
      <c r="BM21" s="70">
        <v>8.6</v>
      </c>
      <c r="BN21" s="74">
        <v>8.5999999999999993E-2</v>
      </c>
      <c r="BO21" s="70">
        <v>10</v>
      </c>
      <c r="BP21" s="70">
        <v>7</v>
      </c>
      <c r="BQ21" s="71">
        <f t="shared" si="9"/>
        <v>25.6</v>
      </c>
      <c r="BR21" s="70">
        <v>253</v>
      </c>
      <c r="BS21" s="70">
        <v>20</v>
      </c>
      <c r="BT21" s="70">
        <v>8</v>
      </c>
      <c r="BU21" s="63">
        <f t="shared" si="14"/>
        <v>281</v>
      </c>
      <c r="BV21" s="72">
        <f>SUM(Table22[[#This Row],[Good Kernel (G M)]]+(Table22[[#This Row],[Immature (g m)]]+Table22[[#This Row],[Spotted (g m)]])/2)*0.176</f>
        <v>46.991999999999997</v>
      </c>
      <c r="BW21" s="72">
        <v>46.99</v>
      </c>
      <c r="BX21" s="72"/>
      <c r="BY21" s="72">
        <f t="shared" si="15"/>
        <v>49.55997</v>
      </c>
      <c r="BZ21" s="72">
        <f t="shared" si="16"/>
        <v>52.311342000000003</v>
      </c>
      <c r="CA21" s="72">
        <f>SUM(Table22[[#This Row],[Good Kernel (G M)]:[Spotted (g m)]])/1000*100</f>
        <v>28.1</v>
      </c>
      <c r="CB21" s="72">
        <f>(Table22[[#This Row],[BROWNS/Rejection (gm) (NUT)]]+Table22[[#This Row],[OIL (g m)]]+Table22[[#This Row],[Good Kernel (G M)]]+Table22[[#This Row],[Immature (g m)]]+Table22[[#This Row],[Spotted (g m)]])/1000*100</f>
        <v>29.660000000000004</v>
      </c>
      <c r="CC21" s="72">
        <v>11.2</v>
      </c>
      <c r="CD21" s="51">
        <v>181</v>
      </c>
      <c r="CE21" s="60">
        <v>609</v>
      </c>
      <c r="CF21" s="56">
        <v>22</v>
      </c>
      <c r="CG21" s="56">
        <v>675</v>
      </c>
      <c r="CH21" s="184">
        <f ca="1">TODAY()-Table22[[#This Row],[Discharge Date]]</f>
        <v>165</v>
      </c>
    </row>
    <row r="22" spans="1:86" ht="28.95" customHeight="1" x14ac:dyDescent="0.25">
      <c r="A22" s="50">
        <v>18</v>
      </c>
      <c r="B22" s="51" t="s">
        <v>95</v>
      </c>
      <c r="C22" s="52" t="s">
        <v>96</v>
      </c>
      <c r="D22" s="54">
        <v>18</v>
      </c>
      <c r="E22" s="85"/>
      <c r="F22" s="86">
        <v>868</v>
      </c>
      <c r="G22" s="54"/>
      <c r="H22" s="82">
        <v>46237</v>
      </c>
      <c r="I22" s="82"/>
      <c r="J22" s="82"/>
      <c r="K22" s="82" t="s">
        <v>634</v>
      </c>
      <c r="L22" s="54" t="s">
        <v>98</v>
      </c>
      <c r="M22" s="57">
        <v>68685</v>
      </c>
      <c r="N22" s="57" t="s">
        <v>676</v>
      </c>
      <c r="O22" s="54" t="s">
        <v>120</v>
      </c>
      <c r="P22" s="58">
        <v>46090</v>
      </c>
      <c r="Q22" s="58">
        <v>46090</v>
      </c>
      <c r="R22" s="51" t="s">
        <v>100</v>
      </c>
      <c r="S22" s="59" t="s">
        <v>101</v>
      </c>
      <c r="T22" s="51"/>
      <c r="U22" s="51"/>
      <c r="V22" s="51" t="s">
        <v>102</v>
      </c>
      <c r="W22" s="51">
        <v>560</v>
      </c>
      <c r="X22" s="51">
        <v>54</v>
      </c>
      <c r="Y22" s="60">
        <f t="shared" si="10"/>
        <v>614</v>
      </c>
      <c r="Z22" s="51">
        <v>93</v>
      </c>
      <c r="AA22" s="61">
        <f t="shared" si="17"/>
        <v>653</v>
      </c>
      <c r="AB22" s="51">
        <f t="shared" si="18"/>
        <v>93</v>
      </c>
      <c r="AC22" s="89">
        <v>596</v>
      </c>
      <c r="AD22" s="63">
        <v>0</v>
      </c>
      <c r="AE22" s="63">
        <v>18</v>
      </c>
      <c r="AF22" s="63">
        <v>93</v>
      </c>
      <c r="AG22" s="63"/>
      <c r="AH22" s="64">
        <f t="shared" si="19"/>
        <v>614</v>
      </c>
      <c r="AI22" s="62">
        <v>0</v>
      </c>
      <c r="AJ22" s="62">
        <v>0</v>
      </c>
      <c r="AK22" s="62">
        <v>614</v>
      </c>
      <c r="AL22" s="62">
        <f t="shared" si="23"/>
        <v>614</v>
      </c>
      <c r="AM22" s="65">
        <v>51260</v>
      </c>
      <c r="AN22" s="64">
        <f>(AD22*40)+(AE22*4)+(AG22*0)+(AH22*1)</f>
        <v>686</v>
      </c>
      <c r="AO22" s="77">
        <f t="shared" si="22"/>
        <v>50646</v>
      </c>
      <c r="AP22" s="77">
        <f t="shared" si="21"/>
        <v>50574</v>
      </c>
      <c r="AQ22" s="77">
        <f>+AO22-AE22*4</f>
        <v>50574</v>
      </c>
      <c r="AR22" s="67">
        <f t="shared" si="4"/>
        <v>72</v>
      </c>
      <c r="AS22" s="68">
        <f>Table22[[#This Row],[GROSS WT]]-Table22[[#This Row],[Total Bag Discharged (Truck)]]</f>
        <v>50646</v>
      </c>
      <c r="AT22" s="67">
        <f t="shared" si="5"/>
        <v>50646</v>
      </c>
      <c r="AU22" s="69"/>
      <c r="AV22" s="70">
        <v>9.5</v>
      </c>
      <c r="AW22" s="70">
        <v>21</v>
      </c>
      <c r="AX22" s="70">
        <v>8</v>
      </c>
      <c r="AY22" s="71">
        <f t="shared" si="6"/>
        <v>38.5</v>
      </c>
      <c r="AZ22" s="70">
        <v>248</v>
      </c>
      <c r="BA22" s="70">
        <v>16</v>
      </c>
      <c r="BB22" s="70">
        <v>10</v>
      </c>
      <c r="BC22" s="63">
        <f t="shared" si="12"/>
        <v>274</v>
      </c>
      <c r="BD22" s="72">
        <f>SUM(Table22[[#This Row],[Good Kernel (gm)]]+(Table22[[#This Row],[Immature (gm)]]+Table22[[#This Row],[Spotted (gm)]])/2)*0.176</f>
        <v>45.936</v>
      </c>
      <c r="BE22" s="72">
        <v>45.93</v>
      </c>
      <c r="BF22" s="72">
        <f t="shared" si="13"/>
        <v>48.325380000000003</v>
      </c>
      <c r="BG22" s="72">
        <f t="shared" si="7"/>
        <v>51.411855000000003</v>
      </c>
      <c r="BH22" s="72">
        <f>SUM(Table22[[#This Row],[Good Kernel (gm)]:[Spotted (gm)]])/1000*100</f>
        <v>27.400000000000002</v>
      </c>
      <c r="BI22" s="72">
        <f t="shared" si="8"/>
        <v>29.15</v>
      </c>
      <c r="BJ22" s="72">
        <v>10.4</v>
      </c>
      <c r="BK22" s="51">
        <v>185</v>
      </c>
      <c r="BL22" s="73">
        <v>596</v>
      </c>
      <c r="BM22" s="70">
        <v>9.1</v>
      </c>
      <c r="BN22" s="74">
        <v>9.0999999999999998E-2</v>
      </c>
      <c r="BO22" s="70">
        <v>8</v>
      </c>
      <c r="BP22" s="70">
        <v>0</v>
      </c>
      <c r="BQ22" s="71">
        <f t="shared" si="9"/>
        <v>17.100000000000001</v>
      </c>
      <c r="BR22" s="70">
        <v>248</v>
      </c>
      <c r="BS22" s="70">
        <v>22</v>
      </c>
      <c r="BT22" s="70">
        <v>12</v>
      </c>
      <c r="BU22" s="63">
        <f t="shared" si="14"/>
        <v>282</v>
      </c>
      <c r="BV22" s="72">
        <f>SUM(Table22[[#This Row],[Good Kernel (G M)]]+(Table22[[#This Row],[Immature (g m)]]+Table22[[#This Row],[Spotted (g m)]])/2)*0.176</f>
        <v>46.64</v>
      </c>
      <c r="BW22" s="72">
        <v>46.64</v>
      </c>
      <c r="BX22" s="72"/>
      <c r="BY22" s="72">
        <f t="shared" si="15"/>
        <v>49.736339999999998</v>
      </c>
      <c r="BZ22" s="72">
        <f t="shared" si="16"/>
        <v>51.341307</v>
      </c>
      <c r="CA22" s="72">
        <f>SUM(Table22[[#This Row],[Good Kernel (G M)]:[Spotted (g m)]])/1000*100</f>
        <v>28.199999999999996</v>
      </c>
      <c r="CB22" s="72">
        <f>(Table22[[#This Row],[BROWNS/Rejection (gm) (NUT)]]+Table22[[#This Row],[OIL (g m)]]+Table22[[#This Row],[Good Kernel (G M)]]+Table22[[#This Row],[Immature (g m)]]+Table22[[#This Row],[Spotted (g m)]])/1000*100</f>
        <v>29.110000000000003</v>
      </c>
      <c r="CC22" s="72">
        <v>10.3</v>
      </c>
      <c r="CD22" s="51">
        <v>177</v>
      </c>
      <c r="CE22" s="60">
        <v>614</v>
      </c>
      <c r="CF22" s="56">
        <v>19</v>
      </c>
      <c r="CG22" s="56">
        <v>687</v>
      </c>
      <c r="CH22" s="184">
        <f ca="1">TODAY()-Table22[[#This Row],[Discharge Date]]</f>
        <v>165</v>
      </c>
    </row>
    <row r="23" spans="1:86" x14ac:dyDescent="0.25">
      <c r="A23" s="50">
        <v>19</v>
      </c>
      <c r="B23" s="51" t="s">
        <v>95</v>
      </c>
      <c r="C23" s="52" t="s">
        <v>96</v>
      </c>
      <c r="D23" s="54">
        <v>19</v>
      </c>
      <c r="E23" s="85"/>
      <c r="F23" s="86">
        <v>869</v>
      </c>
      <c r="G23" s="54"/>
      <c r="H23" s="82">
        <v>46237</v>
      </c>
      <c r="I23" s="82"/>
      <c r="J23" s="82"/>
      <c r="K23" s="82" t="s">
        <v>634</v>
      </c>
      <c r="L23" s="54" t="s">
        <v>98</v>
      </c>
      <c r="M23" s="57">
        <v>66643</v>
      </c>
      <c r="N23" s="57" t="s">
        <v>678</v>
      </c>
      <c r="O23" s="54" t="s">
        <v>124</v>
      </c>
      <c r="P23" s="58">
        <v>46090</v>
      </c>
      <c r="Q23" s="58">
        <v>46090</v>
      </c>
      <c r="R23" s="51" t="s">
        <v>100</v>
      </c>
      <c r="S23" s="59" t="s">
        <v>101</v>
      </c>
      <c r="T23" s="51"/>
      <c r="U23" s="51"/>
      <c r="V23" s="51" t="s">
        <v>102</v>
      </c>
      <c r="W23" s="51">
        <v>545</v>
      </c>
      <c r="X23" s="51">
        <v>220</v>
      </c>
      <c r="Y23" s="60">
        <f t="shared" si="10"/>
        <v>765</v>
      </c>
      <c r="Z23" s="51">
        <v>199</v>
      </c>
      <c r="AA23" s="61">
        <f t="shared" si="17"/>
        <v>744</v>
      </c>
      <c r="AB23" s="51">
        <f t="shared" si="18"/>
        <v>199</v>
      </c>
      <c r="AC23" s="89">
        <v>747</v>
      </c>
      <c r="AD23" s="63">
        <v>0</v>
      </c>
      <c r="AE23" s="63">
        <v>18</v>
      </c>
      <c r="AF23" s="63">
        <v>199</v>
      </c>
      <c r="AG23" s="63"/>
      <c r="AH23" s="64">
        <v>765</v>
      </c>
      <c r="AI23" s="62">
        <v>0</v>
      </c>
      <c r="AJ23" s="62">
        <v>0</v>
      </c>
      <c r="AK23" s="62">
        <v>765</v>
      </c>
      <c r="AL23" s="62">
        <f t="shared" si="23"/>
        <v>765</v>
      </c>
      <c r="AM23" s="65">
        <v>52860</v>
      </c>
      <c r="AN23" s="64">
        <f t="shared" ref="AN23:AN86" si="24">(AD23*40)+(AE23*4)+(AG23*0)+(AH23*1)</f>
        <v>837</v>
      </c>
      <c r="AO23" s="77">
        <f t="shared" si="22"/>
        <v>52095</v>
      </c>
      <c r="AP23" s="77">
        <f t="shared" si="21"/>
        <v>52023</v>
      </c>
      <c r="AQ23" s="77">
        <f t="shared" ref="AQ23:AQ86" si="25">+AO23-AE23*4</f>
        <v>52023</v>
      </c>
      <c r="AR23" s="67">
        <f t="shared" si="4"/>
        <v>72</v>
      </c>
      <c r="AS23" s="68">
        <f>Table22[[#This Row],[GROSS WT]]-Table22[[#This Row],[Total Bag Discharged (Truck)]]</f>
        <v>52095</v>
      </c>
      <c r="AT23" s="67">
        <f t="shared" si="5"/>
        <v>52095</v>
      </c>
      <c r="AU23" s="69"/>
      <c r="AV23" s="70">
        <v>8.8000000000000007</v>
      </c>
      <c r="AW23" s="70">
        <v>0</v>
      </c>
      <c r="AX23" s="70">
        <v>6</v>
      </c>
      <c r="AY23" s="71">
        <f t="shared" si="6"/>
        <v>14.8</v>
      </c>
      <c r="AZ23" s="70">
        <v>246</v>
      </c>
      <c r="BA23" s="70">
        <v>18</v>
      </c>
      <c r="BB23" s="70">
        <v>8</v>
      </c>
      <c r="BC23" s="63">
        <f t="shared" si="12"/>
        <v>272</v>
      </c>
      <c r="BD23" s="72">
        <f>SUM(Table22[[#This Row],[Good Kernel (gm)]]+(Table22[[#This Row],[Immature (gm)]]+Table22[[#This Row],[Spotted (gm)]])/2)*0.176</f>
        <v>45.583999999999996</v>
      </c>
      <c r="BE23" s="72">
        <v>45.58</v>
      </c>
      <c r="BF23" s="72">
        <f t="shared" si="13"/>
        <v>47.972639999999998</v>
      </c>
      <c r="BG23" s="72">
        <f t="shared" si="7"/>
        <v>50.582916000000004</v>
      </c>
      <c r="BH23" s="72">
        <f>SUM(Table22[[#This Row],[Good Kernel (gm)]:[Spotted (gm)]])/1000*100</f>
        <v>27.200000000000003</v>
      </c>
      <c r="BI23" s="72">
        <f t="shared" si="8"/>
        <v>28.68</v>
      </c>
      <c r="BJ23" s="72">
        <v>10.8</v>
      </c>
      <c r="BK23" s="51">
        <v>186</v>
      </c>
      <c r="BL23" s="73">
        <v>627</v>
      </c>
      <c r="BM23" s="70">
        <v>10.5</v>
      </c>
      <c r="BN23" s="74">
        <v>0.105</v>
      </c>
      <c r="BO23" s="70">
        <v>18</v>
      </c>
      <c r="BP23" s="70">
        <v>0</v>
      </c>
      <c r="BQ23" s="71">
        <f t="shared" si="9"/>
        <v>28.5</v>
      </c>
      <c r="BR23" s="70">
        <v>241</v>
      </c>
      <c r="BS23" s="70">
        <v>24</v>
      </c>
      <c r="BT23" s="70">
        <v>8</v>
      </c>
      <c r="BU23" s="63">
        <f t="shared" si="14"/>
        <v>273</v>
      </c>
      <c r="BV23" s="72">
        <f>SUM(Table22[[#This Row],[Good Kernel (G M)]]+(Table22[[#This Row],[Immature (g m)]]+Table22[[#This Row],[Spotted (g m)]])/2)*0.176</f>
        <v>45.231999999999999</v>
      </c>
      <c r="BW23" s="72">
        <v>45.23</v>
      </c>
      <c r="BX23" s="72"/>
      <c r="BY23" s="72">
        <f t="shared" si="15"/>
        <v>48.149009999999997</v>
      </c>
      <c r="BZ23" s="72">
        <f t="shared" si="16"/>
        <v>50.000895</v>
      </c>
      <c r="CA23" s="72">
        <f>SUM(Table22[[#This Row],[Good Kernel (G M)]:[Spotted (g m)]])/1000*100</f>
        <v>27.3</v>
      </c>
      <c r="CB23" s="72">
        <f>(Table22[[#This Row],[BROWNS/Rejection (gm) (NUT)]]+Table22[[#This Row],[OIL (g m)]]+Table22[[#This Row],[Good Kernel (G M)]]+Table22[[#This Row],[Immature (g m)]]+Table22[[#This Row],[Spotted (g m)]])/1000*100</f>
        <v>28.349999999999998</v>
      </c>
      <c r="CC23" s="72">
        <v>10.8</v>
      </c>
      <c r="CD23" s="51">
        <v>189</v>
      </c>
      <c r="CE23" s="73">
        <v>597</v>
      </c>
      <c r="CF23" s="56">
        <v>26</v>
      </c>
      <c r="CG23" s="56">
        <v>678</v>
      </c>
      <c r="CH23" s="184">
        <f ca="1">TODAY()-Table22[[#This Row],[Discharge Date]]</f>
        <v>165</v>
      </c>
    </row>
    <row r="24" spans="1:86" x14ac:dyDescent="0.25">
      <c r="A24" s="50">
        <v>20</v>
      </c>
      <c r="B24" s="51" t="s">
        <v>95</v>
      </c>
      <c r="C24" s="52" t="s">
        <v>96</v>
      </c>
      <c r="D24" s="54">
        <v>20</v>
      </c>
      <c r="E24" s="85"/>
      <c r="F24" s="86">
        <v>870</v>
      </c>
      <c r="G24" s="54"/>
      <c r="H24" s="82">
        <v>46237</v>
      </c>
      <c r="I24" s="82"/>
      <c r="J24" s="82"/>
      <c r="K24" s="82" t="s">
        <v>634</v>
      </c>
      <c r="L24" s="54" t="s">
        <v>98</v>
      </c>
      <c r="M24" s="57">
        <v>77630</v>
      </c>
      <c r="N24" s="57" t="s">
        <v>678</v>
      </c>
      <c r="O24" s="54" t="s">
        <v>125</v>
      </c>
      <c r="P24" s="58">
        <v>46091</v>
      </c>
      <c r="Q24" s="58">
        <v>46091</v>
      </c>
      <c r="R24" s="51" t="s">
        <v>126</v>
      </c>
      <c r="S24" s="59" t="s">
        <v>127</v>
      </c>
      <c r="T24" s="59"/>
      <c r="U24" s="59"/>
      <c r="V24" s="54" t="s">
        <v>128</v>
      </c>
      <c r="W24" s="51">
        <v>390</v>
      </c>
      <c r="X24" s="51">
        <v>37</v>
      </c>
      <c r="Y24" s="60">
        <f t="shared" si="10"/>
        <v>427</v>
      </c>
      <c r="Z24" s="51">
        <v>88</v>
      </c>
      <c r="AA24" s="61">
        <f t="shared" si="17"/>
        <v>478</v>
      </c>
      <c r="AB24" s="51">
        <f t="shared" si="18"/>
        <v>88</v>
      </c>
      <c r="AC24" s="88">
        <v>407</v>
      </c>
      <c r="AD24" s="63">
        <v>0</v>
      </c>
      <c r="AE24" s="63">
        <v>20</v>
      </c>
      <c r="AF24" s="63">
        <v>88</v>
      </c>
      <c r="AG24" s="63"/>
      <c r="AH24" s="64">
        <v>427</v>
      </c>
      <c r="AI24" s="62">
        <v>0</v>
      </c>
      <c r="AJ24" s="62">
        <v>0</v>
      </c>
      <c r="AK24" s="62">
        <v>427</v>
      </c>
      <c r="AL24" s="62">
        <f t="shared" si="23"/>
        <v>427</v>
      </c>
      <c r="AM24" s="67">
        <v>40040</v>
      </c>
      <c r="AN24" s="64">
        <f t="shared" si="24"/>
        <v>507</v>
      </c>
      <c r="AO24" s="77">
        <f t="shared" si="22"/>
        <v>39613</v>
      </c>
      <c r="AP24" s="77">
        <f t="shared" si="21"/>
        <v>39533</v>
      </c>
      <c r="AQ24" s="77">
        <f t="shared" si="25"/>
        <v>39533</v>
      </c>
      <c r="AR24" s="67">
        <f t="shared" si="4"/>
        <v>80</v>
      </c>
      <c r="AS24" s="68">
        <f>Table22[[#This Row],[GROSS WT]]-Table22[[#This Row],[Total Bag Discharged (Truck)]]</f>
        <v>39613</v>
      </c>
      <c r="AT24" s="67">
        <f t="shared" si="5"/>
        <v>39613</v>
      </c>
      <c r="AU24" s="69"/>
      <c r="AV24" s="70">
        <v>14</v>
      </c>
      <c r="AW24" s="70">
        <v>24</v>
      </c>
      <c r="AX24" s="70">
        <v>0</v>
      </c>
      <c r="AY24" s="71">
        <f t="shared" si="6"/>
        <v>38</v>
      </c>
      <c r="AZ24" s="70">
        <v>245</v>
      </c>
      <c r="BA24" s="70">
        <v>12</v>
      </c>
      <c r="BB24" s="70">
        <v>8</v>
      </c>
      <c r="BC24" s="63">
        <f t="shared" si="12"/>
        <v>265</v>
      </c>
      <c r="BD24" s="72">
        <f>SUM(Table22[[#This Row],[Good Kernel (gm)]]+(Table22[[#This Row],[Immature (gm)]]+Table22[[#This Row],[Spotted (gm)]])/2)*0.176</f>
        <v>44.879999999999995</v>
      </c>
      <c r="BE24" s="72">
        <v>44.88</v>
      </c>
      <c r="BF24" s="72">
        <f t="shared" si="13"/>
        <v>46.738050000000001</v>
      </c>
      <c r="BG24" s="72">
        <f t="shared" si="7"/>
        <v>49.207230000000003</v>
      </c>
      <c r="BH24" s="72">
        <f>SUM(Table22[[#This Row],[Good Kernel (gm)]:[Spotted (gm)]])/1000*100</f>
        <v>26.5</v>
      </c>
      <c r="BI24" s="72">
        <f t="shared" si="8"/>
        <v>27.900000000000002</v>
      </c>
      <c r="BJ24" s="72">
        <v>9.9</v>
      </c>
      <c r="BK24" s="51">
        <v>170</v>
      </c>
      <c r="BL24" s="73">
        <v>644</v>
      </c>
      <c r="BM24" s="70">
        <v>17</v>
      </c>
      <c r="BN24" s="90">
        <v>7.2999999999999995E-2</v>
      </c>
      <c r="BO24" s="70">
        <v>20</v>
      </c>
      <c r="BP24" s="70">
        <v>0</v>
      </c>
      <c r="BQ24" s="71">
        <f t="shared" si="9"/>
        <v>37</v>
      </c>
      <c r="BR24" s="70">
        <v>239</v>
      </c>
      <c r="BS24" s="70">
        <v>20</v>
      </c>
      <c r="BT24" s="70">
        <v>15</v>
      </c>
      <c r="BU24" s="63">
        <f t="shared" si="14"/>
        <v>274</v>
      </c>
      <c r="BV24" s="72">
        <f>SUM(Table22[[#This Row],[Good Kernel (G M)]]+(Table22[[#This Row],[Immature (g m)]]+Table22[[#This Row],[Spotted (g m)]])/2)*0.176</f>
        <v>45.143999999999998</v>
      </c>
      <c r="BW24" s="72">
        <v>45.14</v>
      </c>
      <c r="BX24" s="72"/>
      <c r="BY24" s="72">
        <f t="shared" si="15"/>
        <v>48.325380000000003</v>
      </c>
      <c r="BZ24" s="72">
        <f t="shared" si="16"/>
        <v>51.32367</v>
      </c>
      <c r="CA24" s="72">
        <f>SUM(Table22[[#This Row],[Good Kernel (G M)]:[Spotted (g m)]])/1000*100</f>
        <v>27.400000000000002</v>
      </c>
      <c r="CB24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" s="72">
        <v>9.9</v>
      </c>
      <c r="CD24" s="51">
        <v>175</v>
      </c>
      <c r="CE24" s="73">
        <v>627</v>
      </c>
      <c r="CF24" s="91"/>
      <c r="CH24" s="184">
        <f ca="1">TODAY()-Table22[[#This Row],[Discharge Date]]</f>
        <v>164</v>
      </c>
    </row>
    <row r="25" spans="1:86" x14ac:dyDescent="0.25">
      <c r="A25" s="50">
        <v>21</v>
      </c>
      <c r="B25" s="51" t="s">
        <v>95</v>
      </c>
      <c r="C25" s="52" t="s">
        <v>96</v>
      </c>
      <c r="D25" s="54">
        <v>21</v>
      </c>
      <c r="E25" s="85"/>
      <c r="F25" s="86">
        <v>871</v>
      </c>
      <c r="G25" s="54"/>
      <c r="H25" s="82">
        <v>46206</v>
      </c>
      <c r="I25" s="82"/>
      <c r="J25" s="82"/>
      <c r="K25" s="82" t="s">
        <v>634</v>
      </c>
      <c r="L25" s="54" t="s">
        <v>98</v>
      </c>
      <c r="M25" s="57">
        <v>77677</v>
      </c>
      <c r="N25" s="57" t="s">
        <v>676</v>
      </c>
      <c r="O25" s="54" t="s">
        <v>129</v>
      </c>
      <c r="P25" s="58">
        <v>46089</v>
      </c>
      <c r="Q25" s="58">
        <v>46092</v>
      </c>
      <c r="R25" s="51" t="s">
        <v>100</v>
      </c>
      <c r="S25" s="59" t="s">
        <v>101</v>
      </c>
      <c r="T25" s="51"/>
      <c r="U25" s="51"/>
      <c r="V25" s="51" t="s">
        <v>102</v>
      </c>
      <c r="W25" s="51">
        <v>570</v>
      </c>
      <c r="X25" s="51">
        <v>97</v>
      </c>
      <c r="Y25" s="60">
        <f t="shared" si="10"/>
        <v>667</v>
      </c>
      <c r="Z25" s="51">
        <v>88</v>
      </c>
      <c r="AA25" s="61">
        <f t="shared" si="17"/>
        <v>658</v>
      </c>
      <c r="AB25" s="51">
        <f t="shared" si="18"/>
        <v>88</v>
      </c>
      <c r="AC25" s="89">
        <v>647</v>
      </c>
      <c r="AD25" s="63">
        <v>0</v>
      </c>
      <c r="AE25" s="63">
        <v>20</v>
      </c>
      <c r="AF25" s="63">
        <v>88</v>
      </c>
      <c r="AG25" s="63"/>
      <c r="AH25" s="64">
        <v>667</v>
      </c>
      <c r="AI25" s="62">
        <v>0</v>
      </c>
      <c r="AJ25" s="62">
        <v>0</v>
      </c>
      <c r="AK25" s="62">
        <v>667</v>
      </c>
      <c r="AL25" s="62">
        <f t="shared" si="23"/>
        <v>667</v>
      </c>
      <c r="AM25" s="65">
        <v>52040</v>
      </c>
      <c r="AN25" s="64">
        <f t="shared" si="24"/>
        <v>747</v>
      </c>
      <c r="AO25" s="77">
        <f t="shared" si="22"/>
        <v>51373</v>
      </c>
      <c r="AP25" s="77">
        <f t="shared" si="21"/>
        <v>51293</v>
      </c>
      <c r="AQ25" s="77">
        <f t="shared" si="25"/>
        <v>51293</v>
      </c>
      <c r="AR25" s="67">
        <f t="shared" si="4"/>
        <v>80</v>
      </c>
      <c r="AS25" s="68">
        <f>Table22[[#This Row],[GROSS WT]]-Table22[[#This Row],[Total Bag Discharged (Truck)]]</f>
        <v>51373</v>
      </c>
      <c r="AT25" s="67">
        <f t="shared" si="5"/>
        <v>51373</v>
      </c>
      <c r="AU25" s="69"/>
      <c r="AV25" s="70">
        <v>8.9</v>
      </c>
      <c r="AW25" s="70">
        <v>13</v>
      </c>
      <c r="AX25" s="70">
        <v>3</v>
      </c>
      <c r="AY25" s="71">
        <f t="shared" si="6"/>
        <v>24.9</v>
      </c>
      <c r="AZ25" s="70">
        <v>243</v>
      </c>
      <c r="BA25" s="70">
        <v>26</v>
      </c>
      <c r="BB25" s="70">
        <v>6</v>
      </c>
      <c r="BC25" s="63">
        <f t="shared" si="12"/>
        <v>275</v>
      </c>
      <c r="BD25" s="72">
        <f>SUM(Table22[[#This Row],[Good Kernel (gm)]]+(Table22[[#This Row],[Immature (gm)]]+Table22[[#This Row],[Spotted (gm)]])/2)*0.176</f>
        <v>45.583999999999996</v>
      </c>
      <c r="BE25" s="72">
        <v>45.58</v>
      </c>
      <c r="BF25" s="72">
        <f t="shared" si="13"/>
        <v>48.501750000000001</v>
      </c>
      <c r="BG25" s="72">
        <f t="shared" si="7"/>
        <v>50.600552999999998</v>
      </c>
      <c r="BH25" s="72">
        <f>SUM(Table22[[#This Row],[Good Kernel (gm)]:[Spotted (gm)]])/1000*100</f>
        <v>27.500000000000004</v>
      </c>
      <c r="BI25" s="72">
        <f t="shared" si="8"/>
        <v>28.689999999999998</v>
      </c>
      <c r="BJ25" s="72">
        <v>9.8000000000000007</v>
      </c>
      <c r="BK25" s="51">
        <v>181</v>
      </c>
      <c r="BL25" s="73">
        <v>614</v>
      </c>
      <c r="BM25" s="70">
        <v>20</v>
      </c>
      <c r="BN25" s="78">
        <v>8.1000000000000003E-2</v>
      </c>
      <c r="BO25" s="70">
        <v>4</v>
      </c>
      <c r="BP25" s="70">
        <v>0</v>
      </c>
      <c r="BQ25" s="71">
        <f t="shared" si="9"/>
        <v>24</v>
      </c>
      <c r="BR25" s="70">
        <v>250</v>
      </c>
      <c r="BS25" s="70">
        <v>18</v>
      </c>
      <c r="BT25" s="70">
        <v>6</v>
      </c>
      <c r="BU25" s="63">
        <f t="shared" si="14"/>
        <v>274</v>
      </c>
      <c r="BV25" s="72">
        <f>SUM(Table22[[#This Row],[Good Kernel (G M)]]+(Table22[[#This Row],[Immature (g m)]]+Table22[[#This Row],[Spotted (g m)]])/2)*0.176</f>
        <v>46.111999999999995</v>
      </c>
      <c r="BW25" s="72">
        <v>46.11</v>
      </c>
      <c r="BX25" s="72"/>
      <c r="BY25" s="72">
        <f t="shared" si="15"/>
        <v>48.325380000000003</v>
      </c>
      <c r="BZ25" s="72">
        <f t="shared" si="16"/>
        <v>51.852780000000003</v>
      </c>
      <c r="CA25" s="72">
        <f>SUM(Table22[[#This Row],[Good Kernel (G M)]:[Spotted (g m)]])/1000*100</f>
        <v>27.400000000000002</v>
      </c>
      <c r="CB25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5" s="72">
        <v>9.3000000000000007</v>
      </c>
      <c r="CD25" s="51">
        <v>188</v>
      </c>
      <c r="CE25" s="73">
        <v>634</v>
      </c>
      <c r="CH25" s="184">
        <f ca="1">TODAY()-Table22[[#This Row],[Discharge Date]]</f>
        <v>163</v>
      </c>
    </row>
    <row r="26" spans="1:86" x14ac:dyDescent="0.25">
      <c r="A26" s="50">
        <v>22</v>
      </c>
      <c r="B26" s="51" t="s">
        <v>95</v>
      </c>
      <c r="C26" s="52" t="s">
        <v>96</v>
      </c>
      <c r="D26" s="54">
        <v>22</v>
      </c>
      <c r="E26" s="85"/>
      <c r="F26" s="86">
        <v>872</v>
      </c>
      <c r="G26" s="54"/>
      <c r="H26" s="82">
        <v>46298</v>
      </c>
      <c r="I26" s="82"/>
      <c r="J26" s="82"/>
      <c r="K26" s="82" t="s">
        <v>634</v>
      </c>
      <c r="L26" s="54" t="s">
        <v>98</v>
      </c>
      <c r="M26" s="57">
        <v>82102</v>
      </c>
      <c r="N26" s="57" t="s">
        <v>679</v>
      </c>
      <c r="O26" s="54" t="s">
        <v>112</v>
      </c>
      <c r="P26" s="58">
        <v>46092</v>
      </c>
      <c r="Q26" s="58">
        <v>46092</v>
      </c>
      <c r="R26" s="51" t="s">
        <v>100</v>
      </c>
      <c r="S26" s="59" t="s">
        <v>101</v>
      </c>
      <c r="T26" s="51"/>
      <c r="U26" s="51"/>
      <c r="V26" s="51" t="s">
        <v>102</v>
      </c>
      <c r="W26" s="51">
        <v>473</v>
      </c>
      <c r="X26" s="51">
        <v>63</v>
      </c>
      <c r="Y26" s="60">
        <f t="shared" si="10"/>
        <v>536</v>
      </c>
      <c r="Z26" s="51">
        <v>90</v>
      </c>
      <c r="AA26" s="61">
        <f t="shared" si="17"/>
        <v>563</v>
      </c>
      <c r="AB26" s="51">
        <f t="shared" si="18"/>
        <v>90</v>
      </c>
      <c r="AC26" s="89">
        <v>516</v>
      </c>
      <c r="AD26" s="63">
        <v>0</v>
      </c>
      <c r="AE26" s="63">
        <v>20</v>
      </c>
      <c r="AF26" s="63">
        <v>90</v>
      </c>
      <c r="AG26" s="63"/>
      <c r="AH26" s="64">
        <v>536</v>
      </c>
      <c r="AI26" s="62">
        <v>0</v>
      </c>
      <c r="AJ26" s="62">
        <v>0</v>
      </c>
      <c r="AK26" s="62">
        <v>536</v>
      </c>
      <c r="AL26" s="62">
        <f t="shared" si="23"/>
        <v>536</v>
      </c>
      <c r="AM26" s="65">
        <v>41160</v>
      </c>
      <c r="AN26" s="64">
        <f t="shared" si="24"/>
        <v>616</v>
      </c>
      <c r="AO26" s="77">
        <f t="shared" si="22"/>
        <v>40624</v>
      </c>
      <c r="AP26" s="77">
        <f t="shared" si="21"/>
        <v>40544</v>
      </c>
      <c r="AQ26" s="77">
        <f t="shared" si="25"/>
        <v>40544</v>
      </c>
      <c r="AR26" s="67">
        <f t="shared" si="4"/>
        <v>80</v>
      </c>
      <c r="AS26" s="68">
        <f>Table22[[#This Row],[GROSS WT]]-Table22[[#This Row],[Total Bag Discharged (Truck)]]</f>
        <v>40624</v>
      </c>
      <c r="AT26" s="67">
        <f t="shared" si="5"/>
        <v>40624</v>
      </c>
      <c r="AU26" s="69"/>
      <c r="AV26" s="70">
        <v>10.9</v>
      </c>
      <c r="AW26" s="70">
        <v>7</v>
      </c>
      <c r="AX26" s="70">
        <v>4</v>
      </c>
      <c r="AY26" s="71">
        <f t="shared" si="6"/>
        <v>21.9</v>
      </c>
      <c r="AZ26" s="70">
        <v>242</v>
      </c>
      <c r="BA26" s="70">
        <v>20</v>
      </c>
      <c r="BB26" s="70">
        <v>10</v>
      </c>
      <c r="BC26" s="63">
        <f t="shared" si="12"/>
        <v>272</v>
      </c>
      <c r="BD26" s="72">
        <f>SUM(Table22[[#This Row],[Good Kernel (gm)]]+(Table22[[#This Row],[Immature (gm)]]+Table22[[#This Row],[Spotted (gm)]])/2)*0.176</f>
        <v>45.231999999999999</v>
      </c>
      <c r="BE26" s="72">
        <v>45.23</v>
      </c>
      <c r="BF26" s="72">
        <f t="shared" si="13"/>
        <v>47.972639999999998</v>
      </c>
      <c r="BG26" s="72">
        <f t="shared" si="7"/>
        <v>50.600552999999998</v>
      </c>
      <c r="BH26" s="72">
        <f>SUM(Table22[[#This Row],[Good Kernel (gm)]:[Spotted (gm)]])/1000*100</f>
        <v>27.200000000000003</v>
      </c>
      <c r="BI26" s="72">
        <f t="shared" si="8"/>
        <v>28.689999999999998</v>
      </c>
      <c r="BJ26" s="72">
        <v>10.6</v>
      </c>
      <c r="BK26" s="51">
        <v>190</v>
      </c>
      <c r="BL26" s="73">
        <v>601</v>
      </c>
      <c r="BM26" s="70">
        <v>24</v>
      </c>
      <c r="BN26" s="74">
        <v>9.1999999999999998E-2</v>
      </c>
      <c r="BO26" s="70">
        <v>13</v>
      </c>
      <c r="BP26" s="70">
        <v>0</v>
      </c>
      <c r="BQ26" s="71">
        <f t="shared" si="9"/>
        <v>37</v>
      </c>
      <c r="BR26" s="70">
        <v>251</v>
      </c>
      <c r="BS26" s="70">
        <v>12</v>
      </c>
      <c r="BT26" s="70">
        <v>8</v>
      </c>
      <c r="BU26" s="63">
        <f t="shared" si="14"/>
        <v>271</v>
      </c>
      <c r="BV26" s="72">
        <f>SUM(Table22[[#This Row],[Good Kernel (G M)]]+(Table22[[#This Row],[Immature (g m)]]+Table22[[#This Row],[Spotted (g m)]])/2)*0.176</f>
        <v>45.936</v>
      </c>
      <c r="BW26" s="72">
        <v>45.93</v>
      </c>
      <c r="BX26" s="72"/>
      <c r="BY26" s="72">
        <f t="shared" si="15"/>
        <v>47.79627</v>
      </c>
      <c r="BZ26" s="72">
        <f t="shared" si="16"/>
        <v>52.029150000000001</v>
      </c>
      <c r="CA26" s="72">
        <f>SUM(Table22[[#This Row],[Good Kernel (G M)]:[Spotted (g m)]])/1000*100</f>
        <v>27.1</v>
      </c>
      <c r="CB2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26" s="72">
        <v>10.3</v>
      </c>
      <c r="CD26" s="51">
        <v>184</v>
      </c>
      <c r="CE26" s="73">
        <v>618</v>
      </c>
      <c r="CH26" s="184">
        <f ca="1">TODAY()-Table22[[#This Row],[Discharge Date]]</f>
        <v>163</v>
      </c>
    </row>
    <row r="27" spans="1:86" ht="28.95" customHeight="1" x14ac:dyDescent="0.25">
      <c r="A27" s="50">
        <v>23</v>
      </c>
      <c r="B27" s="51" t="s">
        <v>95</v>
      </c>
      <c r="C27" s="52" t="s">
        <v>96</v>
      </c>
      <c r="D27" s="54">
        <v>23</v>
      </c>
      <c r="E27" s="92" t="s">
        <v>130</v>
      </c>
      <c r="F27" s="86">
        <v>873</v>
      </c>
      <c r="G27" s="54"/>
      <c r="H27" s="82">
        <v>46298</v>
      </c>
      <c r="I27" s="82"/>
      <c r="J27" s="82"/>
      <c r="K27" s="82" t="s">
        <v>634</v>
      </c>
      <c r="L27" s="54" t="s">
        <v>98</v>
      </c>
      <c r="M27" s="57">
        <v>77676</v>
      </c>
      <c r="N27" s="57" t="s">
        <v>680</v>
      </c>
      <c r="O27" s="54" t="s">
        <v>131</v>
      </c>
      <c r="P27" s="58">
        <v>46093</v>
      </c>
      <c r="Q27" s="58">
        <v>46093</v>
      </c>
      <c r="R27" s="51" t="s">
        <v>132</v>
      </c>
      <c r="S27" s="59" t="s">
        <v>101</v>
      </c>
      <c r="T27" s="51"/>
      <c r="U27" s="51"/>
      <c r="V27" s="51" t="s">
        <v>102</v>
      </c>
      <c r="W27" s="51">
        <v>561</v>
      </c>
      <c r="X27" s="51">
        <v>35</v>
      </c>
      <c r="Y27" s="60">
        <f t="shared" si="10"/>
        <v>596</v>
      </c>
      <c r="Z27" s="51">
        <v>67</v>
      </c>
      <c r="AA27" s="61">
        <f t="shared" si="17"/>
        <v>628</v>
      </c>
      <c r="AB27" s="51">
        <f t="shared" si="18"/>
        <v>67</v>
      </c>
      <c r="AC27" s="88">
        <v>576</v>
      </c>
      <c r="AD27" s="63">
        <v>0</v>
      </c>
      <c r="AE27" s="63">
        <v>20</v>
      </c>
      <c r="AF27" s="63">
        <v>67</v>
      </c>
      <c r="AG27" s="63"/>
      <c r="AH27" s="64">
        <v>596</v>
      </c>
      <c r="AI27" s="62"/>
      <c r="AJ27" s="62">
        <v>0</v>
      </c>
      <c r="AK27" s="62">
        <v>596</v>
      </c>
      <c r="AL27" s="62">
        <f t="shared" si="23"/>
        <v>596</v>
      </c>
      <c r="AM27" s="67">
        <v>49460</v>
      </c>
      <c r="AN27" s="64">
        <f t="shared" si="24"/>
        <v>676</v>
      </c>
      <c r="AO27" s="77">
        <f t="shared" si="22"/>
        <v>48864</v>
      </c>
      <c r="AP27" s="77">
        <f t="shared" si="21"/>
        <v>48784</v>
      </c>
      <c r="AQ27" s="77">
        <f t="shared" si="25"/>
        <v>48784</v>
      </c>
      <c r="AR27" s="67">
        <f t="shared" si="4"/>
        <v>80</v>
      </c>
      <c r="AS27" s="68">
        <f>Table22[[#This Row],[GROSS WT]]-Table22[[#This Row],[Total Bag Discharged (Truck)]]</f>
        <v>48864</v>
      </c>
      <c r="AT27" s="67">
        <f t="shared" si="5"/>
        <v>48864</v>
      </c>
      <c r="AU27" s="69"/>
      <c r="AV27" s="70">
        <v>8.3000000000000007</v>
      </c>
      <c r="AW27" s="70">
        <v>17</v>
      </c>
      <c r="AX27" s="70">
        <v>0</v>
      </c>
      <c r="AY27" s="71">
        <f t="shared" si="6"/>
        <v>25.3</v>
      </c>
      <c r="AZ27" s="70">
        <v>246</v>
      </c>
      <c r="BA27" s="70">
        <v>16</v>
      </c>
      <c r="BB27" s="70">
        <v>6</v>
      </c>
      <c r="BC27" s="63">
        <f t="shared" si="12"/>
        <v>268</v>
      </c>
      <c r="BD27" s="72">
        <f>SUM(Table22[[#This Row],[Good Kernel (gm)]]+(Table22[[#This Row],[Immature (gm)]]+Table22[[#This Row],[Spotted (gm)]])/2)*0.176</f>
        <v>45.231999999999999</v>
      </c>
      <c r="BE27" s="72">
        <v>45.23</v>
      </c>
      <c r="BF27" s="72">
        <f t="shared" si="13"/>
        <v>47.267159999999997</v>
      </c>
      <c r="BG27" s="72">
        <f t="shared" si="7"/>
        <v>48.731031000000002</v>
      </c>
      <c r="BH27" s="72">
        <f>SUM(Table22[[#This Row],[Good Kernel (gm)]:[Spotted (gm)]])/1000*100</f>
        <v>26.8</v>
      </c>
      <c r="BI27" s="72">
        <f t="shared" si="8"/>
        <v>27.63</v>
      </c>
      <c r="BJ27" s="72">
        <v>11</v>
      </c>
      <c r="BK27" s="51">
        <v>177</v>
      </c>
      <c r="BL27" s="60">
        <v>625</v>
      </c>
      <c r="BM27" s="70">
        <v>23</v>
      </c>
      <c r="BN27" s="74">
        <v>8.1000000000000003E-2</v>
      </c>
      <c r="BO27" s="70">
        <v>21</v>
      </c>
      <c r="BP27" s="70">
        <v>0</v>
      </c>
      <c r="BQ27" s="71">
        <f t="shared" si="9"/>
        <v>44</v>
      </c>
      <c r="BR27" s="70">
        <v>243</v>
      </c>
      <c r="BS27" s="70">
        <v>18</v>
      </c>
      <c r="BT27" s="70">
        <v>9</v>
      </c>
      <c r="BU27" s="63">
        <f t="shared" si="14"/>
        <v>270</v>
      </c>
      <c r="BV27" s="72">
        <f>SUM(Table22[[#This Row],[Good Kernel (G M)]]+(Table22[[#This Row],[Immature (g m)]]+Table22[[#This Row],[Spotted (g m)]])/2)*0.176</f>
        <v>45.143999999999998</v>
      </c>
      <c r="BW27" s="72">
        <v>45.14</v>
      </c>
      <c r="BX27" s="93">
        <v>45.67</v>
      </c>
      <c r="BY27" s="72">
        <f t="shared" si="15"/>
        <v>47.619900000000001</v>
      </c>
      <c r="BZ27" s="72">
        <f t="shared" si="16"/>
        <v>51.676409999999997</v>
      </c>
      <c r="CA27" s="72">
        <f>SUM(Table22[[#This Row],[Good Kernel (G M)]:[Spotted (g m)]])/1000*100</f>
        <v>27</v>
      </c>
      <c r="CB27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27" s="72">
        <v>11</v>
      </c>
      <c r="CD27" s="51">
        <v>171</v>
      </c>
      <c r="CE27" s="73">
        <v>612</v>
      </c>
      <c r="CH27" s="184">
        <f ca="1">TODAY()-Table22[[#This Row],[Discharge Date]]</f>
        <v>162</v>
      </c>
    </row>
    <row r="28" spans="1:86" x14ac:dyDescent="0.25">
      <c r="A28" s="50">
        <v>24</v>
      </c>
      <c r="B28" s="51" t="s">
        <v>95</v>
      </c>
      <c r="C28" s="52" t="s">
        <v>96</v>
      </c>
      <c r="D28" s="54">
        <v>24</v>
      </c>
      <c r="E28" s="85"/>
      <c r="F28" s="86">
        <v>874</v>
      </c>
      <c r="G28" s="54"/>
      <c r="H28" s="54"/>
      <c r="I28" s="54"/>
      <c r="J28" s="54"/>
      <c r="K28" s="54" t="s">
        <v>634</v>
      </c>
      <c r="L28" s="54" t="s">
        <v>98</v>
      </c>
      <c r="M28" s="57">
        <v>82161</v>
      </c>
      <c r="N28" s="57" t="s">
        <v>678</v>
      </c>
      <c r="O28" s="54" t="s">
        <v>113</v>
      </c>
      <c r="P28" s="58">
        <v>46094</v>
      </c>
      <c r="Q28" s="58">
        <v>46094</v>
      </c>
      <c r="R28" s="51" t="s">
        <v>100</v>
      </c>
      <c r="S28" s="59" t="s">
        <v>107</v>
      </c>
      <c r="T28" s="59"/>
      <c r="U28" s="59"/>
      <c r="V28" s="51" t="s">
        <v>108</v>
      </c>
      <c r="W28" s="51">
        <v>531</v>
      </c>
      <c r="X28" s="51">
        <v>58</v>
      </c>
      <c r="Y28" s="60">
        <f t="shared" si="10"/>
        <v>589</v>
      </c>
      <c r="Z28" s="51">
        <v>58</v>
      </c>
      <c r="AA28" s="61">
        <f t="shared" si="17"/>
        <v>589</v>
      </c>
      <c r="AB28" s="51">
        <f t="shared" si="18"/>
        <v>58</v>
      </c>
      <c r="AC28" s="89">
        <v>569</v>
      </c>
      <c r="AD28" s="63">
        <v>0</v>
      </c>
      <c r="AE28" s="63">
        <v>20</v>
      </c>
      <c r="AF28" s="63">
        <v>58</v>
      </c>
      <c r="AG28" s="63"/>
      <c r="AH28" s="64">
        <v>589</v>
      </c>
      <c r="AI28" s="62">
        <v>0</v>
      </c>
      <c r="AJ28" s="62">
        <v>0</v>
      </c>
      <c r="AK28" s="62">
        <v>589</v>
      </c>
      <c r="AL28" s="62">
        <f t="shared" si="23"/>
        <v>589</v>
      </c>
      <c r="AM28" s="65">
        <v>46220</v>
      </c>
      <c r="AN28" s="64">
        <f t="shared" si="24"/>
        <v>669</v>
      </c>
      <c r="AO28" s="77">
        <f t="shared" si="22"/>
        <v>45631</v>
      </c>
      <c r="AP28" s="77">
        <f t="shared" si="21"/>
        <v>45551</v>
      </c>
      <c r="AQ28" s="77">
        <f t="shared" si="25"/>
        <v>45551</v>
      </c>
      <c r="AR28" s="67">
        <f t="shared" si="4"/>
        <v>80</v>
      </c>
      <c r="AS28" s="68">
        <f>Table22[[#This Row],[GROSS WT]]-Table22[[#This Row],[Total Bag Discharged (Truck)]]</f>
        <v>45631</v>
      </c>
      <c r="AT28" s="67">
        <f t="shared" si="5"/>
        <v>45631</v>
      </c>
      <c r="AU28" s="69"/>
      <c r="AV28" s="70">
        <v>23</v>
      </c>
      <c r="AW28" s="70">
        <v>19</v>
      </c>
      <c r="AX28" s="70">
        <v>3</v>
      </c>
      <c r="AY28" s="71">
        <f t="shared" si="6"/>
        <v>45</v>
      </c>
      <c r="AZ28" s="70">
        <v>244</v>
      </c>
      <c r="BA28" s="70">
        <v>20</v>
      </c>
      <c r="BB28" s="70">
        <v>8</v>
      </c>
      <c r="BC28" s="63">
        <f t="shared" si="12"/>
        <v>272</v>
      </c>
      <c r="BD28" s="72">
        <f>SUM(Table22[[#This Row],[Good Kernel (gm)]]+(Table22[[#This Row],[Immature (gm)]]+Table22[[#This Row],[Spotted (gm)]])/2)*0.176</f>
        <v>45.407999999999994</v>
      </c>
      <c r="BE28" s="72">
        <v>45.4</v>
      </c>
      <c r="BF28" s="72">
        <f t="shared" si="13"/>
        <v>47.972639999999998</v>
      </c>
      <c r="BG28" s="72">
        <f t="shared" si="7"/>
        <v>52.558259999999997</v>
      </c>
      <c r="BH28" s="72">
        <f>SUM(Table22[[#This Row],[Good Kernel (gm)]:[Spotted (gm)]])/1000*100</f>
        <v>27.200000000000003</v>
      </c>
      <c r="BI28" s="72">
        <f t="shared" si="8"/>
        <v>29.799999999999997</v>
      </c>
      <c r="BJ28" s="72">
        <v>10.1</v>
      </c>
      <c r="BK28" s="51">
        <v>182</v>
      </c>
      <c r="BL28" s="73">
        <v>616</v>
      </c>
      <c r="BM28" s="70">
        <v>21</v>
      </c>
      <c r="BN28" s="74"/>
      <c r="BO28" s="70">
        <v>29</v>
      </c>
      <c r="BP28" s="70">
        <v>0</v>
      </c>
      <c r="BQ28" s="71">
        <f t="shared" si="9"/>
        <v>50</v>
      </c>
      <c r="BR28" s="70">
        <v>250</v>
      </c>
      <c r="BS28" s="70">
        <v>12</v>
      </c>
      <c r="BT28" s="70">
        <v>6</v>
      </c>
      <c r="BU28" s="63">
        <f t="shared" si="14"/>
        <v>268</v>
      </c>
      <c r="BV28" s="72">
        <f>SUM(Table22[[#This Row],[Good Kernel (G M)]]+(Table22[[#This Row],[Immature (g m)]]+Table22[[#This Row],[Spotted (g m)]])/2)*0.176</f>
        <v>45.583999999999996</v>
      </c>
      <c r="BW28" s="72">
        <v>45.58</v>
      </c>
      <c r="BX28" s="72"/>
      <c r="BY28" s="72">
        <f t="shared" si="15"/>
        <v>47.267159999999997</v>
      </c>
      <c r="BZ28" s="72">
        <f t="shared" si="16"/>
        <v>50.970930000000003</v>
      </c>
      <c r="CA28" s="72">
        <f>SUM(Table22[[#This Row],[Good Kernel (G M)]:[Spotted (g m)]])/1000*100</f>
        <v>26.8</v>
      </c>
      <c r="CB28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8" s="72">
        <v>10.1</v>
      </c>
      <c r="CD28" s="51">
        <v>181</v>
      </c>
      <c r="CE28" s="73">
        <v>615</v>
      </c>
      <c r="CH28" s="184">
        <f ca="1">TODAY()-Table22[[#This Row],[Discharge Date]]</f>
        <v>161</v>
      </c>
    </row>
    <row r="29" spans="1:86" x14ac:dyDescent="0.25">
      <c r="A29" s="50">
        <v>25</v>
      </c>
      <c r="B29" s="51" t="s">
        <v>95</v>
      </c>
      <c r="C29" s="52" t="s">
        <v>96</v>
      </c>
      <c r="D29" s="54">
        <v>25</v>
      </c>
      <c r="E29" s="85"/>
      <c r="F29" s="86">
        <v>876</v>
      </c>
      <c r="G29" s="54"/>
      <c r="H29" s="54"/>
      <c r="I29" s="54"/>
      <c r="J29" s="54"/>
      <c r="K29" s="54" t="s">
        <v>634</v>
      </c>
      <c r="L29" s="54" t="s">
        <v>98</v>
      </c>
      <c r="M29" s="57">
        <v>82103</v>
      </c>
      <c r="N29" s="57" t="s">
        <v>677</v>
      </c>
      <c r="O29" s="54" t="s">
        <v>133</v>
      </c>
      <c r="P29" s="58">
        <v>46094</v>
      </c>
      <c r="Q29" s="58">
        <v>46094</v>
      </c>
      <c r="R29" s="51" t="s">
        <v>100</v>
      </c>
      <c r="S29" s="59" t="s">
        <v>101</v>
      </c>
      <c r="T29" s="59"/>
      <c r="U29" s="59"/>
      <c r="V29" s="51" t="s">
        <v>102</v>
      </c>
      <c r="W29" s="51">
        <v>560</v>
      </c>
      <c r="X29" s="51">
        <v>27</v>
      </c>
      <c r="Y29" s="60">
        <f t="shared" si="10"/>
        <v>587</v>
      </c>
      <c r="Z29" s="51">
        <v>28</v>
      </c>
      <c r="AA29" s="61">
        <f t="shared" si="17"/>
        <v>588</v>
      </c>
      <c r="AB29" s="51">
        <f t="shared" si="18"/>
        <v>28</v>
      </c>
      <c r="AC29" s="89">
        <v>567</v>
      </c>
      <c r="AD29" s="63">
        <v>0</v>
      </c>
      <c r="AE29" s="63">
        <v>20</v>
      </c>
      <c r="AF29" s="63">
        <v>28</v>
      </c>
      <c r="AG29" s="63"/>
      <c r="AH29" s="64">
        <v>587</v>
      </c>
      <c r="AI29" s="62">
        <v>0</v>
      </c>
      <c r="AJ29" s="62">
        <v>0</v>
      </c>
      <c r="AK29" s="62">
        <v>587</v>
      </c>
      <c r="AL29" s="62">
        <f t="shared" si="23"/>
        <v>587</v>
      </c>
      <c r="AM29" s="65">
        <v>49740</v>
      </c>
      <c r="AN29" s="64">
        <f>(AD29*40)+(AE29*4)+(AG29*0)+(AH29*1)</f>
        <v>667</v>
      </c>
      <c r="AO29" s="77">
        <f t="shared" si="22"/>
        <v>49153</v>
      </c>
      <c r="AP29" s="77">
        <f t="shared" si="21"/>
        <v>49073</v>
      </c>
      <c r="AQ29" s="77">
        <f t="shared" si="25"/>
        <v>49073</v>
      </c>
      <c r="AR29" s="67">
        <f t="shared" si="4"/>
        <v>80</v>
      </c>
      <c r="AS29" s="68">
        <f>Table22[[#This Row],[GROSS WT]]-Table22[[#This Row],[Total Bag Discharged (Truck)]]</f>
        <v>49153</v>
      </c>
      <c r="AT29" s="67">
        <f t="shared" si="5"/>
        <v>49153</v>
      </c>
      <c r="AU29" s="69"/>
      <c r="AV29" s="70">
        <v>20</v>
      </c>
      <c r="AW29" s="70">
        <v>17</v>
      </c>
      <c r="AX29" s="70">
        <v>3</v>
      </c>
      <c r="AY29" s="71">
        <f t="shared" si="6"/>
        <v>40</v>
      </c>
      <c r="AZ29" s="70">
        <v>249</v>
      </c>
      <c r="BA29" s="70">
        <v>16</v>
      </c>
      <c r="BB29" s="70">
        <v>8</v>
      </c>
      <c r="BC29" s="63">
        <f t="shared" si="12"/>
        <v>273</v>
      </c>
      <c r="BD29" s="72">
        <f>SUM(Table22[[#This Row],[Good Kernel (gm)]]+(Table22[[#This Row],[Immature (gm)]]+Table22[[#This Row],[Spotted (gm)]])/2)*0.176</f>
        <v>45.936</v>
      </c>
      <c r="BE29" s="72">
        <v>45.93</v>
      </c>
      <c r="BF29" s="72">
        <f t="shared" si="13"/>
        <v>48.149009999999997</v>
      </c>
      <c r="BG29" s="72">
        <f t="shared" si="7"/>
        <v>52.20552</v>
      </c>
      <c r="BH29" s="72">
        <f>SUM(Table22[[#This Row],[Good Kernel (gm)]:[Spotted (gm)]])/1000*100</f>
        <v>27.3</v>
      </c>
      <c r="BI29" s="72">
        <f t="shared" si="8"/>
        <v>29.599999999999998</v>
      </c>
      <c r="BJ29" s="72">
        <v>10</v>
      </c>
      <c r="BK29" s="51">
        <v>175</v>
      </c>
      <c r="BL29" s="73">
        <v>630</v>
      </c>
      <c r="BM29" s="70">
        <v>12</v>
      </c>
      <c r="BN29" s="74"/>
      <c r="BO29" s="70">
        <v>24</v>
      </c>
      <c r="BP29" s="70">
        <v>2</v>
      </c>
      <c r="BQ29" s="71">
        <f t="shared" si="9"/>
        <v>38</v>
      </c>
      <c r="BR29" s="70">
        <v>260</v>
      </c>
      <c r="BS29" s="70">
        <v>8</v>
      </c>
      <c r="BT29" s="70">
        <v>12</v>
      </c>
      <c r="BU29" s="63">
        <f t="shared" si="14"/>
        <v>280</v>
      </c>
      <c r="BV29" s="72">
        <f>SUM(Table22[[#This Row],[Good Kernel (G M)]]+(Table22[[#This Row],[Immature (g m)]]+Table22[[#This Row],[Spotted (g m)]])/2)*0.176</f>
        <v>47.519999999999996</v>
      </c>
      <c r="BW29" s="72">
        <v>47.52</v>
      </c>
      <c r="BX29" s="72"/>
      <c r="BY29" s="72">
        <f t="shared" si="15"/>
        <v>49.383600000000001</v>
      </c>
      <c r="BZ29" s="72">
        <f t="shared" si="16"/>
        <v>51.852780000000003</v>
      </c>
      <c r="CA29" s="72">
        <f>SUM(Table22[[#This Row],[Good Kernel (G M)]:[Spotted (g m)]])/1000*100</f>
        <v>28.000000000000004</v>
      </c>
      <c r="CB2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9" s="72">
        <v>10</v>
      </c>
      <c r="CD29" s="51">
        <v>175</v>
      </c>
      <c r="CE29" s="73">
        <v>626</v>
      </c>
      <c r="CH29" s="184">
        <f ca="1">TODAY()-Table22[[#This Row],[Discharge Date]]</f>
        <v>161</v>
      </c>
    </row>
    <row r="30" spans="1:86" x14ac:dyDescent="0.25">
      <c r="A30" s="50">
        <v>26</v>
      </c>
      <c r="B30" s="51" t="s">
        <v>95</v>
      </c>
      <c r="C30" s="52" t="s">
        <v>96</v>
      </c>
      <c r="D30" s="54">
        <v>26</v>
      </c>
      <c r="E30" s="85"/>
      <c r="F30" s="86">
        <v>875</v>
      </c>
      <c r="G30" s="54"/>
      <c r="H30" s="54"/>
      <c r="I30" s="54"/>
      <c r="J30" s="54"/>
      <c r="K30" s="54" t="s">
        <v>634</v>
      </c>
      <c r="L30" s="54" t="s">
        <v>98</v>
      </c>
      <c r="M30" s="57">
        <v>82105</v>
      </c>
      <c r="N30" s="57" t="s">
        <v>676</v>
      </c>
      <c r="O30" s="54" t="s">
        <v>134</v>
      </c>
      <c r="P30" s="58">
        <v>46094</v>
      </c>
      <c r="Q30" s="58">
        <v>46094</v>
      </c>
      <c r="R30" s="51" t="s">
        <v>100</v>
      </c>
      <c r="S30" s="59" t="s">
        <v>101</v>
      </c>
      <c r="T30" s="59"/>
      <c r="U30" s="59"/>
      <c r="V30" s="51" t="s">
        <v>102</v>
      </c>
      <c r="W30" s="51">
        <v>585</v>
      </c>
      <c r="X30" s="51">
        <v>106</v>
      </c>
      <c r="Y30" s="60">
        <f t="shared" si="10"/>
        <v>691</v>
      </c>
      <c r="Z30" s="51">
        <v>120</v>
      </c>
      <c r="AA30" s="61">
        <f t="shared" si="17"/>
        <v>705</v>
      </c>
      <c r="AB30" s="51">
        <f t="shared" si="18"/>
        <v>120</v>
      </c>
      <c r="AC30" s="88">
        <v>671</v>
      </c>
      <c r="AD30" s="63">
        <v>0</v>
      </c>
      <c r="AE30" s="63">
        <v>20</v>
      </c>
      <c r="AF30" s="63">
        <v>120</v>
      </c>
      <c r="AG30" s="63"/>
      <c r="AH30" s="64">
        <v>691</v>
      </c>
      <c r="AI30" s="62">
        <v>0</v>
      </c>
      <c r="AJ30" s="62">
        <v>0</v>
      </c>
      <c r="AK30" s="62">
        <v>691</v>
      </c>
      <c r="AL30" s="62">
        <f t="shared" si="23"/>
        <v>691</v>
      </c>
      <c r="AM30" s="67">
        <v>54420</v>
      </c>
      <c r="AN30" s="64">
        <f t="shared" si="24"/>
        <v>771</v>
      </c>
      <c r="AO30" s="77">
        <f t="shared" si="22"/>
        <v>53729</v>
      </c>
      <c r="AP30" s="77">
        <f t="shared" si="21"/>
        <v>53649</v>
      </c>
      <c r="AQ30" s="77">
        <f t="shared" si="25"/>
        <v>53649</v>
      </c>
      <c r="AR30" s="67">
        <f t="shared" si="4"/>
        <v>80</v>
      </c>
      <c r="AS30" s="68">
        <f>Table22[[#This Row],[GROSS WT]]-Table22[[#This Row],[Total Bag Discharged (Truck)]]</f>
        <v>53729</v>
      </c>
      <c r="AT30" s="67">
        <f t="shared" si="5"/>
        <v>53729</v>
      </c>
      <c r="AU30" s="69"/>
      <c r="AV30" s="70">
        <v>21</v>
      </c>
      <c r="AW30" s="70">
        <v>22</v>
      </c>
      <c r="AX30" s="70">
        <v>0</v>
      </c>
      <c r="AY30" s="71">
        <f t="shared" si="6"/>
        <v>43</v>
      </c>
      <c r="AZ30" s="70">
        <v>250</v>
      </c>
      <c r="BA30" s="70">
        <v>16</v>
      </c>
      <c r="BB30" s="70">
        <v>8</v>
      </c>
      <c r="BC30" s="63">
        <f t="shared" si="12"/>
        <v>274</v>
      </c>
      <c r="BD30" s="72">
        <f>SUM(Table22[[#This Row],[Good Kernel (gm)]]+(Table22[[#This Row],[Immature (gm)]]+Table22[[#This Row],[Spotted (gm)]])/2)*0.176</f>
        <v>46.111999999999995</v>
      </c>
      <c r="BE30" s="72">
        <v>46.11</v>
      </c>
      <c r="BF30" s="72">
        <f t="shared" si="13"/>
        <v>48.325380000000003</v>
      </c>
      <c r="BG30" s="72">
        <f t="shared" si="7"/>
        <v>52.029150000000001</v>
      </c>
      <c r="BH30" s="72">
        <f>SUM(Table22[[#This Row],[Good Kernel (gm)]:[Spotted (gm)]])/1000*100</f>
        <v>27.400000000000002</v>
      </c>
      <c r="BI30" s="72">
        <f t="shared" si="8"/>
        <v>29.5</v>
      </c>
      <c r="BJ30" s="72">
        <v>10.199999999999999</v>
      </c>
      <c r="BK30" s="51">
        <v>174</v>
      </c>
      <c r="BL30" s="73">
        <v>620</v>
      </c>
      <c r="BM30" s="70">
        <v>25</v>
      </c>
      <c r="BN30" s="74"/>
      <c r="BO30" s="70">
        <v>18</v>
      </c>
      <c r="BP30" s="70">
        <v>2</v>
      </c>
      <c r="BQ30" s="71">
        <f t="shared" si="9"/>
        <v>45</v>
      </c>
      <c r="BR30" s="70">
        <v>250</v>
      </c>
      <c r="BS30" s="70">
        <v>18</v>
      </c>
      <c r="BT30" s="70">
        <v>6</v>
      </c>
      <c r="BU30" s="63">
        <f t="shared" si="14"/>
        <v>274</v>
      </c>
      <c r="BV30" s="72">
        <f>SUM(Table22[[#This Row],[Good Kernel (G M)]]+(Table22[[#This Row],[Immature (g m)]]+Table22[[#This Row],[Spotted (g m)]])/2)*0.176</f>
        <v>46.111999999999995</v>
      </c>
      <c r="BW30" s="72">
        <v>46.28</v>
      </c>
      <c r="BX30" s="72"/>
      <c r="BY30" s="72">
        <f t="shared" si="15"/>
        <v>48.325380000000003</v>
      </c>
      <c r="BZ30" s="72">
        <f t="shared" si="16"/>
        <v>53.08737</v>
      </c>
      <c r="CA30" s="72">
        <f>SUM(Table22[[#This Row],[Good Kernel (G M)]:[Spotted (g m)]])/1000*100</f>
        <v>27.400000000000002</v>
      </c>
      <c r="CB30" s="72">
        <f>(Table22[[#This Row],[BROWNS/Rejection (gm) (NUT)]]+Table22[[#This Row],[OIL (g m)]]+Table22[[#This Row],[Good Kernel (G M)]]+Table22[[#This Row],[Immature (g m)]]+Table22[[#This Row],[Spotted (g m)]])/1000*100</f>
        <v>30.099999999999998</v>
      </c>
      <c r="CC30" s="72">
        <v>10.3</v>
      </c>
      <c r="CD30" s="51">
        <v>173</v>
      </c>
      <c r="CE30" s="73">
        <v>608</v>
      </c>
      <c r="CH30" s="184">
        <f ca="1">TODAY()-Table22[[#This Row],[Discharge Date]]</f>
        <v>161</v>
      </c>
    </row>
    <row r="31" spans="1:86" x14ac:dyDescent="0.25">
      <c r="A31" s="50">
        <v>27</v>
      </c>
      <c r="B31" s="51" t="s">
        <v>95</v>
      </c>
      <c r="C31" s="52" t="s">
        <v>96</v>
      </c>
      <c r="D31" s="54">
        <v>27</v>
      </c>
      <c r="E31" s="85"/>
      <c r="F31" s="86">
        <v>877</v>
      </c>
      <c r="G31" s="54"/>
      <c r="H31" s="54"/>
      <c r="I31" s="54"/>
      <c r="J31" s="54"/>
      <c r="K31" s="54" t="s">
        <v>634</v>
      </c>
      <c r="L31" s="54" t="s">
        <v>98</v>
      </c>
      <c r="M31" s="57">
        <v>82104</v>
      </c>
      <c r="N31" s="57" t="s">
        <v>676</v>
      </c>
      <c r="O31" s="54" t="s">
        <v>135</v>
      </c>
      <c r="P31" s="58">
        <v>46094</v>
      </c>
      <c r="Q31" s="58">
        <v>46094</v>
      </c>
      <c r="R31" s="51" t="s">
        <v>100</v>
      </c>
      <c r="S31" s="59" t="s">
        <v>101</v>
      </c>
      <c r="T31" s="59"/>
      <c r="U31" s="59"/>
      <c r="V31" s="51" t="s">
        <v>102</v>
      </c>
      <c r="W31" s="51">
        <v>574</v>
      </c>
      <c r="X31" s="51">
        <v>86</v>
      </c>
      <c r="Y31" s="60">
        <f t="shared" si="10"/>
        <v>660</v>
      </c>
      <c r="Z31" s="51">
        <v>90</v>
      </c>
      <c r="AA31" s="61">
        <f t="shared" si="17"/>
        <v>664</v>
      </c>
      <c r="AB31" s="51">
        <f t="shared" si="18"/>
        <v>90</v>
      </c>
      <c r="AC31" s="89">
        <v>640</v>
      </c>
      <c r="AD31" s="63">
        <v>0</v>
      </c>
      <c r="AE31" s="63">
        <v>20</v>
      </c>
      <c r="AF31" s="63">
        <v>90</v>
      </c>
      <c r="AG31" s="63"/>
      <c r="AH31" s="64">
        <v>660</v>
      </c>
      <c r="AI31" s="62">
        <v>0</v>
      </c>
      <c r="AJ31" s="62">
        <v>0</v>
      </c>
      <c r="AK31" s="62">
        <v>660</v>
      </c>
      <c r="AL31" s="62">
        <f t="shared" si="23"/>
        <v>660</v>
      </c>
      <c r="AM31" s="65">
        <v>52940</v>
      </c>
      <c r="AN31" s="64">
        <f t="shared" si="24"/>
        <v>740</v>
      </c>
      <c r="AO31" s="77">
        <f t="shared" si="22"/>
        <v>52280</v>
      </c>
      <c r="AP31" s="77">
        <f t="shared" si="21"/>
        <v>52200</v>
      </c>
      <c r="AQ31" s="77">
        <f t="shared" si="25"/>
        <v>52200</v>
      </c>
      <c r="AR31" s="67">
        <f t="shared" si="4"/>
        <v>80</v>
      </c>
      <c r="AS31" s="68">
        <f>Table22[[#This Row],[GROSS WT]]-Table22[[#This Row],[Total Bag Discharged (Truck)]]</f>
        <v>52280</v>
      </c>
      <c r="AT31" s="67">
        <f t="shared" si="5"/>
        <v>52280</v>
      </c>
      <c r="AU31" s="69"/>
      <c r="AV31" s="70">
        <v>22</v>
      </c>
      <c r="AW31" s="70">
        <v>21</v>
      </c>
      <c r="AX31" s="70">
        <v>3</v>
      </c>
      <c r="AY31" s="71">
        <f t="shared" si="6"/>
        <v>46</v>
      </c>
      <c r="AZ31" s="70">
        <v>247</v>
      </c>
      <c r="BA31" s="70">
        <v>18</v>
      </c>
      <c r="BB31" s="70">
        <v>8</v>
      </c>
      <c r="BC31" s="63">
        <f t="shared" si="12"/>
        <v>273</v>
      </c>
      <c r="BD31" s="72">
        <f>SUM(Table22[[#This Row],[Good Kernel (gm)]]+(Table22[[#This Row],[Immature (gm)]]+Table22[[#This Row],[Spotted (gm)]])/2)*0.176</f>
        <v>45.76</v>
      </c>
      <c r="BE31" s="72">
        <v>45.76</v>
      </c>
      <c r="BF31" s="72">
        <f t="shared" si="13"/>
        <v>48.149009999999997</v>
      </c>
      <c r="BG31" s="72">
        <f t="shared" si="7"/>
        <v>52.558259999999997</v>
      </c>
      <c r="BH31" s="72">
        <f>SUM(Table22[[#This Row],[Good Kernel (gm)]:[Spotted (gm)]])/1000*100</f>
        <v>27.3</v>
      </c>
      <c r="BI31" s="72">
        <f t="shared" si="8"/>
        <v>29.799999999999997</v>
      </c>
      <c r="BJ31" s="72">
        <v>11</v>
      </c>
      <c r="BK31" s="51">
        <v>186</v>
      </c>
      <c r="BL31" s="73">
        <v>616</v>
      </c>
      <c r="BM31" s="70">
        <v>23</v>
      </c>
      <c r="BN31" s="74"/>
      <c r="BO31" s="70">
        <v>10</v>
      </c>
      <c r="BP31" s="70">
        <v>4</v>
      </c>
      <c r="BQ31" s="71">
        <f t="shared" si="9"/>
        <v>37</v>
      </c>
      <c r="BR31" s="70">
        <v>248</v>
      </c>
      <c r="BS31" s="70">
        <v>16</v>
      </c>
      <c r="BT31" s="70">
        <v>6</v>
      </c>
      <c r="BU31" s="63">
        <f t="shared" si="14"/>
        <v>270</v>
      </c>
      <c r="BV31" s="72">
        <f>SUM(Table22[[#This Row],[Good Kernel (G M)]]+(Table22[[#This Row],[Immature (g m)]]+Table22[[#This Row],[Spotted (g m)]])/2)*0.176</f>
        <v>45.583999999999996</v>
      </c>
      <c r="BW31" s="72">
        <v>45.58</v>
      </c>
      <c r="BX31" s="72"/>
      <c r="BY31" s="72">
        <f t="shared" si="15"/>
        <v>47.619900000000001</v>
      </c>
      <c r="BZ31" s="72">
        <f t="shared" si="16"/>
        <v>52.381889999999999</v>
      </c>
      <c r="CA31" s="72">
        <f>SUM(Table22[[#This Row],[Good Kernel (G M)]:[Spotted (g m)]])/1000*100</f>
        <v>27</v>
      </c>
      <c r="CB3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31" s="72">
        <v>9.9</v>
      </c>
      <c r="CD31" s="51">
        <v>175</v>
      </c>
      <c r="CE31" s="73">
        <v>614</v>
      </c>
      <c r="CH31" s="184">
        <f ca="1">TODAY()-Table22[[#This Row],[Discharge Date]]</f>
        <v>161</v>
      </c>
    </row>
    <row r="32" spans="1:86" x14ac:dyDescent="0.25">
      <c r="A32" s="50">
        <v>28</v>
      </c>
      <c r="B32" s="51" t="s">
        <v>95</v>
      </c>
      <c r="C32" s="52" t="s">
        <v>96</v>
      </c>
      <c r="D32" s="54">
        <v>28</v>
      </c>
      <c r="E32" s="85"/>
      <c r="F32" s="86">
        <v>878</v>
      </c>
      <c r="G32" s="54"/>
      <c r="H32" s="54"/>
      <c r="I32" s="54"/>
      <c r="J32" s="54"/>
      <c r="K32" s="54" t="s">
        <v>634</v>
      </c>
      <c r="L32" s="54" t="s">
        <v>98</v>
      </c>
      <c r="M32" s="57">
        <v>82108</v>
      </c>
      <c r="N32" s="57" t="s">
        <v>676</v>
      </c>
      <c r="O32" s="54" t="s">
        <v>136</v>
      </c>
      <c r="P32" s="58">
        <v>46095</v>
      </c>
      <c r="Q32" s="58">
        <v>46095</v>
      </c>
      <c r="R32" s="51" t="s">
        <v>100</v>
      </c>
      <c r="S32" s="59" t="s">
        <v>101</v>
      </c>
      <c r="T32" s="59"/>
      <c r="U32" s="59"/>
      <c r="V32" s="51" t="s">
        <v>102</v>
      </c>
      <c r="W32" s="51">
        <v>450</v>
      </c>
      <c r="X32" s="51">
        <v>56</v>
      </c>
      <c r="Y32" s="60">
        <f t="shared" si="10"/>
        <v>506</v>
      </c>
      <c r="Z32" s="51">
        <v>53</v>
      </c>
      <c r="AA32" s="61">
        <f t="shared" si="17"/>
        <v>503</v>
      </c>
      <c r="AB32" s="51">
        <f t="shared" si="18"/>
        <v>53</v>
      </c>
      <c r="AC32" s="89">
        <v>486</v>
      </c>
      <c r="AD32" s="63">
        <v>0</v>
      </c>
      <c r="AE32" s="63">
        <v>20</v>
      </c>
      <c r="AF32" s="63">
        <v>53</v>
      </c>
      <c r="AG32" s="63"/>
      <c r="AH32" s="64">
        <v>506</v>
      </c>
      <c r="AI32" s="62">
        <v>0</v>
      </c>
      <c r="AJ32" s="62">
        <v>0</v>
      </c>
      <c r="AK32" s="62">
        <v>506</v>
      </c>
      <c r="AL32" s="62">
        <f>+AI32+AJ32+AK32</f>
        <v>506</v>
      </c>
      <c r="AM32" s="65">
        <v>39300</v>
      </c>
      <c r="AN32" s="64">
        <f t="shared" si="24"/>
        <v>586</v>
      </c>
      <c r="AO32" s="77">
        <f t="shared" si="22"/>
        <v>38794</v>
      </c>
      <c r="AP32" s="77">
        <f t="shared" si="21"/>
        <v>38714</v>
      </c>
      <c r="AQ32" s="77">
        <f t="shared" si="25"/>
        <v>38714</v>
      </c>
      <c r="AR32" s="67">
        <f t="shared" si="4"/>
        <v>80</v>
      </c>
      <c r="AS32" s="68">
        <f>Table22[[#This Row],[GROSS WT]]-Table22[[#This Row],[Total Bag Discharged (Truck)]]</f>
        <v>38794</v>
      </c>
      <c r="AT32" s="67">
        <f t="shared" si="5"/>
        <v>38794</v>
      </c>
      <c r="AU32" s="69"/>
      <c r="AV32" s="70">
        <v>10</v>
      </c>
      <c r="AW32" s="70">
        <v>19</v>
      </c>
      <c r="AX32" s="70">
        <v>4</v>
      </c>
      <c r="AY32" s="71">
        <f t="shared" si="6"/>
        <v>33</v>
      </c>
      <c r="AZ32" s="70">
        <v>250</v>
      </c>
      <c r="BA32" s="70">
        <v>18</v>
      </c>
      <c r="BB32" s="70">
        <v>6</v>
      </c>
      <c r="BC32" s="63">
        <f t="shared" si="12"/>
        <v>274</v>
      </c>
      <c r="BD32" s="72">
        <f>SUM(Table22[[#This Row],[Good Kernel (gm)]]+(Table22[[#This Row],[Immature (gm)]]+Table22[[#This Row],[Spotted (gm)]])/2)*0.176</f>
        <v>46.111999999999995</v>
      </c>
      <c r="BE32" s="72">
        <v>46.11</v>
      </c>
      <c r="BF32" s="72">
        <f t="shared" si="13"/>
        <v>48.325380000000003</v>
      </c>
      <c r="BG32" s="72">
        <f t="shared" si="7"/>
        <v>50.794559999999997</v>
      </c>
      <c r="BH32" s="72">
        <f>SUM(Table22[[#This Row],[Good Kernel (gm)]:[Spotted (gm)]])/1000*100</f>
        <v>27.400000000000002</v>
      </c>
      <c r="BI32" s="72">
        <f t="shared" si="8"/>
        <v>28.799999999999997</v>
      </c>
      <c r="BJ32" s="72">
        <v>10.9</v>
      </c>
      <c r="BK32" s="51">
        <v>178</v>
      </c>
      <c r="BL32" s="73">
        <v>635</v>
      </c>
      <c r="BM32" s="70">
        <v>23</v>
      </c>
      <c r="BN32" s="74"/>
      <c r="BO32" s="70">
        <v>19</v>
      </c>
      <c r="BP32" s="70">
        <v>4</v>
      </c>
      <c r="BQ32" s="71">
        <f t="shared" si="9"/>
        <v>46</v>
      </c>
      <c r="BR32" s="70">
        <v>251</v>
      </c>
      <c r="BS32" s="70">
        <v>14</v>
      </c>
      <c r="BT32" s="70">
        <v>10</v>
      </c>
      <c r="BU32" s="63">
        <f t="shared" si="14"/>
        <v>275</v>
      </c>
      <c r="BV32" s="72">
        <f>SUM(Table22[[#This Row],[Good Kernel (G M)]]+(Table22[[#This Row],[Immature (g m)]]+Table22[[#This Row],[Spotted (g m)]])/2)*0.176</f>
        <v>46.287999999999997</v>
      </c>
      <c r="BW32" s="72">
        <v>46.28</v>
      </c>
      <c r="BX32" s="72"/>
      <c r="BY32" s="72">
        <f t="shared" si="15"/>
        <v>48.501750000000001</v>
      </c>
      <c r="BZ32" s="72">
        <f t="shared" si="16"/>
        <v>53.263739999999999</v>
      </c>
      <c r="CA32" s="72">
        <f>SUM(Table22[[#This Row],[Good Kernel (G M)]:[Spotted (g m)]])/1000*100</f>
        <v>27.500000000000004</v>
      </c>
      <c r="CB32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32" s="72">
        <v>10.1</v>
      </c>
      <c r="CD32" s="51">
        <v>171</v>
      </c>
      <c r="CE32" s="73">
        <v>601</v>
      </c>
      <c r="CH32" s="184">
        <f ca="1">TODAY()-Table22[[#This Row],[Discharge Date]]</f>
        <v>160</v>
      </c>
    </row>
    <row r="33" spans="1:86" x14ac:dyDescent="0.25">
      <c r="A33" s="50">
        <v>29</v>
      </c>
      <c r="B33" s="51" t="s">
        <v>95</v>
      </c>
      <c r="C33" s="52" t="s">
        <v>96</v>
      </c>
      <c r="D33" s="54">
        <v>29</v>
      </c>
      <c r="E33" s="92" t="s">
        <v>130</v>
      </c>
      <c r="F33" s="86">
        <v>879</v>
      </c>
      <c r="G33" s="54"/>
      <c r="H33" s="54"/>
      <c r="I33" s="54"/>
      <c r="J33" s="54"/>
      <c r="K33" s="54" t="s">
        <v>634</v>
      </c>
      <c r="L33" s="54" t="s">
        <v>98</v>
      </c>
      <c r="M33" s="57">
        <v>82146</v>
      </c>
      <c r="N33" s="57" t="s">
        <v>680</v>
      </c>
      <c r="O33" s="54" t="s">
        <v>137</v>
      </c>
      <c r="P33" s="58">
        <v>46097</v>
      </c>
      <c r="Q33" s="58">
        <v>46097</v>
      </c>
      <c r="R33" s="51" t="s">
        <v>138</v>
      </c>
      <c r="S33" s="59" t="s">
        <v>139</v>
      </c>
      <c r="T33" s="94" t="s">
        <v>534</v>
      </c>
      <c r="U33" s="94"/>
      <c r="V33" s="56" t="s">
        <v>140</v>
      </c>
      <c r="W33" s="51">
        <v>453</v>
      </c>
      <c r="X33" s="51">
        <v>14</v>
      </c>
      <c r="Y33" s="60">
        <f t="shared" si="10"/>
        <v>467</v>
      </c>
      <c r="Z33" s="51">
        <v>19</v>
      </c>
      <c r="AA33" s="61">
        <f>W33+Z33</f>
        <v>472</v>
      </c>
      <c r="AB33" s="51">
        <f t="shared" si="18"/>
        <v>19</v>
      </c>
      <c r="AC33" s="88">
        <v>453</v>
      </c>
      <c r="AD33" s="63">
        <v>0</v>
      </c>
      <c r="AE33" s="63">
        <v>14</v>
      </c>
      <c r="AF33" s="63">
        <v>19</v>
      </c>
      <c r="AG33" s="63"/>
      <c r="AH33" s="64">
        <v>466</v>
      </c>
      <c r="AI33" s="62"/>
      <c r="AJ33" s="62"/>
      <c r="AK33" s="62">
        <v>466</v>
      </c>
      <c r="AL33" s="62">
        <v>466</v>
      </c>
      <c r="AM33" s="67">
        <v>39700</v>
      </c>
      <c r="AN33" s="64">
        <f t="shared" si="24"/>
        <v>522</v>
      </c>
      <c r="AO33" s="77">
        <f t="shared" si="22"/>
        <v>39234</v>
      </c>
      <c r="AP33" s="77">
        <f t="shared" si="21"/>
        <v>39178</v>
      </c>
      <c r="AQ33" s="77">
        <f t="shared" si="25"/>
        <v>39178</v>
      </c>
      <c r="AR33" s="67">
        <f t="shared" si="4"/>
        <v>56</v>
      </c>
      <c r="AS33" s="68">
        <f>Table22[[#This Row],[GROSS WT]]-Table22[[#This Row],[Total Bag Discharged (Truck)]]</f>
        <v>39233</v>
      </c>
      <c r="AT33" s="67">
        <f t="shared" si="5"/>
        <v>39234</v>
      </c>
      <c r="AU33" s="69"/>
      <c r="AV33" s="70">
        <v>23</v>
      </c>
      <c r="AW33" s="70">
        <v>11</v>
      </c>
      <c r="AX33" s="70"/>
      <c r="AY33" s="71">
        <f t="shared" si="6"/>
        <v>34</v>
      </c>
      <c r="AZ33" s="70">
        <v>243</v>
      </c>
      <c r="BA33" s="70">
        <v>18</v>
      </c>
      <c r="BB33" s="70">
        <v>10</v>
      </c>
      <c r="BC33" s="63">
        <f t="shared" si="12"/>
        <v>271</v>
      </c>
      <c r="BD33" s="72">
        <f>SUM(Table22[[#This Row],[Good Kernel (gm)]]+(Table22[[#This Row],[Immature (gm)]]+Table22[[#This Row],[Spotted (gm)]])/2)*0.176</f>
        <v>45.231999999999999</v>
      </c>
      <c r="BE33" s="72">
        <v>45.23</v>
      </c>
      <c r="BF33" s="72">
        <f t="shared" si="13"/>
        <v>47.79627</v>
      </c>
      <c r="BG33" s="72">
        <f t="shared" si="7"/>
        <v>51.852780000000003</v>
      </c>
      <c r="BH33" s="72">
        <f>SUM(Table22[[#This Row],[Good Kernel (gm)]:[Spotted (gm)]])/1000*100</f>
        <v>27.1</v>
      </c>
      <c r="BI33" s="72">
        <f t="shared" si="8"/>
        <v>29.4</v>
      </c>
      <c r="BJ33" s="72">
        <v>12.6</v>
      </c>
      <c r="BK33" s="51">
        <v>174</v>
      </c>
      <c r="BL33" s="73"/>
      <c r="BM33" s="70">
        <v>21</v>
      </c>
      <c r="BN33" s="74"/>
      <c r="BO33" s="70">
        <v>9</v>
      </c>
      <c r="BP33" s="70">
        <v>3</v>
      </c>
      <c r="BQ33" s="71">
        <f t="shared" si="9"/>
        <v>33</v>
      </c>
      <c r="BR33" s="70">
        <v>240</v>
      </c>
      <c r="BS33" s="70">
        <v>22</v>
      </c>
      <c r="BT33" s="70">
        <v>10</v>
      </c>
      <c r="BU33" s="63">
        <f t="shared" si="14"/>
        <v>272</v>
      </c>
      <c r="BV33" s="72">
        <f>SUM(Table22[[#This Row],[Good Kernel (G M)]]+(Table22[[#This Row],[Immature (g m)]]+Table22[[#This Row],[Spotted (g m)]])/2)*0.176</f>
        <v>45.055999999999997</v>
      </c>
      <c r="BW33" s="72">
        <v>45.05</v>
      </c>
      <c r="BX33" s="93">
        <v>45.5</v>
      </c>
      <c r="BY33" s="72">
        <f t="shared" si="15"/>
        <v>47.972639999999998</v>
      </c>
      <c r="BZ33" s="72">
        <f t="shared" si="16"/>
        <v>52.20552</v>
      </c>
      <c r="CA33" s="72">
        <f>SUM(Table22[[#This Row],[Good Kernel (G M)]:[Spotted (g m)]])/1000*100</f>
        <v>27.200000000000003</v>
      </c>
      <c r="CB33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33" s="72">
        <v>12.6</v>
      </c>
      <c r="CD33" s="51">
        <v>176</v>
      </c>
      <c r="CE33" s="73">
        <v>620</v>
      </c>
      <c r="CH33" s="184">
        <f ca="1">TODAY()-Table22[[#This Row],[Discharge Date]]</f>
        <v>158</v>
      </c>
    </row>
    <row r="34" spans="1:86" x14ac:dyDescent="0.25">
      <c r="A34" s="50">
        <v>30</v>
      </c>
      <c r="B34" s="51" t="s">
        <v>95</v>
      </c>
      <c r="C34" s="52" t="s">
        <v>96</v>
      </c>
      <c r="D34" s="54">
        <v>30</v>
      </c>
      <c r="E34" s="85"/>
      <c r="F34" s="86">
        <v>880</v>
      </c>
      <c r="G34" s="54"/>
      <c r="H34" s="54"/>
      <c r="I34" s="54"/>
      <c r="J34" s="54"/>
      <c r="K34" s="54" t="s">
        <v>634</v>
      </c>
      <c r="L34" s="54" t="s">
        <v>98</v>
      </c>
      <c r="M34" s="57">
        <v>82109</v>
      </c>
      <c r="N34" s="57" t="s">
        <v>676</v>
      </c>
      <c r="O34" s="54" t="s">
        <v>141</v>
      </c>
      <c r="P34" s="58">
        <v>46097</v>
      </c>
      <c r="Q34" s="58">
        <v>46097</v>
      </c>
      <c r="R34" s="51" t="s">
        <v>100</v>
      </c>
      <c r="S34" s="59" t="s">
        <v>101</v>
      </c>
      <c r="T34" s="59"/>
      <c r="U34" s="59"/>
      <c r="V34" s="51" t="s">
        <v>102</v>
      </c>
      <c r="W34" s="51">
        <v>691</v>
      </c>
      <c r="X34" s="51">
        <v>22</v>
      </c>
      <c r="Y34" s="60">
        <f t="shared" si="10"/>
        <v>713</v>
      </c>
      <c r="Z34" s="51">
        <v>177</v>
      </c>
      <c r="AA34" s="61">
        <f t="shared" si="17"/>
        <v>868</v>
      </c>
      <c r="AB34" s="51">
        <f t="shared" si="18"/>
        <v>177</v>
      </c>
      <c r="AC34" s="89">
        <f>W34</f>
        <v>691</v>
      </c>
      <c r="AD34" s="63"/>
      <c r="AE34" s="63">
        <v>22</v>
      </c>
      <c r="AF34" s="63">
        <v>177</v>
      </c>
      <c r="AG34" s="63"/>
      <c r="AH34" s="64">
        <f>AC34+AE34</f>
        <v>713</v>
      </c>
      <c r="AI34" s="62"/>
      <c r="AJ34" s="62"/>
      <c r="AK34" s="62"/>
      <c r="AL34" s="62">
        <v>713</v>
      </c>
      <c r="AM34" s="65">
        <v>53060</v>
      </c>
      <c r="AN34" s="64">
        <f t="shared" si="24"/>
        <v>801</v>
      </c>
      <c r="AO34" s="77">
        <f t="shared" si="22"/>
        <v>52347</v>
      </c>
      <c r="AP34" s="77">
        <f t="shared" si="21"/>
        <v>52259</v>
      </c>
      <c r="AQ34" s="77">
        <f t="shared" si="25"/>
        <v>52259</v>
      </c>
      <c r="AR34" s="67">
        <f t="shared" si="4"/>
        <v>88</v>
      </c>
      <c r="AS34" s="68">
        <f>Table22[[#This Row],[GROSS WT]]-Table22[[#This Row],[Total Bag Discharged (Truck)]]</f>
        <v>52347</v>
      </c>
      <c r="AT34" s="67">
        <f t="shared" si="5"/>
        <v>52347</v>
      </c>
      <c r="AU34" s="69"/>
      <c r="AV34" s="70">
        <v>31</v>
      </c>
      <c r="AW34" s="70">
        <v>18</v>
      </c>
      <c r="AX34" s="70">
        <v>5</v>
      </c>
      <c r="AY34" s="71">
        <f t="shared" si="6"/>
        <v>54</v>
      </c>
      <c r="AZ34" s="70">
        <v>249</v>
      </c>
      <c r="BA34" s="70">
        <v>8</v>
      </c>
      <c r="BB34" s="70">
        <v>6</v>
      </c>
      <c r="BC34" s="63">
        <f t="shared" si="12"/>
        <v>263</v>
      </c>
      <c r="BD34" s="72">
        <f>SUM(Table22[[#This Row],[Good Kernel (gm)]]+(Table22[[#This Row],[Immature (gm)]]+Table22[[#This Row],[Spotted (gm)]])/2)*0.176</f>
        <v>45.055999999999997</v>
      </c>
      <c r="BE34" s="72">
        <v>45.05</v>
      </c>
      <c r="BF34" s="72">
        <f t="shared" si="13"/>
        <v>46.385309999999997</v>
      </c>
      <c r="BG34" s="72">
        <f t="shared" si="7"/>
        <v>52.734630000000003</v>
      </c>
      <c r="BH34" s="72">
        <f>SUM(Table22[[#This Row],[Good Kernel (gm)]:[Spotted (gm)]])/1000*100</f>
        <v>26.3</v>
      </c>
      <c r="BI34" s="72">
        <f t="shared" si="8"/>
        <v>29.9</v>
      </c>
      <c r="BJ34" s="72">
        <v>10.8</v>
      </c>
      <c r="BK34" s="51">
        <v>193</v>
      </c>
      <c r="BL34" s="73">
        <v>591</v>
      </c>
      <c r="BM34" s="70">
        <v>22</v>
      </c>
      <c r="BN34" s="74"/>
      <c r="BO34" s="70">
        <v>22</v>
      </c>
      <c r="BP34" s="70">
        <v>4</v>
      </c>
      <c r="BQ34" s="71">
        <f t="shared" si="9"/>
        <v>48</v>
      </c>
      <c r="BR34" s="70">
        <v>250</v>
      </c>
      <c r="BS34" s="70">
        <v>14</v>
      </c>
      <c r="BT34" s="70">
        <v>10</v>
      </c>
      <c r="BU34" s="63">
        <f t="shared" si="14"/>
        <v>274</v>
      </c>
      <c r="BV34" s="72">
        <f>SUM(Table22[[#This Row],[Good Kernel (G M)]]+(Table22[[#This Row],[Immature (g m)]]+Table22[[#This Row],[Spotted (g m)]])/2)*0.176</f>
        <v>46.111999999999995</v>
      </c>
      <c r="BW34" s="72">
        <v>46.11</v>
      </c>
      <c r="BX34" s="72"/>
      <c r="BY34" s="72">
        <f t="shared" si="15"/>
        <v>48.325380000000003</v>
      </c>
      <c r="BZ34" s="72">
        <f t="shared" si="16"/>
        <v>52.911000000000001</v>
      </c>
      <c r="CA34" s="72">
        <f>SUM(Table22[[#This Row],[Good Kernel (G M)]:[Spotted (g m)]])/1000*100</f>
        <v>27.400000000000002</v>
      </c>
      <c r="CB34" s="72">
        <f>(Table22[[#This Row],[BROWNS/Rejection (gm) (NUT)]]+Table22[[#This Row],[OIL (g m)]]+Table22[[#This Row],[Good Kernel (G M)]]+Table22[[#This Row],[Immature (g m)]]+Table22[[#This Row],[Spotted (g m)]])/1000*100</f>
        <v>30</v>
      </c>
      <c r="CC34" s="72">
        <v>10.6</v>
      </c>
      <c r="CD34" s="51">
        <v>188</v>
      </c>
      <c r="CE34" s="73">
        <v>596</v>
      </c>
      <c r="CH34" s="184">
        <f ca="1">TODAY()-Table22[[#This Row],[Discharge Date]]</f>
        <v>158</v>
      </c>
    </row>
    <row r="35" spans="1:86" x14ac:dyDescent="0.25">
      <c r="A35" s="50">
        <v>31</v>
      </c>
      <c r="B35" s="51" t="s">
        <v>95</v>
      </c>
      <c r="C35" s="52" t="s">
        <v>96</v>
      </c>
      <c r="D35" s="54">
        <v>31</v>
      </c>
      <c r="E35" s="85"/>
      <c r="F35" s="86">
        <v>881</v>
      </c>
      <c r="G35" s="54"/>
      <c r="H35" s="54"/>
      <c r="I35" s="54"/>
      <c r="J35" s="54"/>
      <c r="K35" s="54" t="s">
        <v>634</v>
      </c>
      <c r="L35" s="54" t="s">
        <v>98</v>
      </c>
      <c r="M35" s="57">
        <v>82163</v>
      </c>
      <c r="N35" s="57" t="s">
        <v>679</v>
      </c>
      <c r="O35" s="54" t="s">
        <v>142</v>
      </c>
      <c r="P35" s="58">
        <v>46097</v>
      </c>
      <c r="Q35" s="58">
        <v>46097</v>
      </c>
      <c r="R35" s="51" t="s">
        <v>100</v>
      </c>
      <c r="S35" s="59" t="s">
        <v>107</v>
      </c>
      <c r="T35" s="51"/>
      <c r="U35" s="51"/>
      <c r="V35" s="51" t="s">
        <v>108</v>
      </c>
      <c r="W35" s="51">
        <v>572</v>
      </c>
      <c r="X35" s="51">
        <v>5</v>
      </c>
      <c r="Y35" s="60">
        <f t="shared" si="10"/>
        <v>577</v>
      </c>
      <c r="Z35" s="51">
        <v>5</v>
      </c>
      <c r="AA35" s="61">
        <f>W35+Z35</f>
        <v>577</v>
      </c>
      <c r="AB35" s="51">
        <f t="shared" si="18"/>
        <v>5</v>
      </c>
      <c r="AC35" s="89">
        <v>572</v>
      </c>
      <c r="AD35" s="63"/>
      <c r="AE35" s="63">
        <v>5</v>
      </c>
      <c r="AF35" s="63">
        <v>5</v>
      </c>
      <c r="AG35" s="63"/>
      <c r="AH35" s="64">
        <v>577</v>
      </c>
      <c r="AI35" s="62"/>
      <c r="AJ35" s="62"/>
      <c r="AK35" s="62">
        <v>577</v>
      </c>
      <c r="AL35" s="62">
        <v>577</v>
      </c>
      <c r="AM35" s="65">
        <v>46240</v>
      </c>
      <c r="AN35" s="64">
        <f t="shared" si="24"/>
        <v>597</v>
      </c>
      <c r="AO35" s="77">
        <f t="shared" si="22"/>
        <v>45663</v>
      </c>
      <c r="AP35" s="77">
        <f t="shared" si="21"/>
        <v>45643</v>
      </c>
      <c r="AQ35" s="77">
        <f t="shared" si="25"/>
        <v>45643</v>
      </c>
      <c r="AR35" s="67">
        <f t="shared" si="4"/>
        <v>20</v>
      </c>
      <c r="AS35" s="68">
        <f>Table22[[#This Row],[GROSS WT]]-Table22[[#This Row],[Total Bag Discharged (Truck)]]</f>
        <v>45663</v>
      </c>
      <c r="AT35" s="67">
        <f t="shared" si="5"/>
        <v>45663</v>
      </c>
      <c r="AU35" s="69"/>
      <c r="AV35" s="70">
        <v>28</v>
      </c>
      <c r="AW35" s="70">
        <v>14</v>
      </c>
      <c r="AX35" s="70">
        <v>2</v>
      </c>
      <c r="AY35" s="71">
        <f t="shared" si="6"/>
        <v>44</v>
      </c>
      <c r="AZ35" s="70">
        <v>243</v>
      </c>
      <c r="BA35" s="70">
        <v>15</v>
      </c>
      <c r="BB35" s="70">
        <v>12</v>
      </c>
      <c r="BC35" s="63">
        <f t="shared" si="12"/>
        <v>270</v>
      </c>
      <c r="BD35" s="72">
        <f>SUM(Table22[[#This Row],[Good Kernel (gm)]]+(Table22[[#This Row],[Immature (gm)]]+Table22[[#This Row],[Spotted (gm)]])/2)*0.176</f>
        <v>45.143999999999998</v>
      </c>
      <c r="BE35" s="72">
        <v>45.15</v>
      </c>
      <c r="BF35" s="72">
        <f t="shared" si="13"/>
        <v>47.619900000000001</v>
      </c>
      <c r="BG35" s="72">
        <f t="shared" si="7"/>
        <v>52.911000000000001</v>
      </c>
      <c r="BH35" s="72">
        <f>SUM(Table22[[#This Row],[Good Kernel (gm)]:[Spotted (gm)]])/1000*100</f>
        <v>27</v>
      </c>
      <c r="BI35" s="72">
        <f t="shared" si="8"/>
        <v>30</v>
      </c>
      <c r="BJ35" s="72">
        <v>10.6</v>
      </c>
      <c r="BK35" s="51">
        <v>180</v>
      </c>
      <c r="BL35" s="73">
        <v>600</v>
      </c>
      <c r="BM35" s="70">
        <v>25</v>
      </c>
      <c r="BN35" s="74"/>
      <c r="BO35" s="70">
        <v>27</v>
      </c>
      <c r="BP35" s="70">
        <v>0</v>
      </c>
      <c r="BQ35" s="71">
        <f t="shared" si="9"/>
        <v>52</v>
      </c>
      <c r="BR35" s="70">
        <v>246</v>
      </c>
      <c r="BS35" s="70">
        <v>16</v>
      </c>
      <c r="BT35" s="70">
        <v>10</v>
      </c>
      <c r="BU35" s="63">
        <f t="shared" si="14"/>
        <v>272</v>
      </c>
      <c r="BV35" s="72">
        <f>SUM(Table22[[#This Row],[Good Kernel (G M)]]+(Table22[[#This Row],[Immature (g m)]]+Table22[[#This Row],[Spotted (g m)]])/2)*0.176</f>
        <v>45.583999999999996</v>
      </c>
      <c r="BW35" s="72">
        <v>45.58</v>
      </c>
      <c r="BX35" s="72"/>
      <c r="BY35" s="72">
        <f t="shared" si="15"/>
        <v>47.972639999999998</v>
      </c>
      <c r="BZ35" s="72">
        <f t="shared" si="16"/>
        <v>52.381889999999999</v>
      </c>
      <c r="CA35" s="72">
        <f>SUM(Table22[[#This Row],[Good Kernel (G M)]:[Spotted (g m)]])/1000*100</f>
        <v>27.200000000000003</v>
      </c>
      <c r="CB35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35" s="72">
        <v>10.6</v>
      </c>
      <c r="CD35" s="51">
        <v>179</v>
      </c>
      <c r="CE35" s="73">
        <v>604</v>
      </c>
      <c r="CH35" s="184">
        <f ca="1">TODAY()-Table22[[#This Row],[Discharge Date]]</f>
        <v>158</v>
      </c>
    </row>
    <row r="36" spans="1:86" x14ac:dyDescent="0.25">
      <c r="A36" s="50">
        <v>32</v>
      </c>
      <c r="B36" s="51" t="s">
        <v>95</v>
      </c>
      <c r="C36" s="52" t="s">
        <v>96</v>
      </c>
      <c r="D36" s="54">
        <v>32</v>
      </c>
      <c r="E36" s="85"/>
      <c r="F36" s="86">
        <v>882</v>
      </c>
      <c r="G36" s="54"/>
      <c r="H36" s="54"/>
      <c r="I36" s="54"/>
      <c r="J36" s="54"/>
      <c r="K36" s="54" t="s">
        <v>634</v>
      </c>
      <c r="L36" s="54" t="s">
        <v>98</v>
      </c>
      <c r="M36" s="57">
        <v>70328</v>
      </c>
      <c r="N36" s="57" t="s">
        <v>676</v>
      </c>
      <c r="O36" s="54" t="s">
        <v>143</v>
      </c>
      <c r="P36" s="58">
        <v>46097</v>
      </c>
      <c r="Q36" s="58">
        <v>46097</v>
      </c>
      <c r="R36" s="51" t="s">
        <v>100</v>
      </c>
      <c r="S36" s="59" t="s">
        <v>101</v>
      </c>
      <c r="T36" s="59"/>
      <c r="U36" s="59"/>
      <c r="V36" s="51" t="s">
        <v>102</v>
      </c>
      <c r="W36" s="51">
        <v>513</v>
      </c>
      <c r="X36" s="51">
        <v>21</v>
      </c>
      <c r="Y36" s="60">
        <f t="shared" si="10"/>
        <v>534</v>
      </c>
      <c r="Z36" s="51">
        <v>88</v>
      </c>
      <c r="AA36" s="61">
        <f t="shared" si="17"/>
        <v>601</v>
      </c>
      <c r="AB36" s="51">
        <f t="shared" si="18"/>
        <v>88</v>
      </c>
      <c r="AC36" s="89">
        <f>W36</f>
        <v>513</v>
      </c>
      <c r="AD36" s="63"/>
      <c r="AE36" s="63">
        <f>X36</f>
        <v>21</v>
      </c>
      <c r="AF36" s="63">
        <v>88</v>
      </c>
      <c r="AG36" s="63"/>
      <c r="AH36" s="64">
        <f>AC36+AE36</f>
        <v>534</v>
      </c>
      <c r="AI36" s="62"/>
      <c r="AJ36" s="62"/>
      <c r="AK36" s="62">
        <f>AH36</f>
        <v>534</v>
      </c>
      <c r="AL36" s="62">
        <v>534</v>
      </c>
      <c r="AM36" s="65">
        <v>42360</v>
      </c>
      <c r="AN36" s="64">
        <f t="shared" si="24"/>
        <v>618</v>
      </c>
      <c r="AO36" s="77">
        <f t="shared" si="22"/>
        <v>41826</v>
      </c>
      <c r="AP36" s="77">
        <f t="shared" si="21"/>
        <v>41742</v>
      </c>
      <c r="AQ36" s="95">
        <f t="shared" si="25"/>
        <v>41742</v>
      </c>
      <c r="AR36" s="67">
        <f t="shared" si="4"/>
        <v>84</v>
      </c>
      <c r="AS36" s="68">
        <f>Table22[[#This Row],[GROSS WT]]-Table22[[#This Row],[Total Bag Discharged (Truck)]]</f>
        <v>41826</v>
      </c>
      <c r="AT36" s="67">
        <f t="shared" si="5"/>
        <v>41826</v>
      </c>
      <c r="AU36" s="69"/>
      <c r="AV36" s="70">
        <v>22</v>
      </c>
      <c r="AW36" s="70">
        <v>15</v>
      </c>
      <c r="AX36" s="70">
        <v>4</v>
      </c>
      <c r="AY36" s="71">
        <f t="shared" si="6"/>
        <v>41</v>
      </c>
      <c r="AZ36" s="70">
        <v>253</v>
      </c>
      <c r="BA36" s="70">
        <v>8</v>
      </c>
      <c r="BB36" s="70">
        <v>14</v>
      </c>
      <c r="BC36" s="63">
        <f t="shared" si="12"/>
        <v>275</v>
      </c>
      <c r="BD36" s="72">
        <f>SUM(Table22[[#This Row],[Good Kernel (gm)]]+(Table22[[#This Row],[Immature (gm)]]+Table22[[#This Row],[Spotted (gm)]])/2)*0.176</f>
        <v>46.463999999999999</v>
      </c>
      <c r="BE36" s="72">
        <v>46.46</v>
      </c>
      <c r="BF36" s="72">
        <f t="shared" si="13"/>
        <v>48.501750000000001</v>
      </c>
      <c r="BG36" s="72">
        <f t="shared" si="7"/>
        <v>53.08737</v>
      </c>
      <c r="BH36" s="72">
        <f>SUM(Table22[[#This Row],[Good Kernel (gm)]:[Spotted (gm)]])/1000*100</f>
        <v>27.500000000000004</v>
      </c>
      <c r="BI36" s="72">
        <f t="shared" si="8"/>
        <v>30.099999999999998</v>
      </c>
      <c r="BJ36" s="72">
        <v>10.7</v>
      </c>
      <c r="BK36" s="51">
        <v>175</v>
      </c>
      <c r="BL36" s="73">
        <v>628</v>
      </c>
      <c r="BM36" s="70">
        <v>25</v>
      </c>
      <c r="BN36" s="74">
        <v>0.10100000000000001</v>
      </c>
      <c r="BO36" s="70">
        <v>11</v>
      </c>
      <c r="BP36" s="70">
        <v>9</v>
      </c>
      <c r="BQ36" s="71">
        <f t="shared" si="9"/>
        <v>45</v>
      </c>
      <c r="BR36" s="70">
        <v>258</v>
      </c>
      <c r="BS36" s="70">
        <v>6</v>
      </c>
      <c r="BT36" s="70">
        <v>8</v>
      </c>
      <c r="BU36" s="63">
        <f t="shared" si="14"/>
        <v>272</v>
      </c>
      <c r="BV36" s="72">
        <f>SUM(Table22[[#This Row],[Good Kernel (G M)]]+(Table22[[#This Row],[Immature (g m)]]+Table22[[#This Row],[Spotted (g m)]])/2)*0.176</f>
        <v>46.64</v>
      </c>
      <c r="BW36" s="72">
        <v>46.64</v>
      </c>
      <c r="BX36" s="72"/>
      <c r="BY36" s="72">
        <f t="shared" si="15"/>
        <v>47.972639999999998</v>
      </c>
      <c r="BZ36" s="72">
        <f t="shared" si="16"/>
        <v>53.96922</v>
      </c>
      <c r="CA36" s="72">
        <f>SUM(Table22[[#This Row],[Good Kernel (G M)]:[Spotted (g m)]])/1000*100</f>
        <v>27.200000000000003</v>
      </c>
      <c r="CB36" s="72">
        <f>(Table22[[#This Row],[BROWNS/Rejection (gm) (NUT)]]+Table22[[#This Row],[OIL (g m)]]+Table22[[#This Row],[Good Kernel (G M)]]+Table22[[#This Row],[Immature (g m)]]+Table22[[#This Row],[Spotted (g m)]])/1000*100</f>
        <v>30.599999999999998</v>
      </c>
      <c r="CC36" s="72">
        <v>10.1</v>
      </c>
      <c r="CD36" s="51">
        <v>179</v>
      </c>
      <c r="CE36" s="73">
        <v>598</v>
      </c>
      <c r="CH36" s="184">
        <f ca="1">TODAY()-Table22[[#This Row],[Discharge Date]]</f>
        <v>158</v>
      </c>
    </row>
    <row r="37" spans="1:86" x14ac:dyDescent="0.25">
      <c r="A37" s="50">
        <v>33</v>
      </c>
      <c r="B37" s="51" t="s">
        <v>95</v>
      </c>
      <c r="C37" s="52" t="s">
        <v>96</v>
      </c>
      <c r="D37" s="54">
        <v>34</v>
      </c>
      <c r="E37" s="85"/>
      <c r="F37" s="86">
        <v>884</v>
      </c>
      <c r="G37" s="54">
        <v>534</v>
      </c>
      <c r="H37" s="82">
        <v>46096</v>
      </c>
      <c r="I37" s="82"/>
      <c r="J37" s="82"/>
      <c r="K37" s="82" t="s">
        <v>634</v>
      </c>
      <c r="L37" s="54" t="s">
        <v>98</v>
      </c>
      <c r="M37" s="57">
        <v>82115</v>
      </c>
      <c r="N37" s="57" t="s">
        <v>672</v>
      </c>
      <c r="O37" s="54" t="s">
        <v>144</v>
      </c>
      <c r="P37" s="58">
        <v>46098</v>
      </c>
      <c r="Q37" s="58">
        <v>46098</v>
      </c>
      <c r="R37" s="51" t="s">
        <v>145</v>
      </c>
      <c r="S37" s="59" t="s">
        <v>146</v>
      </c>
      <c r="T37" s="94"/>
      <c r="U37" s="102" t="s">
        <v>425</v>
      </c>
      <c r="V37" s="56" t="s">
        <v>147</v>
      </c>
      <c r="W37" s="51">
        <v>440</v>
      </c>
      <c r="X37" s="51">
        <v>25</v>
      </c>
      <c r="Y37" s="60">
        <f t="shared" si="10"/>
        <v>465</v>
      </c>
      <c r="Z37" s="51">
        <v>55</v>
      </c>
      <c r="AA37" s="61">
        <f>W37+Z37</f>
        <v>495</v>
      </c>
      <c r="AB37" s="51">
        <f t="shared" si="18"/>
        <v>55</v>
      </c>
      <c r="AC37" s="89">
        <f>W37</f>
        <v>440</v>
      </c>
      <c r="AD37" s="63"/>
      <c r="AE37" s="63">
        <f>X37</f>
        <v>25</v>
      </c>
      <c r="AF37" s="63">
        <v>55</v>
      </c>
      <c r="AG37" s="63"/>
      <c r="AH37" s="64">
        <f>AC37+AE37</f>
        <v>465</v>
      </c>
      <c r="AI37" s="62"/>
      <c r="AJ37" s="62"/>
      <c r="AK37" s="62">
        <f>AH37</f>
        <v>465</v>
      </c>
      <c r="AL37" s="62">
        <f>AK37</f>
        <v>465</v>
      </c>
      <c r="AM37" s="65">
        <v>40520</v>
      </c>
      <c r="AN37" s="64">
        <f t="shared" si="24"/>
        <v>565</v>
      </c>
      <c r="AO37" s="77">
        <f t="shared" si="22"/>
        <v>40055</v>
      </c>
      <c r="AP37" s="77">
        <f t="shared" si="21"/>
        <v>39955</v>
      </c>
      <c r="AQ37" s="95">
        <f t="shared" si="25"/>
        <v>39955</v>
      </c>
      <c r="AR37" s="67">
        <f t="shared" si="4"/>
        <v>100</v>
      </c>
      <c r="AS37" s="68">
        <f>Table22[[#This Row],[GROSS WT]]-Table22[[#This Row],[Total Bag Discharged (Truck)]]</f>
        <v>40055</v>
      </c>
      <c r="AT37" s="67">
        <f t="shared" si="5"/>
        <v>40055</v>
      </c>
      <c r="AU37" s="69"/>
      <c r="AV37" s="70">
        <v>13</v>
      </c>
      <c r="AW37" s="70">
        <v>24</v>
      </c>
      <c r="AX37" s="70">
        <v>5</v>
      </c>
      <c r="AY37" s="71">
        <f t="shared" si="6"/>
        <v>42</v>
      </c>
      <c r="AZ37" s="70">
        <v>228</v>
      </c>
      <c r="BA37" s="70">
        <v>34</v>
      </c>
      <c r="BB37" s="70">
        <v>12</v>
      </c>
      <c r="BC37" s="63">
        <f t="shared" si="12"/>
        <v>274</v>
      </c>
      <c r="BD37" s="72">
        <f>SUM(Table22[[#This Row],[Good Kernel (gm)]]+(Table22[[#This Row],[Immature (gm)]]+Table22[[#This Row],[Spotted (gm)]])/2)*0.176</f>
        <v>44.175999999999995</v>
      </c>
      <c r="BE37" s="72">
        <v>44.17</v>
      </c>
      <c r="BF37" s="72">
        <f t="shared" si="13"/>
        <v>48.325380000000003</v>
      </c>
      <c r="BG37" s="72">
        <f t="shared" si="7"/>
        <v>51.500039999999998</v>
      </c>
      <c r="BH37" s="72">
        <f>SUM(Table22[[#This Row],[Good Kernel (gm)]:[Spotted (gm)]])/1000*100</f>
        <v>27.400000000000002</v>
      </c>
      <c r="BI37" s="72">
        <f t="shared" si="8"/>
        <v>29.2</v>
      </c>
      <c r="BJ37" s="72">
        <v>11</v>
      </c>
      <c r="BK37" s="51">
        <v>166</v>
      </c>
      <c r="BL37" s="73">
        <v>624</v>
      </c>
      <c r="BM37" s="70">
        <v>21</v>
      </c>
      <c r="BN37" s="74">
        <v>0.11</v>
      </c>
      <c r="BO37" s="70">
        <v>24</v>
      </c>
      <c r="BP37" s="70">
        <v>4</v>
      </c>
      <c r="BQ37" s="71">
        <f t="shared" si="9"/>
        <v>49</v>
      </c>
      <c r="BR37" s="70">
        <v>234</v>
      </c>
      <c r="BS37" s="70">
        <v>16</v>
      </c>
      <c r="BT37" s="70">
        <v>14</v>
      </c>
      <c r="BU37" s="63">
        <f t="shared" si="14"/>
        <v>264</v>
      </c>
      <c r="BV37" s="72">
        <f>SUM(Table22[[#This Row],[Good Kernel (G M)]]+(Table22[[#This Row],[Immature (g m)]]+Table22[[#This Row],[Spotted (g m)]])/2)*0.176</f>
        <v>43.823999999999998</v>
      </c>
      <c r="BW37" s="72">
        <v>43.82</v>
      </c>
      <c r="BX37" s="72"/>
      <c r="BY37" s="72">
        <f t="shared" si="15"/>
        <v>46.561680000000003</v>
      </c>
      <c r="BZ37" s="72">
        <f t="shared" si="16"/>
        <v>50.970930000000003</v>
      </c>
      <c r="CA37" s="72">
        <f>SUM(Table22[[#This Row],[Good Kernel (G M)]:[Spotted (g m)]])/1000*100</f>
        <v>26.400000000000002</v>
      </c>
      <c r="CB37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37" s="72">
        <v>11</v>
      </c>
      <c r="CD37" s="51">
        <v>172</v>
      </c>
      <c r="CE37" s="73">
        <v>604</v>
      </c>
      <c r="CH37" s="184">
        <f ca="1">TODAY()-Table22[[#This Row],[Discharge Date]]</f>
        <v>157</v>
      </c>
    </row>
    <row r="38" spans="1:86" x14ac:dyDescent="0.25">
      <c r="A38" s="50">
        <v>34</v>
      </c>
      <c r="B38" s="51" t="s">
        <v>95</v>
      </c>
      <c r="C38" s="52" t="s">
        <v>96</v>
      </c>
      <c r="D38" s="54">
        <v>36</v>
      </c>
      <c r="E38" s="85"/>
      <c r="F38" s="86">
        <v>886</v>
      </c>
      <c r="G38" s="54">
        <v>536</v>
      </c>
      <c r="H38" s="82">
        <v>46097</v>
      </c>
      <c r="I38" s="82"/>
      <c r="J38" s="82"/>
      <c r="K38" s="82" t="s">
        <v>634</v>
      </c>
      <c r="L38" s="54" t="s">
        <v>98</v>
      </c>
      <c r="M38" s="57">
        <v>82486</v>
      </c>
      <c r="N38" s="57" t="s">
        <v>678</v>
      </c>
      <c r="O38" s="54" t="s">
        <v>148</v>
      </c>
      <c r="P38" s="58">
        <v>46098</v>
      </c>
      <c r="Q38" s="58">
        <v>46098</v>
      </c>
      <c r="R38" s="51" t="s">
        <v>138</v>
      </c>
      <c r="S38" s="59" t="s">
        <v>149</v>
      </c>
      <c r="T38" s="94" t="s">
        <v>534</v>
      </c>
      <c r="U38" s="94"/>
      <c r="V38" s="56" t="s">
        <v>140</v>
      </c>
      <c r="W38" s="51">
        <v>446</v>
      </c>
      <c r="X38" s="51">
        <v>21</v>
      </c>
      <c r="Y38" s="51">
        <f t="shared" si="10"/>
        <v>467</v>
      </c>
      <c r="Z38" s="51">
        <v>32</v>
      </c>
      <c r="AA38" s="61">
        <f t="shared" si="17"/>
        <v>478</v>
      </c>
      <c r="AB38" s="51">
        <f t="shared" si="18"/>
        <v>32</v>
      </c>
      <c r="AC38" s="89">
        <f>W38</f>
        <v>446</v>
      </c>
      <c r="AD38" s="63"/>
      <c r="AE38" s="63">
        <v>21</v>
      </c>
      <c r="AF38" s="63">
        <v>32</v>
      </c>
      <c r="AG38" s="63"/>
      <c r="AH38" s="64">
        <v>467</v>
      </c>
      <c r="AI38" s="62"/>
      <c r="AJ38" s="62"/>
      <c r="AK38" s="62">
        <f>AH38</f>
        <v>467</v>
      </c>
      <c r="AL38" s="62">
        <f>AK38</f>
        <v>467</v>
      </c>
      <c r="AM38" s="65">
        <v>41540</v>
      </c>
      <c r="AN38" s="64">
        <f t="shared" si="24"/>
        <v>551</v>
      </c>
      <c r="AO38" s="77">
        <f t="shared" si="22"/>
        <v>41073</v>
      </c>
      <c r="AP38" s="77">
        <f t="shared" si="21"/>
        <v>40989</v>
      </c>
      <c r="AQ38" s="95">
        <f t="shared" si="25"/>
        <v>40989</v>
      </c>
      <c r="AR38" s="67">
        <f t="shared" si="4"/>
        <v>84</v>
      </c>
      <c r="AS38" s="68">
        <f>Table22[[#This Row],[GROSS WT]]-Table22[[#This Row],[Total Bag Discharged (Truck)]]</f>
        <v>41073</v>
      </c>
      <c r="AT38" s="67">
        <f t="shared" si="5"/>
        <v>41073</v>
      </c>
      <c r="AU38" s="69"/>
      <c r="AV38" s="70">
        <v>15</v>
      </c>
      <c r="AW38" s="70">
        <v>9</v>
      </c>
      <c r="AX38" s="70">
        <v>6</v>
      </c>
      <c r="AY38" s="71">
        <f t="shared" si="6"/>
        <v>30</v>
      </c>
      <c r="AZ38" s="70">
        <v>246</v>
      </c>
      <c r="BA38" s="70">
        <v>14</v>
      </c>
      <c r="BB38" s="70">
        <v>10</v>
      </c>
      <c r="BC38" s="63">
        <f t="shared" si="12"/>
        <v>270</v>
      </c>
      <c r="BD38" s="72">
        <f>SUM(Table22[[#This Row],[Good Kernel (gm)]]+(Table22[[#This Row],[Immature (gm)]]+Table22[[#This Row],[Spotted (gm)]])/2)*0.176</f>
        <v>45.407999999999994</v>
      </c>
      <c r="BE38" s="72">
        <v>45.4</v>
      </c>
      <c r="BF38" s="72">
        <f t="shared" si="13"/>
        <v>47.619900000000001</v>
      </c>
      <c r="BG38" s="72">
        <f t="shared" si="7"/>
        <v>51.32367</v>
      </c>
      <c r="BH38" s="72">
        <f>SUM(Table22[[#This Row],[Good Kernel (gm)]:[Spotted (gm)]])/1000*100</f>
        <v>27</v>
      </c>
      <c r="BI38" s="72">
        <f t="shared" si="8"/>
        <v>29.099999999999998</v>
      </c>
      <c r="BJ38" s="72">
        <v>11.4</v>
      </c>
      <c r="BK38" s="51">
        <v>168</v>
      </c>
      <c r="BL38" s="60">
        <v>630</v>
      </c>
      <c r="BM38" s="70">
        <v>22</v>
      </c>
      <c r="BN38" s="74">
        <v>0.114</v>
      </c>
      <c r="BO38" s="70">
        <v>9</v>
      </c>
      <c r="BP38" s="70">
        <v>3</v>
      </c>
      <c r="BQ38" s="71">
        <f t="shared" si="9"/>
        <v>34</v>
      </c>
      <c r="BR38" s="70">
        <v>245</v>
      </c>
      <c r="BS38" s="70">
        <v>18</v>
      </c>
      <c r="BT38" s="70">
        <v>10</v>
      </c>
      <c r="BU38" s="63">
        <f t="shared" si="14"/>
        <v>273</v>
      </c>
      <c r="BV38" s="72">
        <f>SUM(Table22[[#This Row],[Good Kernel (G M)]]+(Table22[[#This Row],[Immature (g m)]]+Table22[[#This Row],[Spotted (g m)]])/2)*0.176</f>
        <v>45.583999999999996</v>
      </c>
      <c r="BW38" s="72">
        <v>45.58</v>
      </c>
      <c r="BX38" s="72"/>
      <c r="BY38" s="72">
        <f t="shared" si="15"/>
        <v>48.149009999999997</v>
      </c>
      <c r="BZ38" s="72">
        <f t="shared" si="16"/>
        <v>52.558259999999997</v>
      </c>
      <c r="CA38" s="72">
        <f>SUM(Table22[[#This Row],[Good Kernel (G M)]:[Spotted (g m)]])/1000*100</f>
        <v>27.3</v>
      </c>
      <c r="CB38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38" s="72">
        <v>11.4</v>
      </c>
      <c r="CD38" s="51">
        <v>177</v>
      </c>
      <c r="CE38" s="73">
        <v>624</v>
      </c>
      <c r="CH38" s="184">
        <f ca="1">TODAY()-Table22[[#This Row],[Discharge Date]]</f>
        <v>157</v>
      </c>
    </row>
    <row r="39" spans="1:86" x14ac:dyDescent="0.25">
      <c r="A39" s="50">
        <v>35</v>
      </c>
      <c r="B39" s="51" t="s">
        <v>95</v>
      </c>
      <c r="C39" s="52" t="s">
        <v>96</v>
      </c>
      <c r="D39" s="54">
        <v>35</v>
      </c>
      <c r="E39" s="85"/>
      <c r="F39" s="86">
        <v>885</v>
      </c>
      <c r="G39" s="54">
        <v>535</v>
      </c>
      <c r="H39" s="82">
        <v>46096</v>
      </c>
      <c r="I39" s="82"/>
      <c r="J39" s="82"/>
      <c r="K39" s="82" t="s">
        <v>634</v>
      </c>
      <c r="L39" s="54" t="s">
        <v>98</v>
      </c>
      <c r="M39" s="57">
        <v>70329</v>
      </c>
      <c r="N39" s="57" t="s">
        <v>676</v>
      </c>
      <c r="O39" s="54" t="s">
        <v>150</v>
      </c>
      <c r="P39" s="58">
        <v>46098</v>
      </c>
      <c r="Q39" s="58">
        <v>46098</v>
      </c>
      <c r="R39" s="51" t="s">
        <v>100</v>
      </c>
      <c r="S39" s="59" t="s">
        <v>101</v>
      </c>
      <c r="T39" s="59"/>
      <c r="U39" s="59"/>
      <c r="V39" s="51" t="s">
        <v>102</v>
      </c>
      <c r="W39" s="51">
        <v>580</v>
      </c>
      <c r="X39" s="51">
        <v>52</v>
      </c>
      <c r="Y39" s="51">
        <f t="shared" si="10"/>
        <v>632</v>
      </c>
      <c r="Z39" s="51">
        <v>60</v>
      </c>
      <c r="AA39" s="61">
        <f>W39+Z39</f>
        <v>640</v>
      </c>
      <c r="AB39" s="51">
        <f t="shared" si="18"/>
        <v>60</v>
      </c>
      <c r="AC39" s="89">
        <f>W39</f>
        <v>580</v>
      </c>
      <c r="AD39" s="63"/>
      <c r="AE39" s="63">
        <v>22</v>
      </c>
      <c r="AF39" s="63">
        <v>60</v>
      </c>
      <c r="AG39" s="63"/>
      <c r="AH39" s="64">
        <f>AC39+AE39</f>
        <v>602</v>
      </c>
      <c r="AI39" s="62"/>
      <c r="AJ39" s="62"/>
      <c r="AK39" s="62">
        <f>AH39</f>
        <v>602</v>
      </c>
      <c r="AL39" s="62">
        <f>AK39</f>
        <v>602</v>
      </c>
      <c r="AM39" s="65">
        <v>51320</v>
      </c>
      <c r="AN39" s="64">
        <f>(AD39*40)+(AE39*4)+(AG39*0)+(Y39*1)</f>
        <v>720</v>
      </c>
      <c r="AO39" s="77">
        <f>+Table22[[#This Row],[GROSS WT]]-Table22[[#This Row],[Total Bag Discharged (Truck)]]</f>
        <v>50688</v>
      </c>
      <c r="AP39" s="77">
        <f t="shared" si="21"/>
        <v>50600</v>
      </c>
      <c r="AQ39" s="95">
        <f t="shared" si="25"/>
        <v>50600</v>
      </c>
      <c r="AR39" s="67">
        <f t="shared" si="4"/>
        <v>88</v>
      </c>
      <c r="AS39" s="68">
        <f>Table22[[#This Row],[GROSS WT]]-Table22[[#This Row],[Total Bag Discharged (Truck)]]</f>
        <v>50688</v>
      </c>
      <c r="AT39" s="67">
        <f t="shared" si="5"/>
        <v>50688</v>
      </c>
      <c r="AU39" s="69"/>
      <c r="AV39" s="70">
        <v>22</v>
      </c>
      <c r="AW39" s="70">
        <v>24</v>
      </c>
      <c r="AX39" s="70">
        <v>5</v>
      </c>
      <c r="AY39" s="71">
        <f t="shared" si="6"/>
        <v>51</v>
      </c>
      <c r="AZ39" s="70">
        <v>248</v>
      </c>
      <c r="BA39" s="70">
        <v>10</v>
      </c>
      <c r="BB39" s="70">
        <v>8</v>
      </c>
      <c r="BC39" s="63">
        <f t="shared" si="12"/>
        <v>266</v>
      </c>
      <c r="BD39" s="72">
        <f>SUM(Table22[[#This Row],[Good Kernel (gm)]]+(Table22[[#This Row],[Immature (gm)]]+Table22[[#This Row],[Spotted (gm)]])/2)*0.176</f>
        <v>45.231999999999999</v>
      </c>
      <c r="BE39" s="72">
        <v>45.23</v>
      </c>
      <c r="BF39" s="72">
        <f t="shared" si="13"/>
        <v>46.91442</v>
      </c>
      <c r="BG39" s="72">
        <f t="shared" si="7"/>
        <v>51.676409999999997</v>
      </c>
      <c r="BH39" s="72">
        <f>SUM(Table22[[#This Row],[Good Kernel (gm)]:[Spotted (gm)]])/1000*100</f>
        <v>26.6</v>
      </c>
      <c r="BI39" s="72">
        <f t="shared" si="8"/>
        <v>29.299999999999997</v>
      </c>
      <c r="BJ39" s="72">
        <v>10.199999999999999</v>
      </c>
      <c r="BK39" s="51">
        <v>184</v>
      </c>
      <c r="BL39" s="73">
        <v>608</v>
      </c>
      <c r="BM39" s="70">
        <v>16</v>
      </c>
      <c r="BN39" s="74">
        <v>9.9000000000000005E-2</v>
      </c>
      <c r="BO39" s="70">
        <v>8</v>
      </c>
      <c r="BP39" s="70">
        <v>4</v>
      </c>
      <c r="BQ39" s="71">
        <f t="shared" si="9"/>
        <v>28</v>
      </c>
      <c r="BR39" s="70">
        <v>247</v>
      </c>
      <c r="BS39" s="70">
        <v>14</v>
      </c>
      <c r="BT39" s="70">
        <v>16</v>
      </c>
      <c r="BU39" s="63">
        <f t="shared" si="14"/>
        <v>277</v>
      </c>
      <c r="BV39" s="72">
        <f>SUM(Table22[[#This Row],[Good Kernel (G M)]]+(Table22[[#This Row],[Immature (g m)]]+Table22[[#This Row],[Spotted (g m)]])/2)*0.176</f>
        <v>46.111999999999995</v>
      </c>
      <c r="BW39" s="72">
        <v>46.11</v>
      </c>
      <c r="BX39" s="72"/>
      <c r="BY39" s="72">
        <f t="shared" si="15"/>
        <v>48.854489999999998</v>
      </c>
      <c r="BZ39" s="72">
        <f t="shared" si="16"/>
        <v>52.381889999999999</v>
      </c>
      <c r="CA39" s="72">
        <f>SUM(Table22[[#This Row],[Good Kernel (G M)]:[Spotted (g m)]])/1000*100</f>
        <v>27.700000000000003</v>
      </c>
      <c r="CB39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39" s="72">
        <v>9.9</v>
      </c>
      <c r="CD39" s="51">
        <v>185</v>
      </c>
      <c r="CE39" s="73">
        <v>626</v>
      </c>
      <c r="CH39" s="184">
        <f ca="1">TODAY()-Table22[[#This Row],[Discharge Date]]</f>
        <v>157</v>
      </c>
    </row>
    <row r="40" spans="1:86" ht="28.95" customHeight="1" x14ac:dyDescent="0.25">
      <c r="A40" s="50">
        <v>36</v>
      </c>
      <c r="B40" s="51" t="s">
        <v>95</v>
      </c>
      <c r="C40" s="52" t="s">
        <v>96</v>
      </c>
      <c r="D40" s="54">
        <v>33</v>
      </c>
      <c r="E40" s="85"/>
      <c r="F40" s="86">
        <v>883</v>
      </c>
      <c r="G40" s="54">
        <v>533</v>
      </c>
      <c r="H40" s="82">
        <v>46093</v>
      </c>
      <c r="I40" s="82"/>
      <c r="J40" s="82"/>
      <c r="K40" s="82" t="s">
        <v>634</v>
      </c>
      <c r="L40" s="54" t="s">
        <v>98</v>
      </c>
      <c r="M40" s="57">
        <v>72634</v>
      </c>
      <c r="N40" s="57" t="s">
        <v>679</v>
      </c>
      <c r="O40" s="54" t="s">
        <v>151</v>
      </c>
      <c r="P40" s="58">
        <v>46098</v>
      </c>
      <c r="Q40" s="58">
        <v>46098</v>
      </c>
      <c r="R40" s="51" t="s">
        <v>100</v>
      </c>
      <c r="S40" s="59" t="s">
        <v>152</v>
      </c>
      <c r="T40" s="94"/>
      <c r="U40" s="94"/>
      <c r="V40" s="56" t="s">
        <v>153</v>
      </c>
      <c r="W40" s="51">
        <v>350</v>
      </c>
      <c r="X40" s="51">
        <v>14</v>
      </c>
      <c r="Y40" s="51">
        <f t="shared" si="10"/>
        <v>364</v>
      </c>
      <c r="Z40" s="51">
        <v>34</v>
      </c>
      <c r="AA40" s="61">
        <f>W40+Z40</f>
        <v>384</v>
      </c>
      <c r="AB40" s="51">
        <f t="shared" si="18"/>
        <v>34</v>
      </c>
      <c r="AC40" s="88">
        <f>W40</f>
        <v>350</v>
      </c>
      <c r="AD40" s="63"/>
      <c r="AE40" s="63">
        <f>X40</f>
        <v>14</v>
      </c>
      <c r="AF40" s="63">
        <v>34</v>
      </c>
      <c r="AG40" s="63"/>
      <c r="AH40" s="64">
        <f>AC40+AE40</f>
        <v>364</v>
      </c>
      <c r="AI40" s="62"/>
      <c r="AJ40" s="62"/>
      <c r="AK40" s="62">
        <f>AH40</f>
        <v>364</v>
      </c>
      <c r="AL40" s="62">
        <f>AK40</f>
        <v>364</v>
      </c>
      <c r="AM40" s="67">
        <v>33740</v>
      </c>
      <c r="AN40" s="64">
        <f t="shared" si="24"/>
        <v>420</v>
      </c>
      <c r="AO40" s="77">
        <f>AM40-AH40</f>
        <v>33376</v>
      </c>
      <c r="AP40" s="77">
        <f t="shared" si="21"/>
        <v>33320</v>
      </c>
      <c r="AQ40" s="95">
        <f t="shared" si="25"/>
        <v>33320</v>
      </c>
      <c r="AR40" s="67">
        <f t="shared" si="4"/>
        <v>56</v>
      </c>
      <c r="AS40" s="68">
        <f>Table22[[#This Row],[GROSS WT]]-Table22[[#This Row],[Total Bag Discharged (Truck)]]</f>
        <v>33376</v>
      </c>
      <c r="AT40" s="67">
        <f t="shared" si="5"/>
        <v>33376</v>
      </c>
      <c r="AU40" s="69"/>
      <c r="AV40" s="70">
        <v>26</v>
      </c>
      <c r="AW40" s="70">
        <v>15</v>
      </c>
      <c r="AX40" s="70">
        <v>5</v>
      </c>
      <c r="AY40" s="71">
        <f t="shared" si="6"/>
        <v>46</v>
      </c>
      <c r="AZ40" s="70">
        <v>227</v>
      </c>
      <c r="BA40" s="70">
        <v>30</v>
      </c>
      <c r="BB40" s="70">
        <v>20</v>
      </c>
      <c r="BC40" s="63">
        <f t="shared" si="12"/>
        <v>277</v>
      </c>
      <c r="BD40" s="72">
        <f>SUM(Table22[[#This Row],[Good Kernel (gm)]]+(Table22[[#This Row],[Immature (gm)]]+Table22[[#This Row],[Spotted (gm)]])/2)*0.176</f>
        <v>44.351999999999997</v>
      </c>
      <c r="BE40" s="72">
        <v>44.35</v>
      </c>
      <c r="BF40" s="72">
        <f t="shared" si="13"/>
        <v>48.854489999999998</v>
      </c>
      <c r="BG40" s="72">
        <f t="shared" si="7"/>
        <v>54.321959999999997</v>
      </c>
      <c r="BH40" s="72">
        <f>SUM(Table22[[#This Row],[Good Kernel (gm)]:[Spotted (gm)]])/1000*100</f>
        <v>27.700000000000003</v>
      </c>
      <c r="BI40" s="72">
        <f t="shared" si="8"/>
        <v>30.8</v>
      </c>
      <c r="BJ40" s="72">
        <v>9.9</v>
      </c>
      <c r="BK40" s="51">
        <v>199</v>
      </c>
      <c r="BL40" s="73">
        <v>594</v>
      </c>
      <c r="BM40" s="70">
        <v>23</v>
      </c>
      <c r="BN40" s="74">
        <v>9.2999999999999999E-2</v>
      </c>
      <c r="BO40" s="70">
        <v>27</v>
      </c>
      <c r="BP40" s="70">
        <v>0</v>
      </c>
      <c r="BQ40" s="71">
        <f t="shared" si="9"/>
        <v>50</v>
      </c>
      <c r="BR40" s="70">
        <v>241</v>
      </c>
      <c r="BS40" s="70">
        <v>18</v>
      </c>
      <c r="BT40" s="70">
        <v>10</v>
      </c>
      <c r="BU40" s="63">
        <f t="shared" si="14"/>
        <v>269</v>
      </c>
      <c r="BV40" s="72">
        <f>SUM(Table22[[#This Row],[Good Kernel (G M)]]+(Table22[[#This Row],[Immature (g m)]]+Table22[[#This Row],[Spotted (g m)]])/2)*0.176</f>
        <v>44.879999999999995</v>
      </c>
      <c r="BW40" s="72">
        <v>44.88</v>
      </c>
      <c r="BX40" s="72"/>
      <c r="BY40" s="72">
        <f t="shared" si="15"/>
        <v>47.443530000000003</v>
      </c>
      <c r="BZ40" s="72">
        <f t="shared" si="16"/>
        <v>51.500039999999998</v>
      </c>
      <c r="CA40" s="72">
        <f>SUM(Table22[[#This Row],[Good Kernel (G M)]:[Spotted (g m)]])/1000*100</f>
        <v>26.900000000000002</v>
      </c>
      <c r="CB40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40" s="72">
        <v>9.3000000000000007</v>
      </c>
      <c r="CD40" s="51">
        <v>193</v>
      </c>
      <c r="CE40" s="73">
        <v>619</v>
      </c>
      <c r="CH40" s="184">
        <f ca="1">TODAY()-Table22[[#This Row],[Discharge Date]]</f>
        <v>157</v>
      </c>
    </row>
    <row r="41" spans="1:86" x14ac:dyDescent="0.25">
      <c r="A41" s="50">
        <v>37</v>
      </c>
      <c r="B41" s="51" t="s">
        <v>95</v>
      </c>
      <c r="C41" s="52" t="s">
        <v>96</v>
      </c>
      <c r="D41" s="54">
        <v>37</v>
      </c>
      <c r="E41" s="85"/>
      <c r="F41" s="86">
        <v>887</v>
      </c>
      <c r="G41" s="54">
        <v>537</v>
      </c>
      <c r="H41" s="82">
        <v>46098</v>
      </c>
      <c r="I41" s="82"/>
      <c r="J41" s="82"/>
      <c r="K41" s="82"/>
      <c r="L41" s="54" t="s">
        <v>98</v>
      </c>
      <c r="M41" s="57">
        <v>83396</v>
      </c>
      <c r="N41" s="57" t="s">
        <v>679</v>
      </c>
      <c r="O41" s="54" t="s">
        <v>154</v>
      </c>
      <c r="P41" s="58">
        <v>46099</v>
      </c>
      <c r="Q41" s="58">
        <v>46099</v>
      </c>
      <c r="R41" s="51" t="s">
        <v>100</v>
      </c>
      <c r="S41" s="59" t="s">
        <v>101</v>
      </c>
      <c r="T41" s="59"/>
      <c r="U41" s="59"/>
      <c r="V41" s="51" t="s">
        <v>102</v>
      </c>
      <c r="W41" s="51">
        <v>570</v>
      </c>
      <c r="X41" s="51">
        <v>56</v>
      </c>
      <c r="Y41" s="51">
        <f t="shared" si="10"/>
        <v>626</v>
      </c>
      <c r="Z41" s="51">
        <v>76</v>
      </c>
      <c r="AA41" s="61">
        <f t="shared" ref="AA41:AA104" si="26">W41+Z41</f>
        <v>646</v>
      </c>
      <c r="AB41" s="51">
        <f t="shared" si="18"/>
        <v>76</v>
      </c>
      <c r="AC41" s="88">
        <f t="shared" ref="AC41:AC104" si="27">W41</f>
        <v>570</v>
      </c>
      <c r="AD41" s="63"/>
      <c r="AE41" s="63">
        <f t="shared" ref="AE41:AE104" si="28">X41</f>
        <v>56</v>
      </c>
      <c r="AF41" s="63">
        <v>76</v>
      </c>
      <c r="AG41" s="63"/>
      <c r="AH41" s="64">
        <f t="shared" ref="AH41:AH104" si="29">AC41+AE41</f>
        <v>626</v>
      </c>
      <c r="AI41" s="62">
        <v>0</v>
      </c>
      <c r="AJ41" s="62">
        <v>0</v>
      </c>
      <c r="AK41" s="62">
        <f t="shared" ref="AK41:AK104" si="30">AH41</f>
        <v>626</v>
      </c>
      <c r="AL41" s="62">
        <f t="shared" ref="AL41:AL104" si="31">AK41</f>
        <v>626</v>
      </c>
      <c r="AM41" s="67">
        <v>51800</v>
      </c>
      <c r="AN41" s="64">
        <f t="shared" si="24"/>
        <v>850</v>
      </c>
      <c r="AO41" s="77">
        <f t="shared" ref="AO41:AO104" si="32">AM41-AH41</f>
        <v>51174</v>
      </c>
      <c r="AP41" s="77">
        <f t="shared" si="21"/>
        <v>50950</v>
      </c>
      <c r="AQ41" s="95">
        <f t="shared" si="25"/>
        <v>50950</v>
      </c>
      <c r="AR41" s="67">
        <f t="shared" si="4"/>
        <v>224</v>
      </c>
      <c r="AS41" s="68">
        <f>Table22[[#This Row],[GROSS WT]]-Table22[[#This Row],[Total Bag Discharged (Truck)]]</f>
        <v>51174</v>
      </c>
      <c r="AT41" s="67">
        <f t="shared" si="5"/>
        <v>51174</v>
      </c>
      <c r="AU41" s="69"/>
      <c r="AV41" s="70">
        <v>20</v>
      </c>
      <c r="AW41" s="70">
        <v>8</v>
      </c>
      <c r="AX41" s="70">
        <v>3</v>
      </c>
      <c r="AY41" s="71">
        <f t="shared" si="6"/>
        <v>31</v>
      </c>
      <c r="AZ41" s="70">
        <v>250</v>
      </c>
      <c r="BA41" s="70">
        <v>14</v>
      </c>
      <c r="BB41" s="70">
        <v>12</v>
      </c>
      <c r="BC41" s="63">
        <f t="shared" si="12"/>
        <v>276</v>
      </c>
      <c r="BD41" s="72">
        <f>SUM(Table22[[#This Row],[Good Kernel (gm)]]+(Table22[[#This Row],[Immature (gm)]]+Table22[[#This Row],[Spotted (gm)]])/2)*0.176</f>
        <v>46.287999999999997</v>
      </c>
      <c r="BE41" s="72">
        <v>46.28</v>
      </c>
      <c r="BF41" s="72">
        <f t="shared" si="13"/>
        <v>48.67812</v>
      </c>
      <c r="BG41" s="72">
        <f t="shared" si="7"/>
        <v>52.734630000000003</v>
      </c>
      <c r="BH41" s="72">
        <f>SUM(Table22[[#This Row],[Good Kernel (gm)]:[Spotted (gm)]])/1000*100</f>
        <v>27.6</v>
      </c>
      <c r="BI41" s="72">
        <f t="shared" si="8"/>
        <v>29.9</v>
      </c>
      <c r="BJ41" s="72">
        <v>10.3</v>
      </c>
      <c r="BK41" s="51">
        <v>176</v>
      </c>
      <c r="BL41" s="73">
        <v>618</v>
      </c>
      <c r="BM41" s="70">
        <v>18</v>
      </c>
      <c r="BN41" s="74"/>
      <c r="BO41" s="70">
        <v>18</v>
      </c>
      <c r="BP41" s="70">
        <v>3</v>
      </c>
      <c r="BQ41" s="71">
        <f t="shared" si="9"/>
        <v>39</v>
      </c>
      <c r="BR41" s="70">
        <v>256</v>
      </c>
      <c r="BS41" s="70">
        <v>14</v>
      </c>
      <c r="BT41" s="70">
        <v>10</v>
      </c>
      <c r="BU41" s="63">
        <f t="shared" si="14"/>
        <v>280</v>
      </c>
      <c r="BV41" s="72">
        <f>SUM(Table22[[#This Row],[Good Kernel (G M)]]+(Table22[[#This Row],[Immature (g m)]]+Table22[[#This Row],[Spotted (g m)]])/2)*0.176</f>
        <v>47.167999999999999</v>
      </c>
      <c r="BW41" s="72">
        <v>47.16</v>
      </c>
      <c r="BX41" s="72"/>
      <c r="BY41" s="72">
        <f t="shared" si="15"/>
        <v>49.383600000000001</v>
      </c>
      <c r="BZ41" s="72">
        <f t="shared" si="16"/>
        <v>53.08737</v>
      </c>
      <c r="CA41" s="72">
        <f>SUM(Table22[[#This Row],[Good Kernel (G M)]:[Spotted (g m)]])/1000*100</f>
        <v>28.000000000000004</v>
      </c>
      <c r="CB41" s="72">
        <f>(Table22[[#This Row],[BROWNS/Rejection (gm) (NUT)]]+Table22[[#This Row],[OIL (g m)]]+Table22[[#This Row],[Good Kernel (G M)]]+Table22[[#This Row],[Immature (g m)]]+Table22[[#This Row],[Spotted (g m)]])/1000*100</f>
        <v>30.099999999999998</v>
      </c>
      <c r="CC41" s="72">
        <v>10.199999999999999</v>
      </c>
      <c r="CD41" s="51">
        <v>186</v>
      </c>
      <c r="CE41" s="73">
        <v>609</v>
      </c>
      <c r="CH41" s="184">
        <f ca="1">TODAY()-Table22[[#This Row],[Discharge Date]]</f>
        <v>156</v>
      </c>
    </row>
    <row r="42" spans="1:86" ht="28.95" customHeight="1" x14ac:dyDescent="0.25">
      <c r="A42" s="50">
        <v>38</v>
      </c>
      <c r="B42" s="51" t="s">
        <v>95</v>
      </c>
      <c r="C42" s="52" t="s">
        <v>96</v>
      </c>
      <c r="D42" s="54">
        <v>38</v>
      </c>
      <c r="E42" s="85"/>
      <c r="F42" s="86">
        <v>888</v>
      </c>
      <c r="G42" s="54">
        <v>538</v>
      </c>
      <c r="H42" s="82">
        <v>46098</v>
      </c>
      <c r="I42" s="82"/>
      <c r="J42" s="82"/>
      <c r="K42" s="82" t="s">
        <v>634</v>
      </c>
      <c r="L42" s="54" t="s">
        <v>98</v>
      </c>
      <c r="M42" s="57">
        <v>82487</v>
      </c>
      <c r="N42" s="57" t="s">
        <v>679</v>
      </c>
      <c r="O42" s="54" t="s">
        <v>155</v>
      </c>
      <c r="P42" s="58">
        <v>46099</v>
      </c>
      <c r="Q42" s="58">
        <v>46099</v>
      </c>
      <c r="R42" s="51" t="s">
        <v>138</v>
      </c>
      <c r="S42" s="59" t="s">
        <v>139</v>
      </c>
      <c r="T42" s="94" t="s">
        <v>534</v>
      </c>
      <c r="U42" s="96"/>
      <c r="V42" s="56" t="s">
        <v>140</v>
      </c>
      <c r="W42" s="51">
        <v>480</v>
      </c>
      <c r="X42" s="51">
        <v>6</v>
      </c>
      <c r="Y42" s="51">
        <f t="shared" si="10"/>
        <v>486</v>
      </c>
      <c r="Z42" s="51">
        <v>11</v>
      </c>
      <c r="AA42" s="61">
        <f t="shared" si="26"/>
        <v>491</v>
      </c>
      <c r="AB42" s="51">
        <f t="shared" si="18"/>
        <v>11</v>
      </c>
      <c r="AC42" s="88">
        <f t="shared" si="27"/>
        <v>480</v>
      </c>
      <c r="AD42" s="63"/>
      <c r="AE42" s="63">
        <f t="shared" si="28"/>
        <v>6</v>
      </c>
      <c r="AF42" s="63">
        <v>11</v>
      </c>
      <c r="AG42" s="63"/>
      <c r="AH42" s="64">
        <f t="shared" si="29"/>
        <v>486</v>
      </c>
      <c r="AI42" s="62"/>
      <c r="AJ42" s="62"/>
      <c r="AK42" s="62">
        <f t="shared" si="30"/>
        <v>486</v>
      </c>
      <c r="AL42" s="62">
        <f t="shared" si="31"/>
        <v>486</v>
      </c>
      <c r="AM42" s="67">
        <v>41340</v>
      </c>
      <c r="AN42" s="64">
        <f t="shared" si="24"/>
        <v>510</v>
      </c>
      <c r="AO42" s="77">
        <f t="shared" si="32"/>
        <v>40854</v>
      </c>
      <c r="AP42" s="77">
        <f t="shared" si="21"/>
        <v>40830</v>
      </c>
      <c r="AQ42" s="95">
        <f t="shared" si="25"/>
        <v>40830</v>
      </c>
      <c r="AR42" s="67">
        <f t="shared" si="4"/>
        <v>24</v>
      </c>
      <c r="AS42" s="68">
        <f>Table22[[#This Row],[GROSS WT]]-Table22[[#This Row],[Total Bag Discharged (Truck)]]</f>
        <v>40854</v>
      </c>
      <c r="AT42" s="67">
        <f t="shared" si="5"/>
        <v>40854</v>
      </c>
      <c r="AU42" s="69"/>
      <c r="AV42" s="70">
        <v>22</v>
      </c>
      <c r="AW42" s="70">
        <v>9</v>
      </c>
      <c r="AX42" s="70">
        <v>5</v>
      </c>
      <c r="AY42" s="71">
        <f t="shared" si="6"/>
        <v>36</v>
      </c>
      <c r="AZ42" s="70">
        <v>242</v>
      </c>
      <c r="BA42" s="70">
        <v>18</v>
      </c>
      <c r="BB42" s="70">
        <v>8</v>
      </c>
      <c r="BC42" s="63">
        <f t="shared" si="12"/>
        <v>268</v>
      </c>
      <c r="BD42" s="72">
        <f>SUM(Table22[[#This Row],[Good Kernel (gm)]]+(Table22[[#This Row],[Immature (gm)]]+Table22[[#This Row],[Spotted (gm)]])/2)*0.176</f>
        <v>44.879999999999995</v>
      </c>
      <c r="BE42" s="72">
        <v>44.88</v>
      </c>
      <c r="BF42" s="72">
        <f t="shared" si="13"/>
        <v>47.267159999999997</v>
      </c>
      <c r="BG42" s="72">
        <f t="shared" si="7"/>
        <v>52.029150000000001</v>
      </c>
      <c r="BH42" s="72">
        <f>SUM(Table22[[#This Row],[Good Kernel (gm)]:[Spotted (gm)]])/1000*100</f>
        <v>26.8</v>
      </c>
      <c r="BI42" s="72">
        <f t="shared" si="8"/>
        <v>29.5</v>
      </c>
      <c r="BJ42" s="72">
        <v>12.8</v>
      </c>
      <c r="BK42" s="51">
        <v>182</v>
      </c>
      <c r="BL42" s="73">
        <v>609</v>
      </c>
      <c r="BM42" s="70">
        <v>18</v>
      </c>
      <c r="BN42" s="74">
        <v>0.11899999999999999</v>
      </c>
      <c r="BO42" s="70">
        <v>10</v>
      </c>
      <c r="BP42" s="70">
        <v>2</v>
      </c>
      <c r="BQ42" s="71">
        <f t="shared" si="9"/>
        <v>30</v>
      </c>
      <c r="BR42" s="70">
        <v>234</v>
      </c>
      <c r="BS42" s="70">
        <v>28</v>
      </c>
      <c r="BT42" s="70">
        <v>10</v>
      </c>
      <c r="BU42" s="63">
        <f t="shared" si="14"/>
        <v>272</v>
      </c>
      <c r="BV42" s="72">
        <f>SUM(Table22[[#This Row],[Good Kernel (G M)]]+(Table22[[#This Row],[Immature (g m)]]+Table22[[#This Row],[Spotted (g m)]])/2)*0.176</f>
        <v>44.527999999999999</v>
      </c>
      <c r="BW42" s="72">
        <v>44.52</v>
      </c>
      <c r="BX42" s="72"/>
      <c r="BY42" s="72">
        <f t="shared" si="15"/>
        <v>47.972639999999998</v>
      </c>
      <c r="BZ42" s="72">
        <f t="shared" si="16"/>
        <v>51.500039999999998</v>
      </c>
      <c r="CA42" s="72">
        <f>SUM(Table22[[#This Row],[Good Kernel (G M)]:[Spotted (g m)]])/1000*100</f>
        <v>27.200000000000003</v>
      </c>
      <c r="CB42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42" s="72">
        <v>11.9</v>
      </c>
      <c r="CD42" s="51">
        <v>189</v>
      </c>
      <c r="CE42" s="73">
        <v>692</v>
      </c>
      <c r="CH42" s="184">
        <f ca="1">TODAY()-Table22[[#This Row],[Discharge Date]]</f>
        <v>156</v>
      </c>
    </row>
    <row r="43" spans="1:86" x14ac:dyDescent="0.25">
      <c r="A43" s="50">
        <v>39</v>
      </c>
      <c r="B43" s="51" t="s">
        <v>95</v>
      </c>
      <c r="C43" s="52" t="s">
        <v>96</v>
      </c>
      <c r="D43" s="54">
        <v>39</v>
      </c>
      <c r="E43" s="85"/>
      <c r="F43" s="86">
        <v>889</v>
      </c>
      <c r="G43" s="54">
        <v>539</v>
      </c>
      <c r="H43" s="82">
        <v>46096</v>
      </c>
      <c r="I43" s="82"/>
      <c r="J43" s="82"/>
      <c r="K43" s="82" t="s">
        <v>634</v>
      </c>
      <c r="L43" s="54" t="s">
        <v>98</v>
      </c>
      <c r="M43" s="57">
        <v>77595</v>
      </c>
      <c r="N43" s="57" t="s">
        <v>679</v>
      </c>
      <c r="O43" s="51" t="s">
        <v>156</v>
      </c>
      <c r="P43" s="58">
        <v>46099</v>
      </c>
      <c r="Q43" s="58">
        <v>46100</v>
      </c>
      <c r="R43" s="51" t="s">
        <v>100</v>
      </c>
      <c r="S43" s="59" t="s">
        <v>435</v>
      </c>
      <c r="T43" s="54"/>
      <c r="U43" s="102" t="s">
        <v>434</v>
      </c>
      <c r="V43" s="59" t="s">
        <v>157</v>
      </c>
      <c r="W43" s="51">
        <v>575</v>
      </c>
      <c r="X43" s="51">
        <v>10</v>
      </c>
      <c r="Y43" s="51">
        <f t="shared" si="10"/>
        <v>585</v>
      </c>
      <c r="Z43" s="51">
        <v>65</v>
      </c>
      <c r="AA43" s="61">
        <v>601</v>
      </c>
      <c r="AB43" s="51">
        <f t="shared" si="18"/>
        <v>65</v>
      </c>
      <c r="AC43" s="88">
        <f t="shared" si="27"/>
        <v>575</v>
      </c>
      <c r="AD43" s="63"/>
      <c r="AE43" s="63">
        <f t="shared" si="28"/>
        <v>10</v>
      </c>
      <c r="AF43" s="63">
        <v>65</v>
      </c>
      <c r="AG43" s="63"/>
      <c r="AH43" s="64">
        <f t="shared" si="29"/>
        <v>585</v>
      </c>
      <c r="AI43" s="62"/>
      <c r="AJ43" s="62"/>
      <c r="AK43" s="62">
        <f t="shared" si="30"/>
        <v>585</v>
      </c>
      <c r="AL43" s="62">
        <f t="shared" si="31"/>
        <v>585</v>
      </c>
      <c r="AM43" s="67">
        <v>40920</v>
      </c>
      <c r="AN43" s="64">
        <f t="shared" si="24"/>
        <v>625</v>
      </c>
      <c r="AO43" s="77">
        <f t="shared" si="32"/>
        <v>40335</v>
      </c>
      <c r="AP43" s="77">
        <f t="shared" si="21"/>
        <v>40295</v>
      </c>
      <c r="AQ43" s="95">
        <f t="shared" si="25"/>
        <v>40295</v>
      </c>
      <c r="AR43" s="67">
        <f t="shared" si="4"/>
        <v>40</v>
      </c>
      <c r="AS43" s="68">
        <f>Table22[[#This Row],[GROSS WT]]-Table22[[#This Row],[Total Bag Discharged (Truck)]]</f>
        <v>40335</v>
      </c>
      <c r="AT43" s="67">
        <f t="shared" si="5"/>
        <v>40335</v>
      </c>
      <c r="AU43" s="69"/>
      <c r="AV43" s="70">
        <v>32</v>
      </c>
      <c r="AW43" s="70"/>
      <c r="AX43" s="70">
        <v>3</v>
      </c>
      <c r="AY43" s="71">
        <f t="shared" si="6"/>
        <v>35</v>
      </c>
      <c r="AZ43" s="70">
        <v>235</v>
      </c>
      <c r="BA43" s="70">
        <v>23</v>
      </c>
      <c r="BB43" s="70">
        <v>8</v>
      </c>
      <c r="BC43" s="63">
        <f t="shared" si="12"/>
        <v>266</v>
      </c>
      <c r="BD43" s="72">
        <f>SUM(Table22[[#This Row],[Good Kernel (gm)]]+(Table22[[#This Row],[Immature (gm)]]+Table22[[#This Row],[Spotted (gm)]])/2)*0.176</f>
        <v>44.088000000000001</v>
      </c>
      <c r="BE43" s="72">
        <v>44.08</v>
      </c>
      <c r="BF43" s="72">
        <f t="shared" si="13"/>
        <v>46.91442</v>
      </c>
      <c r="BG43" s="72">
        <f t="shared" si="7"/>
        <v>53.08737</v>
      </c>
      <c r="BH43" s="72">
        <f>SUM(Table22[[#This Row],[Good Kernel (gm)]:[Spotted (gm)]])/1000*100</f>
        <v>26.6</v>
      </c>
      <c r="BI43" s="72">
        <f t="shared" si="8"/>
        <v>30.099999999999998</v>
      </c>
      <c r="BJ43" s="72">
        <v>9.1999999999999993</v>
      </c>
      <c r="BK43" s="51">
        <v>201</v>
      </c>
      <c r="BL43" s="73">
        <v>593</v>
      </c>
      <c r="BM43" s="70">
        <v>29</v>
      </c>
      <c r="BN43" s="74">
        <v>0.09</v>
      </c>
      <c r="BO43" s="70">
        <v>8</v>
      </c>
      <c r="BP43" s="70">
        <v>3</v>
      </c>
      <c r="BQ43" s="71">
        <f t="shared" si="9"/>
        <v>40</v>
      </c>
      <c r="BR43" s="70">
        <v>240</v>
      </c>
      <c r="BS43" s="70">
        <v>18</v>
      </c>
      <c r="BT43" s="70">
        <v>14</v>
      </c>
      <c r="BU43" s="63">
        <f t="shared" si="14"/>
        <v>272</v>
      </c>
      <c r="BV43" s="72">
        <f>SUM(Table22[[#This Row],[Good Kernel (G M)]]+(Table22[[#This Row],[Immature (g m)]]+Table22[[#This Row],[Spotted (g m)]])/2)*0.176</f>
        <v>45.055999999999997</v>
      </c>
      <c r="BW43" s="72">
        <v>45.05</v>
      </c>
      <c r="BX43" s="72"/>
      <c r="BY43" s="72">
        <f t="shared" si="15"/>
        <v>47.972639999999998</v>
      </c>
      <c r="BZ43" s="72">
        <f t="shared" si="16"/>
        <v>53.616480000000003</v>
      </c>
      <c r="CA43" s="72">
        <f>SUM(Table22[[#This Row],[Good Kernel (G M)]:[Spotted (g m)]])/1000*100</f>
        <v>27.200000000000003</v>
      </c>
      <c r="CB43" s="72">
        <f>(Table22[[#This Row],[BROWNS/Rejection (gm) (NUT)]]+Table22[[#This Row],[OIL (g m)]]+Table22[[#This Row],[Good Kernel (G M)]]+Table22[[#This Row],[Immature (g m)]]+Table22[[#This Row],[Spotted (g m)]])/1000*100</f>
        <v>30.4</v>
      </c>
      <c r="CC43" s="72">
        <v>9</v>
      </c>
      <c r="CD43" s="51">
        <v>189</v>
      </c>
      <c r="CE43" s="73">
        <v>682</v>
      </c>
      <c r="CH43" s="184">
        <f ca="1">TODAY()-Table22[[#This Row],[Discharge Date]]</f>
        <v>155</v>
      </c>
    </row>
    <row r="44" spans="1:86" x14ac:dyDescent="0.25">
      <c r="A44" s="50">
        <v>40</v>
      </c>
      <c r="B44" s="51" t="s">
        <v>95</v>
      </c>
      <c r="C44" s="52" t="s">
        <v>96</v>
      </c>
      <c r="D44" s="54">
        <v>40</v>
      </c>
      <c r="E44" s="85"/>
      <c r="F44" s="86">
        <v>890</v>
      </c>
      <c r="G44" s="54">
        <v>540</v>
      </c>
      <c r="H44" s="82">
        <v>46098</v>
      </c>
      <c r="I44" s="82"/>
      <c r="J44" s="82"/>
      <c r="K44" s="82" t="s">
        <v>634</v>
      </c>
      <c r="L44" s="54" t="s">
        <v>98</v>
      </c>
      <c r="M44" s="57">
        <v>83395</v>
      </c>
      <c r="N44" s="57" t="s">
        <v>679</v>
      </c>
      <c r="O44" s="54" t="s">
        <v>158</v>
      </c>
      <c r="P44" s="58">
        <v>46099</v>
      </c>
      <c r="Q44" s="58">
        <v>46100</v>
      </c>
      <c r="R44" s="51" t="s">
        <v>100</v>
      </c>
      <c r="S44" s="59" t="s">
        <v>101</v>
      </c>
      <c r="T44" s="59"/>
      <c r="U44" s="59"/>
      <c r="V44" s="51" t="s">
        <v>102</v>
      </c>
      <c r="W44" s="51">
        <v>472</v>
      </c>
      <c r="X44" s="51">
        <v>21</v>
      </c>
      <c r="Y44" s="51">
        <f t="shared" si="10"/>
        <v>493</v>
      </c>
      <c r="Z44" s="51">
        <v>46</v>
      </c>
      <c r="AA44" s="61">
        <v>498</v>
      </c>
      <c r="AB44" s="51">
        <f t="shared" si="18"/>
        <v>46</v>
      </c>
      <c r="AC44" s="88">
        <f t="shared" si="27"/>
        <v>472</v>
      </c>
      <c r="AD44" s="63"/>
      <c r="AE44" s="63">
        <f t="shared" si="28"/>
        <v>21</v>
      </c>
      <c r="AF44" s="63">
        <v>46</v>
      </c>
      <c r="AG44" s="63"/>
      <c r="AH44" s="64">
        <f t="shared" si="29"/>
        <v>493</v>
      </c>
      <c r="AI44" s="62"/>
      <c r="AJ44" s="62"/>
      <c r="AK44" s="62">
        <f t="shared" si="30"/>
        <v>493</v>
      </c>
      <c r="AL44" s="62">
        <f t="shared" si="31"/>
        <v>493</v>
      </c>
      <c r="AM44" s="67">
        <v>40720</v>
      </c>
      <c r="AN44" s="64">
        <f t="shared" si="24"/>
        <v>577</v>
      </c>
      <c r="AO44" s="77">
        <f t="shared" si="32"/>
        <v>40227</v>
      </c>
      <c r="AP44" s="77">
        <f t="shared" si="21"/>
        <v>40143</v>
      </c>
      <c r="AQ44" s="95">
        <f t="shared" si="25"/>
        <v>40143</v>
      </c>
      <c r="AR44" s="67">
        <f t="shared" si="4"/>
        <v>84</v>
      </c>
      <c r="AS44" s="68">
        <f>Table22[[#This Row],[GROSS WT]]-Table22[[#This Row],[Total Bag Discharged (Truck)]]</f>
        <v>40227</v>
      </c>
      <c r="AT44" s="67">
        <f t="shared" si="5"/>
        <v>40227</v>
      </c>
      <c r="AU44" s="69"/>
      <c r="AV44" s="70">
        <v>21</v>
      </c>
      <c r="AW44" s="70">
        <v>21</v>
      </c>
      <c r="AX44" s="70"/>
      <c r="AY44" s="71">
        <f t="shared" si="6"/>
        <v>42</v>
      </c>
      <c r="AZ44" s="70">
        <v>247</v>
      </c>
      <c r="BA44" s="70">
        <v>18</v>
      </c>
      <c r="BB44" s="70">
        <v>12</v>
      </c>
      <c r="BC44" s="63">
        <f t="shared" si="12"/>
        <v>277</v>
      </c>
      <c r="BD44" s="72">
        <f>SUM(Table22[[#This Row],[Good Kernel (gm)]]+(Table22[[#This Row],[Immature (gm)]]+Table22[[#This Row],[Spotted (gm)]])/2)*0.176</f>
        <v>46.111999999999995</v>
      </c>
      <c r="BE44" s="72">
        <v>46.11</v>
      </c>
      <c r="BF44" s="72">
        <f t="shared" si="13"/>
        <v>48.854489999999998</v>
      </c>
      <c r="BG44" s="72">
        <f t="shared" si="7"/>
        <v>52.558259999999997</v>
      </c>
      <c r="BH44" s="72">
        <f>SUM(Table22[[#This Row],[Good Kernel (gm)]:[Spotted (gm)]])/1000*100</f>
        <v>27.700000000000003</v>
      </c>
      <c r="BI44" s="72">
        <f t="shared" si="8"/>
        <v>29.799999999999997</v>
      </c>
      <c r="BJ44" s="72">
        <v>11</v>
      </c>
      <c r="BK44" s="51">
        <v>189</v>
      </c>
      <c r="BL44" s="73">
        <v>621</v>
      </c>
      <c r="BM44" s="70">
        <v>23</v>
      </c>
      <c r="BN44" s="74">
        <v>0.108</v>
      </c>
      <c r="BO44" s="70">
        <v>8</v>
      </c>
      <c r="BP44" s="70">
        <v>2</v>
      </c>
      <c r="BQ44" s="71">
        <f t="shared" si="9"/>
        <v>33</v>
      </c>
      <c r="BR44" s="70">
        <v>245</v>
      </c>
      <c r="BS44" s="70">
        <v>18</v>
      </c>
      <c r="BT44" s="70">
        <v>14</v>
      </c>
      <c r="BU44" s="63">
        <f t="shared" si="14"/>
        <v>277</v>
      </c>
      <c r="BV44" s="72">
        <f>SUM(Table22[[#This Row],[Good Kernel (G M)]]+(Table22[[#This Row],[Immature (g m)]]+Table22[[#This Row],[Spotted (g m)]])/2)*0.176</f>
        <v>45.936</v>
      </c>
      <c r="BW44" s="72">
        <v>45.76</v>
      </c>
      <c r="BX44" s="72"/>
      <c r="BY44" s="72">
        <f t="shared" si="15"/>
        <v>48.854489999999998</v>
      </c>
      <c r="BZ44" s="72">
        <f t="shared" si="16"/>
        <v>53.263739999999999</v>
      </c>
      <c r="CA44" s="72">
        <f>SUM(Table22[[#This Row],[Good Kernel (G M)]:[Spotted (g m)]])/1000*100</f>
        <v>27.700000000000003</v>
      </c>
      <c r="CB44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44" s="72">
        <v>10.8</v>
      </c>
      <c r="CD44" s="51">
        <v>183</v>
      </c>
      <c r="CE44" s="73">
        <v>683</v>
      </c>
      <c r="CH44" s="184">
        <f ca="1">TODAY()-Table22[[#This Row],[Discharge Date]]</f>
        <v>155</v>
      </c>
    </row>
    <row r="45" spans="1:86" x14ac:dyDescent="0.25">
      <c r="A45" s="50">
        <v>41</v>
      </c>
      <c r="B45" s="51" t="s">
        <v>95</v>
      </c>
      <c r="C45" s="52" t="s">
        <v>96</v>
      </c>
      <c r="D45" s="54">
        <v>41</v>
      </c>
      <c r="E45" s="85"/>
      <c r="F45" s="86">
        <v>891</v>
      </c>
      <c r="G45" s="54">
        <v>541</v>
      </c>
      <c r="H45" s="82">
        <v>46098</v>
      </c>
      <c r="I45" s="82"/>
      <c r="J45" s="82"/>
      <c r="K45" s="82" t="s">
        <v>634</v>
      </c>
      <c r="L45" s="54" t="s">
        <v>98</v>
      </c>
      <c r="M45" s="57">
        <v>83394</v>
      </c>
      <c r="N45" s="57" t="s">
        <v>679</v>
      </c>
      <c r="O45" s="54" t="s">
        <v>159</v>
      </c>
      <c r="P45" s="58">
        <v>46099</v>
      </c>
      <c r="Q45" s="58">
        <v>46100</v>
      </c>
      <c r="R45" s="51" t="s">
        <v>100</v>
      </c>
      <c r="S45" s="59" t="s">
        <v>101</v>
      </c>
      <c r="T45" s="59"/>
      <c r="U45" s="59"/>
      <c r="V45" s="51" t="s">
        <v>102</v>
      </c>
      <c r="W45" s="51">
        <v>630</v>
      </c>
      <c r="X45" s="51">
        <v>39</v>
      </c>
      <c r="Y45" s="51">
        <f t="shared" si="10"/>
        <v>669</v>
      </c>
      <c r="Z45" s="51">
        <v>39</v>
      </c>
      <c r="AA45" s="61">
        <v>675</v>
      </c>
      <c r="AB45" s="51">
        <f t="shared" si="18"/>
        <v>39</v>
      </c>
      <c r="AC45" s="88">
        <v>648</v>
      </c>
      <c r="AD45" s="63"/>
      <c r="AE45" s="63">
        <v>21</v>
      </c>
      <c r="AF45" s="63">
        <v>45</v>
      </c>
      <c r="AG45" s="63"/>
      <c r="AH45" s="64">
        <f t="shared" si="29"/>
        <v>669</v>
      </c>
      <c r="AI45" s="62"/>
      <c r="AJ45" s="62"/>
      <c r="AK45" s="62">
        <f t="shared" si="30"/>
        <v>669</v>
      </c>
      <c r="AL45" s="62">
        <f t="shared" si="31"/>
        <v>669</v>
      </c>
      <c r="AM45" s="67">
        <v>54080</v>
      </c>
      <c r="AN45" s="64">
        <f t="shared" si="24"/>
        <v>753</v>
      </c>
      <c r="AO45" s="77">
        <f t="shared" si="32"/>
        <v>53411</v>
      </c>
      <c r="AP45" s="77">
        <f t="shared" si="21"/>
        <v>53327</v>
      </c>
      <c r="AQ45" s="95">
        <f t="shared" si="25"/>
        <v>53327</v>
      </c>
      <c r="AR45" s="67">
        <f t="shared" si="4"/>
        <v>84</v>
      </c>
      <c r="AS45" s="68">
        <f>Table22[[#This Row],[GROSS WT]]-Table22[[#This Row],[Total Bag Discharged (Truck)]]</f>
        <v>53411</v>
      </c>
      <c r="AT45" s="67">
        <f t="shared" si="5"/>
        <v>53411</v>
      </c>
      <c r="AU45" s="69"/>
      <c r="AV45" s="70">
        <v>25</v>
      </c>
      <c r="AW45" s="70">
        <v>12</v>
      </c>
      <c r="AX45" s="70">
        <v>3</v>
      </c>
      <c r="AY45" s="71">
        <f t="shared" si="6"/>
        <v>40</v>
      </c>
      <c r="AZ45" s="70">
        <v>244</v>
      </c>
      <c r="BA45" s="70">
        <v>20</v>
      </c>
      <c r="BB45" s="70">
        <v>14</v>
      </c>
      <c r="BC45" s="63">
        <f t="shared" si="12"/>
        <v>278</v>
      </c>
      <c r="BD45" s="72">
        <f>SUM(Table22[[#This Row],[Good Kernel (gm)]]+(Table22[[#This Row],[Immature (gm)]]+Table22[[#This Row],[Spotted (gm)]])/2)*0.176</f>
        <v>45.936</v>
      </c>
      <c r="BE45" s="72">
        <v>45.93</v>
      </c>
      <c r="BF45" s="72">
        <f t="shared" si="13"/>
        <v>49.030859999999997</v>
      </c>
      <c r="BG45" s="72">
        <f t="shared" si="7"/>
        <v>53.96922</v>
      </c>
      <c r="BH45" s="72">
        <f>SUM(Table22[[#This Row],[Good Kernel (gm)]:[Spotted (gm)]])/1000*100</f>
        <v>27.800000000000004</v>
      </c>
      <c r="BI45" s="72">
        <f t="shared" si="8"/>
        <v>30.599999999999998</v>
      </c>
      <c r="BJ45" s="72">
        <v>10.199999999999999</v>
      </c>
      <c r="BK45" s="51">
        <v>193</v>
      </c>
      <c r="BL45" s="73">
        <v>606</v>
      </c>
      <c r="BM45" s="70">
        <v>28</v>
      </c>
      <c r="BN45" s="74">
        <v>9.9000000000000005E-2</v>
      </c>
      <c r="BO45" s="70">
        <v>14</v>
      </c>
      <c r="BP45" s="70"/>
      <c r="BQ45" s="71">
        <f t="shared" si="9"/>
        <v>42</v>
      </c>
      <c r="BR45" s="70">
        <v>238</v>
      </c>
      <c r="BS45" s="70">
        <v>22</v>
      </c>
      <c r="BT45" s="70">
        <v>18</v>
      </c>
      <c r="BU45" s="63">
        <f t="shared" si="14"/>
        <v>278</v>
      </c>
      <c r="BV45" s="72">
        <f>SUM(Table22[[#This Row],[Good Kernel (G M)]]+(Table22[[#This Row],[Immature (g m)]]+Table22[[#This Row],[Spotted (g m)]])/2)*0.176</f>
        <v>45.407999999999994</v>
      </c>
      <c r="BW45" s="72">
        <v>45.4</v>
      </c>
      <c r="BX45" s="72"/>
      <c r="BY45" s="72">
        <f t="shared" si="15"/>
        <v>49.030859999999997</v>
      </c>
      <c r="BZ45" s="72">
        <f t="shared" si="16"/>
        <v>53.96922</v>
      </c>
      <c r="CA45" s="72">
        <f>SUM(Table22[[#This Row],[Good Kernel (G M)]:[Spotted (g m)]])/1000*100</f>
        <v>27.800000000000004</v>
      </c>
      <c r="CB45" s="72">
        <f>(Table22[[#This Row],[BROWNS/Rejection (gm) (NUT)]]+Table22[[#This Row],[OIL (g m)]]+Table22[[#This Row],[Good Kernel (G M)]]+Table22[[#This Row],[Immature (g m)]]+Table22[[#This Row],[Spotted (g m)]])/1000*100</f>
        <v>30.599999999999998</v>
      </c>
      <c r="CC45" s="72">
        <v>9.9</v>
      </c>
      <c r="CD45" s="51">
        <v>188</v>
      </c>
      <c r="CE45" s="73">
        <v>673</v>
      </c>
      <c r="CH45" s="184">
        <f ca="1">TODAY()-Table22[[#This Row],[Discharge Date]]</f>
        <v>155</v>
      </c>
    </row>
    <row r="46" spans="1:86" x14ac:dyDescent="0.25">
      <c r="A46" s="50">
        <v>42</v>
      </c>
      <c r="B46" s="51" t="s">
        <v>95</v>
      </c>
      <c r="C46" s="52" t="s">
        <v>96</v>
      </c>
      <c r="D46" s="54">
        <v>42</v>
      </c>
      <c r="E46" s="85"/>
      <c r="F46" s="86">
        <v>892</v>
      </c>
      <c r="G46" s="54">
        <v>542</v>
      </c>
      <c r="H46" s="82">
        <v>46100</v>
      </c>
      <c r="I46" s="82"/>
      <c r="J46" s="82"/>
      <c r="K46" s="82" t="s">
        <v>634</v>
      </c>
      <c r="L46" s="54" t="s">
        <v>98</v>
      </c>
      <c r="M46" s="57">
        <v>82476</v>
      </c>
      <c r="N46" s="57" t="s">
        <v>672</v>
      </c>
      <c r="O46" s="54" t="s">
        <v>160</v>
      </c>
      <c r="P46" s="58">
        <v>46100</v>
      </c>
      <c r="Q46" s="58">
        <v>46102</v>
      </c>
      <c r="R46" s="51" t="s">
        <v>116</v>
      </c>
      <c r="S46" s="59" t="s">
        <v>117</v>
      </c>
      <c r="T46" s="54"/>
      <c r="U46" s="54"/>
      <c r="V46" s="51" t="s">
        <v>118</v>
      </c>
      <c r="W46" s="51">
        <v>319</v>
      </c>
      <c r="X46" s="51">
        <v>8</v>
      </c>
      <c r="Y46" s="51">
        <f t="shared" si="10"/>
        <v>327</v>
      </c>
      <c r="Z46" s="51">
        <v>16</v>
      </c>
      <c r="AA46" s="61">
        <f t="shared" si="26"/>
        <v>335</v>
      </c>
      <c r="AB46" s="51">
        <f t="shared" si="18"/>
        <v>16</v>
      </c>
      <c r="AC46" s="88">
        <f t="shared" si="27"/>
        <v>319</v>
      </c>
      <c r="AD46" s="63"/>
      <c r="AE46" s="63">
        <f t="shared" si="28"/>
        <v>8</v>
      </c>
      <c r="AF46" s="63">
        <v>16</v>
      </c>
      <c r="AG46" s="63"/>
      <c r="AH46" s="64">
        <f t="shared" si="29"/>
        <v>327</v>
      </c>
      <c r="AI46" s="62"/>
      <c r="AJ46" s="62"/>
      <c r="AK46" s="62">
        <f t="shared" si="30"/>
        <v>327</v>
      </c>
      <c r="AL46" s="62">
        <f t="shared" si="31"/>
        <v>327</v>
      </c>
      <c r="AM46" s="67">
        <v>28780</v>
      </c>
      <c r="AN46" s="64">
        <f t="shared" si="24"/>
        <v>359</v>
      </c>
      <c r="AO46" s="77">
        <f t="shared" si="32"/>
        <v>28453</v>
      </c>
      <c r="AP46" s="77">
        <f t="shared" si="21"/>
        <v>28421</v>
      </c>
      <c r="AQ46" s="95">
        <f t="shared" si="25"/>
        <v>28421</v>
      </c>
      <c r="AR46" s="67">
        <f t="shared" si="4"/>
        <v>32</v>
      </c>
      <c r="AS46" s="68">
        <f>Table22[[#This Row],[GROSS WT]]-Table22[[#This Row],[Total Bag Discharged (Truck)]]</f>
        <v>28453</v>
      </c>
      <c r="AT46" s="67">
        <f t="shared" si="5"/>
        <v>28453</v>
      </c>
      <c r="AU46" s="69"/>
      <c r="AV46" s="70">
        <v>33</v>
      </c>
      <c r="AW46" s="70">
        <v>6</v>
      </c>
      <c r="AX46" s="70">
        <v>3</v>
      </c>
      <c r="AY46" s="71">
        <f t="shared" si="6"/>
        <v>42</v>
      </c>
      <c r="AZ46" s="70">
        <v>240</v>
      </c>
      <c r="BA46" s="70">
        <v>12</v>
      </c>
      <c r="BB46" s="70">
        <v>9</v>
      </c>
      <c r="BC46" s="63">
        <f t="shared" si="12"/>
        <v>261</v>
      </c>
      <c r="BD46" s="72">
        <f>SUM(Table22[[#This Row],[Good Kernel (gm)]]+(Table22[[#This Row],[Immature (gm)]]+Table22[[#This Row],[Spotted (gm)]])/2)*0.176</f>
        <v>44.088000000000001</v>
      </c>
      <c r="BE46" s="72">
        <v>44.08</v>
      </c>
      <c r="BF46" s="72">
        <f t="shared" si="13"/>
        <v>46.03257</v>
      </c>
      <c r="BG46" s="72">
        <f t="shared" si="7"/>
        <v>52.381889999999999</v>
      </c>
      <c r="BH46" s="72">
        <f>SUM(Table22[[#This Row],[Good Kernel (gm)]:[Spotted (gm)]])/1000*100</f>
        <v>26.1</v>
      </c>
      <c r="BI46" s="72">
        <f t="shared" si="8"/>
        <v>29.7</v>
      </c>
      <c r="BJ46" s="72">
        <v>9.8000000000000007</v>
      </c>
      <c r="BK46" s="51">
        <v>183</v>
      </c>
      <c r="BL46" s="73">
        <v>691</v>
      </c>
      <c r="BM46" s="70">
        <v>25</v>
      </c>
      <c r="BN46" s="74">
        <v>9.8000000000000004E-2</v>
      </c>
      <c r="BO46" s="70">
        <v>6</v>
      </c>
      <c r="BP46" s="70">
        <v>2</v>
      </c>
      <c r="BQ46" s="71">
        <f t="shared" si="9"/>
        <v>33</v>
      </c>
      <c r="BR46" s="70">
        <v>241</v>
      </c>
      <c r="BS46" s="70">
        <v>16</v>
      </c>
      <c r="BT46" s="70">
        <v>11</v>
      </c>
      <c r="BU46" s="63">
        <f t="shared" si="14"/>
        <v>268</v>
      </c>
      <c r="BV46" s="72">
        <f>SUM(Table22[[#This Row],[Good Kernel (G M)]]+(Table22[[#This Row],[Immature (g m)]]+Table22[[#This Row],[Spotted (g m)]])/2)*0.176</f>
        <v>44.791999999999994</v>
      </c>
      <c r="BW46" s="72">
        <v>44.08</v>
      </c>
      <c r="BX46" s="72"/>
      <c r="BY46" s="72">
        <f t="shared" si="15"/>
        <v>47.267159999999997</v>
      </c>
      <c r="BZ46" s="72">
        <f t="shared" si="16"/>
        <v>52.029150000000001</v>
      </c>
      <c r="CA46" s="72">
        <f>SUM(Table22[[#This Row],[Good Kernel (G M)]:[Spotted (g m)]])/1000*100</f>
        <v>26.8</v>
      </c>
      <c r="CB4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46" s="72">
        <v>9.8000000000000007</v>
      </c>
      <c r="CD46" s="51">
        <v>176</v>
      </c>
      <c r="CE46" s="73"/>
      <c r="CH46" s="184">
        <f ca="1">TODAY()-Table22[[#This Row],[Discharge Date]]</f>
        <v>153</v>
      </c>
    </row>
    <row r="47" spans="1:86" x14ac:dyDescent="0.25">
      <c r="A47" s="50">
        <v>43</v>
      </c>
      <c r="B47" s="51" t="s">
        <v>95</v>
      </c>
      <c r="C47" s="52" t="s">
        <v>96</v>
      </c>
      <c r="D47" s="54">
        <v>43</v>
      </c>
      <c r="E47" s="85"/>
      <c r="F47" s="86">
        <v>893</v>
      </c>
      <c r="G47" s="54">
        <v>543</v>
      </c>
      <c r="H47" s="82">
        <v>46100</v>
      </c>
      <c r="I47" s="82"/>
      <c r="J47" s="82"/>
      <c r="K47" s="82" t="s">
        <v>634</v>
      </c>
      <c r="L47" s="54" t="s">
        <v>98</v>
      </c>
      <c r="M47" s="57">
        <v>82480</v>
      </c>
      <c r="N47" s="57" t="s">
        <v>676</v>
      </c>
      <c r="O47" s="54" t="s">
        <v>161</v>
      </c>
      <c r="P47" s="58">
        <v>46100</v>
      </c>
      <c r="Q47" s="58">
        <v>46102</v>
      </c>
      <c r="R47" s="51" t="s">
        <v>100</v>
      </c>
      <c r="S47" s="59" t="s">
        <v>101</v>
      </c>
      <c r="T47" s="59"/>
      <c r="U47" s="59"/>
      <c r="V47" s="51" t="s">
        <v>102</v>
      </c>
      <c r="W47" s="51">
        <v>664</v>
      </c>
      <c r="X47" s="51">
        <v>21</v>
      </c>
      <c r="Y47" s="51">
        <f t="shared" si="10"/>
        <v>685</v>
      </c>
      <c r="Z47" s="51">
        <v>91</v>
      </c>
      <c r="AA47" s="61">
        <v>693</v>
      </c>
      <c r="AB47" s="51">
        <f t="shared" si="18"/>
        <v>91</v>
      </c>
      <c r="AC47" s="88">
        <f t="shared" si="27"/>
        <v>664</v>
      </c>
      <c r="AD47" s="63"/>
      <c r="AE47" s="63">
        <f t="shared" si="28"/>
        <v>21</v>
      </c>
      <c r="AF47" s="63">
        <v>91</v>
      </c>
      <c r="AG47" s="63"/>
      <c r="AH47" s="64">
        <f t="shared" si="29"/>
        <v>685</v>
      </c>
      <c r="AI47" s="62"/>
      <c r="AJ47" s="62"/>
      <c r="AK47" s="62">
        <f t="shared" si="30"/>
        <v>685</v>
      </c>
      <c r="AL47" s="62">
        <f t="shared" si="31"/>
        <v>685</v>
      </c>
      <c r="AM47" s="67">
        <v>52740</v>
      </c>
      <c r="AN47" s="64">
        <f t="shared" si="24"/>
        <v>769</v>
      </c>
      <c r="AO47" s="77">
        <f t="shared" si="32"/>
        <v>52055</v>
      </c>
      <c r="AP47" s="77">
        <f t="shared" si="21"/>
        <v>51971</v>
      </c>
      <c r="AQ47" s="95">
        <f t="shared" si="25"/>
        <v>51971</v>
      </c>
      <c r="AR47" s="67">
        <f t="shared" si="4"/>
        <v>84</v>
      </c>
      <c r="AS47" s="68">
        <f>Table22[[#This Row],[GROSS WT]]-Table22[[#This Row],[Total Bag Discharged (Truck)]]</f>
        <v>52055</v>
      </c>
      <c r="AT47" s="67">
        <f t="shared" si="5"/>
        <v>52055</v>
      </c>
      <c r="AU47" s="69"/>
      <c r="AV47" s="70">
        <v>22</v>
      </c>
      <c r="AW47" s="70">
        <v>8</v>
      </c>
      <c r="AX47" s="70">
        <v>3</v>
      </c>
      <c r="AY47" s="71">
        <f t="shared" si="6"/>
        <v>33</v>
      </c>
      <c r="AZ47" s="70">
        <v>252</v>
      </c>
      <c r="BA47" s="70">
        <v>10</v>
      </c>
      <c r="BB47" s="70">
        <v>12</v>
      </c>
      <c r="BC47" s="63">
        <f t="shared" si="12"/>
        <v>274</v>
      </c>
      <c r="BD47" s="72">
        <f>SUM(Table22[[#This Row],[Good Kernel (gm)]]+(Table22[[#This Row],[Immature (gm)]]+Table22[[#This Row],[Spotted (gm)]])/2)*0.176</f>
        <v>46.287999999999997</v>
      </c>
      <c r="BE47" s="72">
        <v>46.11</v>
      </c>
      <c r="BF47" s="72">
        <f t="shared" si="13"/>
        <v>48.325380000000003</v>
      </c>
      <c r="BG47" s="72">
        <f t="shared" si="7"/>
        <v>52.734630000000003</v>
      </c>
      <c r="BH47" s="72">
        <f>SUM(Table22[[#This Row],[Good Kernel (gm)]:[Spotted (gm)]])/1000*100</f>
        <v>27.400000000000002</v>
      </c>
      <c r="BI47" s="72">
        <f t="shared" si="8"/>
        <v>29.9</v>
      </c>
      <c r="BJ47" s="72">
        <v>10.4</v>
      </c>
      <c r="BK47" s="51">
        <v>180</v>
      </c>
      <c r="BL47" s="73">
        <v>686</v>
      </c>
      <c r="BM47" s="70">
        <v>27</v>
      </c>
      <c r="BN47" s="74">
        <v>9.8000000000000004E-2</v>
      </c>
      <c r="BO47" s="70">
        <v>6</v>
      </c>
      <c r="BP47" s="70">
        <v>2</v>
      </c>
      <c r="BQ47" s="71">
        <f t="shared" si="9"/>
        <v>35</v>
      </c>
      <c r="BR47" s="70">
        <v>248</v>
      </c>
      <c r="BS47" s="70">
        <v>16</v>
      </c>
      <c r="BT47" s="70">
        <v>14</v>
      </c>
      <c r="BU47" s="63">
        <f t="shared" si="14"/>
        <v>278</v>
      </c>
      <c r="BV47" s="72">
        <f>SUM(Table22[[#This Row],[Good Kernel (G M)]]+(Table22[[#This Row],[Immature (g m)]]+Table22[[#This Row],[Spotted (g m)]])/2)*0.176</f>
        <v>46.287999999999997</v>
      </c>
      <c r="BW47" s="72">
        <v>46.28</v>
      </c>
      <c r="BX47" s="72"/>
      <c r="BY47" s="72">
        <f t="shared" si="15"/>
        <v>49.030859999999997</v>
      </c>
      <c r="BZ47" s="72">
        <f t="shared" si="16"/>
        <v>54.145589999999999</v>
      </c>
      <c r="CA47" s="72">
        <f>SUM(Table22[[#This Row],[Good Kernel (G M)]:[Spotted (g m)]])/1000*100</f>
        <v>27.800000000000004</v>
      </c>
      <c r="CB47" s="72">
        <f>(Table22[[#This Row],[BROWNS/Rejection (gm) (NUT)]]+Table22[[#This Row],[OIL (g m)]]+Table22[[#This Row],[Good Kernel (G M)]]+Table22[[#This Row],[Immature (g m)]]+Table22[[#This Row],[Spotted (g m)]])/1000*100</f>
        <v>30.7</v>
      </c>
      <c r="CC47" s="72">
        <v>9.8000000000000007</v>
      </c>
      <c r="CD47" s="51">
        <v>184</v>
      </c>
      <c r="CE47" s="73"/>
      <c r="CH47" s="184">
        <f ca="1">TODAY()-Table22[[#This Row],[Discharge Date]]</f>
        <v>153</v>
      </c>
    </row>
    <row r="48" spans="1:86" x14ac:dyDescent="0.25">
      <c r="A48" s="50">
        <v>44</v>
      </c>
      <c r="B48" s="51" t="s">
        <v>95</v>
      </c>
      <c r="C48" s="52" t="s">
        <v>96</v>
      </c>
      <c r="D48" s="54">
        <v>44</v>
      </c>
      <c r="E48" s="85"/>
      <c r="F48" s="86">
        <v>894</v>
      </c>
      <c r="G48" s="54">
        <v>544</v>
      </c>
      <c r="H48" s="82">
        <v>46099</v>
      </c>
      <c r="I48" s="82"/>
      <c r="J48" s="82"/>
      <c r="K48" s="82" t="s">
        <v>634</v>
      </c>
      <c r="L48" s="54" t="s">
        <v>98</v>
      </c>
      <c r="M48" s="57">
        <v>72609</v>
      </c>
      <c r="N48" s="57" t="s">
        <v>679</v>
      </c>
      <c r="O48" s="54" t="s">
        <v>162</v>
      </c>
      <c r="P48" s="58">
        <v>46100</v>
      </c>
      <c r="Q48" s="58">
        <v>46103</v>
      </c>
      <c r="R48" s="51" t="s">
        <v>163</v>
      </c>
      <c r="S48" s="59" t="s">
        <v>164</v>
      </c>
      <c r="T48" s="54"/>
      <c r="U48" s="54"/>
      <c r="V48" s="54" t="s">
        <v>165</v>
      </c>
      <c r="W48" s="51">
        <v>475</v>
      </c>
      <c r="X48" s="51">
        <v>18</v>
      </c>
      <c r="Y48" s="51">
        <f t="shared" si="10"/>
        <v>493</v>
      </c>
      <c r="Z48" s="51">
        <v>18</v>
      </c>
      <c r="AA48" s="61">
        <f t="shared" si="26"/>
        <v>493</v>
      </c>
      <c r="AB48" s="51">
        <f t="shared" si="18"/>
        <v>18</v>
      </c>
      <c r="AC48" s="88">
        <f t="shared" si="27"/>
        <v>475</v>
      </c>
      <c r="AD48" s="63"/>
      <c r="AE48" s="63">
        <f t="shared" si="28"/>
        <v>18</v>
      </c>
      <c r="AF48" s="63">
        <v>18</v>
      </c>
      <c r="AG48" s="63"/>
      <c r="AH48" s="64">
        <f t="shared" si="29"/>
        <v>493</v>
      </c>
      <c r="AI48" s="62"/>
      <c r="AJ48" s="62"/>
      <c r="AK48" s="62">
        <f t="shared" si="30"/>
        <v>493</v>
      </c>
      <c r="AL48" s="62">
        <f t="shared" si="31"/>
        <v>493</v>
      </c>
      <c r="AM48" s="67">
        <v>41400</v>
      </c>
      <c r="AN48" s="64">
        <f t="shared" si="24"/>
        <v>565</v>
      </c>
      <c r="AO48" s="77">
        <f t="shared" si="32"/>
        <v>40907</v>
      </c>
      <c r="AP48" s="77">
        <v>40835</v>
      </c>
      <c r="AQ48" s="77">
        <f t="shared" si="25"/>
        <v>40835</v>
      </c>
      <c r="AR48" s="67">
        <f t="shared" si="4"/>
        <v>72</v>
      </c>
      <c r="AS48" s="68">
        <f>Table22[[#This Row],[GROSS WT]]-Table22[[#This Row],[Total Bag Discharged (Truck)]]</f>
        <v>40907</v>
      </c>
      <c r="AT48" s="67">
        <f t="shared" si="5"/>
        <v>40907</v>
      </c>
      <c r="AU48" s="69"/>
      <c r="AV48" s="70">
        <v>18</v>
      </c>
      <c r="AW48" s="70">
        <v>38</v>
      </c>
      <c r="AX48" s="70">
        <v>2</v>
      </c>
      <c r="AY48" s="71">
        <f t="shared" si="6"/>
        <v>58</v>
      </c>
      <c r="AZ48" s="70">
        <v>240</v>
      </c>
      <c r="BA48" s="70">
        <v>16</v>
      </c>
      <c r="BB48" s="70">
        <v>14</v>
      </c>
      <c r="BC48" s="63">
        <f t="shared" si="12"/>
        <v>270</v>
      </c>
      <c r="BD48" s="72">
        <f>SUM(Table22[[#This Row],[Good Kernel (gm)]]+(Table22[[#This Row],[Immature (gm)]]+Table22[[#This Row],[Spotted (gm)]])/2)*0.176</f>
        <v>44.879999999999995</v>
      </c>
      <c r="BE48" s="72">
        <v>44.88</v>
      </c>
      <c r="BF48" s="72">
        <f t="shared" si="13"/>
        <v>47.619900000000001</v>
      </c>
      <c r="BG48" s="72">
        <f t="shared" si="7"/>
        <v>51.147300000000001</v>
      </c>
      <c r="BH48" s="72">
        <f>SUM(Table22[[#This Row],[Good Kernel (gm)]:[Spotted (gm)]])/1000*100</f>
        <v>27</v>
      </c>
      <c r="BI48" s="72">
        <f t="shared" si="8"/>
        <v>28.999999999999996</v>
      </c>
      <c r="BJ48" s="72">
        <v>8.1</v>
      </c>
      <c r="BK48" s="51">
        <v>187</v>
      </c>
      <c r="BL48" s="73">
        <v>665</v>
      </c>
      <c r="BM48" s="70">
        <v>24</v>
      </c>
      <c r="BN48" s="74">
        <v>0.08</v>
      </c>
      <c r="BO48" s="70">
        <v>20</v>
      </c>
      <c r="BP48" s="70">
        <v>2</v>
      </c>
      <c r="BQ48" s="71">
        <f t="shared" si="9"/>
        <v>46</v>
      </c>
      <c r="BR48" s="70">
        <v>242</v>
      </c>
      <c r="BS48" s="70">
        <v>14</v>
      </c>
      <c r="BT48" s="70">
        <v>16</v>
      </c>
      <c r="BU48" s="63">
        <f t="shared" si="14"/>
        <v>272</v>
      </c>
      <c r="BV48" s="72">
        <f>SUM(Table22[[#This Row],[Good Kernel (G M)]]+(Table22[[#This Row],[Immature (g m)]]+Table22[[#This Row],[Spotted (g m)]])/2)*0.176</f>
        <v>45.231999999999999</v>
      </c>
      <c r="BW48" s="72">
        <v>45.23</v>
      </c>
      <c r="BX48" s="72"/>
      <c r="BY48" s="72">
        <f t="shared" si="15"/>
        <v>47.972639999999998</v>
      </c>
      <c r="BZ48" s="72">
        <f t="shared" si="16"/>
        <v>52.558259999999997</v>
      </c>
      <c r="CA48" s="72">
        <f>SUM(Table22[[#This Row],[Good Kernel (G M)]:[Spotted (g m)]])/1000*100</f>
        <v>27.200000000000003</v>
      </c>
      <c r="CB48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48" s="72">
        <v>8.4</v>
      </c>
      <c r="CD48" s="51">
        <v>192</v>
      </c>
      <c r="CE48" s="73"/>
      <c r="CH48" s="184">
        <f ca="1">TODAY()-Table22[[#This Row],[Discharge Date]]</f>
        <v>152</v>
      </c>
    </row>
    <row r="49" spans="1:86" x14ac:dyDescent="0.25">
      <c r="A49" s="50">
        <v>45</v>
      </c>
      <c r="B49" s="51" t="s">
        <v>95</v>
      </c>
      <c r="C49" s="52" t="s">
        <v>96</v>
      </c>
      <c r="D49" s="97">
        <v>45</v>
      </c>
      <c r="E49" s="98"/>
      <c r="F49" s="99">
        <v>895</v>
      </c>
      <c r="G49" s="97">
        <v>545</v>
      </c>
      <c r="H49" s="82">
        <v>46100</v>
      </c>
      <c r="I49" s="82"/>
      <c r="J49" s="82"/>
      <c r="K49" s="82" t="s">
        <v>634</v>
      </c>
      <c r="L49" s="54" t="s">
        <v>98</v>
      </c>
      <c r="M49" s="100">
        <v>83398</v>
      </c>
      <c r="N49" s="100" t="s">
        <v>672</v>
      </c>
      <c r="O49" s="73" t="s">
        <v>166</v>
      </c>
      <c r="P49" s="101">
        <v>46100</v>
      </c>
      <c r="Q49" s="101">
        <v>46104</v>
      </c>
      <c r="R49" s="102" t="s">
        <v>167</v>
      </c>
      <c r="S49" s="103" t="s">
        <v>543</v>
      </c>
      <c r="T49" s="102"/>
      <c r="U49" s="102"/>
      <c r="V49" s="102" t="s">
        <v>168</v>
      </c>
      <c r="W49" s="51">
        <v>408</v>
      </c>
      <c r="X49" s="51">
        <v>1</v>
      </c>
      <c r="Y49" s="51">
        <f t="shared" si="10"/>
        <v>409</v>
      </c>
      <c r="Z49" s="51">
        <v>1</v>
      </c>
      <c r="AA49" s="61">
        <f t="shared" si="26"/>
        <v>409</v>
      </c>
      <c r="AB49" s="51">
        <f t="shared" si="18"/>
        <v>1</v>
      </c>
      <c r="AC49" s="88">
        <f t="shared" si="27"/>
        <v>408</v>
      </c>
      <c r="AD49" s="63"/>
      <c r="AE49" s="63">
        <f t="shared" si="28"/>
        <v>1</v>
      </c>
      <c r="AF49" s="63">
        <v>1</v>
      </c>
      <c r="AG49" s="63"/>
      <c r="AH49" s="64">
        <f t="shared" si="29"/>
        <v>409</v>
      </c>
      <c r="AI49" s="62"/>
      <c r="AJ49" s="62"/>
      <c r="AK49" s="62">
        <f t="shared" si="30"/>
        <v>409</v>
      </c>
      <c r="AL49" s="62">
        <f t="shared" si="31"/>
        <v>409</v>
      </c>
      <c r="AM49" s="67">
        <v>31920</v>
      </c>
      <c r="AN49" s="64">
        <f t="shared" si="24"/>
        <v>413</v>
      </c>
      <c r="AO49" s="77">
        <f t="shared" si="32"/>
        <v>31511</v>
      </c>
      <c r="AP49" s="77">
        <f t="shared" ref="AP49:AP112" si="33">AM49-AN49</f>
        <v>31507</v>
      </c>
      <c r="AQ49" s="77">
        <f t="shared" si="25"/>
        <v>31507</v>
      </c>
      <c r="AR49" s="67">
        <f t="shared" si="4"/>
        <v>4</v>
      </c>
      <c r="AS49" s="68">
        <f>Table22[[#This Row],[GROSS WT]]-Table22[[#This Row],[Total Bag Discharged (Truck)]]</f>
        <v>31511</v>
      </c>
      <c r="AT49" s="67">
        <f t="shared" si="5"/>
        <v>31511</v>
      </c>
      <c r="AU49" s="69"/>
      <c r="AV49" s="73">
        <v>24</v>
      </c>
      <c r="AW49" s="73">
        <v>8</v>
      </c>
      <c r="AX49" s="73">
        <v>0</v>
      </c>
      <c r="AY49" s="71">
        <f t="shared" si="6"/>
        <v>32</v>
      </c>
      <c r="AZ49" s="70">
        <v>236</v>
      </c>
      <c r="BA49" s="73">
        <v>18</v>
      </c>
      <c r="BB49" s="73">
        <v>12</v>
      </c>
      <c r="BC49" s="63">
        <v>236</v>
      </c>
      <c r="BD49" s="72">
        <f>SUM(Table22[[#This Row],[Good Kernel (gm)]]+(Table22[[#This Row],[Immature (gm)]]+Table22[[#This Row],[Spotted (gm)]])/2)*0.176</f>
        <v>44.175999999999995</v>
      </c>
      <c r="BE49" s="73">
        <v>44.17</v>
      </c>
      <c r="BF49" s="72">
        <f t="shared" si="13"/>
        <v>46.91442</v>
      </c>
      <c r="BG49" s="72">
        <f t="shared" si="7"/>
        <v>51.147300000000001</v>
      </c>
      <c r="BH49" s="72">
        <f>SUM(Table22[[#This Row],[Good Kernel (gm)]:[Spotted (gm)]])/1000*100</f>
        <v>26.6</v>
      </c>
      <c r="BI49" s="72">
        <f t="shared" si="8"/>
        <v>28.999999999999996</v>
      </c>
      <c r="BJ49" s="73">
        <v>9.9</v>
      </c>
      <c r="BK49" s="73">
        <v>186</v>
      </c>
      <c r="BL49" s="73">
        <v>697</v>
      </c>
      <c r="BM49" s="73">
        <v>32</v>
      </c>
      <c r="BN49" s="73">
        <v>9.9</v>
      </c>
      <c r="BO49" s="73">
        <v>16</v>
      </c>
      <c r="BP49" s="73">
        <v>2</v>
      </c>
      <c r="BQ49" s="71">
        <f t="shared" si="9"/>
        <v>50</v>
      </c>
      <c r="BR49" s="73">
        <v>236</v>
      </c>
      <c r="BS49" s="73">
        <v>20</v>
      </c>
      <c r="BT49" s="73">
        <v>12</v>
      </c>
      <c r="BU49" s="63">
        <f t="shared" si="14"/>
        <v>268</v>
      </c>
      <c r="BV49" s="72">
        <f>SUM(Table22[[#This Row],[Good Kernel (G M)]]+(Table22[[#This Row],[Immature (g m)]]+Table22[[#This Row],[Spotted (g m)]])/2)*0.176</f>
        <v>44.351999999999997</v>
      </c>
      <c r="BW49" s="73">
        <v>44.35</v>
      </c>
      <c r="BX49" s="73"/>
      <c r="BY49" s="72">
        <f t="shared" si="15"/>
        <v>47.267159999999997</v>
      </c>
      <c r="BZ49" s="72">
        <f t="shared" si="16"/>
        <v>53.263739999999999</v>
      </c>
      <c r="CA49" s="72">
        <f>SUM(Table22[[#This Row],[Good Kernel (G M)]:[Spotted (g m)]])/1000*100</f>
        <v>26.8</v>
      </c>
      <c r="CB49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49" s="73">
        <v>9.9</v>
      </c>
      <c r="CD49" s="73">
        <v>186</v>
      </c>
      <c r="CE49" s="73">
        <v>0</v>
      </c>
      <c r="CH49" s="184">
        <f ca="1">TODAY()-Table22[[#This Row],[Discharge Date]]</f>
        <v>151</v>
      </c>
    </row>
    <row r="50" spans="1:86" x14ac:dyDescent="0.25">
      <c r="A50" s="50">
        <v>46</v>
      </c>
      <c r="B50" s="51" t="s">
        <v>95</v>
      </c>
      <c r="C50" s="52" t="s">
        <v>96</v>
      </c>
      <c r="D50" s="97">
        <v>46</v>
      </c>
      <c r="E50" s="98"/>
      <c r="F50" s="99">
        <v>896</v>
      </c>
      <c r="G50" s="97">
        <v>546</v>
      </c>
      <c r="H50" s="82">
        <v>46103</v>
      </c>
      <c r="I50" s="82"/>
      <c r="J50" s="82"/>
      <c r="K50" s="82" t="s">
        <v>634</v>
      </c>
      <c r="L50" s="54" t="s">
        <v>98</v>
      </c>
      <c r="M50" s="100">
        <v>82162</v>
      </c>
      <c r="N50" s="100" t="s">
        <v>672</v>
      </c>
      <c r="O50" s="73" t="s">
        <v>169</v>
      </c>
      <c r="P50" s="101">
        <v>46103</v>
      </c>
      <c r="Q50" s="101">
        <v>46104</v>
      </c>
      <c r="R50" s="102" t="s">
        <v>100</v>
      </c>
      <c r="S50" s="59" t="s">
        <v>107</v>
      </c>
      <c r="T50" s="59"/>
      <c r="U50" s="59"/>
      <c r="V50" s="102" t="s">
        <v>108</v>
      </c>
      <c r="W50" s="51">
        <v>522</v>
      </c>
      <c r="X50" s="51">
        <v>38</v>
      </c>
      <c r="Y50" s="51">
        <f t="shared" si="10"/>
        <v>560</v>
      </c>
      <c r="Z50" s="51">
        <v>41</v>
      </c>
      <c r="AA50" s="61">
        <v>563</v>
      </c>
      <c r="AB50" s="51">
        <f t="shared" si="18"/>
        <v>41</v>
      </c>
      <c r="AC50" s="88">
        <v>536</v>
      </c>
      <c r="AD50" s="63"/>
      <c r="AE50" s="63">
        <v>24</v>
      </c>
      <c r="AF50" s="63">
        <v>41</v>
      </c>
      <c r="AG50" s="63"/>
      <c r="AH50" s="64">
        <f t="shared" si="29"/>
        <v>560</v>
      </c>
      <c r="AI50" s="62"/>
      <c r="AJ50" s="62"/>
      <c r="AK50" s="62">
        <f t="shared" si="30"/>
        <v>560</v>
      </c>
      <c r="AL50" s="62">
        <f t="shared" si="31"/>
        <v>560</v>
      </c>
      <c r="AM50" s="67">
        <v>45020</v>
      </c>
      <c r="AN50" s="64">
        <f t="shared" si="24"/>
        <v>656</v>
      </c>
      <c r="AO50" s="77">
        <f t="shared" si="32"/>
        <v>44460</v>
      </c>
      <c r="AP50" s="77">
        <f t="shared" si="33"/>
        <v>44364</v>
      </c>
      <c r="AQ50" s="77">
        <f t="shared" si="25"/>
        <v>44364</v>
      </c>
      <c r="AR50" s="67">
        <f t="shared" si="4"/>
        <v>96</v>
      </c>
      <c r="AS50" s="68">
        <f>Table22[[#This Row],[GROSS WT]]-Table22[[#This Row],[Total Bag Discharged (Truck)]]</f>
        <v>44460</v>
      </c>
      <c r="AT50" s="67">
        <f t="shared" si="5"/>
        <v>44460</v>
      </c>
      <c r="AU50" s="69"/>
      <c r="AV50" s="73">
        <v>35</v>
      </c>
      <c r="AW50" s="73">
        <v>17</v>
      </c>
      <c r="AX50" s="73">
        <v>3</v>
      </c>
      <c r="AY50" s="71">
        <f t="shared" si="6"/>
        <v>55</v>
      </c>
      <c r="AZ50" s="70">
        <v>241</v>
      </c>
      <c r="BA50" s="73">
        <v>12</v>
      </c>
      <c r="BB50" s="73">
        <v>8</v>
      </c>
      <c r="BC50" s="63">
        <f t="shared" si="12"/>
        <v>261</v>
      </c>
      <c r="BD50" s="72">
        <f>SUM(Table22[[#This Row],[Good Kernel (gm)]]+(Table22[[#This Row],[Immature (gm)]]+Table22[[#This Row],[Spotted (gm)]])/2)*0.176</f>
        <v>44.175999999999995</v>
      </c>
      <c r="BE50" s="73">
        <v>44.17</v>
      </c>
      <c r="BF50" s="72">
        <f t="shared" si="13"/>
        <v>46.03257</v>
      </c>
      <c r="BG50" s="72">
        <f t="shared" si="7"/>
        <v>52.734630000000003</v>
      </c>
      <c r="BH50" s="72">
        <f>SUM(Table22[[#This Row],[Good Kernel (gm)]:[Spotted (gm)]])/1000*100</f>
        <v>26.1</v>
      </c>
      <c r="BI50" s="72">
        <f t="shared" si="8"/>
        <v>29.9</v>
      </c>
      <c r="BJ50" s="73">
        <v>10</v>
      </c>
      <c r="BK50" s="73">
        <v>185</v>
      </c>
      <c r="BL50" s="73">
        <v>678</v>
      </c>
      <c r="BM50" s="73">
        <v>29</v>
      </c>
      <c r="BN50" s="73">
        <v>9.8000000000000007</v>
      </c>
      <c r="BO50" s="73">
        <v>19</v>
      </c>
      <c r="BP50" s="73">
        <v>2</v>
      </c>
      <c r="BQ50" s="71">
        <f t="shared" si="9"/>
        <v>50</v>
      </c>
      <c r="BR50" s="73">
        <v>242</v>
      </c>
      <c r="BS50" s="73">
        <v>10</v>
      </c>
      <c r="BT50" s="73">
        <v>13</v>
      </c>
      <c r="BU50" s="63">
        <f t="shared" si="14"/>
        <v>265</v>
      </c>
      <c r="BV50" s="72">
        <f>SUM(Table22[[#This Row],[Good Kernel (G M)]]+(Table22[[#This Row],[Immature (g m)]]+Table22[[#This Row],[Spotted (g m)]])/2)*0.176</f>
        <v>44.616</v>
      </c>
      <c r="BW50" s="73">
        <v>44.17</v>
      </c>
      <c r="BX50" s="73"/>
      <c r="BY50" s="72">
        <f t="shared" si="15"/>
        <v>46.738050000000001</v>
      </c>
      <c r="BZ50" s="72">
        <f t="shared" si="16"/>
        <v>52.20552</v>
      </c>
      <c r="CA50" s="72">
        <f>SUM(Table22[[#This Row],[Good Kernel (G M)]:[Spotted (g m)]])/1000*100</f>
        <v>26.5</v>
      </c>
      <c r="CB50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50" s="73">
        <v>9.8000000000000007</v>
      </c>
      <c r="CD50" s="73">
        <v>182</v>
      </c>
      <c r="CE50" s="73"/>
      <c r="CH50" s="184">
        <f ca="1">TODAY()-Table22[[#This Row],[Discharge Date]]</f>
        <v>151</v>
      </c>
    </row>
    <row r="51" spans="1:86" x14ac:dyDescent="0.25">
      <c r="A51" s="50">
        <v>47</v>
      </c>
      <c r="B51" s="51" t="s">
        <v>95</v>
      </c>
      <c r="C51" s="52" t="s">
        <v>96</v>
      </c>
      <c r="D51" s="97">
        <v>47</v>
      </c>
      <c r="E51" s="98"/>
      <c r="F51" s="99">
        <v>897</v>
      </c>
      <c r="G51" s="97">
        <v>547</v>
      </c>
      <c r="H51" s="82">
        <v>46103</v>
      </c>
      <c r="I51" s="82"/>
      <c r="J51" s="82"/>
      <c r="K51" s="82" t="s">
        <v>634</v>
      </c>
      <c r="L51" s="54" t="s">
        <v>98</v>
      </c>
      <c r="M51" s="100">
        <v>82477</v>
      </c>
      <c r="N51" s="100" t="s">
        <v>672</v>
      </c>
      <c r="O51" s="73" t="s">
        <v>159</v>
      </c>
      <c r="P51" s="101">
        <v>46104</v>
      </c>
      <c r="Q51" s="101">
        <v>46104</v>
      </c>
      <c r="R51" s="102" t="s">
        <v>100</v>
      </c>
      <c r="S51" s="59" t="s">
        <v>101</v>
      </c>
      <c r="T51" s="102"/>
      <c r="U51" s="102"/>
      <c r="V51" s="51" t="s">
        <v>102</v>
      </c>
      <c r="W51" s="51">
        <v>585</v>
      </c>
      <c r="X51" s="51">
        <v>65</v>
      </c>
      <c r="Y51" s="51">
        <f t="shared" si="10"/>
        <v>650</v>
      </c>
      <c r="Z51" s="51">
        <v>71</v>
      </c>
      <c r="AA51" s="61">
        <v>656</v>
      </c>
      <c r="AB51" s="51">
        <f t="shared" si="18"/>
        <v>71</v>
      </c>
      <c r="AC51" s="88">
        <v>627</v>
      </c>
      <c r="AD51" s="63"/>
      <c r="AE51" s="63">
        <v>23</v>
      </c>
      <c r="AF51" s="63">
        <v>71</v>
      </c>
      <c r="AG51" s="63"/>
      <c r="AH51" s="64">
        <f t="shared" si="29"/>
        <v>650</v>
      </c>
      <c r="AI51" s="62"/>
      <c r="AJ51" s="62"/>
      <c r="AK51" s="62">
        <f t="shared" si="30"/>
        <v>650</v>
      </c>
      <c r="AL51" s="62">
        <f t="shared" si="31"/>
        <v>650</v>
      </c>
      <c r="AM51" s="67">
        <v>52520</v>
      </c>
      <c r="AN51" s="64">
        <f t="shared" si="24"/>
        <v>742</v>
      </c>
      <c r="AO51" s="77">
        <f t="shared" si="32"/>
        <v>51870</v>
      </c>
      <c r="AP51" s="77">
        <f t="shared" si="33"/>
        <v>51778</v>
      </c>
      <c r="AQ51" s="77">
        <f t="shared" si="25"/>
        <v>51778</v>
      </c>
      <c r="AR51" s="67">
        <f t="shared" si="4"/>
        <v>92</v>
      </c>
      <c r="AS51" s="68">
        <f>Table22[[#This Row],[GROSS WT]]-Table22[[#This Row],[Total Bag Discharged (Truck)]]</f>
        <v>51870</v>
      </c>
      <c r="AT51" s="67">
        <f t="shared" si="5"/>
        <v>51870</v>
      </c>
      <c r="AU51" s="69"/>
      <c r="AV51" s="73">
        <v>32</v>
      </c>
      <c r="AW51" s="73">
        <v>24</v>
      </c>
      <c r="AX51" s="73">
        <v>3</v>
      </c>
      <c r="AY51" s="71">
        <f t="shared" si="6"/>
        <v>59</v>
      </c>
      <c r="AZ51" s="70">
        <v>238</v>
      </c>
      <c r="BA51" s="73">
        <v>15</v>
      </c>
      <c r="BB51" s="73">
        <v>10</v>
      </c>
      <c r="BC51" s="63">
        <f t="shared" si="12"/>
        <v>263</v>
      </c>
      <c r="BD51" s="72">
        <f>SUM(Table22[[#This Row],[Good Kernel (gm)]]+(Table22[[#This Row],[Immature (gm)]]+Table22[[#This Row],[Spotted (gm)]])/2)*0.176</f>
        <v>44.088000000000001</v>
      </c>
      <c r="BE51" s="73">
        <v>44.08</v>
      </c>
      <c r="BF51" s="72">
        <f t="shared" si="13"/>
        <v>46.385309999999997</v>
      </c>
      <c r="BG51" s="72">
        <f t="shared" si="7"/>
        <v>52.558259999999997</v>
      </c>
      <c r="BH51" s="72">
        <f>SUM(Table22[[#This Row],[Good Kernel (gm)]:[Spotted (gm)]])/1000*100</f>
        <v>26.3</v>
      </c>
      <c r="BI51" s="72">
        <f t="shared" si="8"/>
        <v>29.799999999999997</v>
      </c>
      <c r="BJ51" s="73">
        <v>9.8000000000000007</v>
      </c>
      <c r="BK51" s="73">
        <v>184</v>
      </c>
      <c r="BL51" s="73">
        <v>672</v>
      </c>
      <c r="BM51" s="73">
        <v>29</v>
      </c>
      <c r="BN51" s="73">
        <v>9.5</v>
      </c>
      <c r="BO51" s="73">
        <v>22</v>
      </c>
      <c r="BP51" s="73">
        <v>3</v>
      </c>
      <c r="BQ51" s="71">
        <f t="shared" si="9"/>
        <v>54</v>
      </c>
      <c r="BR51" s="73">
        <v>238</v>
      </c>
      <c r="BS51" s="73">
        <v>16</v>
      </c>
      <c r="BT51" s="73">
        <v>11</v>
      </c>
      <c r="BU51" s="63">
        <f t="shared" si="14"/>
        <v>265</v>
      </c>
      <c r="BV51" s="72">
        <f>SUM(Table22[[#This Row],[Good Kernel (G M)]]+(Table22[[#This Row],[Immature (g m)]]+Table22[[#This Row],[Spotted (g m)]])/2)*0.176</f>
        <v>44.263999999999996</v>
      </c>
      <c r="BW51" s="73">
        <v>44.26</v>
      </c>
      <c r="BX51" s="73"/>
      <c r="BY51" s="72">
        <f t="shared" si="15"/>
        <v>46.738050000000001</v>
      </c>
      <c r="BZ51" s="72">
        <f t="shared" si="16"/>
        <v>52.381889999999999</v>
      </c>
      <c r="CA51" s="72">
        <f>SUM(Table22[[#This Row],[Good Kernel (G M)]:[Spotted (g m)]])/1000*100</f>
        <v>26.5</v>
      </c>
      <c r="CB5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51" s="73">
        <v>9.5</v>
      </c>
      <c r="CD51" s="73">
        <v>187</v>
      </c>
      <c r="CE51" s="73"/>
      <c r="CH51" s="184">
        <f ca="1">TODAY()-Table22[[#This Row],[Discharge Date]]</f>
        <v>151</v>
      </c>
    </row>
    <row r="52" spans="1:86" x14ac:dyDescent="0.25">
      <c r="A52" s="50">
        <v>48</v>
      </c>
      <c r="B52" s="51" t="s">
        <v>95</v>
      </c>
      <c r="C52" s="52" t="s">
        <v>96</v>
      </c>
      <c r="D52" s="97">
        <v>48</v>
      </c>
      <c r="E52" s="98"/>
      <c r="F52" s="99">
        <v>898</v>
      </c>
      <c r="G52" s="97">
        <v>548</v>
      </c>
      <c r="H52" s="82">
        <v>46096</v>
      </c>
      <c r="I52" s="82"/>
      <c r="J52" s="82"/>
      <c r="K52" s="82" t="s">
        <v>634</v>
      </c>
      <c r="L52" s="54" t="s">
        <v>98</v>
      </c>
      <c r="M52" s="100">
        <v>82110</v>
      </c>
      <c r="N52" s="100" t="s">
        <v>679</v>
      </c>
      <c r="O52" s="73" t="s">
        <v>170</v>
      </c>
      <c r="P52" s="101">
        <v>46104</v>
      </c>
      <c r="Q52" s="101">
        <v>46104</v>
      </c>
      <c r="R52" s="102" t="s">
        <v>100</v>
      </c>
      <c r="S52" s="59" t="s">
        <v>101</v>
      </c>
      <c r="T52" s="102"/>
      <c r="U52" s="102"/>
      <c r="V52" s="51" t="s">
        <v>102</v>
      </c>
      <c r="W52" s="51">
        <v>657</v>
      </c>
      <c r="X52" s="51">
        <v>128</v>
      </c>
      <c r="Y52" s="51">
        <f t="shared" si="10"/>
        <v>785</v>
      </c>
      <c r="Z52" s="51">
        <v>120</v>
      </c>
      <c r="AA52" s="61">
        <f t="shared" si="26"/>
        <v>777</v>
      </c>
      <c r="AB52" s="51">
        <f t="shared" si="18"/>
        <v>120</v>
      </c>
      <c r="AC52" s="88">
        <v>762</v>
      </c>
      <c r="AD52" s="63"/>
      <c r="AE52" s="63">
        <v>23</v>
      </c>
      <c r="AF52" s="63">
        <v>120</v>
      </c>
      <c r="AG52" s="63"/>
      <c r="AH52" s="64">
        <f t="shared" si="29"/>
        <v>785</v>
      </c>
      <c r="AI52" s="62"/>
      <c r="AJ52" s="62"/>
      <c r="AK52" s="62">
        <f t="shared" si="30"/>
        <v>785</v>
      </c>
      <c r="AL52" s="62">
        <f t="shared" si="31"/>
        <v>785</v>
      </c>
      <c r="AM52" s="67">
        <v>53940</v>
      </c>
      <c r="AN52" s="64">
        <f t="shared" si="24"/>
        <v>877</v>
      </c>
      <c r="AO52" s="77">
        <f t="shared" si="32"/>
        <v>53155</v>
      </c>
      <c r="AP52" s="77">
        <f t="shared" si="33"/>
        <v>53063</v>
      </c>
      <c r="AQ52" s="77">
        <f t="shared" si="25"/>
        <v>53063</v>
      </c>
      <c r="AR52" s="67">
        <f t="shared" si="4"/>
        <v>92</v>
      </c>
      <c r="AS52" s="68">
        <f>Table22[[#This Row],[GROSS WT]]-Table22[[#This Row],[Total Bag Discharged (Truck)]]</f>
        <v>53155</v>
      </c>
      <c r="AT52" s="67">
        <f t="shared" si="5"/>
        <v>53155</v>
      </c>
      <c r="AU52" s="69"/>
      <c r="AV52" s="73">
        <v>29</v>
      </c>
      <c r="AW52" s="73">
        <v>27</v>
      </c>
      <c r="AX52" s="73">
        <v>3</v>
      </c>
      <c r="AY52" s="71">
        <f t="shared" si="6"/>
        <v>59</v>
      </c>
      <c r="AZ52" s="70">
        <v>240</v>
      </c>
      <c r="BA52" s="73">
        <v>14</v>
      </c>
      <c r="BB52" s="73">
        <v>12</v>
      </c>
      <c r="BC52" s="63">
        <f t="shared" si="12"/>
        <v>266</v>
      </c>
      <c r="BD52" s="72">
        <f>SUM(Table22[[#This Row],[Good Kernel (gm)]]+(Table22[[#This Row],[Immature (gm)]]+Table22[[#This Row],[Spotted (gm)]])/2)*0.176</f>
        <v>44.527999999999999</v>
      </c>
      <c r="BE52" s="73">
        <v>44.52</v>
      </c>
      <c r="BF52" s="72">
        <f t="shared" si="13"/>
        <v>46.91442</v>
      </c>
      <c r="BG52" s="72">
        <f t="shared" si="7"/>
        <v>52.558259999999997</v>
      </c>
      <c r="BH52" s="72">
        <f>SUM(Table22[[#This Row],[Good Kernel (gm)]:[Spotted (gm)]])/1000*100</f>
        <v>26.6</v>
      </c>
      <c r="BI52" s="72">
        <f t="shared" si="8"/>
        <v>29.799999999999997</v>
      </c>
      <c r="BJ52" s="73">
        <v>9.3000000000000007</v>
      </c>
      <c r="BK52" s="73">
        <v>185</v>
      </c>
      <c r="BL52" s="73">
        <v>683</v>
      </c>
      <c r="BM52" s="73">
        <v>28</v>
      </c>
      <c r="BN52" s="73">
        <v>9.1</v>
      </c>
      <c r="BO52" s="73">
        <v>19</v>
      </c>
      <c r="BP52" s="73">
        <v>2</v>
      </c>
      <c r="BQ52" s="71">
        <f t="shared" si="9"/>
        <v>49</v>
      </c>
      <c r="BR52" s="73">
        <v>244</v>
      </c>
      <c r="BS52" s="73">
        <v>14</v>
      </c>
      <c r="BT52" s="73">
        <v>8</v>
      </c>
      <c r="BU52" s="63">
        <f t="shared" si="14"/>
        <v>266</v>
      </c>
      <c r="BV52" s="72">
        <f>SUM(Table22[[#This Row],[Good Kernel (G M)]]+(Table22[[#This Row],[Immature (g m)]]+Table22[[#This Row],[Spotted (g m)]])/2)*0.176</f>
        <v>44.879999999999995</v>
      </c>
      <c r="BW52" s="73">
        <v>44.88</v>
      </c>
      <c r="BX52" s="73"/>
      <c r="BY52" s="72">
        <f t="shared" si="15"/>
        <v>46.91442</v>
      </c>
      <c r="BZ52" s="72">
        <f t="shared" si="16"/>
        <v>52.20552</v>
      </c>
      <c r="CA52" s="72">
        <f>SUM(Table22[[#This Row],[Good Kernel (G M)]:[Spotted (g m)]])/1000*100</f>
        <v>26.6</v>
      </c>
      <c r="CB52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52" s="73">
        <v>9.1</v>
      </c>
      <c r="CD52" s="73">
        <v>188</v>
      </c>
      <c r="CE52" s="73"/>
      <c r="CH52" s="184">
        <f ca="1">TODAY()-Table22[[#This Row],[Discharge Date]]</f>
        <v>151</v>
      </c>
    </row>
    <row r="53" spans="1:86" x14ac:dyDescent="0.25">
      <c r="A53" s="50">
        <v>49</v>
      </c>
      <c r="B53" s="51" t="s">
        <v>95</v>
      </c>
      <c r="C53" s="52" t="s">
        <v>96</v>
      </c>
      <c r="D53" s="97">
        <v>49</v>
      </c>
      <c r="E53" s="98"/>
      <c r="F53" s="99">
        <v>899</v>
      </c>
      <c r="G53" s="97">
        <v>549</v>
      </c>
      <c r="H53" s="82">
        <v>46104</v>
      </c>
      <c r="I53" s="82"/>
      <c r="J53" s="82"/>
      <c r="K53" s="82" t="s">
        <v>634</v>
      </c>
      <c r="L53" s="54" t="s">
        <v>98</v>
      </c>
      <c r="M53" s="100">
        <v>82478</v>
      </c>
      <c r="N53" s="100" t="s">
        <v>676</v>
      </c>
      <c r="O53" s="73" t="s">
        <v>171</v>
      </c>
      <c r="P53" s="101">
        <v>46105</v>
      </c>
      <c r="Q53" s="101">
        <v>46105</v>
      </c>
      <c r="R53" s="102" t="s">
        <v>100</v>
      </c>
      <c r="S53" s="59" t="s">
        <v>101</v>
      </c>
      <c r="T53" s="102"/>
      <c r="U53" s="102"/>
      <c r="V53" s="51" t="s">
        <v>102</v>
      </c>
      <c r="W53" s="51">
        <v>478</v>
      </c>
      <c r="X53" s="51">
        <v>47</v>
      </c>
      <c r="Y53" s="51">
        <f t="shared" si="10"/>
        <v>525</v>
      </c>
      <c r="Z53" s="51">
        <v>47</v>
      </c>
      <c r="AA53" s="61">
        <f t="shared" si="26"/>
        <v>525</v>
      </c>
      <c r="AB53" s="51">
        <f t="shared" si="18"/>
        <v>47</v>
      </c>
      <c r="AC53" s="88">
        <v>502</v>
      </c>
      <c r="AD53" s="63"/>
      <c r="AE53" s="63">
        <v>23</v>
      </c>
      <c r="AF53" s="63">
        <v>47</v>
      </c>
      <c r="AG53" s="63"/>
      <c r="AH53" s="64">
        <f t="shared" si="29"/>
        <v>525</v>
      </c>
      <c r="AI53" s="62"/>
      <c r="AJ53" s="62"/>
      <c r="AK53" s="62">
        <f t="shared" si="30"/>
        <v>525</v>
      </c>
      <c r="AL53" s="62">
        <f t="shared" si="31"/>
        <v>525</v>
      </c>
      <c r="AM53" s="67">
        <v>42380</v>
      </c>
      <c r="AN53" s="64">
        <f t="shared" si="24"/>
        <v>617</v>
      </c>
      <c r="AO53" s="77">
        <f t="shared" si="32"/>
        <v>41855</v>
      </c>
      <c r="AP53" s="77">
        <f t="shared" si="33"/>
        <v>41763</v>
      </c>
      <c r="AQ53" s="77">
        <f t="shared" si="25"/>
        <v>41763</v>
      </c>
      <c r="AR53" s="67">
        <f t="shared" si="4"/>
        <v>92</v>
      </c>
      <c r="AS53" s="68">
        <f>Table22[[#This Row],[GROSS WT]]-Table22[[#This Row],[Total Bag Discharged (Truck)]]</f>
        <v>41855</v>
      </c>
      <c r="AT53" s="67">
        <f t="shared" si="5"/>
        <v>41855</v>
      </c>
      <c r="AU53" s="69"/>
      <c r="AV53" s="73">
        <v>27</v>
      </c>
      <c r="AW53" s="73">
        <v>14</v>
      </c>
      <c r="AX53" s="73">
        <v>3</v>
      </c>
      <c r="AY53" s="71">
        <f t="shared" si="6"/>
        <v>44</v>
      </c>
      <c r="AZ53" s="70">
        <v>246</v>
      </c>
      <c r="BA53" s="73">
        <v>16</v>
      </c>
      <c r="BB53" s="73">
        <v>8</v>
      </c>
      <c r="BC53" s="63">
        <f t="shared" si="12"/>
        <v>270</v>
      </c>
      <c r="BD53" s="72">
        <f>SUM(Table22[[#This Row],[Good Kernel (gm)]]+(Table22[[#This Row],[Immature (gm)]]+Table22[[#This Row],[Spotted (gm)]])/2)*0.176</f>
        <v>45.407999999999994</v>
      </c>
      <c r="BE53" s="73">
        <v>45.4</v>
      </c>
      <c r="BF53" s="72">
        <f t="shared" si="13"/>
        <v>47.619900000000001</v>
      </c>
      <c r="BG53" s="72">
        <f t="shared" si="7"/>
        <v>52.911000000000001</v>
      </c>
      <c r="BH53" s="72">
        <f>SUM(Table22[[#This Row],[Good Kernel (gm)]:[Spotted (gm)]])/1000*100</f>
        <v>27</v>
      </c>
      <c r="BI53" s="72">
        <f t="shared" si="8"/>
        <v>30</v>
      </c>
      <c r="BJ53" s="73">
        <v>9.6999999999999993</v>
      </c>
      <c r="BK53" s="73">
        <v>184</v>
      </c>
      <c r="BL53" s="73">
        <v>680</v>
      </c>
      <c r="BM53" s="73">
        <v>23</v>
      </c>
      <c r="BN53" s="73">
        <v>10.8</v>
      </c>
      <c r="BO53" s="73">
        <v>8</v>
      </c>
      <c r="BP53" s="73">
        <v>2</v>
      </c>
      <c r="BQ53" s="71">
        <f t="shared" si="9"/>
        <v>33</v>
      </c>
      <c r="BR53" s="73">
        <v>245</v>
      </c>
      <c r="BS53" s="73">
        <v>18</v>
      </c>
      <c r="BT53" s="73">
        <v>14</v>
      </c>
      <c r="BU53" s="63">
        <f t="shared" si="14"/>
        <v>277</v>
      </c>
      <c r="BV53" s="72">
        <f>SUM(Table22[[#This Row],[Good Kernel (G M)]]+(Table22[[#This Row],[Immature (g m)]]+Table22[[#This Row],[Spotted (g m)]])/2)*0.176</f>
        <v>45.936</v>
      </c>
      <c r="BW53" s="73">
        <v>45.76</v>
      </c>
      <c r="BX53" s="73"/>
      <c r="BY53" s="72">
        <f t="shared" si="15"/>
        <v>48.854489999999998</v>
      </c>
      <c r="BZ53" s="72">
        <f t="shared" si="16"/>
        <v>53.263739999999999</v>
      </c>
      <c r="CA53" s="72">
        <f>SUM(Table22[[#This Row],[Good Kernel (G M)]:[Spotted (g m)]])/1000*100</f>
        <v>27.700000000000003</v>
      </c>
      <c r="CB53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53" s="73">
        <v>10.8</v>
      </c>
      <c r="CD53" s="73">
        <v>183</v>
      </c>
      <c r="CE53" s="73">
        <v>683</v>
      </c>
      <c r="CH53" s="184">
        <f ca="1">TODAY()-Table22[[#This Row],[Discharge Date]]</f>
        <v>150</v>
      </c>
    </row>
    <row r="54" spans="1:86" x14ac:dyDescent="0.25">
      <c r="A54" s="50">
        <v>50</v>
      </c>
      <c r="B54" s="51" t="s">
        <v>95</v>
      </c>
      <c r="C54" s="52" t="s">
        <v>96</v>
      </c>
      <c r="D54" s="97">
        <v>50</v>
      </c>
      <c r="E54" s="98"/>
      <c r="F54" s="99">
        <v>900</v>
      </c>
      <c r="G54" s="97">
        <v>550</v>
      </c>
      <c r="H54" s="82">
        <v>46104</v>
      </c>
      <c r="I54" s="82"/>
      <c r="J54" s="82"/>
      <c r="K54" s="82" t="s">
        <v>634</v>
      </c>
      <c r="L54" s="54" t="s">
        <v>98</v>
      </c>
      <c r="M54" s="100">
        <v>82479</v>
      </c>
      <c r="N54" s="100" t="s">
        <v>679</v>
      </c>
      <c r="O54" s="73" t="s">
        <v>172</v>
      </c>
      <c r="P54" s="101">
        <v>46105</v>
      </c>
      <c r="Q54" s="101">
        <v>46105</v>
      </c>
      <c r="R54" s="102" t="s">
        <v>100</v>
      </c>
      <c r="S54" s="59" t="s">
        <v>101</v>
      </c>
      <c r="T54" s="102"/>
      <c r="U54" s="102"/>
      <c r="V54" s="51" t="s">
        <v>102</v>
      </c>
      <c r="W54" s="51">
        <v>540</v>
      </c>
      <c r="X54" s="51">
        <v>18</v>
      </c>
      <c r="Y54" s="51">
        <f t="shared" si="10"/>
        <v>558</v>
      </c>
      <c r="Z54" s="51">
        <v>24</v>
      </c>
      <c r="AA54" s="61">
        <f t="shared" si="26"/>
        <v>564</v>
      </c>
      <c r="AB54" s="51">
        <f t="shared" si="18"/>
        <v>24</v>
      </c>
      <c r="AC54" s="88">
        <v>540</v>
      </c>
      <c r="AD54" s="63"/>
      <c r="AE54" s="63">
        <f t="shared" si="28"/>
        <v>18</v>
      </c>
      <c r="AF54" s="63">
        <v>24</v>
      </c>
      <c r="AG54" s="63"/>
      <c r="AH54" s="64">
        <f t="shared" si="29"/>
        <v>558</v>
      </c>
      <c r="AI54" s="62"/>
      <c r="AJ54" s="62"/>
      <c r="AK54" s="62">
        <f t="shared" si="30"/>
        <v>558</v>
      </c>
      <c r="AL54" s="62">
        <f t="shared" si="31"/>
        <v>558</v>
      </c>
      <c r="AM54" s="67">
        <v>41680</v>
      </c>
      <c r="AN54" s="64">
        <f t="shared" si="24"/>
        <v>630</v>
      </c>
      <c r="AO54" s="77">
        <f t="shared" si="32"/>
        <v>41122</v>
      </c>
      <c r="AP54" s="77">
        <f t="shared" si="33"/>
        <v>41050</v>
      </c>
      <c r="AQ54" s="77">
        <f t="shared" si="25"/>
        <v>41050</v>
      </c>
      <c r="AR54" s="67">
        <f t="shared" si="4"/>
        <v>72</v>
      </c>
      <c r="AS54" s="68">
        <f>Table22[[#This Row],[GROSS WT]]-Table22[[#This Row],[Total Bag Discharged (Truck)]]</f>
        <v>41122</v>
      </c>
      <c r="AT54" s="67">
        <f t="shared" si="5"/>
        <v>41122</v>
      </c>
      <c r="AU54" s="69"/>
      <c r="AV54" s="73">
        <v>28</v>
      </c>
      <c r="AW54" s="73">
        <v>24</v>
      </c>
      <c r="AX54" s="73">
        <v>2</v>
      </c>
      <c r="AY54" s="71">
        <f t="shared" si="6"/>
        <v>54</v>
      </c>
      <c r="AZ54" s="70">
        <v>245</v>
      </c>
      <c r="BA54" s="73">
        <v>14</v>
      </c>
      <c r="BB54" s="73">
        <v>10</v>
      </c>
      <c r="BC54" s="63">
        <f t="shared" si="12"/>
        <v>269</v>
      </c>
      <c r="BD54" s="72">
        <f>SUM(Table22[[#This Row],[Good Kernel (gm)]]+(Table22[[#This Row],[Immature (gm)]]+Table22[[#This Row],[Spotted (gm)]])/2)*0.176</f>
        <v>45.231999999999999</v>
      </c>
      <c r="BE54" s="73">
        <v>45.23</v>
      </c>
      <c r="BF54" s="72">
        <f t="shared" si="13"/>
        <v>47.443530000000003</v>
      </c>
      <c r="BG54" s="72">
        <f t="shared" si="7"/>
        <v>52.734630000000003</v>
      </c>
      <c r="BH54" s="72">
        <f>SUM(Table22[[#This Row],[Good Kernel (gm)]:[Spotted (gm)]])/1000*100</f>
        <v>26.900000000000002</v>
      </c>
      <c r="BI54" s="72">
        <f t="shared" si="8"/>
        <v>29.9</v>
      </c>
      <c r="BJ54" s="73">
        <v>9.9</v>
      </c>
      <c r="BK54" s="73">
        <v>187</v>
      </c>
      <c r="BL54" s="73">
        <v>672</v>
      </c>
      <c r="BM54" s="73">
        <v>29</v>
      </c>
      <c r="BN54" s="73">
        <v>9.3000000000000007</v>
      </c>
      <c r="BO54" s="73">
        <v>18</v>
      </c>
      <c r="BP54" s="73">
        <v>3</v>
      </c>
      <c r="BQ54" s="71">
        <f t="shared" si="9"/>
        <v>50</v>
      </c>
      <c r="BR54" s="73">
        <v>248</v>
      </c>
      <c r="BS54" s="73">
        <v>13</v>
      </c>
      <c r="BT54" s="73">
        <v>12</v>
      </c>
      <c r="BU54" s="63">
        <f t="shared" si="14"/>
        <v>273</v>
      </c>
      <c r="BV54" s="72">
        <f>SUM(Table22[[#This Row],[Good Kernel (G M)]]+(Table22[[#This Row],[Immature (g m)]]+Table22[[#This Row],[Spotted (g m)]])/2)*0.176</f>
        <v>45.847999999999999</v>
      </c>
      <c r="BW54" s="73">
        <v>45.84</v>
      </c>
      <c r="BX54" s="73"/>
      <c r="BY54" s="72">
        <f t="shared" si="15"/>
        <v>48.149009999999997</v>
      </c>
      <c r="BZ54" s="72">
        <f t="shared" si="16"/>
        <v>53.792850000000001</v>
      </c>
      <c r="CA54" s="72">
        <f>SUM(Table22[[#This Row],[Good Kernel (G M)]:[Spotted (g m)]])/1000*100</f>
        <v>27.3</v>
      </c>
      <c r="CB54" s="72">
        <f>(Table22[[#This Row],[BROWNS/Rejection (gm) (NUT)]]+Table22[[#This Row],[OIL (g m)]]+Table22[[#This Row],[Good Kernel (G M)]]+Table22[[#This Row],[Immature (g m)]]+Table22[[#This Row],[Spotted (g m)]])/1000*100</f>
        <v>30.5</v>
      </c>
      <c r="CC54" s="73">
        <v>9.3000000000000007</v>
      </c>
      <c r="CD54" s="73">
        <v>180</v>
      </c>
      <c r="CE54" s="73"/>
      <c r="CH54" s="184">
        <f ca="1">TODAY()-Table22[[#This Row],[Discharge Date]]</f>
        <v>150</v>
      </c>
    </row>
    <row r="55" spans="1:86" x14ac:dyDescent="0.25">
      <c r="A55" s="50">
        <v>51</v>
      </c>
      <c r="B55" s="51" t="s">
        <v>95</v>
      </c>
      <c r="C55" s="52" t="s">
        <v>96</v>
      </c>
      <c r="D55" s="97">
        <v>55</v>
      </c>
      <c r="E55" s="98"/>
      <c r="F55" s="99">
        <v>655</v>
      </c>
      <c r="G55" s="97">
        <v>405</v>
      </c>
      <c r="H55" s="82">
        <v>46107</v>
      </c>
      <c r="I55" s="82"/>
      <c r="J55" s="82"/>
      <c r="K55" s="82" t="s">
        <v>634</v>
      </c>
      <c r="L55" s="54" t="s">
        <v>98</v>
      </c>
      <c r="M55" s="100">
        <v>83407</v>
      </c>
      <c r="N55" s="100" t="s">
        <v>672</v>
      </c>
      <c r="O55" s="73" t="s">
        <v>171</v>
      </c>
      <c r="P55" s="101">
        <v>46108</v>
      </c>
      <c r="Q55" s="101">
        <v>46108</v>
      </c>
      <c r="R55" s="102" t="s">
        <v>100</v>
      </c>
      <c r="S55" s="59" t="s">
        <v>101</v>
      </c>
      <c r="T55" s="102"/>
      <c r="U55" s="102"/>
      <c r="V55" s="51" t="s">
        <v>102</v>
      </c>
      <c r="W55" s="51">
        <v>540</v>
      </c>
      <c r="X55" s="51">
        <v>35</v>
      </c>
      <c r="Y55" s="51">
        <f t="shared" si="10"/>
        <v>575</v>
      </c>
      <c r="Z55" s="51">
        <v>40</v>
      </c>
      <c r="AA55" s="61">
        <f t="shared" si="26"/>
        <v>580</v>
      </c>
      <c r="AB55" s="51">
        <f t="shared" si="18"/>
        <v>40</v>
      </c>
      <c r="AC55" s="88">
        <v>551</v>
      </c>
      <c r="AD55" s="63"/>
      <c r="AE55" s="63">
        <v>24</v>
      </c>
      <c r="AF55" s="63">
        <v>40</v>
      </c>
      <c r="AG55" s="63"/>
      <c r="AH55" s="64">
        <f t="shared" si="29"/>
        <v>575</v>
      </c>
      <c r="AI55" s="62"/>
      <c r="AJ55" s="62"/>
      <c r="AK55" s="62">
        <f t="shared" si="30"/>
        <v>575</v>
      </c>
      <c r="AL55" s="62">
        <f t="shared" si="31"/>
        <v>575</v>
      </c>
      <c r="AM55" s="67">
        <v>42860</v>
      </c>
      <c r="AN55" s="64">
        <f t="shared" si="24"/>
        <v>671</v>
      </c>
      <c r="AO55" s="77">
        <f t="shared" si="32"/>
        <v>42285</v>
      </c>
      <c r="AP55" s="77">
        <f t="shared" si="33"/>
        <v>42189</v>
      </c>
      <c r="AQ55" s="77">
        <f t="shared" si="25"/>
        <v>42189</v>
      </c>
      <c r="AR55" s="67">
        <f t="shared" si="4"/>
        <v>96</v>
      </c>
      <c r="AS55" s="68">
        <f>Table22[[#This Row],[GROSS WT]]-Table22[[#This Row],[Total Bag Discharged (Truck)]]</f>
        <v>42285</v>
      </c>
      <c r="AT55" s="67">
        <f t="shared" si="5"/>
        <v>42285</v>
      </c>
      <c r="AU55" s="69"/>
      <c r="AV55" s="73">
        <v>29</v>
      </c>
      <c r="AW55" s="73">
        <v>24</v>
      </c>
      <c r="AX55" s="73">
        <v>2</v>
      </c>
      <c r="AY55" s="71">
        <f t="shared" si="6"/>
        <v>55</v>
      </c>
      <c r="AZ55" s="70">
        <v>242</v>
      </c>
      <c r="BA55" s="73">
        <v>8</v>
      </c>
      <c r="BB55" s="73">
        <v>12</v>
      </c>
      <c r="BC55" s="63">
        <f t="shared" si="12"/>
        <v>262</v>
      </c>
      <c r="BD55" s="72">
        <f>SUM(Table22[[#This Row],[Good Kernel (gm)]]+(Table22[[#This Row],[Immature (gm)]]+Table22[[#This Row],[Spotted (gm)]])/2)*0.176</f>
        <v>44.351999999999997</v>
      </c>
      <c r="BE55" s="73">
        <v>44.35</v>
      </c>
      <c r="BF55" s="72">
        <f t="shared" si="13"/>
        <v>46.208939999999998</v>
      </c>
      <c r="BG55" s="72">
        <f t="shared" si="7"/>
        <v>51.676409999999997</v>
      </c>
      <c r="BH55" s="72">
        <f>SUM(Table22[[#This Row],[Good Kernel (gm)]:[Spotted (gm)]])/1000*100</f>
        <v>26.200000000000003</v>
      </c>
      <c r="BI55" s="72">
        <f t="shared" si="8"/>
        <v>29.299999999999997</v>
      </c>
      <c r="BJ55" s="73">
        <v>9.5</v>
      </c>
      <c r="BK55" s="73">
        <v>178</v>
      </c>
      <c r="BL55" s="73">
        <v>677</v>
      </c>
      <c r="BM55" s="73">
        <v>27</v>
      </c>
      <c r="BN55" s="73">
        <v>9.4</v>
      </c>
      <c r="BO55" s="73">
        <v>21</v>
      </c>
      <c r="BP55" s="73">
        <v>2</v>
      </c>
      <c r="BQ55" s="71">
        <f t="shared" si="9"/>
        <v>50</v>
      </c>
      <c r="BR55" s="73">
        <v>243</v>
      </c>
      <c r="BS55" s="73">
        <v>6</v>
      </c>
      <c r="BT55" s="73">
        <v>14</v>
      </c>
      <c r="BU55" s="63">
        <f t="shared" si="14"/>
        <v>263</v>
      </c>
      <c r="BV55" s="72">
        <f>SUM(Table22[[#This Row],[Good Kernel (G M)]]+(Table22[[#This Row],[Immature (g m)]]+Table22[[#This Row],[Spotted (g m)]])/2)*0.176</f>
        <v>44.527999999999999</v>
      </c>
      <c r="BW55" s="73">
        <v>44.52</v>
      </c>
      <c r="BX55" s="73"/>
      <c r="BY55" s="72">
        <f t="shared" si="15"/>
        <v>46.385309999999997</v>
      </c>
      <c r="BZ55" s="72">
        <f t="shared" si="16"/>
        <v>51.500039999999998</v>
      </c>
      <c r="CA55" s="72">
        <f>SUM(Table22[[#This Row],[Good Kernel (G M)]:[Spotted (g m)]])/1000*100</f>
        <v>26.3</v>
      </c>
      <c r="CB55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55" s="73">
        <v>9.4</v>
      </c>
      <c r="CD55" s="73">
        <v>175</v>
      </c>
      <c r="CE55" s="73"/>
      <c r="CH55" s="184">
        <f ca="1">TODAY()-Table22[[#This Row],[Discharge Date]]</f>
        <v>147</v>
      </c>
    </row>
    <row r="56" spans="1:86" x14ac:dyDescent="0.25">
      <c r="A56" s="50">
        <v>52</v>
      </c>
      <c r="B56" s="51" t="s">
        <v>95</v>
      </c>
      <c r="C56" s="52" t="s">
        <v>96</v>
      </c>
      <c r="D56" s="97">
        <v>54</v>
      </c>
      <c r="E56" s="98"/>
      <c r="F56" s="104">
        <v>654</v>
      </c>
      <c r="G56" s="97">
        <v>404</v>
      </c>
      <c r="H56" s="82">
        <v>46106</v>
      </c>
      <c r="I56" s="82"/>
      <c r="J56" s="82"/>
      <c r="K56" s="82" t="s">
        <v>634</v>
      </c>
      <c r="L56" s="54" t="s">
        <v>98</v>
      </c>
      <c r="M56" s="100">
        <v>83406</v>
      </c>
      <c r="N56" s="100" t="s">
        <v>672</v>
      </c>
      <c r="O56" s="73" t="s">
        <v>169</v>
      </c>
      <c r="P56" s="101">
        <v>46106</v>
      </c>
      <c r="Q56" s="101">
        <v>46107</v>
      </c>
      <c r="R56" s="102" t="s">
        <v>100</v>
      </c>
      <c r="S56" s="59" t="s">
        <v>107</v>
      </c>
      <c r="T56" s="59"/>
      <c r="U56" s="59"/>
      <c r="V56" s="102" t="s">
        <v>108</v>
      </c>
      <c r="W56" s="51">
        <v>563</v>
      </c>
      <c r="X56" s="51">
        <v>9</v>
      </c>
      <c r="Y56" s="51">
        <f t="shared" si="10"/>
        <v>572</v>
      </c>
      <c r="Z56" s="51">
        <v>10</v>
      </c>
      <c r="AA56" s="61">
        <f>W56+Z56</f>
        <v>573</v>
      </c>
      <c r="AB56" s="51">
        <f t="shared" si="18"/>
        <v>10</v>
      </c>
      <c r="AC56" s="88">
        <v>563</v>
      </c>
      <c r="AD56" s="63"/>
      <c r="AE56" s="63">
        <f t="shared" si="28"/>
        <v>9</v>
      </c>
      <c r="AF56" s="63">
        <v>10</v>
      </c>
      <c r="AG56" s="63"/>
      <c r="AH56" s="64">
        <f t="shared" si="29"/>
        <v>572</v>
      </c>
      <c r="AI56" s="62"/>
      <c r="AJ56" s="62"/>
      <c r="AK56" s="62">
        <f t="shared" si="30"/>
        <v>572</v>
      </c>
      <c r="AL56" s="62">
        <f t="shared" si="31"/>
        <v>572</v>
      </c>
      <c r="AM56" s="67">
        <v>46300</v>
      </c>
      <c r="AN56" s="64">
        <f t="shared" si="24"/>
        <v>608</v>
      </c>
      <c r="AO56" s="77">
        <f t="shared" si="32"/>
        <v>45728</v>
      </c>
      <c r="AP56" s="77">
        <f t="shared" si="33"/>
        <v>45692</v>
      </c>
      <c r="AQ56" s="77">
        <f t="shared" si="25"/>
        <v>45692</v>
      </c>
      <c r="AR56" s="67">
        <f t="shared" si="4"/>
        <v>36</v>
      </c>
      <c r="AS56" s="68">
        <f>Table22[[#This Row],[GROSS WT]]-Table22[[#This Row],[Total Bag Discharged (Truck)]]</f>
        <v>45728</v>
      </c>
      <c r="AT56" s="67">
        <f t="shared" si="5"/>
        <v>45728</v>
      </c>
      <c r="AU56" s="69"/>
      <c r="AV56" s="73">
        <v>32</v>
      </c>
      <c r="AW56" s="73">
        <v>19</v>
      </c>
      <c r="AX56" s="73">
        <v>0</v>
      </c>
      <c r="AY56" s="71">
        <f t="shared" si="6"/>
        <v>51</v>
      </c>
      <c r="AZ56" s="70">
        <v>239</v>
      </c>
      <c r="BA56" s="73">
        <v>8</v>
      </c>
      <c r="BB56" s="73">
        <v>16</v>
      </c>
      <c r="BC56" s="63">
        <f t="shared" si="12"/>
        <v>263</v>
      </c>
      <c r="BD56" s="72">
        <f>SUM(Table22[[#This Row],[Good Kernel (gm)]]+(Table22[[#This Row],[Immature (gm)]]+Table22[[#This Row],[Spotted (gm)]])/2)*0.176</f>
        <v>44.175999999999995</v>
      </c>
      <c r="BE56" s="73">
        <v>44.17</v>
      </c>
      <c r="BF56" s="72">
        <f t="shared" si="13"/>
        <v>46.385309999999997</v>
      </c>
      <c r="BG56" s="72">
        <f t="shared" si="7"/>
        <v>52.029150000000001</v>
      </c>
      <c r="BH56" s="72">
        <f>SUM(Table22[[#This Row],[Good Kernel (gm)]:[Spotted (gm)]])/1000*100</f>
        <v>26.3</v>
      </c>
      <c r="BI56" s="72">
        <f t="shared" si="8"/>
        <v>29.5</v>
      </c>
      <c r="BJ56" s="73">
        <v>9.6</v>
      </c>
      <c r="BK56" s="73">
        <v>187</v>
      </c>
      <c r="BL56" s="73">
        <v>679</v>
      </c>
      <c r="BM56" s="73">
        <v>29</v>
      </c>
      <c r="BN56" s="73">
        <v>9.6</v>
      </c>
      <c r="BO56" s="73">
        <v>18</v>
      </c>
      <c r="BP56" s="73">
        <v>2</v>
      </c>
      <c r="BQ56" s="71">
        <f t="shared" si="9"/>
        <v>49</v>
      </c>
      <c r="BR56" s="73">
        <v>240</v>
      </c>
      <c r="BS56" s="73">
        <v>12</v>
      </c>
      <c r="BT56" s="73">
        <v>14</v>
      </c>
      <c r="BU56" s="63">
        <f t="shared" si="14"/>
        <v>266</v>
      </c>
      <c r="BV56" s="72">
        <f>SUM(Table22[[#This Row],[Good Kernel (G M)]]+(Table22[[#This Row],[Immature (g m)]]+Table22[[#This Row],[Spotted (g m)]])/2)*0.176</f>
        <v>44.527999999999999</v>
      </c>
      <c r="BW56" s="73">
        <v>44.17</v>
      </c>
      <c r="BX56" s="73"/>
      <c r="BY56" s="72">
        <f t="shared" si="15"/>
        <v>46.91442</v>
      </c>
      <c r="BZ56" s="72">
        <f t="shared" si="16"/>
        <v>52.381889999999999</v>
      </c>
      <c r="CA56" s="72">
        <f>SUM(Table22[[#This Row],[Good Kernel (G M)]:[Spotted (g m)]])/1000*100</f>
        <v>26.6</v>
      </c>
      <c r="CB56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56" s="73">
        <v>9.6</v>
      </c>
      <c r="CD56" s="73">
        <v>181</v>
      </c>
      <c r="CE56" s="73"/>
      <c r="CH56" s="184">
        <f ca="1">TODAY()-Table22[[#This Row],[Discharge Date]]</f>
        <v>148</v>
      </c>
    </row>
    <row r="57" spans="1:86" x14ac:dyDescent="0.25">
      <c r="A57" s="50">
        <v>53</v>
      </c>
      <c r="B57" s="51" t="s">
        <v>95</v>
      </c>
      <c r="C57" s="52" t="s">
        <v>96</v>
      </c>
      <c r="D57" s="97">
        <v>53</v>
      </c>
      <c r="E57" s="98"/>
      <c r="F57" s="99">
        <v>653</v>
      </c>
      <c r="G57" s="97">
        <v>403</v>
      </c>
      <c r="H57" s="82">
        <v>46104</v>
      </c>
      <c r="I57" s="82"/>
      <c r="J57" s="82"/>
      <c r="K57" s="82" t="s">
        <v>634</v>
      </c>
      <c r="L57" s="54" t="s">
        <v>98</v>
      </c>
      <c r="M57" s="100">
        <v>82015</v>
      </c>
      <c r="N57" s="100" t="s">
        <v>672</v>
      </c>
      <c r="O57" s="73" t="s">
        <v>173</v>
      </c>
      <c r="P57" s="101">
        <v>46106</v>
      </c>
      <c r="Q57" s="101">
        <v>46106</v>
      </c>
      <c r="R57" s="102" t="s">
        <v>126</v>
      </c>
      <c r="S57" s="103" t="s">
        <v>174</v>
      </c>
      <c r="T57" s="102"/>
      <c r="U57" s="102"/>
      <c r="V57" s="73" t="s">
        <v>175</v>
      </c>
      <c r="W57" s="51">
        <v>570</v>
      </c>
      <c r="X57" s="51">
        <v>23</v>
      </c>
      <c r="Y57" s="51">
        <f t="shared" si="10"/>
        <v>593</v>
      </c>
      <c r="Z57" s="51">
        <v>26</v>
      </c>
      <c r="AA57" s="61">
        <f t="shared" si="26"/>
        <v>596</v>
      </c>
      <c r="AB57" s="51">
        <f t="shared" si="18"/>
        <v>26</v>
      </c>
      <c r="AC57" s="88">
        <f t="shared" si="27"/>
        <v>570</v>
      </c>
      <c r="AD57" s="63"/>
      <c r="AE57" s="63">
        <f t="shared" si="28"/>
        <v>23</v>
      </c>
      <c r="AF57" s="63">
        <v>26</v>
      </c>
      <c r="AG57" s="63"/>
      <c r="AH57" s="64">
        <f t="shared" si="29"/>
        <v>593</v>
      </c>
      <c r="AI57" s="62"/>
      <c r="AJ57" s="62"/>
      <c r="AK57" s="62">
        <f t="shared" si="30"/>
        <v>593</v>
      </c>
      <c r="AL57" s="62">
        <f t="shared" si="31"/>
        <v>593</v>
      </c>
      <c r="AM57" s="67">
        <v>45720</v>
      </c>
      <c r="AN57" s="64">
        <f t="shared" si="24"/>
        <v>685</v>
      </c>
      <c r="AO57" s="77">
        <f t="shared" si="32"/>
        <v>45127</v>
      </c>
      <c r="AP57" s="77">
        <f t="shared" si="33"/>
        <v>45035</v>
      </c>
      <c r="AQ57" s="77">
        <f t="shared" si="25"/>
        <v>45035</v>
      </c>
      <c r="AR57" s="67">
        <f t="shared" si="4"/>
        <v>92</v>
      </c>
      <c r="AS57" s="68">
        <f>Table22[[#This Row],[GROSS WT]]-Table22[[#This Row],[Total Bag Discharged (Truck)]]</f>
        <v>45127</v>
      </c>
      <c r="AT57" s="67">
        <f t="shared" si="5"/>
        <v>45127</v>
      </c>
      <c r="AU57" s="69"/>
      <c r="AV57" s="73">
        <v>21</v>
      </c>
      <c r="AW57" s="73">
        <v>26</v>
      </c>
      <c r="AX57" s="73">
        <v>2</v>
      </c>
      <c r="AY57" s="71">
        <f t="shared" si="6"/>
        <v>49</v>
      </c>
      <c r="AZ57" s="70">
        <v>239</v>
      </c>
      <c r="BA57" s="73">
        <v>15</v>
      </c>
      <c r="BB57" s="73">
        <v>8</v>
      </c>
      <c r="BC57" s="63">
        <f t="shared" si="12"/>
        <v>262</v>
      </c>
      <c r="BD57" s="72">
        <f>SUM(Table22[[#This Row],[Good Kernel (gm)]]+(Table22[[#This Row],[Immature (gm)]]+Table22[[#This Row],[Spotted (gm)]])/2)*0.176</f>
        <v>44.088000000000001</v>
      </c>
      <c r="BE57" s="73">
        <v>44.08</v>
      </c>
      <c r="BF57" s="72">
        <f t="shared" si="13"/>
        <v>46.208939999999998</v>
      </c>
      <c r="BG57" s="72">
        <f t="shared" si="7"/>
        <v>50.265450000000001</v>
      </c>
      <c r="BH57" s="72">
        <f>SUM(Table22[[#This Row],[Good Kernel (gm)]:[Spotted (gm)]])/1000*100</f>
        <v>26.200000000000003</v>
      </c>
      <c r="BI57" s="72">
        <f t="shared" si="8"/>
        <v>28.499999999999996</v>
      </c>
      <c r="BJ57" s="73">
        <v>9.1</v>
      </c>
      <c r="BK57" s="73">
        <v>180</v>
      </c>
      <c r="BL57" s="73">
        <v>682</v>
      </c>
      <c r="BM57" s="73">
        <v>27</v>
      </c>
      <c r="BN57" s="73">
        <v>8.9</v>
      </c>
      <c r="BO57" s="73">
        <v>32</v>
      </c>
      <c r="BP57" s="73">
        <v>0</v>
      </c>
      <c r="BQ57" s="71">
        <f t="shared" si="9"/>
        <v>59</v>
      </c>
      <c r="BR57" s="73">
        <v>238</v>
      </c>
      <c r="BS57" s="73">
        <v>12</v>
      </c>
      <c r="BT57" s="73">
        <v>14</v>
      </c>
      <c r="BU57" s="63">
        <f t="shared" si="14"/>
        <v>264</v>
      </c>
      <c r="BV57" s="72">
        <f>SUM(Table22[[#This Row],[Good Kernel (G M)]]+(Table22[[#This Row],[Immature (g m)]]+Table22[[#This Row],[Spotted (g m)]])/2)*0.176</f>
        <v>44.175999999999995</v>
      </c>
      <c r="BW57" s="73">
        <v>44.17</v>
      </c>
      <c r="BX57" s="73"/>
      <c r="BY57" s="72">
        <f t="shared" si="15"/>
        <v>46.561680000000003</v>
      </c>
      <c r="BZ57" s="72">
        <f t="shared" si="16"/>
        <v>51.32367</v>
      </c>
      <c r="CA57" s="72">
        <f>SUM(Table22[[#This Row],[Good Kernel (G M)]:[Spotted (g m)]])/1000*100</f>
        <v>26.400000000000002</v>
      </c>
      <c r="CB57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57" s="73">
        <v>8.9</v>
      </c>
      <c r="CD57" s="73">
        <v>181</v>
      </c>
      <c r="CE57" s="73"/>
      <c r="CH57" s="184">
        <f ca="1">TODAY()-Table22[[#This Row],[Discharge Date]]</f>
        <v>149</v>
      </c>
    </row>
    <row r="58" spans="1:86" x14ac:dyDescent="0.25">
      <c r="A58" s="50">
        <v>54</v>
      </c>
      <c r="B58" s="51" t="s">
        <v>95</v>
      </c>
      <c r="C58" s="52" t="s">
        <v>96</v>
      </c>
      <c r="D58" s="97">
        <v>52</v>
      </c>
      <c r="E58" s="98"/>
      <c r="F58" s="99">
        <v>652</v>
      </c>
      <c r="G58" s="97">
        <v>402</v>
      </c>
      <c r="H58" s="82">
        <v>46104</v>
      </c>
      <c r="I58" s="82"/>
      <c r="J58" s="82"/>
      <c r="K58" s="82" t="s">
        <v>634</v>
      </c>
      <c r="L58" s="54" t="s">
        <v>98</v>
      </c>
      <c r="M58" s="100">
        <v>84376</v>
      </c>
      <c r="N58" s="100" t="s">
        <v>672</v>
      </c>
      <c r="O58" s="73" t="s">
        <v>144</v>
      </c>
      <c r="P58" s="101">
        <v>46106</v>
      </c>
      <c r="Q58" s="101">
        <v>46106</v>
      </c>
      <c r="R58" s="102" t="s">
        <v>176</v>
      </c>
      <c r="S58" s="59" t="s">
        <v>146</v>
      </c>
      <c r="T58" s="59"/>
      <c r="U58" s="102" t="s">
        <v>425</v>
      </c>
      <c r="V58" s="73" t="s">
        <v>147</v>
      </c>
      <c r="W58" s="51">
        <v>431</v>
      </c>
      <c r="X58" s="51">
        <v>28</v>
      </c>
      <c r="Y58" s="51">
        <f t="shared" si="10"/>
        <v>459</v>
      </c>
      <c r="Z58" s="51">
        <v>33</v>
      </c>
      <c r="AA58" s="61">
        <f t="shared" si="26"/>
        <v>464</v>
      </c>
      <c r="AB58" s="51">
        <f t="shared" si="18"/>
        <v>33</v>
      </c>
      <c r="AC58" s="88">
        <v>435</v>
      </c>
      <c r="AD58" s="63"/>
      <c r="AE58" s="63">
        <v>24</v>
      </c>
      <c r="AF58" s="63">
        <v>33</v>
      </c>
      <c r="AG58" s="63"/>
      <c r="AH58" s="64">
        <f t="shared" si="29"/>
        <v>459</v>
      </c>
      <c r="AI58" s="62"/>
      <c r="AJ58" s="62"/>
      <c r="AK58" s="62">
        <f t="shared" si="30"/>
        <v>459</v>
      </c>
      <c r="AL58" s="62">
        <f t="shared" si="31"/>
        <v>459</v>
      </c>
      <c r="AM58" s="67">
        <v>40700</v>
      </c>
      <c r="AN58" s="64">
        <f t="shared" si="24"/>
        <v>555</v>
      </c>
      <c r="AO58" s="77">
        <f t="shared" si="32"/>
        <v>40241</v>
      </c>
      <c r="AP58" s="77">
        <f t="shared" si="33"/>
        <v>40145</v>
      </c>
      <c r="AQ58" s="77">
        <f t="shared" si="25"/>
        <v>40145</v>
      </c>
      <c r="AR58" s="67">
        <f t="shared" si="4"/>
        <v>96</v>
      </c>
      <c r="AS58" s="68">
        <f>Table22[[#This Row],[GROSS WT]]-Table22[[#This Row],[Total Bag Discharged (Truck)]]</f>
        <v>40241</v>
      </c>
      <c r="AT58" s="67">
        <f t="shared" si="5"/>
        <v>40241</v>
      </c>
      <c r="AU58" s="69"/>
      <c r="AV58" s="73">
        <v>19</v>
      </c>
      <c r="AW58" s="73">
        <v>13</v>
      </c>
      <c r="AX58" s="73">
        <v>3</v>
      </c>
      <c r="AY58" s="71">
        <f t="shared" si="6"/>
        <v>35</v>
      </c>
      <c r="AZ58" s="70">
        <v>240</v>
      </c>
      <c r="BA58" s="73">
        <v>14</v>
      </c>
      <c r="BB58" s="73">
        <v>10</v>
      </c>
      <c r="BC58" s="63">
        <f t="shared" si="12"/>
        <v>264</v>
      </c>
      <c r="BD58" s="72">
        <f>SUM(Table22[[#This Row],[Good Kernel (gm)]]+(Table22[[#This Row],[Immature (gm)]]+Table22[[#This Row],[Spotted (gm)]])/2)*0.176</f>
        <v>44.351999999999997</v>
      </c>
      <c r="BE58" s="73">
        <v>44.35</v>
      </c>
      <c r="BF58" s="72">
        <f t="shared" si="13"/>
        <v>46.561680000000003</v>
      </c>
      <c r="BG58" s="72">
        <f t="shared" si="7"/>
        <v>50.44182</v>
      </c>
      <c r="BH58" s="72">
        <f>SUM(Table22[[#This Row],[Good Kernel (gm)]:[Spotted (gm)]])/1000*100</f>
        <v>26.400000000000002</v>
      </c>
      <c r="BI58" s="72">
        <f t="shared" si="8"/>
        <v>28.599999999999998</v>
      </c>
      <c r="BJ58" s="73">
        <v>9.9</v>
      </c>
      <c r="BK58" s="73">
        <v>170</v>
      </c>
      <c r="BL58" s="73">
        <v>694</v>
      </c>
      <c r="BM58" s="73">
        <v>26</v>
      </c>
      <c r="BN58" s="73">
        <v>10.199999999999999</v>
      </c>
      <c r="BO58" s="73">
        <v>18</v>
      </c>
      <c r="BP58" s="73">
        <v>3</v>
      </c>
      <c r="BQ58" s="71">
        <f t="shared" si="9"/>
        <v>47</v>
      </c>
      <c r="BR58" s="73">
        <v>238</v>
      </c>
      <c r="BS58" s="73">
        <v>10</v>
      </c>
      <c r="BT58" s="73">
        <v>16</v>
      </c>
      <c r="BU58" s="63">
        <f t="shared" si="14"/>
        <v>264</v>
      </c>
      <c r="BV58" s="72">
        <f>SUM(Table22[[#This Row],[Good Kernel (G M)]]+(Table22[[#This Row],[Immature (g m)]]+Table22[[#This Row],[Spotted (g m)]])/2)*0.176</f>
        <v>44.175999999999995</v>
      </c>
      <c r="BW58" s="73">
        <v>44.17</v>
      </c>
      <c r="BX58" s="73"/>
      <c r="BY58" s="72">
        <f t="shared" si="15"/>
        <v>46.561680000000003</v>
      </c>
      <c r="BZ58" s="72">
        <f t="shared" si="16"/>
        <v>51.676409999999997</v>
      </c>
      <c r="CA58" s="72">
        <f>SUM(Table22[[#This Row],[Good Kernel (G M)]:[Spotted (g m)]])/1000*100</f>
        <v>26.400000000000002</v>
      </c>
      <c r="CB58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58" s="73">
        <v>10.199999999999999</v>
      </c>
      <c r="CD58" s="73">
        <v>174</v>
      </c>
      <c r="CE58" s="73"/>
      <c r="CH58" s="184">
        <f ca="1">TODAY()-Table22[[#This Row],[Discharge Date]]</f>
        <v>149</v>
      </c>
    </row>
    <row r="59" spans="1:86" x14ac:dyDescent="0.25">
      <c r="A59" s="50">
        <v>55</v>
      </c>
      <c r="B59" s="51" t="s">
        <v>95</v>
      </c>
      <c r="C59" s="52" t="s">
        <v>96</v>
      </c>
      <c r="D59" s="97">
        <v>51</v>
      </c>
      <c r="E59" s="98"/>
      <c r="F59" s="99">
        <v>651</v>
      </c>
      <c r="G59" s="97">
        <v>401</v>
      </c>
      <c r="H59" s="82">
        <v>46103</v>
      </c>
      <c r="I59" s="82"/>
      <c r="J59" s="82"/>
      <c r="K59" s="82" t="s">
        <v>634</v>
      </c>
      <c r="L59" s="54" t="s">
        <v>98</v>
      </c>
      <c r="M59" s="100">
        <v>82296</v>
      </c>
      <c r="N59" s="100" t="s">
        <v>672</v>
      </c>
      <c r="O59" s="73" t="s">
        <v>177</v>
      </c>
      <c r="P59" s="101">
        <v>46106</v>
      </c>
      <c r="Q59" s="101">
        <v>46106</v>
      </c>
      <c r="R59" s="102" t="s">
        <v>178</v>
      </c>
      <c r="S59" s="103" t="s">
        <v>179</v>
      </c>
      <c r="T59" s="102"/>
      <c r="U59" s="102"/>
      <c r="V59" s="73" t="s">
        <v>180</v>
      </c>
      <c r="W59" s="51">
        <v>468</v>
      </c>
      <c r="X59" s="51">
        <v>39</v>
      </c>
      <c r="Y59" s="51">
        <f t="shared" si="10"/>
        <v>507</v>
      </c>
      <c r="Z59" s="51">
        <v>46</v>
      </c>
      <c r="AA59" s="61">
        <f t="shared" si="26"/>
        <v>514</v>
      </c>
      <c r="AB59" s="51">
        <f t="shared" si="18"/>
        <v>46</v>
      </c>
      <c r="AC59" s="88">
        <v>483</v>
      </c>
      <c r="AD59" s="63"/>
      <c r="AE59" s="63">
        <v>24</v>
      </c>
      <c r="AF59" s="63">
        <v>46</v>
      </c>
      <c r="AG59" s="63"/>
      <c r="AH59" s="64">
        <f t="shared" si="29"/>
        <v>507</v>
      </c>
      <c r="AI59" s="62"/>
      <c r="AJ59" s="62"/>
      <c r="AK59" s="62">
        <f t="shared" si="30"/>
        <v>507</v>
      </c>
      <c r="AL59" s="62">
        <f t="shared" si="31"/>
        <v>507</v>
      </c>
      <c r="AM59" s="67">
        <v>40740</v>
      </c>
      <c r="AN59" s="64">
        <f t="shared" si="24"/>
        <v>603</v>
      </c>
      <c r="AO59" s="77">
        <f t="shared" si="32"/>
        <v>40233</v>
      </c>
      <c r="AP59" s="77">
        <f t="shared" si="33"/>
        <v>40137</v>
      </c>
      <c r="AQ59" s="77">
        <f t="shared" si="25"/>
        <v>40137</v>
      </c>
      <c r="AR59" s="67">
        <f t="shared" si="4"/>
        <v>96</v>
      </c>
      <c r="AS59" s="68">
        <f>Table22[[#This Row],[GROSS WT]]-Table22[[#This Row],[Total Bag Discharged (Truck)]]</f>
        <v>40233</v>
      </c>
      <c r="AT59" s="67">
        <f t="shared" si="5"/>
        <v>40233</v>
      </c>
      <c r="AU59" s="69"/>
      <c r="AV59" s="73">
        <v>24</v>
      </c>
      <c r="AW59" s="73">
        <v>19</v>
      </c>
      <c r="AX59" s="73">
        <v>3</v>
      </c>
      <c r="AY59" s="71">
        <f t="shared" si="6"/>
        <v>46</v>
      </c>
      <c r="AZ59" s="70">
        <v>240</v>
      </c>
      <c r="BA59" s="73">
        <v>12</v>
      </c>
      <c r="BB59" s="73">
        <v>10</v>
      </c>
      <c r="BC59" s="63">
        <f t="shared" si="12"/>
        <v>262</v>
      </c>
      <c r="BD59" s="72">
        <f>SUM(Table22[[#This Row],[Good Kernel (gm)]]+(Table22[[#This Row],[Immature (gm)]]+Table22[[#This Row],[Spotted (gm)]])/2)*0.176</f>
        <v>44.175999999999995</v>
      </c>
      <c r="BE59" s="73">
        <v>44.17</v>
      </c>
      <c r="BF59" s="72">
        <f t="shared" si="13"/>
        <v>46.208939999999998</v>
      </c>
      <c r="BG59" s="72">
        <f t="shared" si="7"/>
        <v>50.970930000000003</v>
      </c>
      <c r="BH59" s="72">
        <f>SUM(Table22[[#This Row],[Good Kernel (gm)]:[Spotted (gm)]])/1000*100</f>
        <v>26.200000000000003</v>
      </c>
      <c r="BI59" s="72">
        <f t="shared" si="8"/>
        <v>28.9</v>
      </c>
      <c r="BJ59" s="73">
        <v>9.8000000000000007</v>
      </c>
      <c r="BK59" s="73">
        <v>172</v>
      </c>
      <c r="BL59" s="73">
        <v>686</v>
      </c>
      <c r="BM59" s="73">
        <v>24</v>
      </c>
      <c r="BN59" s="73">
        <v>9.8000000000000007</v>
      </c>
      <c r="BO59" s="73">
        <v>19</v>
      </c>
      <c r="BP59" s="73">
        <v>3</v>
      </c>
      <c r="BQ59" s="71">
        <f t="shared" si="9"/>
        <v>46</v>
      </c>
      <c r="BR59" s="73">
        <v>240</v>
      </c>
      <c r="BS59" s="73">
        <v>12</v>
      </c>
      <c r="BT59" s="73">
        <v>10</v>
      </c>
      <c r="BU59" s="63">
        <f t="shared" si="14"/>
        <v>262</v>
      </c>
      <c r="BV59" s="72">
        <f>SUM(Table22[[#This Row],[Good Kernel (G M)]]+(Table22[[#This Row],[Immature (g m)]]+Table22[[#This Row],[Spotted (g m)]])/2)*0.176</f>
        <v>44.175999999999995</v>
      </c>
      <c r="BW59" s="73">
        <v>44.08</v>
      </c>
      <c r="BX59" s="73"/>
      <c r="BY59" s="72">
        <f t="shared" si="15"/>
        <v>46.208939999999998</v>
      </c>
      <c r="BZ59" s="72">
        <f t="shared" si="16"/>
        <v>50.970930000000003</v>
      </c>
      <c r="CA59" s="72">
        <f>SUM(Table22[[#This Row],[Good Kernel (G M)]:[Spotted (g m)]])/1000*100</f>
        <v>26.200000000000003</v>
      </c>
      <c r="CB59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59" s="73">
        <v>9.8000000000000007</v>
      </c>
      <c r="CD59" s="73">
        <v>172</v>
      </c>
      <c r="CE59" s="73"/>
      <c r="CH59" s="184">
        <f ca="1">TODAY()-Table22[[#This Row],[Discharge Date]]</f>
        <v>149</v>
      </c>
    </row>
    <row r="60" spans="1:86" x14ac:dyDescent="0.25">
      <c r="A60" s="50">
        <v>56</v>
      </c>
      <c r="B60" s="51" t="s">
        <v>95</v>
      </c>
      <c r="C60" s="52" t="s">
        <v>96</v>
      </c>
      <c r="D60" s="97">
        <v>56</v>
      </c>
      <c r="E60" s="98" t="s">
        <v>130</v>
      </c>
      <c r="F60" s="99">
        <v>656</v>
      </c>
      <c r="G60" s="97">
        <v>406</v>
      </c>
      <c r="H60" s="82">
        <v>46108</v>
      </c>
      <c r="I60" s="82"/>
      <c r="J60" s="82"/>
      <c r="K60" s="82" t="s">
        <v>636</v>
      </c>
      <c r="L60" s="54" t="s">
        <v>98</v>
      </c>
      <c r="M60" s="105">
        <v>82495</v>
      </c>
      <c r="N60" s="105" t="s">
        <v>681</v>
      </c>
      <c r="O60" s="73" t="s">
        <v>181</v>
      </c>
      <c r="P60" s="101">
        <v>46109</v>
      </c>
      <c r="Q60" s="101">
        <v>46109</v>
      </c>
      <c r="R60" s="102" t="s">
        <v>182</v>
      </c>
      <c r="S60" s="103" t="s">
        <v>317</v>
      </c>
      <c r="T60" s="59" t="s">
        <v>534</v>
      </c>
      <c r="U60" s="59" t="s">
        <v>421</v>
      </c>
      <c r="V60" s="73" t="s">
        <v>140</v>
      </c>
      <c r="W60" s="51">
        <v>510</v>
      </c>
      <c r="X60" s="51">
        <v>20</v>
      </c>
      <c r="Y60" s="51">
        <f t="shared" si="10"/>
        <v>530</v>
      </c>
      <c r="Z60" s="51">
        <v>28</v>
      </c>
      <c r="AA60" s="61">
        <f t="shared" si="26"/>
        <v>538</v>
      </c>
      <c r="AB60" s="51">
        <f t="shared" si="18"/>
        <v>28</v>
      </c>
      <c r="AC60" s="88">
        <v>510</v>
      </c>
      <c r="AD60" s="63"/>
      <c r="AE60" s="63">
        <v>20</v>
      </c>
      <c r="AF60" s="63">
        <v>28</v>
      </c>
      <c r="AG60" s="63"/>
      <c r="AH60" s="64">
        <f t="shared" si="29"/>
        <v>530</v>
      </c>
      <c r="AI60" s="62"/>
      <c r="AJ60" s="62"/>
      <c r="AK60" s="62">
        <f t="shared" si="30"/>
        <v>530</v>
      </c>
      <c r="AL60" s="62">
        <f t="shared" si="31"/>
        <v>530</v>
      </c>
      <c r="AM60" s="67">
        <v>46120</v>
      </c>
      <c r="AN60" s="64">
        <f t="shared" si="24"/>
        <v>610</v>
      </c>
      <c r="AO60" s="77">
        <f>AM60-AH60</f>
        <v>45590</v>
      </c>
      <c r="AP60" s="77">
        <f t="shared" si="33"/>
        <v>45510</v>
      </c>
      <c r="AQ60" s="77">
        <f t="shared" si="25"/>
        <v>45510</v>
      </c>
      <c r="AR60" s="67">
        <f t="shared" si="4"/>
        <v>80</v>
      </c>
      <c r="AS60" s="68">
        <f>Table22[[#This Row],[GROSS WT]]-Table22[[#This Row],[Total Bag Discharged (Truck)]]</f>
        <v>45590</v>
      </c>
      <c r="AT60" s="67">
        <f t="shared" si="5"/>
        <v>45590</v>
      </c>
      <c r="AU60" s="69"/>
      <c r="AV60" s="73"/>
      <c r="AW60" s="73"/>
      <c r="AX60" s="73"/>
      <c r="AY60" s="71">
        <f t="shared" si="6"/>
        <v>0</v>
      </c>
      <c r="AZ60" s="70"/>
      <c r="BA60" s="73"/>
      <c r="BB60" s="73"/>
      <c r="BC60" s="63">
        <f t="shared" si="12"/>
        <v>0</v>
      </c>
      <c r="BD60" s="72">
        <f>SUM(Table22[[#This Row],[Good Kernel (gm)]]+(Table22[[#This Row],[Immature (gm)]]+Table22[[#This Row],[Spotted (gm)]])/2)*0.176</f>
        <v>0</v>
      </c>
      <c r="BE60" s="73"/>
      <c r="BF60" s="72">
        <f t="shared" si="13"/>
        <v>0</v>
      </c>
      <c r="BG60" s="72">
        <f t="shared" si="7"/>
        <v>0</v>
      </c>
      <c r="BH60" s="72">
        <f>SUM(Table22[[#This Row],[Good Kernel (gm)]:[Spotted (gm)]])/1000*100</f>
        <v>0</v>
      </c>
      <c r="BI60" s="72">
        <f t="shared" si="8"/>
        <v>0</v>
      </c>
      <c r="BJ60" s="73"/>
      <c r="BK60" s="73"/>
      <c r="BL60" s="73"/>
      <c r="BM60" s="73">
        <v>30</v>
      </c>
      <c r="BN60" s="73">
        <v>11.2</v>
      </c>
      <c r="BO60" s="73">
        <v>11</v>
      </c>
      <c r="BP60" s="73">
        <v>3</v>
      </c>
      <c r="BQ60" s="71">
        <f t="shared" si="9"/>
        <v>44</v>
      </c>
      <c r="BR60" s="73">
        <v>233</v>
      </c>
      <c r="BS60" s="73">
        <v>20</v>
      </c>
      <c r="BT60" s="73">
        <v>18</v>
      </c>
      <c r="BU60" s="63">
        <f t="shared" si="14"/>
        <v>271</v>
      </c>
      <c r="BV60" s="72">
        <f>SUM(Table22[[#This Row],[Good Kernel (G M)]]+(Table22[[#This Row],[Immature (g m)]]+Table22[[#This Row],[Spotted (g m)]])/2)*0.176</f>
        <v>44.351999999999997</v>
      </c>
      <c r="BW60" s="106">
        <v>44.35</v>
      </c>
      <c r="BX60" s="107">
        <v>44.7</v>
      </c>
      <c r="BY60" s="72">
        <f t="shared" si="15"/>
        <v>47.79627</v>
      </c>
      <c r="BZ60" s="72">
        <f t="shared" si="16"/>
        <v>53.616480000000003</v>
      </c>
      <c r="CA60" s="72">
        <f>SUM(Table22[[#This Row],[Good Kernel (G M)]:[Spotted (g m)]])/1000*100</f>
        <v>27.1</v>
      </c>
      <c r="CB60" s="72">
        <f>(Table22[[#This Row],[BROWNS/Rejection (gm) (NUT)]]+Table22[[#This Row],[OIL (g m)]]+Table22[[#This Row],[Good Kernel (G M)]]+Table22[[#This Row],[Immature (g m)]]+Table22[[#This Row],[Spotted (g m)]])/1000*100</f>
        <v>30.4</v>
      </c>
      <c r="CC60" s="73">
        <v>11.2</v>
      </c>
      <c r="CD60" s="73">
        <v>183</v>
      </c>
      <c r="CE60" s="73"/>
      <c r="CH60" s="184">
        <f ca="1">TODAY()-Table22[[#This Row],[Discharge Date]]</f>
        <v>146</v>
      </c>
    </row>
    <row r="61" spans="1:86" x14ac:dyDescent="0.25">
      <c r="A61" s="50">
        <v>57</v>
      </c>
      <c r="B61" s="51" t="s">
        <v>95</v>
      </c>
      <c r="C61" s="52" t="s">
        <v>96</v>
      </c>
      <c r="D61" s="97">
        <v>57</v>
      </c>
      <c r="E61" s="98"/>
      <c r="F61" s="99">
        <v>657</v>
      </c>
      <c r="G61" s="97">
        <v>407</v>
      </c>
      <c r="H61" s="82">
        <v>46110</v>
      </c>
      <c r="I61" s="82"/>
      <c r="J61" s="82"/>
      <c r="K61" s="82" t="s">
        <v>634</v>
      </c>
      <c r="L61" s="54" t="s">
        <v>98</v>
      </c>
      <c r="M61" s="100">
        <v>83408</v>
      </c>
      <c r="N61" s="100" t="s">
        <v>672</v>
      </c>
      <c r="O61" s="73" t="s">
        <v>171</v>
      </c>
      <c r="P61" s="101">
        <v>46111</v>
      </c>
      <c r="Q61" s="101">
        <v>46111</v>
      </c>
      <c r="R61" s="102" t="s">
        <v>100</v>
      </c>
      <c r="S61" s="59" t="s">
        <v>101</v>
      </c>
      <c r="T61" s="102"/>
      <c r="U61" s="102"/>
      <c r="V61" s="51" t="s">
        <v>102</v>
      </c>
      <c r="W61" s="51">
        <v>540</v>
      </c>
      <c r="X61" s="51">
        <v>35</v>
      </c>
      <c r="Y61" s="51">
        <f t="shared" si="10"/>
        <v>575</v>
      </c>
      <c r="Z61" s="51">
        <v>40</v>
      </c>
      <c r="AA61" s="61">
        <f t="shared" si="26"/>
        <v>580</v>
      </c>
      <c r="AB61" s="51">
        <f t="shared" si="18"/>
        <v>40</v>
      </c>
      <c r="AC61" s="88">
        <v>573</v>
      </c>
      <c r="AD61" s="63"/>
      <c r="AE61" s="63">
        <v>24</v>
      </c>
      <c r="AF61" s="63">
        <v>53</v>
      </c>
      <c r="AG61" s="63"/>
      <c r="AH61" s="64">
        <f t="shared" si="29"/>
        <v>597</v>
      </c>
      <c r="AI61" s="62"/>
      <c r="AJ61" s="62"/>
      <c r="AK61" s="62">
        <f t="shared" si="30"/>
        <v>597</v>
      </c>
      <c r="AL61" s="62">
        <f t="shared" si="31"/>
        <v>597</v>
      </c>
      <c r="AM61" s="67">
        <v>42920</v>
      </c>
      <c r="AN61" s="64">
        <f t="shared" si="24"/>
        <v>693</v>
      </c>
      <c r="AO61" s="77">
        <f t="shared" si="32"/>
        <v>42323</v>
      </c>
      <c r="AP61" s="77">
        <f t="shared" si="33"/>
        <v>42227</v>
      </c>
      <c r="AQ61" s="77">
        <f t="shared" si="25"/>
        <v>42227</v>
      </c>
      <c r="AR61" s="67">
        <f t="shared" si="4"/>
        <v>96</v>
      </c>
      <c r="AS61" s="68">
        <f>Table22[[#This Row],[GROSS WT]]-Table22[[#This Row],[Total Bag Discharged (Truck)]]</f>
        <v>42345</v>
      </c>
      <c r="AT61" s="67">
        <f t="shared" si="5"/>
        <v>42323</v>
      </c>
      <c r="AU61" s="69"/>
      <c r="AV61" s="73">
        <v>26</v>
      </c>
      <c r="AW61" s="73">
        <v>33</v>
      </c>
      <c r="AX61" s="73">
        <v>3</v>
      </c>
      <c r="AY61" s="71">
        <f t="shared" si="6"/>
        <v>62</v>
      </c>
      <c r="AZ61" s="70">
        <v>238</v>
      </c>
      <c r="BA61" s="73">
        <v>14</v>
      </c>
      <c r="BB61" s="73">
        <v>10</v>
      </c>
      <c r="BC61" s="63">
        <f t="shared" si="12"/>
        <v>262</v>
      </c>
      <c r="BD61" s="72">
        <f>SUM(Table22[[#This Row],[Good Kernel (gm)]]+(Table22[[#This Row],[Immature (gm)]]+Table22[[#This Row],[Spotted (gm)]])/2)*0.176</f>
        <v>44</v>
      </c>
      <c r="BE61" s="73">
        <v>44.09</v>
      </c>
      <c r="BF61" s="72">
        <f t="shared" si="13"/>
        <v>46.208939999999998</v>
      </c>
      <c r="BG61" s="72">
        <f t="shared" si="7"/>
        <v>51.32367</v>
      </c>
      <c r="BH61" s="72">
        <f>SUM(Table22[[#This Row],[Good Kernel (gm)]:[Spotted (gm)]])/1000*100</f>
        <v>26.200000000000003</v>
      </c>
      <c r="BI61" s="72">
        <f t="shared" si="8"/>
        <v>29.099999999999998</v>
      </c>
      <c r="BJ61" s="73">
        <v>10</v>
      </c>
      <c r="BK61" s="73">
        <v>186</v>
      </c>
      <c r="BL61" s="73">
        <v>670</v>
      </c>
      <c r="BM61" s="73">
        <v>24</v>
      </c>
      <c r="BN61" s="73">
        <v>8.6</v>
      </c>
      <c r="BO61" s="73">
        <v>29</v>
      </c>
      <c r="BP61" s="73">
        <v>2</v>
      </c>
      <c r="BQ61" s="71">
        <f t="shared" si="9"/>
        <v>55</v>
      </c>
      <c r="BR61" s="73">
        <v>243</v>
      </c>
      <c r="BS61" s="73">
        <v>6</v>
      </c>
      <c r="BT61" s="73">
        <v>12</v>
      </c>
      <c r="BU61" s="63">
        <f t="shared" si="14"/>
        <v>261</v>
      </c>
      <c r="BV61" s="72">
        <f>SUM(Table22[[#This Row],[Good Kernel (G M)]]+(Table22[[#This Row],[Immature (g m)]]+Table22[[#This Row],[Spotted (g m)]])/2)*0.176</f>
        <v>44.351999999999997</v>
      </c>
      <c r="BW61" s="73">
        <v>44.44</v>
      </c>
      <c r="BX61" s="73"/>
      <c r="BY61" s="72">
        <f t="shared" si="15"/>
        <v>46.03257</v>
      </c>
      <c r="BZ61" s="72">
        <f t="shared" si="16"/>
        <v>50.618189999999998</v>
      </c>
      <c r="CA61" s="72">
        <f>SUM(Table22[[#This Row],[Good Kernel (G M)]:[Spotted (g m)]])/1000*100</f>
        <v>26.1</v>
      </c>
      <c r="CB61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61" s="73">
        <v>8.6</v>
      </c>
      <c r="CD61" s="73">
        <v>190</v>
      </c>
      <c r="CE61" s="73">
        <v>679</v>
      </c>
      <c r="CH61" s="184">
        <f ca="1">TODAY()-Table22[[#This Row],[Discharge Date]]</f>
        <v>144</v>
      </c>
    </row>
    <row r="62" spans="1:86" x14ac:dyDescent="0.25">
      <c r="A62" s="50">
        <v>58</v>
      </c>
      <c r="B62" s="51" t="s">
        <v>95</v>
      </c>
      <c r="C62" s="52" t="s">
        <v>96</v>
      </c>
      <c r="D62" s="97">
        <v>58</v>
      </c>
      <c r="E62" s="98"/>
      <c r="F62" s="99">
        <v>658</v>
      </c>
      <c r="G62" s="97">
        <v>408</v>
      </c>
      <c r="H62" s="82">
        <v>46110</v>
      </c>
      <c r="I62" s="82"/>
      <c r="J62" s="82"/>
      <c r="K62" s="82" t="s">
        <v>634</v>
      </c>
      <c r="L62" s="54" t="s">
        <v>98</v>
      </c>
      <c r="M62" s="100">
        <v>83409</v>
      </c>
      <c r="N62" s="100" t="s">
        <v>679</v>
      </c>
      <c r="O62" s="73" t="s">
        <v>183</v>
      </c>
      <c r="P62" s="101">
        <v>46111</v>
      </c>
      <c r="Q62" s="101">
        <v>46111</v>
      </c>
      <c r="R62" s="102" t="s">
        <v>100</v>
      </c>
      <c r="S62" s="59" t="s">
        <v>101</v>
      </c>
      <c r="T62" s="102"/>
      <c r="U62" s="102"/>
      <c r="V62" s="51" t="s">
        <v>102</v>
      </c>
      <c r="W62" s="51">
        <v>631</v>
      </c>
      <c r="X62" s="51">
        <v>60</v>
      </c>
      <c r="Y62" s="51">
        <f t="shared" si="10"/>
        <v>691</v>
      </c>
      <c r="Z62" s="51">
        <v>69</v>
      </c>
      <c r="AA62" s="61">
        <f>W62+Z62</f>
        <v>700</v>
      </c>
      <c r="AB62" s="51">
        <f t="shared" si="18"/>
        <v>69</v>
      </c>
      <c r="AC62" s="88">
        <v>667</v>
      </c>
      <c r="AD62" s="63"/>
      <c r="AE62" s="63">
        <v>24</v>
      </c>
      <c r="AF62" s="63">
        <v>69</v>
      </c>
      <c r="AG62" s="63"/>
      <c r="AH62" s="64">
        <f t="shared" si="29"/>
        <v>691</v>
      </c>
      <c r="AI62" s="62"/>
      <c r="AJ62" s="62"/>
      <c r="AK62" s="62">
        <f t="shared" si="30"/>
        <v>691</v>
      </c>
      <c r="AL62" s="62">
        <f t="shared" si="31"/>
        <v>691</v>
      </c>
      <c r="AM62" s="67">
        <v>51720</v>
      </c>
      <c r="AN62" s="64">
        <f t="shared" si="24"/>
        <v>787</v>
      </c>
      <c r="AO62" s="77">
        <f t="shared" si="32"/>
        <v>51029</v>
      </c>
      <c r="AP62" s="77">
        <f t="shared" si="33"/>
        <v>50933</v>
      </c>
      <c r="AQ62" s="77">
        <f t="shared" si="25"/>
        <v>50933</v>
      </c>
      <c r="AR62" s="67">
        <f t="shared" si="4"/>
        <v>96</v>
      </c>
      <c r="AS62" s="68">
        <f>Table22[[#This Row],[GROSS WT]]-Table22[[#This Row],[Total Bag Discharged (Truck)]]</f>
        <v>51029</v>
      </c>
      <c r="AT62" s="67">
        <f t="shared" si="5"/>
        <v>51029</v>
      </c>
      <c r="AU62" s="69"/>
      <c r="AV62" s="73">
        <v>26</v>
      </c>
      <c r="AW62" s="73">
        <v>24</v>
      </c>
      <c r="AX62" s="73">
        <v>2</v>
      </c>
      <c r="AY62" s="71">
        <f t="shared" si="6"/>
        <v>52</v>
      </c>
      <c r="AZ62" s="70">
        <v>240</v>
      </c>
      <c r="BA62" s="73">
        <v>12</v>
      </c>
      <c r="BB62" s="73">
        <v>14</v>
      </c>
      <c r="BC62" s="63">
        <f t="shared" si="12"/>
        <v>266</v>
      </c>
      <c r="BD62" s="72">
        <f>SUM(Table22[[#This Row],[Good Kernel (gm)]]+(Table22[[#This Row],[Immature (gm)]]+Table22[[#This Row],[Spotted (gm)]])/2)*0.176</f>
        <v>44.527999999999999</v>
      </c>
      <c r="BE62" s="73">
        <v>44.62</v>
      </c>
      <c r="BF62" s="72">
        <f t="shared" si="13"/>
        <v>46.91442</v>
      </c>
      <c r="BG62" s="72">
        <f t="shared" si="7"/>
        <v>51.852780000000003</v>
      </c>
      <c r="BH62" s="72">
        <f>SUM(Table22[[#This Row],[Good Kernel (gm)]:[Spotted (gm)]])/1000*100</f>
        <v>26.6</v>
      </c>
      <c r="BI62" s="72">
        <f t="shared" si="8"/>
        <v>29.4</v>
      </c>
      <c r="BJ62" s="73">
        <v>9.1</v>
      </c>
      <c r="BK62" s="73">
        <v>188</v>
      </c>
      <c r="BL62" s="73">
        <v>676</v>
      </c>
      <c r="BM62" s="73">
        <v>28</v>
      </c>
      <c r="BN62" s="73">
        <v>9.1</v>
      </c>
      <c r="BO62" s="73">
        <v>20</v>
      </c>
      <c r="BP62" s="73">
        <v>2</v>
      </c>
      <c r="BQ62" s="71">
        <f t="shared" si="9"/>
        <v>50</v>
      </c>
      <c r="BR62" s="73">
        <v>241</v>
      </c>
      <c r="BS62" s="73">
        <v>17</v>
      </c>
      <c r="BT62" s="73"/>
      <c r="BU62" s="63">
        <f t="shared" si="14"/>
        <v>258</v>
      </c>
      <c r="BV62" s="72">
        <f>SUM(Table22[[#This Row],[Good Kernel (G M)]]+(Table22[[#This Row],[Immature (g m)]]+Table22[[#This Row],[Spotted (g m)]])/2)*0.176</f>
        <v>43.911999999999999</v>
      </c>
      <c r="BW62" s="73">
        <v>45.06</v>
      </c>
      <c r="BX62" s="73"/>
      <c r="BY62" s="72">
        <f t="shared" si="15"/>
        <v>45.503459999999997</v>
      </c>
      <c r="BZ62" s="72">
        <f t="shared" si="16"/>
        <v>50.794559999999997</v>
      </c>
      <c r="CA62" s="72">
        <f>SUM(Table22[[#This Row],[Good Kernel (G M)]:[Spotted (g m)]])/1000*100</f>
        <v>25.8</v>
      </c>
      <c r="CB62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62" s="73">
        <v>9.1</v>
      </c>
      <c r="CD62" s="73">
        <v>187</v>
      </c>
      <c r="CE62" s="73">
        <v>674</v>
      </c>
      <c r="CH62" s="184">
        <f ca="1">TODAY()-Table22[[#This Row],[Discharge Date]]</f>
        <v>144</v>
      </c>
    </row>
    <row r="63" spans="1:86" x14ac:dyDescent="0.25">
      <c r="A63" s="50">
        <v>59</v>
      </c>
      <c r="B63" s="51" t="s">
        <v>95</v>
      </c>
      <c r="C63" s="52" t="s">
        <v>96</v>
      </c>
      <c r="D63" s="97">
        <v>59</v>
      </c>
      <c r="E63" s="98"/>
      <c r="F63" s="99">
        <v>659</v>
      </c>
      <c r="G63" s="97">
        <v>409</v>
      </c>
      <c r="H63" s="82">
        <v>46110</v>
      </c>
      <c r="I63" s="82"/>
      <c r="J63" s="82"/>
      <c r="K63" s="82" t="s">
        <v>634</v>
      </c>
      <c r="L63" s="54" t="s">
        <v>98</v>
      </c>
      <c r="M63" s="100">
        <v>84377</v>
      </c>
      <c r="N63" s="100" t="s">
        <v>672</v>
      </c>
      <c r="O63" s="73" t="s">
        <v>184</v>
      </c>
      <c r="P63" s="101">
        <v>46112</v>
      </c>
      <c r="Q63" s="101">
        <v>46112</v>
      </c>
      <c r="R63" s="102" t="s">
        <v>145</v>
      </c>
      <c r="S63" s="103" t="s">
        <v>146</v>
      </c>
      <c r="T63" s="102"/>
      <c r="U63" s="102" t="s">
        <v>425</v>
      </c>
      <c r="V63" s="73" t="s">
        <v>147</v>
      </c>
      <c r="W63" s="51">
        <v>510</v>
      </c>
      <c r="X63" s="51">
        <v>18</v>
      </c>
      <c r="Y63" s="51">
        <f t="shared" si="10"/>
        <v>528</v>
      </c>
      <c r="Z63" s="51">
        <v>32</v>
      </c>
      <c r="AA63" s="61">
        <f t="shared" si="26"/>
        <v>542</v>
      </c>
      <c r="AB63" s="51">
        <f t="shared" si="18"/>
        <v>32</v>
      </c>
      <c r="AC63" s="88">
        <v>510</v>
      </c>
      <c r="AD63" s="63"/>
      <c r="AE63" s="63">
        <v>18</v>
      </c>
      <c r="AF63" s="63">
        <v>32</v>
      </c>
      <c r="AG63" s="63"/>
      <c r="AH63" s="64">
        <f t="shared" si="29"/>
        <v>528</v>
      </c>
      <c r="AI63" s="62"/>
      <c r="AJ63" s="62"/>
      <c r="AK63" s="62">
        <f t="shared" si="30"/>
        <v>528</v>
      </c>
      <c r="AL63" s="62">
        <f t="shared" si="31"/>
        <v>528</v>
      </c>
      <c r="AM63" s="67">
        <v>45700</v>
      </c>
      <c r="AN63" s="64">
        <f t="shared" si="24"/>
        <v>600</v>
      </c>
      <c r="AO63" s="77">
        <f t="shared" si="32"/>
        <v>45172</v>
      </c>
      <c r="AP63" s="77">
        <f t="shared" si="33"/>
        <v>45100</v>
      </c>
      <c r="AQ63" s="77">
        <f t="shared" si="25"/>
        <v>45100</v>
      </c>
      <c r="AR63" s="67">
        <f t="shared" si="4"/>
        <v>72</v>
      </c>
      <c r="AS63" s="68">
        <f>Table22[[#This Row],[GROSS WT]]-Table22[[#This Row],[Total Bag Discharged (Truck)]]</f>
        <v>45172</v>
      </c>
      <c r="AT63" s="67">
        <f t="shared" si="5"/>
        <v>45172</v>
      </c>
      <c r="AU63" s="69"/>
      <c r="AV63" s="73">
        <v>22</v>
      </c>
      <c r="AW63" s="73">
        <v>23</v>
      </c>
      <c r="AX63" s="73">
        <v>3</v>
      </c>
      <c r="AY63" s="71">
        <f t="shared" si="6"/>
        <v>48</v>
      </c>
      <c r="AZ63" s="70">
        <v>242</v>
      </c>
      <c r="BA63" s="73">
        <v>10</v>
      </c>
      <c r="BB63" s="73">
        <v>12</v>
      </c>
      <c r="BC63" s="63">
        <f t="shared" si="12"/>
        <v>264</v>
      </c>
      <c r="BD63" s="72">
        <f>SUM(Table22[[#This Row],[Good Kernel (gm)]]+(Table22[[#This Row],[Immature (gm)]]+Table22[[#This Row],[Spotted (gm)]])/2)*0.176</f>
        <v>44.527999999999999</v>
      </c>
      <c r="BE63" s="73">
        <v>44.62</v>
      </c>
      <c r="BF63" s="72">
        <f t="shared" si="13"/>
        <v>46.561680000000003</v>
      </c>
      <c r="BG63" s="72">
        <f t="shared" si="7"/>
        <v>50.970930000000003</v>
      </c>
      <c r="BH63" s="72">
        <f>SUM(Table22[[#This Row],[Good Kernel (gm)]:[Spotted (gm)]])/1000*100</f>
        <v>26.400000000000002</v>
      </c>
      <c r="BI63" s="72">
        <f t="shared" si="8"/>
        <v>28.9</v>
      </c>
      <c r="BJ63" s="73">
        <v>9.3000000000000007</v>
      </c>
      <c r="BK63" s="73">
        <v>167</v>
      </c>
      <c r="BL63" s="73">
        <v>682</v>
      </c>
      <c r="BM63" s="73">
        <v>18</v>
      </c>
      <c r="BN63" s="73">
        <v>8.8000000000000007</v>
      </c>
      <c r="BO63" s="73">
        <v>28</v>
      </c>
      <c r="BP63" s="73">
        <v>3</v>
      </c>
      <c r="BQ63" s="71">
        <f t="shared" si="9"/>
        <v>49</v>
      </c>
      <c r="BR63" s="73">
        <v>239</v>
      </c>
      <c r="BS63" s="73">
        <v>10</v>
      </c>
      <c r="BT63" s="73"/>
      <c r="BU63" s="63">
        <f t="shared" si="14"/>
        <v>249</v>
      </c>
      <c r="BV63" s="72">
        <f>SUM(Table22[[#This Row],[Good Kernel (G M)]]+(Table22[[#This Row],[Immature (g m)]]+Table22[[#This Row],[Spotted (g m)]])/2)*0.176</f>
        <v>42.943999999999996</v>
      </c>
      <c r="BW63" s="73">
        <v>44.26</v>
      </c>
      <c r="BX63" s="73"/>
      <c r="BY63" s="72">
        <f t="shared" si="15"/>
        <v>43.916130000000003</v>
      </c>
      <c r="BZ63" s="72">
        <f t="shared" si="16"/>
        <v>47.619900000000001</v>
      </c>
      <c r="CA63" s="72">
        <f>SUM(Table22[[#This Row],[Good Kernel (G M)]:[Spotted (g m)]])/1000*100</f>
        <v>24.9</v>
      </c>
      <c r="CB63" s="72">
        <f>(Table22[[#This Row],[BROWNS/Rejection (gm) (NUT)]]+Table22[[#This Row],[OIL (g m)]]+Table22[[#This Row],[Good Kernel (G M)]]+Table22[[#This Row],[Immature (g m)]]+Table22[[#This Row],[Spotted (g m)]])/1000*100</f>
        <v>27</v>
      </c>
      <c r="CC63" s="73">
        <v>8.8000000000000007</v>
      </c>
      <c r="CD63" s="73">
        <v>169</v>
      </c>
      <c r="CE63" s="73">
        <v>682</v>
      </c>
      <c r="CH63" s="184">
        <f ca="1">TODAY()-Table22[[#This Row],[Discharge Date]]</f>
        <v>143</v>
      </c>
    </row>
    <row r="64" spans="1:86" x14ac:dyDescent="0.25">
      <c r="A64" s="50">
        <v>60</v>
      </c>
      <c r="B64" s="51" t="s">
        <v>95</v>
      </c>
      <c r="C64" s="52" t="s">
        <v>96</v>
      </c>
      <c r="D64" s="97">
        <v>60</v>
      </c>
      <c r="E64" s="98"/>
      <c r="F64" s="99">
        <v>660</v>
      </c>
      <c r="G64" s="97">
        <v>410</v>
      </c>
      <c r="H64" s="82">
        <v>46112</v>
      </c>
      <c r="I64" s="82"/>
      <c r="J64" s="82"/>
      <c r="K64" s="82" t="s">
        <v>634</v>
      </c>
      <c r="L64" s="54" t="s">
        <v>98</v>
      </c>
      <c r="M64" s="100">
        <v>83410</v>
      </c>
      <c r="N64" s="100" t="s">
        <v>676</v>
      </c>
      <c r="O64" s="73" t="s">
        <v>171</v>
      </c>
      <c r="P64" s="101">
        <v>46113</v>
      </c>
      <c r="Q64" s="101">
        <v>46113</v>
      </c>
      <c r="R64" s="102" t="s">
        <v>100</v>
      </c>
      <c r="S64" s="59" t="s">
        <v>101</v>
      </c>
      <c r="T64" s="102"/>
      <c r="U64" s="102"/>
      <c r="V64" s="51" t="s">
        <v>102</v>
      </c>
      <c r="W64" s="51">
        <v>466</v>
      </c>
      <c r="X64" s="51">
        <v>112</v>
      </c>
      <c r="Y64" s="51">
        <f t="shared" si="10"/>
        <v>578</v>
      </c>
      <c r="Z64" s="51">
        <v>124</v>
      </c>
      <c r="AA64" s="61">
        <f t="shared" si="26"/>
        <v>590</v>
      </c>
      <c r="AB64" s="51">
        <f t="shared" si="18"/>
        <v>124</v>
      </c>
      <c r="AC64" s="88">
        <v>554</v>
      </c>
      <c r="AD64" s="63"/>
      <c r="AE64" s="63">
        <v>24</v>
      </c>
      <c r="AF64" s="63">
        <v>124</v>
      </c>
      <c r="AG64" s="63"/>
      <c r="AH64" s="64">
        <f t="shared" si="29"/>
        <v>578</v>
      </c>
      <c r="AI64" s="62"/>
      <c r="AJ64" s="62"/>
      <c r="AK64" s="62">
        <f t="shared" si="30"/>
        <v>578</v>
      </c>
      <c r="AL64" s="62">
        <f t="shared" si="31"/>
        <v>578</v>
      </c>
      <c r="AM64" s="67">
        <v>41760</v>
      </c>
      <c r="AN64" s="64">
        <f t="shared" si="24"/>
        <v>674</v>
      </c>
      <c r="AO64" s="77">
        <f t="shared" si="32"/>
        <v>41182</v>
      </c>
      <c r="AP64" s="77">
        <f t="shared" si="33"/>
        <v>41086</v>
      </c>
      <c r="AQ64" s="77">
        <f t="shared" si="25"/>
        <v>41086</v>
      </c>
      <c r="AR64" s="67">
        <f t="shared" si="4"/>
        <v>96</v>
      </c>
      <c r="AS64" s="68">
        <f>Table22[[#This Row],[GROSS WT]]-Table22[[#This Row],[Total Bag Discharged (Truck)]]</f>
        <v>41182</v>
      </c>
      <c r="AT64" s="67">
        <f t="shared" si="5"/>
        <v>41182</v>
      </c>
      <c r="AU64" s="69"/>
      <c r="AV64" s="73">
        <v>21</v>
      </c>
      <c r="AW64" s="73">
        <v>24</v>
      </c>
      <c r="AX64" s="73">
        <v>0</v>
      </c>
      <c r="AY64" s="71">
        <f t="shared" si="6"/>
        <v>45</v>
      </c>
      <c r="AZ64" s="70">
        <v>244</v>
      </c>
      <c r="BA64" s="73">
        <v>18</v>
      </c>
      <c r="BB64" s="73">
        <v>14</v>
      </c>
      <c r="BC64" s="63">
        <f t="shared" si="12"/>
        <v>276</v>
      </c>
      <c r="BD64" s="72">
        <f>SUM(Table22[[#This Row],[Good Kernel (gm)]]+(Table22[[#This Row],[Immature (gm)]]+Table22[[#This Row],[Spotted (gm)]])/2)*0.176</f>
        <v>45.76</v>
      </c>
      <c r="BE64" s="73">
        <v>45.85</v>
      </c>
      <c r="BF64" s="72">
        <f t="shared" si="13"/>
        <v>48.67812</v>
      </c>
      <c r="BG64" s="72">
        <f t="shared" si="7"/>
        <v>52.381889999999999</v>
      </c>
      <c r="BH64" s="72">
        <f>SUM(Table22[[#This Row],[Good Kernel (gm)]:[Spotted (gm)]])/1000*100</f>
        <v>27.6</v>
      </c>
      <c r="BI64" s="72">
        <f t="shared" si="8"/>
        <v>29.7</v>
      </c>
      <c r="BJ64" s="73">
        <v>10.7</v>
      </c>
      <c r="BK64" s="73">
        <v>187</v>
      </c>
      <c r="BL64" s="73"/>
      <c r="BM64" s="73">
        <v>24</v>
      </c>
      <c r="BN64" s="73">
        <v>9.3000000000000007</v>
      </c>
      <c r="BO64" s="73">
        <v>24</v>
      </c>
      <c r="BP64" s="73">
        <v>2</v>
      </c>
      <c r="BQ64" s="71">
        <f t="shared" si="9"/>
        <v>50</v>
      </c>
      <c r="BR64" s="73">
        <v>247</v>
      </c>
      <c r="BS64" s="73">
        <v>9.3000000000000007</v>
      </c>
      <c r="BT64" s="73">
        <v>16</v>
      </c>
      <c r="BU64" s="63">
        <f t="shared" si="14"/>
        <v>272.3</v>
      </c>
      <c r="BV64" s="72">
        <f>SUM(Table22[[#This Row],[Good Kernel (G M)]]+(Table22[[#This Row],[Immature (g m)]]+Table22[[#This Row],[Spotted (g m)]])/2)*0.176</f>
        <v>45.698399999999992</v>
      </c>
      <c r="BW64" s="73">
        <v>46.12</v>
      </c>
      <c r="BX64" s="73"/>
      <c r="BY64" s="72">
        <f t="shared" si="15"/>
        <v>48.025551</v>
      </c>
      <c r="BZ64" s="72">
        <f t="shared" si="16"/>
        <v>52.611170999999999</v>
      </c>
      <c r="CA64" s="72">
        <f>SUM(Table22[[#This Row],[Good Kernel (G M)]:[Spotted (g m)]])/1000*100</f>
        <v>27.229999999999997</v>
      </c>
      <c r="CB64" s="72">
        <f>(Table22[[#This Row],[BROWNS/Rejection (gm) (NUT)]]+Table22[[#This Row],[OIL (g m)]]+Table22[[#This Row],[Good Kernel (G M)]]+Table22[[#This Row],[Immature (g m)]]+Table22[[#This Row],[Spotted (g m)]])/1000*100</f>
        <v>29.830000000000002</v>
      </c>
      <c r="CC64" s="73">
        <v>9.3000000000000007</v>
      </c>
      <c r="CD64" s="73">
        <v>182</v>
      </c>
      <c r="CE64" s="73">
        <v>689</v>
      </c>
      <c r="CH64" s="184">
        <f ca="1">TODAY()-Table22[[#This Row],[Discharge Date]]</f>
        <v>142</v>
      </c>
    </row>
    <row r="65" spans="1:86" x14ac:dyDescent="0.25">
      <c r="A65" s="50">
        <v>61</v>
      </c>
      <c r="B65" s="51" t="s">
        <v>95</v>
      </c>
      <c r="C65" s="52" t="s">
        <v>96</v>
      </c>
      <c r="D65" s="97">
        <v>61</v>
      </c>
      <c r="E65" s="98" t="s">
        <v>130</v>
      </c>
      <c r="F65" s="99">
        <v>661</v>
      </c>
      <c r="G65" s="97">
        <v>411</v>
      </c>
      <c r="H65" s="82">
        <v>46112</v>
      </c>
      <c r="I65" s="82"/>
      <c r="J65" s="82"/>
      <c r="K65" s="82" t="s">
        <v>634</v>
      </c>
      <c r="L65" s="54" t="s">
        <v>98</v>
      </c>
      <c r="M65" s="100">
        <v>83411</v>
      </c>
      <c r="N65" s="100" t="s">
        <v>674</v>
      </c>
      <c r="O65" s="73" t="s">
        <v>185</v>
      </c>
      <c r="P65" s="101">
        <v>46113</v>
      </c>
      <c r="Q65" s="101">
        <v>46113</v>
      </c>
      <c r="R65" s="102" t="s">
        <v>100</v>
      </c>
      <c r="S65" s="59" t="s">
        <v>101</v>
      </c>
      <c r="T65" s="102"/>
      <c r="U65" s="102"/>
      <c r="V65" s="51" t="s">
        <v>102</v>
      </c>
      <c r="W65" s="51">
        <v>512</v>
      </c>
      <c r="X65" s="51">
        <v>48</v>
      </c>
      <c r="Y65" s="51">
        <f t="shared" si="10"/>
        <v>560</v>
      </c>
      <c r="Z65" s="51">
        <v>56</v>
      </c>
      <c r="AA65" s="61">
        <f t="shared" si="26"/>
        <v>568</v>
      </c>
      <c r="AB65" s="51">
        <f t="shared" si="18"/>
        <v>56</v>
      </c>
      <c r="AC65" s="88">
        <v>536</v>
      </c>
      <c r="AD65" s="63"/>
      <c r="AE65" s="63">
        <v>24</v>
      </c>
      <c r="AF65" s="63">
        <v>56</v>
      </c>
      <c r="AG65" s="63"/>
      <c r="AH65" s="64">
        <f t="shared" si="29"/>
        <v>560</v>
      </c>
      <c r="AI65" s="62"/>
      <c r="AJ65" s="62"/>
      <c r="AK65" s="62">
        <f t="shared" si="30"/>
        <v>560</v>
      </c>
      <c r="AL65" s="62">
        <f t="shared" si="31"/>
        <v>560</v>
      </c>
      <c r="AM65" s="67">
        <v>41780</v>
      </c>
      <c r="AN65" s="64">
        <f t="shared" si="24"/>
        <v>656</v>
      </c>
      <c r="AO65" s="77">
        <f t="shared" si="32"/>
        <v>41220</v>
      </c>
      <c r="AP65" s="77">
        <f t="shared" si="33"/>
        <v>41124</v>
      </c>
      <c r="AQ65" s="77">
        <f t="shared" si="25"/>
        <v>41124</v>
      </c>
      <c r="AR65" s="67">
        <f t="shared" si="4"/>
        <v>96</v>
      </c>
      <c r="AS65" s="68">
        <f>Table22[[#This Row],[GROSS WT]]-Table22[[#This Row],[Total Bag Discharged (Truck)]]</f>
        <v>41220</v>
      </c>
      <c r="AT65" s="67">
        <f t="shared" si="5"/>
        <v>41220</v>
      </c>
      <c r="AU65" s="69"/>
      <c r="AV65" s="73">
        <v>20</v>
      </c>
      <c r="AW65" s="73">
        <v>21</v>
      </c>
      <c r="AX65" s="73">
        <v>0</v>
      </c>
      <c r="AY65" s="71">
        <f t="shared" si="6"/>
        <v>41</v>
      </c>
      <c r="AZ65" s="70">
        <v>246</v>
      </c>
      <c r="BA65" s="73">
        <v>12</v>
      </c>
      <c r="BB65" s="73">
        <v>18</v>
      </c>
      <c r="BC65" s="63">
        <f t="shared" si="12"/>
        <v>276</v>
      </c>
      <c r="BD65" s="72">
        <f>SUM(Table22[[#This Row],[Good Kernel (gm)]]+(Table22[[#This Row],[Immature (gm)]]+Table22[[#This Row],[Spotted (gm)]])/2)*0.176</f>
        <v>45.936</v>
      </c>
      <c r="BE65" s="73">
        <v>46.03</v>
      </c>
      <c r="BF65" s="72">
        <f t="shared" si="13"/>
        <v>48.67812</v>
      </c>
      <c r="BG65" s="72">
        <f t="shared" si="7"/>
        <v>52.20552</v>
      </c>
      <c r="BH65" s="72">
        <f>SUM(Table22[[#This Row],[Good Kernel (gm)]:[Spotted (gm)]])/1000*100</f>
        <v>27.6</v>
      </c>
      <c r="BI65" s="72">
        <f t="shared" si="8"/>
        <v>29.599999999999998</v>
      </c>
      <c r="BJ65" s="73">
        <v>10.199999999999999</v>
      </c>
      <c r="BK65" s="73">
        <v>185</v>
      </c>
      <c r="BL65" s="73"/>
      <c r="BM65" s="73">
        <v>22</v>
      </c>
      <c r="BN65" s="73">
        <v>10.1</v>
      </c>
      <c r="BO65" s="73">
        <v>0</v>
      </c>
      <c r="BP65" s="73">
        <v>2</v>
      </c>
      <c r="BQ65" s="71">
        <f t="shared" si="9"/>
        <v>24</v>
      </c>
      <c r="BR65" s="73">
        <v>249</v>
      </c>
      <c r="BS65" s="73">
        <v>8</v>
      </c>
      <c r="BT65" s="73">
        <v>18</v>
      </c>
      <c r="BU65" s="63">
        <f t="shared" si="14"/>
        <v>275</v>
      </c>
      <c r="BV65" s="72">
        <v>46.2</v>
      </c>
      <c r="BW65" s="106">
        <v>46.2</v>
      </c>
      <c r="BX65" s="107">
        <v>46.2</v>
      </c>
      <c r="BY65" s="72">
        <f t="shared" si="15"/>
        <v>48.501750000000001</v>
      </c>
      <c r="BZ65" s="72">
        <f t="shared" si="16"/>
        <v>52.734630000000003</v>
      </c>
      <c r="CA65" s="72">
        <f>SUM(Table22[[#This Row],[Good Kernel (G M)]:[Spotted (g m)]])/1000*100</f>
        <v>27.500000000000004</v>
      </c>
      <c r="CB65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65" s="73">
        <v>10.1</v>
      </c>
      <c r="CD65" s="73">
        <v>185</v>
      </c>
      <c r="CE65" s="73">
        <v>694</v>
      </c>
      <c r="CH65" s="184">
        <f ca="1">TODAY()-Table22[[#This Row],[Discharge Date]]</f>
        <v>142</v>
      </c>
    </row>
    <row r="66" spans="1:86" x14ac:dyDescent="0.25">
      <c r="A66" s="50">
        <v>62</v>
      </c>
      <c r="B66" s="51" t="s">
        <v>95</v>
      </c>
      <c r="C66" s="52" t="s">
        <v>96</v>
      </c>
      <c r="D66" s="97">
        <v>62</v>
      </c>
      <c r="E66" s="98"/>
      <c r="F66" s="99">
        <v>662</v>
      </c>
      <c r="G66" s="97">
        <v>412</v>
      </c>
      <c r="H66" s="82">
        <v>46111</v>
      </c>
      <c r="I66" s="82"/>
      <c r="J66" s="82"/>
      <c r="K66" s="82" t="s">
        <v>634</v>
      </c>
      <c r="L66" s="54" t="s">
        <v>98</v>
      </c>
      <c r="M66" s="100">
        <v>82173</v>
      </c>
      <c r="N66" s="100" t="s">
        <v>682</v>
      </c>
      <c r="O66" s="73" t="s">
        <v>186</v>
      </c>
      <c r="P66" s="101">
        <v>46113</v>
      </c>
      <c r="Q66" s="101">
        <v>46113</v>
      </c>
      <c r="R66" s="102" t="s">
        <v>145</v>
      </c>
      <c r="S66" s="103" t="s">
        <v>146</v>
      </c>
      <c r="T66" s="102"/>
      <c r="U66" s="102" t="s">
        <v>425</v>
      </c>
      <c r="V66" s="73" t="s">
        <v>147</v>
      </c>
      <c r="W66" s="51">
        <v>470</v>
      </c>
      <c r="X66" s="51">
        <v>20</v>
      </c>
      <c r="Y66" s="51">
        <f t="shared" si="10"/>
        <v>490</v>
      </c>
      <c r="Z66" s="51">
        <v>29</v>
      </c>
      <c r="AA66" s="61">
        <f t="shared" si="26"/>
        <v>499</v>
      </c>
      <c r="AB66" s="51">
        <f t="shared" si="18"/>
        <v>29</v>
      </c>
      <c r="AC66" s="88">
        <v>470</v>
      </c>
      <c r="AD66" s="63"/>
      <c r="AE66" s="63">
        <v>20</v>
      </c>
      <c r="AF66" s="63">
        <v>29</v>
      </c>
      <c r="AG66" s="63"/>
      <c r="AH66" s="64">
        <f t="shared" si="29"/>
        <v>490</v>
      </c>
      <c r="AI66" s="62"/>
      <c r="AJ66" s="62"/>
      <c r="AK66" s="62">
        <f t="shared" si="30"/>
        <v>490</v>
      </c>
      <c r="AL66" s="62">
        <f t="shared" si="31"/>
        <v>490</v>
      </c>
      <c r="AM66" s="67">
        <v>40440</v>
      </c>
      <c r="AN66" s="64">
        <f t="shared" si="24"/>
        <v>570</v>
      </c>
      <c r="AO66" s="77">
        <f t="shared" si="32"/>
        <v>39950</v>
      </c>
      <c r="AP66" s="77">
        <f t="shared" si="33"/>
        <v>39870</v>
      </c>
      <c r="AQ66" s="77">
        <f t="shared" si="25"/>
        <v>39870</v>
      </c>
      <c r="AR66" s="67">
        <f t="shared" si="4"/>
        <v>80</v>
      </c>
      <c r="AS66" s="68">
        <f>Table22[[#This Row],[GROSS WT]]-Table22[[#This Row],[Total Bag Discharged (Truck)]]</f>
        <v>39950</v>
      </c>
      <c r="AT66" s="67">
        <f t="shared" si="5"/>
        <v>39950</v>
      </c>
      <c r="AU66" s="69"/>
      <c r="AV66" s="73">
        <v>21</v>
      </c>
      <c r="AW66" s="73">
        <v>34</v>
      </c>
      <c r="AX66" s="73">
        <v>3</v>
      </c>
      <c r="AY66" s="71">
        <f t="shared" si="6"/>
        <v>58</v>
      </c>
      <c r="AZ66" s="70">
        <v>231</v>
      </c>
      <c r="BA66" s="73">
        <v>7</v>
      </c>
      <c r="BB66" s="73">
        <v>10</v>
      </c>
      <c r="BC66" s="63">
        <f t="shared" si="12"/>
        <v>248</v>
      </c>
      <c r="BD66" s="72">
        <f>SUM(Table22[[#This Row],[Good Kernel (gm)]]+(Table22[[#This Row],[Immature (gm)]]+Table22[[#This Row],[Spotted (gm)]])/2)*0.176</f>
        <v>42.152000000000001</v>
      </c>
      <c r="BE66" s="73">
        <v>42.24</v>
      </c>
      <c r="BF66" s="72">
        <f t="shared" si="13"/>
        <v>43.739759999999997</v>
      </c>
      <c r="BG66" s="72">
        <f t="shared" si="7"/>
        <v>47.972639999999998</v>
      </c>
      <c r="BH66" s="72">
        <f>SUM(Table22[[#This Row],[Good Kernel (gm)]:[Spotted (gm)]])/1000*100</f>
        <v>24.8</v>
      </c>
      <c r="BI66" s="72">
        <f t="shared" si="8"/>
        <v>27.200000000000003</v>
      </c>
      <c r="BJ66" s="73">
        <v>8.5</v>
      </c>
      <c r="BK66" s="73">
        <v>168</v>
      </c>
      <c r="BL66" s="73">
        <v>689</v>
      </c>
      <c r="BM66" s="73">
        <v>23</v>
      </c>
      <c r="BN66" s="73">
        <v>8.8000000000000007</v>
      </c>
      <c r="BO66" s="73">
        <v>29</v>
      </c>
      <c r="BP66" s="73">
        <v>3</v>
      </c>
      <c r="BQ66" s="71">
        <f t="shared" si="9"/>
        <v>55</v>
      </c>
      <c r="BR66" s="73">
        <v>223</v>
      </c>
      <c r="BS66" s="73">
        <v>15</v>
      </c>
      <c r="BT66" s="73">
        <v>16</v>
      </c>
      <c r="BU66" s="63">
        <f t="shared" si="14"/>
        <v>254</v>
      </c>
      <c r="BV66" s="72">
        <f>SUM(Table22[[#This Row],[Good Kernel (G M)]]+(Table22[[#This Row],[Immature (g m)]]+Table22[[#This Row],[Spotted (g m)]])/2)*0.176</f>
        <v>41.975999999999999</v>
      </c>
      <c r="BW66" s="73">
        <v>42.06</v>
      </c>
      <c r="BX66" s="73"/>
      <c r="BY66" s="72">
        <f t="shared" si="15"/>
        <v>44.797980000000003</v>
      </c>
      <c r="BZ66" s="72">
        <f t="shared" si="16"/>
        <v>49.383600000000001</v>
      </c>
      <c r="CA66" s="72">
        <f>SUM(Table22[[#This Row],[Good Kernel (G M)]:[Spotted (g m)]])/1000*100</f>
        <v>25.4</v>
      </c>
      <c r="CB66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66" s="73">
        <v>8.8000000000000007</v>
      </c>
      <c r="CD66" s="73">
        <v>170</v>
      </c>
      <c r="CE66" s="73">
        <v>683</v>
      </c>
      <c r="CH66" s="184">
        <f ca="1">TODAY()-Table22[[#This Row],[Discharge Date]]</f>
        <v>142</v>
      </c>
    </row>
    <row r="67" spans="1:86" x14ac:dyDescent="0.25">
      <c r="A67" s="50">
        <v>63</v>
      </c>
      <c r="B67" s="51" t="s">
        <v>95</v>
      </c>
      <c r="C67" s="52" t="s">
        <v>96</v>
      </c>
      <c r="D67" s="97">
        <v>63</v>
      </c>
      <c r="E67" s="98"/>
      <c r="F67" s="99">
        <v>663</v>
      </c>
      <c r="G67" s="97">
        <v>413</v>
      </c>
      <c r="H67" s="82">
        <v>46112</v>
      </c>
      <c r="I67" s="82"/>
      <c r="J67" s="82"/>
      <c r="K67" s="82" t="s">
        <v>634</v>
      </c>
      <c r="L67" s="54" t="s">
        <v>98</v>
      </c>
      <c r="M67" s="100">
        <v>83404</v>
      </c>
      <c r="N67" s="100" t="s">
        <v>643</v>
      </c>
      <c r="O67" s="73" t="s">
        <v>169</v>
      </c>
      <c r="P67" s="101">
        <v>46112</v>
      </c>
      <c r="Q67" s="101">
        <v>46114</v>
      </c>
      <c r="R67" s="102" t="s">
        <v>100</v>
      </c>
      <c r="S67" s="59" t="s">
        <v>107</v>
      </c>
      <c r="T67" s="51"/>
      <c r="U67" s="51"/>
      <c r="V67" s="51" t="s">
        <v>108</v>
      </c>
      <c r="W67" s="51">
        <v>582</v>
      </c>
      <c r="X67" s="51">
        <v>3</v>
      </c>
      <c r="Y67" s="51">
        <f t="shared" si="10"/>
        <v>585</v>
      </c>
      <c r="Z67" s="51">
        <v>5</v>
      </c>
      <c r="AA67" s="61">
        <f t="shared" si="26"/>
        <v>587</v>
      </c>
      <c r="AB67" s="51">
        <f t="shared" si="18"/>
        <v>5</v>
      </c>
      <c r="AC67" s="88">
        <v>557</v>
      </c>
      <c r="AD67" s="63"/>
      <c r="AE67" s="63">
        <v>28</v>
      </c>
      <c r="AF67" s="63">
        <v>5</v>
      </c>
      <c r="AG67" s="63"/>
      <c r="AH67" s="64">
        <f t="shared" si="29"/>
        <v>585</v>
      </c>
      <c r="AI67" s="62"/>
      <c r="AJ67" s="62"/>
      <c r="AK67" s="62">
        <f t="shared" si="30"/>
        <v>585</v>
      </c>
      <c r="AL67" s="62">
        <f t="shared" si="31"/>
        <v>585</v>
      </c>
      <c r="AM67" s="67">
        <v>46420</v>
      </c>
      <c r="AN67" s="64">
        <f t="shared" si="24"/>
        <v>697</v>
      </c>
      <c r="AO67" s="77">
        <f t="shared" si="32"/>
        <v>45835</v>
      </c>
      <c r="AP67" s="77">
        <f t="shared" si="33"/>
        <v>45723</v>
      </c>
      <c r="AQ67" s="77">
        <f t="shared" si="25"/>
        <v>45723</v>
      </c>
      <c r="AR67" s="67">
        <f t="shared" si="4"/>
        <v>112</v>
      </c>
      <c r="AS67" s="68">
        <f>Table22[[#This Row],[GROSS WT]]-Table22[[#This Row],[Total Bag Discharged (Truck)]]</f>
        <v>45835</v>
      </c>
      <c r="AT67" s="67">
        <f t="shared" si="5"/>
        <v>45835</v>
      </c>
      <c r="AU67" s="69"/>
      <c r="AV67" s="73">
        <v>35</v>
      </c>
      <c r="AW67" s="73">
        <v>11</v>
      </c>
      <c r="AX67" s="73">
        <v>3</v>
      </c>
      <c r="AY67" s="71">
        <f t="shared" si="6"/>
        <v>49</v>
      </c>
      <c r="AZ67" s="70">
        <v>233</v>
      </c>
      <c r="BA67" s="73">
        <v>10</v>
      </c>
      <c r="BB67" s="73">
        <v>14</v>
      </c>
      <c r="BC67" s="63">
        <f t="shared" si="12"/>
        <v>257</v>
      </c>
      <c r="BD67" s="72">
        <f>SUM(Table22[[#This Row],[Good Kernel (gm)]]+(Table22[[#This Row],[Immature (gm)]]+Table22[[#This Row],[Spotted (gm)]])/2)*0.176</f>
        <v>43.12</v>
      </c>
      <c r="BE67" s="73">
        <v>43.21</v>
      </c>
      <c r="BF67" s="72">
        <f t="shared" si="13"/>
        <v>45.327089999999998</v>
      </c>
      <c r="BG67" s="72">
        <f t="shared" si="7"/>
        <v>52.029150000000001</v>
      </c>
      <c r="BH67" s="72">
        <f>SUM(Table22[[#This Row],[Good Kernel (gm)]:[Spotted (gm)]])/1000*100</f>
        <v>25.7</v>
      </c>
      <c r="BI67" s="72">
        <f t="shared" si="8"/>
        <v>29.5</v>
      </c>
      <c r="BJ67" s="73">
        <v>9.3000000000000007</v>
      </c>
      <c r="BK67" s="73">
        <v>185</v>
      </c>
      <c r="BL67" s="73"/>
      <c r="BM67" s="73">
        <v>39</v>
      </c>
      <c r="BN67" s="73">
        <v>10.5</v>
      </c>
      <c r="BO67" s="73">
        <v>24</v>
      </c>
      <c r="BP67" s="73">
        <v>0</v>
      </c>
      <c r="BQ67" s="71">
        <f t="shared" si="9"/>
        <v>63</v>
      </c>
      <c r="BR67" s="73">
        <v>229</v>
      </c>
      <c r="BS67" s="73">
        <v>12</v>
      </c>
      <c r="BT67" s="73">
        <v>14</v>
      </c>
      <c r="BU67" s="63">
        <f t="shared" si="14"/>
        <v>255</v>
      </c>
      <c r="BV67" s="72">
        <f>SUM(Table22[[#This Row],[Good Kernel (G M)]]+(Table22[[#This Row],[Immature (g m)]]+Table22[[#This Row],[Spotted (g m)]])/2)*0.176</f>
        <v>42.591999999999999</v>
      </c>
      <c r="BW67" s="73">
        <v>42.68</v>
      </c>
      <c r="BX67" s="73"/>
      <c r="BY67" s="72">
        <f t="shared" si="15"/>
        <v>44.974350000000001</v>
      </c>
      <c r="BZ67" s="72">
        <f t="shared" si="16"/>
        <v>51.852780000000003</v>
      </c>
      <c r="CA67" s="72">
        <f>SUM(Table22[[#This Row],[Good Kernel (G M)]:[Spotted (g m)]])/1000*100</f>
        <v>25.5</v>
      </c>
      <c r="CB67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67" s="73">
        <v>9.3000000000000007</v>
      </c>
      <c r="CD67" s="73">
        <v>185</v>
      </c>
      <c r="CE67" s="73">
        <v>675</v>
      </c>
      <c r="CH67" s="184">
        <f ca="1">TODAY()-Table22[[#This Row],[Discharge Date]]</f>
        <v>141</v>
      </c>
    </row>
    <row r="68" spans="1:86" x14ac:dyDescent="0.25">
      <c r="A68" s="50">
        <v>64</v>
      </c>
      <c r="B68" s="51" t="s">
        <v>95</v>
      </c>
      <c r="C68" s="52" t="s">
        <v>96</v>
      </c>
      <c r="D68" s="97">
        <v>64</v>
      </c>
      <c r="E68" s="98" t="s">
        <v>130</v>
      </c>
      <c r="F68" s="99">
        <v>664</v>
      </c>
      <c r="G68" s="97">
        <v>414</v>
      </c>
      <c r="H68" s="82">
        <v>46116</v>
      </c>
      <c r="I68" s="82"/>
      <c r="J68" s="82"/>
      <c r="K68" s="82" t="s">
        <v>634</v>
      </c>
      <c r="L68" s="54" t="s">
        <v>98</v>
      </c>
      <c r="M68" s="100">
        <v>82496</v>
      </c>
      <c r="N68" s="100" t="s">
        <v>680</v>
      </c>
      <c r="O68" s="73" t="s">
        <v>187</v>
      </c>
      <c r="P68" s="101">
        <v>46114</v>
      </c>
      <c r="Q68" s="101">
        <v>46114</v>
      </c>
      <c r="R68" s="102" t="s">
        <v>188</v>
      </c>
      <c r="S68" s="103" t="s">
        <v>317</v>
      </c>
      <c r="T68" s="103" t="s">
        <v>534</v>
      </c>
      <c r="U68" s="103" t="s">
        <v>421</v>
      </c>
      <c r="V68" s="73" t="s">
        <v>140</v>
      </c>
      <c r="W68" s="51">
        <v>499</v>
      </c>
      <c r="X68" s="51">
        <v>1</v>
      </c>
      <c r="Y68" s="51">
        <f t="shared" si="10"/>
        <v>500</v>
      </c>
      <c r="Z68" s="51">
        <v>10</v>
      </c>
      <c r="AA68" s="61">
        <f>W68+Z68</f>
        <v>509</v>
      </c>
      <c r="AB68" s="51">
        <f t="shared" si="18"/>
        <v>10</v>
      </c>
      <c r="AC68" s="88">
        <v>440</v>
      </c>
      <c r="AD68" s="63"/>
      <c r="AE68" s="63">
        <v>60</v>
      </c>
      <c r="AF68" s="63">
        <v>10</v>
      </c>
      <c r="AG68" s="63"/>
      <c r="AH68" s="64">
        <f t="shared" si="29"/>
        <v>500</v>
      </c>
      <c r="AI68" s="62"/>
      <c r="AJ68" s="62"/>
      <c r="AK68" s="62">
        <f t="shared" si="30"/>
        <v>500</v>
      </c>
      <c r="AL68" s="62">
        <f t="shared" si="31"/>
        <v>500</v>
      </c>
      <c r="AM68" s="67">
        <v>43880</v>
      </c>
      <c r="AN68" s="64">
        <f t="shared" si="24"/>
        <v>740</v>
      </c>
      <c r="AO68" s="77">
        <f t="shared" si="32"/>
        <v>43380</v>
      </c>
      <c r="AP68" s="77">
        <f t="shared" si="33"/>
        <v>43140</v>
      </c>
      <c r="AQ68" s="77">
        <f t="shared" si="25"/>
        <v>43140</v>
      </c>
      <c r="AR68" s="67">
        <f t="shared" si="4"/>
        <v>240</v>
      </c>
      <c r="AS68" s="68">
        <f>Table22[[#This Row],[GROSS WT]]-Table22[[#This Row],[Total Bag Discharged (Truck)]]</f>
        <v>43380</v>
      </c>
      <c r="AT68" s="67">
        <f t="shared" si="5"/>
        <v>43380</v>
      </c>
      <c r="AU68" s="69"/>
      <c r="AV68" s="73">
        <v>27</v>
      </c>
      <c r="AW68" s="73">
        <v>16</v>
      </c>
      <c r="AX68" s="73">
        <v>3</v>
      </c>
      <c r="AY68" s="71">
        <f t="shared" si="6"/>
        <v>46</v>
      </c>
      <c r="AZ68" s="70">
        <v>240</v>
      </c>
      <c r="BA68" s="73">
        <v>10</v>
      </c>
      <c r="BB68" s="73">
        <v>12</v>
      </c>
      <c r="BC68" s="63">
        <f t="shared" si="12"/>
        <v>262</v>
      </c>
      <c r="BD68" s="72">
        <f>SUM(Table22[[#This Row],[Good Kernel (gm)]]+(Table22[[#This Row],[Immature (gm)]]+Table22[[#This Row],[Spotted (gm)]])/2)*0.176</f>
        <v>44.175999999999995</v>
      </c>
      <c r="BE68" s="73">
        <v>44.26</v>
      </c>
      <c r="BF68" s="72">
        <f t="shared" si="13"/>
        <v>46.208939999999998</v>
      </c>
      <c r="BG68" s="72">
        <f t="shared" si="7"/>
        <v>51.500039999999998</v>
      </c>
      <c r="BH68" s="72">
        <f>SUM(Table22[[#This Row],[Good Kernel (gm)]:[Spotted (gm)]])/1000*100</f>
        <v>26.200000000000003</v>
      </c>
      <c r="BI68" s="72">
        <f t="shared" si="8"/>
        <v>29.2</v>
      </c>
      <c r="BJ68" s="73">
        <v>11.8</v>
      </c>
      <c r="BK68" s="73">
        <v>172</v>
      </c>
      <c r="BL68" s="73">
        <v>685</v>
      </c>
      <c r="BM68" s="73">
        <v>31</v>
      </c>
      <c r="BN68" s="73"/>
      <c r="BO68" s="73">
        <v>8</v>
      </c>
      <c r="BP68" s="73">
        <v>2</v>
      </c>
      <c r="BQ68" s="71">
        <f t="shared" si="9"/>
        <v>41</v>
      </c>
      <c r="BR68" s="73">
        <v>238</v>
      </c>
      <c r="BS68" s="73">
        <v>12</v>
      </c>
      <c r="BT68" s="73">
        <v>16</v>
      </c>
      <c r="BU68" s="63">
        <f t="shared" si="14"/>
        <v>266</v>
      </c>
      <c r="BV68" s="72">
        <f>SUM(Table22[[#This Row],[Good Kernel (G M)]]+(Table22[[#This Row],[Immature (g m)]]+Table22[[#This Row],[Spotted (g m)]])/2)*0.176</f>
        <v>44.351999999999997</v>
      </c>
      <c r="BW68" s="106">
        <v>44.44</v>
      </c>
      <c r="BX68" s="107">
        <v>45.05</v>
      </c>
      <c r="BY68" s="72">
        <f t="shared" si="15"/>
        <v>46.91442</v>
      </c>
      <c r="BZ68" s="72">
        <f t="shared" si="16"/>
        <v>52.734630000000003</v>
      </c>
      <c r="CA68" s="72">
        <f>SUM(Table22[[#This Row],[Good Kernel (G M)]:[Spotted (g m)]])/1000*100</f>
        <v>26.6</v>
      </c>
      <c r="CB68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68" s="73">
        <v>11.8</v>
      </c>
      <c r="CD68" s="73">
        <v>177</v>
      </c>
      <c r="CE68" s="73">
        <v>686</v>
      </c>
      <c r="CH68" s="184">
        <f ca="1">TODAY()-Table22[[#This Row],[Discharge Date]]</f>
        <v>141</v>
      </c>
    </row>
    <row r="69" spans="1:86" x14ac:dyDescent="0.25">
      <c r="A69" s="50">
        <v>65</v>
      </c>
      <c r="B69" s="51" t="s">
        <v>95</v>
      </c>
      <c r="C69" s="52" t="s">
        <v>96</v>
      </c>
      <c r="D69" s="97">
        <v>65</v>
      </c>
      <c r="E69" s="98"/>
      <c r="F69" s="99">
        <v>665</v>
      </c>
      <c r="G69" s="97">
        <v>415</v>
      </c>
      <c r="H69" s="82">
        <v>46113</v>
      </c>
      <c r="I69" s="82"/>
      <c r="J69" s="82"/>
      <c r="K69" s="82" t="s">
        <v>634</v>
      </c>
      <c r="L69" s="54" t="s">
        <v>98</v>
      </c>
      <c r="M69" s="100">
        <v>78893</v>
      </c>
      <c r="N69" s="100" t="s">
        <v>679</v>
      </c>
      <c r="O69" s="73" t="s">
        <v>189</v>
      </c>
      <c r="P69" s="101">
        <v>46114</v>
      </c>
      <c r="Q69" s="101">
        <v>46114</v>
      </c>
      <c r="R69" s="102" t="s">
        <v>100</v>
      </c>
      <c r="S69" s="59" t="s">
        <v>101</v>
      </c>
      <c r="T69" s="102"/>
      <c r="U69" s="102"/>
      <c r="V69" s="51" t="s">
        <v>102</v>
      </c>
      <c r="W69" s="51">
        <v>529</v>
      </c>
      <c r="X69" s="51">
        <v>51</v>
      </c>
      <c r="Y69" s="51">
        <f t="shared" si="10"/>
        <v>580</v>
      </c>
      <c r="Z69" s="51">
        <v>59</v>
      </c>
      <c r="AA69" s="61">
        <v>639</v>
      </c>
      <c r="AB69" s="51">
        <f t="shared" si="18"/>
        <v>59</v>
      </c>
      <c r="AC69" s="88">
        <v>558</v>
      </c>
      <c r="AD69" s="63"/>
      <c r="AE69" s="63">
        <v>22</v>
      </c>
      <c r="AF69" s="63">
        <v>59</v>
      </c>
      <c r="AG69" s="63"/>
      <c r="AH69" s="64">
        <f t="shared" si="29"/>
        <v>580</v>
      </c>
      <c r="AI69" s="62"/>
      <c r="AJ69" s="62"/>
      <c r="AK69" s="62">
        <f t="shared" si="30"/>
        <v>580</v>
      </c>
      <c r="AL69" s="62">
        <f t="shared" si="31"/>
        <v>580</v>
      </c>
      <c r="AM69" s="67">
        <v>40480</v>
      </c>
      <c r="AN69" s="64">
        <f t="shared" si="24"/>
        <v>668</v>
      </c>
      <c r="AO69" s="77">
        <f t="shared" si="32"/>
        <v>39900</v>
      </c>
      <c r="AP69" s="77">
        <f t="shared" si="33"/>
        <v>39812</v>
      </c>
      <c r="AQ69" s="77">
        <f t="shared" si="25"/>
        <v>39812</v>
      </c>
      <c r="AR69" s="67">
        <f t="shared" ref="AR69:AR132" si="34">(AD69*40)+(AE69*4)+(AG69*0)</f>
        <v>88</v>
      </c>
      <c r="AS69" s="68">
        <f>Table22[[#This Row],[GROSS WT]]-Table22[[#This Row],[Total Bag Discharged (Truck)]]</f>
        <v>39900</v>
      </c>
      <c r="AT69" s="67">
        <f t="shared" ref="AT69:AT132" si="35">+AO69</f>
        <v>39900</v>
      </c>
      <c r="AU69" s="69"/>
      <c r="AV69" s="73">
        <v>29</v>
      </c>
      <c r="AW69" s="73">
        <v>18</v>
      </c>
      <c r="AX69" s="73">
        <v>3</v>
      </c>
      <c r="AY69" s="71">
        <f t="shared" ref="AY69:AY132" si="36">+AV69+AW69+AX69</f>
        <v>50</v>
      </c>
      <c r="AZ69" s="70">
        <v>244</v>
      </c>
      <c r="BA69" s="73">
        <v>12</v>
      </c>
      <c r="BB69" s="73">
        <v>9</v>
      </c>
      <c r="BC69" s="63">
        <f t="shared" si="12"/>
        <v>265</v>
      </c>
      <c r="BD69" s="72">
        <f>SUM(Table22[[#This Row],[Good Kernel (gm)]]+(Table22[[#This Row],[Immature (gm)]]+Table22[[#This Row],[Spotted (gm)]])/2)*0.176</f>
        <v>44.791999999999994</v>
      </c>
      <c r="BE69" s="73">
        <v>44.88</v>
      </c>
      <c r="BF69" s="72">
        <f t="shared" si="13"/>
        <v>46.738050000000001</v>
      </c>
      <c r="BG69" s="72">
        <f t="shared" ref="BG69:BG132" si="37">+((AX69+AV69+AZ69+BA69+BB69))*0.17637</f>
        <v>52.381889999999999</v>
      </c>
      <c r="BH69" s="72">
        <f>SUM(Table22[[#This Row],[Good Kernel (gm)]:[Spotted (gm)]])/1000*100</f>
        <v>26.5</v>
      </c>
      <c r="BI69" s="72">
        <f t="shared" ref="BI69:BI132" si="38">SUM(AV69,AX69,AZ69:BB69)/1000*100</f>
        <v>29.7</v>
      </c>
      <c r="BJ69" s="73">
        <v>9.4</v>
      </c>
      <c r="BK69" s="73">
        <v>183</v>
      </c>
      <c r="BL69" s="73">
        <v>680</v>
      </c>
      <c r="BM69" s="73">
        <v>29</v>
      </c>
      <c r="BN69" s="73"/>
      <c r="BO69" s="73">
        <v>15</v>
      </c>
      <c r="BP69" s="73">
        <v>0</v>
      </c>
      <c r="BQ69" s="71">
        <f t="shared" ref="BQ69:BQ132" si="39">+BM69+BO69+BP69</f>
        <v>44</v>
      </c>
      <c r="BR69" s="73">
        <v>243</v>
      </c>
      <c r="BS69" s="73">
        <v>12</v>
      </c>
      <c r="BT69" s="73">
        <v>14</v>
      </c>
      <c r="BU69" s="63">
        <f t="shared" si="14"/>
        <v>269</v>
      </c>
      <c r="BV69" s="72">
        <f>SUM(Table22[[#This Row],[Good Kernel (G M)]]+(Table22[[#This Row],[Immature (g m)]]+Table22[[#This Row],[Spotted (g m)]])/2)*0.176</f>
        <v>45.055999999999997</v>
      </c>
      <c r="BW69" s="73">
        <v>45.15</v>
      </c>
      <c r="BX69" s="73"/>
      <c r="BY69" s="72">
        <f t="shared" si="15"/>
        <v>47.443530000000003</v>
      </c>
      <c r="BZ69" s="72">
        <f t="shared" si="16"/>
        <v>52.558259999999997</v>
      </c>
      <c r="CA69" s="72">
        <f>SUM(Table22[[#This Row],[Good Kernel (G M)]:[Spotted (g m)]])/1000*100</f>
        <v>26.900000000000002</v>
      </c>
      <c r="CB69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69" s="73">
        <v>11</v>
      </c>
      <c r="CD69" s="73">
        <v>170</v>
      </c>
      <c r="CE69" s="73">
        <v>680</v>
      </c>
      <c r="CH69" s="184">
        <f ca="1">TODAY()-Table22[[#This Row],[Discharge Date]]</f>
        <v>141</v>
      </c>
    </row>
    <row r="70" spans="1:86" x14ac:dyDescent="0.25">
      <c r="A70" s="50">
        <v>66</v>
      </c>
      <c r="B70" s="51" t="s">
        <v>95</v>
      </c>
      <c r="C70" s="52" t="s">
        <v>96</v>
      </c>
      <c r="D70" s="97">
        <v>66</v>
      </c>
      <c r="E70" s="98"/>
      <c r="F70" s="99">
        <v>666</v>
      </c>
      <c r="G70" s="97">
        <v>416</v>
      </c>
      <c r="H70" s="82">
        <v>46113</v>
      </c>
      <c r="I70" s="82"/>
      <c r="J70" s="82"/>
      <c r="K70" s="82" t="s">
        <v>634</v>
      </c>
      <c r="L70" s="54" t="s">
        <v>98</v>
      </c>
      <c r="M70" s="100">
        <v>78892</v>
      </c>
      <c r="N70" s="100" t="s">
        <v>679</v>
      </c>
      <c r="O70" s="73" t="s">
        <v>183</v>
      </c>
      <c r="P70" s="101">
        <v>46114</v>
      </c>
      <c r="Q70" s="101">
        <v>46114</v>
      </c>
      <c r="R70" s="102" t="s">
        <v>100</v>
      </c>
      <c r="S70" s="59" t="s">
        <v>101</v>
      </c>
      <c r="T70" s="102"/>
      <c r="U70" s="102"/>
      <c r="V70" s="51" t="s">
        <v>102</v>
      </c>
      <c r="W70" s="51">
        <v>633</v>
      </c>
      <c r="X70" s="51">
        <v>36</v>
      </c>
      <c r="Y70" s="51">
        <f t="shared" ref="Y70:Y133" si="40">W70+X70</f>
        <v>669</v>
      </c>
      <c r="Z70" s="51">
        <v>64</v>
      </c>
      <c r="AA70" s="61">
        <f>W70+Z70</f>
        <v>697</v>
      </c>
      <c r="AB70" s="51">
        <f t="shared" si="18"/>
        <v>64</v>
      </c>
      <c r="AC70" s="88">
        <v>647</v>
      </c>
      <c r="AD70" s="63"/>
      <c r="AE70" s="63">
        <v>22</v>
      </c>
      <c r="AF70" s="63">
        <v>64</v>
      </c>
      <c r="AG70" s="63"/>
      <c r="AH70" s="64">
        <f t="shared" si="29"/>
        <v>669</v>
      </c>
      <c r="AI70" s="62"/>
      <c r="AJ70" s="62"/>
      <c r="AK70" s="62">
        <f t="shared" si="30"/>
        <v>669</v>
      </c>
      <c r="AL70" s="62">
        <f t="shared" si="31"/>
        <v>669</v>
      </c>
      <c r="AM70" s="67">
        <v>51320</v>
      </c>
      <c r="AN70" s="64">
        <f t="shared" si="24"/>
        <v>757</v>
      </c>
      <c r="AO70" s="77">
        <f t="shared" si="32"/>
        <v>50651</v>
      </c>
      <c r="AP70" s="77">
        <f t="shared" si="33"/>
        <v>50563</v>
      </c>
      <c r="AQ70" s="77">
        <f t="shared" si="25"/>
        <v>50563</v>
      </c>
      <c r="AR70" s="67">
        <f t="shared" si="34"/>
        <v>88</v>
      </c>
      <c r="AS70" s="68">
        <f>Table22[[#This Row],[GROSS WT]]-Table22[[#This Row],[Total Bag Discharged (Truck)]]</f>
        <v>50651</v>
      </c>
      <c r="AT70" s="67">
        <f t="shared" si="35"/>
        <v>50651</v>
      </c>
      <c r="AU70" s="69"/>
      <c r="AV70" s="73">
        <v>28</v>
      </c>
      <c r="AW70" s="73">
        <v>19</v>
      </c>
      <c r="AX70" s="73">
        <v>3</v>
      </c>
      <c r="AY70" s="71">
        <f t="shared" si="36"/>
        <v>50</v>
      </c>
      <c r="AZ70" s="70">
        <v>247</v>
      </c>
      <c r="BA70" s="73">
        <v>6</v>
      </c>
      <c r="BB70" s="73">
        <v>11</v>
      </c>
      <c r="BC70" s="63">
        <f t="shared" ref="BC70:BC133" si="41">+AZ70+BA70+BB70</f>
        <v>264</v>
      </c>
      <c r="BD70" s="72">
        <f>SUM(Table22[[#This Row],[Good Kernel (gm)]]+(Table22[[#This Row],[Immature (gm)]]+Table22[[#This Row],[Spotted (gm)]])/2)*0.176</f>
        <v>44.967999999999996</v>
      </c>
      <c r="BE70" s="73">
        <v>45.06</v>
      </c>
      <c r="BF70" s="72">
        <f t="shared" ref="BF70:BF133" si="42">(AZ70+BA70+BB70)*0.17637</f>
        <v>46.561680000000003</v>
      </c>
      <c r="BG70" s="72">
        <f t="shared" si="37"/>
        <v>52.029150000000001</v>
      </c>
      <c r="BH70" s="72">
        <f>SUM(Table22[[#This Row],[Good Kernel (gm)]:[Spotted (gm)]])/1000*100</f>
        <v>26.400000000000002</v>
      </c>
      <c r="BI70" s="72">
        <f t="shared" si="38"/>
        <v>29.5</v>
      </c>
      <c r="BJ70" s="73">
        <v>9.1</v>
      </c>
      <c r="BK70" s="73">
        <v>181</v>
      </c>
      <c r="BL70" s="73">
        <v>681</v>
      </c>
      <c r="BM70" s="73">
        <v>29</v>
      </c>
      <c r="BN70" s="73"/>
      <c r="BO70" s="73">
        <v>25</v>
      </c>
      <c r="BP70" s="73">
        <v>3</v>
      </c>
      <c r="BQ70" s="71">
        <f t="shared" si="39"/>
        <v>57</v>
      </c>
      <c r="BR70" s="73">
        <v>248</v>
      </c>
      <c r="BS70" s="73">
        <v>12</v>
      </c>
      <c r="BT70" s="73">
        <v>10</v>
      </c>
      <c r="BU70" s="63">
        <f t="shared" ref="BU70:BU133" si="43">+BR70+BS70+BT70</f>
        <v>270</v>
      </c>
      <c r="BV70" s="72">
        <f>SUM(Table22[[#This Row],[Good Kernel (G M)]]+(Table22[[#This Row],[Immature (g m)]]+Table22[[#This Row],[Spotted (g m)]])/2)*0.176</f>
        <v>45.583999999999996</v>
      </c>
      <c r="BW70" s="73">
        <v>45.67</v>
      </c>
      <c r="BX70" s="73"/>
      <c r="BY70" s="72">
        <f t="shared" ref="BY70:BY133" si="44">(BR70+BS70+BT70)*0.17637</f>
        <v>47.619900000000001</v>
      </c>
      <c r="BZ70" s="72">
        <f t="shared" ref="BZ70:BZ133" si="45">+((BP70+BM70+BR70+BS70+BT70))*0.17637</f>
        <v>53.263739999999999</v>
      </c>
      <c r="CA70" s="72">
        <f>SUM(Table22[[#This Row],[Good Kernel (G M)]:[Spotted (g m)]])/1000*100</f>
        <v>27</v>
      </c>
      <c r="CB70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70" s="73">
        <v>10.5</v>
      </c>
      <c r="CD70" s="73">
        <v>182</v>
      </c>
      <c r="CE70" s="73">
        <v>666</v>
      </c>
      <c r="CH70" s="184">
        <f ca="1">TODAY()-Table22[[#This Row],[Discharge Date]]</f>
        <v>141</v>
      </c>
    </row>
    <row r="71" spans="1:86" x14ac:dyDescent="0.25">
      <c r="A71" s="50">
        <v>67</v>
      </c>
      <c r="B71" s="51" t="s">
        <v>95</v>
      </c>
      <c r="C71" s="52" t="s">
        <v>96</v>
      </c>
      <c r="D71" s="97">
        <v>67</v>
      </c>
      <c r="E71" s="98" t="s">
        <v>130</v>
      </c>
      <c r="F71" s="99">
        <v>667</v>
      </c>
      <c r="G71" s="97">
        <v>417</v>
      </c>
      <c r="H71" s="82">
        <v>46113</v>
      </c>
      <c r="I71" s="82"/>
      <c r="J71" s="82"/>
      <c r="K71" s="82" t="s">
        <v>634</v>
      </c>
      <c r="L71" s="54" t="s">
        <v>98</v>
      </c>
      <c r="M71" s="100">
        <v>87134</v>
      </c>
      <c r="N71" s="100" t="s">
        <v>683</v>
      </c>
      <c r="O71" s="73" t="s">
        <v>166</v>
      </c>
      <c r="P71" s="108">
        <v>46115</v>
      </c>
      <c r="Q71" s="101">
        <v>46115</v>
      </c>
      <c r="R71" s="102" t="s">
        <v>167</v>
      </c>
      <c r="S71" s="103" t="s">
        <v>543</v>
      </c>
      <c r="T71" s="102"/>
      <c r="U71" s="102"/>
      <c r="V71" s="102" t="s">
        <v>168</v>
      </c>
      <c r="W71" s="51">
        <v>433</v>
      </c>
      <c r="X71" s="51">
        <v>21</v>
      </c>
      <c r="Y71" s="51">
        <f t="shared" si="40"/>
        <v>454</v>
      </c>
      <c r="Z71" s="51">
        <v>27</v>
      </c>
      <c r="AA71" s="61">
        <f t="shared" si="26"/>
        <v>460</v>
      </c>
      <c r="AB71" s="51">
        <f t="shared" ref="AB71:AB134" si="46">Z71</f>
        <v>27</v>
      </c>
      <c r="AC71" s="88">
        <v>433</v>
      </c>
      <c r="AD71" s="63"/>
      <c r="AE71" s="63">
        <v>21</v>
      </c>
      <c r="AF71" s="63">
        <v>27</v>
      </c>
      <c r="AG71" s="63"/>
      <c r="AH71" s="64">
        <f t="shared" si="29"/>
        <v>454</v>
      </c>
      <c r="AI71" s="62"/>
      <c r="AJ71" s="62"/>
      <c r="AK71" s="62">
        <f t="shared" si="30"/>
        <v>454</v>
      </c>
      <c r="AL71" s="62">
        <f t="shared" si="31"/>
        <v>454</v>
      </c>
      <c r="AM71" s="67">
        <v>37160</v>
      </c>
      <c r="AN71" s="64">
        <f t="shared" si="24"/>
        <v>538</v>
      </c>
      <c r="AO71" s="77">
        <f t="shared" si="32"/>
        <v>36706</v>
      </c>
      <c r="AP71" s="77">
        <f t="shared" si="33"/>
        <v>36622</v>
      </c>
      <c r="AQ71" s="77">
        <f t="shared" si="25"/>
        <v>36622</v>
      </c>
      <c r="AR71" s="67">
        <f t="shared" si="34"/>
        <v>84</v>
      </c>
      <c r="AS71" s="68">
        <f>Table22[[#This Row],[GROSS WT]]-Table22[[#This Row],[Total Bag Discharged (Truck)]]</f>
        <v>36706</v>
      </c>
      <c r="AT71" s="67">
        <f t="shared" si="35"/>
        <v>36706</v>
      </c>
      <c r="AU71" s="69"/>
      <c r="AV71" s="73">
        <v>29</v>
      </c>
      <c r="AW71" s="73">
        <v>15</v>
      </c>
      <c r="AX71" s="73">
        <v>0</v>
      </c>
      <c r="AY71" s="71">
        <f t="shared" si="36"/>
        <v>44</v>
      </c>
      <c r="AZ71" s="70">
        <v>243</v>
      </c>
      <c r="BA71" s="73">
        <v>12</v>
      </c>
      <c r="BB71" s="73">
        <v>14</v>
      </c>
      <c r="BC71" s="63">
        <f t="shared" si="41"/>
        <v>269</v>
      </c>
      <c r="BD71" s="72">
        <f>SUM(Table22[[#This Row],[Good Kernel (gm)]]+(Table22[[#This Row],[Immature (gm)]]+Table22[[#This Row],[Spotted (gm)]])/2)*0.176</f>
        <v>45.055999999999997</v>
      </c>
      <c r="BE71" s="73">
        <v>45.15</v>
      </c>
      <c r="BF71" s="72">
        <f t="shared" si="42"/>
        <v>47.443530000000003</v>
      </c>
      <c r="BG71" s="72">
        <f t="shared" si="37"/>
        <v>52.558259999999997</v>
      </c>
      <c r="BH71" s="72">
        <f>SUM(Table22[[#This Row],[Good Kernel (gm)]:[Spotted (gm)]])/1000*100</f>
        <v>26.900000000000002</v>
      </c>
      <c r="BI71" s="72">
        <f t="shared" si="38"/>
        <v>29.799999999999997</v>
      </c>
      <c r="BJ71" s="73"/>
      <c r="BK71" s="73"/>
      <c r="BL71" s="73"/>
      <c r="BM71" s="73">
        <v>29</v>
      </c>
      <c r="BN71" s="73"/>
      <c r="BO71" s="73">
        <v>15</v>
      </c>
      <c r="BP71" s="73">
        <v>0</v>
      </c>
      <c r="BQ71" s="71">
        <f t="shared" si="39"/>
        <v>44</v>
      </c>
      <c r="BR71" s="73">
        <v>243</v>
      </c>
      <c r="BS71" s="73">
        <v>12</v>
      </c>
      <c r="BT71" s="73">
        <v>14</v>
      </c>
      <c r="BU71" s="63">
        <f t="shared" si="43"/>
        <v>269</v>
      </c>
      <c r="BV71" s="72">
        <f>SUM(Table22[[#This Row],[Good Kernel (G M)]]+(Table22[[#This Row],[Immature (g m)]]+Table22[[#This Row],[Spotted (g m)]])/2)*0.176</f>
        <v>45.055999999999997</v>
      </c>
      <c r="BW71" s="73">
        <v>45.15</v>
      </c>
      <c r="BX71" s="73"/>
      <c r="BY71" s="72">
        <f t="shared" si="44"/>
        <v>47.443530000000003</v>
      </c>
      <c r="BZ71" s="72">
        <f t="shared" si="45"/>
        <v>52.558259999999997</v>
      </c>
      <c r="CA71" s="72">
        <f>SUM(Table22[[#This Row],[Good Kernel (G M)]:[Spotted (g m)]])/1000*100</f>
        <v>26.900000000000002</v>
      </c>
      <c r="CB71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71" s="73">
        <v>11</v>
      </c>
      <c r="CD71" s="73">
        <v>170</v>
      </c>
      <c r="CE71" s="73">
        <v>680</v>
      </c>
      <c r="CH71" s="184">
        <f ca="1">TODAY()-Table22[[#This Row],[Discharge Date]]</f>
        <v>140</v>
      </c>
    </row>
    <row r="72" spans="1:86" x14ac:dyDescent="0.25">
      <c r="A72" s="50">
        <v>68</v>
      </c>
      <c r="B72" s="73" t="s">
        <v>95</v>
      </c>
      <c r="C72" s="73" t="s">
        <v>96</v>
      </c>
      <c r="D72" s="97">
        <v>68</v>
      </c>
      <c r="E72" s="98"/>
      <c r="F72" s="99">
        <v>668</v>
      </c>
      <c r="G72" s="97">
        <v>418</v>
      </c>
      <c r="H72" s="82">
        <v>46085</v>
      </c>
      <c r="I72" s="82"/>
      <c r="J72" s="82"/>
      <c r="K72" s="82" t="s">
        <v>634</v>
      </c>
      <c r="L72" s="54" t="s">
        <v>98</v>
      </c>
      <c r="M72" s="100">
        <v>87137</v>
      </c>
      <c r="N72" s="100" t="s">
        <v>672</v>
      </c>
      <c r="O72" s="73" t="s">
        <v>172</v>
      </c>
      <c r="P72" s="108">
        <v>46116</v>
      </c>
      <c r="Q72" s="101">
        <v>46116</v>
      </c>
      <c r="R72" s="102" t="s">
        <v>100</v>
      </c>
      <c r="S72" s="59" t="s">
        <v>101</v>
      </c>
      <c r="T72" s="102"/>
      <c r="U72" s="102"/>
      <c r="V72" s="51" t="s">
        <v>102</v>
      </c>
      <c r="W72" s="51">
        <v>572</v>
      </c>
      <c r="X72" s="51">
        <v>31</v>
      </c>
      <c r="Y72" s="51">
        <f t="shared" si="40"/>
        <v>603</v>
      </c>
      <c r="Z72" s="51">
        <v>61</v>
      </c>
      <c r="AA72" s="61">
        <f t="shared" si="26"/>
        <v>633</v>
      </c>
      <c r="AB72" s="51">
        <f t="shared" si="46"/>
        <v>61</v>
      </c>
      <c r="AC72" s="88">
        <f t="shared" si="27"/>
        <v>572</v>
      </c>
      <c r="AD72" s="63"/>
      <c r="AE72" s="63">
        <f t="shared" si="28"/>
        <v>31</v>
      </c>
      <c r="AF72" s="63">
        <v>61</v>
      </c>
      <c r="AG72" s="63"/>
      <c r="AH72" s="64">
        <f t="shared" si="29"/>
        <v>603</v>
      </c>
      <c r="AI72" s="62"/>
      <c r="AJ72" s="62"/>
      <c r="AK72" s="62">
        <f t="shared" si="30"/>
        <v>603</v>
      </c>
      <c r="AL72" s="62">
        <f t="shared" si="31"/>
        <v>603</v>
      </c>
      <c r="AM72" s="67">
        <v>40820</v>
      </c>
      <c r="AN72" s="64">
        <f t="shared" si="24"/>
        <v>727</v>
      </c>
      <c r="AO72" s="77">
        <f>+Table22[[#This Row],[GROSS WT]]-Table22[[#This Row],[Total Bag Discharged (Truck)]]</f>
        <v>40217</v>
      </c>
      <c r="AP72" s="77">
        <f t="shared" si="33"/>
        <v>40093</v>
      </c>
      <c r="AQ72" s="77">
        <f t="shared" si="25"/>
        <v>40093</v>
      </c>
      <c r="AR72" s="67">
        <f t="shared" si="34"/>
        <v>124</v>
      </c>
      <c r="AS72" s="68">
        <f>Table22[[#This Row],[GROSS WT]]-Table22[[#This Row],[Total Bag Discharged (Truck)]]</f>
        <v>40217</v>
      </c>
      <c r="AT72" s="67">
        <f t="shared" si="35"/>
        <v>40217</v>
      </c>
      <c r="AU72" s="69"/>
      <c r="AV72" s="73">
        <v>28</v>
      </c>
      <c r="AW72" s="73">
        <v>18</v>
      </c>
      <c r="AX72" s="73">
        <v>3</v>
      </c>
      <c r="AY72" s="71">
        <f t="shared" si="36"/>
        <v>49</v>
      </c>
      <c r="AZ72" s="70">
        <v>241</v>
      </c>
      <c r="BA72" s="73">
        <v>13</v>
      </c>
      <c r="BB72" s="73">
        <v>12</v>
      </c>
      <c r="BC72" s="63">
        <f t="shared" si="41"/>
        <v>266</v>
      </c>
      <c r="BD72" s="72">
        <f>SUM(Table22[[#This Row],[Good Kernel (gm)]]+(Table22[[#This Row],[Immature (gm)]]+Table22[[#This Row],[Spotted (gm)]])/2)*0.176</f>
        <v>44.616</v>
      </c>
      <c r="BE72" s="73">
        <v>44.7</v>
      </c>
      <c r="BF72" s="72">
        <f t="shared" si="42"/>
        <v>46.91442</v>
      </c>
      <c r="BG72" s="72">
        <f t="shared" si="37"/>
        <v>52.381889999999999</v>
      </c>
      <c r="BH72" s="72">
        <f>SUM(Table22[[#This Row],[Good Kernel (gm)]:[Spotted (gm)]])/1000*100</f>
        <v>26.6</v>
      </c>
      <c r="BI72" s="72">
        <f t="shared" si="38"/>
        <v>29.7</v>
      </c>
      <c r="BJ72" s="73">
        <v>9.1999999999999993</v>
      </c>
      <c r="BK72" s="73">
        <v>188</v>
      </c>
      <c r="BL72" s="73">
        <v>679</v>
      </c>
      <c r="BM72" s="73">
        <v>26</v>
      </c>
      <c r="BN72" s="73"/>
      <c r="BO72" s="73">
        <v>28</v>
      </c>
      <c r="BP72" s="73">
        <v>4</v>
      </c>
      <c r="BQ72" s="71">
        <f t="shared" si="39"/>
        <v>58</v>
      </c>
      <c r="BR72" s="73">
        <v>240</v>
      </c>
      <c r="BS72" s="73">
        <v>10</v>
      </c>
      <c r="BT72" s="73">
        <v>14</v>
      </c>
      <c r="BU72" s="63">
        <f t="shared" si="43"/>
        <v>264</v>
      </c>
      <c r="BV72" s="72">
        <f>SUM(Table22[[#This Row],[Good Kernel (G M)]]+(Table22[[#This Row],[Immature (g m)]]+Table22[[#This Row],[Spotted (g m)]])/2)*0.176</f>
        <v>44.351999999999997</v>
      </c>
      <c r="BW72" s="73">
        <v>44.44</v>
      </c>
      <c r="BX72" s="73"/>
      <c r="BY72" s="72">
        <f t="shared" si="44"/>
        <v>46.561680000000003</v>
      </c>
      <c r="BZ72" s="72">
        <f t="shared" si="45"/>
        <v>51.852780000000003</v>
      </c>
      <c r="CA72" s="72">
        <f>SUM(Table22[[#This Row],[Good Kernel (G M)]:[Spotted (g m)]])/1000*100</f>
        <v>26.400000000000002</v>
      </c>
      <c r="CB72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72" s="73">
        <v>9.1</v>
      </c>
      <c r="CD72" s="73">
        <v>189</v>
      </c>
      <c r="CE72" s="73">
        <v>673</v>
      </c>
      <c r="CH72" s="184">
        <f ca="1">TODAY()-Table22[[#This Row],[Discharge Date]]</f>
        <v>139</v>
      </c>
    </row>
    <row r="73" spans="1:86" x14ac:dyDescent="0.25">
      <c r="A73" s="50">
        <v>69</v>
      </c>
      <c r="B73" s="73" t="s">
        <v>95</v>
      </c>
      <c r="C73" s="73" t="s">
        <v>96</v>
      </c>
      <c r="D73" s="97">
        <v>69</v>
      </c>
      <c r="E73" s="98"/>
      <c r="F73" s="99">
        <v>669</v>
      </c>
      <c r="G73" s="97">
        <v>419</v>
      </c>
      <c r="H73" s="82">
        <v>46085</v>
      </c>
      <c r="I73" s="82"/>
      <c r="J73" s="82"/>
      <c r="K73" s="82" t="s">
        <v>634</v>
      </c>
      <c r="L73" s="54" t="s">
        <v>98</v>
      </c>
      <c r="M73" s="100">
        <v>82297</v>
      </c>
      <c r="N73" s="100" t="s">
        <v>676</v>
      </c>
      <c r="O73" s="73" t="s">
        <v>190</v>
      </c>
      <c r="P73" s="108">
        <v>46116</v>
      </c>
      <c r="Q73" s="101">
        <v>46116</v>
      </c>
      <c r="R73" s="102" t="s">
        <v>191</v>
      </c>
      <c r="S73" s="103" t="s">
        <v>179</v>
      </c>
      <c r="T73" s="102"/>
      <c r="U73" s="102"/>
      <c r="V73" s="73" t="s">
        <v>180</v>
      </c>
      <c r="W73" s="51">
        <v>443</v>
      </c>
      <c r="X73" s="51">
        <v>24</v>
      </c>
      <c r="Y73" s="51">
        <f t="shared" si="40"/>
        <v>467</v>
      </c>
      <c r="Z73" s="51">
        <v>49</v>
      </c>
      <c r="AA73" s="61">
        <f t="shared" si="26"/>
        <v>492</v>
      </c>
      <c r="AB73" s="51">
        <f t="shared" si="46"/>
        <v>49</v>
      </c>
      <c r="AC73" s="88">
        <f t="shared" si="27"/>
        <v>443</v>
      </c>
      <c r="AD73" s="63"/>
      <c r="AE73" s="63">
        <f t="shared" si="28"/>
        <v>24</v>
      </c>
      <c r="AF73" s="63">
        <v>49</v>
      </c>
      <c r="AG73" s="63"/>
      <c r="AH73" s="64">
        <f t="shared" si="29"/>
        <v>467</v>
      </c>
      <c r="AI73" s="62"/>
      <c r="AJ73" s="62"/>
      <c r="AK73" s="62">
        <f t="shared" si="30"/>
        <v>467</v>
      </c>
      <c r="AL73" s="62">
        <f t="shared" si="31"/>
        <v>467</v>
      </c>
      <c r="AM73" s="67">
        <v>36420</v>
      </c>
      <c r="AN73" s="64">
        <f t="shared" si="24"/>
        <v>563</v>
      </c>
      <c r="AO73" s="77">
        <f t="shared" si="32"/>
        <v>35953</v>
      </c>
      <c r="AP73" s="77">
        <f t="shared" si="33"/>
        <v>35857</v>
      </c>
      <c r="AQ73" s="77">
        <f t="shared" si="25"/>
        <v>35857</v>
      </c>
      <c r="AR73" s="67">
        <f t="shared" si="34"/>
        <v>96</v>
      </c>
      <c r="AS73" s="68">
        <f>Table22[[#This Row],[GROSS WT]]-Table22[[#This Row],[Total Bag Discharged (Truck)]]</f>
        <v>35953</v>
      </c>
      <c r="AT73" s="67">
        <f t="shared" si="35"/>
        <v>35953</v>
      </c>
      <c r="AU73" s="69"/>
      <c r="AV73" s="73">
        <v>25</v>
      </c>
      <c r="AW73" s="73">
        <v>4</v>
      </c>
      <c r="AX73" s="73">
        <v>3</v>
      </c>
      <c r="AY73" s="71">
        <f t="shared" si="36"/>
        <v>32</v>
      </c>
      <c r="AZ73" s="70">
        <v>248</v>
      </c>
      <c r="BA73" s="73">
        <v>18</v>
      </c>
      <c r="BB73" s="73">
        <v>10</v>
      </c>
      <c r="BC73" s="63">
        <f t="shared" si="41"/>
        <v>276</v>
      </c>
      <c r="BD73" s="72">
        <f>SUM(Table22[[#This Row],[Good Kernel (gm)]]+(Table22[[#This Row],[Immature (gm)]]+Table22[[#This Row],[Spotted (gm)]])/2)*0.176</f>
        <v>46.111999999999995</v>
      </c>
      <c r="BE73" s="73">
        <v>46.2</v>
      </c>
      <c r="BF73" s="72">
        <f t="shared" si="42"/>
        <v>48.67812</v>
      </c>
      <c r="BG73" s="72">
        <f t="shared" si="37"/>
        <v>53.616480000000003</v>
      </c>
      <c r="BH73" s="72">
        <f>SUM(Table22[[#This Row],[Good Kernel (gm)]:[Spotted (gm)]])/1000*100</f>
        <v>27.6</v>
      </c>
      <c r="BI73" s="72">
        <f t="shared" si="38"/>
        <v>30.4</v>
      </c>
      <c r="BJ73" s="73">
        <v>9.6</v>
      </c>
      <c r="BK73" s="73">
        <v>168</v>
      </c>
      <c r="BL73" s="73">
        <v>687</v>
      </c>
      <c r="BM73" s="73">
        <v>20</v>
      </c>
      <c r="BN73" s="73"/>
      <c r="BO73" s="73">
        <v>16</v>
      </c>
      <c r="BP73" s="73">
        <v>3</v>
      </c>
      <c r="BQ73" s="71">
        <f t="shared" si="39"/>
        <v>39</v>
      </c>
      <c r="BR73" s="73">
        <v>249</v>
      </c>
      <c r="BS73" s="73">
        <v>10</v>
      </c>
      <c r="BT73" s="73">
        <v>14</v>
      </c>
      <c r="BU73" s="63">
        <f t="shared" si="43"/>
        <v>273</v>
      </c>
      <c r="BV73" s="72">
        <f>SUM(Table22[[#This Row],[Good Kernel (G M)]]+(Table22[[#This Row],[Immature (g m)]]+Table22[[#This Row],[Spotted (g m)]])/2)*0.176</f>
        <v>45.936</v>
      </c>
      <c r="BW73" s="73">
        <v>46.03</v>
      </c>
      <c r="BX73" s="73"/>
      <c r="BY73" s="72">
        <f t="shared" si="44"/>
        <v>48.149009999999997</v>
      </c>
      <c r="BZ73" s="72">
        <f t="shared" si="45"/>
        <v>52.20552</v>
      </c>
      <c r="CA73" s="72">
        <f>SUM(Table22[[#This Row],[Good Kernel (G M)]:[Spotted (g m)]])/1000*100</f>
        <v>27.3</v>
      </c>
      <c r="CB73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73" s="73">
        <v>9.4</v>
      </c>
      <c r="CD73" s="73">
        <v>169</v>
      </c>
      <c r="CE73" s="73">
        <v>703</v>
      </c>
      <c r="CH73" s="184">
        <f ca="1">TODAY()-Table22[[#This Row],[Discharge Date]]</f>
        <v>139</v>
      </c>
    </row>
    <row r="74" spans="1:86" x14ac:dyDescent="0.25">
      <c r="A74" s="50">
        <v>70</v>
      </c>
      <c r="B74" s="73" t="s">
        <v>95</v>
      </c>
      <c r="C74" s="73" t="s">
        <v>96</v>
      </c>
      <c r="D74" s="97">
        <v>70</v>
      </c>
      <c r="E74" s="98"/>
      <c r="F74" s="99">
        <v>671</v>
      </c>
      <c r="G74" s="97">
        <v>421</v>
      </c>
      <c r="H74" s="82">
        <v>46085</v>
      </c>
      <c r="I74" s="82"/>
      <c r="J74" s="82"/>
      <c r="K74" s="82" t="s">
        <v>634</v>
      </c>
      <c r="L74" s="54" t="s">
        <v>98</v>
      </c>
      <c r="M74" s="100">
        <v>87136</v>
      </c>
      <c r="N74" s="100" t="s">
        <v>679</v>
      </c>
      <c r="O74" s="73" t="s">
        <v>192</v>
      </c>
      <c r="P74" s="108">
        <v>46118</v>
      </c>
      <c r="Q74" s="101">
        <v>46118</v>
      </c>
      <c r="R74" s="102" t="s">
        <v>100</v>
      </c>
      <c r="S74" s="59" t="s">
        <v>101</v>
      </c>
      <c r="T74" s="102"/>
      <c r="U74" s="102"/>
      <c r="V74" s="51" t="s">
        <v>102</v>
      </c>
      <c r="W74" s="51">
        <v>631</v>
      </c>
      <c r="X74" s="51">
        <v>24</v>
      </c>
      <c r="Y74" s="51">
        <f t="shared" si="40"/>
        <v>655</v>
      </c>
      <c r="Z74" s="51">
        <v>93</v>
      </c>
      <c r="AA74" s="61">
        <f t="shared" si="26"/>
        <v>724</v>
      </c>
      <c r="AB74" s="51">
        <f t="shared" si="46"/>
        <v>93</v>
      </c>
      <c r="AC74" s="88">
        <f t="shared" si="27"/>
        <v>631</v>
      </c>
      <c r="AD74" s="63"/>
      <c r="AE74" s="63">
        <f t="shared" si="28"/>
        <v>24</v>
      </c>
      <c r="AF74" s="63">
        <v>93</v>
      </c>
      <c r="AG74" s="63"/>
      <c r="AH74" s="64">
        <f t="shared" si="29"/>
        <v>655</v>
      </c>
      <c r="AI74" s="62"/>
      <c r="AJ74" s="62"/>
      <c r="AK74" s="62">
        <f t="shared" si="30"/>
        <v>655</v>
      </c>
      <c r="AL74" s="62">
        <f t="shared" si="31"/>
        <v>655</v>
      </c>
      <c r="AM74" s="67">
        <v>49870</v>
      </c>
      <c r="AN74" s="64">
        <f t="shared" si="24"/>
        <v>751</v>
      </c>
      <c r="AO74" s="77">
        <f t="shared" si="32"/>
        <v>49215</v>
      </c>
      <c r="AP74" s="77">
        <f t="shared" si="33"/>
        <v>49119</v>
      </c>
      <c r="AQ74" s="77">
        <f t="shared" si="25"/>
        <v>49119</v>
      </c>
      <c r="AR74" s="67">
        <f t="shared" si="34"/>
        <v>96</v>
      </c>
      <c r="AS74" s="68">
        <f>Table22[[#This Row],[GROSS WT]]-Table22[[#This Row],[Total Bag Discharged (Truck)]]</f>
        <v>49215</v>
      </c>
      <c r="AT74" s="67">
        <f t="shared" si="35"/>
        <v>49215</v>
      </c>
      <c r="AU74" s="69"/>
      <c r="AV74" s="73">
        <v>28</v>
      </c>
      <c r="AW74" s="73">
        <v>12</v>
      </c>
      <c r="AX74" s="73">
        <v>0</v>
      </c>
      <c r="AY74" s="71">
        <f t="shared" si="36"/>
        <v>40</v>
      </c>
      <c r="AZ74" s="70">
        <v>245</v>
      </c>
      <c r="BA74" s="73">
        <v>10</v>
      </c>
      <c r="BB74" s="73">
        <v>12</v>
      </c>
      <c r="BC74" s="63">
        <f t="shared" si="41"/>
        <v>267</v>
      </c>
      <c r="BD74" s="72">
        <f>SUM(Table22[[#This Row],[Good Kernel (gm)]]+(Table22[[#This Row],[Immature (gm)]]+Table22[[#This Row],[Spotted (gm)]])/2)*0.176</f>
        <v>45.055999999999997</v>
      </c>
      <c r="BE74" s="73">
        <v>45.15</v>
      </c>
      <c r="BF74" s="72">
        <f t="shared" si="42"/>
        <v>47.090789999999998</v>
      </c>
      <c r="BG74" s="72">
        <f t="shared" si="37"/>
        <v>52.029150000000001</v>
      </c>
      <c r="BH74" s="72">
        <f>SUM(Table22[[#This Row],[Good Kernel (gm)]:[Spotted (gm)]])/1000*100</f>
        <v>26.700000000000003</v>
      </c>
      <c r="BI74" s="72">
        <f t="shared" si="38"/>
        <v>29.5</v>
      </c>
      <c r="BJ74" s="73">
        <v>10</v>
      </c>
      <c r="BK74" s="73">
        <v>180</v>
      </c>
      <c r="BL74" s="73">
        <v>688</v>
      </c>
      <c r="BM74" s="73">
        <v>21</v>
      </c>
      <c r="BN74" s="73"/>
      <c r="BO74" s="73">
        <v>15</v>
      </c>
      <c r="BP74" s="73">
        <v>5</v>
      </c>
      <c r="BQ74" s="71">
        <f t="shared" si="39"/>
        <v>41</v>
      </c>
      <c r="BR74" s="73">
        <v>238</v>
      </c>
      <c r="BS74" s="73">
        <v>20</v>
      </c>
      <c r="BT74" s="73">
        <v>14</v>
      </c>
      <c r="BU74" s="63">
        <f t="shared" si="43"/>
        <v>272</v>
      </c>
      <c r="BV74" s="72">
        <f>SUM(Table22[[#This Row],[Good Kernel (G M)]]+(Table22[[#This Row],[Immature (g m)]]+Table22[[#This Row],[Spotted (g m)]])/2)*0.176</f>
        <v>44.879999999999995</v>
      </c>
      <c r="BW74" s="73">
        <v>44.97</v>
      </c>
      <c r="BX74" s="73"/>
      <c r="BY74" s="72">
        <f t="shared" si="44"/>
        <v>47.972639999999998</v>
      </c>
      <c r="BZ74" s="72">
        <f t="shared" si="45"/>
        <v>52.558259999999997</v>
      </c>
      <c r="CA74" s="72">
        <f>SUM(Table22[[#This Row],[Good Kernel (G M)]:[Spotted (g m)]])/1000*100</f>
        <v>27.200000000000003</v>
      </c>
      <c r="CB74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74" s="73">
        <v>9.8000000000000007</v>
      </c>
      <c r="CD74" s="73">
        <v>187</v>
      </c>
      <c r="CE74" s="73">
        <v>681</v>
      </c>
      <c r="CH74" s="184">
        <f ca="1">TODAY()-Table22[[#This Row],[Discharge Date]]</f>
        <v>137</v>
      </c>
    </row>
    <row r="75" spans="1:86" x14ac:dyDescent="0.25">
      <c r="A75" s="50">
        <v>71</v>
      </c>
      <c r="B75" s="73" t="s">
        <v>95</v>
      </c>
      <c r="C75" s="73" t="s">
        <v>96</v>
      </c>
      <c r="D75" s="97">
        <v>71</v>
      </c>
      <c r="E75" s="98"/>
      <c r="F75" s="99">
        <v>670</v>
      </c>
      <c r="G75" s="97">
        <v>420</v>
      </c>
      <c r="H75" s="82">
        <v>46085</v>
      </c>
      <c r="I75" s="82"/>
      <c r="J75" s="82"/>
      <c r="K75" s="82" t="s">
        <v>634</v>
      </c>
      <c r="L75" s="54" t="s">
        <v>98</v>
      </c>
      <c r="M75" s="100">
        <v>87135</v>
      </c>
      <c r="N75" s="100" t="s">
        <v>679</v>
      </c>
      <c r="O75" s="73" t="s">
        <v>193</v>
      </c>
      <c r="P75" s="108">
        <v>46118</v>
      </c>
      <c r="Q75" s="101">
        <v>46118</v>
      </c>
      <c r="R75" s="102" t="s">
        <v>100</v>
      </c>
      <c r="S75" s="59" t="s">
        <v>101</v>
      </c>
      <c r="T75" s="102"/>
      <c r="U75" s="102"/>
      <c r="V75" s="51" t="s">
        <v>102</v>
      </c>
      <c r="W75" s="51">
        <v>635</v>
      </c>
      <c r="X75" s="51">
        <v>24</v>
      </c>
      <c r="Y75" s="51">
        <f t="shared" si="40"/>
        <v>659</v>
      </c>
      <c r="Z75" s="51">
        <v>59</v>
      </c>
      <c r="AA75" s="61">
        <f t="shared" si="26"/>
        <v>694</v>
      </c>
      <c r="AB75" s="51">
        <f t="shared" si="46"/>
        <v>59</v>
      </c>
      <c r="AC75" s="88">
        <f t="shared" si="27"/>
        <v>635</v>
      </c>
      <c r="AD75" s="63"/>
      <c r="AE75" s="63">
        <f t="shared" si="28"/>
        <v>24</v>
      </c>
      <c r="AF75" s="63">
        <v>59</v>
      </c>
      <c r="AG75" s="63"/>
      <c r="AH75" s="64">
        <f t="shared" si="29"/>
        <v>659</v>
      </c>
      <c r="AI75" s="62"/>
      <c r="AJ75" s="62"/>
      <c r="AK75" s="62">
        <f t="shared" si="30"/>
        <v>659</v>
      </c>
      <c r="AL75" s="62">
        <f t="shared" si="31"/>
        <v>659</v>
      </c>
      <c r="AM75" s="67">
        <v>51300</v>
      </c>
      <c r="AN75" s="64">
        <f t="shared" si="24"/>
        <v>755</v>
      </c>
      <c r="AO75" s="77">
        <f t="shared" si="32"/>
        <v>50641</v>
      </c>
      <c r="AP75" s="77">
        <f t="shared" si="33"/>
        <v>50545</v>
      </c>
      <c r="AQ75" s="77">
        <f t="shared" si="25"/>
        <v>50545</v>
      </c>
      <c r="AR75" s="67">
        <f t="shared" si="34"/>
        <v>96</v>
      </c>
      <c r="AS75" s="68">
        <f>Table22[[#This Row],[GROSS WT]]-Table22[[#This Row],[Total Bag Discharged (Truck)]]</f>
        <v>50641</v>
      </c>
      <c r="AT75" s="67">
        <f t="shared" si="35"/>
        <v>50641</v>
      </c>
      <c r="AU75" s="69"/>
      <c r="AV75" s="73">
        <v>24</v>
      </c>
      <c r="AW75" s="73">
        <v>18</v>
      </c>
      <c r="AX75" s="73">
        <v>3</v>
      </c>
      <c r="AY75" s="71">
        <f t="shared" si="36"/>
        <v>45</v>
      </c>
      <c r="AZ75" s="70">
        <v>247</v>
      </c>
      <c r="BA75" s="73">
        <v>16</v>
      </c>
      <c r="BB75" s="73">
        <v>12</v>
      </c>
      <c r="BC75" s="63">
        <f t="shared" si="41"/>
        <v>275</v>
      </c>
      <c r="BD75" s="72">
        <f>SUM(Table22[[#This Row],[Good Kernel (gm)]]+(Table22[[#This Row],[Immature (gm)]]+Table22[[#This Row],[Spotted (gm)]])/2)*0.176</f>
        <v>45.936</v>
      </c>
      <c r="BE75" s="73">
        <v>46.03</v>
      </c>
      <c r="BF75" s="72">
        <f t="shared" si="42"/>
        <v>48.501750000000001</v>
      </c>
      <c r="BG75" s="72">
        <f t="shared" si="37"/>
        <v>53.263739999999999</v>
      </c>
      <c r="BH75" s="72">
        <f>SUM(Table22[[#This Row],[Good Kernel (gm)]:[Spotted (gm)]])/1000*100</f>
        <v>27.500000000000004</v>
      </c>
      <c r="BI75" s="72">
        <f t="shared" si="38"/>
        <v>30.2</v>
      </c>
      <c r="BJ75" s="73">
        <v>9.1999999999999993</v>
      </c>
      <c r="BK75" s="73">
        <v>183</v>
      </c>
      <c r="BL75" s="73">
        <v>673</v>
      </c>
      <c r="BM75" s="73">
        <v>23</v>
      </c>
      <c r="BN75" s="73"/>
      <c r="BO75" s="73">
        <v>21</v>
      </c>
      <c r="BP75" s="73">
        <v>2</v>
      </c>
      <c r="BQ75" s="71">
        <f t="shared" si="39"/>
        <v>46</v>
      </c>
      <c r="BR75" s="73">
        <v>243</v>
      </c>
      <c r="BS75" s="73">
        <v>11</v>
      </c>
      <c r="BT75" s="73">
        <v>16</v>
      </c>
      <c r="BU75" s="63">
        <f t="shared" si="43"/>
        <v>270</v>
      </c>
      <c r="BV75" s="72">
        <f>SUM(Table22[[#This Row],[Good Kernel (G M)]]+(Table22[[#This Row],[Immature (g m)]]+Table22[[#This Row],[Spotted (g m)]])/2)*0.176</f>
        <v>45.143999999999998</v>
      </c>
      <c r="BW75" s="73">
        <v>45.23</v>
      </c>
      <c r="BX75" s="73"/>
      <c r="BY75" s="72">
        <f t="shared" si="44"/>
        <v>47.619900000000001</v>
      </c>
      <c r="BZ75" s="72">
        <f t="shared" si="45"/>
        <v>52.029150000000001</v>
      </c>
      <c r="CA75" s="72">
        <f>SUM(Table22[[#This Row],[Good Kernel (G M)]:[Spotted (g m)]])/1000*100</f>
        <v>27</v>
      </c>
      <c r="CB75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75" s="73">
        <v>9.1</v>
      </c>
      <c r="CD75" s="73">
        <v>187</v>
      </c>
      <c r="CE75" s="73">
        <v>677</v>
      </c>
      <c r="CH75" s="184">
        <f ca="1">TODAY()-Table22[[#This Row],[Discharge Date]]</f>
        <v>137</v>
      </c>
    </row>
    <row r="76" spans="1:86" x14ac:dyDescent="0.25">
      <c r="A76" s="50">
        <v>72</v>
      </c>
      <c r="B76" s="73" t="s">
        <v>95</v>
      </c>
      <c r="C76" s="73" t="s">
        <v>96</v>
      </c>
      <c r="D76" s="97">
        <v>72</v>
      </c>
      <c r="E76" s="98" t="s">
        <v>130</v>
      </c>
      <c r="F76" s="99">
        <v>674</v>
      </c>
      <c r="G76" s="97">
        <v>424</v>
      </c>
      <c r="H76" s="82">
        <v>46177</v>
      </c>
      <c r="I76" s="82"/>
      <c r="J76" s="82"/>
      <c r="K76" s="82" t="s">
        <v>634</v>
      </c>
      <c r="L76" s="54" t="s">
        <v>98</v>
      </c>
      <c r="M76" s="100">
        <v>87139</v>
      </c>
      <c r="N76" s="100" t="s">
        <v>681</v>
      </c>
      <c r="O76" s="73" t="s">
        <v>194</v>
      </c>
      <c r="P76" s="109">
        <v>46238</v>
      </c>
      <c r="Q76" s="101">
        <v>46120</v>
      </c>
      <c r="R76" s="102" t="s">
        <v>100</v>
      </c>
      <c r="S76" s="59" t="s">
        <v>101</v>
      </c>
      <c r="T76" s="102"/>
      <c r="U76" s="102"/>
      <c r="V76" s="51" t="s">
        <v>102</v>
      </c>
      <c r="W76" s="51">
        <v>676</v>
      </c>
      <c r="X76" s="51">
        <v>30</v>
      </c>
      <c r="Y76" s="51">
        <f t="shared" si="40"/>
        <v>706</v>
      </c>
      <c r="Z76" s="51">
        <v>45</v>
      </c>
      <c r="AA76" s="61">
        <f t="shared" si="26"/>
        <v>721</v>
      </c>
      <c r="AB76" s="51">
        <f t="shared" si="46"/>
        <v>45</v>
      </c>
      <c r="AC76" s="88">
        <f t="shared" si="27"/>
        <v>676</v>
      </c>
      <c r="AD76" s="63"/>
      <c r="AE76" s="63">
        <f t="shared" si="28"/>
        <v>30</v>
      </c>
      <c r="AF76" s="63">
        <v>45</v>
      </c>
      <c r="AG76" s="63"/>
      <c r="AH76" s="64">
        <f t="shared" si="29"/>
        <v>706</v>
      </c>
      <c r="AI76" s="62"/>
      <c r="AJ76" s="62"/>
      <c r="AK76" s="62">
        <f t="shared" si="30"/>
        <v>706</v>
      </c>
      <c r="AL76" s="62">
        <f t="shared" si="31"/>
        <v>706</v>
      </c>
      <c r="AM76" s="67">
        <v>54260</v>
      </c>
      <c r="AN76" s="64">
        <f t="shared" si="24"/>
        <v>826</v>
      </c>
      <c r="AO76" s="77">
        <f t="shared" si="32"/>
        <v>53554</v>
      </c>
      <c r="AP76" s="77">
        <f t="shared" si="33"/>
        <v>53434</v>
      </c>
      <c r="AQ76" s="77">
        <f t="shared" si="25"/>
        <v>53434</v>
      </c>
      <c r="AR76" s="67">
        <f t="shared" si="34"/>
        <v>120</v>
      </c>
      <c r="AS76" s="68">
        <f>Table22[[#This Row],[GROSS WT]]-Table22[[#This Row],[Total Bag Discharged (Truck)]]</f>
        <v>53554</v>
      </c>
      <c r="AT76" s="67">
        <f t="shared" si="35"/>
        <v>53554</v>
      </c>
      <c r="AU76" s="69"/>
      <c r="AV76" s="73">
        <v>31</v>
      </c>
      <c r="AW76" s="73">
        <v>14</v>
      </c>
      <c r="AX76" s="73">
        <v>6</v>
      </c>
      <c r="AY76" s="71">
        <f t="shared" si="36"/>
        <v>51</v>
      </c>
      <c r="AZ76" s="70">
        <v>236</v>
      </c>
      <c r="BA76" s="73">
        <v>11</v>
      </c>
      <c r="BB76" s="73">
        <v>16</v>
      </c>
      <c r="BC76" s="63">
        <f t="shared" si="41"/>
        <v>263</v>
      </c>
      <c r="BD76" s="72">
        <f>SUM(Table22[[#This Row],[Good Kernel (gm)]]+(Table22[[#This Row],[Immature (gm)]]+Table22[[#This Row],[Spotted (gm)]])/2)*0.176</f>
        <v>43.911999999999999</v>
      </c>
      <c r="BE76" s="73">
        <v>44</v>
      </c>
      <c r="BF76" s="72">
        <f t="shared" si="42"/>
        <v>46.385309999999997</v>
      </c>
      <c r="BG76" s="72">
        <f t="shared" si="37"/>
        <v>52.911000000000001</v>
      </c>
      <c r="BH76" s="72">
        <f>SUM(Table22[[#This Row],[Good Kernel (gm)]:[Spotted (gm)]])/1000*100</f>
        <v>26.3</v>
      </c>
      <c r="BI76" s="72">
        <f t="shared" si="38"/>
        <v>30</v>
      </c>
      <c r="BJ76" s="73">
        <v>10.5</v>
      </c>
      <c r="BK76" s="73">
        <v>178</v>
      </c>
      <c r="BL76" s="73">
        <v>680</v>
      </c>
      <c r="BM76" s="73">
        <v>24</v>
      </c>
      <c r="BN76" s="73"/>
      <c r="BO76" s="73">
        <v>19</v>
      </c>
      <c r="BP76" s="73">
        <v>4</v>
      </c>
      <c r="BQ76" s="71">
        <f t="shared" si="39"/>
        <v>47</v>
      </c>
      <c r="BR76" s="73">
        <v>233</v>
      </c>
      <c r="BS76" s="73">
        <v>14</v>
      </c>
      <c r="BT76" s="73">
        <v>20</v>
      </c>
      <c r="BU76" s="63">
        <f t="shared" si="43"/>
        <v>267</v>
      </c>
      <c r="BV76" s="72">
        <f>SUM(Table22[[#This Row],[Good Kernel (G M)]]+(Table22[[#This Row],[Immature (g m)]]+Table22[[#This Row],[Spotted (g m)]])/2)*0.176</f>
        <v>44</v>
      </c>
      <c r="BW76" s="73">
        <v>44.09</v>
      </c>
      <c r="BX76" s="73"/>
      <c r="BY76" s="72">
        <f t="shared" si="44"/>
        <v>47.090789999999998</v>
      </c>
      <c r="BZ76" s="72">
        <f t="shared" si="45"/>
        <v>52.029150000000001</v>
      </c>
      <c r="CA76" s="72">
        <f>SUM(Table22[[#This Row],[Good Kernel (G M)]:[Spotted (g m)]])/1000*100</f>
        <v>26.700000000000003</v>
      </c>
      <c r="CB7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76" s="73">
        <v>10</v>
      </c>
      <c r="CD76" s="73">
        <v>182</v>
      </c>
      <c r="CE76" s="73">
        <v>679</v>
      </c>
      <c r="CH76" s="184">
        <f ca="1">TODAY()-Table22[[#This Row],[Discharge Date]]</f>
        <v>135</v>
      </c>
    </row>
    <row r="77" spans="1:86" x14ac:dyDescent="0.25">
      <c r="A77" s="50">
        <v>73</v>
      </c>
      <c r="B77" s="73" t="s">
        <v>95</v>
      </c>
      <c r="C77" s="73" t="s">
        <v>96</v>
      </c>
      <c r="D77" s="97">
        <v>73</v>
      </c>
      <c r="E77" s="110"/>
      <c r="F77" s="99">
        <v>672</v>
      </c>
      <c r="G77" s="97">
        <v>422</v>
      </c>
      <c r="H77" s="82">
        <v>46146</v>
      </c>
      <c r="I77" s="82"/>
      <c r="J77" s="82"/>
      <c r="K77" s="82" t="s">
        <v>634</v>
      </c>
      <c r="L77" s="54" t="s">
        <v>98</v>
      </c>
      <c r="M77" s="100">
        <v>83405</v>
      </c>
      <c r="N77" s="100" t="s">
        <v>672</v>
      </c>
      <c r="O77" s="73" t="s">
        <v>142</v>
      </c>
      <c r="P77" s="109">
        <v>46238</v>
      </c>
      <c r="Q77" s="101">
        <v>46120</v>
      </c>
      <c r="R77" s="102" t="s">
        <v>100</v>
      </c>
      <c r="S77" s="59" t="s">
        <v>107</v>
      </c>
      <c r="T77" s="102"/>
      <c r="U77" s="102"/>
      <c r="V77" s="51" t="s">
        <v>108</v>
      </c>
      <c r="W77" s="51">
        <v>572</v>
      </c>
      <c r="X77" s="51">
        <v>10</v>
      </c>
      <c r="Y77" s="51">
        <f t="shared" si="40"/>
        <v>582</v>
      </c>
      <c r="Z77" s="51">
        <v>7</v>
      </c>
      <c r="AA77" s="61">
        <f t="shared" si="26"/>
        <v>579</v>
      </c>
      <c r="AB77" s="51">
        <f t="shared" si="46"/>
        <v>7</v>
      </c>
      <c r="AC77" s="88">
        <f t="shared" si="27"/>
        <v>572</v>
      </c>
      <c r="AD77" s="63"/>
      <c r="AE77" s="63">
        <f t="shared" si="28"/>
        <v>10</v>
      </c>
      <c r="AF77" s="63">
        <v>5</v>
      </c>
      <c r="AG77" s="63"/>
      <c r="AH77" s="64">
        <f t="shared" si="29"/>
        <v>582</v>
      </c>
      <c r="AI77" s="62"/>
      <c r="AJ77" s="62"/>
      <c r="AK77" s="62">
        <f t="shared" si="30"/>
        <v>582</v>
      </c>
      <c r="AL77" s="62">
        <f t="shared" si="31"/>
        <v>582</v>
      </c>
      <c r="AM77" s="67">
        <v>46250</v>
      </c>
      <c r="AN77" s="64">
        <f t="shared" si="24"/>
        <v>622</v>
      </c>
      <c r="AO77" s="77">
        <f t="shared" si="32"/>
        <v>45668</v>
      </c>
      <c r="AP77" s="77">
        <f t="shared" si="33"/>
        <v>45628</v>
      </c>
      <c r="AQ77" s="77">
        <f t="shared" si="25"/>
        <v>45628</v>
      </c>
      <c r="AR77" s="67">
        <f t="shared" si="34"/>
        <v>40</v>
      </c>
      <c r="AS77" s="68">
        <f>Table22[[#This Row],[GROSS WT]]-Table22[[#This Row],[Total Bag Discharged (Truck)]]</f>
        <v>45668</v>
      </c>
      <c r="AT77" s="67">
        <f t="shared" si="35"/>
        <v>45668</v>
      </c>
      <c r="AU77" s="69"/>
      <c r="AV77" s="73">
        <v>25</v>
      </c>
      <c r="AW77" s="73">
        <v>6</v>
      </c>
      <c r="AX77" s="73">
        <v>0</v>
      </c>
      <c r="AY77" s="71">
        <f t="shared" si="36"/>
        <v>31</v>
      </c>
      <c r="AZ77" s="70">
        <v>240</v>
      </c>
      <c r="BA77" s="73">
        <v>18</v>
      </c>
      <c r="BB77" s="73">
        <v>14</v>
      </c>
      <c r="BC77" s="63">
        <f t="shared" si="41"/>
        <v>272</v>
      </c>
      <c r="BD77" s="72">
        <f>SUM(Table22[[#This Row],[Good Kernel (gm)]]+(Table22[[#This Row],[Immature (gm)]]+Table22[[#This Row],[Spotted (gm)]])/2)*0.176</f>
        <v>45.055999999999997</v>
      </c>
      <c r="BE77" s="73">
        <v>45.15</v>
      </c>
      <c r="BF77" s="72">
        <f t="shared" si="42"/>
        <v>47.972639999999998</v>
      </c>
      <c r="BG77" s="72">
        <f t="shared" si="37"/>
        <v>52.381889999999999</v>
      </c>
      <c r="BH77" s="72">
        <f>SUM(Table22[[#This Row],[Good Kernel (gm)]:[Spotted (gm)]])/1000*100</f>
        <v>27.200000000000003</v>
      </c>
      <c r="BI77" s="72">
        <f t="shared" si="38"/>
        <v>29.7</v>
      </c>
      <c r="BJ77" s="73">
        <v>9.6</v>
      </c>
      <c r="BK77" s="73">
        <v>175</v>
      </c>
      <c r="BL77" s="73">
        <v>691</v>
      </c>
      <c r="BM77" s="73">
        <v>26</v>
      </c>
      <c r="BN77" s="73"/>
      <c r="BO77" s="73">
        <v>12</v>
      </c>
      <c r="BP77" s="73">
        <v>0</v>
      </c>
      <c r="BQ77" s="71">
        <f t="shared" si="39"/>
        <v>38</v>
      </c>
      <c r="BR77" s="73">
        <v>240</v>
      </c>
      <c r="BS77" s="73">
        <v>13</v>
      </c>
      <c r="BT77" s="73">
        <v>14</v>
      </c>
      <c r="BU77" s="63">
        <f t="shared" si="43"/>
        <v>267</v>
      </c>
      <c r="BV77" s="72">
        <f>SUM(Table22[[#This Row],[Good Kernel (G M)]]+(Table22[[#This Row],[Immature (g m)]]+Table22[[#This Row],[Spotted (g m)]])/2)*0.176</f>
        <v>44.616</v>
      </c>
      <c r="BW77" s="73">
        <v>44.7</v>
      </c>
      <c r="BX77" s="73"/>
      <c r="BY77" s="72">
        <f t="shared" si="44"/>
        <v>47.090789999999998</v>
      </c>
      <c r="BZ77" s="72">
        <f t="shared" si="45"/>
        <v>51.676409999999997</v>
      </c>
      <c r="CA77" s="72">
        <f>SUM(Table22[[#This Row],[Good Kernel (G M)]:[Spotted (g m)]])/1000*100</f>
        <v>26.700000000000003</v>
      </c>
      <c r="CB77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77" s="73">
        <v>9.4</v>
      </c>
      <c r="CD77" s="73">
        <v>180</v>
      </c>
      <c r="CE77" s="73">
        <v>688</v>
      </c>
      <c r="CH77" s="184">
        <f ca="1">TODAY()-Table22[[#This Row],[Discharge Date]]</f>
        <v>135</v>
      </c>
    </row>
    <row r="78" spans="1:86" x14ac:dyDescent="0.25">
      <c r="A78" s="50">
        <v>74</v>
      </c>
      <c r="B78" s="73" t="s">
        <v>95</v>
      </c>
      <c r="C78" s="73" t="s">
        <v>96</v>
      </c>
      <c r="D78" s="97">
        <v>74</v>
      </c>
      <c r="E78" s="98"/>
      <c r="F78" s="99">
        <v>673</v>
      </c>
      <c r="G78" s="97">
        <v>423</v>
      </c>
      <c r="H78" s="82">
        <v>46146</v>
      </c>
      <c r="I78" s="82"/>
      <c r="J78" s="82"/>
      <c r="K78" s="82" t="s">
        <v>634</v>
      </c>
      <c r="L78" s="54" t="s">
        <v>98</v>
      </c>
      <c r="M78" s="100">
        <v>87138</v>
      </c>
      <c r="N78" s="100" t="s">
        <v>672</v>
      </c>
      <c r="O78" s="73" t="s">
        <v>172</v>
      </c>
      <c r="P78" s="109">
        <v>46238</v>
      </c>
      <c r="Q78" s="101">
        <v>46120</v>
      </c>
      <c r="R78" s="102" t="s">
        <v>100</v>
      </c>
      <c r="S78" s="59" t="s">
        <v>101</v>
      </c>
      <c r="T78" s="102"/>
      <c r="U78" s="102"/>
      <c r="V78" s="51" t="s">
        <v>102</v>
      </c>
      <c r="W78" s="51">
        <v>608</v>
      </c>
      <c r="X78" s="51">
        <v>24</v>
      </c>
      <c r="Y78" s="51">
        <f t="shared" si="40"/>
        <v>632</v>
      </c>
      <c r="Z78" s="51">
        <v>105</v>
      </c>
      <c r="AA78" s="61">
        <f t="shared" si="26"/>
        <v>713</v>
      </c>
      <c r="AB78" s="51">
        <f t="shared" si="46"/>
        <v>105</v>
      </c>
      <c r="AC78" s="88">
        <f t="shared" si="27"/>
        <v>608</v>
      </c>
      <c r="AD78" s="63"/>
      <c r="AE78" s="63">
        <f t="shared" si="28"/>
        <v>24</v>
      </c>
      <c r="AF78" s="63">
        <v>105</v>
      </c>
      <c r="AG78" s="63"/>
      <c r="AH78" s="64">
        <f t="shared" si="29"/>
        <v>632</v>
      </c>
      <c r="AI78" s="62"/>
      <c r="AJ78" s="62"/>
      <c r="AK78" s="62">
        <f t="shared" si="30"/>
        <v>632</v>
      </c>
      <c r="AL78" s="62">
        <f t="shared" si="31"/>
        <v>632</v>
      </c>
      <c r="AM78" s="67">
        <v>43680</v>
      </c>
      <c r="AN78" s="64">
        <f>(AD78*8)+(AE78*4)+(AG78*0)+(AH78*1)</f>
        <v>728</v>
      </c>
      <c r="AO78" s="77">
        <f t="shared" si="32"/>
        <v>43048</v>
      </c>
      <c r="AP78" s="77">
        <f t="shared" si="33"/>
        <v>42952</v>
      </c>
      <c r="AQ78" s="77">
        <f t="shared" si="25"/>
        <v>42952</v>
      </c>
      <c r="AR78" s="67">
        <f t="shared" si="34"/>
        <v>96</v>
      </c>
      <c r="AS78" s="68">
        <f>Table22[[#This Row],[GROSS WT]]-Table22[[#This Row],[Total Bag Discharged (Truck)]]</f>
        <v>43048</v>
      </c>
      <c r="AT78" s="67">
        <f t="shared" si="35"/>
        <v>43048</v>
      </c>
      <c r="AU78" s="69"/>
      <c r="AV78" s="73">
        <v>36</v>
      </c>
      <c r="AW78" s="73">
        <v>21</v>
      </c>
      <c r="AX78" s="73">
        <v>2</v>
      </c>
      <c r="AY78" s="71">
        <f t="shared" si="36"/>
        <v>59</v>
      </c>
      <c r="AZ78" s="70">
        <v>237</v>
      </c>
      <c r="BA78" s="73">
        <v>13</v>
      </c>
      <c r="BB78" s="73">
        <v>14</v>
      </c>
      <c r="BC78" s="63">
        <f t="shared" si="41"/>
        <v>264</v>
      </c>
      <c r="BD78" s="72">
        <f>SUM(Table22[[#This Row],[Good Kernel (gm)]]+(Table22[[#This Row],[Immature (gm)]]+Table22[[#This Row],[Spotted (gm)]])/2)*0.176</f>
        <v>44.088000000000001</v>
      </c>
      <c r="BE78" s="73">
        <v>44.18</v>
      </c>
      <c r="BF78" s="72">
        <f t="shared" si="42"/>
        <v>46.561680000000003</v>
      </c>
      <c r="BG78" s="72">
        <f t="shared" si="37"/>
        <v>53.263739999999999</v>
      </c>
      <c r="BH78" s="72">
        <f>SUM(Table22[[#This Row],[Good Kernel (gm)]:[Spotted (gm)]])/1000*100</f>
        <v>26.400000000000002</v>
      </c>
      <c r="BI78" s="72">
        <f t="shared" si="38"/>
        <v>30.2</v>
      </c>
      <c r="BJ78" s="73">
        <v>9.4</v>
      </c>
      <c r="BK78" s="73">
        <v>177</v>
      </c>
      <c r="BL78" s="73">
        <v>670</v>
      </c>
      <c r="BM78" s="73">
        <v>28</v>
      </c>
      <c r="BN78" s="73"/>
      <c r="BO78" s="73">
        <v>17</v>
      </c>
      <c r="BP78" s="73">
        <v>3</v>
      </c>
      <c r="BQ78" s="71">
        <f t="shared" si="39"/>
        <v>48</v>
      </c>
      <c r="BR78" s="73">
        <v>239</v>
      </c>
      <c r="BS78" s="73">
        <v>10</v>
      </c>
      <c r="BT78" s="73">
        <v>14</v>
      </c>
      <c r="BU78" s="63">
        <f t="shared" si="43"/>
        <v>263</v>
      </c>
      <c r="BV78" s="72">
        <f>SUM(Table22[[#This Row],[Good Kernel (G M)]]+(Table22[[#This Row],[Immature (g m)]]+Table22[[#This Row],[Spotted (g m)]])/2)*0.176</f>
        <v>44.175999999999995</v>
      </c>
      <c r="BW78" s="73">
        <v>44.26</v>
      </c>
      <c r="BX78" s="73"/>
      <c r="BY78" s="72">
        <f t="shared" si="44"/>
        <v>46.385309999999997</v>
      </c>
      <c r="BZ78" s="72">
        <f t="shared" si="45"/>
        <v>51.852780000000003</v>
      </c>
      <c r="CA78" s="72">
        <f>SUM(Table22[[#This Row],[Good Kernel (G M)]:[Spotted (g m)]])/1000*100</f>
        <v>26.3</v>
      </c>
      <c r="CB78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78" s="73">
        <v>9.1999999999999993</v>
      </c>
      <c r="CD78" s="73">
        <v>184</v>
      </c>
      <c r="CE78" s="73">
        <v>683</v>
      </c>
      <c r="CH78" s="184">
        <f ca="1">TODAY()-Table22[[#This Row],[Discharge Date]]</f>
        <v>135</v>
      </c>
    </row>
    <row r="79" spans="1:86" x14ac:dyDescent="0.25">
      <c r="A79" s="50">
        <v>75</v>
      </c>
      <c r="B79" s="73" t="s">
        <v>95</v>
      </c>
      <c r="C79" s="73" t="s">
        <v>96</v>
      </c>
      <c r="D79" s="97">
        <v>75</v>
      </c>
      <c r="E79" s="98"/>
      <c r="F79" s="99">
        <v>675</v>
      </c>
      <c r="G79" s="97">
        <v>425</v>
      </c>
      <c r="H79" s="82">
        <v>46238</v>
      </c>
      <c r="I79" s="82"/>
      <c r="J79" s="82"/>
      <c r="K79" s="82" t="s">
        <v>634</v>
      </c>
      <c r="L79" s="54" t="s">
        <v>98</v>
      </c>
      <c r="M79" s="100">
        <v>78912</v>
      </c>
      <c r="N79" s="100" t="s">
        <v>684</v>
      </c>
      <c r="O79" s="73" t="s">
        <v>183</v>
      </c>
      <c r="P79" s="109">
        <v>46238</v>
      </c>
      <c r="Q79" s="101">
        <v>46122</v>
      </c>
      <c r="R79" s="102" t="s">
        <v>100</v>
      </c>
      <c r="S79" s="59" t="s">
        <v>101</v>
      </c>
      <c r="T79" s="102"/>
      <c r="U79" s="102"/>
      <c r="V79" s="51" t="s">
        <v>102</v>
      </c>
      <c r="W79" s="51">
        <v>612</v>
      </c>
      <c r="X79" s="51">
        <v>46</v>
      </c>
      <c r="Y79" s="51">
        <f t="shared" si="40"/>
        <v>658</v>
      </c>
      <c r="Z79" s="51"/>
      <c r="AA79" s="61">
        <f t="shared" si="26"/>
        <v>612</v>
      </c>
      <c r="AB79" s="51">
        <f t="shared" si="46"/>
        <v>0</v>
      </c>
      <c r="AC79" s="88">
        <f t="shared" si="27"/>
        <v>612</v>
      </c>
      <c r="AD79" s="63"/>
      <c r="AE79" s="63">
        <f t="shared" si="28"/>
        <v>46</v>
      </c>
      <c r="AF79" s="63">
        <v>75</v>
      </c>
      <c r="AG79" s="63"/>
      <c r="AH79" s="64">
        <f t="shared" si="29"/>
        <v>658</v>
      </c>
      <c r="AI79" s="62"/>
      <c r="AJ79" s="62"/>
      <c r="AK79" s="62">
        <f t="shared" si="30"/>
        <v>658</v>
      </c>
      <c r="AL79" s="62">
        <f t="shared" si="31"/>
        <v>658</v>
      </c>
      <c r="AM79" s="67">
        <v>51020</v>
      </c>
      <c r="AN79" s="64">
        <f t="shared" si="24"/>
        <v>842</v>
      </c>
      <c r="AO79" s="77">
        <f t="shared" si="32"/>
        <v>50362</v>
      </c>
      <c r="AP79" s="77">
        <f t="shared" si="33"/>
        <v>50178</v>
      </c>
      <c r="AQ79" s="77">
        <f t="shared" si="25"/>
        <v>50178</v>
      </c>
      <c r="AR79" s="67">
        <f t="shared" si="34"/>
        <v>184</v>
      </c>
      <c r="AS79" s="68">
        <f>Table22[[#This Row],[GROSS WT]]-Table22[[#This Row],[Total Bag Discharged (Truck)]]</f>
        <v>50362</v>
      </c>
      <c r="AT79" s="67">
        <f t="shared" si="35"/>
        <v>50362</v>
      </c>
      <c r="AU79" s="69"/>
      <c r="AV79" s="73">
        <v>30</v>
      </c>
      <c r="AW79" s="73">
        <v>28</v>
      </c>
      <c r="AX79" s="73">
        <v>2</v>
      </c>
      <c r="AY79" s="71">
        <f t="shared" si="36"/>
        <v>60</v>
      </c>
      <c r="AZ79" s="70">
        <v>240</v>
      </c>
      <c r="BA79" s="73">
        <v>10</v>
      </c>
      <c r="BB79" s="73">
        <v>12</v>
      </c>
      <c r="BC79" s="63">
        <f t="shared" si="41"/>
        <v>262</v>
      </c>
      <c r="BD79" s="72">
        <f>SUM(Table22[[#This Row],[Good Kernel (gm)]]+(Table22[[#This Row],[Immature (gm)]]+Table22[[#This Row],[Spotted (gm)]])/2)*0.176</f>
        <v>44.175999999999995</v>
      </c>
      <c r="BE79" s="73">
        <v>44.26</v>
      </c>
      <c r="BF79" s="72">
        <f t="shared" si="42"/>
        <v>46.208939999999998</v>
      </c>
      <c r="BG79" s="72">
        <f t="shared" si="37"/>
        <v>51.852780000000003</v>
      </c>
      <c r="BH79" s="72">
        <f>SUM(Table22[[#This Row],[Good Kernel (gm)]:[Spotted (gm)]])/1000*100</f>
        <v>26.200000000000003</v>
      </c>
      <c r="BI79" s="72">
        <f t="shared" si="38"/>
        <v>29.4</v>
      </c>
      <c r="BJ79" s="73">
        <v>10.8</v>
      </c>
      <c r="BK79" s="73">
        <v>189</v>
      </c>
      <c r="BL79" s="73">
        <v>673</v>
      </c>
      <c r="BM79" s="73">
        <v>30</v>
      </c>
      <c r="BN79" s="73"/>
      <c r="BO79" s="73">
        <v>18</v>
      </c>
      <c r="BP79" s="73">
        <v>3</v>
      </c>
      <c r="BQ79" s="71">
        <f t="shared" si="39"/>
        <v>51</v>
      </c>
      <c r="BR79" s="73">
        <v>241</v>
      </c>
      <c r="BS79" s="73">
        <v>12</v>
      </c>
      <c r="BT79" s="73">
        <v>10</v>
      </c>
      <c r="BU79" s="63">
        <f t="shared" si="43"/>
        <v>263</v>
      </c>
      <c r="BV79" s="72">
        <f>SUM(Table22[[#This Row],[Good Kernel (G M)]]+(Table22[[#This Row],[Immature (g m)]]+Table22[[#This Row],[Spotted (g m)]])/2)*0.176</f>
        <v>44.351999999999997</v>
      </c>
      <c r="BW79" s="73">
        <v>44.44</v>
      </c>
      <c r="BX79" s="73"/>
      <c r="BY79" s="72">
        <f t="shared" si="44"/>
        <v>46.385309999999997</v>
      </c>
      <c r="BZ79" s="72">
        <f t="shared" si="45"/>
        <v>52.20552</v>
      </c>
      <c r="CA79" s="72">
        <f>SUM(Table22[[#This Row],[Good Kernel (G M)]:[Spotted (g m)]])/1000*100</f>
        <v>26.3</v>
      </c>
      <c r="CB79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79" s="73">
        <v>10.8</v>
      </c>
      <c r="CD79" s="73">
        <v>187</v>
      </c>
      <c r="CE79" s="73">
        <v>680</v>
      </c>
      <c r="CH79" s="184">
        <f ca="1">TODAY()-Table22[[#This Row],[Discharge Date]]</f>
        <v>133</v>
      </c>
    </row>
    <row r="80" spans="1:86" x14ac:dyDescent="0.25">
      <c r="A80" s="50">
        <v>76</v>
      </c>
      <c r="B80" s="73" t="s">
        <v>95</v>
      </c>
      <c r="C80" s="73" t="s">
        <v>96</v>
      </c>
      <c r="D80" s="97">
        <v>76</v>
      </c>
      <c r="E80" s="98" t="s">
        <v>130</v>
      </c>
      <c r="F80" s="99">
        <v>676</v>
      </c>
      <c r="G80" s="97">
        <v>426</v>
      </c>
      <c r="H80" s="82">
        <v>46238</v>
      </c>
      <c r="I80" s="82"/>
      <c r="J80" s="82"/>
      <c r="K80" s="82" t="s">
        <v>634</v>
      </c>
      <c r="L80" s="54" t="s">
        <v>98</v>
      </c>
      <c r="M80" s="100">
        <v>78911</v>
      </c>
      <c r="N80" s="100" t="s">
        <v>681</v>
      </c>
      <c r="O80" s="73" t="s">
        <v>195</v>
      </c>
      <c r="P80" s="109">
        <v>46238</v>
      </c>
      <c r="Q80" s="101">
        <v>46122</v>
      </c>
      <c r="R80" s="102" t="s">
        <v>100</v>
      </c>
      <c r="S80" s="59" t="s">
        <v>101</v>
      </c>
      <c r="T80" s="102"/>
      <c r="U80" s="102"/>
      <c r="V80" s="51" t="s">
        <v>102</v>
      </c>
      <c r="W80" s="51">
        <v>617</v>
      </c>
      <c r="X80" s="51">
        <v>41</v>
      </c>
      <c r="Y80" s="51">
        <f t="shared" si="40"/>
        <v>658</v>
      </c>
      <c r="Z80" s="51"/>
      <c r="AA80" s="61">
        <f t="shared" si="26"/>
        <v>617</v>
      </c>
      <c r="AB80" s="51">
        <f t="shared" si="46"/>
        <v>0</v>
      </c>
      <c r="AC80" s="88">
        <f t="shared" si="27"/>
        <v>617</v>
      </c>
      <c r="AD80" s="63"/>
      <c r="AE80" s="63">
        <f t="shared" si="28"/>
        <v>41</v>
      </c>
      <c r="AF80" s="63">
        <v>59</v>
      </c>
      <c r="AG80" s="63"/>
      <c r="AH80" s="64">
        <f t="shared" si="29"/>
        <v>658</v>
      </c>
      <c r="AI80" s="62"/>
      <c r="AJ80" s="62"/>
      <c r="AK80" s="62">
        <f t="shared" si="30"/>
        <v>658</v>
      </c>
      <c r="AL80" s="62">
        <f t="shared" si="31"/>
        <v>658</v>
      </c>
      <c r="AM80" s="67">
        <v>47640</v>
      </c>
      <c r="AN80" s="64">
        <f t="shared" si="24"/>
        <v>822</v>
      </c>
      <c r="AO80" s="77">
        <f t="shared" si="32"/>
        <v>46982</v>
      </c>
      <c r="AP80" s="77">
        <f t="shared" si="33"/>
        <v>46818</v>
      </c>
      <c r="AQ80" s="77">
        <f t="shared" si="25"/>
        <v>46818</v>
      </c>
      <c r="AR80" s="67">
        <f t="shared" si="34"/>
        <v>164</v>
      </c>
      <c r="AS80" s="68">
        <f>Table22[[#This Row],[GROSS WT]]-Table22[[#This Row],[Total Bag Discharged (Truck)]]</f>
        <v>46982</v>
      </c>
      <c r="AT80" s="67">
        <f t="shared" si="35"/>
        <v>46982</v>
      </c>
      <c r="AU80" s="69"/>
      <c r="AV80" s="73">
        <v>32</v>
      </c>
      <c r="AW80" s="73">
        <v>15</v>
      </c>
      <c r="AX80" s="73">
        <v>3</v>
      </c>
      <c r="AY80" s="71">
        <f t="shared" si="36"/>
        <v>50</v>
      </c>
      <c r="AZ80" s="70">
        <v>239</v>
      </c>
      <c r="BA80" s="73">
        <v>9</v>
      </c>
      <c r="BB80" s="73">
        <v>14</v>
      </c>
      <c r="BC80" s="63">
        <f t="shared" si="41"/>
        <v>262</v>
      </c>
      <c r="BD80" s="72">
        <f>SUM(Table22[[#This Row],[Good Kernel (gm)]]+(Table22[[#This Row],[Immature (gm)]]+Table22[[#This Row],[Spotted (gm)]])/2)*0.176</f>
        <v>44.088000000000001</v>
      </c>
      <c r="BE80" s="73">
        <v>44.18</v>
      </c>
      <c r="BF80" s="72">
        <f t="shared" si="42"/>
        <v>46.208939999999998</v>
      </c>
      <c r="BG80" s="72">
        <f t="shared" si="37"/>
        <v>52.381889999999999</v>
      </c>
      <c r="BH80" s="72">
        <f>SUM(Table22[[#This Row],[Good Kernel (gm)]:[Spotted (gm)]])/1000*100</f>
        <v>26.200000000000003</v>
      </c>
      <c r="BI80" s="72">
        <f t="shared" si="38"/>
        <v>29.7</v>
      </c>
      <c r="BJ80" s="73">
        <v>10.4</v>
      </c>
      <c r="BK80" s="73">
        <v>176</v>
      </c>
      <c r="BL80" s="73">
        <v>681</v>
      </c>
      <c r="BM80" s="73">
        <v>31</v>
      </c>
      <c r="BN80" s="73"/>
      <c r="BO80" s="73">
        <v>14</v>
      </c>
      <c r="BP80" s="73">
        <v>2</v>
      </c>
      <c r="BQ80" s="71">
        <f t="shared" si="39"/>
        <v>47</v>
      </c>
      <c r="BR80" s="73">
        <v>238</v>
      </c>
      <c r="BS80" s="73">
        <v>16</v>
      </c>
      <c r="BT80" s="73">
        <v>10</v>
      </c>
      <c r="BU80" s="63">
        <f t="shared" si="43"/>
        <v>264</v>
      </c>
      <c r="BV80" s="72">
        <f>SUM(Table22[[#This Row],[Good Kernel (G M)]]+(Table22[[#This Row],[Immature (g m)]]+Table22[[#This Row],[Spotted (g m)]])/2)*0.176</f>
        <v>44.175999999999995</v>
      </c>
      <c r="BW80" s="73">
        <v>44.26</v>
      </c>
      <c r="BX80" s="73"/>
      <c r="BY80" s="72">
        <f t="shared" si="44"/>
        <v>46.561680000000003</v>
      </c>
      <c r="BZ80" s="72">
        <f t="shared" si="45"/>
        <v>52.381889999999999</v>
      </c>
      <c r="CA80" s="72">
        <f>SUM(Table22[[#This Row],[Good Kernel (G M)]:[Spotted (g m)]])/1000*100</f>
        <v>26.400000000000002</v>
      </c>
      <c r="CB80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80" s="73">
        <v>10.4</v>
      </c>
      <c r="CD80" s="73">
        <v>185</v>
      </c>
      <c r="CE80" s="73">
        <v>684</v>
      </c>
      <c r="CH80" s="184">
        <f ca="1">TODAY()-Table22[[#This Row],[Discharge Date]]</f>
        <v>133</v>
      </c>
    </row>
    <row r="81" spans="1:86" x14ac:dyDescent="0.25">
      <c r="A81" s="50">
        <v>77</v>
      </c>
      <c r="B81" s="73" t="s">
        <v>95</v>
      </c>
      <c r="C81" s="73" t="s">
        <v>96</v>
      </c>
      <c r="D81" s="97">
        <v>77</v>
      </c>
      <c r="E81" s="98"/>
      <c r="F81" s="99">
        <v>678</v>
      </c>
      <c r="G81" s="97">
        <v>428</v>
      </c>
      <c r="H81" s="82">
        <v>46269</v>
      </c>
      <c r="I81" s="82"/>
      <c r="J81" s="82"/>
      <c r="K81" s="82" t="s">
        <v>634</v>
      </c>
      <c r="L81" s="54" t="s">
        <v>98</v>
      </c>
      <c r="M81" s="100">
        <v>87140</v>
      </c>
      <c r="N81" s="100" t="s">
        <v>672</v>
      </c>
      <c r="O81" s="73" t="s">
        <v>194</v>
      </c>
      <c r="P81" s="109">
        <v>46299</v>
      </c>
      <c r="Q81" s="101">
        <v>46122</v>
      </c>
      <c r="R81" s="102" t="s">
        <v>100</v>
      </c>
      <c r="S81" s="59" t="s">
        <v>101</v>
      </c>
      <c r="T81" s="102"/>
      <c r="U81" s="102"/>
      <c r="V81" s="51" t="s">
        <v>102</v>
      </c>
      <c r="W81" s="51">
        <v>687</v>
      </c>
      <c r="X81" s="51">
        <v>27</v>
      </c>
      <c r="Y81" s="51">
        <f t="shared" si="40"/>
        <v>714</v>
      </c>
      <c r="Z81" s="51"/>
      <c r="AA81" s="61">
        <f t="shared" si="26"/>
        <v>687</v>
      </c>
      <c r="AB81" s="51">
        <f t="shared" si="46"/>
        <v>0</v>
      </c>
      <c r="AC81" s="88">
        <f t="shared" si="27"/>
        <v>687</v>
      </c>
      <c r="AD81" s="63"/>
      <c r="AE81" s="63">
        <f t="shared" si="28"/>
        <v>27</v>
      </c>
      <c r="AF81" s="63">
        <v>54</v>
      </c>
      <c r="AG81" s="63"/>
      <c r="AH81" s="64">
        <f t="shared" si="29"/>
        <v>714</v>
      </c>
      <c r="AI81" s="62"/>
      <c r="AJ81" s="62"/>
      <c r="AK81" s="62">
        <f t="shared" si="30"/>
        <v>714</v>
      </c>
      <c r="AL81" s="62">
        <f t="shared" si="31"/>
        <v>714</v>
      </c>
      <c r="AM81" s="67">
        <v>54190</v>
      </c>
      <c r="AN81" s="64">
        <f t="shared" si="24"/>
        <v>822</v>
      </c>
      <c r="AO81" s="77">
        <f t="shared" si="32"/>
        <v>53476</v>
      </c>
      <c r="AP81" s="77">
        <f t="shared" si="33"/>
        <v>53368</v>
      </c>
      <c r="AQ81" s="77">
        <f t="shared" si="25"/>
        <v>53368</v>
      </c>
      <c r="AR81" s="67">
        <f t="shared" si="34"/>
        <v>108</v>
      </c>
      <c r="AS81" s="68">
        <f>Table22[[#This Row],[GROSS WT]]-Table22[[#This Row],[Total Bag Discharged (Truck)]]</f>
        <v>53476</v>
      </c>
      <c r="AT81" s="67">
        <f t="shared" si="35"/>
        <v>53476</v>
      </c>
      <c r="AU81" s="69"/>
      <c r="AV81" s="73">
        <v>28</v>
      </c>
      <c r="AW81" s="73">
        <v>21</v>
      </c>
      <c r="AX81" s="73">
        <v>3</v>
      </c>
      <c r="AY81" s="71">
        <f t="shared" si="36"/>
        <v>52</v>
      </c>
      <c r="AZ81" s="70">
        <v>240</v>
      </c>
      <c r="BA81" s="73">
        <v>11</v>
      </c>
      <c r="BB81" s="73">
        <v>12</v>
      </c>
      <c r="BC81" s="63">
        <f t="shared" si="41"/>
        <v>263</v>
      </c>
      <c r="BD81" s="72">
        <f>SUM(Table22[[#This Row],[Good Kernel (gm)]]+(Table22[[#This Row],[Immature (gm)]]+Table22[[#This Row],[Spotted (gm)]])/2)*0.176</f>
        <v>44.263999999999996</v>
      </c>
      <c r="BE81" s="73">
        <v>44.35</v>
      </c>
      <c r="BF81" s="72">
        <f t="shared" si="42"/>
        <v>46.385309999999997</v>
      </c>
      <c r="BG81" s="72">
        <f t="shared" si="37"/>
        <v>51.852780000000003</v>
      </c>
      <c r="BH81" s="72">
        <f>SUM(Table22[[#This Row],[Good Kernel (gm)]:[Spotted (gm)]])/1000*100</f>
        <v>26.3</v>
      </c>
      <c r="BI81" s="72">
        <f t="shared" si="38"/>
        <v>29.4</v>
      </c>
      <c r="BJ81" s="73">
        <v>10</v>
      </c>
      <c r="BK81" s="73">
        <v>182</v>
      </c>
      <c r="BL81" s="73">
        <v>680</v>
      </c>
      <c r="BM81" s="73">
        <v>24</v>
      </c>
      <c r="BN81" s="73"/>
      <c r="BO81" s="73">
        <v>19</v>
      </c>
      <c r="BP81" s="73">
        <v>3</v>
      </c>
      <c r="BQ81" s="71">
        <f t="shared" si="39"/>
        <v>46</v>
      </c>
      <c r="BR81" s="73">
        <v>238</v>
      </c>
      <c r="BS81" s="73">
        <v>17</v>
      </c>
      <c r="BT81" s="73">
        <v>12</v>
      </c>
      <c r="BU81" s="63">
        <f t="shared" si="43"/>
        <v>267</v>
      </c>
      <c r="BV81" s="72">
        <f>SUM(Table22[[#This Row],[Good Kernel (G M)]]+(Table22[[#This Row],[Immature (g m)]]+Table22[[#This Row],[Spotted (g m)]])/2)*0.176</f>
        <v>44.44</v>
      </c>
      <c r="BW81" s="73">
        <v>44.53</v>
      </c>
      <c r="BX81" s="73"/>
      <c r="BY81" s="72">
        <f t="shared" si="44"/>
        <v>47.090789999999998</v>
      </c>
      <c r="BZ81" s="72">
        <f t="shared" si="45"/>
        <v>51.852780000000003</v>
      </c>
      <c r="CA81" s="72">
        <f>SUM(Table22[[#This Row],[Good Kernel (G M)]:[Spotted (g m)]])/1000*100</f>
        <v>26.700000000000003</v>
      </c>
      <c r="CB81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81" s="73">
        <v>9.9</v>
      </c>
      <c r="CD81" s="73">
        <v>182</v>
      </c>
      <c r="CE81" s="73">
        <v>684</v>
      </c>
      <c r="CH81" s="184">
        <f ca="1">TODAY()-Table22[[#This Row],[Discharge Date]]</f>
        <v>133</v>
      </c>
    </row>
    <row r="82" spans="1:86" x14ac:dyDescent="0.25">
      <c r="A82" s="50">
        <v>78</v>
      </c>
      <c r="B82" s="73" t="s">
        <v>95</v>
      </c>
      <c r="C82" s="73" t="s">
        <v>96</v>
      </c>
      <c r="D82" s="97">
        <v>78</v>
      </c>
      <c r="E82" s="98"/>
      <c r="F82" s="99">
        <v>677</v>
      </c>
      <c r="G82" s="97">
        <v>427</v>
      </c>
      <c r="H82" s="82">
        <v>46269</v>
      </c>
      <c r="I82" s="82"/>
      <c r="J82" s="82"/>
      <c r="K82" s="82" t="s">
        <v>634</v>
      </c>
      <c r="L82" s="54" t="s">
        <v>98</v>
      </c>
      <c r="M82" s="100">
        <v>87142</v>
      </c>
      <c r="N82" s="100" t="s">
        <v>672</v>
      </c>
      <c r="O82" s="73" t="s">
        <v>169</v>
      </c>
      <c r="P82" s="109">
        <v>46269</v>
      </c>
      <c r="Q82" s="101">
        <v>46122</v>
      </c>
      <c r="R82" s="102" t="s">
        <v>100</v>
      </c>
      <c r="S82" s="59" t="s">
        <v>107</v>
      </c>
      <c r="T82" s="102"/>
      <c r="U82" s="102"/>
      <c r="V82" s="51" t="s">
        <v>108</v>
      </c>
      <c r="W82" s="51">
        <v>534</v>
      </c>
      <c r="X82" s="51">
        <v>47</v>
      </c>
      <c r="Y82" s="51">
        <f t="shared" si="40"/>
        <v>581</v>
      </c>
      <c r="Z82" s="51"/>
      <c r="AA82" s="61">
        <f t="shared" si="26"/>
        <v>534</v>
      </c>
      <c r="AB82" s="51">
        <f t="shared" si="46"/>
        <v>0</v>
      </c>
      <c r="AC82" s="88">
        <f t="shared" si="27"/>
        <v>534</v>
      </c>
      <c r="AD82" s="63"/>
      <c r="AE82" s="63">
        <f t="shared" si="28"/>
        <v>47</v>
      </c>
      <c r="AF82" s="63">
        <v>7</v>
      </c>
      <c r="AG82" s="63"/>
      <c r="AH82" s="64">
        <f t="shared" si="29"/>
        <v>581</v>
      </c>
      <c r="AI82" s="62"/>
      <c r="AJ82" s="62"/>
      <c r="AK82" s="62">
        <f t="shared" si="30"/>
        <v>581</v>
      </c>
      <c r="AL82" s="62">
        <f t="shared" si="31"/>
        <v>581</v>
      </c>
      <c r="AM82" s="67">
        <v>46770</v>
      </c>
      <c r="AN82" s="64">
        <f t="shared" si="24"/>
        <v>769</v>
      </c>
      <c r="AO82" s="77">
        <f t="shared" si="32"/>
        <v>46189</v>
      </c>
      <c r="AP82" s="77">
        <f t="shared" si="33"/>
        <v>46001</v>
      </c>
      <c r="AQ82" s="77">
        <f t="shared" si="25"/>
        <v>46001</v>
      </c>
      <c r="AR82" s="67">
        <f t="shared" si="34"/>
        <v>188</v>
      </c>
      <c r="AS82" s="68">
        <f>Table22[[#This Row],[GROSS WT]]-Table22[[#This Row],[Total Bag Discharged (Truck)]]</f>
        <v>46189</v>
      </c>
      <c r="AT82" s="67">
        <f t="shared" si="35"/>
        <v>46189</v>
      </c>
      <c r="AU82" s="69"/>
      <c r="AV82" s="73">
        <v>29</v>
      </c>
      <c r="AW82" s="73">
        <v>22</v>
      </c>
      <c r="AX82" s="73">
        <v>2</v>
      </c>
      <c r="AY82" s="71">
        <f t="shared" si="36"/>
        <v>53</v>
      </c>
      <c r="AZ82" s="70">
        <v>237</v>
      </c>
      <c r="BA82" s="73">
        <v>16</v>
      </c>
      <c r="BB82" s="73">
        <v>9</v>
      </c>
      <c r="BC82" s="63">
        <f t="shared" si="41"/>
        <v>262</v>
      </c>
      <c r="BD82" s="72">
        <f>SUM(Table22[[#This Row],[Good Kernel (gm)]]+(Table22[[#This Row],[Immature (gm)]]+Table22[[#This Row],[Spotted (gm)]])/2)*0.176</f>
        <v>43.911999999999999</v>
      </c>
      <c r="BE82" s="73">
        <v>44</v>
      </c>
      <c r="BF82" s="72">
        <f t="shared" si="42"/>
        <v>46.208939999999998</v>
      </c>
      <c r="BG82" s="72">
        <f t="shared" si="37"/>
        <v>51.676409999999997</v>
      </c>
      <c r="BH82" s="72">
        <f>SUM(Table22[[#This Row],[Good Kernel (gm)]:[Spotted (gm)]])/1000*100</f>
        <v>26.200000000000003</v>
      </c>
      <c r="BI82" s="72">
        <f t="shared" si="38"/>
        <v>29.299999999999997</v>
      </c>
      <c r="BJ82" s="73">
        <v>11</v>
      </c>
      <c r="BK82" s="73">
        <v>184</v>
      </c>
      <c r="BL82" s="73">
        <v>681</v>
      </c>
      <c r="BM82" s="73">
        <v>25</v>
      </c>
      <c r="BN82" s="73"/>
      <c r="BO82" s="73">
        <v>18</v>
      </c>
      <c r="BP82" s="73">
        <v>3</v>
      </c>
      <c r="BQ82" s="71">
        <f t="shared" si="39"/>
        <v>46</v>
      </c>
      <c r="BR82" s="73">
        <v>233</v>
      </c>
      <c r="BS82" s="73">
        <v>20</v>
      </c>
      <c r="BT82" s="73">
        <v>14</v>
      </c>
      <c r="BU82" s="63">
        <f t="shared" si="43"/>
        <v>267</v>
      </c>
      <c r="BV82" s="72">
        <f>SUM(Table22[[#This Row],[Good Kernel (G M)]]+(Table22[[#This Row],[Immature (g m)]]+Table22[[#This Row],[Spotted (g m)]])/2)*0.176</f>
        <v>44</v>
      </c>
      <c r="BW82" s="73">
        <v>44.09</v>
      </c>
      <c r="BX82" s="73"/>
      <c r="BY82" s="72">
        <f t="shared" si="44"/>
        <v>47.090789999999998</v>
      </c>
      <c r="BZ82" s="72">
        <f t="shared" si="45"/>
        <v>52.029150000000001</v>
      </c>
      <c r="CA82" s="72">
        <f>SUM(Table22[[#This Row],[Good Kernel (G M)]:[Spotted (g m)]])/1000*100</f>
        <v>26.700000000000003</v>
      </c>
      <c r="CB82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82" s="73">
        <v>11</v>
      </c>
      <c r="CD82" s="73">
        <v>184</v>
      </c>
      <c r="CE82" s="73">
        <v>681</v>
      </c>
      <c r="CH82" s="184">
        <f ca="1">TODAY()-Table22[[#This Row],[Discharge Date]]</f>
        <v>133</v>
      </c>
    </row>
    <row r="83" spans="1:86" x14ac:dyDescent="0.25">
      <c r="A83" s="50">
        <v>79</v>
      </c>
      <c r="B83" s="73" t="s">
        <v>95</v>
      </c>
      <c r="C83" s="73" t="s">
        <v>96</v>
      </c>
      <c r="D83" s="97">
        <v>79</v>
      </c>
      <c r="E83" s="98" t="s">
        <v>130</v>
      </c>
      <c r="F83" s="99">
        <v>679</v>
      </c>
      <c r="G83" s="97">
        <v>429</v>
      </c>
      <c r="H83" s="82">
        <v>46207</v>
      </c>
      <c r="I83" s="82"/>
      <c r="J83" s="82"/>
      <c r="K83" s="82" t="s">
        <v>634</v>
      </c>
      <c r="L83" s="54" t="s">
        <v>98</v>
      </c>
      <c r="M83" s="111">
        <v>37970</v>
      </c>
      <c r="N83" s="111" t="s">
        <v>681</v>
      </c>
      <c r="O83" s="73" t="s">
        <v>196</v>
      </c>
      <c r="P83" s="109">
        <v>46299</v>
      </c>
      <c r="Q83" s="101">
        <v>46122</v>
      </c>
      <c r="R83" s="102" t="s">
        <v>197</v>
      </c>
      <c r="S83" s="103" t="s">
        <v>549</v>
      </c>
      <c r="T83" s="102" t="s">
        <v>198</v>
      </c>
      <c r="U83" s="102" t="s">
        <v>438</v>
      </c>
      <c r="V83" s="73" t="s">
        <v>199</v>
      </c>
      <c r="W83" s="51">
        <v>464</v>
      </c>
      <c r="X83" s="51">
        <v>24</v>
      </c>
      <c r="Y83" s="51">
        <f t="shared" si="40"/>
        <v>488</v>
      </c>
      <c r="Z83" s="51"/>
      <c r="AA83" s="61">
        <f t="shared" si="26"/>
        <v>464</v>
      </c>
      <c r="AB83" s="51">
        <f t="shared" si="46"/>
        <v>0</v>
      </c>
      <c r="AC83" s="88">
        <f t="shared" si="27"/>
        <v>464</v>
      </c>
      <c r="AD83" s="63"/>
      <c r="AE83" s="63">
        <f t="shared" si="28"/>
        <v>24</v>
      </c>
      <c r="AF83" s="63">
        <v>54</v>
      </c>
      <c r="AG83" s="63"/>
      <c r="AH83" s="64">
        <f t="shared" si="29"/>
        <v>488</v>
      </c>
      <c r="AI83" s="62"/>
      <c r="AJ83" s="62"/>
      <c r="AK83" s="62">
        <f t="shared" si="30"/>
        <v>488</v>
      </c>
      <c r="AL83" s="62">
        <f t="shared" si="31"/>
        <v>488</v>
      </c>
      <c r="AM83" s="67">
        <v>42110</v>
      </c>
      <c r="AN83" s="64">
        <f t="shared" si="24"/>
        <v>584</v>
      </c>
      <c r="AO83" s="77">
        <f t="shared" si="32"/>
        <v>41622</v>
      </c>
      <c r="AP83" s="77">
        <f t="shared" si="33"/>
        <v>41526</v>
      </c>
      <c r="AQ83" s="77">
        <f t="shared" si="25"/>
        <v>41526</v>
      </c>
      <c r="AR83" s="67">
        <f t="shared" si="34"/>
        <v>96</v>
      </c>
      <c r="AS83" s="68">
        <f>Table22[[#This Row],[GROSS WT]]-Table22[[#This Row],[Total Bag Discharged (Truck)]]</f>
        <v>41622</v>
      </c>
      <c r="AT83" s="67">
        <f t="shared" si="35"/>
        <v>41622</v>
      </c>
      <c r="AU83" s="69"/>
      <c r="AV83" s="73">
        <v>23</v>
      </c>
      <c r="AW83" s="73">
        <v>16</v>
      </c>
      <c r="AX83" s="73">
        <v>2</v>
      </c>
      <c r="AY83" s="71">
        <f t="shared" si="36"/>
        <v>41</v>
      </c>
      <c r="AZ83" s="70">
        <v>229</v>
      </c>
      <c r="BA83" s="73">
        <v>20</v>
      </c>
      <c r="BB83" s="73">
        <v>14</v>
      </c>
      <c r="BC83" s="63">
        <f t="shared" si="41"/>
        <v>263</v>
      </c>
      <c r="BD83" s="72">
        <f>SUM(Table22[[#This Row],[Good Kernel (gm)]]+(Table22[[#This Row],[Immature (gm)]]+Table22[[#This Row],[Spotted (gm)]])/2)*0.176</f>
        <v>43.295999999999999</v>
      </c>
      <c r="BE83" s="73">
        <v>43.38</v>
      </c>
      <c r="BF83" s="72">
        <f t="shared" si="42"/>
        <v>46.385309999999997</v>
      </c>
      <c r="BG83" s="72">
        <f t="shared" si="37"/>
        <v>50.794559999999997</v>
      </c>
      <c r="BH83" s="72">
        <f>SUM(Table22[[#This Row],[Good Kernel (gm)]:[Spotted (gm)]])/1000*100</f>
        <v>26.3</v>
      </c>
      <c r="BI83" s="72">
        <f t="shared" si="38"/>
        <v>28.799999999999997</v>
      </c>
      <c r="BJ83" s="112">
        <v>13.7</v>
      </c>
      <c r="BK83" s="73">
        <v>166</v>
      </c>
      <c r="BL83" s="73">
        <v>689</v>
      </c>
      <c r="BM83" s="73">
        <v>28</v>
      </c>
      <c r="BN83" s="73"/>
      <c r="BO83" s="73">
        <v>26</v>
      </c>
      <c r="BP83" s="73">
        <v>0</v>
      </c>
      <c r="BQ83" s="71">
        <f t="shared" si="39"/>
        <v>54</v>
      </c>
      <c r="BR83" s="73">
        <v>233</v>
      </c>
      <c r="BS83" s="73">
        <v>18</v>
      </c>
      <c r="BT83" s="73">
        <v>10</v>
      </c>
      <c r="BU83" s="63">
        <f t="shared" si="43"/>
        <v>261</v>
      </c>
      <c r="BV83" s="72">
        <f>SUM(Table22[[#This Row],[Good Kernel (G M)]]+(Table22[[#This Row],[Immature (g m)]]+Table22[[#This Row],[Spotted (g m)]])/2)*0.176</f>
        <v>43.471999999999994</v>
      </c>
      <c r="BW83" s="73">
        <v>43.56</v>
      </c>
      <c r="BX83" s="73"/>
      <c r="BY83" s="72">
        <f t="shared" si="44"/>
        <v>46.03257</v>
      </c>
      <c r="BZ83" s="72">
        <f t="shared" si="45"/>
        <v>50.970930000000003</v>
      </c>
      <c r="CA83" s="72">
        <f>SUM(Table22[[#This Row],[Good Kernel (G M)]:[Spotted (g m)]])/1000*100</f>
        <v>26.1</v>
      </c>
      <c r="CB83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83" s="73">
        <v>13.7</v>
      </c>
      <c r="CD83" s="73">
        <v>162</v>
      </c>
      <c r="CE83" s="73">
        <v>679</v>
      </c>
      <c r="CH83" s="184">
        <f ca="1">TODAY()-Table22[[#This Row],[Discharge Date]]</f>
        <v>133</v>
      </c>
    </row>
    <row r="84" spans="1:86" s="129" customFormat="1" x14ac:dyDescent="0.25">
      <c r="A84" s="50">
        <v>80</v>
      </c>
      <c r="B84" s="113" t="s">
        <v>95</v>
      </c>
      <c r="C84" s="113" t="s">
        <v>96</v>
      </c>
      <c r="D84" s="114">
        <v>80</v>
      </c>
      <c r="E84" s="115"/>
      <c r="F84" s="116">
        <v>680</v>
      </c>
      <c r="G84" s="114">
        <v>430</v>
      </c>
      <c r="H84" s="117">
        <v>46269</v>
      </c>
      <c r="I84" s="117"/>
      <c r="J84" s="117"/>
      <c r="K84" s="117" t="s">
        <v>634</v>
      </c>
      <c r="L84" s="54" t="s">
        <v>98</v>
      </c>
      <c r="M84" s="118">
        <v>33286</v>
      </c>
      <c r="N84" s="118" t="s">
        <v>684</v>
      </c>
      <c r="O84" s="113" t="s">
        <v>173</v>
      </c>
      <c r="P84" s="119">
        <v>46299</v>
      </c>
      <c r="Q84" s="101">
        <v>46122</v>
      </c>
      <c r="R84" s="120" t="s">
        <v>200</v>
      </c>
      <c r="S84" s="121" t="s">
        <v>201</v>
      </c>
      <c r="T84" s="120"/>
      <c r="U84" s="120"/>
      <c r="V84" s="113" t="s">
        <v>202</v>
      </c>
      <c r="W84" s="120">
        <v>705</v>
      </c>
      <c r="X84" s="120">
        <v>23</v>
      </c>
      <c r="Y84" s="120">
        <f t="shared" si="40"/>
        <v>728</v>
      </c>
      <c r="Z84" s="120"/>
      <c r="AA84" s="122">
        <f t="shared" si="26"/>
        <v>705</v>
      </c>
      <c r="AB84" s="120">
        <f t="shared" si="46"/>
        <v>0</v>
      </c>
      <c r="AC84" s="123">
        <f t="shared" si="27"/>
        <v>705</v>
      </c>
      <c r="AD84" s="63"/>
      <c r="AE84" s="63">
        <f t="shared" si="28"/>
        <v>23</v>
      </c>
      <c r="AF84" s="63">
        <v>96</v>
      </c>
      <c r="AG84" s="63"/>
      <c r="AH84" s="124">
        <f t="shared" si="29"/>
        <v>728</v>
      </c>
      <c r="AI84" s="62"/>
      <c r="AJ84" s="62"/>
      <c r="AK84" s="62">
        <f t="shared" si="30"/>
        <v>728</v>
      </c>
      <c r="AL84" s="62">
        <f t="shared" si="31"/>
        <v>728</v>
      </c>
      <c r="AM84" s="125">
        <v>51920</v>
      </c>
      <c r="AN84" s="124">
        <f t="shared" si="24"/>
        <v>820</v>
      </c>
      <c r="AO84" s="95">
        <f t="shared" si="32"/>
        <v>51192</v>
      </c>
      <c r="AP84" s="95">
        <f t="shared" si="33"/>
        <v>51100</v>
      </c>
      <c r="AQ84" s="95">
        <f t="shared" si="25"/>
        <v>51100</v>
      </c>
      <c r="AR84" s="125">
        <f t="shared" si="34"/>
        <v>92</v>
      </c>
      <c r="AS84" s="126">
        <f>Table22[[#This Row],[GROSS WT]]-Table22[[#This Row],[Total Bag Discharged (Truck)]]</f>
        <v>51192</v>
      </c>
      <c r="AT84" s="125">
        <f t="shared" si="35"/>
        <v>51192</v>
      </c>
      <c r="AU84" s="127"/>
      <c r="AV84" s="113">
        <v>23</v>
      </c>
      <c r="AW84" s="113">
        <v>26</v>
      </c>
      <c r="AX84" s="113">
        <v>3</v>
      </c>
      <c r="AY84" s="71">
        <f t="shared" si="36"/>
        <v>52</v>
      </c>
      <c r="AZ84" s="70">
        <v>232</v>
      </c>
      <c r="BA84" s="113">
        <v>18</v>
      </c>
      <c r="BB84" s="113">
        <v>12</v>
      </c>
      <c r="BC84" s="63">
        <f t="shared" si="41"/>
        <v>262</v>
      </c>
      <c r="BD84" s="72">
        <f>SUM(Table22[[#This Row],[Good Kernel (gm)]]+(Table22[[#This Row],[Immature (gm)]]+Table22[[#This Row],[Spotted (gm)]])/2)*0.176</f>
        <v>43.471999999999994</v>
      </c>
      <c r="BE84" s="113">
        <v>43.56</v>
      </c>
      <c r="BF84" s="72">
        <f t="shared" si="42"/>
        <v>46.208939999999998</v>
      </c>
      <c r="BG84" s="72">
        <f t="shared" si="37"/>
        <v>50.794559999999997</v>
      </c>
      <c r="BH84" s="72">
        <f>SUM(Table22[[#This Row],[Good Kernel (gm)]:[Spotted (gm)]])/1000*100</f>
        <v>26.200000000000003</v>
      </c>
      <c r="BI84" s="72">
        <f t="shared" si="38"/>
        <v>28.799999999999997</v>
      </c>
      <c r="BJ84" s="113">
        <v>12.3</v>
      </c>
      <c r="BK84" s="113">
        <v>180</v>
      </c>
      <c r="BL84" s="113">
        <v>681</v>
      </c>
      <c r="BM84" s="113">
        <v>24</v>
      </c>
      <c r="BN84" s="113"/>
      <c r="BO84" s="113">
        <v>21</v>
      </c>
      <c r="BP84" s="113">
        <v>2</v>
      </c>
      <c r="BQ84" s="71">
        <f t="shared" si="39"/>
        <v>47</v>
      </c>
      <c r="BR84" s="113">
        <v>230</v>
      </c>
      <c r="BS84" s="113">
        <v>22</v>
      </c>
      <c r="BT84" s="113">
        <v>14</v>
      </c>
      <c r="BU84" s="63">
        <f t="shared" si="43"/>
        <v>266</v>
      </c>
      <c r="BV84" s="72">
        <f>SUM(Table22[[#This Row],[Good Kernel (G M)]]+(Table22[[#This Row],[Immature (g m)]]+Table22[[#This Row],[Spotted (g m)]])/2)*0.176</f>
        <v>43.647999999999996</v>
      </c>
      <c r="BW84" s="113">
        <v>43.73</v>
      </c>
      <c r="BX84" s="113"/>
      <c r="BY84" s="72">
        <f t="shared" si="44"/>
        <v>46.91442</v>
      </c>
      <c r="BZ84" s="72">
        <f t="shared" si="45"/>
        <v>51.500039999999998</v>
      </c>
      <c r="CA84" s="72">
        <f>SUM(Table22[[#This Row],[Good Kernel (G M)]:[Spotted (g m)]])/1000*100</f>
        <v>26.6</v>
      </c>
      <c r="CB84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84" s="113">
        <v>12.2</v>
      </c>
      <c r="CD84" s="113">
        <v>183</v>
      </c>
      <c r="CE84" s="113">
        <v>682</v>
      </c>
      <c r="CF84" s="128"/>
      <c r="CG84" s="128"/>
      <c r="CH84" s="184">
        <f ca="1">TODAY()-Table22[[#This Row],[Discharge Date]]</f>
        <v>133</v>
      </c>
    </row>
    <row r="85" spans="1:86" x14ac:dyDescent="0.25">
      <c r="A85" s="50">
        <v>81</v>
      </c>
      <c r="B85" s="73" t="s">
        <v>95</v>
      </c>
      <c r="C85" s="73" t="s">
        <v>96</v>
      </c>
      <c r="D85" s="97">
        <v>81</v>
      </c>
      <c r="E85" s="98"/>
      <c r="F85" s="99">
        <v>681</v>
      </c>
      <c r="G85" s="97">
        <v>431</v>
      </c>
      <c r="H85" s="117">
        <v>46269</v>
      </c>
      <c r="I85" s="117"/>
      <c r="J85" s="117"/>
      <c r="K85" s="117" t="s">
        <v>634</v>
      </c>
      <c r="L85" s="54" t="s">
        <v>98</v>
      </c>
      <c r="M85" s="100">
        <v>23302</v>
      </c>
      <c r="N85" s="100" t="s">
        <v>672</v>
      </c>
      <c r="O85" s="73" t="s">
        <v>203</v>
      </c>
      <c r="P85" s="109">
        <v>46330</v>
      </c>
      <c r="Q85" s="101">
        <v>46123</v>
      </c>
      <c r="R85" s="102" t="s">
        <v>204</v>
      </c>
      <c r="S85" s="103" t="s">
        <v>205</v>
      </c>
      <c r="T85" s="102"/>
      <c r="U85" s="102"/>
      <c r="V85" s="73" t="s">
        <v>206</v>
      </c>
      <c r="W85" s="51">
        <v>465</v>
      </c>
      <c r="X85" s="51">
        <v>24</v>
      </c>
      <c r="Y85" s="51">
        <f t="shared" si="40"/>
        <v>489</v>
      </c>
      <c r="Z85" s="51"/>
      <c r="AA85" s="61">
        <f t="shared" si="26"/>
        <v>465</v>
      </c>
      <c r="AB85" s="51">
        <f t="shared" si="46"/>
        <v>0</v>
      </c>
      <c r="AC85" s="88">
        <f t="shared" si="27"/>
        <v>465</v>
      </c>
      <c r="AD85" s="63"/>
      <c r="AE85" s="63">
        <f t="shared" si="28"/>
        <v>24</v>
      </c>
      <c r="AF85" s="63">
        <v>40</v>
      </c>
      <c r="AG85" s="63"/>
      <c r="AH85" s="64">
        <f t="shared" si="29"/>
        <v>489</v>
      </c>
      <c r="AI85" s="62"/>
      <c r="AJ85" s="62"/>
      <c r="AK85" s="62">
        <f t="shared" si="30"/>
        <v>489</v>
      </c>
      <c r="AL85" s="62">
        <f t="shared" si="31"/>
        <v>489</v>
      </c>
      <c r="AM85" s="67">
        <v>40430</v>
      </c>
      <c r="AN85" s="124">
        <f t="shared" si="24"/>
        <v>585</v>
      </c>
      <c r="AO85" s="77">
        <f t="shared" si="32"/>
        <v>39941</v>
      </c>
      <c r="AP85" s="77">
        <f t="shared" si="33"/>
        <v>39845</v>
      </c>
      <c r="AQ85" s="77">
        <f t="shared" si="25"/>
        <v>39845</v>
      </c>
      <c r="AR85" s="67">
        <f t="shared" si="34"/>
        <v>96</v>
      </c>
      <c r="AS85" s="68">
        <f>Table22[[#This Row],[GROSS WT]]-Table22[[#This Row],[Total Bag Discharged (Truck)]]</f>
        <v>39941</v>
      </c>
      <c r="AT85" s="67">
        <f t="shared" si="35"/>
        <v>39941</v>
      </c>
      <c r="AU85" s="69"/>
      <c r="AV85" s="73">
        <v>19</v>
      </c>
      <c r="AW85" s="73">
        <v>27</v>
      </c>
      <c r="AX85" s="73">
        <v>3</v>
      </c>
      <c r="AY85" s="71">
        <f t="shared" si="36"/>
        <v>49</v>
      </c>
      <c r="AZ85" s="70">
        <v>235</v>
      </c>
      <c r="BA85" s="73">
        <v>20</v>
      </c>
      <c r="BB85" s="73">
        <v>14</v>
      </c>
      <c r="BC85" s="63">
        <f t="shared" si="41"/>
        <v>269</v>
      </c>
      <c r="BD85" s="72">
        <f>SUM(Table22[[#This Row],[Good Kernel (gm)]]+(Table22[[#This Row],[Immature (gm)]]+Table22[[#This Row],[Spotted (gm)]])/2)*0.176</f>
        <v>44.351999999999997</v>
      </c>
      <c r="BE85" s="73">
        <v>44.44</v>
      </c>
      <c r="BF85" s="72">
        <f t="shared" si="42"/>
        <v>47.443530000000003</v>
      </c>
      <c r="BG85" s="72">
        <f t="shared" si="37"/>
        <v>51.32367</v>
      </c>
      <c r="BH85" s="72">
        <f>SUM(Table22[[#This Row],[Good Kernel (gm)]:[Spotted (gm)]])/1000*100</f>
        <v>26.900000000000002</v>
      </c>
      <c r="BI85" s="72">
        <f t="shared" si="38"/>
        <v>29.099999999999998</v>
      </c>
      <c r="BJ85" s="73">
        <v>9.1</v>
      </c>
      <c r="BK85" s="73">
        <v>178</v>
      </c>
      <c r="BL85" s="73">
        <v>678</v>
      </c>
      <c r="BM85" s="73">
        <v>22</v>
      </c>
      <c r="BN85" s="73"/>
      <c r="BO85" s="73">
        <v>26</v>
      </c>
      <c r="BP85" s="73">
        <v>3</v>
      </c>
      <c r="BQ85" s="71">
        <f t="shared" si="39"/>
        <v>51</v>
      </c>
      <c r="BR85" s="73">
        <v>238</v>
      </c>
      <c r="BS85" s="73">
        <v>16</v>
      </c>
      <c r="BT85" s="73">
        <v>10</v>
      </c>
      <c r="BU85" s="63">
        <f t="shared" si="43"/>
        <v>264</v>
      </c>
      <c r="BV85" s="72">
        <f>SUM(Table22[[#This Row],[Good Kernel (G M)]]+(Table22[[#This Row],[Immature (g m)]]+Table22[[#This Row],[Spotted (g m)]])/2)*0.176</f>
        <v>44.175999999999995</v>
      </c>
      <c r="BW85" s="73">
        <v>44.26</v>
      </c>
      <c r="BX85" s="73"/>
      <c r="BY85" s="72">
        <f t="shared" si="44"/>
        <v>46.561680000000003</v>
      </c>
      <c r="BZ85" s="72">
        <f t="shared" si="45"/>
        <v>50.970930000000003</v>
      </c>
      <c r="CA85" s="72">
        <f>SUM(Table22[[#This Row],[Good Kernel (G M)]:[Spotted (g m)]])/1000*100</f>
        <v>26.400000000000002</v>
      </c>
      <c r="CB85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85" s="73">
        <v>9.1999999999999993</v>
      </c>
      <c r="CD85" s="73">
        <v>170</v>
      </c>
      <c r="CE85" s="73">
        <v>679</v>
      </c>
      <c r="CH85" s="184">
        <f ca="1">TODAY()-Table22[[#This Row],[Discharge Date]]</f>
        <v>132</v>
      </c>
    </row>
    <row r="86" spans="1:86" x14ac:dyDescent="0.25">
      <c r="A86" s="50">
        <v>82</v>
      </c>
      <c r="B86" s="73" t="s">
        <v>95</v>
      </c>
      <c r="C86" s="73" t="s">
        <v>96</v>
      </c>
      <c r="D86" s="97">
        <v>82</v>
      </c>
      <c r="E86" s="98"/>
      <c r="F86" s="99">
        <v>682</v>
      </c>
      <c r="G86" s="97"/>
      <c r="H86" s="82"/>
      <c r="I86" s="82"/>
      <c r="J86" s="82"/>
      <c r="K86" s="82" t="s">
        <v>634</v>
      </c>
      <c r="L86" s="54" t="s">
        <v>98</v>
      </c>
      <c r="M86" s="100">
        <v>37636</v>
      </c>
      <c r="N86" s="100" t="s">
        <v>679</v>
      </c>
      <c r="O86" s="73" t="s">
        <v>207</v>
      </c>
      <c r="P86" s="109">
        <v>46330</v>
      </c>
      <c r="Q86" s="101">
        <v>46124</v>
      </c>
      <c r="R86" s="102" t="s">
        <v>208</v>
      </c>
      <c r="S86" s="103" t="s">
        <v>209</v>
      </c>
      <c r="T86" s="102" t="s">
        <v>535</v>
      </c>
      <c r="U86" s="102"/>
      <c r="V86" s="73" t="s">
        <v>165</v>
      </c>
      <c r="W86" s="51">
        <v>640</v>
      </c>
      <c r="X86" s="51">
        <v>31</v>
      </c>
      <c r="Y86" s="51">
        <f t="shared" si="40"/>
        <v>671</v>
      </c>
      <c r="Z86" s="51"/>
      <c r="AA86" s="61">
        <f t="shared" si="26"/>
        <v>640</v>
      </c>
      <c r="AB86" s="51">
        <f t="shared" si="46"/>
        <v>0</v>
      </c>
      <c r="AC86" s="88">
        <f t="shared" si="27"/>
        <v>640</v>
      </c>
      <c r="AD86" s="63"/>
      <c r="AE86" s="63">
        <f t="shared" si="28"/>
        <v>31</v>
      </c>
      <c r="AF86" s="63">
        <v>25</v>
      </c>
      <c r="AG86" s="63"/>
      <c r="AH86" s="64">
        <f t="shared" si="29"/>
        <v>671</v>
      </c>
      <c r="AI86" s="62"/>
      <c r="AJ86" s="62"/>
      <c r="AK86" s="62">
        <f t="shared" si="30"/>
        <v>671</v>
      </c>
      <c r="AL86" s="62">
        <f t="shared" si="31"/>
        <v>671</v>
      </c>
      <c r="AM86" s="67">
        <v>52760</v>
      </c>
      <c r="AN86" s="124">
        <f t="shared" si="24"/>
        <v>795</v>
      </c>
      <c r="AO86" s="77">
        <f t="shared" si="32"/>
        <v>52089</v>
      </c>
      <c r="AP86" s="77">
        <f t="shared" si="33"/>
        <v>51965</v>
      </c>
      <c r="AQ86" s="77">
        <f t="shared" si="25"/>
        <v>51965</v>
      </c>
      <c r="AR86" s="67">
        <f t="shared" si="34"/>
        <v>124</v>
      </c>
      <c r="AS86" s="68">
        <f>Table22[[#This Row],[GROSS WT]]-Table22[[#This Row],[Total Bag Discharged (Truck)]]</f>
        <v>52089</v>
      </c>
      <c r="AT86" s="67">
        <f t="shared" si="35"/>
        <v>52089</v>
      </c>
      <c r="AU86" s="69"/>
      <c r="AV86" s="73">
        <v>36</v>
      </c>
      <c r="AW86" s="73">
        <v>18</v>
      </c>
      <c r="AX86" s="73">
        <v>4</v>
      </c>
      <c r="AY86" s="71">
        <f t="shared" si="36"/>
        <v>58</v>
      </c>
      <c r="AZ86" s="70">
        <v>217</v>
      </c>
      <c r="BA86" s="73">
        <v>28</v>
      </c>
      <c r="BB86" s="73">
        <v>8</v>
      </c>
      <c r="BC86" s="63">
        <f t="shared" si="41"/>
        <v>253</v>
      </c>
      <c r="BD86" s="72">
        <f>SUM(Table22[[#This Row],[Good Kernel (gm)]]+(Table22[[#This Row],[Immature (gm)]]+Table22[[#This Row],[Spotted (gm)]])/2)*0.176</f>
        <v>41.36</v>
      </c>
      <c r="BE86" s="73">
        <v>41.44</v>
      </c>
      <c r="BF86" s="72">
        <f t="shared" si="42"/>
        <v>44.621609999999997</v>
      </c>
      <c r="BG86" s="72">
        <f t="shared" si="37"/>
        <v>51.676409999999997</v>
      </c>
      <c r="BH86" s="72">
        <f>SUM(Table22[[#This Row],[Good Kernel (gm)]:[Spotted (gm)]])/1000*100</f>
        <v>25.3</v>
      </c>
      <c r="BI86" s="72">
        <f t="shared" si="38"/>
        <v>29.299999999999997</v>
      </c>
      <c r="BJ86" s="73">
        <v>12.2</v>
      </c>
      <c r="BK86" s="73">
        <v>184</v>
      </c>
      <c r="BL86" s="73">
        <v>684</v>
      </c>
      <c r="BM86" s="73">
        <v>36</v>
      </c>
      <c r="BN86" s="73"/>
      <c r="BO86" s="73">
        <v>16</v>
      </c>
      <c r="BP86" s="73">
        <v>0</v>
      </c>
      <c r="BQ86" s="71">
        <f t="shared" si="39"/>
        <v>52</v>
      </c>
      <c r="BR86" s="73">
        <v>228</v>
      </c>
      <c r="BS86" s="73">
        <v>14</v>
      </c>
      <c r="BT86" s="73">
        <v>8</v>
      </c>
      <c r="BU86" s="63">
        <f t="shared" si="43"/>
        <v>250</v>
      </c>
      <c r="BV86" s="72">
        <f>SUM(Table22[[#This Row],[Good Kernel (G M)]]+(Table22[[#This Row],[Immature (g m)]]+Table22[[#This Row],[Spotted (g m)]])/2)*0.176</f>
        <v>42.064</v>
      </c>
      <c r="BW86" s="73">
        <v>42.15</v>
      </c>
      <c r="BX86" s="73"/>
      <c r="BY86" s="72">
        <f t="shared" si="44"/>
        <v>44.092500000000001</v>
      </c>
      <c r="BZ86" s="72">
        <f t="shared" si="45"/>
        <v>50.44182</v>
      </c>
      <c r="CA86" s="72">
        <f>SUM(Table22[[#This Row],[Good Kernel (G M)]:[Spotted (g m)]])/1000*100</f>
        <v>25</v>
      </c>
      <c r="CB86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86" s="73">
        <v>11.6</v>
      </c>
      <c r="CD86" s="73">
        <v>184</v>
      </c>
      <c r="CE86" s="73">
        <v>693</v>
      </c>
      <c r="CH86" s="184">
        <f ca="1">TODAY()-Table22[[#This Row],[Discharge Date]]</f>
        <v>131</v>
      </c>
    </row>
    <row r="87" spans="1:86" x14ac:dyDescent="0.25">
      <c r="A87" s="50">
        <v>83</v>
      </c>
      <c r="B87" s="73" t="s">
        <v>95</v>
      </c>
      <c r="C87" s="73" t="s">
        <v>96</v>
      </c>
      <c r="D87" s="114">
        <v>83</v>
      </c>
      <c r="E87" s="98"/>
      <c r="F87" s="99">
        <v>684</v>
      </c>
      <c r="G87" s="97"/>
      <c r="H87" s="82"/>
      <c r="I87" s="82"/>
      <c r="J87" s="82"/>
      <c r="K87" s="82" t="s">
        <v>634</v>
      </c>
      <c r="L87" s="54" t="s">
        <v>98</v>
      </c>
      <c r="M87" s="100">
        <v>87144</v>
      </c>
      <c r="N87" s="100" t="s">
        <v>685</v>
      </c>
      <c r="O87" s="73" t="s">
        <v>210</v>
      </c>
      <c r="P87" s="109">
        <v>46330</v>
      </c>
      <c r="Q87" s="101">
        <v>46125</v>
      </c>
      <c r="R87" s="102" t="s">
        <v>100</v>
      </c>
      <c r="S87" s="59" t="s">
        <v>107</v>
      </c>
      <c r="T87" s="102"/>
      <c r="U87" s="102"/>
      <c r="V87" s="51" t="s">
        <v>108</v>
      </c>
      <c r="W87" s="51">
        <v>578</v>
      </c>
      <c r="X87" s="51">
        <v>41</v>
      </c>
      <c r="Y87" s="51">
        <f t="shared" si="40"/>
        <v>619</v>
      </c>
      <c r="Z87" s="51"/>
      <c r="AA87" s="61">
        <f t="shared" si="26"/>
        <v>578</v>
      </c>
      <c r="AB87" s="51">
        <f t="shared" si="46"/>
        <v>0</v>
      </c>
      <c r="AC87" s="88">
        <f t="shared" si="27"/>
        <v>578</v>
      </c>
      <c r="AD87" s="63"/>
      <c r="AE87" s="63">
        <f t="shared" si="28"/>
        <v>41</v>
      </c>
      <c r="AF87" s="63">
        <v>40</v>
      </c>
      <c r="AG87" s="63"/>
      <c r="AH87" s="64">
        <f t="shared" si="29"/>
        <v>619</v>
      </c>
      <c r="AI87" s="62"/>
      <c r="AJ87" s="62"/>
      <c r="AK87" s="62">
        <f t="shared" si="30"/>
        <v>619</v>
      </c>
      <c r="AL87" s="62">
        <f t="shared" si="31"/>
        <v>619</v>
      </c>
      <c r="AM87" s="67">
        <v>49330</v>
      </c>
      <c r="AN87" s="124">
        <f t="shared" ref="AN87:AN150" si="47">(AD87*40)+(AE87*4)+(AG87*0)+(AH87*1)</f>
        <v>783</v>
      </c>
      <c r="AO87" s="77">
        <f t="shared" si="32"/>
        <v>48711</v>
      </c>
      <c r="AP87" s="77">
        <f t="shared" si="33"/>
        <v>48547</v>
      </c>
      <c r="AQ87" s="77">
        <f t="shared" ref="AQ87:AQ149" si="48">+AO87-AE87*4</f>
        <v>48547</v>
      </c>
      <c r="AR87" s="67">
        <f t="shared" si="34"/>
        <v>164</v>
      </c>
      <c r="AS87" s="68">
        <f>Table22[[#This Row],[GROSS WT]]-Table22[[#This Row],[Total Bag Discharged (Truck)]]</f>
        <v>48711</v>
      </c>
      <c r="AT87" s="67">
        <f t="shared" si="35"/>
        <v>48711</v>
      </c>
      <c r="AU87" s="69"/>
      <c r="AV87" s="73">
        <v>26</v>
      </c>
      <c r="AW87" s="73">
        <v>6</v>
      </c>
      <c r="AX87" s="73">
        <v>0</v>
      </c>
      <c r="AY87" s="71">
        <f t="shared" si="36"/>
        <v>32</v>
      </c>
      <c r="AZ87" s="70">
        <v>238</v>
      </c>
      <c r="BA87" s="73">
        <v>21</v>
      </c>
      <c r="BB87" s="73">
        <v>9</v>
      </c>
      <c r="BC87" s="63">
        <f t="shared" si="41"/>
        <v>268</v>
      </c>
      <c r="BD87" s="72">
        <f>SUM(Table22[[#This Row],[Good Kernel (gm)]]+(Table22[[#This Row],[Immature (gm)]]+Table22[[#This Row],[Spotted (gm)]])/2)*0.176</f>
        <v>44.527999999999999</v>
      </c>
      <c r="BE87" s="73">
        <v>44.62</v>
      </c>
      <c r="BF87" s="72">
        <f t="shared" si="42"/>
        <v>47.267159999999997</v>
      </c>
      <c r="BG87" s="72">
        <f t="shared" si="37"/>
        <v>51.852780000000003</v>
      </c>
      <c r="BH87" s="72">
        <f>SUM(Table22[[#This Row],[Good Kernel (gm)]:[Spotted (gm)]])/1000*100</f>
        <v>26.8</v>
      </c>
      <c r="BI87" s="72">
        <f t="shared" si="38"/>
        <v>29.4</v>
      </c>
      <c r="BJ87" s="73">
        <v>11.6</v>
      </c>
      <c r="BK87" s="73">
        <v>186</v>
      </c>
      <c r="BL87" s="73">
        <v>694</v>
      </c>
      <c r="BM87" s="73">
        <v>21</v>
      </c>
      <c r="BN87" s="73"/>
      <c r="BO87" s="73">
        <v>15</v>
      </c>
      <c r="BP87" s="73">
        <v>0</v>
      </c>
      <c r="BQ87" s="71">
        <f t="shared" si="39"/>
        <v>36</v>
      </c>
      <c r="BR87" s="73">
        <v>238</v>
      </c>
      <c r="BS87" s="73">
        <v>20</v>
      </c>
      <c r="BT87" s="73">
        <v>14</v>
      </c>
      <c r="BU87" s="63">
        <f t="shared" si="43"/>
        <v>272</v>
      </c>
      <c r="BV87" s="72">
        <f>SUM(Table22[[#This Row],[Good Kernel (G M)]]+(Table22[[#This Row],[Immature (g m)]]+Table22[[#This Row],[Spotted (g m)]])/2)*0.176</f>
        <v>44.879999999999995</v>
      </c>
      <c r="BW87" s="73">
        <v>44.97</v>
      </c>
      <c r="BX87" s="73"/>
      <c r="BY87" s="72">
        <f t="shared" si="44"/>
        <v>47.972639999999998</v>
      </c>
      <c r="BZ87" s="72">
        <f t="shared" si="45"/>
        <v>51.676409999999997</v>
      </c>
      <c r="CA87" s="72">
        <f>SUM(Table22[[#This Row],[Good Kernel (G M)]:[Spotted (g m)]])/1000*100</f>
        <v>27.200000000000003</v>
      </c>
      <c r="CB87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87" s="73">
        <v>11.2</v>
      </c>
      <c r="CD87" s="73">
        <v>183</v>
      </c>
      <c r="CE87" s="73">
        <v>686</v>
      </c>
      <c r="CH87" s="184">
        <f ca="1">TODAY()-Table22[[#This Row],[Discharge Date]]</f>
        <v>130</v>
      </c>
    </row>
    <row r="88" spans="1:86" x14ac:dyDescent="0.25">
      <c r="A88" s="50">
        <v>84</v>
      </c>
      <c r="B88" s="73" t="s">
        <v>95</v>
      </c>
      <c r="C88" s="73" t="s">
        <v>96</v>
      </c>
      <c r="D88" s="97">
        <v>84</v>
      </c>
      <c r="E88" s="98"/>
      <c r="F88" s="99">
        <v>686</v>
      </c>
      <c r="G88" s="97"/>
      <c r="H88" s="82"/>
      <c r="I88" s="82"/>
      <c r="J88" s="82"/>
      <c r="K88" s="82" t="s">
        <v>634</v>
      </c>
      <c r="L88" s="54" t="s">
        <v>98</v>
      </c>
      <c r="M88" s="105">
        <v>87143</v>
      </c>
      <c r="N88" s="105" t="s">
        <v>685</v>
      </c>
      <c r="O88" s="73" t="s">
        <v>211</v>
      </c>
      <c r="P88" s="109">
        <v>46330</v>
      </c>
      <c r="Q88" s="101">
        <v>46125</v>
      </c>
      <c r="R88" s="102" t="s">
        <v>100</v>
      </c>
      <c r="S88" s="59" t="s">
        <v>107</v>
      </c>
      <c r="T88" s="102"/>
      <c r="U88" s="102"/>
      <c r="V88" s="51" t="s">
        <v>108</v>
      </c>
      <c r="W88" s="51">
        <v>545</v>
      </c>
      <c r="X88" s="51">
        <v>24</v>
      </c>
      <c r="Y88" s="51">
        <f t="shared" si="40"/>
        <v>569</v>
      </c>
      <c r="Z88" s="51"/>
      <c r="AA88" s="61">
        <f t="shared" si="26"/>
        <v>545</v>
      </c>
      <c r="AB88" s="51">
        <f t="shared" si="46"/>
        <v>0</v>
      </c>
      <c r="AC88" s="88">
        <f t="shared" si="27"/>
        <v>545</v>
      </c>
      <c r="AD88" s="63"/>
      <c r="AE88" s="63">
        <f>X88</f>
        <v>24</v>
      </c>
      <c r="AF88" s="63">
        <v>6</v>
      </c>
      <c r="AG88" s="63"/>
      <c r="AH88" s="64">
        <f t="shared" si="29"/>
        <v>569</v>
      </c>
      <c r="AI88" s="62"/>
      <c r="AJ88" s="62"/>
      <c r="AK88" s="62">
        <f>AH88+192</f>
        <v>761</v>
      </c>
      <c r="AL88" s="62">
        <f t="shared" si="31"/>
        <v>761</v>
      </c>
      <c r="AM88" s="67">
        <v>45580</v>
      </c>
      <c r="AN88" s="124">
        <f>(AD88*40)+(AE88*4)+(AG88*0)+(AH88*1)</f>
        <v>665</v>
      </c>
      <c r="AO88" s="77">
        <f t="shared" si="32"/>
        <v>45011</v>
      </c>
      <c r="AP88" s="77">
        <f>AM88-AN88-96</f>
        <v>44819</v>
      </c>
      <c r="AQ88" s="77">
        <f>+AO88-AE88*4-96</f>
        <v>44819</v>
      </c>
      <c r="AR88" s="67">
        <f t="shared" si="34"/>
        <v>96</v>
      </c>
      <c r="AS88" s="68">
        <f>Table22[[#This Row],[GROSS WT]]-Table22[[#This Row],[Total Bag Discharged (Truck)]]</f>
        <v>45011</v>
      </c>
      <c r="AT88" s="67">
        <f t="shared" si="35"/>
        <v>45011</v>
      </c>
      <c r="AU88" s="69"/>
      <c r="AV88" s="73">
        <v>26</v>
      </c>
      <c r="AW88" s="73">
        <v>20</v>
      </c>
      <c r="AX88" s="73">
        <v>3</v>
      </c>
      <c r="AY88" s="71">
        <f t="shared" si="36"/>
        <v>49</v>
      </c>
      <c r="AZ88" s="70">
        <v>239</v>
      </c>
      <c r="BA88" s="73">
        <v>14</v>
      </c>
      <c r="BB88" s="73">
        <v>11</v>
      </c>
      <c r="BC88" s="63">
        <f t="shared" si="41"/>
        <v>264</v>
      </c>
      <c r="BD88" s="72">
        <f>SUM(Table22[[#This Row],[Good Kernel (gm)]]+(Table22[[#This Row],[Immature (gm)]]+Table22[[#This Row],[Spotted (gm)]])/2)*0.176</f>
        <v>44.263999999999996</v>
      </c>
      <c r="BE88" s="73">
        <v>44.35</v>
      </c>
      <c r="BF88" s="72">
        <f t="shared" si="42"/>
        <v>46.561680000000003</v>
      </c>
      <c r="BG88" s="72">
        <f t="shared" si="37"/>
        <v>51.676409999999997</v>
      </c>
      <c r="BH88" s="72">
        <f>SUM(Table22[[#This Row],[Good Kernel (gm)]:[Spotted (gm)]])/1000*100</f>
        <v>26.400000000000002</v>
      </c>
      <c r="BI88" s="72">
        <f t="shared" si="38"/>
        <v>29.299999999999997</v>
      </c>
      <c r="BJ88" s="73">
        <v>11.7</v>
      </c>
      <c r="BK88" s="73">
        <v>178</v>
      </c>
      <c r="BL88" s="73">
        <v>681</v>
      </c>
      <c r="BM88" s="73">
        <v>25</v>
      </c>
      <c r="BN88" s="73"/>
      <c r="BO88" s="73">
        <v>20</v>
      </c>
      <c r="BP88" s="73">
        <v>0</v>
      </c>
      <c r="BQ88" s="71">
        <f t="shared" si="39"/>
        <v>45</v>
      </c>
      <c r="BR88" s="73">
        <v>237</v>
      </c>
      <c r="BS88" s="73">
        <v>16</v>
      </c>
      <c r="BT88" s="73">
        <v>14</v>
      </c>
      <c r="BU88" s="63">
        <f t="shared" si="43"/>
        <v>267</v>
      </c>
      <c r="BV88" s="72">
        <f>SUM(Table22[[#This Row],[Good Kernel (G M)]]+(Table22[[#This Row],[Immature (g m)]]+Table22[[#This Row],[Spotted (g m)]])/2)*0.176</f>
        <v>44.351999999999997</v>
      </c>
      <c r="BW88" s="73">
        <v>44.44</v>
      </c>
      <c r="BX88" s="73"/>
      <c r="BY88" s="72">
        <f t="shared" si="44"/>
        <v>47.090789999999998</v>
      </c>
      <c r="BZ88" s="72">
        <f t="shared" si="45"/>
        <v>51.500039999999998</v>
      </c>
      <c r="CA88" s="72">
        <f>SUM(Table22[[#This Row],[Good Kernel (G M)]:[Spotted (g m)]])/1000*100</f>
        <v>26.700000000000003</v>
      </c>
      <c r="CB88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88" s="73">
        <v>11.8</v>
      </c>
      <c r="CD88" s="73">
        <v>172</v>
      </c>
      <c r="CE88" s="73">
        <v>682</v>
      </c>
      <c r="CH88" s="184">
        <f ca="1">TODAY()-Table22[[#This Row],[Discharge Date]]</f>
        <v>130</v>
      </c>
    </row>
    <row r="89" spans="1:86" x14ac:dyDescent="0.25">
      <c r="A89" s="50">
        <v>85</v>
      </c>
      <c r="B89" s="73" t="s">
        <v>95</v>
      </c>
      <c r="C89" s="73" t="s">
        <v>96</v>
      </c>
      <c r="D89" s="97">
        <v>85</v>
      </c>
      <c r="E89" s="98"/>
      <c r="F89" s="99">
        <v>687</v>
      </c>
      <c r="G89" s="97"/>
      <c r="H89" s="82"/>
      <c r="I89" s="82"/>
      <c r="J89" s="82"/>
      <c r="K89" s="82" t="s">
        <v>634</v>
      </c>
      <c r="L89" s="54" t="s">
        <v>98</v>
      </c>
      <c r="M89" s="111">
        <v>31538</v>
      </c>
      <c r="N89" s="111" t="s">
        <v>685</v>
      </c>
      <c r="O89" s="73" t="s">
        <v>212</v>
      </c>
      <c r="P89" s="109">
        <v>39025</v>
      </c>
      <c r="Q89" s="101">
        <v>46125</v>
      </c>
      <c r="R89" s="102" t="s">
        <v>213</v>
      </c>
      <c r="S89" s="103" t="s">
        <v>261</v>
      </c>
      <c r="T89" s="102" t="s">
        <v>198</v>
      </c>
      <c r="U89" s="102"/>
      <c r="V89" s="73" t="s">
        <v>199</v>
      </c>
      <c r="W89" s="51">
        <v>478</v>
      </c>
      <c r="X89" s="51">
        <v>40</v>
      </c>
      <c r="Y89" s="51">
        <f t="shared" si="40"/>
        <v>518</v>
      </c>
      <c r="Z89" s="51"/>
      <c r="AA89" s="61">
        <f t="shared" si="26"/>
        <v>478</v>
      </c>
      <c r="AB89" s="51">
        <f t="shared" si="46"/>
        <v>0</v>
      </c>
      <c r="AC89" s="88">
        <f t="shared" si="27"/>
        <v>478</v>
      </c>
      <c r="AD89" s="63"/>
      <c r="AE89" s="63">
        <f t="shared" si="28"/>
        <v>40</v>
      </c>
      <c r="AF89" s="63">
        <v>57</v>
      </c>
      <c r="AG89" s="63"/>
      <c r="AH89" s="64">
        <f t="shared" si="29"/>
        <v>518</v>
      </c>
      <c r="AI89" s="62"/>
      <c r="AJ89" s="62"/>
      <c r="AK89" s="62">
        <f t="shared" si="30"/>
        <v>518</v>
      </c>
      <c r="AL89" s="62">
        <f t="shared" si="31"/>
        <v>518</v>
      </c>
      <c r="AM89" s="67">
        <v>40980</v>
      </c>
      <c r="AN89" s="124">
        <f t="shared" si="47"/>
        <v>678</v>
      </c>
      <c r="AO89" s="77">
        <f t="shared" si="32"/>
        <v>40462</v>
      </c>
      <c r="AP89" s="77">
        <f t="shared" si="33"/>
        <v>40302</v>
      </c>
      <c r="AQ89" s="77">
        <f t="shared" si="48"/>
        <v>40302</v>
      </c>
      <c r="AR89" s="67">
        <f t="shared" si="34"/>
        <v>160</v>
      </c>
      <c r="AS89" s="68">
        <f>Table22[[#This Row],[GROSS WT]]-Table22[[#This Row],[Total Bag Discharged (Truck)]]</f>
        <v>40462</v>
      </c>
      <c r="AT89" s="67">
        <f t="shared" si="35"/>
        <v>40462</v>
      </c>
      <c r="AU89" s="69"/>
      <c r="AV89" s="73">
        <v>28</v>
      </c>
      <c r="AW89" s="73">
        <v>17</v>
      </c>
      <c r="AX89" s="73">
        <v>2</v>
      </c>
      <c r="AY89" s="71">
        <f t="shared" si="36"/>
        <v>47</v>
      </c>
      <c r="AZ89" s="70">
        <v>239</v>
      </c>
      <c r="BA89" s="73">
        <v>13</v>
      </c>
      <c r="BB89" s="73">
        <v>10</v>
      </c>
      <c r="BC89" s="63">
        <f t="shared" si="41"/>
        <v>262</v>
      </c>
      <c r="BD89" s="72">
        <f>SUM(Table22[[#This Row],[Good Kernel (gm)]]+(Table22[[#This Row],[Immature (gm)]]+Table22[[#This Row],[Spotted (gm)]])/2)*0.176</f>
        <v>44.088000000000001</v>
      </c>
      <c r="BE89" s="73">
        <v>44.18</v>
      </c>
      <c r="BF89" s="72">
        <f t="shared" si="42"/>
        <v>46.208939999999998</v>
      </c>
      <c r="BG89" s="72">
        <f t="shared" si="37"/>
        <v>51.500039999999998</v>
      </c>
      <c r="BH89" s="72">
        <f>SUM(Table22[[#This Row],[Good Kernel (gm)]:[Spotted (gm)]])/1000*100</f>
        <v>26.200000000000003</v>
      </c>
      <c r="BI89" s="72">
        <f t="shared" si="38"/>
        <v>29.2</v>
      </c>
      <c r="BJ89" s="73">
        <v>13.4</v>
      </c>
      <c r="BK89" s="73">
        <v>160</v>
      </c>
      <c r="BL89" s="73">
        <v>686</v>
      </c>
      <c r="BM89" s="73">
        <v>28</v>
      </c>
      <c r="BN89" s="73"/>
      <c r="BO89" s="73">
        <v>25</v>
      </c>
      <c r="BP89" s="73">
        <v>0</v>
      </c>
      <c r="BQ89" s="71">
        <f t="shared" si="39"/>
        <v>53</v>
      </c>
      <c r="BR89" s="73">
        <v>232</v>
      </c>
      <c r="BS89" s="73">
        <v>16</v>
      </c>
      <c r="BT89" s="73">
        <v>18</v>
      </c>
      <c r="BU89" s="63">
        <f t="shared" si="43"/>
        <v>266</v>
      </c>
      <c r="BV89" s="72">
        <f>SUM(Table22[[#This Row],[Good Kernel (G M)]]+(Table22[[#This Row],[Immature (g m)]]+Table22[[#This Row],[Spotted (g m)]])/2)*0.176</f>
        <v>43.823999999999998</v>
      </c>
      <c r="BW89" s="73">
        <v>43.91</v>
      </c>
      <c r="BX89" s="73"/>
      <c r="BY89" s="72">
        <f t="shared" si="44"/>
        <v>46.91442</v>
      </c>
      <c r="BZ89" s="72">
        <f t="shared" si="45"/>
        <v>51.852780000000003</v>
      </c>
      <c r="CA89" s="72">
        <f>SUM(Table22[[#This Row],[Good Kernel (G M)]:[Spotted (g m)]])/1000*100</f>
        <v>26.6</v>
      </c>
      <c r="CB8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89" s="73">
        <v>11.6</v>
      </c>
      <c r="CD89" s="73">
        <v>162</v>
      </c>
      <c r="CE89" s="73">
        <v>675</v>
      </c>
      <c r="CH89" s="184">
        <f ca="1">TODAY()-Table22[[#This Row],[Discharge Date]]</f>
        <v>130</v>
      </c>
    </row>
    <row r="90" spans="1:86" x14ac:dyDescent="0.25">
      <c r="A90" s="50">
        <v>86</v>
      </c>
      <c r="B90" s="73" t="s">
        <v>95</v>
      </c>
      <c r="C90" s="73" t="s">
        <v>96</v>
      </c>
      <c r="D90" s="114">
        <v>86</v>
      </c>
      <c r="E90" s="98"/>
      <c r="F90" s="99">
        <v>690</v>
      </c>
      <c r="G90" s="97"/>
      <c r="H90" s="82"/>
      <c r="I90" s="82"/>
      <c r="J90" s="82"/>
      <c r="K90" s="82" t="s">
        <v>634</v>
      </c>
      <c r="L90" s="54" t="s">
        <v>98</v>
      </c>
      <c r="M90" s="111">
        <v>31541</v>
      </c>
      <c r="N90" s="111" t="s">
        <v>672</v>
      </c>
      <c r="O90" s="73" t="s">
        <v>214</v>
      </c>
      <c r="P90" s="109">
        <v>46330</v>
      </c>
      <c r="Q90" s="101">
        <v>46125</v>
      </c>
      <c r="R90" s="102" t="s">
        <v>213</v>
      </c>
      <c r="S90" s="103" t="s">
        <v>261</v>
      </c>
      <c r="T90" s="102" t="s">
        <v>198</v>
      </c>
      <c r="U90" s="102"/>
      <c r="V90" s="73" t="s">
        <v>199</v>
      </c>
      <c r="W90" s="51">
        <v>502</v>
      </c>
      <c r="X90" s="51">
        <v>14</v>
      </c>
      <c r="Y90" s="51">
        <f t="shared" si="40"/>
        <v>516</v>
      </c>
      <c r="Z90" s="51"/>
      <c r="AA90" s="61">
        <f t="shared" si="26"/>
        <v>502</v>
      </c>
      <c r="AB90" s="51">
        <f t="shared" si="46"/>
        <v>0</v>
      </c>
      <c r="AC90" s="88">
        <f t="shared" si="27"/>
        <v>502</v>
      </c>
      <c r="AD90" s="63"/>
      <c r="AE90" s="63">
        <f t="shared" si="28"/>
        <v>14</v>
      </c>
      <c r="AF90" s="63">
        <v>30</v>
      </c>
      <c r="AG90" s="63"/>
      <c r="AH90" s="64">
        <f t="shared" si="29"/>
        <v>516</v>
      </c>
      <c r="AI90" s="62"/>
      <c r="AJ90" s="62"/>
      <c r="AK90" s="62">
        <f t="shared" si="30"/>
        <v>516</v>
      </c>
      <c r="AL90" s="62">
        <f t="shared" si="31"/>
        <v>516</v>
      </c>
      <c r="AM90" s="67">
        <v>41000</v>
      </c>
      <c r="AN90" s="124">
        <f t="shared" si="47"/>
        <v>572</v>
      </c>
      <c r="AO90" s="77">
        <f t="shared" si="32"/>
        <v>40484</v>
      </c>
      <c r="AP90" s="77">
        <f t="shared" si="33"/>
        <v>40428</v>
      </c>
      <c r="AQ90" s="77">
        <f t="shared" si="48"/>
        <v>40428</v>
      </c>
      <c r="AR90" s="67">
        <f t="shared" si="34"/>
        <v>56</v>
      </c>
      <c r="AS90" s="68">
        <f>Table22[[#This Row],[GROSS WT]]-Table22[[#This Row],[Total Bag Discharged (Truck)]]</f>
        <v>40484</v>
      </c>
      <c r="AT90" s="67">
        <f t="shared" si="35"/>
        <v>40484</v>
      </c>
      <c r="AU90" s="69"/>
      <c r="AV90" s="73">
        <v>29</v>
      </c>
      <c r="AW90" s="73">
        <v>14</v>
      </c>
      <c r="AX90" s="73">
        <v>2</v>
      </c>
      <c r="AY90" s="71">
        <f t="shared" si="36"/>
        <v>45</v>
      </c>
      <c r="AZ90" s="70">
        <v>236</v>
      </c>
      <c r="BA90" s="73">
        <v>16</v>
      </c>
      <c r="BB90" s="73">
        <v>12</v>
      </c>
      <c r="BC90" s="63">
        <f t="shared" si="41"/>
        <v>264</v>
      </c>
      <c r="BD90" s="72">
        <f>SUM(Table22[[#This Row],[Good Kernel (gm)]]+(Table22[[#This Row],[Immature (gm)]]+Table22[[#This Row],[Spotted (gm)]])/2)*0.176</f>
        <v>44</v>
      </c>
      <c r="BE90" s="73">
        <v>44.09</v>
      </c>
      <c r="BF90" s="72">
        <f t="shared" si="42"/>
        <v>46.561680000000003</v>
      </c>
      <c r="BG90" s="72">
        <f t="shared" si="37"/>
        <v>52.029150000000001</v>
      </c>
      <c r="BH90" s="72">
        <f>SUM(Table22[[#This Row],[Good Kernel (gm)]:[Spotted (gm)]])/1000*100</f>
        <v>26.400000000000002</v>
      </c>
      <c r="BI90" s="72">
        <f t="shared" si="38"/>
        <v>29.5</v>
      </c>
      <c r="BJ90" s="73">
        <v>10.4</v>
      </c>
      <c r="BK90" s="73">
        <v>177</v>
      </c>
      <c r="BL90" s="73">
        <v>685</v>
      </c>
      <c r="BM90" s="73">
        <v>28</v>
      </c>
      <c r="BN90" s="73"/>
      <c r="BO90" s="73">
        <v>19</v>
      </c>
      <c r="BP90" s="73">
        <v>0</v>
      </c>
      <c r="BQ90" s="71">
        <f t="shared" si="39"/>
        <v>47</v>
      </c>
      <c r="BR90" s="73">
        <v>238</v>
      </c>
      <c r="BS90" s="73">
        <v>14</v>
      </c>
      <c r="BT90" s="73">
        <v>10</v>
      </c>
      <c r="BU90" s="63">
        <f t="shared" si="43"/>
        <v>262</v>
      </c>
      <c r="BV90" s="72">
        <f>SUM(Table22[[#This Row],[Good Kernel (G M)]]+(Table22[[#This Row],[Immature (g m)]]+Table22[[#This Row],[Spotted (g m)]])/2)*0.176</f>
        <v>44</v>
      </c>
      <c r="BW90" s="73">
        <v>44.18</v>
      </c>
      <c r="BX90" s="73"/>
      <c r="BY90" s="72">
        <f t="shared" si="44"/>
        <v>46.208939999999998</v>
      </c>
      <c r="BZ90" s="72">
        <f t="shared" si="45"/>
        <v>51.147300000000001</v>
      </c>
      <c r="CA90" s="72">
        <f>SUM(Table22[[#This Row],[Good Kernel (G M)]:[Spotted (g m)]])/1000*100</f>
        <v>26.200000000000003</v>
      </c>
      <c r="CB90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90" s="73">
        <v>11.4</v>
      </c>
      <c r="CD90" s="73">
        <v>176</v>
      </c>
      <c r="CE90" s="73">
        <v>697</v>
      </c>
      <c r="CH90" s="184">
        <f ca="1">TODAY()-Table22[[#This Row],[Discharge Date]]</f>
        <v>130</v>
      </c>
    </row>
    <row r="91" spans="1:86" x14ac:dyDescent="0.25">
      <c r="A91" s="50">
        <v>87</v>
      </c>
      <c r="B91" s="73" t="s">
        <v>95</v>
      </c>
      <c r="C91" s="73" t="s">
        <v>96</v>
      </c>
      <c r="D91" s="97">
        <v>87</v>
      </c>
      <c r="E91" s="98"/>
      <c r="F91" s="99">
        <v>689</v>
      </c>
      <c r="G91" s="97"/>
      <c r="H91" s="82"/>
      <c r="I91" s="82"/>
      <c r="J91" s="82"/>
      <c r="K91" s="82" t="s">
        <v>634</v>
      </c>
      <c r="L91" s="54" t="s">
        <v>98</v>
      </c>
      <c r="M91" s="100">
        <v>78865</v>
      </c>
      <c r="N91" s="100" t="s">
        <v>672</v>
      </c>
      <c r="O91" s="73" t="s">
        <v>215</v>
      </c>
      <c r="P91" s="109">
        <v>46299</v>
      </c>
      <c r="Q91" s="101">
        <v>46125</v>
      </c>
      <c r="R91" s="102" t="s">
        <v>100</v>
      </c>
      <c r="S91" s="59" t="s">
        <v>101</v>
      </c>
      <c r="T91" s="102"/>
      <c r="U91" s="102"/>
      <c r="V91" s="51" t="s">
        <v>102</v>
      </c>
      <c r="W91" s="51">
        <v>521</v>
      </c>
      <c r="X91" s="51">
        <v>28</v>
      </c>
      <c r="Y91" s="51">
        <f t="shared" si="40"/>
        <v>549</v>
      </c>
      <c r="Z91" s="51"/>
      <c r="AA91" s="61">
        <f t="shared" si="26"/>
        <v>521</v>
      </c>
      <c r="AB91" s="51">
        <f t="shared" si="46"/>
        <v>0</v>
      </c>
      <c r="AC91" s="88">
        <f t="shared" si="27"/>
        <v>521</v>
      </c>
      <c r="AD91" s="63"/>
      <c r="AE91" s="63">
        <f t="shared" si="28"/>
        <v>28</v>
      </c>
      <c r="AF91" s="63">
        <v>26</v>
      </c>
      <c r="AG91" s="63"/>
      <c r="AH91" s="64">
        <f t="shared" si="29"/>
        <v>549</v>
      </c>
      <c r="AI91" s="62"/>
      <c r="AJ91" s="62"/>
      <c r="AK91" s="62">
        <f t="shared" si="30"/>
        <v>549</v>
      </c>
      <c r="AL91" s="62">
        <f t="shared" si="31"/>
        <v>549</v>
      </c>
      <c r="AM91" s="67">
        <v>43520</v>
      </c>
      <c r="AN91" s="124">
        <f t="shared" si="47"/>
        <v>661</v>
      </c>
      <c r="AO91" s="77">
        <f t="shared" si="32"/>
        <v>42971</v>
      </c>
      <c r="AP91" s="77">
        <f t="shared" si="33"/>
        <v>42859</v>
      </c>
      <c r="AQ91" s="77">
        <f t="shared" si="48"/>
        <v>42859</v>
      </c>
      <c r="AR91" s="67">
        <f t="shared" si="34"/>
        <v>112</v>
      </c>
      <c r="AS91" s="68">
        <f>Table22[[#This Row],[GROSS WT]]-Table22[[#This Row],[Total Bag Discharged (Truck)]]</f>
        <v>42971</v>
      </c>
      <c r="AT91" s="67">
        <f t="shared" si="35"/>
        <v>42971</v>
      </c>
      <c r="AU91" s="69"/>
      <c r="AV91" s="73">
        <v>33</v>
      </c>
      <c r="AW91" s="73">
        <v>15</v>
      </c>
      <c r="AX91" s="73">
        <v>2</v>
      </c>
      <c r="AY91" s="71">
        <f t="shared" si="36"/>
        <v>50</v>
      </c>
      <c r="AZ91" s="70">
        <v>240</v>
      </c>
      <c r="BA91" s="73">
        <v>12</v>
      </c>
      <c r="BB91" s="73">
        <v>8</v>
      </c>
      <c r="BC91" s="63">
        <f t="shared" si="41"/>
        <v>260</v>
      </c>
      <c r="BD91" s="72">
        <f>SUM(Table22[[#This Row],[Good Kernel (gm)]]+(Table22[[#This Row],[Immature (gm)]]+Table22[[#This Row],[Spotted (gm)]])/2)*0.176</f>
        <v>44</v>
      </c>
      <c r="BE91" s="73">
        <v>44.09</v>
      </c>
      <c r="BF91" s="72">
        <f t="shared" si="42"/>
        <v>45.856200000000001</v>
      </c>
      <c r="BG91" s="72">
        <f t="shared" si="37"/>
        <v>52.029150000000001</v>
      </c>
      <c r="BH91" s="72">
        <f>SUM(Table22[[#This Row],[Good Kernel (gm)]:[Spotted (gm)]])/1000*100</f>
        <v>26</v>
      </c>
      <c r="BI91" s="72">
        <f t="shared" si="38"/>
        <v>29.5</v>
      </c>
      <c r="BJ91" s="73">
        <v>10.8</v>
      </c>
      <c r="BK91" s="73">
        <v>180</v>
      </c>
      <c r="BL91" s="73">
        <v>685</v>
      </c>
      <c r="BM91" s="73">
        <v>23</v>
      </c>
      <c r="BN91" s="73"/>
      <c r="BO91" s="73">
        <v>25</v>
      </c>
      <c r="BP91" s="73">
        <v>2</v>
      </c>
      <c r="BQ91" s="71">
        <f t="shared" si="39"/>
        <v>50</v>
      </c>
      <c r="BR91" s="73">
        <v>238</v>
      </c>
      <c r="BS91" s="73">
        <v>16</v>
      </c>
      <c r="BT91" s="73">
        <v>10</v>
      </c>
      <c r="BU91" s="63">
        <f t="shared" si="43"/>
        <v>264</v>
      </c>
      <c r="BV91" s="72">
        <f>SUM(Table22[[#This Row],[Good Kernel (G M)]]+(Table22[[#This Row],[Immature (g m)]]+Table22[[#This Row],[Spotted (g m)]])/2)*0.176</f>
        <v>44.175999999999995</v>
      </c>
      <c r="BW91" s="73">
        <v>44.26</v>
      </c>
      <c r="BX91" s="73"/>
      <c r="BY91" s="72">
        <f t="shared" si="44"/>
        <v>46.561680000000003</v>
      </c>
      <c r="BZ91" s="72">
        <f t="shared" si="45"/>
        <v>50.970930000000003</v>
      </c>
      <c r="CA91" s="72">
        <f>SUM(Table22[[#This Row],[Good Kernel (G M)]:[Spotted (g m)]])/1000*100</f>
        <v>26.400000000000002</v>
      </c>
      <c r="CB91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91" s="73">
        <v>10.1</v>
      </c>
      <c r="CD91" s="73">
        <v>183</v>
      </c>
      <c r="CE91" s="73">
        <v>680</v>
      </c>
      <c r="CH91" s="184">
        <f ca="1">TODAY()-Table22[[#This Row],[Discharge Date]]</f>
        <v>130</v>
      </c>
    </row>
    <row r="92" spans="1:86" x14ac:dyDescent="0.25">
      <c r="A92" s="50">
        <v>88</v>
      </c>
      <c r="B92" s="73" t="s">
        <v>95</v>
      </c>
      <c r="C92" s="73" t="s">
        <v>96</v>
      </c>
      <c r="D92" s="97">
        <v>88</v>
      </c>
      <c r="E92" s="98"/>
      <c r="F92" s="99">
        <v>688</v>
      </c>
      <c r="G92" s="97"/>
      <c r="H92" s="82"/>
      <c r="I92" s="82"/>
      <c r="J92" s="82"/>
      <c r="K92" s="82"/>
      <c r="L92" s="54" t="s">
        <v>98</v>
      </c>
      <c r="M92" s="100">
        <v>78864</v>
      </c>
      <c r="N92" s="100" t="s">
        <v>684</v>
      </c>
      <c r="O92" s="73" t="s">
        <v>183</v>
      </c>
      <c r="P92" s="109">
        <v>46330</v>
      </c>
      <c r="Q92" s="101">
        <v>46125</v>
      </c>
      <c r="R92" s="102" t="s">
        <v>100</v>
      </c>
      <c r="S92" s="59" t="s">
        <v>101</v>
      </c>
      <c r="T92" s="102"/>
      <c r="U92" s="102"/>
      <c r="V92" s="51" t="s">
        <v>102</v>
      </c>
      <c r="W92" s="51">
        <v>666</v>
      </c>
      <c r="X92" s="51">
        <v>48</v>
      </c>
      <c r="Y92" s="51">
        <f t="shared" si="40"/>
        <v>714</v>
      </c>
      <c r="Z92" s="51"/>
      <c r="AA92" s="61">
        <f t="shared" si="26"/>
        <v>666</v>
      </c>
      <c r="AB92" s="51">
        <f t="shared" si="46"/>
        <v>0</v>
      </c>
      <c r="AC92" s="88">
        <f t="shared" si="27"/>
        <v>666</v>
      </c>
      <c r="AD92" s="63"/>
      <c r="AE92" s="63">
        <f t="shared" si="28"/>
        <v>48</v>
      </c>
      <c r="AF92" s="63">
        <v>137</v>
      </c>
      <c r="AG92" s="63"/>
      <c r="AH92" s="64">
        <f t="shared" si="29"/>
        <v>714</v>
      </c>
      <c r="AI92" s="62"/>
      <c r="AJ92" s="62"/>
      <c r="AK92" s="62">
        <f t="shared" si="30"/>
        <v>714</v>
      </c>
      <c r="AL92" s="62">
        <f t="shared" si="31"/>
        <v>714</v>
      </c>
      <c r="AM92" s="67">
        <v>51880</v>
      </c>
      <c r="AN92" s="124">
        <f t="shared" si="47"/>
        <v>906</v>
      </c>
      <c r="AO92" s="77">
        <f t="shared" si="32"/>
        <v>51166</v>
      </c>
      <c r="AP92" s="77">
        <f t="shared" si="33"/>
        <v>50974</v>
      </c>
      <c r="AQ92" s="77">
        <f t="shared" si="48"/>
        <v>50974</v>
      </c>
      <c r="AR92" s="67">
        <f t="shared" si="34"/>
        <v>192</v>
      </c>
      <c r="AS92" s="68">
        <f>Table22[[#This Row],[GROSS WT]]-Table22[[#This Row],[Total Bag Discharged (Truck)]]</f>
        <v>51166</v>
      </c>
      <c r="AT92" s="67">
        <f t="shared" si="35"/>
        <v>51166</v>
      </c>
      <c r="AU92" s="69"/>
      <c r="AV92" s="73">
        <v>28</v>
      </c>
      <c r="AW92" s="73">
        <v>9</v>
      </c>
      <c r="AX92" s="73">
        <v>2</v>
      </c>
      <c r="AY92" s="71">
        <f t="shared" si="36"/>
        <v>39</v>
      </c>
      <c r="AZ92" s="70">
        <v>241</v>
      </c>
      <c r="BA92" s="73">
        <v>13</v>
      </c>
      <c r="BB92" s="73">
        <v>10</v>
      </c>
      <c r="BC92" s="63">
        <f t="shared" si="41"/>
        <v>264</v>
      </c>
      <c r="BD92" s="72">
        <f>SUM(Table22[[#This Row],[Good Kernel (gm)]]+(Table22[[#This Row],[Immature (gm)]]+Table22[[#This Row],[Spotted (gm)]])/2)*0.176</f>
        <v>44.44</v>
      </c>
      <c r="BE92" s="73">
        <v>44.53</v>
      </c>
      <c r="BF92" s="72">
        <f t="shared" si="42"/>
        <v>46.561680000000003</v>
      </c>
      <c r="BG92" s="72">
        <f t="shared" si="37"/>
        <v>51.852780000000003</v>
      </c>
      <c r="BH92" s="72">
        <f>SUM(Table22[[#This Row],[Good Kernel (gm)]:[Spotted (gm)]])/1000*100</f>
        <v>26.400000000000002</v>
      </c>
      <c r="BI92" s="72">
        <f t="shared" si="38"/>
        <v>29.4</v>
      </c>
      <c r="BJ92" s="73">
        <v>10.8</v>
      </c>
      <c r="BK92" s="73">
        <v>174</v>
      </c>
      <c r="BL92" s="73">
        <v>691</v>
      </c>
      <c r="BM92" s="73">
        <v>29</v>
      </c>
      <c r="BN92" s="73"/>
      <c r="BO92" s="73">
        <v>12</v>
      </c>
      <c r="BP92" s="73">
        <v>2</v>
      </c>
      <c r="BQ92" s="71">
        <f t="shared" si="39"/>
        <v>43</v>
      </c>
      <c r="BR92" s="73">
        <v>242</v>
      </c>
      <c r="BS92" s="73">
        <v>12</v>
      </c>
      <c r="BT92" s="73">
        <v>10</v>
      </c>
      <c r="BU92" s="63">
        <f t="shared" si="43"/>
        <v>264</v>
      </c>
      <c r="BV92" s="72">
        <f>SUM(Table22[[#This Row],[Good Kernel (G M)]]+(Table22[[#This Row],[Immature (g m)]]+Table22[[#This Row],[Spotted (g m)]])/2)*0.176</f>
        <v>44.527999999999999</v>
      </c>
      <c r="BW92" s="73">
        <v>44.62</v>
      </c>
      <c r="BX92" s="73"/>
      <c r="BY92" s="72">
        <f t="shared" si="44"/>
        <v>46.561680000000003</v>
      </c>
      <c r="BZ92" s="72">
        <f t="shared" si="45"/>
        <v>52.029150000000001</v>
      </c>
      <c r="CA92" s="72">
        <f>SUM(Table22[[#This Row],[Good Kernel (G M)]:[Spotted (g m)]])/1000*100</f>
        <v>26.400000000000002</v>
      </c>
      <c r="CB92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92" s="73">
        <v>10.5</v>
      </c>
      <c r="CD92" s="73">
        <v>177</v>
      </c>
      <c r="CE92" s="73">
        <v>686</v>
      </c>
      <c r="CH92" s="184">
        <f ca="1">TODAY()-Table22[[#This Row],[Discharge Date]]</f>
        <v>130</v>
      </c>
    </row>
    <row r="93" spans="1:86" x14ac:dyDescent="0.25">
      <c r="A93" s="50">
        <v>89</v>
      </c>
      <c r="B93" s="73" t="s">
        <v>95</v>
      </c>
      <c r="C93" s="73" t="s">
        <v>96</v>
      </c>
      <c r="D93" s="114">
        <v>89</v>
      </c>
      <c r="E93" s="98"/>
      <c r="F93" s="99">
        <v>683</v>
      </c>
      <c r="G93" s="97"/>
      <c r="H93" s="82"/>
      <c r="I93" s="82"/>
      <c r="J93" s="82"/>
      <c r="K93" s="82" t="s">
        <v>634</v>
      </c>
      <c r="L93" s="54" t="s">
        <v>98</v>
      </c>
      <c r="M93" s="100">
        <v>78867</v>
      </c>
      <c r="N93" s="100" t="s">
        <v>684</v>
      </c>
      <c r="O93" s="73" t="s">
        <v>189</v>
      </c>
      <c r="P93" s="109">
        <v>46330</v>
      </c>
      <c r="Q93" s="101">
        <v>46126</v>
      </c>
      <c r="R93" s="102" t="s">
        <v>100</v>
      </c>
      <c r="S93" s="59" t="s">
        <v>101</v>
      </c>
      <c r="T93" s="102"/>
      <c r="U93" s="102"/>
      <c r="V93" s="51" t="s">
        <v>102</v>
      </c>
      <c r="W93" s="51">
        <v>508</v>
      </c>
      <c r="X93" s="51">
        <v>32</v>
      </c>
      <c r="Y93" s="51">
        <f t="shared" si="40"/>
        <v>540</v>
      </c>
      <c r="Z93" s="51"/>
      <c r="AA93" s="61">
        <f t="shared" si="26"/>
        <v>508</v>
      </c>
      <c r="AB93" s="51">
        <f t="shared" si="46"/>
        <v>0</v>
      </c>
      <c r="AC93" s="88">
        <f t="shared" si="27"/>
        <v>508</v>
      </c>
      <c r="AD93" s="63"/>
      <c r="AE93" s="63">
        <f t="shared" si="28"/>
        <v>32</v>
      </c>
      <c r="AF93" s="63">
        <v>44</v>
      </c>
      <c r="AG93" s="63"/>
      <c r="AH93" s="64">
        <f t="shared" si="29"/>
        <v>540</v>
      </c>
      <c r="AI93" s="62"/>
      <c r="AJ93" s="62"/>
      <c r="AK93" s="62">
        <f t="shared" si="30"/>
        <v>540</v>
      </c>
      <c r="AL93" s="62">
        <f t="shared" si="31"/>
        <v>540</v>
      </c>
      <c r="AM93" s="67">
        <v>41180</v>
      </c>
      <c r="AN93" s="124">
        <f t="shared" si="47"/>
        <v>668</v>
      </c>
      <c r="AO93" s="77">
        <f t="shared" si="32"/>
        <v>40640</v>
      </c>
      <c r="AP93" s="77">
        <f t="shared" si="33"/>
        <v>40512</v>
      </c>
      <c r="AQ93" s="77">
        <f t="shared" si="48"/>
        <v>40512</v>
      </c>
      <c r="AR93" s="67">
        <f t="shared" si="34"/>
        <v>128</v>
      </c>
      <c r="AS93" s="68">
        <f>Table22[[#This Row],[GROSS WT]]-Table22[[#This Row],[Total Bag Discharged (Truck)]]</f>
        <v>40640</v>
      </c>
      <c r="AT93" s="67">
        <f t="shared" si="35"/>
        <v>40640</v>
      </c>
      <c r="AU93" s="69"/>
      <c r="AV93" s="73">
        <v>31</v>
      </c>
      <c r="AW93" s="73">
        <v>15</v>
      </c>
      <c r="AX93" s="73">
        <v>0</v>
      </c>
      <c r="AY93" s="71">
        <f t="shared" si="36"/>
        <v>46</v>
      </c>
      <c r="AZ93" s="70">
        <v>239</v>
      </c>
      <c r="BA93" s="73">
        <v>14</v>
      </c>
      <c r="BB93" s="73">
        <v>9</v>
      </c>
      <c r="BC93" s="63">
        <f t="shared" si="41"/>
        <v>262</v>
      </c>
      <c r="BD93" s="72">
        <f>SUM(Table22[[#This Row],[Good Kernel (gm)]]+(Table22[[#This Row],[Immature (gm)]]+Table22[[#This Row],[Spotted (gm)]])/2)*0.176</f>
        <v>44.088000000000001</v>
      </c>
      <c r="BE93" s="73">
        <v>44.18</v>
      </c>
      <c r="BF93" s="72">
        <f t="shared" si="42"/>
        <v>46.208939999999998</v>
      </c>
      <c r="BG93" s="72">
        <f t="shared" si="37"/>
        <v>51.676409999999997</v>
      </c>
      <c r="BH93" s="72">
        <f>SUM(Table22[[#This Row],[Good Kernel (gm)]:[Spotted (gm)]])/1000*100</f>
        <v>26.200000000000003</v>
      </c>
      <c r="BI93" s="72">
        <f t="shared" si="38"/>
        <v>29.299999999999997</v>
      </c>
      <c r="BJ93" s="73">
        <v>10.4</v>
      </c>
      <c r="BK93" s="73">
        <v>186</v>
      </c>
      <c r="BL93" s="73">
        <v>687</v>
      </c>
      <c r="BM93" s="73">
        <v>29</v>
      </c>
      <c r="BN93" s="73"/>
      <c r="BO93" s="73">
        <v>17</v>
      </c>
      <c r="BP93" s="73">
        <v>0</v>
      </c>
      <c r="BQ93" s="71">
        <f t="shared" si="39"/>
        <v>46</v>
      </c>
      <c r="BR93" s="73">
        <v>240</v>
      </c>
      <c r="BS93" s="73">
        <v>15</v>
      </c>
      <c r="BT93" s="73">
        <v>10</v>
      </c>
      <c r="BU93" s="63">
        <f t="shared" si="43"/>
        <v>265</v>
      </c>
      <c r="BV93" s="72">
        <f>SUM(Table22[[#This Row],[Good Kernel (G M)]]+(Table22[[#This Row],[Immature (g m)]]+Table22[[#This Row],[Spotted (g m)]])/2)*0.176</f>
        <v>44.44</v>
      </c>
      <c r="BW93" s="73">
        <v>44.53</v>
      </c>
      <c r="BX93" s="73"/>
      <c r="BY93" s="72">
        <f t="shared" si="44"/>
        <v>46.738050000000001</v>
      </c>
      <c r="BZ93" s="72">
        <f t="shared" si="45"/>
        <v>51.852780000000003</v>
      </c>
      <c r="CA93" s="72">
        <f>SUM(Table22[[#This Row],[Good Kernel (G M)]:[Spotted (g m)]])/1000*100</f>
        <v>26.5</v>
      </c>
      <c r="CB93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93" s="73">
        <v>10.7</v>
      </c>
      <c r="CD93" s="73">
        <v>181</v>
      </c>
      <c r="CE93" s="73">
        <v>683</v>
      </c>
      <c r="CH93" s="184">
        <f ca="1">TODAY()-Table22[[#This Row],[Discharge Date]]</f>
        <v>129</v>
      </c>
    </row>
    <row r="94" spans="1:86" x14ac:dyDescent="0.25">
      <c r="A94" s="50">
        <v>90</v>
      </c>
      <c r="B94" s="73" t="s">
        <v>95</v>
      </c>
      <c r="C94" s="73" t="s">
        <v>96</v>
      </c>
      <c r="D94" s="97">
        <v>90</v>
      </c>
      <c r="E94" s="98"/>
      <c r="F94" s="99">
        <v>697</v>
      </c>
      <c r="G94" s="97"/>
      <c r="H94" s="82"/>
      <c r="I94" s="82"/>
      <c r="J94" s="82"/>
      <c r="K94" s="82" t="s">
        <v>634</v>
      </c>
      <c r="L94" s="54" t="s">
        <v>98</v>
      </c>
      <c r="M94" s="100">
        <v>23293</v>
      </c>
      <c r="N94" s="100" t="s">
        <v>685</v>
      </c>
      <c r="O94" s="73" t="s">
        <v>216</v>
      </c>
      <c r="P94" s="109">
        <v>46360</v>
      </c>
      <c r="Q94" s="101">
        <v>46126</v>
      </c>
      <c r="R94" s="102" t="s">
        <v>217</v>
      </c>
      <c r="S94" s="103" t="s">
        <v>205</v>
      </c>
      <c r="T94" s="102"/>
      <c r="U94" s="102"/>
      <c r="V94" s="73" t="s">
        <v>206</v>
      </c>
      <c r="W94" s="51">
        <v>427</v>
      </c>
      <c r="X94" s="51">
        <v>31</v>
      </c>
      <c r="Y94" s="51">
        <f t="shared" si="40"/>
        <v>458</v>
      </c>
      <c r="Z94" s="51"/>
      <c r="AA94" s="61">
        <f t="shared" si="26"/>
        <v>427</v>
      </c>
      <c r="AB94" s="51">
        <f t="shared" si="46"/>
        <v>0</v>
      </c>
      <c r="AC94" s="88">
        <f t="shared" si="27"/>
        <v>427</v>
      </c>
      <c r="AD94" s="63"/>
      <c r="AE94" s="63">
        <f t="shared" si="28"/>
        <v>31</v>
      </c>
      <c r="AF94" s="63">
        <v>23</v>
      </c>
      <c r="AG94" s="63"/>
      <c r="AH94" s="64">
        <f t="shared" si="29"/>
        <v>458</v>
      </c>
      <c r="AI94" s="62"/>
      <c r="AJ94" s="62"/>
      <c r="AK94" s="62">
        <f t="shared" si="30"/>
        <v>458</v>
      </c>
      <c r="AL94" s="62">
        <f t="shared" si="31"/>
        <v>458</v>
      </c>
      <c r="AM94" s="67">
        <v>39620</v>
      </c>
      <c r="AN94" s="124">
        <f t="shared" si="47"/>
        <v>582</v>
      </c>
      <c r="AO94" s="77">
        <f t="shared" si="32"/>
        <v>39162</v>
      </c>
      <c r="AP94" s="77">
        <f t="shared" si="33"/>
        <v>39038</v>
      </c>
      <c r="AQ94" s="77">
        <f t="shared" si="48"/>
        <v>39038</v>
      </c>
      <c r="AR94" s="67">
        <f t="shared" si="34"/>
        <v>124</v>
      </c>
      <c r="AS94" s="68">
        <f>Table22[[#This Row],[GROSS WT]]-Table22[[#This Row],[Total Bag Discharged (Truck)]]</f>
        <v>39162</v>
      </c>
      <c r="AT94" s="67">
        <f t="shared" si="35"/>
        <v>39162</v>
      </c>
      <c r="AU94" s="69"/>
      <c r="AV94" s="73">
        <v>23</v>
      </c>
      <c r="AW94" s="73">
        <v>26</v>
      </c>
      <c r="AX94" s="73">
        <v>0</v>
      </c>
      <c r="AY94" s="71">
        <f t="shared" si="36"/>
        <v>49</v>
      </c>
      <c r="AZ94" s="70">
        <v>232</v>
      </c>
      <c r="BA94" s="73">
        <v>18</v>
      </c>
      <c r="BB94" s="73">
        <v>12</v>
      </c>
      <c r="BC94" s="63">
        <f t="shared" si="41"/>
        <v>262</v>
      </c>
      <c r="BD94" s="72">
        <f>SUM(Table22[[#This Row],[Good Kernel (gm)]]+(Table22[[#This Row],[Immature (gm)]]+Table22[[#This Row],[Spotted (gm)]])/2)*0.176</f>
        <v>43.471999999999994</v>
      </c>
      <c r="BE94" s="73">
        <v>43.56</v>
      </c>
      <c r="BF94" s="72">
        <f t="shared" si="42"/>
        <v>46.208939999999998</v>
      </c>
      <c r="BG94" s="72">
        <f t="shared" si="37"/>
        <v>50.265450000000001</v>
      </c>
      <c r="BH94" s="72">
        <f>SUM(Table22[[#This Row],[Good Kernel (gm)]:[Spotted (gm)]])/1000*100</f>
        <v>26.200000000000003</v>
      </c>
      <c r="BI94" s="72">
        <f t="shared" si="38"/>
        <v>28.499999999999996</v>
      </c>
      <c r="BJ94" s="73">
        <v>11.4</v>
      </c>
      <c r="BK94" s="73">
        <v>179</v>
      </c>
      <c r="BL94" s="73">
        <v>683</v>
      </c>
      <c r="BM94" s="73">
        <v>21</v>
      </c>
      <c r="BN94" s="73"/>
      <c r="BO94" s="73">
        <v>25</v>
      </c>
      <c r="BP94" s="73">
        <v>2</v>
      </c>
      <c r="BQ94" s="71">
        <f t="shared" si="39"/>
        <v>48</v>
      </c>
      <c r="BR94" s="73">
        <v>234</v>
      </c>
      <c r="BS94" s="73">
        <v>16</v>
      </c>
      <c r="BT94" s="73">
        <v>14</v>
      </c>
      <c r="BU94" s="63">
        <f t="shared" si="43"/>
        <v>264</v>
      </c>
      <c r="BV94" s="72">
        <f>SUM(Table22[[#This Row],[Good Kernel (G M)]]+(Table22[[#This Row],[Immature (g m)]]+Table22[[#This Row],[Spotted (g m)]])/2)*0.176</f>
        <v>43.823999999999998</v>
      </c>
      <c r="BW94" s="73">
        <v>43.91</v>
      </c>
      <c r="BX94" s="73"/>
      <c r="BY94" s="72">
        <f t="shared" si="44"/>
        <v>46.561680000000003</v>
      </c>
      <c r="BZ94" s="72">
        <f t="shared" si="45"/>
        <v>50.618189999999998</v>
      </c>
      <c r="CA94" s="72">
        <f>SUM(Table22[[#This Row],[Good Kernel (G M)]:[Spotted (g m)]])/1000*100</f>
        <v>26.400000000000002</v>
      </c>
      <c r="CB94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94" s="73">
        <v>11.2</v>
      </c>
      <c r="CD94" s="73">
        <v>178</v>
      </c>
      <c r="CE94" s="73">
        <v>682</v>
      </c>
      <c r="CF94" s="130"/>
      <c r="CH94" s="184">
        <f ca="1">TODAY()-Table22[[#This Row],[Discharge Date]]</f>
        <v>129</v>
      </c>
    </row>
    <row r="95" spans="1:86" x14ac:dyDescent="0.25">
      <c r="A95" s="50">
        <v>91</v>
      </c>
      <c r="B95" s="73" t="s">
        <v>95</v>
      </c>
      <c r="C95" s="73" t="s">
        <v>96</v>
      </c>
      <c r="D95" s="97">
        <v>91</v>
      </c>
      <c r="E95" s="98"/>
      <c r="F95" s="99">
        <v>690</v>
      </c>
      <c r="G95" s="73"/>
      <c r="H95" s="82"/>
      <c r="I95" s="82"/>
      <c r="J95" s="82"/>
      <c r="K95" s="82" t="s">
        <v>634</v>
      </c>
      <c r="L95" s="54" t="s">
        <v>98</v>
      </c>
      <c r="M95" s="100">
        <v>30266</v>
      </c>
      <c r="N95" s="100" t="s">
        <v>684</v>
      </c>
      <c r="O95" s="73" t="s">
        <v>218</v>
      </c>
      <c r="P95" s="109">
        <v>46299</v>
      </c>
      <c r="Q95" s="101">
        <v>46126</v>
      </c>
      <c r="R95" s="102" t="s">
        <v>100</v>
      </c>
      <c r="S95" s="102" t="s">
        <v>219</v>
      </c>
      <c r="T95" s="102"/>
      <c r="U95" s="102" t="s">
        <v>220</v>
      </c>
      <c r="V95" s="73" t="s">
        <v>221</v>
      </c>
      <c r="W95" s="51">
        <v>711</v>
      </c>
      <c r="X95" s="51">
        <v>21</v>
      </c>
      <c r="Y95" s="51">
        <f t="shared" si="40"/>
        <v>732</v>
      </c>
      <c r="Z95" s="51"/>
      <c r="AA95" s="61">
        <f t="shared" si="26"/>
        <v>711</v>
      </c>
      <c r="AB95" s="51">
        <f t="shared" si="46"/>
        <v>0</v>
      </c>
      <c r="AC95" s="88">
        <f t="shared" si="27"/>
        <v>711</v>
      </c>
      <c r="AD95" s="63"/>
      <c r="AE95" s="63">
        <f t="shared" si="28"/>
        <v>21</v>
      </c>
      <c r="AF95" s="63">
        <v>78</v>
      </c>
      <c r="AG95" s="63"/>
      <c r="AH95" s="64">
        <f t="shared" si="29"/>
        <v>732</v>
      </c>
      <c r="AI95" s="62"/>
      <c r="AJ95" s="62"/>
      <c r="AK95" s="62">
        <f t="shared" si="30"/>
        <v>732</v>
      </c>
      <c r="AL95" s="62">
        <f t="shared" si="31"/>
        <v>732</v>
      </c>
      <c r="AM95" s="67">
        <v>58050</v>
      </c>
      <c r="AN95" s="124">
        <f t="shared" si="47"/>
        <v>816</v>
      </c>
      <c r="AO95" s="77">
        <f t="shared" si="32"/>
        <v>57318</v>
      </c>
      <c r="AP95" s="77">
        <f t="shared" si="33"/>
        <v>57234</v>
      </c>
      <c r="AQ95" s="77">
        <f t="shared" si="48"/>
        <v>57234</v>
      </c>
      <c r="AR95" s="67">
        <f t="shared" si="34"/>
        <v>84</v>
      </c>
      <c r="AS95" s="68">
        <f>Table22[[#This Row],[GROSS WT]]-Table22[[#This Row],[Total Bag Discharged (Truck)]]</f>
        <v>57318</v>
      </c>
      <c r="AT95" s="67">
        <f t="shared" si="35"/>
        <v>57318</v>
      </c>
      <c r="AU95" s="69"/>
      <c r="AV95" s="73">
        <v>30</v>
      </c>
      <c r="AW95" s="73">
        <v>22</v>
      </c>
      <c r="AX95" s="73">
        <v>0</v>
      </c>
      <c r="AY95" s="71">
        <f t="shared" si="36"/>
        <v>52</v>
      </c>
      <c r="AZ95" s="70">
        <v>232</v>
      </c>
      <c r="BA95" s="73">
        <v>20</v>
      </c>
      <c r="BB95" s="73">
        <v>14</v>
      </c>
      <c r="BC95" s="63">
        <f t="shared" si="41"/>
        <v>266</v>
      </c>
      <c r="BD95" s="72">
        <f>SUM(Table22[[#This Row],[Good Kernel (gm)]]+(Table22[[#This Row],[Immature (gm)]]+Table22[[#This Row],[Spotted (gm)]])/2)*0.176</f>
        <v>43.823999999999998</v>
      </c>
      <c r="BE95" s="73">
        <v>43.91</v>
      </c>
      <c r="BF95" s="72">
        <f t="shared" si="42"/>
        <v>46.91442</v>
      </c>
      <c r="BG95" s="72">
        <f t="shared" si="37"/>
        <v>52.20552</v>
      </c>
      <c r="BH95" s="72">
        <f>SUM(Table22[[#This Row],[Good Kernel (gm)]:[Spotted (gm)]])/1000*100</f>
        <v>26.6</v>
      </c>
      <c r="BI95" s="72">
        <f t="shared" si="38"/>
        <v>29.599999999999998</v>
      </c>
      <c r="BJ95" s="73">
        <v>9.9</v>
      </c>
      <c r="BK95" s="73">
        <v>186</v>
      </c>
      <c r="BL95" s="73">
        <v>676</v>
      </c>
      <c r="BM95" s="73">
        <v>34</v>
      </c>
      <c r="BN95" s="73"/>
      <c r="BO95" s="73">
        <v>19</v>
      </c>
      <c r="BP95" s="73">
        <v>0</v>
      </c>
      <c r="BQ95" s="71">
        <f t="shared" si="39"/>
        <v>53</v>
      </c>
      <c r="BR95" s="73">
        <v>232</v>
      </c>
      <c r="BS95" s="73">
        <v>18</v>
      </c>
      <c r="BT95" s="73">
        <v>13</v>
      </c>
      <c r="BU95" s="63">
        <f t="shared" si="43"/>
        <v>263</v>
      </c>
      <c r="BV95" s="72">
        <f>SUM(Table22[[#This Row],[Good Kernel (G M)]]+(Table22[[#This Row],[Immature (g m)]]+Table22[[#This Row],[Spotted (g m)]])/2)*0.176</f>
        <v>43.559999999999995</v>
      </c>
      <c r="BW95" s="73">
        <v>43.65</v>
      </c>
      <c r="BX95" s="73"/>
      <c r="BY95" s="72">
        <f t="shared" si="44"/>
        <v>46.385309999999997</v>
      </c>
      <c r="BZ95" s="72">
        <f t="shared" si="45"/>
        <v>52.381889999999999</v>
      </c>
      <c r="CA95" s="72">
        <f>SUM(Table22[[#This Row],[Good Kernel (G M)]:[Spotted (g m)]])/1000*100</f>
        <v>26.3</v>
      </c>
      <c r="CB95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95" s="73">
        <v>9.8000000000000007</v>
      </c>
      <c r="CD95" s="73">
        <v>185</v>
      </c>
      <c r="CE95" s="73">
        <v>679</v>
      </c>
      <c r="CH95" s="184">
        <f ca="1">TODAY()-Table22[[#This Row],[Discharge Date]]</f>
        <v>129</v>
      </c>
    </row>
    <row r="96" spans="1:86" x14ac:dyDescent="0.25">
      <c r="A96" s="50">
        <v>92</v>
      </c>
      <c r="B96" s="73" t="s">
        <v>95</v>
      </c>
      <c r="C96" s="73" t="s">
        <v>96</v>
      </c>
      <c r="D96" s="114">
        <v>92</v>
      </c>
      <c r="E96" s="98"/>
      <c r="F96" s="99">
        <v>695</v>
      </c>
      <c r="G96" s="73"/>
      <c r="H96" s="82"/>
      <c r="I96" s="82"/>
      <c r="J96" s="82"/>
      <c r="K96" s="82" t="s">
        <v>634</v>
      </c>
      <c r="L96" s="54" t="s">
        <v>98</v>
      </c>
      <c r="M96" s="100">
        <v>78868</v>
      </c>
      <c r="N96" s="100" t="s">
        <v>685</v>
      </c>
      <c r="O96" s="73" t="s">
        <v>222</v>
      </c>
      <c r="P96" s="109">
        <v>46360</v>
      </c>
      <c r="Q96" s="101">
        <v>46126</v>
      </c>
      <c r="R96" s="102" t="s">
        <v>100</v>
      </c>
      <c r="S96" s="59" t="s">
        <v>101</v>
      </c>
      <c r="T96" s="102"/>
      <c r="U96" s="102"/>
      <c r="V96" s="51" t="s">
        <v>102</v>
      </c>
      <c r="W96" s="51">
        <v>597</v>
      </c>
      <c r="X96" s="51">
        <v>45</v>
      </c>
      <c r="Y96" s="51">
        <f t="shared" si="40"/>
        <v>642</v>
      </c>
      <c r="Z96" s="51"/>
      <c r="AA96" s="61">
        <f t="shared" si="26"/>
        <v>597</v>
      </c>
      <c r="AB96" s="51">
        <f t="shared" si="46"/>
        <v>0</v>
      </c>
      <c r="AC96" s="88">
        <f t="shared" si="27"/>
        <v>597</v>
      </c>
      <c r="AD96" s="63"/>
      <c r="AE96" s="63">
        <f t="shared" si="28"/>
        <v>45</v>
      </c>
      <c r="AF96" s="63">
        <v>77</v>
      </c>
      <c r="AG96" s="63"/>
      <c r="AH96" s="64">
        <f t="shared" si="29"/>
        <v>642</v>
      </c>
      <c r="AI96" s="62"/>
      <c r="AJ96" s="62"/>
      <c r="AK96" s="62">
        <f t="shared" si="30"/>
        <v>642</v>
      </c>
      <c r="AL96" s="62">
        <f t="shared" si="31"/>
        <v>642</v>
      </c>
      <c r="AM96" s="67">
        <v>46570</v>
      </c>
      <c r="AN96" s="124">
        <f t="shared" si="47"/>
        <v>822</v>
      </c>
      <c r="AO96" s="77">
        <f t="shared" si="32"/>
        <v>45928</v>
      </c>
      <c r="AP96" s="77">
        <f t="shared" si="33"/>
        <v>45748</v>
      </c>
      <c r="AQ96" s="77">
        <f t="shared" si="48"/>
        <v>45748</v>
      </c>
      <c r="AR96" s="67">
        <f t="shared" si="34"/>
        <v>180</v>
      </c>
      <c r="AS96" s="68">
        <f>Table22[[#This Row],[GROSS WT]]-Table22[[#This Row],[Total Bag Discharged (Truck)]]</f>
        <v>45928</v>
      </c>
      <c r="AT96" s="67">
        <f t="shared" si="35"/>
        <v>45928</v>
      </c>
      <c r="AU96" s="69"/>
      <c r="AV96" s="73">
        <v>22</v>
      </c>
      <c r="AW96" s="73">
        <v>32</v>
      </c>
      <c r="AX96" s="73">
        <v>0</v>
      </c>
      <c r="AY96" s="71">
        <f t="shared" si="36"/>
        <v>54</v>
      </c>
      <c r="AZ96" s="70">
        <v>241</v>
      </c>
      <c r="BA96" s="73">
        <v>13</v>
      </c>
      <c r="BB96" s="73">
        <v>10</v>
      </c>
      <c r="BC96" s="63">
        <f t="shared" si="41"/>
        <v>264</v>
      </c>
      <c r="BD96" s="72">
        <f>SUM(Table22[[#This Row],[Good Kernel (gm)]]+(Table22[[#This Row],[Immature (gm)]]+Table22[[#This Row],[Spotted (gm)]])/2)*0.176</f>
        <v>44.44</v>
      </c>
      <c r="BE96" s="73">
        <v>44.53</v>
      </c>
      <c r="BF96" s="72">
        <f t="shared" si="42"/>
        <v>46.561680000000003</v>
      </c>
      <c r="BG96" s="72">
        <f t="shared" si="37"/>
        <v>50.44182</v>
      </c>
      <c r="BH96" s="72">
        <f>SUM(Table22[[#This Row],[Good Kernel (gm)]:[Spotted (gm)]])/1000*100</f>
        <v>26.400000000000002</v>
      </c>
      <c r="BI96" s="72">
        <f t="shared" si="38"/>
        <v>28.599999999999998</v>
      </c>
      <c r="BJ96" s="73">
        <v>11</v>
      </c>
      <c r="BK96" s="73">
        <v>175</v>
      </c>
      <c r="BL96" s="73">
        <v>677</v>
      </c>
      <c r="BM96" s="73">
        <v>30</v>
      </c>
      <c r="BN96" s="73"/>
      <c r="BO96" s="73">
        <v>13</v>
      </c>
      <c r="BP96" s="73">
        <v>2</v>
      </c>
      <c r="BQ96" s="71">
        <f t="shared" si="39"/>
        <v>45</v>
      </c>
      <c r="BR96" s="73">
        <v>240</v>
      </c>
      <c r="BS96" s="73">
        <v>12</v>
      </c>
      <c r="BT96" s="73">
        <v>14</v>
      </c>
      <c r="BU96" s="63">
        <f t="shared" si="43"/>
        <v>266</v>
      </c>
      <c r="BV96" s="72">
        <f>SUM(Table22[[#This Row],[Good Kernel (G M)]]+(Table22[[#This Row],[Immature (g m)]]+Table22[[#This Row],[Spotted (g m)]])/2)*0.176</f>
        <v>44.527999999999999</v>
      </c>
      <c r="BW96" s="73">
        <v>44.62</v>
      </c>
      <c r="BX96" s="73"/>
      <c r="BY96" s="72">
        <f t="shared" si="44"/>
        <v>46.91442</v>
      </c>
      <c r="BZ96" s="72">
        <f t="shared" si="45"/>
        <v>52.558259999999997</v>
      </c>
      <c r="CA96" s="72">
        <f>SUM(Table22[[#This Row],[Good Kernel (G M)]:[Spotted (g m)]])/1000*100</f>
        <v>26.6</v>
      </c>
      <c r="CB96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96" s="73">
        <v>10.8</v>
      </c>
      <c r="CD96" s="73">
        <v>176</v>
      </c>
      <c r="CE96" s="73">
        <v>686</v>
      </c>
      <c r="CH96" s="184">
        <f ca="1">TODAY()-Table22[[#This Row],[Discharge Date]]</f>
        <v>129</v>
      </c>
    </row>
    <row r="97" spans="1:86" x14ac:dyDescent="0.25">
      <c r="A97" s="50">
        <v>93</v>
      </c>
      <c r="B97" s="73" t="s">
        <v>95</v>
      </c>
      <c r="C97" s="73" t="s">
        <v>96</v>
      </c>
      <c r="D97" s="97">
        <v>93</v>
      </c>
      <c r="E97" s="98"/>
      <c r="F97" s="99">
        <v>693</v>
      </c>
      <c r="G97" s="73"/>
      <c r="H97" s="82"/>
      <c r="I97" s="82"/>
      <c r="J97" s="82"/>
      <c r="K97" s="82" t="s">
        <v>638</v>
      </c>
      <c r="L97" s="54" t="s">
        <v>98</v>
      </c>
      <c r="M97" s="100">
        <v>37759</v>
      </c>
      <c r="N97" s="100" t="s">
        <v>684</v>
      </c>
      <c r="O97" s="73" t="s">
        <v>223</v>
      </c>
      <c r="P97" s="109">
        <v>46360</v>
      </c>
      <c r="Q97" s="101">
        <v>46126</v>
      </c>
      <c r="R97" s="102" t="s">
        <v>224</v>
      </c>
      <c r="S97" s="131" t="s">
        <v>225</v>
      </c>
      <c r="T97" s="102"/>
      <c r="U97" s="102"/>
      <c r="V97" s="73" t="s">
        <v>226</v>
      </c>
      <c r="W97" s="51">
        <v>417</v>
      </c>
      <c r="X97" s="51">
        <v>28</v>
      </c>
      <c r="Y97" s="51">
        <f t="shared" si="40"/>
        <v>445</v>
      </c>
      <c r="Z97" s="51"/>
      <c r="AA97" s="61">
        <f t="shared" si="26"/>
        <v>417</v>
      </c>
      <c r="AB97" s="51">
        <f t="shared" si="46"/>
        <v>0</v>
      </c>
      <c r="AC97" s="88">
        <f t="shared" si="27"/>
        <v>417</v>
      </c>
      <c r="AD97" s="63"/>
      <c r="AE97" s="63">
        <f t="shared" si="28"/>
        <v>28</v>
      </c>
      <c r="AF97" s="63">
        <v>38</v>
      </c>
      <c r="AG97" s="63"/>
      <c r="AH97" s="64">
        <f t="shared" si="29"/>
        <v>445</v>
      </c>
      <c r="AI97" s="62"/>
      <c r="AJ97" s="62"/>
      <c r="AK97" s="62">
        <f t="shared" si="30"/>
        <v>445</v>
      </c>
      <c r="AL97" s="62">
        <f t="shared" si="31"/>
        <v>445</v>
      </c>
      <c r="AM97" s="67">
        <v>36950</v>
      </c>
      <c r="AN97" s="124">
        <f t="shared" si="47"/>
        <v>557</v>
      </c>
      <c r="AO97" s="77">
        <f t="shared" si="32"/>
        <v>36505</v>
      </c>
      <c r="AP97" s="77">
        <f t="shared" si="33"/>
        <v>36393</v>
      </c>
      <c r="AQ97" s="77">
        <f t="shared" si="48"/>
        <v>36393</v>
      </c>
      <c r="AR97" s="67">
        <f t="shared" si="34"/>
        <v>112</v>
      </c>
      <c r="AS97" s="68">
        <f>Table22[[#This Row],[GROSS WT]]-Table22[[#This Row],[Total Bag Discharged (Truck)]]</f>
        <v>36505</v>
      </c>
      <c r="AT97" s="67">
        <f t="shared" si="35"/>
        <v>36505</v>
      </c>
      <c r="AU97" s="69"/>
      <c r="AV97" s="73">
        <v>21</v>
      </c>
      <c r="AW97" s="73">
        <v>27</v>
      </c>
      <c r="AX97" s="73">
        <v>2</v>
      </c>
      <c r="AY97" s="71">
        <f t="shared" si="36"/>
        <v>50</v>
      </c>
      <c r="AZ97" s="70">
        <v>235</v>
      </c>
      <c r="BA97" s="73">
        <v>20</v>
      </c>
      <c r="BB97" s="73">
        <v>14</v>
      </c>
      <c r="BC97" s="63">
        <f t="shared" si="41"/>
        <v>269</v>
      </c>
      <c r="BD97" s="72">
        <f>SUM(Table22[[#This Row],[Good Kernel (gm)]]+(Table22[[#This Row],[Immature (gm)]]+Table22[[#This Row],[Spotted (gm)]])/2)*0.176</f>
        <v>44.351999999999997</v>
      </c>
      <c r="BE97" s="73">
        <v>44.44</v>
      </c>
      <c r="BF97" s="72">
        <f t="shared" si="42"/>
        <v>47.443530000000003</v>
      </c>
      <c r="BG97" s="72">
        <f t="shared" si="37"/>
        <v>51.500039999999998</v>
      </c>
      <c r="BH97" s="72">
        <f>SUM(Table22[[#This Row],[Good Kernel (gm)]:[Spotted (gm)]])/1000*100</f>
        <v>26.900000000000002</v>
      </c>
      <c r="BI97" s="72">
        <f t="shared" si="38"/>
        <v>29.2</v>
      </c>
      <c r="BJ97" s="73">
        <v>9.6999999999999993</v>
      </c>
      <c r="BK97" s="73">
        <v>168</v>
      </c>
      <c r="BL97" s="73">
        <v>676</v>
      </c>
      <c r="BM97" s="73">
        <v>27</v>
      </c>
      <c r="BN97" s="73"/>
      <c r="BO97" s="73">
        <v>14</v>
      </c>
      <c r="BP97" s="73">
        <v>2</v>
      </c>
      <c r="BQ97" s="71">
        <f t="shared" si="39"/>
        <v>43</v>
      </c>
      <c r="BR97" s="73">
        <v>240</v>
      </c>
      <c r="BS97" s="73">
        <v>9</v>
      </c>
      <c r="BT97" s="73">
        <v>12</v>
      </c>
      <c r="BU97" s="63">
        <f t="shared" si="43"/>
        <v>261</v>
      </c>
      <c r="BV97" s="72">
        <f>SUM(Table22[[#This Row],[Good Kernel (G M)]]+(Table22[[#This Row],[Immature (g m)]]+Table22[[#This Row],[Spotted (g m)]])/2)*0.176</f>
        <v>44.088000000000001</v>
      </c>
      <c r="BW97" s="73">
        <v>44.18</v>
      </c>
      <c r="BX97" s="73"/>
      <c r="BY97" s="72">
        <f t="shared" si="44"/>
        <v>46.03257</v>
      </c>
      <c r="BZ97" s="72">
        <f t="shared" si="45"/>
        <v>51.147300000000001</v>
      </c>
      <c r="CA97" s="72">
        <f>SUM(Table22[[#This Row],[Good Kernel (G M)]:[Spotted (g m)]])/1000*100</f>
        <v>26.1</v>
      </c>
      <c r="CB97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97" s="73">
        <v>9.6</v>
      </c>
      <c r="CD97" s="73">
        <v>168</v>
      </c>
      <c r="CE97" s="73">
        <v>690</v>
      </c>
      <c r="CH97" s="184">
        <f ca="1">TODAY()-Table22[[#This Row],[Discharge Date]]</f>
        <v>129</v>
      </c>
    </row>
    <row r="98" spans="1:86" x14ac:dyDescent="0.25">
      <c r="A98" s="50">
        <v>94</v>
      </c>
      <c r="B98" s="73" t="s">
        <v>95</v>
      </c>
      <c r="C98" s="73" t="s">
        <v>96</v>
      </c>
      <c r="D98" s="97">
        <v>94</v>
      </c>
      <c r="E98" s="98"/>
      <c r="F98" s="99">
        <v>694</v>
      </c>
      <c r="G98" s="73"/>
      <c r="H98" s="82"/>
      <c r="I98" s="82"/>
      <c r="J98" s="82"/>
      <c r="K98" s="82" t="s">
        <v>634</v>
      </c>
      <c r="L98" s="54" t="s">
        <v>98</v>
      </c>
      <c r="M98" s="100">
        <v>78913</v>
      </c>
      <c r="N98" s="100" t="s">
        <v>684</v>
      </c>
      <c r="O98" s="73" t="s">
        <v>227</v>
      </c>
      <c r="P98" s="109">
        <v>46330</v>
      </c>
      <c r="Q98" s="101">
        <v>46126</v>
      </c>
      <c r="R98" s="102" t="s">
        <v>228</v>
      </c>
      <c r="S98" s="59" t="s">
        <v>101</v>
      </c>
      <c r="T98" s="102"/>
      <c r="U98" s="102"/>
      <c r="V98" s="51" t="s">
        <v>102</v>
      </c>
      <c r="W98" s="51">
        <v>493</v>
      </c>
      <c r="X98" s="51">
        <v>44</v>
      </c>
      <c r="Y98" s="51">
        <f t="shared" si="40"/>
        <v>537</v>
      </c>
      <c r="Z98" s="51"/>
      <c r="AA98" s="61">
        <f t="shared" si="26"/>
        <v>493</v>
      </c>
      <c r="AB98" s="51">
        <f t="shared" si="46"/>
        <v>0</v>
      </c>
      <c r="AC98" s="88">
        <f t="shared" si="27"/>
        <v>493</v>
      </c>
      <c r="AD98" s="63"/>
      <c r="AE98" s="63">
        <f t="shared" si="28"/>
        <v>44</v>
      </c>
      <c r="AF98" s="63">
        <v>35</v>
      </c>
      <c r="AG98" s="63"/>
      <c r="AH98" s="64">
        <f t="shared" si="29"/>
        <v>537</v>
      </c>
      <c r="AI98" s="62"/>
      <c r="AJ98" s="62"/>
      <c r="AK98" s="62">
        <f t="shared" si="30"/>
        <v>537</v>
      </c>
      <c r="AL98" s="62">
        <f t="shared" si="31"/>
        <v>537</v>
      </c>
      <c r="AM98" s="67">
        <v>45530</v>
      </c>
      <c r="AN98" s="124">
        <f t="shared" si="47"/>
        <v>713</v>
      </c>
      <c r="AO98" s="77">
        <f t="shared" si="32"/>
        <v>44993</v>
      </c>
      <c r="AP98" s="77">
        <f t="shared" si="33"/>
        <v>44817</v>
      </c>
      <c r="AQ98" s="77">
        <f t="shared" si="48"/>
        <v>44817</v>
      </c>
      <c r="AR98" s="67">
        <f t="shared" si="34"/>
        <v>176</v>
      </c>
      <c r="AS98" s="68">
        <f>Table22[[#This Row],[GROSS WT]]-Table22[[#This Row],[Total Bag Discharged (Truck)]]</f>
        <v>44993</v>
      </c>
      <c r="AT98" s="67">
        <f t="shared" si="35"/>
        <v>44993</v>
      </c>
      <c r="AU98" s="69"/>
      <c r="AV98" s="73">
        <v>30</v>
      </c>
      <c r="AW98" s="73">
        <v>17</v>
      </c>
      <c r="AX98" s="73">
        <v>2</v>
      </c>
      <c r="AY98" s="71">
        <f t="shared" si="36"/>
        <v>49</v>
      </c>
      <c r="AZ98" s="70">
        <v>239</v>
      </c>
      <c r="BA98" s="73">
        <v>16</v>
      </c>
      <c r="BB98" s="73">
        <v>10</v>
      </c>
      <c r="BC98" s="63">
        <f t="shared" si="41"/>
        <v>265</v>
      </c>
      <c r="BD98" s="72">
        <f>SUM(Table22[[#This Row],[Good Kernel (gm)]]+(Table22[[#This Row],[Immature (gm)]]+Table22[[#This Row],[Spotted (gm)]])/2)*0.176</f>
        <v>44.351999999999997</v>
      </c>
      <c r="BE98" s="73">
        <v>44.44</v>
      </c>
      <c r="BF98" s="72">
        <f t="shared" si="42"/>
        <v>46.738050000000001</v>
      </c>
      <c r="BG98" s="72">
        <f t="shared" si="37"/>
        <v>52.381889999999999</v>
      </c>
      <c r="BH98" s="72">
        <f>SUM(Table22[[#This Row],[Good Kernel (gm)]:[Spotted (gm)]])/1000*100</f>
        <v>26.5</v>
      </c>
      <c r="BI98" s="72">
        <f t="shared" si="38"/>
        <v>29.7</v>
      </c>
      <c r="BJ98" s="73">
        <v>11</v>
      </c>
      <c r="BK98" s="73">
        <v>176</v>
      </c>
      <c r="BL98" s="73">
        <v>682</v>
      </c>
      <c r="BM98" s="73">
        <v>28</v>
      </c>
      <c r="BN98" s="73"/>
      <c r="BO98" s="73">
        <v>14</v>
      </c>
      <c r="BP98" s="73">
        <v>2</v>
      </c>
      <c r="BQ98" s="71">
        <f t="shared" si="39"/>
        <v>44</v>
      </c>
      <c r="BR98" s="73">
        <v>240</v>
      </c>
      <c r="BS98" s="73">
        <v>17</v>
      </c>
      <c r="BT98" s="73">
        <v>8</v>
      </c>
      <c r="BU98" s="63">
        <f t="shared" si="43"/>
        <v>265</v>
      </c>
      <c r="BV98" s="72">
        <f>SUM(Table22[[#This Row],[Good Kernel (G M)]]+(Table22[[#This Row],[Immature (g m)]]+Table22[[#This Row],[Spotted (g m)]])/2)*0.176</f>
        <v>44.44</v>
      </c>
      <c r="BW98" s="73">
        <v>44.53</v>
      </c>
      <c r="BX98" s="73"/>
      <c r="BY98" s="72">
        <f t="shared" si="44"/>
        <v>46.738050000000001</v>
      </c>
      <c r="BZ98" s="72">
        <f t="shared" si="45"/>
        <v>52.029150000000001</v>
      </c>
      <c r="CA98" s="72">
        <f>SUM(Table22[[#This Row],[Good Kernel (G M)]:[Spotted (g m)]])/1000*100</f>
        <v>26.5</v>
      </c>
      <c r="CB98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98" s="73">
        <v>10.199999999999999</v>
      </c>
      <c r="CD98" s="73">
        <v>180</v>
      </c>
      <c r="CE98" s="73">
        <v>685</v>
      </c>
      <c r="CH98" s="184">
        <f ca="1">TODAY()-Table22[[#This Row],[Discharge Date]]</f>
        <v>129</v>
      </c>
    </row>
    <row r="99" spans="1:86" x14ac:dyDescent="0.25">
      <c r="A99" s="50">
        <v>95</v>
      </c>
      <c r="B99" s="73" t="s">
        <v>95</v>
      </c>
      <c r="C99" s="73" t="s">
        <v>96</v>
      </c>
      <c r="D99" s="114">
        <v>95</v>
      </c>
      <c r="E99" s="98" t="s">
        <v>130</v>
      </c>
      <c r="F99" s="99">
        <v>692</v>
      </c>
      <c r="G99" s="73"/>
      <c r="H99" s="82"/>
      <c r="I99" s="82"/>
      <c r="J99" s="82"/>
      <c r="K99" s="82" t="s">
        <v>634</v>
      </c>
      <c r="L99" s="54" t="s">
        <v>98</v>
      </c>
      <c r="M99" s="111">
        <v>89781</v>
      </c>
      <c r="N99" s="111" t="s">
        <v>643</v>
      </c>
      <c r="O99" s="73" t="s">
        <v>229</v>
      </c>
      <c r="P99" s="109">
        <v>46330</v>
      </c>
      <c r="Q99" s="101">
        <v>46126</v>
      </c>
      <c r="R99" s="102" t="s">
        <v>230</v>
      </c>
      <c r="S99" s="103" t="s">
        <v>231</v>
      </c>
      <c r="T99" s="102" t="s">
        <v>198</v>
      </c>
      <c r="U99" s="102"/>
      <c r="V99" s="73" t="s">
        <v>199</v>
      </c>
      <c r="W99" s="51">
        <v>589</v>
      </c>
      <c r="X99" s="51">
        <v>15</v>
      </c>
      <c r="Y99" s="51">
        <f t="shared" si="40"/>
        <v>604</v>
      </c>
      <c r="Z99" s="51"/>
      <c r="AA99" s="61">
        <f t="shared" si="26"/>
        <v>589</v>
      </c>
      <c r="AB99" s="51">
        <f t="shared" si="46"/>
        <v>0</v>
      </c>
      <c r="AC99" s="88">
        <f t="shared" si="27"/>
        <v>589</v>
      </c>
      <c r="AD99" s="63"/>
      <c r="AE99" s="63">
        <f t="shared" si="28"/>
        <v>15</v>
      </c>
      <c r="AF99" s="63">
        <v>54</v>
      </c>
      <c r="AG99" s="63"/>
      <c r="AH99" s="64">
        <f t="shared" si="29"/>
        <v>604</v>
      </c>
      <c r="AI99" s="62"/>
      <c r="AJ99" s="62"/>
      <c r="AK99" s="62">
        <f t="shared" si="30"/>
        <v>604</v>
      </c>
      <c r="AL99" s="62">
        <f t="shared" si="31"/>
        <v>604</v>
      </c>
      <c r="AM99" s="67">
        <v>50350</v>
      </c>
      <c r="AN99" s="124">
        <f t="shared" si="47"/>
        <v>664</v>
      </c>
      <c r="AO99" s="77">
        <f t="shared" si="32"/>
        <v>49746</v>
      </c>
      <c r="AP99" s="77">
        <f t="shared" si="33"/>
        <v>49686</v>
      </c>
      <c r="AQ99" s="77">
        <f t="shared" si="48"/>
        <v>49686</v>
      </c>
      <c r="AR99" s="67">
        <f t="shared" si="34"/>
        <v>60</v>
      </c>
      <c r="AS99" s="68">
        <f>Table22[[#This Row],[GROSS WT]]-Table22[[#This Row],[Total Bag Discharged (Truck)]]</f>
        <v>49746</v>
      </c>
      <c r="AT99" s="67">
        <f t="shared" si="35"/>
        <v>49746</v>
      </c>
      <c r="AU99" s="69"/>
      <c r="AV99" s="73">
        <v>24</v>
      </c>
      <c r="AW99" s="73">
        <v>25</v>
      </c>
      <c r="AX99" s="73">
        <v>3</v>
      </c>
      <c r="AY99" s="71">
        <f t="shared" si="36"/>
        <v>52</v>
      </c>
      <c r="AZ99" s="70">
        <v>225</v>
      </c>
      <c r="BA99" s="73">
        <v>22</v>
      </c>
      <c r="BB99" s="73">
        <v>12</v>
      </c>
      <c r="BC99" s="63">
        <f t="shared" si="41"/>
        <v>259</v>
      </c>
      <c r="BD99" s="72">
        <f>SUM(Table22[[#This Row],[Good Kernel (gm)]]+(Table22[[#This Row],[Immature (gm)]]+Table22[[#This Row],[Spotted (gm)]])/2)*0.176</f>
        <v>42.591999999999999</v>
      </c>
      <c r="BE99" s="73">
        <v>42.68</v>
      </c>
      <c r="BF99" s="72">
        <f t="shared" si="42"/>
        <v>45.679830000000003</v>
      </c>
      <c r="BG99" s="72">
        <f t="shared" si="37"/>
        <v>50.44182</v>
      </c>
      <c r="BH99" s="72">
        <f>SUM(Table22[[#This Row],[Good Kernel (gm)]:[Spotted (gm)]])/1000*100</f>
        <v>25.900000000000002</v>
      </c>
      <c r="BI99" s="72">
        <f t="shared" si="38"/>
        <v>28.599999999999998</v>
      </c>
      <c r="BJ99" s="73">
        <v>12.4</v>
      </c>
      <c r="BK99" s="73">
        <v>171</v>
      </c>
      <c r="BL99" s="73">
        <v>683</v>
      </c>
      <c r="BM99" s="73">
        <v>22</v>
      </c>
      <c r="BN99" s="73"/>
      <c r="BO99" s="73">
        <v>31</v>
      </c>
      <c r="BP99" s="73">
        <v>3</v>
      </c>
      <c r="BQ99" s="71">
        <f t="shared" si="39"/>
        <v>56</v>
      </c>
      <c r="BR99" s="73">
        <v>226</v>
      </c>
      <c r="BS99" s="73">
        <v>18</v>
      </c>
      <c r="BT99" s="73">
        <v>17</v>
      </c>
      <c r="BU99" s="63">
        <f t="shared" si="43"/>
        <v>261</v>
      </c>
      <c r="BV99" s="72">
        <f>SUM(Table22[[#This Row],[Good Kernel (G M)]]+(Table22[[#This Row],[Immature (g m)]]+Table22[[#This Row],[Spotted (g m)]])/2)*0.176</f>
        <v>42.855999999999995</v>
      </c>
      <c r="BW99" s="73">
        <v>42.41</v>
      </c>
      <c r="BX99" s="73"/>
      <c r="BY99" s="72">
        <f t="shared" si="44"/>
        <v>46.03257</v>
      </c>
      <c r="BZ99" s="72">
        <f t="shared" si="45"/>
        <v>50.44182</v>
      </c>
      <c r="CA99" s="72">
        <f>SUM(Table22[[#This Row],[Good Kernel (G M)]:[Spotted (g m)]])/1000*100</f>
        <v>26.1</v>
      </c>
      <c r="CB99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99" s="73">
        <v>12.3</v>
      </c>
      <c r="CD99" s="73">
        <v>169</v>
      </c>
      <c r="CE99" s="73">
        <v>683</v>
      </c>
      <c r="CH99" s="184">
        <f ca="1">TODAY()-Table22[[#This Row],[Discharge Date]]</f>
        <v>129</v>
      </c>
    </row>
    <row r="100" spans="1:86" x14ac:dyDescent="0.25">
      <c r="A100" s="50">
        <v>96</v>
      </c>
      <c r="B100" s="73" t="s">
        <v>95</v>
      </c>
      <c r="C100" s="73" t="s">
        <v>96</v>
      </c>
      <c r="D100" s="97">
        <v>96</v>
      </c>
      <c r="E100" s="98" t="s">
        <v>130</v>
      </c>
      <c r="F100" s="99">
        <v>691</v>
      </c>
      <c r="G100" s="73"/>
      <c r="H100" s="82"/>
      <c r="I100" s="82"/>
      <c r="J100" s="82"/>
      <c r="K100" s="82" t="s">
        <v>638</v>
      </c>
      <c r="L100" s="54" t="s">
        <v>98</v>
      </c>
      <c r="M100" s="111">
        <v>89770</v>
      </c>
      <c r="N100" s="111" t="s">
        <v>643</v>
      </c>
      <c r="O100" s="73" t="s">
        <v>232</v>
      </c>
      <c r="P100" s="109">
        <v>46330</v>
      </c>
      <c r="Q100" s="101">
        <v>46126</v>
      </c>
      <c r="R100" s="102" t="s">
        <v>230</v>
      </c>
      <c r="S100" s="103" t="s">
        <v>231</v>
      </c>
      <c r="T100" s="102" t="s">
        <v>198</v>
      </c>
      <c r="U100" s="102"/>
      <c r="V100" s="73" t="s">
        <v>199</v>
      </c>
      <c r="W100" s="51">
        <v>583</v>
      </c>
      <c r="X100" s="51">
        <v>15</v>
      </c>
      <c r="Y100" s="51">
        <f t="shared" si="40"/>
        <v>598</v>
      </c>
      <c r="Z100" s="51"/>
      <c r="AA100" s="61">
        <f t="shared" si="26"/>
        <v>583</v>
      </c>
      <c r="AB100" s="51">
        <f t="shared" si="46"/>
        <v>0</v>
      </c>
      <c r="AC100" s="88">
        <f t="shared" si="27"/>
        <v>583</v>
      </c>
      <c r="AD100" s="63"/>
      <c r="AE100" s="63">
        <f t="shared" si="28"/>
        <v>15</v>
      </c>
      <c r="AF100" s="63">
        <v>59</v>
      </c>
      <c r="AG100" s="63"/>
      <c r="AH100" s="64">
        <f t="shared" si="29"/>
        <v>598</v>
      </c>
      <c r="AI100" s="62"/>
      <c r="AJ100" s="62"/>
      <c r="AK100" s="62">
        <f t="shared" si="30"/>
        <v>598</v>
      </c>
      <c r="AL100" s="62">
        <f t="shared" si="31"/>
        <v>598</v>
      </c>
      <c r="AM100" s="67">
        <v>50530</v>
      </c>
      <c r="AN100" s="124">
        <f t="shared" si="47"/>
        <v>658</v>
      </c>
      <c r="AO100" s="77">
        <f t="shared" si="32"/>
        <v>49932</v>
      </c>
      <c r="AP100" s="77">
        <f t="shared" si="33"/>
        <v>49872</v>
      </c>
      <c r="AQ100" s="77">
        <f t="shared" si="48"/>
        <v>49872</v>
      </c>
      <c r="AR100" s="67">
        <f t="shared" si="34"/>
        <v>60</v>
      </c>
      <c r="AS100" s="68">
        <f>Table22[[#This Row],[GROSS WT]]-Table22[[#This Row],[Total Bag Discharged (Truck)]]</f>
        <v>49932</v>
      </c>
      <c r="AT100" s="67">
        <f t="shared" si="35"/>
        <v>49932</v>
      </c>
      <c r="AU100" s="69"/>
      <c r="AV100" s="73">
        <v>23</v>
      </c>
      <c r="AW100" s="73">
        <v>18</v>
      </c>
      <c r="AX100" s="73">
        <v>0</v>
      </c>
      <c r="AY100" s="71">
        <f t="shared" si="36"/>
        <v>41</v>
      </c>
      <c r="AZ100" s="70">
        <v>224</v>
      </c>
      <c r="BA100" s="73">
        <v>22</v>
      </c>
      <c r="BB100" s="73">
        <v>10</v>
      </c>
      <c r="BC100" s="63">
        <f t="shared" si="41"/>
        <v>256</v>
      </c>
      <c r="BD100" s="72">
        <f>SUM(Table22[[#This Row],[Good Kernel (gm)]]+(Table22[[#This Row],[Immature (gm)]]+Table22[[#This Row],[Spotted (gm)]])/2)*0.176</f>
        <v>42.239999999999995</v>
      </c>
      <c r="BE100" s="73">
        <v>42.32</v>
      </c>
      <c r="BF100" s="72">
        <f t="shared" si="42"/>
        <v>45.15072</v>
      </c>
      <c r="BG100" s="72">
        <f t="shared" si="37"/>
        <v>49.207230000000003</v>
      </c>
      <c r="BH100" s="72">
        <f>SUM(Table22[[#This Row],[Good Kernel (gm)]:[Spotted (gm)]])/1000*100</f>
        <v>25.6</v>
      </c>
      <c r="BI100" s="72">
        <f t="shared" si="38"/>
        <v>27.900000000000002</v>
      </c>
      <c r="BJ100" s="73">
        <v>11.4</v>
      </c>
      <c r="BK100" s="73">
        <v>165</v>
      </c>
      <c r="BL100" s="73">
        <v>695</v>
      </c>
      <c r="BM100" s="73">
        <v>28</v>
      </c>
      <c r="BN100" s="73"/>
      <c r="BO100" s="73">
        <v>19</v>
      </c>
      <c r="BP100" s="73">
        <v>2</v>
      </c>
      <c r="BQ100" s="71">
        <f t="shared" si="39"/>
        <v>49</v>
      </c>
      <c r="BR100" s="73">
        <v>223</v>
      </c>
      <c r="BS100" s="73">
        <v>25</v>
      </c>
      <c r="BT100" s="73">
        <v>12</v>
      </c>
      <c r="BU100" s="63">
        <f t="shared" si="43"/>
        <v>260</v>
      </c>
      <c r="BV100" s="72">
        <f>SUM(Table22[[#This Row],[Good Kernel (G M)]]+(Table22[[#This Row],[Immature (g m)]]+Table22[[#This Row],[Spotted (g m)]])/2)*0.176</f>
        <v>42.503999999999998</v>
      </c>
      <c r="BW100" s="73">
        <v>42.58</v>
      </c>
      <c r="BX100" s="73"/>
      <c r="BY100" s="72">
        <f t="shared" si="44"/>
        <v>45.856200000000001</v>
      </c>
      <c r="BZ100" s="72">
        <f t="shared" si="45"/>
        <v>51.147300000000001</v>
      </c>
      <c r="CA100" s="72">
        <f>SUM(Table22[[#This Row],[Good Kernel (G M)]:[Spotted (g m)]])/1000*100</f>
        <v>26</v>
      </c>
      <c r="CB100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00" s="73">
        <v>11.1</v>
      </c>
      <c r="CD100" s="73">
        <v>168</v>
      </c>
      <c r="CE100" s="73">
        <v>689</v>
      </c>
      <c r="CH100" s="184">
        <f ca="1">TODAY()-Table22[[#This Row],[Discharge Date]]</f>
        <v>129</v>
      </c>
    </row>
    <row r="101" spans="1:86" x14ac:dyDescent="0.25">
      <c r="A101" s="50">
        <v>97</v>
      </c>
      <c r="B101" s="73" t="s">
        <v>95</v>
      </c>
      <c r="C101" s="73" t="s">
        <v>96</v>
      </c>
      <c r="D101" s="97">
        <v>97</v>
      </c>
      <c r="E101" s="132"/>
      <c r="F101" s="99">
        <v>603</v>
      </c>
      <c r="G101" s="73"/>
      <c r="H101" s="82"/>
      <c r="I101" s="82"/>
      <c r="J101" s="82"/>
      <c r="K101" s="82" t="s">
        <v>634</v>
      </c>
      <c r="L101" s="82"/>
      <c r="M101" s="100">
        <v>78874</v>
      </c>
      <c r="N101" s="100" t="s">
        <v>684</v>
      </c>
      <c r="O101" s="73" t="s">
        <v>233</v>
      </c>
      <c r="P101" s="97" t="s">
        <v>234</v>
      </c>
      <c r="Q101" s="101">
        <v>46127</v>
      </c>
      <c r="R101" s="102" t="s">
        <v>100</v>
      </c>
      <c r="S101" s="59" t="s">
        <v>101</v>
      </c>
      <c r="T101" s="102"/>
      <c r="U101" s="102"/>
      <c r="V101" s="51" t="s">
        <v>102</v>
      </c>
      <c r="W101" s="51">
        <v>660</v>
      </c>
      <c r="X101" s="51">
        <v>69</v>
      </c>
      <c r="Y101" s="51">
        <f t="shared" si="40"/>
        <v>729</v>
      </c>
      <c r="Z101" s="51"/>
      <c r="AA101" s="61">
        <f t="shared" si="26"/>
        <v>660</v>
      </c>
      <c r="AB101" s="51">
        <f t="shared" si="46"/>
        <v>0</v>
      </c>
      <c r="AC101" s="88">
        <f t="shared" si="27"/>
        <v>660</v>
      </c>
      <c r="AD101" s="63"/>
      <c r="AE101" s="63">
        <f t="shared" si="28"/>
        <v>69</v>
      </c>
      <c r="AF101" s="63">
        <v>128</v>
      </c>
      <c r="AG101" s="63"/>
      <c r="AH101" s="64">
        <f t="shared" si="29"/>
        <v>729</v>
      </c>
      <c r="AI101" s="62"/>
      <c r="AJ101" s="62"/>
      <c r="AK101" s="62">
        <f t="shared" si="30"/>
        <v>729</v>
      </c>
      <c r="AL101" s="62">
        <f t="shared" si="31"/>
        <v>729</v>
      </c>
      <c r="AM101" s="67">
        <v>52820</v>
      </c>
      <c r="AN101" s="124">
        <f t="shared" si="47"/>
        <v>1005</v>
      </c>
      <c r="AO101" s="77">
        <f t="shared" si="32"/>
        <v>52091</v>
      </c>
      <c r="AP101" s="77">
        <f t="shared" si="33"/>
        <v>51815</v>
      </c>
      <c r="AQ101" s="77">
        <f t="shared" si="48"/>
        <v>51815</v>
      </c>
      <c r="AR101" s="67">
        <f t="shared" si="34"/>
        <v>276</v>
      </c>
      <c r="AS101" s="68">
        <f>Table22[[#This Row],[GROSS WT]]-Table22[[#This Row],[Total Bag Discharged (Truck)]]</f>
        <v>52091</v>
      </c>
      <c r="AT101" s="67">
        <f t="shared" si="35"/>
        <v>52091</v>
      </c>
      <c r="AU101" s="69"/>
      <c r="AV101" s="73">
        <v>28</v>
      </c>
      <c r="AW101" s="73">
        <v>19</v>
      </c>
      <c r="AX101" s="73">
        <v>2</v>
      </c>
      <c r="AY101" s="71">
        <f t="shared" si="36"/>
        <v>49</v>
      </c>
      <c r="AZ101" s="70">
        <v>238</v>
      </c>
      <c r="BA101" s="73">
        <v>14</v>
      </c>
      <c r="BB101" s="73">
        <v>11</v>
      </c>
      <c r="BC101" s="63">
        <f t="shared" si="41"/>
        <v>263</v>
      </c>
      <c r="BD101" s="72">
        <f>SUM(Table22[[#This Row],[Good Kernel (gm)]]+(Table22[[#This Row],[Immature (gm)]]+Table22[[#This Row],[Spotted (gm)]])/2)*0.176</f>
        <v>44.088000000000001</v>
      </c>
      <c r="BE101" s="73">
        <v>44.18</v>
      </c>
      <c r="BF101" s="72">
        <f t="shared" si="42"/>
        <v>46.385309999999997</v>
      </c>
      <c r="BG101" s="72">
        <f t="shared" si="37"/>
        <v>51.676409999999997</v>
      </c>
      <c r="BH101" s="72">
        <f>SUM(Table22[[#This Row],[Good Kernel (gm)]:[Spotted (gm)]])/1000*100</f>
        <v>26.3</v>
      </c>
      <c r="BI101" s="72">
        <f t="shared" si="38"/>
        <v>29.299999999999997</v>
      </c>
      <c r="BJ101" s="73">
        <v>11.3</v>
      </c>
      <c r="BK101" s="73">
        <v>182</v>
      </c>
      <c r="BL101" s="73">
        <v>683</v>
      </c>
      <c r="BM101" s="73">
        <v>29</v>
      </c>
      <c r="BN101" s="73"/>
      <c r="BO101" s="73">
        <v>12</v>
      </c>
      <c r="BP101" s="73">
        <v>2</v>
      </c>
      <c r="BQ101" s="71">
        <f t="shared" si="39"/>
        <v>43</v>
      </c>
      <c r="BR101" s="73">
        <v>242</v>
      </c>
      <c r="BS101" s="73">
        <v>13</v>
      </c>
      <c r="BT101" s="73">
        <v>10</v>
      </c>
      <c r="BU101" s="63">
        <f t="shared" si="43"/>
        <v>265</v>
      </c>
      <c r="BV101" s="72">
        <f>SUM(Table22[[#This Row],[Good Kernel (G M)]]+(Table22[[#This Row],[Immature (g m)]]+Table22[[#This Row],[Spotted (g m)]])/2)*0.176</f>
        <v>44.616</v>
      </c>
      <c r="BW101" s="73">
        <v>44.62</v>
      </c>
      <c r="BX101" s="73"/>
      <c r="BY101" s="72">
        <f t="shared" si="44"/>
        <v>46.738050000000001</v>
      </c>
      <c r="BZ101" s="72">
        <f t="shared" si="45"/>
        <v>52.20552</v>
      </c>
      <c r="CA101" s="72">
        <f>SUM(Table22[[#This Row],[Good Kernel (G M)]:[Spotted (g m)]])/1000*100</f>
        <v>26.5</v>
      </c>
      <c r="CB101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01" s="73">
        <v>10.5</v>
      </c>
      <c r="CD101" s="73">
        <v>177</v>
      </c>
      <c r="CE101" s="73">
        <v>686</v>
      </c>
      <c r="CF101" s="130"/>
      <c r="CH101" s="184">
        <f ca="1">TODAY()-Table22[[#This Row],[Discharge Date]]</f>
        <v>128</v>
      </c>
    </row>
    <row r="102" spans="1:86" x14ac:dyDescent="0.25">
      <c r="A102" s="50">
        <v>98</v>
      </c>
      <c r="B102" s="73" t="s">
        <v>95</v>
      </c>
      <c r="C102" s="73" t="s">
        <v>96</v>
      </c>
      <c r="D102" s="114">
        <v>98</v>
      </c>
      <c r="E102" s="132"/>
      <c r="F102" s="99">
        <v>699</v>
      </c>
      <c r="G102" s="73"/>
      <c r="H102" s="82"/>
      <c r="I102" s="82"/>
      <c r="J102" s="82"/>
      <c r="K102" s="82"/>
      <c r="L102" s="82"/>
      <c r="M102" s="100">
        <v>78870</v>
      </c>
      <c r="N102" s="100" t="s">
        <v>684</v>
      </c>
      <c r="O102" s="73" t="s">
        <v>235</v>
      </c>
      <c r="P102" s="97" t="s">
        <v>236</v>
      </c>
      <c r="Q102" s="101">
        <v>46127</v>
      </c>
      <c r="R102" s="102" t="s">
        <v>100</v>
      </c>
      <c r="S102" s="59" t="s">
        <v>101</v>
      </c>
      <c r="T102" s="102"/>
      <c r="U102" s="102"/>
      <c r="V102" s="51" t="s">
        <v>102</v>
      </c>
      <c r="W102" s="51">
        <v>632</v>
      </c>
      <c r="X102" s="51">
        <v>40</v>
      </c>
      <c r="Y102" s="51">
        <f t="shared" si="40"/>
        <v>672</v>
      </c>
      <c r="Z102" s="51"/>
      <c r="AA102" s="61">
        <f t="shared" si="26"/>
        <v>632</v>
      </c>
      <c r="AB102" s="51">
        <f t="shared" si="46"/>
        <v>0</v>
      </c>
      <c r="AC102" s="88">
        <f t="shared" si="27"/>
        <v>632</v>
      </c>
      <c r="AD102" s="63"/>
      <c r="AE102" s="63">
        <f t="shared" si="28"/>
        <v>40</v>
      </c>
      <c r="AF102" s="63">
        <v>84</v>
      </c>
      <c r="AG102" s="63"/>
      <c r="AH102" s="64">
        <f t="shared" si="29"/>
        <v>672</v>
      </c>
      <c r="AI102" s="62"/>
      <c r="AJ102" s="62"/>
      <c r="AK102" s="62">
        <f t="shared" si="30"/>
        <v>672</v>
      </c>
      <c r="AL102" s="62">
        <f t="shared" si="31"/>
        <v>672</v>
      </c>
      <c r="AM102" s="67">
        <v>50320</v>
      </c>
      <c r="AN102" s="124">
        <f t="shared" si="47"/>
        <v>832</v>
      </c>
      <c r="AO102" s="77">
        <f t="shared" si="32"/>
        <v>49648</v>
      </c>
      <c r="AP102" s="77">
        <f t="shared" si="33"/>
        <v>49488</v>
      </c>
      <c r="AQ102" s="77">
        <f t="shared" si="48"/>
        <v>49488</v>
      </c>
      <c r="AR102" s="67">
        <f t="shared" si="34"/>
        <v>160</v>
      </c>
      <c r="AS102" s="68">
        <f>Table22[[#This Row],[GROSS WT]]-Table22[[#This Row],[Total Bag Discharged (Truck)]]</f>
        <v>49648</v>
      </c>
      <c r="AT102" s="67">
        <f t="shared" si="35"/>
        <v>49648</v>
      </c>
      <c r="AU102" s="69"/>
      <c r="AV102" s="73">
        <v>31</v>
      </c>
      <c r="AW102" s="73">
        <v>16</v>
      </c>
      <c r="AX102" s="73">
        <v>2</v>
      </c>
      <c r="AY102" s="71">
        <f t="shared" si="36"/>
        <v>49</v>
      </c>
      <c r="AZ102" s="70">
        <v>230</v>
      </c>
      <c r="BA102" s="73">
        <v>22</v>
      </c>
      <c r="BB102" s="73">
        <v>13</v>
      </c>
      <c r="BC102" s="63">
        <f t="shared" si="41"/>
        <v>265</v>
      </c>
      <c r="BD102" s="72">
        <f>SUM(Table22[[#This Row],[Good Kernel (gm)]]+(Table22[[#This Row],[Immature (gm)]]+Table22[[#This Row],[Spotted (gm)]])/2)*0.176</f>
        <v>43.559999999999995</v>
      </c>
      <c r="BE102" s="73">
        <v>43.65</v>
      </c>
      <c r="BF102" s="72">
        <f t="shared" si="42"/>
        <v>46.738050000000001</v>
      </c>
      <c r="BG102" s="72">
        <f t="shared" si="37"/>
        <v>52.558259999999997</v>
      </c>
      <c r="BH102" s="72">
        <f>SUM(Table22[[#This Row],[Good Kernel (gm)]:[Spotted (gm)]])/1000*100</f>
        <v>26.5</v>
      </c>
      <c r="BI102" s="72">
        <f t="shared" si="38"/>
        <v>29.799999999999997</v>
      </c>
      <c r="BJ102" s="73">
        <v>9.3000000000000007</v>
      </c>
      <c r="BK102" s="73">
        <v>186</v>
      </c>
      <c r="BL102" s="73">
        <v>685</v>
      </c>
      <c r="BM102" s="73">
        <v>32</v>
      </c>
      <c r="BN102" s="73"/>
      <c r="BO102" s="73">
        <v>21</v>
      </c>
      <c r="BP102" s="73">
        <v>2</v>
      </c>
      <c r="BQ102" s="71">
        <f t="shared" si="39"/>
        <v>55</v>
      </c>
      <c r="BR102" s="73">
        <v>235</v>
      </c>
      <c r="BS102" s="73">
        <v>18</v>
      </c>
      <c r="BT102" s="73">
        <v>9</v>
      </c>
      <c r="BU102" s="63">
        <f t="shared" si="43"/>
        <v>262</v>
      </c>
      <c r="BV102" s="72">
        <f>SUM(Table22[[#This Row],[Good Kernel (G M)]]+(Table22[[#This Row],[Immature (g m)]]+Table22[[#This Row],[Spotted (g m)]])/2)*0.176</f>
        <v>43.735999999999997</v>
      </c>
      <c r="BW102" s="73">
        <v>43.82</v>
      </c>
      <c r="BX102" s="73"/>
      <c r="BY102" s="72">
        <f t="shared" si="44"/>
        <v>46.208939999999998</v>
      </c>
      <c r="BZ102" s="72">
        <f t="shared" si="45"/>
        <v>52.20552</v>
      </c>
      <c r="CA102" s="72">
        <f>SUM(Table22[[#This Row],[Good Kernel (G M)]:[Spotted (g m)]])/1000*100</f>
        <v>26.200000000000003</v>
      </c>
      <c r="CB102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02" s="73">
        <v>9.8000000000000007</v>
      </c>
      <c r="CD102" s="73">
        <v>184</v>
      </c>
      <c r="CE102" s="73">
        <v>677</v>
      </c>
      <c r="CH102" s="184">
        <f ca="1">TODAY()-Table22[[#This Row],[Discharge Date]]</f>
        <v>128</v>
      </c>
    </row>
    <row r="103" spans="1:86" x14ac:dyDescent="0.25">
      <c r="A103" s="50">
        <v>99</v>
      </c>
      <c r="B103" s="73" t="s">
        <v>95</v>
      </c>
      <c r="C103" s="73" t="s">
        <v>96</v>
      </c>
      <c r="D103" s="97">
        <v>99</v>
      </c>
      <c r="E103" s="132"/>
      <c r="F103" s="99">
        <v>601</v>
      </c>
      <c r="G103" s="73"/>
      <c r="H103" s="82"/>
      <c r="I103" s="82"/>
      <c r="J103" s="82"/>
      <c r="K103" s="82" t="s">
        <v>634</v>
      </c>
      <c r="L103" s="82"/>
      <c r="M103" s="100">
        <v>60071</v>
      </c>
      <c r="N103" s="100" t="s">
        <v>685</v>
      </c>
      <c r="O103" s="73" t="s">
        <v>237</v>
      </c>
      <c r="P103" s="109">
        <v>46330</v>
      </c>
      <c r="Q103" s="101">
        <v>46127</v>
      </c>
      <c r="R103" s="102" t="s">
        <v>238</v>
      </c>
      <c r="S103" s="103" t="s">
        <v>317</v>
      </c>
      <c r="T103" s="103" t="s">
        <v>534</v>
      </c>
      <c r="U103" s="103" t="s">
        <v>421</v>
      </c>
      <c r="V103" s="73" t="s">
        <v>140</v>
      </c>
      <c r="W103" s="51">
        <v>457</v>
      </c>
      <c r="X103" s="51">
        <v>40</v>
      </c>
      <c r="Y103" s="51">
        <f t="shared" si="40"/>
        <v>497</v>
      </c>
      <c r="Z103" s="51"/>
      <c r="AA103" s="61">
        <f t="shared" si="26"/>
        <v>457</v>
      </c>
      <c r="AB103" s="51">
        <f t="shared" si="46"/>
        <v>0</v>
      </c>
      <c r="AC103" s="88">
        <f t="shared" si="27"/>
        <v>457</v>
      </c>
      <c r="AD103" s="63"/>
      <c r="AE103" s="63">
        <f t="shared" si="28"/>
        <v>40</v>
      </c>
      <c r="AF103" s="63">
        <v>12</v>
      </c>
      <c r="AG103" s="63"/>
      <c r="AH103" s="64">
        <f t="shared" si="29"/>
        <v>497</v>
      </c>
      <c r="AI103" s="62"/>
      <c r="AJ103" s="62"/>
      <c r="AK103" s="62">
        <f t="shared" si="30"/>
        <v>497</v>
      </c>
      <c r="AL103" s="62">
        <f t="shared" si="31"/>
        <v>497</v>
      </c>
      <c r="AM103" s="67">
        <v>43200</v>
      </c>
      <c r="AN103" s="124">
        <f t="shared" si="47"/>
        <v>657</v>
      </c>
      <c r="AO103" s="77">
        <f t="shared" si="32"/>
        <v>42703</v>
      </c>
      <c r="AP103" s="77">
        <f t="shared" si="33"/>
        <v>42543</v>
      </c>
      <c r="AQ103" s="77">
        <f t="shared" si="48"/>
        <v>42543</v>
      </c>
      <c r="AR103" s="67">
        <f t="shared" si="34"/>
        <v>160</v>
      </c>
      <c r="AS103" s="68">
        <f>Table22[[#This Row],[GROSS WT]]-Table22[[#This Row],[Total Bag Discharged (Truck)]]</f>
        <v>42703</v>
      </c>
      <c r="AT103" s="67">
        <f t="shared" si="35"/>
        <v>42703</v>
      </c>
      <c r="AU103" s="69"/>
      <c r="AV103" s="73">
        <v>29</v>
      </c>
      <c r="AW103" s="73">
        <v>22</v>
      </c>
      <c r="AX103" s="73">
        <v>2</v>
      </c>
      <c r="AY103" s="71">
        <f t="shared" si="36"/>
        <v>53</v>
      </c>
      <c r="AZ103" s="70">
        <v>237</v>
      </c>
      <c r="BA103" s="73">
        <v>9</v>
      </c>
      <c r="BB103" s="73">
        <v>16</v>
      </c>
      <c r="BC103" s="63">
        <f t="shared" si="41"/>
        <v>262</v>
      </c>
      <c r="BD103" s="72">
        <f>SUM(Table22[[#This Row],[Good Kernel (gm)]]+(Table22[[#This Row],[Immature (gm)]]+Table22[[#This Row],[Spotted (gm)]])/2)*0.176</f>
        <v>43.911999999999999</v>
      </c>
      <c r="BE103" s="73">
        <v>44</v>
      </c>
      <c r="BF103" s="72">
        <f t="shared" si="42"/>
        <v>46.208939999999998</v>
      </c>
      <c r="BG103" s="72">
        <f t="shared" si="37"/>
        <v>51.676409999999997</v>
      </c>
      <c r="BH103" s="72">
        <f>SUM(Table22[[#This Row],[Good Kernel (gm)]:[Spotted (gm)]])/1000*100</f>
        <v>26.200000000000003</v>
      </c>
      <c r="BI103" s="72">
        <f t="shared" si="38"/>
        <v>29.299999999999997</v>
      </c>
      <c r="BJ103" s="73">
        <v>11.3</v>
      </c>
      <c r="BK103" s="73">
        <v>182</v>
      </c>
      <c r="BL103" s="73">
        <v>679</v>
      </c>
      <c r="BM103" s="73">
        <v>30</v>
      </c>
      <c r="BN103" s="73"/>
      <c r="BO103" s="73">
        <v>23</v>
      </c>
      <c r="BP103" s="73">
        <v>2</v>
      </c>
      <c r="BQ103" s="71">
        <f t="shared" si="39"/>
        <v>55</v>
      </c>
      <c r="BR103" s="73">
        <v>239</v>
      </c>
      <c r="BS103" s="73">
        <v>9</v>
      </c>
      <c r="BT103" s="73">
        <v>14</v>
      </c>
      <c r="BU103" s="63">
        <f t="shared" si="43"/>
        <v>262</v>
      </c>
      <c r="BV103" s="72">
        <f>SUM(Table22[[#This Row],[Good Kernel (G M)]]+(Table22[[#This Row],[Immature (g m)]]+Table22[[#This Row],[Spotted (g m)]])/2)*0.176</f>
        <v>44.088000000000001</v>
      </c>
      <c r="BW103" s="73">
        <v>44.18</v>
      </c>
      <c r="BX103" s="73"/>
      <c r="BY103" s="72">
        <f t="shared" si="44"/>
        <v>46.208939999999998</v>
      </c>
      <c r="BZ103" s="72">
        <f t="shared" si="45"/>
        <v>51.852780000000003</v>
      </c>
      <c r="CA103" s="72">
        <f>SUM(Table22[[#This Row],[Good Kernel (G M)]:[Spotted (g m)]])/1000*100</f>
        <v>26.200000000000003</v>
      </c>
      <c r="CB103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03" s="73">
        <v>12.1</v>
      </c>
      <c r="CD103" s="73">
        <v>179</v>
      </c>
      <c r="CE103" s="73">
        <v>678</v>
      </c>
      <c r="CH103" s="184">
        <f ca="1">TODAY()-Table22[[#This Row],[Discharge Date]]</f>
        <v>128</v>
      </c>
    </row>
    <row r="104" spans="1:86" x14ac:dyDescent="0.25">
      <c r="A104" s="50">
        <v>100</v>
      </c>
      <c r="B104" s="73" t="s">
        <v>95</v>
      </c>
      <c r="C104" s="73" t="s">
        <v>96</v>
      </c>
      <c r="D104" s="97">
        <v>100</v>
      </c>
      <c r="E104" s="132"/>
      <c r="F104" s="99">
        <v>602</v>
      </c>
      <c r="G104" s="73"/>
      <c r="H104" s="82"/>
      <c r="I104" s="82"/>
      <c r="J104" s="82"/>
      <c r="K104" s="82" t="s">
        <v>634</v>
      </c>
      <c r="L104" s="82"/>
      <c r="M104" s="100">
        <v>86148</v>
      </c>
      <c r="N104" s="100" t="s">
        <v>685</v>
      </c>
      <c r="O104" s="73" t="s">
        <v>239</v>
      </c>
      <c r="P104" s="97" t="s">
        <v>236</v>
      </c>
      <c r="Q104" s="101">
        <v>46127</v>
      </c>
      <c r="R104" s="102" t="s">
        <v>240</v>
      </c>
      <c r="S104" s="121" t="s">
        <v>201</v>
      </c>
      <c r="T104" s="102"/>
      <c r="U104" s="102"/>
      <c r="V104" s="113" t="s">
        <v>202</v>
      </c>
      <c r="W104" s="51">
        <v>292</v>
      </c>
      <c r="X104" s="51">
        <v>45</v>
      </c>
      <c r="Y104" s="51">
        <f t="shared" si="40"/>
        <v>337</v>
      </c>
      <c r="Z104" s="51"/>
      <c r="AA104" s="61">
        <f t="shared" si="26"/>
        <v>292</v>
      </c>
      <c r="AB104" s="51">
        <f t="shared" si="46"/>
        <v>0</v>
      </c>
      <c r="AC104" s="88">
        <f t="shared" si="27"/>
        <v>292</v>
      </c>
      <c r="AD104" s="63"/>
      <c r="AE104" s="63">
        <f t="shared" si="28"/>
        <v>45</v>
      </c>
      <c r="AF104" s="63">
        <v>10</v>
      </c>
      <c r="AG104" s="63"/>
      <c r="AH104" s="64">
        <f t="shared" si="29"/>
        <v>337</v>
      </c>
      <c r="AI104" s="62"/>
      <c r="AJ104" s="62"/>
      <c r="AK104" s="62">
        <f t="shared" si="30"/>
        <v>337</v>
      </c>
      <c r="AL104" s="62">
        <f t="shared" si="31"/>
        <v>337</v>
      </c>
      <c r="AM104" s="67">
        <v>28660</v>
      </c>
      <c r="AN104" s="124">
        <f t="shared" si="47"/>
        <v>517</v>
      </c>
      <c r="AO104" s="77">
        <f t="shared" si="32"/>
        <v>28323</v>
      </c>
      <c r="AP104" s="77">
        <f t="shared" si="33"/>
        <v>28143</v>
      </c>
      <c r="AQ104" s="77">
        <f t="shared" si="48"/>
        <v>28143</v>
      </c>
      <c r="AR104" s="67">
        <f t="shared" si="34"/>
        <v>180</v>
      </c>
      <c r="AS104" s="68">
        <f>Table22[[#This Row],[GROSS WT]]-Table22[[#This Row],[Total Bag Discharged (Truck)]]</f>
        <v>28323</v>
      </c>
      <c r="AT104" s="67">
        <f t="shared" si="35"/>
        <v>28323</v>
      </c>
      <c r="AU104" s="69"/>
      <c r="AV104" s="73">
        <v>33</v>
      </c>
      <c r="AW104" s="73">
        <v>14</v>
      </c>
      <c r="AX104" s="73">
        <v>2</v>
      </c>
      <c r="AY104" s="71">
        <f t="shared" si="36"/>
        <v>49</v>
      </c>
      <c r="AZ104" s="70">
        <v>232</v>
      </c>
      <c r="BA104" s="73">
        <v>18</v>
      </c>
      <c r="BB104" s="73">
        <v>10</v>
      </c>
      <c r="BC104" s="63">
        <f t="shared" si="41"/>
        <v>260</v>
      </c>
      <c r="BD104" s="72">
        <f>SUM(Table22[[#This Row],[Good Kernel (gm)]]+(Table22[[#This Row],[Immature (gm)]]+Table22[[#This Row],[Spotted (gm)]])/2)*0.176</f>
        <v>43.295999999999999</v>
      </c>
      <c r="BE104" s="73">
        <v>43.38</v>
      </c>
      <c r="BF104" s="72">
        <f t="shared" si="42"/>
        <v>45.856200000000001</v>
      </c>
      <c r="BG104" s="72">
        <f t="shared" si="37"/>
        <v>52.029150000000001</v>
      </c>
      <c r="BH104" s="72">
        <f>SUM(Table22[[#This Row],[Good Kernel (gm)]:[Spotted (gm)]])/1000*100</f>
        <v>26</v>
      </c>
      <c r="BI104" s="72">
        <f t="shared" si="38"/>
        <v>29.5</v>
      </c>
      <c r="BJ104" s="73">
        <v>12.2</v>
      </c>
      <c r="BK104" s="73">
        <v>183</v>
      </c>
      <c r="BL104" s="73">
        <v>685</v>
      </c>
      <c r="BM104" s="73">
        <v>34</v>
      </c>
      <c r="BN104" s="73"/>
      <c r="BO104" s="73">
        <v>12</v>
      </c>
      <c r="BP104" s="73">
        <v>2</v>
      </c>
      <c r="BQ104" s="71">
        <f t="shared" si="39"/>
        <v>48</v>
      </c>
      <c r="BR104" s="73">
        <v>226</v>
      </c>
      <c r="BS104" s="73">
        <v>24</v>
      </c>
      <c r="BT104" s="73">
        <v>12</v>
      </c>
      <c r="BU104" s="63">
        <f t="shared" si="43"/>
        <v>262</v>
      </c>
      <c r="BV104" s="72">
        <f>SUM(Table22[[#This Row],[Good Kernel (G M)]]+(Table22[[#This Row],[Immature (g m)]]+Table22[[#This Row],[Spotted (g m)]])/2)*0.176</f>
        <v>42.943999999999996</v>
      </c>
      <c r="BW104" s="73">
        <v>43.03</v>
      </c>
      <c r="BX104" s="73"/>
      <c r="BY104" s="72">
        <f t="shared" si="44"/>
        <v>46.208939999999998</v>
      </c>
      <c r="BZ104" s="72">
        <f t="shared" si="45"/>
        <v>52.558259999999997</v>
      </c>
      <c r="CA104" s="72">
        <f>SUM(Table22[[#This Row],[Good Kernel (G M)]:[Spotted (g m)]])/1000*100</f>
        <v>26.200000000000003</v>
      </c>
      <c r="CB104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04" s="73">
        <v>11.1</v>
      </c>
      <c r="CD104" s="73">
        <v>189</v>
      </c>
      <c r="CE104" s="73">
        <v>686</v>
      </c>
      <c r="CH104" s="184">
        <f ca="1">TODAY()-Table22[[#This Row],[Discharge Date]]</f>
        <v>128</v>
      </c>
    </row>
    <row r="105" spans="1:86" x14ac:dyDescent="0.25">
      <c r="A105" s="50">
        <v>101</v>
      </c>
      <c r="B105" s="73" t="s">
        <v>95</v>
      </c>
      <c r="C105" s="73" t="s">
        <v>96</v>
      </c>
      <c r="D105" s="114">
        <v>101</v>
      </c>
      <c r="E105" s="132"/>
      <c r="F105" s="99">
        <v>700</v>
      </c>
      <c r="G105" s="73"/>
      <c r="H105" s="82"/>
      <c r="I105" s="82"/>
      <c r="J105" s="82"/>
      <c r="K105" s="82" t="s">
        <v>634</v>
      </c>
      <c r="L105" s="82"/>
      <c r="M105" s="111">
        <v>89777</v>
      </c>
      <c r="N105" s="111" t="s">
        <v>684</v>
      </c>
      <c r="O105" s="73" t="s">
        <v>241</v>
      </c>
      <c r="P105" s="109">
        <v>46330</v>
      </c>
      <c r="Q105" s="101">
        <v>46127</v>
      </c>
      <c r="R105" s="102" t="s">
        <v>242</v>
      </c>
      <c r="S105" s="103" t="s">
        <v>231</v>
      </c>
      <c r="T105" s="102" t="s">
        <v>198</v>
      </c>
      <c r="U105" s="102"/>
      <c r="V105" s="73" t="s">
        <v>199</v>
      </c>
      <c r="W105" s="51">
        <v>542</v>
      </c>
      <c r="X105" s="51">
        <v>13</v>
      </c>
      <c r="Y105" s="51">
        <f t="shared" si="40"/>
        <v>555</v>
      </c>
      <c r="Z105" s="51"/>
      <c r="AA105" s="61">
        <f t="shared" ref="AA105:AA168" si="49">W105+Z105</f>
        <v>542</v>
      </c>
      <c r="AB105" s="51">
        <f t="shared" si="46"/>
        <v>0</v>
      </c>
      <c r="AC105" s="88">
        <f t="shared" ref="AC105:AC108" si="50">W105</f>
        <v>542</v>
      </c>
      <c r="AD105" s="63"/>
      <c r="AE105" s="63">
        <f t="shared" ref="AE105:AE168" si="51">X105</f>
        <v>13</v>
      </c>
      <c r="AF105" s="63">
        <v>27</v>
      </c>
      <c r="AG105" s="63"/>
      <c r="AH105" s="64">
        <f t="shared" ref="AH105:AH150" si="52">AC105+AE105</f>
        <v>555</v>
      </c>
      <c r="AI105" s="62"/>
      <c r="AJ105" s="62"/>
      <c r="AK105" s="62">
        <f t="shared" ref="AK105:AK166" si="53">AH105</f>
        <v>555</v>
      </c>
      <c r="AL105" s="62">
        <f t="shared" ref="AL105:AL166" si="54">AK105</f>
        <v>555</v>
      </c>
      <c r="AM105" s="67">
        <v>48710</v>
      </c>
      <c r="AN105" s="124">
        <f t="shared" si="47"/>
        <v>607</v>
      </c>
      <c r="AO105" s="77">
        <f t="shared" ref="AO105:AO168" si="55">AM105-AH105</f>
        <v>48155</v>
      </c>
      <c r="AP105" s="77">
        <f t="shared" si="33"/>
        <v>48103</v>
      </c>
      <c r="AQ105" s="77">
        <f t="shared" si="48"/>
        <v>48103</v>
      </c>
      <c r="AR105" s="67">
        <f t="shared" si="34"/>
        <v>52</v>
      </c>
      <c r="AS105" s="68">
        <f>Table22[[#This Row],[GROSS WT]]-Table22[[#This Row],[Total Bag Discharged (Truck)]]</f>
        <v>48155</v>
      </c>
      <c r="AT105" s="67">
        <f t="shared" si="35"/>
        <v>48155</v>
      </c>
      <c r="AU105" s="69"/>
      <c r="AV105" s="73">
        <v>27</v>
      </c>
      <c r="AW105" s="73">
        <v>18</v>
      </c>
      <c r="AX105" s="73">
        <v>0</v>
      </c>
      <c r="AY105" s="71">
        <f t="shared" si="36"/>
        <v>45</v>
      </c>
      <c r="AZ105" s="70">
        <v>236</v>
      </c>
      <c r="BA105" s="73">
        <v>15</v>
      </c>
      <c r="BB105" s="73">
        <v>13</v>
      </c>
      <c r="BC105" s="63">
        <f t="shared" si="41"/>
        <v>264</v>
      </c>
      <c r="BD105" s="72">
        <f>SUM(Table22[[#This Row],[Good Kernel (gm)]]+(Table22[[#This Row],[Immature (gm)]]+Table22[[#This Row],[Spotted (gm)]])/2)*0.176</f>
        <v>44</v>
      </c>
      <c r="BE105" s="73">
        <v>44.09</v>
      </c>
      <c r="BF105" s="72">
        <f t="shared" si="42"/>
        <v>46.561680000000003</v>
      </c>
      <c r="BG105" s="72">
        <f t="shared" si="37"/>
        <v>51.32367</v>
      </c>
      <c r="BH105" s="72">
        <f>SUM(Table22[[#This Row],[Good Kernel (gm)]:[Spotted (gm)]])/1000*100</f>
        <v>26.400000000000002</v>
      </c>
      <c r="BI105" s="72">
        <f t="shared" si="38"/>
        <v>29.099999999999998</v>
      </c>
      <c r="BJ105" s="73">
        <v>11.4</v>
      </c>
      <c r="BK105" s="73">
        <v>179</v>
      </c>
      <c r="BL105" s="73">
        <v>685</v>
      </c>
      <c r="BM105" s="73">
        <v>26</v>
      </c>
      <c r="BN105" s="73"/>
      <c r="BO105" s="73">
        <v>6</v>
      </c>
      <c r="BP105" s="73">
        <v>0</v>
      </c>
      <c r="BQ105" s="71">
        <f t="shared" si="39"/>
        <v>32</v>
      </c>
      <c r="BR105" s="73">
        <v>235</v>
      </c>
      <c r="BS105" s="73">
        <v>23</v>
      </c>
      <c r="BT105" s="73">
        <v>11</v>
      </c>
      <c r="BU105" s="63">
        <f t="shared" si="43"/>
        <v>269</v>
      </c>
      <c r="BV105" s="72">
        <f>SUM(Table22[[#This Row],[Good Kernel (G M)]]+(Table22[[#This Row],[Immature (g m)]]+Table22[[#This Row],[Spotted (g m)]])/2)*0.176</f>
        <v>44.351999999999997</v>
      </c>
      <c r="BW105" s="73">
        <v>44.44</v>
      </c>
      <c r="BX105" s="73"/>
      <c r="BY105" s="72">
        <f t="shared" si="44"/>
        <v>47.443530000000003</v>
      </c>
      <c r="BZ105" s="72">
        <f t="shared" si="45"/>
        <v>52.029150000000001</v>
      </c>
      <c r="CA105" s="72">
        <f>SUM(Table22[[#This Row],[Good Kernel (G M)]:[Spotted (g m)]])/1000*100</f>
        <v>26.900000000000002</v>
      </c>
      <c r="CB105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05" s="73">
        <v>11.8</v>
      </c>
      <c r="CD105" s="73">
        <v>179</v>
      </c>
      <c r="CE105" s="73">
        <v>693</v>
      </c>
      <c r="CH105" s="184">
        <f ca="1">TODAY()-Table22[[#This Row],[Discharge Date]]</f>
        <v>128</v>
      </c>
    </row>
    <row r="106" spans="1:86" x14ac:dyDescent="0.25">
      <c r="A106" s="50">
        <v>102</v>
      </c>
      <c r="B106" s="73" t="s">
        <v>95</v>
      </c>
      <c r="C106" s="73" t="s">
        <v>96</v>
      </c>
      <c r="D106" s="97">
        <v>102</v>
      </c>
      <c r="E106" s="98" t="s">
        <v>130</v>
      </c>
      <c r="F106" s="133">
        <v>698</v>
      </c>
      <c r="G106" s="73"/>
      <c r="H106" s="82"/>
      <c r="I106" s="82"/>
      <c r="J106" s="82"/>
      <c r="K106" s="82" t="s">
        <v>634</v>
      </c>
      <c r="L106" s="82"/>
      <c r="M106" s="100">
        <v>78869</v>
      </c>
      <c r="N106" s="100" t="s">
        <v>681</v>
      </c>
      <c r="O106" s="73" t="s">
        <v>243</v>
      </c>
      <c r="P106" s="97" t="s">
        <v>236</v>
      </c>
      <c r="Q106" s="101">
        <v>46127</v>
      </c>
      <c r="R106" s="102" t="s">
        <v>100</v>
      </c>
      <c r="S106" s="59" t="s">
        <v>101</v>
      </c>
      <c r="T106" s="102"/>
      <c r="U106" s="102"/>
      <c r="V106" s="51" t="s">
        <v>102</v>
      </c>
      <c r="W106" s="51">
        <v>644</v>
      </c>
      <c r="X106" s="51">
        <v>40</v>
      </c>
      <c r="Y106" s="51">
        <f t="shared" si="40"/>
        <v>684</v>
      </c>
      <c r="Z106" s="51"/>
      <c r="AA106" s="61">
        <f t="shared" si="49"/>
        <v>644</v>
      </c>
      <c r="AB106" s="51">
        <f t="shared" si="46"/>
        <v>0</v>
      </c>
      <c r="AC106" s="88">
        <f t="shared" si="50"/>
        <v>644</v>
      </c>
      <c r="AD106" s="63"/>
      <c r="AE106" s="63">
        <f t="shared" si="51"/>
        <v>40</v>
      </c>
      <c r="AF106" s="63">
        <v>111</v>
      </c>
      <c r="AG106" s="63"/>
      <c r="AH106" s="64">
        <f t="shared" si="52"/>
        <v>684</v>
      </c>
      <c r="AI106" s="62"/>
      <c r="AJ106" s="62"/>
      <c r="AK106" s="62">
        <f t="shared" si="53"/>
        <v>684</v>
      </c>
      <c r="AL106" s="62">
        <f t="shared" si="54"/>
        <v>684</v>
      </c>
      <c r="AM106" s="67">
        <v>49690</v>
      </c>
      <c r="AN106" s="124">
        <f t="shared" si="47"/>
        <v>844</v>
      </c>
      <c r="AO106" s="77">
        <f t="shared" si="55"/>
        <v>49006</v>
      </c>
      <c r="AP106" s="77">
        <f t="shared" si="33"/>
        <v>48846</v>
      </c>
      <c r="AQ106" s="77">
        <f t="shared" si="48"/>
        <v>48846</v>
      </c>
      <c r="AR106" s="67">
        <f t="shared" si="34"/>
        <v>160</v>
      </c>
      <c r="AS106" s="68">
        <f>Table22[[#This Row],[GROSS WT]]-Table22[[#This Row],[Total Bag Discharged (Truck)]]</f>
        <v>49006</v>
      </c>
      <c r="AT106" s="67">
        <f t="shared" si="35"/>
        <v>49006</v>
      </c>
      <c r="AU106" s="69"/>
      <c r="AV106" s="73">
        <v>31</v>
      </c>
      <c r="AW106" s="73">
        <v>19</v>
      </c>
      <c r="AX106" s="73">
        <v>2</v>
      </c>
      <c r="AY106" s="71">
        <f t="shared" si="36"/>
        <v>52</v>
      </c>
      <c r="AZ106" s="70">
        <v>230</v>
      </c>
      <c r="BA106" s="73">
        <v>20</v>
      </c>
      <c r="BB106" s="73">
        <v>14</v>
      </c>
      <c r="BC106" s="63">
        <f t="shared" si="41"/>
        <v>264</v>
      </c>
      <c r="BD106" s="72">
        <f>SUM(Table22[[#This Row],[Good Kernel (gm)]]+(Table22[[#This Row],[Immature (gm)]]+Table22[[#This Row],[Spotted (gm)]])/2)*0.176</f>
        <v>43.471999999999994</v>
      </c>
      <c r="BE106" s="73">
        <v>43.56</v>
      </c>
      <c r="BF106" s="72">
        <f t="shared" si="42"/>
        <v>46.561680000000003</v>
      </c>
      <c r="BG106" s="72">
        <f t="shared" si="37"/>
        <v>52.381889999999999</v>
      </c>
      <c r="BH106" s="72">
        <f>SUM(Table22[[#This Row],[Good Kernel (gm)]:[Spotted (gm)]])/1000*100</f>
        <v>26.400000000000002</v>
      </c>
      <c r="BI106" s="72">
        <f t="shared" si="38"/>
        <v>29.7</v>
      </c>
      <c r="BJ106" s="73">
        <v>11.2</v>
      </c>
      <c r="BK106" s="73">
        <v>181</v>
      </c>
      <c r="BL106" s="73">
        <v>679</v>
      </c>
      <c r="BM106" s="73">
        <v>29</v>
      </c>
      <c r="BN106" s="73"/>
      <c r="BO106" s="73">
        <v>17</v>
      </c>
      <c r="BP106" s="73">
        <v>2</v>
      </c>
      <c r="BQ106" s="71">
        <f t="shared" si="39"/>
        <v>48</v>
      </c>
      <c r="BR106" s="73">
        <v>234</v>
      </c>
      <c r="BS106" s="73">
        <v>18</v>
      </c>
      <c r="BT106" s="73">
        <v>12</v>
      </c>
      <c r="BU106" s="63">
        <f t="shared" si="43"/>
        <v>264</v>
      </c>
      <c r="BV106" s="72">
        <f>SUM(Table22[[#This Row],[Good Kernel (G M)]]+(Table22[[#This Row],[Immature (g m)]]+Table22[[#This Row],[Spotted (g m)]])/2)*0.176</f>
        <v>43.823999999999998</v>
      </c>
      <c r="BW106" s="73">
        <v>43.91</v>
      </c>
      <c r="BX106" s="73"/>
      <c r="BY106" s="72">
        <f t="shared" si="44"/>
        <v>46.561680000000003</v>
      </c>
      <c r="BZ106" s="72">
        <f t="shared" si="45"/>
        <v>52.029150000000001</v>
      </c>
      <c r="CA106" s="72">
        <f>SUM(Table22[[#This Row],[Good Kernel (G M)]:[Spotted (g m)]])/1000*100</f>
        <v>26.400000000000002</v>
      </c>
      <c r="CB10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06" s="73">
        <v>11.2</v>
      </c>
      <c r="CD106" s="73">
        <v>180</v>
      </c>
      <c r="CE106" s="73">
        <v>682</v>
      </c>
      <c r="CF106" s="130"/>
      <c r="CH106" s="184">
        <f ca="1">TODAY()-Table22[[#This Row],[Discharge Date]]</f>
        <v>128</v>
      </c>
    </row>
    <row r="107" spans="1:86" x14ac:dyDescent="0.25">
      <c r="A107" s="50">
        <v>103</v>
      </c>
      <c r="B107" s="73" t="s">
        <v>95</v>
      </c>
      <c r="C107" s="73" t="s">
        <v>96</v>
      </c>
      <c r="D107" s="97">
        <v>103</v>
      </c>
      <c r="E107" s="73"/>
      <c r="F107" s="133">
        <v>609</v>
      </c>
      <c r="G107" s="73"/>
      <c r="H107" s="82"/>
      <c r="I107" s="82"/>
      <c r="J107" s="82"/>
      <c r="K107" s="82" t="s">
        <v>634</v>
      </c>
      <c r="L107" s="82"/>
      <c r="M107" s="100">
        <v>78873</v>
      </c>
      <c r="N107" s="100" t="s">
        <v>684</v>
      </c>
      <c r="O107" s="73" t="s">
        <v>244</v>
      </c>
      <c r="P107" s="97" t="s">
        <v>234</v>
      </c>
      <c r="Q107" s="101">
        <v>46128</v>
      </c>
      <c r="R107" s="102" t="s">
        <v>100</v>
      </c>
      <c r="S107" s="59" t="s">
        <v>101</v>
      </c>
      <c r="T107" s="102"/>
      <c r="U107" s="102"/>
      <c r="V107" s="51" t="s">
        <v>102</v>
      </c>
      <c r="W107" s="51">
        <v>659</v>
      </c>
      <c r="X107" s="51">
        <v>24</v>
      </c>
      <c r="Y107" s="51">
        <f t="shared" si="40"/>
        <v>683</v>
      </c>
      <c r="Z107" s="51"/>
      <c r="AA107" s="61">
        <f t="shared" si="49"/>
        <v>659</v>
      </c>
      <c r="AB107" s="51">
        <f t="shared" si="46"/>
        <v>0</v>
      </c>
      <c r="AC107" s="88">
        <f t="shared" si="50"/>
        <v>659</v>
      </c>
      <c r="AD107" s="63"/>
      <c r="AE107" s="63">
        <f t="shared" si="51"/>
        <v>24</v>
      </c>
      <c r="AF107" s="63">
        <v>140</v>
      </c>
      <c r="AG107" s="63"/>
      <c r="AH107" s="64">
        <f t="shared" si="52"/>
        <v>683</v>
      </c>
      <c r="AI107" s="62"/>
      <c r="AJ107" s="62"/>
      <c r="AK107" s="62">
        <f t="shared" si="53"/>
        <v>683</v>
      </c>
      <c r="AL107" s="62">
        <f t="shared" si="54"/>
        <v>683</v>
      </c>
      <c r="AM107" s="67">
        <v>51880</v>
      </c>
      <c r="AN107" s="124">
        <f t="shared" si="47"/>
        <v>779</v>
      </c>
      <c r="AO107" s="77">
        <f t="shared" si="55"/>
        <v>51197</v>
      </c>
      <c r="AP107" s="77">
        <f t="shared" si="33"/>
        <v>51101</v>
      </c>
      <c r="AQ107" s="77">
        <f t="shared" si="48"/>
        <v>51101</v>
      </c>
      <c r="AR107" s="67">
        <f t="shared" si="34"/>
        <v>96</v>
      </c>
      <c r="AS107" s="68">
        <f>Table22[[#This Row],[GROSS WT]]-Table22[[#This Row],[Total Bag Discharged (Truck)]]</f>
        <v>51197</v>
      </c>
      <c r="AT107" s="67">
        <f t="shared" si="35"/>
        <v>51197</v>
      </c>
      <c r="AU107" s="69"/>
      <c r="AV107" s="73">
        <v>25</v>
      </c>
      <c r="AW107" s="73">
        <v>29</v>
      </c>
      <c r="AX107" s="73">
        <v>2</v>
      </c>
      <c r="AY107" s="71">
        <f t="shared" si="36"/>
        <v>56</v>
      </c>
      <c r="AZ107" s="70">
        <v>241</v>
      </c>
      <c r="BA107" s="73">
        <v>13</v>
      </c>
      <c r="BB107" s="73">
        <v>10</v>
      </c>
      <c r="BC107" s="63">
        <f t="shared" si="41"/>
        <v>264</v>
      </c>
      <c r="BD107" s="72">
        <f>SUM(Table22[[#This Row],[Good Kernel (gm)]]+(Table22[[#This Row],[Immature (gm)]]+Table22[[#This Row],[Spotted (gm)]])/2)*0.176</f>
        <v>44.44</v>
      </c>
      <c r="BE107" s="73">
        <v>44.53</v>
      </c>
      <c r="BF107" s="72">
        <f t="shared" si="42"/>
        <v>46.561680000000003</v>
      </c>
      <c r="BG107" s="72">
        <f t="shared" si="37"/>
        <v>51.32367</v>
      </c>
      <c r="BH107" s="72">
        <f>SUM(Table22[[#This Row],[Good Kernel (gm)]:[Spotted (gm)]])/1000*100</f>
        <v>26.400000000000002</v>
      </c>
      <c r="BI107" s="72">
        <f t="shared" si="38"/>
        <v>29.099999999999998</v>
      </c>
      <c r="BJ107" s="73">
        <v>10.4</v>
      </c>
      <c r="BK107" s="73">
        <v>196</v>
      </c>
      <c r="BL107" s="73">
        <v>674</v>
      </c>
      <c r="BM107" s="73">
        <v>30</v>
      </c>
      <c r="BN107" s="73"/>
      <c r="BO107" s="73">
        <v>11</v>
      </c>
      <c r="BP107" s="73">
        <v>2</v>
      </c>
      <c r="BQ107" s="71">
        <f t="shared" si="39"/>
        <v>43</v>
      </c>
      <c r="BR107" s="73">
        <v>239</v>
      </c>
      <c r="BS107" s="73">
        <v>17</v>
      </c>
      <c r="BT107" s="73">
        <v>12</v>
      </c>
      <c r="BU107" s="63">
        <f t="shared" si="43"/>
        <v>268</v>
      </c>
      <c r="BV107" s="72">
        <f>SUM(Table22[[#This Row],[Good Kernel (G M)]]+(Table22[[#This Row],[Immature (g m)]]+Table22[[#This Row],[Spotted (g m)]])/2)*0.176</f>
        <v>44.616</v>
      </c>
      <c r="BW107" s="73">
        <v>44.7</v>
      </c>
      <c r="BX107" s="73"/>
      <c r="BY107" s="72">
        <f t="shared" si="44"/>
        <v>47.267159999999997</v>
      </c>
      <c r="BZ107" s="72">
        <f t="shared" si="45"/>
        <v>52.911000000000001</v>
      </c>
      <c r="CA107" s="72">
        <f>SUM(Table22[[#This Row],[Good Kernel (G M)]:[Spotted (g m)]])/1000*100</f>
        <v>26.8</v>
      </c>
      <c r="CB107" s="72">
        <f>(Table22[[#This Row],[BROWNS/Rejection (gm) (NUT)]]+Table22[[#This Row],[OIL (g m)]]+Table22[[#This Row],[Good Kernel (G M)]]+Table22[[#This Row],[Immature (g m)]]+Table22[[#This Row],[Spotted (g m)]])/1000*100</f>
        <v>30</v>
      </c>
      <c r="CC107" s="73">
        <v>10.3</v>
      </c>
      <c r="CD107" s="73">
        <v>189</v>
      </c>
      <c r="CE107" s="73">
        <v>683</v>
      </c>
      <c r="CH107" s="184">
        <f ca="1">TODAY()-Table22[[#This Row],[Discharge Date]]</f>
        <v>127</v>
      </c>
    </row>
    <row r="108" spans="1:86" x14ac:dyDescent="0.25">
      <c r="A108" s="50">
        <v>104</v>
      </c>
      <c r="B108" s="73" t="s">
        <v>95</v>
      </c>
      <c r="C108" s="73" t="s">
        <v>96</v>
      </c>
      <c r="D108" s="114">
        <v>104</v>
      </c>
      <c r="E108" s="73"/>
      <c r="F108" s="133">
        <v>606</v>
      </c>
      <c r="G108" s="73"/>
      <c r="H108" s="82"/>
      <c r="I108" s="82"/>
      <c r="J108" s="82"/>
      <c r="K108" s="82" t="s">
        <v>634</v>
      </c>
      <c r="L108" s="82"/>
      <c r="M108" s="100">
        <v>78875</v>
      </c>
      <c r="N108" s="100" t="s">
        <v>684</v>
      </c>
      <c r="O108" s="73" t="s">
        <v>185</v>
      </c>
      <c r="P108" s="97" t="s">
        <v>234</v>
      </c>
      <c r="Q108" s="101">
        <v>46128</v>
      </c>
      <c r="R108" s="102" t="s">
        <v>100</v>
      </c>
      <c r="S108" s="59" t="s">
        <v>101</v>
      </c>
      <c r="T108" s="102"/>
      <c r="U108" s="102"/>
      <c r="V108" s="51" t="s">
        <v>102</v>
      </c>
      <c r="W108" s="51">
        <v>534</v>
      </c>
      <c r="X108" s="51">
        <v>15</v>
      </c>
      <c r="Y108" s="51">
        <f t="shared" si="40"/>
        <v>549</v>
      </c>
      <c r="Z108" s="51"/>
      <c r="AA108" s="61">
        <f t="shared" si="49"/>
        <v>534</v>
      </c>
      <c r="AB108" s="51">
        <f t="shared" si="46"/>
        <v>0</v>
      </c>
      <c r="AC108" s="88">
        <f t="shared" si="50"/>
        <v>534</v>
      </c>
      <c r="AD108" s="63"/>
      <c r="AE108" s="63">
        <f t="shared" si="51"/>
        <v>15</v>
      </c>
      <c r="AF108" s="63">
        <v>41</v>
      </c>
      <c r="AG108" s="63"/>
      <c r="AH108" s="64">
        <f t="shared" si="52"/>
        <v>549</v>
      </c>
      <c r="AI108" s="62"/>
      <c r="AJ108" s="62"/>
      <c r="AK108" s="62">
        <f t="shared" si="53"/>
        <v>549</v>
      </c>
      <c r="AL108" s="62">
        <f t="shared" si="54"/>
        <v>549</v>
      </c>
      <c r="AM108" s="67">
        <v>43850</v>
      </c>
      <c r="AN108" s="124">
        <f t="shared" si="47"/>
        <v>609</v>
      </c>
      <c r="AO108" s="77">
        <f t="shared" si="55"/>
        <v>43301</v>
      </c>
      <c r="AP108" s="77">
        <f t="shared" si="33"/>
        <v>43241</v>
      </c>
      <c r="AQ108" s="77">
        <f t="shared" si="48"/>
        <v>43241</v>
      </c>
      <c r="AR108" s="67">
        <f t="shared" si="34"/>
        <v>60</v>
      </c>
      <c r="AS108" s="68">
        <f>Table22[[#This Row],[GROSS WT]]-Table22[[#This Row],[Total Bag Discharged (Truck)]]</f>
        <v>43301</v>
      </c>
      <c r="AT108" s="67">
        <f t="shared" si="35"/>
        <v>43301</v>
      </c>
      <c r="AU108" s="69"/>
      <c r="AV108" s="73">
        <v>28</v>
      </c>
      <c r="AW108" s="73">
        <v>21</v>
      </c>
      <c r="AX108" s="73">
        <v>3</v>
      </c>
      <c r="AY108" s="71">
        <f t="shared" si="36"/>
        <v>52</v>
      </c>
      <c r="AZ108" s="70">
        <v>240</v>
      </c>
      <c r="BA108" s="73">
        <v>11</v>
      </c>
      <c r="BB108" s="73">
        <v>12</v>
      </c>
      <c r="BC108" s="63">
        <f t="shared" si="41"/>
        <v>263</v>
      </c>
      <c r="BD108" s="72">
        <f>SUM(Table22[[#This Row],[Good Kernel (gm)]]+(Table22[[#This Row],[Immature (gm)]]+Table22[[#This Row],[Spotted (gm)]])/2)*0.176</f>
        <v>44.263999999999996</v>
      </c>
      <c r="BE108" s="73">
        <v>44.35</v>
      </c>
      <c r="BF108" s="72">
        <f t="shared" si="42"/>
        <v>46.385309999999997</v>
      </c>
      <c r="BG108" s="72">
        <f t="shared" si="37"/>
        <v>51.852780000000003</v>
      </c>
      <c r="BH108" s="72">
        <f>SUM(Table22[[#This Row],[Good Kernel (gm)]:[Spotted (gm)]])/1000*100</f>
        <v>26.3</v>
      </c>
      <c r="BI108" s="72">
        <f t="shared" si="38"/>
        <v>29.4</v>
      </c>
      <c r="BJ108" s="73">
        <v>9.5</v>
      </c>
      <c r="BK108" s="73">
        <v>180</v>
      </c>
      <c r="BL108" s="73">
        <v>680</v>
      </c>
      <c r="BM108" s="73">
        <v>26</v>
      </c>
      <c r="BN108" s="73"/>
      <c r="BO108" s="73">
        <v>15</v>
      </c>
      <c r="BP108" s="73">
        <v>2</v>
      </c>
      <c r="BQ108" s="71">
        <f t="shared" si="39"/>
        <v>43</v>
      </c>
      <c r="BR108" s="73">
        <v>241</v>
      </c>
      <c r="BS108" s="73">
        <v>12</v>
      </c>
      <c r="BT108" s="73">
        <v>10</v>
      </c>
      <c r="BU108" s="63">
        <f t="shared" si="43"/>
        <v>263</v>
      </c>
      <c r="BV108" s="72">
        <f>SUM(Table22[[#This Row],[Good Kernel (G M)]]+(Table22[[#This Row],[Immature (g m)]]+Table22[[#This Row],[Spotted (g m)]])/2)*0.176</f>
        <v>44.351999999999997</v>
      </c>
      <c r="BW108" s="73">
        <v>44.53</v>
      </c>
      <c r="BX108" s="73"/>
      <c r="BY108" s="72">
        <f t="shared" si="44"/>
        <v>46.385309999999997</v>
      </c>
      <c r="BZ108" s="72">
        <f t="shared" si="45"/>
        <v>51.32367</v>
      </c>
      <c r="CA108" s="72">
        <f>SUM(Table22[[#This Row],[Good Kernel (G M)]:[Spotted (g m)]])/1000*100</f>
        <v>26.3</v>
      </c>
      <c r="CB108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08" s="73">
        <v>9.4</v>
      </c>
      <c r="CD108" s="73">
        <v>180</v>
      </c>
      <c r="CE108" s="73">
        <v>687</v>
      </c>
      <c r="CF108" s="130"/>
      <c r="CH108" s="184">
        <f ca="1">TODAY()-Table22[[#This Row],[Discharge Date]]</f>
        <v>127</v>
      </c>
    </row>
    <row r="109" spans="1:86" x14ac:dyDescent="0.25">
      <c r="A109" s="50">
        <v>105</v>
      </c>
      <c r="B109" s="73" t="s">
        <v>95</v>
      </c>
      <c r="C109" s="73" t="s">
        <v>96</v>
      </c>
      <c r="D109" s="97">
        <v>105</v>
      </c>
      <c r="E109" s="73"/>
      <c r="F109" s="133">
        <v>608</v>
      </c>
      <c r="G109" s="73"/>
      <c r="H109" s="82"/>
      <c r="I109" s="82"/>
      <c r="J109" s="82"/>
      <c r="K109" s="82" t="s">
        <v>634</v>
      </c>
      <c r="L109" s="82"/>
      <c r="M109" s="100">
        <v>87141</v>
      </c>
      <c r="N109" s="100" t="s">
        <v>685</v>
      </c>
      <c r="O109" s="73" t="s">
        <v>245</v>
      </c>
      <c r="P109" s="97" t="s">
        <v>246</v>
      </c>
      <c r="Q109" s="101">
        <v>46128</v>
      </c>
      <c r="R109" s="102" t="s">
        <v>167</v>
      </c>
      <c r="S109" s="103" t="s">
        <v>543</v>
      </c>
      <c r="T109" s="102"/>
      <c r="U109" s="102"/>
      <c r="V109" s="102" t="s">
        <v>168</v>
      </c>
      <c r="W109" s="51">
        <v>423</v>
      </c>
      <c r="X109" s="51">
        <v>60</v>
      </c>
      <c r="Y109" s="51">
        <f t="shared" si="40"/>
        <v>483</v>
      </c>
      <c r="Z109" s="51"/>
      <c r="AA109" s="61">
        <f t="shared" si="49"/>
        <v>423</v>
      </c>
      <c r="AB109" s="51">
        <f t="shared" si="46"/>
        <v>0</v>
      </c>
      <c r="AC109" s="88">
        <f>W109</f>
        <v>423</v>
      </c>
      <c r="AD109" s="63"/>
      <c r="AE109" s="63">
        <f t="shared" si="51"/>
        <v>60</v>
      </c>
      <c r="AF109" s="63">
        <v>10</v>
      </c>
      <c r="AG109" s="63"/>
      <c r="AH109" s="64">
        <f t="shared" si="52"/>
        <v>483</v>
      </c>
      <c r="AI109" s="62"/>
      <c r="AJ109" s="62"/>
      <c r="AK109" s="62">
        <f t="shared" si="53"/>
        <v>483</v>
      </c>
      <c r="AL109" s="62">
        <f t="shared" si="54"/>
        <v>483</v>
      </c>
      <c r="AM109" s="67">
        <v>38000</v>
      </c>
      <c r="AN109" s="124">
        <f t="shared" si="47"/>
        <v>723</v>
      </c>
      <c r="AO109" s="77">
        <f t="shared" si="55"/>
        <v>37517</v>
      </c>
      <c r="AP109" s="77">
        <f t="shared" si="33"/>
        <v>37277</v>
      </c>
      <c r="AQ109" s="77">
        <f t="shared" si="48"/>
        <v>37277</v>
      </c>
      <c r="AR109" s="67">
        <f t="shared" si="34"/>
        <v>240</v>
      </c>
      <c r="AS109" s="68">
        <f>Table22[[#This Row],[GROSS WT]]-Table22[[#This Row],[Total Bag Discharged (Truck)]]</f>
        <v>37517</v>
      </c>
      <c r="AT109" s="67">
        <f t="shared" si="35"/>
        <v>37517</v>
      </c>
      <c r="AU109" s="69"/>
      <c r="AV109" s="73">
        <v>36</v>
      </c>
      <c r="AW109" s="73">
        <v>16</v>
      </c>
      <c r="AX109" s="73">
        <v>0</v>
      </c>
      <c r="AY109" s="71">
        <f t="shared" si="36"/>
        <v>52</v>
      </c>
      <c r="AZ109" s="70">
        <v>234</v>
      </c>
      <c r="BA109" s="73">
        <v>23</v>
      </c>
      <c r="BB109" s="73">
        <v>8</v>
      </c>
      <c r="BC109" s="63">
        <f t="shared" si="41"/>
        <v>265</v>
      </c>
      <c r="BD109" s="72">
        <f>SUM(Table22[[#This Row],[Good Kernel (gm)]]+(Table22[[#This Row],[Immature (gm)]]+Table22[[#This Row],[Spotted (gm)]])/2)*0.176</f>
        <v>43.911999999999999</v>
      </c>
      <c r="BE109" s="73">
        <v>44</v>
      </c>
      <c r="BF109" s="72">
        <f t="shared" si="42"/>
        <v>46.738050000000001</v>
      </c>
      <c r="BG109" s="72">
        <f t="shared" si="37"/>
        <v>53.08737</v>
      </c>
      <c r="BH109" s="72">
        <f>SUM(Table22[[#This Row],[Good Kernel (gm)]:[Spotted (gm)]])/1000*100</f>
        <v>26.5</v>
      </c>
      <c r="BI109" s="72">
        <f t="shared" si="38"/>
        <v>30.099999999999998</v>
      </c>
      <c r="BJ109" s="73">
        <v>12.2</v>
      </c>
      <c r="BK109" s="73">
        <v>176</v>
      </c>
      <c r="BL109" s="73">
        <v>677</v>
      </c>
      <c r="BM109" s="73">
        <v>26</v>
      </c>
      <c r="BN109" s="73"/>
      <c r="BO109" s="73">
        <v>22</v>
      </c>
      <c r="BP109" s="73">
        <v>2</v>
      </c>
      <c r="BQ109" s="71">
        <f t="shared" si="39"/>
        <v>50</v>
      </c>
      <c r="BR109" s="73">
        <v>235</v>
      </c>
      <c r="BS109" s="73">
        <v>18</v>
      </c>
      <c r="BT109" s="73">
        <v>13</v>
      </c>
      <c r="BU109" s="63">
        <f t="shared" si="43"/>
        <v>266</v>
      </c>
      <c r="BV109" s="72">
        <f>SUM(Table22[[#This Row],[Good Kernel (G M)]]+(Table22[[#This Row],[Immature (g m)]]+Table22[[#This Row],[Spotted (g m)]])/2)*0.176</f>
        <v>44.088000000000001</v>
      </c>
      <c r="BW109" s="73">
        <v>44.18</v>
      </c>
      <c r="BX109" s="73"/>
      <c r="BY109" s="72">
        <f t="shared" si="44"/>
        <v>46.91442</v>
      </c>
      <c r="BZ109" s="72">
        <f t="shared" si="45"/>
        <v>51.852780000000003</v>
      </c>
      <c r="CA109" s="72">
        <f>SUM(Table22[[#This Row],[Good Kernel (G M)]:[Spotted (g m)]])/1000*100</f>
        <v>26.6</v>
      </c>
      <c r="CB10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09" s="73">
        <v>11.3</v>
      </c>
      <c r="CD109" s="73">
        <v>174</v>
      </c>
      <c r="CE109" s="73">
        <v>678</v>
      </c>
      <c r="CF109" s="130"/>
      <c r="CH109" s="184">
        <f ca="1">TODAY()-Table22[[#This Row],[Discharge Date]]</f>
        <v>127</v>
      </c>
    </row>
    <row r="110" spans="1:86" x14ac:dyDescent="0.25">
      <c r="A110" s="50">
        <v>106</v>
      </c>
      <c r="B110" s="73" t="s">
        <v>95</v>
      </c>
      <c r="C110" s="73" t="s">
        <v>96</v>
      </c>
      <c r="D110" s="97">
        <v>106</v>
      </c>
      <c r="E110" s="73"/>
      <c r="F110" s="133">
        <v>607</v>
      </c>
      <c r="G110" s="73"/>
      <c r="H110" s="82"/>
      <c r="I110" s="82"/>
      <c r="J110" s="82"/>
      <c r="K110" s="82" t="s">
        <v>636</v>
      </c>
      <c r="L110" s="82"/>
      <c r="M110" s="100">
        <v>87150</v>
      </c>
      <c r="N110" s="100" t="s">
        <v>684</v>
      </c>
      <c r="O110" s="73" t="s">
        <v>247</v>
      </c>
      <c r="P110" s="97" t="s">
        <v>234</v>
      </c>
      <c r="Q110" s="101">
        <v>46128</v>
      </c>
      <c r="R110" s="102" t="s">
        <v>100</v>
      </c>
      <c r="S110" s="59" t="s">
        <v>107</v>
      </c>
      <c r="T110" s="102"/>
      <c r="U110" s="102"/>
      <c r="V110" s="51" t="s">
        <v>108</v>
      </c>
      <c r="W110" s="73">
        <v>584</v>
      </c>
      <c r="X110" s="73">
        <v>45</v>
      </c>
      <c r="Y110" s="51">
        <f t="shared" si="40"/>
        <v>629</v>
      </c>
      <c r="Z110" s="73"/>
      <c r="AA110" s="61">
        <f t="shared" si="49"/>
        <v>584</v>
      </c>
      <c r="AB110" s="51">
        <f t="shared" si="46"/>
        <v>0</v>
      </c>
      <c r="AC110" s="88">
        <f t="shared" ref="AC110:AC173" si="56">W110</f>
        <v>584</v>
      </c>
      <c r="AD110" s="63"/>
      <c r="AE110" s="63">
        <f t="shared" si="51"/>
        <v>45</v>
      </c>
      <c r="AF110" s="63">
        <v>48</v>
      </c>
      <c r="AG110" s="63"/>
      <c r="AH110" s="64">
        <f t="shared" si="52"/>
        <v>629</v>
      </c>
      <c r="AI110" s="62"/>
      <c r="AJ110" s="62"/>
      <c r="AK110" s="62">
        <f t="shared" si="53"/>
        <v>629</v>
      </c>
      <c r="AL110" s="62">
        <f t="shared" si="54"/>
        <v>629</v>
      </c>
      <c r="AM110" s="67">
        <v>52920</v>
      </c>
      <c r="AN110" s="124">
        <f t="shared" si="47"/>
        <v>809</v>
      </c>
      <c r="AO110" s="77">
        <f t="shared" si="55"/>
        <v>52291</v>
      </c>
      <c r="AP110" s="77">
        <f t="shared" si="33"/>
        <v>52111</v>
      </c>
      <c r="AQ110" s="77">
        <f t="shared" si="48"/>
        <v>52111</v>
      </c>
      <c r="AR110" s="67">
        <f t="shared" si="34"/>
        <v>180</v>
      </c>
      <c r="AS110" s="68">
        <f>Table22[[#This Row],[GROSS WT]]-Table22[[#This Row],[Total Bag Discharged (Truck)]]</f>
        <v>52291</v>
      </c>
      <c r="AT110" s="67">
        <f t="shared" si="35"/>
        <v>52291</v>
      </c>
      <c r="AU110" s="69"/>
      <c r="AV110" s="73">
        <v>27</v>
      </c>
      <c r="AW110" s="73">
        <v>24</v>
      </c>
      <c r="AX110" s="73">
        <v>2</v>
      </c>
      <c r="AY110" s="71">
        <f t="shared" si="36"/>
        <v>53</v>
      </c>
      <c r="AZ110" s="70">
        <v>235</v>
      </c>
      <c r="BA110" s="73">
        <v>20</v>
      </c>
      <c r="BB110" s="73">
        <v>14</v>
      </c>
      <c r="BC110" s="63">
        <f t="shared" si="41"/>
        <v>269</v>
      </c>
      <c r="BD110" s="72">
        <f>SUM(Table22[[#This Row],[Good Kernel (gm)]]+(Table22[[#This Row],[Immature (gm)]]+Table22[[#This Row],[Spotted (gm)]])/2)*0.176</f>
        <v>44.351999999999997</v>
      </c>
      <c r="BE110" s="73">
        <v>44.44</v>
      </c>
      <c r="BF110" s="72">
        <f t="shared" si="42"/>
        <v>47.443530000000003</v>
      </c>
      <c r="BG110" s="72">
        <f t="shared" si="37"/>
        <v>52.558259999999997</v>
      </c>
      <c r="BH110" s="72">
        <f>SUM(Table22[[#This Row],[Good Kernel (gm)]:[Spotted (gm)]])/1000*100</f>
        <v>26.900000000000002</v>
      </c>
      <c r="BI110" s="72">
        <f t="shared" si="38"/>
        <v>29.799999999999997</v>
      </c>
      <c r="BJ110" s="73">
        <v>11.5</v>
      </c>
      <c r="BK110" s="73">
        <v>189</v>
      </c>
      <c r="BL110" s="73">
        <v>673</v>
      </c>
      <c r="BM110" s="73">
        <v>22</v>
      </c>
      <c r="BN110" s="73"/>
      <c r="BO110" s="73">
        <v>28</v>
      </c>
      <c r="BP110" s="73">
        <v>0</v>
      </c>
      <c r="BQ110" s="71">
        <f t="shared" si="39"/>
        <v>50</v>
      </c>
      <c r="BR110" s="73">
        <v>236</v>
      </c>
      <c r="BS110" s="73">
        <v>19</v>
      </c>
      <c r="BT110" s="73">
        <v>10</v>
      </c>
      <c r="BU110" s="63">
        <f t="shared" si="43"/>
        <v>265</v>
      </c>
      <c r="BV110" s="72">
        <f>SUM(Table22[[#This Row],[Good Kernel (G M)]]+(Table22[[#This Row],[Immature (g m)]]+Table22[[#This Row],[Spotted (g m)]])/2)*0.176</f>
        <v>44.088000000000001</v>
      </c>
      <c r="BW110" s="73">
        <v>44.18</v>
      </c>
      <c r="BX110" s="73"/>
      <c r="BY110" s="72">
        <f t="shared" si="44"/>
        <v>46.738050000000001</v>
      </c>
      <c r="BZ110" s="72">
        <f t="shared" si="45"/>
        <v>50.618189999999998</v>
      </c>
      <c r="CA110" s="72">
        <f>SUM(Table22[[#This Row],[Good Kernel (G M)]:[Spotted (g m)]])/1000*100</f>
        <v>26.5</v>
      </c>
      <c r="CB110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10" s="73">
        <v>11.5</v>
      </c>
      <c r="CD110" s="73">
        <v>188</v>
      </c>
      <c r="CE110" s="73">
        <v>680</v>
      </c>
      <c r="CF110" s="130"/>
      <c r="CH110" s="184">
        <f ca="1">TODAY()-Table22[[#This Row],[Discharge Date]]</f>
        <v>127</v>
      </c>
    </row>
    <row r="111" spans="1:86" x14ac:dyDescent="0.25">
      <c r="A111" s="50">
        <v>107</v>
      </c>
      <c r="B111" s="73" t="s">
        <v>95</v>
      </c>
      <c r="C111" s="73" t="s">
        <v>96</v>
      </c>
      <c r="D111" s="114">
        <v>107</v>
      </c>
      <c r="E111" s="98" t="s">
        <v>130</v>
      </c>
      <c r="F111" s="97">
        <v>605</v>
      </c>
      <c r="G111" s="73"/>
      <c r="H111" s="82"/>
      <c r="I111" s="82"/>
      <c r="J111" s="82"/>
      <c r="K111" s="82" t="s">
        <v>634</v>
      </c>
      <c r="L111" s="82"/>
      <c r="M111" s="100">
        <v>37581</v>
      </c>
      <c r="N111" s="100" t="s">
        <v>643</v>
      </c>
      <c r="O111" s="73" t="s">
        <v>248</v>
      </c>
      <c r="P111" s="97" t="s">
        <v>234</v>
      </c>
      <c r="Q111" s="101">
        <v>46128</v>
      </c>
      <c r="R111" s="102" t="s">
        <v>145</v>
      </c>
      <c r="S111" s="103" t="s">
        <v>146</v>
      </c>
      <c r="T111" s="102"/>
      <c r="U111" s="102"/>
      <c r="V111" s="73" t="s">
        <v>147</v>
      </c>
      <c r="W111" s="73">
        <v>500</v>
      </c>
      <c r="X111" s="73">
        <v>31</v>
      </c>
      <c r="Y111" s="51">
        <f t="shared" si="40"/>
        <v>531</v>
      </c>
      <c r="Z111" s="73"/>
      <c r="AA111" s="61">
        <f t="shared" si="49"/>
        <v>500</v>
      </c>
      <c r="AB111" s="51">
        <f t="shared" si="46"/>
        <v>0</v>
      </c>
      <c r="AC111" s="88">
        <f t="shared" si="56"/>
        <v>500</v>
      </c>
      <c r="AD111" s="63"/>
      <c r="AE111" s="63">
        <f t="shared" si="51"/>
        <v>31</v>
      </c>
      <c r="AF111" s="63">
        <v>58</v>
      </c>
      <c r="AG111" s="63"/>
      <c r="AH111" s="64">
        <f t="shared" si="52"/>
        <v>531</v>
      </c>
      <c r="AI111" s="62"/>
      <c r="AJ111" s="62"/>
      <c r="AK111" s="62">
        <f t="shared" si="53"/>
        <v>531</v>
      </c>
      <c r="AL111" s="62">
        <f t="shared" si="54"/>
        <v>531</v>
      </c>
      <c r="AM111" s="67">
        <v>45490</v>
      </c>
      <c r="AN111" s="124">
        <f t="shared" si="47"/>
        <v>655</v>
      </c>
      <c r="AO111" s="77">
        <f t="shared" si="55"/>
        <v>44959</v>
      </c>
      <c r="AP111" s="77">
        <f t="shared" si="33"/>
        <v>44835</v>
      </c>
      <c r="AQ111" s="77">
        <f t="shared" si="48"/>
        <v>44835</v>
      </c>
      <c r="AR111" s="67">
        <f t="shared" si="34"/>
        <v>124</v>
      </c>
      <c r="AS111" s="68">
        <f>Table22[[#This Row],[GROSS WT]]-Table22[[#This Row],[Total Bag Discharged (Truck)]]</f>
        <v>44959</v>
      </c>
      <c r="AT111" s="67">
        <f t="shared" si="35"/>
        <v>44959</v>
      </c>
      <c r="AU111" s="69"/>
      <c r="AV111" s="73">
        <v>18</v>
      </c>
      <c r="AW111" s="73">
        <v>28</v>
      </c>
      <c r="AX111" s="73">
        <v>2</v>
      </c>
      <c r="AY111" s="71">
        <f t="shared" si="36"/>
        <v>48</v>
      </c>
      <c r="AZ111" s="70">
        <v>224</v>
      </c>
      <c r="BA111" s="73">
        <v>22</v>
      </c>
      <c r="BB111" s="73">
        <v>10</v>
      </c>
      <c r="BC111" s="63">
        <f t="shared" si="41"/>
        <v>256</v>
      </c>
      <c r="BD111" s="72">
        <f>SUM(Table22[[#This Row],[Good Kernel (gm)]]+(Table22[[#This Row],[Immature (gm)]]+Table22[[#This Row],[Spotted (gm)]])/2)*0.176</f>
        <v>42.239999999999995</v>
      </c>
      <c r="BE111" s="73">
        <v>42.32</v>
      </c>
      <c r="BF111" s="72">
        <f t="shared" si="42"/>
        <v>45.15072</v>
      </c>
      <c r="BG111" s="72">
        <f t="shared" si="37"/>
        <v>48.67812</v>
      </c>
      <c r="BH111" s="72">
        <f>SUM(Table22[[#This Row],[Good Kernel (gm)]:[Spotted (gm)]])/1000*100</f>
        <v>25.6</v>
      </c>
      <c r="BI111" s="72">
        <f t="shared" si="38"/>
        <v>27.6</v>
      </c>
      <c r="BJ111" s="73">
        <v>10.1</v>
      </c>
      <c r="BK111" s="73">
        <v>159</v>
      </c>
      <c r="BL111" s="73">
        <v>690</v>
      </c>
      <c r="BM111" s="73">
        <v>24</v>
      </c>
      <c r="BN111" s="73"/>
      <c r="BO111" s="73">
        <v>16</v>
      </c>
      <c r="BP111" s="73">
        <v>2</v>
      </c>
      <c r="BQ111" s="71">
        <f t="shared" si="39"/>
        <v>42</v>
      </c>
      <c r="BR111" s="73">
        <v>230</v>
      </c>
      <c r="BS111" s="73">
        <v>18</v>
      </c>
      <c r="BT111" s="73">
        <v>8</v>
      </c>
      <c r="BU111" s="63">
        <f t="shared" si="43"/>
        <v>256</v>
      </c>
      <c r="BV111" s="72">
        <f>SUM(Table22[[#This Row],[Good Kernel (G M)]]+(Table22[[#This Row],[Immature (g m)]]+Table22[[#This Row],[Spotted (g m)]])/2)*0.176</f>
        <v>42.768000000000001</v>
      </c>
      <c r="BW111" s="73">
        <v>42.15</v>
      </c>
      <c r="BX111" s="73"/>
      <c r="BY111" s="72">
        <f t="shared" si="44"/>
        <v>45.15072</v>
      </c>
      <c r="BZ111" s="72">
        <f t="shared" si="45"/>
        <v>49.736339999999998</v>
      </c>
      <c r="CA111" s="72">
        <f>SUM(Table22[[#This Row],[Good Kernel (G M)]:[Spotted (g m)]])/1000*100</f>
        <v>25.6</v>
      </c>
      <c r="CB111" s="72">
        <f>(Table22[[#This Row],[BROWNS/Rejection (gm) (NUT)]]+Table22[[#This Row],[OIL (g m)]]+Table22[[#This Row],[Good Kernel (G M)]]+Table22[[#This Row],[Immature (g m)]]+Table22[[#This Row],[Spotted (g m)]])/1000*100</f>
        <v>28.199999999999996</v>
      </c>
      <c r="CC111" s="73">
        <v>10.1</v>
      </c>
      <c r="CD111" s="73">
        <v>159</v>
      </c>
      <c r="CE111" s="73">
        <v>696</v>
      </c>
      <c r="CF111" s="130"/>
      <c r="CH111" s="184">
        <f ca="1">TODAY()-Table22[[#This Row],[Discharge Date]]</f>
        <v>127</v>
      </c>
    </row>
    <row r="112" spans="1:86" x14ac:dyDescent="0.25">
      <c r="A112" s="50">
        <v>108</v>
      </c>
      <c r="B112" s="73" t="s">
        <v>95</v>
      </c>
      <c r="C112" s="73" t="s">
        <v>96</v>
      </c>
      <c r="D112" s="97">
        <v>108</v>
      </c>
      <c r="E112" s="73"/>
      <c r="F112" s="97">
        <v>604</v>
      </c>
      <c r="G112" s="73"/>
      <c r="H112" s="82"/>
      <c r="I112" s="82"/>
      <c r="J112" s="82"/>
      <c r="K112" s="82" t="s">
        <v>634</v>
      </c>
      <c r="L112" s="82"/>
      <c r="M112" s="100">
        <v>77597</v>
      </c>
      <c r="N112" s="100" t="s">
        <v>685</v>
      </c>
      <c r="O112" s="73" t="s">
        <v>249</v>
      </c>
      <c r="P112" s="97" t="s">
        <v>236</v>
      </c>
      <c r="Q112" s="101">
        <v>46128</v>
      </c>
      <c r="R112" s="102" t="s">
        <v>250</v>
      </c>
      <c r="S112" s="59" t="s">
        <v>435</v>
      </c>
      <c r="T112" s="54"/>
      <c r="U112" s="102" t="s">
        <v>434</v>
      </c>
      <c r="V112" s="59" t="s">
        <v>157</v>
      </c>
      <c r="W112" s="60">
        <v>496</v>
      </c>
      <c r="X112" s="60">
        <v>24</v>
      </c>
      <c r="Y112" s="51">
        <f t="shared" si="40"/>
        <v>520</v>
      </c>
      <c r="Z112" s="73"/>
      <c r="AA112" s="61">
        <f t="shared" si="49"/>
        <v>496</v>
      </c>
      <c r="AB112" s="51">
        <f t="shared" si="46"/>
        <v>0</v>
      </c>
      <c r="AC112" s="88">
        <f t="shared" si="56"/>
        <v>496</v>
      </c>
      <c r="AD112" s="63"/>
      <c r="AE112" s="63">
        <f t="shared" si="51"/>
        <v>24</v>
      </c>
      <c r="AF112" s="63">
        <v>49</v>
      </c>
      <c r="AG112" s="63"/>
      <c r="AH112" s="64">
        <f t="shared" si="52"/>
        <v>520</v>
      </c>
      <c r="AI112" s="62"/>
      <c r="AJ112" s="62"/>
      <c r="AK112" s="62">
        <f t="shared" si="53"/>
        <v>520</v>
      </c>
      <c r="AL112" s="62">
        <f t="shared" si="54"/>
        <v>520</v>
      </c>
      <c r="AM112" s="67">
        <v>40930</v>
      </c>
      <c r="AN112" s="124">
        <f t="shared" si="47"/>
        <v>616</v>
      </c>
      <c r="AO112" s="77">
        <f t="shared" si="55"/>
        <v>40410</v>
      </c>
      <c r="AP112" s="77">
        <f t="shared" si="33"/>
        <v>40314</v>
      </c>
      <c r="AQ112" s="77">
        <f t="shared" si="48"/>
        <v>40314</v>
      </c>
      <c r="AR112" s="67">
        <f t="shared" si="34"/>
        <v>96</v>
      </c>
      <c r="AS112" s="68">
        <f>Table22[[#This Row],[GROSS WT]]-Table22[[#This Row],[Total Bag Discharged (Truck)]]</f>
        <v>40410</v>
      </c>
      <c r="AT112" s="67">
        <f t="shared" si="35"/>
        <v>40410</v>
      </c>
      <c r="AU112" s="69"/>
      <c r="AV112" s="73">
        <v>26</v>
      </c>
      <c r="AW112" s="73">
        <v>28</v>
      </c>
      <c r="AX112" s="73">
        <v>2</v>
      </c>
      <c r="AY112" s="71">
        <f t="shared" si="36"/>
        <v>56</v>
      </c>
      <c r="AZ112" s="70">
        <v>238</v>
      </c>
      <c r="BA112" s="73">
        <v>17</v>
      </c>
      <c r="BB112" s="73">
        <v>11</v>
      </c>
      <c r="BC112" s="63">
        <f t="shared" si="41"/>
        <v>266</v>
      </c>
      <c r="BD112" s="72">
        <f>SUM(Table22[[#This Row],[Good Kernel (gm)]]+(Table22[[#This Row],[Immature (gm)]]+Table22[[#This Row],[Spotted (gm)]])/2)*0.176</f>
        <v>44.351999999999997</v>
      </c>
      <c r="BE112" s="73">
        <v>44.44</v>
      </c>
      <c r="BF112" s="72">
        <f t="shared" si="42"/>
        <v>46.91442</v>
      </c>
      <c r="BG112" s="72">
        <f t="shared" si="37"/>
        <v>51.852780000000003</v>
      </c>
      <c r="BH112" s="72">
        <f>SUM(Table22[[#This Row],[Good Kernel (gm)]:[Spotted (gm)]])/1000*100</f>
        <v>26.6</v>
      </c>
      <c r="BI112" s="72">
        <f t="shared" si="38"/>
        <v>29.4</v>
      </c>
      <c r="BJ112" s="73">
        <v>8.4</v>
      </c>
      <c r="BK112" s="73">
        <v>173</v>
      </c>
      <c r="BL112" s="73">
        <v>672</v>
      </c>
      <c r="BM112" s="73">
        <v>22</v>
      </c>
      <c r="BN112" s="73"/>
      <c r="BO112" s="73">
        <v>28</v>
      </c>
      <c r="BP112" s="73">
        <v>0</v>
      </c>
      <c r="BQ112" s="71">
        <f t="shared" si="39"/>
        <v>50</v>
      </c>
      <c r="BR112" s="73">
        <v>240</v>
      </c>
      <c r="BS112" s="73">
        <v>16</v>
      </c>
      <c r="BT112" s="73">
        <v>10</v>
      </c>
      <c r="BU112" s="63">
        <f t="shared" si="43"/>
        <v>266</v>
      </c>
      <c r="BV112" s="72">
        <f>SUM(Table22[[#This Row],[Good Kernel (G M)]]+(Table22[[#This Row],[Immature (g m)]]+Table22[[#This Row],[Spotted (g m)]])/2)*0.176</f>
        <v>44.527999999999999</v>
      </c>
      <c r="BW112" s="73">
        <v>44.62</v>
      </c>
      <c r="BX112" s="73"/>
      <c r="BY112" s="72">
        <f t="shared" si="44"/>
        <v>46.91442</v>
      </c>
      <c r="BZ112" s="72">
        <f t="shared" si="45"/>
        <v>50.794559999999997</v>
      </c>
      <c r="CA112" s="72">
        <f>SUM(Table22[[#This Row],[Good Kernel (G M)]:[Spotted (g m)]])/1000*100</f>
        <v>26.6</v>
      </c>
      <c r="CB112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112" s="73">
        <v>8.1</v>
      </c>
      <c r="CD112" s="73">
        <v>176</v>
      </c>
      <c r="CE112" s="73">
        <v>678</v>
      </c>
      <c r="CF112" s="130"/>
      <c r="CH112" s="184">
        <f ca="1">TODAY()-Table22[[#This Row],[Discharge Date]]</f>
        <v>127</v>
      </c>
    </row>
    <row r="113" spans="1:86" x14ac:dyDescent="0.25">
      <c r="A113" s="50">
        <v>109</v>
      </c>
      <c r="B113" s="73" t="s">
        <v>95</v>
      </c>
      <c r="C113" s="73" t="s">
        <v>96</v>
      </c>
      <c r="D113" s="97">
        <v>109</v>
      </c>
      <c r="E113" s="73"/>
      <c r="F113" s="97">
        <v>610</v>
      </c>
      <c r="G113" s="73"/>
      <c r="H113" s="82"/>
      <c r="I113" s="82"/>
      <c r="J113" s="82"/>
      <c r="K113" s="82" t="s">
        <v>634</v>
      </c>
      <c r="L113" s="82"/>
      <c r="M113" s="100">
        <v>78866</v>
      </c>
      <c r="N113" s="100" t="s">
        <v>685</v>
      </c>
      <c r="O113" s="73" t="s">
        <v>251</v>
      </c>
      <c r="P113" s="109">
        <v>46330</v>
      </c>
      <c r="Q113" s="101">
        <v>46129</v>
      </c>
      <c r="R113" s="102" t="s">
        <v>100</v>
      </c>
      <c r="S113" s="59" t="s">
        <v>101</v>
      </c>
      <c r="T113" s="102"/>
      <c r="U113" s="102"/>
      <c r="V113" s="51" t="s">
        <v>102</v>
      </c>
      <c r="W113" s="73">
        <v>540</v>
      </c>
      <c r="X113" s="73">
        <v>20</v>
      </c>
      <c r="Y113" s="51">
        <f t="shared" si="40"/>
        <v>560</v>
      </c>
      <c r="Z113" s="73"/>
      <c r="AA113" s="61">
        <f t="shared" si="49"/>
        <v>540</v>
      </c>
      <c r="AB113" s="51">
        <f t="shared" si="46"/>
        <v>0</v>
      </c>
      <c r="AC113" s="88">
        <f t="shared" si="56"/>
        <v>540</v>
      </c>
      <c r="AD113" s="63"/>
      <c r="AE113" s="63">
        <f t="shared" si="51"/>
        <v>20</v>
      </c>
      <c r="AF113" s="63">
        <v>28</v>
      </c>
      <c r="AG113" s="63"/>
      <c r="AH113" s="64">
        <f t="shared" si="52"/>
        <v>560</v>
      </c>
      <c r="AI113" s="62"/>
      <c r="AJ113" s="62"/>
      <c r="AK113" s="62">
        <f t="shared" si="53"/>
        <v>560</v>
      </c>
      <c r="AL113" s="62">
        <f t="shared" si="54"/>
        <v>560</v>
      </c>
      <c r="AM113" s="67">
        <v>46840</v>
      </c>
      <c r="AN113" s="124">
        <f t="shared" si="47"/>
        <v>640</v>
      </c>
      <c r="AO113" s="77">
        <f t="shared" si="55"/>
        <v>46280</v>
      </c>
      <c r="AP113" s="77">
        <f t="shared" ref="AP113:AP176" si="57">AM113-AN113</f>
        <v>46200</v>
      </c>
      <c r="AQ113" s="77">
        <f t="shared" si="48"/>
        <v>46200</v>
      </c>
      <c r="AR113" s="67">
        <f t="shared" si="34"/>
        <v>80</v>
      </c>
      <c r="AS113" s="68">
        <f>Table22[[#This Row],[GROSS WT]]-Table22[[#This Row],[Total Bag Discharged (Truck)]]</f>
        <v>46280</v>
      </c>
      <c r="AT113" s="67">
        <f t="shared" si="35"/>
        <v>46280</v>
      </c>
      <c r="AU113" s="69"/>
      <c r="AV113" s="73">
        <v>25</v>
      </c>
      <c r="AW113" s="73">
        <v>18</v>
      </c>
      <c r="AX113" s="73">
        <v>0</v>
      </c>
      <c r="AY113" s="71">
        <f t="shared" si="36"/>
        <v>43</v>
      </c>
      <c r="AZ113" s="70">
        <v>241</v>
      </c>
      <c r="BA113" s="73">
        <v>12</v>
      </c>
      <c r="BB113" s="73">
        <v>7</v>
      </c>
      <c r="BC113" s="63">
        <f t="shared" si="41"/>
        <v>260</v>
      </c>
      <c r="BD113" s="72">
        <f>SUM(Table22[[#This Row],[Good Kernel (gm)]]+(Table22[[#This Row],[Immature (gm)]]+Table22[[#This Row],[Spotted (gm)]])/2)*0.176</f>
        <v>44.088000000000001</v>
      </c>
      <c r="BE113" s="73">
        <v>44.18</v>
      </c>
      <c r="BF113" s="72">
        <f t="shared" si="42"/>
        <v>45.856200000000001</v>
      </c>
      <c r="BG113" s="72">
        <f t="shared" si="37"/>
        <v>50.265450000000001</v>
      </c>
      <c r="BH113" s="72">
        <f>SUM(Table22[[#This Row],[Good Kernel (gm)]:[Spotted (gm)]])/1000*100</f>
        <v>26</v>
      </c>
      <c r="BI113" s="72">
        <f t="shared" si="38"/>
        <v>28.499999999999996</v>
      </c>
      <c r="BJ113" s="73">
        <v>10.8</v>
      </c>
      <c r="BK113" s="73">
        <v>174</v>
      </c>
      <c r="BL113" s="73">
        <v>691</v>
      </c>
      <c r="BM113" s="73">
        <v>28</v>
      </c>
      <c r="BN113" s="73"/>
      <c r="BO113" s="73">
        <v>13</v>
      </c>
      <c r="BP113" s="73">
        <v>0</v>
      </c>
      <c r="BQ113" s="71">
        <f t="shared" si="39"/>
        <v>41</v>
      </c>
      <c r="BR113" s="73">
        <v>241</v>
      </c>
      <c r="BS113" s="73">
        <v>14</v>
      </c>
      <c r="BT113" s="73">
        <v>7</v>
      </c>
      <c r="BU113" s="63">
        <f t="shared" si="43"/>
        <v>262</v>
      </c>
      <c r="BV113" s="72">
        <f>SUM(Table22[[#This Row],[Good Kernel (G M)]]+(Table22[[#This Row],[Immature (g m)]]+Table22[[#This Row],[Spotted (g m)]])/2)*0.176</f>
        <v>44.263999999999996</v>
      </c>
      <c r="BW113" s="73">
        <v>44.44</v>
      </c>
      <c r="BX113" s="73"/>
      <c r="BY113" s="72">
        <f t="shared" si="44"/>
        <v>46.208939999999998</v>
      </c>
      <c r="BZ113" s="72">
        <f t="shared" si="45"/>
        <v>51.147300000000001</v>
      </c>
      <c r="CA113" s="72">
        <f>SUM(Table22[[#This Row],[Good Kernel (G M)]:[Spotted (g m)]])/1000*100</f>
        <v>26.200000000000003</v>
      </c>
      <c r="CB113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13" s="73">
        <v>10</v>
      </c>
      <c r="CD113" s="73">
        <v>178</v>
      </c>
      <c r="CE113" s="73">
        <v>691</v>
      </c>
      <c r="CF113" s="130"/>
      <c r="CH113" s="184">
        <f ca="1">TODAY()-Table22[[#This Row],[Discharge Date]]</f>
        <v>126</v>
      </c>
    </row>
    <row r="114" spans="1:86" x14ac:dyDescent="0.25">
      <c r="A114" s="50">
        <v>110</v>
      </c>
      <c r="B114" s="73" t="s">
        <v>95</v>
      </c>
      <c r="C114" s="73" t="s">
        <v>96</v>
      </c>
      <c r="D114" s="114">
        <v>110</v>
      </c>
      <c r="E114" s="98" t="s">
        <v>130</v>
      </c>
      <c r="F114" s="97">
        <v>612</v>
      </c>
      <c r="G114" s="73"/>
      <c r="H114" s="82"/>
      <c r="I114" s="82"/>
      <c r="J114" s="82"/>
      <c r="K114" s="82" t="s">
        <v>634</v>
      </c>
      <c r="L114" s="82"/>
      <c r="M114" s="100">
        <v>3198</v>
      </c>
      <c r="N114" s="100" t="s">
        <v>681</v>
      </c>
      <c r="O114" s="73" t="s">
        <v>252</v>
      </c>
      <c r="P114" s="97" t="s">
        <v>246</v>
      </c>
      <c r="Q114" s="101">
        <v>46129</v>
      </c>
      <c r="R114" s="102" t="s">
        <v>213</v>
      </c>
      <c r="S114" s="103" t="s">
        <v>271</v>
      </c>
      <c r="T114" s="102" t="s">
        <v>198</v>
      </c>
      <c r="U114" s="102"/>
      <c r="V114" s="73" t="s">
        <v>199</v>
      </c>
      <c r="W114" s="73">
        <v>406</v>
      </c>
      <c r="X114" s="73">
        <v>20</v>
      </c>
      <c r="Y114" s="51">
        <f t="shared" si="40"/>
        <v>426</v>
      </c>
      <c r="Z114" s="73"/>
      <c r="AA114" s="61">
        <f t="shared" si="49"/>
        <v>406</v>
      </c>
      <c r="AB114" s="51">
        <f t="shared" si="46"/>
        <v>0</v>
      </c>
      <c r="AC114" s="88">
        <f t="shared" si="56"/>
        <v>406</v>
      </c>
      <c r="AD114" s="63"/>
      <c r="AE114" s="63">
        <f t="shared" si="51"/>
        <v>20</v>
      </c>
      <c r="AF114" s="63">
        <v>44</v>
      </c>
      <c r="AG114" s="63"/>
      <c r="AH114" s="64">
        <f t="shared" si="52"/>
        <v>426</v>
      </c>
      <c r="AI114" s="62"/>
      <c r="AJ114" s="62"/>
      <c r="AK114" s="62">
        <f t="shared" si="53"/>
        <v>426</v>
      </c>
      <c r="AL114" s="62">
        <f t="shared" si="54"/>
        <v>426</v>
      </c>
      <c r="AM114" s="67">
        <v>37970</v>
      </c>
      <c r="AN114" s="124">
        <f t="shared" si="47"/>
        <v>506</v>
      </c>
      <c r="AO114" s="77">
        <f t="shared" si="55"/>
        <v>37544</v>
      </c>
      <c r="AP114" s="77">
        <f t="shared" si="57"/>
        <v>37464</v>
      </c>
      <c r="AQ114" s="77">
        <f t="shared" si="48"/>
        <v>37464</v>
      </c>
      <c r="AR114" s="67">
        <f t="shared" si="34"/>
        <v>80</v>
      </c>
      <c r="AS114" s="68">
        <f>Table22[[#This Row],[GROSS WT]]-Table22[[#This Row],[Total Bag Discharged (Truck)]]</f>
        <v>37544</v>
      </c>
      <c r="AT114" s="67">
        <f t="shared" si="35"/>
        <v>37544</v>
      </c>
      <c r="AU114" s="69"/>
      <c r="AV114" s="73">
        <v>26</v>
      </c>
      <c r="AW114" s="73">
        <v>20</v>
      </c>
      <c r="AX114" s="73">
        <v>0</v>
      </c>
      <c r="AY114" s="71">
        <f t="shared" si="36"/>
        <v>46</v>
      </c>
      <c r="AZ114" s="70">
        <v>230</v>
      </c>
      <c r="BA114" s="73">
        <v>18</v>
      </c>
      <c r="BB114" s="73">
        <v>9</v>
      </c>
      <c r="BC114" s="63">
        <f t="shared" si="41"/>
        <v>257</v>
      </c>
      <c r="BD114" s="72">
        <f>SUM(Table22[[#This Row],[Good Kernel (gm)]]+(Table22[[#This Row],[Immature (gm)]]+Table22[[#This Row],[Spotted (gm)]])/2)*0.176</f>
        <v>42.855999999999995</v>
      </c>
      <c r="BE114" s="73">
        <v>43.65</v>
      </c>
      <c r="BF114" s="72">
        <f t="shared" si="42"/>
        <v>45.327089999999998</v>
      </c>
      <c r="BG114" s="72">
        <f t="shared" si="37"/>
        <v>49.912709999999997</v>
      </c>
      <c r="BH114" s="72">
        <f>SUM(Table22[[#This Row],[Good Kernel (gm)]:[Spotted (gm)]])/1000*100</f>
        <v>25.7</v>
      </c>
      <c r="BI114" s="72">
        <f t="shared" si="38"/>
        <v>28.299999999999997</v>
      </c>
      <c r="BJ114" s="73">
        <v>13.8</v>
      </c>
      <c r="BK114" s="73">
        <v>157</v>
      </c>
      <c r="BL114" s="73">
        <v>692</v>
      </c>
      <c r="BM114" s="73">
        <v>38</v>
      </c>
      <c r="BN114" s="73"/>
      <c r="BO114" s="73">
        <v>22</v>
      </c>
      <c r="BP114" s="73">
        <v>0</v>
      </c>
      <c r="BQ114" s="71">
        <f t="shared" si="39"/>
        <v>60</v>
      </c>
      <c r="BR114" s="73">
        <v>231</v>
      </c>
      <c r="BS114" s="73">
        <v>16</v>
      </c>
      <c r="BT114" s="73">
        <v>12</v>
      </c>
      <c r="BU114" s="63">
        <f t="shared" si="43"/>
        <v>259</v>
      </c>
      <c r="BV114" s="72">
        <f>SUM(Table22[[#This Row],[Good Kernel (G M)]]+(Table22[[#This Row],[Immature (g m)]]+Table22[[#This Row],[Spotted (g m)]])/2)*0.176</f>
        <v>43.12</v>
      </c>
      <c r="BW114" s="73">
        <v>43.29</v>
      </c>
      <c r="BX114" s="73"/>
      <c r="BY114" s="72">
        <f t="shared" si="44"/>
        <v>45.679830000000003</v>
      </c>
      <c r="BZ114" s="72">
        <f t="shared" si="45"/>
        <v>52.381889999999999</v>
      </c>
      <c r="CA114" s="72">
        <f>SUM(Table22[[#This Row],[Good Kernel (G M)]:[Spotted (g m)]])/1000*100</f>
        <v>25.900000000000002</v>
      </c>
      <c r="CB114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114" s="73">
        <v>13.1</v>
      </c>
      <c r="CD114" s="73">
        <v>160</v>
      </c>
      <c r="CE114" s="73">
        <v>675</v>
      </c>
      <c r="CF114" s="130"/>
      <c r="CH114" s="184">
        <f ca="1">TODAY()-Table22[[#This Row],[Discharge Date]]</f>
        <v>126</v>
      </c>
    </row>
    <row r="115" spans="1:86" x14ac:dyDescent="0.25">
      <c r="A115" s="50">
        <v>111</v>
      </c>
      <c r="B115" s="73" t="s">
        <v>95</v>
      </c>
      <c r="C115" s="73" t="s">
        <v>96</v>
      </c>
      <c r="D115" s="97">
        <v>111</v>
      </c>
      <c r="E115" s="73"/>
      <c r="F115" s="97"/>
      <c r="G115" s="73"/>
      <c r="H115" s="82"/>
      <c r="I115" s="82"/>
      <c r="J115" s="82"/>
      <c r="K115" s="82" t="s">
        <v>634</v>
      </c>
      <c r="L115" s="82"/>
      <c r="M115" s="100">
        <v>3197</v>
      </c>
      <c r="N115" s="100" t="s">
        <v>684</v>
      </c>
      <c r="O115" s="73" t="s">
        <v>253</v>
      </c>
      <c r="P115" s="97" t="s">
        <v>246</v>
      </c>
      <c r="Q115" s="101">
        <v>46129</v>
      </c>
      <c r="R115" s="102" t="s">
        <v>213</v>
      </c>
      <c r="S115" s="103" t="s">
        <v>271</v>
      </c>
      <c r="T115" s="102" t="s">
        <v>198</v>
      </c>
      <c r="U115" s="102"/>
      <c r="V115" s="73" t="s">
        <v>199</v>
      </c>
      <c r="W115" s="73">
        <v>446</v>
      </c>
      <c r="X115" s="73">
        <v>10</v>
      </c>
      <c r="Y115" s="51">
        <f t="shared" si="40"/>
        <v>456</v>
      </c>
      <c r="Z115" s="73"/>
      <c r="AA115" s="61">
        <f t="shared" si="49"/>
        <v>446</v>
      </c>
      <c r="AB115" s="51">
        <f t="shared" si="46"/>
        <v>0</v>
      </c>
      <c r="AC115" s="88">
        <f t="shared" si="56"/>
        <v>446</v>
      </c>
      <c r="AD115" s="63"/>
      <c r="AE115" s="63">
        <f t="shared" si="51"/>
        <v>10</v>
      </c>
      <c r="AF115" s="63">
        <v>32</v>
      </c>
      <c r="AG115" s="63"/>
      <c r="AH115" s="64">
        <f t="shared" si="52"/>
        <v>456</v>
      </c>
      <c r="AI115" s="62"/>
      <c r="AJ115" s="62"/>
      <c r="AK115" s="62">
        <f t="shared" si="53"/>
        <v>456</v>
      </c>
      <c r="AL115" s="62">
        <f t="shared" si="54"/>
        <v>456</v>
      </c>
      <c r="AM115" s="67">
        <v>35570</v>
      </c>
      <c r="AN115" s="124">
        <f t="shared" si="47"/>
        <v>496</v>
      </c>
      <c r="AO115" s="77">
        <f t="shared" si="55"/>
        <v>35114</v>
      </c>
      <c r="AP115" s="77">
        <f t="shared" si="57"/>
        <v>35074</v>
      </c>
      <c r="AQ115" s="77">
        <f t="shared" si="48"/>
        <v>35074</v>
      </c>
      <c r="AR115" s="67">
        <f t="shared" si="34"/>
        <v>40</v>
      </c>
      <c r="AS115" s="68">
        <f>Table22[[#This Row],[GROSS WT]]-Table22[[#This Row],[Total Bag Discharged (Truck)]]</f>
        <v>35114</v>
      </c>
      <c r="AT115" s="67">
        <f t="shared" si="35"/>
        <v>35114</v>
      </c>
      <c r="AU115" s="69"/>
      <c r="AV115" s="73">
        <v>23</v>
      </c>
      <c r="AW115" s="73">
        <v>19</v>
      </c>
      <c r="AX115" s="73">
        <v>0</v>
      </c>
      <c r="AY115" s="71">
        <f t="shared" si="36"/>
        <v>42</v>
      </c>
      <c r="AZ115" s="70">
        <v>236</v>
      </c>
      <c r="BA115" s="73">
        <v>20</v>
      </c>
      <c r="BB115" s="73">
        <v>8</v>
      </c>
      <c r="BC115" s="63">
        <f t="shared" si="41"/>
        <v>264</v>
      </c>
      <c r="BD115" s="72">
        <f>SUM(Table22[[#This Row],[Good Kernel (gm)]]+(Table22[[#This Row],[Immature (gm)]]+Table22[[#This Row],[Spotted (gm)]])/2)*0.176</f>
        <v>44</v>
      </c>
      <c r="BE115" s="73">
        <v>44.09</v>
      </c>
      <c r="BF115" s="72">
        <f t="shared" si="42"/>
        <v>46.561680000000003</v>
      </c>
      <c r="BG115" s="72">
        <f t="shared" si="37"/>
        <v>50.618189999999998</v>
      </c>
      <c r="BH115" s="72">
        <f>SUM(Table22[[#This Row],[Good Kernel (gm)]:[Spotted (gm)]])/1000*100</f>
        <v>26.400000000000002</v>
      </c>
      <c r="BI115" s="72">
        <f t="shared" si="38"/>
        <v>28.7</v>
      </c>
      <c r="BJ115" s="73">
        <v>8</v>
      </c>
      <c r="BK115" s="73">
        <v>172</v>
      </c>
      <c r="BL115" s="73">
        <v>688</v>
      </c>
      <c r="BM115" s="73">
        <v>23</v>
      </c>
      <c r="BN115" s="73"/>
      <c r="BO115" s="73">
        <v>25</v>
      </c>
      <c r="BP115" s="73">
        <v>0</v>
      </c>
      <c r="BQ115" s="71">
        <f t="shared" si="39"/>
        <v>48</v>
      </c>
      <c r="BR115" s="73">
        <v>238</v>
      </c>
      <c r="BS115" s="73">
        <v>16</v>
      </c>
      <c r="BT115" s="73">
        <v>10</v>
      </c>
      <c r="BU115" s="63">
        <f t="shared" si="43"/>
        <v>264</v>
      </c>
      <c r="BV115" s="72">
        <f>SUM(Table22[[#This Row],[Good Kernel (G M)]]+(Table22[[#This Row],[Immature (g m)]]+Table22[[#This Row],[Spotted (g m)]])/2)*0.176</f>
        <v>44.175999999999995</v>
      </c>
      <c r="BW115" s="73">
        <v>44.18</v>
      </c>
      <c r="BX115" s="73"/>
      <c r="BY115" s="72">
        <f t="shared" si="44"/>
        <v>46.561680000000003</v>
      </c>
      <c r="BZ115" s="72">
        <f t="shared" si="45"/>
        <v>50.618189999999998</v>
      </c>
      <c r="CA115" s="72">
        <f>SUM(Table22[[#This Row],[Good Kernel (G M)]:[Spotted (g m)]])/1000*100</f>
        <v>26.400000000000002</v>
      </c>
      <c r="CB115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15" s="73">
        <v>8.1</v>
      </c>
      <c r="CD115" s="73">
        <v>174</v>
      </c>
      <c r="CE115" s="73">
        <v>681</v>
      </c>
      <c r="CF115" s="130"/>
      <c r="CH115" s="184">
        <f ca="1">TODAY()-Table22[[#This Row],[Discharge Date]]</f>
        <v>126</v>
      </c>
    </row>
    <row r="116" spans="1:86" x14ac:dyDescent="0.25">
      <c r="A116" s="50">
        <v>112</v>
      </c>
      <c r="B116" s="73" t="s">
        <v>95</v>
      </c>
      <c r="C116" s="73" t="s">
        <v>96</v>
      </c>
      <c r="D116" s="97">
        <v>112</v>
      </c>
      <c r="E116" s="73"/>
      <c r="F116" s="97"/>
      <c r="G116" s="73"/>
      <c r="H116" s="82"/>
      <c r="I116" s="82"/>
      <c r="J116" s="82"/>
      <c r="K116" s="82" t="s">
        <v>634</v>
      </c>
      <c r="L116" s="82"/>
      <c r="M116" s="100">
        <v>78876</v>
      </c>
      <c r="N116" s="100" t="s">
        <v>684</v>
      </c>
      <c r="O116" s="73" t="s">
        <v>172</v>
      </c>
      <c r="P116" s="97" t="s">
        <v>254</v>
      </c>
      <c r="Q116" s="101">
        <v>46129</v>
      </c>
      <c r="R116" s="102" t="s">
        <v>100</v>
      </c>
      <c r="S116" s="59" t="s">
        <v>101</v>
      </c>
      <c r="T116" s="102"/>
      <c r="U116" s="102"/>
      <c r="V116" s="51" t="s">
        <v>102</v>
      </c>
      <c r="W116" s="73">
        <v>512</v>
      </c>
      <c r="X116" s="73">
        <v>20</v>
      </c>
      <c r="Y116" s="51">
        <f t="shared" si="40"/>
        <v>532</v>
      </c>
      <c r="Z116" s="73"/>
      <c r="AA116" s="61">
        <f t="shared" si="49"/>
        <v>512</v>
      </c>
      <c r="AB116" s="51">
        <f t="shared" si="46"/>
        <v>0</v>
      </c>
      <c r="AC116" s="88">
        <f t="shared" si="56"/>
        <v>512</v>
      </c>
      <c r="AD116" s="63"/>
      <c r="AE116" s="63">
        <f t="shared" si="51"/>
        <v>20</v>
      </c>
      <c r="AF116" s="63">
        <v>43</v>
      </c>
      <c r="AG116" s="63"/>
      <c r="AH116" s="64">
        <f t="shared" si="52"/>
        <v>532</v>
      </c>
      <c r="AI116" s="62"/>
      <c r="AJ116" s="62"/>
      <c r="AK116" s="62">
        <f t="shared" si="53"/>
        <v>532</v>
      </c>
      <c r="AL116" s="62">
        <f t="shared" si="54"/>
        <v>532</v>
      </c>
      <c r="AM116" s="67">
        <v>41120</v>
      </c>
      <c r="AN116" s="124">
        <f t="shared" si="47"/>
        <v>612</v>
      </c>
      <c r="AO116" s="77">
        <f t="shared" si="55"/>
        <v>40588</v>
      </c>
      <c r="AP116" s="77">
        <f t="shared" si="57"/>
        <v>40508</v>
      </c>
      <c r="AQ116" s="77">
        <f t="shared" si="48"/>
        <v>40508</v>
      </c>
      <c r="AR116" s="67">
        <f t="shared" si="34"/>
        <v>80</v>
      </c>
      <c r="AS116" s="134">
        <f>Table22[[#This Row],[GROSS WT]]-Table22[[#This Row],[Total Bag Discharged (Truck)]]</f>
        <v>40588</v>
      </c>
      <c r="AT116" s="67">
        <f t="shared" si="35"/>
        <v>40588</v>
      </c>
      <c r="AU116" s="73"/>
      <c r="AV116" s="73">
        <v>25</v>
      </c>
      <c r="AW116" s="73">
        <v>18</v>
      </c>
      <c r="AX116" s="73">
        <v>0</v>
      </c>
      <c r="AY116" s="71">
        <f t="shared" si="36"/>
        <v>43</v>
      </c>
      <c r="AZ116" s="70">
        <v>241</v>
      </c>
      <c r="BA116" s="73">
        <v>12</v>
      </c>
      <c r="BB116" s="73">
        <v>7</v>
      </c>
      <c r="BC116" s="63">
        <f t="shared" si="41"/>
        <v>260</v>
      </c>
      <c r="BD116" s="72">
        <f>SUM(Table22[[#This Row],[Good Kernel (gm)]]+(Table22[[#This Row],[Immature (gm)]]+Table22[[#This Row],[Spotted (gm)]])/2)*0.176</f>
        <v>44.088000000000001</v>
      </c>
      <c r="BE116" s="73">
        <v>44.18</v>
      </c>
      <c r="BF116" s="72">
        <f t="shared" si="42"/>
        <v>45.856200000000001</v>
      </c>
      <c r="BG116" s="72">
        <f t="shared" si="37"/>
        <v>50.265450000000001</v>
      </c>
      <c r="BH116" s="72">
        <f>SUM(Table22[[#This Row],[Good Kernel (gm)]:[Spotted (gm)]])/1000*100</f>
        <v>26</v>
      </c>
      <c r="BI116" s="72">
        <f t="shared" si="38"/>
        <v>28.499999999999996</v>
      </c>
      <c r="BJ116" s="73">
        <v>10.8</v>
      </c>
      <c r="BK116" s="73">
        <v>174</v>
      </c>
      <c r="BL116" s="73">
        <v>691</v>
      </c>
      <c r="BM116" s="73">
        <v>20</v>
      </c>
      <c r="BN116" s="73"/>
      <c r="BO116" s="73">
        <v>15</v>
      </c>
      <c r="BP116" s="73">
        <v>0</v>
      </c>
      <c r="BQ116" s="71">
        <f t="shared" si="39"/>
        <v>35</v>
      </c>
      <c r="BR116" s="73">
        <v>238</v>
      </c>
      <c r="BS116" s="73">
        <v>15</v>
      </c>
      <c r="BT116" s="73">
        <v>10</v>
      </c>
      <c r="BU116" s="63">
        <f t="shared" si="43"/>
        <v>263</v>
      </c>
      <c r="BV116" s="72">
        <f>SUM(Table22[[#This Row],[Good Kernel (G M)]]+(Table22[[#This Row],[Immature (g m)]]+Table22[[#This Row],[Spotted (g m)]])/2)*0.176</f>
        <v>44.088000000000001</v>
      </c>
      <c r="BW116" s="73">
        <v>44.18</v>
      </c>
      <c r="BX116" s="73"/>
      <c r="BY116" s="72">
        <f t="shared" si="44"/>
        <v>46.385309999999997</v>
      </c>
      <c r="BZ116" s="72">
        <f t="shared" si="45"/>
        <v>49.912709999999997</v>
      </c>
      <c r="CA116" s="72">
        <f>SUM(Table22[[#This Row],[Good Kernel (G M)]:[Spotted (g m)]])/1000*100</f>
        <v>26.3</v>
      </c>
      <c r="CB116" s="72">
        <f>(Table22[[#This Row],[BROWNS/Rejection (gm) (NUT)]]+Table22[[#This Row],[OIL (g m)]]+Table22[[#This Row],[Good Kernel (G M)]]+Table22[[#This Row],[Immature (g m)]]+Table22[[#This Row],[Spotted (g m)]])/1000*100</f>
        <v>28.299999999999997</v>
      </c>
      <c r="CC116" s="73">
        <v>10.199999999999999</v>
      </c>
      <c r="CD116" s="73">
        <v>182</v>
      </c>
      <c r="CE116" s="73">
        <v>697</v>
      </c>
      <c r="CF116" s="130"/>
      <c r="CH116" s="184">
        <f ca="1">TODAY()-Table22[[#This Row],[Discharge Date]]</f>
        <v>126</v>
      </c>
    </row>
    <row r="117" spans="1:86" x14ac:dyDescent="0.25">
      <c r="A117" s="50">
        <v>113</v>
      </c>
      <c r="B117" s="73" t="s">
        <v>95</v>
      </c>
      <c r="C117" s="73" t="s">
        <v>96</v>
      </c>
      <c r="D117" s="114">
        <v>113</v>
      </c>
      <c r="E117" s="98" t="s">
        <v>130</v>
      </c>
      <c r="F117" s="97"/>
      <c r="G117" s="73"/>
      <c r="H117" s="82"/>
      <c r="I117" s="82"/>
      <c r="J117" s="82"/>
      <c r="K117" s="82" t="s">
        <v>634</v>
      </c>
      <c r="L117" s="82"/>
      <c r="M117" s="100">
        <v>87146</v>
      </c>
      <c r="N117" s="100" t="s">
        <v>643</v>
      </c>
      <c r="O117" s="73" t="s">
        <v>190</v>
      </c>
      <c r="P117" s="97" t="s">
        <v>254</v>
      </c>
      <c r="Q117" s="101">
        <v>46129</v>
      </c>
      <c r="R117" s="102" t="s">
        <v>255</v>
      </c>
      <c r="S117" s="103" t="s">
        <v>179</v>
      </c>
      <c r="T117" s="102"/>
      <c r="U117" s="102"/>
      <c r="V117" s="73" t="s">
        <v>180</v>
      </c>
      <c r="W117" s="73">
        <v>408</v>
      </c>
      <c r="X117" s="73">
        <v>22</v>
      </c>
      <c r="Y117" s="51">
        <f t="shared" si="40"/>
        <v>430</v>
      </c>
      <c r="Z117" s="73"/>
      <c r="AA117" s="61">
        <f t="shared" si="49"/>
        <v>408</v>
      </c>
      <c r="AB117" s="51">
        <f t="shared" si="46"/>
        <v>0</v>
      </c>
      <c r="AC117" s="88">
        <f t="shared" si="56"/>
        <v>408</v>
      </c>
      <c r="AD117" s="63"/>
      <c r="AE117" s="63">
        <f t="shared" si="51"/>
        <v>22</v>
      </c>
      <c r="AF117" s="63">
        <v>41</v>
      </c>
      <c r="AG117" s="63"/>
      <c r="AH117" s="64">
        <f t="shared" si="52"/>
        <v>430</v>
      </c>
      <c r="AI117" s="62"/>
      <c r="AJ117" s="62"/>
      <c r="AK117" s="62">
        <f t="shared" si="53"/>
        <v>430</v>
      </c>
      <c r="AL117" s="62">
        <f t="shared" si="54"/>
        <v>430</v>
      </c>
      <c r="AM117" s="67">
        <v>34010</v>
      </c>
      <c r="AN117" s="124">
        <f t="shared" si="47"/>
        <v>518</v>
      </c>
      <c r="AO117" s="77">
        <f t="shared" si="55"/>
        <v>33580</v>
      </c>
      <c r="AP117" s="77">
        <f t="shared" si="57"/>
        <v>33492</v>
      </c>
      <c r="AQ117" s="77">
        <f t="shared" si="48"/>
        <v>33492</v>
      </c>
      <c r="AR117" s="67">
        <f t="shared" si="34"/>
        <v>88</v>
      </c>
      <c r="AS117" s="134">
        <f>Table22[[#This Row],[GROSS WT]]-Table22[[#This Row],[Total Bag Discharged (Truck)]]</f>
        <v>33580</v>
      </c>
      <c r="AT117" s="67">
        <f t="shared" si="35"/>
        <v>33580</v>
      </c>
      <c r="AU117" s="73"/>
      <c r="AV117" s="73">
        <v>32</v>
      </c>
      <c r="AW117" s="73">
        <v>20</v>
      </c>
      <c r="AX117" s="73">
        <v>4</v>
      </c>
      <c r="AY117" s="71">
        <f t="shared" si="36"/>
        <v>56</v>
      </c>
      <c r="AZ117" s="70">
        <v>230</v>
      </c>
      <c r="BA117" s="73">
        <v>12</v>
      </c>
      <c r="BB117" s="73">
        <v>8</v>
      </c>
      <c r="BC117" s="63">
        <f t="shared" si="41"/>
        <v>250</v>
      </c>
      <c r="BD117" s="72">
        <f>SUM(Table22[[#This Row],[Good Kernel (gm)]]+(Table22[[#This Row],[Immature (gm)]]+Table22[[#This Row],[Spotted (gm)]])/2)*0.176</f>
        <v>42.239999999999995</v>
      </c>
      <c r="BE117" s="73">
        <v>42.32</v>
      </c>
      <c r="BF117" s="72">
        <f t="shared" si="42"/>
        <v>44.092500000000001</v>
      </c>
      <c r="BG117" s="72">
        <f t="shared" si="37"/>
        <v>50.44182</v>
      </c>
      <c r="BH117" s="72">
        <f>SUM(Table22[[#This Row],[Good Kernel (gm)]:[Spotted (gm)]])/1000*100</f>
        <v>25</v>
      </c>
      <c r="BI117" s="72">
        <f t="shared" si="38"/>
        <v>28.599999999999998</v>
      </c>
      <c r="BJ117" s="73">
        <v>10.4</v>
      </c>
      <c r="BK117" s="73">
        <v>170</v>
      </c>
      <c r="BL117" s="73">
        <v>688</v>
      </c>
      <c r="BM117" s="73">
        <v>38</v>
      </c>
      <c r="BN117" s="73"/>
      <c r="BO117" s="73">
        <v>16</v>
      </c>
      <c r="BP117" s="73">
        <v>0</v>
      </c>
      <c r="BQ117" s="71">
        <f t="shared" si="39"/>
        <v>54</v>
      </c>
      <c r="BR117" s="73">
        <v>230</v>
      </c>
      <c r="BS117" s="73">
        <v>13</v>
      </c>
      <c r="BT117" s="73">
        <v>10</v>
      </c>
      <c r="BU117" s="63">
        <f t="shared" si="43"/>
        <v>253</v>
      </c>
      <c r="BV117" s="72">
        <f>SUM(Table22[[#This Row],[Good Kernel (G M)]]+(Table22[[#This Row],[Immature (g m)]]+Table22[[#This Row],[Spotted (g m)]])/2)*0.176</f>
        <v>42.503999999999998</v>
      </c>
      <c r="BW117" s="73">
        <v>42.59</v>
      </c>
      <c r="BX117" s="73"/>
      <c r="BY117" s="72">
        <f t="shared" si="44"/>
        <v>44.621609999999997</v>
      </c>
      <c r="BZ117" s="72">
        <f t="shared" si="45"/>
        <v>51.32367</v>
      </c>
      <c r="CA117" s="72">
        <f>SUM(Table22[[#This Row],[Good Kernel (G M)]:[Spotted (g m)]])/1000*100</f>
        <v>25.3</v>
      </c>
      <c r="CB117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17" s="73">
        <v>9.8000000000000007</v>
      </c>
      <c r="CD117" s="73">
        <v>172</v>
      </c>
      <c r="CE117" s="73">
        <v>688</v>
      </c>
      <c r="CF117" s="130"/>
      <c r="CH117" s="184">
        <f ca="1">TODAY()-Table22[[#This Row],[Discharge Date]]</f>
        <v>126</v>
      </c>
    </row>
    <row r="118" spans="1:86" x14ac:dyDescent="0.25">
      <c r="A118" s="50">
        <v>114</v>
      </c>
      <c r="B118" s="73" t="s">
        <v>95</v>
      </c>
      <c r="C118" s="73" t="s">
        <v>96</v>
      </c>
      <c r="D118" s="97">
        <v>114</v>
      </c>
      <c r="E118" s="73"/>
      <c r="F118" s="97"/>
      <c r="G118" s="73"/>
      <c r="H118" s="82"/>
      <c r="I118" s="82"/>
      <c r="J118" s="82"/>
      <c r="K118" s="82" t="s">
        <v>634</v>
      </c>
      <c r="L118" s="82"/>
      <c r="M118" s="100">
        <v>30274</v>
      </c>
      <c r="N118" s="100" t="s">
        <v>686</v>
      </c>
      <c r="O118" s="73" t="s">
        <v>218</v>
      </c>
      <c r="P118" s="97" t="s">
        <v>246</v>
      </c>
      <c r="Q118" s="101">
        <v>46129</v>
      </c>
      <c r="R118" s="102" t="s">
        <v>256</v>
      </c>
      <c r="S118" s="102" t="s">
        <v>219</v>
      </c>
      <c r="T118" s="102"/>
      <c r="U118" s="102" t="s">
        <v>220</v>
      </c>
      <c r="V118" s="73" t="s">
        <v>221</v>
      </c>
      <c r="W118" s="73">
        <v>674</v>
      </c>
      <c r="X118" s="73">
        <v>20</v>
      </c>
      <c r="Y118" s="51">
        <f t="shared" si="40"/>
        <v>694</v>
      </c>
      <c r="Z118" s="73"/>
      <c r="AA118" s="61">
        <f t="shared" si="49"/>
        <v>674</v>
      </c>
      <c r="AB118" s="51">
        <f t="shared" si="46"/>
        <v>0</v>
      </c>
      <c r="AC118" s="88">
        <f t="shared" si="56"/>
        <v>674</v>
      </c>
      <c r="AD118" s="63"/>
      <c r="AE118" s="63">
        <f t="shared" si="51"/>
        <v>20</v>
      </c>
      <c r="AF118" s="63">
        <v>52</v>
      </c>
      <c r="AG118" s="63"/>
      <c r="AH118" s="64">
        <f t="shared" si="52"/>
        <v>694</v>
      </c>
      <c r="AI118" s="62"/>
      <c r="AJ118" s="62"/>
      <c r="AK118" s="62">
        <f t="shared" si="53"/>
        <v>694</v>
      </c>
      <c r="AL118" s="62">
        <f t="shared" si="54"/>
        <v>694</v>
      </c>
      <c r="AM118" s="67">
        <v>55700</v>
      </c>
      <c r="AN118" s="124">
        <f t="shared" si="47"/>
        <v>774</v>
      </c>
      <c r="AO118" s="77">
        <f t="shared" si="55"/>
        <v>55006</v>
      </c>
      <c r="AP118" s="77">
        <f t="shared" si="57"/>
        <v>54926</v>
      </c>
      <c r="AQ118" s="77">
        <f t="shared" si="48"/>
        <v>54926</v>
      </c>
      <c r="AR118" s="67">
        <f t="shared" si="34"/>
        <v>80</v>
      </c>
      <c r="AS118" s="134">
        <f>Table22[[#This Row],[GROSS WT]]-Table22[[#This Row],[Total Bag Discharged (Truck)]]</f>
        <v>55006</v>
      </c>
      <c r="AT118" s="67">
        <f t="shared" si="35"/>
        <v>55006</v>
      </c>
      <c r="AU118" s="73"/>
      <c r="AV118" s="73">
        <v>36</v>
      </c>
      <c r="AW118" s="73">
        <v>17</v>
      </c>
      <c r="AX118" s="73">
        <v>0</v>
      </c>
      <c r="AY118" s="71">
        <f t="shared" si="36"/>
        <v>53</v>
      </c>
      <c r="AZ118" s="70">
        <v>226</v>
      </c>
      <c r="BA118" s="73">
        <v>20</v>
      </c>
      <c r="BB118" s="73">
        <v>11</v>
      </c>
      <c r="BC118" s="63">
        <f t="shared" si="41"/>
        <v>257</v>
      </c>
      <c r="BD118" s="72">
        <f>SUM(Table22[[#This Row],[Good Kernel (gm)]]+(Table22[[#This Row],[Immature (gm)]]+Table22[[#This Row],[Spotted (gm)]])/2)*0.176</f>
        <v>42.503999999999998</v>
      </c>
      <c r="BE118" s="73">
        <v>42.59</v>
      </c>
      <c r="BF118" s="72">
        <f t="shared" si="42"/>
        <v>45.327089999999998</v>
      </c>
      <c r="BG118" s="72">
        <f t="shared" si="37"/>
        <v>51.676409999999997</v>
      </c>
      <c r="BH118" s="72">
        <f>SUM(Table22[[#This Row],[Good Kernel (gm)]:[Spotted (gm)]])/1000*100</f>
        <v>25.7</v>
      </c>
      <c r="BI118" s="72">
        <f t="shared" si="38"/>
        <v>29.299999999999997</v>
      </c>
      <c r="BJ118" s="73">
        <v>10.199999999999999</v>
      </c>
      <c r="BK118" s="73">
        <v>185</v>
      </c>
      <c r="BL118" s="73">
        <v>682</v>
      </c>
      <c r="BM118" s="73">
        <v>32</v>
      </c>
      <c r="BN118" s="73"/>
      <c r="BO118" s="73">
        <v>18</v>
      </c>
      <c r="BP118" s="73">
        <v>2</v>
      </c>
      <c r="BQ118" s="71">
        <f t="shared" si="39"/>
        <v>52</v>
      </c>
      <c r="BR118" s="73">
        <v>228</v>
      </c>
      <c r="BS118" s="73">
        <v>17</v>
      </c>
      <c r="BT118" s="73">
        <v>14</v>
      </c>
      <c r="BU118" s="63">
        <f t="shared" si="43"/>
        <v>259</v>
      </c>
      <c r="BV118" s="72">
        <f>SUM(Table22[[#This Row],[Good Kernel (G M)]]+(Table22[[#This Row],[Immature (g m)]]+Table22[[#This Row],[Spotted (g m)]])/2)*0.176</f>
        <v>42.855999999999995</v>
      </c>
      <c r="BW118" s="73">
        <v>42.94</v>
      </c>
      <c r="BX118" s="73"/>
      <c r="BY118" s="72">
        <f t="shared" si="44"/>
        <v>45.679830000000003</v>
      </c>
      <c r="BZ118" s="72">
        <f t="shared" si="45"/>
        <v>51.676409999999997</v>
      </c>
      <c r="CA118" s="72">
        <f>SUM(Table22[[#This Row],[Good Kernel (G M)]:[Spotted (g m)]])/1000*100</f>
        <v>25.900000000000002</v>
      </c>
      <c r="CB118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118" s="73">
        <v>10</v>
      </c>
      <c r="CD118" s="73">
        <v>182</v>
      </c>
      <c r="CE118" s="73">
        <v>683</v>
      </c>
      <c r="CF118" s="130"/>
      <c r="CH118" s="184">
        <f ca="1">TODAY()-Table22[[#This Row],[Discharge Date]]</f>
        <v>126</v>
      </c>
    </row>
    <row r="119" spans="1:86" x14ac:dyDescent="0.25">
      <c r="A119" s="50">
        <v>115</v>
      </c>
      <c r="B119" s="60" t="s">
        <v>95</v>
      </c>
      <c r="C119" s="60" t="s">
        <v>96</v>
      </c>
      <c r="D119" s="53">
        <v>115</v>
      </c>
      <c r="E119" s="60"/>
      <c r="F119" s="53"/>
      <c r="G119" s="60"/>
      <c r="H119" s="82"/>
      <c r="I119" s="82"/>
      <c r="J119" s="82"/>
      <c r="K119" s="82" t="s">
        <v>634</v>
      </c>
      <c r="L119" s="82"/>
      <c r="M119" s="135">
        <v>78872</v>
      </c>
      <c r="N119" s="135" t="s">
        <v>684</v>
      </c>
      <c r="O119" s="60" t="s">
        <v>257</v>
      </c>
      <c r="P119" s="53" t="s">
        <v>234</v>
      </c>
      <c r="Q119" s="101">
        <v>46129</v>
      </c>
      <c r="R119" s="51" t="s">
        <v>100</v>
      </c>
      <c r="S119" s="59" t="s">
        <v>101</v>
      </c>
      <c r="T119" s="102"/>
      <c r="U119" s="102"/>
      <c r="V119" s="51" t="s">
        <v>102</v>
      </c>
      <c r="W119" s="73">
        <v>558</v>
      </c>
      <c r="X119" s="73">
        <v>25</v>
      </c>
      <c r="Y119" s="51">
        <f t="shared" si="40"/>
        <v>583</v>
      </c>
      <c r="Z119" s="73"/>
      <c r="AA119" s="61">
        <f t="shared" si="49"/>
        <v>558</v>
      </c>
      <c r="AB119" s="51">
        <f t="shared" si="46"/>
        <v>0</v>
      </c>
      <c r="AC119" s="88">
        <f t="shared" si="56"/>
        <v>558</v>
      </c>
      <c r="AD119" s="63"/>
      <c r="AE119" s="63">
        <f t="shared" si="51"/>
        <v>25</v>
      </c>
      <c r="AF119" s="63">
        <v>38</v>
      </c>
      <c r="AG119" s="63"/>
      <c r="AH119" s="64">
        <f t="shared" si="52"/>
        <v>583</v>
      </c>
      <c r="AI119" s="62"/>
      <c r="AJ119" s="62"/>
      <c r="AK119" s="62">
        <f t="shared" si="53"/>
        <v>583</v>
      </c>
      <c r="AL119" s="62">
        <f t="shared" si="54"/>
        <v>583</v>
      </c>
      <c r="AM119" s="67">
        <v>51800</v>
      </c>
      <c r="AN119" s="124">
        <f t="shared" si="47"/>
        <v>683</v>
      </c>
      <c r="AO119" s="77">
        <f t="shared" si="55"/>
        <v>51217</v>
      </c>
      <c r="AP119" s="77">
        <f t="shared" si="57"/>
        <v>51117</v>
      </c>
      <c r="AQ119" s="77">
        <f t="shared" si="48"/>
        <v>51117</v>
      </c>
      <c r="AR119" s="67">
        <f t="shared" si="34"/>
        <v>100</v>
      </c>
      <c r="AS119" s="134">
        <f>Table22[[#This Row],[GROSS WT]]-Table22[[#This Row],[Total Bag Discharged (Truck)]]</f>
        <v>51217</v>
      </c>
      <c r="AT119" s="67">
        <f t="shared" si="35"/>
        <v>51217</v>
      </c>
      <c r="AU119" s="73"/>
      <c r="AV119" s="73">
        <v>32</v>
      </c>
      <c r="AW119" s="73">
        <v>19</v>
      </c>
      <c r="AX119" s="73">
        <v>2</v>
      </c>
      <c r="AY119" s="71">
        <f t="shared" si="36"/>
        <v>53</v>
      </c>
      <c r="AZ119" s="70">
        <v>240</v>
      </c>
      <c r="BA119" s="73">
        <v>12</v>
      </c>
      <c r="BB119" s="73">
        <v>11</v>
      </c>
      <c r="BC119" s="63">
        <f t="shared" si="41"/>
        <v>263</v>
      </c>
      <c r="BD119" s="72">
        <f>SUM(Table22[[#This Row],[Good Kernel (gm)]]+(Table22[[#This Row],[Immature (gm)]]+Table22[[#This Row],[Spotted (gm)]])/2)*0.176</f>
        <v>44.263999999999996</v>
      </c>
      <c r="BE119" s="73">
        <v>44.35</v>
      </c>
      <c r="BF119" s="72">
        <f t="shared" si="42"/>
        <v>46.385309999999997</v>
      </c>
      <c r="BG119" s="72">
        <f t="shared" si="37"/>
        <v>52.381889999999999</v>
      </c>
      <c r="BH119" s="72">
        <f>SUM(Table22[[#This Row],[Good Kernel (gm)]:[Spotted (gm)]])/1000*100</f>
        <v>26.3</v>
      </c>
      <c r="BI119" s="72">
        <f t="shared" si="38"/>
        <v>29.7</v>
      </c>
      <c r="BJ119" s="73">
        <v>10.3</v>
      </c>
      <c r="BK119" s="73">
        <v>183</v>
      </c>
      <c r="BL119" s="73">
        <v>679</v>
      </c>
      <c r="BM119" s="73">
        <v>21</v>
      </c>
      <c r="BN119" s="73"/>
      <c r="BO119" s="73">
        <v>14</v>
      </c>
      <c r="BP119" s="73">
        <v>0</v>
      </c>
      <c r="BQ119" s="71">
        <f t="shared" si="39"/>
        <v>35</v>
      </c>
      <c r="BR119" s="73">
        <v>240</v>
      </c>
      <c r="BS119" s="73">
        <v>16</v>
      </c>
      <c r="BT119" s="73">
        <v>8</v>
      </c>
      <c r="BU119" s="63">
        <f t="shared" si="43"/>
        <v>264</v>
      </c>
      <c r="BV119" s="72">
        <f>SUM(Table22[[#This Row],[Good Kernel (G M)]]+(Table22[[#This Row],[Immature (g m)]]+Table22[[#This Row],[Spotted (g m)]])/2)*0.176</f>
        <v>44.351999999999997</v>
      </c>
      <c r="BW119" s="73">
        <v>44.44</v>
      </c>
      <c r="BX119" s="73"/>
      <c r="BY119" s="72">
        <f t="shared" si="44"/>
        <v>46.561680000000003</v>
      </c>
      <c r="BZ119" s="72">
        <f t="shared" si="45"/>
        <v>50.265450000000001</v>
      </c>
      <c r="CA119" s="72">
        <f>SUM(Table22[[#This Row],[Good Kernel (G M)]:[Spotted (g m)]])/1000*100</f>
        <v>26.400000000000002</v>
      </c>
      <c r="CB119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19" s="73">
        <v>10.3</v>
      </c>
      <c r="CD119" s="73">
        <v>177</v>
      </c>
      <c r="CE119" s="73">
        <v>695</v>
      </c>
      <c r="CF119" s="130"/>
      <c r="CH119" s="184">
        <f ca="1">TODAY()-Table22[[#This Row],[Discharge Date]]</f>
        <v>126</v>
      </c>
    </row>
    <row r="120" spans="1:86" x14ac:dyDescent="0.25">
      <c r="A120" s="50">
        <v>116</v>
      </c>
      <c r="B120" s="60" t="s">
        <v>95</v>
      </c>
      <c r="C120" s="60" t="s">
        <v>96</v>
      </c>
      <c r="D120" s="114">
        <v>116</v>
      </c>
      <c r="E120" s="98" t="s">
        <v>130</v>
      </c>
      <c r="F120" s="97"/>
      <c r="G120" s="73"/>
      <c r="H120" s="82"/>
      <c r="I120" s="82"/>
      <c r="J120" s="82"/>
      <c r="K120" s="82" t="s">
        <v>634</v>
      </c>
      <c r="L120" s="82"/>
      <c r="M120" s="100">
        <v>31888</v>
      </c>
      <c r="N120" s="100" t="s">
        <v>681</v>
      </c>
      <c r="O120" s="73" t="s">
        <v>258</v>
      </c>
      <c r="P120" s="97" t="s">
        <v>259</v>
      </c>
      <c r="Q120" s="101">
        <v>46130</v>
      </c>
      <c r="R120" s="102" t="s">
        <v>260</v>
      </c>
      <c r="S120" s="103" t="s">
        <v>261</v>
      </c>
      <c r="T120" s="102" t="s">
        <v>198</v>
      </c>
      <c r="U120" s="102"/>
      <c r="V120" s="73" t="s">
        <v>199</v>
      </c>
      <c r="W120" s="73">
        <v>469</v>
      </c>
      <c r="X120" s="73">
        <v>20</v>
      </c>
      <c r="Y120" s="51">
        <f t="shared" si="40"/>
        <v>489</v>
      </c>
      <c r="Z120" s="73"/>
      <c r="AA120" s="61">
        <f t="shared" si="49"/>
        <v>469</v>
      </c>
      <c r="AB120" s="51">
        <f t="shared" si="46"/>
        <v>0</v>
      </c>
      <c r="AC120" s="88">
        <f t="shared" si="56"/>
        <v>469</v>
      </c>
      <c r="AD120" s="63"/>
      <c r="AE120" s="63">
        <f t="shared" si="51"/>
        <v>20</v>
      </c>
      <c r="AF120" s="63">
        <v>37</v>
      </c>
      <c r="AG120" s="63"/>
      <c r="AH120" s="64">
        <f t="shared" si="52"/>
        <v>489</v>
      </c>
      <c r="AI120" s="62"/>
      <c r="AJ120" s="62"/>
      <c r="AK120" s="62">
        <f t="shared" si="53"/>
        <v>489</v>
      </c>
      <c r="AL120" s="62">
        <f t="shared" si="54"/>
        <v>489</v>
      </c>
      <c r="AM120" s="67">
        <v>40690</v>
      </c>
      <c r="AN120" s="124">
        <f t="shared" si="47"/>
        <v>569</v>
      </c>
      <c r="AO120" s="77">
        <f t="shared" si="55"/>
        <v>40201</v>
      </c>
      <c r="AP120" s="77">
        <f>AM120-AN120-80</f>
        <v>40041</v>
      </c>
      <c r="AQ120" s="77">
        <f>+AO120-AE120*8</f>
        <v>40041</v>
      </c>
      <c r="AR120" s="67">
        <f t="shared" si="34"/>
        <v>80</v>
      </c>
      <c r="AS120" s="134">
        <f>Table22[[#This Row],[GROSS WT]]-Table22[[#This Row],[Total Bag Discharged (Truck)]]</f>
        <v>40201</v>
      </c>
      <c r="AT120" s="67">
        <f t="shared" si="35"/>
        <v>40201</v>
      </c>
      <c r="AU120" s="73"/>
      <c r="AV120" s="73">
        <v>22</v>
      </c>
      <c r="AW120" s="73">
        <v>28</v>
      </c>
      <c r="AX120" s="73">
        <v>0</v>
      </c>
      <c r="AY120" s="71">
        <f t="shared" si="36"/>
        <v>50</v>
      </c>
      <c r="AZ120" s="70">
        <v>236</v>
      </c>
      <c r="BA120" s="73">
        <v>19</v>
      </c>
      <c r="BB120" s="73">
        <v>10</v>
      </c>
      <c r="BC120" s="63">
        <f t="shared" si="41"/>
        <v>265</v>
      </c>
      <c r="BD120" s="72">
        <f>SUM(Table22[[#This Row],[Good Kernel (gm)]]+(Table22[[#This Row],[Immature (gm)]]+Table22[[#This Row],[Spotted (gm)]])/2)*0.176</f>
        <v>44.088000000000001</v>
      </c>
      <c r="BE120" s="73">
        <v>44.18</v>
      </c>
      <c r="BF120" s="72">
        <f t="shared" si="42"/>
        <v>46.738050000000001</v>
      </c>
      <c r="BG120" s="72">
        <f t="shared" si="37"/>
        <v>50.618189999999998</v>
      </c>
      <c r="BH120" s="72">
        <f>SUM(Table22[[#This Row],[Good Kernel (gm)]:[Spotted (gm)]])/1000*100</f>
        <v>26.5</v>
      </c>
      <c r="BI120" s="72">
        <f t="shared" si="38"/>
        <v>28.7</v>
      </c>
      <c r="BJ120" s="73">
        <v>14.2</v>
      </c>
      <c r="BK120" s="73">
        <v>160</v>
      </c>
      <c r="BL120" s="73">
        <v>680</v>
      </c>
      <c r="BM120" s="73">
        <v>32</v>
      </c>
      <c r="BN120" s="73"/>
      <c r="BO120" s="73">
        <v>17</v>
      </c>
      <c r="BP120" s="73">
        <v>2</v>
      </c>
      <c r="BQ120" s="71">
        <f t="shared" si="39"/>
        <v>51</v>
      </c>
      <c r="BR120" s="73">
        <v>237</v>
      </c>
      <c r="BS120" s="73">
        <v>11</v>
      </c>
      <c r="BT120" s="73">
        <v>12</v>
      </c>
      <c r="BU120" s="63">
        <f t="shared" si="43"/>
        <v>260</v>
      </c>
      <c r="BV120" s="72">
        <f>SUM(Table22[[#This Row],[Good Kernel (G M)]]+(Table22[[#This Row],[Immature (g m)]]+Table22[[#This Row],[Spotted (g m)]])/2)*0.176</f>
        <v>43.735999999999997</v>
      </c>
      <c r="BW120" s="73">
        <v>43.82</v>
      </c>
      <c r="BX120" s="73"/>
      <c r="BY120" s="72">
        <f t="shared" si="44"/>
        <v>45.856200000000001</v>
      </c>
      <c r="BZ120" s="72">
        <f t="shared" si="45"/>
        <v>51.852780000000003</v>
      </c>
      <c r="CA120" s="72">
        <f>SUM(Table22[[#This Row],[Good Kernel (G M)]:[Spotted (g m)]])/1000*100</f>
        <v>26</v>
      </c>
      <c r="CB120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20" s="73">
        <v>14.1</v>
      </c>
      <c r="CD120" s="73">
        <v>160</v>
      </c>
      <c r="CE120" s="73">
        <v>679</v>
      </c>
      <c r="CF120" s="130"/>
      <c r="CH120" s="184">
        <f ca="1">TODAY()-Table22[[#This Row],[Discharge Date]]</f>
        <v>125</v>
      </c>
    </row>
    <row r="121" spans="1:86" x14ac:dyDescent="0.25">
      <c r="A121" s="50">
        <v>117</v>
      </c>
      <c r="B121" s="60" t="s">
        <v>95</v>
      </c>
      <c r="C121" s="60" t="s">
        <v>96</v>
      </c>
      <c r="D121" s="97">
        <v>117</v>
      </c>
      <c r="E121" s="73"/>
      <c r="F121" s="97"/>
      <c r="G121" s="73"/>
      <c r="H121" s="82"/>
      <c r="I121" s="82"/>
      <c r="J121" s="82"/>
      <c r="K121" s="82" t="s">
        <v>634</v>
      </c>
      <c r="L121" s="82"/>
      <c r="M121" s="100">
        <v>78907</v>
      </c>
      <c r="N121" s="100" t="s">
        <v>684</v>
      </c>
      <c r="O121" s="73" t="s">
        <v>222</v>
      </c>
      <c r="P121" s="97" t="s">
        <v>259</v>
      </c>
      <c r="Q121" s="101">
        <v>46130</v>
      </c>
      <c r="R121" s="102" t="s">
        <v>100</v>
      </c>
      <c r="S121" s="59" t="s">
        <v>101</v>
      </c>
      <c r="T121" s="102"/>
      <c r="U121" s="102"/>
      <c r="V121" s="51" t="s">
        <v>102</v>
      </c>
      <c r="W121" s="73">
        <v>570</v>
      </c>
      <c r="X121" s="73">
        <v>20</v>
      </c>
      <c r="Y121" s="51">
        <f t="shared" si="40"/>
        <v>590</v>
      </c>
      <c r="Z121" s="73"/>
      <c r="AA121" s="61">
        <f t="shared" si="49"/>
        <v>570</v>
      </c>
      <c r="AB121" s="51">
        <f t="shared" si="46"/>
        <v>0</v>
      </c>
      <c r="AC121" s="88">
        <f t="shared" si="56"/>
        <v>570</v>
      </c>
      <c r="AD121" s="63"/>
      <c r="AE121" s="63">
        <f t="shared" si="51"/>
        <v>20</v>
      </c>
      <c r="AF121" s="63">
        <v>20</v>
      </c>
      <c r="AG121" s="63"/>
      <c r="AH121" s="64">
        <f t="shared" si="52"/>
        <v>590</v>
      </c>
      <c r="AI121" s="62"/>
      <c r="AJ121" s="62"/>
      <c r="AK121" s="62">
        <f t="shared" si="53"/>
        <v>590</v>
      </c>
      <c r="AL121" s="62">
        <f t="shared" si="54"/>
        <v>590</v>
      </c>
      <c r="AM121" s="67">
        <v>48380</v>
      </c>
      <c r="AN121" s="124">
        <f t="shared" si="47"/>
        <v>670</v>
      </c>
      <c r="AO121" s="77">
        <f t="shared" si="55"/>
        <v>47790</v>
      </c>
      <c r="AP121" s="77">
        <f t="shared" si="57"/>
        <v>47710</v>
      </c>
      <c r="AQ121" s="77">
        <f t="shared" si="48"/>
        <v>47710</v>
      </c>
      <c r="AR121" s="67">
        <f t="shared" si="34"/>
        <v>80</v>
      </c>
      <c r="AS121" s="134">
        <f>Table22[[#This Row],[GROSS WT]]-Table22[[#This Row],[Total Bag Discharged (Truck)]]</f>
        <v>47790</v>
      </c>
      <c r="AT121" s="67">
        <f t="shared" si="35"/>
        <v>47790</v>
      </c>
      <c r="AU121" s="73"/>
      <c r="AV121" s="73">
        <v>29</v>
      </c>
      <c r="AW121" s="73">
        <v>17</v>
      </c>
      <c r="AX121" s="73">
        <v>0</v>
      </c>
      <c r="AY121" s="71">
        <f t="shared" si="36"/>
        <v>46</v>
      </c>
      <c r="AZ121" s="70">
        <v>237</v>
      </c>
      <c r="BA121" s="73">
        <v>16</v>
      </c>
      <c r="BB121" s="73">
        <v>12</v>
      </c>
      <c r="BC121" s="63">
        <f t="shared" si="41"/>
        <v>265</v>
      </c>
      <c r="BD121" s="72">
        <f>SUM(Table22[[#This Row],[Good Kernel (gm)]]+(Table22[[#This Row],[Immature (gm)]]+Table22[[#This Row],[Spotted (gm)]])/2)*0.176</f>
        <v>44.175999999999995</v>
      </c>
      <c r="BE121" s="73">
        <v>44.26</v>
      </c>
      <c r="BF121" s="72">
        <f t="shared" si="42"/>
        <v>46.738050000000001</v>
      </c>
      <c r="BG121" s="72">
        <f t="shared" si="37"/>
        <v>51.852780000000003</v>
      </c>
      <c r="BH121" s="72">
        <f>SUM(Table22[[#This Row],[Good Kernel (gm)]:[Spotted (gm)]])/1000*100</f>
        <v>26.5</v>
      </c>
      <c r="BI121" s="72">
        <f t="shared" si="38"/>
        <v>29.4</v>
      </c>
      <c r="BJ121" s="73">
        <v>10.6</v>
      </c>
      <c r="BK121" s="73">
        <v>185</v>
      </c>
      <c r="BL121" s="73">
        <v>684</v>
      </c>
      <c r="BM121" s="73">
        <v>27</v>
      </c>
      <c r="BN121" s="73"/>
      <c r="BO121" s="73">
        <v>14</v>
      </c>
      <c r="BP121" s="73"/>
      <c r="BQ121" s="71">
        <f t="shared" si="39"/>
        <v>41</v>
      </c>
      <c r="BR121" s="73">
        <v>240</v>
      </c>
      <c r="BS121" s="73">
        <v>16</v>
      </c>
      <c r="BT121" s="73">
        <v>8</v>
      </c>
      <c r="BU121" s="63">
        <f t="shared" si="43"/>
        <v>264</v>
      </c>
      <c r="BV121" s="72">
        <f>SUM(Table22[[#This Row],[Good Kernel (G M)]]+(Table22[[#This Row],[Immature (g m)]]+Table22[[#This Row],[Spotted (g m)]])/2)*0.176</f>
        <v>44.351999999999997</v>
      </c>
      <c r="BW121" s="73">
        <v>44.44</v>
      </c>
      <c r="BX121" s="73"/>
      <c r="BY121" s="72">
        <f t="shared" si="44"/>
        <v>46.561680000000003</v>
      </c>
      <c r="BZ121" s="72">
        <f t="shared" si="45"/>
        <v>51.32367</v>
      </c>
      <c r="CA121" s="72">
        <f>SUM(Table22[[#This Row],[Good Kernel (G M)]:[Spotted (g m)]])/1000*100</f>
        <v>26.400000000000002</v>
      </c>
      <c r="CB121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21" s="73">
        <v>10.5</v>
      </c>
      <c r="CD121" s="73">
        <v>183</v>
      </c>
      <c r="CE121" s="73">
        <v>695</v>
      </c>
      <c r="CF121" s="130"/>
      <c r="CH121" s="184">
        <f ca="1">TODAY()-Table22[[#This Row],[Discharge Date]]</f>
        <v>125</v>
      </c>
    </row>
    <row r="122" spans="1:86" x14ac:dyDescent="0.25">
      <c r="A122" s="50">
        <v>118</v>
      </c>
      <c r="B122" s="60" t="s">
        <v>95</v>
      </c>
      <c r="C122" s="60" t="s">
        <v>96</v>
      </c>
      <c r="D122" s="53">
        <v>118</v>
      </c>
      <c r="E122" s="73"/>
      <c r="F122" s="97"/>
      <c r="G122" s="73"/>
      <c r="H122" s="82"/>
      <c r="I122" s="82"/>
      <c r="J122" s="82"/>
      <c r="K122" s="82" t="s">
        <v>634</v>
      </c>
      <c r="L122" s="82"/>
      <c r="M122" s="100">
        <v>78908</v>
      </c>
      <c r="N122" s="100" t="s">
        <v>684</v>
      </c>
      <c r="O122" s="73" t="s">
        <v>171</v>
      </c>
      <c r="P122" s="97" t="s">
        <v>259</v>
      </c>
      <c r="Q122" s="101">
        <v>46130</v>
      </c>
      <c r="R122" s="102" t="s">
        <v>100</v>
      </c>
      <c r="S122" s="59" t="s">
        <v>101</v>
      </c>
      <c r="T122" s="102"/>
      <c r="U122" s="102"/>
      <c r="V122" s="51" t="s">
        <v>102</v>
      </c>
      <c r="W122" s="73">
        <v>573</v>
      </c>
      <c r="X122" s="73">
        <v>24</v>
      </c>
      <c r="Y122" s="51">
        <f t="shared" si="40"/>
        <v>597</v>
      </c>
      <c r="Z122" s="73"/>
      <c r="AA122" s="61">
        <f t="shared" si="49"/>
        <v>573</v>
      </c>
      <c r="AB122" s="51">
        <f t="shared" si="46"/>
        <v>0</v>
      </c>
      <c r="AC122" s="88">
        <f t="shared" si="56"/>
        <v>573</v>
      </c>
      <c r="AD122" s="63"/>
      <c r="AE122" s="63">
        <f t="shared" si="51"/>
        <v>24</v>
      </c>
      <c r="AF122" s="63">
        <v>42</v>
      </c>
      <c r="AG122" s="63"/>
      <c r="AH122" s="64">
        <f t="shared" si="52"/>
        <v>597</v>
      </c>
      <c r="AI122" s="62"/>
      <c r="AJ122" s="62"/>
      <c r="AK122" s="62">
        <f t="shared" si="53"/>
        <v>597</v>
      </c>
      <c r="AL122" s="62">
        <f t="shared" si="54"/>
        <v>597</v>
      </c>
      <c r="AM122" s="67">
        <v>45860</v>
      </c>
      <c r="AN122" s="124">
        <f t="shared" si="47"/>
        <v>693</v>
      </c>
      <c r="AO122" s="77">
        <f t="shared" si="55"/>
        <v>45263</v>
      </c>
      <c r="AP122" s="77">
        <f>AM122-AN122-96</f>
        <v>45071</v>
      </c>
      <c r="AQ122" s="77">
        <f>+AO122-AE122*8</f>
        <v>45071</v>
      </c>
      <c r="AR122" s="67">
        <f t="shared" si="34"/>
        <v>96</v>
      </c>
      <c r="AS122" s="134">
        <f>Table22[[#This Row],[GROSS WT]]-Table22[[#This Row],[Total Bag Discharged (Truck)]]</f>
        <v>45263</v>
      </c>
      <c r="AT122" s="67">
        <f t="shared" si="35"/>
        <v>45263</v>
      </c>
      <c r="AU122" s="73"/>
      <c r="AV122" s="73">
        <v>31</v>
      </c>
      <c r="AW122" s="73">
        <v>19</v>
      </c>
      <c r="AX122" s="73">
        <v>0</v>
      </c>
      <c r="AY122" s="71">
        <f t="shared" si="36"/>
        <v>50</v>
      </c>
      <c r="AZ122" s="70">
        <v>240</v>
      </c>
      <c r="BA122" s="73">
        <v>11</v>
      </c>
      <c r="BB122" s="73">
        <v>12</v>
      </c>
      <c r="BC122" s="63">
        <f t="shared" si="41"/>
        <v>263</v>
      </c>
      <c r="BD122" s="72">
        <f>SUM(Table22[[#This Row],[Good Kernel (gm)]]+(Table22[[#This Row],[Immature (gm)]]+Table22[[#This Row],[Spotted (gm)]])/2)*0.176</f>
        <v>44.263999999999996</v>
      </c>
      <c r="BE122" s="73">
        <v>44.35</v>
      </c>
      <c r="BF122" s="72">
        <f t="shared" si="42"/>
        <v>46.385309999999997</v>
      </c>
      <c r="BG122" s="72">
        <f t="shared" si="37"/>
        <v>51.852780000000003</v>
      </c>
      <c r="BH122" s="72">
        <f>SUM(Table22[[#This Row],[Good Kernel (gm)]:[Spotted (gm)]])/1000*100</f>
        <v>26.3</v>
      </c>
      <c r="BI122" s="72">
        <f t="shared" si="38"/>
        <v>29.4</v>
      </c>
      <c r="BJ122" s="73">
        <v>11.3</v>
      </c>
      <c r="BK122" s="73">
        <v>183</v>
      </c>
      <c r="BL122" s="73">
        <v>681</v>
      </c>
      <c r="BM122" s="73">
        <v>32</v>
      </c>
      <c r="BN122" s="73"/>
      <c r="BO122" s="73">
        <v>17</v>
      </c>
      <c r="BP122" s="73">
        <v>2</v>
      </c>
      <c r="BQ122" s="71">
        <f t="shared" si="39"/>
        <v>51</v>
      </c>
      <c r="BR122" s="73">
        <v>235</v>
      </c>
      <c r="BS122" s="73">
        <v>10</v>
      </c>
      <c r="BT122" s="73">
        <v>17</v>
      </c>
      <c r="BU122" s="63">
        <f t="shared" si="43"/>
        <v>262</v>
      </c>
      <c r="BV122" s="72">
        <f>SUM(Table22[[#This Row],[Good Kernel (G M)]]+(Table22[[#This Row],[Immature (g m)]]+Table22[[#This Row],[Spotted (g m)]])/2)*0.176</f>
        <v>43.735999999999997</v>
      </c>
      <c r="BW122" s="73">
        <v>43.82</v>
      </c>
      <c r="BX122" s="73"/>
      <c r="BY122" s="72">
        <f t="shared" si="44"/>
        <v>46.208939999999998</v>
      </c>
      <c r="BZ122" s="72">
        <f t="shared" si="45"/>
        <v>52.20552</v>
      </c>
      <c r="CA122" s="72">
        <f>SUM(Table22[[#This Row],[Good Kernel (G M)]:[Spotted (g m)]])/1000*100</f>
        <v>26.200000000000003</v>
      </c>
      <c r="CB122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22" s="73">
        <v>11.2</v>
      </c>
      <c r="CD122" s="73">
        <v>179</v>
      </c>
      <c r="CE122" s="73">
        <v>683</v>
      </c>
      <c r="CF122" s="130"/>
      <c r="CH122" s="184">
        <f ca="1">TODAY()-Table22[[#This Row],[Discharge Date]]</f>
        <v>125</v>
      </c>
    </row>
    <row r="123" spans="1:86" x14ac:dyDescent="0.25">
      <c r="A123" s="50">
        <v>119</v>
      </c>
      <c r="B123" s="60" t="s">
        <v>95</v>
      </c>
      <c r="C123" s="60" t="s">
        <v>96</v>
      </c>
      <c r="D123" s="97">
        <v>119</v>
      </c>
      <c r="E123" s="73"/>
      <c r="F123" s="97"/>
      <c r="G123" s="73"/>
      <c r="H123" s="82"/>
      <c r="I123" s="82"/>
      <c r="J123" s="82"/>
      <c r="K123" s="82" t="s">
        <v>634</v>
      </c>
      <c r="L123" s="82"/>
      <c r="M123" s="100">
        <v>78871</v>
      </c>
      <c r="N123" s="100" t="s">
        <v>684</v>
      </c>
      <c r="O123" s="73" t="s">
        <v>262</v>
      </c>
      <c r="P123" s="97" t="s">
        <v>254</v>
      </c>
      <c r="Q123" s="101">
        <v>46130</v>
      </c>
      <c r="R123" s="102" t="s">
        <v>100</v>
      </c>
      <c r="S123" s="59" t="s">
        <v>101</v>
      </c>
      <c r="T123" s="102"/>
      <c r="U123" s="102"/>
      <c r="V123" s="51" t="s">
        <v>102</v>
      </c>
      <c r="W123" s="73">
        <v>560</v>
      </c>
      <c r="X123" s="73">
        <v>6</v>
      </c>
      <c r="Y123" s="51">
        <f t="shared" si="40"/>
        <v>566</v>
      </c>
      <c r="Z123" s="73"/>
      <c r="AA123" s="61">
        <f t="shared" si="49"/>
        <v>560</v>
      </c>
      <c r="AB123" s="51">
        <f t="shared" si="46"/>
        <v>0</v>
      </c>
      <c r="AC123" s="88">
        <f t="shared" si="56"/>
        <v>560</v>
      </c>
      <c r="AD123" s="63"/>
      <c r="AE123" s="63">
        <f t="shared" si="51"/>
        <v>6</v>
      </c>
      <c r="AF123" s="63">
        <v>12</v>
      </c>
      <c r="AG123" s="63"/>
      <c r="AH123" s="64">
        <f t="shared" si="52"/>
        <v>566</v>
      </c>
      <c r="AI123" s="62"/>
      <c r="AJ123" s="62"/>
      <c r="AK123" s="62">
        <f t="shared" si="53"/>
        <v>566</v>
      </c>
      <c r="AL123" s="62">
        <f t="shared" si="54"/>
        <v>566</v>
      </c>
      <c r="AM123" s="67">
        <v>48250</v>
      </c>
      <c r="AN123" s="124">
        <f t="shared" si="47"/>
        <v>590</v>
      </c>
      <c r="AO123" s="77">
        <f t="shared" si="55"/>
        <v>47684</v>
      </c>
      <c r="AP123" s="77">
        <f t="shared" si="57"/>
        <v>47660</v>
      </c>
      <c r="AQ123" s="77">
        <f t="shared" si="48"/>
        <v>47660</v>
      </c>
      <c r="AR123" s="67">
        <f t="shared" si="34"/>
        <v>24</v>
      </c>
      <c r="AS123" s="134">
        <f>Table22[[#This Row],[GROSS WT]]-Table22[[#This Row],[Total Bag Discharged (Truck)]]</f>
        <v>47684</v>
      </c>
      <c r="AT123" s="67">
        <f t="shared" si="35"/>
        <v>47684</v>
      </c>
      <c r="AU123" s="73"/>
      <c r="AV123" s="73">
        <v>26</v>
      </c>
      <c r="AW123" s="73">
        <v>15</v>
      </c>
      <c r="AX123" s="73">
        <v>2</v>
      </c>
      <c r="AY123" s="71">
        <f t="shared" si="36"/>
        <v>43</v>
      </c>
      <c r="AZ123" s="70">
        <v>241</v>
      </c>
      <c r="BA123" s="73">
        <v>13</v>
      </c>
      <c r="BB123" s="73">
        <v>10</v>
      </c>
      <c r="BC123" s="63">
        <f t="shared" si="41"/>
        <v>264</v>
      </c>
      <c r="BD123" s="72">
        <f>SUM(Table22[[#This Row],[Good Kernel (gm)]]+(Table22[[#This Row],[Immature (gm)]]+Table22[[#This Row],[Spotted (gm)]])/2)*0.176</f>
        <v>44.44</v>
      </c>
      <c r="BE123" s="73">
        <v>44.53</v>
      </c>
      <c r="BF123" s="72">
        <f t="shared" si="42"/>
        <v>46.561680000000003</v>
      </c>
      <c r="BG123" s="72">
        <f t="shared" si="37"/>
        <v>51.500039999999998</v>
      </c>
      <c r="BH123" s="72">
        <f>SUM(Table22[[#This Row],[Good Kernel (gm)]:[Spotted (gm)]])/1000*100</f>
        <v>26.400000000000002</v>
      </c>
      <c r="BI123" s="72">
        <f t="shared" si="38"/>
        <v>29.2</v>
      </c>
      <c r="BJ123" s="73">
        <v>10.1</v>
      </c>
      <c r="BK123" s="73">
        <v>179</v>
      </c>
      <c r="BL123" s="73">
        <v>687</v>
      </c>
      <c r="BM123" s="73">
        <v>29</v>
      </c>
      <c r="BN123" s="73"/>
      <c r="BO123" s="73">
        <v>25</v>
      </c>
      <c r="BP123" s="73">
        <v>0</v>
      </c>
      <c r="BQ123" s="71">
        <f t="shared" si="39"/>
        <v>54</v>
      </c>
      <c r="BR123" s="73">
        <v>238</v>
      </c>
      <c r="BS123" s="73">
        <v>20</v>
      </c>
      <c r="BT123" s="73">
        <v>11</v>
      </c>
      <c r="BU123" s="63">
        <f t="shared" si="43"/>
        <v>269</v>
      </c>
      <c r="BV123" s="72">
        <f>SUM(Table22[[#This Row],[Good Kernel (G M)]]+(Table22[[#This Row],[Immature (g m)]]+Table22[[#This Row],[Spotted (g m)]])/2)*0.176</f>
        <v>44.616</v>
      </c>
      <c r="BW123" s="73">
        <v>44.7</v>
      </c>
      <c r="BX123" s="73"/>
      <c r="BY123" s="72">
        <f t="shared" si="44"/>
        <v>47.443530000000003</v>
      </c>
      <c r="BZ123" s="72">
        <f t="shared" si="45"/>
        <v>52.558259999999997</v>
      </c>
      <c r="CA123" s="72">
        <f>SUM(Table22[[#This Row],[Good Kernel (G M)]:[Spotted (g m)]])/1000*100</f>
        <v>26.900000000000002</v>
      </c>
      <c r="CB123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23" s="73">
        <v>9.6999999999999993</v>
      </c>
      <c r="CD123" s="73">
        <v>188</v>
      </c>
      <c r="CE123" s="73">
        <v>671</v>
      </c>
      <c r="CH123" s="184">
        <f ca="1">TODAY()-Table22[[#This Row],[Discharge Date]]</f>
        <v>125</v>
      </c>
    </row>
    <row r="124" spans="1:86" ht="14.4" x14ac:dyDescent="0.3">
      <c r="A124" s="50">
        <v>120</v>
      </c>
      <c r="B124" s="60" t="s">
        <v>95</v>
      </c>
      <c r="C124" s="60" t="s">
        <v>96</v>
      </c>
      <c r="D124" s="97">
        <v>120</v>
      </c>
      <c r="E124" s="73"/>
      <c r="F124" s="97">
        <v>621</v>
      </c>
      <c r="G124" s="73"/>
      <c r="H124" s="82"/>
      <c r="I124" s="82"/>
      <c r="J124" s="82"/>
      <c r="K124" s="82" t="s">
        <v>634</v>
      </c>
      <c r="L124" s="82"/>
      <c r="M124" s="100">
        <v>78910</v>
      </c>
      <c r="N124" s="100" t="s">
        <v>684</v>
      </c>
      <c r="O124" s="174" t="s">
        <v>235</v>
      </c>
      <c r="P124" s="97" t="s">
        <v>259</v>
      </c>
      <c r="Q124" s="101">
        <v>46131</v>
      </c>
      <c r="R124" s="102" t="s">
        <v>100</v>
      </c>
      <c r="S124" s="59" t="s">
        <v>101</v>
      </c>
      <c r="T124" s="102"/>
      <c r="U124" s="102"/>
      <c r="V124" s="51" t="s">
        <v>102</v>
      </c>
      <c r="W124" s="73">
        <v>639</v>
      </c>
      <c r="X124" s="73">
        <v>20</v>
      </c>
      <c r="Y124" s="51">
        <f t="shared" si="40"/>
        <v>659</v>
      </c>
      <c r="Z124" s="73"/>
      <c r="AA124" s="61">
        <f t="shared" si="49"/>
        <v>639</v>
      </c>
      <c r="AB124" s="51">
        <f t="shared" si="46"/>
        <v>0</v>
      </c>
      <c r="AC124" s="88">
        <f t="shared" si="56"/>
        <v>639</v>
      </c>
      <c r="AD124" s="63"/>
      <c r="AE124" s="63">
        <f t="shared" si="51"/>
        <v>20</v>
      </c>
      <c r="AF124" s="63">
        <v>87</v>
      </c>
      <c r="AG124" s="63"/>
      <c r="AH124" s="64">
        <f t="shared" si="52"/>
        <v>659</v>
      </c>
      <c r="AI124" s="62"/>
      <c r="AJ124" s="62"/>
      <c r="AK124" s="62">
        <f t="shared" si="53"/>
        <v>659</v>
      </c>
      <c r="AL124" s="62">
        <f t="shared" si="54"/>
        <v>659</v>
      </c>
      <c r="AM124" s="67">
        <v>50390</v>
      </c>
      <c r="AN124" s="124">
        <f t="shared" si="47"/>
        <v>739</v>
      </c>
      <c r="AO124" s="77">
        <f t="shared" si="55"/>
        <v>49731</v>
      </c>
      <c r="AP124" s="77">
        <f t="shared" si="57"/>
        <v>49651</v>
      </c>
      <c r="AQ124" s="77">
        <f t="shared" si="48"/>
        <v>49651</v>
      </c>
      <c r="AR124" s="67">
        <f t="shared" si="34"/>
        <v>80</v>
      </c>
      <c r="AS124" s="134">
        <f>Table22[[#This Row],[GROSS WT]]-Table22[[#This Row],[Total Bag Discharged (Truck)]]</f>
        <v>49731</v>
      </c>
      <c r="AT124" s="67">
        <f t="shared" si="35"/>
        <v>49731</v>
      </c>
      <c r="AU124" s="73"/>
      <c r="AV124" s="73">
        <v>26</v>
      </c>
      <c r="AW124" s="73">
        <v>20</v>
      </c>
      <c r="AX124" s="73">
        <v>0</v>
      </c>
      <c r="AY124" s="71">
        <f t="shared" si="36"/>
        <v>46</v>
      </c>
      <c r="AZ124" s="70">
        <v>239</v>
      </c>
      <c r="BA124" s="73">
        <v>14</v>
      </c>
      <c r="BB124" s="73">
        <v>11</v>
      </c>
      <c r="BC124" s="63">
        <f t="shared" si="41"/>
        <v>264</v>
      </c>
      <c r="BD124" s="72">
        <f>SUM(Table22[[#This Row],[Good Kernel (gm)]]+(Table22[[#This Row],[Immature (gm)]]+Table22[[#This Row],[Spotted (gm)]])/2)*0.176</f>
        <v>44.263999999999996</v>
      </c>
      <c r="BE124" s="73">
        <v>44.35</v>
      </c>
      <c r="BF124" s="72">
        <f t="shared" si="42"/>
        <v>46.561680000000003</v>
      </c>
      <c r="BG124" s="72">
        <f t="shared" si="37"/>
        <v>51.147300000000001</v>
      </c>
      <c r="BH124" s="72">
        <f>SUM(Table22[[#This Row],[Good Kernel (gm)]:[Spotted (gm)]])/1000*100</f>
        <v>26.400000000000002</v>
      </c>
      <c r="BI124" s="72">
        <f t="shared" si="38"/>
        <v>28.999999999999996</v>
      </c>
      <c r="BJ124" s="73">
        <v>10.4</v>
      </c>
      <c r="BK124" s="73">
        <v>183</v>
      </c>
      <c r="BL124" s="73">
        <v>685</v>
      </c>
      <c r="BM124" s="73">
        <v>29</v>
      </c>
      <c r="BN124" s="73"/>
      <c r="BO124" s="73">
        <v>15</v>
      </c>
      <c r="BP124" s="73">
        <v>0</v>
      </c>
      <c r="BQ124" s="71">
        <f t="shared" si="39"/>
        <v>44</v>
      </c>
      <c r="BR124" s="73">
        <v>234</v>
      </c>
      <c r="BS124" s="73">
        <v>19</v>
      </c>
      <c r="BT124" s="73">
        <v>11</v>
      </c>
      <c r="BU124" s="63">
        <f t="shared" si="43"/>
        <v>264</v>
      </c>
      <c r="BV124" s="72">
        <f>SUM(Table22[[#This Row],[Good Kernel (G M)]]+(Table22[[#This Row],[Immature (g m)]]+Table22[[#This Row],[Spotted (g m)]])/2)*0.176</f>
        <v>43.823999999999998</v>
      </c>
      <c r="BW124" s="73">
        <v>43.65</v>
      </c>
      <c r="BX124" s="73"/>
      <c r="BY124" s="72">
        <f t="shared" si="44"/>
        <v>46.561680000000003</v>
      </c>
      <c r="BZ124" s="72">
        <f t="shared" si="45"/>
        <v>51.676409999999997</v>
      </c>
      <c r="CA124" s="72">
        <f>SUM(Table22[[#This Row],[Good Kernel (G M)]:[Spotted (g m)]])/1000*100</f>
        <v>26.400000000000002</v>
      </c>
      <c r="CB124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124" s="73">
        <v>9.1999999999999993</v>
      </c>
      <c r="CD124" s="73">
        <v>185</v>
      </c>
      <c r="CE124" s="73"/>
      <c r="CF124" s="130"/>
      <c r="CH124" s="184">
        <f ca="1">TODAY()-Table22[[#This Row],[Discharge Date]]</f>
        <v>124</v>
      </c>
    </row>
    <row r="125" spans="1:86" ht="14.4" x14ac:dyDescent="0.3">
      <c r="A125" s="50">
        <v>121</v>
      </c>
      <c r="B125" s="60" t="s">
        <v>95</v>
      </c>
      <c r="C125" s="60" t="s">
        <v>96</v>
      </c>
      <c r="D125" s="53">
        <v>121</v>
      </c>
      <c r="E125" s="73"/>
      <c r="F125" s="97">
        <v>622</v>
      </c>
      <c r="G125" s="73"/>
      <c r="H125" s="82"/>
      <c r="I125" s="82"/>
      <c r="J125" s="82"/>
      <c r="K125" s="82" t="s">
        <v>634</v>
      </c>
      <c r="L125" s="82"/>
      <c r="M125" s="100">
        <v>78906</v>
      </c>
      <c r="N125" s="100" t="s">
        <v>684</v>
      </c>
      <c r="O125" s="174" t="s">
        <v>263</v>
      </c>
      <c r="P125" s="97" t="s">
        <v>259</v>
      </c>
      <c r="Q125" s="101">
        <v>46131</v>
      </c>
      <c r="R125" s="102" t="s">
        <v>100</v>
      </c>
      <c r="S125" s="59" t="s">
        <v>101</v>
      </c>
      <c r="T125" s="102"/>
      <c r="U125" s="102"/>
      <c r="V125" s="51" t="s">
        <v>102</v>
      </c>
      <c r="W125" s="73">
        <v>580</v>
      </c>
      <c r="X125" s="73">
        <v>24</v>
      </c>
      <c r="Y125" s="51">
        <f t="shared" si="40"/>
        <v>604</v>
      </c>
      <c r="Z125" s="73"/>
      <c r="AA125" s="61">
        <f t="shared" si="49"/>
        <v>580</v>
      </c>
      <c r="AB125" s="51">
        <f t="shared" si="46"/>
        <v>0</v>
      </c>
      <c r="AC125" s="88">
        <f t="shared" si="56"/>
        <v>580</v>
      </c>
      <c r="AD125" s="63"/>
      <c r="AE125" s="63">
        <f t="shared" si="51"/>
        <v>24</v>
      </c>
      <c r="AF125" s="63">
        <v>27</v>
      </c>
      <c r="AG125" s="63"/>
      <c r="AH125" s="64">
        <f t="shared" si="52"/>
        <v>604</v>
      </c>
      <c r="AI125" s="62"/>
      <c r="AJ125" s="62"/>
      <c r="AK125" s="62">
        <f t="shared" si="53"/>
        <v>604</v>
      </c>
      <c r="AL125" s="62">
        <f t="shared" si="54"/>
        <v>604</v>
      </c>
      <c r="AM125" s="73">
        <v>50070</v>
      </c>
      <c r="AN125" s="124">
        <f t="shared" si="47"/>
        <v>700</v>
      </c>
      <c r="AO125" s="77">
        <f t="shared" si="55"/>
        <v>49466</v>
      </c>
      <c r="AP125" s="77">
        <f t="shared" si="57"/>
        <v>49370</v>
      </c>
      <c r="AQ125" s="77">
        <f t="shared" si="48"/>
        <v>49370</v>
      </c>
      <c r="AR125" s="67">
        <f t="shared" si="34"/>
        <v>96</v>
      </c>
      <c r="AS125" s="134">
        <f>Table22[[#This Row],[GROSS WT]]-Table22[[#This Row],[Total Bag Discharged (Truck)]]</f>
        <v>49466</v>
      </c>
      <c r="AT125" s="67">
        <f t="shared" si="35"/>
        <v>49466</v>
      </c>
      <c r="AU125" s="73"/>
      <c r="AV125" s="73">
        <v>26</v>
      </c>
      <c r="AW125" s="73">
        <v>20</v>
      </c>
      <c r="AX125" s="73">
        <v>0</v>
      </c>
      <c r="AY125" s="71">
        <f t="shared" si="36"/>
        <v>46</v>
      </c>
      <c r="AZ125" s="70">
        <v>239</v>
      </c>
      <c r="BA125" s="73">
        <v>14</v>
      </c>
      <c r="BB125" s="73">
        <v>11</v>
      </c>
      <c r="BC125" s="63">
        <f t="shared" si="41"/>
        <v>264</v>
      </c>
      <c r="BD125" s="72">
        <f>SUM(Table22[[#This Row],[Good Kernel (gm)]]+(Table22[[#This Row],[Immature (gm)]]+Table22[[#This Row],[Spotted (gm)]])/2)*0.176</f>
        <v>44.263999999999996</v>
      </c>
      <c r="BE125" s="73">
        <v>44.35</v>
      </c>
      <c r="BF125" s="72">
        <f t="shared" si="42"/>
        <v>46.561680000000003</v>
      </c>
      <c r="BG125" s="72">
        <f t="shared" si="37"/>
        <v>51.147300000000001</v>
      </c>
      <c r="BH125" s="72">
        <f>SUM(Table22[[#This Row],[Good Kernel (gm)]:[Spotted (gm)]])/1000*100</f>
        <v>26.400000000000002</v>
      </c>
      <c r="BI125" s="72">
        <f t="shared" si="38"/>
        <v>28.999999999999996</v>
      </c>
      <c r="BJ125" s="73">
        <v>10.4</v>
      </c>
      <c r="BK125" s="73">
        <v>183</v>
      </c>
      <c r="BL125" s="73">
        <v>685</v>
      </c>
      <c r="BM125" s="73">
        <v>21</v>
      </c>
      <c r="BN125" s="73"/>
      <c r="BO125" s="73">
        <v>14</v>
      </c>
      <c r="BP125" s="73"/>
      <c r="BQ125" s="71">
        <f t="shared" si="39"/>
        <v>35</v>
      </c>
      <c r="BR125" s="73">
        <v>240</v>
      </c>
      <c r="BS125" s="73">
        <v>16</v>
      </c>
      <c r="BT125" s="73">
        <v>8</v>
      </c>
      <c r="BU125" s="63">
        <f t="shared" si="43"/>
        <v>264</v>
      </c>
      <c r="BV125" s="72">
        <f>SUM(Table22[[#This Row],[Good Kernel (G M)]]+(Table22[[#This Row],[Immature (g m)]]+Table22[[#This Row],[Spotted (g m)]])/2)*0.176</f>
        <v>44.351999999999997</v>
      </c>
      <c r="BW125" s="73">
        <v>44.44</v>
      </c>
      <c r="BX125" s="73"/>
      <c r="BY125" s="72">
        <f t="shared" si="44"/>
        <v>46.561680000000003</v>
      </c>
      <c r="BZ125" s="72">
        <f t="shared" si="45"/>
        <v>50.265450000000001</v>
      </c>
      <c r="CA125" s="72">
        <f>SUM(Table22[[#This Row],[Good Kernel (G M)]:[Spotted (g m)]])/1000*100</f>
        <v>26.400000000000002</v>
      </c>
      <c r="CB125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25" s="73">
        <v>10.1</v>
      </c>
      <c r="CD125" s="73">
        <v>186</v>
      </c>
      <c r="CE125" s="73">
        <v>695</v>
      </c>
      <c r="CH125" s="184">
        <f ca="1">TODAY()-Table22[[#This Row],[Discharge Date]]</f>
        <v>124</v>
      </c>
    </row>
    <row r="126" spans="1:86" ht="14.4" x14ac:dyDescent="0.3">
      <c r="A126" s="50">
        <v>122</v>
      </c>
      <c r="B126" s="60" t="s">
        <v>95</v>
      </c>
      <c r="C126" s="60" t="s">
        <v>96</v>
      </c>
      <c r="D126" s="97">
        <v>122</v>
      </c>
      <c r="E126" s="98" t="s">
        <v>130</v>
      </c>
      <c r="F126" s="97">
        <v>623</v>
      </c>
      <c r="G126" s="73"/>
      <c r="H126" s="82"/>
      <c r="I126" s="82"/>
      <c r="J126" s="82"/>
      <c r="K126" s="82" t="s">
        <v>634</v>
      </c>
      <c r="L126" s="82"/>
      <c r="M126" s="100">
        <v>29107</v>
      </c>
      <c r="N126" s="100" t="s">
        <v>643</v>
      </c>
      <c r="O126" s="174" t="s">
        <v>169</v>
      </c>
      <c r="P126" s="97" t="s">
        <v>259</v>
      </c>
      <c r="Q126" s="101">
        <v>46131</v>
      </c>
      <c r="R126" s="102" t="s">
        <v>100</v>
      </c>
      <c r="S126" s="59" t="s">
        <v>107</v>
      </c>
      <c r="T126" s="102"/>
      <c r="U126" s="102"/>
      <c r="V126" s="51" t="s">
        <v>108</v>
      </c>
      <c r="W126" s="73">
        <v>564</v>
      </c>
      <c r="X126" s="73">
        <v>40</v>
      </c>
      <c r="Y126" s="51">
        <f t="shared" si="40"/>
        <v>604</v>
      </c>
      <c r="Z126" s="73"/>
      <c r="AA126" s="61">
        <f t="shared" si="49"/>
        <v>564</v>
      </c>
      <c r="AB126" s="51">
        <f t="shared" si="46"/>
        <v>0</v>
      </c>
      <c r="AC126" s="88">
        <f t="shared" si="56"/>
        <v>564</v>
      </c>
      <c r="AD126" s="63"/>
      <c r="AE126" s="63">
        <f t="shared" si="51"/>
        <v>40</v>
      </c>
      <c r="AF126" s="63">
        <v>13</v>
      </c>
      <c r="AG126" s="63"/>
      <c r="AH126" s="64">
        <f t="shared" si="52"/>
        <v>604</v>
      </c>
      <c r="AI126" s="62"/>
      <c r="AJ126" s="62"/>
      <c r="AK126" s="62">
        <f t="shared" si="53"/>
        <v>604</v>
      </c>
      <c r="AL126" s="62">
        <f t="shared" si="54"/>
        <v>604</v>
      </c>
      <c r="AM126" s="73">
        <v>45980</v>
      </c>
      <c r="AN126" s="124">
        <f t="shared" si="47"/>
        <v>764</v>
      </c>
      <c r="AO126" s="77">
        <f t="shared" si="55"/>
        <v>45376</v>
      </c>
      <c r="AP126" s="77">
        <f>AM126-AN126-160</f>
        <v>45056</v>
      </c>
      <c r="AQ126" s="77">
        <f>+AO126-AE126*8</f>
        <v>45056</v>
      </c>
      <c r="AR126" s="67">
        <f t="shared" si="34"/>
        <v>160</v>
      </c>
      <c r="AS126" s="134">
        <f>Table22[[#This Row],[GROSS WT]]-Table22[[#This Row],[Total Bag Discharged (Truck)]]</f>
        <v>45376</v>
      </c>
      <c r="AT126" s="67">
        <f t="shared" si="35"/>
        <v>45376</v>
      </c>
      <c r="AU126" s="73"/>
      <c r="AV126" s="73">
        <v>39</v>
      </c>
      <c r="AW126" s="73">
        <v>13</v>
      </c>
      <c r="AX126" s="73">
        <v>0</v>
      </c>
      <c r="AY126" s="71">
        <f t="shared" si="36"/>
        <v>52</v>
      </c>
      <c r="AZ126" s="70">
        <v>228</v>
      </c>
      <c r="BA126" s="73">
        <v>18</v>
      </c>
      <c r="BB126" s="73">
        <v>12</v>
      </c>
      <c r="BC126" s="63">
        <f t="shared" si="41"/>
        <v>258</v>
      </c>
      <c r="BD126" s="72">
        <f>SUM(Table22[[#This Row],[Good Kernel (gm)]]+(Table22[[#This Row],[Immature (gm)]]+Table22[[#This Row],[Spotted (gm)]])/2)*0.176</f>
        <v>42.768000000000001</v>
      </c>
      <c r="BE126" s="73">
        <v>42.85</v>
      </c>
      <c r="BF126" s="72">
        <f t="shared" si="42"/>
        <v>45.503459999999997</v>
      </c>
      <c r="BG126" s="72">
        <f t="shared" si="37"/>
        <v>52.381889999999999</v>
      </c>
      <c r="BH126" s="72">
        <f>SUM(Table22[[#This Row],[Good Kernel (gm)]:[Spotted (gm)]])/1000*100</f>
        <v>25.8</v>
      </c>
      <c r="BI126" s="72">
        <f t="shared" si="38"/>
        <v>29.7</v>
      </c>
      <c r="BJ126" s="73">
        <v>12.3</v>
      </c>
      <c r="BK126" s="73">
        <v>179</v>
      </c>
      <c r="BL126" s="73">
        <v>684</v>
      </c>
      <c r="BM126" s="73">
        <v>41</v>
      </c>
      <c r="BN126" s="73"/>
      <c r="BO126" s="73">
        <v>21</v>
      </c>
      <c r="BP126" s="73">
        <v>4</v>
      </c>
      <c r="BQ126" s="71">
        <f t="shared" si="39"/>
        <v>66</v>
      </c>
      <c r="BR126" s="73">
        <v>220</v>
      </c>
      <c r="BS126" s="73">
        <v>18</v>
      </c>
      <c r="BT126" s="73">
        <v>16</v>
      </c>
      <c r="BU126" s="63">
        <f t="shared" si="43"/>
        <v>254</v>
      </c>
      <c r="BV126" s="72">
        <f>SUM(Table22[[#This Row],[Good Kernel (G M)]]+(Table22[[#This Row],[Immature (g m)]]+Table22[[#This Row],[Spotted (g m)]])/2)*0.176</f>
        <v>41.711999999999996</v>
      </c>
      <c r="BW126" s="73">
        <v>41.79</v>
      </c>
      <c r="BX126" s="73"/>
      <c r="BY126" s="72">
        <f t="shared" si="44"/>
        <v>44.797980000000003</v>
      </c>
      <c r="BZ126" s="72">
        <f t="shared" si="45"/>
        <v>52.734630000000003</v>
      </c>
      <c r="CA126" s="72">
        <f>SUM(Table22[[#This Row],[Good Kernel (G M)]:[Spotted (g m)]])/1000*100</f>
        <v>25.4</v>
      </c>
      <c r="CB126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126" s="73">
        <v>10.3</v>
      </c>
      <c r="CD126" s="73">
        <v>183</v>
      </c>
      <c r="CE126" s="73">
        <v>673</v>
      </c>
      <c r="CH126" s="184">
        <f ca="1">TODAY()-Table22[[#This Row],[Discharge Date]]</f>
        <v>124</v>
      </c>
    </row>
    <row r="127" spans="1:86" ht="14.4" x14ac:dyDescent="0.3">
      <c r="A127" s="50">
        <v>123</v>
      </c>
      <c r="B127" s="60" t="s">
        <v>95</v>
      </c>
      <c r="C127" s="60" t="s">
        <v>96</v>
      </c>
      <c r="D127" s="97">
        <v>123</v>
      </c>
      <c r="E127" s="73"/>
      <c r="F127" s="97">
        <v>624</v>
      </c>
      <c r="G127" s="73"/>
      <c r="H127" s="82"/>
      <c r="I127" s="82"/>
      <c r="J127" s="82"/>
      <c r="K127" s="82" t="s">
        <v>634</v>
      </c>
      <c r="L127" s="82"/>
      <c r="M127" s="100">
        <v>19786</v>
      </c>
      <c r="N127" s="100" t="s">
        <v>686</v>
      </c>
      <c r="O127" s="174" t="s">
        <v>137</v>
      </c>
      <c r="P127" s="97" t="s">
        <v>259</v>
      </c>
      <c r="Q127" s="101">
        <v>46131</v>
      </c>
      <c r="R127" s="102" t="s">
        <v>264</v>
      </c>
      <c r="S127" s="103" t="s">
        <v>265</v>
      </c>
      <c r="T127" s="102" t="s">
        <v>534</v>
      </c>
      <c r="U127" s="102" t="s">
        <v>427</v>
      </c>
      <c r="V127" s="56" t="s">
        <v>140</v>
      </c>
      <c r="W127" s="73">
        <v>432</v>
      </c>
      <c r="X127" s="73">
        <v>30</v>
      </c>
      <c r="Y127" s="51">
        <f t="shared" si="40"/>
        <v>462</v>
      </c>
      <c r="Z127" s="73"/>
      <c r="AA127" s="61">
        <f t="shared" si="49"/>
        <v>432</v>
      </c>
      <c r="AB127" s="51">
        <f t="shared" si="46"/>
        <v>0</v>
      </c>
      <c r="AC127" s="88">
        <f t="shared" si="56"/>
        <v>432</v>
      </c>
      <c r="AD127" s="63"/>
      <c r="AE127" s="63">
        <f t="shared" si="51"/>
        <v>30</v>
      </c>
      <c r="AF127" s="63">
        <v>16</v>
      </c>
      <c r="AG127" s="63"/>
      <c r="AH127" s="64">
        <f t="shared" si="52"/>
        <v>462</v>
      </c>
      <c r="AI127" s="62"/>
      <c r="AJ127" s="62"/>
      <c r="AK127" s="62">
        <f t="shared" si="53"/>
        <v>462</v>
      </c>
      <c r="AL127" s="62">
        <f t="shared" si="54"/>
        <v>462</v>
      </c>
      <c r="AM127" s="73">
        <v>38250</v>
      </c>
      <c r="AN127" s="124">
        <f t="shared" si="47"/>
        <v>582</v>
      </c>
      <c r="AO127" s="77">
        <f t="shared" si="55"/>
        <v>37788</v>
      </c>
      <c r="AP127" s="77">
        <f>AM127-AN127-120</f>
        <v>37548</v>
      </c>
      <c r="AQ127" s="77">
        <f>+AO127-AE127*8</f>
        <v>37548</v>
      </c>
      <c r="AR127" s="67">
        <f t="shared" si="34"/>
        <v>120</v>
      </c>
      <c r="AS127" s="134">
        <f>Table22[[#This Row],[GROSS WT]]-Table22[[#This Row],[Total Bag Discharged (Truck)]]</f>
        <v>37788</v>
      </c>
      <c r="AT127" s="67">
        <f t="shared" si="35"/>
        <v>37788</v>
      </c>
      <c r="AU127" s="73"/>
      <c r="AV127" s="73">
        <v>38</v>
      </c>
      <c r="AW127" s="73">
        <v>8</v>
      </c>
      <c r="AX127" s="73">
        <v>0</v>
      </c>
      <c r="AY127" s="71">
        <f t="shared" si="36"/>
        <v>46</v>
      </c>
      <c r="AZ127" s="70">
        <v>229</v>
      </c>
      <c r="BA127" s="73">
        <v>14</v>
      </c>
      <c r="BB127" s="73">
        <v>13</v>
      </c>
      <c r="BC127" s="63">
        <f t="shared" si="41"/>
        <v>256</v>
      </c>
      <c r="BD127" s="72">
        <f>SUM(Table22[[#This Row],[Good Kernel (gm)]]+(Table22[[#This Row],[Immature (gm)]]+Table22[[#This Row],[Spotted (gm)]])/2)*0.176</f>
        <v>42.68</v>
      </c>
      <c r="BE127" s="73">
        <v>42.76</v>
      </c>
      <c r="BF127" s="72">
        <f t="shared" si="42"/>
        <v>45.15072</v>
      </c>
      <c r="BG127" s="72">
        <f t="shared" si="37"/>
        <v>51.852780000000003</v>
      </c>
      <c r="BH127" s="72">
        <f>SUM(Table22[[#This Row],[Good Kernel (gm)]:[Spotted (gm)]])/1000*100</f>
        <v>25.6</v>
      </c>
      <c r="BI127" s="72">
        <f t="shared" si="38"/>
        <v>29.4</v>
      </c>
      <c r="BJ127" s="73">
        <v>11.3</v>
      </c>
      <c r="BK127" s="73">
        <v>169</v>
      </c>
      <c r="BL127" s="73">
        <v>692</v>
      </c>
      <c r="BM127" s="73">
        <v>38</v>
      </c>
      <c r="BN127" s="73"/>
      <c r="BO127" s="73">
        <v>16</v>
      </c>
      <c r="BP127" s="73">
        <v>0</v>
      </c>
      <c r="BQ127" s="71">
        <f t="shared" si="39"/>
        <v>54</v>
      </c>
      <c r="BR127" s="73">
        <v>230</v>
      </c>
      <c r="BS127" s="73">
        <v>13</v>
      </c>
      <c r="BT127" s="73">
        <v>10</v>
      </c>
      <c r="BU127" s="63">
        <f t="shared" si="43"/>
        <v>253</v>
      </c>
      <c r="BV127" s="72">
        <f>SUM(Table22[[#This Row],[Good Kernel (G M)]]+(Table22[[#This Row],[Immature (g m)]]+Table22[[#This Row],[Spotted (g m)]])/2)*0.176</f>
        <v>42.503999999999998</v>
      </c>
      <c r="BW127" s="73">
        <v>42.59</v>
      </c>
      <c r="BX127" s="73"/>
      <c r="BY127" s="72">
        <f t="shared" si="44"/>
        <v>44.621609999999997</v>
      </c>
      <c r="BZ127" s="72">
        <f t="shared" si="45"/>
        <v>51.32367</v>
      </c>
      <c r="CA127" s="72">
        <f>SUM(Table22[[#This Row],[Good Kernel (G M)]:[Spotted (g m)]])/1000*100</f>
        <v>25.3</v>
      </c>
      <c r="CB127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27" s="73">
        <v>11.2</v>
      </c>
      <c r="CD127" s="73">
        <v>169</v>
      </c>
      <c r="CE127" s="73">
        <v>688</v>
      </c>
      <c r="CH127" s="184">
        <f ca="1">TODAY()-Table22[[#This Row],[Discharge Date]]</f>
        <v>124</v>
      </c>
    </row>
    <row r="128" spans="1:86" ht="14.4" x14ac:dyDescent="0.3">
      <c r="A128" s="50">
        <v>124</v>
      </c>
      <c r="B128" s="60" t="s">
        <v>95</v>
      </c>
      <c r="C128" s="60" t="s">
        <v>96</v>
      </c>
      <c r="D128" s="53">
        <v>124</v>
      </c>
      <c r="E128" s="73"/>
      <c r="F128" s="97">
        <v>625</v>
      </c>
      <c r="G128" s="73"/>
      <c r="H128" s="82"/>
      <c r="I128" s="82"/>
      <c r="J128" s="82"/>
      <c r="K128" s="82" t="s">
        <v>634</v>
      </c>
      <c r="L128" s="82"/>
      <c r="M128" s="100">
        <v>30268</v>
      </c>
      <c r="N128" s="100" t="s">
        <v>686</v>
      </c>
      <c r="O128" s="174" t="s">
        <v>266</v>
      </c>
      <c r="P128" s="97" t="s">
        <v>234</v>
      </c>
      <c r="Q128" s="101">
        <v>46131</v>
      </c>
      <c r="R128" s="102" t="s">
        <v>267</v>
      </c>
      <c r="S128" s="102" t="s">
        <v>219</v>
      </c>
      <c r="T128" s="102"/>
      <c r="U128" s="102" t="s">
        <v>220</v>
      </c>
      <c r="V128" s="73" t="s">
        <v>221</v>
      </c>
      <c r="W128" s="73">
        <v>487</v>
      </c>
      <c r="X128" s="73">
        <v>18</v>
      </c>
      <c r="Y128" s="51">
        <f t="shared" si="40"/>
        <v>505</v>
      </c>
      <c r="Z128" s="73"/>
      <c r="AA128" s="61">
        <f t="shared" si="49"/>
        <v>487</v>
      </c>
      <c r="AB128" s="51">
        <f t="shared" si="46"/>
        <v>0</v>
      </c>
      <c r="AC128" s="88">
        <f t="shared" si="56"/>
        <v>487</v>
      </c>
      <c r="AD128" s="63"/>
      <c r="AE128" s="63">
        <f t="shared" si="51"/>
        <v>18</v>
      </c>
      <c r="AF128" s="63">
        <v>21</v>
      </c>
      <c r="AG128" s="63"/>
      <c r="AH128" s="64">
        <f t="shared" si="52"/>
        <v>505</v>
      </c>
      <c r="AI128" s="62"/>
      <c r="AJ128" s="62"/>
      <c r="AK128" s="62">
        <f t="shared" si="53"/>
        <v>505</v>
      </c>
      <c r="AL128" s="62">
        <f t="shared" si="54"/>
        <v>505</v>
      </c>
      <c r="AM128" s="73">
        <v>40200</v>
      </c>
      <c r="AN128" s="124">
        <f t="shared" si="47"/>
        <v>577</v>
      </c>
      <c r="AO128" s="77">
        <f t="shared" si="55"/>
        <v>39695</v>
      </c>
      <c r="AP128" s="77">
        <f t="shared" si="57"/>
        <v>39623</v>
      </c>
      <c r="AQ128" s="77">
        <f t="shared" si="48"/>
        <v>39623</v>
      </c>
      <c r="AR128" s="67">
        <f t="shared" si="34"/>
        <v>72</v>
      </c>
      <c r="AS128" s="134">
        <f>Table22[[#This Row],[GROSS WT]]-Table22[[#This Row],[Total Bag Discharged (Truck)]]</f>
        <v>39695</v>
      </c>
      <c r="AT128" s="67">
        <f t="shared" si="35"/>
        <v>39695</v>
      </c>
      <c r="AU128" s="73"/>
      <c r="AV128" s="73">
        <v>42</v>
      </c>
      <c r="AW128" s="73">
        <v>8</v>
      </c>
      <c r="AX128" s="73">
        <v>0</v>
      </c>
      <c r="AY128" s="71">
        <f t="shared" si="36"/>
        <v>50</v>
      </c>
      <c r="AZ128" s="70">
        <v>220</v>
      </c>
      <c r="BA128" s="73">
        <v>26</v>
      </c>
      <c r="BB128" s="73">
        <v>13</v>
      </c>
      <c r="BC128" s="63">
        <f t="shared" si="41"/>
        <v>259</v>
      </c>
      <c r="BD128" s="72">
        <f>SUM(Table22[[#This Row],[Good Kernel (gm)]]+(Table22[[#This Row],[Immature (gm)]]+Table22[[#This Row],[Spotted (gm)]])/2)*0.176</f>
        <v>42.152000000000001</v>
      </c>
      <c r="BE128" s="73">
        <v>42.24</v>
      </c>
      <c r="BF128" s="72">
        <f t="shared" si="42"/>
        <v>45.679830000000003</v>
      </c>
      <c r="BG128" s="72">
        <f t="shared" si="37"/>
        <v>53.08737</v>
      </c>
      <c r="BH128" s="72">
        <f>SUM(Table22[[#This Row],[Good Kernel (gm)]:[Spotted (gm)]])/1000*100</f>
        <v>25.900000000000002</v>
      </c>
      <c r="BI128" s="72">
        <f t="shared" si="38"/>
        <v>30.099999999999998</v>
      </c>
      <c r="BJ128" s="73">
        <v>9.1</v>
      </c>
      <c r="BK128" s="73">
        <v>178</v>
      </c>
      <c r="BL128" s="73">
        <v>685</v>
      </c>
      <c r="BM128" s="73">
        <v>33</v>
      </c>
      <c r="BN128" s="73"/>
      <c r="BO128" s="73">
        <v>21</v>
      </c>
      <c r="BP128" s="73">
        <v>0</v>
      </c>
      <c r="BQ128" s="71">
        <f t="shared" si="39"/>
        <v>54</v>
      </c>
      <c r="BR128" s="73">
        <v>223</v>
      </c>
      <c r="BS128" s="73">
        <v>22</v>
      </c>
      <c r="BT128" s="73">
        <v>14</v>
      </c>
      <c r="BU128" s="63">
        <f t="shared" si="43"/>
        <v>259</v>
      </c>
      <c r="BV128" s="72">
        <f>SUM(Table22[[#This Row],[Good Kernel (G M)]]+(Table22[[#This Row],[Immature (g m)]]+Table22[[#This Row],[Spotted (g m)]])/2)*0.176</f>
        <v>42.415999999999997</v>
      </c>
      <c r="BW128" s="73">
        <v>42.5</v>
      </c>
      <c r="BX128" s="73"/>
      <c r="BY128" s="72">
        <f t="shared" si="44"/>
        <v>45.679830000000003</v>
      </c>
      <c r="BZ128" s="72">
        <f t="shared" si="45"/>
        <v>51.500039999999998</v>
      </c>
      <c r="CA128" s="72">
        <f>SUM(Table22[[#This Row],[Good Kernel (G M)]:[Spotted (g m)]])/1000*100</f>
        <v>25.900000000000002</v>
      </c>
      <c r="CB128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28" s="73">
        <v>10.1</v>
      </c>
      <c r="CD128" s="73">
        <v>181</v>
      </c>
      <c r="CE128" s="73">
        <v>681</v>
      </c>
      <c r="CH128" s="184">
        <f ca="1">TODAY()-Table22[[#This Row],[Discharge Date]]</f>
        <v>124</v>
      </c>
    </row>
    <row r="129" spans="1:86" ht="14.4" x14ac:dyDescent="0.3">
      <c r="A129" s="50">
        <v>125</v>
      </c>
      <c r="B129" s="60" t="s">
        <v>95</v>
      </c>
      <c r="C129" s="60" t="s">
        <v>96</v>
      </c>
      <c r="D129" s="97">
        <v>125</v>
      </c>
      <c r="E129" s="98" t="s">
        <v>130</v>
      </c>
      <c r="F129" s="97">
        <v>626</v>
      </c>
      <c r="G129" s="73"/>
      <c r="H129" s="82"/>
      <c r="I129" s="82"/>
      <c r="J129" s="82"/>
      <c r="K129" s="82" t="s">
        <v>634</v>
      </c>
      <c r="L129" s="82"/>
      <c r="M129" s="100">
        <v>37582</v>
      </c>
      <c r="N129" s="100" t="s">
        <v>643</v>
      </c>
      <c r="O129" s="174" t="s">
        <v>268</v>
      </c>
      <c r="P129" s="97" t="s">
        <v>259</v>
      </c>
      <c r="Q129" s="101">
        <v>46131</v>
      </c>
      <c r="R129" s="102" t="s">
        <v>224</v>
      </c>
      <c r="S129" s="103" t="s">
        <v>146</v>
      </c>
      <c r="T129" s="102"/>
      <c r="U129" s="102"/>
      <c r="V129" s="73" t="s">
        <v>147</v>
      </c>
      <c r="W129" s="73">
        <v>418</v>
      </c>
      <c r="X129" s="73">
        <v>26</v>
      </c>
      <c r="Y129" s="51">
        <f t="shared" si="40"/>
        <v>444</v>
      </c>
      <c r="Z129" s="73"/>
      <c r="AA129" s="61">
        <f t="shared" si="49"/>
        <v>418</v>
      </c>
      <c r="AB129" s="51">
        <f t="shared" si="46"/>
        <v>0</v>
      </c>
      <c r="AC129" s="88">
        <f t="shared" si="56"/>
        <v>418</v>
      </c>
      <c r="AD129" s="63"/>
      <c r="AE129" s="63">
        <f t="shared" si="51"/>
        <v>26</v>
      </c>
      <c r="AF129" s="63">
        <v>51</v>
      </c>
      <c r="AG129" s="63"/>
      <c r="AH129" s="64">
        <f t="shared" si="52"/>
        <v>444</v>
      </c>
      <c r="AI129" s="62"/>
      <c r="AJ129" s="62"/>
      <c r="AK129" s="62">
        <f t="shared" si="53"/>
        <v>444</v>
      </c>
      <c r="AL129" s="62">
        <f t="shared" si="54"/>
        <v>444</v>
      </c>
      <c r="AM129" s="73">
        <v>45520</v>
      </c>
      <c r="AN129" s="124">
        <f t="shared" si="47"/>
        <v>548</v>
      </c>
      <c r="AO129" s="77">
        <f t="shared" si="55"/>
        <v>45076</v>
      </c>
      <c r="AP129" s="77">
        <f>AM129-AN129-104</f>
        <v>44868</v>
      </c>
      <c r="AQ129" s="77">
        <f>+AO129-AE129*8</f>
        <v>44868</v>
      </c>
      <c r="AR129" s="67">
        <f t="shared" si="34"/>
        <v>104</v>
      </c>
      <c r="AS129" s="134">
        <f>Table22[[#This Row],[GROSS WT]]-Table22[[#This Row],[Total Bag Discharged (Truck)]]</f>
        <v>45076</v>
      </c>
      <c r="AT129" s="67">
        <f t="shared" si="35"/>
        <v>45076</v>
      </c>
      <c r="AU129" s="73"/>
      <c r="AV129" s="73">
        <v>21</v>
      </c>
      <c r="AW129" s="73">
        <v>28</v>
      </c>
      <c r="AX129" s="73">
        <v>4</v>
      </c>
      <c r="AY129" s="71">
        <f t="shared" si="36"/>
        <v>53</v>
      </c>
      <c r="AZ129" s="70">
        <v>231</v>
      </c>
      <c r="BA129" s="73">
        <v>10</v>
      </c>
      <c r="BB129" s="73">
        <v>12</v>
      </c>
      <c r="BC129" s="63">
        <f t="shared" si="41"/>
        <v>253</v>
      </c>
      <c r="BD129" s="72">
        <f>SUM(Table22[[#This Row],[Good Kernel (gm)]]+(Table22[[#This Row],[Immature (gm)]]+Table22[[#This Row],[Spotted (gm)]])/2)*0.176</f>
        <v>42.591999999999999</v>
      </c>
      <c r="BE129" s="73">
        <v>42.68</v>
      </c>
      <c r="BF129" s="72">
        <f t="shared" si="42"/>
        <v>44.621609999999997</v>
      </c>
      <c r="BG129" s="72">
        <f t="shared" si="37"/>
        <v>49.030859999999997</v>
      </c>
      <c r="BH129" s="72">
        <f>SUM(Table22[[#This Row],[Good Kernel (gm)]:[Spotted (gm)]])/1000*100</f>
        <v>25.3</v>
      </c>
      <c r="BI129" s="72">
        <f t="shared" si="38"/>
        <v>27.800000000000004</v>
      </c>
      <c r="BJ129" s="73">
        <v>11.2</v>
      </c>
      <c r="BK129" s="73">
        <v>165</v>
      </c>
      <c r="BL129" s="73">
        <v>687</v>
      </c>
      <c r="BM129" s="73">
        <v>29</v>
      </c>
      <c r="BN129" s="73"/>
      <c r="BO129" s="73">
        <v>24</v>
      </c>
      <c r="BP129" s="73">
        <v>2</v>
      </c>
      <c r="BQ129" s="71">
        <f t="shared" si="39"/>
        <v>55</v>
      </c>
      <c r="BR129" s="73">
        <v>235</v>
      </c>
      <c r="BS129" s="73">
        <v>12</v>
      </c>
      <c r="BT129" s="73">
        <v>8</v>
      </c>
      <c r="BU129" s="63">
        <f t="shared" si="43"/>
        <v>255</v>
      </c>
      <c r="BV129" s="72">
        <f>SUM(Table22[[#This Row],[Good Kernel (G M)]]+(Table22[[#This Row],[Immature (g m)]]+Table22[[#This Row],[Spotted (g m)]])/2)*0.176</f>
        <v>43.12</v>
      </c>
      <c r="BW129" s="73">
        <v>43.12</v>
      </c>
      <c r="BX129" s="73"/>
      <c r="BY129" s="72">
        <f t="shared" si="44"/>
        <v>44.974350000000001</v>
      </c>
      <c r="BZ129" s="72">
        <f t="shared" si="45"/>
        <v>50.44182</v>
      </c>
      <c r="CA129" s="72">
        <f>SUM(Table22[[#This Row],[Good Kernel (G M)]:[Spotted (g m)]])/1000*100</f>
        <v>25.5</v>
      </c>
      <c r="CB129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29" s="73">
        <v>11.4</v>
      </c>
      <c r="CD129" s="73">
        <v>162</v>
      </c>
      <c r="CE129" s="73">
        <v>685</v>
      </c>
      <c r="CH129" s="184">
        <f ca="1">TODAY()-Table22[[#This Row],[Discharge Date]]</f>
        <v>124</v>
      </c>
    </row>
    <row r="130" spans="1:86" ht="14.4" x14ac:dyDescent="0.3">
      <c r="A130" s="50">
        <v>126</v>
      </c>
      <c r="B130" s="60" t="s">
        <v>95</v>
      </c>
      <c r="C130" s="60" t="s">
        <v>96</v>
      </c>
      <c r="D130" s="97">
        <v>126</v>
      </c>
      <c r="E130" s="73"/>
      <c r="F130" s="97">
        <v>627</v>
      </c>
      <c r="G130" s="73"/>
      <c r="H130" s="82"/>
      <c r="I130" s="82"/>
      <c r="J130" s="82"/>
      <c r="K130" s="82" t="s">
        <v>634</v>
      </c>
      <c r="L130" s="82"/>
      <c r="M130" s="100">
        <v>3196</v>
      </c>
      <c r="N130" s="100" t="s">
        <v>687</v>
      </c>
      <c r="O130" s="174" t="s">
        <v>269</v>
      </c>
      <c r="P130" s="97" t="s">
        <v>270</v>
      </c>
      <c r="Q130" s="101">
        <v>46131</v>
      </c>
      <c r="R130" s="102" t="s">
        <v>213</v>
      </c>
      <c r="S130" s="103" t="s">
        <v>271</v>
      </c>
      <c r="T130" s="102" t="s">
        <v>198</v>
      </c>
      <c r="U130" s="102" t="s">
        <v>272</v>
      </c>
      <c r="V130" s="73" t="s">
        <v>199</v>
      </c>
      <c r="W130" s="73">
        <v>435</v>
      </c>
      <c r="X130" s="73">
        <v>40</v>
      </c>
      <c r="Y130" s="51">
        <f t="shared" si="40"/>
        <v>475</v>
      </c>
      <c r="Z130" s="73"/>
      <c r="AA130" s="61">
        <f t="shared" si="49"/>
        <v>435</v>
      </c>
      <c r="AB130" s="51">
        <f t="shared" si="46"/>
        <v>0</v>
      </c>
      <c r="AC130" s="88">
        <f t="shared" si="56"/>
        <v>435</v>
      </c>
      <c r="AD130" s="63"/>
      <c r="AE130" s="63">
        <f t="shared" si="51"/>
        <v>40</v>
      </c>
      <c r="AF130" s="63">
        <v>64</v>
      </c>
      <c r="AG130" s="63"/>
      <c r="AH130" s="64">
        <f t="shared" si="52"/>
        <v>475</v>
      </c>
      <c r="AI130" s="62"/>
      <c r="AJ130" s="62"/>
      <c r="AK130" s="62">
        <f t="shared" si="53"/>
        <v>475</v>
      </c>
      <c r="AL130" s="62">
        <f t="shared" si="54"/>
        <v>475</v>
      </c>
      <c r="AM130" s="73">
        <v>41780</v>
      </c>
      <c r="AN130" s="124">
        <f t="shared" si="47"/>
        <v>635</v>
      </c>
      <c r="AO130" s="77">
        <f t="shared" si="55"/>
        <v>41305</v>
      </c>
      <c r="AP130" s="77">
        <f>AM130-AN130-87</f>
        <v>41058</v>
      </c>
      <c r="AQ130" s="77">
        <f>+AO130-AE130*4-87</f>
        <v>41058</v>
      </c>
      <c r="AR130" s="67">
        <f t="shared" si="34"/>
        <v>160</v>
      </c>
      <c r="AS130" s="134">
        <f>Table22[[#This Row],[GROSS WT]]-Table22[[#This Row],[Total Bag Discharged (Truck)]]</f>
        <v>41305</v>
      </c>
      <c r="AT130" s="67">
        <f t="shared" si="35"/>
        <v>41305</v>
      </c>
      <c r="AU130" s="73"/>
      <c r="AV130" s="73">
        <v>36</v>
      </c>
      <c r="AW130" s="73">
        <v>18</v>
      </c>
      <c r="AX130" s="73">
        <v>4</v>
      </c>
      <c r="AY130" s="71">
        <f t="shared" si="36"/>
        <v>58</v>
      </c>
      <c r="AZ130" s="70">
        <v>236</v>
      </c>
      <c r="BA130" s="73">
        <v>11</v>
      </c>
      <c r="BB130" s="73">
        <v>9</v>
      </c>
      <c r="BC130" s="63">
        <f t="shared" si="41"/>
        <v>256</v>
      </c>
      <c r="BD130" s="72">
        <f>SUM(Table22[[#This Row],[Good Kernel (gm)]]+(Table22[[#This Row],[Immature (gm)]]+Table22[[#This Row],[Spotted (gm)]])/2)*0.176</f>
        <v>43.295999999999999</v>
      </c>
      <c r="BE130" s="73">
        <v>43.38</v>
      </c>
      <c r="BF130" s="72">
        <f t="shared" si="42"/>
        <v>45.15072</v>
      </c>
      <c r="BG130" s="72">
        <f t="shared" si="37"/>
        <v>52.20552</v>
      </c>
      <c r="BH130" s="72">
        <f>SUM(Table22[[#This Row],[Good Kernel (gm)]:[Spotted (gm)]])/1000*100</f>
        <v>25.6</v>
      </c>
      <c r="BI130" s="72">
        <f t="shared" si="38"/>
        <v>29.599999999999998</v>
      </c>
      <c r="BJ130" s="73">
        <v>13.8</v>
      </c>
      <c r="BK130" s="73">
        <v>165</v>
      </c>
      <c r="BL130" s="73">
        <v>684</v>
      </c>
      <c r="BM130" s="73">
        <v>41</v>
      </c>
      <c r="BN130" s="73"/>
      <c r="BO130" s="73">
        <v>22</v>
      </c>
      <c r="BP130" s="73">
        <v>2</v>
      </c>
      <c r="BQ130" s="71">
        <f t="shared" si="39"/>
        <v>65</v>
      </c>
      <c r="BR130" s="73">
        <v>233</v>
      </c>
      <c r="BS130" s="73">
        <v>13</v>
      </c>
      <c r="BT130" s="73">
        <v>11</v>
      </c>
      <c r="BU130" s="63">
        <f t="shared" si="43"/>
        <v>257</v>
      </c>
      <c r="BV130" s="72">
        <f>SUM(Table22[[#This Row],[Good Kernel (G M)]]+(Table22[[#This Row],[Immature (g m)]]+Table22[[#This Row],[Spotted (g m)]])/2)*0.176</f>
        <v>43.12</v>
      </c>
      <c r="BW130" s="73">
        <v>43.29</v>
      </c>
      <c r="BX130" s="73"/>
      <c r="BY130" s="72">
        <f t="shared" si="44"/>
        <v>45.327089999999998</v>
      </c>
      <c r="BZ130" s="72">
        <f t="shared" si="45"/>
        <v>52.911000000000001</v>
      </c>
      <c r="CA130" s="72">
        <f>SUM(Table22[[#This Row],[Good Kernel (G M)]:[Spotted (g m)]])/1000*100</f>
        <v>25.7</v>
      </c>
      <c r="CB130" s="72">
        <f>(Table22[[#This Row],[BROWNS/Rejection (gm) (NUT)]]+Table22[[#This Row],[OIL (g m)]]+Table22[[#This Row],[Good Kernel (G M)]]+Table22[[#This Row],[Immature (g m)]]+Table22[[#This Row],[Spotted (g m)]])/1000*100</f>
        <v>30</v>
      </c>
      <c r="CC130" s="73">
        <v>12.1</v>
      </c>
      <c r="CD130" s="73">
        <v>168</v>
      </c>
      <c r="CE130" s="73">
        <v>672</v>
      </c>
      <c r="CH130" s="184">
        <f ca="1">TODAY()-Table22[[#This Row],[Discharge Date]]</f>
        <v>124</v>
      </c>
    </row>
    <row r="131" spans="1:86" ht="14.4" x14ac:dyDescent="0.3">
      <c r="A131" s="50">
        <v>127</v>
      </c>
      <c r="B131" s="60" t="s">
        <v>95</v>
      </c>
      <c r="C131" s="60" t="s">
        <v>96</v>
      </c>
      <c r="D131" s="53">
        <v>127</v>
      </c>
      <c r="E131" s="73"/>
      <c r="F131" s="97">
        <v>628</v>
      </c>
      <c r="G131" s="73"/>
      <c r="H131" s="82"/>
      <c r="I131" s="82"/>
      <c r="J131" s="82"/>
      <c r="K131" s="82" t="s">
        <v>634</v>
      </c>
      <c r="L131" s="82"/>
      <c r="M131" s="100">
        <v>771</v>
      </c>
      <c r="N131" s="100" t="s">
        <v>686</v>
      </c>
      <c r="O131" s="174" t="s">
        <v>273</v>
      </c>
      <c r="P131" s="97" t="s">
        <v>259</v>
      </c>
      <c r="Q131" s="101">
        <v>46131</v>
      </c>
      <c r="R131" s="102" t="s">
        <v>274</v>
      </c>
      <c r="S131" s="103" t="s">
        <v>369</v>
      </c>
      <c r="T131" s="102" t="s">
        <v>534</v>
      </c>
      <c r="U131" s="102"/>
      <c r="V131" s="73" t="s">
        <v>140</v>
      </c>
      <c r="W131" s="73">
        <v>500</v>
      </c>
      <c r="X131" s="73">
        <v>25</v>
      </c>
      <c r="Y131" s="51">
        <f t="shared" si="40"/>
        <v>525</v>
      </c>
      <c r="Z131" s="73"/>
      <c r="AA131" s="61">
        <f t="shared" si="49"/>
        <v>500</v>
      </c>
      <c r="AB131" s="51">
        <f t="shared" si="46"/>
        <v>0</v>
      </c>
      <c r="AC131" s="88">
        <f t="shared" si="56"/>
        <v>500</v>
      </c>
      <c r="AD131" s="63"/>
      <c r="AE131" s="63">
        <f t="shared" si="51"/>
        <v>25</v>
      </c>
      <c r="AF131" s="63">
        <v>21</v>
      </c>
      <c r="AG131" s="63"/>
      <c r="AH131" s="64">
        <f t="shared" si="52"/>
        <v>525</v>
      </c>
      <c r="AI131" s="73"/>
      <c r="AJ131" s="73"/>
      <c r="AK131" s="62">
        <f t="shared" si="53"/>
        <v>525</v>
      </c>
      <c r="AL131" s="62">
        <f t="shared" si="54"/>
        <v>525</v>
      </c>
      <c r="AM131" s="73">
        <v>43990</v>
      </c>
      <c r="AN131" s="124">
        <f t="shared" si="47"/>
        <v>625</v>
      </c>
      <c r="AO131" s="77">
        <f t="shared" si="55"/>
        <v>43465</v>
      </c>
      <c r="AP131" s="77">
        <f>AM131-AN131-100</f>
        <v>43265</v>
      </c>
      <c r="AQ131" s="77">
        <f>+AO131-AE131*8</f>
        <v>43265</v>
      </c>
      <c r="AR131" s="67">
        <f t="shared" si="34"/>
        <v>100</v>
      </c>
      <c r="AS131" s="134">
        <f>Table22[[#This Row],[GROSS WT]]-Table22[[#This Row],[Total Bag Discharged (Truck)]]</f>
        <v>43465</v>
      </c>
      <c r="AT131" s="67">
        <f t="shared" si="35"/>
        <v>43465</v>
      </c>
      <c r="AU131" s="73"/>
      <c r="AV131" s="73">
        <v>46</v>
      </c>
      <c r="AW131" s="73">
        <v>16</v>
      </c>
      <c r="AX131" s="73">
        <v>0</v>
      </c>
      <c r="AY131" s="71">
        <f t="shared" si="36"/>
        <v>62</v>
      </c>
      <c r="AZ131" s="70">
        <v>223</v>
      </c>
      <c r="BA131" s="73">
        <v>18</v>
      </c>
      <c r="BB131" s="73">
        <v>14</v>
      </c>
      <c r="BC131" s="63">
        <f t="shared" si="41"/>
        <v>255</v>
      </c>
      <c r="BD131" s="72">
        <f>SUM(Table22[[#This Row],[Good Kernel (gm)]]+(Table22[[#This Row],[Immature (gm)]]+Table22[[#This Row],[Spotted (gm)]])/2)*0.176</f>
        <v>42.064</v>
      </c>
      <c r="BE131" s="73">
        <v>42.15</v>
      </c>
      <c r="BF131" s="72">
        <f t="shared" si="42"/>
        <v>44.974350000000001</v>
      </c>
      <c r="BG131" s="72">
        <f t="shared" si="37"/>
        <v>53.08737</v>
      </c>
      <c r="BH131" s="72">
        <f>SUM(Table22[[#This Row],[Good Kernel (gm)]:[Spotted (gm)]])/1000*100</f>
        <v>25.5</v>
      </c>
      <c r="BI131" s="72">
        <f t="shared" si="38"/>
        <v>30.099999999999998</v>
      </c>
      <c r="BJ131" s="73">
        <v>11.2</v>
      </c>
      <c r="BK131" s="73">
        <v>182</v>
      </c>
      <c r="BL131" s="73">
        <v>677</v>
      </c>
      <c r="BM131" s="73">
        <v>45</v>
      </c>
      <c r="BN131" s="73"/>
      <c r="BO131" s="73">
        <v>17</v>
      </c>
      <c r="BP131" s="73">
        <v>0</v>
      </c>
      <c r="BQ131" s="71">
        <f t="shared" si="39"/>
        <v>62</v>
      </c>
      <c r="BR131" s="73">
        <v>224</v>
      </c>
      <c r="BS131" s="73">
        <v>18</v>
      </c>
      <c r="BT131" s="73">
        <v>16</v>
      </c>
      <c r="BU131" s="63">
        <f t="shared" si="43"/>
        <v>258</v>
      </c>
      <c r="BV131" s="72">
        <f>SUM(Table22[[#This Row],[Good Kernel (G M)]]+(Table22[[#This Row],[Immature (g m)]]+Table22[[#This Row],[Spotted (g m)]])/2)*0.176</f>
        <v>42.415999999999997</v>
      </c>
      <c r="BW131" s="73">
        <v>42.5</v>
      </c>
      <c r="BX131" s="73"/>
      <c r="BY131" s="72">
        <f t="shared" si="44"/>
        <v>45.503459999999997</v>
      </c>
      <c r="BZ131" s="72">
        <f t="shared" si="45"/>
        <v>53.440109999999997</v>
      </c>
      <c r="CA131" s="72">
        <f>SUM(Table22[[#This Row],[Good Kernel (G M)]:[Spotted (g m)]])/1000*100</f>
        <v>25.8</v>
      </c>
      <c r="CB131" s="72">
        <f>(Table22[[#This Row],[BROWNS/Rejection (gm) (NUT)]]+Table22[[#This Row],[OIL (g m)]]+Table22[[#This Row],[Good Kernel (G M)]]+Table22[[#This Row],[Immature (g m)]]+Table22[[#This Row],[Spotted (g m)]])/1000*100</f>
        <v>30.3</v>
      </c>
      <c r="CC131" s="73">
        <v>11.3</v>
      </c>
      <c r="CD131" s="73">
        <v>181</v>
      </c>
      <c r="CE131" s="73"/>
      <c r="CH131" s="184">
        <f ca="1">TODAY()-Table22[[#This Row],[Discharge Date]]</f>
        <v>124</v>
      </c>
    </row>
    <row r="132" spans="1:86" ht="14.4" x14ac:dyDescent="0.3">
      <c r="A132" s="50">
        <v>128</v>
      </c>
      <c r="B132" s="60" t="s">
        <v>95</v>
      </c>
      <c r="C132" s="60" t="s">
        <v>96</v>
      </c>
      <c r="D132" s="97">
        <v>128</v>
      </c>
      <c r="E132" s="73"/>
      <c r="F132" s="97">
        <v>629</v>
      </c>
      <c r="G132" s="73"/>
      <c r="H132" s="82"/>
      <c r="I132" s="82"/>
      <c r="J132" s="82"/>
      <c r="K132" s="82" t="s">
        <v>634</v>
      </c>
      <c r="L132" s="82"/>
      <c r="M132" s="100">
        <v>28912</v>
      </c>
      <c r="N132" s="100" t="s">
        <v>687</v>
      </c>
      <c r="O132" s="174" t="s">
        <v>227</v>
      </c>
      <c r="P132" s="97" t="s">
        <v>270</v>
      </c>
      <c r="Q132" s="101">
        <v>46131</v>
      </c>
      <c r="R132" s="102" t="s">
        <v>275</v>
      </c>
      <c r="S132" s="103" t="s">
        <v>276</v>
      </c>
      <c r="T132" s="102"/>
      <c r="U132" s="102"/>
      <c r="V132" s="73" t="s">
        <v>277</v>
      </c>
      <c r="W132" s="73">
        <v>454</v>
      </c>
      <c r="X132" s="73">
        <v>35</v>
      </c>
      <c r="Y132" s="51">
        <f t="shared" si="40"/>
        <v>489</v>
      </c>
      <c r="Z132" s="73"/>
      <c r="AA132" s="61">
        <f t="shared" si="49"/>
        <v>454</v>
      </c>
      <c r="AB132" s="51">
        <f t="shared" si="46"/>
        <v>0</v>
      </c>
      <c r="AC132" s="88">
        <f t="shared" si="56"/>
        <v>454</v>
      </c>
      <c r="AD132" s="63"/>
      <c r="AE132" s="63">
        <f t="shared" si="51"/>
        <v>35</v>
      </c>
      <c r="AF132" s="63">
        <v>12</v>
      </c>
      <c r="AG132" s="63"/>
      <c r="AH132" s="64">
        <f t="shared" si="52"/>
        <v>489</v>
      </c>
      <c r="AI132" s="73"/>
      <c r="AJ132" s="73"/>
      <c r="AK132" s="62">
        <f t="shared" si="53"/>
        <v>489</v>
      </c>
      <c r="AL132" s="62">
        <f t="shared" si="54"/>
        <v>489</v>
      </c>
      <c r="AM132" s="73">
        <v>42240</v>
      </c>
      <c r="AN132" s="124">
        <f t="shared" si="47"/>
        <v>629</v>
      </c>
      <c r="AO132" s="77">
        <f t="shared" si="55"/>
        <v>41751</v>
      </c>
      <c r="AP132" s="77">
        <f>AM132-AN132-140</f>
        <v>41471</v>
      </c>
      <c r="AQ132" s="77">
        <f>+AO132-AE132*8</f>
        <v>41471</v>
      </c>
      <c r="AR132" s="67">
        <f t="shared" si="34"/>
        <v>140</v>
      </c>
      <c r="AS132" s="134">
        <f>Table22[[#This Row],[GROSS WT]]-Table22[[#This Row],[Total Bag Discharged (Truck)]]</f>
        <v>41751</v>
      </c>
      <c r="AT132" s="67">
        <f t="shared" si="35"/>
        <v>41751</v>
      </c>
      <c r="AU132" s="73"/>
      <c r="AV132" s="73">
        <v>33</v>
      </c>
      <c r="AW132" s="73">
        <v>26</v>
      </c>
      <c r="AX132" s="73">
        <v>3</v>
      </c>
      <c r="AY132" s="71">
        <f t="shared" si="36"/>
        <v>62</v>
      </c>
      <c r="AZ132" s="70">
        <v>230</v>
      </c>
      <c r="BA132" s="73">
        <v>10</v>
      </c>
      <c r="BB132" s="73">
        <v>12</v>
      </c>
      <c r="BC132" s="63">
        <f t="shared" si="41"/>
        <v>252</v>
      </c>
      <c r="BD132" s="72">
        <f>SUM(Table22[[#This Row],[Good Kernel (gm)]]+(Table22[[#This Row],[Immature (gm)]]+Table22[[#This Row],[Spotted (gm)]])/2)*0.176</f>
        <v>42.415999999999997</v>
      </c>
      <c r="BE132" s="73">
        <v>42.5</v>
      </c>
      <c r="BF132" s="72">
        <f t="shared" si="42"/>
        <v>44.445239999999998</v>
      </c>
      <c r="BG132" s="72">
        <f t="shared" si="37"/>
        <v>50.794559999999997</v>
      </c>
      <c r="BH132" s="72">
        <f>SUM(Table22[[#This Row],[Good Kernel (gm)]:[Spotted (gm)]])/1000*100</f>
        <v>25.2</v>
      </c>
      <c r="BI132" s="72">
        <f t="shared" si="38"/>
        <v>28.799999999999997</v>
      </c>
      <c r="BJ132" s="73">
        <v>12.1</v>
      </c>
      <c r="BK132" s="73">
        <v>181</v>
      </c>
      <c r="BL132" s="73">
        <v>680</v>
      </c>
      <c r="BM132" s="73">
        <v>38</v>
      </c>
      <c r="BN132" s="73"/>
      <c r="BO132" s="73">
        <v>24</v>
      </c>
      <c r="BP132" s="73">
        <v>4</v>
      </c>
      <c r="BQ132" s="71">
        <f t="shared" si="39"/>
        <v>66</v>
      </c>
      <c r="BR132" s="73">
        <v>231</v>
      </c>
      <c r="BS132" s="73">
        <v>12</v>
      </c>
      <c r="BT132" s="73">
        <v>14</v>
      </c>
      <c r="BU132" s="63">
        <f t="shared" si="43"/>
        <v>257</v>
      </c>
      <c r="BV132" s="72">
        <f>SUM(Table22[[#This Row],[Good Kernel (G M)]]+(Table22[[#This Row],[Immature (g m)]]+Table22[[#This Row],[Spotted (g m)]])/2)*0.176</f>
        <v>42.943999999999996</v>
      </c>
      <c r="BW132" s="73">
        <v>43.03</v>
      </c>
      <c r="BX132" s="73"/>
      <c r="BY132" s="72">
        <f t="shared" si="44"/>
        <v>45.327089999999998</v>
      </c>
      <c r="BZ132" s="72">
        <f t="shared" si="45"/>
        <v>52.734630000000003</v>
      </c>
      <c r="CA132" s="72">
        <f>SUM(Table22[[#This Row],[Good Kernel (G M)]:[Spotted (g m)]])/1000*100</f>
        <v>25.7</v>
      </c>
      <c r="CB132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132" s="73">
        <v>11.9</v>
      </c>
      <c r="CD132" s="73">
        <v>183</v>
      </c>
      <c r="CE132" s="73">
        <v>670</v>
      </c>
      <c r="CH132" s="184">
        <f ca="1">TODAY()-Table22[[#This Row],[Discharge Date]]</f>
        <v>124</v>
      </c>
    </row>
    <row r="133" spans="1:86" ht="14.4" x14ac:dyDescent="0.3">
      <c r="A133" s="50">
        <v>129</v>
      </c>
      <c r="B133" s="60" t="s">
        <v>95</v>
      </c>
      <c r="C133" s="60" t="s">
        <v>96</v>
      </c>
      <c r="D133" s="97">
        <v>129</v>
      </c>
      <c r="E133" s="73"/>
      <c r="F133" s="97">
        <v>630</v>
      </c>
      <c r="G133" s="73"/>
      <c r="H133" s="82"/>
      <c r="I133" s="82"/>
      <c r="J133" s="82"/>
      <c r="K133" s="82" t="s">
        <v>634</v>
      </c>
      <c r="L133" s="82"/>
      <c r="M133" s="100">
        <v>35970</v>
      </c>
      <c r="N133" s="100" t="s">
        <v>686</v>
      </c>
      <c r="O133" s="174" t="s">
        <v>278</v>
      </c>
      <c r="P133" s="97" t="s">
        <v>279</v>
      </c>
      <c r="Q133" s="101">
        <v>46131</v>
      </c>
      <c r="R133" s="102" t="s">
        <v>228</v>
      </c>
      <c r="S133" s="103" t="s">
        <v>280</v>
      </c>
      <c r="T133" s="102"/>
      <c r="U133" s="102"/>
      <c r="V133" s="73" t="s">
        <v>281</v>
      </c>
      <c r="W133" s="73">
        <v>558</v>
      </c>
      <c r="X133" s="73">
        <v>12</v>
      </c>
      <c r="Y133" s="51">
        <f t="shared" si="40"/>
        <v>570</v>
      </c>
      <c r="Z133" s="73"/>
      <c r="AA133" s="61">
        <f t="shared" si="49"/>
        <v>558</v>
      </c>
      <c r="AB133" s="51">
        <f t="shared" si="46"/>
        <v>0</v>
      </c>
      <c r="AC133" s="88">
        <f t="shared" si="56"/>
        <v>558</v>
      </c>
      <c r="AD133" s="63"/>
      <c r="AE133" s="63">
        <f t="shared" si="51"/>
        <v>12</v>
      </c>
      <c r="AF133" s="63">
        <v>18</v>
      </c>
      <c r="AG133" s="63"/>
      <c r="AH133" s="64">
        <f t="shared" si="52"/>
        <v>570</v>
      </c>
      <c r="AI133" s="73"/>
      <c r="AJ133" s="73"/>
      <c r="AK133" s="62">
        <f t="shared" si="53"/>
        <v>570</v>
      </c>
      <c r="AL133" s="62">
        <f t="shared" si="54"/>
        <v>570</v>
      </c>
      <c r="AM133" s="73">
        <v>43970</v>
      </c>
      <c r="AN133" s="124">
        <f t="shared" si="47"/>
        <v>618</v>
      </c>
      <c r="AO133" s="77">
        <f t="shared" si="55"/>
        <v>43400</v>
      </c>
      <c r="AP133" s="77">
        <f t="shared" si="57"/>
        <v>43352</v>
      </c>
      <c r="AQ133" s="77">
        <f t="shared" si="48"/>
        <v>43352</v>
      </c>
      <c r="AR133" s="67">
        <f t="shared" ref="AR133:AR154" si="58">(AD133*40)+(AE133*4)+(AG133*0)</f>
        <v>48</v>
      </c>
      <c r="AS133" s="134">
        <f>Table22[[#This Row],[GROSS WT]]-Table22[[#This Row],[Total Bag Discharged (Truck)]]</f>
        <v>43400</v>
      </c>
      <c r="AT133" s="67">
        <f t="shared" ref="AT133:AT196" si="59">+AO133</f>
        <v>43400</v>
      </c>
      <c r="AU133" s="73"/>
      <c r="AV133" s="73">
        <v>32</v>
      </c>
      <c r="AW133" s="73">
        <v>22</v>
      </c>
      <c r="AX133" s="73">
        <v>4</v>
      </c>
      <c r="AY133" s="71">
        <f t="shared" ref="AY133:AY196" si="60">+AV133+AW133+AX133</f>
        <v>58</v>
      </c>
      <c r="AZ133" s="70">
        <v>218</v>
      </c>
      <c r="BA133" s="73">
        <v>15</v>
      </c>
      <c r="BB133" s="73">
        <v>24</v>
      </c>
      <c r="BC133" s="63">
        <f t="shared" si="41"/>
        <v>257</v>
      </c>
      <c r="BD133" s="72">
        <f>SUM(Table22[[#This Row],[Good Kernel (gm)]]+(Table22[[#This Row],[Immature (gm)]]+Table22[[#This Row],[Spotted (gm)]])/2)*0.176</f>
        <v>41.8</v>
      </c>
      <c r="BE133" s="73">
        <v>41.88</v>
      </c>
      <c r="BF133" s="72">
        <f t="shared" si="42"/>
        <v>45.327089999999998</v>
      </c>
      <c r="BG133" s="72">
        <f t="shared" ref="BG133:BG196" si="61">+((AX133+AV133+AZ133+BA133+BB133))*0.17637</f>
        <v>51.676409999999997</v>
      </c>
      <c r="BH133" s="72">
        <f>SUM(Table22[[#This Row],[Good Kernel (gm)]:[Spotted (gm)]])/1000*100</f>
        <v>25.7</v>
      </c>
      <c r="BI133" s="72">
        <f t="shared" ref="BI133:BI196" si="62">SUM(AV133,AX133,AZ133:BB133)/1000*100</f>
        <v>29.299999999999997</v>
      </c>
      <c r="BJ133" s="73">
        <v>10.6</v>
      </c>
      <c r="BK133" s="73">
        <v>189</v>
      </c>
      <c r="BL133" s="73">
        <v>679</v>
      </c>
      <c r="BM133" s="73">
        <v>39</v>
      </c>
      <c r="BN133" s="73"/>
      <c r="BO133" s="73">
        <v>21</v>
      </c>
      <c r="BP133" s="73">
        <v>2</v>
      </c>
      <c r="BQ133" s="71">
        <f t="shared" ref="BQ133:BQ196" si="63">+BM133+BO133+BP133</f>
        <v>62</v>
      </c>
      <c r="BR133" s="73">
        <v>228</v>
      </c>
      <c r="BS133" s="73">
        <v>10</v>
      </c>
      <c r="BT133" s="73">
        <v>16</v>
      </c>
      <c r="BU133" s="63">
        <f t="shared" si="43"/>
        <v>254</v>
      </c>
      <c r="BV133" s="72">
        <f>SUM(Table22[[#This Row],[Good Kernel (G M)]]+(Table22[[#This Row],[Immature (g m)]]+Table22[[#This Row],[Spotted (g m)]])/2)*0.176</f>
        <v>42.415999999999997</v>
      </c>
      <c r="BW133" s="73">
        <v>42.23</v>
      </c>
      <c r="BX133" s="73"/>
      <c r="BY133" s="72">
        <f t="shared" si="44"/>
        <v>44.797980000000003</v>
      </c>
      <c r="BZ133" s="72">
        <f t="shared" si="45"/>
        <v>52.029150000000001</v>
      </c>
      <c r="CA133" s="72">
        <f>SUM(Table22[[#This Row],[Good Kernel (G M)]:[Spotted (g m)]])/1000*100</f>
        <v>25.4</v>
      </c>
      <c r="CB133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33" s="73">
        <v>11.2</v>
      </c>
      <c r="CD133" s="73">
        <v>184</v>
      </c>
      <c r="CE133" s="73">
        <v>687</v>
      </c>
      <c r="CH133" s="184">
        <f ca="1">TODAY()-Table22[[#This Row],[Discharge Date]]</f>
        <v>124</v>
      </c>
    </row>
    <row r="134" spans="1:86" ht="14.4" x14ac:dyDescent="0.3">
      <c r="A134" s="50">
        <v>130</v>
      </c>
      <c r="B134" s="60" t="s">
        <v>95</v>
      </c>
      <c r="C134" s="60" t="s">
        <v>96</v>
      </c>
      <c r="D134" s="53">
        <v>130</v>
      </c>
      <c r="E134" s="73"/>
      <c r="F134" s="97">
        <v>631</v>
      </c>
      <c r="G134" s="73"/>
      <c r="H134" s="82"/>
      <c r="I134" s="82"/>
      <c r="J134" s="82"/>
      <c r="K134" s="82" t="s">
        <v>634</v>
      </c>
      <c r="L134" s="82"/>
      <c r="M134" s="100">
        <v>84903</v>
      </c>
      <c r="N134" s="100" t="s">
        <v>686</v>
      </c>
      <c r="O134" s="174" t="s">
        <v>282</v>
      </c>
      <c r="P134" s="97" t="s">
        <v>259</v>
      </c>
      <c r="Q134" s="101">
        <v>46131</v>
      </c>
      <c r="R134" s="102" t="s">
        <v>204</v>
      </c>
      <c r="S134" s="103" t="s">
        <v>205</v>
      </c>
      <c r="T134" s="102"/>
      <c r="U134" s="102"/>
      <c r="V134" s="73" t="s">
        <v>206</v>
      </c>
      <c r="W134" s="73">
        <v>500</v>
      </c>
      <c r="X134" s="73">
        <v>20</v>
      </c>
      <c r="Y134" s="51">
        <f t="shared" ref="Y134:Y170" si="64">W134+X134</f>
        <v>520</v>
      </c>
      <c r="Z134" s="73"/>
      <c r="AA134" s="61">
        <f t="shared" si="49"/>
        <v>500</v>
      </c>
      <c r="AB134" s="51">
        <f t="shared" si="46"/>
        <v>0</v>
      </c>
      <c r="AC134" s="88">
        <f t="shared" si="56"/>
        <v>500</v>
      </c>
      <c r="AD134" s="63"/>
      <c r="AE134" s="63">
        <f t="shared" si="51"/>
        <v>20</v>
      </c>
      <c r="AF134" s="63">
        <v>19</v>
      </c>
      <c r="AG134" s="63"/>
      <c r="AH134" s="64">
        <f t="shared" si="52"/>
        <v>520</v>
      </c>
      <c r="AI134" s="73"/>
      <c r="AJ134" s="73"/>
      <c r="AK134" s="62">
        <f t="shared" si="53"/>
        <v>520</v>
      </c>
      <c r="AL134" s="62">
        <f t="shared" si="54"/>
        <v>520</v>
      </c>
      <c r="AM134" s="73">
        <v>40460</v>
      </c>
      <c r="AN134" s="124">
        <f t="shared" si="47"/>
        <v>600</v>
      </c>
      <c r="AO134" s="77">
        <f t="shared" si="55"/>
        <v>39940</v>
      </c>
      <c r="AP134" s="77">
        <f>AM134-AN134-80</f>
        <v>39780</v>
      </c>
      <c r="AQ134" s="77">
        <f>+AO134-AE134*8</f>
        <v>39780</v>
      </c>
      <c r="AR134" s="67">
        <f t="shared" si="58"/>
        <v>80</v>
      </c>
      <c r="AS134" s="134">
        <f>Table22[[#This Row],[GROSS WT]]-Table22[[#This Row],[Total Bag Discharged (Truck)]]</f>
        <v>39940</v>
      </c>
      <c r="AT134" s="67">
        <f t="shared" si="59"/>
        <v>39940</v>
      </c>
      <c r="AU134" s="73"/>
      <c r="AV134" s="73">
        <v>21</v>
      </c>
      <c r="AW134" s="73">
        <v>38</v>
      </c>
      <c r="AX134" s="73">
        <v>3</v>
      </c>
      <c r="AY134" s="71">
        <f t="shared" si="60"/>
        <v>62</v>
      </c>
      <c r="AZ134" s="70">
        <v>227</v>
      </c>
      <c r="BA134" s="73">
        <v>14</v>
      </c>
      <c r="BB134" s="73">
        <v>11</v>
      </c>
      <c r="BC134" s="63">
        <f t="shared" ref="BC134:BC197" si="65">+AZ134+BA134+BB134</f>
        <v>252</v>
      </c>
      <c r="BD134" s="72">
        <f>SUM(Table22[[#This Row],[Good Kernel (gm)]]+(Table22[[#This Row],[Immature (gm)]]+Table22[[#This Row],[Spotted (gm)]])/2)*0.176</f>
        <v>42.152000000000001</v>
      </c>
      <c r="BE134" s="73">
        <v>42.24</v>
      </c>
      <c r="BF134" s="72">
        <f t="shared" ref="BF134:BF197" si="66">(AZ134+BA134+BB134)*0.17637</f>
        <v>44.445239999999998</v>
      </c>
      <c r="BG134" s="72">
        <f t="shared" si="61"/>
        <v>48.67812</v>
      </c>
      <c r="BH134" s="72">
        <f>SUM(Table22[[#This Row],[Good Kernel (gm)]:[Spotted (gm)]])/1000*100</f>
        <v>25.2</v>
      </c>
      <c r="BI134" s="72">
        <f t="shared" si="62"/>
        <v>27.6</v>
      </c>
      <c r="BJ134" s="73">
        <v>11.4</v>
      </c>
      <c r="BK134" s="73">
        <v>171</v>
      </c>
      <c r="BL134" s="73">
        <v>680</v>
      </c>
      <c r="BM134" s="73">
        <v>33</v>
      </c>
      <c r="BN134" s="73"/>
      <c r="BO134" s="73">
        <v>29</v>
      </c>
      <c r="BP134" s="73">
        <v>4</v>
      </c>
      <c r="BQ134" s="71">
        <f t="shared" si="63"/>
        <v>66</v>
      </c>
      <c r="BR134" s="73">
        <v>230</v>
      </c>
      <c r="BS134" s="73">
        <v>13</v>
      </c>
      <c r="BT134" s="73">
        <v>11</v>
      </c>
      <c r="BU134" s="63">
        <f t="shared" ref="BU134:BU198" si="67">+BR134+BS134+BT134</f>
        <v>254</v>
      </c>
      <c r="BV134" s="72">
        <f>SUM(Table22[[#This Row],[Good Kernel (G M)]]+(Table22[[#This Row],[Immature (g m)]]+Table22[[#This Row],[Spotted (g m)]])/2)*0.176</f>
        <v>42.591999999999999</v>
      </c>
      <c r="BW134" s="73">
        <v>42.68</v>
      </c>
      <c r="BX134" s="73"/>
      <c r="BY134" s="72">
        <f t="shared" ref="BY134:BY198" si="68">(BR134+BS134+BT134)*0.17637</f>
        <v>44.797980000000003</v>
      </c>
      <c r="BZ134" s="72">
        <f t="shared" ref="BZ134:BZ197" si="69">+((BP134+BM134+BR134+BS134+BT134))*0.17637</f>
        <v>51.32367</v>
      </c>
      <c r="CA134" s="72">
        <f>SUM(Table22[[#This Row],[Good Kernel (G M)]:[Spotted (g m)]])/1000*100</f>
        <v>25.4</v>
      </c>
      <c r="CB134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34" s="73">
        <v>10.7</v>
      </c>
      <c r="CD134" s="73">
        <v>173</v>
      </c>
      <c r="CE134" s="73">
        <v>674</v>
      </c>
      <c r="CH134" s="184">
        <f ca="1">TODAY()-Table22[[#This Row],[Discharge Date]]</f>
        <v>124</v>
      </c>
    </row>
    <row r="135" spans="1:86" x14ac:dyDescent="0.25">
      <c r="A135" s="50">
        <v>131</v>
      </c>
      <c r="B135" s="60" t="s">
        <v>95</v>
      </c>
      <c r="C135" s="60" t="s">
        <v>96</v>
      </c>
      <c r="D135" s="97">
        <v>131</v>
      </c>
      <c r="E135" s="73"/>
      <c r="F135" s="97">
        <v>632</v>
      </c>
      <c r="G135" s="73"/>
      <c r="H135" s="82"/>
      <c r="I135" s="82"/>
      <c r="J135" s="82"/>
      <c r="K135" s="82" t="s">
        <v>634</v>
      </c>
      <c r="L135" s="82"/>
      <c r="M135" s="100">
        <v>78878</v>
      </c>
      <c r="N135" s="100" t="s">
        <v>687</v>
      </c>
      <c r="O135" s="73" t="s">
        <v>283</v>
      </c>
      <c r="P135" s="97" t="s">
        <v>259</v>
      </c>
      <c r="Q135" s="101">
        <v>46132</v>
      </c>
      <c r="R135" s="102" t="s">
        <v>100</v>
      </c>
      <c r="S135" s="59" t="s">
        <v>101</v>
      </c>
      <c r="T135" s="102"/>
      <c r="U135" s="102"/>
      <c r="V135" s="51" t="s">
        <v>102</v>
      </c>
      <c r="W135" s="73">
        <v>452</v>
      </c>
      <c r="X135" s="73">
        <v>26</v>
      </c>
      <c r="Y135" s="51">
        <f t="shared" si="64"/>
        <v>478</v>
      </c>
      <c r="Z135" s="73"/>
      <c r="AA135" s="61">
        <f t="shared" si="49"/>
        <v>452</v>
      </c>
      <c r="AB135" s="51">
        <f t="shared" ref="AB135:AB198" si="70">Z135</f>
        <v>0</v>
      </c>
      <c r="AC135" s="88">
        <f t="shared" si="56"/>
        <v>452</v>
      </c>
      <c r="AD135" s="63"/>
      <c r="AE135" s="63">
        <f t="shared" si="51"/>
        <v>26</v>
      </c>
      <c r="AF135" s="63">
        <v>22</v>
      </c>
      <c r="AG135" s="63"/>
      <c r="AH135" s="64">
        <f t="shared" si="52"/>
        <v>478</v>
      </c>
      <c r="AI135" s="73"/>
      <c r="AJ135" s="73"/>
      <c r="AK135" s="62">
        <f t="shared" si="53"/>
        <v>478</v>
      </c>
      <c r="AL135" s="62">
        <f t="shared" si="54"/>
        <v>478</v>
      </c>
      <c r="AM135" s="73">
        <v>42180</v>
      </c>
      <c r="AN135" s="124">
        <f t="shared" si="47"/>
        <v>582</v>
      </c>
      <c r="AO135" s="77">
        <f t="shared" si="55"/>
        <v>41702</v>
      </c>
      <c r="AP135" s="77">
        <f>AM135-AN135-104</f>
        <v>41494</v>
      </c>
      <c r="AQ135" s="77">
        <f>+AO135-AE135*8</f>
        <v>41494</v>
      </c>
      <c r="AR135" s="67">
        <f t="shared" si="58"/>
        <v>104</v>
      </c>
      <c r="AS135" s="134">
        <f>Table22[[#This Row],[GROSS WT]]-Table22[[#This Row],[Total Bag Discharged (Truck)]]</f>
        <v>41702</v>
      </c>
      <c r="AT135" s="67">
        <f t="shared" si="59"/>
        <v>41702</v>
      </c>
      <c r="AU135" s="73"/>
      <c r="AV135" s="73">
        <v>38</v>
      </c>
      <c r="AW135" s="73">
        <v>21</v>
      </c>
      <c r="AX135" s="73">
        <v>0</v>
      </c>
      <c r="AY135" s="71">
        <f t="shared" si="60"/>
        <v>59</v>
      </c>
      <c r="AZ135" s="70">
        <v>233</v>
      </c>
      <c r="BA135" s="73">
        <v>13</v>
      </c>
      <c r="BB135" s="73">
        <v>8</v>
      </c>
      <c r="BC135" s="63">
        <f t="shared" si="65"/>
        <v>254</v>
      </c>
      <c r="BD135" s="72">
        <f>SUM(Table22[[#This Row],[Good Kernel (gm)]]+(Table22[[#This Row],[Immature (gm)]]+Table22[[#This Row],[Spotted (gm)]])/2)*0.176</f>
        <v>42.855999999999995</v>
      </c>
      <c r="BE135" s="73">
        <v>42.94</v>
      </c>
      <c r="BF135" s="72">
        <f t="shared" si="66"/>
        <v>44.797980000000003</v>
      </c>
      <c r="BG135" s="72">
        <f t="shared" si="61"/>
        <v>51.500039999999998</v>
      </c>
      <c r="BH135" s="72">
        <f>SUM(Table22[[#This Row],[Good Kernel (gm)]:[Spotted (gm)]])/1000*100</f>
        <v>25.4</v>
      </c>
      <c r="BI135" s="72">
        <f t="shared" si="62"/>
        <v>29.2</v>
      </c>
      <c r="BJ135" s="73">
        <v>12</v>
      </c>
      <c r="BK135" s="73">
        <v>188</v>
      </c>
      <c r="BL135" s="73">
        <v>681</v>
      </c>
      <c r="BM135" s="73">
        <v>49</v>
      </c>
      <c r="BN135" s="73"/>
      <c r="BO135" s="73">
        <v>13</v>
      </c>
      <c r="BP135" s="73">
        <v>0</v>
      </c>
      <c r="BQ135" s="71">
        <f t="shared" si="63"/>
        <v>62</v>
      </c>
      <c r="BR135" s="73">
        <v>234</v>
      </c>
      <c r="BS135" s="73">
        <v>15</v>
      </c>
      <c r="BT135" s="73">
        <v>6</v>
      </c>
      <c r="BU135" s="63">
        <f t="shared" si="67"/>
        <v>255</v>
      </c>
      <c r="BV135" s="72">
        <f>SUM(Table22[[#This Row],[Good Kernel (G M)]]+(Table22[[#This Row],[Immature (g m)]]+Table22[[#This Row],[Spotted (g m)]])/2)*0.176</f>
        <v>43.031999999999996</v>
      </c>
      <c r="BW135" s="73">
        <v>43.12</v>
      </c>
      <c r="BX135" s="73"/>
      <c r="BY135" s="72">
        <f t="shared" si="68"/>
        <v>44.974350000000001</v>
      </c>
      <c r="BZ135" s="72">
        <f t="shared" si="69"/>
        <v>53.616480000000003</v>
      </c>
      <c r="CA135" s="72">
        <f>SUM(Table22[[#This Row],[Good Kernel (G M)]:[Spotted (g m)]])/1000*100</f>
        <v>25.5</v>
      </c>
      <c r="CB135" s="72">
        <f>(Table22[[#This Row],[BROWNS/Rejection (gm) (NUT)]]+Table22[[#This Row],[OIL (g m)]]+Table22[[#This Row],[Good Kernel (G M)]]+Table22[[#This Row],[Immature (g m)]]+Table22[[#This Row],[Spotted (g m)]])/1000*100</f>
        <v>30.4</v>
      </c>
      <c r="CC135" s="73">
        <v>12.2</v>
      </c>
      <c r="CD135" s="73">
        <v>183</v>
      </c>
      <c r="CE135" s="73">
        <v>677</v>
      </c>
      <c r="CH135" s="184">
        <f ca="1">TODAY()-Table22[[#This Row],[Discharge Date]]</f>
        <v>123</v>
      </c>
    </row>
    <row r="136" spans="1:86" x14ac:dyDescent="0.25">
      <c r="A136" s="50">
        <v>132</v>
      </c>
      <c r="B136" s="60" t="s">
        <v>95</v>
      </c>
      <c r="C136" s="60" t="s">
        <v>96</v>
      </c>
      <c r="D136" s="97">
        <v>132</v>
      </c>
      <c r="E136" s="73"/>
      <c r="F136" s="97">
        <v>633</v>
      </c>
      <c r="G136" s="73"/>
      <c r="H136" s="82"/>
      <c r="I136" s="82"/>
      <c r="J136" s="82"/>
      <c r="K136" s="82" t="s">
        <v>634</v>
      </c>
      <c r="L136" s="82"/>
      <c r="M136" s="100">
        <v>13213</v>
      </c>
      <c r="N136" s="100" t="s">
        <v>686</v>
      </c>
      <c r="O136" s="73" t="s">
        <v>284</v>
      </c>
      <c r="P136" s="97" t="s">
        <v>254</v>
      </c>
      <c r="Q136" s="101">
        <v>46132</v>
      </c>
      <c r="R136" s="102" t="s">
        <v>285</v>
      </c>
      <c r="S136" s="103" t="s">
        <v>286</v>
      </c>
      <c r="T136" s="102" t="s">
        <v>198</v>
      </c>
      <c r="U136" s="102"/>
      <c r="V136" s="73" t="s">
        <v>199</v>
      </c>
      <c r="W136" s="73">
        <v>473</v>
      </c>
      <c r="X136" s="73">
        <v>20</v>
      </c>
      <c r="Y136" s="51">
        <f t="shared" si="64"/>
        <v>493</v>
      </c>
      <c r="Z136" s="73"/>
      <c r="AA136" s="61">
        <f t="shared" si="49"/>
        <v>473</v>
      </c>
      <c r="AB136" s="51">
        <f t="shared" si="70"/>
        <v>0</v>
      </c>
      <c r="AC136" s="88">
        <f t="shared" si="56"/>
        <v>473</v>
      </c>
      <c r="AD136" s="63"/>
      <c r="AE136" s="63">
        <f t="shared" si="51"/>
        <v>20</v>
      </c>
      <c r="AF136" s="63">
        <v>42</v>
      </c>
      <c r="AG136" s="63"/>
      <c r="AH136" s="64">
        <f t="shared" si="52"/>
        <v>493</v>
      </c>
      <c r="AI136" s="73"/>
      <c r="AJ136" s="73"/>
      <c r="AK136" s="62">
        <f t="shared" si="53"/>
        <v>493</v>
      </c>
      <c r="AL136" s="62">
        <f t="shared" si="54"/>
        <v>493</v>
      </c>
      <c r="AM136" s="73">
        <v>40850</v>
      </c>
      <c r="AN136" s="124">
        <f t="shared" si="47"/>
        <v>573</v>
      </c>
      <c r="AO136" s="77">
        <f t="shared" si="55"/>
        <v>40357</v>
      </c>
      <c r="AP136" s="77">
        <f>AM136-AN136-80</f>
        <v>40197</v>
      </c>
      <c r="AQ136" s="77">
        <f>+AO136-AE136*8</f>
        <v>40197</v>
      </c>
      <c r="AR136" s="67">
        <f t="shared" si="58"/>
        <v>80</v>
      </c>
      <c r="AS136" s="134">
        <f>Table22[[#This Row],[GROSS WT]]-Table22[[#This Row],[Total Bag Discharged (Truck)]]</f>
        <v>40357</v>
      </c>
      <c r="AT136" s="67">
        <f t="shared" si="59"/>
        <v>40357</v>
      </c>
      <c r="AU136" s="73"/>
      <c r="AV136" s="73">
        <v>20</v>
      </c>
      <c r="AW136" s="73">
        <v>45</v>
      </c>
      <c r="AX136" s="73">
        <v>0</v>
      </c>
      <c r="AY136" s="71">
        <f t="shared" si="60"/>
        <v>65</v>
      </c>
      <c r="AZ136" s="70">
        <v>219</v>
      </c>
      <c r="BA136" s="73">
        <v>16</v>
      </c>
      <c r="BB136" s="73">
        <v>21</v>
      </c>
      <c r="BC136" s="63">
        <f t="shared" si="65"/>
        <v>256</v>
      </c>
      <c r="BD136" s="72">
        <f>SUM(Table22[[#This Row],[Good Kernel (gm)]]+(Table22[[#This Row],[Immature (gm)]]+Table22[[#This Row],[Spotted (gm)]])/2)*0.176</f>
        <v>41.8</v>
      </c>
      <c r="BE136" s="73">
        <v>41.88</v>
      </c>
      <c r="BF136" s="72">
        <f t="shared" si="66"/>
        <v>45.15072</v>
      </c>
      <c r="BG136" s="72">
        <f t="shared" si="61"/>
        <v>48.67812</v>
      </c>
      <c r="BH136" s="72">
        <f>SUM(Table22[[#This Row],[Good Kernel (gm)]:[Spotted (gm)]])/1000*100</f>
        <v>25.6</v>
      </c>
      <c r="BI136" s="72">
        <f t="shared" si="62"/>
        <v>27.6</v>
      </c>
      <c r="BJ136" s="73">
        <v>13.4</v>
      </c>
      <c r="BK136" s="73">
        <v>1777</v>
      </c>
      <c r="BL136" s="73">
        <v>672</v>
      </c>
      <c r="BM136" s="73">
        <v>41</v>
      </c>
      <c r="BN136" s="73"/>
      <c r="BO136" s="73">
        <v>27</v>
      </c>
      <c r="BP136" s="73">
        <v>0</v>
      </c>
      <c r="BQ136" s="71">
        <f t="shared" si="63"/>
        <v>68</v>
      </c>
      <c r="BR136" s="73">
        <v>226</v>
      </c>
      <c r="BS136" s="73">
        <v>14</v>
      </c>
      <c r="BT136" s="73">
        <v>13</v>
      </c>
      <c r="BU136" s="63">
        <f t="shared" si="67"/>
        <v>253</v>
      </c>
      <c r="BV136" s="72">
        <f>SUM(Table22[[#This Row],[Good Kernel (G M)]]+(Table22[[#This Row],[Immature (g m)]]+Table22[[#This Row],[Spotted (g m)]])/2)*0.176</f>
        <v>42.152000000000001</v>
      </c>
      <c r="BW136" s="73">
        <v>42.06</v>
      </c>
      <c r="BX136" s="73"/>
      <c r="BY136" s="72">
        <f t="shared" si="68"/>
        <v>44.621609999999997</v>
      </c>
      <c r="BZ136" s="72">
        <f t="shared" si="69"/>
        <v>51.852780000000003</v>
      </c>
      <c r="CA136" s="72">
        <f>SUM(Table22[[#This Row],[Good Kernel (G M)]:[Spotted (g m)]])/1000*100</f>
        <v>25.3</v>
      </c>
      <c r="CB136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36" s="73">
        <v>10.199999999999999</v>
      </c>
      <c r="CD136" s="73">
        <v>189</v>
      </c>
      <c r="CE136" s="73"/>
      <c r="CF136" s="128"/>
      <c r="CH136" s="184">
        <f ca="1">TODAY()-Table22[[#This Row],[Discharge Date]]</f>
        <v>123</v>
      </c>
    </row>
    <row r="137" spans="1:86" x14ac:dyDescent="0.25">
      <c r="A137" s="50">
        <v>133</v>
      </c>
      <c r="B137" s="60" t="s">
        <v>95</v>
      </c>
      <c r="C137" s="60" t="s">
        <v>96</v>
      </c>
      <c r="D137" s="53">
        <v>133</v>
      </c>
      <c r="E137" s="73"/>
      <c r="F137" s="97">
        <v>634</v>
      </c>
      <c r="G137" s="73"/>
      <c r="H137" s="82"/>
      <c r="I137" s="82"/>
      <c r="J137" s="82"/>
      <c r="K137" s="82" t="s">
        <v>634</v>
      </c>
      <c r="L137" s="82"/>
      <c r="M137" s="100">
        <v>30272</v>
      </c>
      <c r="N137" s="100" t="s">
        <v>688</v>
      </c>
      <c r="O137" s="73" t="s">
        <v>266</v>
      </c>
      <c r="P137" s="97" t="s">
        <v>287</v>
      </c>
      <c r="Q137" s="101">
        <v>46132</v>
      </c>
      <c r="R137" s="102" t="s">
        <v>100</v>
      </c>
      <c r="S137" s="102" t="s">
        <v>219</v>
      </c>
      <c r="T137" s="102"/>
      <c r="U137" s="102" t="s">
        <v>220</v>
      </c>
      <c r="V137" s="73" t="s">
        <v>221</v>
      </c>
      <c r="W137" s="73">
        <v>508</v>
      </c>
      <c r="X137" s="73">
        <v>10</v>
      </c>
      <c r="Y137" s="51">
        <f t="shared" si="64"/>
        <v>518</v>
      </c>
      <c r="Z137" s="73"/>
      <c r="AA137" s="61">
        <f t="shared" si="49"/>
        <v>508</v>
      </c>
      <c r="AB137" s="51">
        <f t="shared" si="70"/>
        <v>0</v>
      </c>
      <c r="AC137" s="88">
        <f t="shared" si="56"/>
        <v>508</v>
      </c>
      <c r="AD137" s="63"/>
      <c r="AE137" s="63">
        <f t="shared" si="51"/>
        <v>10</v>
      </c>
      <c r="AF137" s="63">
        <v>18</v>
      </c>
      <c r="AG137" s="63"/>
      <c r="AH137" s="64">
        <f t="shared" si="52"/>
        <v>518</v>
      </c>
      <c r="AI137" s="73"/>
      <c r="AJ137" s="73"/>
      <c r="AK137" s="62">
        <f t="shared" si="53"/>
        <v>518</v>
      </c>
      <c r="AL137" s="62">
        <f t="shared" si="54"/>
        <v>518</v>
      </c>
      <c r="AM137" s="73">
        <v>45460</v>
      </c>
      <c r="AN137" s="124">
        <f t="shared" si="47"/>
        <v>558</v>
      </c>
      <c r="AO137" s="77">
        <f t="shared" si="55"/>
        <v>44942</v>
      </c>
      <c r="AP137" s="77">
        <f t="shared" si="57"/>
        <v>44902</v>
      </c>
      <c r="AQ137" s="77">
        <f t="shared" si="48"/>
        <v>44902</v>
      </c>
      <c r="AR137" s="67">
        <f t="shared" si="58"/>
        <v>40</v>
      </c>
      <c r="AS137" s="134">
        <f>Table22[[#This Row],[GROSS WT]]-Table22[[#This Row],[Total Bag Discharged (Truck)]]</f>
        <v>44942</v>
      </c>
      <c r="AT137" s="67">
        <f t="shared" si="59"/>
        <v>44942</v>
      </c>
      <c r="AU137" s="73"/>
      <c r="AV137" s="73">
        <v>32</v>
      </c>
      <c r="AW137" s="73">
        <v>47</v>
      </c>
      <c r="AX137" s="73">
        <v>2</v>
      </c>
      <c r="AY137" s="71">
        <f t="shared" si="60"/>
        <v>81</v>
      </c>
      <c r="AZ137" s="70">
        <v>227</v>
      </c>
      <c r="BA137" s="73">
        <v>12</v>
      </c>
      <c r="BB137" s="73">
        <v>11</v>
      </c>
      <c r="BC137" s="63">
        <f t="shared" si="65"/>
        <v>250</v>
      </c>
      <c r="BD137" s="72">
        <f>SUM(Table22[[#This Row],[Good Kernel (gm)]]+(Table22[[#This Row],[Immature (gm)]]+Table22[[#This Row],[Spotted (gm)]])/2)*0.176</f>
        <v>41.975999999999999</v>
      </c>
      <c r="BE137" s="73">
        <v>42.06</v>
      </c>
      <c r="BF137" s="72">
        <f t="shared" si="66"/>
        <v>44.092500000000001</v>
      </c>
      <c r="BG137" s="72">
        <f t="shared" si="61"/>
        <v>50.089080000000003</v>
      </c>
      <c r="BH137" s="72">
        <f>SUM(Table22[[#This Row],[Good Kernel (gm)]:[Spotted (gm)]])/1000*100</f>
        <v>25</v>
      </c>
      <c r="BI137" s="72">
        <f t="shared" si="62"/>
        <v>28.4</v>
      </c>
      <c r="BJ137" s="73">
        <v>10.1</v>
      </c>
      <c r="BK137" s="73">
        <v>186</v>
      </c>
      <c r="BL137" s="73">
        <v>663</v>
      </c>
      <c r="BM137" s="73">
        <v>41</v>
      </c>
      <c r="BN137" s="73"/>
      <c r="BO137" s="73">
        <v>27</v>
      </c>
      <c r="BP137" s="73">
        <v>0</v>
      </c>
      <c r="BQ137" s="71">
        <f t="shared" si="63"/>
        <v>68</v>
      </c>
      <c r="BR137" s="73">
        <v>226</v>
      </c>
      <c r="BS137" s="73">
        <v>14</v>
      </c>
      <c r="BT137" s="73">
        <v>13</v>
      </c>
      <c r="BU137" s="63">
        <f t="shared" si="67"/>
        <v>253</v>
      </c>
      <c r="BV137" s="72">
        <f>SUM(Table22[[#This Row],[Good Kernel (G M)]]+(Table22[[#This Row],[Immature (g m)]]+Table22[[#This Row],[Spotted (g m)]])/2)*0.176</f>
        <v>42.152000000000001</v>
      </c>
      <c r="BW137" s="73">
        <v>42.06</v>
      </c>
      <c r="BX137" s="73"/>
      <c r="BY137" s="72">
        <f t="shared" si="68"/>
        <v>44.621609999999997</v>
      </c>
      <c r="BZ137" s="72">
        <f t="shared" si="69"/>
        <v>51.852780000000003</v>
      </c>
      <c r="CA137" s="72">
        <f>SUM(Table22[[#This Row],[Good Kernel (G M)]:[Spotted (g m)]])/1000*100</f>
        <v>25.3</v>
      </c>
      <c r="CB137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37" s="73">
        <v>10.199999999999999</v>
      </c>
      <c r="CD137" s="73">
        <v>189</v>
      </c>
      <c r="CE137" s="73"/>
      <c r="CF137" s="128"/>
      <c r="CH137" s="184">
        <f ca="1">TODAY()-Table22[[#This Row],[Discharge Date]]</f>
        <v>123</v>
      </c>
    </row>
    <row r="138" spans="1:86" x14ac:dyDescent="0.25">
      <c r="A138" s="50">
        <v>134</v>
      </c>
      <c r="B138" s="60" t="s">
        <v>95</v>
      </c>
      <c r="C138" s="60" t="s">
        <v>96</v>
      </c>
      <c r="D138" s="97">
        <v>134</v>
      </c>
      <c r="E138" s="73"/>
      <c r="F138" s="97">
        <v>635</v>
      </c>
      <c r="G138" s="73"/>
      <c r="H138" s="82"/>
      <c r="I138" s="82"/>
      <c r="J138" s="82"/>
      <c r="K138" s="82" t="s">
        <v>636</v>
      </c>
      <c r="L138" s="82"/>
      <c r="M138" s="100">
        <v>89240</v>
      </c>
      <c r="N138" s="100" t="s">
        <v>686</v>
      </c>
      <c r="O138" s="73" t="s">
        <v>288</v>
      </c>
      <c r="P138" s="97" t="s">
        <v>270</v>
      </c>
      <c r="Q138" s="101">
        <v>46132</v>
      </c>
      <c r="R138" s="102" t="s">
        <v>230</v>
      </c>
      <c r="S138" s="103" t="s">
        <v>231</v>
      </c>
      <c r="T138" s="102" t="s">
        <v>198</v>
      </c>
      <c r="U138" s="102"/>
      <c r="V138" s="73" t="s">
        <v>199</v>
      </c>
      <c r="W138" s="73">
        <v>458</v>
      </c>
      <c r="X138" s="73">
        <v>30</v>
      </c>
      <c r="Y138" s="51">
        <f t="shared" si="64"/>
        <v>488</v>
      </c>
      <c r="Z138" s="73"/>
      <c r="AA138" s="61">
        <f t="shared" si="49"/>
        <v>458</v>
      </c>
      <c r="AB138" s="51">
        <f t="shared" si="70"/>
        <v>0</v>
      </c>
      <c r="AC138" s="88">
        <f t="shared" si="56"/>
        <v>458</v>
      </c>
      <c r="AD138" s="63"/>
      <c r="AE138" s="63">
        <f t="shared" si="51"/>
        <v>30</v>
      </c>
      <c r="AF138" s="63">
        <v>38</v>
      </c>
      <c r="AG138" s="63"/>
      <c r="AH138" s="64">
        <f t="shared" si="52"/>
        <v>488</v>
      </c>
      <c r="AI138" s="73"/>
      <c r="AJ138" s="73"/>
      <c r="AK138" s="62">
        <f t="shared" si="53"/>
        <v>488</v>
      </c>
      <c r="AL138" s="62">
        <f t="shared" si="54"/>
        <v>488</v>
      </c>
      <c r="AM138" s="73">
        <v>42350</v>
      </c>
      <c r="AN138" s="124">
        <f t="shared" si="47"/>
        <v>608</v>
      </c>
      <c r="AO138" s="77">
        <f t="shared" si="55"/>
        <v>41862</v>
      </c>
      <c r="AP138" s="77">
        <f t="shared" si="57"/>
        <v>41742</v>
      </c>
      <c r="AQ138" s="77">
        <f t="shared" si="48"/>
        <v>41742</v>
      </c>
      <c r="AR138" s="67">
        <f t="shared" si="58"/>
        <v>120</v>
      </c>
      <c r="AS138" s="134">
        <f>Table22[[#This Row],[GROSS WT]]-Table22[[#This Row],[Total Bag Discharged (Truck)]]</f>
        <v>41862</v>
      </c>
      <c r="AT138" s="67">
        <f t="shared" si="59"/>
        <v>41862</v>
      </c>
      <c r="AU138" s="73"/>
      <c r="AV138" s="73">
        <v>28</v>
      </c>
      <c r="AW138" s="73">
        <v>24</v>
      </c>
      <c r="AX138" s="73">
        <v>0</v>
      </c>
      <c r="AY138" s="71">
        <f t="shared" si="60"/>
        <v>52</v>
      </c>
      <c r="AZ138" s="70">
        <v>229</v>
      </c>
      <c r="BA138" s="73">
        <v>14</v>
      </c>
      <c r="BB138" s="73">
        <v>9</v>
      </c>
      <c r="BC138" s="63">
        <f t="shared" si="65"/>
        <v>252</v>
      </c>
      <c r="BD138" s="72">
        <f>SUM(Table22[[#This Row],[Good Kernel (gm)]]+(Table22[[#This Row],[Immature (gm)]]+Table22[[#This Row],[Spotted (gm)]])/2)*0.176</f>
        <v>42.327999999999996</v>
      </c>
      <c r="BE138" s="73">
        <v>42.41</v>
      </c>
      <c r="BF138" s="72">
        <f t="shared" si="66"/>
        <v>44.445239999999998</v>
      </c>
      <c r="BG138" s="72">
        <f t="shared" si="61"/>
        <v>49.383600000000001</v>
      </c>
      <c r="BH138" s="72">
        <f>SUM(Table22[[#This Row],[Good Kernel (gm)]:[Spotted (gm)]])/1000*100</f>
        <v>25.2</v>
      </c>
      <c r="BI138" s="72">
        <f t="shared" si="62"/>
        <v>28.000000000000004</v>
      </c>
      <c r="BJ138" s="73">
        <v>11.2</v>
      </c>
      <c r="BK138" s="73">
        <v>155</v>
      </c>
      <c r="BL138" s="73">
        <v>690</v>
      </c>
      <c r="BM138" s="73">
        <v>21</v>
      </c>
      <c r="BN138" s="73"/>
      <c r="BO138" s="73">
        <v>20</v>
      </c>
      <c r="BP138" s="73">
        <v>4</v>
      </c>
      <c r="BQ138" s="71">
        <f t="shared" si="63"/>
        <v>45</v>
      </c>
      <c r="BR138" s="73">
        <v>230</v>
      </c>
      <c r="BS138" s="73">
        <v>8</v>
      </c>
      <c r="BT138" s="73">
        <v>12</v>
      </c>
      <c r="BU138" s="63">
        <f t="shared" si="67"/>
        <v>250</v>
      </c>
      <c r="BV138" s="72">
        <f>SUM(Table22[[#This Row],[Good Kernel (G M)]]+(Table22[[#This Row],[Immature (g m)]]+Table22[[#This Row],[Spotted (g m)]])/2)*0.176</f>
        <v>42.239999999999995</v>
      </c>
      <c r="BW138" s="73">
        <v>42.32</v>
      </c>
      <c r="BX138" s="73"/>
      <c r="BY138" s="72">
        <f t="shared" si="68"/>
        <v>44.092500000000001</v>
      </c>
      <c r="BZ138" s="72">
        <f t="shared" si="69"/>
        <v>48.501750000000001</v>
      </c>
      <c r="CA138" s="72">
        <f>SUM(Table22[[#This Row],[Good Kernel (G M)]:[Spotted (g m)]])/1000*100</f>
        <v>25</v>
      </c>
      <c r="CB138" s="72">
        <f>(Table22[[#This Row],[BROWNS/Rejection (gm) (NUT)]]+Table22[[#This Row],[OIL (g m)]]+Table22[[#This Row],[Good Kernel (G M)]]+Table22[[#This Row],[Immature (g m)]]+Table22[[#This Row],[Spotted (g m)]])/1000*100</f>
        <v>27.500000000000004</v>
      </c>
      <c r="CC138" s="73">
        <v>10.4</v>
      </c>
      <c r="CD138" s="73">
        <v>156</v>
      </c>
      <c r="CE138" s="73">
        <v>699</v>
      </c>
      <c r="CF138" s="128"/>
      <c r="CH138" s="184">
        <f ca="1">TODAY()-Table22[[#This Row],[Discharge Date]]</f>
        <v>123</v>
      </c>
    </row>
    <row r="139" spans="1:86" x14ac:dyDescent="0.25">
      <c r="A139" s="50">
        <v>135</v>
      </c>
      <c r="B139" s="60" t="s">
        <v>95</v>
      </c>
      <c r="C139" s="60" t="s">
        <v>96</v>
      </c>
      <c r="D139" s="97">
        <v>135</v>
      </c>
      <c r="E139" s="98" t="s">
        <v>130</v>
      </c>
      <c r="F139" s="97">
        <v>636</v>
      </c>
      <c r="G139" s="73"/>
      <c r="H139" s="82"/>
      <c r="I139" s="82"/>
      <c r="J139" s="82"/>
      <c r="K139" s="82" t="s">
        <v>634</v>
      </c>
      <c r="L139" s="82"/>
      <c r="M139" s="100">
        <v>87109</v>
      </c>
      <c r="N139" s="100" t="s">
        <v>689</v>
      </c>
      <c r="O139" s="73" t="s">
        <v>169</v>
      </c>
      <c r="P139" s="97" t="s">
        <v>287</v>
      </c>
      <c r="Q139" s="101">
        <v>46132</v>
      </c>
      <c r="R139" s="102" t="s">
        <v>100</v>
      </c>
      <c r="S139" s="59" t="s">
        <v>107</v>
      </c>
      <c r="T139" s="102"/>
      <c r="U139" s="102"/>
      <c r="V139" s="51" t="s">
        <v>108</v>
      </c>
      <c r="W139" s="73">
        <v>562</v>
      </c>
      <c r="X139" s="73">
        <v>25</v>
      </c>
      <c r="Y139" s="51">
        <f t="shared" si="64"/>
        <v>587</v>
      </c>
      <c r="Z139" s="73"/>
      <c r="AA139" s="61">
        <f t="shared" si="49"/>
        <v>562</v>
      </c>
      <c r="AB139" s="51">
        <f t="shared" si="70"/>
        <v>0</v>
      </c>
      <c r="AC139" s="88">
        <f t="shared" si="56"/>
        <v>562</v>
      </c>
      <c r="AD139" s="63"/>
      <c r="AE139" s="63">
        <f t="shared" si="51"/>
        <v>25</v>
      </c>
      <c r="AF139" s="63">
        <v>32</v>
      </c>
      <c r="AG139" s="63"/>
      <c r="AH139" s="64">
        <f t="shared" si="52"/>
        <v>587</v>
      </c>
      <c r="AI139" s="73"/>
      <c r="AJ139" s="73"/>
      <c r="AK139" s="62">
        <f t="shared" si="53"/>
        <v>587</v>
      </c>
      <c r="AL139" s="62">
        <f t="shared" si="54"/>
        <v>587</v>
      </c>
      <c r="AM139" s="73">
        <v>47060</v>
      </c>
      <c r="AN139" s="124">
        <f t="shared" si="47"/>
        <v>687</v>
      </c>
      <c r="AO139" s="77">
        <f t="shared" si="55"/>
        <v>46473</v>
      </c>
      <c r="AP139" s="77">
        <f t="shared" si="57"/>
        <v>46373</v>
      </c>
      <c r="AQ139" s="77">
        <f t="shared" si="48"/>
        <v>46373</v>
      </c>
      <c r="AR139" s="67">
        <f t="shared" si="58"/>
        <v>100</v>
      </c>
      <c r="AS139" s="134">
        <f>Table22[[#This Row],[GROSS WT]]-Table22[[#This Row],[Total Bag Discharged (Truck)]]</f>
        <v>46473</v>
      </c>
      <c r="AT139" s="67">
        <f t="shared" si="59"/>
        <v>46473</v>
      </c>
      <c r="AU139" s="73"/>
      <c r="AV139" s="73">
        <v>42</v>
      </c>
      <c r="AW139" s="73">
        <v>16</v>
      </c>
      <c r="AX139" s="73">
        <v>2</v>
      </c>
      <c r="AY139" s="71">
        <f t="shared" si="60"/>
        <v>60</v>
      </c>
      <c r="AZ139" s="70">
        <v>228</v>
      </c>
      <c r="BA139" s="73">
        <v>12</v>
      </c>
      <c r="BB139" s="73">
        <v>10</v>
      </c>
      <c r="BC139" s="63">
        <f t="shared" si="65"/>
        <v>250</v>
      </c>
      <c r="BD139" s="72">
        <f>SUM(Table22[[#This Row],[Good Kernel (gm)]]+(Table22[[#This Row],[Immature (gm)]]+Table22[[#This Row],[Spotted (gm)]])/2)*0.176</f>
        <v>42.064</v>
      </c>
      <c r="BE139" s="73">
        <v>42.15</v>
      </c>
      <c r="BF139" s="72">
        <f t="shared" si="66"/>
        <v>44.092500000000001</v>
      </c>
      <c r="BG139" s="72">
        <f t="shared" si="61"/>
        <v>51.852780000000003</v>
      </c>
      <c r="BH139" s="72">
        <f>SUM(Table22[[#This Row],[Good Kernel (gm)]:[Spotted (gm)]])/1000*100</f>
        <v>25</v>
      </c>
      <c r="BI139" s="72">
        <f t="shared" si="62"/>
        <v>29.4</v>
      </c>
      <c r="BJ139" s="73">
        <v>10.8</v>
      </c>
      <c r="BK139" s="73">
        <v>181</v>
      </c>
      <c r="BL139" s="73">
        <v>682</v>
      </c>
      <c r="BM139" s="73">
        <v>39</v>
      </c>
      <c r="BN139" s="73"/>
      <c r="BO139" s="73">
        <v>18</v>
      </c>
      <c r="BP139" s="73"/>
      <c r="BQ139" s="71">
        <f t="shared" si="63"/>
        <v>57</v>
      </c>
      <c r="BR139" s="73">
        <v>230</v>
      </c>
      <c r="BS139" s="73">
        <v>14</v>
      </c>
      <c r="BT139" s="73">
        <v>11</v>
      </c>
      <c r="BU139" s="63">
        <f t="shared" si="67"/>
        <v>255</v>
      </c>
      <c r="BV139" s="72">
        <f>SUM(Table22[[#This Row],[Good Kernel (G M)]]+(Table22[[#This Row],[Immature (g m)]]+Table22[[#This Row],[Spotted (g m)]])/2)*0.176</f>
        <v>42.68</v>
      </c>
      <c r="BW139" s="73">
        <v>42.15</v>
      </c>
      <c r="BX139" s="73"/>
      <c r="BY139" s="72">
        <f t="shared" si="68"/>
        <v>44.974350000000001</v>
      </c>
      <c r="BZ139" s="72">
        <f t="shared" si="69"/>
        <v>51.852780000000003</v>
      </c>
      <c r="CA139" s="72">
        <f>SUM(Table22[[#This Row],[Good Kernel (G M)]:[Spotted (g m)]])/1000*100</f>
        <v>25.5</v>
      </c>
      <c r="CB13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39" s="73">
        <v>10.7</v>
      </c>
      <c r="CD139" s="73">
        <v>182</v>
      </c>
      <c r="CE139" s="73"/>
      <c r="CF139" s="128"/>
      <c r="CH139" s="184">
        <f ca="1">TODAY()-Table22[[#This Row],[Discharge Date]]</f>
        <v>123</v>
      </c>
    </row>
    <row r="140" spans="1:86" x14ac:dyDescent="0.25">
      <c r="A140" s="50">
        <v>136</v>
      </c>
      <c r="B140" s="60" t="s">
        <v>95</v>
      </c>
      <c r="C140" s="60" t="s">
        <v>96</v>
      </c>
      <c r="D140" s="53">
        <v>136</v>
      </c>
      <c r="E140" s="73"/>
      <c r="F140" s="97">
        <v>637</v>
      </c>
      <c r="G140" s="73"/>
      <c r="H140" s="82"/>
      <c r="I140" s="82"/>
      <c r="J140" s="82"/>
      <c r="K140" s="82" t="s">
        <v>634</v>
      </c>
      <c r="L140" s="82"/>
      <c r="M140" s="100">
        <v>37583</v>
      </c>
      <c r="N140" s="100" t="s">
        <v>687</v>
      </c>
      <c r="O140" s="73" t="s">
        <v>289</v>
      </c>
      <c r="P140" s="97" t="s">
        <v>287</v>
      </c>
      <c r="Q140" s="101">
        <v>46132</v>
      </c>
      <c r="R140" s="102" t="s">
        <v>224</v>
      </c>
      <c r="S140" s="103" t="s">
        <v>146</v>
      </c>
      <c r="T140" s="102"/>
      <c r="U140" s="102"/>
      <c r="V140" s="73" t="s">
        <v>147</v>
      </c>
      <c r="W140" s="73">
        <v>456</v>
      </c>
      <c r="X140" s="73">
        <v>15</v>
      </c>
      <c r="Y140" s="51">
        <f t="shared" si="64"/>
        <v>471</v>
      </c>
      <c r="Z140" s="73"/>
      <c r="AA140" s="61">
        <f t="shared" si="49"/>
        <v>456</v>
      </c>
      <c r="AB140" s="51">
        <f t="shared" si="70"/>
        <v>0</v>
      </c>
      <c r="AC140" s="88">
        <f t="shared" si="56"/>
        <v>456</v>
      </c>
      <c r="AD140" s="63"/>
      <c r="AE140" s="63">
        <f t="shared" si="51"/>
        <v>15</v>
      </c>
      <c r="AF140" s="63">
        <v>19</v>
      </c>
      <c r="AG140" s="63"/>
      <c r="AH140" s="64">
        <f t="shared" si="52"/>
        <v>471</v>
      </c>
      <c r="AI140" s="73"/>
      <c r="AJ140" s="73"/>
      <c r="AK140" s="62">
        <f t="shared" si="53"/>
        <v>471</v>
      </c>
      <c r="AL140" s="62">
        <f t="shared" si="54"/>
        <v>471</v>
      </c>
      <c r="AM140" s="73">
        <v>41510</v>
      </c>
      <c r="AN140" s="124">
        <f t="shared" si="47"/>
        <v>531</v>
      </c>
      <c r="AO140" s="77">
        <f t="shared" si="55"/>
        <v>41039</v>
      </c>
      <c r="AP140" s="77">
        <f t="shared" si="57"/>
        <v>40979</v>
      </c>
      <c r="AQ140" s="77">
        <f t="shared" si="48"/>
        <v>40979</v>
      </c>
      <c r="AR140" s="67">
        <f t="shared" si="58"/>
        <v>60</v>
      </c>
      <c r="AS140" s="134">
        <f>Table22[[#This Row],[GROSS WT]]-Table22[[#This Row],[Total Bag Discharged (Truck)]]</f>
        <v>41039</v>
      </c>
      <c r="AT140" s="67">
        <f t="shared" si="59"/>
        <v>41039</v>
      </c>
      <c r="AU140" s="73"/>
      <c r="AV140" s="73">
        <v>26</v>
      </c>
      <c r="AW140" s="73">
        <v>23</v>
      </c>
      <c r="AX140" s="73">
        <v>0</v>
      </c>
      <c r="AY140" s="71">
        <f t="shared" si="60"/>
        <v>49</v>
      </c>
      <c r="AZ140" s="70">
        <v>232</v>
      </c>
      <c r="BA140" s="73">
        <v>19</v>
      </c>
      <c r="BB140" s="73">
        <v>9</v>
      </c>
      <c r="BC140" s="63">
        <f t="shared" si="65"/>
        <v>260</v>
      </c>
      <c r="BD140" s="72">
        <f>SUM(Table22[[#This Row],[Good Kernel (gm)]]+(Table22[[#This Row],[Immature (gm)]]+Table22[[#This Row],[Spotted (gm)]])/2)*0.176</f>
        <v>43.295999999999999</v>
      </c>
      <c r="BE140" s="73">
        <v>43.38</v>
      </c>
      <c r="BF140" s="72">
        <f t="shared" si="66"/>
        <v>45.856200000000001</v>
      </c>
      <c r="BG140" s="72">
        <f t="shared" si="61"/>
        <v>50.44182</v>
      </c>
      <c r="BH140" s="72">
        <f>SUM(Table22[[#This Row],[Good Kernel (gm)]:[Spotted (gm)]])/1000*100</f>
        <v>26</v>
      </c>
      <c r="BI140" s="72">
        <f t="shared" si="62"/>
        <v>28.599999999999998</v>
      </c>
      <c r="BJ140" s="73">
        <v>10.1</v>
      </c>
      <c r="BK140" s="73">
        <v>174</v>
      </c>
      <c r="BL140" s="73">
        <v>684</v>
      </c>
      <c r="BM140" s="73">
        <v>20</v>
      </c>
      <c r="BN140" s="73"/>
      <c r="BO140" s="73">
        <v>31</v>
      </c>
      <c r="BP140" s="73">
        <v>2</v>
      </c>
      <c r="BQ140" s="71">
        <f t="shared" si="63"/>
        <v>53</v>
      </c>
      <c r="BR140" s="73">
        <v>231</v>
      </c>
      <c r="BS140" s="73">
        <v>20</v>
      </c>
      <c r="BT140" s="73">
        <v>14</v>
      </c>
      <c r="BU140" s="63">
        <f t="shared" si="67"/>
        <v>265</v>
      </c>
      <c r="BV140" s="72">
        <f>SUM(Table22[[#This Row],[Good Kernel (G M)]]+(Table22[[#This Row],[Immature (g m)]]+Table22[[#This Row],[Spotted (g m)]])/2)*0.176</f>
        <v>43.647999999999996</v>
      </c>
      <c r="BW140" s="73">
        <v>42.32</v>
      </c>
      <c r="BX140" s="73"/>
      <c r="BY140" s="72">
        <f t="shared" si="68"/>
        <v>46.738050000000001</v>
      </c>
      <c r="BZ140" s="72">
        <f t="shared" si="69"/>
        <v>50.618189999999998</v>
      </c>
      <c r="CA140" s="72">
        <f>SUM(Table22[[#This Row],[Good Kernel (G M)]:[Spotted (g m)]])/1000*100</f>
        <v>26.5</v>
      </c>
      <c r="CB140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40" s="73">
        <v>12.3</v>
      </c>
      <c r="CD140" s="73">
        <v>172</v>
      </c>
      <c r="CE140" s="73">
        <v>679</v>
      </c>
      <c r="CF140" s="128"/>
      <c r="CH140" s="184">
        <f ca="1">TODAY()-Table22[[#This Row],[Discharge Date]]</f>
        <v>123</v>
      </c>
    </row>
    <row r="141" spans="1:86" x14ac:dyDescent="0.25">
      <c r="A141" s="50">
        <v>137</v>
      </c>
      <c r="B141" s="60" t="s">
        <v>95</v>
      </c>
      <c r="C141" s="60" t="s">
        <v>96</v>
      </c>
      <c r="D141" s="97">
        <v>137</v>
      </c>
      <c r="E141" s="73"/>
      <c r="F141" s="97">
        <v>638</v>
      </c>
      <c r="G141" s="73"/>
      <c r="H141" s="82"/>
      <c r="I141" s="82"/>
      <c r="J141" s="82"/>
      <c r="K141" s="82" t="s">
        <v>634</v>
      </c>
      <c r="L141" s="82"/>
      <c r="M141" s="100">
        <v>32083</v>
      </c>
      <c r="N141" s="100" t="s">
        <v>687</v>
      </c>
      <c r="O141" s="73" t="s">
        <v>212</v>
      </c>
      <c r="P141" s="97" t="s">
        <v>287</v>
      </c>
      <c r="Q141" s="101">
        <v>46132</v>
      </c>
      <c r="R141" s="102" t="s">
        <v>290</v>
      </c>
      <c r="S141" s="103" t="s">
        <v>261</v>
      </c>
      <c r="T141" s="102" t="s">
        <v>198</v>
      </c>
      <c r="U141" s="102"/>
      <c r="V141" s="73" t="s">
        <v>199</v>
      </c>
      <c r="W141" s="73">
        <v>431</v>
      </c>
      <c r="X141" s="73">
        <v>40</v>
      </c>
      <c r="Y141" s="51">
        <f t="shared" si="64"/>
        <v>471</v>
      </c>
      <c r="Z141" s="73"/>
      <c r="AA141" s="61">
        <f t="shared" si="49"/>
        <v>431</v>
      </c>
      <c r="AB141" s="51">
        <f t="shared" si="70"/>
        <v>0</v>
      </c>
      <c r="AC141" s="88">
        <f t="shared" si="56"/>
        <v>431</v>
      </c>
      <c r="AD141" s="63"/>
      <c r="AE141" s="63">
        <f t="shared" si="51"/>
        <v>40</v>
      </c>
      <c r="AF141" s="63">
        <v>66</v>
      </c>
      <c r="AG141" s="63"/>
      <c r="AH141" s="64">
        <f t="shared" si="52"/>
        <v>471</v>
      </c>
      <c r="AI141" s="73"/>
      <c r="AJ141" s="73"/>
      <c r="AK141" s="62">
        <f t="shared" si="53"/>
        <v>471</v>
      </c>
      <c r="AL141" s="62">
        <f t="shared" si="54"/>
        <v>471</v>
      </c>
      <c r="AM141" s="73">
        <v>39800</v>
      </c>
      <c r="AN141" s="124">
        <f t="shared" si="47"/>
        <v>631</v>
      </c>
      <c r="AO141" s="77">
        <f t="shared" si="55"/>
        <v>39329</v>
      </c>
      <c r="AP141" s="77">
        <f t="shared" si="57"/>
        <v>39169</v>
      </c>
      <c r="AQ141" s="77">
        <f t="shared" si="48"/>
        <v>39169</v>
      </c>
      <c r="AR141" s="67">
        <f t="shared" si="58"/>
        <v>160</v>
      </c>
      <c r="AS141" s="134">
        <f>Table22[[#This Row],[GROSS WT]]-Table22[[#This Row],[Total Bag Discharged (Truck)]]</f>
        <v>39329</v>
      </c>
      <c r="AT141" s="67">
        <f t="shared" si="59"/>
        <v>39329</v>
      </c>
      <c r="AU141" s="73"/>
      <c r="AV141" s="73">
        <v>38</v>
      </c>
      <c r="AW141" s="73">
        <v>25</v>
      </c>
      <c r="AX141" s="73">
        <v>0</v>
      </c>
      <c r="AY141" s="71">
        <f t="shared" si="60"/>
        <v>63</v>
      </c>
      <c r="AZ141" s="70">
        <v>236</v>
      </c>
      <c r="BA141" s="73">
        <v>13</v>
      </c>
      <c r="BB141" s="73">
        <v>10</v>
      </c>
      <c r="BC141" s="63">
        <f t="shared" si="65"/>
        <v>259</v>
      </c>
      <c r="BD141" s="72">
        <f>SUM(Table22[[#This Row],[Good Kernel (gm)]]+(Table22[[#This Row],[Immature (gm)]]+Table22[[#This Row],[Spotted (gm)]])/2)*0.176</f>
        <v>43.559999999999995</v>
      </c>
      <c r="BE141" s="73">
        <v>46.65</v>
      </c>
      <c r="BF141" s="72">
        <f t="shared" si="66"/>
        <v>45.679830000000003</v>
      </c>
      <c r="BG141" s="72">
        <f t="shared" si="61"/>
        <v>52.381889999999999</v>
      </c>
      <c r="BH141" s="72">
        <f>SUM(Table22[[#This Row],[Good Kernel (gm)]:[Spotted (gm)]])/1000*100</f>
        <v>25.900000000000002</v>
      </c>
      <c r="BI141" s="72">
        <f t="shared" si="62"/>
        <v>29.7</v>
      </c>
      <c r="BJ141" s="73">
        <v>12.2</v>
      </c>
      <c r="BK141" s="73">
        <v>174</v>
      </c>
      <c r="BL141" s="73">
        <v>673</v>
      </c>
      <c r="BM141" s="73">
        <v>44</v>
      </c>
      <c r="BN141" s="73"/>
      <c r="BO141" s="73">
        <v>7</v>
      </c>
      <c r="BP141" s="73">
        <v>2</v>
      </c>
      <c r="BQ141" s="71">
        <f t="shared" si="63"/>
        <v>53</v>
      </c>
      <c r="BR141" s="73">
        <v>236</v>
      </c>
      <c r="BS141" s="73">
        <v>12</v>
      </c>
      <c r="BT141" s="73">
        <v>13</v>
      </c>
      <c r="BU141" s="63">
        <f t="shared" si="67"/>
        <v>261</v>
      </c>
      <c r="BV141" s="72">
        <f>SUM(Table22[[#This Row],[Good Kernel (G M)]]+(Table22[[#This Row],[Immature (g m)]]+Table22[[#This Row],[Spotted (g m)]])/2)*0.176</f>
        <v>43.735999999999997</v>
      </c>
      <c r="BW141" s="73">
        <v>43.82</v>
      </c>
      <c r="BX141" s="73"/>
      <c r="BY141" s="72">
        <f t="shared" si="68"/>
        <v>46.03257</v>
      </c>
      <c r="BZ141" s="72">
        <f t="shared" si="69"/>
        <v>54.145589999999999</v>
      </c>
      <c r="CA141" s="72">
        <f>SUM(Table22[[#This Row],[Good Kernel (G M)]:[Spotted (g m)]])/1000*100</f>
        <v>26.1</v>
      </c>
      <c r="CB141" s="72">
        <f>(Table22[[#This Row],[BROWNS/Rejection (gm) (NUT)]]+Table22[[#This Row],[OIL (g m)]]+Table22[[#This Row],[Good Kernel (G M)]]+Table22[[#This Row],[Immature (g m)]]+Table22[[#This Row],[Spotted (g m)]])/1000*100</f>
        <v>30.7</v>
      </c>
      <c r="CC141" s="73">
        <v>12.2</v>
      </c>
      <c r="CD141" s="73">
        <v>180</v>
      </c>
      <c r="CE141" s="73">
        <v>678</v>
      </c>
      <c r="CF141" s="128"/>
      <c r="CH141" s="184">
        <f ca="1">TODAY()-Table22[[#This Row],[Discharge Date]]</f>
        <v>123</v>
      </c>
    </row>
    <row r="142" spans="1:86" x14ac:dyDescent="0.25">
      <c r="A142" s="50">
        <v>138</v>
      </c>
      <c r="B142" s="60" t="s">
        <v>95</v>
      </c>
      <c r="C142" s="60" t="s">
        <v>96</v>
      </c>
      <c r="D142" s="97">
        <v>138</v>
      </c>
      <c r="E142" s="73"/>
      <c r="F142" s="97">
        <v>639</v>
      </c>
      <c r="G142" s="73"/>
      <c r="H142" s="82"/>
      <c r="I142" s="82"/>
      <c r="J142" s="82"/>
      <c r="K142" s="82" t="s">
        <v>637</v>
      </c>
      <c r="L142" s="82"/>
      <c r="M142" s="100">
        <v>87110</v>
      </c>
      <c r="N142" s="100" t="s">
        <v>686</v>
      </c>
      <c r="O142" s="73" t="s">
        <v>291</v>
      </c>
      <c r="P142" s="97" t="s">
        <v>287</v>
      </c>
      <c r="Q142" s="101">
        <v>46132</v>
      </c>
      <c r="R142" s="102" t="s">
        <v>100</v>
      </c>
      <c r="S142" s="59" t="s">
        <v>107</v>
      </c>
      <c r="T142" s="102"/>
      <c r="U142" s="102"/>
      <c r="V142" s="51" t="s">
        <v>108</v>
      </c>
      <c r="W142" s="73">
        <v>629</v>
      </c>
      <c r="X142" s="73">
        <v>26</v>
      </c>
      <c r="Y142" s="51">
        <f t="shared" si="64"/>
        <v>655</v>
      </c>
      <c r="Z142" s="73"/>
      <c r="AA142" s="61">
        <f t="shared" si="49"/>
        <v>629</v>
      </c>
      <c r="AB142" s="51">
        <f t="shared" si="70"/>
        <v>0</v>
      </c>
      <c r="AC142" s="88">
        <f t="shared" si="56"/>
        <v>629</v>
      </c>
      <c r="AD142" s="63"/>
      <c r="AE142" s="63">
        <f t="shared" si="51"/>
        <v>26</v>
      </c>
      <c r="AF142" s="63">
        <v>19</v>
      </c>
      <c r="AG142" s="63"/>
      <c r="AH142" s="64">
        <f t="shared" si="52"/>
        <v>655</v>
      </c>
      <c r="AI142" s="73"/>
      <c r="AJ142" s="73"/>
      <c r="AK142" s="62">
        <f t="shared" si="53"/>
        <v>655</v>
      </c>
      <c r="AL142" s="62">
        <f t="shared" si="54"/>
        <v>655</v>
      </c>
      <c r="AM142" s="73">
        <v>53560</v>
      </c>
      <c r="AN142" s="124">
        <f t="shared" si="47"/>
        <v>759</v>
      </c>
      <c r="AO142" s="77">
        <f t="shared" si="55"/>
        <v>52905</v>
      </c>
      <c r="AP142" s="77">
        <f>AM142-AN142-104</f>
        <v>52697</v>
      </c>
      <c r="AQ142" s="77">
        <f>+AO142-AE142*8</f>
        <v>52697</v>
      </c>
      <c r="AR142" s="67">
        <f t="shared" si="58"/>
        <v>104</v>
      </c>
      <c r="AS142" s="134">
        <f>Table22[[#This Row],[GROSS WT]]-Table22[[#This Row],[Total Bag Discharged (Truck)]]</f>
        <v>52905</v>
      </c>
      <c r="AT142" s="67">
        <f t="shared" si="59"/>
        <v>52905</v>
      </c>
      <c r="AU142" s="73"/>
      <c r="AV142" s="73">
        <v>38</v>
      </c>
      <c r="AW142" s="73">
        <v>28</v>
      </c>
      <c r="AX142" s="73">
        <v>3</v>
      </c>
      <c r="AY142" s="71">
        <f t="shared" si="60"/>
        <v>69</v>
      </c>
      <c r="AZ142" s="70">
        <v>227</v>
      </c>
      <c r="BA142" s="73">
        <v>12</v>
      </c>
      <c r="BB142" s="73">
        <v>10</v>
      </c>
      <c r="BC142" s="63">
        <f t="shared" si="65"/>
        <v>249</v>
      </c>
      <c r="BD142" s="72">
        <f>SUM(Table22[[#This Row],[Good Kernel (gm)]]+(Table22[[#This Row],[Immature (gm)]]+Table22[[#This Row],[Spotted (gm)]])/2)*0.176</f>
        <v>41.887999999999998</v>
      </c>
      <c r="BE142" s="73">
        <v>41.97</v>
      </c>
      <c r="BF142" s="72">
        <f t="shared" si="66"/>
        <v>43.916130000000003</v>
      </c>
      <c r="BG142" s="72">
        <f t="shared" si="61"/>
        <v>51.147300000000001</v>
      </c>
      <c r="BH142" s="72">
        <f>SUM(Table22[[#This Row],[Good Kernel (gm)]:[Spotted (gm)]])/1000*100</f>
        <v>24.9</v>
      </c>
      <c r="BI142" s="72">
        <f t="shared" si="62"/>
        <v>28.999999999999996</v>
      </c>
      <c r="BJ142" s="73">
        <v>11.8</v>
      </c>
      <c r="BK142" s="73">
        <v>174</v>
      </c>
      <c r="BL142" s="73">
        <v>677</v>
      </c>
      <c r="BM142" s="73">
        <v>16</v>
      </c>
      <c r="BN142" s="73"/>
      <c r="BO142" s="73">
        <v>28</v>
      </c>
      <c r="BP142" s="73">
        <v>0</v>
      </c>
      <c r="BQ142" s="71">
        <f t="shared" si="63"/>
        <v>44</v>
      </c>
      <c r="BR142" s="73">
        <v>230</v>
      </c>
      <c r="BS142" s="73">
        <v>12</v>
      </c>
      <c r="BT142" s="73">
        <v>14</v>
      </c>
      <c r="BU142" s="63">
        <f t="shared" si="67"/>
        <v>256</v>
      </c>
      <c r="BV142" s="72">
        <f>SUM(Table22[[#This Row],[Good Kernel (G M)]]+(Table22[[#This Row],[Immature (g m)]]+Table22[[#This Row],[Spotted (g m)]])/2)*0.176</f>
        <v>42.768000000000001</v>
      </c>
      <c r="BW142" s="73">
        <v>42.85</v>
      </c>
      <c r="BX142" s="73"/>
      <c r="BY142" s="72">
        <f t="shared" si="68"/>
        <v>45.15072</v>
      </c>
      <c r="BZ142" s="72">
        <f t="shared" si="69"/>
        <v>47.972639999999998</v>
      </c>
      <c r="CA142" s="72">
        <f>SUM(Table22[[#This Row],[Good Kernel (G M)]:[Spotted (g m)]])/1000*100</f>
        <v>25.6</v>
      </c>
      <c r="CB142" s="72">
        <f>(Table22[[#This Row],[BROWNS/Rejection (gm) (NUT)]]+Table22[[#This Row],[OIL (g m)]]+Table22[[#This Row],[Good Kernel (G M)]]+Table22[[#This Row],[Immature (g m)]]+Table22[[#This Row],[Spotted (g m)]])/1000*100</f>
        <v>27.200000000000003</v>
      </c>
      <c r="CC142" s="73">
        <v>10.8</v>
      </c>
      <c r="CD142" s="73">
        <v>179</v>
      </c>
      <c r="CE142" s="73">
        <v>690</v>
      </c>
      <c r="CF142" s="128"/>
      <c r="CH142" s="184">
        <f ca="1">TODAY()-Table22[[#This Row],[Discharge Date]]</f>
        <v>123</v>
      </c>
    </row>
    <row r="143" spans="1:86" x14ac:dyDescent="0.25">
      <c r="A143" s="50">
        <v>139</v>
      </c>
      <c r="B143" s="60" t="s">
        <v>95</v>
      </c>
      <c r="C143" s="60" t="s">
        <v>96</v>
      </c>
      <c r="D143" s="53">
        <v>139</v>
      </c>
      <c r="E143" s="98" t="s">
        <v>130</v>
      </c>
      <c r="F143" s="97">
        <v>641</v>
      </c>
      <c r="G143" s="73"/>
      <c r="H143" s="82"/>
      <c r="I143" s="82"/>
      <c r="J143" s="82"/>
      <c r="K143" s="82" t="s">
        <v>634</v>
      </c>
      <c r="L143" s="82"/>
      <c r="M143" s="100">
        <v>35967</v>
      </c>
      <c r="N143" s="100" t="s">
        <v>643</v>
      </c>
      <c r="O143" s="73" t="s">
        <v>292</v>
      </c>
      <c r="P143" s="97" t="s">
        <v>270</v>
      </c>
      <c r="Q143" s="101">
        <v>46132</v>
      </c>
      <c r="R143" s="102" t="s">
        <v>100</v>
      </c>
      <c r="S143" s="103" t="s">
        <v>280</v>
      </c>
      <c r="T143" s="102"/>
      <c r="U143" s="102"/>
      <c r="V143" s="73" t="s">
        <v>281</v>
      </c>
      <c r="W143" s="73">
        <v>493</v>
      </c>
      <c r="X143" s="73">
        <v>30</v>
      </c>
      <c r="Y143" s="51">
        <f t="shared" si="64"/>
        <v>523</v>
      </c>
      <c r="Z143" s="73"/>
      <c r="AA143" s="61">
        <f t="shared" si="49"/>
        <v>493</v>
      </c>
      <c r="AB143" s="51">
        <f t="shared" si="70"/>
        <v>0</v>
      </c>
      <c r="AC143" s="88">
        <f t="shared" si="56"/>
        <v>493</v>
      </c>
      <c r="AD143" s="63"/>
      <c r="AE143" s="63">
        <f t="shared" si="51"/>
        <v>30</v>
      </c>
      <c r="AF143" s="63">
        <v>19</v>
      </c>
      <c r="AG143" s="63"/>
      <c r="AH143" s="64">
        <f t="shared" si="52"/>
        <v>523</v>
      </c>
      <c r="AI143" s="73"/>
      <c r="AJ143" s="73"/>
      <c r="AK143" s="62">
        <f t="shared" si="53"/>
        <v>523</v>
      </c>
      <c r="AL143" s="62">
        <f t="shared" si="54"/>
        <v>523</v>
      </c>
      <c r="AM143" s="73">
        <v>42400</v>
      </c>
      <c r="AN143" s="124">
        <f t="shared" si="47"/>
        <v>643</v>
      </c>
      <c r="AO143" s="77">
        <f t="shared" si="55"/>
        <v>41877</v>
      </c>
      <c r="AP143" s="77">
        <f>AM143-AN143-120</f>
        <v>41637</v>
      </c>
      <c r="AQ143" s="77">
        <f>+AO143-AE143*8</f>
        <v>41637</v>
      </c>
      <c r="AR143" s="67">
        <f t="shared" si="58"/>
        <v>120</v>
      </c>
      <c r="AS143" s="134">
        <f>Table22[[#This Row],[GROSS WT]]-Table22[[#This Row],[Total Bag Discharged (Truck)]]</f>
        <v>41877</v>
      </c>
      <c r="AT143" s="67">
        <f t="shared" si="59"/>
        <v>41877</v>
      </c>
      <c r="AU143" s="73"/>
      <c r="AV143" s="73">
        <v>40</v>
      </c>
      <c r="AW143" s="73">
        <v>19</v>
      </c>
      <c r="AX143" s="73">
        <v>0</v>
      </c>
      <c r="AY143" s="71">
        <f t="shared" si="60"/>
        <v>59</v>
      </c>
      <c r="AZ143" s="70">
        <v>228</v>
      </c>
      <c r="BA143" s="73">
        <v>10</v>
      </c>
      <c r="BB143" s="73">
        <v>10</v>
      </c>
      <c r="BC143" s="63">
        <f t="shared" si="65"/>
        <v>248</v>
      </c>
      <c r="BD143" s="72">
        <f>SUM(Table22[[#This Row],[Good Kernel (gm)]]+(Table22[[#This Row],[Immature (gm)]]+Table22[[#This Row],[Spotted (gm)]])/2)*0.176</f>
        <v>41.887999999999998</v>
      </c>
      <c r="BE143" s="73">
        <v>41.97</v>
      </c>
      <c r="BF143" s="72">
        <f t="shared" si="66"/>
        <v>43.739759999999997</v>
      </c>
      <c r="BG143" s="72">
        <f t="shared" si="61"/>
        <v>50.794559999999997</v>
      </c>
      <c r="BH143" s="72">
        <f>SUM(Table22[[#This Row],[Good Kernel (gm)]:[Spotted (gm)]])/1000*100</f>
        <v>24.8</v>
      </c>
      <c r="BI143" s="72">
        <f t="shared" si="62"/>
        <v>28.799999999999997</v>
      </c>
      <c r="BJ143" s="73">
        <v>11.7</v>
      </c>
      <c r="BK143" s="73">
        <v>178</v>
      </c>
      <c r="BL143" s="73">
        <v>691</v>
      </c>
      <c r="BM143" s="73">
        <v>39</v>
      </c>
      <c r="BN143" s="73"/>
      <c r="BO143" s="73">
        <v>21</v>
      </c>
      <c r="BP143" s="73">
        <v>0</v>
      </c>
      <c r="BQ143" s="71">
        <f t="shared" si="63"/>
        <v>60</v>
      </c>
      <c r="BR143" s="73">
        <v>231</v>
      </c>
      <c r="BS143" s="73">
        <v>12</v>
      </c>
      <c r="BT143" s="73">
        <v>10</v>
      </c>
      <c r="BU143" s="63">
        <f t="shared" si="67"/>
        <v>253</v>
      </c>
      <c r="BV143" s="72">
        <f>SUM(Table22[[#This Row],[Good Kernel (G M)]]+(Table22[[#This Row],[Immature (g m)]]+Table22[[#This Row],[Spotted (g m)]])/2)*0.176</f>
        <v>42.591999999999999</v>
      </c>
      <c r="BW143" s="73">
        <v>42.68</v>
      </c>
      <c r="BX143" s="73"/>
      <c r="BY143" s="72">
        <f t="shared" si="68"/>
        <v>44.621609999999997</v>
      </c>
      <c r="BZ143" s="72">
        <f t="shared" si="69"/>
        <v>51.500039999999998</v>
      </c>
      <c r="CA143" s="72">
        <f>SUM(Table22[[#This Row],[Good Kernel (G M)]:[Spotted (g m)]])/1000*100</f>
        <v>25.3</v>
      </c>
      <c r="CB143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43" s="73">
        <v>11.4</v>
      </c>
      <c r="CD143" s="73">
        <v>178</v>
      </c>
      <c r="CE143" s="73"/>
      <c r="CF143" s="128"/>
      <c r="CH143" s="184">
        <f ca="1">TODAY()-Table22[[#This Row],[Discharge Date]]</f>
        <v>123</v>
      </c>
    </row>
    <row r="144" spans="1:86" x14ac:dyDescent="0.25">
      <c r="A144" s="50">
        <v>140</v>
      </c>
      <c r="B144" s="60" t="s">
        <v>95</v>
      </c>
      <c r="C144" s="60" t="s">
        <v>96</v>
      </c>
      <c r="D144" s="97">
        <v>140</v>
      </c>
      <c r="E144" s="73"/>
      <c r="F144" s="97">
        <v>640</v>
      </c>
      <c r="G144" s="73"/>
      <c r="H144" s="82"/>
      <c r="I144" s="82"/>
      <c r="J144" s="82"/>
      <c r="K144" s="82" t="s">
        <v>634</v>
      </c>
      <c r="L144" s="82"/>
      <c r="M144" s="100">
        <v>35969</v>
      </c>
      <c r="N144" s="100" t="s">
        <v>682</v>
      </c>
      <c r="O144" s="73" t="s">
        <v>293</v>
      </c>
      <c r="P144" s="97" t="s">
        <v>254</v>
      </c>
      <c r="Q144" s="101">
        <v>46132</v>
      </c>
      <c r="R144" s="102" t="s">
        <v>100</v>
      </c>
      <c r="S144" s="103" t="s">
        <v>280</v>
      </c>
      <c r="T144" s="102"/>
      <c r="U144" s="102"/>
      <c r="V144" s="73" t="s">
        <v>281</v>
      </c>
      <c r="W144" s="73">
        <v>511</v>
      </c>
      <c r="X144" s="73">
        <v>20</v>
      </c>
      <c r="Y144" s="51">
        <f t="shared" si="64"/>
        <v>531</v>
      </c>
      <c r="Z144" s="73"/>
      <c r="AA144" s="61">
        <f t="shared" si="49"/>
        <v>511</v>
      </c>
      <c r="AB144" s="51">
        <f t="shared" si="70"/>
        <v>0</v>
      </c>
      <c r="AC144" s="88">
        <f t="shared" si="56"/>
        <v>511</v>
      </c>
      <c r="AD144" s="63"/>
      <c r="AE144" s="63">
        <f t="shared" si="51"/>
        <v>20</v>
      </c>
      <c r="AF144" s="63">
        <v>40</v>
      </c>
      <c r="AG144" s="63"/>
      <c r="AH144" s="64">
        <f t="shared" si="52"/>
        <v>531</v>
      </c>
      <c r="AI144" s="73"/>
      <c r="AJ144" s="73"/>
      <c r="AK144" s="62">
        <f t="shared" si="53"/>
        <v>531</v>
      </c>
      <c r="AL144" s="62">
        <f t="shared" si="54"/>
        <v>531</v>
      </c>
      <c r="AM144" s="73">
        <v>44220</v>
      </c>
      <c r="AN144" s="124">
        <f t="shared" si="47"/>
        <v>611</v>
      </c>
      <c r="AO144" s="77">
        <f t="shared" si="55"/>
        <v>43689</v>
      </c>
      <c r="AP144" s="77">
        <f t="shared" si="57"/>
        <v>43609</v>
      </c>
      <c r="AQ144" s="77">
        <f t="shared" si="48"/>
        <v>43609</v>
      </c>
      <c r="AR144" s="67">
        <f t="shared" si="58"/>
        <v>80</v>
      </c>
      <c r="AS144" s="134">
        <f>Table22[[#This Row],[GROSS WT]]-Table22[[#This Row],[Total Bag Discharged (Truck)]]</f>
        <v>43689</v>
      </c>
      <c r="AT144" s="67">
        <f t="shared" si="59"/>
        <v>43689</v>
      </c>
      <c r="AU144" s="73"/>
      <c r="AV144" s="73">
        <v>49</v>
      </c>
      <c r="AW144" s="73">
        <v>19</v>
      </c>
      <c r="AX144" s="73">
        <v>4</v>
      </c>
      <c r="AY144" s="71">
        <f t="shared" si="60"/>
        <v>72</v>
      </c>
      <c r="AZ144" s="70">
        <v>226</v>
      </c>
      <c r="BA144" s="73">
        <v>13</v>
      </c>
      <c r="BB144" s="73">
        <v>7</v>
      </c>
      <c r="BC144" s="63">
        <f t="shared" si="65"/>
        <v>246</v>
      </c>
      <c r="BD144" s="72">
        <f>SUM(Table22[[#This Row],[Good Kernel (gm)]]+(Table22[[#This Row],[Immature (gm)]]+Table22[[#This Row],[Spotted (gm)]])/2)*0.176</f>
        <v>41.535999999999994</v>
      </c>
      <c r="BE144" s="73">
        <v>41.62</v>
      </c>
      <c r="BF144" s="72">
        <f t="shared" si="66"/>
        <v>43.38702</v>
      </c>
      <c r="BG144" s="72">
        <f t="shared" si="61"/>
        <v>52.734630000000003</v>
      </c>
      <c r="BH144" s="72">
        <f>SUM(Table22[[#This Row],[Good Kernel (gm)]:[Spotted (gm)]])/1000*100</f>
        <v>24.6</v>
      </c>
      <c r="BI144" s="72">
        <f t="shared" si="62"/>
        <v>29.9</v>
      </c>
      <c r="BJ144" s="73">
        <v>9.3000000000000007</v>
      </c>
      <c r="BK144" s="73">
        <v>176</v>
      </c>
      <c r="BL144" s="73">
        <v>676</v>
      </c>
      <c r="BM144" s="73">
        <v>16</v>
      </c>
      <c r="BN144" s="73"/>
      <c r="BO144" s="73">
        <v>28</v>
      </c>
      <c r="BP144" s="73">
        <v>3</v>
      </c>
      <c r="BQ144" s="71">
        <f t="shared" si="63"/>
        <v>47</v>
      </c>
      <c r="BR144" s="73">
        <v>227</v>
      </c>
      <c r="BS144" s="73">
        <v>14</v>
      </c>
      <c r="BT144" s="73">
        <v>10</v>
      </c>
      <c r="BU144" s="63">
        <f t="shared" si="67"/>
        <v>251</v>
      </c>
      <c r="BV144" s="72">
        <f>SUM(Table22[[#This Row],[Good Kernel (G M)]]+(Table22[[#This Row],[Immature (g m)]]+Table22[[#This Row],[Spotted (g m)]])/2)*0.176</f>
        <v>42.064</v>
      </c>
      <c r="BW144" s="73">
        <v>42.85</v>
      </c>
      <c r="BX144" s="73"/>
      <c r="BY144" s="72">
        <f t="shared" si="68"/>
        <v>44.26887</v>
      </c>
      <c r="BZ144" s="72">
        <f t="shared" si="69"/>
        <v>47.619900000000001</v>
      </c>
      <c r="CA144" s="72">
        <f>SUM(Table22[[#This Row],[Good Kernel (G M)]:[Spotted (g m)]])/1000*100</f>
        <v>25.1</v>
      </c>
      <c r="CB144" s="72">
        <f>(Table22[[#This Row],[BROWNS/Rejection (gm) (NUT)]]+Table22[[#This Row],[OIL (g m)]]+Table22[[#This Row],[Good Kernel (G M)]]+Table22[[#This Row],[Immature (g m)]]+Table22[[#This Row],[Spotted (g m)]])/1000*100</f>
        <v>27</v>
      </c>
      <c r="CC144" s="73">
        <v>9.3000000000000007</v>
      </c>
      <c r="CD144" s="73">
        <v>178</v>
      </c>
      <c r="CE144" s="73">
        <v>677</v>
      </c>
      <c r="CF144" s="128"/>
      <c r="CH144" s="184">
        <f ca="1">TODAY()-Table22[[#This Row],[Discharge Date]]</f>
        <v>123</v>
      </c>
    </row>
    <row r="145" spans="1:86" x14ac:dyDescent="0.25">
      <c r="A145" s="50">
        <v>141</v>
      </c>
      <c r="B145" s="60" t="s">
        <v>95</v>
      </c>
      <c r="C145" s="60" t="s">
        <v>96</v>
      </c>
      <c r="D145" s="97">
        <v>141</v>
      </c>
      <c r="E145" s="73"/>
      <c r="F145" s="97">
        <v>642</v>
      </c>
      <c r="G145" s="73"/>
      <c r="H145" s="82"/>
      <c r="I145" s="82"/>
      <c r="J145" s="82"/>
      <c r="K145" s="82" t="s">
        <v>634</v>
      </c>
      <c r="L145" s="82"/>
      <c r="M145" s="105">
        <v>78880</v>
      </c>
      <c r="N145" s="105" t="s">
        <v>682</v>
      </c>
      <c r="O145" s="73" t="s">
        <v>161</v>
      </c>
      <c r="P145" s="97" t="s">
        <v>287</v>
      </c>
      <c r="Q145" s="101">
        <v>46133</v>
      </c>
      <c r="R145" s="102" t="s">
        <v>100</v>
      </c>
      <c r="S145" s="59" t="s">
        <v>101</v>
      </c>
      <c r="T145" s="102"/>
      <c r="U145" s="102"/>
      <c r="V145" s="51" t="s">
        <v>102</v>
      </c>
      <c r="W145" s="73">
        <v>581</v>
      </c>
      <c r="X145" s="73">
        <v>24</v>
      </c>
      <c r="Y145" s="51">
        <f t="shared" si="64"/>
        <v>605</v>
      </c>
      <c r="Z145" s="73"/>
      <c r="AA145" s="61">
        <f t="shared" si="49"/>
        <v>581</v>
      </c>
      <c r="AB145" s="51">
        <f t="shared" si="70"/>
        <v>0</v>
      </c>
      <c r="AC145" s="88">
        <f t="shared" si="56"/>
        <v>581</v>
      </c>
      <c r="AD145" s="63"/>
      <c r="AE145" s="63">
        <f t="shared" si="51"/>
        <v>24</v>
      </c>
      <c r="AF145" s="63">
        <v>12</v>
      </c>
      <c r="AG145" s="63"/>
      <c r="AH145" s="64">
        <f t="shared" si="52"/>
        <v>605</v>
      </c>
      <c r="AI145" s="73"/>
      <c r="AJ145" s="73"/>
      <c r="AK145" s="62">
        <f t="shared" si="53"/>
        <v>605</v>
      </c>
      <c r="AL145" s="62">
        <f t="shared" si="54"/>
        <v>605</v>
      </c>
      <c r="AM145" s="73">
        <v>52560</v>
      </c>
      <c r="AN145" s="124">
        <f t="shared" si="47"/>
        <v>701</v>
      </c>
      <c r="AO145" s="77">
        <f t="shared" si="55"/>
        <v>51955</v>
      </c>
      <c r="AP145" s="77">
        <f>AM145-AN145-100</f>
        <v>51759</v>
      </c>
      <c r="AQ145" s="77">
        <f>+AO145-AE145*4-100</f>
        <v>51759</v>
      </c>
      <c r="AR145" s="67">
        <f t="shared" si="58"/>
        <v>96</v>
      </c>
      <c r="AS145" s="134">
        <f>Table22[[#This Row],[GROSS WT]]-Table22[[#This Row],[Total Bag Discharged (Truck)]]</f>
        <v>51955</v>
      </c>
      <c r="AT145" s="67">
        <f t="shared" si="59"/>
        <v>51955</v>
      </c>
      <c r="AU145" s="73"/>
      <c r="AV145" s="73">
        <v>34</v>
      </c>
      <c r="AW145" s="73">
        <v>14</v>
      </c>
      <c r="AX145" s="73">
        <v>4</v>
      </c>
      <c r="AY145" s="71">
        <f t="shared" si="60"/>
        <v>52</v>
      </c>
      <c r="AZ145" s="70">
        <v>230</v>
      </c>
      <c r="BA145" s="73">
        <v>12</v>
      </c>
      <c r="BB145" s="73">
        <v>13</v>
      </c>
      <c r="BC145" s="63">
        <f t="shared" si="65"/>
        <v>255</v>
      </c>
      <c r="BD145" s="72">
        <f>SUM(Table22[[#This Row],[Good Kernel (gm)]]+(Table22[[#This Row],[Immature (gm)]]+Table22[[#This Row],[Spotted (gm)]])/2)*0.176</f>
        <v>42.68</v>
      </c>
      <c r="BE145" s="73">
        <v>42.24</v>
      </c>
      <c r="BF145" s="72">
        <f t="shared" si="66"/>
        <v>44.974350000000001</v>
      </c>
      <c r="BG145" s="72">
        <f t="shared" si="61"/>
        <v>51.676409999999997</v>
      </c>
      <c r="BH145" s="72">
        <f>SUM(Table22[[#This Row],[Good Kernel (gm)]:[Spotted (gm)]])/1000*100</f>
        <v>25.5</v>
      </c>
      <c r="BI145" s="72">
        <f t="shared" si="62"/>
        <v>29.299999999999997</v>
      </c>
      <c r="BJ145" s="73">
        <v>11.4</v>
      </c>
      <c r="BK145" s="73">
        <v>183</v>
      </c>
      <c r="BL145" s="73">
        <v>691</v>
      </c>
      <c r="BM145" s="73">
        <v>28</v>
      </c>
      <c r="BN145" s="73"/>
      <c r="BO145" s="73">
        <v>24</v>
      </c>
      <c r="BP145" s="73">
        <v>0</v>
      </c>
      <c r="BQ145" s="71">
        <f t="shared" si="63"/>
        <v>52</v>
      </c>
      <c r="BR145" s="73">
        <v>231</v>
      </c>
      <c r="BS145" s="73">
        <v>14</v>
      </c>
      <c r="BT145" s="73">
        <v>12</v>
      </c>
      <c r="BU145" s="63">
        <f t="shared" si="67"/>
        <v>257</v>
      </c>
      <c r="BV145" s="72">
        <f>SUM(Table22[[#This Row],[Good Kernel (G M)]]+(Table22[[#This Row],[Immature (g m)]]+Table22[[#This Row],[Spotted (g m)]])/2)*0.176</f>
        <v>42.943999999999996</v>
      </c>
      <c r="BW145" s="73">
        <v>43.03</v>
      </c>
      <c r="BX145" s="73"/>
      <c r="BY145" s="72">
        <f t="shared" si="68"/>
        <v>45.327089999999998</v>
      </c>
      <c r="BZ145" s="72">
        <f t="shared" si="69"/>
        <v>50.265450000000001</v>
      </c>
      <c r="CA145" s="72">
        <f>SUM(Table22[[#This Row],[Good Kernel (G M)]:[Spotted (g m)]])/1000*100</f>
        <v>25.7</v>
      </c>
      <c r="CB145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45" s="73">
        <v>11.1</v>
      </c>
      <c r="CD145" s="73">
        <v>182</v>
      </c>
      <c r="CE145" s="73"/>
      <c r="CF145" s="128"/>
      <c r="CH145" s="184">
        <f ca="1">TODAY()-Table22[[#This Row],[Discharge Date]]</f>
        <v>122</v>
      </c>
    </row>
    <row r="146" spans="1:86" x14ac:dyDescent="0.25">
      <c r="A146" s="50">
        <v>142</v>
      </c>
      <c r="B146" s="60" t="s">
        <v>95</v>
      </c>
      <c r="C146" s="60" t="s">
        <v>96</v>
      </c>
      <c r="D146" s="53">
        <v>142</v>
      </c>
      <c r="E146" s="73"/>
      <c r="F146" s="97">
        <v>643</v>
      </c>
      <c r="G146" s="73"/>
      <c r="H146" s="82"/>
      <c r="I146" s="82"/>
      <c r="J146" s="82"/>
      <c r="K146" s="82" t="s">
        <v>634</v>
      </c>
      <c r="L146" s="82"/>
      <c r="M146" s="100">
        <v>78879</v>
      </c>
      <c r="N146" s="100" t="s">
        <v>687</v>
      </c>
      <c r="O146" s="73" t="s">
        <v>294</v>
      </c>
      <c r="P146" s="97" t="s">
        <v>287</v>
      </c>
      <c r="Q146" s="101">
        <v>46133</v>
      </c>
      <c r="R146" s="102" t="s">
        <v>100</v>
      </c>
      <c r="S146" s="59" t="s">
        <v>101</v>
      </c>
      <c r="T146" s="102"/>
      <c r="U146" s="102"/>
      <c r="V146" s="51" t="s">
        <v>102</v>
      </c>
      <c r="W146" s="73">
        <v>613</v>
      </c>
      <c r="X146" s="73">
        <v>24</v>
      </c>
      <c r="Y146" s="51">
        <f t="shared" si="64"/>
        <v>637</v>
      </c>
      <c r="Z146" s="73"/>
      <c r="AA146" s="61">
        <f t="shared" si="49"/>
        <v>613</v>
      </c>
      <c r="AB146" s="51">
        <f t="shared" si="70"/>
        <v>0</v>
      </c>
      <c r="AC146" s="88">
        <f t="shared" si="56"/>
        <v>613</v>
      </c>
      <c r="AD146" s="63"/>
      <c r="AE146" s="63">
        <f t="shared" si="51"/>
        <v>24</v>
      </c>
      <c r="AF146" s="63">
        <v>24</v>
      </c>
      <c r="AG146" s="63"/>
      <c r="AH146" s="64">
        <f t="shared" si="52"/>
        <v>637</v>
      </c>
      <c r="AI146" s="73"/>
      <c r="AJ146" s="73"/>
      <c r="AK146" s="62">
        <f t="shared" si="53"/>
        <v>637</v>
      </c>
      <c r="AL146" s="62">
        <f t="shared" si="54"/>
        <v>637</v>
      </c>
      <c r="AM146" s="73">
        <v>52790</v>
      </c>
      <c r="AN146" s="124">
        <f t="shared" si="47"/>
        <v>733</v>
      </c>
      <c r="AO146" s="77">
        <f t="shared" si="55"/>
        <v>52153</v>
      </c>
      <c r="AP146" s="77">
        <f>AM146-AN146-100</f>
        <v>51957</v>
      </c>
      <c r="AQ146" s="77">
        <f>+AO146-AE146*4-100</f>
        <v>51957</v>
      </c>
      <c r="AR146" s="67">
        <f t="shared" si="58"/>
        <v>96</v>
      </c>
      <c r="AS146" s="134">
        <f>Table22[[#This Row],[GROSS WT]]-Table22[[#This Row],[Total Bag Discharged (Truck)]]</f>
        <v>52153</v>
      </c>
      <c r="AT146" s="67">
        <f t="shared" si="59"/>
        <v>52153</v>
      </c>
      <c r="AU146" s="73"/>
      <c r="AV146" s="73">
        <v>32</v>
      </c>
      <c r="AW146" s="73">
        <v>14</v>
      </c>
      <c r="AX146" s="73">
        <v>2</v>
      </c>
      <c r="AY146" s="71">
        <f t="shared" si="60"/>
        <v>48</v>
      </c>
      <c r="AZ146" s="70">
        <v>230</v>
      </c>
      <c r="BA146" s="73">
        <v>10</v>
      </c>
      <c r="BB146" s="73">
        <v>20</v>
      </c>
      <c r="BC146" s="63">
        <f t="shared" si="65"/>
        <v>260</v>
      </c>
      <c r="BD146" s="72">
        <f>SUM(Table22[[#This Row],[Good Kernel (gm)]]+(Table22[[#This Row],[Immature (gm)]]+Table22[[#This Row],[Spotted (gm)]])/2)*0.176</f>
        <v>43.12</v>
      </c>
      <c r="BE146" s="73">
        <v>43.21</v>
      </c>
      <c r="BF146" s="72">
        <f t="shared" si="66"/>
        <v>45.856200000000001</v>
      </c>
      <c r="BG146" s="72">
        <f t="shared" si="61"/>
        <v>51.852780000000003</v>
      </c>
      <c r="BH146" s="72">
        <f>SUM(Table22[[#This Row],[Good Kernel (gm)]:[Spotted (gm)]])/1000*100</f>
        <v>26</v>
      </c>
      <c r="BI146" s="72">
        <f t="shared" si="62"/>
        <v>29.4</v>
      </c>
      <c r="BJ146" s="73">
        <v>11.2</v>
      </c>
      <c r="BK146" s="73">
        <v>186</v>
      </c>
      <c r="BL146" s="73">
        <v>685</v>
      </c>
      <c r="BM146" s="73">
        <v>30</v>
      </c>
      <c r="BN146" s="73"/>
      <c r="BO146" s="73">
        <v>16</v>
      </c>
      <c r="BP146" s="73">
        <v>2</v>
      </c>
      <c r="BQ146" s="71">
        <f t="shared" si="63"/>
        <v>48</v>
      </c>
      <c r="BR146" s="73">
        <v>231</v>
      </c>
      <c r="BS146" s="73">
        <v>18</v>
      </c>
      <c r="BT146" s="73">
        <v>15</v>
      </c>
      <c r="BU146" s="63">
        <f t="shared" si="67"/>
        <v>264</v>
      </c>
      <c r="BV146" s="72">
        <f>SUM(Table22[[#This Row],[Good Kernel (G M)]]+(Table22[[#This Row],[Immature (g m)]]+Table22[[#This Row],[Spotted (g m)]])/2)*0.176</f>
        <v>43.559999999999995</v>
      </c>
      <c r="BW146" s="73">
        <v>43.65</v>
      </c>
      <c r="BX146" s="73"/>
      <c r="BY146" s="72">
        <f t="shared" si="68"/>
        <v>46.561680000000003</v>
      </c>
      <c r="BZ146" s="72">
        <f t="shared" si="69"/>
        <v>52.20552</v>
      </c>
      <c r="CA146" s="72">
        <f>SUM(Table22[[#This Row],[Good Kernel (G M)]:[Spotted (g m)]])/1000*100</f>
        <v>26.400000000000002</v>
      </c>
      <c r="CB146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46" s="73">
        <v>11.5</v>
      </c>
      <c r="CD146" s="73">
        <v>185</v>
      </c>
      <c r="CE146" s="73"/>
      <c r="CF146" s="128"/>
      <c r="CH146" s="184">
        <f ca="1">TODAY()-Table22[[#This Row],[Discharge Date]]</f>
        <v>122</v>
      </c>
    </row>
    <row r="147" spans="1:86" x14ac:dyDescent="0.25">
      <c r="A147" s="50">
        <v>143</v>
      </c>
      <c r="B147" s="60" t="s">
        <v>95</v>
      </c>
      <c r="C147" s="60" t="s">
        <v>96</v>
      </c>
      <c r="D147" s="97">
        <v>143</v>
      </c>
      <c r="E147" s="73"/>
      <c r="F147" s="97">
        <v>644</v>
      </c>
      <c r="G147" s="73"/>
      <c r="H147" s="82"/>
      <c r="I147" s="82"/>
      <c r="J147" s="82"/>
      <c r="K147" s="82" t="s">
        <v>634</v>
      </c>
      <c r="L147" s="82"/>
      <c r="M147" s="100">
        <v>30273</v>
      </c>
      <c r="N147" s="100" t="s">
        <v>687</v>
      </c>
      <c r="O147" s="73" t="s">
        <v>295</v>
      </c>
      <c r="P147" s="97" t="s">
        <v>287</v>
      </c>
      <c r="Q147" s="101">
        <v>46133</v>
      </c>
      <c r="R147" s="102" t="s">
        <v>100</v>
      </c>
      <c r="S147" s="102" t="s">
        <v>219</v>
      </c>
      <c r="T147" s="102"/>
      <c r="U147" s="102" t="s">
        <v>220</v>
      </c>
      <c r="V147" s="73" t="s">
        <v>221</v>
      </c>
      <c r="W147" s="73">
        <v>672</v>
      </c>
      <c r="X147" s="73">
        <v>20</v>
      </c>
      <c r="Y147" s="51">
        <f t="shared" si="64"/>
        <v>692</v>
      </c>
      <c r="Z147" s="73"/>
      <c r="AA147" s="61">
        <f t="shared" si="49"/>
        <v>672</v>
      </c>
      <c r="AB147" s="51">
        <f t="shared" si="70"/>
        <v>0</v>
      </c>
      <c r="AC147" s="88">
        <f t="shared" si="56"/>
        <v>672</v>
      </c>
      <c r="AD147" s="63"/>
      <c r="AE147" s="63">
        <f t="shared" si="51"/>
        <v>20</v>
      </c>
      <c r="AF147" s="63">
        <v>47</v>
      </c>
      <c r="AG147" s="63"/>
      <c r="AH147" s="64">
        <f t="shared" si="52"/>
        <v>692</v>
      </c>
      <c r="AI147" s="73"/>
      <c r="AJ147" s="73"/>
      <c r="AK147" s="62">
        <f t="shared" si="53"/>
        <v>692</v>
      </c>
      <c r="AL147" s="62">
        <f t="shared" si="54"/>
        <v>692</v>
      </c>
      <c r="AM147" s="73">
        <v>54410</v>
      </c>
      <c r="AN147" s="124">
        <f t="shared" si="47"/>
        <v>772</v>
      </c>
      <c r="AO147" s="77">
        <f t="shared" si="55"/>
        <v>53718</v>
      </c>
      <c r="AP147" s="77">
        <f t="shared" si="57"/>
        <v>53638</v>
      </c>
      <c r="AQ147" s="77">
        <f t="shared" si="48"/>
        <v>53638</v>
      </c>
      <c r="AR147" s="67">
        <f t="shared" si="58"/>
        <v>80</v>
      </c>
      <c r="AS147" s="134">
        <f>Table22[[#This Row],[GROSS WT]]-Table22[[#This Row],[Total Bag Discharged (Truck)]]</f>
        <v>53718</v>
      </c>
      <c r="AT147" s="67">
        <f t="shared" si="59"/>
        <v>53718</v>
      </c>
      <c r="AU147" s="73"/>
      <c r="AV147" s="73">
        <v>28</v>
      </c>
      <c r="AW147" s="73">
        <v>31</v>
      </c>
      <c r="AX147" s="73">
        <v>0</v>
      </c>
      <c r="AY147" s="71">
        <f t="shared" si="60"/>
        <v>59</v>
      </c>
      <c r="AZ147" s="70">
        <v>235</v>
      </c>
      <c r="BA147" s="73">
        <v>12</v>
      </c>
      <c r="BB147" s="73">
        <v>9</v>
      </c>
      <c r="BC147" s="63">
        <f t="shared" si="65"/>
        <v>256</v>
      </c>
      <c r="BD147" s="72">
        <f>SUM(Table22[[#This Row],[Good Kernel (gm)]]+(Table22[[#This Row],[Immature (gm)]]+Table22[[#This Row],[Spotted (gm)]])/2)*0.176</f>
        <v>43.207999999999998</v>
      </c>
      <c r="BE147" s="73">
        <v>43.29</v>
      </c>
      <c r="BF147" s="72">
        <f t="shared" si="66"/>
        <v>45.15072</v>
      </c>
      <c r="BG147" s="72">
        <f t="shared" si="61"/>
        <v>50.089080000000003</v>
      </c>
      <c r="BH147" s="72">
        <f>SUM(Table22[[#This Row],[Good Kernel (gm)]:[Spotted (gm)]])/1000*100</f>
        <v>25.6</v>
      </c>
      <c r="BI147" s="72">
        <f t="shared" si="62"/>
        <v>28.4</v>
      </c>
      <c r="BJ147" s="73">
        <v>10.199999999999999</v>
      </c>
      <c r="BK147" s="73">
        <v>185</v>
      </c>
      <c r="BL147" s="73">
        <v>679</v>
      </c>
      <c r="BM147" s="73">
        <v>26</v>
      </c>
      <c r="BN147" s="73"/>
      <c r="BO147" s="73">
        <v>29</v>
      </c>
      <c r="BP147" s="73">
        <v>2</v>
      </c>
      <c r="BQ147" s="71">
        <f t="shared" si="63"/>
        <v>57</v>
      </c>
      <c r="BR147" s="73">
        <v>236</v>
      </c>
      <c r="BS147" s="73">
        <v>14</v>
      </c>
      <c r="BT147" s="73">
        <v>11</v>
      </c>
      <c r="BU147" s="63">
        <f t="shared" si="67"/>
        <v>261</v>
      </c>
      <c r="BV147" s="72">
        <f>SUM(Table22[[#This Row],[Good Kernel (G M)]]+(Table22[[#This Row],[Immature (g m)]]+Table22[[#This Row],[Spotted (g m)]])/2)*0.176</f>
        <v>43.735999999999997</v>
      </c>
      <c r="BW147" s="73">
        <v>43.82</v>
      </c>
      <c r="BX147" s="73"/>
      <c r="BY147" s="72">
        <f t="shared" si="68"/>
        <v>46.03257</v>
      </c>
      <c r="BZ147" s="72">
        <f t="shared" si="69"/>
        <v>50.970930000000003</v>
      </c>
      <c r="CA147" s="72">
        <f>SUM(Table22[[#This Row],[Good Kernel (G M)]:[Spotted (g m)]])/1000*100</f>
        <v>26.1</v>
      </c>
      <c r="CB147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147" s="73">
        <v>10.3</v>
      </c>
      <c r="CD147" s="73">
        <v>183</v>
      </c>
      <c r="CE147" s="73"/>
      <c r="CF147" s="128"/>
      <c r="CH147" s="184">
        <f ca="1">TODAY()-Table22[[#This Row],[Discharge Date]]</f>
        <v>122</v>
      </c>
    </row>
    <row r="148" spans="1:86" x14ac:dyDescent="0.25">
      <c r="A148" s="50">
        <v>144</v>
      </c>
      <c r="B148" s="60" t="s">
        <v>95</v>
      </c>
      <c r="C148" s="60" t="s">
        <v>96</v>
      </c>
      <c r="D148" s="97">
        <v>144</v>
      </c>
      <c r="E148" s="73"/>
      <c r="F148" s="97">
        <v>645</v>
      </c>
      <c r="G148" s="73"/>
      <c r="H148" s="82"/>
      <c r="I148" s="82"/>
      <c r="J148" s="82"/>
      <c r="K148" s="82" t="s">
        <v>634</v>
      </c>
      <c r="L148" s="82"/>
      <c r="M148" s="100">
        <v>36086</v>
      </c>
      <c r="N148" s="100" t="s">
        <v>686</v>
      </c>
      <c r="O148" s="73" t="s">
        <v>296</v>
      </c>
      <c r="P148" s="97" t="s">
        <v>287</v>
      </c>
      <c r="Q148" s="101">
        <v>46133</v>
      </c>
      <c r="R148" s="102" t="s">
        <v>297</v>
      </c>
      <c r="S148" s="103" t="s">
        <v>526</v>
      </c>
      <c r="T148" s="102"/>
      <c r="U148" s="102" t="s">
        <v>417</v>
      </c>
      <c r="V148" s="73" t="s">
        <v>298</v>
      </c>
      <c r="W148" s="73">
        <v>387</v>
      </c>
      <c r="X148" s="73">
        <v>26</v>
      </c>
      <c r="Y148" s="51">
        <f t="shared" si="64"/>
        <v>413</v>
      </c>
      <c r="Z148" s="73"/>
      <c r="AA148" s="61">
        <f t="shared" si="49"/>
        <v>387</v>
      </c>
      <c r="AB148" s="51">
        <f t="shared" si="70"/>
        <v>0</v>
      </c>
      <c r="AC148" s="88">
        <f t="shared" si="56"/>
        <v>387</v>
      </c>
      <c r="AD148" s="63"/>
      <c r="AE148" s="63">
        <f t="shared" si="51"/>
        <v>26</v>
      </c>
      <c r="AF148" s="63">
        <v>17</v>
      </c>
      <c r="AG148" s="63"/>
      <c r="AH148" s="64">
        <f t="shared" si="52"/>
        <v>413</v>
      </c>
      <c r="AI148" s="73"/>
      <c r="AJ148" s="73"/>
      <c r="AK148" s="62">
        <f t="shared" si="53"/>
        <v>413</v>
      </c>
      <c r="AL148" s="62">
        <f t="shared" si="54"/>
        <v>413</v>
      </c>
      <c r="AM148" s="73">
        <v>39220</v>
      </c>
      <c r="AN148" s="124">
        <f t="shared" si="47"/>
        <v>517</v>
      </c>
      <c r="AO148" s="77">
        <f t="shared" si="55"/>
        <v>38807</v>
      </c>
      <c r="AP148" s="77">
        <f>AM148-AN148-104</f>
        <v>38599</v>
      </c>
      <c r="AQ148" s="77">
        <f>+AO148-AE148*8</f>
        <v>38599</v>
      </c>
      <c r="AR148" s="67">
        <f t="shared" si="58"/>
        <v>104</v>
      </c>
      <c r="AS148" s="134">
        <f>Table22[[#This Row],[GROSS WT]]-Table22[[#This Row],[Total Bag Discharged (Truck)]]</f>
        <v>38807</v>
      </c>
      <c r="AT148" s="67">
        <f t="shared" si="59"/>
        <v>38807</v>
      </c>
      <c r="AU148" s="73"/>
      <c r="AV148" s="73">
        <v>31</v>
      </c>
      <c r="AW148" s="73">
        <v>17</v>
      </c>
      <c r="AX148" s="73">
        <v>0</v>
      </c>
      <c r="AY148" s="71">
        <f t="shared" si="60"/>
        <v>48</v>
      </c>
      <c r="AZ148" s="70">
        <v>229</v>
      </c>
      <c r="BA148" s="73">
        <v>12</v>
      </c>
      <c r="BB148" s="73">
        <v>13</v>
      </c>
      <c r="BC148" s="63">
        <f t="shared" si="65"/>
        <v>254</v>
      </c>
      <c r="BD148" s="72">
        <f>SUM(Table22[[#This Row],[Good Kernel (gm)]]+(Table22[[#This Row],[Immature (gm)]]+Table22[[#This Row],[Spotted (gm)]])/2)*0.176</f>
        <v>42.503999999999998</v>
      </c>
      <c r="BE148" s="73">
        <v>42.59</v>
      </c>
      <c r="BF148" s="72">
        <f t="shared" si="66"/>
        <v>44.797980000000003</v>
      </c>
      <c r="BG148" s="72">
        <f t="shared" si="61"/>
        <v>50.265450000000001</v>
      </c>
      <c r="BH148" s="72">
        <f>SUM(Table22[[#This Row],[Good Kernel (gm)]:[Spotted (gm)]])/1000*100</f>
        <v>25.4</v>
      </c>
      <c r="BI148" s="72">
        <f t="shared" si="62"/>
        <v>28.499999999999996</v>
      </c>
      <c r="BJ148" s="73">
        <v>11.8</v>
      </c>
      <c r="BK148" s="73">
        <v>168</v>
      </c>
      <c r="BL148" s="73">
        <v>692</v>
      </c>
      <c r="BM148" s="73">
        <v>29</v>
      </c>
      <c r="BN148" s="73"/>
      <c r="BO148" s="73">
        <v>15</v>
      </c>
      <c r="BP148" s="73">
        <v>2</v>
      </c>
      <c r="BQ148" s="71">
        <f t="shared" si="63"/>
        <v>46</v>
      </c>
      <c r="BR148" s="73">
        <v>228</v>
      </c>
      <c r="BS148" s="73">
        <v>19</v>
      </c>
      <c r="BT148" s="73">
        <v>14</v>
      </c>
      <c r="BU148" s="63">
        <f t="shared" si="67"/>
        <v>261</v>
      </c>
      <c r="BV148" s="72">
        <f>SUM(Table22[[#This Row],[Good Kernel (G M)]]+(Table22[[#This Row],[Immature (g m)]]+Table22[[#This Row],[Spotted (g m)]])/2)*0.176</f>
        <v>43.031999999999996</v>
      </c>
      <c r="BW148" s="73">
        <v>43.12</v>
      </c>
      <c r="BX148" s="73"/>
      <c r="BY148" s="72">
        <f t="shared" si="68"/>
        <v>46.03257</v>
      </c>
      <c r="BZ148" s="72">
        <f t="shared" si="69"/>
        <v>51.500039999999998</v>
      </c>
      <c r="CA148" s="72">
        <f>SUM(Table22[[#This Row],[Good Kernel (G M)]:[Spotted (g m)]])/1000*100</f>
        <v>26.1</v>
      </c>
      <c r="CB148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48" s="73">
        <v>11.7</v>
      </c>
      <c r="CD148" s="73">
        <v>167</v>
      </c>
      <c r="CE148" s="73"/>
      <c r="CF148" s="128"/>
      <c r="CH148" s="184">
        <f ca="1">TODAY()-Table22[[#This Row],[Discharge Date]]</f>
        <v>122</v>
      </c>
    </row>
    <row r="149" spans="1:86" x14ac:dyDescent="0.25">
      <c r="A149" s="50">
        <v>145</v>
      </c>
      <c r="B149" s="60" t="s">
        <v>95</v>
      </c>
      <c r="C149" s="60" t="s">
        <v>96</v>
      </c>
      <c r="D149" s="97">
        <v>145</v>
      </c>
      <c r="E149" s="73"/>
      <c r="F149" s="97">
        <v>646</v>
      </c>
      <c r="G149" s="73"/>
      <c r="H149" s="73"/>
      <c r="I149" s="73"/>
      <c r="J149" s="73"/>
      <c r="K149" s="97" t="s">
        <v>634</v>
      </c>
      <c r="L149" s="73"/>
      <c r="M149" s="100">
        <v>78891</v>
      </c>
      <c r="N149" s="100" t="s">
        <v>687</v>
      </c>
      <c r="O149" s="73" t="s">
        <v>299</v>
      </c>
      <c r="P149" s="97" t="s">
        <v>287</v>
      </c>
      <c r="Q149" s="101">
        <v>46134</v>
      </c>
      <c r="R149" s="102" t="s">
        <v>100</v>
      </c>
      <c r="S149" s="59" t="s">
        <v>101</v>
      </c>
      <c r="T149" s="102"/>
      <c r="U149" s="102"/>
      <c r="V149" s="51" t="s">
        <v>102</v>
      </c>
      <c r="W149" s="73">
        <v>572</v>
      </c>
      <c r="X149" s="73">
        <v>20</v>
      </c>
      <c r="Y149" s="51">
        <f t="shared" si="64"/>
        <v>592</v>
      </c>
      <c r="Z149" s="73"/>
      <c r="AA149" s="61">
        <f t="shared" si="49"/>
        <v>572</v>
      </c>
      <c r="AB149" s="51">
        <f t="shared" si="70"/>
        <v>0</v>
      </c>
      <c r="AC149" s="88">
        <f t="shared" si="56"/>
        <v>572</v>
      </c>
      <c r="AD149" s="63"/>
      <c r="AE149" s="63">
        <f t="shared" si="51"/>
        <v>20</v>
      </c>
      <c r="AF149" s="63">
        <v>24</v>
      </c>
      <c r="AG149" s="63"/>
      <c r="AH149" s="64">
        <f t="shared" si="52"/>
        <v>592</v>
      </c>
      <c r="AI149" s="73"/>
      <c r="AJ149" s="73"/>
      <c r="AK149" s="62">
        <f t="shared" si="53"/>
        <v>592</v>
      </c>
      <c r="AL149" s="62">
        <f t="shared" si="54"/>
        <v>592</v>
      </c>
      <c r="AM149" s="73">
        <v>48900</v>
      </c>
      <c r="AN149" s="124">
        <f t="shared" si="47"/>
        <v>672</v>
      </c>
      <c r="AO149" s="77">
        <f t="shared" si="55"/>
        <v>48308</v>
      </c>
      <c r="AP149" s="77">
        <f t="shared" si="57"/>
        <v>48228</v>
      </c>
      <c r="AQ149" s="77">
        <f t="shared" si="48"/>
        <v>48228</v>
      </c>
      <c r="AR149" s="67">
        <f t="shared" si="58"/>
        <v>80</v>
      </c>
      <c r="AS149" s="134">
        <f>Table22[[#This Row],[GROSS WT]]-Table22[[#This Row],[Total Bag Discharged (Truck)]]</f>
        <v>48308</v>
      </c>
      <c r="AT149" s="67">
        <f t="shared" si="59"/>
        <v>48308</v>
      </c>
      <c r="AU149" s="73"/>
      <c r="AV149" s="73">
        <v>34</v>
      </c>
      <c r="AW149" s="73">
        <v>23</v>
      </c>
      <c r="AX149" s="73">
        <v>0</v>
      </c>
      <c r="AY149" s="71">
        <f t="shared" si="60"/>
        <v>57</v>
      </c>
      <c r="AZ149" s="70">
        <v>231</v>
      </c>
      <c r="BA149" s="73">
        <v>12</v>
      </c>
      <c r="BB149" s="73">
        <v>11</v>
      </c>
      <c r="BC149" s="63">
        <f t="shared" si="65"/>
        <v>254</v>
      </c>
      <c r="BD149" s="72">
        <f>SUM(Table22[[#This Row],[Good Kernel (gm)]]+(Table22[[#This Row],[Immature (gm)]]+Table22[[#This Row],[Spotted (gm)]])/2)*0.176</f>
        <v>42.68</v>
      </c>
      <c r="BE149" s="73">
        <v>42.76</v>
      </c>
      <c r="BF149" s="72">
        <f t="shared" si="66"/>
        <v>44.797980000000003</v>
      </c>
      <c r="BG149" s="72">
        <f t="shared" si="61"/>
        <v>50.794559999999997</v>
      </c>
      <c r="BH149" s="72">
        <f>SUM(Table22[[#This Row],[Good Kernel (gm)]:[Spotted (gm)]])/1000*100</f>
        <v>25.4</v>
      </c>
      <c r="BI149" s="72">
        <f t="shared" si="62"/>
        <v>28.799999999999997</v>
      </c>
      <c r="BJ149" s="73">
        <v>10.5</v>
      </c>
      <c r="BK149" s="73">
        <v>183</v>
      </c>
      <c r="BL149" s="73">
        <v>683</v>
      </c>
      <c r="BM149" s="73">
        <v>31</v>
      </c>
      <c r="BN149" s="73"/>
      <c r="BO149" s="73">
        <v>22</v>
      </c>
      <c r="BP149" s="73"/>
      <c r="BQ149" s="71">
        <f t="shared" si="63"/>
        <v>53</v>
      </c>
      <c r="BR149" s="73">
        <v>234</v>
      </c>
      <c r="BS149" s="73">
        <v>14</v>
      </c>
      <c r="BT149" s="73">
        <v>12</v>
      </c>
      <c r="BU149" s="63">
        <f t="shared" si="67"/>
        <v>260</v>
      </c>
      <c r="BV149" s="72">
        <f>SUM(Table22[[#This Row],[Good Kernel (G M)]]+(Table22[[#This Row],[Immature (g m)]]+Table22[[#This Row],[Spotted (g m)]])/2)*0.176</f>
        <v>43.471999999999994</v>
      </c>
      <c r="BW149" s="73">
        <v>43.56</v>
      </c>
      <c r="BX149" s="73"/>
      <c r="BY149" s="72">
        <f t="shared" si="68"/>
        <v>45.856200000000001</v>
      </c>
      <c r="BZ149" s="72">
        <f t="shared" si="69"/>
        <v>51.32367</v>
      </c>
      <c r="CA149" s="72">
        <f>SUM(Table22[[#This Row],[Good Kernel (G M)]:[Spotted (g m)]])/1000*100</f>
        <v>26</v>
      </c>
      <c r="CB149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49" s="73">
        <v>10.6</v>
      </c>
      <c r="CD149" s="73">
        <v>181</v>
      </c>
      <c r="CE149" s="73"/>
      <c r="CH149" s="184">
        <f ca="1">TODAY()-Table22[[#This Row],[Discharge Date]]</f>
        <v>121</v>
      </c>
    </row>
    <row r="150" spans="1:86" x14ac:dyDescent="0.25">
      <c r="A150" s="50">
        <v>146</v>
      </c>
      <c r="B150" s="60" t="s">
        <v>95</v>
      </c>
      <c r="C150" s="60" t="s">
        <v>96</v>
      </c>
      <c r="D150" s="97">
        <v>146</v>
      </c>
      <c r="E150" s="73"/>
      <c r="F150" s="97">
        <v>647</v>
      </c>
      <c r="G150" s="73"/>
      <c r="H150" s="73"/>
      <c r="I150" s="73"/>
      <c r="J150" s="73"/>
      <c r="K150" s="97" t="s">
        <v>634</v>
      </c>
      <c r="L150" s="73"/>
      <c r="M150" s="100">
        <v>78888</v>
      </c>
      <c r="N150" s="100" t="s">
        <v>684</v>
      </c>
      <c r="O150" s="73" t="s">
        <v>262</v>
      </c>
      <c r="P150" s="97" t="s">
        <v>300</v>
      </c>
      <c r="Q150" s="101">
        <v>46134</v>
      </c>
      <c r="R150" s="102" t="s">
        <v>100</v>
      </c>
      <c r="S150" s="59" t="s">
        <v>101</v>
      </c>
      <c r="T150" s="102"/>
      <c r="U150" s="102"/>
      <c r="V150" s="51" t="s">
        <v>102</v>
      </c>
      <c r="W150" s="73">
        <v>552</v>
      </c>
      <c r="X150" s="73">
        <v>35</v>
      </c>
      <c r="Y150" s="51">
        <f t="shared" si="64"/>
        <v>587</v>
      </c>
      <c r="Z150" s="73"/>
      <c r="AA150" s="61">
        <f t="shared" si="49"/>
        <v>552</v>
      </c>
      <c r="AB150" s="51">
        <f t="shared" si="70"/>
        <v>0</v>
      </c>
      <c r="AC150" s="88">
        <f t="shared" si="56"/>
        <v>552</v>
      </c>
      <c r="AD150" s="63"/>
      <c r="AE150" s="63">
        <f t="shared" si="51"/>
        <v>35</v>
      </c>
      <c r="AF150" s="63">
        <v>27</v>
      </c>
      <c r="AG150" s="63"/>
      <c r="AH150" s="64">
        <f t="shared" si="52"/>
        <v>587</v>
      </c>
      <c r="AI150" s="73"/>
      <c r="AJ150" s="73"/>
      <c r="AK150" s="62">
        <f t="shared" si="53"/>
        <v>587</v>
      </c>
      <c r="AL150" s="62">
        <f t="shared" si="54"/>
        <v>587</v>
      </c>
      <c r="AM150" s="73">
        <v>51770</v>
      </c>
      <c r="AN150" s="124">
        <f t="shared" si="47"/>
        <v>727</v>
      </c>
      <c r="AO150" s="77">
        <f t="shared" si="55"/>
        <v>51183</v>
      </c>
      <c r="AP150" s="77">
        <f>AM150-AN150-140</f>
        <v>50903</v>
      </c>
      <c r="AQ150" s="77">
        <f>+AO150-AE150*8</f>
        <v>50903</v>
      </c>
      <c r="AR150" s="67">
        <f t="shared" si="58"/>
        <v>140</v>
      </c>
      <c r="AS150" s="134">
        <f>Table22[[#This Row],[GROSS WT]]-Table22[[#This Row],[Total Bag Discharged (Truck)]]</f>
        <v>51183</v>
      </c>
      <c r="AT150" s="67">
        <f t="shared" si="59"/>
        <v>51183</v>
      </c>
      <c r="AU150" s="73"/>
      <c r="AV150" s="73">
        <v>24</v>
      </c>
      <c r="AW150" s="73">
        <v>22</v>
      </c>
      <c r="AX150" s="73">
        <v>3</v>
      </c>
      <c r="AY150" s="71">
        <f t="shared" si="60"/>
        <v>49</v>
      </c>
      <c r="AZ150" s="70">
        <v>240</v>
      </c>
      <c r="BA150" s="73">
        <v>14</v>
      </c>
      <c r="BB150" s="73">
        <v>6</v>
      </c>
      <c r="BC150" s="63">
        <f t="shared" si="65"/>
        <v>260</v>
      </c>
      <c r="BD150" s="72">
        <f>SUM(Table22[[#This Row],[Good Kernel (gm)]]+(Table22[[#This Row],[Immature (gm)]]+Table22[[#This Row],[Spotted (gm)]])/2)*0.176</f>
        <v>44</v>
      </c>
      <c r="BE150" s="73">
        <v>44.09</v>
      </c>
      <c r="BF150" s="72">
        <f t="shared" si="66"/>
        <v>45.856200000000001</v>
      </c>
      <c r="BG150" s="72">
        <f t="shared" si="61"/>
        <v>50.618189999999998</v>
      </c>
      <c r="BH150" s="72">
        <f>SUM(Table22[[#This Row],[Good Kernel (gm)]:[Spotted (gm)]])/1000*100</f>
        <v>26</v>
      </c>
      <c r="BI150" s="72">
        <f t="shared" si="62"/>
        <v>28.7</v>
      </c>
      <c r="BJ150" s="73">
        <v>12.1</v>
      </c>
      <c r="BK150" s="73">
        <v>186</v>
      </c>
      <c r="BL150" s="73">
        <v>685</v>
      </c>
      <c r="BM150" s="73">
        <v>26</v>
      </c>
      <c r="BN150" s="73"/>
      <c r="BO150" s="73">
        <v>21</v>
      </c>
      <c r="BP150" s="73">
        <v>2</v>
      </c>
      <c r="BQ150" s="71">
        <f t="shared" si="63"/>
        <v>49</v>
      </c>
      <c r="BR150" s="73">
        <v>238</v>
      </c>
      <c r="BS150" s="73">
        <v>16</v>
      </c>
      <c r="BT150" s="73">
        <v>14</v>
      </c>
      <c r="BU150" s="63">
        <f t="shared" si="67"/>
        <v>268</v>
      </c>
      <c r="BV150" s="72">
        <f>SUM(Table22[[#This Row],[Good Kernel (G M)]]+(Table22[[#This Row],[Immature (g m)]]+Table22[[#This Row],[Spotted (g m)]])/2)*0.176</f>
        <v>44.527999999999999</v>
      </c>
      <c r="BW150" s="73">
        <v>44.62</v>
      </c>
      <c r="BX150" s="73"/>
      <c r="BY150" s="72">
        <f t="shared" si="68"/>
        <v>47.267159999999997</v>
      </c>
      <c r="BZ150" s="72">
        <f t="shared" si="69"/>
        <v>52.20552</v>
      </c>
      <c r="CA150" s="72">
        <f>SUM(Table22[[#This Row],[Good Kernel (G M)]:[Spotted (g m)]])/1000*100</f>
        <v>26.8</v>
      </c>
      <c r="CB150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50" s="73">
        <v>12.2</v>
      </c>
      <c r="CD150" s="73">
        <v>187</v>
      </c>
      <c r="CE150" s="73"/>
      <c r="CH150" s="184">
        <f ca="1">TODAY()-Table22[[#This Row],[Discharge Date]]</f>
        <v>121</v>
      </c>
    </row>
    <row r="151" spans="1:86" x14ac:dyDescent="0.25">
      <c r="A151" s="50">
        <v>147</v>
      </c>
      <c r="B151" s="60" t="s">
        <v>95</v>
      </c>
      <c r="C151" s="60" t="s">
        <v>96</v>
      </c>
      <c r="D151" s="97">
        <v>147</v>
      </c>
      <c r="E151" s="73"/>
      <c r="F151" s="97">
        <v>648</v>
      </c>
      <c r="G151" s="73"/>
      <c r="H151" s="73"/>
      <c r="I151" s="73"/>
      <c r="J151" s="73"/>
      <c r="K151" s="97" t="s">
        <v>634</v>
      </c>
      <c r="L151" s="73"/>
      <c r="M151" s="100">
        <v>78877</v>
      </c>
      <c r="N151" s="100" t="s">
        <v>686</v>
      </c>
      <c r="O151" s="73" t="s">
        <v>171</v>
      </c>
      <c r="P151" s="97" t="s">
        <v>287</v>
      </c>
      <c r="Q151" s="101">
        <v>46135</v>
      </c>
      <c r="R151" s="102" t="s">
        <v>100</v>
      </c>
      <c r="S151" s="59" t="s">
        <v>101</v>
      </c>
      <c r="T151" s="102"/>
      <c r="U151" s="102"/>
      <c r="V151" s="51" t="s">
        <v>102</v>
      </c>
      <c r="W151" s="73">
        <v>517</v>
      </c>
      <c r="X151" s="73"/>
      <c r="Y151" s="51">
        <f t="shared" si="64"/>
        <v>517</v>
      </c>
      <c r="Z151" s="73"/>
      <c r="AA151" s="61">
        <f t="shared" si="49"/>
        <v>517</v>
      </c>
      <c r="AB151" s="51">
        <f t="shared" si="70"/>
        <v>0</v>
      </c>
      <c r="AC151" s="88">
        <f t="shared" si="56"/>
        <v>517</v>
      </c>
      <c r="AD151" s="63">
        <v>24</v>
      </c>
      <c r="AE151" s="63">
        <f t="shared" si="51"/>
        <v>0</v>
      </c>
      <c r="AF151" s="63">
        <v>8</v>
      </c>
      <c r="AG151" s="63"/>
      <c r="AH151" s="64">
        <f>AC151+AE151+Table22[[#This Row],[Humid Sacs]]-24</f>
        <v>517</v>
      </c>
      <c r="AI151" s="73"/>
      <c r="AJ151" s="73"/>
      <c r="AK151" s="62">
        <f t="shared" si="53"/>
        <v>517</v>
      </c>
      <c r="AL151" s="62">
        <f t="shared" si="54"/>
        <v>517</v>
      </c>
      <c r="AM151" s="73">
        <v>41670</v>
      </c>
      <c r="AN151" s="124">
        <f>(AD151*8)+(AE151*4)+(AG151*0)+(AH151*1)</f>
        <v>709</v>
      </c>
      <c r="AO151" s="77">
        <f t="shared" si="55"/>
        <v>41153</v>
      </c>
      <c r="AP151" s="77">
        <f t="shared" si="57"/>
        <v>40961</v>
      </c>
      <c r="AQ151" s="77">
        <f>+AO151-AE151*4-192</f>
        <v>40961</v>
      </c>
      <c r="AR151" s="67">
        <f t="shared" si="58"/>
        <v>960</v>
      </c>
      <c r="AS151" s="134">
        <f>Table22[[#This Row],[GROSS WT]]-Table22[[#This Row],[Total Bag Discharged (Truck)]]</f>
        <v>41153</v>
      </c>
      <c r="AT151" s="67">
        <f t="shared" si="59"/>
        <v>41153</v>
      </c>
      <c r="AU151" s="73"/>
      <c r="AV151" s="73">
        <v>44</v>
      </c>
      <c r="AW151" s="73">
        <v>29</v>
      </c>
      <c r="AX151" s="73">
        <v>2</v>
      </c>
      <c r="AY151" s="71">
        <f t="shared" si="60"/>
        <v>75</v>
      </c>
      <c r="AZ151" s="70">
        <v>227</v>
      </c>
      <c r="BA151" s="73">
        <v>14</v>
      </c>
      <c r="BB151" s="73">
        <v>12</v>
      </c>
      <c r="BC151" s="63">
        <f t="shared" si="65"/>
        <v>253</v>
      </c>
      <c r="BD151" s="72">
        <f>SUM(Table22[[#This Row],[Good Kernel (gm)]]+(Table22[[#This Row],[Immature (gm)]]+Table22[[#This Row],[Spotted (gm)]])/2)*0.176</f>
        <v>42.239999999999995</v>
      </c>
      <c r="BE151" s="73">
        <v>42.32</v>
      </c>
      <c r="BF151" s="72">
        <f t="shared" si="66"/>
        <v>44.621609999999997</v>
      </c>
      <c r="BG151" s="72">
        <f t="shared" si="61"/>
        <v>52.734630000000003</v>
      </c>
      <c r="BH151" s="72">
        <f>SUM(Table22[[#This Row],[Good Kernel (gm)]:[Spotted (gm)]])/1000*100</f>
        <v>25.3</v>
      </c>
      <c r="BI151" s="72">
        <f t="shared" si="62"/>
        <v>29.9</v>
      </c>
      <c r="BJ151" s="73">
        <v>11</v>
      </c>
      <c r="BK151" s="73">
        <v>187</v>
      </c>
      <c r="BL151" s="73">
        <v>665</v>
      </c>
      <c r="BM151" s="73">
        <v>41</v>
      </c>
      <c r="BN151" s="73"/>
      <c r="BO151" s="73">
        <v>27</v>
      </c>
      <c r="BP151" s="73">
        <v>0</v>
      </c>
      <c r="BQ151" s="71">
        <f t="shared" si="63"/>
        <v>68</v>
      </c>
      <c r="BR151" s="73">
        <v>230</v>
      </c>
      <c r="BS151" s="73">
        <v>12</v>
      </c>
      <c r="BT151" s="73">
        <v>14</v>
      </c>
      <c r="BU151" s="63">
        <f t="shared" si="67"/>
        <v>256</v>
      </c>
      <c r="BV151" s="72">
        <f>SUM(Table22[[#This Row],[Good Kernel (G M)]]+(Table22[[#This Row],[Immature (g m)]]+Table22[[#This Row],[Spotted (g m)]])/2)*0.176</f>
        <v>42.768000000000001</v>
      </c>
      <c r="BW151" s="73">
        <v>42.85</v>
      </c>
      <c r="BX151" s="73"/>
      <c r="BY151" s="72">
        <f t="shared" si="68"/>
        <v>45.15072</v>
      </c>
      <c r="BZ151" s="72">
        <f t="shared" si="69"/>
        <v>52.381889999999999</v>
      </c>
      <c r="CA151" s="72">
        <f>SUM(Table22[[#This Row],[Good Kernel (G M)]:[Spotted (g m)]])/1000*100</f>
        <v>25.6</v>
      </c>
      <c r="CB15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151" s="73">
        <v>10.9</v>
      </c>
      <c r="CD151" s="73">
        <v>185</v>
      </c>
      <c r="CE151" s="73"/>
      <c r="CH151" s="184">
        <f ca="1">TODAY()-Table22[[#This Row],[Discharge Date]]</f>
        <v>120</v>
      </c>
    </row>
    <row r="152" spans="1:86" x14ac:dyDescent="0.25">
      <c r="A152" s="50">
        <v>148</v>
      </c>
      <c r="B152" s="60" t="s">
        <v>95</v>
      </c>
      <c r="C152" s="60" t="s">
        <v>96</v>
      </c>
      <c r="D152" s="97">
        <v>148</v>
      </c>
      <c r="E152" s="73"/>
      <c r="F152" s="97">
        <v>649</v>
      </c>
      <c r="G152" s="73"/>
      <c r="H152" s="73"/>
      <c r="I152" s="73"/>
      <c r="J152" s="73"/>
      <c r="K152" s="97" t="s">
        <v>634</v>
      </c>
      <c r="L152" s="73"/>
      <c r="M152" s="100">
        <v>82288</v>
      </c>
      <c r="N152" s="100" t="s">
        <v>686</v>
      </c>
      <c r="O152" s="73" t="s">
        <v>301</v>
      </c>
      <c r="P152" s="97" t="s">
        <v>259</v>
      </c>
      <c r="Q152" s="101">
        <v>46135</v>
      </c>
      <c r="R152" s="102" t="s">
        <v>302</v>
      </c>
      <c r="S152" s="103" t="s">
        <v>179</v>
      </c>
      <c r="T152" s="102"/>
      <c r="U152" s="102"/>
      <c r="V152" s="73" t="s">
        <v>180</v>
      </c>
      <c r="W152" s="73">
        <v>247</v>
      </c>
      <c r="X152" s="73">
        <v>11</v>
      </c>
      <c r="Y152" s="51">
        <f t="shared" si="64"/>
        <v>258</v>
      </c>
      <c r="Z152" s="73"/>
      <c r="AA152" s="61">
        <f t="shared" si="49"/>
        <v>247</v>
      </c>
      <c r="AB152" s="51">
        <f t="shared" si="70"/>
        <v>0</v>
      </c>
      <c r="AC152" s="88">
        <f t="shared" si="56"/>
        <v>247</v>
      </c>
      <c r="AD152" s="63"/>
      <c r="AE152" s="63">
        <f t="shared" si="51"/>
        <v>11</v>
      </c>
      <c r="AF152" s="63">
        <v>17</v>
      </c>
      <c r="AG152" s="63"/>
      <c r="AH152" s="64">
        <f>AC152+AE152+Table22[[#This Row],[Humid Sacs]]</f>
        <v>258</v>
      </c>
      <c r="AI152" s="73"/>
      <c r="AJ152" s="73"/>
      <c r="AK152" s="62">
        <f t="shared" si="53"/>
        <v>258</v>
      </c>
      <c r="AL152" s="62">
        <f t="shared" si="54"/>
        <v>258</v>
      </c>
      <c r="AM152" s="73">
        <v>20490</v>
      </c>
      <c r="AN152" s="124">
        <f t="shared" ref="AN152:AN156" si="71">(AD152*40)+(AE152*4)+(AG152*0)+(AH152*1)</f>
        <v>302</v>
      </c>
      <c r="AO152" s="77">
        <f t="shared" si="55"/>
        <v>20232</v>
      </c>
      <c r="AP152" s="77">
        <f t="shared" si="57"/>
        <v>20188</v>
      </c>
      <c r="AQ152" s="77">
        <f t="shared" ref="AQ152:AQ161" si="72">+AO152-AE152*4</f>
        <v>20188</v>
      </c>
      <c r="AR152" s="67">
        <f t="shared" si="58"/>
        <v>44</v>
      </c>
      <c r="AS152" s="134">
        <f>Table22[[#This Row],[GROSS WT]]-Table22[[#This Row],[Total Bag Discharged (Truck)]]</f>
        <v>20232</v>
      </c>
      <c r="AT152" s="67">
        <f t="shared" si="59"/>
        <v>20232</v>
      </c>
      <c r="AU152" s="73"/>
      <c r="AV152" s="73">
        <v>52</v>
      </c>
      <c r="AW152" s="73">
        <v>6</v>
      </c>
      <c r="AX152" s="73">
        <v>0</v>
      </c>
      <c r="AY152" s="71">
        <f t="shared" si="60"/>
        <v>58</v>
      </c>
      <c r="AZ152" s="70">
        <v>224</v>
      </c>
      <c r="BA152" s="73">
        <v>20</v>
      </c>
      <c r="BB152" s="73">
        <v>8</v>
      </c>
      <c r="BC152" s="63">
        <f t="shared" si="65"/>
        <v>252</v>
      </c>
      <c r="BD152" s="72">
        <f>SUM(Table22[[#This Row],[Good Kernel (gm)]]+(Table22[[#This Row],[Immature (gm)]]+Table22[[#This Row],[Spotted (gm)]])/2)*0.176</f>
        <v>41.887999999999998</v>
      </c>
      <c r="BE152" s="73">
        <v>41.97</v>
      </c>
      <c r="BF152" s="72">
        <f t="shared" si="66"/>
        <v>44.445239999999998</v>
      </c>
      <c r="BG152" s="72">
        <f t="shared" si="61"/>
        <v>53.616480000000003</v>
      </c>
      <c r="BH152" s="72">
        <f>SUM(Table22[[#This Row],[Good Kernel (gm)]:[Spotted (gm)]])/1000*100</f>
        <v>25.2</v>
      </c>
      <c r="BI152" s="72">
        <f t="shared" si="62"/>
        <v>30.4</v>
      </c>
      <c r="BJ152" s="73">
        <v>9</v>
      </c>
      <c r="BK152" s="73">
        <v>181</v>
      </c>
      <c r="BL152" s="73">
        <v>684</v>
      </c>
      <c r="BM152" s="73">
        <v>48</v>
      </c>
      <c r="BN152" s="73"/>
      <c r="BO152" s="73">
        <v>8</v>
      </c>
      <c r="BP152" s="73">
        <v>0</v>
      </c>
      <c r="BQ152" s="71">
        <f t="shared" si="63"/>
        <v>56</v>
      </c>
      <c r="BR152" s="73">
        <v>227</v>
      </c>
      <c r="BS152" s="73">
        <v>18</v>
      </c>
      <c r="BT152" s="73">
        <v>10</v>
      </c>
      <c r="BU152" s="63">
        <f t="shared" si="67"/>
        <v>255</v>
      </c>
      <c r="BV152" s="72">
        <f>SUM(Table22[[#This Row],[Good Kernel (G M)]]+(Table22[[#This Row],[Immature (g m)]]+Table22[[#This Row],[Spotted (g m)]])/2)*0.176</f>
        <v>42.415999999999997</v>
      </c>
      <c r="BW152" s="73">
        <v>42.5</v>
      </c>
      <c r="BX152" s="73"/>
      <c r="BY152" s="72">
        <f t="shared" si="68"/>
        <v>44.974350000000001</v>
      </c>
      <c r="BZ152" s="72">
        <f t="shared" si="69"/>
        <v>53.440109999999997</v>
      </c>
      <c r="CA152" s="72">
        <f>SUM(Table22[[#This Row],[Good Kernel (G M)]:[Spotted (g m)]])/1000*100</f>
        <v>25.5</v>
      </c>
      <c r="CB152" s="72">
        <f>(Table22[[#This Row],[BROWNS/Rejection (gm) (NUT)]]+Table22[[#This Row],[OIL (g m)]]+Table22[[#This Row],[Good Kernel (G M)]]+Table22[[#This Row],[Immature (g m)]]+Table22[[#This Row],[Spotted (g m)]])/1000*100</f>
        <v>30.3</v>
      </c>
      <c r="CC152" s="73">
        <v>9.1999999999999993</v>
      </c>
      <c r="CD152" s="73">
        <v>183</v>
      </c>
      <c r="CE152" s="73"/>
      <c r="CH152" s="184">
        <f ca="1">TODAY()-Table22[[#This Row],[Discharge Date]]</f>
        <v>120</v>
      </c>
    </row>
    <row r="153" spans="1:86" x14ac:dyDescent="0.25">
      <c r="A153" s="50">
        <v>149</v>
      </c>
      <c r="B153" s="60" t="s">
        <v>95</v>
      </c>
      <c r="C153" s="60" t="s">
        <v>96</v>
      </c>
      <c r="D153" s="97">
        <v>149</v>
      </c>
      <c r="E153" s="73"/>
      <c r="F153" s="97">
        <v>650</v>
      </c>
      <c r="G153" s="73"/>
      <c r="H153" s="73"/>
      <c r="I153" s="73"/>
      <c r="J153" s="73"/>
      <c r="K153" s="97" t="s">
        <v>634</v>
      </c>
      <c r="L153" s="73"/>
      <c r="M153" s="100">
        <v>23297</v>
      </c>
      <c r="N153" s="100" t="s">
        <v>687</v>
      </c>
      <c r="O153" s="73" t="s">
        <v>203</v>
      </c>
      <c r="P153" s="97" t="s">
        <v>270</v>
      </c>
      <c r="Q153" s="101">
        <v>46135</v>
      </c>
      <c r="R153" s="102" t="s">
        <v>303</v>
      </c>
      <c r="S153" s="103" t="s">
        <v>205</v>
      </c>
      <c r="T153" s="102"/>
      <c r="U153" s="102"/>
      <c r="V153" s="73" t="s">
        <v>206</v>
      </c>
      <c r="W153" s="73">
        <v>458</v>
      </c>
      <c r="X153" s="73">
        <v>30</v>
      </c>
      <c r="Y153" s="51">
        <f t="shared" si="64"/>
        <v>488</v>
      </c>
      <c r="Z153" s="73"/>
      <c r="AA153" s="61">
        <f t="shared" si="49"/>
        <v>458</v>
      </c>
      <c r="AB153" s="51">
        <f t="shared" si="70"/>
        <v>0</v>
      </c>
      <c r="AC153" s="88">
        <f t="shared" si="56"/>
        <v>458</v>
      </c>
      <c r="AD153" s="63"/>
      <c r="AE153" s="63">
        <f t="shared" si="51"/>
        <v>30</v>
      </c>
      <c r="AF153" s="63">
        <v>57</v>
      </c>
      <c r="AG153" s="63"/>
      <c r="AH153" s="64">
        <f>AC153+AE153+Table22[[#This Row],[Humid Sacs]]</f>
        <v>488</v>
      </c>
      <c r="AI153" s="73"/>
      <c r="AJ153" s="73"/>
      <c r="AK153" s="62">
        <f t="shared" si="53"/>
        <v>488</v>
      </c>
      <c r="AL153" s="62">
        <f t="shared" si="54"/>
        <v>488</v>
      </c>
      <c r="AM153" s="73">
        <v>40820</v>
      </c>
      <c r="AN153" s="124">
        <f t="shared" si="71"/>
        <v>608</v>
      </c>
      <c r="AO153" s="77">
        <f t="shared" si="55"/>
        <v>40332</v>
      </c>
      <c r="AP153" s="77">
        <f t="shared" si="57"/>
        <v>40212</v>
      </c>
      <c r="AQ153" s="77">
        <f t="shared" si="72"/>
        <v>40212</v>
      </c>
      <c r="AR153" s="67">
        <f t="shared" si="58"/>
        <v>120</v>
      </c>
      <c r="AS153" s="134">
        <f>Table22[[#This Row],[GROSS WT]]-Table22[[#This Row],[Total Bag Discharged (Truck)]]</f>
        <v>40332</v>
      </c>
      <c r="AT153" s="67">
        <f t="shared" si="59"/>
        <v>40332</v>
      </c>
      <c r="AU153" s="73"/>
      <c r="AV153" s="73">
        <v>21</v>
      </c>
      <c r="AW153" s="73">
        <v>27</v>
      </c>
      <c r="AX153" s="73">
        <v>4</v>
      </c>
      <c r="AY153" s="71">
        <f t="shared" si="60"/>
        <v>52</v>
      </c>
      <c r="AZ153" s="70">
        <v>234</v>
      </c>
      <c r="BA153" s="73">
        <v>12</v>
      </c>
      <c r="BB153" s="73">
        <v>13</v>
      </c>
      <c r="BC153" s="63">
        <f t="shared" si="65"/>
        <v>259</v>
      </c>
      <c r="BD153" s="72">
        <f>SUM(Table22[[#This Row],[Good Kernel (gm)]]+(Table22[[#This Row],[Immature (gm)]]+Table22[[#This Row],[Spotted (gm)]])/2)*0.176</f>
        <v>43.384</v>
      </c>
      <c r="BE153" s="73">
        <v>43.47</v>
      </c>
      <c r="BF153" s="72">
        <f t="shared" si="66"/>
        <v>45.679830000000003</v>
      </c>
      <c r="BG153" s="72">
        <f t="shared" si="61"/>
        <v>50.089080000000003</v>
      </c>
      <c r="BH153" s="72">
        <f>SUM(Table22[[#This Row],[Good Kernel (gm)]:[Spotted (gm)]])/1000*100</f>
        <v>25.900000000000002</v>
      </c>
      <c r="BI153" s="72">
        <f t="shared" si="62"/>
        <v>28.4</v>
      </c>
      <c r="BJ153" s="73">
        <v>9.9</v>
      </c>
      <c r="BK153" s="73">
        <v>177</v>
      </c>
      <c r="BL153" s="73">
        <v>684</v>
      </c>
      <c r="BM153" s="73">
        <v>17</v>
      </c>
      <c r="BN153" s="73"/>
      <c r="BO153" s="73">
        <v>53</v>
      </c>
      <c r="BP153" s="73">
        <v>3</v>
      </c>
      <c r="BQ153" s="71">
        <f t="shared" si="63"/>
        <v>73</v>
      </c>
      <c r="BR153" s="73">
        <v>235</v>
      </c>
      <c r="BS153" s="73">
        <v>13</v>
      </c>
      <c r="BT153" s="73">
        <v>6</v>
      </c>
      <c r="BU153" s="63">
        <f t="shared" si="67"/>
        <v>254</v>
      </c>
      <c r="BV153" s="72">
        <f>SUM(Table22[[#This Row],[Good Kernel (G M)]]+(Table22[[#This Row],[Immature (g m)]]+Table22[[#This Row],[Spotted (g m)]])/2)*0.176</f>
        <v>43.031999999999996</v>
      </c>
      <c r="BW153" s="73">
        <v>43.12</v>
      </c>
      <c r="BX153" s="73"/>
      <c r="BY153" s="72">
        <f t="shared" si="68"/>
        <v>44.797980000000003</v>
      </c>
      <c r="BZ153" s="72">
        <f t="shared" si="69"/>
        <v>48.325380000000003</v>
      </c>
      <c r="CA153" s="72">
        <f>SUM(Table22[[#This Row],[Good Kernel (G M)]:[Spotted (g m)]])/1000*100</f>
        <v>25.4</v>
      </c>
      <c r="CB153" s="72">
        <f>(Table22[[#This Row],[BROWNS/Rejection (gm) (NUT)]]+Table22[[#This Row],[OIL (g m)]]+Table22[[#This Row],[Good Kernel (G M)]]+Table22[[#This Row],[Immature (g m)]]+Table22[[#This Row],[Spotted (g m)]])/1000*100</f>
        <v>27.400000000000002</v>
      </c>
      <c r="CC153" s="73">
        <v>11.3</v>
      </c>
      <c r="CD153" s="73">
        <v>179</v>
      </c>
      <c r="CE153" s="73"/>
      <c r="CH153" s="184">
        <f ca="1">TODAY()-Table22[[#This Row],[Discharge Date]]</f>
        <v>120</v>
      </c>
    </row>
    <row r="154" spans="1:86" x14ac:dyDescent="0.25">
      <c r="A154" s="50">
        <v>150</v>
      </c>
      <c r="B154" s="60" t="s">
        <v>95</v>
      </c>
      <c r="C154" s="60" t="s">
        <v>96</v>
      </c>
      <c r="D154" s="97">
        <v>150</v>
      </c>
      <c r="E154" s="73"/>
      <c r="F154" s="97">
        <v>701</v>
      </c>
      <c r="G154" s="73"/>
      <c r="H154" s="73"/>
      <c r="I154" s="73"/>
      <c r="J154" s="73"/>
      <c r="K154" s="97" t="s">
        <v>634</v>
      </c>
      <c r="L154" s="73"/>
      <c r="M154" s="100">
        <v>78890</v>
      </c>
      <c r="N154" s="100" t="s">
        <v>684</v>
      </c>
      <c r="O154" s="73" t="s">
        <v>304</v>
      </c>
      <c r="P154" s="97" t="s">
        <v>305</v>
      </c>
      <c r="Q154" s="101">
        <v>46135</v>
      </c>
      <c r="R154" s="102" t="s">
        <v>100</v>
      </c>
      <c r="S154" s="59" t="s">
        <v>101</v>
      </c>
      <c r="T154" s="102"/>
      <c r="U154" s="102"/>
      <c r="V154" s="51" t="s">
        <v>102</v>
      </c>
      <c r="W154" s="73">
        <v>605</v>
      </c>
      <c r="X154" s="73">
        <v>23</v>
      </c>
      <c r="Y154" s="51">
        <f t="shared" si="64"/>
        <v>628</v>
      </c>
      <c r="Z154" s="73"/>
      <c r="AA154" s="61">
        <f t="shared" si="49"/>
        <v>605</v>
      </c>
      <c r="AB154" s="51">
        <f t="shared" si="70"/>
        <v>0</v>
      </c>
      <c r="AC154" s="88">
        <f t="shared" si="56"/>
        <v>605</v>
      </c>
      <c r="AD154" s="63"/>
      <c r="AE154" s="63">
        <f t="shared" si="51"/>
        <v>23</v>
      </c>
      <c r="AF154" s="63">
        <v>23</v>
      </c>
      <c r="AG154" s="63"/>
      <c r="AH154" s="64">
        <f>AC154+AE154+Table22[[#This Row],[Humid Sacs]]</f>
        <v>628</v>
      </c>
      <c r="AI154" s="73"/>
      <c r="AJ154" s="73"/>
      <c r="AK154" s="62">
        <f t="shared" si="53"/>
        <v>628</v>
      </c>
      <c r="AL154" s="62">
        <f t="shared" si="54"/>
        <v>628</v>
      </c>
      <c r="AM154" s="73">
        <v>51070</v>
      </c>
      <c r="AN154" s="124">
        <f t="shared" si="71"/>
        <v>720</v>
      </c>
      <c r="AO154" s="77">
        <f t="shared" si="55"/>
        <v>50442</v>
      </c>
      <c r="AP154" s="77">
        <f t="shared" si="57"/>
        <v>50350</v>
      </c>
      <c r="AQ154" s="77">
        <f t="shared" si="72"/>
        <v>50350</v>
      </c>
      <c r="AR154" s="67">
        <f t="shared" si="58"/>
        <v>92</v>
      </c>
      <c r="AS154" s="134">
        <f>Table22[[#This Row],[GROSS WT]]-Table22[[#This Row],[Total Bag Discharged (Truck)]]</f>
        <v>50442</v>
      </c>
      <c r="AT154" s="67">
        <f t="shared" si="59"/>
        <v>50442</v>
      </c>
      <c r="AU154" s="73"/>
      <c r="AV154" s="73">
        <v>28</v>
      </c>
      <c r="AW154" s="73">
        <v>15</v>
      </c>
      <c r="AX154" s="73">
        <v>0</v>
      </c>
      <c r="AY154" s="71">
        <f t="shared" si="60"/>
        <v>43</v>
      </c>
      <c r="AZ154" s="70">
        <v>237</v>
      </c>
      <c r="BA154" s="73">
        <v>12</v>
      </c>
      <c r="BB154" s="73">
        <v>14</v>
      </c>
      <c r="BC154" s="63">
        <f t="shared" si="65"/>
        <v>263</v>
      </c>
      <c r="BD154" s="72">
        <f>SUM(Table22[[#This Row],[Good Kernel (gm)]]+(Table22[[#This Row],[Immature (gm)]]+Table22[[#This Row],[Spotted (gm)]])/2)*0.176</f>
        <v>44</v>
      </c>
      <c r="BE154" s="73">
        <v>44.09</v>
      </c>
      <c r="BF154" s="72">
        <f t="shared" si="66"/>
        <v>46.385309999999997</v>
      </c>
      <c r="BG154" s="72">
        <f t="shared" si="61"/>
        <v>51.32367</v>
      </c>
      <c r="BH154" s="72">
        <f>SUM(Table22[[#This Row],[Good Kernel (gm)]:[Spotted (gm)]])/1000*100</f>
        <v>26.3</v>
      </c>
      <c r="BI154" s="72">
        <f t="shared" si="62"/>
        <v>29.099999999999998</v>
      </c>
      <c r="BJ154" s="73">
        <v>10.1</v>
      </c>
      <c r="BK154" s="73">
        <v>167</v>
      </c>
      <c r="BL154" s="73">
        <v>689</v>
      </c>
      <c r="BM154" s="73">
        <v>25</v>
      </c>
      <c r="BN154" s="73"/>
      <c r="BO154" s="73">
        <v>18</v>
      </c>
      <c r="BP154" s="73">
        <v>0</v>
      </c>
      <c r="BQ154" s="71">
        <f t="shared" si="63"/>
        <v>43</v>
      </c>
      <c r="BR154" s="73">
        <v>240</v>
      </c>
      <c r="BS154" s="73">
        <v>14</v>
      </c>
      <c r="BT154" s="73">
        <v>11</v>
      </c>
      <c r="BU154" s="63">
        <f t="shared" si="67"/>
        <v>265</v>
      </c>
      <c r="BV154" s="72">
        <f>SUM(Table22[[#This Row],[Good Kernel (G M)]]+(Table22[[#This Row],[Immature (g m)]]+Table22[[#This Row],[Spotted (g m)]])/2)*0.176</f>
        <v>44.44</v>
      </c>
      <c r="BW154" s="73">
        <v>44.53</v>
      </c>
      <c r="BX154" s="73"/>
      <c r="BY154" s="72">
        <f t="shared" si="68"/>
        <v>46.738050000000001</v>
      </c>
      <c r="BZ154" s="72">
        <f t="shared" si="69"/>
        <v>51.147300000000001</v>
      </c>
      <c r="CA154" s="72">
        <f>SUM(Table22[[#This Row],[Good Kernel (G M)]:[Spotted (g m)]])/1000*100</f>
        <v>26.5</v>
      </c>
      <c r="CB154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54" s="73">
        <v>10.199999999999999</v>
      </c>
      <c r="CD154" s="73">
        <v>168</v>
      </c>
      <c r="CE154" s="73"/>
      <c r="CH154" s="184">
        <f ca="1">TODAY()-Table22[[#This Row],[Discharge Date]]</f>
        <v>120</v>
      </c>
    </row>
    <row r="155" spans="1:86" x14ac:dyDescent="0.25">
      <c r="A155" s="50">
        <v>151</v>
      </c>
      <c r="B155" s="60" t="s">
        <v>95</v>
      </c>
      <c r="C155" s="60" t="s">
        <v>96</v>
      </c>
      <c r="D155" s="97">
        <v>151</v>
      </c>
      <c r="E155" s="73"/>
      <c r="F155" s="97">
        <v>702</v>
      </c>
      <c r="G155" s="73"/>
      <c r="H155" s="73"/>
      <c r="I155" s="73"/>
      <c r="J155" s="73"/>
      <c r="K155" s="97" t="s">
        <v>638</v>
      </c>
      <c r="L155" s="73"/>
      <c r="M155" s="100">
        <v>77674</v>
      </c>
      <c r="N155" s="100" t="s">
        <v>687</v>
      </c>
      <c r="O155" s="73" t="s">
        <v>306</v>
      </c>
      <c r="P155" s="97" t="s">
        <v>287</v>
      </c>
      <c r="Q155" s="101">
        <v>46135</v>
      </c>
      <c r="R155" s="102" t="s">
        <v>213</v>
      </c>
      <c r="S155" s="131" t="s">
        <v>533</v>
      </c>
      <c r="T155" s="102"/>
      <c r="U155" s="102"/>
      <c r="V155" s="73" t="s">
        <v>307</v>
      </c>
      <c r="W155" s="73">
        <v>562</v>
      </c>
      <c r="X155" s="73"/>
      <c r="Y155" s="51">
        <f t="shared" si="64"/>
        <v>562</v>
      </c>
      <c r="Z155" s="73"/>
      <c r="AA155" s="61">
        <f t="shared" si="49"/>
        <v>562</v>
      </c>
      <c r="AB155" s="51">
        <f t="shared" si="70"/>
        <v>0</v>
      </c>
      <c r="AC155" s="88">
        <f t="shared" si="56"/>
        <v>562</v>
      </c>
      <c r="AD155" s="63">
        <v>30</v>
      </c>
      <c r="AE155" s="63">
        <f t="shared" si="51"/>
        <v>0</v>
      </c>
      <c r="AF155" s="63">
        <v>70</v>
      </c>
      <c r="AG155" s="63"/>
      <c r="AH155" s="64">
        <f>AC155+AE155+Table22[[#This Row],[Humid Sacs]]-30</f>
        <v>562</v>
      </c>
      <c r="AI155" s="73"/>
      <c r="AJ155" s="73"/>
      <c r="AK155" s="62">
        <f t="shared" si="53"/>
        <v>562</v>
      </c>
      <c r="AL155" s="62">
        <f t="shared" si="54"/>
        <v>562</v>
      </c>
      <c r="AM155" s="73">
        <v>50000</v>
      </c>
      <c r="AN155" s="124">
        <f>(AD155*8)+(AE155*4)+(AG155*0)+(AH155*1)</f>
        <v>802</v>
      </c>
      <c r="AO155" s="77">
        <f t="shared" si="55"/>
        <v>49438</v>
      </c>
      <c r="AP155" s="77">
        <f t="shared" si="57"/>
        <v>49198</v>
      </c>
      <c r="AQ155" s="77">
        <f>+AO155-AE155*4-240</f>
        <v>49198</v>
      </c>
      <c r="AR155" s="67">
        <f>(AD155*8)+(AE155*4)+(AG155*0)</f>
        <v>240</v>
      </c>
      <c r="AS155" s="134">
        <f>Table22[[#This Row],[GROSS WT]]-Table22[[#This Row],[Total Bag Discharged (Truck)]]</f>
        <v>49438</v>
      </c>
      <c r="AT155" s="67">
        <f t="shared" si="59"/>
        <v>49438</v>
      </c>
      <c r="AU155" s="73"/>
      <c r="AV155" s="73">
        <v>24</v>
      </c>
      <c r="AW155" s="73">
        <v>21</v>
      </c>
      <c r="AX155" s="73">
        <v>0</v>
      </c>
      <c r="AY155" s="71">
        <f t="shared" si="60"/>
        <v>45</v>
      </c>
      <c r="AZ155" s="70">
        <v>232</v>
      </c>
      <c r="BA155" s="73">
        <v>8</v>
      </c>
      <c r="BB155" s="73">
        <v>17</v>
      </c>
      <c r="BC155" s="63">
        <f t="shared" si="65"/>
        <v>257</v>
      </c>
      <c r="BD155" s="72">
        <f>SUM(Table22[[#This Row],[Good Kernel (gm)]]+(Table22[[#This Row],[Immature (gm)]]+Table22[[#This Row],[Spotted (gm)]])/2)*0.176</f>
        <v>43.031999999999996</v>
      </c>
      <c r="BE155" s="73">
        <v>43.12</v>
      </c>
      <c r="BF155" s="72">
        <f t="shared" si="66"/>
        <v>45.327089999999998</v>
      </c>
      <c r="BG155" s="72">
        <f t="shared" si="61"/>
        <v>49.55997</v>
      </c>
      <c r="BH155" s="72">
        <f>SUM(Table22[[#This Row],[Good Kernel (gm)]:[Spotted (gm)]])/1000*100</f>
        <v>25.7</v>
      </c>
      <c r="BI155" s="72">
        <f t="shared" si="62"/>
        <v>28.1</v>
      </c>
      <c r="BJ155" s="73">
        <v>12.7</v>
      </c>
      <c r="BK155" s="73">
        <v>157</v>
      </c>
      <c r="BL155" s="73">
        <v>690</v>
      </c>
      <c r="BM155" s="73">
        <v>25</v>
      </c>
      <c r="BN155" s="73"/>
      <c r="BO155" s="73">
        <v>18</v>
      </c>
      <c r="BP155" s="73">
        <v>0</v>
      </c>
      <c r="BQ155" s="71">
        <f t="shared" si="63"/>
        <v>43</v>
      </c>
      <c r="BR155" s="73">
        <v>240</v>
      </c>
      <c r="BS155" s="73">
        <v>14</v>
      </c>
      <c r="BT155" s="73">
        <v>11</v>
      </c>
      <c r="BU155" s="63">
        <f t="shared" si="67"/>
        <v>265</v>
      </c>
      <c r="BV155" s="72">
        <f>SUM(Table22[[#This Row],[Good Kernel (G M)]]+(Table22[[#This Row],[Immature (g m)]]+Table22[[#This Row],[Spotted (g m)]])/2)*0.176</f>
        <v>44.44</v>
      </c>
      <c r="BW155" s="73">
        <v>44.53</v>
      </c>
      <c r="BX155" s="73"/>
      <c r="BY155" s="72">
        <f t="shared" si="68"/>
        <v>46.738050000000001</v>
      </c>
      <c r="BZ155" s="72">
        <f t="shared" si="69"/>
        <v>51.147300000000001</v>
      </c>
      <c r="CA155" s="72">
        <f>SUM(Table22[[#This Row],[Good Kernel (G M)]:[Spotted (g m)]])/1000*100</f>
        <v>26.5</v>
      </c>
      <c r="CB155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55" s="73">
        <v>10.199999999999999</v>
      </c>
      <c r="CD155" s="73">
        <v>168</v>
      </c>
      <c r="CE155" s="73"/>
      <c r="CH155" s="184">
        <f ca="1">TODAY()-Table22[[#This Row],[Discharge Date]]</f>
        <v>120</v>
      </c>
    </row>
    <row r="156" spans="1:86" x14ac:dyDescent="0.25">
      <c r="A156" s="50">
        <v>152</v>
      </c>
      <c r="B156" s="60" t="s">
        <v>95</v>
      </c>
      <c r="C156" s="60" t="s">
        <v>96</v>
      </c>
      <c r="D156" s="97">
        <v>152</v>
      </c>
      <c r="E156" s="73"/>
      <c r="F156" s="97">
        <v>703</v>
      </c>
      <c r="G156" s="73"/>
      <c r="H156" s="73"/>
      <c r="I156" s="73"/>
      <c r="J156" s="73"/>
      <c r="K156" s="97" t="s">
        <v>634</v>
      </c>
      <c r="L156" s="73"/>
      <c r="M156" s="100">
        <v>30271</v>
      </c>
      <c r="N156" s="100" t="s">
        <v>682</v>
      </c>
      <c r="O156" s="73" t="s">
        <v>308</v>
      </c>
      <c r="P156" s="97" t="s">
        <v>287</v>
      </c>
      <c r="Q156" s="101">
        <v>46135</v>
      </c>
      <c r="R156" s="102" t="s">
        <v>100</v>
      </c>
      <c r="S156" s="102" t="s">
        <v>219</v>
      </c>
      <c r="T156" s="102"/>
      <c r="U156" s="102" t="s">
        <v>220</v>
      </c>
      <c r="V156" s="73" t="s">
        <v>221</v>
      </c>
      <c r="W156" s="73">
        <v>560</v>
      </c>
      <c r="X156" s="73">
        <v>20</v>
      </c>
      <c r="Y156" s="51">
        <f t="shared" si="64"/>
        <v>580</v>
      </c>
      <c r="Z156" s="73"/>
      <c r="AA156" s="61">
        <f t="shared" si="49"/>
        <v>560</v>
      </c>
      <c r="AB156" s="51">
        <f t="shared" si="70"/>
        <v>0</v>
      </c>
      <c r="AC156" s="88">
        <f t="shared" si="56"/>
        <v>560</v>
      </c>
      <c r="AD156" s="63"/>
      <c r="AE156" s="63">
        <f t="shared" si="51"/>
        <v>20</v>
      </c>
      <c r="AF156" s="63">
        <v>23</v>
      </c>
      <c r="AG156" s="63"/>
      <c r="AH156" s="64">
        <f>AC156+AE156+Table22[[#This Row],[Humid Sacs]]</f>
        <v>580</v>
      </c>
      <c r="AI156" s="73"/>
      <c r="AJ156" s="73"/>
      <c r="AK156" s="62">
        <f t="shared" si="53"/>
        <v>580</v>
      </c>
      <c r="AL156" s="62">
        <f t="shared" si="54"/>
        <v>580</v>
      </c>
      <c r="AM156" s="73">
        <v>45550</v>
      </c>
      <c r="AN156" s="124">
        <f t="shared" si="71"/>
        <v>660</v>
      </c>
      <c r="AO156" s="77">
        <f t="shared" si="55"/>
        <v>44970</v>
      </c>
      <c r="AP156" s="77">
        <f t="shared" si="57"/>
        <v>44890</v>
      </c>
      <c r="AQ156" s="77">
        <f t="shared" si="72"/>
        <v>44890</v>
      </c>
      <c r="AR156" s="67">
        <f>(AD156*40)+(AE156*4)+(AG156*0)</f>
        <v>80</v>
      </c>
      <c r="AS156" s="134">
        <f>Table22[[#This Row],[GROSS WT]]-Table22[[#This Row],[Total Bag Discharged (Truck)]]</f>
        <v>44970</v>
      </c>
      <c r="AT156" s="67">
        <f t="shared" si="59"/>
        <v>44970</v>
      </c>
      <c r="AU156" s="73"/>
      <c r="AV156" s="73">
        <v>28</v>
      </c>
      <c r="AW156" s="73">
        <v>14</v>
      </c>
      <c r="AX156" s="73">
        <v>4</v>
      </c>
      <c r="AY156" s="71">
        <f t="shared" si="60"/>
        <v>46</v>
      </c>
      <c r="AZ156" s="70">
        <v>230</v>
      </c>
      <c r="BA156" s="73">
        <v>13</v>
      </c>
      <c r="BB156" s="73">
        <v>8</v>
      </c>
      <c r="BC156" s="63">
        <f t="shared" si="65"/>
        <v>251</v>
      </c>
      <c r="BD156" s="72">
        <f>SUM(Table22[[#This Row],[Good Kernel (gm)]]+(Table22[[#This Row],[Immature (gm)]]+Table22[[#This Row],[Spotted (gm)]])/2)*0.176</f>
        <v>42.327999999999996</v>
      </c>
      <c r="BE156" s="73">
        <v>42.41</v>
      </c>
      <c r="BF156" s="72">
        <f t="shared" si="66"/>
        <v>44.26887</v>
      </c>
      <c r="BG156" s="72">
        <f t="shared" si="61"/>
        <v>49.912709999999997</v>
      </c>
      <c r="BH156" s="72">
        <f>SUM(Table22[[#This Row],[Good Kernel (gm)]:[Spotted (gm)]])/1000*100</f>
        <v>25.1</v>
      </c>
      <c r="BI156" s="72">
        <f t="shared" si="62"/>
        <v>28.299999999999997</v>
      </c>
      <c r="BJ156" s="73">
        <v>10.3</v>
      </c>
      <c r="BK156" s="73">
        <v>178</v>
      </c>
      <c r="BL156" s="73">
        <v>697</v>
      </c>
      <c r="BM156" s="73">
        <v>27</v>
      </c>
      <c r="BN156" s="73"/>
      <c r="BO156" s="73">
        <v>16</v>
      </c>
      <c r="BP156" s="73">
        <v>2</v>
      </c>
      <c r="BQ156" s="71">
        <f t="shared" si="63"/>
        <v>45</v>
      </c>
      <c r="BR156" s="73">
        <v>232</v>
      </c>
      <c r="BS156" s="73">
        <v>12</v>
      </c>
      <c r="BT156" s="73">
        <v>11</v>
      </c>
      <c r="BU156" s="63">
        <f t="shared" si="67"/>
        <v>255</v>
      </c>
      <c r="BV156" s="72">
        <f>SUM(Table22[[#This Row],[Good Kernel (G M)]]+(Table22[[#This Row],[Immature (g m)]]+Table22[[#This Row],[Spotted (g m)]])/2)*0.176</f>
        <v>42.855999999999995</v>
      </c>
      <c r="BW156" s="73">
        <v>42.94</v>
      </c>
      <c r="BX156" s="73"/>
      <c r="BY156" s="72">
        <f t="shared" si="68"/>
        <v>44.974350000000001</v>
      </c>
      <c r="BZ156" s="72">
        <f t="shared" si="69"/>
        <v>50.089080000000003</v>
      </c>
      <c r="CA156" s="72">
        <f>SUM(Table22[[#This Row],[Good Kernel (G M)]:[Spotted (g m)]])/1000*100</f>
        <v>25.5</v>
      </c>
      <c r="CB156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156" s="73">
        <v>10.5</v>
      </c>
      <c r="CD156" s="73">
        <v>181</v>
      </c>
      <c r="CE156" s="73"/>
      <c r="CH156" s="184">
        <f ca="1">TODAY()-Table22[[#This Row],[Discharge Date]]</f>
        <v>120</v>
      </c>
    </row>
    <row r="157" spans="1:86" x14ac:dyDescent="0.25">
      <c r="A157" s="50">
        <v>153</v>
      </c>
      <c r="B157" s="60" t="s">
        <v>95</v>
      </c>
      <c r="C157" s="60" t="s">
        <v>96</v>
      </c>
      <c r="D157" s="97">
        <v>153</v>
      </c>
      <c r="E157" s="73"/>
      <c r="F157" s="97">
        <v>704</v>
      </c>
      <c r="G157" s="73"/>
      <c r="H157" s="73"/>
      <c r="I157" s="73"/>
      <c r="J157" s="73"/>
      <c r="K157" s="97" t="s">
        <v>634</v>
      </c>
      <c r="L157" s="73"/>
      <c r="M157" s="100">
        <v>3191</v>
      </c>
      <c r="N157" s="100" t="s">
        <v>687</v>
      </c>
      <c r="O157" s="73" t="s">
        <v>309</v>
      </c>
      <c r="P157" s="97" t="s">
        <v>234</v>
      </c>
      <c r="Q157" s="101">
        <v>46135</v>
      </c>
      <c r="R157" s="102" t="s">
        <v>290</v>
      </c>
      <c r="S157" s="103" t="s">
        <v>271</v>
      </c>
      <c r="T157" s="102" t="s">
        <v>198</v>
      </c>
      <c r="U157" s="102" t="s">
        <v>272</v>
      </c>
      <c r="V157" s="73" t="s">
        <v>199</v>
      </c>
      <c r="W157" s="73">
        <v>420</v>
      </c>
      <c r="X157" s="73">
        <v>0</v>
      </c>
      <c r="Y157" s="51">
        <v>443</v>
      </c>
      <c r="Z157" s="73"/>
      <c r="AA157" s="61">
        <f t="shared" si="49"/>
        <v>420</v>
      </c>
      <c r="AB157" s="51">
        <f t="shared" si="70"/>
        <v>0</v>
      </c>
      <c r="AC157" s="88">
        <f t="shared" si="56"/>
        <v>420</v>
      </c>
      <c r="AD157" s="63">
        <v>25</v>
      </c>
      <c r="AE157" s="63">
        <f t="shared" si="51"/>
        <v>0</v>
      </c>
      <c r="AF157" s="63">
        <v>53</v>
      </c>
      <c r="AG157" s="63"/>
      <c r="AH157" s="64">
        <f>AC157+AE157+Table22[[#This Row],[Humid Sacs]]-20</f>
        <v>425</v>
      </c>
      <c r="AI157" s="73"/>
      <c r="AJ157" s="73"/>
      <c r="AK157" s="62">
        <f t="shared" si="53"/>
        <v>425</v>
      </c>
      <c r="AL157" s="62">
        <f t="shared" si="54"/>
        <v>425</v>
      </c>
      <c r="AM157" s="73">
        <v>39120</v>
      </c>
      <c r="AN157" s="124">
        <f>(AD157*8)+(AE157*4)+(AG157*0)+(AH157*1)</f>
        <v>625</v>
      </c>
      <c r="AO157" s="77">
        <f>+Table22[[#This Row],[GROSS WT]]-Table22[[#This Row],[Total Bag Discharged (Truck)]]</f>
        <v>38677</v>
      </c>
      <c r="AP157" s="77">
        <f>AM157-AN157-18</f>
        <v>38477</v>
      </c>
      <c r="AQ157" s="77">
        <f>+AO157-AE157*4-200</f>
        <v>38477</v>
      </c>
      <c r="AR157" s="67">
        <f t="shared" ref="AR157:AR184" si="73">(AD157*8)+(AE157*4)+(AG157*0)</f>
        <v>200</v>
      </c>
      <c r="AS157" s="134">
        <f>Table22[[#This Row],[GROSS WT]]-Table22[[#This Row],[Total Bag Discharged (Truck)]]</f>
        <v>38677</v>
      </c>
      <c r="AT157" s="67">
        <f t="shared" si="59"/>
        <v>38677</v>
      </c>
      <c r="AU157" s="73"/>
      <c r="AV157" s="73">
        <v>20</v>
      </c>
      <c r="AW157" s="73">
        <v>26</v>
      </c>
      <c r="AX157" s="73">
        <v>3</v>
      </c>
      <c r="AY157" s="71">
        <f t="shared" si="60"/>
        <v>49</v>
      </c>
      <c r="AZ157" s="70">
        <v>238</v>
      </c>
      <c r="BA157" s="73">
        <v>7</v>
      </c>
      <c r="BB157" s="73">
        <v>7</v>
      </c>
      <c r="BC157" s="63">
        <f t="shared" si="65"/>
        <v>252</v>
      </c>
      <c r="BD157" s="72">
        <f>SUM(Table22[[#This Row],[Good Kernel (gm)]]+(Table22[[#This Row],[Immature (gm)]]+Table22[[#This Row],[Spotted (gm)]])/2)*0.176</f>
        <v>43.12</v>
      </c>
      <c r="BE157" s="73">
        <v>43.21</v>
      </c>
      <c r="BF157" s="72">
        <f t="shared" si="66"/>
        <v>44.445239999999998</v>
      </c>
      <c r="BG157" s="72">
        <f t="shared" si="61"/>
        <v>48.501750000000001</v>
      </c>
      <c r="BH157" s="72">
        <f>SUM(Table22[[#This Row],[Good Kernel (gm)]:[Spotted (gm)]])/1000*100</f>
        <v>25.2</v>
      </c>
      <c r="BI157" s="72">
        <f t="shared" si="62"/>
        <v>27.500000000000004</v>
      </c>
      <c r="BJ157" s="73">
        <v>12.8</v>
      </c>
      <c r="BK157" s="73">
        <v>163</v>
      </c>
      <c r="BL157" s="73">
        <v>693</v>
      </c>
      <c r="BM157" s="73">
        <v>19</v>
      </c>
      <c r="BN157" s="73"/>
      <c r="BO157" s="73">
        <v>21</v>
      </c>
      <c r="BP157" s="73">
        <v>0</v>
      </c>
      <c r="BQ157" s="71">
        <f t="shared" si="63"/>
        <v>40</v>
      </c>
      <c r="BR157" s="73">
        <v>231</v>
      </c>
      <c r="BS157" s="73">
        <v>19</v>
      </c>
      <c r="BT157" s="73">
        <v>16</v>
      </c>
      <c r="BU157" s="63">
        <f t="shared" si="67"/>
        <v>266</v>
      </c>
      <c r="BV157" s="72">
        <f>SUM(Table22[[#This Row],[Good Kernel (G M)]]+(Table22[[#This Row],[Immature (g m)]]+Table22[[#This Row],[Spotted (g m)]])/2)*0.176</f>
        <v>43.735999999999997</v>
      </c>
      <c r="BW157" s="73">
        <v>43.82</v>
      </c>
      <c r="BX157" s="73"/>
      <c r="BY157" s="72">
        <f t="shared" si="68"/>
        <v>46.91442</v>
      </c>
      <c r="BZ157" s="72">
        <f t="shared" si="69"/>
        <v>50.265450000000001</v>
      </c>
      <c r="CA157" s="72">
        <f>SUM(Table22[[#This Row],[Good Kernel (G M)]:[Spotted (g m)]])/1000*100</f>
        <v>26.6</v>
      </c>
      <c r="CB157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57" s="73">
        <v>12.5</v>
      </c>
      <c r="CD157" s="73">
        <v>167</v>
      </c>
      <c r="CE157" s="73"/>
      <c r="CH157" s="184">
        <f ca="1">TODAY()-Table22[[#This Row],[Discharge Date]]</f>
        <v>120</v>
      </c>
    </row>
    <row r="158" spans="1:86" x14ac:dyDescent="0.25">
      <c r="A158" s="50">
        <v>154</v>
      </c>
      <c r="B158" s="60" t="s">
        <v>95</v>
      </c>
      <c r="C158" s="60" t="s">
        <v>96</v>
      </c>
      <c r="D158" s="97">
        <v>154</v>
      </c>
      <c r="E158" s="73"/>
      <c r="F158" s="97">
        <v>709</v>
      </c>
      <c r="G158" s="73"/>
      <c r="H158" s="73"/>
      <c r="I158" s="73"/>
      <c r="J158" s="73"/>
      <c r="K158" s="97" t="s">
        <v>634</v>
      </c>
      <c r="L158" s="73"/>
      <c r="M158" s="100">
        <v>78905</v>
      </c>
      <c r="N158" s="100" t="s">
        <v>684</v>
      </c>
      <c r="O158" s="73" t="s">
        <v>263</v>
      </c>
      <c r="P158" s="97" t="s">
        <v>300</v>
      </c>
      <c r="Q158" s="101">
        <v>46136</v>
      </c>
      <c r="R158" s="102" t="s">
        <v>100</v>
      </c>
      <c r="S158" s="59" t="s">
        <v>101</v>
      </c>
      <c r="T158" s="102"/>
      <c r="U158" s="102"/>
      <c r="V158" s="51" t="s">
        <v>102</v>
      </c>
      <c r="W158" s="73">
        <v>573</v>
      </c>
      <c r="X158" s="73"/>
      <c r="Y158" s="51">
        <f t="shared" si="64"/>
        <v>573</v>
      </c>
      <c r="Z158" s="73"/>
      <c r="AA158" s="61">
        <f t="shared" si="49"/>
        <v>573</v>
      </c>
      <c r="AB158" s="51">
        <f t="shared" si="70"/>
        <v>0</v>
      </c>
      <c r="AC158" s="88">
        <f t="shared" si="56"/>
        <v>573</v>
      </c>
      <c r="AD158" s="63">
        <v>35</v>
      </c>
      <c r="AE158" s="63">
        <f t="shared" si="51"/>
        <v>0</v>
      </c>
      <c r="AF158" s="63">
        <v>14</v>
      </c>
      <c r="AG158" s="63"/>
      <c r="AH158" s="64">
        <f>AC158+AE158+Table22[[#This Row],[Humid Sacs]]-35</f>
        <v>573</v>
      </c>
      <c r="AI158" s="73"/>
      <c r="AJ158" s="73"/>
      <c r="AK158" s="62">
        <f>AH158</f>
        <v>573</v>
      </c>
      <c r="AL158" s="62">
        <f>AK158</f>
        <v>573</v>
      </c>
      <c r="AM158" s="73">
        <v>47925</v>
      </c>
      <c r="AN158" s="124">
        <f>(AD158*8)+(AE158*4)+(AG158*0)+(AH158*1)</f>
        <v>853</v>
      </c>
      <c r="AO158" s="77">
        <f t="shared" si="55"/>
        <v>47352</v>
      </c>
      <c r="AP158" s="77">
        <f>AM158-AN158</f>
        <v>47072</v>
      </c>
      <c r="AQ158" s="77">
        <f>+AO158-AE158*4-280</f>
        <v>47072</v>
      </c>
      <c r="AR158" s="67">
        <f t="shared" si="73"/>
        <v>280</v>
      </c>
      <c r="AS158" s="134">
        <f>Table22[[#This Row],[GROSS WT]]-Table22[[#This Row],[Total Bag Discharged (Truck)]]</f>
        <v>47352</v>
      </c>
      <c r="AT158" s="67">
        <f t="shared" si="59"/>
        <v>47352</v>
      </c>
      <c r="AU158" s="73"/>
      <c r="AV158" s="73">
        <v>24</v>
      </c>
      <c r="AW158" s="73">
        <v>9</v>
      </c>
      <c r="AX158" s="73">
        <v>0</v>
      </c>
      <c r="AY158" s="71">
        <f t="shared" si="60"/>
        <v>33</v>
      </c>
      <c r="AZ158" s="70">
        <v>235</v>
      </c>
      <c r="BA158" s="73">
        <v>21</v>
      </c>
      <c r="BB158" s="73">
        <v>9</v>
      </c>
      <c r="BC158" s="63">
        <f t="shared" si="65"/>
        <v>265</v>
      </c>
      <c r="BD158" s="72">
        <f>SUM(Table22[[#This Row],[Good Kernel (gm)]]+(Table22[[#This Row],[Immature (gm)]]+Table22[[#This Row],[Spotted (gm)]])/2)*0.176</f>
        <v>44</v>
      </c>
      <c r="BE158" s="73">
        <v>44.09</v>
      </c>
      <c r="BF158" s="72">
        <f t="shared" si="66"/>
        <v>46.738050000000001</v>
      </c>
      <c r="BG158" s="72">
        <f t="shared" si="61"/>
        <v>50.970930000000003</v>
      </c>
      <c r="BH158" s="72">
        <f>SUM(Table22[[#This Row],[Good Kernel (gm)]:[Spotted (gm)]])/1000*100</f>
        <v>26.5</v>
      </c>
      <c r="BI158" s="72">
        <f t="shared" si="62"/>
        <v>28.9</v>
      </c>
      <c r="BJ158" s="73">
        <v>12.1</v>
      </c>
      <c r="BK158" s="73">
        <v>189</v>
      </c>
      <c r="BL158" s="73">
        <v>696</v>
      </c>
      <c r="BM158" s="73">
        <v>29</v>
      </c>
      <c r="BN158" s="73"/>
      <c r="BO158" s="73">
        <v>20</v>
      </c>
      <c r="BP158" s="73">
        <v>0</v>
      </c>
      <c r="BQ158" s="71">
        <f t="shared" si="63"/>
        <v>49</v>
      </c>
      <c r="BR158" s="73">
        <v>235</v>
      </c>
      <c r="BS158" s="73">
        <v>21</v>
      </c>
      <c r="BT158" s="73">
        <v>10</v>
      </c>
      <c r="BU158" s="63">
        <f t="shared" si="67"/>
        <v>266</v>
      </c>
      <c r="BV158" s="72">
        <f>SUM(Table22[[#This Row],[Good Kernel (G M)]]+(Table22[[#This Row],[Immature (g m)]]+Table22[[#This Row],[Spotted (g m)]])/2)*0.176</f>
        <v>44.088000000000001</v>
      </c>
      <c r="BW158" s="73">
        <v>44.18</v>
      </c>
      <c r="BX158" s="73"/>
      <c r="BY158" s="72">
        <f t="shared" si="68"/>
        <v>46.91442</v>
      </c>
      <c r="BZ158" s="72">
        <f t="shared" si="69"/>
        <v>52.029150000000001</v>
      </c>
      <c r="CA158" s="72">
        <f>SUM(Table22[[#This Row],[Good Kernel (G M)]:[Spotted (g m)]])/1000*100</f>
        <v>26.6</v>
      </c>
      <c r="CB158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58" s="73">
        <v>11.1</v>
      </c>
      <c r="CD158" s="73">
        <v>182</v>
      </c>
      <c r="CE158" s="73"/>
      <c r="CH158" s="184">
        <f ca="1">TODAY()-Table22[[#This Row],[Discharge Date]]</f>
        <v>119</v>
      </c>
    </row>
    <row r="159" spans="1:86" x14ac:dyDescent="0.25">
      <c r="A159" s="50">
        <v>155</v>
      </c>
      <c r="B159" s="60" t="s">
        <v>95</v>
      </c>
      <c r="C159" s="60" t="s">
        <v>96</v>
      </c>
      <c r="D159" s="97">
        <v>155</v>
      </c>
      <c r="E159" s="73"/>
      <c r="F159" s="97">
        <v>710</v>
      </c>
      <c r="G159" s="73"/>
      <c r="H159" s="73"/>
      <c r="I159" s="73"/>
      <c r="J159" s="73"/>
      <c r="K159" s="97"/>
      <c r="L159" s="73"/>
      <c r="M159" s="100">
        <v>75865</v>
      </c>
      <c r="N159" s="100" t="s">
        <v>688</v>
      </c>
      <c r="O159" s="73" t="s">
        <v>310</v>
      </c>
      <c r="P159" s="97" t="s">
        <v>311</v>
      </c>
      <c r="Q159" s="101">
        <v>46136</v>
      </c>
      <c r="R159" s="102" t="s">
        <v>312</v>
      </c>
      <c r="S159" s="103" t="s">
        <v>313</v>
      </c>
      <c r="T159" s="102" t="s">
        <v>198</v>
      </c>
      <c r="U159" s="102"/>
      <c r="V159" s="73" t="s">
        <v>199</v>
      </c>
      <c r="W159" s="73">
        <v>474</v>
      </c>
      <c r="X159" s="73"/>
      <c r="Y159" s="51">
        <f t="shared" si="64"/>
        <v>474</v>
      </c>
      <c r="Z159" s="73"/>
      <c r="AA159" s="61">
        <f t="shared" si="49"/>
        <v>474</v>
      </c>
      <c r="AB159" s="51">
        <f t="shared" si="70"/>
        <v>0</v>
      </c>
      <c r="AC159" s="88">
        <f t="shared" si="56"/>
        <v>474</v>
      </c>
      <c r="AD159" s="63">
        <v>20</v>
      </c>
      <c r="AE159" s="63">
        <f t="shared" si="51"/>
        <v>0</v>
      </c>
      <c r="AF159" s="63">
        <v>40</v>
      </c>
      <c r="AG159" s="63"/>
      <c r="AH159" s="64">
        <f>AC159+AE159+Table22[[#This Row],[Humid Sacs]]-20</f>
        <v>474</v>
      </c>
      <c r="AI159" s="73"/>
      <c r="AJ159" s="73"/>
      <c r="AK159" s="62">
        <f>AH159</f>
        <v>474</v>
      </c>
      <c r="AL159" s="62">
        <f t="shared" si="54"/>
        <v>474</v>
      </c>
      <c r="AM159" s="73">
        <v>40160</v>
      </c>
      <c r="AN159" s="124">
        <f>(AD159*8)+(AE159*4)+(AG159*0)+(AH159*1)</f>
        <v>634</v>
      </c>
      <c r="AO159" s="77">
        <f t="shared" si="55"/>
        <v>39686</v>
      </c>
      <c r="AP159" s="77">
        <f t="shared" si="57"/>
        <v>39526</v>
      </c>
      <c r="AQ159" s="77">
        <f>+AO159-AE159*4-160</f>
        <v>39526</v>
      </c>
      <c r="AR159" s="67">
        <f t="shared" si="73"/>
        <v>160</v>
      </c>
      <c r="AS159" s="134">
        <f>Table22[[#This Row],[GROSS WT]]-Table22[[#This Row],[Total Bag Discharged (Truck)]]</f>
        <v>39686</v>
      </c>
      <c r="AT159" s="67">
        <f t="shared" si="59"/>
        <v>39686</v>
      </c>
      <c r="AU159" s="73"/>
      <c r="AV159" s="73">
        <v>24</v>
      </c>
      <c r="AW159" s="73">
        <v>16</v>
      </c>
      <c r="AX159" s="73">
        <v>3</v>
      </c>
      <c r="AY159" s="71">
        <f t="shared" si="60"/>
        <v>43</v>
      </c>
      <c r="AZ159" s="70">
        <v>229</v>
      </c>
      <c r="BA159" s="73">
        <v>11</v>
      </c>
      <c r="BB159" s="73">
        <v>10</v>
      </c>
      <c r="BC159" s="63">
        <f t="shared" si="65"/>
        <v>250</v>
      </c>
      <c r="BD159" s="72">
        <f>SUM(Table22[[#This Row],[Good Kernel (gm)]]+(Table22[[#This Row],[Immature (gm)]]+Table22[[#This Row],[Spotted (gm)]])/2)*0.176</f>
        <v>42.152000000000001</v>
      </c>
      <c r="BE159" s="73">
        <v>42.41</v>
      </c>
      <c r="BF159" s="72">
        <f t="shared" si="66"/>
        <v>44.092500000000001</v>
      </c>
      <c r="BG159" s="72">
        <f t="shared" si="61"/>
        <v>48.854489999999998</v>
      </c>
      <c r="BH159" s="72">
        <f>SUM(Table22[[#This Row],[Good Kernel (gm)]:[Spotted (gm)]])/1000*100</f>
        <v>25</v>
      </c>
      <c r="BI159" s="72">
        <f t="shared" si="62"/>
        <v>27.700000000000003</v>
      </c>
      <c r="BJ159" s="73">
        <v>11.2</v>
      </c>
      <c r="BK159" s="73">
        <v>167</v>
      </c>
      <c r="BL159" s="73">
        <v>700</v>
      </c>
      <c r="BM159" s="73">
        <v>28</v>
      </c>
      <c r="BN159" s="73"/>
      <c r="BO159" s="73">
        <v>34</v>
      </c>
      <c r="BP159" s="73">
        <v>3</v>
      </c>
      <c r="BQ159" s="71">
        <f t="shared" si="63"/>
        <v>65</v>
      </c>
      <c r="BR159" s="73">
        <v>221</v>
      </c>
      <c r="BS159" s="73">
        <v>21</v>
      </c>
      <c r="BT159" s="73">
        <v>10</v>
      </c>
      <c r="BU159" s="63">
        <f t="shared" si="67"/>
        <v>252</v>
      </c>
      <c r="BV159" s="72">
        <f>SUM(Table22[[#This Row],[Good Kernel (G M)]]+(Table22[[#This Row],[Immature (g m)]]+Table22[[#This Row],[Spotted (g m)]])/2)*0.176</f>
        <v>41.623999999999995</v>
      </c>
      <c r="BW159" s="73">
        <v>41.88</v>
      </c>
      <c r="BX159" s="73"/>
      <c r="BY159" s="72">
        <f t="shared" si="68"/>
        <v>44.445239999999998</v>
      </c>
      <c r="BZ159" s="72">
        <f t="shared" si="69"/>
        <v>49.912709999999997</v>
      </c>
      <c r="CA159" s="72">
        <f>SUM(Table22[[#This Row],[Good Kernel (G M)]:[Spotted (g m)]])/1000*100</f>
        <v>25.2</v>
      </c>
      <c r="CB159" s="72">
        <f>(Table22[[#This Row],[BROWNS/Rejection (gm) (NUT)]]+Table22[[#This Row],[OIL (g m)]]+Table22[[#This Row],[Good Kernel (G M)]]+Table22[[#This Row],[Immature (g m)]]+Table22[[#This Row],[Spotted (g m)]])/1000*100</f>
        <v>28.299999999999997</v>
      </c>
      <c r="CC159" s="73">
        <v>10.6</v>
      </c>
      <c r="CD159" s="73">
        <v>165</v>
      </c>
      <c r="CE159" s="73"/>
      <c r="CH159" s="184">
        <f ca="1">TODAY()-Table22[[#This Row],[Discharge Date]]</f>
        <v>119</v>
      </c>
    </row>
    <row r="160" spans="1:86" x14ac:dyDescent="0.25">
      <c r="A160" s="50">
        <v>156</v>
      </c>
      <c r="B160" s="60" t="s">
        <v>95</v>
      </c>
      <c r="C160" s="60" t="s">
        <v>96</v>
      </c>
      <c r="D160" s="97">
        <v>156</v>
      </c>
      <c r="E160" s="73"/>
      <c r="F160" s="97">
        <v>711</v>
      </c>
      <c r="G160" s="73"/>
      <c r="H160" s="73"/>
      <c r="I160" s="73"/>
      <c r="J160" s="73"/>
      <c r="K160" s="97" t="s">
        <v>636</v>
      </c>
      <c r="L160" s="73"/>
      <c r="M160" s="100">
        <v>14</v>
      </c>
      <c r="N160" s="100" t="s">
        <v>687</v>
      </c>
      <c r="O160" s="73" t="s">
        <v>314</v>
      </c>
      <c r="P160" s="97" t="s">
        <v>315</v>
      </c>
      <c r="Q160" s="101">
        <v>46136</v>
      </c>
      <c r="R160" s="102" t="s">
        <v>316</v>
      </c>
      <c r="S160" s="102" t="s">
        <v>317</v>
      </c>
      <c r="T160" s="102" t="s">
        <v>534</v>
      </c>
      <c r="U160" s="102" t="s">
        <v>421</v>
      </c>
      <c r="V160" s="73"/>
      <c r="W160" s="73">
        <v>443</v>
      </c>
      <c r="X160" s="73"/>
      <c r="Y160" s="51">
        <f t="shared" si="64"/>
        <v>443</v>
      </c>
      <c r="Z160" s="73"/>
      <c r="AA160" s="61">
        <f t="shared" si="49"/>
        <v>443</v>
      </c>
      <c r="AB160" s="51">
        <f t="shared" si="70"/>
        <v>0</v>
      </c>
      <c r="AC160" s="88">
        <f t="shared" si="56"/>
        <v>443</v>
      </c>
      <c r="AD160" s="63">
        <v>70</v>
      </c>
      <c r="AE160" s="63">
        <f t="shared" si="51"/>
        <v>0</v>
      </c>
      <c r="AF160" s="63">
        <v>6</v>
      </c>
      <c r="AG160" s="63"/>
      <c r="AH160" s="64">
        <f>AC160+AE160+Table22[[#This Row],[Humid Sacs]]-70</f>
        <v>443</v>
      </c>
      <c r="AI160" s="73"/>
      <c r="AJ160" s="73"/>
      <c r="AK160" s="62">
        <f t="shared" si="53"/>
        <v>443</v>
      </c>
      <c r="AL160" s="62">
        <f t="shared" si="54"/>
        <v>443</v>
      </c>
      <c r="AM160" s="73">
        <v>39740</v>
      </c>
      <c r="AN160" s="124">
        <f>(AD160*8)+(AE160*4)+(AG160*0)+(AH160*1)</f>
        <v>1003</v>
      </c>
      <c r="AO160" s="77">
        <f t="shared" si="55"/>
        <v>39297</v>
      </c>
      <c r="AP160" s="77">
        <f t="shared" si="57"/>
        <v>38737</v>
      </c>
      <c r="AQ160" s="77">
        <f>+AO160-AE160*4-560</f>
        <v>38737</v>
      </c>
      <c r="AR160" s="67">
        <f t="shared" si="73"/>
        <v>560</v>
      </c>
      <c r="AS160" s="134">
        <f>Table22[[#This Row],[GROSS WT]]-Table22[[#This Row],[Total Bag Discharged (Truck)]]</f>
        <v>39297</v>
      </c>
      <c r="AT160" s="67">
        <f t="shared" si="59"/>
        <v>39297</v>
      </c>
      <c r="AU160" s="73"/>
      <c r="AV160" s="73">
        <v>21</v>
      </c>
      <c r="AW160" s="73">
        <v>18</v>
      </c>
      <c r="AX160" s="73">
        <v>0</v>
      </c>
      <c r="AY160" s="71">
        <f t="shared" si="60"/>
        <v>39</v>
      </c>
      <c r="AZ160" s="70">
        <v>231</v>
      </c>
      <c r="BA160" s="73">
        <v>15</v>
      </c>
      <c r="BB160" s="73">
        <v>15</v>
      </c>
      <c r="BC160" s="63">
        <f t="shared" si="65"/>
        <v>261</v>
      </c>
      <c r="BD160" s="72">
        <f>SUM(Table22[[#This Row],[Good Kernel (gm)]]+(Table22[[#This Row],[Immature (gm)]]+Table22[[#This Row],[Spotted (gm)]])/2)*0.176</f>
        <v>43.295999999999999</v>
      </c>
      <c r="BE160" s="73">
        <v>43.38</v>
      </c>
      <c r="BF160" s="72">
        <f t="shared" si="66"/>
        <v>46.03257</v>
      </c>
      <c r="BG160" s="72">
        <f t="shared" si="61"/>
        <v>49.736339999999998</v>
      </c>
      <c r="BH160" s="72">
        <f>SUM(Table22[[#This Row],[Good Kernel (gm)]:[Spotted (gm)]])/1000*100</f>
        <v>26.1</v>
      </c>
      <c r="BI160" s="72">
        <f t="shared" si="62"/>
        <v>28.199999999999996</v>
      </c>
      <c r="BJ160" s="73">
        <v>13.6</v>
      </c>
      <c r="BK160" s="73">
        <v>183</v>
      </c>
      <c r="BL160" s="73">
        <v>694</v>
      </c>
      <c r="BM160" s="73">
        <v>35</v>
      </c>
      <c r="BN160" s="73"/>
      <c r="BO160" s="73">
        <v>19</v>
      </c>
      <c r="BP160" s="73">
        <v>0</v>
      </c>
      <c r="BQ160" s="71">
        <f t="shared" si="63"/>
        <v>54</v>
      </c>
      <c r="BR160" s="73">
        <v>238</v>
      </c>
      <c r="BS160" s="73">
        <v>14</v>
      </c>
      <c r="BT160" s="73">
        <v>6</v>
      </c>
      <c r="BU160" s="63">
        <f t="shared" si="67"/>
        <v>258</v>
      </c>
      <c r="BV160" s="72">
        <f>SUM(Table22[[#This Row],[Good Kernel (G M)]]+(Table22[[#This Row],[Immature (g m)]]+Table22[[#This Row],[Spotted (g m)]])/2)*0.176</f>
        <v>43.647999999999996</v>
      </c>
      <c r="BW160" s="73">
        <v>43.73</v>
      </c>
      <c r="BX160" s="73"/>
      <c r="BY160" s="72">
        <f t="shared" si="68"/>
        <v>45.503459999999997</v>
      </c>
      <c r="BZ160" s="72">
        <f t="shared" si="69"/>
        <v>51.676409999999997</v>
      </c>
      <c r="CA160" s="72">
        <f>SUM(Table22[[#This Row],[Good Kernel (G M)]:[Spotted (g m)]])/1000*100</f>
        <v>25.8</v>
      </c>
      <c r="CB160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160" s="73">
        <v>12.7</v>
      </c>
      <c r="CD160" s="73">
        <v>186</v>
      </c>
      <c r="CE160" s="73"/>
      <c r="CH160" s="184">
        <f ca="1">TODAY()-Table22[[#This Row],[Discharge Date]]</f>
        <v>119</v>
      </c>
    </row>
    <row r="161" spans="1:86" x14ac:dyDescent="0.25">
      <c r="A161" s="50">
        <v>157</v>
      </c>
      <c r="B161" s="60" t="s">
        <v>95</v>
      </c>
      <c r="C161" s="60" t="s">
        <v>96</v>
      </c>
      <c r="D161" s="97">
        <v>157</v>
      </c>
      <c r="E161" s="73"/>
      <c r="F161" s="97">
        <v>712</v>
      </c>
      <c r="G161" s="73"/>
      <c r="H161" s="73"/>
      <c r="I161" s="73"/>
      <c r="J161" s="73"/>
      <c r="K161" s="97" t="s">
        <v>634</v>
      </c>
      <c r="L161" s="73"/>
      <c r="M161" s="100">
        <v>30269</v>
      </c>
      <c r="N161" s="100" t="s">
        <v>682</v>
      </c>
      <c r="O161" s="73" t="s">
        <v>293</v>
      </c>
      <c r="P161" s="97" t="s">
        <v>315</v>
      </c>
      <c r="Q161" s="101">
        <v>46136</v>
      </c>
      <c r="R161" s="102" t="s">
        <v>228</v>
      </c>
      <c r="S161" s="102" t="s">
        <v>219</v>
      </c>
      <c r="T161" s="102"/>
      <c r="U161" s="102" t="s">
        <v>220</v>
      </c>
      <c r="V161" s="73" t="s">
        <v>221</v>
      </c>
      <c r="W161" s="73">
        <v>566</v>
      </c>
      <c r="X161" s="73">
        <v>20</v>
      </c>
      <c r="Y161" s="51">
        <f t="shared" si="64"/>
        <v>586</v>
      </c>
      <c r="Z161" s="73"/>
      <c r="AA161" s="61">
        <f t="shared" si="49"/>
        <v>566</v>
      </c>
      <c r="AB161" s="51">
        <f t="shared" si="70"/>
        <v>0</v>
      </c>
      <c r="AC161" s="88">
        <f t="shared" si="56"/>
        <v>566</v>
      </c>
      <c r="AD161" s="63"/>
      <c r="AE161" s="63">
        <f t="shared" si="51"/>
        <v>20</v>
      </c>
      <c r="AF161" s="63">
        <v>43</v>
      </c>
      <c r="AG161" s="63"/>
      <c r="AH161" s="64">
        <f>AC161+AE161+Table22[[#This Row],[Humid Sacs]]</f>
        <v>586</v>
      </c>
      <c r="AI161" s="73"/>
      <c r="AJ161" s="73"/>
      <c r="AK161" s="62">
        <f t="shared" si="53"/>
        <v>586</v>
      </c>
      <c r="AL161" s="62">
        <f t="shared" si="54"/>
        <v>586</v>
      </c>
      <c r="AM161" s="73">
        <v>44140</v>
      </c>
      <c r="AN161" s="124">
        <f t="shared" ref="AN161:AN224" si="74">(AD161*8)+(AE161*4)+(AG161*0)+(AH161*1)</f>
        <v>666</v>
      </c>
      <c r="AO161" s="77">
        <f t="shared" si="55"/>
        <v>43554</v>
      </c>
      <c r="AP161" s="77">
        <f t="shared" si="57"/>
        <v>43474</v>
      </c>
      <c r="AQ161" s="77">
        <f t="shared" si="72"/>
        <v>43474</v>
      </c>
      <c r="AR161" s="67">
        <f t="shared" si="73"/>
        <v>80</v>
      </c>
      <c r="AS161" s="134">
        <f>Table22[[#This Row],[GROSS WT]]-Table22[[#This Row],[Total Bag Discharged (Truck)]]</f>
        <v>43554</v>
      </c>
      <c r="AT161" s="67">
        <f t="shared" si="59"/>
        <v>43554</v>
      </c>
      <c r="AU161" s="73"/>
      <c r="AV161" s="73">
        <v>26</v>
      </c>
      <c r="AW161" s="73">
        <v>16</v>
      </c>
      <c r="AX161" s="73">
        <v>0</v>
      </c>
      <c r="AY161" s="71">
        <f t="shared" si="60"/>
        <v>42</v>
      </c>
      <c r="AZ161" s="70">
        <v>238</v>
      </c>
      <c r="BA161" s="73">
        <v>10</v>
      </c>
      <c r="BB161" s="73">
        <v>6</v>
      </c>
      <c r="BC161" s="63">
        <f t="shared" si="65"/>
        <v>254</v>
      </c>
      <c r="BD161" s="72">
        <f>SUM(Table22[[#This Row],[Good Kernel (gm)]]+(Table22[[#This Row],[Immature (gm)]]+Table22[[#This Row],[Spotted (gm)]])/2)*0.176</f>
        <v>43.295999999999999</v>
      </c>
      <c r="BE161" s="73">
        <v>43.38</v>
      </c>
      <c r="BF161" s="72">
        <f t="shared" si="66"/>
        <v>44.797980000000003</v>
      </c>
      <c r="BG161" s="72">
        <f t="shared" si="61"/>
        <v>49.383600000000001</v>
      </c>
      <c r="BH161" s="72">
        <f>SUM(Table22[[#This Row],[Good Kernel (gm)]:[Spotted (gm)]])/1000*100</f>
        <v>25.4</v>
      </c>
      <c r="BI161" s="72">
        <f t="shared" si="62"/>
        <v>28.000000000000004</v>
      </c>
      <c r="BJ161" s="73">
        <v>9.6</v>
      </c>
      <c r="BK161" s="73">
        <v>177</v>
      </c>
      <c r="BL161" s="73">
        <v>698</v>
      </c>
      <c r="BM161" s="73">
        <v>19</v>
      </c>
      <c r="BN161" s="73"/>
      <c r="BO161" s="73">
        <v>18</v>
      </c>
      <c r="BP161" s="73">
        <v>0</v>
      </c>
      <c r="BQ161" s="71">
        <f t="shared" si="63"/>
        <v>37</v>
      </c>
      <c r="BR161" s="73">
        <v>235</v>
      </c>
      <c r="BS161" s="73">
        <v>15</v>
      </c>
      <c r="BT161" s="73">
        <v>16</v>
      </c>
      <c r="BU161" s="63">
        <f t="shared" si="67"/>
        <v>266</v>
      </c>
      <c r="BV161" s="72">
        <f>SUM(Table22[[#This Row],[Good Kernel (G M)]]+(Table22[[#This Row],[Immature (g m)]]+Table22[[#This Row],[Spotted (g m)]])/2)*0.176</f>
        <v>44.088000000000001</v>
      </c>
      <c r="BW161" s="73">
        <v>44.18</v>
      </c>
      <c r="BX161" s="73"/>
      <c r="BY161" s="72">
        <f t="shared" si="68"/>
        <v>46.91442</v>
      </c>
      <c r="BZ161" s="72">
        <f t="shared" si="69"/>
        <v>50.265450000000001</v>
      </c>
      <c r="CA161" s="72">
        <f>SUM(Table22[[#This Row],[Good Kernel (G M)]:[Spotted (g m)]])/1000*100</f>
        <v>26.6</v>
      </c>
      <c r="CB161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61" s="73">
        <v>10.9</v>
      </c>
      <c r="CD161" s="73">
        <v>187</v>
      </c>
      <c r="CE161" s="73"/>
      <c r="CH161" s="184">
        <f ca="1">TODAY()-Table22[[#This Row],[Discharge Date]]</f>
        <v>119</v>
      </c>
    </row>
    <row r="162" spans="1:86" x14ac:dyDescent="0.25">
      <c r="A162" s="50">
        <v>158</v>
      </c>
      <c r="B162" s="60" t="s">
        <v>95</v>
      </c>
      <c r="C162" s="60" t="s">
        <v>96</v>
      </c>
      <c r="D162" s="97">
        <v>158</v>
      </c>
      <c r="E162" s="73"/>
      <c r="F162" s="97">
        <v>708</v>
      </c>
      <c r="G162" s="73"/>
      <c r="H162" s="73"/>
      <c r="I162" s="73"/>
      <c r="J162" s="73"/>
      <c r="K162" s="97" t="s">
        <v>634</v>
      </c>
      <c r="L162" s="73"/>
      <c r="M162" s="100">
        <v>35968</v>
      </c>
      <c r="N162" s="100" t="s">
        <v>682</v>
      </c>
      <c r="O162" s="73" t="s">
        <v>318</v>
      </c>
      <c r="P162" s="97" t="s">
        <v>315</v>
      </c>
      <c r="Q162" s="101">
        <v>46136</v>
      </c>
      <c r="R162" s="102" t="s">
        <v>228</v>
      </c>
      <c r="S162" s="103" t="s">
        <v>280</v>
      </c>
      <c r="T162" s="102"/>
      <c r="U162" s="102"/>
      <c r="V162" s="73" t="s">
        <v>281</v>
      </c>
      <c r="W162" s="73">
        <v>577</v>
      </c>
      <c r="X162" s="73"/>
      <c r="Y162" s="51">
        <f t="shared" si="64"/>
        <v>577</v>
      </c>
      <c r="Z162" s="73"/>
      <c r="AA162" s="61">
        <f t="shared" si="49"/>
        <v>577</v>
      </c>
      <c r="AB162" s="51">
        <f t="shared" si="70"/>
        <v>0</v>
      </c>
      <c r="AC162" s="88">
        <v>584</v>
      </c>
      <c r="AD162" s="63">
        <v>29</v>
      </c>
      <c r="AE162" s="63">
        <f t="shared" si="51"/>
        <v>0</v>
      </c>
      <c r="AF162" s="63">
        <v>12</v>
      </c>
      <c r="AG162" s="63"/>
      <c r="AH162" s="64">
        <f>AC162+AE162+Table22[[#This Row],[Humid Sacs]]-29</f>
        <v>584</v>
      </c>
      <c r="AI162" s="73"/>
      <c r="AJ162" s="73"/>
      <c r="AK162" s="62">
        <f t="shared" si="53"/>
        <v>584</v>
      </c>
      <c r="AL162" s="62">
        <f t="shared" si="54"/>
        <v>584</v>
      </c>
      <c r="AM162" s="73">
        <v>41550</v>
      </c>
      <c r="AN162" s="124">
        <f>(AD162*8)+(AE162*4)+(AG162*0)+(AH162*1)</f>
        <v>816</v>
      </c>
      <c r="AO162" s="77">
        <f t="shared" si="55"/>
        <v>40966</v>
      </c>
      <c r="AP162" s="77">
        <f t="shared" si="57"/>
        <v>40734</v>
      </c>
      <c r="AQ162" s="77">
        <f>+AO162-AE162*4-232</f>
        <v>40734</v>
      </c>
      <c r="AR162" s="67">
        <f t="shared" si="73"/>
        <v>232</v>
      </c>
      <c r="AS162" s="134">
        <f>Table22[[#This Row],[GROSS WT]]-Table22[[#This Row],[Total Bag Discharged (Truck)]]</f>
        <v>40973</v>
      </c>
      <c r="AT162" s="67">
        <f t="shared" si="59"/>
        <v>40966</v>
      </c>
      <c r="AU162" s="73"/>
      <c r="AV162" s="73">
        <v>39</v>
      </c>
      <c r="AW162" s="73">
        <v>17</v>
      </c>
      <c r="AX162" s="73">
        <v>0</v>
      </c>
      <c r="AY162" s="71">
        <f t="shared" si="60"/>
        <v>56</v>
      </c>
      <c r="AZ162" s="70">
        <v>229</v>
      </c>
      <c r="BA162" s="73">
        <v>16</v>
      </c>
      <c r="BB162" s="73">
        <v>7</v>
      </c>
      <c r="BC162" s="63">
        <f t="shared" si="65"/>
        <v>252</v>
      </c>
      <c r="BD162" s="72">
        <f>SUM(Table22[[#This Row],[Good Kernel (gm)]]+(Table22[[#This Row],[Immature (gm)]]+Table22[[#This Row],[Spotted (gm)]])/2)*0.176</f>
        <v>42.327999999999996</v>
      </c>
      <c r="BE162" s="73">
        <v>42.41</v>
      </c>
      <c r="BF162" s="72">
        <f t="shared" si="66"/>
        <v>44.445239999999998</v>
      </c>
      <c r="BG162" s="72">
        <f t="shared" si="61"/>
        <v>51.32367</v>
      </c>
      <c r="BH162" s="72">
        <f>SUM(Table22[[#This Row],[Good Kernel (gm)]:[Spotted (gm)]])/1000*100</f>
        <v>25.2</v>
      </c>
      <c r="BI162" s="72">
        <f t="shared" si="62"/>
        <v>29.099999999999998</v>
      </c>
      <c r="BJ162" s="73">
        <v>12.5</v>
      </c>
      <c r="BK162" s="73">
        <v>179</v>
      </c>
      <c r="BL162" s="73">
        <v>686</v>
      </c>
      <c r="BM162" s="73">
        <v>36</v>
      </c>
      <c r="BN162" s="73"/>
      <c r="BO162" s="73">
        <v>6</v>
      </c>
      <c r="BP162" s="73">
        <v>2</v>
      </c>
      <c r="BQ162" s="71">
        <f t="shared" si="63"/>
        <v>44</v>
      </c>
      <c r="BR162" s="73">
        <v>242</v>
      </c>
      <c r="BS162" s="73">
        <v>8</v>
      </c>
      <c r="BT162" s="73">
        <v>6</v>
      </c>
      <c r="BU162" s="63">
        <f t="shared" si="67"/>
        <v>256</v>
      </c>
      <c r="BV162" s="72">
        <f>SUM(Table22[[#This Row],[Good Kernel (G M)]]+(Table22[[#This Row],[Immature (g m)]]+Table22[[#This Row],[Spotted (g m)]])/2)*0.176</f>
        <v>43.823999999999998</v>
      </c>
      <c r="BW162" s="73">
        <v>43.91</v>
      </c>
      <c r="BX162" s="73"/>
      <c r="BY162" s="72">
        <f t="shared" si="68"/>
        <v>45.15072</v>
      </c>
      <c r="BZ162" s="72">
        <f t="shared" si="69"/>
        <v>51.852780000000003</v>
      </c>
      <c r="CA162" s="72">
        <f>SUM(Table22[[#This Row],[Good Kernel (G M)]:[Spotted (g m)]])/1000*100</f>
        <v>25.6</v>
      </c>
      <c r="CB162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62" s="73">
        <v>12.3</v>
      </c>
      <c r="CD162" s="73">
        <v>174</v>
      </c>
      <c r="CE162" s="73"/>
      <c r="CH162" s="184">
        <f ca="1">TODAY()-Table22[[#This Row],[Discharge Date]]</f>
        <v>119</v>
      </c>
    </row>
    <row r="163" spans="1:86" x14ac:dyDescent="0.25">
      <c r="A163" s="50">
        <v>159</v>
      </c>
      <c r="B163" s="60" t="s">
        <v>95</v>
      </c>
      <c r="C163" s="60" t="s">
        <v>96</v>
      </c>
      <c r="D163" s="97">
        <v>159</v>
      </c>
      <c r="E163" s="73"/>
      <c r="F163" s="97">
        <v>707</v>
      </c>
      <c r="G163" s="73"/>
      <c r="H163" s="73"/>
      <c r="I163" s="73"/>
      <c r="J163" s="73"/>
      <c r="K163" s="97" t="s">
        <v>634</v>
      </c>
      <c r="L163" s="73"/>
      <c r="M163" s="100">
        <v>19784</v>
      </c>
      <c r="N163" s="100" t="s">
        <v>687</v>
      </c>
      <c r="O163" s="73" t="s">
        <v>319</v>
      </c>
      <c r="P163" s="97" t="s">
        <v>305</v>
      </c>
      <c r="Q163" s="101">
        <v>46136</v>
      </c>
      <c r="R163" s="102" t="s">
        <v>320</v>
      </c>
      <c r="S163" s="103" t="s">
        <v>321</v>
      </c>
      <c r="T163" s="103" t="s">
        <v>534</v>
      </c>
      <c r="U163" s="187"/>
      <c r="V163" s="56" t="s">
        <v>140</v>
      </c>
      <c r="W163" s="73">
        <v>516</v>
      </c>
      <c r="X163" s="73"/>
      <c r="Y163" s="51">
        <f t="shared" si="64"/>
        <v>516</v>
      </c>
      <c r="Z163" s="73"/>
      <c r="AA163" s="61">
        <f t="shared" si="49"/>
        <v>516</v>
      </c>
      <c r="AB163" s="51">
        <f t="shared" si="70"/>
        <v>0</v>
      </c>
      <c r="AC163" s="88">
        <f t="shared" si="56"/>
        <v>516</v>
      </c>
      <c r="AD163" s="63">
        <v>30</v>
      </c>
      <c r="AE163" s="63">
        <f t="shared" si="51"/>
        <v>0</v>
      </c>
      <c r="AF163" s="63">
        <v>13</v>
      </c>
      <c r="AG163" s="63"/>
      <c r="AH163" s="64">
        <f>AC163+AE163+Table22[[#This Row],[Humid Sacs]]-30</f>
        <v>516</v>
      </c>
      <c r="AI163" s="73"/>
      <c r="AJ163" s="73"/>
      <c r="AK163" s="62">
        <f t="shared" si="53"/>
        <v>516</v>
      </c>
      <c r="AL163" s="62">
        <f t="shared" si="54"/>
        <v>516</v>
      </c>
      <c r="AM163" s="73">
        <v>43020</v>
      </c>
      <c r="AN163" s="124">
        <f>(AD163*8)+(AE163*4)+(AG163*0)+(AH163*1)</f>
        <v>756</v>
      </c>
      <c r="AO163" s="77">
        <f t="shared" si="55"/>
        <v>42504</v>
      </c>
      <c r="AP163" s="77">
        <f t="shared" si="57"/>
        <v>42264</v>
      </c>
      <c r="AQ163" s="77">
        <f>+AO163-AE163*4-240</f>
        <v>42264</v>
      </c>
      <c r="AR163" s="67">
        <f t="shared" si="73"/>
        <v>240</v>
      </c>
      <c r="AS163" s="134">
        <f>Table22[[#This Row],[GROSS WT]]-Table22[[#This Row],[Total Bag Discharged (Truck)]]</f>
        <v>42504</v>
      </c>
      <c r="AT163" s="67">
        <f t="shared" si="59"/>
        <v>42504</v>
      </c>
      <c r="AU163" s="73"/>
      <c r="AV163" s="73">
        <v>22</v>
      </c>
      <c r="AW163" s="73">
        <v>14</v>
      </c>
      <c r="AX163" s="73">
        <v>2</v>
      </c>
      <c r="AY163" s="71">
        <f t="shared" si="60"/>
        <v>38</v>
      </c>
      <c r="AZ163" s="70">
        <v>235</v>
      </c>
      <c r="BA163" s="73">
        <v>13</v>
      </c>
      <c r="BB163" s="73">
        <v>12</v>
      </c>
      <c r="BC163" s="63">
        <f t="shared" si="65"/>
        <v>260</v>
      </c>
      <c r="BD163" s="72">
        <f>SUM(Table22[[#This Row],[Good Kernel (gm)]]+(Table22[[#This Row],[Immature (gm)]]+Table22[[#This Row],[Spotted (gm)]])/2)*0.176</f>
        <v>43.559999999999995</v>
      </c>
      <c r="BE163" s="73">
        <v>43.65</v>
      </c>
      <c r="BF163" s="72">
        <f t="shared" si="66"/>
        <v>45.856200000000001</v>
      </c>
      <c r="BG163" s="72">
        <f t="shared" si="61"/>
        <v>50.089080000000003</v>
      </c>
      <c r="BH163" s="72">
        <f>SUM(Table22[[#This Row],[Good Kernel (gm)]:[Spotted (gm)]])/1000*100</f>
        <v>26</v>
      </c>
      <c r="BI163" s="72">
        <f t="shared" si="62"/>
        <v>28.4</v>
      </c>
      <c r="BJ163" s="73">
        <v>11.2</v>
      </c>
      <c r="BK163" s="73">
        <v>162</v>
      </c>
      <c r="BL163" s="73">
        <v>695</v>
      </c>
      <c r="BM163" s="73">
        <v>25</v>
      </c>
      <c r="BN163" s="73"/>
      <c r="BO163" s="73">
        <v>19</v>
      </c>
      <c r="BP163" s="73">
        <v>0</v>
      </c>
      <c r="BQ163" s="71">
        <f t="shared" si="63"/>
        <v>44</v>
      </c>
      <c r="BR163" s="73">
        <v>240</v>
      </c>
      <c r="BS163" s="73">
        <v>16</v>
      </c>
      <c r="BT163" s="73">
        <v>7</v>
      </c>
      <c r="BU163" s="63">
        <f t="shared" si="67"/>
        <v>263</v>
      </c>
      <c r="BV163" s="72">
        <f>SUM(Table22[[#This Row],[Good Kernel (G M)]]+(Table22[[#This Row],[Immature (g m)]]+Table22[[#This Row],[Spotted (g m)]])/2)*0.176</f>
        <v>44.263999999999996</v>
      </c>
      <c r="BW163" s="73">
        <v>44.35</v>
      </c>
      <c r="BX163" s="73"/>
      <c r="BY163" s="72">
        <f t="shared" si="68"/>
        <v>46.385309999999997</v>
      </c>
      <c r="BZ163" s="72">
        <f t="shared" si="69"/>
        <v>50.794559999999997</v>
      </c>
      <c r="CA163" s="72">
        <f>SUM(Table22[[#This Row],[Good Kernel (G M)]:[Spotted (g m)]])/1000*100</f>
        <v>26.3</v>
      </c>
      <c r="CB163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163" s="73">
        <v>10.4</v>
      </c>
      <c r="CD163" s="73">
        <v>169</v>
      </c>
      <c r="CE163" s="73"/>
      <c r="CH163" s="184">
        <f ca="1">TODAY()-Table22[[#This Row],[Discharge Date]]</f>
        <v>119</v>
      </c>
    </row>
    <row r="164" spans="1:86" x14ac:dyDescent="0.25">
      <c r="A164" s="50">
        <v>160</v>
      </c>
      <c r="B164" s="60" t="s">
        <v>95</v>
      </c>
      <c r="C164" s="60" t="s">
        <v>96</v>
      </c>
      <c r="D164" s="97">
        <v>160</v>
      </c>
      <c r="E164" s="98" t="s">
        <v>130</v>
      </c>
      <c r="F164" s="97">
        <v>706</v>
      </c>
      <c r="G164" s="73"/>
      <c r="H164" s="73"/>
      <c r="I164" s="73"/>
      <c r="J164" s="73"/>
      <c r="K164" s="97" t="s">
        <v>634</v>
      </c>
      <c r="L164" s="73"/>
      <c r="M164" s="100">
        <v>65511</v>
      </c>
      <c r="N164" s="100" t="s">
        <v>689</v>
      </c>
      <c r="O164" s="73" t="s">
        <v>322</v>
      </c>
      <c r="P164" s="97" t="s">
        <v>323</v>
      </c>
      <c r="Q164" s="101">
        <v>46136</v>
      </c>
      <c r="R164" s="102" t="s">
        <v>116</v>
      </c>
      <c r="S164" s="103" t="s">
        <v>313</v>
      </c>
      <c r="T164" s="102" t="s">
        <v>198</v>
      </c>
      <c r="U164" s="102"/>
      <c r="V164" s="73" t="s">
        <v>199</v>
      </c>
      <c r="W164" s="73">
        <v>540</v>
      </c>
      <c r="X164" s="73"/>
      <c r="Y164" s="51">
        <f t="shared" si="64"/>
        <v>540</v>
      </c>
      <c r="Z164" s="73"/>
      <c r="AA164" s="61">
        <f t="shared" si="49"/>
        <v>540</v>
      </c>
      <c r="AB164" s="51">
        <f t="shared" si="70"/>
        <v>0</v>
      </c>
      <c r="AC164" s="88">
        <f t="shared" si="56"/>
        <v>540</v>
      </c>
      <c r="AD164" s="63">
        <v>30</v>
      </c>
      <c r="AE164" s="63">
        <f t="shared" si="51"/>
        <v>0</v>
      </c>
      <c r="AF164" s="63">
        <v>39</v>
      </c>
      <c r="AG164" s="63"/>
      <c r="AH164" s="64">
        <f>AC164+AE164+Table22[[#This Row],[Humid Sacs]]-30</f>
        <v>540</v>
      </c>
      <c r="AI164" s="73"/>
      <c r="AJ164" s="73"/>
      <c r="AK164" s="62">
        <f t="shared" si="53"/>
        <v>540</v>
      </c>
      <c r="AL164" s="62">
        <f t="shared" si="54"/>
        <v>540</v>
      </c>
      <c r="AM164" s="73">
        <v>43950</v>
      </c>
      <c r="AN164" s="124">
        <f t="shared" si="74"/>
        <v>780</v>
      </c>
      <c r="AO164" s="77">
        <f t="shared" si="55"/>
        <v>43410</v>
      </c>
      <c r="AP164" s="77">
        <f t="shared" si="57"/>
        <v>43170</v>
      </c>
      <c r="AQ164" s="77">
        <f>+AO164-AE164*4-240</f>
        <v>43170</v>
      </c>
      <c r="AR164" s="67">
        <f t="shared" si="73"/>
        <v>240</v>
      </c>
      <c r="AS164" s="134">
        <f>Table22[[#This Row],[GROSS WT]]-Table22[[#This Row],[Total Bag Discharged (Truck)]]</f>
        <v>43410</v>
      </c>
      <c r="AT164" s="67">
        <f t="shared" si="59"/>
        <v>43410</v>
      </c>
      <c r="AU164" s="73"/>
      <c r="AV164" s="73">
        <v>19</v>
      </c>
      <c r="AW164" s="73">
        <v>11</v>
      </c>
      <c r="AX164" s="73">
        <v>0</v>
      </c>
      <c r="AY164" s="71">
        <f t="shared" si="60"/>
        <v>30</v>
      </c>
      <c r="AZ164" s="70">
        <v>236</v>
      </c>
      <c r="BA164" s="73">
        <v>9</v>
      </c>
      <c r="BB164" s="73">
        <v>17</v>
      </c>
      <c r="BC164" s="63">
        <f t="shared" si="65"/>
        <v>262</v>
      </c>
      <c r="BD164" s="72">
        <f>SUM(Table22[[#This Row],[Good Kernel (gm)]]+(Table22[[#This Row],[Immature (gm)]]+Table22[[#This Row],[Spotted (gm)]])/2)*0.176</f>
        <v>43.823999999999998</v>
      </c>
      <c r="BE164" s="73">
        <v>43.91</v>
      </c>
      <c r="BF164" s="72">
        <f t="shared" si="66"/>
        <v>46.208939999999998</v>
      </c>
      <c r="BG164" s="72">
        <f t="shared" si="61"/>
        <v>49.55997</v>
      </c>
      <c r="BH164" s="72">
        <f>SUM(Table22[[#This Row],[Good Kernel (gm)]:[Spotted (gm)]])/1000*100</f>
        <v>26.200000000000003</v>
      </c>
      <c r="BI164" s="72">
        <f t="shared" si="62"/>
        <v>28.1</v>
      </c>
      <c r="BJ164" s="73">
        <v>14.7</v>
      </c>
      <c r="BK164" s="73">
        <v>166</v>
      </c>
      <c r="BL164" s="73">
        <v>699</v>
      </c>
      <c r="BM164" s="73">
        <v>28</v>
      </c>
      <c r="BN164" s="73"/>
      <c r="BO164" s="73">
        <v>16</v>
      </c>
      <c r="BP164" s="73">
        <v>0</v>
      </c>
      <c r="BQ164" s="71">
        <f t="shared" si="63"/>
        <v>44</v>
      </c>
      <c r="BR164" s="73">
        <v>238</v>
      </c>
      <c r="BS164" s="73">
        <v>11</v>
      </c>
      <c r="BT164" s="73">
        <v>9</v>
      </c>
      <c r="BU164" s="63">
        <f t="shared" si="67"/>
        <v>258</v>
      </c>
      <c r="BV164" s="72">
        <f>SUM(Table22[[#This Row],[Good Kernel (G M)]]+(Table22[[#This Row],[Immature (g m)]]+Table22[[#This Row],[Spotted (g m)]])/2)*0.176</f>
        <v>43.647999999999996</v>
      </c>
      <c r="BW164" s="73">
        <v>43.73</v>
      </c>
      <c r="BX164" s="73"/>
      <c r="BY164" s="72">
        <f t="shared" si="68"/>
        <v>45.503459999999997</v>
      </c>
      <c r="BZ164" s="72">
        <f t="shared" si="69"/>
        <v>50.44182</v>
      </c>
      <c r="CA164" s="72">
        <f>SUM(Table22[[#This Row],[Good Kernel (G M)]:[Spotted (g m)]])/1000*100</f>
        <v>25.8</v>
      </c>
      <c r="CB164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64" s="73">
        <v>14.3</v>
      </c>
      <c r="CD164" s="73">
        <v>165</v>
      </c>
      <c r="CE164" s="73"/>
      <c r="CH164" s="184">
        <f ca="1">TODAY()-Table22[[#This Row],[Discharge Date]]</f>
        <v>119</v>
      </c>
    </row>
    <row r="165" spans="1:86" x14ac:dyDescent="0.25">
      <c r="A165" s="50">
        <v>161</v>
      </c>
      <c r="B165" s="60" t="s">
        <v>95</v>
      </c>
      <c r="C165" s="60" t="s">
        <v>96</v>
      </c>
      <c r="D165" s="97">
        <v>161</v>
      </c>
      <c r="E165" s="73"/>
      <c r="F165" s="97">
        <v>713</v>
      </c>
      <c r="G165" s="73"/>
      <c r="H165" s="73"/>
      <c r="I165" s="73"/>
      <c r="J165" s="73"/>
      <c r="K165" s="97" t="s">
        <v>634</v>
      </c>
      <c r="L165" s="73"/>
      <c r="M165" s="105">
        <v>30270</v>
      </c>
      <c r="N165" s="105" t="s">
        <v>687</v>
      </c>
      <c r="O165" s="73" t="s">
        <v>266</v>
      </c>
      <c r="P165" s="97" t="s">
        <v>305</v>
      </c>
      <c r="Q165" s="101">
        <v>46136</v>
      </c>
      <c r="R165" s="102" t="s">
        <v>100</v>
      </c>
      <c r="S165" s="102" t="s">
        <v>219</v>
      </c>
      <c r="T165" s="102"/>
      <c r="U165" s="102" t="s">
        <v>220</v>
      </c>
      <c r="V165" s="73" t="s">
        <v>221</v>
      </c>
      <c r="W165" s="73">
        <v>485</v>
      </c>
      <c r="X165" s="73"/>
      <c r="Y165" s="51">
        <f t="shared" si="64"/>
        <v>485</v>
      </c>
      <c r="Z165" s="73"/>
      <c r="AA165" s="61">
        <f t="shared" si="49"/>
        <v>485</v>
      </c>
      <c r="AB165" s="51">
        <f t="shared" si="70"/>
        <v>0</v>
      </c>
      <c r="AC165" s="88">
        <f t="shared" si="56"/>
        <v>485</v>
      </c>
      <c r="AD165" s="63"/>
      <c r="AE165" s="63">
        <v>25</v>
      </c>
      <c r="AF165" s="63">
        <v>46</v>
      </c>
      <c r="AG165" s="63"/>
      <c r="AH165" s="64">
        <f>AC165+AE165+Table22[[#This Row],[Humid Sacs]]</f>
        <v>510</v>
      </c>
      <c r="AI165" s="73"/>
      <c r="AJ165" s="73"/>
      <c r="AK165" s="62">
        <f t="shared" si="53"/>
        <v>510</v>
      </c>
      <c r="AL165" s="62">
        <f t="shared" si="54"/>
        <v>510</v>
      </c>
      <c r="AM165" s="73">
        <v>42570</v>
      </c>
      <c r="AN165" s="124">
        <f t="shared" si="74"/>
        <v>610</v>
      </c>
      <c r="AO165" s="77">
        <f t="shared" si="55"/>
        <v>42060</v>
      </c>
      <c r="AP165" s="77">
        <f t="shared" si="57"/>
        <v>41960</v>
      </c>
      <c r="AQ165" s="77">
        <f>+AO165-AE165*4-240</f>
        <v>41720</v>
      </c>
      <c r="AR165" s="67">
        <f t="shared" si="73"/>
        <v>100</v>
      </c>
      <c r="AS165" s="134">
        <f>Table22[[#This Row],[GROSS WT]]-Table22[[#This Row],[Total Bag Discharged (Truck)]]</f>
        <v>42085</v>
      </c>
      <c r="AT165" s="67">
        <f t="shared" si="59"/>
        <v>42060</v>
      </c>
      <c r="AU165" s="73"/>
      <c r="AV165" s="73">
        <v>37</v>
      </c>
      <c r="AW165" s="73">
        <v>16</v>
      </c>
      <c r="AX165" s="73">
        <v>0</v>
      </c>
      <c r="AY165" s="71">
        <f t="shared" si="60"/>
        <v>53</v>
      </c>
      <c r="AZ165" s="70">
        <v>232</v>
      </c>
      <c r="BA165" s="73">
        <v>20</v>
      </c>
      <c r="BB165" s="73">
        <v>7</v>
      </c>
      <c r="BC165" s="63">
        <f t="shared" si="65"/>
        <v>259</v>
      </c>
      <c r="BD165" s="72">
        <f>SUM(Table22[[#This Row],[Good Kernel (gm)]]+(Table22[[#This Row],[Immature (gm)]]+Table22[[#This Row],[Spotted (gm)]])/2)*0.176</f>
        <v>43.207999999999998</v>
      </c>
      <c r="BE165" s="73">
        <v>43.29</v>
      </c>
      <c r="BF165" s="72">
        <f t="shared" si="66"/>
        <v>45.679830000000003</v>
      </c>
      <c r="BG165" s="72">
        <f t="shared" si="61"/>
        <v>52.20552</v>
      </c>
      <c r="BH165" s="72">
        <f>SUM(Table22[[#This Row],[Good Kernel (gm)]:[Spotted (gm)]])/1000*100</f>
        <v>25.900000000000002</v>
      </c>
      <c r="BI165" s="72">
        <f t="shared" si="62"/>
        <v>29.599999999999998</v>
      </c>
      <c r="BJ165" s="73">
        <v>10.6</v>
      </c>
      <c r="BK165" s="73">
        <v>184</v>
      </c>
      <c r="BL165" s="73">
        <v>683</v>
      </c>
      <c r="BM165" s="73">
        <v>40</v>
      </c>
      <c r="BN165" s="73"/>
      <c r="BO165" s="73">
        <v>18</v>
      </c>
      <c r="BP165" s="73">
        <v>0</v>
      </c>
      <c r="BQ165" s="71">
        <f t="shared" si="63"/>
        <v>58</v>
      </c>
      <c r="BR165" s="73">
        <v>235</v>
      </c>
      <c r="BS165" s="73">
        <v>14</v>
      </c>
      <c r="BT165" s="73">
        <v>9</v>
      </c>
      <c r="BU165" s="63">
        <f t="shared" si="67"/>
        <v>258</v>
      </c>
      <c r="BV165" s="72">
        <f>SUM(Table22[[#This Row],[Good Kernel (G M)]]+(Table22[[#This Row],[Immature (g m)]]+Table22[[#This Row],[Spotted (g m)]])/2)*0.176</f>
        <v>43.384</v>
      </c>
      <c r="BW165" s="73">
        <v>43.47</v>
      </c>
      <c r="BX165" s="73"/>
      <c r="BY165" s="72">
        <f t="shared" si="68"/>
        <v>45.503459999999997</v>
      </c>
      <c r="BZ165" s="72">
        <f t="shared" si="69"/>
        <v>52.558259999999997</v>
      </c>
      <c r="CA165" s="72">
        <f>SUM(Table22[[#This Row],[Good Kernel (G M)]:[Spotted (g m)]])/1000*100</f>
        <v>25.8</v>
      </c>
      <c r="CB16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65" s="73">
        <v>10.199999999999999</v>
      </c>
      <c r="CD165" s="73">
        <v>183</v>
      </c>
      <c r="CE165" s="73"/>
      <c r="CH165" s="184">
        <f ca="1">TODAY()-Table22[[#This Row],[Discharge Date]]</f>
        <v>119</v>
      </c>
    </row>
    <row r="166" spans="1:86" x14ac:dyDescent="0.25">
      <c r="A166" s="50">
        <v>162</v>
      </c>
      <c r="B166" s="60" t="s">
        <v>95</v>
      </c>
      <c r="C166" s="60" t="s">
        <v>96</v>
      </c>
      <c r="D166" s="97">
        <v>162</v>
      </c>
      <c r="E166" s="73"/>
      <c r="F166" s="97">
        <v>705</v>
      </c>
      <c r="G166" s="73"/>
      <c r="H166" s="73"/>
      <c r="I166" s="73"/>
      <c r="J166" s="73"/>
      <c r="K166" s="97" t="s">
        <v>634</v>
      </c>
      <c r="L166" s="73"/>
      <c r="M166" s="100">
        <v>89784</v>
      </c>
      <c r="N166" s="100" t="s">
        <v>689</v>
      </c>
      <c r="O166" s="73" t="s">
        <v>324</v>
      </c>
      <c r="P166" s="97" t="s">
        <v>300</v>
      </c>
      <c r="Q166" s="101">
        <v>46136</v>
      </c>
      <c r="R166" s="102" t="s">
        <v>224</v>
      </c>
      <c r="S166" s="103" t="s">
        <v>231</v>
      </c>
      <c r="T166" s="102" t="s">
        <v>198</v>
      </c>
      <c r="U166" s="102"/>
      <c r="V166" s="73" t="s">
        <v>199</v>
      </c>
      <c r="W166" s="73">
        <v>477</v>
      </c>
      <c r="X166" s="73"/>
      <c r="Y166" s="51">
        <f t="shared" si="64"/>
        <v>477</v>
      </c>
      <c r="Z166" s="73"/>
      <c r="AA166" s="61">
        <f t="shared" si="49"/>
        <v>477</v>
      </c>
      <c r="AB166" s="51">
        <f t="shared" si="70"/>
        <v>0</v>
      </c>
      <c r="AC166" s="88">
        <f t="shared" si="56"/>
        <v>477</v>
      </c>
      <c r="AD166" s="63">
        <v>30</v>
      </c>
      <c r="AE166" s="63">
        <f t="shared" si="51"/>
        <v>0</v>
      </c>
      <c r="AF166" s="63"/>
      <c r="AG166" s="63"/>
      <c r="AH166" s="64">
        <f>AC166+AE166+Table22[[#This Row],[Humid Sacs]]-30</f>
        <v>477</v>
      </c>
      <c r="AI166" s="73"/>
      <c r="AJ166" s="73"/>
      <c r="AK166" s="62">
        <f t="shared" si="53"/>
        <v>477</v>
      </c>
      <c r="AL166" s="62">
        <f t="shared" si="54"/>
        <v>477</v>
      </c>
      <c r="AM166" s="73">
        <v>39460</v>
      </c>
      <c r="AN166" s="124">
        <f t="shared" si="74"/>
        <v>717</v>
      </c>
      <c r="AO166" s="77">
        <f t="shared" si="55"/>
        <v>38983</v>
      </c>
      <c r="AP166" s="77">
        <f t="shared" si="57"/>
        <v>38743</v>
      </c>
      <c r="AQ166" s="77">
        <f t="shared" ref="AQ166" si="75">+AO166-AE166*4-240</f>
        <v>38743</v>
      </c>
      <c r="AR166" s="67">
        <f t="shared" si="73"/>
        <v>240</v>
      </c>
      <c r="AS166" s="134">
        <f>Table22[[#This Row],[GROSS WT]]-Table22[[#This Row],[Total Bag Discharged (Truck)]]</f>
        <v>38983</v>
      </c>
      <c r="AT166" s="67">
        <f t="shared" si="59"/>
        <v>38983</v>
      </c>
      <c r="AU166" s="73"/>
      <c r="AV166" s="73">
        <v>20</v>
      </c>
      <c r="AW166" s="73">
        <v>19</v>
      </c>
      <c r="AX166" s="73">
        <v>2</v>
      </c>
      <c r="AY166" s="71">
        <f t="shared" si="60"/>
        <v>41</v>
      </c>
      <c r="AZ166" s="70">
        <v>229</v>
      </c>
      <c r="BA166" s="73">
        <v>16</v>
      </c>
      <c r="BB166" s="73">
        <v>14</v>
      </c>
      <c r="BC166" s="63">
        <f t="shared" si="65"/>
        <v>259</v>
      </c>
      <c r="BD166" s="72">
        <f>SUM(Table22[[#This Row],[Good Kernel (gm)]]+(Table22[[#This Row],[Immature (gm)]]+Table22[[#This Row],[Spotted (gm)]])/2)*0.176</f>
        <v>42.943999999999996</v>
      </c>
      <c r="BE166" s="73">
        <v>43.03</v>
      </c>
      <c r="BF166" s="72">
        <f t="shared" si="66"/>
        <v>45.679830000000003</v>
      </c>
      <c r="BG166" s="72">
        <f t="shared" si="61"/>
        <v>49.55997</v>
      </c>
      <c r="BH166" s="72">
        <f>SUM(Table22[[#This Row],[Good Kernel (gm)]:[Spotted (gm)]])/1000*100</f>
        <v>25.900000000000002</v>
      </c>
      <c r="BI166" s="72">
        <f t="shared" si="62"/>
        <v>28.1</v>
      </c>
      <c r="BJ166" s="73">
        <v>12.5</v>
      </c>
      <c r="BK166" s="73">
        <v>164</v>
      </c>
      <c r="BL166" s="73">
        <v>695</v>
      </c>
      <c r="BM166" s="73">
        <v>17</v>
      </c>
      <c r="BN166" s="73"/>
      <c r="BO166" s="73">
        <v>20</v>
      </c>
      <c r="BP166" s="73">
        <v>2</v>
      </c>
      <c r="BQ166" s="71">
        <f t="shared" si="63"/>
        <v>39</v>
      </c>
      <c r="BR166" s="73">
        <v>240</v>
      </c>
      <c r="BS166" s="73">
        <v>8</v>
      </c>
      <c r="BT166" s="73">
        <v>12</v>
      </c>
      <c r="BU166" s="63">
        <f t="shared" si="67"/>
        <v>260</v>
      </c>
      <c r="BV166" s="72">
        <f>SUM(Table22[[#This Row],[Good Kernel (G M)]]+(Table22[[#This Row],[Immature (g m)]]+Table22[[#This Row],[Spotted (g m)]])/2)*0.176</f>
        <v>44</v>
      </c>
      <c r="BW166" s="73">
        <v>44.09</v>
      </c>
      <c r="BX166" s="73"/>
      <c r="BY166" s="72">
        <f t="shared" si="68"/>
        <v>45.856200000000001</v>
      </c>
      <c r="BZ166" s="72">
        <f t="shared" si="69"/>
        <v>49.207230000000003</v>
      </c>
      <c r="CA166" s="72">
        <f>SUM(Table22[[#This Row],[Good Kernel (G M)]:[Spotted (g m)]])/1000*100</f>
        <v>26</v>
      </c>
      <c r="CB166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166" s="73">
        <v>12.8</v>
      </c>
      <c r="CD166" s="73">
        <v>170</v>
      </c>
      <c r="CE166" s="73"/>
      <c r="CH166" s="184">
        <f ca="1">TODAY()-Table22[[#This Row],[Discharge Date]]</f>
        <v>119</v>
      </c>
    </row>
    <row r="167" spans="1:86" x14ac:dyDescent="0.25">
      <c r="A167" s="50">
        <v>163</v>
      </c>
      <c r="B167" s="60" t="s">
        <v>95</v>
      </c>
      <c r="C167" s="60" t="s">
        <v>96</v>
      </c>
      <c r="D167" s="97">
        <v>163</v>
      </c>
      <c r="E167" s="73"/>
      <c r="F167" s="97">
        <v>720</v>
      </c>
      <c r="G167" s="73"/>
      <c r="H167" s="73"/>
      <c r="I167" s="73"/>
      <c r="J167" s="73"/>
      <c r="K167" s="97" t="s">
        <v>634</v>
      </c>
      <c r="L167" s="73"/>
      <c r="M167" s="100">
        <v>78889</v>
      </c>
      <c r="N167" s="100" t="s">
        <v>684</v>
      </c>
      <c r="O167" s="73" t="s">
        <v>189</v>
      </c>
      <c r="P167" s="97" t="s">
        <v>325</v>
      </c>
      <c r="Q167" s="101">
        <v>46137</v>
      </c>
      <c r="R167" s="102" t="s">
        <v>100</v>
      </c>
      <c r="S167" s="59" t="s">
        <v>101</v>
      </c>
      <c r="T167" s="102"/>
      <c r="U167" s="102"/>
      <c r="V167" s="51" t="s">
        <v>102</v>
      </c>
      <c r="W167" s="73">
        <v>512</v>
      </c>
      <c r="X167" s="73"/>
      <c r="Y167" s="51">
        <f t="shared" si="64"/>
        <v>512</v>
      </c>
      <c r="Z167" s="73"/>
      <c r="AA167" s="61">
        <f t="shared" si="49"/>
        <v>512</v>
      </c>
      <c r="AB167" s="51">
        <f t="shared" si="70"/>
        <v>0</v>
      </c>
      <c r="AC167" s="88">
        <f t="shared" si="56"/>
        <v>512</v>
      </c>
      <c r="AD167" s="63">
        <v>20</v>
      </c>
      <c r="AE167" s="63">
        <f t="shared" si="51"/>
        <v>0</v>
      </c>
      <c r="AF167" s="63">
        <v>6</v>
      </c>
      <c r="AG167" s="63"/>
      <c r="AH167" s="64">
        <f>AC167+AE167+Table22[[#This Row],[Humid Sacs]]-20</f>
        <v>512</v>
      </c>
      <c r="AI167" s="73"/>
      <c r="AJ167" s="73"/>
      <c r="AK167" s="62">
        <f>AH167</f>
        <v>512</v>
      </c>
      <c r="AL167" s="62">
        <f>AK167</f>
        <v>512</v>
      </c>
      <c r="AM167" s="73">
        <v>42050</v>
      </c>
      <c r="AN167" s="124">
        <f t="shared" si="74"/>
        <v>672</v>
      </c>
      <c r="AO167" s="77">
        <f t="shared" si="55"/>
        <v>41538</v>
      </c>
      <c r="AP167" s="77">
        <f t="shared" si="57"/>
        <v>41378</v>
      </c>
      <c r="AQ167" s="77">
        <f>+AO167-AE167*4-160</f>
        <v>41378</v>
      </c>
      <c r="AR167" s="67">
        <f t="shared" si="73"/>
        <v>160</v>
      </c>
      <c r="AS167" s="134">
        <f>Table22[[#This Row],[GROSS WT]]-Table22[[#This Row],[Total Bag Discharged (Truck)]]</f>
        <v>41538</v>
      </c>
      <c r="AT167" s="67">
        <f t="shared" si="59"/>
        <v>41538</v>
      </c>
      <c r="AU167" s="73"/>
      <c r="AV167" s="73">
        <v>18</v>
      </c>
      <c r="AW167" s="73">
        <v>14</v>
      </c>
      <c r="AX167" s="73">
        <v>0</v>
      </c>
      <c r="AY167" s="71">
        <f t="shared" si="60"/>
        <v>32</v>
      </c>
      <c r="AZ167" s="70">
        <v>238</v>
      </c>
      <c r="BA167" s="73">
        <v>19</v>
      </c>
      <c r="BB167" s="73">
        <v>9</v>
      </c>
      <c r="BC167" s="63">
        <f t="shared" si="65"/>
        <v>266</v>
      </c>
      <c r="BD167" s="72">
        <f>SUM(Table22[[#This Row],[Good Kernel (gm)]]+(Table22[[#This Row],[Immature (gm)]]+Table22[[#This Row],[Spotted (gm)]])/2)*0.176</f>
        <v>44.351999999999997</v>
      </c>
      <c r="BE167" s="73">
        <v>44.44</v>
      </c>
      <c r="BF167" s="72">
        <f t="shared" si="66"/>
        <v>46.91442</v>
      </c>
      <c r="BG167" s="72">
        <f t="shared" si="61"/>
        <v>50.089080000000003</v>
      </c>
      <c r="BH167" s="72">
        <f>SUM(Table22[[#This Row],[Good Kernel (gm)]:[Spotted (gm)]])/1000*100</f>
        <v>26.6</v>
      </c>
      <c r="BI167" s="72">
        <f t="shared" si="62"/>
        <v>28.4</v>
      </c>
      <c r="BJ167" s="73">
        <v>11.6</v>
      </c>
      <c r="BK167" s="73">
        <v>186</v>
      </c>
      <c r="BL167" s="73">
        <v>696</v>
      </c>
      <c r="BM167" s="73">
        <v>39</v>
      </c>
      <c r="BN167" s="73"/>
      <c r="BO167" s="73">
        <v>28</v>
      </c>
      <c r="BP167" s="73">
        <v>2</v>
      </c>
      <c r="BQ167" s="71">
        <f t="shared" si="63"/>
        <v>69</v>
      </c>
      <c r="BR167" s="73">
        <v>233</v>
      </c>
      <c r="BS167" s="73">
        <v>18</v>
      </c>
      <c r="BT167" s="73">
        <v>11</v>
      </c>
      <c r="BU167" s="63">
        <f t="shared" si="67"/>
        <v>262</v>
      </c>
      <c r="BV167" s="72">
        <f>SUM(Table22[[#This Row],[Good Kernel (G M)]]+(Table22[[#This Row],[Immature (g m)]]+Table22[[#This Row],[Spotted (g m)]])/2)*0.176</f>
        <v>43.559999999999995</v>
      </c>
      <c r="BW167" s="73">
        <v>43.65</v>
      </c>
      <c r="BX167" s="73"/>
      <c r="BY167" s="72">
        <f t="shared" si="68"/>
        <v>46.208939999999998</v>
      </c>
      <c r="BZ167" s="72">
        <f t="shared" si="69"/>
        <v>53.440109999999997</v>
      </c>
      <c r="CA167" s="72">
        <f>SUM(Table22[[#This Row],[Good Kernel (G M)]:[Spotted (g m)]])/1000*100</f>
        <v>26.200000000000003</v>
      </c>
      <c r="CB167" s="72">
        <f>(Table22[[#This Row],[BROWNS/Rejection (gm) (NUT)]]+Table22[[#This Row],[OIL (g m)]]+Table22[[#This Row],[Good Kernel (G M)]]+Table22[[#This Row],[Immature (g m)]]+Table22[[#This Row],[Spotted (g m)]])/1000*100</f>
        <v>30.3</v>
      </c>
      <c r="CC167" s="73">
        <v>11.1</v>
      </c>
      <c r="CD167" s="73">
        <v>180</v>
      </c>
      <c r="CE167" s="73"/>
      <c r="CH167" s="184">
        <f ca="1">TODAY()-Table22[[#This Row],[Discharge Date]]</f>
        <v>118</v>
      </c>
    </row>
    <row r="168" spans="1:86" x14ac:dyDescent="0.25">
      <c r="A168" s="50">
        <v>164</v>
      </c>
      <c r="B168" s="60" t="s">
        <v>95</v>
      </c>
      <c r="C168" s="60" t="s">
        <v>96</v>
      </c>
      <c r="D168" s="97">
        <v>164</v>
      </c>
      <c r="E168" s="73"/>
      <c r="F168" s="97">
        <v>714</v>
      </c>
      <c r="G168" s="73"/>
      <c r="H168" s="73"/>
      <c r="I168" s="73"/>
      <c r="J168" s="73"/>
      <c r="K168" s="97" t="s">
        <v>634</v>
      </c>
      <c r="L168" s="73"/>
      <c r="M168" s="100">
        <v>37585</v>
      </c>
      <c r="N168" s="100" t="s">
        <v>687</v>
      </c>
      <c r="O168" s="73" t="s">
        <v>326</v>
      </c>
      <c r="P168" s="97" t="s">
        <v>311</v>
      </c>
      <c r="Q168" s="101">
        <v>46137</v>
      </c>
      <c r="R168" s="102" t="s">
        <v>327</v>
      </c>
      <c r="S168" s="103" t="s">
        <v>146</v>
      </c>
      <c r="T168" s="102"/>
      <c r="U168" s="102"/>
      <c r="V168" s="73" t="s">
        <v>147</v>
      </c>
      <c r="W168" s="73">
        <v>532</v>
      </c>
      <c r="X168" s="73"/>
      <c r="Y168" s="51">
        <f t="shared" si="64"/>
        <v>532</v>
      </c>
      <c r="Z168" s="73"/>
      <c r="AA168" s="61">
        <f t="shared" si="49"/>
        <v>532</v>
      </c>
      <c r="AB168" s="51">
        <f t="shared" si="70"/>
        <v>0</v>
      </c>
      <c r="AC168" s="88">
        <f t="shared" si="56"/>
        <v>532</v>
      </c>
      <c r="AD168" s="63">
        <v>20</v>
      </c>
      <c r="AE168" s="63">
        <f t="shared" si="51"/>
        <v>0</v>
      </c>
      <c r="AF168" s="63">
        <v>51</v>
      </c>
      <c r="AG168" s="63"/>
      <c r="AH168" s="64">
        <f>AC168+AE168+Table22[[#This Row],[Humid Sacs]]-20</f>
        <v>532</v>
      </c>
      <c r="AI168" s="73"/>
      <c r="AJ168" s="73"/>
      <c r="AK168" s="62">
        <f t="shared" ref="AK168:AK231" si="76">AH168</f>
        <v>532</v>
      </c>
      <c r="AL168" s="62">
        <f t="shared" ref="AL168:AL231" si="77">AK168</f>
        <v>532</v>
      </c>
      <c r="AM168" s="73">
        <v>45520</v>
      </c>
      <c r="AN168" s="124">
        <f t="shared" si="74"/>
        <v>692</v>
      </c>
      <c r="AO168" s="77">
        <f t="shared" si="55"/>
        <v>44988</v>
      </c>
      <c r="AP168" s="77">
        <f t="shared" si="57"/>
        <v>44828</v>
      </c>
      <c r="AQ168" s="77">
        <f>+AO168-AE168*4-160</f>
        <v>44828</v>
      </c>
      <c r="AR168" s="67">
        <f t="shared" si="73"/>
        <v>160</v>
      </c>
      <c r="AS168" s="134">
        <f>Table22[[#This Row],[GROSS WT]]-Table22[[#This Row],[Total Bag Discharged (Truck)]]</f>
        <v>44988</v>
      </c>
      <c r="AT168" s="67">
        <f t="shared" si="59"/>
        <v>44988</v>
      </c>
      <c r="AU168" s="73"/>
      <c r="AV168" s="73">
        <v>15</v>
      </c>
      <c r="AW168" s="73">
        <v>31</v>
      </c>
      <c r="AX168" s="73">
        <v>2</v>
      </c>
      <c r="AY168" s="71">
        <f t="shared" si="60"/>
        <v>48</v>
      </c>
      <c r="AZ168" s="70">
        <v>235</v>
      </c>
      <c r="BA168" s="73">
        <v>12</v>
      </c>
      <c r="BB168" s="73">
        <v>8</v>
      </c>
      <c r="BC168" s="63">
        <f t="shared" si="65"/>
        <v>255</v>
      </c>
      <c r="BD168" s="72">
        <f>SUM(Table22[[#This Row],[Good Kernel (gm)]]+(Table22[[#This Row],[Immature (gm)]]+Table22[[#This Row],[Spotted (gm)]])/2)*0.176</f>
        <v>43.12</v>
      </c>
      <c r="BE168" s="73">
        <v>43.12</v>
      </c>
      <c r="BF168" s="72">
        <f t="shared" si="66"/>
        <v>44.974350000000001</v>
      </c>
      <c r="BG168" s="72">
        <f t="shared" si="61"/>
        <v>47.972639999999998</v>
      </c>
      <c r="BH168" s="72">
        <f>SUM(Table22[[#This Row],[Good Kernel (gm)]:[Spotted (gm)]])/1000*100</f>
        <v>25.5</v>
      </c>
      <c r="BI168" s="72">
        <f t="shared" si="62"/>
        <v>27.200000000000003</v>
      </c>
      <c r="BJ168" s="73">
        <v>10.5</v>
      </c>
      <c r="BK168" s="73">
        <v>167</v>
      </c>
      <c r="BL168" s="73">
        <v>692</v>
      </c>
      <c r="BM168" s="73">
        <v>22</v>
      </c>
      <c r="BN168" s="73"/>
      <c r="BO168" s="73">
        <v>14</v>
      </c>
      <c r="BP168" s="73">
        <v>3</v>
      </c>
      <c r="BQ168" s="71">
        <f t="shared" si="63"/>
        <v>39</v>
      </c>
      <c r="BR168" s="73">
        <v>234</v>
      </c>
      <c r="BS168" s="73">
        <v>18</v>
      </c>
      <c r="BT168" s="73">
        <v>8</v>
      </c>
      <c r="BU168" s="63">
        <f t="shared" si="67"/>
        <v>260</v>
      </c>
      <c r="BV168" s="72">
        <f>SUM(Table22[[#This Row],[Good Kernel (G M)]]+(Table22[[#This Row],[Immature (g m)]]+Table22[[#This Row],[Spotted (g m)]])/2)*0.176</f>
        <v>43.471999999999994</v>
      </c>
      <c r="BW168" s="73">
        <v>43.56</v>
      </c>
      <c r="BX168" s="73"/>
      <c r="BY168" s="72">
        <f t="shared" si="68"/>
        <v>45.856200000000001</v>
      </c>
      <c r="BZ168" s="72">
        <f t="shared" si="69"/>
        <v>50.265450000000001</v>
      </c>
      <c r="CA168" s="72">
        <f>SUM(Table22[[#This Row],[Good Kernel (G M)]:[Spotted (g m)]])/1000*100</f>
        <v>26</v>
      </c>
      <c r="CB168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68" s="73">
        <v>10.9</v>
      </c>
      <c r="CD168" s="73">
        <v>164</v>
      </c>
      <c r="CE168" s="73"/>
      <c r="CH168" s="184">
        <f ca="1">TODAY()-Table22[[#This Row],[Discharge Date]]</f>
        <v>118</v>
      </c>
    </row>
    <row r="169" spans="1:86" x14ac:dyDescent="0.25">
      <c r="A169" s="50">
        <v>165</v>
      </c>
      <c r="B169" s="60" t="s">
        <v>95</v>
      </c>
      <c r="C169" s="60" t="s">
        <v>96</v>
      </c>
      <c r="D169" s="97">
        <v>165</v>
      </c>
      <c r="E169" s="73"/>
      <c r="F169" s="97">
        <v>715</v>
      </c>
      <c r="G169" s="73"/>
      <c r="H169" s="73"/>
      <c r="I169" s="73"/>
      <c r="J169" s="73"/>
      <c r="K169" s="97" t="s">
        <v>634</v>
      </c>
      <c r="L169" s="73"/>
      <c r="M169" s="100">
        <v>32357</v>
      </c>
      <c r="N169" s="100" t="s">
        <v>686</v>
      </c>
      <c r="O169" s="73" t="s">
        <v>328</v>
      </c>
      <c r="P169" s="97" t="s">
        <v>315</v>
      </c>
      <c r="Q169" s="101">
        <v>46137</v>
      </c>
      <c r="R169" s="102" t="s">
        <v>329</v>
      </c>
      <c r="S169" s="103" t="s">
        <v>271</v>
      </c>
      <c r="T169" s="102" t="s">
        <v>198</v>
      </c>
      <c r="U169" s="102" t="s">
        <v>272</v>
      </c>
      <c r="V169" s="73" t="s">
        <v>199</v>
      </c>
      <c r="W169" s="73">
        <v>506</v>
      </c>
      <c r="X169" s="73"/>
      <c r="Y169" s="51">
        <f t="shared" si="64"/>
        <v>506</v>
      </c>
      <c r="Z169" s="73"/>
      <c r="AA169" s="61">
        <f t="shared" ref="AA169:AA233" si="78">W169+Z169</f>
        <v>506</v>
      </c>
      <c r="AB169" s="51">
        <f t="shared" si="70"/>
        <v>0</v>
      </c>
      <c r="AC169" s="88">
        <f t="shared" si="56"/>
        <v>506</v>
      </c>
      <c r="AD169" s="63">
        <v>20</v>
      </c>
      <c r="AE169" s="63">
        <f t="shared" ref="AE169:AE232" si="79">X169</f>
        <v>0</v>
      </c>
      <c r="AF169" s="63">
        <v>39</v>
      </c>
      <c r="AG169" s="63"/>
      <c r="AH169" s="64">
        <f>AC169+AE169+Table22[[#This Row],[Humid Sacs]]-20</f>
        <v>506</v>
      </c>
      <c r="AI169" s="73"/>
      <c r="AJ169" s="73"/>
      <c r="AK169" s="62">
        <f t="shared" si="76"/>
        <v>506</v>
      </c>
      <c r="AL169" s="62">
        <f t="shared" si="77"/>
        <v>506</v>
      </c>
      <c r="AM169" s="73">
        <v>49120</v>
      </c>
      <c r="AN169" s="124">
        <f t="shared" si="74"/>
        <v>666</v>
      </c>
      <c r="AO169" s="77">
        <f t="shared" ref="AO169:AO232" si="80">AM169-AH169</f>
        <v>48614</v>
      </c>
      <c r="AP169" s="77">
        <f t="shared" si="57"/>
        <v>48454</v>
      </c>
      <c r="AQ169" s="77">
        <f>+AO169-AE169*4-160</f>
        <v>48454</v>
      </c>
      <c r="AR169" s="67">
        <f t="shared" si="73"/>
        <v>160</v>
      </c>
      <c r="AS169" s="134">
        <f>Table22[[#This Row],[GROSS WT]]-Table22[[#This Row],[Total Bag Discharged (Truck)]]</f>
        <v>48614</v>
      </c>
      <c r="AT169" s="67">
        <f t="shared" si="59"/>
        <v>48614</v>
      </c>
      <c r="AU169" s="73"/>
      <c r="AV169" s="73">
        <v>27</v>
      </c>
      <c r="AW169" s="73">
        <v>24</v>
      </c>
      <c r="AX169" s="73">
        <v>4</v>
      </c>
      <c r="AY169" s="71">
        <f t="shared" si="60"/>
        <v>55</v>
      </c>
      <c r="AZ169" s="70">
        <v>219</v>
      </c>
      <c r="BA169" s="73">
        <v>15</v>
      </c>
      <c r="BB169" s="73">
        <v>16</v>
      </c>
      <c r="BC169" s="63">
        <f t="shared" si="65"/>
        <v>250</v>
      </c>
      <c r="BD169" s="72">
        <f>SUM(Table22[[#This Row],[Good Kernel (gm)]]+(Table22[[#This Row],[Immature (gm)]]+Table22[[#This Row],[Spotted (gm)]])/2)*0.176</f>
        <v>41.271999999999998</v>
      </c>
      <c r="BE169" s="73">
        <v>41.35</v>
      </c>
      <c r="BF169" s="72">
        <f t="shared" si="66"/>
        <v>44.092500000000001</v>
      </c>
      <c r="BG169" s="72">
        <f t="shared" si="61"/>
        <v>49.55997</v>
      </c>
      <c r="BH169" s="72">
        <f>SUM(Table22[[#This Row],[Good Kernel (gm)]:[Spotted (gm)]])/1000*100</f>
        <v>25</v>
      </c>
      <c r="BI169" s="72">
        <f t="shared" si="62"/>
        <v>28.1</v>
      </c>
      <c r="BJ169" s="73">
        <v>10.3</v>
      </c>
      <c r="BK169" s="73">
        <v>161</v>
      </c>
      <c r="BL169" s="73">
        <v>689</v>
      </c>
      <c r="BM169" s="73">
        <v>34</v>
      </c>
      <c r="BN169" s="73"/>
      <c r="BO169" s="73">
        <v>28</v>
      </c>
      <c r="BP169" s="73">
        <v>2</v>
      </c>
      <c r="BQ169" s="71">
        <f t="shared" si="63"/>
        <v>64</v>
      </c>
      <c r="BR169" s="73">
        <v>225</v>
      </c>
      <c r="BS169" s="73">
        <v>20</v>
      </c>
      <c r="BT169" s="73">
        <v>8</v>
      </c>
      <c r="BU169" s="63">
        <f t="shared" si="67"/>
        <v>253</v>
      </c>
      <c r="BV169" s="72">
        <f>SUM(Table22[[#This Row],[Good Kernel (G M)]]+(Table22[[#This Row],[Immature (g m)]]+Table22[[#This Row],[Spotted (g m)]])/2)*0.176</f>
        <v>42.064</v>
      </c>
      <c r="BW169" s="73">
        <v>42.15</v>
      </c>
      <c r="BX169" s="73"/>
      <c r="BY169" s="72">
        <f t="shared" si="68"/>
        <v>44.621609999999997</v>
      </c>
      <c r="BZ169" s="72">
        <f t="shared" si="69"/>
        <v>50.970930000000003</v>
      </c>
      <c r="CA169" s="72">
        <f>SUM(Table22[[#This Row],[Good Kernel (G M)]:[Spotted (g m)]])/1000*100</f>
        <v>25.3</v>
      </c>
      <c r="CB169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169" s="73">
        <v>10</v>
      </c>
      <c r="CD169" s="73">
        <v>164</v>
      </c>
      <c r="CE169" s="73"/>
      <c r="CH169" s="184">
        <f ca="1">TODAY()-Table22[[#This Row],[Discharge Date]]</f>
        <v>118</v>
      </c>
    </row>
    <row r="170" spans="1:86" x14ac:dyDescent="0.25">
      <c r="A170" s="50">
        <v>166</v>
      </c>
      <c r="B170" s="60" t="s">
        <v>95</v>
      </c>
      <c r="C170" s="60" t="s">
        <v>96</v>
      </c>
      <c r="D170" s="97">
        <v>166</v>
      </c>
      <c r="E170" s="73"/>
      <c r="F170" s="97">
        <v>717</v>
      </c>
      <c r="G170" s="73"/>
      <c r="H170" s="73"/>
      <c r="I170" s="73"/>
      <c r="J170" s="73"/>
      <c r="K170" s="97" t="s">
        <v>634</v>
      </c>
      <c r="L170" s="73"/>
      <c r="M170" s="100">
        <v>31981</v>
      </c>
      <c r="N170" s="100" t="s">
        <v>682</v>
      </c>
      <c r="O170" s="73" t="s">
        <v>330</v>
      </c>
      <c r="P170" s="97" t="s">
        <v>287</v>
      </c>
      <c r="Q170" s="101">
        <v>46137</v>
      </c>
      <c r="R170" s="102" t="s">
        <v>331</v>
      </c>
      <c r="S170" s="103" t="s">
        <v>313</v>
      </c>
      <c r="T170" s="102" t="s">
        <v>198</v>
      </c>
      <c r="U170" s="102"/>
      <c r="V170" s="73" t="s">
        <v>199</v>
      </c>
      <c r="W170" s="73">
        <v>552</v>
      </c>
      <c r="X170" s="73"/>
      <c r="Y170" s="51">
        <f t="shared" si="64"/>
        <v>552</v>
      </c>
      <c r="Z170" s="73"/>
      <c r="AA170" s="61">
        <f t="shared" si="78"/>
        <v>552</v>
      </c>
      <c r="AB170" s="51">
        <f t="shared" si="70"/>
        <v>0</v>
      </c>
      <c r="AC170" s="88">
        <f t="shared" si="56"/>
        <v>552</v>
      </c>
      <c r="AD170" s="63">
        <v>30</v>
      </c>
      <c r="AE170" s="63">
        <f t="shared" si="79"/>
        <v>0</v>
      </c>
      <c r="AF170" s="63">
        <v>15</v>
      </c>
      <c r="AG170" s="63"/>
      <c r="AH170" s="64">
        <f>AC170+AE170+Table22[[#This Row],[Humid Sacs]]-30</f>
        <v>552</v>
      </c>
      <c r="AI170" s="73"/>
      <c r="AJ170" s="73"/>
      <c r="AK170" s="62">
        <f t="shared" si="76"/>
        <v>552</v>
      </c>
      <c r="AL170" s="62">
        <f t="shared" si="77"/>
        <v>552</v>
      </c>
      <c r="AM170" s="73">
        <v>37050</v>
      </c>
      <c r="AN170" s="124">
        <f t="shared" si="74"/>
        <v>792</v>
      </c>
      <c r="AO170" s="77">
        <f t="shared" si="80"/>
        <v>36498</v>
      </c>
      <c r="AP170" s="77">
        <f t="shared" si="57"/>
        <v>36258</v>
      </c>
      <c r="AQ170" s="77">
        <f>+AO170-AE170*4-240</f>
        <v>36258</v>
      </c>
      <c r="AR170" s="67">
        <f t="shared" si="73"/>
        <v>240</v>
      </c>
      <c r="AS170" s="134">
        <f>Table22[[#This Row],[GROSS WT]]-Table22[[#This Row],[Total Bag Discharged (Truck)]]</f>
        <v>36498</v>
      </c>
      <c r="AT170" s="67">
        <f t="shared" si="59"/>
        <v>36498</v>
      </c>
      <c r="AU170" s="73"/>
      <c r="AV170" s="73">
        <v>27</v>
      </c>
      <c r="AW170" s="73">
        <v>18</v>
      </c>
      <c r="AX170" s="73">
        <v>3</v>
      </c>
      <c r="AY170" s="71">
        <f t="shared" si="60"/>
        <v>48</v>
      </c>
      <c r="AZ170" s="70">
        <v>231</v>
      </c>
      <c r="BA170" s="73">
        <v>6</v>
      </c>
      <c r="BB170" s="73">
        <v>12</v>
      </c>
      <c r="BC170" s="63">
        <f t="shared" si="65"/>
        <v>249</v>
      </c>
      <c r="BD170" s="72">
        <f>SUM(Table22[[#This Row],[Good Kernel (gm)]]+(Table22[[#This Row],[Immature (gm)]]+Table22[[#This Row],[Spotted (gm)]])/2)*0.176</f>
        <v>42.239999999999995</v>
      </c>
      <c r="BE170" s="73">
        <v>42.32</v>
      </c>
      <c r="BF170" s="72">
        <f t="shared" si="66"/>
        <v>43.916130000000003</v>
      </c>
      <c r="BG170" s="72">
        <f t="shared" si="61"/>
        <v>49.207230000000003</v>
      </c>
      <c r="BH170" s="72">
        <f>SUM(Table22[[#This Row],[Good Kernel (gm)]:[Spotted (gm)]])/1000*100</f>
        <v>24.9</v>
      </c>
      <c r="BI170" s="72">
        <f t="shared" si="62"/>
        <v>27.900000000000002</v>
      </c>
      <c r="BJ170" s="73">
        <v>13.3</v>
      </c>
      <c r="BK170" s="73">
        <v>164</v>
      </c>
      <c r="BL170" s="73">
        <v>697</v>
      </c>
      <c r="BM170" s="73">
        <v>24</v>
      </c>
      <c r="BN170" s="73"/>
      <c r="BO170" s="73">
        <v>19</v>
      </c>
      <c r="BP170" s="73">
        <v>0</v>
      </c>
      <c r="BQ170" s="71">
        <f t="shared" si="63"/>
        <v>43</v>
      </c>
      <c r="BR170" s="73">
        <v>234</v>
      </c>
      <c r="BS170" s="73">
        <v>8</v>
      </c>
      <c r="BT170" s="73">
        <v>12</v>
      </c>
      <c r="BU170" s="63">
        <f t="shared" si="67"/>
        <v>254</v>
      </c>
      <c r="BV170" s="72">
        <f>SUM(Table22[[#This Row],[Good Kernel (G M)]]+(Table22[[#This Row],[Immature (g m)]]+Table22[[#This Row],[Spotted (g m)]])/2)*0.176</f>
        <v>42.943999999999996</v>
      </c>
      <c r="BW170" s="73">
        <v>43.03</v>
      </c>
      <c r="BX170" s="73"/>
      <c r="BY170" s="72">
        <f t="shared" si="68"/>
        <v>44.797980000000003</v>
      </c>
      <c r="BZ170" s="72">
        <f t="shared" si="69"/>
        <v>49.030859999999997</v>
      </c>
      <c r="CA170" s="72">
        <f>SUM(Table22[[#This Row],[Good Kernel (G M)]:[Spotted (g m)]])/1000*100</f>
        <v>25.4</v>
      </c>
      <c r="CB170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170" s="73">
        <v>12.2</v>
      </c>
      <c r="CD170" s="73">
        <v>168</v>
      </c>
      <c r="CE170" s="73"/>
      <c r="CH170" s="184">
        <f ca="1">TODAY()-Table22[[#This Row],[Discharge Date]]</f>
        <v>118</v>
      </c>
    </row>
    <row r="171" spans="1:86" x14ac:dyDescent="0.25">
      <c r="A171" s="50">
        <v>167</v>
      </c>
      <c r="B171" s="60" t="s">
        <v>95</v>
      </c>
      <c r="C171" s="60" t="s">
        <v>96</v>
      </c>
      <c r="D171" s="97">
        <v>167</v>
      </c>
      <c r="E171" s="73"/>
      <c r="F171" s="97">
        <v>719</v>
      </c>
      <c r="G171" s="73"/>
      <c r="H171" s="73"/>
      <c r="I171" s="73"/>
      <c r="J171" s="73"/>
      <c r="K171" s="97" t="s">
        <v>634</v>
      </c>
      <c r="L171" s="73"/>
      <c r="M171" s="100">
        <v>18444</v>
      </c>
      <c r="N171" s="100" t="s">
        <v>682</v>
      </c>
      <c r="O171" s="73" t="s">
        <v>332</v>
      </c>
      <c r="P171" s="97" t="s">
        <v>315</v>
      </c>
      <c r="Q171" s="101">
        <v>46137</v>
      </c>
      <c r="R171" s="102" t="s">
        <v>100</v>
      </c>
      <c r="S171" s="131" t="s">
        <v>333</v>
      </c>
      <c r="T171" s="102"/>
      <c r="U171" s="102"/>
      <c r="V171" s="73" t="s">
        <v>334</v>
      </c>
      <c r="W171" s="73">
        <v>502</v>
      </c>
      <c r="X171" s="73"/>
      <c r="Y171" s="51">
        <f>W171+X171</f>
        <v>502</v>
      </c>
      <c r="Z171" s="73"/>
      <c r="AA171" s="61">
        <f t="shared" si="78"/>
        <v>502</v>
      </c>
      <c r="AB171" s="51">
        <f t="shared" si="70"/>
        <v>0</v>
      </c>
      <c r="AC171" s="88">
        <f t="shared" si="56"/>
        <v>502</v>
      </c>
      <c r="AD171" s="63">
        <v>20</v>
      </c>
      <c r="AE171" s="63">
        <f t="shared" si="79"/>
        <v>0</v>
      </c>
      <c r="AF171" s="63">
        <v>7</v>
      </c>
      <c r="AG171" s="63"/>
      <c r="AH171" s="64">
        <f>AC171+AE171+Table22[[#This Row],[Humid Sacs]]-20</f>
        <v>502</v>
      </c>
      <c r="AI171" s="73"/>
      <c r="AJ171" s="73"/>
      <c r="AK171" s="62">
        <f t="shared" si="76"/>
        <v>502</v>
      </c>
      <c r="AL171" s="62">
        <f t="shared" si="77"/>
        <v>502</v>
      </c>
      <c r="AM171" s="73">
        <v>38820</v>
      </c>
      <c r="AN171" s="124">
        <f t="shared" si="74"/>
        <v>662</v>
      </c>
      <c r="AO171" s="77">
        <f t="shared" si="80"/>
        <v>38318</v>
      </c>
      <c r="AP171" s="77">
        <f t="shared" si="57"/>
        <v>38158</v>
      </c>
      <c r="AQ171" s="77">
        <f>+AO171-AE171*4-160</f>
        <v>38158</v>
      </c>
      <c r="AR171" s="67">
        <f t="shared" si="73"/>
        <v>160</v>
      </c>
      <c r="AS171" s="134">
        <f>Table22[[#This Row],[GROSS WT]]-Table22[[#This Row],[Total Bag Discharged (Truck)]]</f>
        <v>38318</v>
      </c>
      <c r="AT171" s="67">
        <f t="shared" si="59"/>
        <v>38318</v>
      </c>
      <c r="AU171" s="73"/>
      <c r="AV171" s="73">
        <v>35</v>
      </c>
      <c r="AW171" s="73">
        <v>32</v>
      </c>
      <c r="AX171" s="73">
        <v>3</v>
      </c>
      <c r="AY171" s="71">
        <f t="shared" si="60"/>
        <v>70</v>
      </c>
      <c r="AZ171" s="70">
        <v>224</v>
      </c>
      <c r="BA171" s="73">
        <v>15</v>
      </c>
      <c r="BB171" s="73">
        <v>10</v>
      </c>
      <c r="BC171" s="63">
        <f t="shared" si="65"/>
        <v>249</v>
      </c>
      <c r="BD171" s="72">
        <f>SUM(Table22[[#This Row],[Good Kernel (gm)]]+(Table22[[#This Row],[Immature (gm)]]+Table22[[#This Row],[Spotted (gm)]])/2)*0.176</f>
        <v>41.623999999999995</v>
      </c>
      <c r="BE171" s="73">
        <v>41.71</v>
      </c>
      <c r="BF171" s="72">
        <f t="shared" si="66"/>
        <v>43.916130000000003</v>
      </c>
      <c r="BG171" s="72">
        <f t="shared" si="61"/>
        <v>50.618189999999998</v>
      </c>
      <c r="BH171" s="72">
        <f>SUM(Table22[[#This Row],[Good Kernel (gm)]:[Spotted (gm)]])/1000*100</f>
        <v>24.9</v>
      </c>
      <c r="BI171" s="72">
        <f t="shared" si="62"/>
        <v>28.7</v>
      </c>
      <c r="BJ171" s="73">
        <v>10.7</v>
      </c>
      <c r="BK171" s="73">
        <v>185</v>
      </c>
      <c r="BL171" s="73">
        <v>675</v>
      </c>
      <c r="BM171" s="73">
        <v>32</v>
      </c>
      <c r="BN171" s="73"/>
      <c r="BO171" s="73">
        <v>22</v>
      </c>
      <c r="BP171" s="73">
        <v>0</v>
      </c>
      <c r="BQ171" s="71">
        <f t="shared" si="63"/>
        <v>54</v>
      </c>
      <c r="BR171" s="73">
        <v>231</v>
      </c>
      <c r="BS171" s="73">
        <v>14</v>
      </c>
      <c r="BT171" s="73">
        <v>10</v>
      </c>
      <c r="BU171" s="63">
        <f t="shared" si="67"/>
        <v>255</v>
      </c>
      <c r="BV171" s="72">
        <f>SUM(Table22[[#This Row],[Good Kernel (G M)]]+(Table22[[#This Row],[Immature (g m)]]+Table22[[#This Row],[Spotted (g m)]])/2)*0.176</f>
        <v>42.768000000000001</v>
      </c>
      <c r="BW171" s="73">
        <v>42.85</v>
      </c>
      <c r="BX171" s="73"/>
      <c r="BY171" s="72">
        <f t="shared" si="68"/>
        <v>44.974350000000001</v>
      </c>
      <c r="BZ171" s="72">
        <f t="shared" si="69"/>
        <v>50.618189999999998</v>
      </c>
      <c r="CA171" s="72">
        <f>SUM(Table22[[#This Row],[Good Kernel (G M)]:[Spotted (g m)]])/1000*100</f>
        <v>25.5</v>
      </c>
      <c r="CB171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71" s="73">
        <v>10.7</v>
      </c>
      <c r="CD171" s="73">
        <v>189</v>
      </c>
      <c r="CE171" s="73"/>
      <c r="CH171" s="184">
        <f ca="1">TODAY()-Table22[[#This Row],[Discharge Date]]</f>
        <v>118</v>
      </c>
    </row>
    <row r="172" spans="1:86" x14ac:dyDescent="0.25">
      <c r="A172" s="50">
        <v>168</v>
      </c>
      <c r="B172" s="60" t="s">
        <v>95</v>
      </c>
      <c r="C172" s="60" t="s">
        <v>96</v>
      </c>
      <c r="D172" s="97">
        <v>168</v>
      </c>
      <c r="E172" s="73"/>
      <c r="F172" s="97">
        <v>723</v>
      </c>
      <c r="G172" s="73"/>
      <c r="H172" s="73"/>
      <c r="I172" s="73"/>
      <c r="J172" s="73"/>
      <c r="K172" s="97" t="s">
        <v>634</v>
      </c>
      <c r="L172" s="73"/>
      <c r="M172" s="100">
        <v>83831</v>
      </c>
      <c r="N172" s="100" t="s">
        <v>682</v>
      </c>
      <c r="O172" s="73" t="s">
        <v>335</v>
      </c>
      <c r="P172" s="97" t="s">
        <v>305</v>
      </c>
      <c r="Q172" s="101">
        <v>46137</v>
      </c>
      <c r="R172" s="102" t="s">
        <v>336</v>
      </c>
      <c r="S172" s="103" t="s">
        <v>205</v>
      </c>
      <c r="T172" s="102"/>
      <c r="U172" s="102"/>
      <c r="V172" s="73" t="s">
        <v>206</v>
      </c>
      <c r="W172" s="73">
        <v>485</v>
      </c>
      <c r="X172" s="73"/>
      <c r="Y172" s="51">
        <f t="shared" ref="Y172:Y226" si="81">W172+X172</f>
        <v>485</v>
      </c>
      <c r="Z172" s="73"/>
      <c r="AA172" s="61">
        <f t="shared" si="78"/>
        <v>485</v>
      </c>
      <c r="AB172" s="51">
        <f t="shared" si="70"/>
        <v>0</v>
      </c>
      <c r="AC172" s="88">
        <f t="shared" si="56"/>
        <v>485</v>
      </c>
      <c r="AD172" s="63">
        <v>45</v>
      </c>
      <c r="AE172" s="63">
        <f t="shared" si="79"/>
        <v>0</v>
      </c>
      <c r="AF172" s="63">
        <v>43</v>
      </c>
      <c r="AG172" s="63"/>
      <c r="AH172" s="64">
        <f>AC172+AE172+Table22[[#This Row],[Humid Sacs]]-45</f>
        <v>485</v>
      </c>
      <c r="AI172" s="73"/>
      <c r="AJ172" s="73"/>
      <c r="AK172" s="62">
        <f t="shared" si="76"/>
        <v>485</v>
      </c>
      <c r="AL172" s="62">
        <f t="shared" si="77"/>
        <v>485</v>
      </c>
      <c r="AM172" s="73">
        <v>39570</v>
      </c>
      <c r="AN172" s="124">
        <f t="shared" si="74"/>
        <v>845</v>
      </c>
      <c r="AO172" s="77">
        <f t="shared" si="80"/>
        <v>39085</v>
      </c>
      <c r="AP172" s="77">
        <f t="shared" si="57"/>
        <v>38725</v>
      </c>
      <c r="AQ172" s="77">
        <f>+AO172-AE172*4-360</f>
        <v>38725</v>
      </c>
      <c r="AR172" s="67">
        <f t="shared" si="73"/>
        <v>360</v>
      </c>
      <c r="AS172" s="134">
        <f>Table22[[#This Row],[GROSS WT]]-Table22[[#This Row],[Total Bag Discharged (Truck)]]</f>
        <v>39085</v>
      </c>
      <c r="AT172" s="67">
        <f t="shared" si="59"/>
        <v>39085</v>
      </c>
      <c r="AU172" s="73"/>
      <c r="AV172" s="73">
        <v>18</v>
      </c>
      <c r="AW172" s="73">
        <v>12</v>
      </c>
      <c r="AX172" s="73">
        <v>0</v>
      </c>
      <c r="AY172" s="71">
        <f t="shared" si="60"/>
        <v>30</v>
      </c>
      <c r="AZ172" s="70">
        <v>236</v>
      </c>
      <c r="BA172" s="73">
        <v>15</v>
      </c>
      <c r="BB172" s="73">
        <v>14</v>
      </c>
      <c r="BC172" s="63">
        <f t="shared" si="65"/>
        <v>265</v>
      </c>
      <c r="BD172" s="72">
        <f>SUM(Table22[[#This Row],[Good Kernel (gm)]]+(Table22[[#This Row],[Immature (gm)]]+Table22[[#This Row],[Spotted (gm)]])/2)*0.176</f>
        <v>44.088000000000001</v>
      </c>
      <c r="BE172" s="73">
        <v>44.18</v>
      </c>
      <c r="BF172" s="72">
        <f t="shared" si="66"/>
        <v>46.738050000000001</v>
      </c>
      <c r="BG172" s="72">
        <f t="shared" si="61"/>
        <v>49.912709999999997</v>
      </c>
      <c r="BH172" s="72">
        <f>SUM(Table22[[#This Row],[Good Kernel (gm)]:[Spotted (gm)]])/1000*100</f>
        <v>26.5</v>
      </c>
      <c r="BI172" s="72">
        <f t="shared" si="62"/>
        <v>28.299999999999997</v>
      </c>
      <c r="BJ172" s="73">
        <v>12.9</v>
      </c>
      <c r="BK172" s="73">
        <v>167</v>
      </c>
      <c r="BL172" s="73">
        <v>697</v>
      </c>
      <c r="BM172" s="73">
        <v>26</v>
      </c>
      <c r="BN172" s="73"/>
      <c r="BO172" s="73">
        <v>18</v>
      </c>
      <c r="BP172" s="73">
        <v>0</v>
      </c>
      <c r="BQ172" s="71">
        <f t="shared" si="63"/>
        <v>44</v>
      </c>
      <c r="BR172" s="73">
        <v>236</v>
      </c>
      <c r="BS172" s="73">
        <v>17</v>
      </c>
      <c r="BT172" s="73">
        <v>11</v>
      </c>
      <c r="BU172" s="63">
        <f t="shared" si="67"/>
        <v>264</v>
      </c>
      <c r="BV172" s="72">
        <f>SUM(Table22[[#This Row],[Good Kernel (G M)]]+(Table22[[#This Row],[Immature (g m)]]+Table22[[#This Row],[Spotted (g m)]])/2)*0.176</f>
        <v>44</v>
      </c>
      <c r="BW172" s="73">
        <v>44.09</v>
      </c>
      <c r="BX172" s="73"/>
      <c r="BY172" s="72">
        <f t="shared" si="68"/>
        <v>46.561680000000003</v>
      </c>
      <c r="BZ172" s="72">
        <f t="shared" si="69"/>
        <v>51.147300000000001</v>
      </c>
      <c r="CA172" s="72">
        <f>SUM(Table22[[#This Row],[Good Kernel (G M)]:[Spotted (g m)]])/1000*100</f>
        <v>26.400000000000002</v>
      </c>
      <c r="CB172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72" s="73">
        <v>13.7</v>
      </c>
      <c r="CD172" s="73">
        <v>178</v>
      </c>
      <c r="CE172" s="73"/>
      <c r="CH172" s="184">
        <f ca="1">TODAY()-Table22[[#This Row],[Discharge Date]]</f>
        <v>118</v>
      </c>
    </row>
    <row r="173" spans="1:86" x14ac:dyDescent="0.25">
      <c r="A173" s="50">
        <v>169</v>
      </c>
      <c r="B173" s="60" t="s">
        <v>95</v>
      </c>
      <c r="C173" s="60" t="s">
        <v>96</v>
      </c>
      <c r="D173" s="97">
        <v>169</v>
      </c>
      <c r="E173" s="73"/>
      <c r="F173" s="97">
        <v>724</v>
      </c>
      <c r="G173" s="73"/>
      <c r="H173" s="73"/>
      <c r="I173" s="73"/>
      <c r="J173" s="73"/>
      <c r="K173" s="97" t="s">
        <v>634</v>
      </c>
      <c r="L173" s="73"/>
      <c r="M173" s="100">
        <v>19783</v>
      </c>
      <c r="N173" s="100" t="s">
        <v>684</v>
      </c>
      <c r="O173" s="73" t="s">
        <v>148</v>
      </c>
      <c r="P173" s="97" t="s">
        <v>311</v>
      </c>
      <c r="Q173" s="101">
        <v>46137</v>
      </c>
      <c r="R173" s="102" t="s">
        <v>337</v>
      </c>
      <c r="S173" s="103" t="s">
        <v>265</v>
      </c>
      <c r="T173" s="103" t="s">
        <v>534</v>
      </c>
      <c r="U173" s="102" t="s">
        <v>427</v>
      </c>
      <c r="V173" s="56" t="s">
        <v>140</v>
      </c>
      <c r="W173" s="73">
        <v>501</v>
      </c>
      <c r="X173" s="73"/>
      <c r="Y173" s="51">
        <f t="shared" si="81"/>
        <v>501</v>
      </c>
      <c r="Z173" s="73"/>
      <c r="AA173" s="61">
        <f t="shared" si="78"/>
        <v>501</v>
      </c>
      <c r="AB173" s="51">
        <f t="shared" si="70"/>
        <v>0</v>
      </c>
      <c r="AC173" s="88">
        <f t="shared" si="56"/>
        <v>501</v>
      </c>
      <c r="AD173" s="63">
        <v>70</v>
      </c>
      <c r="AE173" s="63">
        <f t="shared" si="79"/>
        <v>0</v>
      </c>
      <c r="AF173" s="63">
        <v>12</v>
      </c>
      <c r="AG173" s="63"/>
      <c r="AH173" s="64">
        <f>AC173+AE173+Table22[[#This Row],[Humid Sacs]]-70</f>
        <v>501</v>
      </c>
      <c r="AI173" s="73"/>
      <c r="AJ173" s="73"/>
      <c r="AK173" s="62">
        <f t="shared" si="76"/>
        <v>501</v>
      </c>
      <c r="AL173" s="62">
        <f t="shared" si="77"/>
        <v>501</v>
      </c>
      <c r="AM173" s="73">
        <v>40790</v>
      </c>
      <c r="AN173" s="124">
        <f>(AD173*8)+(AE173*4)+(AG173*0)+(AH173*1)</f>
        <v>1061</v>
      </c>
      <c r="AO173" s="77">
        <f t="shared" si="80"/>
        <v>40289</v>
      </c>
      <c r="AP173" s="77">
        <f t="shared" si="57"/>
        <v>39729</v>
      </c>
      <c r="AQ173" s="77">
        <f>+AO173-AE173*4-560</f>
        <v>39729</v>
      </c>
      <c r="AR173" s="67">
        <f t="shared" si="73"/>
        <v>560</v>
      </c>
      <c r="AS173" s="134">
        <f>Table22[[#This Row],[GROSS WT]]-Table22[[#This Row],[Total Bag Discharged (Truck)]]</f>
        <v>40289</v>
      </c>
      <c r="AT173" s="67">
        <f t="shared" si="59"/>
        <v>40289</v>
      </c>
      <c r="AU173" s="73"/>
      <c r="AV173" s="73">
        <v>28</v>
      </c>
      <c r="AW173" s="73">
        <v>9</v>
      </c>
      <c r="AX173" s="73">
        <v>0</v>
      </c>
      <c r="AY173" s="71">
        <f t="shared" si="60"/>
        <v>37</v>
      </c>
      <c r="AZ173" s="70">
        <v>240</v>
      </c>
      <c r="BA173" s="73">
        <v>14</v>
      </c>
      <c r="BB173" s="73">
        <v>12</v>
      </c>
      <c r="BC173" s="63">
        <f t="shared" si="65"/>
        <v>266</v>
      </c>
      <c r="BD173" s="72">
        <f>SUM(Table22[[#This Row],[Good Kernel (gm)]]+(Table22[[#This Row],[Immature (gm)]]+Table22[[#This Row],[Spotted (gm)]])/2)*0.176</f>
        <v>44.527999999999999</v>
      </c>
      <c r="BE173" s="73">
        <v>44.62</v>
      </c>
      <c r="BF173" s="72">
        <f t="shared" si="66"/>
        <v>46.91442</v>
      </c>
      <c r="BG173" s="72">
        <f t="shared" si="61"/>
        <v>51.852780000000003</v>
      </c>
      <c r="BH173" s="72">
        <f>SUM(Table22[[#This Row],[Good Kernel (gm)]:[Spotted (gm)]])/1000*100</f>
        <v>26.6</v>
      </c>
      <c r="BI173" s="72">
        <f t="shared" si="62"/>
        <v>29.4</v>
      </c>
      <c r="BJ173" s="73">
        <v>13.5</v>
      </c>
      <c r="BK173" s="73">
        <v>171</v>
      </c>
      <c r="BL173" s="73">
        <v>692</v>
      </c>
      <c r="BM173" s="73">
        <v>26</v>
      </c>
      <c r="BN173" s="73"/>
      <c r="BO173" s="73">
        <v>7</v>
      </c>
      <c r="BP173" s="73"/>
      <c r="BQ173" s="71">
        <f t="shared" si="63"/>
        <v>33</v>
      </c>
      <c r="BR173" s="73">
        <v>242</v>
      </c>
      <c r="BS173" s="73">
        <v>12</v>
      </c>
      <c r="BT173" s="73">
        <v>9</v>
      </c>
      <c r="BU173" s="63">
        <f t="shared" si="67"/>
        <v>263</v>
      </c>
      <c r="BV173" s="72">
        <f>SUM(Table22[[#This Row],[Good Kernel (G M)]]+(Table22[[#This Row],[Immature (g m)]]+Table22[[#This Row],[Spotted (g m)]])/2)*0.176</f>
        <v>44.44</v>
      </c>
      <c r="BW173" s="73">
        <v>44.53</v>
      </c>
      <c r="BX173" s="73"/>
      <c r="BY173" s="72">
        <f t="shared" si="68"/>
        <v>46.385309999999997</v>
      </c>
      <c r="BZ173" s="72">
        <f t="shared" si="69"/>
        <v>50.970930000000003</v>
      </c>
      <c r="CA173" s="72">
        <f>SUM(Table22[[#This Row],[Good Kernel (G M)]:[Spotted (g m)]])/1000*100</f>
        <v>26.3</v>
      </c>
      <c r="CB173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173" s="73">
        <v>13.4</v>
      </c>
      <c r="CD173" s="73">
        <v>173</v>
      </c>
      <c r="CE173" s="73"/>
      <c r="CH173" s="184">
        <f ca="1">TODAY()-Table22[[#This Row],[Discharge Date]]</f>
        <v>118</v>
      </c>
    </row>
    <row r="174" spans="1:86" x14ac:dyDescent="0.25">
      <c r="A174" s="50">
        <v>170</v>
      </c>
      <c r="B174" s="60" t="s">
        <v>95</v>
      </c>
      <c r="C174" s="60" t="s">
        <v>96</v>
      </c>
      <c r="D174" s="97">
        <v>170</v>
      </c>
      <c r="E174" s="73"/>
      <c r="F174" s="97">
        <v>718</v>
      </c>
      <c r="G174" s="73"/>
      <c r="H174" s="73"/>
      <c r="I174" s="73"/>
      <c r="J174" s="73"/>
      <c r="K174" s="97" t="s">
        <v>634</v>
      </c>
      <c r="L174" s="73"/>
      <c r="M174" s="100">
        <v>78882</v>
      </c>
      <c r="N174" s="100" t="s">
        <v>687</v>
      </c>
      <c r="O174" s="73" t="s">
        <v>222</v>
      </c>
      <c r="P174" s="97" t="s">
        <v>305</v>
      </c>
      <c r="Q174" s="101">
        <v>46137</v>
      </c>
      <c r="R174" s="102" t="s">
        <v>100</v>
      </c>
      <c r="S174" s="59" t="s">
        <v>101</v>
      </c>
      <c r="T174" s="102"/>
      <c r="U174" s="102"/>
      <c r="V174" s="51" t="s">
        <v>102</v>
      </c>
      <c r="W174" s="73">
        <v>573</v>
      </c>
      <c r="X174" s="73"/>
      <c r="Y174" s="51">
        <f t="shared" si="81"/>
        <v>573</v>
      </c>
      <c r="Z174" s="73"/>
      <c r="AA174" s="61">
        <f t="shared" si="78"/>
        <v>573</v>
      </c>
      <c r="AB174" s="51">
        <f t="shared" si="70"/>
        <v>0</v>
      </c>
      <c r="AC174" s="88">
        <f t="shared" ref="AC174:AC179" si="82">W174</f>
        <v>573</v>
      </c>
      <c r="AD174" s="63">
        <v>15</v>
      </c>
      <c r="AE174" s="63">
        <f t="shared" si="79"/>
        <v>0</v>
      </c>
      <c r="AF174" s="63">
        <v>16</v>
      </c>
      <c r="AG174" s="63"/>
      <c r="AH174" s="64">
        <f>AC174+AE174+Table22[[#This Row],[Humid Sacs]]-15</f>
        <v>573</v>
      </c>
      <c r="AI174" s="73"/>
      <c r="AJ174" s="73"/>
      <c r="AK174" s="62">
        <f t="shared" si="76"/>
        <v>573</v>
      </c>
      <c r="AL174" s="62">
        <f t="shared" si="77"/>
        <v>573</v>
      </c>
      <c r="AM174" s="73">
        <v>47840</v>
      </c>
      <c r="AN174" s="124">
        <f t="shared" si="74"/>
        <v>693</v>
      </c>
      <c r="AO174" s="77">
        <f t="shared" si="80"/>
        <v>47267</v>
      </c>
      <c r="AP174" s="77">
        <f t="shared" si="57"/>
        <v>47147</v>
      </c>
      <c r="AQ174" s="77">
        <f>+AO174-AE174*4-120</f>
        <v>47147</v>
      </c>
      <c r="AR174" s="67">
        <f t="shared" si="73"/>
        <v>120</v>
      </c>
      <c r="AS174" s="134">
        <f>Table22[[#This Row],[GROSS WT]]-Table22[[#This Row],[Total Bag Discharged (Truck)]]</f>
        <v>47267</v>
      </c>
      <c r="AT174" s="67">
        <f t="shared" si="59"/>
        <v>47267</v>
      </c>
      <c r="AU174" s="73"/>
      <c r="AV174" s="73">
        <v>26</v>
      </c>
      <c r="AW174" s="73">
        <v>15</v>
      </c>
      <c r="AX174" s="73">
        <v>0</v>
      </c>
      <c r="AY174" s="71">
        <f t="shared" si="60"/>
        <v>41</v>
      </c>
      <c r="AZ174" s="70">
        <v>232</v>
      </c>
      <c r="BA174" s="73">
        <v>15</v>
      </c>
      <c r="BB174" s="73">
        <v>16</v>
      </c>
      <c r="BC174" s="63">
        <f t="shared" si="65"/>
        <v>263</v>
      </c>
      <c r="BD174" s="72">
        <f>SUM(Table22[[#This Row],[Good Kernel (gm)]]+(Table22[[#This Row],[Immature (gm)]]+Table22[[#This Row],[Spotted (gm)]])/2)*0.176</f>
        <v>43.559999999999995</v>
      </c>
      <c r="BE174" s="73">
        <v>43.65</v>
      </c>
      <c r="BF174" s="72">
        <f t="shared" si="66"/>
        <v>46.385309999999997</v>
      </c>
      <c r="BG174" s="72">
        <f t="shared" si="61"/>
        <v>50.970930000000003</v>
      </c>
      <c r="BH174" s="72">
        <f>SUM(Table22[[#This Row],[Good Kernel (gm)]:[Spotted (gm)]])/1000*100</f>
        <v>26.3</v>
      </c>
      <c r="BI174" s="72">
        <f t="shared" si="62"/>
        <v>28.9</v>
      </c>
      <c r="BJ174" s="73">
        <v>10.4</v>
      </c>
      <c r="BK174" s="73">
        <v>175</v>
      </c>
      <c r="BL174" s="73">
        <v>686</v>
      </c>
      <c r="BM174" s="73">
        <v>38</v>
      </c>
      <c r="BN174" s="73"/>
      <c r="BO174" s="73">
        <v>19</v>
      </c>
      <c r="BP174" s="73">
        <v>0</v>
      </c>
      <c r="BQ174" s="71">
        <f t="shared" si="63"/>
        <v>57</v>
      </c>
      <c r="BR174" s="73">
        <v>229</v>
      </c>
      <c r="BS174" s="73">
        <v>12</v>
      </c>
      <c r="BT174" s="73">
        <v>11</v>
      </c>
      <c r="BU174" s="63">
        <f t="shared" si="67"/>
        <v>252</v>
      </c>
      <c r="BV174" s="72">
        <f>SUM(Table22[[#This Row],[Good Kernel (G M)]]+(Table22[[#This Row],[Immature (g m)]]+Table22[[#This Row],[Spotted (g m)]])/2)*0.176</f>
        <v>42.327999999999996</v>
      </c>
      <c r="BW174" s="73">
        <v>42.41</v>
      </c>
      <c r="BX174" s="73"/>
      <c r="BY174" s="72">
        <f t="shared" si="68"/>
        <v>44.445239999999998</v>
      </c>
      <c r="BZ174" s="72">
        <f t="shared" si="69"/>
        <v>51.147300000000001</v>
      </c>
      <c r="CA174" s="72">
        <f>SUM(Table22[[#This Row],[Good Kernel (G M)]:[Spotted (g m)]])/1000*100</f>
        <v>25.2</v>
      </c>
      <c r="CB174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74" s="73">
        <v>11.5</v>
      </c>
      <c r="CD174" s="73">
        <v>175</v>
      </c>
      <c r="CE174" s="73"/>
      <c r="CH174" s="184">
        <f ca="1">TODAY()-Table22[[#This Row],[Discharge Date]]</f>
        <v>118</v>
      </c>
    </row>
    <row r="175" spans="1:86" x14ac:dyDescent="0.25">
      <c r="A175" s="50">
        <v>171</v>
      </c>
      <c r="B175" s="60" t="s">
        <v>95</v>
      </c>
      <c r="C175" s="60" t="s">
        <v>96</v>
      </c>
      <c r="D175" s="97">
        <v>171</v>
      </c>
      <c r="E175" s="73"/>
      <c r="F175" s="97" t="s">
        <v>338</v>
      </c>
      <c r="G175" s="73"/>
      <c r="H175" s="73"/>
      <c r="I175" s="73"/>
      <c r="J175" s="73"/>
      <c r="K175" s="97" t="s">
        <v>634</v>
      </c>
      <c r="L175" s="73"/>
      <c r="M175" s="100">
        <v>83830</v>
      </c>
      <c r="N175" s="100" t="s">
        <v>687</v>
      </c>
      <c r="O175" s="73" t="s">
        <v>339</v>
      </c>
      <c r="P175" s="97" t="s">
        <v>300</v>
      </c>
      <c r="Q175" s="101">
        <v>46137</v>
      </c>
      <c r="R175" s="102" t="s">
        <v>336</v>
      </c>
      <c r="S175" s="103" t="s">
        <v>205</v>
      </c>
      <c r="T175" s="102"/>
      <c r="U175" s="102"/>
      <c r="V175" s="73" t="s">
        <v>206</v>
      </c>
      <c r="W175" s="73">
        <v>474</v>
      </c>
      <c r="X175" s="73"/>
      <c r="Y175" s="51">
        <f t="shared" si="81"/>
        <v>474</v>
      </c>
      <c r="Z175" s="73"/>
      <c r="AA175" s="61">
        <f t="shared" si="78"/>
        <v>474</v>
      </c>
      <c r="AB175" s="51">
        <f t="shared" si="70"/>
        <v>0</v>
      </c>
      <c r="AC175" s="88">
        <f t="shared" si="82"/>
        <v>474</v>
      </c>
      <c r="AD175" s="63">
        <v>80</v>
      </c>
      <c r="AE175" s="63">
        <f t="shared" si="79"/>
        <v>0</v>
      </c>
      <c r="AF175" s="63">
        <v>42</v>
      </c>
      <c r="AG175" s="63"/>
      <c r="AH175" s="64">
        <f>AC175+AE175+Table22[[#This Row],[Humid Sacs]]-80</f>
        <v>474</v>
      </c>
      <c r="AI175" s="73"/>
      <c r="AJ175" s="73"/>
      <c r="AK175" s="62">
        <f t="shared" si="76"/>
        <v>474</v>
      </c>
      <c r="AL175" s="62">
        <f t="shared" si="77"/>
        <v>474</v>
      </c>
      <c r="AM175" s="73">
        <v>40220</v>
      </c>
      <c r="AN175" s="124">
        <f t="shared" si="74"/>
        <v>1114</v>
      </c>
      <c r="AO175" s="77">
        <f t="shared" si="80"/>
        <v>39746</v>
      </c>
      <c r="AP175" s="77">
        <f t="shared" si="57"/>
        <v>39106</v>
      </c>
      <c r="AQ175" s="77">
        <f>+AO175-AE175*4-640</f>
        <v>39106</v>
      </c>
      <c r="AR175" s="67">
        <f t="shared" si="73"/>
        <v>640</v>
      </c>
      <c r="AS175" s="134">
        <f>Table22[[#This Row],[GROSS WT]]-Table22[[#This Row],[Total Bag Discharged (Truck)]]</f>
        <v>39746</v>
      </c>
      <c r="AT175" s="67">
        <f t="shared" si="59"/>
        <v>39746</v>
      </c>
      <c r="AU175" s="73"/>
      <c r="AV175" s="73">
        <v>28</v>
      </c>
      <c r="AW175" s="73">
        <v>14</v>
      </c>
      <c r="AX175" s="73">
        <v>2</v>
      </c>
      <c r="AY175" s="71">
        <f t="shared" si="60"/>
        <v>44</v>
      </c>
      <c r="AZ175" s="70">
        <v>243</v>
      </c>
      <c r="BA175" s="73">
        <v>15</v>
      </c>
      <c r="BB175" s="73">
        <v>7</v>
      </c>
      <c r="BC175" s="63">
        <f t="shared" si="65"/>
        <v>265</v>
      </c>
      <c r="BD175" s="72">
        <f>SUM(Table22[[#This Row],[Good Kernel (gm)]]+(Table22[[#This Row],[Immature (gm)]]+Table22[[#This Row],[Spotted (gm)]])/2)*0.176</f>
        <v>44.704000000000001</v>
      </c>
      <c r="BE175" s="73">
        <v>43.65</v>
      </c>
      <c r="BF175" s="72">
        <f t="shared" si="66"/>
        <v>46.738050000000001</v>
      </c>
      <c r="BG175" s="72">
        <f t="shared" si="61"/>
        <v>52.029150000000001</v>
      </c>
      <c r="BH175" s="72">
        <f>SUM(Table22[[#This Row],[Good Kernel (gm)]:[Spotted (gm)]])/1000*100</f>
        <v>26.5</v>
      </c>
      <c r="BI175" s="72">
        <f t="shared" si="62"/>
        <v>29.5</v>
      </c>
      <c r="BJ175" s="73">
        <v>13.1</v>
      </c>
      <c r="BK175" s="73">
        <v>179</v>
      </c>
      <c r="BL175" s="73">
        <v>685</v>
      </c>
      <c r="BM175" s="73">
        <v>24</v>
      </c>
      <c r="BN175" s="73"/>
      <c r="BO175" s="73">
        <v>16</v>
      </c>
      <c r="BP175" s="73">
        <v>4</v>
      </c>
      <c r="BQ175" s="71">
        <f t="shared" si="63"/>
        <v>44</v>
      </c>
      <c r="BR175" s="73">
        <v>228</v>
      </c>
      <c r="BS175" s="73">
        <v>24</v>
      </c>
      <c r="BT175" s="73">
        <v>12</v>
      </c>
      <c r="BU175" s="63">
        <f t="shared" si="67"/>
        <v>264</v>
      </c>
      <c r="BV175" s="72">
        <f>SUM(Table22[[#This Row],[Good Kernel (G M)]]+(Table22[[#This Row],[Immature (g m)]]+Table22[[#This Row],[Spotted (g m)]])/2)*0.176</f>
        <v>43.295999999999999</v>
      </c>
      <c r="BW175" s="73">
        <v>43.38</v>
      </c>
      <c r="BX175" s="73"/>
      <c r="BY175" s="72">
        <f t="shared" si="68"/>
        <v>46.561680000000003</v>
      </c>
      <c r="BZ175" s="72">
        <f t="shared" si="69"/>
        <v>51.500039999999998</v>
      </c>
      <c r="CA175" s="72">
        <f>SUM(Table22[[#This Row],[Good Kernel (G M)]:[Spotted (g m)]])/1000*100</f>
        <v>26.400000000000002</v>
      </c>
      <c r="CB175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75" s="73">
        <v>13.3</v>
      </c>
      <c r="CD175" s="73">
        <v>173</v>
      </c>
      <c r="CE175" s="73"/>
      <c r="CH175" s="184">
        <f ca="1">TODAY()-Table22[[#This Row],[Discharge Date]]</f>
        <v>118</v>
      </c>
    </row>
    <row r="176" spans="1:86" x14ac:dyDescent="0.25">
      <c r="A176" s="50">
        <v>172</v>
      </c>
      <c r="B176" s="60" t="s">
        <v>95</v>
      </c>
      <c r="C176" s="60" t="s">
        <v>96</v>
      </c>
      <c r="D176" s="97">
        <v>172</v>
      </c>
      <c r="E176" s="73" t="s">
        <v>130</v>
      </c>
      <c r="F176" s="97">
        <v>721</v>
      </c>
      <c r="G176" s="73"/>
      <c r="H176" s="73"/>
      <c r="I176" s="73"/>
      <c r="J176" s="73"/>
      <c r="K176" s="97" t="s">
        <v>636</v>
      </c>
      <c r="L176" s="73"/>
      <c r="M176" s="100">
        <v>87093</v>
      </c>
      <c r="N176" s="100" t="s">
        <v>643</v>
      </c>
      <c r="O176" s="73" t="s">
        <v>340</v>
      </c>
      <c r="P176" s="97" t="s">
        <v>315</v>
      </c>
      <c r="Q176" s="101">
        <v>46137</v>
      </c>
      <c r="R176" s="102" t="s">
        <v>302</v>
      </c>
      <c r="S176" s="131" t="s">
        <v>341</v>
      </c>
      <c r="T176" s="102"/>
      <c r="U176" s="102"/>
      <c r="V176" s="73" t="s">
        <v>342</v>
      </c>
      <c r="W176" s="73">
        <v>496</v>
      </c>
      <c r="X176" s="73"/>
      <c r="Y176" s="51">
        <f t="shared" si="81"/>
        <v>496</v>
      </c>
      <c r="Z176" s="73"/>
      <c r="AA176" s="61">
        <f t="shared" si="78"/>
        <v>496</v>
      </c>
      <c r="AB176" s="51">
        <f t="shared" si="70"/>
        <v>0</v>
      </c>
      <c r="AC176" s="88">
        <f t="shared" si="82"/>
        <v>496</v>
      </c>
      <c r="AD176" s="63">
        <v>40</v>
      </c>
      <c r="AE176" s="63">
        <f t="shared" si="79"/>
        <v>0</v>
      </c>
      <c r="AF176" s="63">
        <v>26</v>
      </c>
      <c r="AG176" s="63"/>
      <c r="AH176" s="64">
        <f>AC176+AE176+Table22[[#This Row],[Humid Sacs]]-40</f>
        <v>496</v>
      </c>
      <c r="AI176" s="73"/>
      <c r="AJ176" s="73"/>
      <c r="AK176" s="62">
        <f t="shared" si="76"/>
        <v>496</v>
      </c>
      <c r="AL176" s="62">
        <f t="shared" si="77"/>
        <v>496</v>
      </c>
      <c r="AM176" s="73">
        <v>40130</v>
      </c>
      <c r="AN176" s="124">
        <f t="shared" si="74"/>
        <v>816</v>
      </c>
      <c r="AO176" s="77">
        <f t="shared" si="80"/>
        <v>39634</v>
      </c>
      <c r="AP176" s="77">
        <f t="shared" si="57"/>
        <v>39314</v>
      </c>
      <c r="AQ176" s="77">
        <f>+AO176-AE176*4-320</f>
        <v>39314</v>
      </c>
      <c r="AR176" s="67">
        <f t="shared" si="73"/>
        <v>320</v>
      </c>
      <c r="AS176" s="134">
        <f>Table22[[#This Row],[GROSS WT]]-Table22[[#This Row],[Total Bag Discharged (Truck)]]</f>
        <v>39634</v>
      </c>
      <c r="AT176" s="67">
        <f t="shared" si="59"/>
        <v>39634</v>
      </c>
      <c r="AU176" s="73"/>
      <c r="AV176" s="73">
        <v>48</v>
      </c>
      <c r="AW176" s="73">
        <v>10</v>
      </c>
      <c r="AX176" s="73">
        <v>0</v>
      </c>
      <c r="AY176" s="71">
        <f t="shared" si="60"/>
        <v>58</v>
      </c>
      <c r="AZ176" s="70">
        <v>227</v>
      </c>
      <c r="BA176" s="73">
        <v>10</v>
      </c>
      <c r="BB176" s="73">
        <v>9</v>
      </c>
      <c r="BC176" s="63">
        <f t="shared" si="65"/>
        <v>246</v>
      </c>
      <c r="BD176" s="72">
        <f>SUM(Table22[[#This Row],[Good Kernel (gm)]]+(Table22[[#This Row],[Immature (gm)]]+Table22[[#This Row],[Spotted (gm)]])/2)*0.176</f>
        <v>41.623999999999995</v>
      </c>
      <c r="BE176" s="73">
        <v>41.71</v>
      </c>
      <c r="BF176" s="72">
        <f t="shared" si="66"/>
        <v>43.38702</v>
      </c>
      <c r="BG176" s="72">
        <f t="shared" si="61"/>
        <v>51.852780000000003</v>
      </c>
      <c r="BH176" s="72">
        <f>SUM(Table22[[#This Row],[Good Kernel (gm)]:[Spotted (gm)]])/1000*100</f>
        <v>24.6</v>
      </c>
      <c r="BI176" s="72">
        <f t="shared" si="62"/>
        <v>29.4</v>
      </c>
      <c r="BJ176" s="73">
        <v>12.1</v>
      </c>
      <c r="BK176" s="73">
        <v>182</v>
      </c>
      <c r="BL176" s="73">
        <v>690</v>
      </c>
      <c r="BM176" s="73">
        <v>32</v>
      </c>
      <c r="BN176" s="73"/>
      <c r="BO176" s="73">
        <v>17</v>
      </c>
      <c r="BP176" s="73">
        <v>0</v>
      </c>
      <c r="BQ176" s="71">
        <f t="shared" si="63"/>
        <v>49</v>
      </c>
      <c r="BR176" s="73">
        <v>225</v>
      </c>
      <c r="BS176" s="73">
        <v>14</v>
      </c>
      <c r="BT176" s="73">
        <v>13</v>
      </c>
      <c r="BU176" s="63">
        <f t="shared" si="67"/>
        <v>252</v>
      </c>
      <c r="BV176" s="72">
        <f>SUM(Table22[[#This Row],[Good Kernel (G M)]]+(Table22[[#This Row],[Immature (g m)]]+Table22[[#This Row],[Spotted (g m)]])/2)*0.176</f>
        <v>41.975999999999999</v>
      </c>
      <c r="BW176" s="73">
        <v>42.06</v>
      </c>
      <c r="BX176" s="73"/>
      <c r="BY176" s="72">
        <f t="shared" si="68"/>
        <v>44.445239999999998</v>
      </c>
      <c r="BZ176" s="72">
        <f t="shared" si="69"/>
        <v>50.089080000000003</v>
      </c>
      <c r="CA176" s="72">
        <f>SUM(Table22[[#This Row],[Good Kernel (G M)]:[Spotted (g m)]])/1000*100</f>
        <v>25.2</v>
      </c>
      <c r="CB176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176" s="73">
        <v>12.3</v>
      </c>
      <c r="CD176" s="73">
        <v>182</v>
      </c>
      <c r="CE176" s="73"/>
      <c r="CH176" s="184">
        <f ca="1">TODAY()-Table22[[#This Row],[Discharge Date]]</f>
        <v>118</v>
      </c>
    </row>
    <row r="177" spans="1:86" x14ac:dyDescent="0.25">
      <c r="A177" s="50">
        <v>173</v>
      </c>
      <c r="B177" s="60" t="s">
        <v>95</v>
      </c>
      <c r="C177" s="60" t="s">
        <v>96</v>
      </c>
      <c r="D177" s="97">
        <v>173</v>
      </c>
      <c r="E177" s="98" t="s">
        <v>130</v>
      </c>
      <c r="F177" s="97">
        <v>722</v>
      </c>
      <c r="G177" s="73"/>
      <c r="H177" s="73"/>
      <c r="I177" s="73"/>
      <c r="J177" s="73"/>
      <c r="K177" s="97" t="s">
        <v>634</v>
      </c>
      <c r="L177" s="73"/>
      <c r="M177" s="100">
        <v>32358</v>
      </c>
      <c r="N177" s="100" t="s">
        <v>681</v>
      </c>
      <c r="O177" s="73" t="s">
        <v>343</v>
      </c>
      <c r="P177" s="97" t="s">
        <v>315</v>
      </c>
      <c r="Q177" s="101">
        <v>46137</v>
      </c>
      <c r="R177" s="102" t="s">
        <v>329</v>
      </c>
      <c r="S177" s="103" t="s">
        <v>271</v>
      </c>
      <c r="T177" s="102" t="s">
        <v>198</v>
      </c>
      <c r="U177" s="102" t="s">
        <v>272</v>
      </c>
      <c r="V177" s="73" t="s">
        <v>199</v>
      </c>
      <c r="W177" s="73">
        <v>533</v>
      </c>
      <c r="X177" s="73"/>
      <c r="Y177" s="51">
        <f t="shared" si="81"/>
        <v>533</v>
      </c>
      <c r="Z177" s="73"/>
      <c r="AA177" s="61">
        <f t="shared" si="78"/>
        <v>533</v>
      </c>
      <c r="AB177" s="51">
        <f t="shared" si="70"/>
        <v>0</v>
      </c>
      <c r="AC177" s="88">
        <f t="shared" si="82"/>
        <v>533</v>
      </c>
      <c r="AD177" s="63">
        <v>40</v>
      </c>
      <c r="AE177" s="63">
        <f t="shared" si="79"/>
        <v>0</v>
      </c>
      <c r="AF177" s="63">
        <v>71</v>
      </c>
      <c r="AG177" s="63"/>
      <c r="AH177" s="64">
        <f>AC177+AE177+Table22[[#This Row],[Humid Sacs]]-40</f>
        <v>533</v>
      </c>
      <c r="AI177" s="73"/>
      <c r="AJ177" s="73"/>
      <c r="AK177" s="62">
        <f>AH177</f>
        <v>533</v>
      </c>
      <c r="AL177" s="62">
        <f t="shared" si="77"/>
        <v>533</v>
      </c>
      <c r="AM177" s="73">
        <v>46090</v>
      </c>
      <c r="AN177" s="124">
        <f>(AD177*8)+(AE177*4)+(AG177*0)+(AH177*1)-80</f>
        <v>773</v>
      </c>
      <c r="AO177" s="77">
        <f t="shared" si="80"/>
        <v>45557</v>
      </c>
      <c r="AP177" s="77">
        <f t="shared" ref="AP177:AP240" si="83">AM177-AN177</f>
        <v>45317</v>
      </c>
      <c r="AQ177" s="77">
        <f>+AO177-AE177*4-240</f>
        <v>45317</v>
      </c>
      <c r="AR177" s="67">
        <f t="shared" si="73"/>
        <v>320</v>
      </c>
      <c r="AS177" s="134">
        <f>Table22[[#This Row],[GROSS WT]]-Table22[[#This Row],[Total Bag Discharged (Truck)]]</f>
        <v>45557</v>
      </c>
      <c r="AT177" s="67">
        <f t="shared" si="59"/>
        <v>45557</v>
      </c>
      <c r="AU177" s="73"/>
      <c r="AV177" s="73">
        <v>26</v>
      </c>
      <c r="AW177" s="73">
        <v>21</v>
      </c>
      <c r="AX177" s="73">
        <v>4</v>
      </c>
      <c r="AY177" s="71">
        <f t="shared" si="60"/>
        <v>51</v>
      </c>
      <c r="AZ177" s="70">
        <v>231</v>
      </c>
      <c r="BA177" s="73">
        <v>12</v>
      </c>
      <c r="BB177" s="73">
        <v>11</v>
      </c>
      <c r="BC177" s="63">
        <f t="shared" si="65"/>
        <v>254</v>
      </c>
      <c r="BD177" s="72">
        <f>SUM(Table22[[#This Row],[Good Kernel (gm)]]+(Table22[[#This Row],[Immature (gm)]]+Table22[[#This Row],[Spotted (gm)]])/2)*0.176</f>
        <v>42.68</v>
      </c>
      <c r="BE177" s="73">
        <v>42.76</v>
      </c>
      <c r="BF177" s="72">
        <f t="shared" si="66"/>
        <v>44.797980000000003</v>
      </c>
      <c r="BG177" s="72">
        <f t="shared" si="61"/>
        <v>50.089080000000003</v>
      </c>
      <c r="BH177" s="72">
        <f>SUM(Table22[[#This Row],[Good Kernel (gm)]:[Spotted (gm)]])/1000*100</f>
        <v>25.4</v>
      </c>
      <c r="BI177" s="72">
        <f t="shared" si="62"/>
        <v>28.4</v>
      </c>
      <c r="BJ177" s="73">
        <v>14.2</v>
      </c>
      <c r="BK177" s="73">
        <v>160</v>
      </c>
      <c r="BL177" s="73">
        <v>691</v>
      </c>
      <c r="BM177" s="73">
        <v>29</v>
      </c>
      <c r="BN177" s="73"/>
      <c r="BO177" s="73">
        <v>21</v>
      </c>
      <c r="BP177" s="73">
        <v>3</v>
      </c>
      <c r="BQ177" s="71">
        <f t="shared" si="63"/>
        <v>53</v>
      </c>
      <c r="BR177" s="73">
        <v>235</v>
      </c>
      <c r="BS177" s="73">
        <v>12</v>
      </c>
      <c r="BT177" s="73">
        <v>11</v>
      </c>
      <c r="BU177" s="63">
        <f t="shared" si="67"/>
        <v>258</v>
      </c>
      <c r="BV177" s="72">
        <f>SUM(Table22[[#This Row],[Good Kernel (G M)]]+(Table22[[#This Row],[Immature (g m)]]+Table22[[#This Row],[Spotted (g m)]])/2)*0.176</f>
        <v>43.384</v>
      </c>
      <c r="BW177" s="73">
        <v>43.47</v>
      </c>
      <c r="BX177" s="73"/>
      <c r="BY177" s="72">
        <f t="shared" si="68"/>
        <v>45.503459999999997</v>
      </c>
      <c r="BZ177" s="72">
        <f t="shared" si="69"/>
        <v>51.147300000000001</v>
      </c>
      <c r="CA177" s="72">
        <f>SUM(Table22[[#This Row],[Good Kernel (G M)]:[Spotted (g m)]])/1000*100</f>
        <v>25.8</v>
      </c>
      <c r="CB177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77" s="73">
        <v>13.6</v>
      </c>
      <c r="CD177" s="73">
        <v>173</v>
      </c>
      <c r="CE177" s="73"/>
      <c r="CH177" s="184">
        <f ca="1">TODAY()-Table22[[#This Row],[Discharge Date]]</f>
        <v>118</v>
      </c>
    </row>
    <row r="178" spans="1:86" x14ac:dyDescent="0.25">
      <c r="A178" s="50">
        <v>174</v>
      </c>
      <c r="B178" s="60" t="s">
        <v>95</v>
      </c>
      <c r="C178" s="60" t="s">
        <v>96</v>
      </c>
      <c r="D178" s="97">
        <v>174</v>
      </c>
      <c r="E178" s="73"/>
      <c r="F178" s="97">
        <v>725</v>
      </c>
      <c r="G178" s="73"/>
      <c r="H178" s="73"/>
      <c r="I178" s="73"/>
      <c r="J178" s="73"/>
      <c r="K178" s="97"/>
      <c r="L178" s="73"/>
      <c r="M178" s="100">
        <v>36095</v>
      </c>
      <c r="N178" s="100" t="s">
        <v>684</v>
      </c>
      <c r="O178" s="73" t="s">
        <v>344</v>
      </c>
      <c r="P178" s="97" t="s">
        <v>315</v>
      </c>
      <c r="Q178" s="101">
        <v>46138</v>
      </c>
      <c r="R178" s="102" t="s">
        <v>345</v>
      </c>
      <c r="S178" s="103" t="s">
        <v>526</v>
      </c>
      <c r="T178" s="102"/>
      <c r="U178" s="102" t="s">
        <v>417</v>
      </c>
      <c r="V178" s="73" t="s">
        <v>298</v>
      </c>
      <c r="W178" s="73">
        <v>481</v>
      </c>
      <c r="X178" s="73"/>
      <c r="Y178" s="51">
        <f t="shared" si="81"/>
        <v>481</v>
      </c>
      <c r="Z178" s="73"/>
      <c r="AA178" s="61">
        <f t="shared" si="78"/>
        <v>481</v>
      </c>
      <c r="AB178" s="51">
        <f t="shared" si="70"/>
        <v>0</v>
      </c>
      <c r="AC178" s="88">
        <f t="shared" si="82"/>
        <v>481</v>
      </c>
      <c r="AD178" s="63">
        <v>26</v>
      </c>
      <c r="AE178" s="63">
        <f t="shared" si="79"/>
        <v>0</v>
      </c>
      <c r="AF178" s="63">
        <v>11</v>
      </c>
      <c r="AG178" s="63"/>
      <c r="AH178" s="64">
        <f>AC178+AE178+Table22[[#This Row],[Humid Sacs]]-26</f>
        <v>481</v>
      </c>
      <c r="AI178" s="73"/>
      <c r="AJ178" s="73"/>
      <c r="AK178" s="62">
        <f t="shared" si="76"/>
        <v>481</v>
      </c>
      <c r="AL178" s="62">
        <f t="shared" si="77"/>
        <v>481</v>
      </c>
      <c r="AM178" s="73">
        <v>40250</v>
      </c>
      <c r="AN178" s="124">
        <f t="shared" si="74"/>
        <v>689</v>
      </c>
      <c r="AO178" s="77">
        <f t="shared" si="80"/>
        <v>39769</v>
      </c>
      <c r="AP178" s="77">
        <f t="shared" si="83"/>
        <v>39561</v>
      </c>
      <c r="AQ178" s="77">
        <f>+AO178-AE178*4-208</f>
        <v>39561</v>
      </c>
      <c r="AR178" s="67">
        <f t="shared" si="73"/>
        <v>208</v>
      </c>
      <c r="AS178" s="134">
        <f>Table22[[#This Row],[GROSS WT]]-Table22[[#This Row],[Total Bag Discharged (Truck)]]</f>
        <v>39769</v>
      </c>
      <c r="AT178" s="67">
        <f t="shared" si="59"/>
        <v>39769</v>
      </c>
      <c r="AU178" s="73"/>
      <c r="AV178" s="73">
        <v>26</v>
      </c>
      <c r="AW178" s="73">
        <v>3</v>
      </c>
      <c r="AX178" s="73">
        <v>2</v>
      </c>
      <c r="AY178" s="71">
        <f t="shared" si="60"/>
        <v>31</v>
      </c>
      <c r="AZ178" s="70">
        <v>242</v>
      </c>
      <c r="BA178" s="73">
        <v>12</v>
      </c>
      <c r="BB178" s="73">
        <v>9</v>
      </c>
      <c r="BC178" s="63">
        <f t="shared" si="65"/>
        <v>263</v>
      </c>
      <c r="BD178" s="72">
        <f>SUM(Table22[[#This Row],[Good Kernel (gm)]]+(Table22[[#This Row],[Immature (gm)]]+Table22[[#This Row],[Spotted (gm)]])/2)*0.176</f>
        <v>44.44</v>
      </c>
      <c r="BE178" s="73">
        <v>44.53</v>
      </c>
      <c r="BF178" s="72">
        <f t="shared" si="66"/>
        <v>46.385309999999997</v>
      </c>
      <c r="BG178" s="72">
        <f t="shared" si="61"/>
        <v>51.32367</v>
      </c>
      <c r="BH178" s="72">
        <f>SUM(Table22[[#This Row],[Good Kernel (gm)]:[Spotted (gm)]])/1000*100</f>
        <v>26.3</v>
      </c>
      <c r="BI178" s="72">
        <f t="shared" si="62"/>
        <v>29.099999999999998</v>
      </c>
      <c r="BJ178" s="73">
        <v>11.2</v>
      </c>
      <c r="BK178" s="73">
        <v>166</v>
      </c>
      <c r="BL178" s="73">
        <v>699</v>
      </c>
      <c r="BM178" s="73">
        <v>30</v>
      </c>
      <c r="BN178" s="73"/>
      <c r="BO178" s="73">
        <v>17</v>
      </c>
      <c r="BP178" s="73">
        <v>2</v>
      </c>
      <c r="BQ178" s="71">
        <f t="shared" si="63"/>
        <v>49</v>
      </c>
      <c r="BR178" s="73">
        <v>225</v>
      </c>
      <c r="BS178" s="73">
        <v>16</v>
      </c>
      <c r="BT178" s="73">
        <v>12</v>
      </c>
      <c r="BU178" s="63">
        <f t="shared" si="67"/>
        <v>253</v>
      </c>
      <c r="BV178" s="72">
        <f>SUM(Table22[[#This Row],[Good Kernel (G M)]]+(Table22[[#This Row],[Immature (g m)]]+Table22[[#This Row],[Spotted (g m)]])/2)*0.176</f>
        <v>42.064</v>
      </c>
      <c r="BW178" s="73">
        <v>42.15</v>
      </c>
      <c r="BX178" s="73"/>
      <c r="BY178" s="72">
        <f t="shared" si="68"/>
        <v>44.621609999999997</v>
      </c>
      <c r="BZ178" s="72">
        <f t="shared" si="69"/>
        <v>50.265450000000001</v>
      </c>
      <c r="CA178" s="72">
        <f>SUM(Table22[[#This Row],[Good Kernel (G M)]:[Spotted (g m)]])/1000*100</f>
        <v>25.3</v>
      </c>
      <c r="CB178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78" s="73">
        <v>10.8</v>
      </c>
      <c r="CD178" s="73">
        <v>172</v>
      </c>
      <c r="CE178" s="73"/>
      <c r="CH178" s="184">
        <f ca="1">TODAY()-Table22[[#This Row],[Discharge Date]]</f>
        <v>117</v>
      </c>
    </row>
    <row r="179" spans="1:86" x14ac:dyDescent="0.25">
      <c r="A179" s="50">
        <v>175</v>
      </c>
      <c r="B179" s="60" t="s">
        <v>95</v>
      </c>
      <c r="C179" s="60" t="s">
        <v>96</v>
      </c>
      <c r="D179" s="97">
        <v>175</v>
      </c>
      <c r="E179" s="73"/>
      <c r="F179" s="97">
        <v>726</v>
      </c>
      <c r="G179" s="73"/>
      <c r="H179" s="73"/>
      <c r="I179" s="73"/>
      <c r="J179" s="73"/>
      <c r="K179" s="97"/>
      <c r="L179" s="73"/>
      <c r="M179" s="100">
        <v>87648</v>
      </c>
      <c r="N179" s="100" t="s">
        <v>687</v>
      </c>
      <c r="O179" s="73" t="s">
        <v>346</v>
      </c>
      <c r="P179" s="97" t="s">
        <v>300</v>
      </c>
      <c r="Q179" s="101">
        <v>46138</v>
      </c>
      <c r="R179" s="102" t="s">
        <v>204</v>
      </c>
      <c r="S179" s="103" t="s">
        <v>231</v>
      </c>
      <c r="T179" s="102" t="s">
        <v>198</v>
      </c>
      <c r="U179" s="102"/>
      <c r="V179" s="73" t="s">
        <v>199</v>
      </c>
      <c r="W179" s="73">
        <v>497</v>
      </c>
      <c r="X179" s="73"/>
      <c r="Y179" s="51">
        <f t="shared" si="81"/>
        <v>497</v>
      </c>
      <c r="Z179" s="73"/>
      <c r="AA179" s="61">
        <f t="shared" si="78"/>
        <v>497</v>
      </c>
      <c r="AB179" s="51">
        <f t="shared" si="70"/>
        <v>0</v>
      </c>
      <c r="AC179" s="88">
        <f t="shared" si="82"/>
        <v>497</v>
      </c>
      <c r="AD179" s="63">
        <v>10</v>
      </c>
      <c r="AE179" s="63">
        <f t="shared" si="79"/>
        <v>0</v>
      </c>
      <c r="AF179" s="63">
        <v>30</v>
      </c>
      <c r="AG179" s="63"/>
      <c r="AH179" s="64">
        <f>AC179+AE179+Table22[[#This Row],[Humid Sacs]]-10</f>
        <v>497</v>
      </c>
      <c r="AI179" s="73"/>
      <c r="AJ179" s="73"/>
      <c r="AK179" s="62">
        <f t="shared" si="76"/>
        <v>497</v>
      </c>
      <c r="AL179" s="62">
        <f t="shared" si="77"/>
        <v>497</v>
      </c>
      <c r="AM179" s="73">
        <v>41880</v>
      </c>
      <c r="AN179" s="124">
        <f t="shared" si="74"/>
        <v>577</v>
      </c>
      <c r="AO179" s="77">
        <f t="shared" si="80"/>
        <v>41383</v>
      </c>
      <c r="AP179" s="77">
        <f t="shared" si="83"/>
        <v>41303</v>
      </c>
      <c r="AQ179" s="77">
        <f>+AO179-AE179*4-80</f>
        <v>41303</v>
      </c>
      <c r="AR179" s="67">
        <f t="shared" si="73"/>
        <v>80</v>
      </c>
      <c r="AS179" s="134">
        <f>Table22[[#This Row],[GROSS WT]]-Table22[[#This Row],[Total Bag Discharged (Truck)]]</f>
        <v>41383</v>
      </c>
      <c r="AT179" s="67">
        <f t="shared" si="59"/>
        <v>41383</v>
      </c>
      <c r="AU179" s="73"/>
      <c r="AV179" s="73">
        <v>32</v>
      </c>
      <c r="AW179" s="73">
        <v>31</v>
      </c>
      <c r="AX179" s="73">
        <v>4</v>
      </c>
      <c r="AY179" s="71">
        <f t="shared" si="60"/>
        <v>67</v>
      </c>
      <c r="AZ179" s="70">
        <v>238</v>
      </c>
      <c r="BA179" s="73">
        <v>9</v>
      </c>
      <c r="BB179" s="73">
        <v>10</v>
      </c>
      <c r="BC179" s="63">
        <f t="shared" si="65"/>
        <v>257</v>
      </c>
      <c r="BD179" s="72">
        <f>SUM(Table22[[#This Row],[Good Kernel (gm)]]+(Table22[[#This Row],[Immature (gm)]]+Table22[[#This Row],[Spotted (gm)]])/2)*0.176</f>
        <v>43.559999999999995</v>
      </c>
      <c r="BE179" s="73">
        <v>43.65</v>
      </c>
      <c r="BF179" s="72">
        <f t="shared" si="66"/>
        <v>45.327089999999998</v>
      </c>
      <c r="BG179" s="72">
        <f t="shared" si="61"/>
        <v>51.676409999999997</v>
      </c>
      <c r="BH179" s="72">
        <f>SUM(Table22[[#This Row],[Good Kernel (gm)]:[Spotted (gm)]])/1000*100</f>
        <v>25.7</v>
      </c>
      <c r="BI179" s="72">
        <f t="shared" si="62"/>
        <v>29.299999999999997</v>
      </c>
      <c r="BJ179" s="73">
        <v>10.8</v>
      </c>
      <c r="BK179" s="73">
        <v>175</v>
      </c>
      <c r="BL179" s="73">
        <v>669</v>
      </c>
      <c r="BM179" s="73">
        <v>22</v>
      </c>
      <c r="BN179" s="73"/>
      <c r="BO179" s="73">
        <v>30</v>
      </c>
      <c r="BP179" s="73">
        <v>4</v>
      </c>
      <c r="BQ179" s="71">
        <f t="shared" si="63"/>
        <v>56</v>
      </c>
      <c r="BR179" s="73">
        <v>240</v>
      </c>
      <c r="BS179" s="73">
        <v>10</v>
      </c>
      <c r="BT179" s="73">
        <v>7</v>
      </c>
      <c r="BU179" s="63">
        <f t="shared" si="67"/>
        <v>257</v>
      </c>
      <c r="BV179" s="72">
        <f>SUM(Table22[[#This Row],[Good Kernel (G M)]]+(Table22[[#This Row],[Immature (g m)]]+Table22[[#This Row],[Spotted (g m)]])/2)*0.176</f>
        <v>43.735999999999997</v>
      </c>
      <c r="BW179" s="73">
        <v>43.82</v>
      </c>
      <c r="BX179" s="73"/>
      <c r="BY179" s="72">
        <f t="shared" si="68"/>
        <v>45.327089999999998</v>
      </c>
      <c r="BZ179" s="72">
        <f t="shared" si="69"/>
        <v>49.912709999999997</v>
      </c>
      <c r="CA179" s="72">
        <f>SUM(Table22[[#This Row],[Good Kernel (G M)]:[Spotted (g m)]])/1000*100</f>
        <v>25.7</v>
      </c>
      <c r="CB179" s="72">
        <f>(Table22[[#This Row],[BROWNS/Rejection (gm) (NUT)]]+Table22[[#This Row],[OIL (g m)]]+Table22[[#This Row],[Good Kernel (G M)]]+Table22[[#This Row],[Immature (g m)]]+Table22[[#This Row],[Spotted (g m)]])/1000*100</f>
        <v>28.299999999999997</v>
      </c>
      <c r="CC179" s="73">
        <v>10.199999999999999</v>
      </c>
      <c r="CD179" s="73">
        <v>170</v>
      </c>
      <c r="CE179" s="73"/>
      <c r="CH179" s="184">
        <f ca="1">TODAY()-Table22[[#This Row],[Discharge Date]]</f>
        <v>117</v>
      </c>
    </row>
    <row r="180" spans="1:86" x14ac:dyDescent="0.25">
      <c r="A180" s="50">
        <v>176</v>
      </c>
      <c r="B180" s="60" t="s">
        <v>95</v>
      </c>
      <c r="C180" s="60" t="s">
        <v>96</v>
      </c>
      <c r="D180" s="97">
        <v>176</v>
      </c>
      <c r="E180" s="73"/>
      <c r="F180" s="97">
        <v>727</v>
      </c>
      <c r="G180" s="73"/>
      <c r="H180" s="73"/>
      <c r="I180" s="73"/>
      <c r="J180" s="73"/>
      <c r="K180" s="97" t="s">
        <v>634</v>
      </c>
      <c r="L180" s="73"/>
      <c r="M180" s="100">
        <v>78883</v>
      </c>
      <c r="N180" s="100" t="s">
        <v>687</v>
      </c>
      <c r="O180" s="73" t="s">
        <v>171</v>
      </c>
      <c r="P180" s="97" t="s">
        <v>347</v>
      </c>
      <c r="Q180" s="101">
        <v>46139</v>
      </c>
      <c r="R180" s="102" t="s">
        <v>100</v>
      </c>
      <c r="S180" s="59" t="s">
        <v>101</v>
      </c>
      <c r="T180" s="102"/>
      <c r="U180" s="102"/>
      <c r="V180" s="51" t="s">
        <v>102</v>
      </c>
      <c r="W180" s="73">
        <v>492</v>
      </c>
      <c r="X180" s="73"/>
      <c r="Y180" s="51">
        <f t="shared" si="81"/>
        <v>492</v>
      </c>
      <c r="Z180" s="73"/>
      <c r="AA180" s="61">
        <f t="shared" si="78"/>
        <v>492</v>
      </c>
      <c r="AB180" s="51">
        <f t="shared" si="70"/>
        <v>0</v>
      </c>
      <c r="AC180" s="88">
        <f>W180</f>
        <v>492</v>
      </c>
      <c r="AD180" s="63">
        <v>20</v>
      </c>
      <c r="AE180" s="63">
        <f t="shared" si="79"/>
        <v>0</v>
      </c>
      <c r="AF180" s="63">
        <v>12</v>
      </c>
      <c r="AG180" s="63"/>
      <c r="AH180" s="64">
        <f>AC180+AE180+Table22[[#This Row],[Humid Sacs]]-20</f>
        <v>492</v>
      </c>
      <c r="AI180" s="73"/>
      <c r="AJ180" s="73"/>
      <c r="AK180" s="62">
        <f t="shared" si="76"/>
        <v>492</v>
      </c>
      <c r="AL180" s="62">
        <f t="shared" si="77"/>
        <v>492</v>
      </c>
      <c r="AM180" s="73">
        <v>39790</v>
      </c>
      <c r="AN180" s="124">
        <f t="shared" si="74"/>
        <v>652</v>
      </c>
      <c r="AO180" s="77">
        <f t="shared" si="80"/>
        <v>39298</v>
      </c>
      <c r="AP180" s="77">
        <f t="shared" si="83"/>
        <v>39138</v>
      </c>
      <c r="AQ180" s="77">
        <f>+AO180-AE180*4-160</f>
        <v>39138</v>
      </c>
      <c r="AR180" s="67">
        <f t="shared" si="73"/>
        <v>160</v>
      </c>
      <c r="AS180" s="134">
        <f>Table22[[#This Row],[GROSS WT]]-Table22[[#This Row],[Total Bag Discharged (Truck)]]</f>
        <v>39298</v>
      </c>
      <c r="AT180" s="67">
        <f t="shared" si="59"/>
        <v>39298</v>
      </c>
      <c r="AU180" s="137"/>
      <c r="AV180" s="137">
        <v>35</v>
      </c>
      <c r="AW180" s="137">
        <v>24</v>
      </c>
      <c r="AX180" s="137">
        <v>0</v>
      </c>
      <c r="AY180" s="138">
        <f t="shared" si="60"/>
        <v>59</v>
      </c>
      <c r="AZ180" s="139">
        <v>239</v>
      </c>
      <c r="BA180" s="137">
        <v>11</v>
      </c>
      <c r="BB180" s="137">
        <v>7</v>
      </c>
      <c r="BC180" s="140">
        <f t="shared" si="65"/>
        <v>257</v>
      </c>
      <c r="BD180" s="141">
        <f>SUM(Table22[[#This Row],[Good Kernel (gm)]]+(Table22[[#This Row],[Immature (gm)]]+Table22[[#This Row],[Spotted (gm)]])/2)*0.176</f>
        <v>43.647999999999996</v>
      </c>
      <c r="BE180" s="137">
        <v>43.73</v>
      </c>
      <c r="BF180" s="141">
        <f t="shared" si="66"/>
        <v>45.327089999999998</v>
      </c>
      <c r="BG180" s="141">
        <f t="shared" si="61"/>
        <v>51.500039999999998</v>
      </c>
      <c r="BH180" s="141">
        <f>SUM(Table22[[#This Row],[Good Kernel (gm)]:[Spotted (gm)]])/1000*100</f>
        <v>25.7</v>
      </c>
      <c r="BI180" s="141">
        <f t="shared" si="62"/>
        <v>29.2</v>
      </c>
      <c r="BJ180" s="137">
        <v>11.5</v>
      </c>
      <c r="BK180" s="137">
        <v>178</v>
      </c>
      <c r="BL180" s="137">
        <v>677</v>
      </c>
      <c r="BM180" s="137">
        <v>26</v>
      </c>
      <c r="BN180" s="137"/>
      <c r="BO180" s="137">
        <v>20</v>
      </c>
      <c r="BP180" s="137">
        <v>2</v>
      </c>
      <c r="BQ180" s="138">
        <f t="shared" si="63"/>
        <v>48</v>
      </c>
      <c r="BR180" s="137">
        <v>240</v>
      </c>
      <c r="BS180" s="137">
        <v>9</v>
      </c>
      <c r="BT180" s="137">
        <v>15</v>
      </c>
      <c r="BU180" s="140">
        <f t="shared" si="67"/>
        <v>264</v>
      </c>
      <c r="BV180" s="141">
        <f>SUM(Table22[[#This Row],[Good Kernel (G M)]]+(Table22[[#This Row],[Immature (g m)]]+Table22[[#This Row],[Spotted (g m)]])/2)*0.176</f>
        <v>44.351999999999997</v>
      </c>
      <c r="BW180" s="137">
        <v>44.44</v>
      </c>
      <c r="BX180" s="137"/>
      <c r="BY180" s="141">
        <f t="shared" si="68"/>
        <v>46.561680000000003</v>
      </c>
      <c r="BZ180" s="141">
        <f t="shared" si="69"/>
        <v>51.500039999999998</v>
      </c>
      <c r="CA180" s="141">
        <f>SUM(Table22[[#This Row],[Good Kernel (G M)]:[Spotted (g m)]])/1000*100</f>
        <v>26.400000000000002</v>
      </c>
      <c r="CB180" s="141">
        <f>(Table22[[#This Row],[BROWNS/Rejection (gm) (NUT)]]+Table22[[#This Row],[OIL (g m)]]+Table22[[#This Row],[Good Kernel (G M)]]+Table22[[#This Row],[Immature (g m)]]+Table22[[#This Row],[Spotted (g m)]])/1000*100</f>
        <v>29.2</v>
      </c>
      <c r="CC180" s="137">
        <v>11.8</v>
      </c>
      <c r="CD180" s="137">
        <v>185</v>
      </c>
      <c r="CE180" s="137"/>
      <c r="CH180" s="184">
        <f ca="1">TODAY()-Table22[[#This Row],[Discharge Date]]</f>
        <v>116</v>
      </c>
    </row>
    <row r="181" spans="1:86" x14ac:dyDescent="0.25">
      <c r="A181" s="50">
        <v>177</v>
      </c>
      <c r="B181" s="60" t="s">
        <v>95</v>
      </c>
      <c r="C181" s="60" t="s">
        <v>96</v>
      </c>
      <c r="D181" s="97">
        <v>177</v>
      </c>
      <c r="E181" s="73"/>
      <c r="F181" s="97">
        <v>728</v>
      </c>
      <c r="G181" s="73"/>
      <c r="H181" s="73"/>
      <c r="I181" s="73"/>
      <c r="J181" s="73"/>
      <c r="K181" s="97" t="s">
        <v>636</v>
      </c>
      <c r="L181" s="73"/>
      <c r="M181" s="100">
        <v>89242</v>
      </c>
      <c r="N181" s="100" t="s">
        <v>684</v>
      </c>
      <c r="O181" s="73" t="s">
        <v>348</v>
      </c>
      <c r="P181" s="97" t="s">
        <v>311</v>
      </c>
      <c r="Q181" s="101">
        <v>46139</v>
      </c>
      <c r="R181" s="102" t="s">
        <v>349</v>
      </c>
      <c r="S181" s="103" t="s">
        <v>231</v>
      </c>
      <c r="T181" s="102" t="s">
        <v>198</v>
      </c>
      <c r="U181" s="102"/>
      <c r="V181" s="73" t="s">
        <v>199</v>
      </c>
      <c r="W181" s="73">
        <v>591</v>
      </c>
      <c r="X181" s="73"/>
      <c r="Y181" s="51">
        <f t="shared" si="81"/>
        <v>591</v>
      </c>
      <c r="Z181" s="73"/>
      <c r="AA181" s="61">
        <f t="shared" si="78"/>
        <v>591</v>
      </c>
      <c r="AB181" s="51">
        <f t="shared" si="70"/>
        <v>0</v>
      </c>
      <c r="AC181" s="88">
        <f t="shared" ref="AC181:AC223" si="84">W181</f>
        <v>591</v>
      </c>
      <c r="AD181" s="63">
        <v>20</v>
      </c>
      <c r="AE181" s="63">
        <f t="shared" si="79"/>
        <v>0</v>
      </c>
      <c r="AF181" s="63">
        <v>34</v>
      </c>
      <c r="AG181" s="63"/>
      <c r="AH181" s="64">
        <f>AC181+AE181+Table22[[#This Row],[Humid Sacs]]-20</f>
        <v>591</v>
      </c>
      <c r="AI181" s="73"/>
      <c r="AJ181" s="73"/>
      <c r="AK181" s="62">
        <f t="shared" si="76"/>
        <v>591</v>
      </c>
      <c r="AL181" s="62">
        <f t="shared" si="77"/>
        <v>591</v>
      </c>
      <c r="AM181" s="73">
        <v>50570</v>
      </c>
      <c r="AN181" s="124">
        <f t="shared" si="74"/>
        <v>751</v>
      </c>
      <c r="AO181" s="77">
        <f t="shared" si="80"/>
        <v>49979</v>
      </c>
      <c r="AP181" s="77">
        <f t="shared" si="83"/>
        <v>49819</v>
      </c>
      <c r="AQ181" s="77">
        <f>+AO181-AE181*4-160</f>
        <v>49819</v>
      </c>
      <c r="AR181" s="67">
        <f t="shared" si="73"/>
        <v>160</v>
      </c>
      <c r="AS181" s="134">
        <f>Table22[[#This Row],[GROSS WT]]-Table22[[#This Row],[Total Bag Discharged (Truck)]]</f>
        <v>49979</v>
      </c>
      <c r="AT181" s="67">
        <f t="shared" si="59"/>
        <v>49979</v>
      </c>
      <c r="AU181" s="73"/>
      <c r="AV181" s="73">
        <v>21</v>
      </c>
      <c r="AW181" s="73">
        <v>12</v>
      </c>
      <c r="AX181" s="73">
        <v>4</v>
      </c>
      <c r="AY181" s="71">
        <f t="shared" si="60"/>
        <v>37</v>
      </c>
      <c r="AZ181" s="70">
        <v>238</v>
      </c>
      <c r="BA181" s="73">
        <v>13</v>
      </c>
      <c r="BB181" s="73">
        <v>12</v>
      </c>
      <c r="BC181" s="63">
        <f t="shared" si="65"/>
        <v>263</v>
      </c>
      <c r="BD181" s="72">
        <f>SUM(Table22[[#This Row],[Good Kernel (gm)]]+(Table22[[#This Row],[Immature (gm)]]+Table22[[#This Row],[Spotted (gm)]])/2)*0.176</f>
        <v>44.088000000000001</v>
      </c>
      <c r="BE181" s="73">
        <v>44.18</v>
      </c>
      <c r="BF181" s="72">
        <f t="shared" si="66"/>
        <v>46.385309999999997</v>
      </c>
      <c r="BG181" s="72">
        <f t="shared" si="61"/>
        <v>50.794559999999997</v>
      </c>
      <c r="BH181" s="72">
        <f>SUM(Table22[[#This Row],[Good Kernel (gm)]:[Spotted (gm)]])/1000*100</f>
        <v>26.3</v>
      </c>
      <c r="BI181" s="72">
        <f t="shared" si="62"/>
        <v>28.799999999999997</v>
      </c>
      <c r="BJ181" s="73">
        <v>11.7</v>
      </c>
      <c r="BK181" s="73">
        <v>160</v>
      </c>
      <c r="BL181" s="73">
        <v>695</v>
      </c>
      <c r="BM181" s="73">
        <v>25</v>
      </c>
      <c r="BN181" s="73"/>
      <c r="BO181" s="73">
        <v>35</v>
      </c>
      <c r="BP181" s="73">
        <v>3</v>
      </c>
      <c r="BQ181" s="71">
        <f t="shared" si="63"/>
        <v>63</v>
      </c>
      <c r="BR181" s="73">
        <v>236</v>
      </c>
      <c r="BS181" s="73">
        <v>15</v>
      </c>
      <c r="BT181" s="73">
        <v>11</v>
      </c>
      <c r="BU181" s="63">
        <f t="shared" si="67"/>
        <v>262</v>
      </c>
      <c r="BV181" s="72">
        <f>SUM(Table22[[#This Row],[Good Kernel (G M)]]+(Table22[[#This Row],[Immature (g m)]]+Table22[[#This Row],[Spotted (g m)]])/2)*0.176</f>
        <v>43.823999999999998</v>
      </c>
      <c r="BW181" s="73">
        <v>43.91</v>
      </c>
      <c r="BX181" s="73"/>
      <c r="BY181" s="141">
        <f t="shared" si="68"/>
        <v>46.208939999999998</v>
      </c>
      <c r="BZ181" s="72">
        <f t="shared" si="69"/>
        <v>51.147300000000001</v>
      </c>
      <c r="CA181" s="72">
        <f>SUM(Table22[[#This Row],[Good Kernel (G M)]:[Spotted (g m)]])/1000*100</f>
        <v>26.200000000000003</v>
      </c>
      <c r="CB181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81" s="73">
        <v>11.4</v>
      </c>
      <c r="CD181" s="73">
        <v>165</v>
      </c>
      <c r="CE181" s="73"/>
      <c r="CF181" s="73"/>
      <c r="CH181" s="184">
        <f ca="1">TODAY()-Table22[[#This Row],[Discharge Date]]</f>
        <v>116</v>
      </c>
    </row>
    <row r="182" spans="1:86" x14ac:dyDescent="0.25">
      <c r="A182" s="50">
        <v>178</v>
      </c>
      <c r="B182" s="60" t="s">
        <v>95</v>
      </c>
      <c r="C182" s="60" t="s">
        <v>96</v>
      </c>
      <c r="D182" s="97">
        <v>178</v>
      </c>
      <c r="E182" s="73"/>
      <c r="F182" s="97">
        <v>729</v>
      </c>
      <c r="G182" s="73"/>
      <c r="H182" s="73"/>
      <c r="I182" s="73"/>
      <c r="J182" s="73"/>
      <c r="K182" s="97" t="s">
        <v>634</v>
      </c>
      <c r="L182" s="73"/>
      <c r="M182" s="100">
        <v>78884</v>
      </c>
      <c r="N182" s="100" t="s">
        <v>686</v>
      </c>
      <c r="O182" s="73" t="s">
        <v>299</v>
      </c>
      <c r="P182" s="97" t="s">
        <v>347</v>
      </c>
      <c r="Q182" s="101">
        <v>46139</v>
      </c>
      <c r="R182" s="102" t="s">
        <v>100</v>
      </c>
      <c r="S182" s="59" t="s">
        <v>101</v>
      </c>
      <c r="T182" s="102"/>
      <c r="U182" s="102"/>
      <c r="V182" s="51" t="s">
        <v>102</v>
      </c>
      <c r="W182" s="73">
        <v>601</v>
      </c>
      <c r="X182" s="73"/>
      <c r="Y182" s="51">
        <f t="shared" si="81"/>
        <v>601</v>
      </c>
      <c r="Z182" s="73"/>
      <c r="AA182" s="61">
        <f t="shared" si="78"/>
        <v>601</v>
      </c>
      <c r="AB182" s="51">
        <f t="shared" si="70"/>
        <v>0</v>
      </c>
      <c r="AC182" s="88">
        <f t="shared" si="84"/>
        <v>601</v>
      </c>
      <c r="AD182" s="63">
        <v>30</v>
      </c>
      <c r="AE182" s="63">
        <f t="shared" si="79"/>
        <v>0</v>
      </c>
      <c r="AF182" s="63">
        <v>18</v>
      </c>
      <c r="AG182" s="63"/>
      <c r="AH182" s="64">
        <f>AC182+AE182+Table22[[#This Row],[Humid Sacs]]-30</f>
        <v>601</v>
      </c>
      <c r="AI182" s="73"/>
      <c r="AJ182" s="73"/>
      <c r="AK182" s="62">
        <f t="shared" si="76"/>
        <v>601</v>
      </c>
      <c r="AL182" s="62">
        <f t="shared" si="77"/>
        <v>601</v>
      </c>
      <c r="AM182" s="56">
        <v>51800</v>
      </c>
      <c r="AN182" s="124">
        <f t="shared" si="74"/>
        <v>841</v>
      </c>
      <c r="AO182" s="77">
        <f t="shared" si="80"/>
        <v>51199</v>
      </c>
      <c r="AP182" s="77">
        <f t="shared" si="83"/>
        <v>50959</v>
      </c>
      <c r="AQ182" s="77">
        <f>+AO182-AE182*4-240</f>
        <v>50959</v>
      </c>
      <c r="AR182" s="67">
        <f t="shared" si="73"/>
        <v>240</v>
      </c>
      <c r="AS182" s="142">
        <f>Table22[[#This Row],[GROSS WT]]-Table22[[#This Row],[Total Bag Discharged (Truck)]]</f>
        <v>51199</v>
      </c>
      <c r="AT182" s="67">
        <f t="shared" si="59"/>
        <v>51199</v>
      </c>
      <c r="AU182" s="73"/>
      <c r="AV182" s="73">
        <v>35</v>
      </c>
      <c r="AW182" s="73">
        <v>20</v>
      </c>
      <c r="AX182" s="73">
        <v>5</v>
      </c>
      <c r="AY182" s="71">
        <f t="shared" si="60"/>
        <v>60</v>
      </c>
      <c r="AZ182" s="70">
        <v>225</v>
      </c>
      <c r="BA182" s="73">
        <v>13</v>
      </c>
      <c r="BB182" s="73">
        <v>9</v>
      </c>
      <c r="BC182" s="63">
        <f t="shared" si="65"/>
        <v>247</v>
      </c>
      <c r="BD182" s="72">
        <f>SUM(Table22[[#This Row],[Good Kernel (gm)]]+(Table22[[#This Row],[Immature (gm)]]+Table22[[#This Row],[Spotted (gm)]])/2)*0.176</f>
        <v>41.535999999999994</v>
      </c>
      <c r="BE182" s="73">
        <v>41.62</v>
      </c>
      <c r="BF182" s="72">
        <f t="shared" si="66"/>
        <v>43.563389999999998</v>
      </c>
      <c r="BG182" s="72">
        <f t="shared" si="61"/>
        <v>50.618189999999998</v>
      </c>
      <c r="BH182" s="72">
        <f>SUM(Table22[[#This Row],[Good Kernel (gm)]:[Spotted (gm)]])/1000*100</f>
        <v>24.7</v>
      </c>
      <c r="BI182" s="72">
        <f t="shared" si="62"/>
        <v>28.7</v>
      </c>
      <c r="BJ182" s="73">
        <v>12.1</v>
      </c>
      <c r="BK182" s="73">
        <v>173</v>
      </c>
      <c r="BL182" s="73">
        <v>686</v>
      </c>
      <c r="BM182" s="73">
        <v>26</v>
      </c>
      <c r="BN182" s="73"/>
      <c r="BO182" s="73">
        <v>44</v>
      </c>
      <c r="BP182" s="73">
        <v>0</v>
      </c>
      <c r="BQ182" s="71">
        <f t="shared" si="63"/>
        <v>70</v>
      </c>
      <c r="BR182" s="73">
        <v>232</v>
      </c>
      <c r="BS182" s="73">
        <v>10</v>
      </c>
      <c r="BT182" s="73">
        <v>11</v>
      </c>
      <c r="BU182" s="63">
        <f t="shared" si="67"/>
        <v>253</v>
      </c>
      <c r="BV182" s="72">
        <f>SUM(Table22[[#This Row],[Good Kernel (G M)]]+(Table22[[#This Row],[Immature (g m)]]+Table22[[#This Row],[Spotted (g m)]])/2)*0.176</f>
        <v>42.68</v>
      </c>
      <c r="BW182" s="73">
        <v>42.76</v>
      </c>
      <c r="BX182" s="73"/>
      <c r="BY182" s="141">
        <f t="shared" si="68"/>
        <v>44.621609999999997</v>
      </c>
      <c r="BZ182" s="72">
        <f t="shared" si="69"/>
        <v>49.207230000000003</v>
      </c>
      <c r="CA182" s="72">
        <f>SUM(Table22[[#This Row],[Good Kernel (G M)]:[Spotted (g m)]])/1000*100</f>
        <v>25.3</v>
      </c>
      <c r="CB182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182" s="73">
        <v>11.5</v>
      </c>
      <c r="CD182" s="73">
        <v>184</v>
      </c>
      <c r="CE182" s="73"/>
      <c r="CF182" s="73"/>
      <c r="CH182" s="184">
        <f ca="1">TODAY()-Table22[[#This Row],[Discharge Date]]</f>
        <v>116</v>
      </c>
    </row>
    <row r="183" spans="1:86" x14ac:dyDescent="0.25">
      <c r="A183" s="50">
        <v>179</v>
      </c>
      <c r="B183" s="60" t="s">
        <v>95</v>
      </c>
      <c r="C183" s="60" t="s">
        <v>96</v>
      </c>
      <c r="D183" s="97">
        <v>179</v>
      </c>
      <c r="E183" s="73"/>
      <c r="F183" s="97">
        <v>730</v>
      </c>
      <c r="G183" s="73"/>
      <c r="H183" s="73"/>
      <c r="I183" s="73"/>
      <c r="J183" s="73"/>
      <c r="K183" s="97" t="s">
        <v>634</v>
      </c>
      <c r="L183" s="73"/>
      <c r="M183" s="100">
        <v>28997</v>
      </c>
      <c r="N183" s="100" t="s">
        <v>687</v>
      </c>
      <c r="O183" s="73" t="s">
        <v>350</v>
      </c>
      <c r="P183" s="97" t="s">
        <v>347</v>
      </c>
      <c r="Q183" s="101">
        <v>46139</v>
      </c>
      <c r="R183" s="102" t="s">
        <v>100</v>
      </c>
      <c r="S183" s="102" t="s">
        <v>219</v>
      </c>
      <c r="T183" s="102"/>
      <c r="U183" s="102" t="s">
        <v>220</v>
      </c>
      <c r="V183" s="73" t="s">
        <v>221</v>
      </c>
      <c r="W183" s="73">
        <v>645</v>
      </c>
      <c r="X183" s="73"/>
      <c r="Y183" s="51">
        <f t="shared" si="81"/>
        <v>645</v>
      </c>
      <c r="Z183" s="73"/>
      <c r="AA183" s="61">
        <f t="shared" si="78"/>
        <v>645</v>
      </c>
      <c r="AB183" s="51">
        <f t="shared" si="70"/>
        <v>0</v>
      </c>
      <c r="AC183" s="88">
        <f t="shared" si="84"/>
        <v>645</v>
      </c>
      <c r="AD183" s="63"/>
      <c r="AE183" s="63">
        <v>15</v>
      </c>
      <c r="AF183" s="63">
        <v>30</v>
      </c>
      <c r="AG183" s="63"/>
      <c r="AH183" s="64">
        <f>AC183+AE183+Table22[[#This Row],[Humid Sacs]]</f>
        <v>660</v>
      </c>
      <c r="AI183" s="73"/>
      <c r="AJ183" s="73"/>
      <c r="AK183" s="62">
        <f t="shared" si="76"/>
        <v>660</v>
      </c>
      <c r="AL183" s="62">
        <f t="shared" si="77"/>
        <v>660</v>
      </c>
      <c r="AM183" s="56">
        <v>54860</v>
      </c>
      <c r="AN183" s="124">
        <f t="shared" si="74"/>
        <v>720</v>
      </c>
      <c r="AO183" s="77">
        <f t="shared" si="80"/>
        <v>54200</v>
      </c>
      <c r="AP183" s="77">
        <f t="shared" si="83"/>
        <v>54140</v>
      </c>
      <c r="AQ183" s="77">
        <f t="shared" ref="AQ183:AQ185" si="85">+AO183-AE183*4</f>
        <v>54140</v>
      </c>
      <c r="AR183" s="67">
        <f t="shared" si="73"/>
        <v>60</v>
      </c>
      <c r="AS183" s="142">
        <f>Table22[[#This Row],[GROSS WT]]-Table22[[#This Row],[Total Bag Discharged (Truck)]]</f>
        <v>54215</v>
      </c>
      <c r="AT183" s="67">
        <f t="shared" si="59"/>
        <v>54200</v>
      </c>
      <c r="AU183" s="73"/>
      <c r="AV183" s="73">
        <v>42</v>
      </c>
      <c r="AW183" s="73">
        <v>31</v>
      </c>
      <c r="AX183" s="73">
        <v>0</v>
      </c>
      <c r="AY183" s="71">
        <f t="shared" si="60"/>
        <v>73</v>
      </c>
      <c r="AZ183" s="70">
        <v>228</v>
      </c>
      <c r="BA183" s="73">
        <v>13</v>
      </c>
      <c r="BB183" s="73">
        <v>14</v>
      </c>
      <c r="BC183" s="63">
        <f t="shared" si="65"/>
        <v>255</v>
      </c>
      <c r="BD183" s="72">
        <f>SUM(Table22[[#This Row],[Good Kernel (gm)]]+(Table22[[#This Row],[Immature (gm)]]+Table22[[#This Row],[Spotted (gm)]])/2)*0.176</f>
        <v>42.503999999999998</v>
      </c>
      <c r="BE183" s="73">
        <v>42.59</v>
      </c>
      <c r="BF183" s="72">
        <f t="shared" si="66"/>
        <v>44.974350000000001</v>
      </c>
      <c r="BG183" s="72">
        <f t="shared" si="61"/>
        <v>52.381889999999999</v>
      </c>
      <c r="BH183" s="72">
        <f>SUM(Table22[[#This Row],[Good Kernel (gm)]:[Spotted (gm)]])/1000*100</f>
        <v>25.5</v>
      </c>
      <c r="BI183" s="72">
        <f t="shared" si="62"/>
        <v>29.7</v>
      </c>
      <c r="BJ183" s="73">
        <v>9.5</v>
      </c>
      <c r="BK183" s="73">
        <v>190</v>
      </c>
      <c r="BL183" s="73">
        <v>667</v>
      </c>
      <c r="BM183" s="73">
        <v>41</v>
      </c>
      <c r="BN183" s="73"/>
      <c r="BO183" s="73">
        <v>20</v>
      </c>
      <c r="BP183" s="73">
        <v>0</v>
      </c>
      <c r="BQ183" s="71">
        <f t="shared" si="63"/>
        <v>61</v>
      </c>
      <c r="BR183" s="73">
        <v>224</v>
      </c>
      <c r="BS183" s="73">
        <v>12</v>
      </c>
      <c r="BT183" s="73">
        <v>18</v>
      </c>
      <c r="BU183" s="63">
        <f t="shared" si="67"/>
        <v>254</v>
      </c>
      <c r="BV183" s="72">
        <f>SUM(Table22[[#This Row],[Good Kernel (G M)]]+(Table22[[#This Row],[Immature (g m)]]+Table22[[#This Row],[Spotted (g m)]])/2)*0.176</f>
        <v>42.064</v>
      </c>
      <c r="BW183" s="73">
        <v>42.15</v>
      </c>
      <c r="BX183" s="73"/>
      <c r="BY183" s="141">
        <f t="shared" si="68"/>
        <v>44.797980000000003</v>
      </c>
      <c r="BZ183" s="72">
        <f t="shared" si="69"/>
        <v>52.029150000000001</v>
      </c>
      <c r="CA183" s="72">
        <f>SUM(Table22[[#This Row],[Good Kernel (G M)]:[Spotted (g m)]])/1000*100</f>
        <v>25.4</v>
      </c>
      <c r="CB183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83" s="73">
        <v>9.6999999999999993</v>
      </c>
      <c r="CD183" s="73">
        <v>187</v>
      </c>
      <c r="CE183" s="73"/>
      <c r="CF183" s="73"/>
      <c r="CH183" s="184">
        <f ca="1">TODAY()-Table22[[#This Row],[Discharge Date]]</f>
        <v>116</v>
      </c>
    </row>
    <row r="184" spans="1:86" ht="24" x14ac:dyDescent="0.25">
      <c r="A184" s="50">
        <v>180</v>
      </c>
      <c r="B184" s="60" t="s">
        <v>95</v>
      </c>
      <c r="C184" s="60" t="s">
        <v>96</v>
      </c>
      <c r="D184" s="97">
        <v>180</v>
      </c>
      <c r="E184" s="73"/>
      <c r="F184" s="97">
        <v>731</v>
      </c>
      <c r="G184" s="73"/>
      <c r="H184" s="73"/>
      <c r="I184" s="73"/>
      <c r="J184" s="73"/>
      <c r="K184" s="97" t="s">
        <v>638</v>
      </c>
      <c r="L184" s="73"/>
      <c r="M184" s="100">
        <v>19800</v>
      </c>
      <c r="N184" s="100" t="s">
        <v>687</v>
      </c>
      <c r="O184" s="73" t="s">
        <v>351</v>
      </c>
      <c r="P184" s="97" t="s">
        <v>311</v>
      </c>
      <c r="Q184" s="101">
        <v>46139</v>
      </c>
      <c r="R184" s="102" t="s">
        <v>320</v>
      </c>
      <c r="S184" s="103" t="s">
        <v>352</v>
      </c>
      <c r="T184" s="102" t="s">
        <v>198</v>
      </c>
      <c r="U184" s="102"/>
      <c r="V184" s="73" t="s">
        <v>199</v>
      </c>
      <c r="W184" s="73">
        <v>426</v>
      </c>
      <c r="X184" s="73"/>
      <c r="Y184" s="51">
        <f t="shared" si="81"/>
        <v>426</v>
      </c>
      <c r="Z184" s="73"/>
      <c r="AA184" s="61">
        <f t="shared" si="78"/>
        <v>426</v>
      </c>
      <c r="AB184" s="51">
        <f t="shared" si="70"/>
        <v>0</v>
      </c>
      <c r="AC184" s="88">
        <f t="shared" si="84"/>
        <v>426</v>
      </c>
      <c r="AD184" s="63">
        <v>30</v>
      </c>
      <c r="AE184" s="63">
        <f t="shared" si="79"/>
        <v>0</v>
      </c>
      <c r="AF184" s="63">
        <v>30</v>
      </c>
      <c r="AG184" s="63"/>
      <c r="AH184" s="64">
        <f>AC184+AE184+Table22[[#This Row],[Humid Sacs]]-30</f>
        <v>426</v>
      </c>
      <c r="AI184" s="73"/>
      <c r="AJ184" s="73"/>
      <c r="AK184" s="62">
        <f t="shared" si="76"/>
        <v>426</v>
      </c>
      <c r="AL184" s="62">
        <f t="shared" si="77"/>
        <v>426</v>
      </c>
      <c r="AM184" s="56">
        <v>38110</v>
      </c>
      <c r="AN184" s="124">
        <f>(AD184*8)+(AE184*4)+(AG184*0)+(AH184*1)</f>
        <v>666</v>
      </c>
      <c r="AO184" s="77">
        <f t="shared" si="80"/>
        <v>37684</v>
      </c>
      <c r="AP184" s="77">
        <f t="shared" si="83"/>
        <v>37444</v>
      </c>
      <c r="AQ184" s="77">
        <f>+AO184-AE184*4-240</f>
        <v>37444</v>
      </c>
      <c r="AR184" s="67">
        <f t="shared" si="73"/>
        <v>240</v>
      </c>
      <c r="AS184" s="142">
        <f>Table22[[#This Row],[GROSS WT]]-Table22[[#This Row],[Total Bag Discharged (Truck)]]</f>
        <v>37684</v>
      </c>
      <c r="AT184" s="67">
        <f t="shared" si="59"/>
        <v>37684</v>
      </c>
      <c r="AU184" s="73"/>
      <c r="AV184" s="73">
        <v>24</v>
      </c>
      <c r="AW184" s="73">
        <v>20</v>
      </c>
      <c r="AX184" s="73">
        <v>2</v>
      </c>
      <c r="AY184" s="71">
        <f t="shared" si="60"/>
        <v>46</v>
      </c>
      <c r="AZ184" s="70">
        <v>231</v>
      </c>
      <c r="BA184" s="73">
        <v>17</v>
      </c>
      <c r="BB184" s="73">
        <v>13</v>
      </c>
      <c r="BC184" s="63">
        <f t="shared" si="65"/>
        <v>261</v>
      </c>
      <c r="BD184" s="72">
        <f>SUM(Table22[[#This Row],[Good Kernel (gm)]]+(Table22[[#This Row],[Immature (gm)]]+Table22[[#This Row],[Spotted (gm)]])/2)*0.176</f>
        <v>43.295999999999999</v>
      </c>
      <c r="BE184" s="73">
        <v>43.38</v>
      </c>
      <c r="BF184" s="72">
        <f t="shared" si="66"/>
        <v>46.03257</v>
      </c>
      <c r="BG184" s="72">
        <f t="shared" si="61"/>
        <v>50.618189999999998</v>
      </c>
      <c r="BH184" s="72">
        <f>SUM(Table22[[#This Row],[Good Kernel (gm)]:[Spotted (gm)]])/1000*100</f>
        <v>26.1</v>
      </c>
      <c r="BI184" s="72">
        <f t="shared" si="62"/>
        <v>28.7</v>
      </c>
      <c r="BJ184" s="73">
        <v>12.9</v>
      </c>
      <c r="BK184" s="73">
        <v>158</v>
      </c>
      <c r="BL184" s="73">
        <v>682</v>
      </c>
      <c r="BM184" s="73">
        <v>17</v>
      </c>
      <c r="BN184" s="73"/>
      <c r="BO184" s="73">
        <v>20</v>
      </c>
      <c r="BP184" s="73">
        <v>4</v>
      </c>
      <c r="BQ184" s="71">
        <f t="shared" si="63"/>
        <v>41</v>
      </c>
      <c r="BR184" s="73">
        <v>227</v>
      </c>
      <c r="BS184" s="73">
        <v>22</v>
      </c>
      <c r="BT184" s="73">
        <v>10</v>
      </c>
      <c r="BU184" s="63">
        <f t="shared" si="67"/>
        <v>259</v>
      </c>
      <c r="BV184" s="72">
        <f>SUM(Table22[[#This Row],[Good Kernel (G M)]]+(Table22[[#This Row],[Immature (g m)]]+Table22[[#This Row],[Spotted (g m)]])/2)*0.176</f>
        <v>42.768000000000001</v>
      </c>
      <c r="BW184" s="73">
        <v>42.85</v>
      </c>
      <c r="BX184" s="73"/>
      <c r="BY184" s="141">
        <f t="shared" si="68"/>
        <v>45.679830000000003</v>
      </c>
      <c r="BZ184" s="72">
        <f t="shared" si="69"/>
        <v>49.383600000000001</v>
      </c>
      <c r="CA184" s="72">
        <f>SUM(Table22[[#This Row],[Good Kernel (G M)]:[Spotted (g m)]])/1000*100</f>
        <v>25.900000000000002</v>
      </c>
      <c r="CB184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184" s="73">
        <v>12.7</v>
      </c>
      <c r="CD184" s="73">
        <v>170</v>
      </c>
      <c r="CE184" s="73"/>
      <c r="CF184" s="73"/>
      <c r="CH184" s="184">
        <f ca="1">TODAY()-Table22[[#This Row],[Discharge Date]]</f>
        <v>116</v>
      </c>
    </row>
    <row r="185" spans="1:86" x14ac:dyDescent="0.25">
      <c r="A185" s="50">
        <v>181</v>
      </c>
      <c r="B185" s="60" t="s">
        <v>95</v>
      </c>
      <c r="C185" s="60" t="s">
        <v>96</v>
      </c>
      <c r="D185" s="97">
        <v>181</v>
      </c>
      <c r="E185" s="73"/>
      <c r="F185" s="97">
        <v>732</v>
      </c>
      <c r="G185" s="73"/>
      <c r="H185" s="73"/>
      <c r="I185" s="73"/>
      <c r="J185" s="73"/>
      <c r="K185" s="97" t="s">
        <v>634</v>
      </c>
      <c r="L185" s="73"/>
      <c r="M185" s="100">
        <v>23295</v>
      </c>
      <c r="N185" s="100" t="s">
        <v>688</v>
      </c>
      <c r="O185" s="73" t="s">
        <v>353</v>
      </c>
      <c r="P185" s="97" t="s">
        <v>347</v>
      </c>
      <c r="Q185" s="101">
        <v>46139</v>
      </c>
      <c r="R185" s="102" t="s">
        <v>204</v>
      </c>
      <c r="S185" s="103" t="s">
        <v>205</v>
      </c>
      <c r="T185" s="102"/>
      <c r="U185" s="102"/>
      <c r="V185" s="73" t="s">
        <v>206</v>
      </c>
      <c r="W185" s="73">
        <v>440</v>
      </c>
      <c r="X185" s="73"/>
      <c r="Y185" s="51">
        <f t="shared" si="81"/>
        <v>440</v>
      </c>
      <c r="AA185" s="61">
        <f t="shared" si="78"/>
        <v>440</v>
      </c>
      <c r="AB185" s="51">
        <f t="shared" si="70"/>
        <v>0</v>
      </c>
      <c r="AC185" s="88">
        <f t="shared" si="84"/>
        <v>440</v>
      </c>
      <c r="AD185" s="63">
        <v>0</v>
      </c>
      <c r="AE185" s="63">
        <v>10</v>
      </c>
      <c r="AF185" s="63">
        <v>52</v>
      </c>
      <c r="AG185" s="63"/>
      <c r="AH185" s="64">
        <f>AC185+AE185+Table22[[#This Row],[Humid Sacs]]</f>
        <v>450</v>
      </c>
      <c r="AI185" s="73"/>
      <c r="AJ185" s="73"/>
      <c r="AK185" s="62">
        <f t="shared" si="76"/>
        <v>450</v>
      </c>
      <c r="AL185" s="62">
        <f t="shared" si="77"/>
        <v>450</v>
      </c>
      <c r="AM185" s="56">
        <v>42060</v>
      </c>
      <c r="AN185" s="124">
        <f t="shared" si="74"/>
        <v>490</v>
      </c>
      <c r="AO185" s="77">
        <f t="shared" si="80"/>
        <v>41610</v>
      </c>
      <c r="AP185" s="77">
        <f t="shared" si="83"/>
        <v>41570</v>
      </c>
      <c r="AQ185" s="77">
        <f t="shared" si="85"/>
        <v>41570</v>
      </c>
      <c r="AR185" s="67">
        <f>(AD185*40)+(AE185*4)+(AG185*0)</f>
        <v>40</v>
      </c>
      <c r="AS185" s="142">
        <f>Table22[[#This Row],[GROSS WT]]-Table22[[#This Row],[Total Bag Discharged (Truck)]]</f>
        <v>41620</v>
      </c>
      <c r="AT185" s="67">
        <f t="shared" si="59"/>
        <v>41610</v>
      </c>
      <c r="AU185" s="73"/>
      <c r="AV185" s="73">
        <v>23</v>
      </c>
      <c r="AW185" s="73">
        <v>35</v>
      </c>
      <c r="AX185" s="73">
        <v>0</v>
      </c>
      <c r="AY185" s="71">
        <f t="shared" si="60"/>
        <v>58</v>
      </c>
      <c r="AZ185" s="70">
        <v>228</v>
      </c>
      <c r="BA185" s="73">
        <v>17</v>
      </c>
      <c r="BB185" s="73">
        <v>13</v>
      </c>
      <c r="BC185" s="63">
        <f t="shared" si="65"/>
        <v>258</v>
      </c>
      <c r="BD185" s="72">
        <f>SUM(Table22[[#This Row],[Good Kernel (gm)]]+(Table22[[#This Row],[Immature (gm)]]+Table22[[#This Row],[Spotted (gm)]])/2)*0.176</f>
        <v>42.768000000000001</v>
      </c>
      <c r="BE185" s="73">
        <v>42.85</v>
      </c>
      <c r="BF185" s="72">
        <f t="shared" si="66"/>
        <v>45.503459999999997</v>
      </c>
      <c r="BG185" s="72">
        <f t="shared" si="61"/>
        <v>49.55997</v>
      </c>
      <c r="BH185" s="72">
        <f>SUM(Table22[[#This Row],[Good Kernel (gm)]:[Spotted (gm)]])/1000*100</f>
        <v>25.8</v>
      </c>
      <c r="BI185" s="72">
        <f t="shared" si="62"/>
        <v>28.1</v>
      </c>
      <c r="BJ185" s="73">
        <v>10.1</v>
      </c>
      <c r="BK185" s="73">
        <v>176</v>
      </c>
      <c r="BL185" s="73">
        <v>672</v>
      </c>
      <c r="BM185" s="73">
        <v>23</v>
      </c>
      <c r="BN185" s="73"/>
      <c r="BO185" s="73">
        <v>22</v>
      </c>
      <c r="BP185" s="73">
        <v>4</v>
      </c>
      <c r="BQ185" s="71">
        <f t="shared" si="63"/>
        <v>49</v>
      </c>
      <c r="BR185" s="73">
        <v>232</v>
      </c>
      <c r="BS185" s="73">
        <v>10</v>
      </c>
      <c r="BT185" s="73">
        <v>16</v>
      </c>
      <c r="BU185" s="63">
        <f t="shared" si="67"/>
        <v>258</v>
      </c>
      <c r="BV185" s="72">
        <f>SUM(Table22[[#This Row],[Good Kernel (G M)]]+(Table22[[#This Row],[Immature (g m)]]+Table22[[#This Row],[Spotted (g m)]])/2)*0.176</f>
        <v>43.12</v>
      </c>
      <c r="BW185" s="73">
        <v>43.21</v>
      </c>
      <c r="BX185" s="73"/>
      <c r="BY185" s="141">
        <f t="shared" si="68"/>
        <v>45.503459999999997</v>
      </c>
      <c r="BZ185" s="72">
        <f t="shared" si="69"/>
        <v>50.265450000000001</v>
      </c>
      <c r="CA185" s="72">
        <f>SUM(Table22[[#This Row],[Good Kernel (G M)]:[Spotted (g m)]])/1000*100</f>
        <v>25.8</v>
      </c>
      <c r="CB185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85" s="73">
        <v>11.5</v>
      </c>
      <c r="CD185" s="73">
        <v>175</v>
      </c>
      <c r="CE185" s="73"/>
      <c r="CF185" s="73"/>
      <c r="CH185" s="184">
        <f ca="1">TODAY()-Table22[[#This Row],[Discharge Date]]</f>
        <v>116</v>
      </c>
    </row>
    <row r="186" spans="1:86" x14ac:dyDescent="0.25">
      <c r="A186" s="50">
        <v>182</v>
      </c>
      <c r="B186" s="60" t="s">
        <v>95</v>
      </c>
      <c r="C186" s="60" t="s">
        <v>96</v>
      </c>
      <c r="D186" s="97">
        <v>182</v>
      </c>
      <c r="E186" s="73"/>
      <c r="F186" s="97">
        <v>733</v>
      </c>
      <c r="G186" s="73"/>
      <c r="H186" s="73"/>
      <c r="I186" s="73"/>
      <c r="J186" s="73"/>
      <c r="K186" s="97" t="s">
        <v>636</v>
      </c>
      <c r="L186" s="73"/>
      <c r="M186" s="100">
        <v>78885</v>
      </c>
      <c r="N186" s="100" t="s">
        <v>688</v>
      </c>
      <c r="O186" s="73" t="s">
        <v>172</v>
      </c>
      <c r="P186" s="97" t="s">
        <v>347</v>
      </c>
      <c r="Q186" s="101">
        <v>46139</v>
      </c>
      <c r="R186" s="102" t="s">
        <v>100</v>
      </c>
      <c r="S186" s="59" t="s">
        <v>101</v>
      </c>
      <c r="T186" s="102"/>
      <c r="U186" s="102"/>
      <c r="V186" s="51" t="s">
        <v>102</v>
      </c>
      <c r="W186" s="73">
        <v>507</v>
      </c>
      <c r="X186" s="73"/>
      <c r="Y186" s="51">
        <f t="shared" si="81"/>
        <v>507</v>
      </c>
      <c r="AA186" s="61">
        <f t="shared" si="78"/>
        <v>507</v>
      </c>
      <c r="AB186" s="51">
        <f t="shared" si="70"/>
        <v>0</v>
      </c>
      <c r="AC186" s="88">
        <f t="shared" si="84"/>
        <v>507</v>
      </c>
      <c r="AD186" s="63">
        <v>14</v>
      </c>
      <c r="AE186" s="63">
        <f t="shared" si="79"/>
        <v>0</v>
      </c>
      <c r="AF186" s="63">
        <v>17</v>
      </c>
      <c r="AG186" s="63"/>
      <c r="AH186" s="64">
        <f>AC186+AE186+Table22[[#This Row],[Humid Sacs]]-14</f>
        <v>507</v>
      </c>
      <c r="AI186" s="73"/>
      <c r="AJ186" s="73"/>
      <c r="AK186" s="62">
        <f t="shared" si="76"/>
        <v>507</v>
      </c>
      <c r="AL186" s="62">
        <f t="shared" si="77"/>
        <v>507</v>
      </c>
      <c r="AM186" s="56">
        <v>42050</v>
      </c>
      <c r="AN186" s="124">
        <f>(AD186*8)+(AE186*4)+(AG186*0)+(AH186*1)</f>
        <v>619</v>
      </c>
      <c r="AO186" s="77">
        <f t="shared" si="80"/>
        <v>41543</v>
      </c>
      <c r="AP186" s="77">
        <f t="shared" si="83"/>
        <v>41431</v>
      </c>
      <c r="AQ186" s="77">
        <f>+AO186-AE186*4-112</f>
        <v>41431</v>
      </c>
      <c r="AR186" s="67">
        <f t="shared" ref="AR186:AR244" si="86">(AD186*8)+(AE186*4)+(AG186*0)</f>
        <v>112</v>
      </c>
      <c r="AS186" s="142">
        <f>Table22[[#This Row],[GROSS WT]]-Table22[[#This Row],[Total Bag Discharged (Truck)]]</f>
        <v>41543</v>
      </c>
      <c r="AT186" s="67">
        <f t="shared" si="59"/>
        <v>41543</v>
      </c>
      <c r="AU186" s="73"/>
      <c r="AV186" s="73">
        <v>27</v>
      </c>
      <c r="AW186" s="73">
        <v>35</v>
      </c>
      <c r="AX186" s="73">
        <v>0</v>
      </c>
      <c r="AY186" s="71">
        <f t="shared" si="60"/>
        <v>62</v>
      </c>
      <c r="AZ186" s="70">
        <v>232</v>
      </c>
      <c r="BA186" s="73">
        <v>14</v>
      </c>
      <c r="BB186" s="73">
        <v>9</v>
      </c>
      <c r="BC186" s="63">
        <f t="shared" si="65"/>
        <v>255</v>
      </c>
      <c r="BD186" s="72">
        <f>SUM(Table22[[#This Row],[Good Kernel (gm)]]+(Table22[[#This Row],[Immature (gm)]]+Table22[[#This Row],[Spotted (gm)]])/2)*0.176</f>
        <v>42.855999999999995</v>
      </c>
      <c r="BE186" s="73">
        <v>42.94</v>
      </c>
      <c r="BF186" s="72">
        <f t="shared" si="66"/>
        <v>44.974350000000001</v>
      </c>
      <c r="BG186" s="72">
        <f t="shared" si="61"/>
        <v>49.736339999999998</v>
      </c>
      <c r="BH186" s="72">
        <f>SUM(Table22[[#This Row],[Good Kernel (gm)]:[Spotted (gm)]])/1000*100</f>
        <v>25.5</v>
      </c>
      <c r="BI186" s="72">
        <f t="shared" si="62"/>
        <v>28.199999999999996</v>
      </c>
      <c r="BJ186" s="73">
        <v>10.5</v>
      </c>
      <c r="BK186" s="73">
        <v>184</v>
      </c>
      <c r="BL186" s="73">
        <v>678</v>
      </c>
      <c r="BM186" s="73">
        <v>33</v>
      </c>
      <c r="BN186" s="73"/>
      <c r="BO186" s="73">
        <v>13</v>
      </c>
      <c r="BP186" s="73">
        <v>0</v>
      </c>
      <c r="BQ186" s="71">
        <f t="shared" si="63"/>
        <v>46</v>
      </c>
      <c r="BR186" s="73">
        <v>232</v>
      </c>
      <c r="BS186" s="73">
        <v>15</v>
      </c>
      <c r="BT186" s="73">
        <v>12</v>
      </c>
      <c r="BU186" s="63">
        <f t="shared" si="67"/>
        <v>259</v>
      </c>
      <c r="BV186" s="72">
        <f>SUM(Table22[[#This Row],[Good Kernel (G M)]]+(Table22[[#This Row],[Immature (g m)]]+Table22[[#This Row],[Spotted (g m)]])/2)*0.176</f>
        <v>43.207999999999998</v>
      </c>
      <c r="BW186" s="73">
        <v>43.29</v>
      </c>
      <c r="BX186" s="73"/>
      <c r="BY186" s="141">
        <f t="shared" si="68"/>
        <v>45.679830000000003</v>
      </c>
      <c r="BZ186" s="72">
        <f t="shared" si="69"/>
        <v>51.500039999999998</v>
      </c>
      <c r="CA186" s="72">
        <f>SUM(Table22[[#This Row],[Good Kernel (G M)]:[Spotted (g m)]])/1000*100</f>
        <v>25.900000000000002</v>
      </c>
      <c r="CB186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86" s="73">
        <v>11.4</v>
      </c>
      <c r="CD186" s="73">
        <v>180</v>
      </c>
      <c r="CE186" s="73"/>
      <c r="CF186" s="73"/>
      <c r="CH186" s="184">
        <f ca="1">TODAY()-Table22[[#This Row],[Discharge Date]]</f>
        <v>116</v>
      </c>
    </row>
    <row r="187" spans="1:86" x14ac:dyDescent="0.25">
      <c r="A187" s="50">
        <v>183</v>
      </c>
      <c r="B187" s="60" t="s">
        <v>95</v>
      </c>
      <c r="C187" s="60" t="s">
        <v>96</v>
      </c>
      <c r="D187" s="97">
        <v>183</v>
      </c>
      <c r="E187" s="73"/>
      <c r="F187" s="97">
        <v>734</v>
      </c>
      <c r="G187" s="73"/>
      <c r="H187" s="73"/>
      <c r="I187" s="73"/>
      <c r="J187" s="73"/>
      <c r="K187" s="97" t="s">
        <v>636</v>
      </c>
      <c r="L187" s="73"/>
      <c r="M187" s="100">
        <v>78896</v>
      </c>
      <c r="N187" s="100" t="s">
        <v>687</v>
      </c>
      <c r="O187" s="73" t="s">
        <v>354</v>
      </c>
      <c r="P187" s="97" t="s">
        <v>355</v>
      </c>
      <c r="Q187" s="101">
        <v>46139</v>
      </c>
      <c r="R187" s="102" t="s">
        <v>100</v>
      </c>
      <c r="S187" s="59" t="s">
        <v>101</v>
      </c>
      <c r="T187" s="102"/>
      <c r="U187" s="102"/>
      <c r="V187" s="51" t="s">
        <v>102</v>
      </c>
      <c r="W187" s="73">
        <v>565</v>
      </c>
      <c r="X187" s="73"/>
      <c r="Y187" s="51">
        <f t="shared" si="81"/>
        <v>565</v>
      </c>
      <c r="AA187" s="61">
        <f t="shared" si="78"/>
        <v>565</v>
      </c>
      <c r="AB187" s="51">
        <f t="shared" si="70"/>
        <v>0</v>
      </c>
      <c r="AC187" s="88">
        <f t="shared" si="84"/>
        <v>565</v>
      </c>
      <c r="AD187" s="63">
        <v>20</v>
      </c>
      <c r="AE187" s="63">
        <f t="shared" si="79"/>
        <v>0</v>
      </c>
      <c r="AF187" s="63">
        <v>12</v>
      </c>
      <c r="AG187" s="63"/>
      <c r="AH187" s="64">
        <f>AC187+AE187+Table22[[#This Row],[Humid Sacs]]-20</f>
        <v>565</v>
      </c>
      <c r="AI187" s="73"/>
      <c r="AJ187" s="73"/>
      <c r="AK187" s="62">
        <f t="shared" si="76"/>
        <v>565</v>
      </c>
      <c r="AL187" s="62">
        <f t="shared" si="77"/>
        <v>565</v>
      </c>
      <c r="AM187" s="56">
        <v>52000</v>
      </c>
      <c r="AN187" s="124">
        <f>(AD187*8)+(AE187*4)+(AG187*0)+(AH187*1)</f>
        <v>725</v>
      </c>
      <c r="AO187" s="77">
        <f t="shared" si="80"/>
        <v>51435</v>
      </c>
      <c r="AP187" s="77">
        <f>AM187-AN187</f>
        <v>51275</v>
      </c>
      <c r="AQ187" s="77">
        <f>+AO187-AE187*4-160</f>
        <v>51275</v>
      </c>
      <c r="AR187" s="67">
        <f t="shared" si="86"/>
        <v>160</v>
      </c>
      <c r="AS187" s="142">
        <f>Table22[[#This Row],[GROSS WT]]-Table22[[#This Row],[Total Bag Discharged (Truck)]]</f>
        <v>51435</v>
      </c>
      <c r="AT187" s="67">
        <f t="shared" si="59"/>
        <v>51435</v>
      </c>
      <c r="AU187" s="73"/>
      <c r="AV187" s="73">
        <v>29</v>
      </c>
      <c r="AW187" s="73">
        <v>22</v>
      </c>
      <c r="AX187" s="73">
        <v>4</v>
      </c>
      <c r="AY187" s="71">
        <f t="shared" si="60"/>
        <v>55</v>
      </c>
      <c r="AZ187" s="70">
        <v>235</v>
      </c>
      <c r="BA187" s="73">
        <v>11</v>
      </c>
      <c r="BB187" s="73">
        <v>9</v>
      </c>
      <c r="BC187" s="63">
        <f t="shared" si="65"/>
        <v>255</v>
      </c>
      <c r="BD187" s="72">
        <f>SUM(Table22[[#This Row],[Good Kernel (gm)]]+(Table22[[#This Row],[Immature (gm)]]+Table22[[#This Row],[Spotted (gm)]])/2)*0.176</f>
        <v>43.12</v>
      </c>
      <c r="BE187" s="73">
        <v>43.21</v>
      </c>
      <c r="BF187" s="72">
        <f t="shared" si="66"/>
        <v>44.974350000000001</v>
      </c>
      <c r="BG187" s="72">
        <f t="shared" si="61"/>
        <v>50.794559999999997</v>
      </c>
      <c r="BH187" s="72">
        <f>SUM(Table22[[#This Row],[Good Kernel (gm)]:[Spotted (gm)]])/1000*100</f>
        <v>25.5</v>
      </c>
      <c r="BI187" s="72">
        <f t="shared" si="62"/>
        <v>28.799999999999997</v>
      </c>
      <c r="BJ187" s="73">
        <v>11.6</v>
      </c>
      <c r="BK187" s="73">
        <v>177</v>
      </c>
      <c r="BL187" s="73">
        <v>697</v>
      </c>
      <c r="BM187" s="73">
        <v>35</v>
      </c>
      <c r="BN187" s="73"/>
      <c r="BO187" s="73">
        <v>21</v>
      </c>
      <c r="BP187" s="73">
        <v>0</v>
      </c>
      <c r="BQ187" s="71">
        <f t="shared" si="63"/>
        <v>56</v>
      </c>
      <c r="BR187" s="73">
        <v>237</v>
      </c>
      <c r="BS187" s="73">
        <v>10</v>
      </c>
      <c r="BT187" s="73">
        <v>10</v>
      </c>
      <c r="BU187" s="63">
        <f t="shared" si="67"/>
        <v>257</v>
      </c>
      <c r="BV187" s="72">
        <f>SUM(Table22[[#This Row],[Good Kernel (G M)]]+(Table22[[#This Row],[Immature (g m)]]+Table22[[#This Row],[Spotted (g m)]])/2)*0.176</f>
        <v>43.471999999999994</v>
      </c>
      <c r="BW187" s="73">
        <v>43.56</v>
      </c>
      <c r="BX187" s="73"/>
      <c r="BY187" s="141">
        <f t="shared" si="68"/>
        <v>45.327089999999998</v>
      </c>
      <c r="BZ187" s="72">
        <f t="shared" si="69"/>
        <v>51.500039999999998</v>
      </c>
      <c r="CA187" s="72">
        <f>SUM(Table22[[#This Row],[Good Kernel (G M)]:[Spotted (g m)]])/1000*100</f>
        <v>25.7</v>
      </c>
      <c r="CB187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87" s="73">
        <v>10.9</v>
      </c>
      <c r="CD187" s="73">
        <v>172</v>
      </c>
      <c r="CE187" s="73"/>
      <c r="CF187" s="73"/>
      <c r="CH187" s="184">
        <f ca="1">TODAY()-Table22[[#This Row],[Discharge Date]]</f>
        <v>116</v>
      </c>
    </row>
    <row r="188" spans="1:86" x14ac:dyDescent="0.25">
      <c r="A188" s="50">
        <v>184</v>
      </c>
      <c r="B188" s="60" t="s">
        <v>95</v>
      </c>
      <c r="C188" s="60" t="s">
        <v>96</v>
      </c>
      <c r="D188" s="97">
        <v>184</v>
      </c>
      <c r="E188" s="73" t="s">
        <v>130</v>
      </c>
      <c r="F188" s="97">
        <v>735</v>
      </c>
      <c r="G188" s="73"/>
      <c r="H188" s="73"/>
      <c r="I188" s="73"/>
      <c r="J188" s="73"/>
      <c r="K188" s="97" t="s">
        <v>636</v>
      </c>
      <c r="L188" s="73"/>
      <c r="M188" s="100">
        <v>35051</v>
      </c>
      <c r="N188" s="100" t="s">
        <v>643</v>
      </c>
      <c r="O188" s="73" t="s">
        <v>356</v>
      </c>
      <c r="P188" s="97" t="s">
        <v>311</v>
      </c>
      <c r="Q188" s="101">
        <v>46139</v>
      </c>
      <c r="R188" s="102" t="s">
        <v>316</v>
      </c>
      <c r="S188" s="131" t="s">
        <v>357</v>
      </c>
      <c r="T188" s="102"/>
      <c r="U188" s="102"/>
      <c r="V188" s="73" t="s">
        <v>358</v>
      </c>
      <c r="W188" s="73">
        <v>564</v>
      </c>
      <c r="X188" s="73"/>
      <c r="Y188" s="51">
        <v>564</v>
      </c>
      <c r="AA188" s="61">
        <f t="shared" si="78"/>
        <v>564</v>
      </c>
      <c r="AB188" s="51">
        <f t="shared" si="70"/>
        <v>0</v>
      </c>
      <c r="AC188" s="88">
        <f>W188</f>
        <v>564</v>
      </c>
      <c r="AD188" s="63">
        <v>10</v>
      </c>
      <c r="AE188" s="63">
        <v>0</v>
      </c>
      <c r="AF188" s="63">
        <v>11</v>
      </c>
      <c r="AG188" s="63"/>
      <c r="AH188" s="64">
        <f>AC188+AE188+Table22[[#This Row],[Humid Sacs]]-10</f>
        <v>564</v>
      </c>
      <c r="AI188" s="73"/>
      <c r="AJ188" s="73"/>
      <c r="AK188" s="62">
        <f t="shared" si="76"/>
        <v>564</v>
      </c>
      <c r="AL188" s="62">
        <f t="shared" si="77"/>
        <v>564</v>
      </c>
      <c r="AM188" s="56">
        <v>48740</v>
      </c>
      <c r="AN188" s="124">
        <f>(AD188*8)+(AE188*4)+(AG188*0)+(AH188*1)</f>
        <v>644</v>
      </c>
      <c r="AO188" s="77">
        <f>AM188-AH188</f>
        <v>48176</v>
      </c>
      <c r="AP188" s="77">
        <f>AM188-AN188</f>
        <v>48096</v>
      </c>
      <c r="AQ188" s="77">
        <f>+AO188-AE188*4-80</f>
        <v>48096</v>
      </c>
      <c r="AR188" s="67">
        <f t="shared" si="86"/>
        <v>80</v>
      </c>
      <c r="AS188" s="142">
        <f>Table22[[#This Row],[GROSS WT]]-Table22[[#This Row],[Total Bag Discharged (Truck)]]</f>
        <v>48176</v>
      </c>
      <c r="AT188" s="67">
        <f t="shared" si="59"/>
        <v>48176</v>
      </c>
      <c r="AU188" s="73"/>
      <c r="AV188" s="73">
        <v>35</v>
      </c>
      <c r="AW188" s="73">
        <v>16</v>
      </c>
      <c r="AX188" s="73">
        <v>0</v>
      </c>
      <c r="AY188" s="71">
        <f t="shared" si="60"/>
        <v>51</v>
      </c>
      <c r="AZ188" s="70">
        <v>244</v>
      </c>
      <c r="BA188" s="73">
        <v>10</v>
      </c>
      <c r="BB188" s="73">
        <v>5</v>
      </c>
      <c r="BC188" s="63">
        <f t="shared" si="65"/>
        <v>259</v>
      </c>
      <c r="BD188" s="72">
        <f>SUM(Table22[[#This Row],[Good Kernel (gm)]]+(Table22[[#This Row],[Immature (gm)]]+Table22[[#This Row],[Spotted (gm)]])/2)*0.176</f>
        <v>44.263999999999996</v>
      </c>
      <c r="BE188" s="73">
        <v>44.35</v>
      </c>
      <c r="BF188" s="72">
        <f t="shared" si="66"/>
        <v>45.679830000000003</v>
      </c>
      <c r="BG188" s="72">
        <f t="shared" si="61"/>
        <v>51.852780000000003</v>
      </c>
      <c r="BH188" s="72">
        <f>SUM(Table22[[#This Row],[Good Kernel (gm)]:[Spotted (gm)]])/1000*100</f>
        <v>25.900000000000002</v>
      </c>
      <c r="BI188" s="72">
        <f t="shared" si="62"/>
        <v>29.4</v>
      </c>
      <c r="BJ188" s="73">
        <v>10.6</v>
      </c>
      <c r="BK188" s="73">
        <v>179</v>
      </c>
      <c r="BL188" s="73">
        <v>683</v>
      </c>
      <c r="BM188" s="73">
        <v>25</v>
      </c>
      <c r="BN188" s="73"/>
      <c r="BO188" s="73">
        <v>12</v>
      </c>
      <c r="BP188" s="73">
        <v>0</v>
      </c>
      <c r="BQ188" s="71">
        <f t="shared" si="63"/>
        <v>37</v>
      </c>
      <c r="BR188" s="73">
        <v>239</v>
      </c>
      <c r="BS188" s="73">
        <v>13</v>
      </c>
      <c r="BT188" s="73">
        <v>10</v>
      </c>
      <c r="BU188" s="63">
        <f t="shared" si="67"/>
        <v>262</v>
      </c>
      <c r="BV188" s="72">
        <f>SUM(Table22[[#This Row],[Good Kernel (G M)]]+(Table22[[#This Row],[Immature (g m)]]+Table22[[#This Row],[Spotted (g m)]])/2)*0.176</f>
        <v>44.088000000000001</v>
      </c>
      <c r="BW188" s="73">
        <v>44.26</v>
      </c>
      <c r="BX188" s="73"/>
      <c r="BY188" s="141">
        <f t="shared" si="68"/>
        <v>46.208939999999998</v>
      </c>
      <c r="BZ188" s="72">
        <f t="shared" si="69"/>
        <v>50.618189999999998</v>
      </c>
      <c r="CA188" s="72">
        <f>SUM(Table22[[#This Row],[Good Kernel (G M)]:[Spotted (g m)]])/1000*100</f>
        <v>26.200000000000003</v>
      </c>
      <c r="CB188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88" s="73">
        <v>10.1</v>
      </c>
      <c r="CD188" s="73">
        <v>171</v>
      </c>
      <c r="CE188" s="73"/>
      <c r="CF188" s="73"/>
      <c r="CH188" s="184">
        <f ca="1">TODAY()-Table22[[#This Row],[Discharge Date]]</f>
        <v>116</v>
      </c>
    </row>
    <row r="189" spans="1:86" x14ac:dyDescent="0.25">
      <c r="A189" s="50">
        <v>185</v>
      </c>
      <c r="B189" s="143" t="s">
        <v>95</v>
      </c>
      <c r="C189" s="143" t="s">
        <v>96</v>
      </c>
      <c r="D189" s="144">
        <v>185</v>
      </c>
      <c r="E189" s="137"/>
      <c r="F189" s="144">
        <v>741</v>
      </c>
      <c r="G189" s="137"/>
      <c r="H189" s="137"/>
      <c r="I189" s="137"/>
      <c r="J189" s="137"/>
      <c r="K189" s="144" t="s">
        <v>634</v>
      </c>
      <c r="L189" s="137"/>
      <c r="M189" s="145">
        <v>78904</v>
      </c>
      <c r="N189" s="145" t="s">
        <v>688</v>
      </c>
      <c r="O189" s="137" t="s">
        <v>359</v>
      </c>
      <c r="P189" s="144" t="s">
        <v>347</v>
      </c>
      <c r="Q189" s="101">
        <v>46140</v>
      </c>
      <c r="R189" s="146" t="s">
        <v>100</v>
      </c>
      <c r="S189" s="59" t="s">
        <v>101</v>
      </c>
      <c r="T189" s="146"/>
      <c r="U189" s="146"/>
      <c r="V189" s="51" t="s">
        <v>102</v>
      </c>
      <c r="W189" s="137">
        <v>474</v>
      </c>
      <c r="X189" s="137"/>
      <c r="Y189" s="147">
        <f t="shared" si="81"/>
        <v>474</v>
      </c>
      <c r="AA189" s="148">
        <f t="shared" si="78"/>
        <v>474</v>
      </c>
      <c r="AB189" s="147">
        <f t="shared" si="70"/>
        <v>0</v>
      </c>
      <c r="AC189" s="149">
        <f t="shared" si="84"/>
        <v>474</v>
      </c>
      <c r="AD189" s="140">
        <v>10</v>
      </c>
      <c r="AE189" s="140">
        <f t="shared" si="79"/>
        <v>0</v>
      </c>
      <c r="AF189" s="140">
        <v>24</v>
      </c>
      <c r="AG189" s="140"/>
      <c r="AH189" s="150">
        <f>AC189+AE189+Table22[[#This Row],[Humid Sacs]]-10</f>
        <v>474</v>
      </c>
      <c r="AI189" s="137"/>
      <c r="AJ189" s="137"/>
      <c r="AK189" s="151">
        <f t="shared" si="76"/>
        <v>474</v>
      </c>
      <c r="AL189" s="151">
        <f t="shared" si="77"/>
        <v>474</v>
      </c>
      <c r="AM189" s="56">
        <v>39900</v>
      </c>
      <c r="AN189" s="152">
        <f t="shared" si="74"/>
        <v>554</v>
      </c>
      <c r="AO189" s="153">
        <f t="shared" si="80"/>
        <v>39426</v>
      </c>
      <c r="AP189" s="153">
        <f t="shared" si="83"/>
        <v>39346</v>
      </c>
      <c r="AQ189" s="153">
        <f>+AO189-AE189*4-80</f>
        <v>39346</v>
      </c>
      <c r="AR189" s="154">
        <f t="shared" si="86"/>
        <v>80</v>
      </c>
      <c r="AS189" s="142">
        <f>Table22[[#This Row],[GROSS WT]]-Table22[[#This Row],[Total Bag Discharged (Truck)]]</f>
        <v>39426</v>
      </c>
      <c r="AT189" s="67">
        <f t="shared" si="59"/>
        <v>39426</v>
      </c>
      <c r="AU189" s="73"/>
      <c r="AV189" s="73">
        <v>21</v>
      </c>
      <c r="AW189" s="73">
        <v>33</v>
      </c>
      <c r="AX189" s="73">
        <v>0</v>
      </c>
      <c r="AY189" s="71">
        <f t="shared" si="60"/>
        <v>54</v>
      </c>
      <c r="AZ189" s="70">
        <v>229</v>
      </c>
      <c r="BA189" s="73">
        <v>18</v>
      </c>
      <c r="BB189" s="73">
        <v>11</v>
      </c>
      <c r="BC189" s="63">
        <f t="shared" si="65"/>
        <v>258</v>
      </c>
      <c r="BD189" s="72">
        <f>SUM(Table22[[#This Row],[Good Kernel (gm)]]+(Table22[[#This Row],[Immature (gm)]]+Table22[[#This Row],[Spotted (gm)]])/2)*0.176</f>
        <v>42.855999999999995</v>
      </c>
      <c r="BE189" s="73">
        <v>42.94</v>
      </c>
      <c r="BF189" s="72">
        <f t="shared" si="66"/>
        <v>45.503459999999997</v>
      </c>
      <c r="BG189" s="72">
        <f t="shared" si="61"/>
        <v>49.207230000000003</v>
      </c>
      <c r="BH189" s="72">
        <f>SUM(Table22[[#This Row],[Good Kernel (gm)]:[Spotted (gm)]])/1000*100</f>
        <v>25.8</v>
      </c>
      <c r="BI189" s="72">
        <f t="shared" si="62"/>
        <v>27.900000000000002</v>
      </c>
      <c r="BJ189" s="73">
        <v>10.5</v>
      </c>
      <c r="BK189" s="73">
        <v>167</v>
      </c>
      <c r="BL189" s="73">
        <v>682</v>
      </c>
      <c r="BM189" s="73">
        <v>20</v>
      </c>
      <c r="BN189" s="73"/>
      <c r="BO189" s="73">
        <v>46</v>
      </c>
      <c r="BP189" s="73">
        <v>0</v>
      </c>
      <c r="BQ189" s="71">
        <f t="shared" si="63"/>
        <v>66</v>
      </c>
      <c r="BR189" s="73">
        <v>231</v>
      </c>
      <c r="BS189" s="73">
        <v>14</v>
      </c>
      <c r="BT189" s="73">
        <v>15</v>
      </c>
      <c r="BU189" s="63">
        <f t="shared" si="67"/>
        <v>260</v>
      </c>
      <c r="BV189" s="72">
        <f>SUM(Table22[[#This Row],[Good Kernel (G M)]]+(Table22[[#This Row],[Immature (g m)]]+Table22[[#This Row],[Spotted (g m)]])/2)*0.176</f>
        <v>43.207999999999998</v>
      </c>
      <c r="BW189" s="73">
        <v>43.29</v>
      </c>
      <c r="BX189" s="73"/>
      <c r="BY189" s="141">
        <f t="shared" si="68"/>
        <v>45.856200000000001</v>
      </c>
      <c r="BZ189" s="72">
        <f t="shared" si="69"/>
        <v>49.383600000000001</v>
      </c>
      <c r="CA189" s="72">
        <f>SUM(Table22[[#This Row],[Good Kernel (G M)]:[Spotted (g m)]])/1000*100</f>
        <v>26</v>
      </c>
      <c r="CB189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189" s="73">
        <v>10.1</v>
      </c>
      <c r="CD189" s="73">
        <v>171</v>
      </c>
      <c r="CE189" s="73"/>
      <c r="CF189" s="73"/>
      <c r="CH189" s="184">
        <f ca="1">TODAY()-Table22[[#This Row],[Discharge Date]]</f>
        <v>115</v>
      </c>
    </row>
    <row r="190" spans="1:86" x14ac:dyDescent="0.25">
      <c r="A190" s="50">
        <v>186</v>
      </c>
      <c r="B190" s="60" t="s">
        <v>95</v>
      </c>
      <c r="C190" s="60" t="s">
        <v>96</v>
      </c>
      <c r="D190" s="97">
        <v>186</v>
      </c>
      <c r="E190" s="73"/>
      <c r="F190" s="97">
        <v>736</v>
      </c>
      <c r="G190" s="73"/>
      <c r="H190" s="73"/>
      <c r="I190" s="73"/>
      <c r="J190" s="73"/>
      <c r="K190" s="97" t="s">
        <v>634</v>
      </c>
      <c r="L190" s="73"/>
      <c r="M190" s="100">
        <v>32360</v>
      </c>
      <c r="N190" s="100" t="s">
        <v>687</v>
      </c>
      <c r="O190" s="73" t="s">
        <v>360</v>
      </c>
      <c r="P190" s="97" t="s">
        <v>315</v>
      </c>
      <c r="Q190" s="101">
        <v>46140</v>
      </c>
      <c r="R190" s="102" t="s">
        <v>100</v>
      </c>
      <c r="S190" s="103" t="s">
        <v>271</v>
      </c>
      <c r="T190" s="102" t="s">
        <v>198</v>
      </c>
      <c r="U190" s="102" t="s">
        <v>272</v>
      </c>
      <c r="V190" s="73" t="s">
        <v>199</v>
      </c>
      <c r="W190" s="73">
        <v>525</v>
      </c>
      <c r="X190" s="73"/>
      <c r="Y190" s="51">
        <f t="shared" si="81"/>
        <v>525</v>
      </c>
      <c r="Z190" s="73"/>
      <c r="AA190" s="61">
        <f t="shared" si="78"/>
        <v>525</v>
      </c>
      <c r="AB190" s="51">
        <f t="shared" si="70"/>
        <v>0</v>
      </c>
      <c r="AC190" s="88">
        <f>W190</f>
        <v>525</v>
      </c>
      <c r="AD190" s="63">
        <v>20</v>
      </c>
      <c r="AE190" s="63">
        <f t="shared" si="79"/>
        <v>0</v>
      </c>
      <c r="AF190" s="63">
        <v>34</v>
      </c>
      <c r="AG190" s="63"/>
      <c r="AH190" s="64">
        <f>AC190+AE190+Table22[[#This Row],[Humid Sacs]]-20</f>
        <v>525</v>
      </c>
      <c r="AI190" s="73"/>
      <c r="AJ190" s="73"/>
      <c r="AK190" s="62">
        <f t="shared" si="76"/>
        <v>525</v>
      </c>
      <c r="AL190" s="62">
        <f t="shared" si="77"/>
        <v>525</v>
      </c>
      <c r="AM190" s="73">
        <v>46420</v>
      </c>
      <c r="AN190" s="124">
        <f t="shared" si="74"/>
        <v>685</v>
      </c>
      <c r="AO190" s="77">
        <f t="shared" si="80"/>
        <v>45895</v>
      </c>
      <c r="AP190" s="77">
        <f t="shared" si="83"/>
        <v>45735</v>
      </c>
      <c r="AQ190" s="77">
        <f>+AO190-AE190*4-160</f>
        <v>45735</v>
      </c>
      <c r="AR190" s="67">
        <f t="shared" si="86"/>
        <v>160</v>
      </c>
      <c r="AS190" s="142">
        <f>Table22[[#This Row],[GROSS WT]]-Table22[[#This Row],[Total Bag Discharged (Truck)]]</f>
        <v>45895</v>
      </c>
      <c r="AT190" s="67">
        <f t="shared" si="59"/>
        <v>45895</v>
      </c>
      <c r="AU190" s="73"/>
      <c r="AV190" s="73">
        <v>23</v>
      </c>
      <c r="AW190" s="73">
        <v>16</v>
      </c>
      <c r="AX190" s="73">
        <v>0</v>
      </c>
      <c r="AY190" s="71">
        <f t="shared" si="60"/>
        <v>39</v>
      </c>
      <c r="AZ190" s="70">
        <v>232</v>
      </c>
      <c r="BA190" s="73">
        <v>18</v>
      </c>
      <c r="BB190" s="73">
        <v>10</v>
      </c>
      <c r="BC190" s="63">
        <f t="shared" si="65"/>
        <v>260</v>
      </c>
      <c r="BD190" s="72">
        <f>SUM(Table22[[#This Row],[Good Kernel (gm)]]+(Table22[[#This Row],[Immature (gm)]]+Table22[[#This Row],[Spotted (gm)]])/2)*0.176</f>
        <v>43.295999999999999</v>
      </c>
      <c r="BE190" s="73">
        <v>43.38</v>
      </c>
      <c r="BF190" s="72">
        <f t="shared" si="66"/>
        <v>45.856200000000001</v>
      </c>
      <c r="BG190" s="72">
        <f t="shared" si="61"/>
        <v>49.912709999999997</v>
      </c>
      <c r="BH190" s="72">
        <f>SUM(Table22[[#This Row],[Good Kernel (gm)]:[Spotted (gm)]])/1000*100</f>
        <v>26</v>
      </c>
      <c r="BI190" s="72">
        <f t="shared" si="62"/>
        <v>28.299999999999997</v>
      </c>
      <c r="BJ190" s="73">
        <v>11.4</v>
      </c>
      <c r="BK190" s="73">
        <v>180</v>
      </c>
      <c r="BL190" s="73">
        <v>695</v>
      </c>
      <c r="BM190" s="73">
        <v>21</v>
      </c>
      <c r="BN190" s="73"/>
      <c r="BO190" s="73">
        <v>28</v>
      </c>
      <c r="BP190" s="73">
        <v>4</v>
      </c>
      <c r="BQ190" s="71">
        <f t="shared" si="63"/>
        <v>53</v>
      </c>
      <c r="BR190" s="73">
        <v>237</v>
      </c>
      <c r="BS190" s="73">
        <v>16</v>
      </c>
      <c r="BT190" s="73">
        <v>10</v>
      </c>
      <c r="BU190" s="63">
        <f t="shared" si="67"/>
        <v>263</v>
      </c>
      <c r="BV190" s="72">
        <f>SUM(Table22[[#This Row],[Good Kernel (G M)]]+(Table22[[#This Row],[Immature (g m)]]+Table22[[#This Row],[Spotted (g m)]])/2)*0.176</f>
        <v>44</v>
      </c>
      <c r="BW190" s="73">
        <v>44.09</v>
      </c>
      <c r="BX190" s="73"/>
      <c r="BY190" s="141">
        <f t="shared" si="68"/>
        <v>46.385309999999997</v>
      </c>
      <c r="BZ190" s="72">
        <f t="shared" si="69"/>
        <v>50.794559999999997</v>
      </c>
      <c r="CA190" s="72">
        <f>SUM(Table22[[#This Row],[Good Kernel (G M)]:[Spotted (g m)]])/1000*100</f>
        <v>26.3</v>
      </c>
      <c r="CB190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190" s="73">
        <v>11.1</v>
      </c>
      <c r="CD190" s="73">
        <v>190</v>
      </c>
      <c r="CE190" s="73"/>
      <c r="CF190" s="73"/>
      <c r="CH190" s="184">
        <f ca="1">TODAY()-Table22[[#This Row],[Discharge Date]]</f>
        <v>115</v>
      </c>
    </row>
    <row r="191" spans="1:86" x14ac:dyDescent="0.25">
      <c r="A191" s="50">
        <v>187</v>
      </c>
      <c r="B191" s="60" t="s">
        <v>95</v>
      </c>
      <c r="C191" s="60" t="s">
        <v>96</v>
      </c>
      <c r="D191" s="97">
        <v>187</v>
      </c>
      <c r="E191" s="73"/>
      <c r="F191" s="97">
        <v>737</v>
      </c>
      <c r="G191" s="73"/>
      <c r="H191" s="73"/>
      <c r="I191" s="73"/>
      <c r="J191" s="73"/>
      <c r="K191" s="97" t="s">
        <v>634</v>
      </c>
      <c r="L191" s="73"/>
      <c r="M191" s="100">
        <v>39822</v>
      </c>
      <c r="N191" s="100" t="s">
        <v>682</v>
      </c>
      <c r="O191" s="73" t="s">
        <v>361</v>
      </c>
      <c r="P191" s="97" t="s">
        <v>355</v>
      </c>
      <c r="Q191" s="101">
        <v>46140</v>
      </c>
      <c r="R191" s="102" t="s">
        <v>329</v>
      </c>
      <c r="S191" s="103" t="s">
        <v>271</v>
      </c>
      <c r="T191" s="102" t="s">
        <v>198</v>
      </c>
      <c r="U191" s="102" t="s">
        <v>272</v>
      </c>
      <c r="V191" s="73" t="s">
        <v>199</v>
      </c>
      <c r="W191" s="73">
        <v>558</v>
      </c>
      <c r="X191" s="73"/>
      <c r="Y191" s="51">
        <f t="shared" si="81"/>
        <v>558</v>
      </c>
      <c r="Z191" s="73"/>
      <c r="AA191" s="61">
        <f t="shared" si="78"/>
        <v>558</v>
      </c>
      <c r="AB191" s="51">
        <f t="shared" si="70"/>
        <v>0</v>
      </c>
      <c r="AC191" s="88">
        <f t="shared" si="84"/>
        <v>558</v>
      </c>
      <c r="AD191" s="63">
        <v>20</v>
      </c>
      <c r="AE191" s="63">
        <f t="shared" si="79"/>
        <v>0</v>
      </c>
      <c r="AF191" s="63">
        <v>27</v>
      </c>
      <c r="AG191" s="63"/>
      <c r="AH191" s="64">
        <f>AC191+AE191+Table22[[#This Row],[Humid Sacs]]-20</f>
        <v>558</v>
      </c>
      <c r="AI191" s="73"/>
      <c r="AJ191" s="73"/>
      <c r="AK191" s="62">
        <f t="shared" si="76"/>
        <v>558</v>
      </c>
      <c r="AL191" s="62">
        <f t="shared" si="77"/>
        <v>558</v>
      </c>
      <c r="AM191" s="73">
        <v>44470</v>
      </c>
      <c r="AN191" s="124">
        <f t="shared" si="74"/>
        <v>718</v>
      </c>
      <c r="AO191" s="77">
        <f t="shared" si="80"/>
        <v>43912</v>
      </c>
      <c r="AP191" s="77">
        <f t="shared" si="83"/>
        <v>43752</v>
      </c>
      <c r="AQ191" s="77">
        <f>+AO191-AE191*4-160</f>
        <v>43752</v>
      </c>
      <c r="AR191" s="67">
        <f t="shared" si="86"/>
        <v>160</v>
      </c>
      <c r="AS191" s="142">
        <f>Table22[[#This Row],[GROSS WT]]-Table22[[#This Row],[Total Bag Discharged (Truck)]]</f>
        <v>43912</v>
      </c>
      <c r="AT191" s="67">
        <f t="shared" si="59"/>
        <v>43912</v>
      </c>
      <c r="AU191" s="73"/>
      <c r="AV191" s="73">
        <v>25</v>
      </c>
      <c r="AW191" s="73">
        <v>21</v>
      </c>
      <c r="AX191" s="73">
        <v>3</v>
      </c>
      <c r="AY191" s="71">
        <f t="shared" si="60"/>
        <v>49</v>
      </c>
      <c r="AZ191" s="70">
        <v>227</v>
      </c>
      <c r="BA191" s="73">
        <v>14</v>
      </c>
      <c r="BB191" s="73">
        <v>9</v>
      </c>
      <c r="BC191" s="63">
        <f t="shared" si="65"/>
        <v>250</v>
      </c>
      <c r="BD191" s="72">
        <f>SUM(Table22[[#This Row],[Good Kernel (gm)]]+(Table22[[#This Row],[Immature (gm)]]+Table22[[#This Row],[Spotted (gm)]])/2)*0.176</f>
        <v>41.975999999999999</v>
      </c>
      <c r="BE191" s="73">
        <v>42.06</v>
      </c>
      <c r="BF191" s="72">
        <f t="shared" si="66"/>
        <v>44.092500000000001</v>
      </c>
      <c r="BG191" s="72">
        <f t="shared" si="61"/>
        <v>49.030859999999997</v>
      </c>
      <c r="BH191" s="72">
        <f>SUM(Table22[[#This Row],[Good Kernel (gm)]:[Spotted (gm)]])/1000*100</f>
        <v>25</v>
      </c>
      <c r="BI191" s="72">
        <f t="shared" si="62"/>
        <v>27.800000000000004</v>
      </c>
      <c r="BJ191" s="73">
        <v>11.9</v>
      </c>
      <c r="BK191" s="73">
        <v>168</v>
      </c>
      <c r="BL191" s="73">
        <v>695</v>
      </c>
      <c r="BM191" s="73">
        <v>36</v>
      </c>
      <c r="BN191" s="73"/>
      <c r="BO191" s="73">
        <v>17</v>
      </c>
      <c r="BP191" s="73">
        <v>0</v>
      </c>
      <c r="BQ191" s="71">
        <f t="shared" si="63"/>
        <v>53</v>
      </c>
      <c r="BR191" s="73">
        <v>228</v>
      </c>
      <c r="BS191" s="73">
        <v>11</v>
      </c>
      <c r="BT191" s="73">
        <v>11</v>
      </c>
      <c r="BU191" s="63">
        <f t="shared" si="67"/>
        <v>250</v>
      </c>
      <c r="BV191" s="72">
        <f>SUM(Table22[[#This Row],[Good Kernel (G M)]]+(Table22[[#This Row],[Immature (g m)]]+Table22[[#This Row],[Spotted (g m)]])/2)*0.176</f>
        <v>42.064</v>
      </c>
      <c r="BW191" s="73">
        <v>42.15</v>
      </c>
      <c r="BX191" s="73"/>
      <c r="BY191" s="141">
        <f t="shared" si="68"/>
        <v>44.092500000000001</v>
      </c>
      <c r="BZ191" s="72">
        <f t="shared" si="69"/>
        <v>50.44182</v>
      </c>
      <c r="CA191" s="72">
        <f>SUM(Table22[[#This Row],[Good Kernel (G M)]:[Spotted (g m)]])/1000*100</f>
        <v>25</v>
      </c>
      <c r="CB191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91" s="73">
        <v>11.3</v>
      </c>
      <c r="CD191" s="73">
        <v>168</v>
      </c>
      <c r="CE191" s="73"/>
      <c r="CF191" s="73"/>
      <c r="CH191" s="184">
        <f ca="1">TODAY()-Table22[[#This Row],[Discharge Date]]</f>
        <v>115</v>
      </c>
    </row>
    <row r="192" spans="1:86" x14ac:dyDescent="0.25">
      <c r="A192" s="50">
        <v>188</v>
      </c>
      <c r="B192" s="60" t="s">
        <v>95</v>
      </c>
      <c r="C192" s="60" t="s">
        <v>96</v>
      </c>
      <c r="D192" s="97">
        <v>188</v>
      </c>
      <c r="E192" s="73"/>
      <c r="F192" s="97">
        <v>738</v>
      </c>
      <c r="G192" s="73"/>
      <c r="H192" s="73"/>
      <c r="I192" s="73"/>
      <c r="J192" s="73"/>
      <c r="K192" s="97" t="s">
        <v>634</v>
      </c>
      <c r="L192" s="73"/>
      <c r="M192" s="100">
        <v>37589</v>
      </c>
      <c r="N192" s="100" t="s">
        <v>687</v>
      </c>
      <c r="O192" s="73" t="s">
        <v>362</v>
      </c>
      <c r="P192" s="97" t="s">
        <v>355</v>
      </c>
      <c r="Q192" s="101">
        <v>46140</v>
      </c>
      <c r="R192" s="102" t="s">
        <v>224</v>
      </c>
      <c r="S192" s="103" t="s">
        <v>146</v>
      </c>
      <c r="T192" s="102"/>
      <c r="U192" s="102"/>
      <c r="V192" s="73" t="s">
        <v>147</v>
      </c>
      <c r="W192" s="73">
        <v>563</v>
      </c>
      <c r="X192" s="73"/>
      <c r="Y192" s="51">
        <f t="shared" si="81"/>
        <v>563</v>
      </c>
      <c r="Z192" s="73"/>
      <c r="AA192" s="61">
        <f t="shared" si="78"/>
        <v>563</v>
      </c>
      <c r="AB192" s="51">
        <f t="shared" si="70"/>
        <v>0</v>
      </c>
      <c r="AC192" s="88">
        <f t="shared" si="84"/>
        <v>563</v>
      </c>
      <c r="AD192" s="63">
        <v>50</v>
      </c>
      <c r="AE192" s="63">
        <f t="shared" si="79"/>
        <v>0</v>
      </c>
      <c r="AF192" s="63">
        <v>29</v>
      </c>
      <c r="AG192" s="63"/>
      <c r="AH192" s="64">
        <f>AC192+AE192+Table22[[#This Row],[Humid Sacs]]-50</f>
        <v>563</v>
      </c>
      <c r="AI192" s="73"/>
      <c r="AJ192" s="73"/>
      <c r="AK192" s="62">
        <f t="shared" si="76"/>
        <v>563</v>
      </c>
      <c r="AL192" s="62">
        <f t="shared" si="77"/>
        <v>563</v>
      </c>
      <c r="AM192" s="73">
        <v>39970</v>
      </c>
      <c r="AN192" s="124">
        <f t="shared" si="74"/>
        <v>963</v>
      </c>
      <c r="AO192" s="77">
        <f t="shared" si="80"/>
        <v>39407</v>
      </c>
      <c r="AP192" s="77">
        <f t="shared" si="83"/>
        <v>39007</v>
      </c>
      <c r="AQ192" s="77">
        <f>+AO192-AE192*4-400</f>
        <v>39007</v>
      </c>
      <c r="AR192" s="67">
        <f t="shared" si="86"/>
        <v>400</v>
      </c>
      <c r="AS192" s="142">
        <f>Table22[[#This Row],[GROSS WT]]-Table22[[#This Row],[Total Bag Discharged (Truck)]]</f>
        <v>39407</v>
      </c>
      <c r="AT192" s="67">
        <f t="shared" si="59"/>
        <v>39407</v>
      </c>
      <c r="AU192" s="73"/>
      <c r="AV192" s="73">
        <v>23</v>
      </c>
      <c r="AW192" s="73">
        <v>26</v>
      </c>
      <c r="AX192" s="73">
        <v>2</v>
      </c>
      <c r="AY192" s="71">
        <f t="shared" si="60"/>
        <v>51</v>
      </c>
      <c r="AZ192" s="70">
        <v>238</v>
      </c>
      <c r="BA192" s="73">
        <v>11</v>
      </c>
      <c r="BB192" s="73">
        <v>11</v>
      </c>
      <c r="BC192" s="63">
        <f t="shared" si="65"/>
        <v>260</v>
      </c>
      <c r="BD192" s="72">
        <f>SUM(Table22[[#This Row],[Good Kernel (gm)]]+(Table22[[#This Row],[Immature (gm)]]+Table22[[#This Row],[Spotted (gm)]])/2)*0.176</f>
        <v>43.823999999999998</v>
      </c>
      <c r="BE192" s="73">
        <v>43.91</v>
      </c>
      <c r="BF192" s="72">
        <f t="shared" si="66"/>
        <v>45.856200000000001</v>
      </c>
      <c r="BG192" s="72">
        <f t="shared" si="61"/>
        <v>50.265450000000001</v>
      </c>
      <c r="BH192" s="72">
        <f>SUM(Table22[[#This Row],[Good Kernel (gm)]:[Spotted (gm)]])/1000*100</f>
        <v>26</v>
      </c>
      <c r="BI192" s="72">
        <f t="shared" si="62"/>
        <v>28.499999999999996</v>
      </c>
      <c r="BJ192" s="73">
        <v>13.7</v>
      </c>
      <c r="BK192" s="73">
        <v>164</v>
      </c>
      <c r="BL192" s="73">
        <v>682</v>
      </c>
      <c r="BM192" s="73">
        <v>24</v>
      </c>
      <c r="BN192" s="73"/>
      <c r="BO192" s="73">
        <v>18</v>
      </c>
      <c r="BP192" s="73">
        <v>0</v>
      </c>
      <c r="BQ192" s="71">
        <f t="shared" si="63"/>
        <v>42</v>
      </c>
      <c r="BR192" s="73">
        <v>239</v>
      </c>
      <c r="BS192" s="73">
        <v>16</v>
      </c>
      <c r="BT192" s="73">
        <v>8</v>
      </c>
      <c r="BU192" s="63">
        <f t="shared" si="67"/>
        <v>263</v>
      </c>
      <c r="BV192" s="72">
        <f>SUM(Table22[[#This Row],[Good Kernel (G M)]]+(Table22[[#This Row],[Immature (g m)]]+Table22[[#This Row],[Spotted (g m)]])/2)*0.176</f>
        <v>44.175999999999995</v>
      </c>
      <c r="BW192" s="73">
        <v>44.26</v>
      </c>
      <c r="BX192" s="73"/>
      <c r="BY192" s="141">
        <f t="shared" si="68"/>
        <v>46.385309999999997</v>
      </c>
      <c r="BZ192" s="72">
        <f t="shared" si="69"/>
        <v>50.618189999999998</v>
      </c>
      <c r="CA192" s="72">
        <f>SUM(Table22[[#This Row],[Good Kernel (G M)]:[Spotted (g m)]])/1000*100</f>
        <v>26.3</v>
      </c>
      <c r="CB192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92" s="73">
        <v>13.4</v>
      </c>
      <c r="CD192" s="73">
        <v>168</v>
      </c>
      <c r="CE192" s="73"/>
      <c r="CF192" s="73"/>
      <c r="CH192" s="184">
        <f ca="1">TODAY()-Table22[[#This Row],[Discharge Date]]</f>
        <v>115</v>
      </c>
    </row>
    <row r="193" spans="1:86" x14ac:dyDescent="0.25">
      <c r="A193" s="50">
        <v>189</v>
      </c>
      <c r="B193" s="60" t="s">
        <v>95</v>
      </c>
      <c r="C193" s="60" t="s">
        <v>96</v>
      </c>
      <c r="D193" s="97">
        <v>189</v>
      </c>
      <c r="E193" s="73"/>
      <c r="F193" s="97">
        <v>739</v>
      </c>
      <c r="G193" s="73"/>
      <c r="H193" s="73"/>
      <c r="I193" s="73"/>
      <c r="J193" s="73"/>
      <c r="K193" s="97" t="s">
        <v>634</v>
      </c>
      <c r="L193" s="73"/>
      <c r="M193" s="100">
        <v>78895</v>
      </c>
      <c r="N193" s="100" t="s">
        <v>682</v>
      </c>
      <c r="O193" s="73" t="s">
        <v>363</v>
      </c>
      <c r="P193" s="97" t="s">
        <v>355</v>
      </c>
      <c r="Q193" s="101">
        <v>46140</v>
      </c>
      <c r="R193" s="102" t="s">
        <v>100</v>
      </c>
      <c r="S193" s="59" t="s">
        <v>101</v>
      </c>
      <c r="T193" s="102"/>
      <c r="U193" s="102"/>
      <c r="V193" s="51" t="s">
        <v>102</v>
      </c>
      <c r="W193" s="73">
        <v>494</v>
      </c>
      <c r="X193" s="73"/>
      <c r="Y193" s="51">
        <f t="shared" si="81"/>
        <v>494</v>
      </c>
      <c r="Z193" s="73"/>
      <c r="AA193" s="61">
        <f t="shared" si="78"/>
        <v>494</v>
      </c>
      <c r="AB193" s="51">
        <f t="shared" si="70"/>
        <v>0</v>
      </c>
      <c r="AC193" s="88">
        <f t="shared" si="84"/>
        <v>494</v>
      </c>
      <c r="AD193" s="63">
        <v>25</v>
      </c>
      <c r="AE193" s="63">
        <f t="shared" si="79"/>
        <v>0</v>
      </c>
      <c r="AF193" s="63">
        <v>20</v>
      </c>
      <c r="AG193" s="63"/>
      <c r="AH193" s="64">
        <f>AC193+AE193+Table22[[#This Row],[Humid Sacs]]-25</f>
        <v>494</v>
      </c>
      <c r="AI193" s="73"/>
      <c r="AJ193" s="73"/>
      <c r="AK193" s="62">
        <f t="shared" si="76"/>
        <v>494</v>
      </c>
      <c r="AL193" s="62">
        <f t="shared" si="77"/>
        <v>494</v>
      </c>
      <c r="AM193" s="73">
        <v>41910</v>
      </c>
      <c r="AN193" s="124">
        <f t="shared" si="74"/>
        <v>694</v>
      </c>
      <c r="AO193" s="77">
        <f t="shared" si="80"/>
        <v>41416</v>
      </c>
      <c r="AP193" s="77">
        <f t="shared" si="83"/>
        <v>41216</v>
      </c>
      <c r="AQ193" s="77">
        <f>+AO193-AE193*4-200</f>
        <v>41216</v>
      </c>
      <c r="AR193" s="67">
        <f t="shared" si="86"/>
        <v>200</v>
      </c>
      <c r="AS193" s="142">
        <f>Table22[[#This Row],[GROSS WT]]-Table22[[#This Row],[Total Bag Discharged (Truck)]]</f>
        <v>41416</v>
      </c>
      <c r="AT193" s="67">
        <f t="shared" si="59"/>
        <v>41416</v>
      </c>
      <c r="AU193" s="73"/>
      <c r="AV193" s="73">
        <v>36</v>
      </c>
      <c r="AW193" s="73">
        <v>24</v>
      </c>
      <c r="AX193" s="73">
        <v>0</v>
      </c>
      <c r="AY193" s="71">
        <f t="shared" si="60"/>
        <v>60</v>
      </c>
      <c r="AZ193" s="70">
        <v>228</v>
      </c>
      <c r="BA193" s="73">
        <v>12</v>
      </c>
      <c r="BB193" s="73">
        <v>15</v>
      </c>
      <c r="BC193" s="63">
        <f t="shared" si="65"/>
        <v>255</v>
      </c>
      <c r="BD193" s="72">
        <f>SUM(Table22[[#This Row],[Good Kernel (gm)]]+(Table22[[#This Row],[Immature (gm)]]+Table22[[#This Row],[Spotted (gm)]])/2)*0.176</f>
        <v>42.503999999999998</v>
      </c>
      <c r="BE193" s="73">
        <v>42.59</v>
      </c>
      <c r="BF193" s="72">
        <f t="shared" si="66"/>
        <v>44.974350000000001</v>
      </c>
      <c r="BG193" s="72">
        <f t="shared" si="61"/>
        <v>51.32367</v>
      </c>
      <c r="BH193" s="72">
        <f>SUM(Table22[[#This Row],[Good Kernel (gm)]:[Spotted (gm)]])/1000*100</f>
        <v>25.5</v>
      </c>
      <c r="BI193" s="72">
        <f t="shared" si="62"/>
        <v>29.099999999999998</v>
      </c>
      <c r="BJ193" s="73">
        <v>11.1</v>
      </c>
      <c r="BK193" s="73">
        <v>192</v>
      </c>
      <c r="BL193" s="73">
        <v>679</v>
      </c>
      <c r="BM193" s="73">
        <v>45</v>
      </c>
      <c r="BN193" s="73"/>
      <c r="BO193" s="73">
        <v>21</v>
      </c>
      <c r="BP193" s="73">
        <v>2</v>
      </c>
      <c r="BQ193" s="71">
        <f t="shared" si="63"/>
        <v>68</v>
      </c>
      <c r="BR193" s="73">
        <v>225</v>
      </c>
      <c r="BS193" s="73">
        <v>19</v>
      </c>
      <c r="BT193" s="73">
        <v>16</v>
      </c>
      <c r="BU193" s="63">
        <f t="shared" si="67"/>
        <v>260</v>
      </c>
      <c r="BV193" s="72">
        <f>SUM(Table22[[#This Row],[Good Kernel (G M)]]+(Table22[[#This Row],[Immature (g m)]]+Table22[[#This Row],[Spotted (g m)]])/2)*0.176</f>
        <v>42.68</v>
      </c>
      <c r="BW193" s="73">
        <v>42.76</v>
      </c>
      <c r="BX193" s="73"/>
      <c r="BY193" s="141">
        <f t="shared" si="68"/>
        <v>45.856200000000001</v>
      </c>
      <c r="BZ193" s="72">
        <f t="shared" si="69"/>
        <v>54.145589999999999</v>
      </c>
      <c r="CA193" s="72">
        <f>SUM(Table22[[#This Row],[Good Kernel (G M)]:[Spotted (g m)]])/1000*100</f>
        <v>26</v>
      </c>
      <c r="CB193" s="72">
        <f>(Table22[[#This Row],[BROWNS/Rejection (gm) (NUT)]]+Table22[[#This Row],[OIL (g m)]]+Table22[[#This Row],[Good Kernel (G M)]]+Table22[[#This Row],[Immature (g m)]]+Table22[[#This Row],[Spotted (g m)]])/1000*100</f>
        <v>30.7</v>
      </c>
      <c r="CC193" s="73">
        <v>10.8</v>
      </c>
      <c r="CD193" s="73">
        <v>182</v>
      </c>
      <c r="CE193" s="73"/>
      <c r="CF193" s="73"/>
      <c r="CH193" s="184">
        <f ca="1">TODAY()-Table22[[#This Row],[Discharge Date]]</f>
        <v>115</v>
      </c>
    </row>
    <row r="194" spans="1:86" x14ac:dyDescent="0.25">
      <c r="A194" s="50">
        <v>190</v>
      </c>
      <c r="B194" s="60" t="s">
        <v>95</v>
      </c>
      <c r="C194" s="60" t="s">
        <v>96</v>
      </c>
      <c r="D194" s="97">
        <v>190</v>
      </c>
      <c r="E194" s="73"/>
      <c r="F194" s="97">
        <v>740</v>
      </c>
      <c r="G194" s="73"/>
      <c r="H194" s="73"/>
      <c r="I194" s="73"/>
      <c r="J194" s="73"/>
      <c r="K194" s="97" t="s">
        <v>634</v>
      </c>
      <c r="L194" s="73"/>
      <c r="M194" s="100">
        <v>78894</v>
      </c>
      <c r="N194" s="100" t="s">
        <v>687</v>
      </c>
      <c r="O194" s="73" t="s">
        <v>227</v>
      </c>
      <c r="P194" s="97" t="s">
        <v>364</v>
      </c>
      <c r="Q194" s="101">
        <v>46140</v>
      </c>
      <c r="R194" s="102" t="s">
        <v>100</v>
      </c>
      <c r="S194" s="59" t="s">
        <v>101</v>
      </c>
      <c r="T194" s="102"/>
      <c r="U194" s="102"/>
      <c r="V194" s="51" t="s">
        <v>102</v>
      </c>
      <c r="W194" s="73">
        <v>531</v>
      </c>
      <c r="X194" s="73"/>
      <c r="Y194" s="51">
        <f t="shared" si="81"/>
        <v>531</v>
      </c>
      <c r="Z194" s="73"/>
      <c r="AA194" s="61">
        <f t="shared" si="78"/>
        <v>531</v>
      </c>
      <c r="AB194" s="51">
        <f t="shared" si="70"/>
        <v>0</v>
      </c>
      <c r="AC194" s="88">
        <f t="shared" si="84"/>
        <v>531</v>
      </c>
      <c r="AD194" s="63">
        <v>40</v>
      </c>
      <c r="AE194" s="63">
        <f t="shared" si="79"/>
        <v>0</v>
      </c>
      <c r="AF194" s="63">
        <v>34</v>
      </c>
      <c r="AG194" s="63"/>
      <c r="AH194" s="64">
        <f>AC194+AE194+Table22[[#This Row],[Humid Sacs]]-40</f>
        <v>531</v>
      </c>
      <c r="AI194" s="73"/>
      <c r="AJ194" s="73"/>
      <c r="AK194" s="62">
        <f t="shared" si="76"/>
        <v>531</v>
      </c>
      <c r="AL194" s="62">
        <f t="shared" si="77"/>
        <v>531</v>
      </c>
      <c r="AM194" s="73">
        <v>45790</v>
      </c>
      <c r="AN194" s="124">
        <f t="shared" si="74"/>
        <v>851</v>
      </c>
      <c r="AO194" s="77">
        <f t="shared" si="80"/>
        <v>45259</v>
      </c>
      <c r="AP194" s="77">
        <f t="shared" si="83"/>
        <v>44939</v>
      </c>
      <c r="AQ194" s="77">
        <f>+AO194-AE194*4-320</f>
        <v>44939</v>
      </c>
      <c r="AR194" s="67">
        <f t="shared" si="86"/>
        <v>320</v>
      </c>
      <c r="AS194" s="142">
        <f>Table22[[#This Row],[GROSS WT]]-Table22[[#This Row],[Total Bag Discharged (Truck)]]</f>
        <v>45259</v>
      </c>
      <c r="AT194" s="67">
        <f t="shared" si="59"/>
        <v>45259</v>
      </c>
      <c r="AU194" s="73"/>
      <c r="AV194" s="73">
        <v>34</v>
      </c>
      <c r="AW194" s="73">
        <v>14</v>
      </c>
      <c r="AX194" s="73">
        <v>0</v>
      </c>
      <c r="AY194" s="71">
        <f t="shared" si="60"/>
        <v>48</v>
      </c>
      <c r="AZ194" s="70">
        <v>235</v>
      </c>
      <c r="BA194" s="73">
        <v>15</v>
      </c>
      <c r="BB194" s="73">
        <v>11</v>
      </c>
      <c r="BC194" s="63">
        <f t="shared" si="65"/>
        <v>261</v>
      </c>
      <c r="BD194" s="72">
        <f>SUM(Table22[[#This Row],[Good Kernel (gm)]]+(Table22[[#This Row],[Immature (gm)]]+Table22[[#This Row],[Spotted (gm)]])/2)*0.176</f>
        <v>43.647999999999996</v>
      </c>
      <c r="BE194" s="73">
        <v>43.73</v>
      </c>
      <c r="BF194" s="72">
        <f t="shared" si="66"/>
        <v>46.03257</v>
      </c>
      <c r="BG194" s="72">
        <f t="shared" si="61"/>
        <v>52.029150000000001</v>
      </c>
      <c r="BH194" s="72">
        <f>SUM(Table22[[#This Row],[Good Kernel (gm)]:[Spotted (gm)]])/1000*100</f>
        <v>26.1</v>
      </c>
      <c r="BI194" s="72">
        <f t="shared" si="62"/>
        <v>29.5</v>
      </c>
      <c r="BJ194" s="73">
        <v>12.4</v>
      </c>
      <c r="BK194" s="73">
        <v>175</v>
      </c>
      <c r="BL194" s="73">
        <v>687</v>
      </c>
      <c r="BM194" s="73">
        <v>37</v>
      </c>
      <c r="BN194" s="73"/>
      <c r="BO194" s="73">
        <v>24</v>
      </c>
      <c r="BP194" s="73">
        <v>0</v>
      </c>
      <c r="BQ194" s="71">
        <f t="shared" si="63"/>
        <v>61</v>
      </c>
      <c r="BR194" s="73">
        <v>234</v>
      </c>
      <c r="BS194" s="73">
        <v>18</v>
      </c>
      <c r="BT194" s="73">
        <v>8</v>
      </c>
      <c r="BU194" s="63">
        <f t="shared" si="67"/>
        <v>260</v>
      </c>
      <c r="BV194" s="72">
        <f>SUM(Table22[[#This Row],[Good Kernel (G M)]]+(Table22[[#This Row],[Immature (g m)]]+Table22[[#This Row],[Spotted (g m)]])/2)*0.176</f>
        <v>43.471999999999994</v>
      </c>
      <c r="BW194" s="73">
        <v>43.56</v>
      </c>
      <c r="BX194" s="73"/>
      <c r="BY194" s="141">
        <f t="shared" si="68"/>
        <v>45.856200000000001</v>
      </c>
      <c r="BZ194" s="72">
        <f t="shared" si="69"/>
        <v>52.381889999999999</v>
      </c>
      <c r="CA194" s="72">
        <f>SUM(Table22[[#This Row],[Good Kernel (G M)]:[Spotted (g m)]])/1000*100</f>
        <v>26</v>
      </c>
      <c r="CB194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194" s="73">
        <v>11.1</v>
      </c>
      <c r="CD194" s="73">
        <v>183</v>
      </c>
      <c r="CE194" s="73"/>
      <c r="CF194" s="73"/>
      <c r="CH194" s="184">
        <f ca="1">TODAY()-Table22[[#This Row],[Discharge Date]]</f>
        <v>115</v>
      </c>
    </row>
    <row r="195" spans="1:86" x14ac:dyDescent="0.25">
      <c r="A195" s="50">
        <v>191</v>
      </c>
      <c r="B195" s="60" t="s">
        <v>95</v>
      </c>
      <c r="C195" s="60" t="s">
        <v>96</v>
      </c>
      <c r="D195" s="97">
        <v>191</v>
      </c>
      <c r="E195" s="73"/>
      <c r="F195" s="97">
        <v>742</v>
      </c>
      <c r="G195" s="73"/>
      <c r="H195" s="73"/>
      <c r="I195" s="73"/>
      <c r="J195" s="73"/>
      <c r="K195" s="97" t="s">
        <v>634</v>
      </c>
      <c r="L195" s="73"/>
      <c r="M195" s="100">
        <v>37965</v>
      </c>
      <c r="N195" s="100" t="s">
        <v>688</v>
      </c>
      <c r="O195" s="73" t="s">
        <v>365</v>
      </c>
      <c r="P195" s="97" t="s">
        <v>311</v>
      </c>
      <c r="Q195" s="101">
        <v>46140</v>
      </c>
      <c r="R195" s="102" t="s">
        <v>197</v>
      </c>
      <c r="S195" s="103" t="s">
        <v>437</v>
      </c>
      <c r="T195" s="102" t="s">
        <v>198</v>
      </c>
      <c r="U195" s="102" t="s">
        <v>436</v>
      </c>
      <c r="V195" s="73" t="s">
        <v>199</v>
      </c>
      <c r="W195" s="73">
        <v>515</v>
      </c>
      <c r="X195" s="73"/>
      <c r="Y195" s="51">
        <f t="shared" si="81"/>
        <v>515</v>
      </c>
      <c r="Z195" s="73"/>
      <c r="AA195" s="61">
        <f t="shared" si="78"/>
        <v>515</v>
      </c>
      <c r="AB195" s="51">
        <f t="shared" si="70"/>
        <v>0</v>
      </c>
      <c r="AC195" s="88">
        <f t="shared" si="84"/>
        <v>515</v>
      </c>
      <c r="AD195" s="63">
        <v>30</v>
      </c>
      <c r="AE195" s="63">
        <f t="shared" si="79"/>
        <v>0</v>
      </c>
      <c r="AF195" s="63">
        <v>15</v>
      </c>
      <c r="AG195" s="63"/>
      <c r="AH195" s="64">
        <f>AC195+AE195+Table22[[#This Row],[Humid Sacs]]-30</f>
        <v>515</v>
      </c>
      <c r="AI195" s="73"/>
      <c r="AJ195" s="73"/>
      <c r="AK195" s="62">
        <f t="shared" si="76"/>
        <v>515</v>
      </c>
      <c r="AL195" s="62">
        <f t="shared" si="77"/>
        <v>515</v>
      </c>
      <c r="AM195" s="73">
        <v>43880</v>
      </c>
      <c r="AN195" s="124">
        <f t="shared" si="74"/>
        <v>755</v>
      </c>
      <c r="AO195" s="77">
        <f t="shared" si="80"/>
        <v>43365</v>
      </c>
      <c r="AP195" s="77">
        <f t="shared" si="83"/>
        <v>43125</v>
      </c>
      <c r="AQ195" s="77">
        <f>+AO195-AE195*4-240</f>
        <v>43125</v>
      </c>
      <c r="AR195" s="67">
        <f t="shared" si="86"/>
        <v>240</v>
      </c>
      <c r="AS195" s="142">
        <f>Table22[[#This Row],[GROSS WT]]-Table22[[#This Row],[Total Bag Discharged (Truck)]]</f>
        <v>43365</v>
      </c>
      <c r="AT195" s="67">
        <f t="shared" si="59"/>
        <v>43365</v>
      </c>
      <c r="AU195" s="73"/>
      <c r="AV195" s="73">
        <v>28</v>
      </c>
      <c r="AW195" s="73">
        <v>37</v>
      </c>
      <c r="AX195" s="73">
        <v>0</v>
      </c>
      <c r="AY195" s="71">
        <f t="shared" si="60"/>
        <v>65</v>
      </c>
      <c r="AZ195" s="70">
        <v>229</v>
      </c>
      <c r="BA195" s="73">
        <v>12</v>
      </c>
      <c r="BB195" s="73">
        <v>7</v>
      </c>
      <c r="BC195" s="63">
        <f t="shared" si="65"/>
        <v>248</v>
      </c>
      <c r="BD195" s="72">
        <f>SUM(Table22[[#This Row],[Good Kernel (gm)]]+(Table22[[#This Row],[Immature (gm)]]+Table22[[#This Row],[Spotted (gm)]])/2)*0.176</f>
        <v>41.975999999999999</v>
      </c>
      <c r="BE195" s="73">
        <v>42.06</v>
      </c>
      <c r="BF195" s="72">
        <f t="shared" si="66"/>
        <v>43.739759999999997</v>
      </c>
      <c r="BG195" s="72">
        <f t="shared" si="61"/>
        <v>48.67812</v>
      </c>
      <c r="BH195" s="72">
        <f>SUM(Table22[[#This Row],[Good Kernel (gm)]:[Spotted (gm)]])/1000*100</f>
        <v>24.8</v>
      </c>
      <c r="BI195" s="72">
        <f t="shared" si="62"/>
        <v>27.6</v>
      </c>
      <c r="BJ195" s="73">
        <v>12.6</v>
      </c>
      <c r="BK195" s="73">
        <v>175</v>
      </c>
      <c r="BL195" s="73">
        <v>681</v>
      </c>
      <c r="BM195" s="73">
        <v>23</v>
      </c>
      <c r="BN195" s="73"/>
      <c r="BO195" s="73">
        <v>17</v>
      </c>
      <c r="BP195" s="73">
        <v>0</v>
      </c>
      <c r="BQ195" s="71">
        <f t="shared" si="63"/>
        <v>40</v>
      </c>
      <c r="BR195" s="73">
        <v>228</v>
      </c>
      <c r="BS195" s="73">
        <v>16</v>
      </c>
      <c r="BT195" s="73">
        <v>15</v>
      </c>
      <c r="BU195" s="63">
        <f t="shared" si="67"/>
        <v>259</v>
      </c>
      <c r="BV195" s="72">
        <f>SUM(Table22[[#This Row],[Good Kernel (G M)]]+(Table22[[#This Row],[Immature (g m)]]+Table22[[#This Row],[Spotted (g m)]])/2)*0.176</f>
        <v>42.855999999999995</v>
      </c>
      <c r="BW195" s="73">
        <v>42.94</v>
      </c>
      <c r="BX195" s="73"/>
      <c r="BY195" s="141">
        <f t="shared" si="68"/>
        <v>45.679830000000003</v>
      </c>
      <c r="BZ195" s="72">
        <f t="shared" si="69"/>
        <v>49.736339999999998</v>
      </c>
      <c r="CA195" s="72">
        <f>SUM(Table22[[#This Row],[Good Kernel (G M)]:[Spotted (g m)]])/1000*100</f>
        <v>25.900000000000002</v>
      </c>
      <c r="CB195" s="72">
        <f>(Table22[[#This Row],[BROWNS/Rejection (gm) (NUT)]]+Table22[[#This Row],[OIL (g m)]]+Table22[[#This Row],[Good Kernel (G M)]]+Table22[[#This Row],[Immature (g m)]]+Table22[[#This Row],[Spotted (g m)]])/1000*100</f>
        <v>28.199999999999996</v>
      </c>
      <c r="CC195" s="73">
        <v>13.1</v>
      </c>
      <c r="CD195" s="73">
        <v>169</v>
      </c>
      <c r="CE195" s="73"/>
      <c r="CF195" s="73"/>
      <c r="CH195" s="184">
        <f ca="1">TODAY()-Table22[[#This Row],[Discharge Date]]</f>
        <v>115</v>
      </c>
    </row>
    <row r="196" spans="1:86" x14ac:dyDescent="0.25">
      <c r="A196" s="50">
        <v>192</v>
      </c>
      <c r="B196" s="60" t="s">
        <v>95</v>
      </c>
      <c r="C196" s="60" t="s">
        <v>96</v>
      </c>
      <c r="D196" s="97">
        <v>192</v>
      </c>
      <c r="E196" s="73"/>
      <c r="F196" s="97">
        <v>747</v>
      </c>
      <c r="G196" s="73"/>
      <c r="H196" s="73"/>
      <c r="I196" s="73"/>
      <c r="J196" s="73"/>
      <c r="K196" s="97" t="s">
        <v>634</v>
      </c>
      <c r="L196" s="73"/>
      <c r="M196" s="100">
        <v>37577</v>
      </c>
      <c r="N196" s="100" t="s">
        <v>690</v>
      </c>
      <c r="O196" s="73" t="s">
        <v>248</v>
      </c>
      <c r="P196" s="97" t="s">
        <v>364</v>
      </c>
      <c r="Q196" s="101">
        <v>46141</v>
      </c>
      <c r="R196" s="102" t="s">
        <v>224</v>
      </c>
      <c r="S196" s="103" t="s">
        <v>146</v>
      </c>
      <c r="T196" s="102"/>
      <c r="U196" s="102"/>
      <c r="V196" s="73" t="s">
        <v>147</v>
      </c>
      <c r="W196" s="73">
        <v>501</v>
      </c>
      <c r="X196" s="73"/>
      <c r="Y196" s="51">
        <f t="shared" si="81"/>
        <v>501</v>
      </c>
      <c r="Z196" s="73"/>
      <c r="AA196" s="61">
        <f t="shared" si="78"/>
        <v>501</v>
      </c>
      <c r="AB196" s="51">
        <f t="shared" si="70"/>
        <v>0</v>
      </c>
      <c r="AC196" s="88">
        <f t="shared" si="84"/>
        <v>501</v>
      </c>
      <c r="AD196" s="63">
        <v>40</v>
      </c>
      <c r="AE196" s="63">
        <f t="shared" si="79"/>
        <v>0</v>
      </c>
      <c r="AF196" s="63">
        <v>30</v>
      </c>
      <c r="AG196" s="63"/>
      <c r="AH196" s="64">
        <f>AC196+AE196+Table22[[#This Row],[Humid Sacs]]-40</f>
        <v>501</v>
      </c>
      <c r="AI196" s="73"/>
      <c r="AJ196" s="73"/>
      <c r="AK196" s="62">
        <f t="shared" si="76"/>
        <v>501</v>
      </c>
      <c r="AL196" s="62">
        <f t="shared" si="77"/>
        <v>501</v>
      </c>
      <c r="AM196" s="73">
        <v>45450</v>
      </c>
      <c r="AN196" s="124">
        <f t="shared" si="74"/>
        <v>821</v>
      </c>
      <c r="AO196" s="77">
        <f t="shared" si="80"/>
        <v>44949</v>
      </c>
      <c r="AP196" s="77">
        <f t="shared" si="83"/>
        <v>44629</v>
      </c>
      <c r="AQ196" s="77">
        <f>+AO196-AE196*4-320</f>
        <v>44629</v>
      </c>
      <c r="AR196" s="67">
        <f t="shared" si="86"/>
        <v>320</v>
      </c>
      <c r="AS196" s="142">
        <f>Table22[[#This Row],[GROSS WT]]-Table22[[#This Row],[Total Bag Discharged (Truck)]]</f>
        <v>44949</v>
      </c>
      <c r="AT196" s="67">
        <f t="shared" si="59"/>
        <v>44949</v>
      </c>
      <c r="AU196" s="73"/>
      <c r="AV196" s="73">
        <v>27</v>
      </c>
      <c r="AW196" s="73">
        <v>18</v>
      </c>
      <c r="AX196" s="73">
        <v>3</v>
      </c>
      <c r="AY196" s="71">
        <f t="shared" si="60"/>
        <v>48</v>
      </c>
      <c r="AZ196" s="70">
        <v>240</v>
      </c>
      <c r="BA196" s="73">
        <v>6</v>
      </c>
      <c r="BB196" s="73">
        <v>7</v>
      </c>
      <c r="BC196" s="63">
        <f t="shared" si="65"/>
        <v>253</v>
      </c>
      <c r="BD196" s="72">
        <f>SUM(Table22[[#This Row],[Good Kernel (gm)]]+(Table22[[#This Row],[Immature (gm)]]+Table22[[#This Row],[Spotted (gm)]])/2)*0.176</f>
        <v>43.384</v>
      </c>
      <c r="BE196" s="73">
        <v>43.47</v>
      </c>
      <c r="BF196" s="72">
        <f t="shared" si="66"/>
        <v>44.621609999999997</v>
      </c>
      <c r="BG196" s="72">
        <f t="shared" si="61"/>
        <v>49.912709999999997</v>
      </c>
      <c r="BH196" s="72">
        <f>SUM(Table22[[#This Row],[Good Kernel (gm)]:[Spotted (gm)]])/1000*100</f>
        <v>25.3</v>
      </c>
      <c r="BI196" s="72">
        <f t="shared" si="62"/>
        <v>28.299999999999997</v>
      </c>
      <c r="BJ196" s="73">
        <v>12.5</v>
      </c>
      <c r="BK196" s="73">
        <v>165</v>
      </c>
      <c r="BL196" s="73">
        <v>695</v>
      </c>
      <c r="BM196" s="73">
        <v>12</v>
      </c>
      <c r="BN196" s="73"/>
      <c r="BO196" s="73">
        <v>35</v>
      </c>
      <c r="BP196" s="73">
        <v>2</v>
      </c>
      <c r="BQ196" s="71">
        <f t="shared" si="63"/>
        <v>49</v>
      </c>
      <c r="BR196" s="73">
        <v>238</v>
      </c>
      <c r="BS196" s="73">
        <v>12</v>
      </c>
      <c r="BT196" s="73">
        <v>9</v>
      </c>
      <c r="BU196" s="63">
        <f t="shared" si="67"/>
        <v>259</v>
      </c>
      <c r="BV196" s="72">
        <f>SUM(Table22[[#This Row],[Good Kernel (G M)]]+(Table22[[#This Row],[Immature (g m)]]+Table22[[#This Row],[Spotted (g m)]])/2)*0.176</f>
        <v>43.735999999999997</v>
      </c>
      <c r="BW196" s="73">
        <v>43.82</v>
      </c>
      <c r="BX196" s="73"/>
      <c r="BY196" s="141">
        <f t="shared" si="68"/>
        <v>45.679830000000003</v>
      </c>
      <c r="BZ196" s="72">
        <f t="shared" si="69"/>
        <v>48.149009999999997</v>
      </c>
      <c r="CA196" s="72">
        <f>SUM(Table22[[#This Row],[Good Kernel (G M)]:[Spotted (g m)]])/1000*100</f>
        <v>25.900000000000002</v>
      </c>
      <c r="CB196" s="72">
        <f>(Table22[[#This Row],[BROWNS/Rejection (gm) (NUT)]]+Table22[[#This Row],[OIL (g m)]]+Table22[[#This Row],[Good Kernel (G M)]]+Table22[[#This Row],[Immature (g m)]]+Table22[[#This Row],[Spotted (g m)]])/1000*100</f>
        <v>27.3</v>
      </c>
      <c r="CC196" s="73">
        <v>12.1</v>
      </c>
      <c r="CD196" s="73">
        <v>165</v>
      </c>
      <c r="CE196" s="73"/>
      <c r="CF196" s="73"/>
      <c r="CH196" s="184">
        <f ca="1">TODAY()-Table22[[#This Row],[Discharge Date]]</f>
        <v>114</v>
      </c>
    </row>
    <row r="197" spans="1:86" x14ac:dyDescent="0.25">
      <c r="A197" s="50">
        <v>193</v>
      </c>
      <c r="B197" s="60" t="s">
        <v>95</v>
      </c>
      <c r="C197" s="60" t="s">
        <v>96</v>
      </c>
      <c r="D197" s="97">
        <v>193</v>
      </c>
      <c r="E197" s="73" t="s">
        <v>130</v>
      </c>
      <c r="F197" s="97">
        <v>743</v>
      </c>
      <c r="G197" s="73" t="s">
        <v>366</v>
      </c>
      <c r="H197" s="73"/>
      <c r="I197" s="73"/>
      <c r="J197" s="73"/>
      <c r="K197" s="97" t="s">
        <v>634</v>
      </c>
      <c r="L197" s="73"/>
      <c r="M197" s="100">
        <v>773</v>
      </c>
      <c r="N197" s="100" t="s">
        <v>643</v>
      </c>
      <c r="O197" s="73" t="s">
        <v>367</v>
      </c>
      <c r="P197" s="97" t="s">
        <v>355</v>
      </c>
      <c r="Q197" s="101">
        <v>46141</v>
      </c>
      <c r="R197" s="102" t="s">
        <v>368</v>
      </c>
      <c r="S197" s="103" t="s">
        <v>369</v>
      </c>
      <c r="T197" s="102" t="s">
        <v>534</v>
      </c>
      <c r="U197" s="102"/>
      <c r="V197" s="73" t="s">
        <v>140</v>
      </c>
      <c r="W197" s="73">
        <v>531</v>
      </c>
      <c r="X197" s="73"/>
      <c r="Y197" s="51">
        <f t="shared" si="81"/>
        <v>531</v>
      </c>
      <c r="Z197" s="73"/>
      <c r="AA197" s="61">
        <f t="shared" si="78"/>
        <v>531</v>
      </c>
      <c r="AB197" s="51">
        <f t="shared" si="70"/>
        <v>0</v>
      </c>
      <c r="AC197" s="88">
        <f t="shared" si="84"/>
        <v>531</v>
      </c>
      <c r="AD197" s="63">
        <v>30</v>
      </c>
      <c r="AE197" s="63">
        <f t="shared" si="79"/>
        <v>0</v>
      </c>
      <c r="AF197" s="63">
        <v>21</v>
      </c>
      <c r="AG197" s="63"/>
      <c r="AH197" s="64">
        <f>AC197+AE197+Table22[[#This Row],[Humid Sacs]]-30</f>
        <v>531</v>
      </c>
      <c r="AI197" s="73"/>
      <c r="AJ197" s="73"/>
      <c r="AK197" s="62">
        <f t="shared" si="76"/>
        <v>531</v>
      </c>
      <c r="AL197" s="62">
        <f t="shared" si="77"/>
        <v>531</v>
      </c>
      <c r="AM197" s="73">
        <v>43680</v>
      </c>
      <c r="AN197" s="124">
        <f t="shared" si="74"/>
        <v>771</v>
      </c>
      <c r="AO197" s="77">
        <f t="shared" si="80"/>
        <v>43149</v>
      </c>
      <c r="AP197" s="77">
        <f t="shared" si="83"/>
        <v>42909</v>
      </c>
      <c r="AQ197" s="77">
        <f>+AO197-AE197*4-240</f>
        <v>42909</v>
      </c>
      <c r="AR197" s="67">
        <f t="shared" si="86"/>
        <v>240</v>
      </c>
      <c r="AS197" s="142">
        <f>Table22[[#This Row],[GROSS WT]]-Table22[[#This Row],[Total Bag Discharged (Truck)]]</f>
        <v>43149</v>
      </c>
      <c r="AT197" s="67">
        <f t="shared" ref="AT197:AT248" si="87">+AO197</f>
        <v>43149</v>
      </c>
      <c r="AU197" s="73"/>
      <c r="AV197" s="73">
        <v>39</v>
      </c>
      <c r="AW197" s="73">
        <v>11</v>
      </c>
      <c r="AX197" s="73">
        <v>3</v>
      </c>
      <c r="AY197" s="71">
        <f t="shared" ref="AY197:AY260" si="88">+AV197+AW197+AX197</f>
        <v>53</v>
      </c>
      <c r="AZ197" s="70">
        <v>236</v>
      </c>
      <c r="BA197" s="73">
        <v>15</v>
      </c>
      <c r="BB197" s="73">
        <v>8</v>
      </c>
      <c r="BC197" s="63">
        <f t="shared" si="65"/>
        <v>259</v>
      </c>
      <c r="BD197" s="72">
        <f>SUM(Table22[[#This Row],[Good Kernel (gm)]]+(Table22[[#This Row],[Immature (gm)]]+Table22[[#This Row],[Spotted (gm)]])/2)*0.176</f>
        <v>43.559999999999995</v>
      </c>
      <c r="BE197" s="73">
        <v>43.65</v>
      </c>
      <c r="BF197" s="72">
        <f t="shared" si="66"/>
        <v>45.679830000000003</v>
      </c>
      <c r="BG197" s="72">
        <f t="shared" ref="BG197:BG260" si="89">+((AX197+AV197+AZ197+BA197+BB197))*0.17637</f>
        <v>53.08737</v>
      </c>
      <c r="BH197" s="72">
        <f>SUM(Table22[[#This Row],[Good Kernel (gm)]:[Spotted (gm)]])/1000*100</f>
        <v>25.900000000000002</v>
      </c>
      <c r="BI197" s="72">
        <f t="shared" ref="BI197:BI260" si="90">SUM(AV197,AX197,AZ197:BB197)/1000*100</f>
        <v>30.099999999999998</v>
      </c>
      <c r="BJ197" s="73">
        <v>11.2</v>
      </c>
      <c r="BK197" s="73">
        <v>185</v>
      </c>
      <c r="BL197" s="73">
        <v>684</v>
      </c>
      <c r="BM197" s="73">
        <v>38</v>
      </c>
      <c r="BN197" s="73"/>
      <c r="BO197" s="73">
        <v>19</v>
      </c>
      <c r="BP197" s="73">
        <v>2</v>
      </c>
      <c r="BQ197" s="71">
        <f t="shared" ref="BQ197:BQ260" si="91">+BM197+BO197+BP197</f>
        <v>59</v>
      </c>
      <c r="BR197" s="73">
        <v>234</v>
      </c>
      <c r="BS197" s="73">
        <v>8</v>
      </c>
      <c r="BT197" s="73">
        <v>12</v>
      </c>
      <c r="BU197" s="63">
        <f t="shared" si="67"/>
        <v>254</v>
      </c>
      <c r="BV197" s="72">
        <f>SUM(Table22[[#This Row],[Good Kernel (G M)]]+(Table22[[#This Row],[Immature (g m)]]+Table22[[#This Row],[Spotted (g m)]])/2)*0.176</f>
        <v>42.943999999999996</v>
      </c>
      <c r="BW197" s="73">
        <v>43.03</v>
      </c>
      <c r="BX197" s="73"/>
      <c r="BY197" s="141">
        <f t="shared" si="68"/>
        <v>44.797980000000003</v>
      </c>
      <c r="BZ197" s="72">
        <f t="shared" si="69"/>
        <v>51.852780000000003</v>
      </c>
      <c r="CA197" s="72">
        <f>SUM(Table22[[#This Row],[Good Kernel (G M)]:[Spotted (g m)]])/1000*100</f>
        <v>25.4</v>
      </c>
      <c r="CB197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97" s="73">
        <v>10.8</v>
      </c>
      <c r="CD197" s="73">
        <v>185</v>
      </c>
      <c r="CE197" s="73"/>
      <c r="CF197" s="73"/>
      <c r="CH197" s="184">
        <f ca="1">TODAY()-Table22[[#This Row],[Discharge Date]]</f>
        <v>114</v>
      </c>
    </row>
    <row r="198" spans="1:86" x14ac:dyDescent="0.25">
      <c r="A198" s="50">
        <v>194</v>
      </c>
      <c r="B198" s="60" t="s">
        <v>95</v>
      </c>
      <c r="C198" s="60" t="s">
        <v>96</v>
      </c>
      <c r="D198" s="97">
        <v>194</v>
      </c>
      <c r="E198" s="73"/>
      <c r="F198" s="97">
        <v>744</v>
      </c>
      <c r="G198" s="73"/>
      <c r="H198" s="73"/>
      <c r="I198" s="73"/>
      <c r="J198" s="73"/>
      <c r="K198" s="97" t="s">
        <v>636</v>
      </c>
      <c r="L198" s="73"/>
      <c r="M198" s="100">
        <v>89248</v>
      </c>
      <c r="N198" s="100" t="s">
        <v>690</v>
      </c>
      <c r="O198" s="73" t="s">
        <v>370</v>
      </c>
      <c r="P198" s="97" t="s">
        <v>311</v>
      </c>
      <c r="Q198" s="101">
        <v>46141</v>
      </c>
      <c r="R198" s="102" t="s">
        <v>224</v>
      </c>
      <c r="S198" s="103" t="s">
        <v>231</v>
      </c>
      <c r="T198" s="102" t="s">
        <v>198</v>
      </c>
      <c r="U198" s="102"/>
      <c r="V198" s="73" t="s">
        <v>199</v>
      </c>
      <c r="W198" s="73">
        <v>604</v>
      </c>
      <c r="X198" s="73"/>
      <c r="Y198" s="51">
        <f t="shared" si="81"/>
        <v>604</v>
      </c>
      <c r="Z198" s="73"/>
      <c r="AA198" s="61">
        <f t="shared" si="78"/>
        <v>604</v>
      </c>
      <c r="AB198" s="51">
        <f t="shared" si="70"/>
        <v>0</v>
      </c>
      <c r="AC198" s="88">
        <f t="shared" si="84"/>
        <v>604</v>
      </c>
      <c r="AD198" s="63">
        <v>20</v>
      </c>
      <c r="AE198" s="63">
        <f t="shared" si="79"/>
        <v>0</v>
      </c>
      <c r="AF198" s="63">
        <v>36</v>
      </c>
      <c r="AG198" s="63"/>
      <c r="AH198" s="64">
        <f>AC198+AE198+Table22[[#This Row],[Humid Sacs]]-20</f>
        <v>604</v>
      </c>
      <c r="AI198" s="73"/>
      <c r="AJ198" s="73"/>
      <c r="AK198" s="62">
        <f t="shared" si="76"/>
        <v>604</v>
      </c>
      <c r="AL198" s="62">
        <f t="shared" si="77"/>
        <v>604</v>
      </c>
      <c r="AM198" s="73">
        <v>50190</v>
      </c>
      <c r="AN198" s="124">
        <f t="shared" si="74"/>
        <v>764</v>
      </c>
      <c r="AO198" s="77">
        <f t="shared" si="80"/>
        <v>49586</v>
      </c>
      <c r="AP198" s="77">
        <f t="shared" si="83"/>
        <v>49426</v>
      </c>
      <c r="AQ198" s="77">
        <f>+AO198-AE198*4-160</f>
        <v>49426</v>
      </c>
      <c r="AR198" s="67">
        <f t="shared" si="86"/>
        <v>160</v>
      </c>
      <c r="AS198" s="142">
        <f>Table22[[#This Row],[GROSS WT]]-Table22[[#This Row],[Total Bag Discharged (Truck)]]</f>
        <v>49586</v>
      </c>
      <c r="AT198" s="67">
        <f t="shared" si="87"/>
        <v>49586</v>
      </c>
      <c r="AU198" s="73"/>
      <c r="AV198" s="73">
        <v>29</v>
      </c>
      <c r="AW198" s="73">
        <v>12</v>
      </c>
      <c r="AX198" s="73">
        <v>3</v>
      </c>
      <c r="AY198" s="71">
        <f t="shared" si="88"/>
        <v>44</v>
      </c>
      <c r="AZ198" s="70">
        <v>230</v>
      </c>
      <c r="BA198" s="73">
        <v>14</v>
      </c>
      <c r="BB198" s="73">
        <v>12</v>
      </c>
      <c r="BC198" s="63">
        <f t="shared" ref="BC198:BC260" si="92">+AZ198+BA198+BB198</f>
        <v>256</v>
      </c>
      <c r="BD198" s="72">
        <f>SUM(Table22[[#This Row],[Good Kernel (gm)]]+(Table22[[#This Row],[Immature (gm)]]+Table22[[#This Row],[Spotted (gm)]])/2)*0.176</f>
        <v>42.768000000000001</v>
      </c>
      <c r="BE198" s="73">
        <v>42.85</v>
      </c>
      <c r="BF198" s="72">
        <f t="shared" ref="BF198:BF260" si="93">(AZ198+BA198+BB198)*0.17637</f>
        <v>45.15072</v>
      </c>
      <c r="BG198" s="72">
        <f t="shared" si="89"/>
        <v>50.794559999999997</v>
      </c>
      <c r="BH198" s="72">
        <f>SUM(Table22[[#This Row],[Good Kernel (gm)]:[Spotted (gm)]])/1000*100</f>
        <v>25.6</v>
      </c>
      <c r="BI198" s="72">
        <f t="shared" si="90"/>
        <v>28.799999999999997</v>
      </c>
      <c r="BJ198" s="73">
        <v>13.7</v>
      </c>
      <c r="BK198" s="73">
        <v>170</v>
      </c>
      <c r="BL198" s="73">
        <v>695</v>
      </c>
      <c r="BM198" s="73">
        <v>24</v>
      </c>
      <c r="BN198" s="73"/>
      <c r="BO198" s="73">
        <v>19</v>
      </c>
      <c r="BP198" s="73">
        <v>2</v>
      </c>
      <c r="BQ198" s="71">
        <f t="shared" si="91"/>
        <v>45</v>
      </c>
      <c r="BR198" s="73">
        <v>243</v>
      </c>
      <c r="BS198" s="73">
        <v>9</v>
      </c>
      <c r="BT198" s="73">
        <v>8</v>
      </c>
      <c r="BU198" s="63">
        <f t="shared" si="67"/>
        <v>260</v>
      </c>
      <c r="BV198" s="72">
        <f>SUM(Table22[[#This Row],[Good Kernel (G M)]]+(Table22[[#This Row],[Immature (g m)]]+Table22[[#This Row],[Spotted (g m)]])/2)*0.176</f>
        <v>44.263999999999996</v>
      </c>
      <c r="BW198" s="73">
        <v>44.35</v>
      </c>
      <c r="BX198" s="73"/>
      <c r="BY198" s="141">
        <f t="shared" si="68"/>
        <v>45.856200000000001</v>
      </c>
      <c r="BZ198" s="72">
        <f t="shared" ref="BZ198:BZ260" si="94">+((BP198+BM198+BR198+BS198+BT198))*0.17637</f>
        <v>50.44182</v>
      </c>
      <c r="CA198" s="72">
        <f>SUM(Table22[[#This Row],[Good Kernel (G M)]:[Spotted (g m)]])/1000*100</f>
        <v>26</v>
      </c>
      <c r="CB198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98" s="73">
        <v>11.2</v>
      </c>
      <c r="CD198" s="73">
        <v>174</v>
      </c>
      <c r="CE198" s="73"/>
      <c r="CF198" s="73"/>
      <c r="CH198" s="184">
        <f ca="1">TODAY()-Table22[[#This Row],[Discharge Date]]</f>
        <v>114</v>
      </c>
    </row>
    <row r="199" spans="1:86" x14ac:dyDescent="0.25">
      <c r="A199" s="50">
        <v>195</v>
      </c>
      <c r="B199" s="60" t="s">
        <v>95</v>
      </c>
      <c r="C199" s="60" t="s">
        <v>96</v>
      </c>
      <c r="D199" s="97">
        <v>195</v>
      </c>
      <c r="E199" s="73"/>
      <c r="F199" s="97">
        <v>745</v>
      </c>
      <c r="G199" s="73"/>
      <c r="H199" s="73"/>
      <c r="I199" s="73"/>
      <c r="J199" s="73"/>
      <c r="K199" s="97" t="s">
        <v>634</v>
      </c>
      <c r="L199" s="73"/>
      <c r="M199" s="100">
        <v>28914</v>
      </c>
      <c r="N199" s="100" t="s">
        <v>684</v>
      </c>
      <c r="O199" s="73" t="s">
        <v>371</v>
      </c>
      <c r="P199" s="97" t="s">
        <v>347</v>
      </c>
      <c r="Q199" s="101">
        <v>46141</v>
      </c>
      <c r="R199" s="102" t="s">
        <v>275</v>
      </c>
      <c r="S199" s="103" t="s">
        <v>276</v>
      </c>
      <c r="T199" s="102"/>
      <c r="U199" s="102"/>
      <c r="V199" s="73" t="s">
        <v>277</v>
      </c>
      <c r="W199" s="73">
        <v>482</v>
      </c>
      <c r="X199" s="73"/>
      <c r="Y199" s="51">
        <f t="shared" si="81"/>
        <v>482</v>
      </c>
      <c r="Z199" s="73"/>
      <c r="AA199" s="61">
        <f t="shared" si="78"/>
        <v>482</v>
      </c>
      <c r="AB199" s="51">
        <f t="shared" ref="AB199:AB248" si="95">Z199</f>
        <v>0</v>
      </c>
      <c r="AC199" s="88">
        <f t="shared" si="84"/>
        <v>482</v>
      </c>
      <c r="AD199" s="63">
        <v>30</v>
      </c>
      <c r="AE199" s="63">
        <f t="shared" si="79"/>
        <v>0</v>
      </c>
      <c r="AF199" s="63">
        <v>19</v>
      </c>
      <c r="AG199" s="63"/>
      <c r="AH199" s="64">
        <f>AC199+AE199+Table22[[#This Row],[Humid Sacs]]-30</f>
        <v>482</v>
      </c>
      <c r="AI199" s="73"/>
      <c r="AJ199" s="73"/>
      <c r="AK199" s="62">
        <f t="shared" si="76"/>
        <v>482</v>
      </c>
      <c r="AL199" s="62">
        <f t="shared" si="77"/>
        <v>482</v>
      </c>
      <c r="AM199" s="73">
        <v>41060</v>
      </c>
      <c r="AN199" s="124">
        <f t="shared" si="74"/>
        <v>722</v>
      </c>
      <c r="AO199" s="77">
        <f t="shared" si="80"/>
        <v>40578</v>
      </c>
      <c r="AP199" s="77">
        <f t="shared" si="83"/>
        <v>40338</v>
      </c>
      <c r="AQ199" s="77">
        <f>+AO199-AE199*4-240</f>
        <v>40338</v>
      </c>
      <c r="AR199" s="67">
        <f t="shared" si="86"/>
        <v>240</v>
      </c>
      <c r="AS199" s="142">
        <f>Table22[[#This Row],[GROSS WT]]-Table22[[#This Row],[Total Bag Discharged (Truck)]]</f>
        <v>40578</v>
      </c>
      <c r="AT199" s="67">
        <f t="shared" si="87"/>
        <v>40578</v>
      </c>
      <c r="AU199" s="73"/>
      <c r="AV199" s="73">
        <v>30</v>
      </c>
      <c r="AW199" s="73">
        <v>16</v>
      </c>
      <c r="AX199" s="73">
        <v>0</v>
      </c>
      <c r="AY199" s="71">
        <f t="shared" si="88"/>
        <v>46</v>
      </c>
      <c r="AZ199" s="70">
        <v>240</v>
      </c>
      <c r="BA199" s="73">
        <v>10</v>
      </c>
      <c r="BB199" s="73">
        <v>16</v>
      </c>
      <c r="BC199" s="63">
        <f t="shared" si="92"/>
        <v>266</v>
      </c>
      <c r="BD199" s="72">
        <f>SUM(Table22[[#This Row],[Good Kernel (gm)]]+(Table22[[#This Row],[Immature (gm)]]+Table22[[#This Row],[Spotted (gm)]])/2)*0.176</f>
        <v>44.527999999999999</v>
      </c>
      <c r="BE199" s="73">
        <v>44.62</v>
      </c>
      <c r="BF199" s="72">
        <f t="shared" si="93"/>
        <v>46.91442</v>
      </c>
      <c r="BG199" s="72">
        <f t="shared" si="89"/>
        <v>52.20552</v>
      </c>
      <c r="BH199" s="72">
        <f>SUM(Table22[[#This Row],[Good Kernel (gm)]:[Spotted (gm)]])/1000*100</f>
        <v>26.6</v>
      </c>
      <c r="BI199" s="72">
        <f t="shared" si="90"/>
        <v>29.599999999999998</v>
      </c>
      <c r="BJ199" s="73">
        <v>11.1</v>
      </c>
      <c r="BK199" s="73">
        <v>186</v>
      </c>
      <c r="BL199" s="73">
        <v>682</v>
      </c>
      <c r="BM199" s="73">
        <v>32</v>
      </c>
      <c r="BN199" s="73"/>
      <c r="BO199" s="73">
        <v>5</v>
      </c>
      <c r="BP199" s="73">
        <v>0</v>
      </c>
      <c r="BQ199" s="71">
        <f t="shared" si="91"/>
        <v>37</v>
      </c>
      <c r="BR199" s="73">
        <v>240</v>
      </c>
      <c r="BS199" s="73">
        <v>12</v>
      </c>
      <c r="BT199" s="73">
        <v>16</v>
      </c>
      <c r="BU199" s="63">
        <f t="shared" ref="BU199:BU237" si="96">+BR199+BS199+BT199</f>
        <v>268</v>
      </c>
      <c r="BV199" s="72">
        <f>SUM(Table22[[#This Row],[Good Kernel (G M)]]+(Table22[[#This Row],[Immature (g m)]]+Table22[[#This Row],[Spotted (g m)]])/2)*0.176</f>
        <v>44.704000000000001</v>
      </c>
      <c r="BW199" s="73">
        <v>44.79</v>
      </c>
      <c r="BX199" s="73"/>
      <c r="BY199" s="141">
        <f t="shared" ref="BY199:BY260" si="97">(BR199+BS199+BT199)*0.17637</f>
        <v>47.267159999999997</v>
      </c>
      <c r="BZ199" s="72">
        <f t="shared" si="94"/>
        <v>52.911000000000001</v>
      </c>
      <c r="CA199" s="72">
        <f>SUM(Table22[[#This Row],[Good Kernel (G M)]:[Spotted (g m)]])/1000*100</f>
        <v>26.8</v>
      </c>
      <c r="CB199" s="72">
        <f>(Table22[[#This Row],[BROWNS/Rejection (gm) (NUT)]]+Table22[[#This Row],[OIL (g m)]]+Table22[[#This Row],[Good Kernel (G M)]]+Table22[[#This Row],[Immature (g m)]]+Table22[[#This Row],[Spotted (g m)]])/1000*100</f>
        <v>30</v>
      </c>
      <c r="CC199" s="73">
        <v>11.5</v>
      </c>
      <c r="CD199" s="73">
        <v>183</v>
      </c>
      <c r="CE199" s="73"/>
      <c r="CF199" s="73"/>
      <c r="CH199" s="184">
        <f ca="1">TODAY()-Table22[[#This Row],[Discharge Date]]</f>
        <v>114</v>
      </c>
    </row>
    <row r="200" spans="1:86" x14ac:dyDescent="0.25">
      <c r="A200" s="50">
        <v>196</v>
      </c>
      <c r="B200" s="60" t="s">
        <v>95</v>
      </c>
      <c r="C200" s="60" t="s">
        <v>96</v>
      </c>
      <c r="D200" s="97">
        <v>196</v>
      </c>
      <c r="E200" s="73"/>
      <c r="F200" s="97">
        <v>740</v>
      </c>
      <c r="G200" s="73"/>
      <c r="H200" s="73"/>
      <c r="I200" s="73"/>
      <c r="J200" s="73"/>
      <c r="K200" s="97" t="s">
        <v>634</v>
      </c>
      <c r="L200" s="73"/>
      <c r="M200" s="100">
        <v>78897</v>
      </c>
      <c r="N200" s="100" t="s">
        <v>690</v>
      </c>
      <c r="O200" s="73" t="s">
        <v>372</v>
      </c>
      <c r="P200" s="97" t="s">
        <v>364</v>
      </c>
      <c r="Q200" s="101">
        <v>46141</v>
      </c>
      <c r="R200" s="102" t="s">
        <v>100</v>
      </c>
      <c r="S200" s="59" t="s">
        <v>101</v>
      </c>
      <c r="T200" s="102"/>
      <c r="U200" s="102"/>
      <c r="V200" s="51" t="s">
        <v>102</v>
      </c>
      <c r="W200" s="73">
        <v>651</v>
      </c>
      <c r="X200" s="73"/>
      <c r="Y200" s="51">
        <f t="shared" si="81"/>
        <v>651</v>
      </c>
      <c r="Z200" s="73"/>
      <c r="AA200" s="61">
        <f t="shared" si="78"/>
        <v>651</v>
      </c>
      <c r="AB200" s="51">
        <f t="shared" si="95"/>
        <v>0</v>
      </c>
      <c r="AC200" s="88">
        <f t="shared" si="84"/>
        <v>651</v>
      </c>
      <c r="AD200" s="63">
        <v>35</v>
      </c>
      <c r="AE200" s="63">
        <f t="shared" si="79"/>
        <v>0</v>
      </c>
      <c r="AF200" s="63">
        <v>6</v>
      </c>
      <c r="AG200" s="63"/>
      <c r="AH200" s="64">
        <f>AC200+AE200+Table22[[#This Row],[Humid Sacs]]-35</f>
        <v>651</v>
      </c>
      <c r="AI200" s="73"/>
      <c r="AJ200" s="73"/>
      <c r="AK200" s="62">
        <f t="shared" si="76"/>
        <v>651</v>
      </c>
      <c r="AL200" s="62">
        <f t="shared" si="77"/>
        <v>651</v>
      </c>
      <c r="AM200" s="73">
        <v>53760</v>
      </c>
      <c r="AN200" s="124">
        <f t="shared" si="74"/>
        <v>931</v>
      </c>
      <c r="AO200" s="77">
        <f t="shared" si="80"/>
        <v>53109</v>
      </c>
      <c r="AP200" s="77">
        <f t="shared" si="83"/>
        <v>52829</v>
      </c>
      <c r="AQ200" s="77">
        <f>+AO200-AE200*4-280</f>
        <v>52829</v>
      </c>
      <c r="AR200" s="67">
        <f t="shared" si="86"/>
        <v>280</v>
      </c>
      <c r="AS200" s="142">
        <f>Table22[[#This Row],[GROSS WT]]-Table22[[#This Row],[Total Bag Discharged (Truck)]]</f>
        <v>53109</v>
      </c>
      <c r="AT200" s="67">
        <f t="shared" si="87"/>
        <v>53109</v>
      </c>
      <c r="AU200" s="73"/>
      <c r="AV200" s="73">
        <v>26</v>
      </c>
      <c r="AW200" s="73">
        <v>31</v>
      </c>
      <c r="AX200" s="73">
        <v>3</v>
      </c>
      <c r="AY200" s="71">
        <f t="shared" si="88"/>
        <v>60</v>
      </c>
      <c r="AZ200" s="70">
        <v>236</v>
      </c>
      <c r="BA200" s="73">
        <v>9</v>
      </c>
      <c r="BB200" s="73">
        <v>8</v>
      </c>
      <c r="BC200" s="63">
        <f t="shared" si="92"/>
        <v>253</v>
      </c>
      <c r="BD200" s="72">
        <f>SUM(Table22[[#This Row],[Good Kernel (gm)]]+(Table22[[#This Row],[Immature (gm)]]+Table22[[#This Row],[Spotted (gm)]])/2)*0.176</f>
        <v>43.031999999999996</v>
      </c>
      <c r="BE200" s="73">
        <v>43.12</v>
      </c>
      <c r="BF200" s="72">
        <f t="shared" si="93"/>
        <v>44.621609999999997</v>
      </c>
      <c r="BG200" s="72">
        <f t="shared" si="89"/>
        <v>49.736339999999998</v>
      </c>
      <c r="BH200" s="72">
        <f>SUM(Table22[[#This Row],[Good Kernel (gm)]:[Spotted (gm)]])/1000*100</f>
        <v>25.3</v>
      </c>
      <c r="BI200" s="72">
        <f t="shared" si="90"/>
        <v>28.199999999999996</v>
      </c>
      <c r="BJ200" s="73">
        <v>11.9</v>
      </c>
      <c r="BK200" s="73">
        <v>172</v>
      </c>
      <c r="BL200" s="73">
        <v>682</v>
      </c>
      <c r="BM200" s="73">
        <v>21</v>
      </c>
      <c r="BN200" s="73"/>
      <c r="BO200" s="73">
        <v>33</v>
      </c>
      <c r="BP200" s="73">
        <v>0</v>
      </c>
      <c r="BQ200" s="71">
        <f t="shared" si="91"/>
        <v>54</v>
      </c>
      <c r="BR200" s="73">
        <v>229</v>
      </c>
      <c r="BS200" s="73">
        <v>18</v>
      </c>
      <c r="BT200" s="73">
        <v>11</v>
      </c>
      <c r="BU200" s="63">
        <f t="shared" si="96"/>
        <v>258</v>
      </c>
      <c r="BV200" s="72">
        <f>SUM(Table22[[#This Row],[Good Kernel (G M)]]+(Table22[[#This Row],[Immature (g m)]]+Table22[[#This Row],[Spotted (g m)]])/2)*0.176</f>
        <v>42.855999999999995</v>
      </c>
      <c r="BW200" s="73">
        <v>42.94</v>
      </c>
      <c r="BX200" s="73"/>
      <c r="BY200" s="141">
        <f t="shared" si="97"/>
        <v>45.503459999999997</v>
      </c>
      <c r="BZ200" s="72">
        <f t="shared" si="94"/>
        <v>49.207230000000003</v>
      </c>
      <c r="CA200" s="72">
        <f>SUM(Table22[[#This Row],[Good Kernel (G M)]:[Spotted (g m)]])/1000*100</f>
        <v>25.8</v>
      </c>
      <c r="CB200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200" s="73">
        <v>11.9</v>
      </c>
      <c r="CD200" s="73">
        <v>181</v>
      </c>
      <c r="CE200" s="73"/>
      <c r="CF200" s="73"/>
      <c r="CH200" s="184">
        <f ca="1">TODAY()-Table22[[#This Row],[Discharge Date]]</f>
        <v>114</v>
      </c>
    </row>
    <row r="201" spans="1:86" x14ac:dyDescent="0.25">
      <c r="A201" s="50">
        <v>197</v>
      </c>
      <c r="B201" s="60" t="s">
        <v>95</v>
      </c>
      <c r="C201" s="60" t="s">
        <v>96</v>
      </c>
      <c r="D201" s="97">
        <v>197</v>
      </c>
      <c r="E201" s="73"/>
      <c r="F201" s="97">
        <v>748</v>
      </c>
      <c r="G201" s="73"/>
      <c r="H201" s="73"/>
      <c r="I201" s="73"/>
      <c r="J201" s="73"/>
      <c r="K201" s="97" t="s">
        <v>634</v>
      </c>
      <c r="L201" s="73"/>
      <c r="M201" s="100">
        <v>37813</v>
      </c>
      <c r="N201" s="100" t="s">
        <v>686</v>
      </c>
      <c r="O201" s="73" t="s">
        <v>373</v>
      </c>
      <c r="P201" s="97" t="s">
        <v>355</v>
      </c>
      <c r="Q201" s="101">
        <v>46141</v>
      </c>
      <c r="R201" s="102" t="s">
        <v>224</v>
      </c>
      <c r="S201" s="131" t="s">
        <v>374</v>
      </c>
      <c r="T201" s="102"/>
      <c r="U201" s="102"/>
      <c r="V201" s="97" t="s">
        <v>375</v>
      </c>
      <c r="W201" s="73">
        <v>463</v>
      </c>
      <c r="X201" s="73"/>
      <c r="Y201" s="51">
        <f t="shared" si="81"/>
        <v>463</v>
      </c>
      <c r="Z201" s="73"/>
      <c r="AA201" s="61">
        <f t="shared" si="78"/>
        <v>463</v>
      </c>
      <c r="AB201" s="51">
        <f t="shared" si="95"/>
        <v>0</v>
      </c>
      <c r="AC201" s="88">
        <f t="shared" si="84"/>
        <v>463</v>
      </c>
      <c r="AD201" s="63">
        <v>50</v>
      </c>
      <c r="AE201" s="63">
        <f t="shared" si="79"/>
        <v>0</v>
      </c>
      <c r="AF201" s="63">
        <v>18</v>
      </c>
      <c r="AG201" s="63"/>
      <c r="AH201" s="64">
        <f>AC201+AE201+Table22[[#This Row],[Humid Sacs]]-50</f>
        <v>463</v>
      </c>
      <c r="AI201" s="73"/>
      <c r="AJ201" s="73"/>
      <c r="AK201" s="62">
        <f t="shared" si="76"/>
        <v>463</v>
      </c>
      <c r="AL201" s="62">
        <f t="shared" si="77"/>
        <v>463</v>
      </c>
      <c r="AM201" s="73">
        <v>40440</v>
      </c>
      <c r="AN201" s="124">
        <f t="shared" si="74"/>
        <v>863</v>
      </c>
      <c r="AO201" s="77">
        <f t="shared" si="80"/>
        <v>39977</v>
      </c>
      <c r="AP201" s="77">
        <f t="shared" si="83"/>
        <v>39577</v>
      </c>
      <c r="AQ201" s="77">
        <f>+AO201-AE201*4-400</f>
        <v>39577</v>
      </c>
      <c r="AR201" s="67">
        <f t="shared" si="86"/>
        <v>400</v>
      </c>
      <c r="AS201" s="142">
        <f>Table22[[#This Row],[GROSS WT]]-Table22[[#This Row],[Total Bag Discharged (Truck)]]</f>
        <v>39977</v>
      </c>
      <c r="AT201" s="67">
        <f t="shared" si="87"/>
        <v>39977</v>
      </c>
      <c r="AU201" s="73"/>
      <c r="AV201" s="73">
        <v>20</v>
      </c>
      <c r="AW201" s="73">
        <v>31</v>
      </c>
      <c r="AX201" s="73">
        <v>2</v>
      </c>
      <c r="AY201" s="71">
        <f t="shared" si="88"/>
        <v>53</v>
      </c>
      <c r="AZ201" s="70">
        <v>229</v>
      </c>
      <c r="BA201" s="73">
        <v>11</v>
      </c>
      <c r="BB201" s="73">
        <v>17</v>
      </c>
      <c r="BC201" s="63">
        <f t="shared" si="92"/>
        <v>257</v>
      </c>
      <c r="BD201" s="72">
        <f>SUM(Table22[[#This Row],[Good Kernel (gm)]]+(Table22[[#This Row],[Immature (gm)]]+Table22[[#This Row],[Spotted (gm)]])/2)*0.176</f>
        <v>42.768000000000001</v>
      </c>
      <c r="BE201" s="73">
        <v>42.85</v>
      </c>
      <c r="BF201" s="72">
        <f t="shared" si="93"/>
        <v>45.327089999999998</v>
      </c>
      <c r="BG201" s="72">
        <f t="shared" si="89"/>
        <v>49.207230000000003</v>
      </c>
      <c r="BH201" s="72">
        <f>SUM(Table22[[#This Row],[Good Kernel (gm)]:[Spotted (gm)]])/1000*100</f>
        <v>25.7</v>
      </c>
      <c r="BI201" s="72">
        <f t="shared" si="90"/>
        <v>27.900000000000002</v>
      </c>
      <c r="BJ201" s="73">
        <v>12.7</v>
      </c>
      <c r="BK201" s="73">
        <v>163</v>
      </c>
      <c r="BL201" s="73">
        <v>683</v>
      </c>
      <c r="BM201" s="73">
        <v>27</v>
      </c>
      <c r="BN201" s="73"/>
      <c r="BO201" s="73">
        <v>18</v>
      </c>
      <c r="BP201" s="73">
        <v>3</v>
      </c>
      <c r="BQ201" s="71">
        <f t="shared" si="91"/>
        <v>48</v>
      </c>
      <c r="BR201" s="73">
        <v>229</v>
      </c>
      <c r="BS201" s="73">
        <v>11</v>
      </c>
      <c r="BT201" s="73">
        <v>10</v>
      </c>
      <c r="BU201" s="63">
        <f t="shared" si="96"/>
        <v>250</v>
      </c>
      <c r="BV201" s="72">
        <f>SUM(Table22[[#This Row],[Good Kernel (G M)]]+(Table22[[#This Row],[Immature (g m)]]+Table22[[#This Row],[Spotted (g m)]])/2)*0.176</f>
        <v>42.152000000000001</v>
      </c>
      <c r="BW201" s="73">
        <v>42.85</v>
      </c>
      <c r="BX201" s="73"/>
      <c r="BY201" s="141">
        <f t="shared" si="97"/>
        <v>44.092500000000001</v>
      </c>
      <c r="BZ201" s="72">
        <f t="shared" si="94"/>
        <v>49.383600000000001</v>
      </c>
      <c r="CA201" s="72">
        <f>SUM(Table22[[#This Row],[Good Kernel (G M)]:[Spotted (g m)]])/1000*100</f>
        <v>25</v>
      </c>
      <c r="CB201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201" s="73">
        <v>13.2</v>
      </c>
      <c r="CD201" s="73">
        <v>167</v>
      </c>
      <c r="CE201" s="73"/>
      <c r="CF201" s="73"/>
      <c r="CH201" s="184">
        <f ca="1">TODAY()-Table22[[#This Row],[Discharge Date]]</f>
        <v>114</v>
      </c>
    </row>
    <row r="202" spans="1:86" x14ac:dyDescent="0.25">
      <c r="A202" s="50">
        <v>198</v>
      </c>
      <c r="B202" s="60" t="s">
        <v>95</v>
      </c>
      <c r="C202" s="60" t="s">
        <v>96</v>
      </c>
      <c r="D202" s="97">
        <v>198</v>
      </c>
      <c r="E202" s="73"/>
      <c r="F202" s="97">
        <v>749</v>
      </c>
      <c r="G202" s="73"/>
      <c r="H202" s="73"/>
      <c r="I202" s="73"/>
      <c r="J202" s="73"/>
      <c r="K202" s="97" t="s">
        <v>634</v>
      </c>
      <c r="L202" s="73"/>
      <c r="M202" s="100">
        <v>2582</v>
      </c>
      <c r="N202" s="100" t="s">
        <v>688</v>
      </c>
      <c r="O202" s="73" t="s">
        <v>376</v>
      </c>
      <c r="P202" s="97" t="s">
        <v>377</v>
      </c>
      <c r="Q202" s="101">
        <v>46142</v>
      </c>
      <c r="R202" s="102" t="s">
        <v>197</v>
      </c>
      <c r="S202" s="131" t="s">
        <v>378</v>
      </c>
      <c r="T202" s="102"/>
      <c r="U202" s="102"/>
      <c r="V202" s="73" t="s">
        <v>379</v>
      </c>
      <c r="W202" s="73">
        <v>234</v>
      </c>
      <c r="X202" s="73"/>
      <c r="Y202" s="51">
        <f t="shared" si="81"/>
        <v>234</v>
      </c>
      <c r="Z202" s="73"/>
      <c r="AA202" s="61">
        <f t="shared" si="78"/>
        <v>234</v>
      </c>
      <c r="AB202" s="51">
        <f t="shared" si="95"/>
        <v>0</v>
      </c>
      <c r="AC202" s="88">
        <f t="shared" si="84"/>
        <v>234</v>
      </c>
      <c r="AD202" s="63">
        <v>10</v>
      </c>
      <c r="AE202" s="63">
        <f t="shared" si="79"/>
        <v>0</v>
      </c>
      <c r="AF202" s="63">
        <v>3</v>
      </c>
      <c r="AG202" s="63"/>
      <c r="AH202" s="64">
        <f>AC202+AE202+Table22[[#This Row],[Humid Sacs]]-10</f>
        <v>234</v>
      </c>
      <c r="AI202" s="73"/>
      <c r="AJ202" s="73"/>
      <c r="AK202" s="62">
        <f t="shared" si="76"/>
        <v>234</v>
      </c>
      <c r="AL202" s="62">
        <f t="shared" si="77"/>
        <v>234</v>
      </c>
      <c r="AM202" s="73">
        <v>19580</v>
      </c>
      <c r="AN202" s="124">
        <f t="shared" si="74"/>
        <v>314</v>
      </c>
      <c r="AO202" s="77">
        <f t="shared" si="80"/>
        <v>19346</v>
      </c>
      <c r="AP202" s="77">
        <f t="shared" si="83"/>
        <v>19266</v>
      </c>
      <c r="AQ202" s="77">
        <f>+AO202-AE202*4-80</f>
        <v>19266</v>
      </c>
      <c r="AR202" s="67">
        <f t="shared" si="86"/>
        <v>80</v>
      </c>
      <c r="AS202" s="142">
        <f>Table22[[#This Row],[GROSS WT]]-Table22[[#This Row],[Total Bag Discharged (Truck)]]</f>
        <v>19346</v>
      </c>
      <c r="AT202" s="67">
        <f t="shared" si="87"/>
        <v>19346</v>
      </c>
      <c r="AU202" s="73"/>
      <c r="AV202" s="73">
        <v>36</v>
      </c>
      <c r="AW202" s="73">
        <v>10</v>
      </c>
      <c r="AX202" s="73">
        <v>0</v>
      </c>
      <c r="AY202" s="71">
        <f t="shared" si="88"/>
        <v>46</v>
      </c>
      <c r="AZ202" s="70">
        <v>228</v>
      </c>
      <c r="BA202" s="73">
        <v>15</v>
      </c>
      <c r="BB202" s="73">
        <v>12</v>
      </c>
      <c r="BC202" s="63">
        <f t="shared" si="92"/>
        <v>255</v>
      </c>
      <c r="BD202" s="72">
        <f>SUM(Table22[[#This Row],[Good Kernel (gm)]]+(Table22[[#This Row],[Immature (gm)]]+Table22[[#This Row],[Spotted (gm)]])/2)*0.176</f>
        <v>42.503999999999998</v>
      </c>
      <c r="BE202" s="73">
        <v>42.59</v>
      </c>
      <c r="BF202" s="72">
        <f t="shared" si="93"/>
        <v>44.974350000000001</v>
      </c>
      <c r="BG202" s="72">
        <f t="shared" si="89"/>
        <v>51.32367</v>
      </c>
      <c r="BH202" s="72">
        <f>SUM(Table22[[#This Row],[Good Kernel (gm)]:[Spotted (gm)]])/1000*100</f>
        <v>25.5</v>
      </c>
      <c r="BI202" s="72">
        <f t="shared" si="90"/>
        <v>29.099999999999998</v>
      </c>
      <c r="BJ202" s="73">
        <v>10.1</v>
      </c>
      <c r="BK202" s="73">
        <v>179</v>
      </c>
      <c r="BL202" s="73">
        <v>692</v>
      </c>
      <c r="BM202" s="73">
        <v>24</v>
      </c>
      <c r="BN202" s="73"/>
      <c r="BO202" s="73">
        <v>27</v>
      </c>
      <c r="BP202" s="73">
        <v>3</v>
      </c>
      <c r="BQ202" s="71">
        <f t="shared" si="91"/>
        <v>54</v>
      </c>
      <c r="BR202" s="73">
        <v>229</v>
      </c>
      <c r="BS202" s="73">
        <v>20</v>
      </c>
      <c r="BT202" s="73">
        <v>8</v>
      </c>
      <c r="BU202" s="63">
        <f t="shared" si="96"/>
        <v>257</v>
      </c>
      <c r="BV202" s="72">
        <f>SUM(Table22[[#This Row],[Good Kernel (G M)]]+(Table22[[#This Row],[Immature (g m)]]+Table22[[#This Row],[Spotted (g m)]])/2)*0.176</f>
        <v>42.768000000000001</v>
      </c>
      <c r="BW202" s="73">
        <v>42.85</v>
      </c>
      <c r="BX202" s="73"/>
      <c r="BY202" s="141">
        <f t="shared" si="97"/>
        <v>45.327089999999998</v>
      </c>
      <c r="BZ202" s="72">
        <f t="shared" si="94"/>
        <v>50.089080000000003</v>
      </c>
      <c r="CA202" s="72">
        <f>SUM(Table22[[#This Row],[Good Kernel (G M)]:[Spotted (g m)]])/1000*100</f>
        <v>25.7</v>
      </c>
      <c r="CB202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202" s="73">
        <v>11.3</v>
      </c>
      <c r="CD202" s="73">
        <v>164</v>
      </c>
      <c r="CE202" s="73"/>
      <c r="CF202" s="73"/>
      <c r="CH202" s="184">
        <f ca="1">TODAY()-Table22[[#This Row],[Discharge Date]]</f>
        <v>113</v>
      </c>
    </row>
    <row r="203" spans="1:86" x14ac:dyDescent="0.25">
      <c r="A203" s="50">
        <v>199</v>
      </c>
      <c r="B203" s="60" t="s">
        <v>95</v>
      </c>
      <c r="C203" s="60" t="s">
        <v>96</v>
      </c>
      <c r="D203" s="97">
        <v>199</v>
      </c>
      <c r="E203" s="73" t="s">
        <v>130</v>
      </c>
      <c r="F203" s="97">
        <v>750</v>
      </c>
      <c r="G203" s="73"/>
      <c r="H203" s="73"/>
      <c r="I203" s="73"/>
      <c r="J203" s="73"/>
      <c r="K203" s="97" t="s">
        <v>634</v>
      </c>
      <c r="L203" s="73"/>
      <c r="M203" s="100">
        <v>14643</v>
      </c>
      <c r="N203" s="100" t="s">
        <v>643</v>
      </c>
      <c r="O203" s="73" t="s">
        <v>380</v>
      </c>
      <c r="P203" s="97" t="s">
        <v>377</v>
      </c>
      <c r="Q203" s="101">
        <v>46142</v>
      </c>
      <c r="R203" s="102" t="s">
        <v>381</v>
      </c>
      <c r="S203" s="103" t="s">
        <v>382</v>
      </c>
      <c r="T203" s="102" t="s">
        <v>198</v>
      </c>
      <c r="U203" s="102"/>
      <c r="V203" s="73" t="s">
        <v>199</v>
      </c>
      <c r="W203" s="73">
        <v>453</v>
      </c>
      <c r="X203" s="73"/>
      <c r="Y203" s="51">
        <f t="shared" si="81"/>
        <v>453</v>
      </c>
      <c r="Z203" s="73"/>
      <c r="AA203" s="61">
        <f t="shared" si="78"/>
        <v>453</v>
      </c>
      <c r="AB203" s="51">
        <f t="shared" si="95"/>
        <v>0</v>
      </c>
      <c r="AC203" s="88">
        <f t="shared" si="84"/>
        <v>453</v>
      </c>
      <c r="AD203" s="63">
        <v>30</v>
      </c>
      <c r="AE203" s="63">
        <f t="shared" si="79"/>
        <v>0</v>
      </c>
      <c r="AF203" s="63">
        <v>30</v>
      </c>
      <c r="AG203" s="63"/>
      <c r="AH203" s="64">
        <f>AC203+AE203+Table22[[#This Row],[Humid Sacs]]-30</f>
        <v>453</v>
      </c>
      <c r="AI203" s="73"/>
      <c r="AJ203" s="73"/>
      <c r="AK203" s="62">
        <f t="shared" si="76"/>
        <v>453</v>
      </c>
      <c r="AL203" s="62">
        <f t="shared" si="77"/>
        <v>453</v>
      </c>
      <c r="AM203" s="73">
        <v>40480</v>
      </c>
      <c r="AN203" s="124">
        <f t="shared" si="74"/>
        <v>693</v>
      </c>
      <c r="AO203" s="77">
        <f t="shared" si="80"/>
        <v>40027</v>
      </c>
      <c r="AP203" s="77">
        <f t="shared" si="83"/>
        <v>39787</v>
      </c>
      <c r="AQ203" s="77">
        <f>+AO203-AE203*4-240</f>
        <v>39787</v>
      </c>
      <c r="AR203" s="67">
        <f t="shared" si="86"/>
        <v>240</v>
      </c>
      <c r="AS203" s="142">
        <f>Table22[[#This Row],[GROSS WT]]-Table22[[#This Row],[Total Bag Discharged (Truck)]]</f>
        <v>40027</v>
      </c>
      <c r="AT203" s="67">
        <f t="shared" si="87"/>
        <v>40027</v>
      </c>
      <c r="AU203" s="73"/>
      <c r="AV203" s="73">
        <v>17</v>
      </c>
      <c r="AW203" s="73">
        <v>19</v>
      </c>
      <c r="AX203" s="73">
        <v>2</v>
      </c>
      <c r="AY203" s="71">
        <f t="shared" si="88"/>
        <v>38</v>
      </c>
      <c r="AZ203" s="70">
        <v>225</v>
      </c>
      <c r="BA203" s="73">
        <v>19</v>
      </c>
      <c r="BB203" s="73">
        <v>11</v>
      </c>
      <c r="BC203" s="63">
        <f t="shared" si="92"/>
        <v>255</v>
      </c>
      <c r="BD203" s="72">
        <f>SUM(Table22[[#This Row],[Good Kernel (gm)]]+(Table22[[#This Row],[Immature (gm)]]+Table22[[#This Row],[Spotted (gm)]])/2)*0.176</f>
        <v>42.239999999999995</v>
      </c>
      <c r="BE203" s="73">
        <v>42.32</v>
      </c>
      <c r="BF203" s="72">
        <f t="shared" si="93"/>
        <v>44.974350000000001</v>
      </c>
      <c r="BG203" s="72">
        <f t="shared" si="89"/>
        <v>48.325380000000003</v>
      </c>
      <c r="BH203" s="72">
        <f>SUM(Table22[[#This Row],[Good Kernel (gm)]:[Spotted (gm)]])/1000*100</f>
        <v>25.5</v>
      </c>
      <c r="BI203" s="72">
        <f t="shared" si="90"/>
        <v>27.400000000000002</v>
      </c>
      <c r="BJ203" s="73">
        <v>12.6</v>
      </c>
      <c r="BK203" s="73">
        <v>163</v>
      </c>
      <c r="BL203" s="73">
        <v>701</v>
      </c>
      <c r="BM203" s="73">
        <v>19</v>
      </c>
      <c r="BN203" s="73"/>
      <c r="BO203" s="73">
        <v>41</v>
      </c>
      <c r="BP203" s="73">
        <v>3</v>
      </c>
      <c r="BQ203" s="71">
        <f t="shared" si="91"/>
        <v>63</v>
      </c>
      <c r="BR203" s="73">
        <v>233</v>
      </c>
      <c r="BS203" s="73">
        <v>12</v>
      </c>
      <c r="BT203" s="73">
        <v>11</v>
      </c>
      <c r="BU203" s="63">
        <f t="shared" si="96"/>
        <v>256</v>
      </c>
      <c r="BV203" s="72">
        <f>SUM(Table22[[#This Row],[Good Kernel (G M)]]+(Table22[[#This Row],[Immature (g m)]]+Table22[[#This Row],[Spotted (g m)]])/2)*0.176</f>
        <v>43.031999999999996</v>
      </c>
      <c r="BW203" s="73">
        <v>43.12</v>
      </c>
      <c r="BX203" s="73"/>
      <c r="BY203" s="141">
        <f t="shared" si="97"/>
        <v>45.15072</v>
      </c>
      <c r="BZ203" s="72">
        <f t="shared" si="94"/>
        <v>49.030859999999997</v>
      </c>
      <c r="CA203" s="72">
        <f>SUM(Table22[[#This Row],[Good Kernel (G M)]:[Spotted (g m)]])/1000*100</f>
        <v>25.6</v>
      </c>
      <c r="CB203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203" s="73">
        <v>11.8</v>
      </c>
      <c r="CD203" s="73">
        <v>160</v>
      </c>
      <c r="CE203" s="73"/>
      <c r="CF203" s="73"/>
      <c r="CH203" s="184">
        <f ca="1">TODAY()-Table22[[#This Row],[Discharge Date]]</f>
        <v>113</v>
      </c>
    </row>
    <row r="204" spans="1:86" x14ac:dyDescent="0.25">
      <c r="A204" s="50">
        <v>200</v>
      </c>
      <c r="B204" s="60" t="s">
        <v>95</v>
      </c>
      <c r="C204" s="60" t="s">
        <v>96</v>
      </c>
      <c r="D204" s="97">
        <v>200</v>
      </c>
      <c r="E204" s="73"/>
      <c r="F204" s="97">
        <v>401</v>
      </c>
      <c r="G204" s="73"/>
      <c r="H204" s="73"/>
      <c r="I204" s="73"/>
      <c r="J204" s="73"/>
      <c r="K204" s="97" t="s">
        <v>634</v>
      </c>
      <c r="L204" s="73"/>
      <c r="M204" s="100">
        <v>28996</v>
      </c>
      <c r="N204" s="100" t="s">
        <v>690</v>
      </c>
      <c r="O204" s="73" t="s">
        <v>383</v>
      </c>
      <c r="P204" s="97" t="s">
        <v>364</v>
      </c>
      <c r="Q204" s="101">
        <v>46142</v>
      </c>
      <c r="R204" s="102" t="s">
        <v>100</v>
      </c>
      <c r="S204" s="102" t="s">
        <v>219</v>
      </c>
      <c r="T204" s="102"/>
      <c r="U204" s="102" t="s">
        <v>220</v>
      </c>
      <c r="V204" s="73" t="s">
        <v>221</v>
      </c>
      <c r="W204" s="73">
        <v>591</v>
      </c>
      <c r="X204" s="73"/>
      <c r="Y204" s="51">
        <f t="shared" si="81"/>
        <v>591</v>
      </c>
      <c r="Z204" s="73"/>
      <c r="AA204" s="61">
        <f t="shared" si="78"/>
        <v>591</v>
      </c>
      <c r="AB204" s="51">
        <f t="shared" si="95"/>
        <v>0</v>
      </c>
      <c r="AC204" s="88">
        <f t="shared" si="84"/>
        <v>591</v>
      </c>
      <c r="AD204" s="63">
        <v>30</v>
      </c>
      <c r="AE204" s="63">
        <f t="shared" si="79"/>
        <v>0</v>
      </c>
      <c r="AF204" s="63">
        <v>14</v>
      </c>
      <c r="AG204" s="63"/>
      <c r="AH204" s="64">
        <f>AC204+AE204+Table22[[#This Row],[Humid Sacs]]-30</f>
        <v>591</v>
      </c>
      <c r="AI204" s="73"/>
      <c r="AJ204" s="73"/>
      <c r="AK204" s="62">
        <f t="shared" si="76"/>
        <v>591</v>
      </c>
      <c r="AL204" s="62">
        <f t="shared" si="77"/>
        <v>591</v>
      </c>
      <c r="AM204" s="73">
        <v>47530</v>
      </c>
      <c r="AN204" s="124">
        <f t="shared" si="74"/>
        <v>831</v>
      </c>
      <c r="AO204" s="77">
        <f t="shared" si="80"/>
        <v>46939</v>
      </c>
      <c r="AP204" s="77">
        <f t="shared" si="83"/>
        <v>46699</v>
      </c>
      <c r="AQ204" s="77">
        <f>+AO204-AE204*4-240</f>
        <v>46699</v>
      </c>
      <c r="AR204" s="67">
        <f t="shared" si="86"/>
        <v>240</v>
      </c>
      <c r="AS204" s="142">
        <f>Table22[[#This Row],[GROSS WT]]-Table22[[#This Row],[Total Bag Discharged (Truck)]]</f>
        <v>46939</v>
      </c>
      <c r="AT204" s="67">
        <f t="shared" si="87"/>
        <v>46939</v>
      </c>
      <c r="AU204" s="73"/>
      <c r="AV204" s="73">
        <v>26</v>
      </c>
      <c r="AW204" s="73">
        <v>24</v>
      </c>
      <c r="AX204" s="73">
        <v>0</v>
      </c>
      <c r="AY204" s="71">
        <f t="shared" si="88"/>
        <v>50</v>
      </c>
      <c r="AZ204" s="70">
        <v>235</v>
      </c>
      <c r="BA204" s="73">
        <v>12</v>
      </c>
      <c r="BB204" s="73">
        <v>10</v>
      </c>
      <c r="BC204" s="63">
        <f t="shared" si="92"/>
        <v>257</v>
      </c>
      <c r="BD204" s="72">
        <f>SUM(Table22[[#This Row],[Good Kernel (gm)]]+(Table22[[#This Row],[Immature (gm)]]+Table22[[#This Row],[Spotted (gm)]])/2)*0.176</f>
        <v>43.295999999999999</v>
      </c>
      <c r="BE204" s="73">
        <v>43.38</v>
      </c>
      <c r="BF204" s="72">
        <f t="shared" si="93"/>
        <v>45.327089999999998</v>
      </c>
      <c r="BG204" s="72">
        <f t="shared" si="89"/>
        <v>49.912709999999997</v>
      </c>
      <c r="BH204" s="72">
        <f>SUM(Table22[[#This Row],[Good Kernel (gm)]:[Spotted (gm)]])/1000*100</f>
        <v>25.7</v>
      </c>
      <c r="BI204" s="72">
        <f t="shared" si="90"/>
        <v>28.299999999999997</v>
      </c>
      <c r="BJ204" s="73">
        <v>10.1</v>
      </c>
      <c r="BK204" s="73">
        <v>170</v>
      </c>
      <c r="BL204" s="73">
        <v>687</v>
      </c>
      <c r="BM204" s="73">
        <v>37</v>
      </c>
      <c r="BN204" s="73"/>
      <c r="BO204" s="73">
        <v>17</v>
      </c>
      <c r="BP204" s="73">
        <v>2</v>
      </c>
      <c r="BQ204" s="71">
        <f t="shared" si="91"/>
        <v>56</v>
      </c>
      <c r="BR204" s="73">
        <v>228</v>
      </c>
      <c r="BS204" s="73">
        <v>16</v>
      </c>
      <c r="BT204" s="73">
        <v>16</v>
      </c>
      <c r="BU204" s="63">
        <f t="shared" si="96"/>
        <v>260</v>
      </c>
      <c r="BV204" s="72">
        <f>SUM(Table22[[#This Row],[Good Kernel (G M)]]+(Table22[[#This Row],[Immature (g m)]]+Table22[[#This Row],[Spotted (g m)]])/2)*0.176</f>
        <v>42.943999999999996</v>
      </c>
      <c r="BW204" s="73">
        <v>43.03</v>
      </c>
      <c r="BX204" s="73"/>
      <c r="BY204" s="141">
        <f t="shared" si="97"/>
        <v>45.856200000000001</v>
      </c>
      <c r="BZ204" s="72">
        <f t="shared" si="94"/>
        <v>52.734630000000003</v>
      </c>
      <c r="CA204" s="72">
        <f>SUM(Table22[[#This Row],[Good Kernel (G M)]:[Spotted (g m)]])/1000*100</f>
        <v>26</v>
      </c>
      <c r="CB204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204" s="73">
        <v>10.199999999999999</v>
      </c>
      <c r="CD204" s="73">
        <v>178</v>
      </c>
      <c r="CE204" s="73"/>
      <c r="CF204" s="73"/>
      <c r="CH204" s="184">
        <f ca="1">TODAY()-Table22[[#This Row],[Discharge Date]]</f>
        <v>113</v>
      </c>
    </row>
    <row r="205" spans="1:86" x14ac:dyDescent="0.25">
      <c r="A205" s="50">
        <v>201</v>
      </c>
      <c r="B205" s="60" t="s">
        <v>95</v>
      </c>
      <c r="C205" s="60" t="s">
        <v>96</v>
      </c>
      <c r="D205" s="97">
        <v>201</v>
      </c>
      <c r="E205" s="73"/>
      <c r="F205" s="97">
        <v>402</v>
      </c>
      <c r="G205" s="73"/>
      <c r="H205" s="73"/>
      <c r="I205" s="155">
        <v>46058</v>
      </c>
      <c r="J205" s="73" t="s">
        <v>384</v>
      </c>
      <c r="K205" s="97" t="s">
        <v>634</v>
      </c>
      <c r="L205" s="73"/>
      <c r="M205" s="100">
        <v>39825</v>
      </c>
      <c r="N205" s="100" t="s">
        <v>686</v>
      </c>
      <c r="O205" s="73" t="s">
        <v>385</v>
      </c>
      <c r="P205" s="97" t="s">
        <v>386</v>
      </c>
      <c r="Q205" s="101">
        <v>46142</v>
      </c>
      <c r="R205" s="102" t="s">
        <v>213</v>
      </c>
      <c r="S205" s="103" t="s">
        <v>271</v>
      </c>
      <c r="T205" s="102" t="s">
        <v>198</v>
      </c>
      <c r="U205" s="102" t="s">
        <v>272</v>
      </c>
      <c r="V205" s="73" t="s">
        <v>199</v>
      </c>
      <c r="W205" s="73">
        <v>463</v>
      </c>
      <c r="X205" s="73"/>
      <c r="Y205" s="51">
        <f t="shared" si="81"/>
        <v>463</v>
      </c>
      <c r="Z205" s="73"/>
      <c r="AA205" s="61">
        <f t="shared" si="78"/>
        <v>463</v>
      </c>
      <c r="AB205" s="51">
        <f t="shared" si="95"/>
        <v>0</v>
      </c>
      <c r="AC205" s="88">
        <f t="shared" si="84"/>
        <v>463</v>
      </c>
      <c r="AD205" s="63">
        <v>30</v>
      </c>
      <c r="AE205" s="63">
        <f t="shared" si="79"/>
        <v>0</v>
      </c>
      <c r="AF205" s="63">
        <v>16</v>
      </c>
      <c r="AG205" s="63"/>
      <c r="AH205" s="64">
        <f>AC205+AE205+Table22[[#This Row],[Humid Sacs]]-30</f>
        <v>463</v>
      </c>
      <c r="AI205" s="73"/>
      <c r="AJ205" s="73"/>
      <c r="AK205" s="62">
        <f t="shared" si="76"/>
        <v>463</v>
      </c>
      <c r="AL205" s="62">
        <f t="shared" si="77"/>
        <v>463</v>
      </c>
      <c r="AM205" s="73">
        <v>37190</v>
      </c>
      <c r="AN205" s="124">
        <f t="shared" si="74"/>
        <v>703</v>
      </c>
      <c r="AO205" s="77">
        <f t="shared" si="80"/>
        <v>36727</v>
      </c>
      <c r="AP205" s="77">
        <f t="shared" si="83"/>
        <v>36487</v>
      </c>
      <c r="AQ205" s="77">
        <f t="shared" ref="AQ205:AQ207" si="98">+AO205-AE205*4</f>
        <v>36727</v>
      </c>
      <c r="AR205" s="67">
        <f t="shared" si="86"/>
        <v>240</v>
      </c>
      <c r="AS205" s="142">
        <f>Table22[[#This Row],[GROSS WT]]-Table22[[#This Row],[Total Bag Discharged (Truck)]]</f>
        <v>36727</v>
      </c>
      <c r="AT205" s="67">
        <f t="shared" si="87"/>
        <v>36727</v>
      </c>
      <c r="AU205" s="73"/>
      <c r="AV205" s="73">
        <v>29</v>
      </c>
      <c r="AW205" s="73">
        <v>12</v>
      </c>
      <c r="AX205" s="73">
        <v>3</v>
      </c>
      <c r="AY205" s="71">
        <f t="shared" si="88"/>
        <v>44</v>
      </c>
      <c r="AZ205" s="70">
        <v>230</v>
      </c>
      <c r="BA205" s="73">
        <v>14</v>
      </c>
      <c r="BB205" s="73">
        <v>12</v>
      </c>
      <c r="BC205" s="63">
        <f t="shared" si="92"/>
        <v>256</v>
      </c>
      <c r="BD205" s="72">
        <f>SUM(Table22[[#This Row],[Good Kernel (gm)]]+(Table22[[#This Row],[Immature (gm)]]+Table22[[#This Row],[Spotted (gm)]])/2)*0.176</f>
        <v>42.768000000000001</v>
      </c>
      <c r="BE205" s="73">
        <v>42.85</v>
      </c>
      <c r="BF205" s="72">
        <f t="shared" si="93"/>
        <v>45.15072</v>
      </c>
      <c r="BG205" s="72">
        <f t="shared" si="89"/>
        <v>50.794559999999997</v>
      </c>
      <c r="BH205" s="72">
        <f>SUM(Table22[[#This Row],[Good Kernel (gm)]:[Spotted (gm)]])/1000*100</f>
        <v>25.6</v>
      </c>
      <c r="BI205" s="72">
        <f t="shared" si="90"/>
        <v>28.799999999999997</v>
      </c>
      <c r="BJ205" s="73">
        <v>13.7</v>
      </c>
      <c r="BK205" s="73">
        <v>170</v>
      </c>
      <c r="BL205" s="73">
        <v>695</v>
      </c>
      <c r="BM205" s="73">
        <v>31</v>
      </c>
      <c r="BN205" s="73"/>
      <c r="BO205" s="73">
        <v>16</v>
      </c>
      <c r="BP205" s="73">
        <v>0</v>
      </c>
      <c r="BQ205" s="71">
        <f t="shared" si="91"/>
        <v>47</v>
      </c>
      <c r="BR205" s="73">
        <v>231</v>
      </c>
      <c r="BS205" s="73">
        <v>17</v>
      </c>
      <c r="BT205" s="73">
        <v>12</v>
      </c>
      <c r="BU205" s="63">
        <f t="shared" si="96"/>
        <v>260</v>
      </c>
      <c r="BV205" s="72">
        <f>SUM(Table22[[#This Row],[Good Kernel (G M)]]+(Table22[[#This Row],[Immature (g m)]]+Table22[[#This Row],[Spotted (g m)]])/2)*0.176</f>
        <v>43.207999999999998</v>
      </c>
      <c r="BW205" s="73">
        <v>43.29</v>
      </c>
      <c r="BX205" s="73"/>
      <c r="BY205" s="141">
        <f t="shared" si="97"/>
        <v>45.856200000000001</v>
      </c>
      <c r="BZ205" s="72">
        <f t="shared" si="94"/>
        <v>51.32367</v>
      </c>
      <c r="CA205" s="72">
        <f>SUM(Table22[[#This Row],[Good Kernel (G M)]:[Spotted (g m)]])/1000*100</f>
        <v>26</v>
      </c>
      <c r="CB205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05" s="73">
        <v>12.9</v>
      </c>
      <c r="CD205" s="73">
        <v>161</v>
      </c>
      <c r="CE205" s="73"/>
      <c r="CF205" s="73"/>
      <c r="CH205" s="184">
        <f ca="1">TODAY()-Table22[[#This Row],[Discharge Date]]</f>
        <v>113</v>
      </c>
    </row>
    <row r="206" spans="1:86" x14ac:dyDescent="0.25">
      <c r="A206" s="50">
        <v>202</v>
      </c>
      <c r="B206" s="60" t="s">
        <v>95</v>
      </c>
      <c r="C206" s="60" t="s">
        <v>96</v>
      </c>
      <c r="D206" s="97">
        <v>202</v>
      </c>
      <c r="E206" s="73"/>
      <c r="F206" s="97">
        <v>403</v>
      </c>
      <c r="G206" s="73"/>
      <c r="H206" s="73"/>
      <c r="I206" s="155">
        <v>46058</v>
      </c>
      <c r="J206" s="73" t="s">
        <v>384</v>
      </c>
      <c r="K206" s="97" t="s">
        <v>634</v>
      </c>
      <c r="L206" s="73"/>
      <c r="M206" s="100">
        <v>35052</v>
      </c>
      <c r="N206" s="100" t="s">
        <v>691</v>
      </c>
      <c r="O206" s="73" t="s">
        <v>387</v>
      </c>
      <c r="P206" s="97" t="s">
        <v>364</v>
      </c>
      <c r="Q206" s="101">
        <v>46142</v>
      </c>
      <c r="R206" s="102" t="s">
        <v>316</v>
      </c>
      <c r="S206" s="131" t="s">
        <v>357</v>
      </c>
      <c r="T206" s="102"/>
      <c r="U206" s="102"/>
      <c r="V206" s="73" t="s">
        <v>358</v>
      </c>
      <c r="W206" s="73">
        <v>455</v>
      </c>
      <c r="X206" s="73"/>
      <c r="Y206" s="51">
        <f t="shared" si="81"/>
        <v>455</v>
      </c>
      <c r="Z206" s="73"/>
      <c r="AA206" s="61">
        <f t="shared" si="78"/>
        <v>455</v>
      </c>
      <c r="AB206" s="51">
        <f t="shared" si="95"/>
        <v>0</v>
      </c>
      <c r="AC206" s="88">
        <f t="shared" si="84"/>
        <v>455</v>
      </c>
      <c r="AD206" s="63">
        <v>30</v>
      </c>
      <c r="AE206" s="63">
        <f t="shared" si="79"/>
        <v>0</v>
      </c>
      <c r="AF206" s="63">
        <v>33</v>
      </c>
      <c r="AG206" s="63"/>
      <c r="AH206" s="64">
        <f>AC206+AE206+Table22[[#This Row],[Humid Sacs]]-30</f>
        <v>455</v>
      </c>
      <c r="AI206" s="73"/>
      <c r="AJ206" s="73"/>
      <c r="AK206" s="62">
        <f t="shared" si="76"/>
        <v>455</v>
      </c>
      <c r="AL206" s="62">
        <f t="shared" si="77"/>
        <v>455</v>
      </c>
      <c r="AM206" s="73">
        <v>39150</v>
      </c>
      <c r="AN206" s="124">
        <f t="shared" si="74"/>
        <v>695</v>
      </c>
      <c r="AO206" s="77">
        <f t="shared" si="80"/>
        <v>38695</v>
      </c>
      <c r="AP206" s="77">
        <f t="shared" si="83"/>
        <v>38455</v>
      </c>
      <c r="AQ206" s="77">
        <f>+AO206-AE206*4-240</f>
        <v>38455</v>
      </c>
      <c r="AR206" s="67">
        <f t="shared" si="86"/>
        <v>240</v>
      </c>
      <c r="AS206" s="142">
        <f>Table22[[#This Row],[GROSS WT]]-Table22[[#This Row],[Total Bag Discharged (Truck)]]</f>
        <v>38695</v>
      </c>
      <c r="AT206" s="67">
        <f t="shared" si="87"/>
        <v>38695</v>
      </c>
      <c r="AU206" s="73"/>
      <c r="AV206" s="73">
        <v>39</v>
      </c>
      <c r="AW206" s="73">
        <v>8</v>
      </c>
      <c r="AX206" s="73">
        <v>0</v>
      </c>
      <c r="AY206" s="71">
        <f t="shared" si="88"/>
        <v>47</v>
      </c>
      <c r="AZ206" s="70">
        <v>240</v>
      </c>
      <c r="BA206" s="73">
        <v>10</v>
      </c>
      <c r="BB206" s="73">
        <v>11</v>
      </c>
      <c r="BC206" s="63">
        <f t="shared" si="92"/>
        <v>261</v>
      </c>
      <c r="BD206" s="72">
        <f>SUM(Table22[[#This Row],[Good Kernel (gm)]]+(Table22[[#This Row],[Immature (gm)]]+Table22[[#This Row],[Spotted (gm)]])/2)*0.176</f>
        <v>44.088000000000001</v>
      </c>
      <c r="BE206" s="73">
        <v>44.18</v>
      </c>
      <c r="BF206" s="72">
        <f t="shared" si="93"/>
        <v>46.03257</v>
      </c>
      <c r="BG206" s="72">
        <f t="shared" si="89"/>
        <v>52.911000000000001</v>
      </c>
      <c r="BH206" s="72">
        <f>SUM(Table22[[#This Row],[Good Kernel (gm)]:[Spotted (gm)]])/1000*100</f>
        <v>26.1</v>
      </c>
      <c r="BI206" s="72">
        <f t="shared" si="90"/>
        <v>30</v>
      </c>
      <c r="BJ206" s="73">
        <v>11.7</v>
      </c>
      <c r="BK206" s="73">
        <v>180</v>
      </c>
      <c r="BL206" s="73">
        <v>687</v>
      </c>
      <c r="BM206" s="73">
        <v>48</v>
      </c>
      <c r="BN206" s="73"/>
      <c r="BO206" s="73">
        <v>12</v>
      </c>
      <c r="BP206" s="73">
        <v>0</v>
      </c>
      <c r="BQ206" s="71">
        <f t="shared" si="91"/>
        <v>60</v>
      </c>
      <c r="BR206" s="73">
        <v>240</v>
      </c>
      <c r="BS206" s="73">
        <v>14</v>
      </c>
      <c r="BT206" s="73">
        <v>11</v>
      </c>
      <c r="BU206" s="63">
        <f t="shared" si="96"/>
        <v>265</v>
      </c>
      <c r="BV206" s="72">
        <f>SUM(Table22[[#This Row],[Good Kernel (G M)]]+(Table22[[#This Row],[Immature (g m)]]+Table22[[#This Row],[Spotted (g m)]])/2)*0.176</f>
        <v>44.44</v>
      </c>
      <c r="BW206" s="73">
        <v>44.53</v>
      </c>
      <c r="BX206" s="73"/>
      <c r="BY206" s="141">
        <f t="shared" si="97"/>
        <v>46.738050000000001</v>
      </c>
      <c r="BZ206" s="72">
        <f t="shared" si="94"/>
        <v>55.203809999999997</v>
      </c>
      <c r="CA206" s="72">
        <f>SUM(Table22[[#This Row],[Good Kernel (G M)]:[Spotted (g m)]])/1000*100</f>
        <v>26.5</v>
      </c>
      <c r="CB206" s="72">
        <f>(Table22[[#This Row],[BROWNS/Rejection (gm) (NUT)]]+Table22[[#This Row],[OIL (g m)]]+Table22[[#This Row],[Good Kernel (G M)]]+Table22[[#This Row],[Immature (g m)]]+Table22[[#This Row],[Spotted (g m)]])/1000*100</f>
        <v>31.3</v>
      </c>
      <c r="CC206" s="73">
        <v>10.9</v>
      </c>
      <c r="CD206" s="73">
        <v>191</v>
      </c>
      <c r="CE206" s="73"/>
      <c r="CF206" s="73"/>
      <c r="CH206" s="184">
        <f ca="1">TODAY()-Table22[[#This Row],[Discharge Date]]</f>
        <v>113</v>
      </c>
    </row>
    <row r="207" spans="1:86" x14ac:dyDescent="0.25">
      <c r="A207" s="50">
        <v>203</v>
      </c>
      <c r="B207" s="60" t="s">
        <v>95</v>
      </c>
      <c r="C207" s="60" t="s">
        <v>96</v>
      </c>
      <c r="D207" s="97">
        <v>203</v>
      </c>
      <c r="E207" s="73"/>
      <c r="F207" s="97">
        <v>404</v>
      </c>
      <c r="G207" s="73"/>
      <c r="H207" s="73"/>
      <c r="I207" s="155">
        <v>46058</v>
      </c>
      <c r="J207" s="73" t="s">
        <v>384</v>
      </c>
      <c r="K207" s="97" t="s">
        <v>634</v>
      </c>
      <c r="L207" s="73"/>
      <c r="M207" s="100">
        <v>62874</v>
      </c>
      <c r="N207" s="100" t="s">
        <v>691</v>
      </c>
      <c r="O207" s="73" t="s">
        <v>388</v>
      </c>
      <c r="P207" s="97" t="s">
        <v>377</v>
      </c>
      <c r="Q207" s="101">
        <v>46142</v>
      </c>
      <c r="R207" s="102" t="s">
        <v>204</v>
      </c>
      <c r="S207" s="103" t="s">
        <v>205</v>
      </c>
      <c r="T207" s="102"/>
      <c r="U207" s="102"/>
      <c r="V207" s="73" t="s">
        <v>206</v>
      </c>
      <c r="W207" s="73">
        <v>459</v>
      </c>
      <c r="X207" s="73"/>
      <c r="Y207" s="51">
        <f t="shared" si="81"/>
        <v>459</v>
      </c>
      <c r="Z207" s="73"/>
      <c r="AA207" s="61">
        <f t="shared" si="78"/>
        <v>459</v>
      </c>
      <c r="AB207" s="51">
        <f t="shared" si="95"/>
        <v>0</v>
      </c>
      <c r="AC207" s="88">
        <f t="shared" si="84"/>
        <v>459</v>
      </c>
      <c r="AD207" s="63"/>
      <c r="AE207" s="63">
        <v>10</v>
      </c>
      <c r="AF207" s="63">
        <v>21</v>
      </c>
      <c r="AG207" s="63"/>
      <c r="AH207" s="64">
        <f>AC207+AE207+Table22[[#This Row],[Humid Sacs]]</f>
        <v>469</v>
      </c>
      <c r="AI207" s="73"/>
      <c r="AJ207" s="73"/>
      <c r="AK207" s="62">
        <f t="shared" si="76"/>
        <v>469</v>
      </c>
      <c r="AL207" s="62">
        <f t="shared" si="77"/>
        <v>469</v>
      </c>
      <c r="AM207" s="73">
        <v>40420</v>
      </c>
      <c r="AN207" s="124">
        <f t="shared" si="74"/>
        <v>509</v>
      </c>
      <c r="AO207" s="77">
        <f t="shared" si="80"/>
        <v>39951</v>
      </c>
      <c r="AP207" s="77">
        <f t="shared" si="83"/>
        <v>39911</v>
      </c>
      <c r="AQ207" s="77">
        <f t="shared" si="98"/>
        <v>39911</v>
      </c>
      <c r="AR207" s="67">
        <f t="shared" si="86"/>
        <v>40</v>
      </c>
      <c r="AS207" s="142">
        <f>Table22[[#This Row],[GROSS WT]]-Table22[[#This Row],[Total Bag Discharged (Truck)]]</f>
        <v>39961</v>
      </c>
      <c r="AT207" s="67">
        <f t="shared" si="87"/>
        <v>39951</v>
      </c>
      <c r="AU207" s="73"/>
      <c r="AV207" s="73">
        <v>24</v>
      </c>
      <c r="AW207" s="73">
        <v>46</v>
      </c>
      <c r="AX207" s="73">
        <v>3</v>
      </c>
      <c r="AY207" s="71">
        <f t="shared" si="88"/>
        <v>73</v>
      </c>
      <c r="AZ207" s="70">
        <v>238</v>
      </c>
      <c r="BA207" s="73">
        <v>13</v>
      </c>
      <c r="BB207" s="73">
        <v>10</v>
      </c>
      <c r="BC207" s="63">
        <f t="shared" si="92"/>
        <v>261</v>
      </c>
      <c r="BD207" s="72">
        <f>SUM(Table22[[#This Row],[Good Kernel (gm)]]+(Table22[[#This Row],[Immature (gm)]]+Table22[[#This Row],[Spotted (gm)]])/2)*0.176</f>
        <v>43.911999999999999</v>
      </c>
      <c r="BE207" s="73">
        <v>44</v>
      </c>
      <c r="BF207" s="72">
        <f t="shared" si="93"/>
        <v>46.03257</v>
      </c>
      <c r="BG207" s="72">
        <f t="shared" si="89"/>
        <v>50.794559999999997</v>
      </c>
      <c r="BH207" s="72">
        <f>SUM(Table22[[#This Row],[Good Kernel (gm)]:[Spotted (gm)]])/1000*100</f>
        <v>26.1</v>
      </c>
      <c r="BI207" s="72">
        <f t="shared" si="90"/>
        <v>28.799999999999997</v>
      </c>
      <c r="BJ207" s="73">
        <v>9.4</v>
      </c>
      <c r="BK207" s="73">
        <v>83</v>
      </c>
      <c r="BL207" s="73">
        <v>659</v>
      </c>
      <c r="BM207" s="73">
        <v>25</v>
      </c>
      <c r="BN207" s="73"/>
      <c r="BO207" s="73">
        <v>38</v>
      </c>
      <c r="BP207" s="73">
        <v>2</v>
      </c>
      <c r="BQ207" s="71">
        <f t="shared" si="91"/>
        <v>65</v>
      </c>
      <c r="BR207" s="73">
        <v>230</v>
      </c>
      <c r="BS207" s="73">
        <v>14</v>
      </c>
      <c r="BT207" s="73">
        <v>16</v>
      </c>
      <c r="BU207" s="63">
        <f t="shared" si="96"/>
        <v>260</v>
      </c>
      <c r="BV207" s="72">
        <f>SUM(Table22[[#This Row],[Good Kernel (G M)]]+(Table22[[#This Row],[Immature (g m)]]+Table22[[#This Row],[Spotted (g m)]])/2)*0.176</f>
        <v>43.12</v>
      </c>
      <c r="BW207" s="73">
        <v>43.21</v>
      </c>
      <c r="BX207" s="73"/>
      <c r="BY207" s="141">
        <f t="shared" si="97"/>
        <v>45.856200000000001</v>
      </c>
      <c r="BZ207" s="72">
        <f t="shared" si="94"/>
        <v>50.618189999999998</v>
      </c>
      <c r="CA207" s="72">
        <f>SUM(Table22[[#This Row],[Good Kernel (G M)]:[Spotted (g m)]])/1000*100</f>
        <v>26</v>
      </c>
      <c r="CB207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207" s="73">
        <v>9.8000000000000007</v>
      </c>
      <c r="CD207" s="73">
        <v>171</v>
      </c>
      <c r="CE207" s="73"/>
      <c r="CF207" s="73"/>
      <c r="CH207" s="184">
        <f ca="1">TODAY()-Table22[[#This Row],[Discharge Date]]</f>
        <v>113</v>
      </c>
    </row>
    <row r="208" spans="1:86" x14ac:dyDescent="0.25">
      <c r="A208" s="50">
        <v>204</v>
      </c>
      <c r="B208" s="143" t="s">
        <v>95</v>
      </c>
      <c r="C208" s="143" t="s">
        <v>96</v>
      </c>
      <c r="D208" s="97">
        <v>204</v>
      </c>
      <c r="E208" s="137"/>
      <c r="F208" s="144">
        <v>405</v>
      </c>
      <c r="G208" s="137"/>
      <c r="H208" s="137"/>
      <c r="I208" s="137"/>
      <c r="J208" s="137"/>
      <c r="K208" s="144" t="s">
        <v>634</v>
      </c>
      <c r="L208" s="137"/>
      <c r="M208" s="145">
        <v>83413</v>
      </c>
      <c r="N208" s="145" t="s">
        <v>686</v>
      </c>
      <c r="O208" s="137" t="s">
        <v>389</v>
      </c>
      <c r="P208" s="144" t="s">
        <v>386</v>
      </c>
      <c r="Q208" s="101">
        <v>46142</v>
      </c>
      <c r="R208" s="146" t="s">
        <v>275</v>
      </c>
      <c r="S208" s="103" t="s">
        <v>179</v>
      </c>
      <c r="T208" s="146"/>
      <c r="U208" s="146"/>
      <c r="V208" s="73" t="s">
        <v>180</v>
      </c>
      <c r="W208" s="137">
        <v>595</v>
      </c>
      <c r="X208" s="137"/>
      <c r="Y208" s="147">
        <f t="shared" si="81"/>
        <v>595</v>
      </c>
      <c r="Z208" s="137"/>
      <c r="AA208" s="148">
        <f t="shared" si="78"/>
        <v>595</v>
      </c>
      <c r="AB208" s="147">
        <f t="shared" si="95"/>
        <v>0</v>
      </c>
      <c r="AC208" s="149">
        <f t="shared" si="84"/>
        <v>595</v>
      </c>
      <c r="AD208" s="140">
        <v>30</v>
      </c>
      <c r="AE208" s="140">
        <f t="shared" si="79"/>
        <v>0</v>
      </c>
      <c r="AF208" s="140">
        <v>35</v>
      </c>
      <c r="AG208" s="140"/>
      <c r="AH208" s="64">
        <f>AC208+AE208+Table22[[#This Row],[Humid Sacs]]-30</f>
        <v>595</v>
      </c>
      <c r="AI208" s="137"/>
      <c r="AJ208" s="137"/>
      <c r="AK208" s="151">
        <f t="shared" si="76"/>
        <v>595</v>
      </c>
      <c r="AL208" s="151">
        <f t="shared" si="77"/>
        <v>595</v>
      </c>
      <c r="AM208" s="137">
        <v>40850</v>
      </c>
      <c r="AN208" s="152">
        <f t="shared" si="74"/>
        <v>835</v>
      </c>
      <c r="AO208" s="153">
        <f t="shared" si="80"/>
        <v>40255</v>
      </c>
      <c r="AP208" s="153">
        <f t="shared" si="83"/>
        <v>40015</v>
      </c>
      <c r="AQ208" s="153">
        <f>+AO208-AE208*4-240</f>
        <v>40015</v>
      </c>
      <c r="AR208" s="154">
        <f t="shared" si="86"/>
        <v>240</v>
      </c>
      <c r="AS208" s="142">
        <f>Table22[[#This Row],[GROSS WT]]-Table22[[#This Row],[Total Bag Discharged (Truck)]]</f>
        <v>40255</v>
      </c>
      <c r="AT208" s="154">
        <f t="shared" si="87"/>
        <v>40255</v>
      </c>
      <c r="AU208" s="137"/>
      <c r="AV208" s="137">
        <v>40</v>
      </c>
      <c r="AW208" s="137">
        <v>26</v>
      </c>
      <c r="AX208" s="137">
        <v>4</v>
      </c>
      <c r="AY208" s="138">
        <f t="shared" si="88"/>
        <v>70</v>
      </c>
      <c r="AZ208" s="139">
        <v>225</v>
      </c>
      <c r="BA208" s="137">
        <v>15</v>
      </c>
      <c r="BB208" s="137">
        <v>11</v>
      </c>
      <c r="BC208" s="140">
        <f t="shared" si="92"/>
        <v>251</v>
      </c>
      <c r="BD208" s="141">
        <f>SUM(Table22[[#This Row],[Good Kernel (gm)]]+(Table22[[#This Row],[Immature (gm)]]+Table22[[#This Row],[Spotted (gm)]])/2)*0.176</f>
        <v>41.887999999999998</v>
      </c>
      <c r="BE208" s="137">
        <v>41.97</v>
      </c>
      <c r="BF208" s="141">
        <f t="shared" si="93"/>
        <v>44.26887</v>
      </c>
      <c r="BG208" s="141">
        <f t="shared" si="89"/>
        <v>52.029150000000001</v>
      </c>
      <c r="BH208" s="141">
        <f>SUM(Table22[[#This Row],[Good Kernel (gm)]:[Spotted (gm)]])/1000*100</f>
        <v>25.1</v>
      </c>
      <c r="BI208" s="141">
        <f t="shared" si="90"/>
        <v>29.5</v>
      </c>
      <c r="BJ208" s="137"/>
      <c r="BK208" s="137"/>
      <c r="BL208" s="137"/>
      <c r="BM208" s="137">
        <v>40</v>
      </c>
      <c r="BN208" s="137"/>
      <c r="BO208" s="137">
        <v>18</v>
      </c>
      <c r="BP208" s="137"/>
      <c r="BQ208" s="71">
        <f t="shared" si="91"/>
        <v>58</v>
      </c>
      <c r="BR208" s="137">
        <v>234</v>
      </c>
      <c r="BS208" s="137">
        <v>8</v>
      </c>
      <c r="BT208" s="137">
        <v>7</v>
      </c>
      <c r="BU208" s="63">
        <f t="shared" si="96"/>
        <v>249</v>
      </c>
      <c r="BV208" s="72">
        <f>SUM(Table22[[#This Row],[Good Kernel (G M)]]+(Table22[[#This Row],[Immature (g m)]]+Table22[[#This Row],[Spotted (g m)]])/2)*0.176</f>
        <v>42.503999999999998</v>
      </c>
      <c r="BW208" s="137">
        <v>42.59</v>
      </c>
      <c r="BX208" s="137"/>
      <c r="BY208" s="141">
        <f t="shared" si="97"/>
        <v>43.916130000000003</v>
      </c>
      <c r="BZ208" s="141">
        <f t="shared" si="94"/>
        <v>50.970930000000003</v>
      </c>
      <c r="CA208" s="141">
        <f>SUM(Table22[[#This Row],[Good Kernel (G M)]:[Spotted (g m)]])/1000*100</f>
        <v>24.9</v>
      </c>
      <c r="CB208" s="141">
        <f>(Table22[[#This Row],[BROWNS/Rejection (gm) (NUT)]]+Table22[[#This Row],[OIL (g m)]]+Table22[[#This Row],[Good Kernel (G M)]]+Table22[[#This Row],[Immature (g m)]]+Table22[[#This Row],[Spotted (g m)]])/1000*100</f>
        <v>28.9</v>
      </c>
      <c r="CC208" s="137">
        <v>13</v>
      </c>
      <c r="CD208" s="137">
        <v>180</v>
      </c>
      <c r="CE208" s="137"/>
      <c r="CF208" s="137"/>
      <c r="CH208" s="184">
        <f ca="1">TODAY()-Table22[[#This Row],[Discharge Date]]</f>
        <v>113</v>
      </c>
    </row>
    <row r="209" spans="1:86" x14ac:dyDescent="0.25">
      <c r="A209" s="50">
        <v>205</v>
      </c>
      <c r="B209" s="60" t="s">
        <v>95</v>
      </c>
      <c r="C209" s="60" t="s">
        <v>96</v>
      </c>
      <c r="D209" s="97">
        <v>205</v>
      </c>
      <c r="E209" s="73"/>
      <c r="F209" s="97">
        <v>407</v>
      </c>
      <c r="G209" s="73"/>
      <c r="H209" s="73"/>
      <c r="I209" s="73"/>
      <c r="J209" s="73"/>
      <c r="K209" s="97" t="s">
        <v>634</v>
      </c>
      <c r="L209" s="73"/>
      <c r="M209" s="100">
        <v>78900</v>
      </c>
      <c r="N209" s="100" t="s">
        <v>684</v>
      </c>
      <c r="O209" s="73" t="s">
        <v>390</v>
      </c>
      <c r="P209" s="97" t="s">
        <v>377</v>
      </c>
      <c r="Q209" s="101">
        <v>46142</v>
      </c>
      <c r="R209" s="102" t="s">
        <v>100</v>
      </c>
      <c r="S209" s="59" t="s">
        <v>101</v>
      </c>
      <c r="T209" s="102"/>
      <c r="U209" s="102"/>
      <c r="V209" s="51" t="s">
        <v>102</v>
      </c>
      <c r="W209" s="73">
        <v>479</v>
      </c>
      <c r="X209" s="73"/>
      <c r="Y209" s="51">
        <f t="shared" si="81"/>
        <v>479</v>
      </c>
      <c r="Z209" s="73"/>
      <c r="AA209" s="61">
        <f t="shared" si="78"/>
        <v>479</v>
      </c>
      <c r="AB209" s="51">
        <f t="shared" si="95"/>
        <v>0</v>
      </c>
      <c r="AC209" s="88">
        <f t="shared" si="84"/>
        <v>479</v>
      </c>
      <c r="AD209" s="63">
        <v>20</v>
      </c>
      <c r="AE209" s="63">
        <f t="shared" si="79"/>
        <v>0</v>
      </c>
      <c r="AF209" s="63">
        <v>11</v>
      </c>
      <c r="AG209" s="63"/>
      <c r="AH209" s="64">
        <f>AC209+AE209+Table22[[#This Row],[Humid Sacs]]-20</f>
        <v>479</v>
      </c>
      <c r="AI209" s="73"/>
      <c r="AJ209" s="73"/>
      <c r="AK209" s="62">
        <f t="shared" si="76"/>
        <v>479</v>
      </c>
      <c r="AL209" s="62">
        <f t="shared" si="77"/>
        <v>479</v>
      </c>
      <c r="AM209" s="73">
        <v>39980</v>
      </c>
      <c r="AN209" s="124">
        <f t="shared" si="74"/>
        <v>639</v>
      </c>
      <c r="AO209" s="77">
        <f t="shared" si="80"/>
        <v>39501</v>
      </c>
      <c r="AP209" s="77">
        <f t="shared" si="83"/>
        <v>39341</v>
      </c>
      <c r="AQ209" s="77">
        <f>+AO209-AE209*4-160</f>
        <v>39341</v>
      </c>
      <c r="AR209" s="67">
        <f t="shared" si="86"/>
        <v>160</v>
      </c>
      <c r="AS209" s="134">
        <f>Table22[[#This Row],[GROSS WT]]-Table22[[#This Row],[Total Bag Discharged (Truck)]]</f>
        <v>39501</v>
      </c>
      <c r="AT209" s="67">
        <f t="shared" si="87"/>
        <v>39501</v>
      </c>
      <c r="AU209" s="73"/>
      <c r="AV209" s="73">
        <v>33</v>
      </c>
      <c r="AW209" s="73">
        <v>22</v>
      </c>
      <c r="AX209" s="73">
        <v>0</v>
      </c>
      <c r="AY209" s="71">
        <f t="shared" si="88"/>
        <v>55</v>
      </c>
      <c r="AZ209" s="70">
        <v>235</v>
      </c>
      <c r="BA209" s="73">
        <v>14</v>
      </c>
      <c r="BB209" s="73">
        <v>15</v>
      </c>
      <c r="BC209" s="63">
        <f t="shared" si="92"/>
        <v>264</v>
      </c>
      <c r="BD209" s="72">
        <f>SUM(Table22[[#This Row],[Good Kernel (gm)]]+(Table22[[#This Row],[Immature (gm)]]+Table22[[#This Row],[Spotted (gm)]])/2)*0.176</f>
        <v>43.911999999999999</v>
      </c>
      <c r="BE209" s="73">
        <v>44</v>
      </c>
      <c r="BF209" s="72">
        <f t="shared" si="93"/>
        <v>46.561680000000003</v>
      </c>
      <c r="BG209" s="72">
        <f t="shared" si="89"/>
        <v>52.381889999999999</v>
      </c>
      <c r="BH209" s="72">
        <f>SUM(Table22[[#This Row],[Good Kernel (gm)]:[Spotted (gm)]])/1000*100</f>
        <v>26.400000000000002</v>
      </c>
      <c r="BI209" s="72">
        <f t="shared" si="90"/>
        <v>29.7</v>
      </c>
      <c r="BJ209" s="73">
        <v>10.8</v>
      </c>
      <c r="BK209" s="73">
        <v>180</v>
      </c>
      <c r="BL209" s="73">
        <v>677</v>
      </c>
      <c r="BM209" s="73">
        <v>26</v>
      </c>
      <c r="BN209" s="73"/>
      <c r="BO209" s="73">
        <v>38</v>
      </c>
      <c r="BP209" s="73">
        <v>0</v>
      </c>
      <c r="BQ209" s="71">
        <f t="shared" si="91"/>
        <v>64</v>
      </c>
      <c r="BR209" s="73">
        <v>242</v>
      </c>
      <c r="BS209" s="73">
        <v>13</v>
      </c>
      <c r="BT209" s="73">
        <v>9</v>
      </c>
      <c r="BU209" s="63">
        <f t="shared" si="96"/>
        <v>264</v>
      </c>
      <c r="BV209" s="72">
        <f>SUM(Table22[[#This Row],[Good Kernel (G M)]]+(Table22[[#This Row],[Immature (g m)]]+Table22[[#This Row],[Spotted (g m)]])/2)*0.176</f>
        <v>44.527999999999999</v>
      </c>
      <c r="BW209" s="73">
        <v>44.62</v>
      </c>
      <c r="BX209" s="73"/>
      <c r="BY209" s="141">
        <f t="shared" si="97"/>
        <v>46.561680000000003</v>
      </c>
      <c r="BZ209" s="72">
        <f t="shared" si="94"/>
        <v>51.147300000000001</v>
      </c>
      <c r="CA209" s="72">
        <f>SUM(Table22[[#This Row],[Good Kernel (G M)]:[Spotted (g m)]])/1000*100</f>
        <v>26.400000000000002</v>
      </c>
      <c r="CB209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209" s="73">
        <v>10.199999999999999</v>
      </c>
      <c r="CD209" s="73">
        <v>183</v>
      </c>
      <c r="CE209" s="73"/>
      <c r="CF209" s="73"/>
      <c r="CH209" s="184">
        <f ca="1">TODAY()-Table22[[#This Row],[Discharge Date]]</f>
        <v>113</v>
      </c>
    </row>
    <row r="210" spans="1:86" x14ac:dyDescent="0.25">
      <c r="A210" s="50">
        <v>206</v>
      </c>
      <c r="B210" s="60" t="s">
        <v>95</v>
      </c>
      <c r="C210" s="60" t="s">
        <v>96</v>
      </c>
      <c r="D210" s="97">
        <v>206</v>
      </c>
      <c r="E210" s="73"/>
      <c r="F210" s="97">
        <v>408</v>
      </c>
      <c r="G210" s="73"/>
      <c r="H210" s="73"/>
      <c r="I210" s="73"/>
      <c r="J210" s="73"/>
      <c r="K210" s="97" t="s">
        <v>634</v>
      </c>
      <c r="L210" s="73"/>
      <c r="M210" s="100">
        <v>78899</v>
      </c>
      <c r="N210" s="100" t="s">
        <v>688</v>
      </c>
      <c r="O210" s="73" t="s">
        <v>391</v>
      </c>
      <c r="P210" s="97" t="s">
        <v>377</v>
      </c>
      <c r="Q210" s="101">
        <v>46142</v>
      </c>
      <c r="R210" s="102" t="s">
        <v>100</v>
      </c>
      <c r="S210" s="59" t="s">
        <v>101</v>
      </c>
      <c r="T210" s="102"/>
      <c r="U210" s="102"/>
      <c r="V210" s="51" t="s">
        <v>102</v>
      </c>
      <c r="W210" s="73">
        <v>555</v>
      </c>
      <c r="X210" s="73"/>
      <c r="Y210" s="51">
        <f t="shared" si="81"/>
        <v>555</v>
      </c>
      <c r="Z210" s="73"/>
      <c r="AA210" s="61">
        <f t="shared" si="78"/>
        <v>555</v>
      </c>
      <c r="AB210" s="51">
        <f t="shared" si="95"/>
        <v>0</v>
      </c>
      <c r="AC210" s="88">
        <f t="shared" si="84"/>
        <v>555</v>
      </c>
      <c r="AD210" s="63">
        <v>20</v>
      </c>
      <c r="AE210" s="63">
        <f t="shared" si="79"/>
        <v>0</v>
      </c>
      <c r="AF210" s="63">
        <v>17</v>
      </c>
      <c r="AG210" s="63"/>
      <c r="AH210" s="64">
        <f>AC210+AE210+Table22[[#This Row],[Humid Sacs]]-20</f>
        <v>555</v>
      </c>
      <c r="AI210" s="73"/>
      <c r="AJ210" s="73"/>
      <c r="AK210" s="62">
        <f t="shared" si="76"/>
        <v>555</v>
      </c>
      <c r="AL210" s="62">
        <f t="shared" si="77"/>
        <v>555</v>
      </c>
      <c r="AM210" s="73">
        <v>51620</v>
      </c>
      <c r="AN210" s="124">
        <f t="shared" si="74"/>
        <v>715</v>
      </c>
      <c r="AO210" s="77">
        <f t="shared" si="80"/>
        <v>51065</v>
      </c>
      <c r="AP210" s="77">
        <f t="shared" si="83"/>
        <v>50905</v>
      </c>
      <c r="AQ210" s="77">
        <f t="shared" ref="AQ210" si="99">+AO210-AE210*4-160</f>
        <v>50905</v>
      </c>
      <c r="AR210" s="67">
        <f t="shared" si="86"/>
        <v>160</v>
      </c>
      <c r="AS210" s="134">
        <f>Table22[[#This Row],[GROSS WT]]-Table22[[#This Row],[Total Bag Discharged (Truck)]]</f>
        <v>51065</v>
      </c>
      <c r="AT210" s="67">
        <f t="shared" si="87"/>
        <v>51065</v>
      </c>
      <c r="AU210" s="73"/>
      <c r="AV210" s="73">
        <v>30</v>
      </c>
      <c r="AW210" s="73">
        <v>17</v>
      </c>
      <c r="AX210" s="73">
        <v>0</v>
      </c>
      <c r="AY210" s="71">
        <f t="shared" si="88"/>
        <v>47</v>
      </c>
      <c r="AZ210" s="70">
        <v>230</v>
      </c>
      <c r="BA210" s="73">
        <v>7</v>
      </c>
      <c r="BB210" s="73">
        <v>8</v>
      </c>
      <c r="BC210" s="63">
        <f t="shared" si="92"/>
        <v>245</v>
      </c>
      <c r="BD210" s="72">
        <f>SUM(Table22[[#This Row],[Good Kernel (gm)]]+(Table22[[#This Row],[Immature (gm)]]+Table22[[#This Row],[Spotted (gm)]])/2)*0.176</f>
        <v>41.8</v>
      </c>
      <c r="BE210" s="73">
        <v>41.88</v>
      </c>
      <c r="BF210" s="72">
        <f t="shared" si="93"/>
        <v>43.210650000000001</v>
      </c>
      <c r="BG210" s="72">
        <f t="shared" si="89"/>
        <v>48.501750000000001</v>
      </c>
      <c r="BH210" s="72">
        <f>SUM(Table22[[#This Row],[Good Kernel (gm)]:[Spotted (gm)]])/1000*100</f>
        <v>24.5</v>
      </c>
      <c r="BI210" s="72">
        <f t="shared" si="90"/>
        <v>27.500000000000004</v>
      </c>
      <c r="BJ210" s="73">
        <v>10.9</v>
      </c>
      <c r="BK210" s="73">
        <v>171</v>
      </c>
      <c r="BL210" s="73">
        <v>702</v>
      </c>
      <c r="BM210" s="73">
        <v>38</v>
      </c>
      <c r="BN210" s="73"/>
      <c r="BO210" s="73">
        <v>9</v>
      </c>
      <c r="BP210" s="73">
        <v>0</v>
      </c>
      <c r="BQ210" s="71">
        <f t="shared" si="91"/>
        <v>47</v>
      </c>
      <c r="BR210" s="73">
        <v>228</v>
      </c>
      <c r="BS210" s="73">
        <v>13</v>
      </c>
      <c r="BT210" s="73">
        <v>10</v>
      </c>
      <c r="BU210" s="63">
        <f t="shared" si="96"/>
        <v>251</v>
      </c>
      <c r="BV210" s="72">
        <f>SUM(Table22[[#This Row],[Good Kernel (G M)]]+(Table22[[#This Row],[Immature (g m)]]+Table22[[#This Row],[Spotted (g m)]])/2)*0.176</f>
        <v>42.152000000000001</v>
      </c>
      <c r="BW210" s="73">
        <v>42.24</v>
      </c>
      <c r="BX210" s="73"/>
      <c r="BY210" s="141">
        <f t="shared" si="97"/>
        <v>44.26887</v>
      </c>
      <c r="BZ210" s="72">
        <f t="shared" si="94"/>
        <v>50.970930000000003</v>
      </c>
      <c r="CA210" s="72">
        <f>SUM(Table22[[#This Row],[Good Kernel (G M)]:[Spotted (g m)]])/1000*100</f>
        <v>25.1</v>
      </c>
      <c r="CB210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10" s="73">
        <v>10.1</v>
      </c>
      <c r="CD210" s="73">
        <v>175</v>
      </c>
      <c r="CE210" s="73"/>
      <c r="CF210" s="73"/>
      <c r="CH210" s="184">
        <f ca="1">TODAY()-Table22[[#This Row],[Discharge Date]]</f>
        <v>113</v>
      </c>
    </row>
    <row r="211" spans="1:86" x14ac:dyDescent="0.25">
      <c r="A211" s="50">
        <v>207</v>
      </c>
      <c r="B211" s="60" t="s">
        <v>95</v>
      </c>
      <c r="C211" s="60" t="s">
        <v>96</v>
      </c>
      <c r="D211" s="97">
        <v>207</v>
      </c>
      <c r="E211" s="73"/>
      <c r="F211" s="97">
        <v>406</v>
      </c>
      <c r="G211" s="73"/>
      <c r="H211" s="73"/>
      <c r="I211" s="73"/>
      <c r="J211" s="73"/>
      <c r="K211" s="97" t="s">
        <v>634</v>
      </c>
      <c r="L211" s="73"/>
      <c r="M211" s="100">
        <v>37964</v>
      </c>
      <c r="N211" s="100" t="s">
        <v>686</v>
      </c>
      <c r="O211" s="73" t="s">
        <v>392</v>
      </c>
      <c r="P211" s="97" t="s">
        <v>300</v>
      </c>
      <c r="Q211" s="101">
        <v>46142</v>
      </c>
      <c r="R211" s="102" t="s">
        <v>224</v>
      </c>
      <c r="S211" s="103" t="s">
        <v>393</v>
      </c>
      <c r="T211" s="102" t="s">
        <v>198</v>
      </c>
      <c r="U211" s="102" t="s">
        <v>436</v>
      </c>
      <c r="V211" s="73" t="s">
        <v>199</v>
      </c>
      <c r="W211" s="73">
        <v>499</v>
      </c>
      <c r="X211" s="73"/>
      <c r="Y211" s="51">
        <f t="shared" si="81"/>
        <v>499</v>
      </c>
      <c r="Z211" s="73"/>
      <c r="AA211" s="61">
        <f t="shared" si="78"/>
        <v>499</v>
      </c>
      <c r="AB211" s="51">
        <f t="shared" si="95"/>
        <v>0</v>
      </c>
      <c r="AC211" s="88">
        <f t="shared" si="84"/>
        <v>499</v>
      </c>
      <c r="AD211" s="63">
        <v>10</v>
      </c>
      <c r="AE211" s="63">
        <f t="shared" si="79"/>
        <v>0</v>
      </c>
      <c r="AF211" s="63">
        <v>28</v>
      </c>
      <c r="AG211" s="63"/>
      <c r="AH211" s="64">
        <f>AC211+AE211+Table22[[#This Row],[Humid Sacs]]-10</f>
        <v>499</v>
      </c>
      <c r="AI211" s="73"/>
      <c r="AJ211" s="73"/>
      <c r="AK211" s="62">
        <f t="shared" si="76"/>
        <v>499</v>
      </c>
      <c r="AL211" s="62">
        <f t="shared" si="77"/>
        <v>499</v>
      </c>
      <c r="AM211" s="73">
        <v>40090</v>
      </c>
      <c r="AN211" s="124">
        <f t="shared" si="74"/>
        <v>579</v>
      </c>
      <c r="AO211" s="77">
        <f t="shared" si="80"/>
        <v>39591</v>
      </c>
      <c r="AP211" s="77">
        <f t="shared" si="83"/>
        <v>39511</v>
      </c>
      <c r="AQ211" s="77">
        <f>+AO211-AE211*4-80</f>
        <v>39511</v>
      </c>
      <c r="AR211" s="67">
        <f t="shared" si="86"/>
        <v>80</v>
      </c>
      <c r="AS211" s="134">
        <f>Table22[[#This Row],[GROSS WT]]-Table22[[#This Row],[Total Bag Discharged (Truck)]]</f>
        <v>39591</v>
      </c>
      <c r="AT211" s="67">
        <f t="shared" si="87"/>
        <v>39591</v>
      </c>
      <c r="AU211" s="73"/>
      <c r="AV211" s="73">
        <v>24</v>
      </c>
      <c r="AW211" s="73">
        <v>27</v>
      </c>
      <c r="AX211" s="73">
        <v>0</v>
      </c>
      <c r="AY211" s="71">
        <f t="shared" si="88"/>
        <v>51</v>
      </c>
      <c r="AZ211" s="70">
        <v>229</v>
      </c>
      <c r="BA211" s="73">
        <v>14</v>
      </c>
      <c r="BB211" s="73">
        <v>13</v>
      </c>
      <c r="BC211" s="63">
        <f t="shared" si="92"/>
        <v>256</v>
      </c>
      <c r="BD211" s="72">
        <f>SUM(Table22[[#This Row],[Good Kernel (gm)]]+(Table22[[#This Row],[Immature (gm)]]+Table22[[#This Row],[Spotted (gm)]])/2)*0.176</f>
        <v>42.68</v>
      </c>
      <c r="BE211" s="73">
        <v>42.76</v>
      </c>
      <c r="BF211" s="72">
        <f t="shared" si="93"/>
        <v>45.15072</v>
      </c>
      <c r="BG211" s="72">
        <f t="shared" si="89"/>
        <v>49.383600000000001</v>
      </c>
      <c r="BH211" s="72">
        <f>SUM(Table22[[#This Row],[Good Kernel (gm)]:[Spotted (gm)]])/1000*100</f>
        <v>25.6</v>
      </c>
      <c r="BI211" s="72">
        <f t="shared" si="90"/>
        <v>28.000000000000004</v>
      </c>
      <c r="BJ211" s="73">
        <v>10.7</v>
      </c>
      <c r="BK211" s="73">
        <v>175</v>
      </c>
      <c r="BL211" s="73">
        <v>687</v>
      </c>
      <c r="BM211" s="73">
        <v>33</v>
      </c>
      <c r="BN211" s="73"/>
      <c r="BO211" s="73">
        <v>13</v>
      </c>
      <c r="BP211" s="73">
        <v>2</v>
      </c>
      <c r="BQ211" s="71">
        <f t="shared" si="91"/>
        <v>48</v>
      </c>
      <c r="BR211" s="73">
        <v>232</v>
      </c>
      <c r="BS211" s="73">
        <v>15</v>
      </c>
      <c r="BT211" s="73">
        <v>12</v>
      </c>
      <c r="BU211" s="63">
        <f t="shared" si="96"/>
        <v>259</v>
      </c>
      <c r="BV211" s="72">
        <f>SUM(Table22[[#This Row],[Good Kernel (G M)]]+(Table22[[#This Row],[Immature (g m)]]+Table22[[#This Row],[Spotted (g m)]])/2)*0.176</f>
        <v>43.207999999999998</v>
      </c>
      <c r="BW211" s="73">
        <v>43.29</v>
      </c>
      <c r="BX211" s="73"/>
      <c r="BY211" s="141">
        <f t="shared" si="97"/>
        <v>45.679830000000003</v>
      </c>
      <c r="BZ211" s="72">
        <f t="shared" si="94"/>
        <v>51.852780000000003</v>
      </c>
      <c r="CA211" s="72">
        <f>SUM(Table22[[#This Row],[Good Kernel (G M)]:[Spotted (g m)]])/1000*100</f>
        <v>25.900000000000002</v>
      </c>
      <c r="CB211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11" s="73">
        <v>10.199999999999999</v>
      </c>
      <c r="CD211" s="73">
        <v>188</v>
      </c>
      <c r="CE211" s="73"/>
      <c r="CF211" s="73"/>
      <c r="CH211" s="184">
        <f ca="1">TODAY()-Table22[[#This Row],[Discharge Date]]</f>
        <v>113</v>
      </c>
    </row>
    <row r="212" spans="1:86" x14ac:dyDescent="0.25">
      <c r="A212" s="50">
        <v>208</v>
      </c>
      <c r="B212" s="60" t="s">
        <v>95</v>
      </c>
      <c r="C212" s="60" t="s">
        <v>96</v>
      </c>
      <c r="D212" s="97">
        <v>208</v>
      </c>
      <c r="E212" s="73"/>
      <c r="F212" s="97">
        <v>409</v>
      </c>
      <c r="G212" s="73"/>
      <c r="H212" s="73"/>
      <c r="I212" s="155">
        <v>46058</v>
      </c>
      <c r="J212" s="73" t="s">
        <v>384</v>
      </c>
      <c r="K212" s="97" t="s">
        <v>634</v>
      </c>
      <c r="L212" s="73"/>
      <c r="M212" s="100">
        <v>39786</v>
      </c>
      <c r="N212" s="100" t="s">
        <v>691</v>
      </c>
      <c r="O212" s="73" t="s">
        <v>394</v>
      </c>
      <c r="P212" s="97" t="s">
        <v>395</v>
      </c>
      <c r="Q212" s="101">
        <v>46144</v>
      </c>
      <c r="R212" s="102" t="s">
        <v>224</v>
      </c>
      <c r="S212" s="131" t="s">
        <v>396</v>
      </c>
      <c r="T212" s="102"/>
      <c r="U212" s="102"/>
      <c r="V212" s="73" t="s">
        <v>397</v>
      </c>
      <c r="W212" s="73">
        <v>572</v>
      </c>
      <c r="X212" s="73"/>
      <c r="Y212" s="51">
        <f t="shared" si="81"/>
        <v>572</v>
      </c>
      <c r="Z212" s="73"/>
      <c r="AA212" s="61">
        <f t="shared" si="78"/>
        <v>572</v>
      </c>
      <c r="AB212" s="51">
        <f t="shared" si="95"/>
        <v>0</v>
      </c>
      <c r="AC212" s="88">
        <f t="shared" si="84"/>
        <v>572</v>
      </c>
      <c r="AD212" s="73">
        <v>20</v>
      </c>
      <c r="AE212" s="63">
        <f t="shared" si="79"/>
        <v>0</v>
      </c>
      <c r="AF212" s="63">
        <v>32</v>
      </c>
      <c r="AG212" s="73"/>
      <c r="AH212" s="64">
        <f>AC212+AE212+Table22[[#This Row],[Humid Sacs]]-20</f>
        <v>572</v>
      </c>
      <c r="AI212" s="73"/>
      <c r="AJ212" s="73"/>
      <c r="AK212" s="62">
        <f t="shared" si="76"/>
        <v>572</v>
      </c>
      <c r="AL212" s="62">
        <f t="shared" si="77"/>
        <v>572</v>
      </c>
      <c r="AM212" s="73">
        <v>50930</v>
      </c>
      <c r="AN212" s="124">
        <f t="shared" si="74"/>
        <v>732</v>
      </c>
      <c r="AO212" s="77">
        <f t="shared" si="80"/>
        <v>50358</v>
      </c>
      <c r="AP212" s="77">
        <f t="shared" si="83"/>
        <v>50198</v>
      </c>
      <c r="AQ212" s="77">
        <f>+AO212-AE212*4-160</f>
        <v>50198</v>
      </c>
      <c r="AR212" s="67">
        <f t="shared" si="86"/>
        <v>160</v>
      </c>
      <c r="AS212" s="134">
        <f>Table22[[#This Row],[GROSS WT]]-Table22[[#This Row],[Total Bag Discharged (Truck)]]</f>
        <v>50358</v>
      </c>
      <c r="AT212" s="67">
        <f t="shared" si="87"/>
        <v>50358</v>
      </c>
      <c r="AU212" s="73"/>
      <c r="AV212" s="73">
        <v>37</v>
      </c>
      <c r="AW212" s="73">
        <v>11</v>
      </c>
      <c r="AX212" s="73">
        <v>0</v>
      </c>
      <c r="AY212" s="71">
        <f t="shared" si="88"/>
        <v>48</v>
      </c>
      <c r="AZ212" s="70">
        <v>240</v>
      </c>
      <c r="BA212" s="73">
        <v>12</v>
      </c>
      <c r="BB212" s="73">
        <v>11</v>
      </c>
      <c r="BC212" s="63">
        <f t="shared" si="92"/>
        <v>263</v>
      </c>
      <c r="BD212" s="72">
        <f>SUM(Table22[[#This Row],[Good Kernel (gm)]]+(Table22[[#This Row],[Immature (gm)]]+Table22[[#This Row],[Spotted (gm)]])/2)*0.176</f>
        <v>44.263999999999996</v>
      </c>
      <c r="BE212" s="73">
        <v>44.35</v>
      </c>
      <c r="BF212" s="72">
        <f t="shared" si="93"/>
        <v>46.385309999999997</v>
      </c>
      <c r="BG212" s="72">
        <f t="shared" si="89"/>
        <v>52.911000000000001</v>
      </c>
      <c r="BH212" s="72">
        <f>SUM(Table22[[#This Row],[Good Kernel (gm)]:[Spotted (gm)]])/1000*100</f>
        <v>26.3</v>
      </c>
      <c r="BI212" s="72">
        <f t="shared" si="90"/>
        <v>30</v>
      </c>
      <c r="BJ212" s="73">
        <v>11.9</v>
      </c>
      <c r="BK212" s="73">
        <v>170</v>
      </c>
      <c r="BL212" s="73">
        <v>684</v>
      </c>
      <c r="BM212" s="73">
        <v>37</v>
      </c>
      <c r="BN212" s="73"/>
      <c r="BO212" s="73">
        <v>12</v>
      </c>
      <c r="BP212" s="73">
        <v>0</v>
      </c>
      <c r="BQ212" s="71">
        <f t="shared" si="91"/>
        <v>49</v>
      </c>
      <c r="BR212" s="73">
        <v>235</v>
      </c>
      <c r="BS212" s="73">
        <v>16</v>
      </c>
      <c r="BT212" s="73">
        <v>12</v>
      </c>
      <c r="BU212" s="63">
        <f t="shared" si="96"/>
        <v>263</v>
      </c>
      <c r="BV212" s="72">
        <f>SUM(Table22[[#This Row],[Good Kernel (G M)]]+(Table22[[#This Row],[Immature (g m)]]+Table22[[#This Row],[Spotted (g m)]])/2)*0.176</f>
        <v>43.823999999999998</v>
      </c>
      <c r="BW212" s="73">
        <v>43.91</v>
      </c>
      <c r="BX212" s="73"/>
      <c r="BY212" s="141">
        <f t="shared" si="97"/>
        <v>46.385309999999997</v>
      </c>
      <c r="BZ212" s="72">
        <f t="shared" si="94"/>
        <v>52.911000000000001</v>
      </c>
      <c r="CA212" s="72">
        <f>SUM(Table22[[#This Row],[Good Kernel (G M)]:[Spotted (g m)]])/1000*100</f>
        <v>26.3</v>
      </c>
      <c r="CB212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12" s="73">
        <v>11.6</v>
      </c>
      <c r="CD212" s="73">
        <v>175</v>
      </c>
      <c r="CE212" s="73"/>
      <c r="CF212" s="73"/>
      <c r="CH212" s="184">
        <f ca="1">TODAY()-Table22[[#This Row],[Discharge Date]]</f>
        <v>111</v>
      </c>
    </row>
    <row r="213" spans="1:86" x14ac:dyDescent="0.25">
      <c r="A213" s="50">
        <v>209</v>
      </c>
      <c r="B213" s="60" t="s">
        <v>95</v>
      </c>
      <c r="C213" s="60" t="s">
        <v>96</v>
      </c>
      <c r="D213" s="97">
        <v>209</v>
      </c>
      <c r="E213" s="73"/>
      <c r="F213" s="97">
        <v>410</v>
      </c>
      <c r="G213" s="73"/>
      <c r="H213" s="73"/>
      <c r="I213" s="155">
        <v>46058</v>
      </c>
      <c r="J213" s="73" t="s">
        <v>384</v>
      </c>
      <c r="K213" s="97" t="s">
        <v>636</v>
      </c>
      <c r="L213" s="73"/>
      <c r="M213" s="100">
        <v>87107</v>
      </c>
      <c r="N213" s="100" t="s">
        <v>684</v>
      </c>
      <c r="O213" s="73" t="s">
        <v>398</v>
      </c>
      <c r="P213" s="97" t="s">
        <v>395</v>
      </c>
      <c r="Q213" s="101">
        <v>46144</v>
      </c>
      <c r="R213" s="102" t="s">
        <v>100</v>
      </c>
      <c r="S213" s="59" t="s">
        <v>107</v>
      </c>
      <c r="T213" s="102"/>
      <c r="U213" s="102"/>
      <c r="V213" s="51" t="s">
        <v>108</v>
      </c>
      <c r="W213" s="73">
        <v>667</v>
      </c>
      <c r="X213" s="73"/>
      <c r="Y213" s="51">
        <f t="shared" si="81"/>
        <v>667</v>
      </c>
      <c r="Z213" s="73"/>
      <c r="AA213" s="61">
        <f t="shared" si="78"/>
        <v>667</v>
      </c>
      <c r="AB213" s="51">
        <f t="shared" si="95"/>
        <v>0</v>
      </c>
      <c r="AC213" s="88">
        <f t="shared" si="84"/>
        <v>667</v>
      </c>
      <c r="AD213" s="73"/>
      <c r="AE213" s="63">
        <v>10</v>
      </c>
      <c r="AF213" s="63"/>
      <c r="AG213" s="73"/>
      <c r="AH213" s="64">
        <f>AC213+AE213+Table22[[#This Row],[Humid Sacs]]-10</f>
        <v>667</v>
      </c>
      <c r="AI213" s="73"/>
      <c r="AJ213" s="73"/>
      <c r="AK213" s="62">
        <f t="shared" si="76"/>
        <v>667</v>
      </c>
      <c r="AL213" s="62">
        <f t="shared" si="77"/>
        <v>667</v>
      </c>
      <c r="AM213" s="73">
        <v>53170</v>
      </c>
      <c r="AN213" s="124">
        <f>(AD213*8)+(AE213*4)+(AG213*0)+(AH213*1)</f>
        <v>707</v>
      </c>
      <c r="AO213" s="77">
        <f t="shared" si="80"/>
        <v>52503</v>
      </c>
      <c r="AP213" s="77">
        <f t="shared" si="83"/>
        <v>52463</v>
      </c>
      <c r="AQ213" s="77">
        <f>+AO213-AE213*4</f>
        <v>52463</v>
      </c>
      <c r="AR213" s="67">
        <f t="shared" si="86"/>
        <v>40</v>
      </c>
      <c r="AS213" s="134">
        <f>Table22[[#This Row],[GROSS WT]]-Table22[[#This Row],[Total Bag Discharged (Truck)]]</f>
        <v>52503</v>
      </c>
      <c r="AT213" s="67">
        <f t="shared" si="87"/>
        <v>52503</v>
      </c>
      <c r="AU213" s="73"/>
      <c r="AV213" s="73">
        <v>20</v>
      </c>
      <c r="AW213" s="73">
        <v>24</v>
      </c>
      <c r="AX213" s="73">
        <v>0</v>
      </c>
      <c r="AY213" s="71">
        <f t="shared" si="88"/>
        <v>44</v>
      </c>
      <c r="AZ213" s="70">
        <v>234</v>
      </c>
      <c r="BA213" s="73">
        <v>20</v>
      </c>
      <c r="BB213" s="73">
        <v>13</v>
      </c>
      <c r="BC213" s="63">
        <f t="shared" si="92"/>
        <v>267</v>
      </c>
      <c r="BD213" s="72">
        <f>SUM(Table22[[#This Row],[Good Kernel (gm)]]+(Table22[[#This Row],[Immature (gm)]]+Table22[[#This Row],[Spotted (gm)]])/2)*0.176</f>
        <v>44.088000000000001</v>
      </c>
      <c r="BE213" s="73">
        <v>44.18</v>
      </c>
      <c r="BF213" s="72">
        <f t="shared" si="93"/>
        <v>47.090789999999998</v>
      </c>
      <c r="BG213" s="72">
        <f t="shared" si="89"/>
        <v>50.618189999999998</v>
      </c>
      <c r="BH213" s="72">
        <f>SUM(Table22[[#This Row],[Good Kernel (gm)]:[Spotted (gm)]])/1000*100</f>
        <v>26.700000000000003</v>
      </c>
      <c r="BI213" s="72">
        <f t="shared" si="90"/>
        <v>28.7</v>
      </c>
      <c r="BJ213" s="73">
        <v>10.1</v>
      </c>
      <c r="BK213" s="73">
        <v>183</v>
      </c>
      <c r="BL213" s="73">
        <v>685</v>
      </c>
      <c r="BM213" s="73">
        <v>35</v>
      </c>
      <c r="BN213" s="73"/>
      <c r="BO213" s="73">
        <v>19</v>
      </c>
      <c r="BP213" s="73">
        <v>2</v>
      </c>
      <c r="BQ213" s="71">
        <f t="shared" si="91"/>
        <v>56</v>
      </c>
      <c r="BR213" s="73">
        <v>235</v>
      </c>
      <c r="BS213" s="73">
        <v>8</v>
      </c>
      <c r="BT213" s="73">
        <v>19</v>
      </c>
      <c r="BU213" s="63">
        <f t="shared" si="96"/>
        <v>262</v>
      </c>
      <c r="BV213" s="72">
        <f>SUM(Table22[[#This Row],[Good Kernel (G M)]]+(Table22[[#This Row],[Immature (g m)]]+Table22[[#This Row],[Spotted (g m)]])/2)*0.176</f>
        <v>43.735999999999997</v>
      </c>
      <c r="BW213" s="73">
        <v>43.82</v>
      </c>
      <c r="BX213" s="73"/>
      <c r="BY213" s="141">
        <f t="shared" si="97"/>
        <v>46.208939999999998</v>
      </c>
      <c r="BZ213" s="72">
        <f t="shared" si="94"/>
        <v>52.734630000000003</v>
      </c>
      <c r="CA213" s="72">
        <f>SUM(Table22[[#This Row],[Good Kernel (G M)]:[Spotted (g m)]])/1000*100</f>
        <v>26.200000000000003</v>
      </c>
      <c r="CB213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213" s="73">
        <v>9.6999999999999993</v>
      </c>
      <c r="CD213" s="73">
        <v>181</v>
      </c>
      <c r="CE213" s="73"/>
      <c r="CF213" s="73"/>
      <c r="CH213" s="184">
        <f ca="1">TODAY()-Table22[[#This Row],[Discharge Date]]</f>
        <v>111</v>
      </c>
    </row>
    <row r="214" spans="1:86" x14ac:dyDescent="0.25">
      <c r="A214" s="50">
        <v>210</v>
      </c>
      <c r="B214" s="60" t="s">
        <v>95</v>
      </c>
      <c r="C214" s="60" t="s">
        <v>96</v>
      </c>
      <c r="D214" s="97">
        <v>210</v>
      </c>
      <c r="E214" s="73"/>
      <c r="F214" s="97">
        <v>411</v>
      </c>
      <c r="G214" s="73"/>
      <c r="H214" s="73"/>
      <c r="I214" s="155">
        <v>46058</v>
      </c>
      <c r="J214" s="73" t="s">
        <v>384</v>
      </c>
      <c r="K214" s="97" t="s">
        <v>636</v>
      </c>
      <c r="L214" s="73"/>
      <c r="M214" s="100">
        <v>89243</v>
      </c>
      <c r="N214" s="100" t="s">
        <v>686</v>
      </c>
      <c r="O214" s="73" t="s">
        <v>399</v>
      </c>
      <c r="P214" s="97" t="s">
        <v>347</v>
      </c>
      <c r="Q214" s="101">
        <v>46144</v>
      </c>
      <c r="R214" s="102" t="s">
        <v>224</v>
      </c>
      <c r="S214" s="103" t="s">
        <v>231</v>
      </c>
      <c r="T214" s="102" t="s">
        <v>198</v>
      </c>
      <c r="U214" s="102"/>
      <c r="V214" s="73" t="s">
        <v>199</v>
      </c>
      <c r="W214" s="73">
        <v>428</v>
      </c>
      <c r="X214" s="73"/>
      <c r="Y214" s="51">
        <f t="shared" si="81"/>
        <v>428</v>
      </c>
      <c r="Z214" s="73"/>
      <c r="AA214" s="61">
        <f t="shared" si="78"/>
        <v>428</v>
      </c>
      <c r="AB214" s="51">
        <f t="shared" si="95"/>
        <v>0</v>
      </c>
      <c r="AC214" s="88">
        <f t="shared" si="84"/>
        <v>428</v>
      </c>
      <c r="AD214" s="73">
        <v>20</v>
      </c>
      <c r="AE214" s="63">
        <f t="shared" si="79"/>
        <v>0</v>
      </c>
      <c r="AF214" s="63"/>
      <c r="AG214" s="73"/>
      <c r="AH214" s="64">
        <f>AC214+AE214+Table22[[#This Row],[Humid Sacs]]-20</f>
        <v>428</v>
      </c>
      <c r="AI214" s="73"/>
      <c r="AJ214" s="73"/>
      <c r="AK214" s="62">
        <f t="shared" si="76"/>
        <v>428</v>
      </c>
      <c r="AL214" s="62">
        <f t="shared" si="77"/>
        <v>428</v>
      </c>
      <c r="AM214" s="73">
        <v>35780</v>
      </c>
      <c r="AN214" s="124">
        <f t="shared" si="74"/>
        <v>588</v>
      </c>
      <c r="AO214" s="77">
        <f t="shared" si="80"/>
        <v>35352</v>
      </c>
      <c r="AP214" s="77">
        <f t="shared" si="83"/>
        <v>35192</v>
      </c>
      <c r="AQ214" s="77">
        <f>+AO214-AE214*4-160</f>
        <v>35192</v>
      </c>
      <c r="AR214" s="67">
        <f t="shared" si="86"/>
        <v>160</v>
      </c>
      <c r="AS214" s="134">
        <f>Table22[[#This Row],[GROSS WT]]-Table22[[#This Row],[Total Bag Discharged (Truck)]]</f>
        <v>35352</v>
      </c>
      <c r="AT214" s="67">
        <f t="shared" si="87"/>
        <v>35352</v>
      </c>
      <c r="AU214" s="73"/>
      <c r="AV214" s="73">
        <v>34</v>
      </c>
      <c r="AW214" s="73">
        <v>30</v>
      </c>
      <c r="AX214" s="73">
        <v>0</v>
      </c>
      <c r="AY214" s="71">
        <f t="shared" si="88"/>
        <v>64</v>
      </c>
      <c r="AZ214" s="70">
        <v>231</v>
      </c>
      <c r="BA214" s="73">
        <v>8</v>
      </c>
      <c r="BB214" s="73">
        <v>12</v>
      </c>
      <c r="BC214" s="63">
        <f t="shared" si="92"/>
        <v>251</v>
      </c>
      <c r="BD214" s="72">
        <f>SUM(Table22[[#This Row],[Good Kernel (gm)]]+(Table22[[#This Row],[Immature (gm)]]+Table22[[#This Row],[Spotted (gm)]])/2)*0.176</f>
        <v>42.415999999999997</v>
      </c>
      <c r="BE214" s="73">
        <v>42.5</v>
      </c>
      <c r="BF214" s="72">
        <f t="shared" si="93"/>
        <v>44.26887</v>
      </c>
      <c r="BG214" s="72">
        <f t="shared" si="89"/>
        <v>50.265450000000001</v>
      </c>
      <c r="BH214" s="72">
        <f>SUM(Table22[[#This Row],[Good Kernel (gm)]:[Spotted (gm)]])/1000*100</f>
        <v>25.1</v>
      </c>
      <c r="BI214" s="72">
        <f t="shared" si="90"/>
        <v>28.499999999999996</v>
      </c>
      <c r="BJ214" s="73">
        <v>11.8</v>
      </c>
      <c r="BK214" s="73">
        <v>163</v>
      </c>
      <c r="BL214" s="73">
        <v>679</v>
      </c>
      <c r="BM214" s="73">
        <v>38</v>
      </c>
      <c r="BN214" s="73"/>
      <c r="BO214" s="73">
        <v>19</v>
      </c>
      <c r="BP214" s="73">
        <v>4</v>
      </c>
      <c r="BQ214" s="71">
        <f t="shared" si="91"/>
        <v>61</v>
      </c>
      <c r="BR214" s="73">
        <v>229</v>
      </c>
      <c r="BS214" s="73">
        <v>8</v>
      </c>
      <c r="BT214" s="73">
        <v>15</v>
      </c>
      <c r="BU214" s="63">
        <f t="shared" si="96"/>
        <v>252</v>
      </c>
      <c r="BV214" s="72">
        <f>SUM(Table22[[#This Row],[Good Kernel (G M)]]+(Table22[[#This Row],[Immature (g m)]]+Table22[[#This Row],[Spotted (g m)]])/2)*0.176</f>
        <v>42.327999999999996</v>
      </c>
      <c r="BW214" s="73">
        <v>42.41</v>
      </c>
      <c r="BX214" s="73"/>
      <c r="BY214" s="141">
        <f t="shared" si="97"/>
        <v>44.445239999999998</v>
      </c>
      <c r="BZ214" s="72">
        <f t="shared" si="94"/>
        <v>51.852780000000003</v>
      </c>
      <c r="CA214" s="72">
        <f>SUM(Table22[[#This Row],[Good Kernel (G M)]:[Spotted (g m)]])/1000*100</f>
        <v>25.2</v>
      </c>
      <c r="CB214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14" s="73">
        <v>11.9</v>
      </c>
      <c r="CD214" s="73">
        <v>175</v>
      </c>
      <c r="CE214" s="73"/>
      <c r="CF214" s="73"/>
      <c r="CH214" s="184">
        <f ca="1">TODAY()-Table22[[#This Row],[Discharge Date]]</f>
        <v>111</v>
      </c>
    </row>
    <row r="215" spans="1:86" x14ac:dyDescent="0.25">
      <c r="A215" s="50">
        <v>211</v>
      </c>
      <c r="B215" s="60" t="s">
        <v>95</v>
      </c>
      <c r="C215" s="60" t="s">
        <v>96</v>
      </c>
      <c r="D215" s="97">
        <v>211</v>
      </c>
      <c r="E215" s="73"/>
      <c r="F215" s="97">
        <v>412</v>
      </c>
      <c r="G215" s="73"/>
      <c r="H215" s="73"/>
      <c r="I215" s="155">
        <v>46058</v>
      </c>
      <c r="J215" s="73" t="s">
        <v>384</v>
      </c>
      <c r="K215" s="97" t="s">
        <v>636</v>
      </c>
      <c r="L215" s="73"/>
      <c r="M215" s="100">
        <v>83832</v>
      </c>
      <c r="N215" s="100" t="s">
        <v>690</v>
      </c>
      <c r="O215" s="73" t="s">
        <v>400</v>
      </c>
      <c r="P215" s="97" t="s">
        <v>377</v>
      </c>
      <c r="Q215" s="101">
        <v>46144</v>
      </c>
      <c r="R215" s="102" t="s">
        <v>204</v>
      </c>
      <c r="S215" s="103" t="s">
        <v>205</v>
      </c>
      <c r="T215" s="102"/>
      <c r="U215" s="102"/>
      <c r="V215" s="73" t="s">
        <v>206</v>
      </c>
      <c r="W215" s="73">
        <v>523</v>
      </c>
      <c r="X215" s="73"/>
      <c r="Y215" s="51">
        <f t="shared" si="81"/>
        <v>523</v>
      </c>
      <c r="Z215" s="73"/>
      <c r="AA215" s="61">
        <f t="shared" si="78"/>
        <v>523</v>
      </c>
      <c r="AB215" s="51">
        <f t="shared" si="95"/>
        <v>0</v>
      </c>
      <c r="AC215" s="88">
        <f t="shared" si="84"/>
        <v>523</v>
      </c>
      <c r="AD215" s="73">
        <v>40</v>
      </c>
      <c r="AE215" s="63">
        <f t="shared" si="79"/>
        <v>0</v>
      </c>
      <c r="AF215" s="63"/>
      <c r="AG215" s="73"/>
      <c r="AH215" s="64">
        <f>AC215+AE215+Table22[[#This Row],[Humid Sacs]]-40</f>
        <v>523</v>
      </c>
      <c r="AI215" s="73"/>
      <c r="AJ215" s="73"/>
      <c r="AK215" s="62">
        <f t="shared" si="76"/>
        <v>523</v>
      </c>
      <c r="AL215" s="62">
        <f t="shared" si="77"/>
        <v>523</v>
      </c>
      <c r="AM215" s="73">
        <v>40570</v>
      </c>
      <c r="AN215" s="124">
        <f t="shared" si="74"/>
        <v>843</v>
      </c>
      <c r="AO215" s="77">
        <f t="shared" si="80"/>
        <v>40047</v>
      </c>
      <c r="AP215" s="77">
        <f t="shared" si="83"/>
        <v>39727</v>
      </c>
      <c r="AQ215" s="77">
        <f>+AO215-AE215*4-320</f>
        <v>39727</v>
      </c>
      <c r="AR215" s="67">
        <f t="shared" si="86"/>
        <v>320</v>
      </c>
      <c r="AS215" s="134">
        <f>Table22[[#This Row],[GROSS WT]]-Table22[[#This Row],[Total Bag Discharged (Truck)]]</f>
        <v>40047</v>
      </c>
      <c r="AT215" s="67">
        <f t="shared" si="87"/>
        <v>40047</v>
      </c>
      <c r="AU215" s="73"/>
      <c r="AV215" s="73">
        <v>26</v>
      </c>
      <c r="AW215" s="73">
        <v>15</v>
      </c>
      <c r="AX215" s="73">
        <v>3</v>
      </c>
      <c r="AY215" s="71">
        <f t="shared" si="88"/>
        <v>44</v>
      </c>
      <c r="AZ215" s="70">
        <v>230</v>
      </c>
      <c r="BA215" s="73">
        <v>21</v>
      </c>
      <c r="BB215" s="73">
        <v>9</v>
      </c>
      <c r="BC215" s="63">
        <f t="shared" si="92"/>
        <v>260</v>
      </c>
      <c r="BD215" s="72">
        <f>SUM(Table22[[#This Row],[Good Kernel (gm)]]+(Table22[[#This Row],[Immature (gm)]]+Table22[[#This Row],[Spotted (gm)]])/2)*0.176</f>
        <v>43.12</v>
      </c>
      <c r="BE215" s="73">
        <v>43.21</v>
      </c>
      <c r="BF215" s="72">
        <f t="shared" si="93"/>
        <v>45.856200000000001</v>
      </c>
      <c r="BG215" s="72">
        <f t="shared" si="89"/>
        <v>50.970930000000003</v>
      </c>
      <c r="BH215" s="72">
        <f>SUM(Table22[[#This Row],[Good Kernel (gm)]:[Spotted (gm)]])/1000*100</f>
        <v>26</v>
      </c>
      <c r="BI215" s="72">
        <f t="shared" si="90"/>
        <v>28.9</v>
      </c>
      <c r="BJ215" s="73">
        <v>12.6</v>
      </c>
      <c r="BK215" s="73">
        <v>169</v>
      </c>
      <c r="BL215" s="73">
        <v>690</v>
      </c>
      <c r="BM215" s="73">
        <v>18</v>
      </c>
      <c r="BN215" s="73"/>
      <c r="BO215" s="73">
        <v>45</v>
      </c>
      <c r="BP215" s="73">
        <v>4</v>
      </c>
      <c r="BQ215" s="71">
        <f t="shared" si="91"/>
        <v>67</v>
      </c>
      <c r="BR215" s="73">
        <v>231</v>
      </c>
      <c r="BS215" s="73">
        <v>10</v>
      </c>
      <c r="BT215" s="73">
        <v>16</v>
      </c>
      <c r="BU215" s="63">
        <f t="shared" si="96"/>
        <v>257</v>
      </c>
      <c r="BV215" s="72">
        <f>SUM(Table22[[#This Row],[Good Kernel (G M)]]+(Table22[[#This Row],[Immature (g m)]]+Table22[[#This Row],[Spotted (g m)]])/2)*0.176</f>
        <v>42.943999999999996</v>
      </c>
      <c r="BW215" s="73">
        <v>43.03</v>
      </c>
      <c r="BX215" s="73"/>
      <c r="BY215" s="141">
        <f t="shared" si="97"/>
        <v>45.327089999999998</v>
      </c>
      <c r="BZ215" s="72">
        <f t="shared" si="94"/>
        <v>49.207230000000003</v>
      </c>
      <c r="CA215" s="72">
        <f>SUM(Table22[[#This Row],[Good Kernel (G M)]:[Spotted (g m)]])/1000*100</f>
        <v>25.7</v>
      </c>
      <c r="CB215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215" s="73">
        <v>12.2</v>
      </c>
      <c r="CD215" s="73">
        <v>177</v>
      </c>
      <c r="CE215" s="73"/>
      <c r="CF215" s="73"/>
      <c r="CH215" s="184">
        <f ca="1">TODAY()-Table22[[#This Row],[Discharge Date]]</f>
        <v>111</v>
      </c>
    </row>
    <row r="216" spans="1:86" x14ac:dyDescent="0.25">
      <c r="A216" s="50">
        <v>212</v>
      </c>
      <c r="B216" s="60" t="s">
        <v>95</v>
      </c>
      <c r="C216" s="60" t="s">
        <v>96</v>
      </c>
      <c r="D216" s="97">
        <v>212</v>
      </c>
      <c r="E216" s="73"/>
      <c r="F216" s="97">
        <v>413</v>
      </c>
      <c r="G216" s="73"/>
      <c r="H216" s="73"/>
      <c r="I216" s="155">
        <v>46086</v>
      </c>
      <c r="J216" s="73" t="s">
        <v>384</v>
      </c>
      <c r="K216" s="97"/>
      <c r="L216" s="73"/>
      <c r="M216" s="100">
        <v>13554</v>
      </c>
      <c r="N216" s="100" t="s">
        <v>690</v>
      </c>
      <c r="O216" s="73" t="s">
        <v>401</v>
      </c>
      <c r="P216" s="97" t="s">
        <v>402</v>
      </c>
      <c r="Q216" s="101">
        <v>46144</v>
      </c>
      <c r="R216" s="102" t="s">
        <v>403</v>
      </c>
      <c r="S216" s="190" t="s">
        <v>404</v>
      </c>
      <c r="T216" s="191" t="s">
        <v>198</v>
      </c>
      <c r="U216" s="102"/>
      <c r="V216" s="73"/>
      <c r="W216" s="73">
        <v>494</v>
      </c>
      <c r="X216" s="73"/>
      <c r="Y216" s="51">
        <f t="shared" si="81"/>
        <v>494</v>
      </c>
      <c r="Z216" s="73"/>
      <c r="AA216" s="61">
        <f t="shared" si="78"/>
        <v>494</v>
      </c>
      <c r="AB216" s="51">
        <f t="shared" si="95"/>
        <v>0</v>
      </c>
      <c r="AC216" s="88">
        <f t="shared" si="84"/>
        <v>494</v>
      </c>
      <c r="AD216" s="73">
        <v>30</v>
      </c>
      <c r="AE216" s="63">
        <f t="shared" si="79"/>
        <v>0</v>
      </c>
      <c r="AF216" s="63"/>
      <c r="AG216" s="73"/>
      <c r="AH216" s="64">
        <f>AC216+AE216+Table22[[#This Row],[Humid Sacs]]-30</f>
        <v>494</v>
      </c>
      <c r="AI216" s="73"/>
      <c r="AJ216" s="73"/>
      <c r="AK216" s="62">
        <f t="shared" si="76"/>
        <v>494</v>
      </c>
      <c r="AL216" s="62">
        <f t="shared" si="77"/>
        <v>494</v>
      </c>
      <c r="AM216" s="73">
        <v>39680</v>
      </c>
      <c r="AN216" s="124">
        <f t="shared" si="74"/>
        <v>734</v>
      </c>
      <c r="AO216" s="77">
        <f t="shared" si="80"/>
        <v>39186</v>
      </c>
      <c r="AP216" s="77">
        <f t="shared" si="83"/>
        <v>38946</v>
      </c>
      <c r="AQ216" s="77">
        <f>+AO216-AE216*4-240</f>
        <v>38946</v>
      </c>
      <c r="AR216" s="67">
        <f t="shared" si="86"/>
        <v>240</v>
      </c>
      <c r="AS216" s="134">
        <f>Table22[[#This Row],[GROSS WT]]-Table22[[#This Row],[Total Bag Discharged (Truck)]]</f>
        <v>39186</v>
      </c>
      <c r="AT216" s="67">
        <f t="shared" si="87"/>
        <v>39186</v>
      </c>
      <c r="AU216" s="73"/>
      <c r="AV216" s="73">
        <v>17</v>
      </c>
      <c r="AW216" s="73">
        <v>31</v>
      </c>
      <c r="AX216" s="73">
        <v>4</v>
      </c>
      <c r="AY216" s="71">
        <f t="shared" si="88"/>
        <v>52</v>
      </c>
      <c r="AZ216" s="70">
        <v>230</v>
      </c>
      <c r="BA216" s="73">
        <v>15</v>
      </c>
      <c r="BB216" s="73">
        <v>16</v>
      </c>
      <c r="BC216" s="63">
        <f t="shared" si="92"/>
        <v>261</v>
      </c>
      <c r="BD216" s="72">
        <f>SUM(Table22[[#This Row],[Good Kernel (gm)]]+(Table22[[#This Row],[Immature (gm)]]+Table22[[#This Row],[Spotted (gm)]])/2)*0.176</f>
        <v>43.207999999999998</v>
      </c>
      <c r="BE216" s="73">
        <v>43.29</v>
      </c>
      <c r="BF216" s="72">
        <f t="shared" si="93"/>
        <v>46.03257</v>
      </c>
      <c r="BG216" s="72">
        <f t="shared" si="89"/>
        <v>49.736339999999998</v>
      </c>
      <c r="BH216" s="72">
        <f>SUM(Table22[[#This Row],[Good Kernel (gm)]:[Spotted (gm)]])/1000*100</f>
        <v>26.1</v>
      </c>
      <c r="BI216" s="72">
        <f t="shared" si="90"/>
        <v>28.199999999999996</v>
      </c>
      <c r="BJ216" s="73">
        <v>11.7</v>
      </c>
      <c r="BK216" s="73">
        <v>182</v>
      </c>
      <c r="BL216" s="73">
        <v>682</v>
      </c>
      <c r="BM216" s="73">
        <v>15</v>
      </c>
      <c r="BN216" s="73"/>
      <c r="BO216" s="73">
        <v>33</v>
      </c>
      <c r="BP216" s="73">
        <v>0</v>
      </c>
      <c r="BQ216" s="71">
        <f t="shared" si="91"/>
        <v>48</v>
      </c>
      <c r="BR216" s="73">
        <v>235</v>
      </c>
      <c r="BS216" s="73">
        <v>16</v>
      </c>
      <c r="BT216" s="73">
        <v>12</v>
      </c>
      <c r="BU216" s="63">
        <f t="shared" si="96"/>
        <v>263</v>
      </c>
      <c r="BV216" s="72">
        <f>SUM(Table22[[#This Row],[Good Kernel (G M)]]+(Table22[[#This Row],[Immature (g m)]]+Table22[[#This Row],[Spotted (g m)]])/2)*0.176</f>
        <v>43.823999999999998</v>
      </c>
      <c r="BW216" s="73">
        <v>43.91</v>
      </c>
      <c r="BX216" s="73"/>
      <c r="BY216" s="141">
        <f t="shared" si="97"/>
        <v>46.385309999999997</v>
      </c>
      <c r="BZ216" s="72">
        <f t="shared" si="94"/>
        <v>49.030859999999997</v>
      </c>
      <c r="CA216" s="72">
        <f>SUM(Table22[[#This Row],[Good Kernel (G M)]:[Spotted (g m)]])/1000*100</f>
        <v>26.3</v>
      </c>
      <c r="CB216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216" s="73">
        <v>11.4</v>
      </c>
      <c r="CD216" s="73">
        <v>170</v>
      </c>
      <c r="CE216" s="73"/>
      <c r="CF216" s="73"/>
      <c r="CH216" s="184">
        <f ca="1">TODAY()-Table22[[#This Row],[Discharge Date]]</f>
        <v>111</v>
      </c>
    </row>
    <row r="217" spans="1:86" x14ac:dyDescent="0.25">
      <c r="A217" s="50">
        <v>213</v>
      </c>
      <c r="B217" s="60" t="s">
        <v>95</v>
      </c>
      <c r="C217" s="60" t="s">
        <v>96</v>
      </c>
      <c r="D217" s="97">
        <v>213</v>
      </c>
      <c r="E217" s="73"/>
      <c r="F217" s="97">
        <v>414</v>
      </c>
      <c r="G217" s="73"/>
      <c r="H217" s="73"/>
      <c r="I217" s="155">
        <v>46086</v>
      </c>
      <c r="J217" s="73" t="s">
        <v>384</v>
      </c>
      <c r="K217" s="97"/>
      <c r="L217" s="73"/>
      <c r="M217" s="100">
        <v>14644</v>
      </c>
      <c r="N217" s="100" t="s">
        <v>686</v>
      </c>
      <c r="O217" s="73" t="s">
        <v>405</v>
      </c>
      <c r="P217" s="97" t="s">
        <v>377</v>
      </c>
      <c r="Q217" s="101">
        <v>46144</v>
      </c>
      <c r="R217" s="102" t="s">
        <v>230</v>
      </c>
      <c r="S217" s="103" t="s">
        <v>382</v>
      </c>
      <c r="T217" s="102" t="s">
        <v>198</v>
      </c>
      <c r="U217" s="102"/>
      <c r="V217" s="73" t="s">
        <v>199</v>
      </c>
      <c r="W217" s="73">
        <v>489</v>
      </c>
      <c r="X217" s="73"/>
      <c r="Y217" s="51">
        <f t="shared" si="81"/>
        <v>489</v>
      </c>
      <c r="Z217" s="73"/>
      <c r="AA217" s="61">
        <f t="shared" si="78"/>
        <v>489</v>
      </c>
      <c r="AB217" s="51">
        <f t="shared" si="95"/>
        <v>0</v>
      </c>
      <c r="AC217" s="88">
        <f t="shared" si="84"/>
        <v>489</v>
      </c>
      <c r="AD217" s="73">
        <v>50</v>
      </c>
      <c r="AE217" s="63">
        <f t="shared" si="79"/>
        <v>0</v>
      </c>
      <c r="AF217" s="63"/>
      <c r="AG217" s="73"/>
      <c r="AH217" s="64">
        <f>AC217+AE217+Table22[[#This Row],[Humid Sacs]]-50</f>
        <v>489</v>
      </c>
      <c r="AI217" s="73"/>
      <c r="AJ217" s="73"/>
      <c r="AK217" s="62">
        <f t="shared" si="76"/>
        <v>489</v>
      </c>
      <c r="AL217" s="62">
        <f t="shared" si="77"/>
        <v>489</v>
      </c>
      <c r="AM217" s="73">
        <v>41420</v>
      </c>
      <c r="AN217" s="124">
        <f t="shared" si="74"/>
        <v>889</v>
      </c>
      <c r="AO217" s="77">
        <f t="shared" si="80"/>
        <v>40931</v>
      </c>
      <c r="AP217" s="77">
        <f t="shared" si="83"/>
        <v>40531</v>
      </c>
      <c r="AQ217" s="77">
        <f>+AO217-AE217*4-400</f>
        <v>40531</v>
      </c>
      <c r="AR217" s="67">
        <f t="shared" si="86"/>
        <v>400</v>
      </c>
      <c r="AS217" s="134">
        <f>Table22[[#This Row],[GROSS WT]]-Table22[[#This Row],[Total Bag Discharged (Truck)]]</f>
        <v>40931</v>
      </c>
      <c r="AT217" s="67">
        <f t="shared" si="87"/>
        <v>40931</v>
      </c>
      <c r="AU217" s="137"/>
      <c r="AV217" s="56">
        <v>29</v>
      </c>
      <c r="AW217" s="56">
        <v>26</v>
      </c>
      <c r="AX217" s="56">
        <v>3</v>
      </c>
      <c r="AY217" s="156">
        <f t="shared" si="88"/>
        <v>58</v>
      </c>
      <c r="AZ217" s="157">
        <v>228</v>
      </c>
      <c r="BA217" s="56">
        <v>15</v>
      </c>
      <c r="BB217" s="56">
        <v>10</v>
      </c>
      <c r="BC217" s="158">
        <f t="shared" si="92"/>
        <v>253</v>
      </c>
      <c r="BD217" s="159">
        <f>SUM(Table22[[#This Row],[Good Kernel (gm)]]+(Table22[[#This Row],[Immature (gm)]]+Table22[[#This Row],[Spotted (gm)]])/2)*0.176</f>
        <v>42.327999999999996</v>
      </c>
      <c r="BE217" s="56">
        <v>42.41</v>
      </c>
      <c r="BF217" s="159">
        <f t="shared" si="93"/>
        <v>44.621609999999997</v>
      </c>
      <c r="BG217" s="159">
        <f t="shared" si="89"/>
        <v>50.265450000000001</v>
      </c>
      <c r="BH217" s="159">
        <f>SUM(Table22[[#This Row],[Good Kernel (gm)]:[Spotted (gm)]])/1000*100</f>
        <v>25.3</v>
      </c>
      <c r="BI217" s="159">
        <f t="shared" si="90"/>
        <v>28.499999999999996</v>
      </c>
      <c r="BJ217" s="73">
        <v>12.2</v>
      </c>
      <c r="BK217" s="73">
        <v>171</v>
      </c>
      <c r="BL217" s="73">
        <v>683</v>
      </c>
      <c r="BM217" s="73">
        <v>24</v>
      </c>
      <c r="BN217" s="73"/>
      <c r="BO217" s="73">
        <v>21</v>
      </c>
      <c r="BP217" s="73">
        <v>4</v>
      </c>
      <c r="BQ217" s="71">
        <f t="shared" si="91"/>
        <v>49</v>
      </c>
      <c r="BR217" s="73">
        <v>239</v>
      </c>
      <c r="BS217" s="73">
        <v>16</v>
      </c>
      <c r="BT217" s="73">
        <v>11</v>
      </c>
      <c r="BU217" s="63">
        <f t="shared" si="96"/>
        <v>266</v>
      </c>
      <c r="BV217" s="72">
        <f>SUM(Table22[[#This Row],[Good Kernel (G M)]]+(Table22[[#This Row],[Immature (g m)]]+Table22[[#This Row],[Spotted (g m)]])/2)*0.176</f>
        <v>44.44</v>
      </c>
      <c r="BW217" s="73">
        <v>44.53</v>
      </c>
      <c r="BX217" s="73"/>
      <c r="BY217" s="72">
        <f t="shared" si="97"/>
        <v>46.91442</v>
      </c>
      <c r="BZ217" s="159">
        <f t="shared" si="94"/>
        <v>51.852780000000003</v>
      </c>
      <c r="CA217" s="159">
        <f>SUM(Table22[[#This Row],[Good Kernel (G M)]:[Spotted (g m)]])/1000*100</f>
        <v>26.6</v>
      </c>
      <c r="CB217" s="159">
        <f>(Table22[[#This Row],[BROWNS/Rejection (gm) (NUT)]]+Table22[[#This Row],[OIL (g m)]]+Table22[[#This Row],[Good Kernel (G M)]]+Table22[[#This Row],[Immature (g m)]]+Table22[[#This Row],[Spotted (g m)]])/1000*100</f>
        <v>29.4</v>
      </c>
      <c r="CC217" s="73">
        <v>11.7</v>
      </c>
      <c r="CD217" s="73">
        <v>176</v>
      </c>
      <c r="CE217" s="73"/>
      <c r="CF217" s="73"/>
      <c r="CH217" s="184">
        <f ca="1">TODAY()-Table22[[#This Row],[Discharge Date]]</f>
        <v>111</v>
      </c>
    </row>
    <row r="218" spans="1:86" x14ac:dyDescent="0.25">
      <c r="A218" s="50">
        <v>214</v>
      </c>
      <c r="B218" s="60" t="s">
        <v>95</v>
      </c>
      <c r="C218" s="60" t="s">
        <v>96</v>
      </c>
      <c r="D218" s="97">
        <v>214</v>
      </c>
      <c r="E218" s="73"/>
      <c r="F218" s="97">
        <v>415</v>
      </c>
      <c r="G218" s="73"/>
      <c r="H218" s="73"/>
      <c r="I218" s="155">
        <v>46086</v>
      </c>
      <c r="J218" s="73" t="s">
        <v>384</v>
      </c>
      <c r="K218" s="97" t="s">
        <v>634</v>
      </c>
      <c r="L218" s="73"/>
      <c r="M218" s="100">
        <v>28995</v>
      </c>
      <c r="N218" s="100" t="s">
        <v>687</v>
      </c>
      <c r="O218" s="73" t="s">
        <v>406</v>
      </c>
      <c r="P218" s="161">
        <v>46027</v>
      </c>
      <c r="Q218" s="101">
        <v>46145</v>
      </c>
      <c r="R218" s="136" t="s">
        <v>100</v>
      </c>
      <c r="S218" s="102" t="s">
        <v>219</v>
      </c>
      <c r="T218" s="102"/>
      <c r="U218" s="102" t="s">
        <v>220</v>
      </c>
      <c r="V218" s="73" t="s">
        <v>221</v>
      </c>
      <c r="W218" s="56">
        <v>564</v>
      </c>
      <c r="Y218" s="162">
        <f t="shared" si="81"/>
        <v>564</v>
      </c>
      <c r="AA218" s="163">
        <f t="shared" si="78"/>
        <v>564</v>
      </c>
      <c r="AB218" s="162">
        <f t="shared" si="95"/>
        <v>0</v>
      </c>
      <c r="AC218" s="164">
        <f t="shared" si="84"/>
        <v>564</v>
      </c>
      <c r="AD218" s="56">
        <v>50</v>
      </c>
      <c r="AE218" s="158">
        <f t="shared" si="79"/>
        <v>0</v>
      </c>
      <c r="AF218" s="202"/>
      <c r="AH218" s="165">
        <f>AC218+AE218+Table22[[#This Row],[Humid Sacs]]-50</f>
        <v>564</v>
      </c>
      <c r="AK218" s="166">
        <f t="shared" si="76"/>
        <v>564</v>
      </c>
      <c r="AL218" s="167">
        <f t="shared" si="77"/>
        <v>564</v>
      </c>
      <c r="AM218" s="56">
        <v>52190</v>
      </c>
      <c r="AN218" s="168">
        <f t="shared" si="74"/>
        <v>964</v>
      </c>
      <c r="AO218" s="169">
        <f t="shared" si="80"/>
        <v>51626</v>
      </c>
      <c r="AP218" s="169">
        <f t="shared" si="83"/>
        <v>51226</v>
      </c>
      <c r="AQ218" s="169">
        <f>+AO218-AE218*4-400</f>
        <v>51226</v>
      </c>
      <c r="AR218" s="170">
        <f t="shared" si="86"/>
        <v>400</v>
      </c>
      <c r="AS218" s="171">
        <f>Table22[[#This Row],[GROSS WT]]-Table22[[#This Row],[Total Bag Discharged (Truck)]]</f>
        <v>51626</v>
      </c>
      <c r="AT218" s="170">
        <f t="shared" si="87"/>
        <v>51626</v>
      </c>
      <c r="AU218" s="73"/>
      <c r="AV218" s="73">
        <v>45</v>
      </c>
      <c r="AW218" s="73">
        <v>10</v>
      </c>
      <c r="AX218" s="73">
        <v>0</v>
      </c>
      <c r="AY218" s="71">
        <f t="shared" si="88"/>
        <v>55</v>
      </c>
      <c r="AZ218" s="70">
        <v>231</v>
      </c>
      <c r="BA218" s="56">
        <v>16</v>
      </c>
      <c r="BB218" s="56">
        <v>11</v>
      </c>
      <c r="BC218" s="63">
        <f t="shared" si="92"/>
        <v>258</v>
      </c>
      <c r="BD218" s="72">
        <f>SUM(Table22[[#This Row],[Good Kernel (gm)]]+(Table22[[#This Row],[Immature (gm)]]+Table22[[#This Row],[Spotted (gm)]])/2)*0.176</f>
        <v>43.031999999999996</v>
      </c>
      <c r="BE218" s="56">
        <v>43.12</v>
      </c>
      <c r="BF218" s="72">
        <f t="shared" si="93"/>
        <v>45.503459999999997</v>
      </c>
      <c r="BG218" s="72">
        <f t="shared" si="89"/>
        <v>53.440109999999997</v>
      </c>
      <c r="BH218" s="72">
        <f>SUM(Table22[[#This Row],[Good Kernel (gm)]:[Spotted (gm)]])/1000*100</f>
        <v>25.8</v>
      </c>
      <c r="BI218" s="72">
        <f t="shared" si="90"/>
        <v>30.3</v>
      </c>
      <c r="BJ218" s="73">
        <v>12.1</v>
      </c>
      <c r="BK218" s="73">
        <v>166</v>
      </c>
      <c r="BL218" s="73">
        <v>680</v>
      </c>
      <c r="BM218" s="73">
        <v>22</v>
      </c>
      <c r="BN218" s="73"/>
      <c r="BO218" s="73">
        <v>16</v>
      </c>
      <c r="BP218" s="73">
        <v>0</v>
      </c>
      <c r="BQ218" s="71">
        <f t="shared" si="91"/>
        <v>38</v>
      </c>
      <c r="BR218" s="73">
        <v>234</v>
      </c>
      <c r="BS218" s="73">
        <v>17</v>
      </c>
      <c r="BT218" s="73">
        <v>13</v>
      </c>
      <c r="BU218" s="63">
        <f t="shared" si="96"/>
        <v>264</v>
      </c>
      <c r="BV218" s="72">
        <f>SUM(Table22[[#This Row],[Good Kernel (G M)]]+(Table22[[#This Row],[Immature (g m)]]+Table22[[#This Row],[Spotted (g m)]])/2)*0.176</f>
        <v>43.823999999999998</v>
      </c>
      <c r="BW218" s="73">
        <v>43.91</v>
      </c>
      <c r="BX218" s="73"/>
      <c r="BY218" s="72">
        <f t="shared" si="97"/>
        <v>46.561680000000003</v>
      </c>
      <c r="BZ218" s="72">
        <f t="shared" si="94"/>
        <v>50.44182</v>
      </c>
      <c r="CA218" s="72">
        <f>SUM(Table22[[#This Row],[Good Kernel (G M)]:[Spotted (g m)]])/1000*100</f>
        <v>26.400000000000002</v>
      </c>
      <c r="CB218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218" s="73">
        <v>11.3</v>
      </c>
      <c r="CD218" s="73">
        <v>165</v>
      </c>
      <c r="CE218" s="73"/>
      <c r="CF218" s="73"/>
      <c r="CH218" s="184">
        <f ca="1">TODAY()-Table22[[#This Row],[Discharge Date]]</f>
        <v>110</v>
      </c>
    </row>
    <row r="219" spans="1:86" x14ac:dyDescent="0.25">
      <c r="A219" s="50">
        <v>215</v>
      </c>
      <c r="B219" s="60" t="s">
        <v>95</v>
      </c>
      <c r="C219" s="60" t="s">
        <v>96</v>
      </c>
      <c r="D219" s="97">
        <v>215</v>
      </c>
      <c r="E219" s="73"/>
      <c r="F219" s="97">
        <v>416</v>
      </c>
      <c r="G219" s="73"/>
      <c r="H219" s="73"/>
      <c r="I219" s="155">
        <v>46086</v>
      </c>
      <c r="J219" s="73" t="s">
        <v>384</v>
      </c>
      <c r="K219" s="97" t="s">
        <v>634</v>
      </c>
      <c r="L219" s="73"/>
      <c r="M219" s="100">
        <v>36087</v>
      </c>
      <c r="N219" s="100" t="s">
        <v>691</v>
      </c>
      <c r="O219" s="73" t="s">
        <v>407</v>
      </c>
      <c r="P219" s="160" t="s">
        <v>408</v>
      </c>
      <c r="Q219" s="101">
        <v>46145</v>
      </c>
      <c r="R219" s="136" t="s">
        <v>297</v>
      </c>
      <c r="S219" s="103" t="s">
        <v>526</v>
      </c>
      <c r="T219" s="102"/>
      <c r="U219" s="102" t="s">
        <v>417</v>
      </c>
      <c r="V219" s="73" t="s">
        <v>298</v>
      </c>
      <c r="W219" s="56">
        <v>496</v>
      </c>
      <c r="Y219" s="51">
        <f t="shared" si="81"/>
        <v>496</v>
      </c>
      <c r="AA219" s="61">
        <f t="shared" si="78"/>
        <v>496</v>
      </c>
      <c r="AB219" s="51">
        <f t="shared" si="95"/>
        <v>0</v>
      </c>
      <c r="AC219" s="88">
        <f t="shared" si="84"/>
        <v>496</v>
      </c>
      <c r="AD219" s="56">
        <v>50</v>
      </c>
      <c r="AE219" s="63">
        <f t="shared" si="79"/>
        <v>0</v>
      </c>
      <c r="AF219" s="202"/>
      <c r="AH219" s="64">
        <f>AC219+AE219+Table22[[#This Row],[Humid Sacs]]-50</f>
        <v>496</v>
      </c>
      <c r="AI219" s="73"/>
      <c r="AJ219" s="73"/>
      <c r="AK219" s="62">
        <f t="shared" si="76"/>
        <v>496</v>
      </c>
      <c r="AL219" s="62">
        <f t="shared" si="77"/>
        <v>496</v>
      </c>
      <c r="AM219" s="56">
        <v>39600</v>
      </c>
      <c r="AN219" s="124">
        <f t="shared" si="74"/>
        <v>896</v>
      </c>
      <c r="AO219" s="77">
        <f t="shared" si="80"/>
        <v>39104</v>
      </c>
      <c r="AP219" s="77">
        <f t="shared" si="83"/>
        <v>38704</v>
      </c>
      <c r="AQ219" s="77">
        <f>+AO219-AE219*4-400</f>
        <v>38704</v>
      </c>
      <c r="AR219" s="67">
        <f t="shared" si="86"/>
        <v>400</v>
      </c>
      <c r="AS219" s="134">
        <f>Table22[[#This Row],[GROSS WT]]-Table22[[#This Row],[Total Bag Discharged (Truck)]]</f>
        <v>39104</v>
      </c>
      <c r="AT219" s="67">
        <f t="shared" si="87"/>
        <v>39104</v>
      </c>
      <c r="AU219" s="73"/>
      <c r="AV219" s="73">
        <v>46</v>
      </c>
      <c r="AW219" s="73">
        <v>0</v>
      </c>
      <c r="AX219" s="73">
        <v>0</v>
      </c>
      <c r="AY219" s="71">
        <f t="shared" si="88"/>
        <v>46</v>
      </c>
      <c r="AZ219" s="70">
        <v>240</v>
      </c>
      <c r="BA219" s="56">
        <v>8</v>
      </c>
      <c r="BB219" s="56">
        <v>12</v>
      </c>
      <c r="BC219" s="63">
        <f t="shared" si="92"/>
        <v>260</v>
      </c>
      <c r="BD219" s="72">
        <f>SUM(Table22[[#This Row],[Good Kernel (gm)]]+(Table22[[#This Row],[Immature (gm)]]+Table22[[#This Row],[Spotted (gm)]])/2)*0.176</f>
        <v>44</v>
      </c>
      <c r="BE219" s="56">
        <v>44.09</v>
      </c>
      <c r="BF219" s="72">
        <f t="shared" si="93"/>
        <v>45.856200000000001</v>
      </c>
      <c r="BG219" s="72">
        <f t="shared" si="89"/>
        <v>53.96922</v>
      </c>
      <c r="BH219" s="72">
        <f>SUM(Table22[[#This Row],[Good Kernel (gm)]:[Spotted (gm)]])/1000*100</f>
        <v>26</v>
      </c>
      <c r="BI219" s="72">
        <f t="shared" si="90"/>
        <v>30.599999999999998</v>
      </c>
      <c r="BJ219" s="73">
        <v>12.1</v>
      </c>
      <c r="BK219" s="73">
        <v>172</v>
      </c>
      <c r="BL219" s="73">
        <v>689</v>
      </c>
      <c r="BM219" s="73">
        <v>29</v>
      </c>
      <c r="BN219" s="73"/>
      <c r="BO219" s="73">
        <v>6</v>
      </c>
      <c r="BP219" s="73">
        <v>0</v>
      </c>
      <c r="BQ219" s="71">
        <f t="shared" si="91"/>
        <v>35</v>
      </c>
      <c r="BR219" s="73">
        <v>240</v>
      </c>
      <c r="BS219" s="73">
        <v>14</v>
      </c>
      <c r="BT219" s="73">
        <v>11</v>
      </c>
      <c r="BU219" s="63">
        <f t="shared" si="96"/>
        <v>265</v>
      </c>
      <c r="BV219" s="72">
        <f>SUM(Table22[[#This Row],[Good Kernel (G M)]]+(Table22[[#This Row],[Immature (g m)]]+Table22[[#This Row],[Spotted (g m)]])/2)*0.176</f>
        <v>44.44</v>
      </c>
      <c r="BW219" s="73">
        <v>44.53</v>
      </c>
      <c r="BX219" s="73"/>
      <c r="BY219" s="72">
        <f t="shared" si="97"/>
        <v>46.738050000000001</v>
      </c>
      <c r="BZ219" s="72">
        <f t="shared" si="94"/>
        <v>51.852780000000003</v>
      </c>
      <c r="CA219" s="72">
        <f>SUM(Table22[[#This Row],[Good Kernel (G M)]:[Spotted (g m)]])/1000*100</f>
        <v>26.5</v>
      </c>
      <c r="CB21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19" s="73">
        <v>11.9</v>
      </c>
      <c r="CD219" s="73">
        <v>174</v>
      </c>
      <c r="CE219" s="73"/>
      <c r="CF219" s="73"/>
      <c r="CH219" s="184">
        <f ca="1">TODAY()-Table22[[#This Row],[Discharge Date]]</f>
        <v>110</v>
      </c>
    </row>
    <row r="220" spans="1:86" x14ac:dyDescent="0.25">
      <c r="A220" s="50">
        <v>216</v>
      </c>
      <c r="B220" s="60" t="s">
        <v>95</v>
      </c>
      <c r="C220" s="60" t="s">
        <v>96</v>
      </c>
      <c r="D220" s="97">
        <v>216</v>
      </c>
      <c r="E220" s="73"/>
      <c r="F220" s="97">
        <v>417</v>
      </c>
      <c r="G220" s="73"/>
      <c r="H220" s="73"/>
      <c r="I220" s="155">
        <v>46086</v>
      </c>
      <c r="J220" s="73" t="s">
        <v>409</v>
      </c>
      <c r="K220" s="97" t="s">
        <v>634</v>
      </c>
      <c r="L220" s="73"/>
      <c r="M220" s="100">
        <v>78902</v>
      </c>
      <c r="N220" s="100" t="s">
        <v>690</v>
      </c>
      <c r="O220" s="73" t="s">
        <v>354</v>
      </c>
      <c r="P220" s="160" t="s">
        <v>408</v>
      </c>
      <c r="Q220" s="101">
        <v>46145</v>
      </c>
      <c r="R220" s="136" t="s">
        <v>100</v>
      </c>
      <c r="S220" s="59" t="s">
        <v>101</v>
      </c>
      <c r="T220" s="102"/>
      <c r="U220" s="102"/>
      <c r="V220" s="51" t="s">
        <v>102</v>
      </c>
      <c r="W220" s="56">
        <v>607</v>
      </c>
      <c r="Y220" s="147">
        <f t="shared" si="81"/>
        <v>607</v>
      </c>
      <c r="AA220" s="148">
        <f t="shared" si="78"/>
        <v>607</v>
      </c>
      <c r="AB220" s="147">
        <f t="shared" si="95"/>
        <v>0</v>
      </c>
      <c r="AC220" s="149">
        <f t="shared" si="84"/>
        <v>607</v>
      </c>
      <c r="AD220" s="56">
        <v>5</v>
      </c>
      <c r="AE220" s="140">
        <f t="shared" si="79"/>
        <v>0</v>
      </c>
      <c r="AF220" s="202"/>
      <c r="AH220" s="150">
        <f>AC220+AE220+Table22[[#This Row],[Humid Sacs]]-5</f>
        <v>607</v>
      </c>
      <c r="AI220" s="73"/>
      <c r="AJ220" s="73"/>
      <c r="AK220" s="62">
        <f t="shared" si="76"/>
        <v>607</v>
      </c>
      <c r="AL220" s="151">
        <f t="shared" si="77"/>
        <v>607</v>
      </c>
      <c r="AM220" s="56">
        <v>52470</v>
      </c>
      <c r="AN220" s="152">
        <f t="shared" si="74"/>
        <v>647</v>
      </c>
      <c r="AO220" s="153">
        <f t="shared" si="80"/>
        <v>51863</v>
      </c>
      <c r="AP220" s="153">
        <f t="shared" si="83"/>
        <v>51823</v>
      </c>
      <c r="AQ220" s="153">
        <f>+AO220-AE220*4-40</f>
        <v>51823</v>
      </c>
      <c r="AR220" s="154">
        <f t="shared" si="86"/>
        <v>40</v>
      </c>
      <c r="AS220" s="172">
        <f>Table22[[#This Row],[GROSS WT]]-Table22[[#This Row],[Total Bag Discharged (Truck)]]</f>
        <v>51863</v>
      </c>
      <c r="AT220" s="154">
        <f t="shared" si="87"/>
        <v>51863</v>
      </c>
      <c r="AU220" s="73"/>
      <c r="AV220" s="73">
        <v>39</v>
      </c>
      <c r="AW220" s="73">
        <v>12</v>
      </c>
      <c r="AX220" s="73">
        <v>0</v>
      </c>
      <c r="AY220" s="71">
        <f t="shared" si="88"/>
        <v>51</v>
      </c>
      <c r="AZ220" s="70">
        <v>231</v>
      </c>
      <c r="BA220" s="56">
        <v>14</v>
      </c>
      <c r="BB220" s="56">
        <v>16</v>
      </c>
      <c r="BC220" s="140">
        <f t="shared" si="92"/>
        <v>261</v>
      </c>
      <c r="BD220" s="141">
        <f>SUM(Table22[[#This Row],[Good Kernel (gm)]]+(Table22[[#This Row],[Immature (gm)]]+Table22[[#This Row],[Spotted (gm)]])/2)*0.176</f>
        <v>43.295999999999999</v>
      </c>
      <c r="BE220" s="56">
        <v>43.38</v>
      </c>
      <c r="BF220" s="141">
        <f t="shared" si="93"/>
        <v>46.03257</v>
      </c>
      <c r="BG220" s="141">
        <f t="shared" si="89"/>
        <v>52.911000000000001</v>
      </c>
      <c r="BH220" s="141">
        <f>SUM(Table22[[#This Row],[Good Kernel (gm)]:[Spotted (gm)]])/1000*100</f>
        <v>26.1</v>
      </c>
      <c r="BI220" s="141">
        <f t="shared" si="90"/>
        <v>30</v>
      </c>
      <c r="BJ220" s="73">
        <v>10.4</v>
      </c>
      <c r="BK220" s="73">
        <v>183</v>
      </c>
      <c r="BL220" s="73">
        <v>682</v>
      </c>
      <c r="BM220" s="73">
        <v>37</v>
      </c>
      <c r="BN220" s="73"/>
      <c r="BO220" s="73">
        <v>15</v>
      </c>
      <c r="BP220" s="73">
        <v>0</v>
      </c>
      <c r="BQ220" s="71">
        <f t="shared" si="91"/>
        <v>52</v>
      </c>
      <c r="BR220" s="73">
        <v>228</v>
      </c>
      <c r="BS220" s="73">
        <v>17</v>
      </c>
      <c r="BT220" s="73">
        <v>14</v>
      </c>
      <c r="BU220" s="140">
        <f t="shared" si="96"/>
        <v>259</v>
      </c>
      <c r="BV220" s="141">
        <f>SUM(Table22[[#This Row],[Good Kernel (G M)]]+(Table22[[#This Row],[Immature (g m)]]+Table22[[#This Row],[Spotted (g m)]])/2)*0.176</f>
        <v>42.855999999999995</v>
      </c>
      <c r="BW220" s="73">
        <v>42.94</v>
      </c>
      <c r="BX220" s="73"/>
      <c r="BY220" s="72">
        <f t="shared" si="97"/>
        <v>45.679830000000003</v>
      </c>
      <c r="BZ220" s="141">
        <f t="shared" si="94"/>
        <v>52.20552</v>
      </c>
      <c r="CA220" s="141">
        <f>SUM(Table22[[#This Row],[Good Kernel (G M)]:[Spotted (g m)]])/1000*100</f>
        <v>25.900000000000002</v>
      </c>
      <c r="CB220" s="141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220" s="73">
        <v>10.199999999999999</v>
      </c>
      <c r="CD220" s="73">
        <v>182</v>
      </c>
      <c r="CE220" s="73"/>
      <c r="CF220" s="73"/>
      <c r="CH220" s="184">
        <f ca="1">TODAY()-Table22[[#This Row],[Discharge Date]]</f>
        <v>110</v>
      </c>
    </row>
    <row r="221" spans="1:86" x14ac:dyDescent="0.25">
      <c r="A221" s="50">
        <v>217</v>
      </c>
      <c r="B221" s="60" t="s">
        <v>95</v>
      </c>
      <c r="C221" s="60" t="s">
        <v>96</v>
      </c>
      <c r="D221" s="97">
        <v>217</v>
      </c>
      <c r="E221" s="73"/>
      <c r="F221" s="97">
        <v>418</v>
      </c>
      <c r="G221" s="73"/>
      <c r="H221" s="73"/>
      <c r="I221" s="155">
        <v>46086</v>
      </c>
      <c r="J221" s="73" t="s">
        <v>409</v>
      </c>
      <c r="K221" s="97" t="s">
        <v>636</v>
      </c>
      <c r="L221" s="73"/>
      <c r="M221" s="100">
        <v>87106</v>
      </c>
      <c r="N221" s="100" t="s">
        <v>690</v>
      </c>
      <c r="O221" s="73" t="s">
        <v>291</v>
      </c>
      <c r="P221" s="97" t="s">
        <v>408</v>
      </c>
      <c r="Q221" s="101">
        <v>46145</v>
      </c>
      <c r="R221" s="102" t="s">
        <v>100</v>
      </c>
      <c r="S221" s="59" t="s">
        <v>107</v>
      </c>
      <c r="T221" s="102"/>
      <c r="U221" s="102"/>
      <c r="V221" s="51" t="s">
        <v>108</v>
      </c>
      <c r="W221" s="73">
        <v>643</v>
      </c>
      <c r="X221" s="73"/>
      <c r="Y221" s="51">
        <f t="shared" si="81"/>
        <v>643</v>
      </c>
      <c r="Z221" s="73"/>
      <c r="AA221" s="61">
        <f t="shared" si="78"/>
        <v>643</v>
      </c>
      <c r="AB221" s="51">
        <f t="shared" si="95"/>
        <v>0</v>
      </c>
      <c r="AC221" s="88">
        <f t="shared" si="84"/>
        <v>643</v>
      </c>
      <c r="AD221" s="73">
        <v>20</v>
      </c>
      <c r="AE221" s="63">
        <f t="shared" si="79"/>
        <v>0</v>
      </c>
      <c r="AF221" s="63"/>
      <c r="AG221" s="73"/>
      <c r="AH221" s="64">
        <f>AC221+AE221+Table22[[#This Row],[Humid Sacs]]-20</f>
        <v>643</v>
      </c>
      <c r="AI221" s="73"/>
      <c r="AJ221" s="73"/>
      <c r="AK221" s="62">
        <f t="shared" si="76"/>
        <v>643</v>
      </c>
      <c r="AL221" s="62">
        <f t="shared" si="77"/>
        <v>643</v>
      </c>
      <c r="AM221" s="73">
        <v>53020</v>
      </c>
      <c r="AN221" s="124">
        <f t="shared" si="74"/>
        <v>803</v>
      </c>
      <c r="AO221" s="77">
        <f t="shared" si="80"/>
        <v>52377</v>
      </c>
      <c r="AP221" s="77">
        <f t="shared" si="83"/>
        <v>52217</v>
      </c>
      <c r="AQ221" s="77">
        <f>+AO221-AE221*4-160</f>
        <v>52217</v>
      </c>
      <c r="AR221" s="67">
        <f t="shared" si="86"/>
        <v>160</v>
      </c>
      <c r="AS221" s="134">
        <f>Table22[[#This Row],[GROSS WT]]-Table22[[#This Row],[Total Bag Discharged (Truck)]]</f>
        <v>52377</v>
      </c>
      <c r="AT221" s="67">
        <f t="shared" si="87"/>
        <v>52377</v>
      </c>
      <c r="AU221" s="73"/>
      <c r="AV221" s="73">
        <v>28</v>
      </c>
      <c r="AW221" s="73">
        <v>33</v>
      </c>
      <c r="AX221" s="73">
        <v>2</v>
      </c>
      <c r="AY221" s="71">
        <f t="shared" si="88"/>
        <v>63</v>
      </c>
      <c r="AZ221" s="70">
        <v>223</v>
      </c>
      <c r="BA221" s="73">
        <v>22</v>
      </c>
      <c r="BB221" s="73">
        <v>15</v>
      </c>
      <c r="BC221" s="63">
        <f t="shared" si="92"/>
        <v>260</v>
      </c>
      <c r="BD221" s="72">
        <f>SUM(Table22[[#This Row],[Good Kernel (gm)]]+(Table22[[#This Row],[Immature (gm)]]+Table22[[#This Row],[Spotted (gm)]])/2)*0.176</f>
        <v>42.503999999999998</v>
      </c>
      <c r="BE221" s="73">
        <v>42.59</v>
      </c>
      <c r="BF221" s="72">
        <f t="shared" si="93"/>
        <v>45.856200000000001</v>
      </c>
      <c r="BG221" s="72">
        <f t="shared" si="89"/>
        <v>51.147300000000001</v>
      </c>
      <c r="BH221" s="72">
        <f>SUM(Table22[[#This Row],[Good Kernel (gm)]:[Spotted (gm)]])/1000*100</f>
        <v>26</v>
      </c>
      <c r="BI221" s="72">
        <f t="shared" si="90"/>
        <v>28.999999999999996</v>
      </c>
      <c r="BJ221" s="73">
        <v>10.6</v>
      </c>
      <c r="BK221" s="73">
        <v>176</v>
      </c>
      <c r="BL221" s="73">
        <v>672</v>
      </c>
      <c r="BM221" s="73">
        <v>27</v>
      </c>
      <c r="BN221" s="73"/>
      <c r="BO221" s="73">
        <v>14</v>
      </c>
      <c r="BP221" s="73">
        <v>2</v>
      </c>
      <c r="BQ221" s="71">
        <f t="shared" si="91"/>
        <v>43</v>
      </c>
      <c r="BR221" s="73">
        <v>236</v>
      </c>
      <c r="BS221" s="73">
        <v>8</v>
      </c>
      <c r="BT221" s="73">
        <v>11</v>
      </c>
      <c r="BU221" s="140">
        <f t="shared" si="96"/>
        <v>255</v>
      </c>
      <c r="BV221" s="141">
        <f>SUM(Table22[[#This Row],[Good Kernel (G M)]]+(Table22[[#This Row],[Immature (g m)]]+Table22[[#This Row],[Spotted (g m)]])/2)*0.176</f>
        <v>43.207999999999998</v>
      </c>
      <c r="BW221" s="73">
        <v>43.29</v>
      </c>
      <c r="BX221" s="73"/>
      <c r="BY221" s="72">
        <f t="shared" si="97"/>
        <v>44.974350000000001</v>
      </c>
      <c r="BZ221" s="72">
        <f t="shared" si="94"/>
        <v>50.089080000000003</v>
      </c>
      <c r="CA221" s="72">
        <f>SUM(Table22[[#This Row],[Good Kernel (G M)]:[Spotted (g m)]])/1000*100</f>
        <v>25.5</v>
      </c>
      <c r="CB221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221" s="73">
        <v>10.1</v>
      </c>
      <c r="CD221" s="73">
        <v>178</v>
      </c>
      <c r="CE221" s="73"/>
      <c r="CF221" s="73"/>
      <c r="CH221" s="184">
        <f ca="1">TODAY()-Table22[[#This Row],[Discharge Date]]</f>
        <v>110</v>
      </c>
    </row>
    <row r="222" spans="1:86" x14ac:dyDescent="0.25">
      <c r="A222" s="50">
        <v>218</v>
      </c>
      <c r="B222" s="60" t="s">
        <v>95</v>
      </c>
      <c r="C222" s="60" t="s">
        <v>96</v>
      </c>
      <c r="D222" s="97">
        <v>218</v>
      </c>
      <c r="E222" s="73"/>
      <c r="F222" s="97">
        <v>419</v>
      </c>
      <c r="G222" s="73"/>
      <c r="H222" s="73"/>
      <c r="I222" s="73"/>
      <c r="J222" s="73"/>
      <c r="K222" s="97" t="s">
        <v>634</v>
      </c>
      <c r="L222" s="73"/>
      <c r="M222" s="97">
        <v>78901</v>
      </c>
      <c r="N222" s="97" t="s">
        <v>691</v>
      </c>
      <c r="O222" s="73" t="s">
        <v>410</v>
      </c>
      <c r="P222" s="97" t="s">
        <v>408</v>
      </c>
      <c r="Q222" s="101">
        <v>46146</v>
      </c>
      <c r="R222" s="102" t="s">
        <v>100</v>
      </c>
      <c r="S222" s="59" t="s">
        <v>101</v>
      </c>
      <c r="T222" s="102"/>
      <c r="U222" s="102"/>
      <c r="V222" s="73" t="s">
        <v>102</v>
      </c>
      <c r="W222" s="73">
        <v>693</v>
      </c>
      <c r="X222" s="73"/>
      <c r="Y222" s="51">
        <f t="shared" si="81"/>
        <v>693</v>
      </c>
      <c r="Z222" s="73"/>
      <c r="AA222" s="61">
        <f t="shared" si="78"/>
        <v>693</v>
      </c>
      <c r="AB222" s="51">
        <f t="shared" si="95"/>
        <v>0</v>
      </c>
      <c r="AC222" s="88">
        <f t="shared" si="84"/>
        <v>693</v>
      </c>
      <c r="AD222" s="73">
        <v>20</v>
      </c>
      <c r="AE222" s="63">
        <f t="shared" si="79"/>
        <v>0</v>
      </c>
      <c r="AF222" s="63"/>
      <c r="AG222" s="73"/>
      <c r="AH222" s="64">
        <f>AC222+AE222+Table22[[#This Row],[Humid Sacs]]-20</f>
        <v>693</v>
      </c>
      <c r="AI222" s="73"/>
      <c r="AJ222" s="73"/>
      <c r="AK222" s="62">
        <f t="shared" si="76"/>
        <v>693</v>
      </c>
      <c r="AL222" s="62">
        <f t="shared" si="77"/>
        <v>693</v>
      </c>
      <c r="AM222" s="73">
        <v>57010</v>
      </c>
      <c r="AN222" s="124">
        <f t="shared" si="74"/>
        <v>853</v>
      </c>
      <c r="AO222" s="77">
        <f t="shared" si="80"/>
        <v>56317</v>
      </c>
      <c r="AP222" s="77">
        <f t="shared" si="83"/>
        <v>56157</v>
      </c>
      <c r="AQ222" s="77">
        <f>+AO222-AE222*4-160</f>
        <v>56157</v>
      </c>
      <c r="AR222" s="67">
        <f t="shared" si="86"/>
        <v>160</v>
      </c>
      <c r="AS222" s="134">
        <f>Table22[[#This Row],[GROSS WT]]-Table22[[#This Row],[Total Bag Discharged (Truck)]]</f>
        <v>56317</v>
      </c>
      <c r="AT222" s="67">
        <f t="shared" si="87"/>
        <v>56317</v>
      </c>
      <c r="AU222" s="73"/>
      <c r="AV222" s="73">
        <v>38</v>
      </c>
      <c r="AW222" s="73">
        <v>20</v>
      </c>
      <c r="AX222" s="73">
        <v>3</v>
      </c>
      <c r="AY222" s="71">
        <f t="shared" si="88"/>
        <v>61</v>
      </c>
      <c r="AZ222" s="70">
        <v>238</v>
      </c>
      <c r="BA222" s="73">
        <v>11</v>
      </c>
      <c r="BB222" s="73">
        <v>16</v>
      </c>
      <c r="BC222" s="63">
        <f t="shared" si="92"/>
        <v>265</v>
      </c>
      <c r="BD222" s="72">
        <f>SUM(Table22[[#This Row],[Good Kernel (gm)]]+(Table22[[#This Row],[Immature (gm)]]+Table22[[#This Row],[Spotted (gm)]])/2)*0.176</f>
        <v>44.263999999999996</v>
      </c>
      <c r="BE222" s="73">
        <v>44.35</v>
      </c>
      <c r="BF222" s="72">
        <f t="shared" si="93"/>
        <v>46.738050000000001</v>
      </c>
      <c r="BG222" s="72">
        <f t="shared" si="89"/>
        <v>53.96922</v>
      </c>
      <c r="BH222" s="72">
        <f>SUM(Table22[[#This Row],[Good Kernel (gm)]:[Spotted (gm)]])/1000*100</f>
        <v>26.5</v>
      </c>
      <c r="BI222" s="72">
        <f t="shared" si="90"/>
        <v>30.599999999999998</v>
      </c>
      <c r="BJ222" s="73">
        <v>10.5</v>
      </c>
      <c r="BK222" s="73">
        <v>172</v>
      </c>
      <c r="BL222" s="73">
        <v>668</v>
      </c>
      <c r="BM222" s="73">
        <v>36</v>
      </c>
      <c r="BN222" s="73"/>
      <c r="BO222" s="73">
        <v>10</v>
      </c>
      <c r="BP222" s="73">
        <v>0</v>
      </c>
      <c r="BQ222" s="71">
        <f t="shared" si="91"/>
        <v>46</v>
      </c>
      <c r="BR222" s="73">
        <v>241</v>
      </c>
      <c r="BS222" s="73">
        <v>10</v>
      </c>
      <c r="BT222" s="73">
        <v>14</v>
      </c>
      <c r="BU222" s="140">
        <f t="shared" si="96"/>
        <v>265</v>
      </c>
      <c r="BV222" s="141">
        <f>SUM(Table22[[#This Row],[Good Kernel (G M)]]+(Table22[[#This Row],[Immature (g m)]]+Table22[[#This Row],[Spotted (g m)]])/2)*0.176</f>
        <v>44.527999999999999</v>
      </c>
      <c r="BW222" s="73">
        <v>44.63</v>
      </c>
      <c r="BX222" s="73"/>
      <c r="BY222" s="72">
        <f t="shared" si="97"/>
        <v>46.738050000000001</v>
      </c>
      <c r="BZ222" s="72">
        <f t="shared" si="94"/>
        <v>53.08737</v>
      </c>
      <c r="CA222" s="72">
        <f>SUM(Table22[[#This Row],[Good Kernel (G M)]:[Spotted (g m)]])/1000*100</f>
        <v>26.5</v>
      </c>
      <c r="CB222" s="72">
        <f>(Table22[[#This Row],[BROWNS/Rejection (gm) (NUT)]]+Table22[[#This Row],[OIL (g m)]]+Table22[[#This Row],[Good Kernel (G M)]]+Table22[[#This Row],[Immature (g m)]]+Table22[[#This Row],[Spotted (g m)]])/1000*100</f>
        <v>30.099999999999998</v>
      </c>
      <c r="CC222" s="73">
        <v>9.6999999999999993</v>
      </c>
      <c r="CD222" s="73">
        <v>182</v>
      </c>
      <c r="CE222" s="73"/>
      <c r="CF222" s="73"/>
      <c r="CG222" s="73"/>
      <c r="CH222" s="184">
        <f ca="1">TODAY()-Table22[[#This Row],[Discharge Date]]</f>
        <v>109</v>
      </c>
    </row>
    <row r="223" spans="1:86" x14ac:dyDescent="0.25">
      <c r="A223" s="50">
        <v>219</v>
      </c>
      <c r="B223" s="60" t="s">
        <v>95</v>
      </c>
      <c r="C223" s="60" t="s">
        <v>96</v>
      </c>
      <c r="D223" s="97">
        <v>219</v>
      </c>
      <c r="E223" s="73"/>
      <c r="F223" s="97">
        <v>420</v>
      </c>
      <c r="G223" s="73"/>
      <c r="H223" s="73"/>
      <c r="I223" s="73"/>
      <c r="J223" s="73"/>
      <c r="K223" s="97" t="s">
        <v>636</v>
      </c>
      <c r="L223" s="73"/>
      <c r="M223" s="97">
        <v>89244</v>
      </c>
      <c r="N223" s="97" t="s">
        <v>690</v>
      </c>
      <c r="O223" s="73" t="s">
        <v>411</v>
      </c>
      <c r="P223" s="97" t="s">
        <v>377</v>
      </c>
      <c r="Q223" s="101">
        <v>46146</v>
      </c>
      <c r="R223" s="102" t="s">
        <v>224</v>
      </c>
      <c r="S223" s="102" t="s">
        <v>231</v>
      </c>
      <c r="T223" s="102" t="s">
        <v>198</v>
      </c>
      <c r="U223" s="102"/>
      <c r="V223" s="73" t="s">
        <v>199</v>
      </c>
      <c r="W223" s="73">
        <v>593</v>
      </c>
      <c r="X223" s="73"/>
      <c r="Y223" s="51">
        <f t="shared" si="81"/>
        <v>593</v>
      </c>
      <c r="Z223" s="73"/>
      <c r="AA223" s="61">
        <f t="shared" si="78"/>
        <v>593</v>
      </c>
      <c r="AB223" s="51">
        <f t="shared" si="95"/>
        <v>0</v>
      </c>
      <c r="AC223" s="88">
        <f t="shared" si="84"/>
        <v>593</v>
      </c>
      <c r="AD223" s="73">
        <v>30</v>
      </c>
      <c r="AE223" s="63">
        <f t="shared" si="79"/>
        <v>0</v>
      </c>
      <c r="AF223" s="63"/>
      <c r="AG223" s="73"/>
      <c r="AH223" s="64">
        <f>AC223+AE223+Table22[[#This Row],[Humid Sacs]]-30</f>
        <v>593</v>
      </c>
      <c r="AI223" s="73"/>
      <c r="AJ223" s="73"/>
      <c r="AK223" s="62">
        <f t="shared" si="76"/>
        <v>593</v>
      </c>
      <c r="AL223" s="62">
        <f t="shared" si="77"/>
        <v>593</v>
      </c>
      <c r="AM223" s="73">
        <v>46470</v>
      </c>
      <c r="AN223" s="124">
        <f t="shared" si="74"/>
        <v>833</v>
      </c>
      <c r="AO223" s="77">
        <f t="shared" si="80"/>
        <v>45877</v>
      </c>
      <c r="AP223" s="77">
        <f t="shared" si="83"/>
        <v>45637</v>
      </c>
      <c r="AQ223" s="77">
        <f>+AO223-AE223*4-240</f>
        <v>45637</v>
      </c>
      <c r="AR223" s="67">
        <f t="shared" si="86"/>
        <v>240</v>
      </c>
      <c r="AS223" s="134">
        <f>Table22[[#This Row],[GROSS WT]]-Table22[[#This Row],[Total Bag Discharged (Truck)]]</f>
        <v>45877</v>
      </c>
      <c r="AT223" s="67">
        <f t="shared" si="87"/>
        <v>45877</v>
      </c>
      <c r="AU223" s="73"/>
      <c r="AV223" s="73">
        <v>24</v>
      </c>
      <c r="AW223" s="73">
        <v>9</v>
      </c>
      <c r="AX223" s="73">
        <v>0</v>
      </c>
      <c r="AY223" s="71">
        <f t="shared" si="88"/>
        <v>33</v>
      </c>
      <c r="AZ223" s="70">
        <v>230</v>
      </c>
      <c r="BA223" s="73">
        <v>19</v>
      </c>
      <c r="BB223" s="73">
        <v>12</v>
      </c>
      <c r="BC223" s="63">
        <f t="shared" si="92"/>
        <v>261</v>
      </c>
      <c r="BD223" s="72">
        <f>SUM(Table22[[#This Row],[Good Kernel (gm)]]+(Table22[[#This Row],[Immature (gm)]]+Table22[[#This Row],[Spotted (gm)]])/2)*0.176</f>
        <v>43.207999999999998</v>
      </c>
      <c r="BE223" s="73">
        <v>43.29</v>
      </c>
      <c r="BF223" s="72">
        <f t="shared" si="93"/>
        <v>46.03257</v>
      </c>
      <c r="BG223" s="72">
        <f t="shared" si="89"/>
        <v>50.265450000000001</v>
      </c>
      <c r="BH223" s="72">
        <f>SUM(Table22[[#This Row],[Good Kernel (gm)]:[Spotted (gm)]])/1000*100</f>
        <v>26.1</v>
      </c>
      <c r="BI223" s="72">
        <f t="shared" si="90"/>
        <v>28.499999999999996</v>
      </c>
      <c r="BJ223" s="73">
        <v>13.2</v>
      </c>
      <c r="BK223" s="73">
        <v>159</v>
      </c>
      <c r="BL223" s="73">
        <v>699</v>
      </c>
      <c r="BM223" s="73">
        <v>28</v>
      </c>
      <c r="BN223" s="73"/>
      <c r="BO223" s="73">
        <v>21</v>
      </c>
      <c r="BP223" s="73">
        <v>2</v>
      </c>
      <c r="BQ223" s="71">
        <f t="shared" si="91"/>
        <v>51</v>
      </c>
      <c r="BR223" s="73">
        <v>234</v>
      </c>
      <c r="BS223" s="73">
        <v>18</v>
      </c>
      <c r="BT223" s="73">
        <v>12</v>
      </c>
      <c r="BU223" s="140">
        <f t="shared" si="96"/>
        <v>264</v>
      </c>
      <c r="BV223" s="141">
        <f>SUM(Table22[[#This Row],[Good Kernel (G M)]]+(Table22[[#This Row],[Immature (g m)]]+Table22[[#This Row],[Spotted (g m)]])/2)*0.176</f>
        <v>43.823999999999998</v>
      </c>
      <c r="BW223" s="73">
        <v>43.91</v>
      </c>
      <c r="BX223" s="73"/>
      <c r="BY223" s="72">
        <f t="shared" si="97"/>
        <v>46.561680000000003</v>
      </c>
      <c r="BZ223" s="72">
        <f t="shared" si="94"/>
        <v>51.852780000000003</v>
      </c>
      <c r="CA223" s="72">
        <f>SUM(Table22[[#This Row],[Good Kernel (G M)]:[Spotted (g m)]])/1000*100</f>
        <v>26.400000000000002</v>
      </c>
      <c r="CB223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23" s="73">
        <v>13.5</v>
      </c>
      <c r="CD223" s="73">
        <v>162</v>
      </c>
      <c r="CE223" s="73"/>
      <c r="CF223" s="73"/>
      <c r="CG223" s="73"/>
      <c r="CH223" s="184">
        <f ca="1">TODAY()-Table22[[#This Row],[Discharge Date]]</f>
        <v>109</v>
      </c>
    </row>
    <row r="224" spans="1:86" x14ac:dyDescent="0.25">
      <c r="A224" s="50">
        <v>220</v>
      </c>
      <c r="B224" s="60" t="s">
        <v>95</v>
      </c>
      <c r="C224" s="60" t="s">
        <v>96</v>
      </c>
      <c r="D224" s="97">
        <v>220</v>
      </c>
      <c r="E224" s="73"/>
      <c r="F224" s="97">
        <v>421</v>
      </c>
      <c r="G224" s="73"/>
      <c r="H224" s="73"/>
      <c r="I224" s="73"/>
      <c r="J224" s="73"/>
      <c r="K224" s="97" t="s">
        <v>636</v>
      </c>
      <c r="L224" s="73"/>
      <c r="M224" s="97">
        <v>89245</v>
      </c>
      <c r="N224" s="97" t="s">
        <v>687</v>
      </c>
      <c r="O224" s="73" t="s">
        <v>232</v>
      </c>
      <c r="P224" s="97" t="s">
        <v>386</v>
      </c>
      <c r="Q224" s="101">
        <v>46146</v>
      </c>
      <c r="R224" s="102" t="s">
        <v>224</v>
      </c>
      <c r="S224" s="102" t="s">
        <v>231</v>
      </c>
      <c r="T224" s="102" t="s">
        <v>198</v>
      </c>
      <c r="U224" s="102"/>
      <c r="V224" s="73" t="s">
        <v>199</v>
      </c>
      <c r="W224" s="73">
        <v>616</v>
      </c>
      <c r="X224" s="73"/>
      <c r="Y224" s="51">
        <f t="shared" si="81"/>
        <v>616</v>
      </c>
      <c r="Z224" s="73"/>
      <c r="AA224" s="61">
        <f t="shared" si="78"/>
        <v>616</v>
      </c>
      <c r="AB224" s="51">
        <f t="shared" si="95"/>
        <v>0</v>
      </c>
      <c r="AC224" s="88">
        <f>W224</f>
        <v>616</v>
      </c>
      <c r="AD224" s="73">
        <v>10</v>
      </c>
      <c r="AE224" s="63">
        <f t="shared" si="79"/>
        <v>0</v>
      </c>
      <c r="AF224" s="63"/>
      <c r="AG224" s="73"/>
      <c r="AH224" s="64">
        <f>AC224+AE224+Table22[[#This Row],[Humid Sacs]]-10</f>
        <v>616</v>
      </c>
      <c r="AI224" s="73"/>
      <c r="AJ224" s="73"/>
      <c r="AK224" s="62">
        <f t="shared" si="76"/>
        <v>616</v>
      </c>
      <c r="AL224" s="62">
        <f t="shared" si="77"/>
        <v>616</v>
      </c>
      <c r="AM224" s="73">
        <v>49160</v>
      </c>
      <c r="AN224" s="124">
        <f t="shared" si="74"/>
        <v>696</v>
      </c>
      <c r="AO224" s="77">
        <f t="shared" si="80"/>
        <v>48544</v>
      </c>
      <c r="AP224" s="77">
        <f t="shared" si="83"/>
        <v>48464</v>
      </c>
      <c r="AQ224" s="77">
        <f>+AO224-AE224*4-80</f>
        <v>48464</v>
      </c>
      <c r="AR224" s="67">
        <f t="shared" si="86"/>
        <v>80</v>
      </c>
      <c r="AS224" s="134">
        <f>Table22[[#This Row],[GROSS WT]]-Table22[[#This Row],[Total Bag Discharged (Truck)]]</f>
        <v>48544</v>
      </c>
      <c r="AT224" s="67">
        <f t="shared" si="87"/>
        <v>48544</v>
      </c>
      <c r="AU224" s="73"/>
      <c r="AV224" s="73">
        <v>33</v>
      </c>
      <c r="AW224" s="73">
        <v>20</v>
      </c>
      <c r="AX224" s="73">
        <v>3</v>
      </c>
      <c r="AY224" s="71">
        <f t="shared" si="88"/>
        <v>56</v>
      </c>
      <c r="AZ224" s="70">
        <v>228</v>
      </c>
      <c r="BA224" s="73">
        <v>13</v>
      </c>
      <c r="BB224" s="73">
        <v>8</v>
      </c>
      <c r="BC224" s="63">
        <f t="shared" si="92"/>
        <v>249</v>
      </c>
      <c r="BD224" s="72">
        <f>SUM(Table22[[#This Row],[Good Kernel (gm)]]+(Table22[[#This Row],[Immature (gm)]]+Table22[[#This Row],[Spotted (gm)]])/2)*0.176</f>
        <v>41.975999999999999</v>
      </c>
      <c r="BE224" s="73">
        <v>42.06</v>
      </c>
      <c r="BF224" s="72">
        <f t="shared" si="93"/>
        <v>43.916130000000003</v>
      </c>
      <c r="BG224" s="72">
        <f t="shared" si="89"/>
        <v>50.265450000000001</v>
      </c>
      <c r="BH224" s="72">
        <f>SUM(Table22[[#This Row],[Good Kernel (gm)]:[Spotted (gm)]])/1000*100</f>
        <v>24.9</v>
      </c>
      <c r="BI224" s="72">
        <f t="shared" si="90"/>
        <v>28.499999999999996</v>
      </c>
      <c r="BJ224" s="73">
        <v>11.4</v>
      </c>
      <c r="BK224" s="73">
        <v>162</v>
      </c>
      <c r="BL224" s="73">
        <v>690</v>
      </c>
      <c r="BM224" s="73">
        <v>24</v>
      </c>
      <c r="BN224" s="73"/>
      <c r="BO224" s="73">
        <v>32</v>
      </c>
      <c r="BP224" s="73">
        <v>0</v>
      </c>
      <c r="BQ224" s="71">
        <f t="shared" si="91"/>
        <v>56</v>
      </c>
      <c r="BR224" s="73">
        <v>234</v>
      </c>
      <c r="BS224" s="73">
        <v>10</v>
      </c>
      <c r="BT224" s="73">
        <v>12</v>
      </c>
      <c r="BU224" s="140">
        <f t="shared" si="96"/>
        <v>256</v>
      </c>
      <c r="BV224" s="141">
        <f>SUM(Table22[[#This Row],[Good Kernel (G M)]]+(Table22[[#This Row],[Immature (g m)]]+Table22[[#This Row],[Spotted (g m)]])/2)*0.176</f>
        <v>43.12</v>
      </c>
      <c r="BW224" s="73">
        <v>43.21</v>
      </c>
      <c r="BX224" s="73"/>
      <c r="BY224" s="72">
        <f t="shared" si="97"/>
        <v>45.15072</v>
      </c>
      <c r="BZ224" s="72">
        <f t="shared" si="94"/>
        <v>49.383600000000001</v>
      </c>
      <c r="CA224" s="72">
        <f>SUM(Table22[[#This Row],[Good Kernel (G M)]:[Spotted (g m)]])/1000*100</f>
        <v>25.6</v>
      </c>
      <c r="CB224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224" s="73">
        <v>10.4</v>
      </c>
      <c r="CD224" s="73">
        <v>171</v>
      </c>
      <c r="CE224" s="73"/>
      <c r="CF224" s="73"/>
      <c r="CG224" s="73"/>
      <c r="CH224" s="184">
        <f ca="1">TODAY()-Table22[[#This Row],[Discharge Date]]</f>
        <v>109</v>
      </c>
    </row>
    <row r="225" spans="1:86" x14ac:dyDescent="0.25">
      <c r="A225" s="50">
        <v>221</v>
      </c>
      <c r="B225" s="60" t="s">
        <v>95</v>
      </c>
      <c r="C225" s="60" t="s">
        <v>96</v>
      </c>
      <c r="D225" s="97">
        <v>221</v>
      </c>
      <c r="E225" s="73"/>
      <c r="F225" s="97">
        <v>422</v>
      </c>
      <c r="G225" s="73"/>
      <c r="H225" s="73"/>
      <c r="I225" s="73"/>
      <c r="J225" s="73"/>
      <c r="K225" s="97" t="s">
        <v>638</v>
      </c>
      <c r="L225" s="73"/>
      <c r="M225" s="97">
        <v>9053</v>
      </c>
      <c r="N225" s="97" t="s">
        <v>687</v>
      </c>
      <c r="O225" s="73" t="s">
        <v>412</v>
      </c>
      <c r="P225" s="97" t="s">
        <v>347</v>
      </c>
      <c r="Q225" s="101">
        <v>46146</v>
      </c>
      <c r="R225" s="102" t="s">
        <v>200</v>
      </c>
      <c r="S225" s="102" t="s">
        <v>413</v>
      </c>
      <c r="T225" s="102"/>
      <c r="U225" s="102" t="s">
        <v>414</v>
      </c>
      <c r="V225" s="73" t="s">
        <v>515</v>
      </c>
      <c r="W225" s="73">
        <v>487</v>
      </c>
      <c r="X225" s="73"/>
      <c r="Y225" s="51">
        <f t="shared" si="81"/>
        <v>487</v>
      </c>
      <c r="Z225" s="73"/>
      <c r="AA225" s="61">
        <f t="shared" si="78"/>
        <v>487</v>
      </c>
      <c r="AB225" s="51">
        <f t="shared" si="95"/>
        <v>0</v>
      </c>
      <c r="AC225" s="88">
        <f t="shared" ref="AC225:AC232" si="100">W225</f>
        <v>487</v>
      </c>
      <c r="AD225" s="73"/>
      <c r="AE225" s="63">
        <v>25</v>
      </c>
      <c r="AF225" s="63"/>
      <c r="AG225" s="73"/>
      <c r="AH225" s="64">
        <f>AC225+AE225+Table22[[#This Row],[Humid Sacs]]</f>
        <v>512</v>
      </c>
      <c r="AI225" s="73"/>
      <c r="AJ225" s="73"/>
      <c r="AK225" s="62">
        <f t="shared" si="76"/>
        <v>512</v>
      </c>
      <c r="AL225" s="62">
        <f t="shared" si="77"/>
        <v>512</v>
      </c>
      <c r="AM225" s="73">
        <v>40230</v>
      </c>
      <c r="AN225" s="124">
        <f>(AD225*8)+(AE225*4)+(AG225*0)+(AH225*1)</f>
        <v>612</v>
      </c>
      <c r="AO225" s="77">
        <f>AM225-AH225</f>
        <v>39718</v>
      </c>
      <c r="AP225" s="77">
        <f>AM225-AN225+25</f>
        <v>39643</v>
      </c>
      <c r="AQ225" s="77">
        <f>+AO225-AE225*4+25</f>
        <v>39643</v>
      </c>
      <c r="AR225" s="67">
        <f t="shared" si="86"/>
        <v>100</v>
      </c>
      <c r="AS225" s="134">
        <f>Table22[[#This Row],[GROSS WT]]-Table22[[#This Row],[Total Bag Discharged (Truck)]]</f>
        <v>39743</v>
      </c>
      <c r="AT225" s="67">
        <f t="shared" si="87"/>
        <v>39718</v>
      </c>
      <c r="AU225" s="73"/>
      <c r="AV225" s="73">
        <v>36</v>
      </c>
      <c r="AW225" s="73">
        <v>21</v>
      </c>
      <c r="AX225" s="73">
        <v>0</v>
      </c>
      <c r="AY225" s="71">
        <f t="shared" si="88"/>
        <v>57</v>
      </c>
      <c r="AZ225" s="70">
        <v>225</v>
      </c>
      <c r="BA225" s="73">
        <v>16</v>
      </c>
      <c r="BB225" s="73">
        <v>16</v>
      </c>
      <c r="BC225" s="63">
        <f t="shared" si="92"/>
        <v>257</v>
      </c>
      <c r="BD225" s="72">
        <f>SUM(Table22[[#This Row],[Good Kernel (gm)]]+(Table22[[#This Row],[Immature (gm)]]+Table22[[#This Row],[Spotted (gm)]])/2)*0.176</f>
        <v>42.415999999999997</v>
      </c>
      <c r="BE225" s="73">
        <v>42.5</v>
      </c>
      <c r="BF225" s="72">
        <f t="shared" si="93"/>
        <v>45.327089999999998</v>
      </c>
      <c r="BG225" s="72">
        <f t="shared" si="89"/>
        <v>51.676409999999997</v>
      </c>
      <c r="BH225" s="72">
        <f>SUM(Table22[[#This Row],[Good Kernel (gm)]:[Spotted (gm)]])/1000*100</f>
        <v>25.7</v>
      </c>
      <c r="BI225" s="72">
        <f t="shared" si="90"/>
        <v>29.299999999999997</v>
      </c>
      <c r="BJ225" s="73">
        <v>8.5</v>
      </c>
      <c r="BK225" s="73">
        <v>191</v>
      </c>
      <c r="BL225" s="73">
        <v>680</v>
      </c>
      <c r="BM225" s="73">
        <v>34</v>
      </c>
      <c r="BN225" s="73"/>
      <c r="BO225" s="73">
        <v>29</v>
      </c>
      <c r="BP225" s="73">
        <v>0</v>
      </c>
      <c r="BQ225" s="71">
        <f t="shared" si="91"/>
        <v>63</v>
      </c>
      <c r="BR225" s="73">
        <v>231</v>
      </c>
      <c r="BS225" s="73">
        <v>17</v>
      </c>
      <c r="BT225" s="73">
        <v>10</v>
      </c>
      <c r="BU225" s="140">
        <f t="shared" si="96"/>
        <v>258</v>
      </c>
      <c r="BV225" s="141">
        <f>SUM(Table22[[#This Row],[Good Kernel (G M)]]+(Table22[[#This Row],[Immature (g m)]]+Table22[[#This Row],[Spotted (g m)]])/2)*0.176</f>
        <v>43.031999999999996</v>
      </c>
      <c r="BW225" s="73">
        <v>43.12</v>
      </c>
      <c r="BX225" s="73"/>
      <c r="BY225" s="72">
        <f t="shared" si="97"/>
        <v>45.503459999999997</v>
      </c>
      <c r="BZ225" s="72">
        <f t="shared" si="94"/>
        <v>51.500039999999998</v>
      </c>
      <c r="CA225" s="72">
        <f>SUM(Table22[[#This Row],[Good Kernel (G M)]:[Spotted (g m)]])/1000*100</f>
        <v>25.8</v>
      </c>
      <c r="CB225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225" s="73">
        <v>8.6</v>
      </c>
      <c r="CD225" s="73">
        <v>192</v>
      </c>
      <c r="CE225" s="73"/>
      <c r="CF225" s="73"/>
      <c r="CG225" s="73"/>
      <c r="CH225" s="184">
        <f ca="1">TODAY()-Table22[[#This Row],[Discharge Date]]</f>
        <v>109</v>
      </c>
    </row>
    <row r="226" spans="1:86" x14ac:dyDescent="0.25">
      <c r="A226" s="50">
        <v>222</v>
      </c>
      <c r="B226" s="60" t="s">
        <v>95</v>
      </c>
      <c r="C226" s="60" t="s">
        <v>96</v>
      </c>
      <c r="D226" s="97">
        <v>222</v>
      </c>
      <c r="E226" s="73"/>
      <c r="F226" s="97">
        <v>423</v>
      </c>
      <c r="G226" s="73"/>
      <c r="H226" s="73"/>
      <c r="I226" s="73"/>
      <c r="J226" s="73"/>
      <c r="K226" s="97" t="s">
        <v>636</v>
      </c>
      <c r="L226" s="73"/>
      <c r="M226" s="97">
        <v>36093</v>
      </c>
      <c r="N226" s="97" t="s">
        <v>681</v>
      </c>
      <c r="O226" s="73" t="s">
        <v>415</v>
      </c>
      <c r="P226" s="97" t="s">
        <v>395</v>
      </c>
      <c r="Q226" s="101">
        <v>46146</v>
      </c>
      <c r="R226" s="102" t="s">
        <v>416</v>
      </c>
      <c r="S226" s="102" t="s">
        <v>526</v>
      </c>
      <c r="T226" s="102"/>
      <c r="U226" s="102" t="s">
        <v>417</v>
      </c>
      <c r="V226" s="73" t="s">
        <v>298</v>
      </c>
      <c r="W226" s="73">
        <v>579</v>
      </c>
      <c r="X226" s="73"/>
      <c r="Y226" s="51">
        <f t="shared" si="81"/>
        <v>579</v>
      </c>
      <c r="Z226" s="73"/>
      <c r="AA226" s="61">
        <f t="shared" si="78"/>
        <v>579</v>
      </c>
      <c r="AB226" s="51">
        <f t="shared" si="95"/>
        <v>0</v>
      </c>
      <c r="AC226" s="88">
        <f t="shared" si="100"/>
        <v>579</v>
      </c>
      <c r="AD226" s="73">
        <v>50</v>
      </c>
      <c r="AE226" s="63">
        <f t="shared" si="79"/>
        <v>0</v>
      </c>
      <c r="AF226" s="63"/>
      <c r="AG226" s="73"/>
      <c r="AH226" s="64">
        <f>AC226+AE226+Table22[[#This Row],[Humid Sacs]]-50</f>
        <v>579</v>
      </c>
      <c r="AI226" s="73"/>
      <c r="AJ226" s="73"/>
      <c r="AK226" s="62">
        <f t="shared" si="76"/>
        <v>579</v>
      </c>
      <c r="AL226" s="62">
        <f t="shared" si="77"/>
        <v>579</v>
      </c>
      <c r="AM226" s="73">
        <v>50440</v>
      </c>
      <c r="AN226" s="124">
        <f t="shared" ref="AN226:AN248" si="101">(AD226*8)+(AE226*4)+(AG226*0)+(AH226*1)</f>
        <v>979</v>
      </c>
      <c r="AO226" s="77">
        <f t="shared" si="80"/>
        <v>49861</v>
      </c>
      <c r="AP226" s="77">
        <f t="shared" si="83"/>
        <v>49461</v>
      </c>
      <c r="AQ226" s="77">
        <f>+AO226-AE226*4-400</f>
        <v>49461</v>
      </c>
      <c r="AR226" s="67">
        <f t="shared" si="86"/>
        <v>400</v>
      </c>
      <c r="AS226" s="134">
        <f>Table22[[#This Row],[GROSS WT]]-Table22[[#This Row],[Total Bag Discharged (Truck)]]</f>
        <v>49861</v>
      </c>
      <c r="AT226" s="67">
        <f t="shared" si="87"/>
        <v>49861</v>
      </c>
      <c r="AU226" s="73"/>
      <c r="AV226" s="73">
        <v>21</v>
      </c>
      <c r="AW226" s="73">
        <v>39</v>
      </c>
      <c r="AX226" s="73">
        <v>0</v>
      </c>
      <c r="AY226" s="71">
        <f t="shared" si="88"/>
        <v>60</v>
      </c>
      <c r="AZ226" s="70">
        <v>241</v>
      </c>
      <c r="BA226" s="73">
        <v>14</v>
      </c>
      <c r="BB226" s="73">
        <v>11</v>
      </c>
      <c r="BC226" s="63">
        <f t="shared" si="92"/>
        <v>266</v>
      </c>
      <c r="BD226" s="72">
        <f>SUM(Table22[[#This Row],[Good Kernel (gm)]]+(Table22[[#This Row],[Immature (gm)]]+Table22[[#This Row],[Spotted (gm)]])/2)*0.176</f>
        <v>44.616</v>
      </c>
      <c r="BE226" s="73">
        <v>44.7</v>
      </c>
      <c r="BF226" s="72">
        <f t="shared" si="93"/>
        <v>46.91442</v>
      </c>
      <c r="BG226" s="72">
        <f t="shared" si="89"/>
        <v>50.618189999999998</v>
      </c>
      <c r="BH226" s="72">
        <f>SUM(Table22[[#This Row],[Good Kernel (gm)]:[Spotted (gm)]])/1000*100</f>
        <v>26.6</v>
      </c>
      <c r="BI226" s="72">
        <f t="shared" si="90"/>
        <v>28.7</v>
      </c>
      <c r="BJ226" s="73">
        <v>14.1</v>
      </c>
      <c r="BK226" s="73">
        <v>172</v>
      </c>
      <c r="BL226" s="73">
        <v>668</v>
      </c>
      <c r="BM226" s="73">
        <v>27</v>
      </c>
      <c r="BN226" s="73"/>
      <c r="BO226" s="73">
        <v>23</v>
      </c>
      <c r="BP226" s="73">
        <v>2</v>
      </c>
      <c r="BQ226" s="71">
        <f t="shared" si="91"/>
        <v>52</v>
      </c>
      <c r="BR226" s="73">
        <v>236</v>
      </c>
      <c r="BS226" s="73">
        <v>13</v>
      </c>
      <c r="BT226" s="73">
        <v>10</v>
      </c>
      <c r="BU226" s="140">
        <f t="shared" si="96"/>
        <v>259</v>
      </c>
      <c r="BV226" s="141">
        <f>SUM(Table22[[#This Row],[Good Kernel (G M)]]+(Table22[[#This Row],[Immature (g m)]]+Table22[[#This Row],[Spotted (g m)]])/2)*0.176</f>
        <v>43.559999999999995</v>
      </c>
      <c r="BW226" s="73">
        <v>43.65</v>
      </c>
      <c r="BX226" s="73"/>
      <c r="BY226" s="72">
        <f t="shared" si="97"/>
        <v>45.679830000000003</v>
      </c>
      <c r="BZ226" s="72">
        <f t="shared" si="94"/>
        <v>50.794559999999997</v>
      </c>
      <c r="CA226" s="72">
        <f>SUM(Table22[[#This Row],[Good Kernel (G M)]:[Spotted (g m)]])/1000*100</f>
        <v>25.900000000000002</v>
      </c>
      <c r="CB226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226" s="73">
        <v>14.7</v>
      </c>
      <c r="CD226" s="73">
        <v>173</v>
      </c>
      <c r="CE226" s="73"/>
      <c r="CF226" s="73"/>
      <c r="CG226" s="73"/>
      <c r="CH226" s="184">
        <f ca="1">TODAY()-Table22[[#This Row],[Discharge Date]]</f>
        <v>109</v>
      </c>
    </row>
    <row r="227" spans="1:86" x14ac:dyDescent="0.25">
      <c r="A227" s="97">
        <v>223</v>
      </c>
      <c r="B227" s="60" t="s">
        <v>95</v>
      </c>
      <c r="C227" s="60" t="s">
        <v>96</v>
      </c>
      <c r="D227" s="97">
        <v>223</v>
      </c>
      <c r="E227" s="73"/>
      <c r="F227" s="97">
        <v>424</v>
      </c>
      <c r="G227" s="73"/>
      <c r="H227" s="73"/>
      <c r="I227" s="73"/>
      <c r="J227" s="73"/>
      <c r="K227" s="97" t="s">
        <v>636</v>
      </c>
      <c r="L227" s="73"/>
      <c r="M227" s="97">
        <v>83399</v>
      </c>
      <c r="N227" s="97" t="s">
        <v>679</v>
      </c>
      <c r="O227" s="73" t="s">
        <v>418</v>
      </c>
      <c r="P227" s="109">
        <v>46058</v>
      </c>
      <c r="Q227" s="101">
        <v>46146</v>
      </c>
      <c r="R227" s="102" t="s">
        <v>419</v>
      </c>
      <c r="S227" s="102" t="s">
        <v>265</v>
      </c>
      <c r="T227" s="102" t="s">
        <v>534</v>
      </c>
      <c r="U227" s="102" t="s">
        <v>427</v>
      </c>
      <c r="V227" s="56" t="s">
        <v>140</v>
      </c>
      <c r="W227" s="73">
        <v>500</v>
      </c>
      <c r="X227" s="73"/>
      <c r="Y227" s="51">
        <f>W227+X227</f>
        <v>500</v>
      </c>
      <c r="Z227" s="73"/>
      <c r="AA227" s="61">
        <f t="shared" si="78"/>
        <v>500</v>
      </c>
      <c r="AB227" s="51">
        <f t="shared" si="95"/>
        <v>0</v>
      </c>
      <c r="AC227" s="88">
        <f t="shared" si="100"/>
        <v>500</v>
      </c>
      <c r="AD227" s="73">
        <v>50</v>
      </c>
      <c r="AE227" s="63">
        <f t="shared" si="79"/>
        <v>0</v>
      </c>
      <c r="AF227" s="63"/>
      <c r="AG227" s="73"/>
      <c r="AH227" s="64">
        <f>AC227+AE227+Table22[[#This Row],[Humid Sacs]]-50</f>
        <v>500</v>
      </c>
      <c r="AI227" s="73"/>
      <c r="AJ227" s="73"/>
      <c r="AK227" s="62">
        <f t="shared" si="76"/>
        <v>500</v>
      </c>
      <c r="AL227" s="62">
        <f t="shared" si="77"/>
        <v>500</v>
      </c>
      <c r="AM227" s="73">
        <v>42260</v>
      </c>
      <c r="AN227" s="124">
        <f t="shared" si="101"/>
        <v>900</v>
      </c>
      <c r="AO227" s="77">
        <f t="shared" si="80"/>
        <v>41760</v>
      </c>
      <c r="AP227" s="77">
        <f t="shared" si="83"/>
        <v>41360</v>
      </c>
      <c r="AQ227" s="77">
        <f>+AO227-AE227*4-400</f>
        <v>41360</v>
      </c>
      <c r="AR227" s="67">
        <f t="shared" si="86"/>
        <v>400</v>
      </c>
      <c r="AS227" s="134">
        <f>Table22[[#This Row],[GROSS WT]]-Table22[[#This Row],[Total Bag Discharged (Truck)]]</f>
        <v>41760</v>
      </c>
      <c r="AT227" s="67">
        <f t="shared" si="87"/>
        <v>41760</v>
      </c>
      <c r="AU227" s="73"/>
      <c r="AV227" s="73">
        <v>35</v>
      </c>
      <c r="AW227" s="73">
        <v>10</v>
      </c>
      <c r="AX227" s="73">
        <v>2</v>
      </c>
      <c r="AY227" s="71">
        <f t="shared" si="88"/>
        <v>47</v>
      </c>
      <c r="AZ227" s="70">
        <v>232</v>
      </c>
      <c r="BA227" s="73">
        <v>15</v>
      </c>
      <c r="BB227" s="73">
        <v>18</v>
      </c>
      <c r="BC227" s="63">
        <f t="shared" si="92"/>
        <v>265</v>
      </c>
      <c r="BD227" s="72">
        <f>SUM(Table22[[#This Row],[Good Kernel (gm)]]+(Table22[[#This Row],[Immature (gm)]]+Table22[[#This Row],[Spotted (gm)]])/2)*0.176</f>
        <v>43.735999999999997</v>
      </c>
      <c r="BE227" s="73">
        <v>43.82</v>
      </c>
      <c r="BF227" s="72">
        <f t="shared" si="93"/>
        <v>46.738050000000001</v>
      </c>
      <c r="BG227" s="72">
        <f t="shared" si="89"/>
        <v>53.263739999999999</v>
      </c>
      <c r="BH227" s="72">
        <f>SUM(Table22[[#This Row],[Good Kernel (gm)]:[Spotted (gm)]])/1000*100</f>
        <v>26.5</v>
      </c>
      <c r="BI227" s="72">
        <f t="shared" si="90"/>
        <v>30.2</v>
      </c>
      <c r="BJ227" s="73">
        <v>12.2</v>
      </c>
      <c r="BK227" s="73">
        <v>174</v>
      </c>
      <c r="BL227" s="73">
        <v>682</v>
      </c>
      <c r="BM227" s="73">
        <v>31</v>
      </c>
      <c r="BN227" s="73"/>
      <c r="BO227" s="73">
        <v>10</v>
      </c>
      <c r="BP227" s="73">
        <v>0</v>
      </c>
      <c r="BQ227" s="71">
        <f t="shared" si="91"/>
        <v>41</v>
      </c>
      <c r="BR227" s="73">
        <v>239</v>
      </c>
      <c r="BS227" s="73">
        <v>12</v>
      </c>
      <c r="BT227" s="73">
        <v>10</v>
      </c>
      <c r="BU227" s="140">
        <f t="shared" si="96"/>
        <v>261</v>
      </c>
      <c r="BV227" s="141">
        <f>SUM(Table22[[#This Row],[Good Kernel (G M)]]+(Table22[[#This Row],[Immature (g m)]]+Table22[[#This Row],[Spotted (g m)]])/2)*0.176</f>
        <v>44</v>
      </c>
      <c r="BW227" s="73">
        <v>44.09</v>
      </c>
      <c r="BX227" s="73"/>
      <c r="BY227" s="72">
        <f t="shared" si="97"/>
        <v>46.03257</v>
      </c>
      <c r="BZ227" s="72">
        <f t="shared" si="94"/>
        <v>51.500039999999998</v>
      </c>
      <c r="CA227" s="72">
        <f>SUM(Table22[[#This Row],[Good Kernel (G M)]:[Spotted (g m)]])/1000*100</f>
        <v>26.1</v>
      </c>
      <c r="CB227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227" s="73">
        <v>12.6</v>
      </c>
      <c r="CD227" s="73">
        <v>180</v>
      </c>
      <c r="CE227" s="73"/>
      <c r="CF227" s="73"/>
      <c r="CG227" s="73"/>
      <c r="CH227" s="184">
        <f ca="1">TODAY()-Table22[[#This Row],[Discharge Date]]</f>
        <v>109</v>
      </c>
    </row>
    <row r="228" spans="1:86" x14ac:dyDescent="0.25">
      <c r="A228" s="50">
        <v>224</v>
      </c>
      <c r="B228" s="60" t="s">
        <v>95</v>
      </c>
      <c r="C228" s="60" t="s">
        <v>96</v>
      </c>
      <c r="D228" s="97">
        <v>224</v>
      </c>
      <c r="E228" s="73"/>
      <c r="F228" s="97">
        <v>427</v>
      </c>
      <c r="G228" s="73"/>
      <c r="H228" s="73"/>
      <c r="I228" s="73"/>
      <c r="J228" s="73"/>
      <c r="K228" s="97" t="s">
        <v>634</v>
      </c>
      <c r="L228" s="73"/>
      <c r="M228" s="97">
        <v>16</v>
      </c>
      <c r="N228" s="97" t="s">
        <v>686</v>
      </c>
      <c r="O228" s="73" t="s">
        <v>367</v>
      </c>
      <c r="P228" s="109">
        <v>46058</v>
      </c>
      <c r="Q228" s="101">
        <v>46147</v>
      </c>
      <c r="R228" s="102" t="s">
        <v>420</v>
      </c>
      <c r="S228" s="102" t="s">
        <v>317</v>
      </c>
      <c r="T228" s="103" t="s">
        <v>534</v>
      </c>
      <c r="U228" s="103" t="s">
        <v>421</v>
      </c>
      <c r="V228" s="73" t="s">
        <v>140</v>
      </c>
      <c r="W228" s="73">
        <v>480</v>
      </c>
      <c r="X228" s="73"/>
      <c r="Y228" s="51">
        <f t="shared" ref="Y228:Y232" si="102">W228+X228</f>
        <v>480</v>
      </c>
      <c r="Z228" s="73"/>
      <c r="AA228" s="61">
        <f t="shared" si="78"/>
        <v>480</v>
      </c>
      <c r="AB228" s="51">
        <f t="shared" si="95"/>
        <v>0</v>
      </c>
      <c r="AC228" s="88">
        <f t="shared" si="100"/>
        <v>480</v>
      </c>
      <c r="AD228" s="73">
        <v>60</v>
      </c>
      <c r="AE228" s="63">
        <f t="shared" si="79"/>
        <v>0</v>
      </c>
      <c r="AF228" s="63"/>
      <c r="AG228" s="73"/>
      <c r="AH228" s="64">
        <f>AC228+AE228+Table22[[#This Row],[Humid Sacs]]-60</f>
        <v>480</v>
      </c>
      <c r="AI228" s="73"/>
      <c r="AJ228" s="73"/>
      <c r="AK228" s="62">
        <f t="shared" si="76"/>
        <v>480</v>
      </c>
      <c r="AL228" s="62">
        <f t="shared" si="77"/>
        <v>480</v>
      </c>
      <c r="AM228" s="73">
        <v>44340</v>
      </c>
      <c r="AN228" s="124">
        <f t="shared" si="101"/>
        <v>960</v>
      </c>
      <c r="AO228" s="77">
        <f t="shared" si="80"/>
        <v>43860</v>
      </c>
      <c r="AP228" s="77">
        <f t="shared" si="83"/>
        <v>43380</v>
      </c>
      <c r="AQ228" s="77">
        <f>+AO228-AE228*4-480</f>
        <v>43380</v>
      </c>
      <c r="AR228" s="67">
        <f t="shared" si="86"/>
        <v>480</v>
      </c>
      <c r="AS228" s="134">
        <f>Table22[[#This Row],[GROSS WT]]-Table22[[#This Row],[Total Bag Discharged (Truck)]]</f>
        <v>43860</v>
      </c>
      <c r="AT228" s="67">
        <f t="shared" si="87"/>
        <v>43860</v>
      </c>
      <c r="AU228" s="73"/>
      <c r="AV228" s="73">
        <v>39</v>
      </c>
      <c r="AW228" s="73">
        <v>32</v>
      </c>
      <c r="AX228" s="73">
        <v>0</v>
      </c>
      <c r="AY228" s="71">
        <f t="shared" si="88"/>
        <v>71</v>
      </c>
      <c r="AZ228" s="70">
        <v>229</v>
      </c>
      <c r="BA228" s="73">
        <v>14</v>
      </c>
      <c r="BB228" s="73">
        <v>11</v>
      </c>
      <c r="BC228" s="63">
        <f t="shared" si="92"/>
        <v>254</v>
      </c>
      <c r="BD228" s="72">
        <f>SUM(Table22[[#This Row],[Good Kernel (gm)]]+(Table22[[#This Row],[Immature (gm)]]+Table22[[#This Row],[Spotted (gm)]])/2)*0.176</f>
        <v>42.503999999999998</v>
      </c>
      <c r="BE228" s="73">
        <v>42.59</v>
      </c>
      <c r="BF228" s="72">
        <f t="shared" si="93"/>
        <v>44.797980000000003</v>
      </c>
      <c r="BG228" s="72">
        <f t="shared" si="89"/>
        <v>51.676409999999997</v>
      </c>
      <c r="BH228" s="72">
        <f>SUM(Table22[[#This Row],[Good Kernel (gm)]:[Spotted (gm)]])/1000*100</f>
        <v>25.4</v>
      </c>
      <c r="BI228" s="72">
        <f t="shared" si="90"/>
        <v>29.299999999999997</v>
      </c>
      <c r="BJ228" s="73">
        <v>12.1</v>
      </c>
      <c r="BK228" s="73">
        <v>178</v>
      </c>
      <c r="BL228" s="73">
        <v>669</v>
      </c>
      <c r="BM228" s="73">
        <v>46</v>
      </c>
      <c r="BN228" s="73"/>
      <c r="BO228" s="73">
        <v>24</v>
      </c>
      <c r="BP228" s="73">
        <v>0</v>
      </c>
      <c r="BQ228" s="71">
        <f t="shared" si="91"/>
        <v>70</v>
      </c>
      <c r="BR228" s="73">
        <v>222</v>
      </c>
      <c r="BS228" s="73">
        <v>13</v>
      </c>
      <c r="BT228" s="73">
        <v>17</v>
      </c>
      <c r="BU228" s="140">
        <f t="shared" si="96"/>
        <v>252</v>
      </c>
      <c r="BV228" s="141">
        <f>SUM(Table22[[#This Row],[Good Kernel (G M)]]+(Table22[[#This Row],[Immature (g m)]]+Table22[[#This Row],[Spotted (g m)]])/2)*0.176</f>
        <v>41.711999999999996</v>
      </c>
      <c r="BW228" s="73">
        <v>41.79</v>
      </c>
      <c r="BX228" s="73"/>
      <c r="BY228" s="72">
        <f t="shared" si="97"/>
        <v>44.445239999999998</v>
      </c>
      <c r="BZ228" s="72">
        <f t="shared" si="94"/>
        <v>52.558259999999997</v>
      </c>
      <c r="CA228" s="72">
        <f>SUM(Table22[[#This Row],[Good Kernel (G M)]:[Spotted (g m)]])/1000*100</f>
        <v>25.2</v>
      </c>
      <c r="CB228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228" s="73">
        <v>12.1</v>
      </c>
      <c r="CD228" s="73">
        <v>175</v>
      </c>
      <c r="CE228" s="73"/>
      <c r="CF228" s="73"/>
      <c r="CG228" s="73"/>
      <c r="CH228" s="184">
        <f ca="1">TODAY()-Table22[[#This Row],[Discharge Date]]</f>
        <v>108</v>
      </c>
    </row>
    <row r="229" spans="1:86" x14ac:dyDescent="0.25">
      <c r="A229" s="50">
        <v>225</v>
      </c>
      <c r="B229" s="60" t="s">
        <v>95</v>
      </c>
      <c r="C229" s="60" t="s">
        <v>96</v>
      </c>
      <c r="D229" s="97">
        <v>225</v>
      </c>
      <c r="E229" s="73"/>
      <c r="F229" s="97">
        <v>428</v>
      </c>
      <c r="G229" s="73"/>
      <c r="H229" s="73"/>
      <c r="I229" s="73"/>
      <c r="J229" s="73"/>
      <c r="K229" s="97" t="s">
        <v>636</v>
      </c>
      <c r="L229" s="73"/>
      <c r="M229" s="97">
        <v>78909</v>
      </c>
      <c r="N229" s="97" t="s">
        <v>687</v>
      </c>
      <c r="O229" s="73" t="s">
        <v>194</v>
      </c>
      <c r="P229" s="109">
        <v>46027</v>
      </c>
      <c r="Q229" s="101">
        <v>46147</v>
      </c>
      <c r="R229" s="102" t="s">
        <v>100</v>
      </c>
      <c r="S229" s="59" t="s">
        <v>101</v>
      </c>
      <c r="T229" s="102"/>
      <c r="U229" s="102" t="s">
        <v>422</v>
      </c>
      <c r="V229" s="73" t="s">
        <v>102</v>
      </c>
      <c r="W229" s="73">
        <v>642</v>
      </c>
      <c r="X229" s="73"/>
      <c r="Y229" s="51">
        <f t="shared" si="102"/>
        <v>642</v>
      </c>
      <c r="Z229" s="73"/>
      <c r="AA229" s="61">
        <f t="shared" si="78"/>
        <v>642</v>
      </c>
      <c r="AB229" s="51">
        <f t="shared" si="95"/>
        <v>0</v>
      </c>
      <c r="AC229" s="88">
        <f t="shared" si="100"/>
        <v>642</v>
      </c>
      <c r="AD229" s="73">
        <v>10</v>
      </c>
      <c r="AE229" s="63">
        <f t="shared" si="79"/>
        <v>0</v>
      </c>
      <c r="AF229" s="63"/>
      <c r="AG229" s="73"/>
      <c r="AH229" s="64">
        <f>AC229+AE229+Table22[[#This Row],[Humid Sacs]]-10</f>
        <v>642</v>
      </c>
      <c r="AI229" s="73"/>
      <c r="AJ229" s="73"/>
      <c r="AK229" s="62">
        <f t="shared" si="76"/>
        <v>642</v>
      </c>
      <c r="AL229" s="62">
        <f t="shared" si="77"/>
        <v>642</v>
      </c>
      <c r="AM229" s="73">
        <v>52430</v>
      </c>
      <c r="AN229" s="124">
        <f t="shared" si="101"/>
        <v>722</v>
      </c>
      <c r="AO229" s="77">
        <f t="shared" si="80"/>
        <v>51788</v>
      </c>
      <c r="AP229" s="77">
        <f t="shared" si="83"/>
        <v>51708</v>
      </c>
      <c r="AQ229" s="77">
        <f>+AO229-AE229*4-80</f>
        <v>51708</v>
      </c>
      <c r="AR229" s="67">
        <f t="shared" si="86"/>
        <v>80</v>
      </c>
      <c r="AS229" s="134">
        <f>Table22[[#This Row],[GROSS WT]]-Table22[[#This Row],[Total Bag Discharged (Truck)]]</f>
        <v>51788</v>
      </c>
      <c r="AT229" s="67">
        <f t="shared" si="87"/>
        <v>51788</v>
      </c>
      <c r="AU229" s="73"/>
      <c r="AV229" s="73">
        <v>53</v>
      </c>
      <c r="AW229" s="73">
        <v>0</v>
      </c>
      <c r="AX229" s="73">
        <v>2</v>
      </c>
      <c r="AY229" s="71">
        <f t="shared" si="88"/>
        <v>55</v>
      </c>
      <c r="AZ229" s="70">
        <v>221</v>
      </c>
      <c r="BA229" s="73">
        <v>10</v>
      </c>
      <c r="BB229" s="73">
        <v>14</v>
      </c>
      <c r="BC229" s="63">
        <f t="shared" si="92"/>
        <v>245</v>
      </c>
      <c r="BD229" s="72">
        <f>SUM(Table22[[#This Row],[Good Kernel (gm)]]+(Table22[[#This Row],[Immature (gm)]]+Table22[[#This Row],[Spotted (gm)]])/2)*0.176</f>
        <v>41.007999999999996</v>
      </c>
      <c r="BE229" s="73">
        <v>41.09</v>
      </c>
      <c r="BF229" s="72">
        <f t="shared" si="93"/>
        <v>43.210650000000001</v>
      </c>
      <c r="BG229" s="72">
        <f t="shared" si="89"/>
        <v>52.911000000000001</v>
      </c>
      <c r="BH229" s="72">
        <f>SUM(Table22[[#This Row],[Good Kernel (gm)]:[Spotted (gm)]])/1000*100</f>
        <v>24.5</v>
      </c>
      <c r="BI229" s="72">
        <f t="shared" si="90"/>
        <v>30</v>
      </c>
      <c r="BJ229" s="73">
        <v>10.4</v>
      </c>
      <c r="BK229" s="73">
        <v>188</v>
      </c>
      <c r="BL229" s="73">
        <v>695</v>
      </c>
      <c r="BM229" s="73">
        <v>40</v>
      </c>
      <c r="BN229" s="73"/>
      <c r="BO229" s="73">
        <v>18</v>
      </c>
      <c r="BP229" s="73">
        <v>0</v>
      </c>
      <c r="BQ229" s="71">
        <f t="shared" si="91"/>
        <v>58</v>
      </c>
      <c r="BR229" s="73">
        <v>227</v>
      </c>
      <c r="BS229" s="73">
        <v>8</v>
      </c>
      <c r="BT229" s="73">
        <v>11</v>
      </c>
      <c r="BU229" s="140">
        <f t="shared" si="96"/>
        <v>246</v>
      </c>
      <c r="BV229" s="141">
        <f>SUM(Table22[[#This Row],[Good Kernel (G M)]]+(Table22[[#This Row],[Immature (g m)]]+Table22[[#This Row],[Spotted (g m)]])/2)*0.176</f>
        <v>41.623999999999995</v>
      </c>
      <c r="BW229" s="73">
        <v>41.71</v>
      </c>
      <c r="BX229" s="73"/>
      <c r="BY229" s="72">
        <f t="shared" si="97"/>
        <v>43.38702</v>
      </c>
      <c r="BZ229" s="72">
        <f t="shared" si="94"/>
        <v>50.44182</v>
      </c>
      <c r="CA229" s="72">
        <f>SUM(Table22[[#This Row],[Good Kernel (G M)]:[Spotted (g m)]])/1000*100</f>
        <v>24.6</v>
      </c>
      <c r="CB229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229" s="73">
        <v>10.7</v>
      </c>
      <c r="CD229" s="73">
        <v>179</v>
      </c>
      <c r="CE229" s="73"/>
      <c r="CF229" s="73"/>
      <c r="CG229" s="73"/>
      <c r="CH229" s="184">
        <f ca="1">TODAY()-Table22[[#This Row],[Discharge Date]]</f>
        <v>108</v>
      </c>
    </row>
    <row r="230" spans="1:86" x14ac:dyDescent="0.25">
      <c r="A230" s="97">
        <v>226</v>
      </c>
      <c r="B230" s="60" t="s">
        <v>95</v>
      </c>
      <c r="C230" s="60" t="s">
        <v>96</v>
      </c>
      <c r="D230" s="97">
        <v>226</v>
      </c>
      <c r="E230" s="73"/>
      <c r="F230" s="97">
        <v>430</v>
      </c>
      <c r="G230" s="73"/>
      <c r="H230" s="73"/>
      <c r="I230" s="73"/>
      <c r="J230" s="73"/>
      <c r="K230" s="97" t="s">
        <v>634</v>
      </c>
      <c r="L230" s="73"/>
      <c r="M230" s="97">
        <v>39835</v>
      </c>
      <c r="N230" s="97" t="s">
        <v>686</v>
      </c>
      <c r="O230" s="73" t="s">
        <v>423</v>
      </c>
      <c r="P230" s="109">
        <v>46058</v>
      </c>
      <c r="Q230" s="101">
        <v>46147</v>
      </c>
      <c r="R230" s="102" t="s">
        <v>213</v>
      </c>
      <c r="S230" s="102" t="s">
        <v>271</v>
      </c>
      <c r="T230" s="102" t="s">
        <v>198</v>
      </c>
      <c r="U230" s="102" t="s">
        <v>272</v>
      </c>
      <c r="V230" s="73" t="s">
        <v>199</v>
      </c>
      <c r="W230" s="73">
        <v>554</v>
      </c>
      <c r="X230" s="73"/>
      <c r="Y230" s="51">
        <f t="shared" si="102"/>
        <v>554</v>
      </c>
      <c r="Z230" s="73"/>
      <c r="AA230" s="61">
        <f t="shared" si="78"/>
        <v>554</v>
      </c>
      <c r="AB230" s="51">
        <f t="shared" si="95"/>
        <v>0</v>
      </c>
      <c r="AC230" s="88">
        <f t="shared" si="100"/>
        <v>554</v>
      </c>
      <c r="AD230" s="73">
        <v>30</v>
      </c>
      <c r="AE230" s="63">
        <f t="shared" si="79"/>
        <v>0</v>
      </c>
      <c r="AF230" s="63"/>
      <c r="AG230" s="73"/>
      <c r="AH230" s="64">
        <f>AC230+AE230+Table22[[#This Row],[Humid Sacs]]-30</f>
        <v>554</v>
      </c>
      <c r="AI230" s="73"/>
      <c r="AJ230" s="73"/>
      <c r="AK230" s="62">
        <f t="shared" si="76"/>
        <v>554</v>
      </c>
      <c r="AL230" s="62">
        <f t="shared" si="77"/>
        <v>554</v>
      </c>
      <c r="AM230" s="73">
        <v>47340</v>
      </c>
      <c r="AN230" s="124">
        <f t="shared" si="101"/>
        <v>794</v>
      </c>
      <c r="AO230" s="77">
        <f t="shared" si="80"/>
        <v>46786</v>
      </c>
      <c r="AP230" s="77">
        <f t="shared" si="83"/>
        <v>46546</v>
      </c>
      <c r="AQ230" s="77">
        <f>+AO230-AE230*4-240</f>
        <v>46546</v>
      </c>
      <c r="AR230" s="67">
        <f t="shared" si="86"/>
        <v>240</v>
      </c>
      <c r="AS230" s="134">
        <f>Table22[[#This Row],[GROSS WT]]-Table22[[#This Row],[Total Bag Discharged (Truck)]]</f>
        <v>46786</v>
      </c>
      <c r="AT230" s="67">
        <f t="shared" si="87"/>
        <v>46786</v>
      </c>
      <c r="AU230" s="73"/>
      <c r="AV230" s="73">
        <v>29</v>
      </c>
      <c r="AW230" s="73">
        <v>18</v>
      </c>
      <c r="AX230" s="73">
        <v>0</v>
      </c>
      <c r="AY230" s="71">
        <f t="shared" si="88"/>
        <v>47</v>
      </c>
      <c r="AZ230" s="70">
        <v>227</v>
      </c>
      <c r="BA230" s="73">
        <v>14</v>
      </c>
      <c r="BB230" s="73">
        <v>13</v>
      </c>
      <c r="BC230" s="63">
        <f t="shared" si="92"/>
        <v>254</v>
      </c>
      <c r="BD230" s="72">
        <f>SUM(Table22[[#This Row],[Good Kernel (gm)]]+(Table22[[#This Row],[Immature (gm)]]+Table22[[#This Row],[Spotted (gm)]])/2)*0.176</f>
        <v>42.327999999999996</v>
      </c>
      <c r="BE230" s="73">
        <v>42.41</v>
      </c>
      <c r="BF230" s="72">
        <f t="shared" si="93"/>
        <v>44.797980000000003</v>
      </c>
      <c r="BG230" s="72">
        <f t="shared" si="89"/>
        <v>49.912709999999997</v>
      </c>
      <c r="BH230" s="72">
        <f>SUM(Table22[[#This Row],[Good Kernel (gm)]:[Spotted (gm)]])/1000*100</f>
        <v>25.4</v>
      </c>
      <c r="BI230" s="72">
        <f t="shared" si="90"/>
        <v>28.299999999999997</v>
      </c>
      <c r="BJ230" s="73">
        <v>12.4</v>
      </c>
      <c r="BK230" s="73">
        <v>168</v>
      </c>
      <c r="BL230" s="73">
        <v>693</v>
      </c>
      <c r="BM230" s="73">
        <v>36</v>
      </c>
      <c r="BN230" s="73"/>
      <c r="BO230" s="73">
        <v>32</v>
      </c>
      <c r="BP230" s="73">
        <v>2</v>
      </c>
      <c r="BQ230" s="71">
        <f t="shared" si="91"/>
        <v>70</v>
      </c>
      <c r="BR230" s="73">
        <v>228</v>
      </c>
      <c r="BS230" s="73">
        <v>10</v>
      </c>
      <c r="BT230" s="73">
        <v>13</v>
      </c>
      <c r="BU230" s="140">
        <f t="shared" si="96"/>
        <v>251</v>
      </c>
      <c r="BV230" s="141">
        <f>SUM(Table22[[#This Row],[Good Kernel (G M)]]+(Table22[[#This Row],[Immature (g m)]]+Table22[[#This Row],[Spotted (g m)]])/2)*0.176</f>
        <v>42.152000000000001</v>
      </c>
      <c r="BW230" s="73">
        <v>42.24</v>
      </c>
      <c r="BX230" s="73"/>
      <c r="BY230" s="72">
        <f t="shared" si="97"/>
        <v>44.26887</v>
      </c>
      <c r="BZ230" s="72">
        <f t="shared" si="94"/>
        <v>50.970930000000003</v>
      </c>
      <c r="CA230" s="72">
        <f>SUM(Table22[[#This Row],[Good Kernel (G M)]:[Spotted (g m)]])/1000*100</f>
        <v>25.1</v>
      </c>
      <c r="CB230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30" s="73">
        <v>12.4</v>
      </c>
      <c r="CD230" s="73">
        <v>163</v>
      </c>
      <c r="CE230" s="73"/>
      <c r="CF230" s="73"/>
      <c r="CG230" s="73"/>
      <c r="CH230" s="184">
        <f ca="1">TODAY()-Table22[[#This Row],[Discharge Date]]</f>
        <v>108</v>
      </c>
    </row>
    <row r="231" spans="1:86" x14ac:dyDescent="0.25">
      <c r="A231" s="50">
        <v>227</v>
      </c>
      <c r="B231" s="60" t="s">
        <v>95</v>
      </c>
      <c r="C231" s="60" t="s">
        <v>96</v>
      </c>
      <c r="D231" s="97">
        <v>227</v>
      </c>
      <c r="E231" s="73"/>
      <c r="F231" s="97">
        <v>426</v>
      </c>
      <c r="G231" s="73"/>
      <c r="H231" s="73"/>
      <c r="I231" s="73"/>
      <c r="J231" s="73"/>
      <c r="K231" s="97" t="s">
        <v>636</v>
      </c>
      <c r="L231" s="73"/>
      <c r="M231" s="97">
        <v>87037</v>
      </c>
      <c r="N231" s="97" t="s">
        <v>686</v>
      </c>
      <c r="O231" s="73" t="s">
        <v>406</v>
      </c>
      <c r="P231" s="109">
        <v>46086</v>
      </c>
      <c r="Q231" s="101">
        <v>46147</v>
      </c>
      <c r="R231" s="102" t="s">
        <v>267</v>
      </c>
      <c r="S231" s="102" t="s">
        <v>219</v>
      </c>
      <c r="T231" s="102"/>
      <c r="U231" s="102" t="s">
        <v>220</v>
      </c>
      <c r="V231" s="73" t="s">
        <v>221</v>
      </c>
      <c r="W231" s="73">
        <v>643</v>
      </c>
      <c r="X231" s="73"/>
      <c r="Y231" s="51">
        <f t="shared" si="102"/>
        <v>643</v>
      </c>
      <c r="Z231" s="73"/>
      <c r="AA231" s="61">
        <f t="shared" si="78"/>
        <v>643</v>
      </c>
      <c r="AB231" s="51">
        <f t="shared" si="95"/>
        <v>0</v>
      </c>
      <c r="AC231" s="88">
        <f t="shared" si="100"/>
        <v>643</v>
      </c>
      <c r="AD231" s="73">
        <v>30</v>
      </c>
      <c r="AE231" s="63">
        <f t="shared" si="79"/>
        <v>0</v>
      </c>
      <c r="AF231" s="63"/>
      <c r="AG231" s="73"/>
      <c r="AH231" s="64">
        <f>AC231+AE231+Table22[[#This Row],[Humid Sacs]]-30</f>
        <v>643</v>
      </c>
      <c r="AI231" s="73"/>
      <c r="AJ231" s="73"/>
      <c r="AK231" s="62">
        <f t="shared" si="76"/>
        <v>643</v>
      </c>
      <c r="AL231" s="62">
        <f t="shared" si="77"/>
        <v>643</v>
      </c>
      <c r="AM231" s="73">
        <v>59530</v>
      </c>
      <c r="AN231" s="124">
        <f t="shared" si="101"/>
        <v>883</v>
      </c>
      <c r="AO231" s="77">
        <f t="shared" si="80"/>
        <v>58887</v>
      </c>
      <c r="AP231" s="77">
        <f t="shared" si="83"/>
        <v>58647</v>
      </c>
      <c r="AQ231" s="77">
        <f>+AO231-AE231*4-240</f>
        <v>58647</v>
      </c>
      <c r="AR231" s="67">
        <f t="shared" si="86"/>
        <v>240</v>
      </c>
      <c r="AS231" s="134">
        <f>Table22[[#This Row],[GROSS WT]]-Table22[[#This Row],[Total Bag Discharged (Truck)]]</f>
        <v>58887</v>
      </c>
      <c r="AT231" s="67">
        <f t="shared" si="87"/>
        <v>58887</v>
      </c>
      <c r="AU231" s="73"/>
      <c r="AV231" s="73">
        <v>35</v>
      </c>
      <c r="AW231" s="73">
        <v>26</v>
      </c>
      <c r="AX231" s="73">
        <v>0</v>
      </c>
      <c r="AY231" s="71">
        <f t="shared" si="88"/>
        <v>61</v>
      </c>
      <c r="AZ231" s="70">
        <v>230</v>
      </c>
      <c r="BA231" s="73">
        <v>8</v>
      </c>
      <c r="BB231" s="73">
        <v>16</v>
      </c>
      <c r="BC231" s="63">
        <f t="shared" si="92"/>
        <v>254</v>
      </c>
      <c r="BD231" s="72">
        <f>SUM(Table22[[#This Row],[Good Kernel (gm)]]+(Table22[[#This Row],[Immature (gm)]]+Table22[[#This Row],[Spotted (gm)]])/2)*0.176</f>
        <v>42.591999999999999</v>
      </c>
      <c r="BE231" s="73">
        <v>42.68</v>
      </c>
      <c r="BF231" s="72">
        <f t="shared" si="93"/>
        <v>44.797980000000003</v>
      </c>
      <c r="BG231" s="72">
        <f t="shared" si="89"/>
        <v>50.970930000000003</v>
      </c>
      <c r="BH231" s="72">
        <f>SUM(Table22[[#This Row],[Good Kernel (gm)]:[Spotted (gm)]])/1000*100</f>
        <v>25.4</v>
      </c>
      <c r="BI231" s="72">
        <f t="shared" si="90"/>
        <v>28.9</v>
      </c>
      <c r="BJ231" s="73">
        <v>11.5</v>
      </c>
      <c r="BK231" s="73">
        <v>181</v>
      </c>
      <c r="BL231" s="73">
        <v>680</v>
      </c>
      <c r="BM231" s="73">
        <v>47</v>
      </c>
      <c r="BN231" s="73"/>
      <c r="BO231" s="73">
        <v>13</v>
      </c>
      <c r="BP231" s="73">
        <v>2</v>
      </c>
      <c r="BQ231" s="71">
        <f t="shared" si="91"/>
        <v>62</v>
      </c>
      <c r="BR231" s="73">
        <v>230</v>
      </c>
      <c r="BS231" s="73">
        <v>10</v>
      </c>
      <c r="BT231" s="73">
        <v>8</v>
      </c>
      <c r="BU231" s="140">
        <f t="shared" si="96"/>
        <v>248</v>
      </c>
      <c r="BV231" s="141">
        <f>SUM(Table22[[#This Row],[Good Kernel (G M)]]+(Table22[[#This Row],[Immature (g m)]]+Table22[[#This Row],[Spotted (g m)]])/2)*0.176</f>
        <v>42.064</v>
      </c>
      <c r="BW231" s="73">
        <v>42.15</v>
      </c>
      <c r="BX231" s="73"/>
      <c r="BY231" s="72">
        <f t="shared" si="97"/>
        <v>43.739759999999997</v>
      </c>
      <c r="BZ231" s="72">
        <f t="shared" si="94"/>
        <v>52.381889999999999</v>
      </c>
      <c r="CA231" s="72">
        <f>SUM(Table22[[#This Row],[Good Kernel (G M)]:[Spotted (g m)]])/1000*100</f>
        <v>24.8</v>
      </c>
      <c r="CB23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231" s="73">
        <v>11.7</v>
      </c>
      <c r="CD231" s="73">
        <v>182</v>
      </c>
      <c r="CE231" s="73"/>
      <c r="CF231" s="73"/>
      <c r="CG231" s="73"/>
      <c r="CH231" s="184">
        <f ca="1">TODAY()-Table22[[#This Row],[Discharge Date]]</f>
        <v>108</v>
      </c>
    </row>
    <row r="232" spans="1:86" x14ac:dyDescent="0.25">
      <c r="A232" s="50">
        <v>228</v>
      </c>
      <c r="B232" s="60" t="s">
        <v>95</v>
      </c>
      <c r="C232" s="60" t="s">
        <v>96</v>
      </c>
      <c r="D232" s="97">
        <v>228</v>
      </c>
      <c r="E232" s="73"/>
      <c r="F232" s="97">
        <v>425</v>
      </c>
      <c r="G232" s="73"/>
      <c r="H232" s="73"/>
      <c r="I232" s="73"/>
      <c r="J232" s="73"/>
      <c r="K232" s="97" t="s">
        <v>634</v>
      </c>
      <c r="L232" s="73"/>
      <c r="M232" s="97">
        <v>37590</v>
      </c>
      <c r="N232" s="97" t="s">
        <v>692</v>
      </c>
      <c r="O232" s="73" t="s">
        <v>424</v>
      </c>
      <c r="P232" s="109">
        <v>46027</v>
      </c>
      <c r="Q232" s="101">
        <v>46147</v>
      </c>
      <c r="R232" s="102" t="s">
        <v>224</v>
      </c>
      <c r="S232" s="102" t="s">
        <v>146</v>
      </c>
      <c r="T232" s="102"/>
      <c r="U232" s="102" t="s">
        <v>425</v>
      </c>
      <c r="V232" s="73" t="s">
        <v>147</v>
      </c>
      <c r="W232" s="73">
        <v>485</v>
      </c>
      <c r="X232" s="73"/>
      <c r="Y232" s="51">
        <f t="shared" si="102"/>
        <v>485</v>
      </c>
      <c r="Z232" s="73"/>
      <c r="AA232" s="61">
        <f t="shared" si="78"/>
        <v>485</v>
      </c>
      <c r="AB232" s="51">
        <f t="shared" si="95"/>
        <v>0</v>
      </c>
      <c r="AC232" s="88">
        <f t="shared" si="100"/>
        <v>485</v>
      </c>
      <c r="AD232" s="73">
        <v>40</v>
      </c>
      <c r="AE232" s="63">
        <f t="shared" si="79"/>
        <v>0</v>
      </c>
      <c r="AF232" s="63"/>
      <c r="AG232" s="73"/>
      <c r="AH232" s="64">
        <f>AC232+AE232+Table22[[#This Row],[Humid Sacs]]-40</f>
        <v>485</v>
      </c>
      <c r="AI232" s="73"/>
      <c r="AJ232" s="73"/>
      <c r="AK232" s="62">
        <f t="shared" ref="AK232:AK246" si="103">AH232</f>
        <v>485</v>
      </c>
      <c r="AL232" s="62">
        <f t="shared" ref="AL232:AL246" si="104">AK232</f>
        <v>485</v>
      </c>
      <c r="AM232" s="73">
        <v>45610</v>
      </c>
      <c r="AN232" s="124">
        <f t="shared" si="101"/>
        <v>805</v>
      </c>
      <c r="AO232" s="77">
        <f t="shared" si="80"/>
        <v>45125</v>
      </c>
      <c r="AP232" s="77">
        <f t="shared" si="83"/>
        <v>44805</v>
      </c>
      <c r="AQ232" s="77">
        <f>+AO232-AE232*4-320</f>
        <v>44805</v>
      </c>
      <c r="AR232" s="67">
        <f t="shared" si="86"/>
        <v>320</v>
      </c>
      <c r="AS232" s="134">
        <f>Table22[[#This Row],[GROSS WT]]-Table22[[#This Row],[Total Bag Discharged (Truck)]]</f>
        <v>45125</v>
      </c>
      <c r="AT232" s="67">
        <f t="shared" si="87"/>
        <v>45125</v>
      </c>
      <c r="AU232" s="73"/>
      <c r="AV232" s="73">
        <v>25</v>
      </c>
      <c r="AW232" s="73">
        <v>19</v>
      </c>
      <c r="AX232" s="73">
        <v>0</v>
      </c>
      <c r="AY232" s="71">
        <f t="shared" si="88"/>
        <v>44</v>
      </c>
      <c r="AZ232" s="70">
        <v>230</v>
      </c>
      <c r="BA232" s="73">
        <v>7</v>
      </c>
      <c r="BB232" s="73">
        <v>19</v>
      </c>
      <c r="BC232" s="63">
        <f t="shared" si="92"/>
        <v>256</v>
      </c>
      <c r="BD232" s="72">
        <f>SUM(Table22[[#This Row],[Good Kernel (gm)]]+(Table22[[#This Row],[Immature (gm)]]+Table22[[#This Row],[Spotted (gm)]])/2)*0.176</f>
        <v>42.768000000000001</v>
      </c>
      <c r="BE232" s="73">
        <v>42.85</v>
      </c>
      <c r="BF232" s="72">
        <f t="shared" si="93"/>
        <v>45.15072</v>
      </c>
      <c r="BG232" s="72">
        <f t="shared" si="89"/>
        <v>49.55997</v>
      </c>
      <c r="BH232" s="72">
        <f>SUM(Table22[[#This Row],[Good Kernel (gm)]:[Spotted (gm)]])/1000*100</f>
        <v>25.6</v>
      </c>
      <c r="BI232" s="72">
        <f t="shared" si="90"/>
        <v>28.1</v>
      </c>
      <c r="BJ232" s="73">
        <v>12.7</v>
      </c>
      <c r="BK232" s="73">
        <v>162</v>
      </c>
      <c r="BL232" s="73">
        <v>694</v>
      </c>
      <c r="BM232" s="73">
        <v>20</v>
      </c>
      <c r="BN232" s="73"/>
      <c r="BO232" s="73">
        <v>27</v>
      </c>
      <c r="BP232" s="73">
        <v>3</v>
      </c>
      <c r="BQ232" s="71">
        <f t="shared" si="91"/>
        <v>50</v>
      </c>
      <c r="BR232" s="73">
        <v>232</v>
      </c>
      <c r="BS232" s="73">
        <v>15</v>
      </c>
      <c r="BT232" s="73">
        <v>11</v>
      </c>
      <c r="BU232" s="140">
        <f t="shared" si="96"/>
        <v>258</v>
      </c>
      <c r="BV232" s="141">
        <f>SUM(Table22[[#This Row],[Good Kernel (G M)]]+(Table22[[#This Row],[Immature (g m)]]+Table22[[#This Row],[Spotted (g m)]])/2)*0.176</f>
        <v>43.12</v>
      </c>
      <c r="BW232" s="73">
        <v>43.12</v>
      </c>
      <c r="BX232" s="73"/>
      <c r="BY232" s="72">
        <f t="shared" si="97"/>
        <v>45.503459999999997</v>
      </c>
      <c r="BZ232" s="72">
        <f t="shared" si="94"/>
        <v>49.55997</v>
      </c>
      <c r="CA232" s="72">
        <f>SUM(Table22[[#This Row],[Good Kernel (G M)]:[Spotted (g m)]])/1000*100</f>
        <v>25.8</v>
      </c>
      <c r="CB232" s="72">
        <f>(Table22[[#This Row],[BROWNS/Rejection (gm) (NUT)]]+Table22[[#This Row],[OIL (g m)]]+Table22[[#This Row],[Good Kernel (G M)]]+Table22[[#This Row],[Immature (g m)]]+Table22[[#This Row],[Spotted (g m)]])/1000*100</f>
        <v>28.1</v>
      </c>
      <c r="CC232" s="73">
        <v>12.4</v>
      </c>
      <c r="CD232" s="73">
        <v>168</v>
      </c>
      <c r="CE232" s="73"/>
      <c r="CF232" s="73"/>
      <c r="CG232" s="73"/>
      <c r="CH232" s="184">
        <f ca="1">TODAY()-Table22[[#This Row],[Discharge Date]]</f>
        <v>108</v>
      </c>
    </row>
    <row r="233" spans="1:86" x14ac:dyDescent="0.25">
      <c r="A233" s="97">
        <v>229</v>
      </c>
      <c r="B233" s="60" t="s">
        <v>95</v>
      </c>
      <c r="C233" s="60" t="s">
        <v>96</v>
      </c>
      <c r="D233" s="97">
        <v>229</v>
      </c>
      <c r="E233" s="73"/>
      <c r="F233" s="97">
        <v>429</v>
      </c>
      <c r="G233" s="73"/>
      <c r="H233" s="73"/>
      <c r="I233" s="73"/>
      <c r="J233" s="73"/>
      <c r="K233" s="97" t="s">
        <v>634</v>
      </c>
      <c r="L233" s="73"/>
      <c r="M233" s="97">
        <v>18946</v>
      </c>
      <c r="N233" s="97" t="s">
        <v>687</v>
      </c>
      <c r="O233" s="73" t="s">
        <v>148</v>
      </c>
      <c r="P233" s="97" t="s">
        <v>426</v>
      </c>
      <c r="Q233" s="101">
        <v>46147</v>
      </c>
      <c r="R233" s="102" t="s">
        <v>320</v>
      </c>
      <c r="S233" s="102" t="s">
        <v>265</v>
      </c>
      <c r="T233" s="102" t="s">
        <v>534</v>
      </c>
      <c r="U233" s="102" t="s">
        <v>427</v>
      </c>
      <c r="V233" s="56" t="s">
        <v>140</v>
      </c>
      <c r="W233" s="73">
        <v>503</v>
      </c>
      <c r="X233" s="73"/>
      <c r="Y233" s="51">
        <f>W233+X233</f>
        <v>503</v>
      </c>
      <c r="Z233" s="73"/>
      <c r="AA233" s="61">
        <f t="shared" si="78"/>
        <v>503</v>
      </c>
      <c r="AB233" s="51">
        <f t="shared" si="95"/>
        <v>0</v>
      </c>
      <c r="AC233" s="88">
        <f>W233</f>
        <v>503</v>
      </c>
      <c r="AD233" s="73">
        <v>55</v>
      </c>
      <c r="AE233" s="63">
        <f t="shared" ref="AE233:AE243" si="105">X233</f>
        <v>0</v>
      </c>
      <c r="AF233" s="63"/>
      <c r="AG233" s="73"/>
      <c r="AH233" s="64">
        <f>AC233+AE233+Table22[[#This Row],[Humid Sacs]]-55</f>
        <v>503</v>
      </c>
      <c r="AI233" s="73"/>
      <c r="AJ233" s="73"/>
      <c r="AK233" s="62">
        <f t="shared" si="103"/>
        <v>503</v>
      </c>
      <c r="AL233" s="62">
        <f t="shared" si="104"/>
        <v>503</v>
      </c>
      <c r="AM233" s="73">
        <v>41510</v>
      </c>
      <c r="AN233" s="124">
        <f t="shared" si="101"/>
        <v>943</v>
      </c>
      <c r="AO233" s="77">
        <f t="shared" ref="AO233:AO246" si="106">AM233-AH233</f>
        <v>41007</v>
      </c>
      <c r="AP233" s="77">
        <f t="shared" si="83"/>
        <v>40567</v>
      </c>
      <c r="AQ233" s="77">
        <f>+AO233-AE233*4-440</f>
        <v>40567</v>
      </c>
      <c r="AR233" s="67">
        <f t="shared" si="86"/>
        <v>440</v>
      </c>
      <c r="AS233" s="134">
        <f>Table22[[#This Row],[GROSS WT]]-Table22[[#This Row],[Total Bag Discharged (Truck)]]</f>
        <v>41007</v>
      </c>
      <c r="AT233" s="67">
        <f t="shared" si="87"/>
        <v>41007</v>
      </c>
      <c r="AU233" s="73"/>
      <c r="AV233" s="73">
        <v>23</v>
      </c>
      <c r="AW233" s="73">
        <v>26</v>
      </c>
      <c r="AX233" s="73">
        <v>0</v>
      </c>
      <c r="AY233" s="71">
        <f t="shared" si="88"/>
        <v>49</v>
      </c>
      <c r="AZ233" s="70">
        <v>240</v>
      </c>
      <c r="BA233" s="73">
        <v>10</v>
      </c>
      <c r="BB233" s="73">
        <v>8</v>
      </c>
      <c r="BC233" s="63">
        <f t="shared" si="92"/>
        <v>258</v>
      </c>
      <c r="BD233" s="72">
        <f>SUM(Table22[[#This Row],[Good Kernel (gm)]]+(Table22[[#This Row],[Immature (gm)]]+Table22[[#This Row],[Spotted (gm)]])/2)*0.176</f>
        <v>43.823999999999998</v>
      </c>
      <c r="BE233" s="73">
        <v>43.91</v>
      </c>
      <c r="BF233" s="72">
        <f t="shared" si="93"/>
        <v>45.503459999999997</v>
      </c>
      <c r="BG233" s="72">
        <f t="shared" si="89"/>
        <v>49.55997</v>
      </c>
      <c r="BH233" s="72">
        <f>SUM(Table22[[#This Row],[Good Kernel (gm)]:[Spotted (gm)]])/1000*100</f>
        <v>25.8</v>
      </c>
      <c r="BI233" s="72">
        <f t="shared" si="90"/>
        <v>28.1</v>
      </c>
      <c r="BJ233" s="73">
        <v>12.6</v>
      </c>
      <c r="BK233" s="73">
        <v>173</v>
      </c>
      <c r="BL233" s="73">
        <v>687</v>
      </c>
      <c r="BM233" s="73">
        <v>28</v>
      </c>
      <c r="BN233" s="73"/>
      <c r="BO233" s="73">
        <v>24</v>
      </c>
      <c r="BP233" s="73">
        <v>0</v>
      </c>
      <c r="BQ233" s="71">
        <f t="shared" si="91"/>
        <v>52</v>
      </c>
      <c r="BR233" s="73">
        <v>243</v>
      </c>
      <c r="BS233" s="73">
        <v>12</v>
      </c>
      <c r="BT233" s="73">
        <v>10</v>
      </c>
      <c r="BU233" s="140">
        <f t="shared" si="96"/>
        <v>265</v>
      </c>
      <c r="BV233" s="141">
        <f>SUM(Table22[[#This Row],[Good Kernel (G M)]]+(Table22[[#This Row],[Immature (g m)]]+Table22[[#This Row],[Spotted (g m)]])/2)*0.176</f>
        <v>44.704000000000001</v>
      </c>
      <c r="BW233" s="73">
        <v>44.79</v>
      </c>
      <c r="BX233" s="73"/>
      <c r="BY233" s="72">
        <f t="shared" si="97"/>
        <v>46.738050000000001</v>
      </c>
      <c r="BZ233" s="72">
        <f t="shared" si="94"/>
        <v>51.676409999999997</v>
      </c>
      <c r="CA233" s="72">
        <f>SUM(Table22[[#This Row],[Good Kernel (G M)]:[Spotted (g m)]])/1000*100</f>
        <v>26.5</v>
      </c>
      <c r="CB233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233" s="73">
        <v>12.2</v>
      </c>
      <c r="CD233" s="73">
        <v>174</v>
      </c>
      <c r="CE233" s="73"/>
      <c r="CF233" s="73"/>
      <c r="CG233" s="73"/>
      <c r="CH233" s="184">
        <f ca="1">TODAY()-Table22[[#This Row],[Discharge Date]]</f>
        <v>108</v>
      </c>
    </row>
    <row r="234" spans="1:86" x14ac:dyDescent="0.25">
      <c r="A234" s="50">
        <v>230</v>
      </c>
      <c r="B234" s="60" t="s">
        <v>95</v>
      </c>
      <c r="C234" s="60" t="s">
        <v>96</v>
      </c>
      <c r="D234" s="97">
        <v>230</v>
      </c>
      <c r="E234" s="73"/>
      <c r="F234" s="97">
        <v>431</v>
      </c>
      <c r="G234" s="73"/>
      <c r="H234" s="73"/>
      <c r="I234" s="73"/>
      <c r="J234" s="73"/>
      <c r="K234" s="97" t="s">
        <v>634</v>
      </c>
      <c r="L234" s="73"/>
      <c r="M234" s="97">
        <v>78903</v>
      </c>
      <c r="N234" s="97" t="s">
        <v>676</v>
      </c>
      <c r="O234" s="73" t="s">
        <v>183</v>
      </c>
      <c r="P234" s="109">
        <v>46027</v>
      </c>
      <c r="Q234" s="101">
        <v>46148</v>
      </c>
      <c r="R234" s="102" t="s">
        <v>100</v>
      </c>
      <c r="S234" s="59" t="s">
        <v>101</v>
      </c>
      <c r="T234" s="102"/>
      <c r="U234" s="102" t="s">
        <v>422</v>
      </c>
      <c r="V234" s="73" t="s">
        <v>102</v>
      </c>
      <c r="W234" s="73">
        <v>655</v>
      </c>
      <c r="X234" s="73"/>
      <c r="Y234" s="51">
        <f t="shared" ref="Y234:Y248" si="107">W234+X234</f>
        <v>655</v>
      </c>
      <c r="Z234" s="73"/>
      <c r="AA234" s="61">
        <f t="shared" ref="AA234:AA248" si="108">W234+Z234</f>
        <v>655</v>
      </c>
      <c r="AB234" s="51">
        <f t="shared" si="95"/>
        <v>0</v>
      </c>
      <c r="AC234" s="88">
        <f t="shared" ref="AC234:AC248" si="109">W234</f>
        <v>655</v>
      </c>
      <c r="AD234" s="73">
        <v>0</v>
      </c>
      <c r="AE234" s="63">
        <v>15</v>
      </c>
      <c r="AF234" s="63"/>
      <c r="AG234" s="73"/>
      <c r="AH234" s="64">
        <f>AC234+AE234+Table22[[#This Row],[Humid Sacs]]-15</f>
        <v>655</v>
      </c>
      <c r="AI234" s="73"/>
      <c r="AJ234" s="73"/>
      <c r="AK234" s="62">
        <f t="shared" si="103"/>
        <v>655</v>
      </c>
      <c r="AL234" s="62">
        <f t="shared" si="104"/>
        <v>655</v>
      </c>
      <c r="AM234" s="73">
        <v>51050</v>
      </c>
      <c r="AN234" s="124">
        <f>(AD234*8)+(AE234*4)+(AG234*0)+(AH234*1)</f>
        <v>715</v>
      </c>
      <c r="AO234" s="77">
        <f t="shared" si="106"/>
        <v>50395</v>
      </c>
      <c r="AP234" s="77">
        <f t="shared" si="83"/>
        <v>50335</v>
      </c>
      <c r="AQ234" s="77">
        <f t="shared" ref="AQ234:AQ238" si="110">+AO234-AE234*4</f>
        <v>50335</v>
      </c>
      <c r="AR234" s="67">
        <f t="shared" si="86"/>
        <v>60</v>
      </c>
      <c r="AS234" s="134">
        <f>Table22[[#This Row],[GROSS WT]]-Table22[[#This Row],[Total Bag Discharged (Truck)]]</f>
        <v>50395</v>
      </c>
      <c r="AT234" s="67">
        <f t="shared" si="87"/>
        <v>50395</v>
      </c>
      <c r="AU234" s="73"/>
      <c r="AV234" s="73">
        <v>49</v>
      </c>
      <c r="AW234" s="73">
        <v>15</v>
      </c>
      <c r="AX234" s="73">
        <v>0</v>
      </c>
      <c r="AY234" s="71">
        <f t="shared" si="88"/>
        <v>64</v>
      </c>
      <c r="AZ234" s="70">
        <v>220</v>
      </c>
      <c r="BA234" s="73">
        <v>14</v>
      </c>
      <c r="BB234" s="73">
        <v>16</v>
      </c>
      <c r="BC234" s="63">
        <f t="shared" si="92"/>
        <v>250</v>
      </c>
      <c r="BD234" s="72">
        <f>SUM(Table22[[#This Row],[Good Kernel (gm)]]+(Table22[[#This Row],[Immature (gm)]]+Table22[[#This Row],[Spotted (gm)]])/2)*0.176</f>
        <v>41.36</v>
      </c>
      <c r="BE234" s="73">
        <v>4144</v>
      </c>
      <c r="BF234" s="72">
        <f t="shared" si="93"/>
        <v>44.092500000000001</v>
      </c>
      <c r="BG234" s="72">
        <f t="shared" si="89"/>
        <v>52.734630000000003</v>
      </c>
      <c r="BH234" s="72">
        <f>SUM(Table22[[#This Row],[Good Kernel (gm)]:[Spotted (gm)]])/1000*100</f>
        <v>25</v>
      </c>
      <c r="BI234" s="72">
        <f t="shared" si="90"/>
        <v>29.9</v>
      </c>
      <c r="BJ234" s="73">
        <v>9.6999999999999993</v>
      </c>
      <c r="BK234" s="73">
        <v>185</v>
      </c>
      <c r="BL234" s="73">
        <v>682</v>
      </c>
      <c r="BM234" s="73">
        <v>34</v>
      </c>
      <c r="BN234" s="73"/>
      <c r="BO234" s="73">
        <v>26</v>
      </c>
      <c r="BP234" s="73">
        <v>0</v>
      </c>
      <c r="BQ234" s="71">
        <f t="shared" si="91"/>
        <v>60</v>
      </c>
      <c r="BR234" s="73">
        <v>221</v>
      </c>
      <c r="BS234" s="73">
        <v>10</v>
      </c>
      <c r="BT234" s="73">
        <v>15</v>
      </c>
      <c r="BU234" s="140">
        <f t="shared" si="96"/>
        <v>246</v>
      </c>
      <c r="BV234" s="141">
        <f>SUM(Table22[[#This Row],[Good Kernel (G M)]]+(Table22[[#This Row],[Immature (g m)]]+Table22[[#This Row],[Spotted (g m)]])/2)*0.176</f>
        <v>41.095999999999997</v>
      </c>
      <c r="BW234" s="73">
        <v>41.18</v>
      </c>
      <c r="BX234" s="73"/>
      <c r="BY234" s="72">
        <f t="shared" si="97"/>
        <v>43.38702</v>
      </c>
      <c r="BZ234" s="72">
        <f t="shared" si="94"/>
        <v>49.383600000000001</v>
      </c>
      <c r="CA234" s="72">
        <f>SUM(Table22[[#This Row],[Good Kernel (G M)]:[Spotted (g m)]])/1000*100</f>
        <v>24.6</v>
      </c>
      <c r="CB234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234" s="73">
        <v>10.199999999999999</v>
      </c>
      <c r="CD234" s="73">
        <v>182</v>
      </c>
      <c r="CE234" s="73"/>
      <c r="CF234" s="73"/>
      <c r="CG234" s="73"/>
      <c r="CH234" s="184">
        <f ca="1">TODAY()-Table22[[#This Row],[Discharge Date]]</f>
        <v>107</v>
      </c>
    </row>
    <row r="235" spans="1:86" x14ac:dyDescent="0.25">
      <c r="A235" s="50">
        <v>231</v>
      </c>
      <c r="B235" s="60" t="s">
        <v>95</v>
      </c>
      <c r="C235" s="60" t="s">
        <v>96</v>
      </c>
      <c r="D235" s="97">
        <v>231</v>
      </c>
      <c r="E235" s="73"/>
      <c r="F235" s="97">
        <v>432</v>
      </c>
      <c r="G235" s="73"/>
      <c r="H235" s="73"/>
      <c r="I235" s="73"/>
      <c r="J235" s="73"/>
      <c r="K235" s="97" t="s">
        <v>636</v>
      </c>
      <c r="L235" s="73"/>
      <c r="M235" s="97">
        <v>66427</v>
      </c>
      <c r="N235" s="97" t="s">
        <v>692</v>
      </c>
      <c r="O235" s="73" t="s">
        <v>428</v>
      </c>
      <c r="P235" s="109">
        <v>46086</v>
      </c>
      <c r="Q235" s="101">
        <v>46148</v>
      </c>
      <c r="R235" s="102" t="s">
        <v>100</v>
      </c>
      <c r="S235" s="59" t="s">
        <v>101</v>
      </c>
      <c r="T235" s="102"/>
      <c r="U235" s="102" t="s">
        <v>422</v>
      </c>
      <c r="V235" s="73" t="s">
        <v>102</v>
      </c>
      <c r="W235" s="73">
        <v>507</v>
      </c>
      <c r="X235" s="73"/>
      <c r="Y235" s="51">
        <f t="shared" si="107"/>
        <v>507</v>
      </c>
      <c r="Z235" s="73"/>
      <c r="AA235" s="61">
        <f t="shared" si="108"/>
        <v>507</v>
      </c>
      <c r="AB235" s="51">
        <f t="shared" si="95"/>
        <v>0</v>
      </c>
      <c r="AC235" s="88">
        <f t="shared" si="109"/>
        <v>507</v>
      </c>
      <c r="AD235" s="73"/>
      <c r="AE235" s="63">
        <v>20</v>
      </c>
      <c r="AF235" s="63"/>
      <c r="AG235" s="73"/>
      <c r="AH235" s="64">
        <f>AC235+AE235+Table22[[#This Row],[Humid Sacs]]-20</f>
        <v>507</v>
      </c>
      <c r="AI235" s="73"/>
      <c r="AJ235" s="73"/>
      <c r="AK235" s="62">
        <f t="shared" si="103"/>
        <v>507</v>
      </c>
      <c r="AL235" s="62">
        <f t="shared" si="104"/>
        <v>507</v>
      </c>
      <c r="AM235" s="73">
        <v>41350</v>
      </c>
      <c r="AN235" s="124">
        <f t="shared" si="101"/>
        <v>587</v>
      </c>
      <c r="AO235" s="77">
        <f t="shared" si="106"/>
        <v>40843</v>
      </c>
      <c r="AP235" s="77">
        <f t="shared" si="83"/>
        <v>40763</v>
      </c>
      <c r="AQ235" s="77">
        <f t="shared" si="110"/>
        <v>40763</v>
      </c>
      <c r="AR235" s="67">
        <f t="shared" si="86"/>
        <v>80</v>
      </c>
      <c r="AS235" s="134">
        <f>Table22[[#This Row],[GROSS WT]]-Table22[[#This Row],[Total Bag Discharged (Truck)]]</f>
        <v>40843</v>
      </c>
      <c r="AT235" s="67">
        <f t="shared" si="87"/>
        <v>40843</v>
      </c>
      <c r="AU235" s="73"/>
      <c r="AV235" s="73">
        <v>47</v>
      </c>
      <c r="AW235" s="73">
        <v>19</v>
      </c>
      <c r="AX235" s="73">
        <v>2</v>
      </c>
      <c r="AY235" s="71">
        <f t="shared" si="88"/>
        <v>68</v>
      </c>
      <c r="AZ235" s="70">
        <v>222</v>
      </c>
      <c r="BA235" s="73">
        <v>16</v>
      </c>
      <c r="BB235" s="73">
        <v>14</v>
      </c>
      <c r="BC235" s="63">
        <f t="shared" si="92"/>
        <v>252</v>
      </c>
      <c r="BD235" s="72">
        <f>SUM(Table22[[#This Row],[Good Kernel (gm)]]+(Table22[[#This Row],[Immature (gm)]]+Table22[[#This Row],[Spotted (gm)]])/2)*0.176</f>
        <v>41.711999999999996</v>
      </c>
      <c r="BE235" s="73">
        <v>41.79</v>
      </c>
      <c r="BF235" s="72">
        <f t="shared" si="93"/>
        <v>44.445239999999998</v>
      </c>
      <c r="BG235" s="72">
        <f t="shared" si="89"/>
        <v>53.08737</v>
      </c>
      <c r="BH235" s="72">
        <f>SUM(Table22[[#This Row],[Good Kernel (gm)]:[Spotted (gm)]])/1000*100</f>
        <v>25.2</v>
      </c>
      <c r="BI235" s="72">
        <f t="shared" si="90"/>
        <v>30.099999999999998</v>
      </c>
      <c r="BJ235" s="73">
        <v>10.3</v>
      </c>
      <c r="BK235" s="73">
        <v>185</v>
      </c>
      <c r="BL235" s="73">
        <v>674</v>
      </c>
      <c r="BM235" s="73">
        <v>48</v>
      </c>
      <c r="BN235" s="73"/>
      <c r="BO235" s="73">
        <v>16</v>
      </c>
      <c r="BP235" s="73">
        <v>0</v>
      </c>
      <c r="BQ235" s="71">
        <f t="shared" si="91"/>
        <v>64</v>
      </c>
      <c r="BR235" s="73">
        <v>227</v>
      </c>
      <c r="BS235" s="73">
        <v>10</v>
      </c>
      <c r="BT235" s="73">
        <v>13</v>
      </c>
      <c r="BU235" s="140">
        <f t="shared" si="96"/>
        <v>250</v>
      </c>
      <c r="BV235" s="141">
        <f>SUM(Table22[[#This Row],[Good Kernel (G M)]]+(Table22[[#This Row],[Immature (g m)]]+Table22[[#This Row],[Spotted (g m)]])/2)*0.176</f>
        <v>41.975999999999999</v>
      </c>
      <c r="BW235" s="73">
        <v>42.06</v>
      </c>
      <c r="BX235" s="73"/>
      <c r="BY235" s="72">
        <f t="shared" si="97"/>
        <v>44.092500000000001</v>
      </c>
      <c r="BZ235" s="72">
        <f t="shared" si="94"/>
        <v>52.558259999999997</v>
      </c>
      <c r="CA235" s="72">
        <f>SUM(Table22[[#This Row],[Good Kernel (G M)]:[Spotted (g m)]])/1000*100</f>
        <v>25</v>
      </c>
      <c r="CB23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235" s="73">
        <v>10.1</v>
      </c>
      <c r="CD235" s="73">
        <v>168</v>
      </c>
      <c r="CE235" s="73"/>
      <c r="CF235" s="73"/>
      <c r="CG235" s="73"/>
      <c r="CH235" s="184">
        <f ca="1">TODAY()-Table22[[#This Row],[Discharge Date]]</f>
        <v>107</v>
      </c>
    </row>
    <row r="236" spans="1:86" x14ac:dyDescent="0.25">
      <c r="A236" s="97">
        <v>232</v>
      </c>
      <c r="B236" s="60" t="s">
        <v>95</v>
      </c>
      <c r="C236" s="60" t="s">
        <v>96</v>
      </c>
      <c r="D236" s="97">
        <v>232</v>
      </c>
      <c r="E236" s="73"/>
      <c r="F236" s="97">
        <v>433</v>
      </c>
      <c r="G236" s="73"/>
      <c r="H236" s="73"/>
      <c r="I236" s="73"/>
      <c r="J236" s="73"/>
      <c r="K236" s="97" t="s">
        <v>636</v>
      </c>
      <c r="L236" s="73"/>
      <c r="M236" s="97">
        <v>36092</v>
      </c>
      <c r="N236" s="97" t="s">
        <v>673</v>
      </c>
      <c r="O236" s="73" t="s">
        <v>407</v>
      </c>
      <c r="P236" s="109">
        <v>46086</v>
      </c>
      <c r="Q236" s="101">
        <v>46148</v>
      </c>
      <c r="R236" s="102" t="s">
        <v>297</v>
      </c>
      <c r="S236" s="102" t="s">
        <v>526</v>
      </c>
      <c r="T236" s="102"/>
      <c r="U236" s="102" t="s">
        <v>417</v>
      </c>
      <c r="V236" s="73" t="s">
        <v>298</v>
      </c>
      <c r="W236" s="73">
        <v>398</v>
      </c>
      <c r="X236" s="73"/>
      <c r="Y236" s="51">
        <f t="shared" si="107"/>
        <v>398</v>
      </c>
      <c r="Z236" s="73"/>
      <c r="AA236" s="61">
        <f t="shared" si="108"/>
        <v>398</v>
      </c>
      <c r="AB236" s="51">
        <f t="shared" si="95"/>
        <v>0</v>
      </c>
      <c r="AC236" s="88">
        <f t="shared" si="109"/>
        <v>398</v>
      </c>
      <c r="AD236" s="73">
        <v>40</v>
      </c>
      <c r="AE236" s="63">
        <f t="shared" si="105"/>
        <v>0</v>
      </c>
      <c r="AF236" s="63"/>
      <c r="AG236" s="73"/>
      <c r="AH236" s="64">
        <f>AC236+AE236+Table22[[#This Row],[Humid Sacs]]</f>
        <v>438</v>
      </c>
      <c r="AI236" s="73"/>
      <c r="AJ236" s="73"/>
      <c r="AK236" s="62">
        <f t="shared" si="103"/>
        <v>438</v>
      </c>
      <c r="AL236" s="62">
        <f t="shared" si="104"/>
        <v>438</v>
      </c>
      <c r="AM236" s="73">
        <v>36360</v>
      </c>
      <c r="AN236" s="124">
        <f t="shared" si="101"/>
        <v>758</v>
      </c>
      <c r="AO236" s="77">
        <f t="shared" si="106"/>
        <v>35922</v>
      </c>
      <c r="AP236" s="77">
        <f t="shared" si="83"/>
        <v>35602</v>
      </c>
      <c r="AQ236" s="77">
        <f>+AO236-AE236*4-320</f>
        <v>35602</v>
      </c>
      <c r="AR236" s="67">
        <f t="shared" si="86"/>
        <v>320</v>
      </c>
      <c r="AS236" s="134">
        <f>Table22[[#This Row],[GROSS WT]]-Table22[[#This Row],[Total Bag Discharged (Truck)]]</f>
        <v>35962</v>
      </c>
      <c r="AT236" s="67">
        <f t="shared" si="87"/>
        <v>35922</v>
      </c>
      <c r="AU236" s="73"/>
      <c r="AV236" s="73">
        <v>32</v>
      </c>
      <c r="AW236" s="73">
        <v>17</v>
      </c>
      <c r="AX236" s="73">
        <v>0</v>
      </c>
      <c r="AY236" s="71">
        <f t="shared" si="88"/>
        <v>49</v>
      </c>
      <c r="AZ236" s="70">
        <v>231</v>
      </c>
      <c r="BA236" s="73">
        <v>11</v>
      </c>
      <c r="BB236" s="73">
        <v>16</v>
      </c>
      <c r="BC236" s="63">
        <f t="shared" si="92"/>
        <v>258</v>
      </c>
      <c r="BD236" s="72">
        <f>SUM(Table22[[#This Row],[Good Kernel (gm)]]+(Table22[[#This Row],[Immature (gm)]]+Table22[[#This Row],[Spotted (gm)]])/2)*0.176</f>
        <v>43.031999999999996</v>
      </c>
      <c r="BE236" s="73">
        <v>43.12</v>
      </c>
      <c r="BF236" s="72">
        <f t="shared" si="93"/>
        <v>45.503459999999997</v>
      </c>
      <c r="BG236" s="72">
        <f t="shared" si="89"/>
        <v>51.147300000000001</v>
      </c>
      <c r="BH236" s="72">
        <f>SUM(Table22[[#This Row],[Good Kernel (gm)]:[Spotted (gm)]])/1000*100</f>
        <v>25.8</v>
      </c>
      <c r="BI236" s="72">
        <f t="shared" si="90"/>
        <v>28.999999999999996</v>
      </c>
      <c r="BJ236" s="73">
        <v>12.3</v>
      </c>
      <c r="BK236" s="73">
        <v>170</v>
      </c>
      <c r="BL236" s="73">
        <v>686</v>
      </c>
      <c r="BM236" s="73">
        <v>32</v>
      </c>
      <c r="BN236" s="73"/>
      <c r="BO236" s="73">
        <v>10</v>
      </c>
      <c r="BP236" s="73">
        <v>0</v>
      </c>
      <c r="BQ236" s="71">
        <f t="shared" si="91"/>
        <v>42</v>
      </c>
      <c r="BR236" s="73">
        <v>229</v>
      </c>
      <c r="BS236" s="73">
        <v>12</v>
      </c>
      <c r="BT236" s="73">
        <v>16</v>
      </c>
      <c r="BU236" s="140">
        <f t="shared" si="96"/>
        <v>257</v>
      </c>
      <c r="BV236" s="141">
        <f>SUM(Table22[[#This Row],[Good Kernel (G M)]]+(Table22[[#This Row],[Immature (g m)]]+Table22[[#This Row],[Spotted (g m)]])/2)*0.176</f>
        <v>42.768000000000001</v>
      </c>
      <c r="BW236" s="73">
        <v>42.85</v>
      </c>
      <c r="BX236" s="73"/>
      <c r="BY236" s="72">
        <f t="shared" si="97"/>
        <v>45.327089999999998</v>
      </c>
      <c r="BZ236" s="72">
        <f t="shared" si="94"/>
        <v>50.970930000000003</v>
      </c>
      <c r="CA236" s="72">
        <f>SUM(Table22[[#This Row],[Good Kernel (G M)]:[Spotted (g m)]])/1000*100</f>
        <v>25.7</v>
      </c>
      <c r="CB236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36" s="73">
        <v>12.2</v>
      </c>
      <c r="CD236" s="73">
        <v>137</v>
      </c>
      <c r="CE236" s="73"/>
      <c r="CF236" s="73"/>
      <c r="CG236" s="73"/>
      <c r="CH236" s="184">
        <f ca="1">TODAY()-Table22[[#This Row],[Discharge Date]]</f>
        <v>107</v>
      </c>
    </row>
    <row r="237" spans="1:86" x14ac:dyDescent="0.25">
      <c r="A237" s="50">
        <v>233</v>
      </c>
      <c r="B237" s="60" t="s">
        <v>95</v>
      </c>
      <c r="C237" s="60" t="s">
        <v>96</v>
      </c>
      <c r="D237" s="97">
        <v>233</v>
      </c>
      <c r="E237" s="73"/>
      <c r="F237" s="97">
        <v>434</v>
      </c>
      <c r="G237" s="73"/>
      <c r="H237" s="73"/>
      <c r="I237" s="73"/>
      <c r="J237" s="73"/>
      <c r="K237" s="97" t="s">
        <v>636</v>
      </c>
      <c r="L237" s="73"/>
      <c r="M237" s="97">
        <v>87145</v>
      </c>
      <c r="N237" s="97" t="s">
        <v>687</v>
      </c>
      <c r="O237" s="73" t="s">
        <v>190</v>
      </c>
      <c r="P237" s="109">
        <v>46086</v>
      </c>
      <c r="Q237" s="101">
        <v>46148</v>
      </c>
      <c r="R237" s="102" t="s">
        <v>191</v>
      </c>
      <c r="S237" s="102" t="s">
        <v>179</v>
      </c>
      <c r="T237" s="102"/>
      <c r="U237" s="102"/>
      <c r="V237" s="73" t="s">
        <v>180</v>
      </c>
      <c r="W237" s="73">
        <v>421</v>
      </c>
      <c r="X237" s="73"/>
      <c r="Y237" s="51">
        <f t="shared" si="107"/>
        <v>421</v>
      </c>
      <c r="Z237" s="73"/>
      <c r="AA237" s="61">
        <f t="shared" si="108"/>
        <v>421</v>
      </c>
      <c r="AB237" s="51">
        <f t="shared" si="95"/>
        <v>0</v>
      </c>
      <c r="AC237" s="88">
        <f t="shared" si="109"/>
        <v>421</v>
      </c>
      <c r="AD237" s="73"/>
      <c r="AE237" s="63">
        <v>10</v>
      </c>
      <c r="AF237" s="63"/>
      <c r="AG237" s="73"/>
      <c r="AH237" s="64">
        <f>AC237+AE237+Table22[[#This Row],[Humid Sacs]]</f>
        <v>431</v>
      </c>
      <c r="AI237" s="73"/>
      <c r="AJ237" s="73"/>
      <c r="AK237" s="62">
        <f t="shared" si="103"/>
        <v>431</v>
      </c>
      <c r="AL237" s="62">
        <f t="shared" si="104"/>
        <v>431</v>
      </c>
      <c r="AM237" s="73">
        <v>36510</v>
      </c>
      <c r="AN237" s="124">
        <f t="shared" si="101"/>
        <v>471</v>
      </c>
      <c r="AO237" s="77">
        <f t="shared" si="106"/>
        <v>36079</v>
      </c>
      <c r="AP237" s="77">
        <f t="shared" si="83"/>
        <v>36039</v>
      </c>
      <c r="AQ237" s="77">
        <f t="shared" si="110"/>
        <v>36039</v>
      </c>
      <c r="AR237" s="67">
        <f t="shared" si="86"/>
        <v>40</v>
      </c>
      <c r="AS237" s="134">
        <f>Table22[[#This Row],[GROSS WT]]-Table22[[#This Row],[Total Bag Discharged (Truck)]]</f>
        <v>36089</v>
      </c>
      <c r="AT237" s="67">
        <f t="shared" si="87"/>
        <v>36079</v>
      </c>
      <c r="AU237" s="73"/>
      <c r="AV237" s="73">
        <v>35</v>
      </c>
      <c r="AW237" s="73">
        <v>17</v>
      </c>
      <c r="AX237" s="73">
        <v>0</v>
      </c>
      <c r="AY237" s="71">
        <f t="shared" si="88"/>
        <v>52</v>
      </c>
      <c r="AZ237" s="70">
        <v>225</v>
      </c>
      <c r="BA237" s="73">
        <v>16</v>
      </c>
      <c r="BB237" s="73">
        <v>11</v>
      </c>
      <c r="BC237" s="63">
        <f t="shared" si="92"/>
        <v>252</v>
      </c>
      <c r="BD237" s="72">
        <f>SUM(Table22[[#This Row],[Good Kernel (gm)]]+(Table22[[#This Row],[Immature (gm)]]+Table22[[#This Row],[Spotted (gm)]])/2)*0.176</f>
        <v>41.975999999999999</v>
      </c>
      <c r="BE237" s="73">
        <v>42.06</v>
      </c>
      <c r="BF237" s="72">
        <f t="shared" si="93"/>
        <v>44.445239999999998</v>
      </c>
      <c r="BG237" s="72">
        <f t="shared" si="89"/>
        <v>50.618189999999998</v>
      </c>
      <c r="BH237" s="72">
        <f>SUM(Table22[[#This Row],[Good Kernel (gm)]:[Spotted (gm)]])/1000*100</f>
        <v>25.2</v>
      </c>
      <c r="BI237" s="72">
        <f t="shared" si="90"/>
        <v>28.7</v>
      </c>
      <c r="BJ237" s="73">
        <v>9.8000000000000007</v>
      </c>
      <c r="BK237" s="73">
        <v>179</v>
      </c>
      <c r="BL237" s="73">
        <v>689</v>
      </c>
      <c r="BM237" s="73">
        <v>38</v>
      </c>
      <c r="BN237" s="73"/>
      <c r="BO237" s="73">
        <v>20</v>
      </c>
      <c r="BP237" s="73">
        <v>2</v>
      </c>
      <c r="BQ237" s="71">
        <f t="shared" si="91"/>
        <v>60</v>
      </c>
      <c r="BR237" s="73">
        <v>229</v>
      </c>
      <c r="BS237" s="73">
        <v>12</v>
      </c>
      <c r="BT237" s="73">
        <v>11</v>
      </c>
      <c r="BU237" s="140">
        <f t="shared" si="96"/>
        <v>252</v>
      </c>
      <c r="BV237" s="141">
        <f>SUM(Table22[[#This Row],[Good Kernel (G M)]]+(Table22[[#This Row],[Immature (g m)]]+Table22[[#This Row],[Spotted (g m)]])/2)*0.176</f>
        <v>42.327999999999996</v>
      </c>
      <c r="BW237" s="73">
        <v>42.41</v>
      </c>
      <c r="BX237" s="73"/>
      <c r="BY237" s="72">
        <f t="shared" si="97"/>
        <v>44.445239999999998</v>
      </c>
      <c r="BZ237" s="72">
        <f t="shared" si="94"/>
        <v>51.500039999999998</v>
      </c>
      <c r="CA237" s="72">
        <f>SUM(Table22[[#This Row],[Good Kernel (G M)]:[Spotted (g m)]])/1000*100</f>
        <v>25.2</v>
      </c>
      <c r="CB237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237" s="73">
        <v>9.8000000000000007</v>
      </c>
      <c r="CD237" s="73">
        <v>176</v>
      </c>
      <c r="CE237" s="73"/>
      <c r="CF237" s="73"/>
      <c r="CG237" s="73"/>
      <c r="CH237" s="184">
        <f ca="1">TODAY()-Table22[[#This Row],[Discharge Date]]</f>
        <v>107</v>
      </c>
    </row>
    <row r="238" spans="1:86" x14ac:dyDescent="0.25">
      <c r="A238" s="50">
        <v>234</v>
      </c>
      <c r="B238" s="60" t="s">
        <v>95</v>
      </c>
      <c r="C238" s="60" t="s">
        <v>96</v>
      </c>
      <c r="D238" s="97">
        <v>234</v>
      </c>
      <c r="E238" s="73"/>
      <c r="F238" s="97">
        <v>436</v>
      </c>
      <c r="G238" s="73"/>
      <c r="H238" s="73"/>
      <c r="I238" s="73"/>
      <c r="J238" s="73"/>
      <c r="K238" s="97" t="s">
        <v>636</v>
      </c>
      <c r="L238" s="73"/>
      <c r="M238" s="97">
        <v>31508</v>
      </c>
      <c r="N238" s="97" t="s">
        <v>679</v>
      </c>
      <c r="O238" s="73" t="s">
        <v>429</v>
      </c>
      <c r="P238" s="109">
        <v>46058</v>
      </c>
      <c r="Q238" s="101">
        <v>46148</v>
      </c>
      <c r="R238" s="102" t="s">
        <v>297</v>
      </c>
      <c r="S238" s="102" t="s">
        <v>413</v>
      </c>
      <c r="T238" s="102"/>
      <c r="U238" s="102" t="s">
        <v>414</v>
      </c>
      <c r="V238" s="73" t="s">
        <v>515</v>
      </c>
      <c r="W238" s="73">
        <v>566</v>
      </c>
      <c r="X238" s="73"/>
      <c r="Y238" s="51">
        <f t="shared" si="107"/>
        <v>566</v>
      </c>
      <c r="Z238" s="73"/>
      <c r="AA238" s="61">
        <f t="shared" si="108"/>
        <v>566</v>
      </c>
      <c r="AB238" s="51">
        <f t="shared" si="95"/>
        <v>0</v>
      </c>
      <c r="AC238" s="88">
        <f t="shared" si="109"/>
        <v>566</v>
      </c>
      <c r="AD238" s="73">
        <v>0</v>
      </c>
      <c r="AE238" s="63">
        <v>10</v>
      </c>
      <c r="AF238" s="63"/>
      <c r="AG238" s="73"/>
      <c r="AH238" s="64">
        <f>AC238+AE238+Table22[[#This Row],[Humid Sacs]]</f>
        <v>576</v>
      </c>
      <c r="AI238" s="73"/>
      <c r="AJ238" s="73"/>
      <c r="AK238" s="62">
        <f t="shared" si="103"/>
        <v>576</v>
      </c>
      <c r="AL238" s="62">
        <f t="shared" si="104"/>
        <v>576</v>
      </c>
      <c r="AM238" s="73">
        <v>47370</v>
      </c>
      <c r="AN238" s="124">
        <f t="shared" si="101"/>
        <v>616</v>
      </c>
      <c r="AO238" s="77">
        <f t="shared" si="106"/>
        <v>46794</v>
      </c>
      <c r="AP238" s="77">
        <f t="shared" si="83"/>
        <v>46754</v>
      </c>
      <c r="AQ238" s="77">
        <f t="shared" si="110"/>
        <v>46754</v>
      </c>
      <c r="AR238" s="67">
        <f t="shared" si="86"/>
        <v>40</v>
      </c>
      <c r="AS238" s="134">
        <f>Table22[[#This Row],[GROSS WT]]-Table22[[#This Row],[Total Bag Discharged (Truck)]]</f>
        <v>46804</v>
      </c>
      <c r="AT238" s="67">
        <f t="shared" si="87"/>
        <v>46794</v>
      </c>
      <c r="AU238" s="73"/>
      <c r="AV238" s="73">
        <v>24</v>
      </c>
      <c r="AW238" s="73">
        <v>27</v>
      </c>
      <c r="AX238" s="73">
        <v>0</v>
      </c>
      <c r="AY238" s="71">
        <f t="shared" si="88"/>
        <v>51</v>
      </c>
      <c r="AZ238" s="70">
        <v>228</v>
      </c>
      <c r="BA238" s="73">
        <v>18</v>
      </c>
      <c r="BB238" s="73">
        <v>14</v>
      </c>
      <c r="BC238" s="63">
        <f t="shared" si="92"/>
        <v>260</v>
      </c>
      <c r="BD238" s="72">
        <f>SUM(Table22[[#This Row],[Good Kernel (gm)]]+(Table22[[#This Row],[Immature (gm)]]+Table22[[#This Row],[Spotted (gm)]])/2)*0.176</f>
        <v>42.943999999999996</v>
      </c>
      <c r="BE238" s="73">
        <v>43.03</v>
      </c>
      <c r="BF238" s="72">
        <f t="shared" si="93"/>
        <v>45.856200000000001</v>
      </c>
      <c r="BG238" s="72">
        <f t="shared" si="89"/>
        <v>50.089080000000003</v>
      </c>
      <c r="BH238" s="72">
        <f>SUM(Table22[[#This Row],[Good Kernel (gm)]:[Spotted (gm)]])/1000*100</f>
        <v>26</v>
      </c>
      <c r="BI238" s="72">
        <f t="shared" si="90"/>
        <v>28.4</v>
      </c>
      <c r="BJ238" s="73">
        <v>9.8000000000000007</v>
      </c>
      <c r="BK238" s="73">
        <v>188</v>
      </c>
      <c r="BL238" s="73">
        <v>674</v>
      </c>
      <c r="BM238" s="73">
        <v>36</v>
      </c>
      <c r="BN238" s="73"/>
      <c r="BO238" s="73">
        <v>28</v>
      </c>
      <c r="BP238" s="73">
        <v>0</v>
      </c>
      <c r="BQ238" s="71">
        <f t="shared" si="91"/>
        <v>64</v>
      </c>
      <c r="BR238" s="73">
        <v>228</v>
      </c>
      <c r="BS238" s="73">
        <v>19</v>
      </c>
      <c r="BT238" s="73">
        <v>17</v>
      </c>
      <c r="BU238" s="140">
        <f t="shared" ref="BU238:BU260" si="111">+BR238+BS238+BT238</f>
        <v>264</v>
      </c>
      <c r="BV238" s="141">
        <f>SUM(Table22[[#This Row],[Good Kernel (G M)]]+(Table22[[#This Row],[Immature (g m)]]+Table22[[#This Row],[Spotted (g m)]])/2)*0.176</f>
        <v>43.295999999999999</v>
      </c>
      <c r="BW238" s="73">
        <v>43.38</v>
      </c>
      <c r="BX238" s="73"/>
      <c r="BY238" s="72">
        <f t="shared" si="97"/>
        <v>46.561680000000003</v>
      </c>
      <c r="BZ238" s="72">
        <f t="shared" si="94"/>
        <v>52.911000000000001</v>
      </c>
      <c r="CA238" s="72">
        <f>SUM(Table22[[#This Row],[Good Kernel (G M)]:[Spotted (g m)]])/1000*100</f>
        <v>26.400000000000002</v>
      </c>
      <c r="CB238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38" s="73">
        <v>8.8000000000000007</v>
      </c>
      <c r="CD238" s="73">
        <v>186</v>
      </c>
      <c r="CE238" s="73"/>
      <c r="CF238" s="73"/>
      <c r="CG238" s="73"/>
      <c r="CH238" s="184">
        <f ca="1">TODAY()-Table22[[#This Row],[Discharge Date]]</f>
        <v>107</v>
      </c>
    </row>
    <row r="239" spans="1:86" x14ac:dyDescent="0.25">
      <c r="A239" s="97">
        <v>235</v>
      </c>
      <c r="B239" s="60" t="s">
        <v>95</v>
      </c>
      <c r="C239" s="60" t="s">
        <v>96</v>
      </c>
      <c r="D239" s="97">
        <v>235</v>
      </c>
      <c r="E239" s="73"/>
      <c r="F239" s="97">
        <v>435</v>
      </c>
      <c r="G239" s="73"/>
      <c r="H239" s="73"/>
      <c r="I239" s="73"/>
      <c r="J239" s="73"/>
      <c r="K239" s="97" t="s">
        <v>636</v>
      </c>
      <c r="L239" s="73"/>
      <c r="M239" s="97">
        <v>30275</v>
      </c>
      <c r="N239" s="97" t="s">
        <v>676</v>
      </c>
      <c r="O239" s="73" t="s">
        <v>430</v>
      </c>
      <c r="P239" s="109">
        <v>46027</v>
      </c>
      <c r="Q239" s="101">
        <v>46148</v>
      </c>
      <c r="R239" s="102" t="s">
        <v>267</v>
      </c>
      <c r="S239" s="102" t="s">
        <v>219</v>
      </c>
      <c r="T239" s="102"/>
      <c r="U239" s="102" t="s">
        <v>220</v>
      </c>
      <c r="V239" s="73" t="s">
        <v>221</v>
      </c>
      <c r="W239" s="73">
        <v>667</v>
      </c>
      <c r="X239" s="73"/>
      <c r="Y239" s="51">
        <f t="shared" si="107"/>
        <v>667</v>
      </c>
      <c r="Z239" s="73"/>
      <c r="AA239" s="61">
        <f t="shared" si="108"/>
        <v>667</v>
      </c>
      <c r="AB239" s="51">
        <f t="shared" si="95"/>
        <v>0</v>
      </c>
      <c r="AC239" s="88">
        <f t="shared" si="109"/>
        <v>667</v>
      </c>
      <c r="AD239" s="73">
        <v>20</v>
      </c>
      <c r="AE239" s="63">
        <f t="shared" si="105"/>
        <v>0</v>
      </c>
      <c r="AF239" s="63"/>
      <c r="AG239" s="73"/>
      <c r="AH239" s="64">
        <f>AC239+AE239+Table22[[#This Row],[Humid Sacs]]-20</f>
        <v>667</v>
      </c>
      <c r="AI239" s="73"/>
      <c r="AJ239" s="73"/>
      <c r="AK239" s="62">
        <f>AH239</f>
        <v>667</v>
      </c>
      <c r="AL239" s="62">
        <f t="shared" si="104"/>
        <v>667</v>
      </c>
      <c r="AM239" s="73">
        <v>54250</v>
      </c>
      <c r="AN239" s="124">
        <f t="shared" si="101"/>
        <v>827</v>
      </c>
      <c r="AO239" s="77">
        <f t="shared" si="106"/>
        <v>53583</v>
      </c>
      <c r="AP239" s="77">
        <f t="shared" si="83"/>
        <v>53423</v>
      </c>
      <c r="AQ239" s="77">
        <f>+AO239-AE239*4-160</f>
        <v>53423</v>
      </c>
      <c r="AR239" s="67">
        <f t="shared" si="86"/>
        <v>160</v>
      </c>
      <c r="AS239" s="134">
        <f>Table22[[#This Row],[GROSS WT]]-Table22[[#This Row],[Total Bag Discharged (Truck)]]</f>
        <v>53583</v>
      </c>
      <c r="AT239" s="67">
        <f t="shared" si="87"/>
        <v>53583</v>
      </c>
      <c r="AU239" s="73"/>
      <c r="AV239" s="73">
        <v>37</v>
      </c>
      <c r="AW239" s="73">
        <v>29</v>
      </c>
      <c r="AX239" s="73">
        <v>3</v>
      </c>
      <c r="AY239" s="71">
        <f t="shared" si="88"/>
        <v>69</v>
      </c>
      <c r="AZ239" s="70">
        <v>219</v>
      </c>
      <c r="BA239" s="73">
        <v>14</v>
      </c>
      <c r="BB239" s="73">
        <v>20</v>
      </c>
      <c r="BC239" s="63">
        <f t="shared" si="92"/>
        <v>253</v>
      </c>
      <c r="BD239" s="72">
        <f>SUM(Table22[[#This Row],[Good Kernel (gm)]]+(Table22[[#This Row],[Immature (gm)]]+Table22[[#This Row],[Spotted (gm)]])/2)*0.176</f>
        <v>41.535999999999994</v>
      </c>
      <c r="BE239" s="73">
        <v>41.62</v>
      </c>
      <c r="BF239" s="72">
        <f t="shared" si="93"/>
        <v>44.621609999999997</v>
      </c>
      <c r="BG239" s="72">
        <f t="shared" si="89"/>
        <v>51.676409999999997</v>
      </c>
      <c r="BH239" s="72">
        <f>SUM(Table22[[#This Row],[Good Kernel (gm)]:[Spotted (gm)]])/1000*100</f>
        <v>25.3</v>
      </c>
      <c r="BI239" s="72">
        <f t="shared" si="90"/>
        <v>29.299999999999997</v>
      </c>
      <c r="BJ239" s="73">
        <v>11.3</v>
      </c>
      <c r="BK239" s="73">
        <v>190</v>
      </c>
      <c r="BL239" s="73">
        <v>672</v>
      </c>
      <c r="BM239" s="73">
        <v>48</v>
      </c>
      <c r="BN239" s="73"/>
      <c r="BO239" s="73">
        <v>25</v>
      </c>
      <c r="BP239" s="73">
        <v>0</v>
      </c>
      <c r="BQ239" s="71">
        <f t="shared" si="91"/>
        <v>73</v>
      </c>
      <c r="BR239" s="73">
        <v>220</v>
      </c>
      <c r="BS239" s="73">
        <v>13</v>
      </c>
      <c r="BT239" s="73">
        <v>14</v>
      </c>
      <c r="BU239" s="140">
        <f t="shared" si="111"/>
        <v>247</v>
      </c>
      <c r="BV239" s="141">
        <f>SUM(Table22[[#This Row],[Good Kernel (G M)]]+(Table22[[#This Row],[Immature (g m)]]+Table22[[#This Row],[Spotted (g m)]])/2)*0.176</f>
        <v>41.095999999999997</v>
      </c>
      <c r="BW239" s="73">
        <v>41.18</v>
      </c>
      <c r="BX239" s="73"/>
      <c r="BY239" s="72">
        <f t="shared" si="97"/>
        <v>43.563389999999998</v>
      </c>
      <c r="BZ239" s="72">
        <f t="shared" si="94"/>
        <v>52.029150000000001</v>
      </c>
      <c r="CA239" s="72">
        <f>SUM(Table22[[#This Row],[Good Kernel (G M)]:[Spotted (g m)]])/1000*100</f>
        <v>24.7</v>
      </c>
      <c r="CB239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239" s="73">
        <v>12.3</v>
      </c>
      <c r="CD239" s="73">
        <v>184</v>
      </c>
      <c r="CE239" s="73"/>
      <c r="CF239" s="73"/>
      <c r="CG239" s="73"/>
      <c r="CH239" s="184">
        <f ca="1">TODAY()-Table22[[#This Row],[Discharge Date]]</f>
        <v>107</v>
      </c>
    </row>
    <row r="240" spans="1:86" x14ac:dyDescent="0.25">
      <c r="A240" s="50">
        <v>236</v>
      </c>
      <c r="B240" s="60" t="s">
        <v>95</v>
      </c>
      <c r="C240" s="60" t="s">
        <v>96</v>
      </c>
      <c r="D240" s="97">
        <v>236</v>
      </c>
      <c r="E240" s="73"/>
      <c r="F240" s="97">
        <v>437</v>
      </c>
      <c r="G240" s="73"/>
      <c r="H240" s="73"/>
      <c r="I240" s="73"/>
      <c r="J240" s="73"/>
      <c r="K240" s="97"/>
      <c r="L240" s="73"/>
      <c r="M240" s="97">
        <v>70332</v>
      </c>
      <c r="N240" s="97" t="s">
        <v>685</v>
      </c>
      <c r="O240" s="73" t="s">
        <v>432</v>
      </c>
      <c r="P240" s="109">
        <v>46086</v>
      </c>
      <c r="Q240" s="101">
        <v>46149</v>
      </c>
      <c r="R240" s="102" t="s">
        <v>100</v>
      </c>
      <c r="S240" s="59" t="s">
        <v>101</v>
      </c>
      <c r="T240" s="102"/>
      <c r="U240" s="102" t="s">
        <v>422</v>
      </c>
      <c r="V240" s="73" t="s">
        <v>102</v>
      </c>
      <c r="W240" s="73">
        <v>523</v>
      </c>
      <c r="X240" s="73"/>
      <c r="Y240" s="51">
        <f t="shared" si="107"/>
        <v>523</v>
      </c>
      <c r="Z240" s="73"/>
      <c r="AA240" s="61">
        <f t="shared" si="108"/>
        <v>523</v>
      </c>
      <c r="AB240" s="51">
        <f t="shared" si="95"/>
        <v>0</v>
      </c>
      <c r="AC240" s="88">
        <f t="shared" si="109"/>
        <v>523</v>
      </c>
      <c r="AD240" s="73"/>
      <c r="AE240" s="63">
        <v>15</v>
      </c>
      <c r="AF240" s="63"/>
      <c r="AG240" s="73"/>
      <c r="AH240" s="64">
        <f>AC240+AE240+Table22[[#This Row],[Humid Sacs]]</f>
        <v>538</v>
      </c>
      <c r="AI240" s="73"/>
      <c r="AJ240" s="73"/>
      <c r="AK240" s="62">
        <f t="shared" si="103"/>
        <v>538</v>
      </c>
      <c r="AL240" s="62">
        <f t="shared" si="104"/>
        <v>538</v>
      </c>
      <c r="AM240" s="73">
        <v>43650</v>
      </c>
      <c r="AN240" s="124">
        <f t="shared" si="101"/>
        <v>598</v>
      </c>
      <c r="AO240" s="77">
        <f t="shared" si="106"/>
        <v>43112</v>
      </c>
      <c r="AP240" s="77">
        <f t="shared" si="83"/>
        <v>43052</v>
      </c>
      <c r="AQ240" s="77">
        <f t="shared" ref="AQ240:AQ244" si="112">+AO240-AE240*4</f>
        <v>43052</v>
      </c>
      <c r="AR240" s="67">
        <f t="shared" si="86"/>
        <v>60</v>
      </c>
      <c r="AS240" s="134">
        <f>Table22[[#This Row],[GROSS WT]]-Table22[[#This Row],[Total Bag Discharged (Truck)]]</f>
        <v>43127</v>
      </c>
      <c r="AT240" s="67">
        <f t="shared" si="87"/>
        <v>43112</v>
      </c>
      <c r="AU240" s="73"/>
      <c r="AV240" s="73">
        <v>35</v>
      </c>
      <c r="AW240" s="73">
        <v>16</v>
      </c>
      <c r="AX240" s="73">
        <v>0</v>
      </c>
      <c r="AY240" s="71">
        <f t="shared" si="88"/>
        <v>51</v>
      </c>
      <c r="AZ240" s="70">
        <v>229</v>
      </c>
      <c r="BA240" s="73">
        <v>12</v>
      </c>
      <c r="BB240" s="73">
        <v>16</v>
      </c>
      <c r="BC240" s="63">
        <f t="shared" si="92"/>
        <v>257</v>
      </c>
      <c r="BD240" s="72">
        <f>SUM(Table22[[#This Row],[Good Kernel (gm)]]+(Table22[[#This Row],[Immature (gm)]]+Table22[[#This Row],[Spotted (gm)]])/2)*0.176</f>
        <v>42.768000000000001</v>
      </c>
      <c r="BE240" s="73">
        <v>42.85</v>
      </c>
      <c r="BF240" s="72">
        <f t="shared" si="93"/>
        <v>45.327089999999998</v>
      </c>
      <c r="BG240" s="72">
        <f t="shared" si="89"/>
        <v>51.500039999999998</v>
      </c>
      <c r="BH240" s="72">
        <f>SUM(Table22[[#This Row],[Good Kernel (gm)]:[Spotted (gm)]])/1000*100</f>
        <v>25.7</v>
      </c>
      <c r="BI240" s="72">
        <f t="shared" si="90"/>
        <v>29.2</v>
      </c>
      <c r="BJ240" s="73">
        <v>8.4</v>
      </c>
      <c r="BK240" s="73">
        <v>190</v>
      </c>
      <c r="BL240" s="73">
        <v>686</v>
      </c>
      <c r="BM240" s="73">
        <v>25</v>
      </c>
      <c r="BN240" s="73"/>
      <c r="BO240" s="73">
        <v>31</v>
      </c>
      <c r="BP240" s="73">
        <v>0</v>
      </c>
      <c r="BQ240" s="71">
        <f t="shared" si="91"/>
        <v>56</v>
      </c>
      <c r="BR240" s="73">
        <v>239</v>
      </c>
      <c r="BS240" s="73">
        <v>18</v>
      </c>
      <c r="BT240" s="73">
        <v>9</v>
      </c>
      <c r="BU240" s="140">
        <f t="shared" si="111"/>
        <v>266</v>
      </c>
      <c r="BV240" s="141">
        <f>SUM(Table22[[#This Row],[Good Kernel (G M)]]+(Table22[[#This Row],[Immature (g m)]]+Table22[[#This Row],[Spotted (g m)]])/2)*0.176</f>
        <v>44.44</v>
      </c>
      <c r="BW240" s="73">
        <v>43.12</v>
      </c>
      <c r="BX240" s="73"/>
      <c r="BY240" s="72">
        <f t="shared" si="97"/>
        <v>46.91442</v>
      </c>
      <c r="BZ240" s="72">
        <f t="shared" si="94"/>
        <v>51.32367</v>
      </c>
      <c r="CA240" s="72">
        <f>SUM(Table22[[#This Row],[Good Kernel (G M)]:[Spotted (g m)]])/1000*100</f>
        <v>26.6</v>
      </c>
      <c r="CB240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0" s="73">
        <v>8.5</v>
      </c>
      <c r="CD240" s="73">
        <v>186</v>
      </c>
      <c r="CE240" s="73"/>
      <c r="CF240" s="73"/>
      <c r="CG240" s="73"/>
      <c r="CH240" s="184">
        <f ca="1">TODAY()-Table22[[#This Row],[Discharge Date]]</f>
        <v>106</v>
      </c>
    </row>
    <row r="241" spans="1:86" x14ac:dyDescent="0.25">
      <c r="A241" s="50">
        <v>237</v>
      </c>
      <c r="B241" s="60" t="s">
        <v>95</v>
      </c>
      <c r="C241" s="60" t="s">
        <v>96</v>
      </c>
      <c r="D241" s="97">
        <v>237</v>
      </c>
      <c r="E241" s="73"/>
      <c r="F241" s="97">
        <v>438</v>
      </c>
      <c r="G241" s="73"/>
      <c r="H241" s="73"/>
      <c r="I241" s="73"/>
      <c r="J241" s="73"/>
      <c r="K241" s="97"/>
      <c r="L241" s="73"/>
      <c r="M241" s="97">
        <v>87081</v>
      </c>
      <c r="N241" s="97" t="s">
        <v>685</v>
      </c>
      <c r="O241" s="73" t="s">
        <v>433</v>
      </c>
      <c r="P241" s="109">
        <v>46086</v>
      </c>
      <c r="Q241" s="101">
        <v>46149</v>
      </c>
      <c r="R241" s="102" t="s">
        <v>213</v>
      </c>
      <c r="S241" s="131" t="s">
        <v>533</v>
      </c>
      <c r="T241" s="102"/>
      <c r="U241" s="102"/>
      <c r="V241" s="73" t="s">
        <v>307</v>
      </c>
      <c r="W241" s="73">
        <v>436</v>
      </c>
      <c r="X241" s="73"/>
      <c r="Y241" s="51">
        <f t="shared" si="107"/>
        <v>436</v>
      </c>
      <c r="Z241" s="73"/>
      <c r="AA241" s="61">
        <f t="shared" si="108"/>
        <v>436</v>
      </c>
      <c r="AB241" s="51">
        <f t="shared" si="95"/>
        <v>0</v>
      </c>
      <c r="AC241" s="88">
        <f t="shared" si="109"/>
        <v>436</v>
      </c>
      <c r="AD241" s="73">
        <v>40</v>
      </c>
      <c r="AE241" s="63">
        <f t="shared" si="105"/>
        <v>0</v>
      </c>
      <c r="AF241" s="63"/>
      <c r="AG241" s="73"/>
      <c r="AH241" s="64">
        <f>AC241+AE241+Table22[[#This Row],[Humid Sacs]]-40</f>
        <v>436</v>
      </c>
      <c r="AI241" s="73"/>
      <c r="AJ241" s="73"/>
      <c r="AK241" s="62">
        <f t="shared" si="103"/>
        <v>436</v>
      </c>
      <c r="AL241" s="62">
        <f t="shared" si="104"/>
        <v>436</v>
      </c>
      <c r="AM241" s="73">
        <v>36850</v>
      </c>
      <c r="AN241" s="124">
        <f t="shared" si="101"/>
        <v>756</v>
      </c>
      <c r="AO241" s="77">
        <f t="shared" si="106"/>
        <v>36414</v>
      </c>
      <c r="AP241" s="77">
        <f t="shared" ref="AP241:AP244" si="113">AM241-AN241</f>
        <v>36094</v>
      </c>
      <c r="AQ241" s="77">
        <f>+AO241-AE241*4-320</f>
        <v>36094</v>
      </c>
      <c r="AR241" s="67">
        <f t="shared" si="86"/>
        <v>320</v>
      </c>
      <c r="AS241" s="134">
        <f>Table22[[#This Row],[GROSS WT]]-Table22[[#This Row],[Total Bag Discharged (Truck)]]</f>
        <v>36414</v>
      </c>
      <c r="AT241" s="67">
        <f t="shared" si="87"/>
        <v>36414</v>
      </c>
      <c r="AU241" s="73"/>
      <c r="AV241" s="73">
        <v>29</v>
      </c>
      <c r="AW241" s="73">
        <v>9</v>
      </c>
      <c r="AX241" s="73">
        <v>0</v>
      </c>
      <c r="AY241" s="71">
        <f t="shared" si="88"/>
        <v>38</v>
      </c>
      <c r="AZ241" s="70">
        <v>229</v>
      </c>
      <c r="BA241" s="73">
        <v>11</v>
      </c>
      <c r="BB241" s="73">
        <v>17</v>
      </c>
      <c r="BC241" s="63">
        <f t="shared" si="92"/>
        <v>257</v>
      </c>
      <c r="BD241" s="72">
        <f>SUM(Table22[[#This Row],[Good Kernel (gm)]]+(Table22[[#This Row],[Immature (gm)]]+Table22[[#This Row],[Spotted (gm)]])/2)*0.176</f>
        <v>42.768000000000001</v>
      </c>
      <c r="BE241" s="73">
        <v>42.85</v>
      </c>
      <c r="BF241" s="72">
        <f t="shared" si="93"/>
        <v>45.327089999999998</v>
      </c>
      <c r="BG241" s="72">
        <f t="shared" si="89"/>
        <v>50.44182</v>
      </c>
      <c r="BH241" s="72">
        <f>SUM(Table22[[#This Row],[Good Kernel (gm)]:[Spotted (gm)]])/1000*100</f>
        <v>25.7</v>
      </c>
      <c r="BI241" s="72">
        <f t="shared" si="90"/>
        <v>28.599999999999998</v>
      </c>
      <c r="BJ241" s="73">
        <v>11.8</v>
      </c>
      <c r="BK241" s="73">
        <v>163</v>
      </c>
      <c r="BL241" s="73">
        <v>698</v>
      </c>
      <c r="BM241" s="73">
        <v>46</v>
      </c>
      <c r="BN241" s="73"/>
      <c r="BO241" s="73">
        <v>9</v>
      </c>
      <c r="BP241" s="73">
        <v>0</v>
      </c>
      <c r="BQ241" s="71">
        <f t="shared" si="91"/>
        <v>55</v>
      </c>
      <c r="BR241" s="73">
        <v>221</v>
      </c>
      <c r="BS241" s="73">
        <v>18</v>
      </c>
      <c r="BT241" s="73">
        <v>17</v>
      </c>
      <c r="BU241" s="140">
        <f t="shared" si="111"/>
        <v>256</v>
      </c>
      <c r="BV241" s="141">
        <f>SUM(Table22[[#This Row],[Good Kernel (G M)]]+(Table22[[#This Row],[Immature (g m)]]+Table22[[#This Row],[Spotted (g m)]])/2)*0.176</f>
        <v>41.975999999999999</v>
      </c>
      <c r="BW241" s="73">
        <v>42.06</v>
      </c>
      <c r="BX241" s="73"/>
      <c r="BY241" s="72">
        <f t="shared" si="97"/>
        <v>45.15072</v>
      </c>
      <c r="BZ241" s="72">
        <f t="shared" si="94"/>
        <v>53.263739999999999</v>
      </c>
      <c r="CA241" s="72">
        <f>SUM(Table22[[#This Row],[Good Kernel (G M)]:[Spotted (g m)]])/1000*100</f>
        <v>25.6</v>
      </c>
      <c r="CB241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241" s="73">
        <v>11.9</v>
      </c>
      <c r="CD241" s="73">
        <v>162</v>
      </c>
      <c r="CE241" s="73"/>
      <c r="CF241" s="73"/>
      <c r="CG241" s="73"/>
      <c r="CH241" s="184">
        <f ca="1">TODAY()-Table22[[#This Row],[Discharge Date]]</f>
        <v>106</v>
      </c>
    </row>
    <row r="242" spans="1:86" x14ac:dyDescent="0.25">
      <c r="A242" s="97">
        <v>238</v>
      </c>
      <c r="B242" s="60" t="s">
        <v>95</v>
      </c>
      <c r="C242" s="60" t="s">
        <v>96</v>
      </c>
      <c r="D242" s="97">
        <v>238</v>
      </c>
      <c r="E242" s="137"/>
      <c r="F242" s="144">
        <v>439</v>
      </c>
      <c r="G242" s="137"/>
      <c r="H242" s="137"/>
      <c r="I242" s="137"/>
      <c r="J242" s="137"/>
      <c r="K242" s="144"/>
      <c r="L242" s="137"/>
      <c r="M242" s="144">
        <v>77598</v>
      </c>
      <c r="N242" s="144" t="s">
        <v>691</v>
      </c>
      <c r="O242" s="137" t="s">
        <v>249</v>
      </c>
      <c r="P242" s="180">
        <v>46117</v>
      </c>
      <c r="Q242" s="181">
        <v>46149</v>
      </c>
      <c r="R242" s="146" t="s">
        <v>403</v>
      </c>
      <c r="S242" s="182" t="s">
        <v>435</v>
      </c>
      <c r="T242" s="146"/>
      <c r="U242" s="146" t="s">
        <v>434</v>
      </c>
      <c r="V242" s="182" t="s">
        <v>157</v>
      </c>
      <c r="W242" s="137">
        <v>677</v>
      </c>
      <c r="X242" s="137"/>
      <c r="Y242" s="147">
        <f t="shared" si="107"/>
        <v>677</v>
      </c>
      <c r="Z242" s="137"/>
      <c r="AA242" s="148">
        <f t="shared" si="108"/>
        <v>677</v>
      </c>
      <c r="AB242" s="51">
        <f t="shared" si="95"/>
        <v>0</v>
      </c>
      <c r="AC242" s="149">
        <f t="shared" si="109"/>
        <v>677</v>
      </c>
      <c r="AD242" s="137">
        <v>20</v>
      </c>
      <c r="AE242" s="140">
        <f t="shared" si="105"/>
        <v>0</v>
      </c>
      <c r="AF242" s="140"/>
      <c r="AG242" s="137"/>
      <c r="AH242" s="150">
        <f>AC242+AE242+Table22[[#This Row],[Humid Sacs]]-20</f>
        <v>677</v>
      </c>
      <c r="AI242" s="137"/>
      <c r="AJ242" s="137"/>
      <c r="AK242" s="151">
        <f t="shared" si="103"/>
        <v>677</v>
      </c>
      <c r="AL242" s="151">
        <f t="shared" si="104"/>
        <v>677</v>
      </c>
      <c r="AM242" s="137">
        <v>52640</v>
      </c>
      <c r="AN242" s="152">
        <f t="shared" si="101"/>
        <v>837</v>
      </c>
      <c r="AO242" s="153">
        <f t="shared" si="106"/>
        <v>51963</v>
      </c>
      <c r="AP242" s="153">
        <f t="shared" si="113"/>
        <v>51803</v>
      </c>
      <c r="AQ242" s="153">
        <f>+AO242-AE242*4-160</f>
        <v>51803</v>
      </c>
      <c r="AR242" s="154">
        <f t="shared" si="86"/>
        <v>160</v>
      </c>
      <c r="AS242" s="172">
        <f>Table22[[#This Row],[GROSS WT]]-Table22[[#This Row],[Total Bag Discharged (Truck)]]</f>
        <v>51963</v>
      </c>
      <c r="AT242" s="154">
        <f t="shared" si="87"/>
        <v>51963</v>
      </c>
      <c r="AU242" s="137"/>
      <c r="AV242" s="137">
        <v>32</v>
      </c>
      <c r="AW242" s="137">
        <v>26</v>
      </c>
      <c r="AX242" s="137">
        <v>4</v>
      </c>
      <c r="AY242" s="138">
        <f t="shared" si="88"/>
        <v>62</v>
      </c>
      <c r="AZ242" s="139">
        <v>238</v>
      </c>
      <c r="BA242" s="137">
        <v>14</v>
      </c>
      <c r="BB242" s="137">
        <v>12</v>
      </c>
      <c r="BC242" s="140">
        <f t="shared" si="92"/>
        <v>264</v>
      </c>
      <c r="BD242" s="141">
        <f>SUM(Table22[[#This Row],[Good Kernel (gm)]]+(Table22[[#This Row],[Immature (gm)]]+Table22[[#This Row],[Spotted (gm)]])/2)*0.176</f>
        <v>44.175999999999995</v>
      </c>
      <c r="BE242" s="137">
        <v>44.26</v>
      </c>
      <c r="BF242" s="141">
        <f t="shared" si="93"/>
        <v>46.561680000000003</v>
      </c>
      <c r="BG242" s="141">
        <f t="shared" si="89"/>
        <v>52.911000000000001</v>
      </c>
      <c r="BH242" s="141">
        <f>SUM(Table22[[#This Row],[Good Kernel (gm)]:[Spotted (gm)]])/1000*100</f>
        <v>26.400000000000002</v>
      </c>
      <c r="BI242" s="141">
        <f t="shared" si="90"/>
        <v>30</v>
      </c>
      <c r="BJ242" s="137">
        <v>10.5</v>
      </c>
      <c r="BK242" s="137">
        <v>168</v>
      </c>
      <c r="BL242" s="137">
        <v>670</v>
      </c>
      <c r="BM242" s="137">
        <v>15</v>
      </c>
      <c r="BN242" s="137"/>
      <c r="BO242" s="137">
        <v>24</v>
      </c>
      <c r="BP242" s="137">
        <v>2</v>
      </c>
      <c r="BQ242" s="138">
        <f t="shared" si="91"/>
        <v>41</v>
      </c>
      <c r="BR242" s="137">
        <v>236</v>
      </c>
      <c r="BS242" s="137">
        <v>20</v>
      </c>
      <c r="BT242" s="137">
        <v>18</v>
      </c>
      <c r="BU242" s="140">
        <f t="shared" si="111"/>
        <v>274</v>
      </c>
      <c r="BV242" s="141">
        <f>SUM(Table22[[#This Row],[Good Kernel (G M)]]+(Table22[[#This Row],[Immature (g m)]]+Table22[[#This Row],[Spotted (g m)]])/2)*0.176</f>
        <v>44.879999999999995</v>
      </c>
      <c r="BW242" s="137">
        <v>44.97</v>
      </c>
      <c r="BX242" s="137"/>
      <c r="BY242" s="141">
        <f t="shared" si="97"/>
        <v>48.325380000000003</v>
      </c>
      <c r="BZ242" s="141">
        <f t="shared" si="94"/>
        <v>51.32367</v>
      </c>
      <c r="CA242" s="141">
        <f>SUM(Table22[[#This Row],[Good Kernel (G M)]:[Spotted (g m)]])/1000*100</f>
        <v>27.400000000000002</v>
      </c>
      <c r="CB242" s="141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2" s="137">
        <v>10.7</v>
      </c>
      <c r="CD242" s="137">
        <v>172</v>
      </c>
      <c r="CE242" s="137"/>
      <c r="CF242" s="137"/>
      <c r="CG242" s="137"/>
      <c r="CH242" s="184">
        <f ca="1">TODAY()-Table22[[#This Row],[Discharge Date]]</f>
        <v>106</v>
      </c>
    </row>
    <row r="243" spans="1:86" x14ac:dyDescent="0.25">
      <c r="A243" s="50">
        <v>239</v>
      </c>
      <c r="B243" s="60" t="s">
        <v>95</v>
      </c>
      <c r="C243" s="60" t="s">
        <v>96</v>
      </c>
      <c r="D243" s="97">
        <v>239</v>
      </c>
      <c r="E243" s="73"/>
      <c r="F243" s="97">
        <v>440</v>
      </c>
      <c r="G243" s="73"/>
      <c r="H243" s="73"/>
      <c r="I243" s="73"/>
      <c r="J243" s="73"/>
      <c r="K243" s="97" t="s">
        <v>636</v>
      </c>
      <c r="L243" s="73"/>
      <c r="M243" s="97">
        <v>39833</v>
      </c>
      <c r="N243" s="97" t="s">
        <v>642</v>
      </c>
      <c r="O243" s="73" t="s">
        <v>527</v>
      </c>
      <c r="P243" s="97" t="s">
        <v>408</v>
      </c>
      <c r="Q243" s="181">
        <v>46150</v>
      </c>
      <c r="R243" s="102" t="s">
        <v>213</v>
      </c>
      <c r="S243" s="102" t="s">
        <v>271</v>
      </c>
      <c r="T243" s="102" t="s">
        <v>198</v>
      </c>
      <c r="U243" s="102" t="s">
        <v>272</v>
      </c>
      <c r="V243" s="73"/>
      <c r="W243" s="73">
        <v>479</v>
      </c>
      <c r="X243" s="73"/>
      <c r="Y243" s="51">
        <f t="shared" si="107"/>
        <v>479</v>
      </c>
      <c r="Z243" s="73"/>
      <c r="AA243" s="61">
        <f t="shared" si="108"/>
        <v>479</v>
      </c>
      <c r="AB243" s="51">
        <f t="shared" si="95"/>
        <v>0</v>
      </c>
      <c r="AC243" s="88">
        <f t="shared" si="109"/>
        <v>479</v>
      </c>
      <c r="AD243" s="73">
        <v>30</v>
      </c>
      <c r="AE243" s="63">
        <f t="shared" si="105"/>
        <v>0</v>
      </c>
      <c r="AF243" s="63"/>
      <c r="AG243" s="73"/>
      <c r="AH243" s="64">
        <f>AC243+AE243+Table22[[#This Row],[Humid Sacs]]-30</f>
        <v>479</v>
      </c>
      <c r="AI243" s="73"/>
      <c r="AJ243" s="73"/>
      <c r="AK243" s="62">
        <f t="shared" si="103"/>
        <v>479</v>
      </c>
      <c r="AL243" s="62">
        <f t="shared" si="104"/>
        <v>479</v>
      </c>
      <c r="AM243" s="73">
        <v>43380</v>
      </c>
      <c r="AN243" s="124">
        <f t="shared" si="101"/>
        <v>719</v>
      </c>
      <c r="AO243" s="77">
        <f t="shared" si="106"/>
        <v>42901</v>
      </c>
      <c r="AP243" s="77">
        <f t="shared" si="113"/>
        <v>42661</v>
      </c>
      <c r="AQ243" s="77">
        <f>+AO243-AE243*4-240</f>
        <v>42661</v>
      </c>
      <c r="AR243" s="67">
        <f t="shared" si="86"/>
        <v>240</v>
      </c>
      <c r="AS243" s="134">
        <f>Table22[[#This Row],[GROSS WT]]-Table22[[#This Row],[Total Bag Discharged (Truck)]]</f>
        <v>42901</v>
      </c>
      <c r="AT243" s="67">
        <f t="shared" si="87"/>
        <v>42901</v>
      </c>
      <c r="AU243" s="73"/>
      <c r="AV243" s="73">
        <v>36</v>
      </c>
      <c r="AW243" s="73">
        <v>12</v>
      </c>
      <c r="AX243" s="73">
        <v>4</v>
      </c>
      <c r="AY243" s="71">
        <f t="shared" si="88"/>
        <v>52</v>
      </c>
      <c r="AZ243" s="70">
        <v>225</v>
      </c>
      <c r="BA243" s="73">
        <v>7</v>
      </c>
      <c r="BB243" s="73">
        <v>16</v>
      </c>
      <c r="BC243" s="63">
        <f t="shared" si="92"/>
        <v>248</v>
      </c>
      <c r="BD243" s="72">
        <f>SUM(Table22[[#This Row],[Good Kernel (gm)]]+(Table22[[#This Row],[Immature (gm)]]+Table22[[#This Row],[Spotted (gm)]])/2)*0.176</f>
        <v>41.623999999999995</v>
      </c>
      <c r="BE243" s="73">
        <v>41.71</v>
      </c>
      <c r="BF243" s="72">
        <f t="shared" si="93"/>
        <v>43.739759999999997</v>
      </c>
      <c r="BG243" s="72">
        <f t="shared" si="89"/>
        <v>50.794559999999997</v>
      </c>
      <c r="BH243" s="72">
        <f>SUM(Table22[[#This Row],[Good Kernel (gm)]:[Spotted (gm)]])/1000*100</f>
        <v>24.8</v>
      </c>
      <c r="BI243" s="72">
        <f t="shared" si="90"/>
        <v>28.799999999999997</v>
      </c>
      <c r="BJ243" s="73">
        <v>12.2</v>
      </c>
      <c r="BK243" s="73">
        <v>165</v>
      </c>
      <c r="BL243" s="73">
        <v>693</v>
      </c>
      <c r="BM243" s="73">
        <v>25</v>
      </c>
      <c r="BN243" s="73"/>
      <c r="BO243" s="73">
        <v>22</v>
      </c>
      <c r="BP243" s="73">
        <v>0</v>
      </c>
      <c r="BQ243" s="138">
        <f t="shared" si="91"/>
        <v>47</v>
      </c>
      <c r="BR243" s="73">
        <v>228</v>
      </c>
      <c r="BS243" s="73">
        <v>13</v>
      </c>
      <c r="BT243" s="73">
        <v>12</v>
      </c>
      <c r="BU243" s="140">
        <f t="shared" si="111"/>
        <v>253</v>
      </c>
      <c r="BV243" s="141">
        <f>SUM(Table22[[#This Row],[Good Kernel (G M)]]+(Table22[[#This Row],[Immature (g m)]]+Table22[[#This Row],[Spotted (g m)]])/2)*0.176</f>
        <v>42.327999999999996</v>
      </c>
      <c r="BW243" s="73">
        <v>42.41</v>
      </c>
      <c r="BX243" s="73"/>
      <c r="BY243" s="141">
        <f t="shared" si="97"/>
        <v>44.621609999999997</v>
      </c>
      <c r="BZ243" s="72">
        <f t="shared" si="94"/>
        <v>49.030859999999997</v>
      </c>
      <c r="CA243" s="72">
        <f>SUM(Table22[[#This Row],[Good Kernel (G M)]:[Spotted (g m)]])/1000*100</f>
        <v>25.3</v>
      </c>
      <c r="CB243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243" s="73">
        <v>12.2</v>
      </c>
      <c r="CD243" s="73">
        <v>184</v>
      </c>
      <c r="CE243" s="73"/>
      <c r="CF243" s="73"/>
      <c r="CG243" s="73"/>
      <c r="CH243" s="184">
        <f ca="1">TODAY()-Table22[[#This Row],[Discharge Date]]</f>
        <v>105</v>
      </c>
    </row>
    <row r="244" spans="1:86" x14ac:dyDescent="0.25">
      <c r="A244" s="50">
        <v>240</v>
      </c>
      <c r="B244" s="60" t="s">
        <v>95</v>
      </c>
      <c r="C244" s="60" t="s">
        <v>96</v>
      </c>
      <c r="D244" s="97">
        <v>240</v>
      </c>
      <c r="E244" s="73"/>
      <c r="F244" s="97">
        <v>441</v>
      </c>
      <c r="G244" s="73"/>
      <c r="H244" s="73"/>
      <c r="I244" s="73"/>
      <c r="J244" s="73"/>
      <c r="K244" s="97"/>
      <c r="L244" s="73"/>
      <c r="M244" s="97">
        <v>89077</v>
      </c>
      <c r="N244" s="97" t="s">
        <v>685</v>
      </c>
      <c r="O244" s="73" t="s">
        <v>528</v>
      </c>
      <c r="P244" s="97" t="s">
        <v>347</v>
      </c>
      <c r="Q244" s="181">
        <v>46150</v>
      </c>
      <c r="R244" s="102" t="s">
        <v>529</v>
      </c>
      <c r="S244" s="102" t="s">
        <v>231</v>
      </c>
      <c r="T244" s="102" t="s">
        <v>198</v>
      </c>
      <c r="U244" s="102" t="s">
        <v>530</v>
      </c>
      <c r="V244" s="73" t="s">
        <v>199</v>
      </c>
      <c r="W244" s="73">
        <v>580</v>
      </c>
      <c r="X244" s="73"/>
      <c r="Y244" s="51">
        <f t="shared" si="107"/>
        <v>580</v>
      </c>
      <c r="Z244" s="73"/>
      <c r="AA244" s="61">
        <f t="shared" si="108"/>
        <v>580</v>
      </c>
      <c r="AB244" s="51">
        <f t="shared" si="95"/>
        <v>0</v>
      </c>
      <c r="AC244" s="88">
        <f t="shared" si="109"/>
        <v>580</v>
      </c>
      <c r="AD244" s="73"/>
      <c r="AE244" s="73">
        <v>10</v>
      </c>
      <c r="AF244" s="73"/>
      <c r="AG244" s="73"/>
      <c r="AH244" s="64">
        <f>AC244+AE244+Table22[[#This Row],[Humid Sacs]]</f>
        <v>590</v>
      </c>
      <c r="AI244" s="73"/>
      <c r="AJ244" s="73"/>
      <c r="AK244" s="62">
        <f t="shared" si="103"/>
        <v>590</v>
      </c>
      <c r="AL244" s="62">
        <f t="shared" si="104"/>
        <v>590</v>
      </c>
      <c r="AM244" s="73">
        <v>47800</v>
      </c>
      <c r="AN244" s="124">
        <f t="shared" si="101"/>
        <v>630</v>
      </c>
      <c r="AO244" s="77">
        <f t="shared" si="106"/>
        <v>47210</v>
      </c>
      <c r="AP244" s="77">
        <f t="shared" si="113"/>
        <v>47170</v>
      </c>
      <c r="AQ244" s="77">
        <f t="shared" si="112"/>
        <v>47170</v>
      </c>
      <c r="AR244" s="67">
        <f t="shared" si="86"/>
        <v>40</v>
      </c>
      <c r="AS244" s="134">
        <f>Table22[[#This Row],[GROSS WT]]-Table22[[#This Row],[Total Bag Discharged (Truck)]]</f>
        <v>47220</v>
      </c>
      <c r="AT244" s="67">
        <f t="shared" si="87"/>
        <v>47210</v>
      </c>
      <c r="AU244" s="73"/>
      <c r="AV244" s="73">
        <v>19</v>
      </c>
      <c r="AW244" s="73">
        <v>15</v>
      </c>
      <c r="AX244" s="73">
        <v>4</v>
      </c>
      <c r="AY244" s="71">
        <f t="shared" si="88"/>
        <v>38</v>
      </c>
      <c r="AZ244" s="70">
        <v>236</v>
      </c>
      <c r="BA244" s="73">
        <v>16</v>
      </c>
      <c r="BB244" s="73">
        <v>7</v>
      </c>
      <c r="BC244" s="63">
        <f t="shared" si="92"/>
        <v>259</v>
      </c>
      <c r="BD244" s="72">
        <f>SUM(Table22[[#This Row],[Good Kernel (gm)]]+(Table22[[#This Row],[Immature (gm)]]+Table22[[#This Row],[Spotted (gm)]])/2)*0.176</f>
        <v>43.559999999999995</v>
      </c>
      <c r="BE244" s="73">
        <v>43.65</v>
      </c>
      <c r="BF244" s="72">
        <f t="shared" si="93"/>
        <v>45.679830000000003</v>
      </c>
      <c r="BG244" s="72">
        <f t="shared" si="89"/>
        <v>49.736339999999998</v>
      </c>
      <c r="BH244" s="72">
        <f>SUM(Table22[[#This Row],[Good Kernel (gm)]:[Spotted (gm)]])/1000*100</f>
        <v>25.900000000000002</v>
      </c>
      <c r="BI244" s="72">
        <f t="shared" si="90"/>
        <v>28.199999999999996</v>
      </c>
      <c r="BJ244" s="73">
        <v>8.5</v>
      </c>
      <c r="BK244" s="73">
        <v>183</v>
      </c>
      <c r="BL244" s="73">
        <v>697</v>
      </c>
      <c r="BM244" s="73">
        <v>19</v>
      </c>
      <c r="BN244" s="73"/>
      <c r="BO244" s="73">
        <v>28</v>
      </c>
      <c r="BP244" s="73">
        <v>2</v>
      </c>
      <c r="BQ244" s="138">
        <f t="shared" si="91"/>
        <v>49</v>
      </c>
      <c r="BR244" s="73">
        <v>234</v>
      </c>
      <c r="BS244" s="73">
        <v>15</v>
      </c>
      <c r="BT244" s="73">
        <v>17</v>
      </c>
      <c r="BU244" s="140">
        <f t="shared" si="111"/>
        <v>266</v>
      </c>
      <c r="BV244" s="141">
        <f>SUM(Table22[[#This Row],[Good Kernel (G M)]]+(Table22[[#This Row],[Immature (g m)]]+Table22[[#This Row],[Spotted (g m)]])/2)*0.176</f>
        <v>44</v>
      </c>
      <c r="BW244" s="73">
        <v>44.09</v>
      </c>
      <c r="BX244" s="73"/>
      <c r="BY244" s="141">
        <f t="shared" si="97"/>
        <v>46.91442</v>
      </c>
      <c r="BZ244" s="72">
        <f t="shared" si="94"/>
        <v>50.618189999999998</v>
      </c>
      <c r="CA244" s="72">
        <f>SUM(Table22[[#This Row],[Good Kernel (G M)]:[Spotted (g m)]])/1000*100</f>
        <v>26.6</v>
      </c>
      <c r="CB244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244" s="73">
        <v>9.4</v>
      </c>
      <c r="CD244" s="73">
        <v>180</v>
      </c>
      <c r="CE244" s="73"/>
      <c r="CF244" s="73"/>
      <c r="CG244" s="73"/>
      <c r="CH244" s="184">
        <f ca="1">TODAY()-Table22[[#This Row],[Discharge Date]]</f>
        <v>105</v>
      </c>
    </row>
    <row r="245" spans="1:86" x14ac:dyDescent="0.25">
      <c r="A245" s="97">
        <v>241</v>
      </c>
      <c r="B245" s="60" t="s">
        <v>95</v>
      </c>
      <c r="C245" s="60" t="s">
        <v>96</v>
      </c>
      <c r="D245" s="97">
        <v>241</v>
      </c>
      <c r="E245" s="73"/>
      <c r="F245" s="97">
        <v>442</v>
      </c>
      <c r="G245" s="73"/>
      <c r="H245" s="73"/>
      <c r="I245" s="73"/>
      <c r="J245" s="73"/>
      <c r="K245" s="97" t="s">
        <v>634</v>
      </c>
      <c r="L245" s="73"/>
      <c r="M245" s="97">
        <v>78898</v>
      </c>
      <c r="N245" s="97" t="s">
        <v>685</v>
      </c>
      <c r="O245" s="73" t="s">
        <v>283</v>
      </c>
      <c r="P245" s="109">
        <v>46147</v>
      </c>
      <c r="Q245" s="181">
        <v>46150</v>
      </c>
      <c r="R245" s="102" t="s">
        <v>100</v>
      </c>
      <c r="S245" s="59" t="s">
        <v>101</v>
      </c>
      <c r="T245" s="102"/>
      <c r="U245" s="102" t="s">
        <v>422</v>
      </c>
      <c r="V245" s="73" t="s">
        <v>102</v>
      </c>
      <c r="W245" s="73">
        <v>514</v>
      </c>
      <c r="X245" s="73"/>
      <c r="Y245" s="51">
        <f t="shared" si="107"/>
        <v>514</v>
      </c>
      <c r="Z245" s="73"/>
      <c r="AA245" s="61">
        <f t="shared" si="108"/>
        <v>514</v>
      </c>
      <c r="AB245" s="51">
        <f t="shared" si="95"/>
        <v>0</v>
      </c>
      <c r="AC245" s="88">
        <f t="shared" si="109"/>
        <v>514</v>
      </c>
      <c r="AD245" s="73"/>
      <c r="AE245" s="73">
        <v>10</v>
      </c>
      <c r="AF245" s="73"/>
      <c r="AG245" s="73"/>
      <c r="AH245" s="64">
        <f>AC245+AE245+Table22[[#This Row],[Humid Sacs]]</f>
        <v>524</v>
      </c>
      <c r="AI245" s="73"/>
      <c r="AJ245" s="73"/>
      <c r="AK245" s="62">
        <f t="shared" si="103"/>
        <v>524</v>
      </c>
      <c r="AL245" s="62">
        <f t="shared" si="104"/>
        <v>524</v>
      </c>
      <c r="AM245" s="73">
        <v>41140</v>
      </c>
      <c r="AN245" s="124">
        <f t="shared" si="101"/>
        <v>564</v>
      </c>
      <c r="AO245" s="77">
        <f t="shared" si="106"/>
        <v>40616</v>
      </c>
      <c r="AP245" s="77">
        <f t="shared" ref="AP245:AP246" si="114">AM245-AN245</f>
        <v>40576</v>
      </c>
      <c r="AQ245" s="77">
        <f t="shared" ref="AQ245" si="115">+AO245-AE245*4</f>
        <v>40576</v>
      </c>
      <c r="AR245" s="67">
        <f t="shared" ref="AR245:AR246" si="116">(AD245*8)+(AE245*4)+(AG245*0)</f>
        <v>40</v>
      </c>
      <c r="AS245" s="134">
        <f>Table22[[#This Row],[GROSS WT]]-Table22[[#This Row],[Total Bag Discharged (Truck)]]</f>
        <v>40626</v>
      </c>
      <c r="AT245" s="67">
        <f t="shared" si="87"/>
        <v>40616</v>
      </c>
      <c r="AU245" s="73"/>
      <c r="AV245" s="73">
        <v>39</v>
      </c>
      <c r="AW245" s="73">
        <v>12</v>
      </c>
      <c r="AX245" s="73">
        <v>0</v>
      </c>
      <c r="AY245" s="71">
        <f t="shared" si="88"/>
        <v>51</v>
      </c>
      <c r="AZ245" s="70">
        <v>225</v>
      </c>
      <c r="BA245" s="73">
        <v>18</v>
      </c>
      <c r="BB245" s="73">
        <v>10</v>
      </c>
      <c r="BC245" s="63">
        <f t="shared" si="92"/>
        <v>253</v>
      </c>
      <c r="BD245" s="72">
        <f>SUM(Table22[[#This Row],[Good Kernel (gm)]]+(Table22[[#This Row],[Immature (gm)]]+Table22[[#This Row],[Spotted (gm)]])/2)*0.176</f>
        <v>42.064</v>
      </c>
      <c r="BE245" s="73">
        <v>42.15</v>
      </c>
      <c r="BF245" s="72">
        <f t="shared" si="93"/>
        <v>44.621609999999997</v>
      </c>
      <c r="BG245" s="72">
        <f t="shared" si="89"/>
        <v>51.500039999999998</v>
      </c>
      <c r="BH245" s="72">
        <f>SUM(Table22[[#This Row],[Good Kernel (gm)]:[Spotted (gm)]])/1000*100</f>
        <v>25.3</v>
      </c>
      <c r="BI245" s="72">
        <f t="shared" si="90"/>
        <v>29.2</v>
      </c>
      <c r="BJ245" s="73">
        <v>9.8000000000000007</v>
      </c>
      <c r="BK245" s="73">
        <v>180</v>
      </c>
      <c r="BL245" s="73">
        <v>691</v>
      </c>
      <c r="BM245" s="73">
        <v>41</v>
      </c>
      <c r="BN245" s="73"/>
      <c r="BO245" s="73">
        <v>14</v>
      </c>
      <c r="BP245" s="73">
        <v>2</v>
      </c>
      <c r="BQ245" s="138">
        <f t="shared" si="91"/>
        <v>57</v>
      </c>
      <c r="BR245" s="73">
        <v>225</v>
      </c>
      <c r="BS245" s="73">
        <v>12</v>
      </c>
      <c r="BT245" s="73">
        <v>18</v>
      </c>
      <c r="BU245" s="140">
        <f t="shared" si="111"/>
        <v>255</v>
      </c>
      <c r="BV245" s="141">
        <f>SUM(Table22[[#This Row],[Good Kernel (G M)]]+(Table22[[#This Row],[Immature (g m)]]+Table22[[#This Row],[Spotted (g m)]])/2)*0.176</f>
        <v>42.239999999999995</v>
      </c>
      <c r="BW245" s="73">
        <v>42.32</v>
      </c>
      <c r="BX245" s="73"/>
      <c r="BY245" s="141">
        <f t="shared" si="97"/>
        <v>44.974350000000001</v>
      </c>
      <c r="BZ245" s="72">
        <f t="shared" si="94"/>
        <v>52.558259999999997</v>
      </c>
      <c r="CA245" s="72">
        <f>SUM(Table22[[#This Row],[Good Kernel (G M)]:[Spotted (g m)]])/1000*100</f>
        <v>25.5</v>
      </c>
      <c r="CB24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245" s="73">
        <v>9.1999999999999993</v>
      </c>
      <c r="CD245" s="73">
        <v>186</v>
      </c>
      <c r="CE245" s="73"/>
      <c r="CF245" s="73"/>
      <c r="CG245" s="73"/>
      <c r="CH245" s="184">
        <f ca="1">TODAY()-Table22[[#This Row],[Discharge Date]]</f>
        <v>105</v>
      </c>
    </row>
    <row r="246" spans="1:86" x14ac:dyDescent="0.25">
      <c r="A246" s="160">
        <v>242</v>
      </c>
      <c r="B246" s="143" t="s">
        <v>95</v>
      </c>
      <c r="C246" s="143" t="s">
        <v>96</v>
      </c>
      <c r="D246" s="144">
        <v>242</v>
      </c>
      <c r="E246" s="137"/>
      <c r="F246" s="144">
        <v>443</v>
      </c>
      <c r="G246" s="137"/>
      <c r="H246" s="137"/>
      <c r="I246" s="137"/>
      <c r="J246" s="137"/>
      <c r="K246" s="144" t="s">
        <v>636</v>
      </c>
      <c r="L246" s="137"/>
      <c r="M246" s="144">
        <v>31509</v>
      </c>
      <c r="N246" s="144" t="s">
        <v>690</v>
      </c>
      <c r="O246" s="137" t="s">
        <v>531</v>
      </c>
      <c r="P246" s="180">
        <v>46058</v>
      </c>
      <c r="Q246" s="181">
        <v>46150</v>
      </c>
      <c r="R246" s="146" t="s">
        <v>297</v>
      </c>
      <c r="S246" s="146" t="s">
        <v>413</v>
      </c>
      <c r="T246" s="146"/>
      <c r="U246" s="146" t="s">
        <v>414</v>
      </c>
      <c r="V246" s="137" t="s">
        <v>515</v>
      </c>
      <c r="W246" s="137">
        <v>588</v>
      </c>
      <c r="X246" s="137"/>
      <c r="Y246" s="147">
        <f t="shared" si="107"/>
        <v>588</v>
      </c>
      <c r="Z246" s="137"/>
      <c r="AA246" s="148">
        <f t="shared" si="108"/>
        <v>588</v>
      </c>
      <c r="AB246" s="147">
        <f t="shared" si="95"/>
        <v>0</v>
      </c>
      <c r="AC246" s="149">
        <f t="shared" si="109"/>
        <v>588</v>
      </c>
      <c r="AD246" s="137">
        <v>40</v>
      </c>
      <c r="AE246" s="137"/>
      <c r="AF246" s="137"/>
      <c r="AG246" s="137"/>
      <c r="AH246" s="150">
        <f>AC246+AE246+Table22[[#This Row],[Humid Sacs]]-40</f>
        <v>588</v>
      </c>
      <c r="AI246" s="137"/>
      <c r="AJ246" s="137"/>
      <c r="AK246" s="151">
        <f t="shared" si="103"/>
        <v>588</v>
      </c>
      <c r="AL246" s="151">
        <f t="shared" si="104"/>
        <v>588</v>
      </c>
      <c r="AM246" s="137">
        <v>49150</v>
      </c>
      <c r="AN246" s="152">
        <f t="shared" si="101"/>
        <v>908</v>
      </c>
      <c r="AO246" s="153">
        <f t="shared" si="106"/>
        <v>48562</v>
      </c>
      <c r="AP246" s="153">
        <f t="shared" si="114"/>
        <v>48242</v>
      </c>
      <c r="AQ246" s="153">
        <f>+AO246-AE246*4-320</f>
        <v>48242</v>
      </c>
      <c r="AR246" s="154">
        <f t="shared" si="116"/>
        <v>320</v>
      </c>
      <c r="AS246" s="172">
        <f>Table22[[#This Row],[GROSS WT]]-Table22[[#This Row],[Total Bag Discharged (Truck)]]</f>
        <v>48562</v>
      </c>
      <c r="AT246" s="154">
        <f t="shared" si="87"/>
        <v>48562</v>
      </c>
      <c r="AU246" s="137"/>
      <c r="AV246" s="137">
        <v>37</v>
      </c>
      <c r="AW246" s="137">
        <v>17</v>
      </c>
      <c r="AX246" s="137">
        <v>0</v>
      </c>
      <c r="AY246" s="138">
        <f t="shared" si="88"/>
        <v>54</v>
      </c>
      <c r="AZ246" s="139">
        <v>235</v>
      </c>
      <c r="BA246" s="137">
        <v>9</v>
      </c>
      <c r="BB246" s="137">
        <v>11</v>
      </c>
      <c r="BC246" s="140">
        <f t="shared" si="92"/>
        <v>255</v>
      </c>
      <c r="BD246" s="141">
        <f>SUM(Table22[[#This Row],[Good Kernel (gm)]]+(Table22[[#This Row],[Immature (gm)]]+Table22[[#This Row],[Spotted (gm)]])/2)*0.176</f>
        <v>43.12</v>
      </c>
      <c r="BE246" s="137">
        <v>43.21</v>
      </c>
      <c r="BF246" s="141">
        <f t="shared" si="93"/>
        <v>44.974350000000001</v>
      </c>
      <c r="BG246" s="141">
        <f t="shared" si="89"/>
        <v>51.500039999999998</v>
      </c>
      <c r="BH246" s="141">
        <f>SUM(Table22[[#This Row],[Good Kernel (gm)]:[Spotted (gm)]])/1000*100</f>
        <v>25.5</v>
      </c>
      <c r="BI246" s="141">
        <f t="shared" si="90"/>
        <v>29.2</v>
      </c>
      <c r="BJ246" s="137">
        <v>11.2</v>
      </c>
      <c r="BK246" s="137">
        <v>178</v>
      </c>
      <c r="BL246" s="137">
        <v>686</v>
      </c>
      <c r="BM246" s="137">
        <v>31</v>
      </c>
      <c r="BN246" s="137"/>
      <c r="BO246" s="137">
        <v>19</v>
      </c>
      <c r="BP246" s="137">
        <v>4</v>
      </c>
      <c r="BQ246" s="138">
        <f t="shared" si="91"/>
        <v>54</v>
      </c>
      <c r="BR246" s="137">
        <v>230</v>
      </c>
      <c r="BS246" s="137">
        <v>20</v>
      </c>
      <c r="BT246" s="137">
        <v>12</v>
      </c>
      <c r="BU246" s="140">
        <f t="shared" si="111"/>
        <v>262</v>
      </c>
      <c r="BV246" s="141">
        <f>SUM(Table22[[#This Row],[Good Kernel (G M)]]+(Table22[[#This Row],[Immature (g m)]]+Table22[[#This Row],[Spotted (g m)]])/2)*0.176</f>
        <v>43.295999999999999</v>
      </c>
      <c r="BW246" s="137">
        <v>43.38</v>
      </c>
      <c r="BX246" s="137"/>
      <c r="BY246" s="141">
        <f t="shared" si="97"/>
        <v>46.208939999999998</v>
      </c>
      <c r="BZ246" s="141">
        <f t="shared" si="94"/>
        <v>52.381889999999999</v>
      </c>
      <c r="CA246" s="141">
        <f>SUM(Table22[[#This Row],[Good Kernel (G M)]:[Spotted (g m)]])/1000*100</f>
        <v>26.200000000000003</v>
      </c>
      <c r="CB246" s="141">
        <f>(Table22[[#This Row],[BROWNS/Rejection (gm) (NUT)]]+Table22[[#This Row],[OIL (g m)]]+Table22[[#This Row],[Good Kernel (G M)]]+Table22[[#This Row],[Immature (g m)]]+Table22[[#This Row],[Spotted (g m)]])/1000*100</f>
        <v>29.7</v>
      </c>
      <c r="CC246" s="137">
        <v>10.4</v>
      </c>
      <c r="CD246" s="137">
        <v>175</v>
      </c>
      <c r="CE246" s="137"/>
      <c r="CF246" s="137"/>
      <c r="CG246" s="137"/>
      <c r="CH246" s="184">
        <f ca="1">TODAY()-Table22[[#This Row],[Discharge Date]]</f>
        <v>105</v>
      </c>
    </row>
    <row r="247" spans="1:86" x14ac:dyDescent="0.25">
      <c r="A247" s="160">
        <v>243</v>
      </c>
      <c r="B247" s="60" t="s">
        <v>95</v>
      </c>
      <c r="C247" s="60" t="s">
        <v>96</v>
      </c>
      <c r="D247" s="97">
        <v>243</v>
      </c>
      <c r="E247" s="73" t="s">
        <v>130</v>
      </c>
      <c r="F247" s="97">
        <v>444</v>
      </c>
      <c r="G247" s="73"/>
      <c r="H247" s="73"/>
      <c r="I247" s="73"/>
      <c r="J247" s="73"/>
      <c r="K247" s="97" t="s">
        <v>636</v>
      </c>
      <c r="L247" s="73"/>
      <c r="M247" s="97">
        <v>31510</v>
      </c>
      <c r="N247" s="97" t="s">
        <v>643</v>
      </c>
      <c r="O247" s="73" t="s">
        <v>607</v>
      </c>
      <c r="P247" s="97" t="s">
        <v>608</v>
      </c>
      <c r="Q247" s="101">
        <v>46157</v>
      </c>
      <c r="R247" s="102" t="s">
        <v>609</v>
      </c>
      <c r="S247" s="102" t="s">
        <v>413</v>
      </c>
      <c r="T247" s="102"/>
      <c r="U247" s="102" t="s">
        <v>414</v>
      </c>
      <c r="V247" s="73" t="s">
        <v>515</v>
      </c>
      <c r="W247" s="73">
        <v>518</v>
      </c>
      <c r="X247" s="73"/>
      <c r="Y247" s="51">
        <f t="shared" si="107"/>
        <v>518</v>
      </c>
      <c r="Z247" s="73"/>
      <c r="AA247" s="61">
        <f t="shared" si="108"/>
        <v>518</v>
      </c>
      <c r="AB247" s="51">
        <f t="shared" si="95"/>
        <v>0</v>
      </c>
      <c r="AC247" s="88">
        <f t="shared" si="109"/>
        <v>518</v>
      </c>
      <c r="AD247" s="73"/>
      <c r="AE247" s="73">
        <v>18</v>
      </c>
      <c r="AF247" s="73"/>
      <c r="AG247" s="73"/>
      <c r="AH247" s="64">
        <f>AC247+AE247+Table22[[#This Row],[Humid Sacs]]</f>
        <v>536</v>
      </c>
      <c r="AI247" s="73"/>
      <c r="AJ247" s="73"/>
      <c r="AK247" s="62">
        <f t="shared" ref="AK247:AK248" si="117">AH247</f>
        <v>536</v>
      </c>
      <c r="AL247" s="62">
        <f t="shared" ref="AL247:AL248" si="118">AK247</f>
        <v>536</v>
      </c>
      <c r="AM247" s="73">
        <v>43350</v>
      </c>
      <c r="AN247" s="124">
        <f>(AD247*8)+(AE247*0)+(AG247*0)+(AH247*1)</f>
        <v>536</v>
      </c>
      <c r="AO247" s="77">
        <f>AM247-AH247</f>
        <v>42814</v>
      </c>
      <c r="AP247" s="77">
        <f t="shared" ref="AP247:AP248" si="119">AM247-AN247</f>
        <v>42814</v>
      </c>
      <c r="AQ247" s="77">
        <f>+AO247-AE247*0</f>
        <v>42814</v>
      </c>
      <c r="AR247" s="67">
        <f>(AD247*8)+(AE247*0)+(AG247*0)</f>
        <v>0</v>
      </c>
      <c r="AS247" s="134">
        <f>Table22[[#This Row],[GROSS WT]]-Table22[[#This Row],[Total Bag Discharged (Truck)]]</f>
        <v>42832</v>
      </c>
      <c r="AT247" s="67">
        <f t="shared" si="87"/>
        <v>42814</v>
      </c>
      <c r="AU247" s="73"/>
      <c r="AV247" s="73">
        <v>31</v>
      </c>
      <c r="AW247" s="73">
        <v>9</v>
      </c>
      <c r="AX247" s="73">
        <v>2</v>
      </c>
      <c r="AY247" s="71">
        <f t="shared" si="88"/>
        <v>42</v>
      </c>
      <c r="AZ247" s="70">
        <v>229</v>
      </c>
      <c r="BA247" s="73">
        <v>12</v>
      </c>
      <c r="BB247" s="73">
        <v>19</v>
      </c>
      <c r="BC247" s="63">
        <f t="shared" si="92"/>
        <v>260</v>
      </c>
      <c r="BD247" s="72">
        <f>SUM(Table22[[#This Row],[Good Kernel (gm)]]+(Table22[[#This Row],[Immature (gm)]]+Table22[[#This Row],[Spotted (gm)]])/2)*0.176</f>
        <v>43.031999999999996</v>
      </c>
      <c r="BE247" s="73">
        <v>43.12</v>
      </c>
      <c r="BF247" s="72">
        <f t="shared" si="93"/>
        <v>45.856200000000001</v>
      </c>
      <c r="BG247" s="72">
        <f t="shared" si="89"/>
        <v>51.676409999999997</v>
      </c>
      <c r="BH247" s="72">
        <f>SUM(Table22[[#This Row],[Good Kernel (gm)]:[Spotted (gm)]])/1000*100</f>
        <v>26</v>
      </c>
      <c r="BI247" s="72">
        <f t="shared" si="90"/>
        <v>29.299999999999997</v>
      </c>
      <c r="BJ247" s="73">
        <v>9.8000000000000007</v>
      </c>
      <c r="BK247" s="73">
        <v>168</v>
      </c>
      <c r="BL247" s="73">
        <v>693</v>
      </c>
      <c r="BM247" s="73">
        <v>24</v>
      </c>
      <c r="BN247" s="73"/>
      <c r="BO247" s="73">
        <v>19</v>
      </c>
      <c r="BP247" s="73">
        <v>2</v>
      </c>
      <c r="BQ247" s="138">
        <f t="shared" si="91"/>
        <v>45</v>
      </c>
      <c r="BR247" s="73">
        <v>243</v>
      </c>
      <c r="BS247" s="73">
        <v>9</v>
      </c>
      <c r="BT247" s="73">
        <v>8</v>
      </c>
      <c r="BU247" s="140">
        <f t="shared" si="111"/>
        <v>260</v>
      </c>
      <c r="BV247" s="141">
        <f>SUM(Table22[[#This Row],[Good Kernel (G M)]]+(Table22[[#This Row],[Immature (g m)]]+Table22[[#This Row],[Spotted (g m)]])/2)*0.176</f>
        <v>44.263999999999996</v>
      </c>
      <c r="BW247" s="73">
        <v>44.35</v>
      </c>
      <c r="BX247" s="73"/>
      <c r="BY247" s="141">
        <f t="shared" si="97"/>
        <v>45.856200000000001</v>
      </c>
      <c r="BZ247" s="72">
        <f t="shared" si="94"/>
        <v>50.44182</v>
      </c>
      <c r="CA247" s="72">
        <f>SUM(Table22[[#This Row],[Good Kernel (G M)]:[Spotted (g m)]])/1000*100</f>
        <v>26</v>
      </c>
      <c r="CB247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247" s="73">
        <v>11.2</v>
      </c>
      <c r="CD247" s="73">
        <v>174</v>
      </c>
      <c r="CE247" s="73"/>
      <c r="CF247" s="73"/>
      <c r="CG247" s="73"/>
      <c r="CH247" s="184">
        <f ca="1">TODAY()-Table22[[#This Row],[Discharge Date]]</f>
        <v>98</v>
      </c>
    </row>
    <row r="248" spans="1:86" x14ac:dyDescent="0.25">
      <c r="A248" s="160">
        <v>244</v>
      </c>
      <c r="B248" s="60" t="s">
        <v>95</v>
      </c>
      <c r="C248" s="60" t="s">
        <v>96</v>
      </c>
      <c r="D248" s="97">
        <v>244</v>
      </c>
      <c r="E248" s="73"/>
      <c r="F248" s="97">
        <v>445</v>
      </c>
      <c r="G248" s="73"/>
      <c r="H248" s="73"/>
      <c r="I248" s="73"/>
      <c r="J248" s="73"/>
      <c r="K248" s="97" t="s">
        <v>636</v>
      </c>
      <c r="L248" s="73"/>
      <c r="M248" s="97">
        <v>31512</v>
      </c>
      <c r="N248" s="97" t="s">
        <v>693</v>
      </c>
      <c r="O248" s="73" t="s">
        <v>614</v>
      </c>
      <c r="P248" s="97" t="s">
        <v>615</v>
      </c>
      <c r="Q248" s="101">
        <v>46162</v>
      </c>
      <c r="R248" s="102" t="s">
        <v>616</v>
      </c>
      <c r="S248" s="102" t="s">
        <v>413</v>
      </c>
      <c r="T248" s="102"/>
      <c r="U248" s="102" t="s">
        <v>414</v>
      </c>
      <c r="V248" s="73" t="s">
        <v>515</v>
      </c>
      <c r="W248" s="73">
        <v>526</v>
      </c>
      <c r="X248" s="73"/>
      <c r="Y248" s="51">
        <f t="shared" si="107"/>
        <v>526</v>
      </c>
      <c r="Z248" s="73"/>
      <c r="AA248" s="61">
        <f t="shared" si="108"/>
        <v>526</v>
      </c>
      <c r="AB248" s="51">
        <f t="shared" si="95"/>
        <v>0</v>
      </c>
      <c r="AC248" s="88">
        <f t="shared" si="109"/>
        <v>526</v>
      </c>
      <c r="AD248" s="73"/>
      <c r="AE248" s="73">
        <v>25</v>
      </c>
      <c r="AF248" s="73"/>
      <c r="AG248" s="73"/>
      <c r="AH248" s="64">
        <f>AC248+AE248+Table22[[#This Row],[Humid Sacs]]</f>
        <v>551</v>
      </c>
      <c r="AI248" s="73"/>
      <c r="AJ248" s="73"/>
      <c r="AK248" s="62">
        <f t="shared" si="117"/>
        <v>551</v>
      </c>
      <c r="AL248" s="62">
        <f t="shared" si="118"/>
        <v>551</v>
      </c>
      <c r="AM248" s="73">
        <v>39750</v>
      </c>
      <c r="AN248" s="124">
        <f t="shared" si="101"/>
        <v>651</v>
      </c>
      <c r="AO248" s="77">
        <f t="shared" ref="AO248" si="120">AM248-AH248</f>
        <v>39199</v>
      </c>
      <c r="AP248" s="77">
        <f t="shared" si="119"/>
        <v>39099</v>
      </c>
      <c r="AQ248" s="77">
        <f>+AO248-AE248*4</f>
        <v>39099</v>
      </c>
      <c r="AR248" s="67">
        <f t="shared" ref="AR248" si="121">(AD248*8)+(AE248*4)+(AG248*0)</f>
        <v>100</v>
      </c>
      <c r="AS248" s="134">
        <f>Table22[[#This Row],[GROSS WT]]-Table22[[#This Row],[Total Bag Discharged (Truck)]]</f>
        <v>39224</v>
      </c>
      <c r="AT248" s="67">
        <f t="shared" si="87"/>
        <v>39199</v>
      </c>
      <c r="AU248" s="73"/>
      <c r="AV248" s="73">
        <v>48</v>
      </c>
      <c r="AW248" s="73">
        <v>10</v>
      </c>
      <c r="AX248" s="73">
        <v>2</v>
      </c>
      <c r="AY248" s="71">
        <f t="shared" si="88"/>
        <v>60</v>
      </c>
      <c r="AZ248" s="70">
        <v>221</v>
      </c>
      <c r="BA248" s="73">
        <v>13</v>
      </c>
      <c r="BB248" s="73">
        <v>15</v>
      </c>
      <c r="BC248" s="63">
        <f t="shared" si="92"/>
        <v>249</v>
      </c>
      <c r="BD248" s="72">
        <f>SUM(Table22[[#This Row],[Good Kernel (gm)]]+(Table22[[#This Row],[Immature (gm)]]+Table22[[#This Row],[Spotted (gm)]])/2)*0.176</f>
        <v>41.36</v>
      </c>
      <c r="BE248" s="73">
        <v>41.44</v>
      </c>
      <c r="BF248" s="72">
        <f t="shared" si="93"/>
        <v>43.916130000000003</v>
      </c>
      <c r="BG248" s="72">
        <f t="shared" si="89"/>
        <v>52.734630000000003</v>
      </c>
      <c r="BH248" s="72">
        <f>SUM(Table22[[#This Row],[Good Kernel (gm)]:[Spotted (gm)]])/1000*100</f>
        <v>24.9</v>
      </c>
      <c r="BI248" s="72">
        <f t="shared" si="90"/>
        <v>29.9</v>
      </c>
      <c r="BJ248" s="73">
        <v>13.9</v>
      </c>
      <c r="BK248" s="73">
        <v>174</v>
      </c>
      <c r="BL248" s="73">
        <v>686</v>
      </c>
      <c r="BM248" s="73">
        <v>36</v>
      </c>
      <c r="BN248" s="73"/>
      <c r="BO248" s="73">
        <v>28</v>
      </c>
      <c r="BP248" s="73">
        <v>0</v>
      </c>
      <c r="BQ248" s="138">
        <f t="shared" si="91"/>
        <v>64</v>
      </c>
      <c r="BR248" s="73">
        <v>228</v>
      </c>
      <c r="BS248" s="73">
        <v>19</v>
      </c>
      <c r="BT248" s="73">
        <v>17</v>
      </c>
      <c r="BU248" s="140">
        <f t="shared" si="111"/>
        <v>264</v>
      </c>
      <c r="BV248" s="141">
        <f>SUM(Table22[[#This Row],[Good Kernel (G M)]]+(Table22[[#This Row],[Immature (g m)]]+Table22[[#This Row],[Spotted (g m)]])/2)*0.176</f>
        <v>43.295999999999999</v>
      </c>
      <c r="BW248" s="73">
        <v>43.38</v>
      </c>
      <c r="BX248" s="73"/>
      <c r="BY248" s="141">
        <f t="shared" si="97"/>
        <v>46.561680000000003</v>
      </c>
      <c r="BZ248" s="72">
        <f t="shared" si="94"/>
        <v>52.911000000000001</v>
      </c>
      <c r="CA248" s="72">
        <f>SUM(Table22[[#This Row],[Good Kernel (G M)]:[Spotted (g m)]])/1000*100</f>
        <v>26.400000000000002</v>
      </c>
      <c r="CB248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48" s="73">
        <v>8.8000000000000007</v>
      </c>
      <c r="CD248" s="73">
        <v>186</v>
      </c>
      <c r="CE248" s="73"/>
      <c r="CF248" s="73"/>
      <c r="CG248" s="73"/>
      <c r="CH248" s="184">
        <f ca="1">TODAY()-Table22[[#This Row],[Discharge Date]]</f>
        <v>93</v>
      </c>
    </row>
    <row r="249" spans="1:86" x14ac:dyDescent="0.25">
      <c r="A249" s="160">
        <v>245</v>
      </c>
      <c r="B249" s="60" t="s">
        <v>95</v>
      </c>
      <c r="C249" s="60" t="s">
        <v>96</v>
      </c>
      <c r="D249" s="97">
        <v>245</v>
      </c>
      <c r="E249" s="73"/>
      <c r="F249" s="97">
        <v>446</v>
      </c>
      <c r="G249" s="73"/>
      <c r="H249" s="73"/>
      <c r="I249" s="73"/>
      <c r="J249" s="73"/>
      <c r="K249" s="97" t="s">
        <v>636</v>
      </c>
      <c r="L249" s="73"/>
      <c r="M249" s="97">
        <v>31511</v>
      </c>
      <c r="N249" s="97" t="s">
        <v>693</v>
      </c>
      <c r="O249" s="73" t="s">
        <v>612</v>
      </c>
      <c r="P249" s="97" t="s">
        <v>613</v>
      </c>
      <c r="Q249" s="101">
        <v>46163</v>
      </c>
      <c r="R249" s="102" t="s">
        <v>616</v>
      </c>
      <c r="S249" s="102" t="s">
        <v>413</v>
      </c>
      <c r="T249" s="102"/>
      <c r="U249" s="102" t="s">
        <v>414</v>
      </c>
      <c r="V249" s="73" t="s">
        <v>515</v>
      </c>
      <c r="W249" s="73">
        <v>417</v>
      </c>
      <c r="X249" s="73"/>
      <c r="Y249" s="51">
        <f t="shared" ref="Y249" si="122">W249+X249</f>
        <v>417</v>
      </c>
      <c r="Z249" s="73"/>
      <c r="AA249" s="61">
        <f t="shared" ref="AA249" si="123">W249+Z249</f>
        <v>417</v>
      </c>
      <c r="AB249" s="51">
        <f t="shared" ref="AB249" si="124">Z249</f>
        <v>0</v>
      </c>
      <c r="AC249" s="88">
        <f t="shared" ref="AC249" si="125">W249</f>
        <v>417</v>
      </c>
      <c r="AD249" s="73"/>
      <c r="AE249" s="73">
        <v>50</v>
      </c>
      <c r="AF249" s="73"/>
      <c r="AG249" s="73"/>
      <c r="AH249" s="64">
        <f>AC249+AE249+Table22[[#This Row],[Humid Sacs]]</f>
        <v>467</v>
      </c>
      <c r="AI249" s="73"/>
      <c r="AJ249" s="73"/>
      <c r="AK249" s="62">
        <f t="shared" ref="AK249" si="126">AH249</f>
        <v>467</v>
      </c>
      <c r="AL249" s="62">
        <f t="shared" ref="AL249" si="127">AK249</f>
        <v>467</v>
      </c>
      <c r="AM249" s="73">
        <v>37920</v>
      </c>
      <c r="AN249" s="124">
        <f t="shared" ref="AN249:AN250" si="128">(AD249*8)+(AE249*4)+(AG249*0)+(AH249*1)</f>
        <v>667</v>
      </c>
      <c r="AO249" s="77">
        <f t="shared" ref="AO249" si="129">AM249-AH249</f>
        <v>37453</v>
      </c>
      <c r="AP249" s="77">
        <f t="shared" ref="AP249" si="130">AM249-AN249</f>
        <v>37253</v>
      </c>
      <c r="AQ249" s="77">
        <f>+AO249-AE249*4</f>
        <v>37253</v>
      </c>
      <c r="AR249" s="67">
        <f t="shared" ref="AR249" si="131">(AD249*8)+(AE249*4)+(AG249*0)</f>
        <v>200</v>
      </c>
      <c r="AS249" s="134">
        <f>Table22[[#This Row],[GROSS WT]]-Table22[[#This Row],[Total Bag Discharged (Truck)]]</f>
        <v>37503</v>
      </c>
      <c r="AT249" s="67">
        <f t="shared" ref="AT249:AT250" si="132">+AO249</f>
        <v>37453</v>
      </c>
      <c r="AU249" s="73"/>
      <c r="AV249" s="73">
        <v>41</v>
      </c>
      <c r="AW249" s="73">
        <v>22</v>
      </c>
      <c r="AX249" s="73">
        <v>0</v>
      </c>
      <c r="AY249" s="71">
        <f t="shared" si="88"/>
        <v>63</v>
      </c>
      <c r="AZ249" s="70">
        <v>218</v>
      </c>
      <c r="BA249" s="73">
        <v>16</v>
      </c>
      <c r="BB249" s="73">
        <v>17</v>
      </c>
      <c r="BC249" s="63">
        <f t="shared" si="92"/>
        <v>251</v>
      </c>
      <c r="BD249" s="72">
        <f>SUM(Table22[[#This Row],[Good Kernel (gm)]]+(Table22[[#This Row],[Immature (gm)]]+Table22[[#This Row],[Spotted (gm)]])/2)*0.176</f>
        <v>41.271999999999998</v>
      </c>
      <c r="BE249" s="73">
        <v>41.35</v>
      </c>
      <c r="BF249" s="72">
        <f t="shared" si="93"/>
        <v>44.26887</v>
      </c>
      <c r="BG249" s="72">
        <f t="shared" si="89"/>
        <v>51.500039999999998</v>
      </c>
      <c r="BH249" s="72">
        <f>SUM(Table22[[#This Row],[Good Kernel (gm)]:[Spotted (gm)]])/1000*100</f>
        <v>25.1</v>
      </c>
      <c r="BI249" s="72">
        <f t="shared" si="90"/>
        <v>29.2</v>
      </c>
      <c r="BJ249" s="73">
        <v>11.02</v>
      </c>
      <c r="BK249" s="73">
        <v>173</v>
      </c>
      <c r="BL249" s="73">
        <v>680</v>
      </c>
      <c r="BM249" s="73">
        <v>25</v>
      </c>
      <c r="BN249" s="73"/>
      <c r="BO249" s="73">
        <v>31</v>
      </c>
      <c r="BP249" s="73">
        <v>0</v>
      </c>
      <c r="BQ249" s="138">
        <f t="shared" si="91"/>
        <v>56</v>
      </c>
      <c r="BR249" s="73">
        <v>239</v>
      </c>
      <c r="BS249" s="73">
        <v>18</v>
      </c>
      <c r="BT249" s="73">
        <v>9</v>
      </c>
      <c r="BU249" s="140">
        <f t="shared" si="111"/>
        <v>266</v>
      </c>
      <c r="BV249" s="141">
        <f>SUM(Table22[[#This Row],[Good Kernel (G M)]]+(Table22[[#This Row],[Immature (g m)]]+Table22[[#This Row],[Spotted (g m)]])/2)*0.176</f>
        <v>44.44</v>
      </c>
      <c r="BW249" s="73">
        <v>43.12</v>
      </c>
      <c r="BX249" s="73"/>
      <c r="BY249" s="141">
        <f t="shared" si="97"/>
        <v>46.91442</v>
      </c>
      <c r="BZ249" s="72">
        <f t="shared" si="94"/>
        <v>51.32367</v>
      </c>
      <c r="CA249" s="72">
        <f>SUM(Table22[[#This Row],[Good Kernel (G M)]:[Spotted (g m)]])/1000*100</f>
        <v>26.6</v>
      </c>
      <c r="CB249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9" s="73">
        <v>8.5</v>
      </c>
      <c r="CD249" s="73">
        <v>186</v>
      </c>
      <c r="CE249" s="73"/>
      <c r="CF249" s="73"/>
      <c r="CG249" s="73"/>
      <c r="CH249" s="184">
        <f ca="1">TODAY()-Table22[[#This Row],[Discharge Date]]</f>
        <v>92</v>
      </c>
    </row>
    <row r="250" spans="1:86" x14ac:dyDescent="0.25">
      <c r="A250" s="160">
        <v>246</v>
      </c>
      <c r="B250" s="60" t="s">
        <v>95</v>
      </c>
      <c r="C250" s="60" t="s">
        <v>96</v>
      </c>
      <c r="D250" s="97">
        <v>246</v>
      </c>
      <c r="E250" s="73"/>
      <c r="F250" s="97">
        <v>447</v>
      </c>
      <c r="G250" s="73"/>
      <c r="H250" s="73"/>
      <c r="I250" s="73"/>
      <c r="J250" s="73"/>
      <c r="K250" s="97" t="s">
        <v>636</v>
      </c>
      <c r="L250" s="73"/>
      <c r="M250" s="97">
        <v>35056</v>
      </c>
      <c r="N250" s="97" t="s">
        <v>693</v>
      </c>
      <c r="O250" s="73" t="s">
        <v>623</v>
      </c>
      <c r="P250" s="97" t="s">
        <v>615</v>
      </c>
      <c r="Q250" s="101">
        <v>46163</v>
      </c>
      <c r="R250" s="102" t="s">
        <v>316</v>
      </c>
      <c r="S250" s="102" t="s">
        <v>624</v>
      </c>
      <c r="T250" s="102"/>
      <c r="U250" s="102" t="s">
        <v>625</v>
      </c>
      <c r="V250" s="73" t="s">
        <v>358</v>
      </c>
      <c r="W250" s="73">
        <v>476</v>
      </c>
      <c r="X250" s="73"/>
      <c r="Y250" s="51">
        <f t="shared" ref="Y250" si="133">W250+X250</f>
        <v>476</v>
      </c>
      <c r="Z250" s="73"/>
      <c r="AA250" s="61">
        <f t="shared" ref="AA250" si="134">W250+Z250</f>
        <v>476</v>
      </c>
      <c r="AB250" s="51">
        <f t="shared" ref="AB250" si="135">Z250</f>
        <v>0</v>
      </c>
      <c r="AC250" s="88">
        <f t="shared" ref="AC250" si="136">W250</f>
        <v>476</v>
      </c>
      <c r="AD250" s="73"/>
      <c r="AE250" s="73">
        <v>40</v>
      </c>
      <c r="AF250" s="73"/>
      <c r="AG250" s="73"/>
      <c r="AH250" s="64">
        <f>AC250+AE250+Table22[[#This Row],[Humid Sacs]]</f>
        <v>516</v>
      </c>
      <c r="AI250" s="73"/>
      <c r="AJ250" s="73"/>
      <c r="AK250" s="62">
        <f t="shared" ref="AK250:AK251" si="137">AH250</f>
        <v>516</v>
      </c>
      <c r="AL250" s="62">
        <f t="shared" ref="AL250" si="138">AK250</f>
        <v>516</v>
      </c>
      <c r="AM250" s="73">
        <v>45840</v>
      </c>
      <c r="AN250" s="124">
        <f t="shared" si="128"/>
        <v>676</v>
      </c>
      <c r="AO250" s="77">
        <f t="shared" ref="AO250" si="139">AM250-AH250</f>
        <v>45324</v>
      </c>
      <c r="AP250" s="77">
        <f t="shared" ref="AP250" si="140">AM250-AN250</f>
        <v>45164</v>
      </c>
      <c r="AQ250" s="77">
        <f t="shared" ref="AQ250" si="141">+AO250-AE250*4</f>
        <v>45164</v>
      </c>
      <c r="AR250" s="67">
        <f t="shared" ref="AR250" si="142">(AD250*8)+(AE250*4)+(AG250*0)</f>
        <v>160</v>
      </c>
      <c r="AS250" s="134">
        <f>Table22[[#This Row],[GROSS WT]]-Table22[[#This Row],[Total Bag Discharged (Truck)]]</f>
        <v>45364</v>
      </c>
      <c r="AT250" s="67">
        <f t="shared" si="132"/>
        <v>45324</v>
      </c>
      <c r="AU250" s="73"/>
      <c r="AV250" s="73">
        <v>44</v>
      </c>
      <c r="AW250" s="73">
        <v>10</v>
      </c>
      <c r="AX250" s="73">
        <v>3</v>
      </c>
      <c r="AY250" s="71">
        <f t="shared" si="88"/>
        <v>57</v>
      </c>
      <c r="AZ250" s="70">
        <v>225</v>
      </c>
      <c r="BA250" s="73">
        <v>10</v>
      </c>
      <c r="BB250" s="73">
        <v>21</v>
      </c>
      <c r="BC250" s="63">
        <f t="shared" si="92"/>
        <v>256</v>
      </c>
      <c r="BD250" s="72">
        <f>SUM(Table22[[#This Row],[Good Kernel (gm)]]+(Table22[[#This Row],[Immature (gm)]]+Table22[[#This Row],[Spotted (gm)]])/2)*0.176</f>
        <v>42.327999999999996</v>
      </c>
      <c r="BE250" s="73">
        <v>42.41</v>
      </c>
      <c r="BF250" s="72">
        <f t="shared" si="93"/>
        <v>45.15072</v>
      </c>
      <c r="BG250" s="72">
        <f t="shared" si="89"/>
        <v>53.440109999999997</v>
      </c>
      <c r="BH250" s="72">
        <f>SUM(Table22[[#This Row],[Good Kernel (gm)]:[Spotted (gm)]])/1000*100</f>
        <v>25.6</v>
      </c>
      <c r="BI250" s="72">
        <f t="shared" si="90"/>
        <v>30.3</v>
      </c>
      <c r="BJ250" s="73">
        <v>9.8000000000000007</v>
      </c>
      <c r="BK250" s="73">
        <v>178</v>
      </c>
      <c r="BL250" s="73">
        <v>682</v>
      </c>
      <c r="BM250" s="73">
        <v>46</v>
      </c>
      <c r="BN250" s="73"/>
      <c r="BO250" s="73">
        <v>9</v>
      </c>
      <c r="BP250" s="73">
        <v>0</v>
      </c>
      <c r="BQ250" s="138">
        <f t="shared" si="91"/>
        <v>55</v>
      </c>
      <c r="BR250" s="73">
        <v>221</v>
      </c>
      <c r="BS250" s="73">
        <v>18</v>
      </c>
      <c r="BT250" s="73">
        <v>17</v>
      </c>
      <c r="BU250" s="140">
        <f t="shared" si="111"/>
        <v>256</v>
      </c>
      <c r="BV250" s="141">
        <f>SUM(Table22[[#This Row],[Good Kernel (G M)]]+(Table22[[#This Row],[Immature (g m)]]+Table22[[#This Row],[Spotted (g m)]])/2)*0.176</f>
        <v>41.975999999999999</v>
      </c>
      <c r="BW250" s="73">
        <v>42.06</v>
      </c>
      <c r="BX250" s="73"/>
      <c r="BY250" s="141">
        <f t="shared" si="97"/>
        <v>45.15072</v>
      </c>
      <c r="BZ250" s="72">
        <f t="shared" si="94"/>
        <v>53.263739999999999</v>
      </c>
      <c r="CA250" s="72">
        <f>SUM(Table22[[#This Row],[Good Kernel (G M)]:[Spotted (g m)]])/1000*100</f>
        <v>25.6</v>
      </c>
      <c r="CB250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250" s="73">
        <v>11.9</v>
      </c>
      <c r="CD250" s="73">
        <v>162</v>
      </c>
      <c r="CE250" s="73"/>
      <c r="CF250" s="73"/>
      <c r="CG250" s="73"/>
      <c r="CH250" s="184">
        <f ca="1">TODAY()-Table22[[#This Row],[Discharge Date]]</f>
        <v>92</v>
      </c>
    </row>
    <row r="251" spans="1:86" x14ac:dyDescent="0.25">
      <c r="A251" s="160">
        <v>247</v>
      </c>
      <c r="B251" s="60" t="s">
        <v>95</v>
      </c>
      <c r="C251" s="60" t="s">
        <v>96</v>
      </c>
      <c r="D251" s="97">
        <v>247</v>
      </c>
      <c r="E251" s="73" t="s">
        <v>130</v>
      </c>
      <c r="F251" s="97">
        <v>448</v>
      </c>
      <c r="G251" s="73"/>
      <c r="H251" s="73"/>
      <c r="I251" s="73"/>
      <c r="J251" s="73"/>
      <c r="K251" s="97" t="s">
        <v>634</v>
      </c>
      <c r="L251" s="73"/>
      <c r="M251" s="97">
        <v>87036</v>
      </c>
      <c r="N251" s="97" t="s">
        <v>643</v>
      </c>
      <c r="O251" s="73" t="s">
        <v>635</v>
      </c>
      <c r="P251" s="109">
        <v>46361</v>
      </c>
      <c r="Q251" s="101">
        <v>46168</v>
      </c>
      <c r="R251" s="102" t="s">
        <v>228</v>
      </c>
      <c r="S251" s="102" t="s">
        <v>219</v>
      </c>
      <c r="T251" s="102"/>
      <c r="U251" s="102" t="s">
        <v>220</v>
      </c>
      <c r="V251" s="73"/>
      <c r="W251" s="73">
        <v>690</v>
      </c>
      <c r="X251" s="73"/>
      <c r="Y251" s="51">
        <f t="shared" ref="Y251" si="143">W251+X251</f>
        <v>690</v>
      </c>
      <c r="Z251" s="73"/>
      <c r="AA251" s="61">
        <f t="shared" ref="AA251" si="144">W251+Z251</f>
        <v>690</v>
      </c>
      <c r="AB251" s="51">
        <f t="shared" ref="AB251" si="145">Z251</f>
        <v>0</v>
      </c>
      <c r="AC251" s="88">
        <f t="shared" ref="AC251" si="146">W251</f>
        <v>690</v>
      </c>
      <c r="AD251" s="73"/>
      <c r="AE251" s="73">
        <v>20</v>
      </c>
      <c r="AF251" s="73"/>
      <c r="AG251" s="73"/>
      <c r="AH251" s="64">
        <f>AC251+AE251+Table22[[#This Row],[Humid Sacs]]</f>
        <v>710</v>
      </c>
      <c r="AI251" s="73"/>
      <c r="AJ251" s="73"/>
      <c r="AK251" s="62">
        <f t="shared" si="137"/>
        <v>710</v>
      </c>
      <c r="AL251" s="62">
        <f t="shared" ref="AL251:AL252" si="147">AK251</f>
        <v>710</v>
      </c>
      <c r="AM251" s="73">
        <v>55860</v>
      </c>
      <c r="AN251" s="124">
        <f t="shared" ref="AN251:AN265" si="148">(AD251*8)+(AE251*4)+(AG251*0)+(AH251*1)</f>
        <v>790</v>
      </c>
      <c r="AO251" s="77">
        <f t="shared" ref="AO251" si="149">AM251-AH251</f>
        <v>55150</v>
      </c>
      <c r="AP251" s="77">
        <f t="shared" ref="AP251" si="150">AM251-AN251</f>
        <v>55070</v>
      </c>
      <c r="AQ251" s="77">
        <f t="shared" ref="AQ251" si="151">+AO251-AE251*4</f>
        <v>55070</v>
      </c>
      <c r="AR251" s="67">
        <f t="shared" ref="AR251" si="152">(AD251*8)+(AE251*4)+(AG251*0)</f>
        <v>80</v>
      </c>
      <c r="AS251" s="134">
        <f>Table22[[#This Row],[GROSS WT]]-Table22[[#This Row],[Total Bag Discharged (Truck)]]</f>
        <v>55170</v>
      </c>
      <c r="AT251" s="67">
        <f t="shared" ref="AT251" si="153">+AO251</f>
        <v>55150</v>
      </c>
      <c r="AU251" s="73"/>
      <c r="AV251" s="73">
        <v>36</v>
      </c>
      <c r="AW251" s="73">
        <v>12</v>
      </c>
      <c r="AX251" s="73">
        <v>0</v>
      </c>
      <c r="AY251" s="71">
        <f t="shared" si="88"/>
        <v>48</v>
      </c>
      <c r="AZ251" s="70">
        <v>221</v>
      </c>
      <c r="BA251" s="73">
        <v>20</v>
      </c>
      <c r="BB251" s="73">
        <v>16</v>
      </c>
      <c r="BC251" s="63">
        <f t="shared" si="92"/>
        <v>257</v>
      </c>
      <c r="BD251" s="72">
        <f>SUM(Table22[[#This Row],[Good Kernel (gm)]]+(Table22[[#This Row],[Immature (gm)]]+Table22[[#This Row],[Spotted (gm)]])/2)*0.176</f>
        <v>42.064</v>
      </c>
      <c r="BE251" s="73">
        <v>42.15</v>
      </c>
      <c r="BF251" s="72">
        <f t="shared" si="93"/>
        <v>45.327089999999998</v>
      </c>
      <c r="BG251" s="72">
        <f t="shared" si="89"/>
        <v>51.676409999999997</v>
      </c>
      <c r="BH251" s="72">
        <f>SUM(Table22[[#This Row],[Good Kernel (gm)]:[Spotted (gm)]])/1000*100</f>
        <v>25.7</v>
      </c>
      <c r="BI251" s="72">
        <f t="shared" si="90"/>
        <v>29.299999999999997</v>
      </c>
      <c r="BJ251" s="73">
        <v>9.1</v>
      </c>
      <c r="BK251" s="73">
        <v>180</v>
      </c>
      <c r="BL251" s="73">
        <v>690</v>
      </c>
      <c r="BM251" s="73">
        <v>31</v>
      </c>
      <c r="BN251" s="73"/>
      <c r="BO251" s="73">
        <v>19</v>
      </c>
      <c r="BP251" s="73">
        <v>4</v>
      </c>
      <c r="BQ251" s="138">
        <f t="shared" si="91"/>
        <v>54</v>
      </c>
      <c r="BR251" s="73">
        <v>230</v>
      </c>
      <c r="BS251" s="73">
        <v>20</v>
      </c>
      <c r="BT251" s="73">
        <v>12</v>
      </c>
      <c r="BU251" s="140">
        <f t="shared" si="111"/>
        <v>262</v>
      </c>
      <c r="BV251" s="141">
        <f>SUM(Table22[[#This Row],[Good Kernel (G M)]]+(Table22[[#This Row],[Immature (g m)]]+Table22[[#This Row],[Spotted (g m)]])/2)*0.176</f>
        <v>43.295999999999999</v>
      </c>
      <c r="BW251" s="73">
        <v>43.38</v>
      </c>
      <c r="BX251" s="73"/>
      <c r="BY251" s="141">
        <f t="shared" si="97"/>
        <v>46.208939999999998</v>
      </c>
      <c r="BZ251" s="72">
        <f t="shared" si="94"/>
        <v>52.381889999999999</v>
      </c>
      <c r="CA251" s="72">
        <f>SUM(Table22[[#This Row],[Good Kernel (G M)]:[Spotted (g m)]])/1000*100</f>
        <v>26.200000000000003</v>
      </c>
      <c r="CB25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251" s="73">
        <v>10.4</v>
      </c>
      <c r="CD251" s="73">
        <v>175</v>
      </c>
      <c r="CE251" s="73"/>
      <c r="CF251" s="73"/>
      <c r="CG251" s="73"/>
      <c r="CH251" s="184">
        <f ca="1">TODAY()-Table22[[#This Row],[Discharge Date]]</f>
        <v>87</v>
      </c>
    </row>
    <row r="252" spans="1:86" x14ac:dyDescent="0.25">
      <c r="A252" s="160">
        <v>248</v>
      </c>
      <c r="B252" s="60" t="s">
        <v>95</v>
      </c>
      <c r="C252" s="60" t="s">
        <v>96</v>
      </c>
      <c r="D252" s="144">
        <v>248</v>
      </c>
      <c r="E252" s="137"/>
      <c r="F252" s="144">
        <v>449</v>
      </c>
      <c r="G252" s="137"/>
      <c r="H252" s="137"/>
      <c r="I252" s="137"/>
      <c r="J252" s="137"/>
      <c r="K252" s="144" t="s">
        <v>640</v>
      </c>
      <c r="L252" s="137"/>
      <c r="M252" s="144">
        <v>87130</v>
      </c>
      <c r="N252" s="144" t="s">
        <v>642</v>
      </c>
      <c r="O252" s="137" t="s">
        <v>406</v>
      </c>
      <c r="P252" s="144" t="s">
        <v>639</v>
      </c>
      <c r="Q252" s="181">
        <v>46173</v>
      </c>
      <c r="R252" s="146" t="s">
        <v>228</v>
      </c>
      <c r="S252" s="146" t="s">
        <v>219</v>
      </c>
      <c r="T252" s="146"/>
      <c r="U252" s="146" t="s">
        <v>220</v>
      </c>
      <c r="V252" s="137" t="s">
        <v>366</v>
      </c>
      <c r="W252" s="137">
        <v>724</v>
      </c>
      <c r="X252" s="137"/>
      <c r="Y252" s="147">
        <f t="shared" ref="Y252:Y257" si="154">W252+X252</f>
        <v>724</v>
      </c>
      <c r="Z252" s="137"/>
      <c r="AA252" s="148">
        <f t="shared" ref="AA252:AA260" si="155">W252+Z252</f>
        <v>724</v>
      </c>
      <c r="AB252" s="147">
        <f t="shared" ref="AB252" si="156">Z252</f>
        <v>0</v>
      </c>
      <c r="AC252" s="149">
        <f t="shared" ref="AC252:AC260" si="157">W252</f>
        <v>724</v>
      </c>
      <c r="AD252" s="137"/>
      <c r="AE252" s="137">
        <v>10</v>
      </c>
      <c r="AF252" s="137"/>
      <c r="AG252" s="137"/>
      <c r="AH252" s="150">
        <f>AC252+AE252+Table22[[#This Row],[Humid Sacs]]</f>
        <v>734</v>
      </c>
      <c r="AI252" s="137"/>
      <c r="AJ252" s="137"/>
      <c r="AK252" s="151">
        <f t="shared" ref="AK252" si="158">AH252</f>
        <v>734</v>
      </c>
      <c r="AL252" s="151">
        <f t="shared" si="147"/>
        <v>734</v>
      </c>
      <c r="AM252" s="137">
        <v>56200</v>
      </c>
      <c r="AN252" s="152">
        <f t="shared" si="148"/>
        <v>774</v>
      </c>
      <c r="AO252" s="153">
        <f t="shared" ref="AO252" si="159">AM252-AH252</f>
        <v>55466</v>
      </c>
      <c r="AP252" s="153">
        <f t="shared" ref="AP252" si="160">AM252-AN252</f>
        <v>55426</v>
      </c>
      <c r="AQ252" s="153">
        <f t="shared" ref="AQ252" si="161">+AO252-AE252*4</f>
        <v>55426</v>
      </c>
      <c r="AR252" s="154">
        <f t="shared" ref="AR252:AR255" si="162">(AD252*8)+(AE252*4)+(AG252*0)</f>
        <v>40</v>
      </c>
      <c r="AS252" s="172">
        <f>Table22[[#This Row],[GROSS WT]]-Table22[[#This Row],[Total Bag Discharged (Truck)]]</f>
        <v>55476</v>
      </c>
      <c r="AT252" s="154">
        <f t="shared" ref="AT252:AT255" si="163">+AO252</f>
        <v>55466</v>
      </c>
      <c r="AU252" s="137"/>
      <c r="AV252" s="137">
        <v>36</v>
      </c>
      <c r="AW252" s="137">
        <v>13</v>
      </c>
      <c r="AX252" s="137">
        <v>0</v>
      </c>
      <c r="AY252" s="138">
        <f t="shared" si="88"/>
        <v>49</v>
      </c>
      <c r="AZ252" s="139">
        <v>218</v>
      </c>
      <c r="BA252" s="137">
        <v>18</v>
      </c>
      <c r="BB252" s="137">
        <v>21</v>
      </c>
      <c r="BC252" s="140">
        <f t="shared" si="92"/>
        <v>257</v>
      </c>
      <c r="BD252" s="141">
        <f>SUM(Table22[[#This Row],[Good Kernel (gm)]]+(Table22[[#This Row],[Immature (gm)]]+Table22[[#This Row],[Spotted (gm)]])/2)*0.176</f>
        <v>41.8</v>
      </c>
      <c r="BE252" s="137">
        <v>41.88</v>
      </c>
      <c r="BF252" s="141">
        <f t="shared" si="93"/>
        <v>45.327089999999998</v>
      </c>
      <c r="BG252" s="141">
        <f t="shared" si="89"/>
        <v>51.676409999999997</v>
      </c>
      <c r="BH252" s="141">
        <f>SUM(Table22[[#This Row],[Good Kernel (gm)]:[Spotted (gm)]])/1000*100</f>
        <v>25.7</v>
      </c>
      <c r="BI252" s="141">
        <f t="shared" si="90"/>
        <v>29.299999999999997</v>
      </c>
      <c r="BJ252" s="137">
        <v>10.1</v>
      </c>
      <c r="BK252" s="137">
        <v>164</v>
      </c>
      <c r="BL252" s="137">
        <v>690</v>
      </c>
      <c r="BM252" s="137">
        <v>37</v>
      </c>
      <c r="BN252" s="137"/>
      <c r="BO252" s="137">
        <v>18</v>
      </c>
      <c r="BP252" s="137">
        <v>0</v>
      </c>
      <c r="BQ252" s="138">
        <f t="shared" si="91"/>
        <v>55</v>
      </c>
      <c r="BR252" s="137">
        <v>224</v>
      </c>
      <c r="BS252" s="137">
        <v>17</v>
      </c>
      <c r="BT252" s="137">
        <v>12</v>
      </c>
      <c r="BU252" s="140">
        <f t="shared" si="111"/>
        <v>253</v>
      </c>
      <c r="BV252" s="141">
        <f>SUM(Table22[[#This Row],[Good Kernel (G M)]]+(Table22[[#This Row],[Immature (g m)]]+Table22[[#This Row],[Spotted (g m)]])/2)*0.176</f>
        <v>41.975999999999999</v>
      </c>
      <c r="BW252" s="137">
        <v>42.06</v>
      </c>
      <c r="BX252" s="137"/>
      <c r="BY252" s="141">
        <f t="shared" si="97"/>
        <v>44.621609999999997</v>
      </c>
      <c r="BZ252" s="141">
        <f t="shared" si="94"/>
        <v>51.147300000000001</v>
      </c>
      <c r="CA252" s="141">
        <f>SUM(Table22[[#This Row],[Good Kernel (G M)]:[Spotted (g m)]])/1000*100</f>
        <v>25.3</v>
      </c>
      <c r="CB252" s="141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252" s="137">
        <v>9.8000000000000007</v>
      </c>
      <c r="CD252" s="137">
        <v>163</v>
      </c>
      <c r="CE252" s="137"/>
      <c r="CF252" s="137"/>
      <c r="CG252" s="137"/>
      <c r="CH252" s="184">
        <f ca="1">TODAY()-Table22[[#This Row],[Discharge Date]]</f>
        <v>82</v>
      </c>
    </row>
    <row r="253" spans="1:86" x14ac:dyDescent="0.25">
      <c r="A253" s="160">
        <v>249</v>
      </c>
      <c r="B253" s="60" t="s">
        <v>95</v>
      </c>
      <c r="C253" s="60" t="s">
        <v>96</v>
      </c>
      <c r="D253" s="97">
        <v>249</v>
      </c>
      <c r="E253" s="73"/>
      <c r="F253" s="97">
        <v>952</v>
      </c>
      <c r="G253" s="73"/>
      <c r="H253" s="73"/>
      <c r="I253" s="73"/>
      <c r="J253" s="73"/>
      <c r="K253" s="97"/>
      <c r="L253" s="73"/>
      <c r="M253" s="97">
        <v>30581</v>
      </c>
      <c r="N253" s="97" t="s">
        <v>641</v>
      </c>
      <c r="O253" s="73" t="s">
        <v>227</v>
      </c>
      <c r="P253" s="109">
        <v>46118</v>
      </c>
      <c r="Q253" s="181">
        <v>46186</v>
      </c>
      <c r="R253" s="102" t="s">
        <v>228</v>
      </c>
      <c r="S253" s="102" t="s">
        <v>645</v>
      </c>
      <c r="T253" s="102"/>
      <c r="U253" s="102"/>
      <c r="V253" s="73"/>
      <c r="W253" s="73">
        <v>513</v>
      </c>
      <c r="X253" s="73"/>
      <c r="Y253" s="147">
        <f t="shared" si="154"/>
        <v>513</v>
      </c>
      <c r="Z253" s="73"/>
      <c r="AA253" s="148">
        <f t="shared" si="155"/>
        <v>513</v>
      </c>
      <c r="AB253" s="73"/>
      <c r="AC253" s="149">
        <f t="shared" si="157"/>
        <v>513</v>
      </c>
      <c r="AD253" s="73"/>
      <c r="AE253" s="73">
        <v>10</v>
      </c>
      <c r="AF253" s="73"/>
      <c r="AG253" s="73"/>
      <c r="AH253" s="150">
        <f>AC253+AE253+Table22[[#This Row],[Humid Sacs]]</f>
        <v>523</v>
      </c>
      <c r="AI253" s="73"/>
      <c r="AJ253" s="73"/>
      <c r="AK253" s="151">
        <f t="shared" ref="AK253:AK255" si="164">AH253</f>
        <v>523</v>
      </c>
      <c r="AL253" s="151">
        <f t="shared" ref="AL253:AL255" si="165">AK253</f>
        <v>523</v>
      </c>
      <c r="AM253" s="73">
        <v>37730</v>
      </c>
      <c r="AN253" s="152">
        <f t="shared" si="148"/>
        <v>563</v>
      </c>
      <c r="AO253" s="153">
        <f t="shared" ref="AO253" si="166">AM253-AH253</f>
        <v>37207</v>
      </c>
      <c r="AP253" s="153">
        <f t="shared" ref="AP253:AP255" si="167">AM253-AN253</f>
        <v>37167</v>
      </c>
      <c r="AQ253" s="153">
        <f t="shared" ref="AQ253:AQ255" si="168">+AO253-AE253*4</f>
        <v>37167</v>
      </c>
      <c r="AR253" s="154">
        <f t="shared" si="162"/>
        <v>40</v>
      </c>
      <c r="AS253" s="134">
        <f>Table22[[#This Row],[GROSS WT]]-Table22[[#This Row],[Total Bag Discharged (Truck)]]</f>
        <v>37217</v>
      </c>
      <c r="AT253" s="154">
        <f t="shared" si="163"/>
        <v>37207</v>
      </c>
      <c r="AU253" s="73"/>
      <c r="AV253" s="73">
        <v>47</v>
      </c>
      <c r="AW253" s="73">
        <v>35</v>
      </c>
      <c r="AX253" s="73">
        <v>0</v>
      </c>
      <c r="AY253" s="71">
        <f t="shared" si="88"/>
        <v>82</v>
      </c>
      <c r="AZ253" s="70">
        <v>205</v>
      </c>
      <c r="BA253" s="73">
        <v>18</v>
      </c>
      <c r="BB253" s="73">
        <v>24</v>
      </c>
      <c r="BC253" s="63">
        <f t="shared" si="92"/>
        <v>247</v>
      </c>
      <c r="BD253" s="72">
        <f>SUM(Table22[[#This Row],[Good Kernel (gm)]]+(Table22[[#This Row],[Immature (gm)]]+Table22[[#This Row],[Spotted (gm)]])/2)*0.176</f>
        <v>39.775999999999996</v>
      </c>
      <c r="BE253" s="73">
        <v>39.85</v>
      </c>
      <c r="BF253" s="72">
        <f t="shared" si="93"/>
        <v>43.563389999999998</v>
      </c>
      <c r="BG253" s="72">
        <f t="shared" si="89"/>
        <v>51.852780000000003</v>
      </c>
      <c r="BH253" s="72">
        <f>SUM(Table22[[#This Row],[Good Kernel (gm)]:[Spotted (gm)]])/1000*100</f>
        <v>24.7</v>
      </c>
      <c r="BI253" s="72">
        <f t="shared" si="90"/>
        <v>29.4</v>
      </c>
      <c r="BJ253" s="73">
        <v>10</v>
      </c>
      <c r="BK253" s="73">
        <v>183</v>
      </c>
      <c r="BL253" s="73">
        <v>660</v>
      </c>
      <c r="BM253" s="73">
        <v>43</v>
      </c>
      <c r="BN253" s="73"/>
      <c r="BO253" s="73">
        <v>21</v>
      </c>
      <c r="BP253" s="73">
        <v>0</v>
      </c>
      <c r="BQ253" s="71">
        <f t="shared" si="91"/>
        <v>64</v>
      </c>
      <c r="BR253" s="73">
        <v>208</v>
      </c>
      <c r="BS253" s="73">
        <v>16</v>
      </c>
      <c r="BT253" s="73">
        <v>18</v>
      </c>
      <c r="BU253" s="140">
        <f t="shared" si="111"/>
        <v>242</v>
      </c>
      <c r="BV253" s="141">
        <f>SUM(Table22[[#This Row],[Good Kernel (G M)]]+(Table22[[#This Row],[Immature (g m)]]+Table22[[#This Row],[Spotted (g m)]])/2)*0.176</f>
        <v>39.599999999999994</v>
      </c>
      <c r="BW253" s="73">
        <v>39.68</v>
      </c>
      <c r="BX253" s="73"/>
      <c r="BY253" s="141">
        <f t="shared" si="97"/>
        <v>42.681539999999998</v>
      </c>
      <c r="BZ253" s="72">
        <f t="shared" si="94"/>
        <v>50.265450000000001</v>
      </c>
      <c r="CA253" s="72">
        <f>SUM(Table22[[#This Row],[Good Kernel (G M)]:[Spotted (g m)]])/1000*100</f>
        <v>24.2</v>
      </c>
      <c r="CB253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253" s="73">
        <v>10</v>
      </c>
      <c r="CD253" s="73">
        <v>179</v>
      </c>
      <c r="CE253" s="73"/>
      <c r="CF253" s="73"/>
      <c r="CG253" s="73"/>
      <c r="CH253" s="184">
        <f ca="1">TODAY()-Table22[[#This Row],[Discharge Date]]</f>
        <v>69</v>
      </c>
    </row>
    <row r="254" spans="1:86" x14ac:dyDescent="0.25">
      <c r="A254" s="160">
        <v>250</v>
      </c>
      <c r="B254" s="60" t="s">
        <v>95</v>
      </c>
      <c r="C254" s="60" t="s">
        <v>96</v>
      </c>
      <c r="D254" s="97">
        <v>250</v>
      </c>
      <c r="E254" s="73"/>
      <c r="F254" s="97">
        <v>953</v>
      </c>
      <c r="G254" s="73"/>
      <c r="H254" s="73"/>
      <c r="I254" s="73"/>
      <c r="J254" s="73"/>
      <c r="K254" s="97"/>
      <c r="L254" s="73"/>
      <c r="M254" s="97">
        <v>87102</v>
      </c>
      <c r="N254" s="97" t="s">
        <v>641</v>
      </c>
      <c r="O254" s="73" t="s">
        <v>646</v>
      </c>
      <c r="P254" s="109">
        <v>46118</v>
      </c>
      <c r="Q254" s="101">
        <v>46186</v>
      </c>
      <c r="R254" s="102"/>
      <c r="S254" s="103" t="s">
        <v>179</v>
      </c>
      <c r="T254" s="102"/>
      <c r="U254" s="102"/>
      <c r="V254" s="73"/>
      <c r="W254" s="73">
        <v>519</v>
      </c>
      <c r="X254" s="73"/>
      <c r="Y254" s="51">
        <f t="shared" si="154"/>
        <v>519</v>
      </c>
      <c r="Z254" s="73"/>
      <c r="AA254" s="61">
        <f t="shared" si="155"/>
        <v>519</v>
      </c>
      <c r="AB254" s="73"/>
      <c r="AC254" s="88">
        <f t="shared" si="157"/>
        <v>519</v>
      </c>
      <c r="AD254" s="73"/>
      <c r="AE254" s="73">
        <v>5</v>
      </c>
      <c r="AF254" s="73"/>
      <c r="AG254" s="73"/>
      <c r="AH254" s="64">
        <f>AC254+AE254+Table22[[#This Row],[Humid Sacs]]</f>
        <v>524</v>
      </c>
      <c r="AI254" s="73"/>
      <c r="AJ254" s="73"/>
      <c r="AK254" s="62">
        <f t="shared" si="164"/>
        <v>524</v>
      </c>
      <c r="AL254" s="62">
        <f t="shared" si="165"/>
        <v>524</v>
      </c>
      <c r="AM254" s="73">
        <v>34490</v>
      </c>
      <c r="AN254" s="124">
        <f t="shared" si="148"/>
        <v>544</v>
      </c>
      <c r="AO254" s="77">
        <f>AM254-AH254</f>
        <v>33966</v>
      </c>
      <c r="AP254" s="77">
        <f t="shared" si="167"/>
        <v>33946</v>
      </c>
      <c r="AQ254" s="77">
        <f t="shared" si="168"/>
        <v>33946</v>
      </c>
      <c r="AR254" s="67">
        <f t="shared" si="162"/>
        <v>20</v>
      </c>
      <c r="AS254" s="134">
        <f>Table22[[#This Row],[GROSS WT]]-Table22[[#This Row],[Total Bag Discharged (Truck)]]</f>
        <v>33971</v>
      </c>
      <c r="AT254" s="67">
        <f t="shared" si="163"/>
        <v>33966</v>
      </c>
      <c r="AU254" s="73"/>
      <c r="AV254" s="73">
        <v>53</v>
      </c>
      <c r="AW254" s="73">
        <v>16</v>
      </c>
      <c r="AX254" s="73">
        <v>0</v>
      </c>
      <c r="AY254" s="71">
        <f t="shared" si="88"/>
        <v>69</v>
      </c>
      <c r="AZ254" s="70">
        <v>198</v>
      </c>
      <c r="BA254" s="73">
        <v>22</v>
      </c>
      <c r="BB254" s="73">
        <v>18</v>
      </c>
      <c r="BC254" s="63">
        <f t="shared" si="92"/>
        <v>238</v>
      </c>
      <c r="BD254" s="72">
        <f>SUM(Table22[[#This Row],[Good Kernel (gm)]]+(Table22[[#This Row],[Immature (gm)]]+Table22[[#This Row],[Spotted (gm)]])/2)*0.176</f>
        <v>38.367999999999995</v>
      </c>
      <c r="BE254" s="73">
        <v>38.44</v>
      </c>
      <c r="BF254" s="72">
        <f t="shared" si="93"/>
        <v>41.976059999999997</v>
      </c>
      <c r="BG254" s="72">
        <f t="shared" si="89"/>
        <v>51.32367</v>
      </c>
      <c r="BH254" s="72">
        <f>SUM(Table22[[#This Row],[Good Kernel (gm)]:[Spotted (gm)]])/1000*100</f>
        <v>23.799999999999997</v>
      </c>
      <c r="BI254" s="72">
        <f t="shared" si="90"/>
        <v>29.099999999999998</v>
      </c>
      <c r="BJ254" s="73">
        <v>9.6</v>
      </c>
      <c r="BK254" s="73">
        <v>178</v>
      </c>
      <c r="BL254" s="73">
        <v>684</v>
      </c>
      <c r="BM254" s="73">
        <v>54</v>
      </c>
      <c r="BN254" s="73"/>
      <c r="BO254" s="73">
        <v>8</v>
      </c>
      <c r="BP254" s="73">
        <v>0</v>
      </c>
      <c r="BQ254" s="71">
        <f t="shared" si="91"/>
        <v>62</v>
      </c>
      <c r="BR254" s="73">
        <v>205</v>
      </c>
      <c r="BS254" s="73">
        <v>16</v>
      </c>
      <c r="BT254" s="73">
        <v>16</v>
      </c>
      <c r="BU254" s="63">
        <f t="shared" si="111"/>
        <v>237</v>
      </c>
      <c r="BV254" s="72">
        <f>SUM(Table22[[#This Row],[Good Kernel (G M)]]+(Table22[[#This Row],[Immature (g m)]]+Table22[[#This Row],[Spotted (g m)]])/2)*0.176</f>
        <v>38.896000000000001</v>
      </c>
      <c r="BW254" s="73">
        <v>38.97</v>
      </c>
      <c r="BX254" s="73"/>
      <c r="BY254" s="72">
        <f t="shared" si="97"/>
        <v>41.799689999999998</v>
      </c>
      <c r="BZ254" s="72">
        <f t="shared" si="94"/>
        <v>51.32367</v>
      </c>
      <c r="CA254" s="72">
        <f>SUM(Table22[[#This Row],[Good Kernel (G M)]:[Spotted (g m)]])/1000*100</f>
        <v>23.7</v>
      </c>
      <c r="CB254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54" s="73">
        <v>8.9</v>
      </c>
      <c r="CD254" s="73">
        <v>184</v>
      </c>
      <c r="CE254" s="73"/>
      <c r="CF254" s="73"/>
      <c r="CG254" s="73"/>
      <c r="CH254" s="184">
        <f ca="1">TODAY()-Table22[[#This Row],[Discharge Date]]</f>
        <v>69</v>
      </c>
    </row>
    <row r="255" spans="1:86" x14ac:dyDescent="0.25">
      <c r="A255" s="160">
        <v>251</v>
      </c>
      <c r="B255" s="60" t="s">
        <v>95</v>
      </c>
      <c r="C255" s="60" t="s">
        <v>96</v>
      </c>
      <c r="D255" s="97">
        <v>251</v>
      </c>
      <c r="E255" s="73"/>
      <c r="F255" s="97">
        <v>954</v>
      </c>
      <c r="G255" s="73"/>
      <c r="H255" s="73"/>
      <c r="I255" s="73"/>
      <c r="J255" s="73"/>
      <c r="K255" s="97"/>
      <c r="L255" s="73"/>
      <c r="M255" s="97">
        <v>28967</v>
      </c>
      <c r="N255" s="97" t="s">
        <v>641</v>
      </c>
      <c r="O255" s="73" t="s">
        <v>647</v>
      </c>
      <c r="P255" s="97" t="s">
        <v>648</v>
      </c>
      <c r="Q255" s="101">
        <v>46191</v>
      </c>
      <c r="R255" s="102"/>
      <c r="S255" s="102" t="s">
        <v>645</v>
      </c>
      <c r="T255" s="102"/>
      <c r="U255" s="102"/>
      <c r="V255" s="73"/>
      <c r="W255" s="73">
        <v>342</v>
      </c>
      <c r="X255" s="73"/>
      <c r="Y255" s="51">
        <f t="shared" si="154"/>
        <v>342</v>
      </c>
      <c r="Z255" s="73"/>
      <c r="AA255" s="61">
        <f t="shared" si="155"/>
        <v>342</v>
      </c>
      <c r="AB255" s="73"/>
      <c r="AC255" s="88">
        <f t="shared" si="157"/>
        <v>342</v>
      </c>
      <c r="AD255" s="73"/>
      <c r="AE255" s="73">
        <v>4</v>
      </c>
      <c r="AF255" s="73"/>
      <c r="AG255" s="73"/>
      <c r="AH255" s="64">
        <f>AC255+AE255+Table22[[#This Row],[Humid Sacs]]</f>
        <v>346</v>
      </c>
      <c r="AI255" s="73"/>
      <c r="AJ255" s="73"/>
      <c r="AK255" s="62">
        <f t="shared" si="164"/>
        <v>346</v>
      </c>
      <c r="AL255" s="62">
        <f t="shared" si="165"/>
        <v>346</v>
      </c>
      <c r="AM255" s="73">
        <v>28220</v>
      </c>
      <c r="AN255" s="124">
        <f t="shared" si="148"/>
        <v>362</v>
      </c>
      <c r="AO255" s="77">
        <f>AM255-AH255</f>
        <v>27874</v>
      </c>
      <c r="AP255" s="77">
        <f t="shared" si="167"/>
        <v>27858</v>
      </c>
      <c r="AQ255" s="77">
        <f t="shared" si="168"/>
        <v>27858</v>
      </c>
      <c r="AR255" s="67">
        <f t="shared" si="162"/>
        <v>16</v>
      </c>
      <c r="AS255" s="134">
        <f>Table22[[#This Row],[GROSS WT]]-Table22[[#This Row],[Total Bag Discharged (Truck)]]</f>
        <v>27878</v>
      </c>
      <c r="AT255" s="67">
        <f t="shared" si="163"/>
        <v>27874</v>
      </c>
      <c r="AU255" s="73"/>
      <c r="AV255" s="73">
        <v>40</v>
      </c>
      <c r="AW255" s="73">
        <v>37</v>
      </c>
      <c r="AX255" s="73">
        <v>0</v>
      </c>
      <c r="AY255" s="71">
        <f t="shared" si="88"/>
        <v>77</v>
      </c>
      <c r="AZ255" s="70">
        <v>196</v>
      </c>
      <c r="BA255" s="73">
        <v>16</v>
      </c>
      <c r="BB255" s="73">
        <v>19</v>
      </c>
      <c r="BC255" s="63">
        <f t="shared" si="92"/>
        <v>231</v>
      </c>
      <c r="BD255" s="72">
        <f>SUM(Table22[[#This Row],[Good Kernel (gm)]]+(Table22[[#This Row],[Immature (gm)]]+Table22[[#This Row],[Spotted (gm)]])/2)*0.176</f>
        <v>37.576000000000001</v>
      </c>
      <c r="BE255" s="73">
        <v>37.65</v>
      </c>
      <c r="BF255" s="72">
        <f t="shared" si="93"/>
        <v>40.74147</v>
      </c>
      <c r="BG255" s="72">
        <f t="shared" si="89"/>
        <v>47.79627</v>
      </c>
      <c r="BH255" s="72">
        <f>SUM(Table22[[#This Row],[Good Kernel (gm)]:[Spotted (gm)]])/1000*100</f>
        <v>23.1</v>
      </c>
      <c r="BI255" s="72">
        <f t="shared" si="90"/>
        <v>27.1</v>
      </c>
      <c r="BJ255" s="73">
        <v>9.8000000000000007</v>
      </c>
      <c r="BK255" s="73">
        <v>180</v>
      </c>
      <c r="BL255" s="73">
        <v>683</v>
      </c>
      <c r="BM255" s="73">
        <v>58</v>
      </c>
      <c r="BN255" s="73"/>
      <c r="BO255" s="73">
        <v>29</v>
      </c>
      <c r="BP255" s="73">
        <v>0</v>
      </c>
      <c r="BQ255" s="71">
        <f t="shared" si="91"/>
        <v>87</v>
      </c>
      <c r="BR255" s="73">
        <v>191</v>
      </c>
      <c r="BS255" s="73">
        <v>21</v>
      </c>
      <c r="BT255" s="73">
        <v>17</v>
      </c>
      <c r="BU255" s="63">
        <f t="shared" si="111"/>
        <v>229</v>
      </c>
      <c r="BV255" s="72">
        <f>SUM(Table22[[#This Row],[Good Kernel (G M)]]+(Table22[[#This Row],[Immature (g m)]]+Table22[[#This Row],[Spotted (g m)]])/2)*0.176</f>
        <v>36.96</v>
      </c>
      <c r="BW255" s="73">
        <v>37.03</v>
      </c>
      <c r="BX255" s="73"/>
      <c r="BY255" s="72">
        <f t="shared" si="97"/>
        <v>40.388730000000002</v>
      </c>
      <c r="BZ255" s="72">
        <f t="shared" si="94"/>
        <v>50.618189999999998</v>
      </c>
      <c r="CA255" s="72">
        <f>SUM(Table22[[#This Row],[Good Kernel (G M)]:[Spotted (g m)]])/1000*100</f>
        <v>22.900000000000002</v>
      </c>
      <c r="CB255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255" s="73">
        <v>9.5</v>
      </c>
      <c r="CD255" s="73">
        <v>185</v>
      </c>
      <c r="CE255" s="73"/>
      <c r="CF255" s="73"/>
      <c r="CG255" s="73"/>
      <c r="CH255" s="184">
        <f ca="1">TODAY()-Table22[[#This Row],[Discharge Date]]</f>
        <v>64</v>
      </c>
    </row>
    <row r="256" spans="1:86" x14ac:dyDescent="0.25">
      <c r="A256" s="160">
        <v>252</v>
      </c>
      <c r="B256" s="60" t="s">
        <v>95</v>
      </c>
      <c r="C256" s="60" t="s">
        <v>96</v>
      </c>
      <c r="D256" s="97">
        <v>252</v>
      </c>
      <c r="E256" s="73"/>
      <c r="F256" s="97">
        <v>955</v>
      </c>
      <c r="G256" s="73"/>
      <c r="H256" s="73"/>
      <c r="I256" s="73"/>
      <c r="J256" s="73"/>
      <c r="K256" s="97"/>
      <c r="L256" s="73"/>
      <c r="M256" s="97">
        <v>87080</v>
      </c>
      <c r="N256" s="97" t="s">
        <v>641</v>
      </c>
      <c r="O256" s="73" t="s">
        <v>694</v>
      </c>
      <c r="P256" s="97" t="s">
        <v>695</v>
      </c>
      <c r="Q256" s="101">
        <v>46199</v>
      </c>
      <c r="R256" s="102" t="s">
        <v>696</v>
      </c>
      <c r="S256" s="102" t="s">
        <v>697</v>
      </c>
      <c r="T256" s="102"/>
      <c r="U256" s="102"/>
      <c r="V256" s="73"/>
      <c r="W256" s="73">
        <v>473</v>
      </c>
      <c r="X256" s="73"/>
      <c r="Y256" s="51">
        <f t="shared" si="154"/>
        <v>473</v>
      </c>
      <c r="Z256" s="73"/>
      <c r="AA256" s="61">
        <f t="shared" si="155"/>
        <v>473</v>
      </c>
      <c r="AB256" s="73"/>
      <c r="AC256" s="88">
        <f t="shared" si="157"/>
        <v>473</v>
      </c>
      <c r="AD256" s="73"/>
      <c r="AE256" s="73"/>
      <c r="AF256" s="73"/>
      <c r="AG256" s="73"/>
      <c r="AH256" s="64">
        <f>AC256+AE256+Table22[[#This Row],[Humid Sacs]]</f>
        <v>473</v>
      </c>
      <c r="AI256" s="73"/>
      <c r="AJ256" s="73"/>
      <c r="AK256" s="62">
        <f t="shared" ref="AK256:AK260" si="169">AH256</f>
        <v>473</v>
      </c>
      <c r="AL256" s="62">
        <f t="shared" ref="AL256:AL260" si="170">AK256</f>
        <v>473</v>
      </c>
      <c r="AM256" s="73">
        <v>42310</v>
      </c>
      <c r="AN256" s="124">
        <f t="shared" si="148"/>
        <v>473</v>
      </c>
      <c r="AO256" s="77">
        <f t="shared" ref="AO256:AO265" si="171">AM256-AH256</f>
        <v>41837</v>
      </c>
      <c r="AP256" s="77">
        <f t="shared" ref="AP256:AP257" si="172">AM256-AN256</f>
        <v>41837</v>
      </c>
      <c r="AQ256" s="77">
        <f t="shared" ref="AQ256:AQ257" si="173">+AO256-AE256*4</f>
        <v>41837</v>
      </c>
      <c r="AR256" s="67">
        <f t="shared" ref="AR256:AR257" si="174">(AD256*8)+(AE256*4)+(AG256*0)</f>
        <v>0</v>
      </c>
      <c r="AS256" s="134">
        <f>Table22[[#This Row],[GROSS WT]]-Table22[[#This Row],[Total Bag Discharged (Truck)]]</f>
        <v>41837</v>
      </c>
      <c r="AT256" s="67">
        <f t="shared" ref="AT256:AT261" si="175">+AO256</f>
        <v>41837</v>
      </c>
      <c r="AU256" s="73"/>
      <c r="AV256" s="73">
        <v>37</v>
      </c>
      <c r="AW256" s="73">
        <v>25</v>
      </c>
      <c r="AX256" s="73">
        <v>0</v>
      </c>
      <c r="AY256" s="71">
        <f t="shared" si="88"/>
        <v>62</v>
      </c>
      <c r="AZ256" s="70">
        <v>208</v>
      </c>
      <c r="BA256" s="73">
        <v>20</v>
      </c>
      <c r="BB256" s="73">
        <v>15</v>
      </c>
      <c r="BC256" s="63">
        <f t="shared" si="92"/>
        <v>243</v>
      </c>
      <c r="BD256" s="72">
        <f>SUM(Table22[[#This Row],[Good Kernel (gm)]]+(Table22[[#This Row],[Immature (gm)]]+Table22[[#This Row],[Spotted (gm)]])/2)*0.176</f>
        <v>39.687999999999995</v>
      </c>
      <c r="BE256" s="73">
        <v>39.770000000000003</v>
      </c>
      <c r="BF256" s="72">
        <f t="shared" si="93"/>
        <v>42.857909999999997</v>
      </c>
      <c r="BG256" s="72">
        <f t="shared" si="89"/>
        <v>49.383600000000001</v>
      </c>
      <c r="BH256" s="72">
        <f>SUM(Table22[[#This Row],[Good Kernel (gm)]:[Spotted (gm)]])/1000*100</f>
        <v>24.3</v>
      </c>
      <c r="BI256" s="72">
        <f t="shared" si="90"/>
        <v>28.000000000000004</v>
      </c>
      <c r="BJ256" s="73">
        <v>9.3000000000000007</v>
      </c>
      <c r="BK256" s="73">
        <v>180</v>
      </c>
      <c r="BL256" s="73">
        <v>685</v>
      </c>
      <c r="BM256" s="73">
        <v>31</v>
      </c>
      <c r="BN256" s="73"/>
      <c r="BO256" s="73">
        <v>30</v>
      </c>
      <c r="BP256" s="73">
        <v>2</v>
      </c>
      <c r="BQ256" s="71">
        <f t="shared" si="91"/>
        <v>63</v>
      </c>
      <c r="BR256" s="73">
        <v>215</v>
      </c>
      <c r="BS256" s="73">
        <v>24</v>
      </c>
      <c r="BT256" s="73">
        <v>16</v>
      </c>
      <c r="BU256" s="63">
        <f t="shared" si="111"/>
        <v>255</v>
      </c>
      <c r="BV256" s="72">
        <f>SUM(Table22[[#This Row],[Good Kernel (G M)]]+(Table22[[#This Row],[Immature (g m)]]+Table22[[#This Row],[Spotted (g m)]])/2)*0.176</f>
        <v>41.36</v>
      </c>
      <c r="BW256" s="73">
        <v>41.44</v>
      </c>
      <c r="BX256" s="73"/>
      <c r="BY256" s="72">
        <f t="shared" si="97"/>
        <v>44.974350000000001</v>
      </c>
      <c r="BZ256" s="72">
        <f t="shared" si="94"/>
        <v>50.794559999999997</v>
      </c>
      <c r="CA256" s="72">
        <f>SUM(Table22[[#This Row],[Good Kernel (G M)]:[Spotted (g m)]])/1000*100</f>
        <v>25.5</v>
      </c>
      <c r="CB256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256" s="73">
        <v>8.8000000000000007</v>
      </c>
      <c r="CD256" s="73">
        <v>177</v>
      </c>
      <c r="CE256" s="73"/>
      <c r="CF256" s="73"/>
      <c r="CG256" s="73"/>
      <c r="CH256" s="184">
        <f ca="1">TODAY()-Table22[[#This Row],[Discharge Date]]</f>
        <v>56</v>
      </c>
    </row>
    <row r="257" spans="1:86" x14ac:dyDescent="0.25">
      <c r="A257" s="160">
        <v>253</v>
      </c>
      <c r="B257" s="60" t="s">
        <v>95</v>
      </c>
      <c r="C257" s="60" t="s">
        <v>96</v>
      </c>
      <c r="D257" s="97">
        <v>253</v>
      </c>
      <c r="E257" s="73"/>
      <c r="F257" s="97">
        <v>956</v>
      </c>
      <c r="G257" s="73"/>
      <c r="H257" s="73"/>
      <c r="I257" s="73"/>
      <c r="J257" s="73"/>
      <c r="K257" s="97"/>
      <c r="L257" s="73"/>
      <c r="M257" s="97">
        <v>87090</v>
      </c>
      <c r="N257" s="97" t="s">
        <v>641</v>
      </c>
      <c r="O257" s="73" t="s">
        <v>646</v>
      </c>
      <c r="P257" s="97" t="s">
        <v>698</v>
      </c>
      <c r="Q257" s="101">
        <v>46199</v>
      </c>
      <c r="R257" s="102" t="s">
        <v>228</v>
      </c>
      <c r="S257" s="102" t="s">
        <v>699</v>
      </c>
      <c r="T257" s="102"/>
      <c r="U257" s="102"/>
      <c r="V257" s="73"/>
      <c r="W257" s="73">
        <v>406</v>
      </c>
      <c r="X257" s="73"/>
      <c r="Y257" s="51">
        <f t="shared" si="154"/>
        <v>406</v>
      </c>
      <c r="Z257" s="73"/>
      <c r="AA257" s="61">
        <f t="shared" si="155"/>
        <v>406</v>
      </c>
      <c r="AB257" s="73"/>
      <c r="AC257" s="88">
        <f t="shared" si="157"/>
        <v>406</v>
      </c>
      <c r="AD257" s="73"/>
      <c r="AE257" s="73"/>
      <c r="AF257" s="73"/>
      <c r="AG257" s="73"/>
      <c r="AH257" s="64">
        <f>AC257+AE257+Table22[[#This Row],[Humid Sacs]]</f>
        <v>406</v>
      </c>
      <c r="AI257" s="73"/>
      <c r="AJ257" s="73"/>
      <c r="AK257" s="62">
        <f t="shared" si="169"/>
        <v>406</v>
      </c>
      <c r="AL257" s="62">
        <f t="shared" si="170"/>
        <v>406</v>
      </c>
      <c r="AM257" s="73">
        <v>30850</v>
      </c>
      <c r="AN257" s="124">
        <f t="shared" si="148"/>
        <v>406</v>
      </c>
      <c r="AO257" s="77">
        <f t="shared" si="171"/>
        <v>30444</v>
      </c>
      <c r="AP257" s="77">
        <f t="shared" si="172"/>
        <v>30444</v>
      </c>
      <c r="AQ257" s="77">
        <f t="shared" si="173"/>
        <v>30444</v>
      </c>
      <c r="AR257" s="67">
        <f t="shared" si="174"/>
        <v>0</v>
      </c>
      <c r="AS257" s="134">
        <f>Table22[[#This Row],[GROSS WT]]-Table22[[#This Row],[Total Bag Discharged (Truck)]]</f>
        <v>30444</v>
      </c>
      <c r="AT257" s="67">
        <f t="shared" si="175"/>
        <v>30444</v>
      </c>
      <c r="AU257" s="73"/>
      <c r="AV257" s="73">
        <v>67</v>
      </c>
      <c r="AW257" s="73">
        <v>4</v>
      </c>
      <c r="AX257" s="73">
        <v>0</v>
      </c>
      <c r="AY257" s="71">
        <f t="shared" si="88"/>
        <v>71</v>
      </c>
      <c r="AZ257" s="70">
        <v>209</v>
      </c>
      <c r="BA257" s="73">
        <v>10</v>
      </c>
      <c r="BB257" s="73">
        <v>11</v>
      </c>
      <c r="BC257" s="63">
        <f t="shared" si="92"/>
        <v>230</v>
      </c>
      <c r="BD257" s="72">
        <f>SUM(Table22[[#This Row],[Good Kernel (gm)]]+(Table22[[#This Row],[Immature (gm)]]+Table22[[#This Row],[Spotted (gm)]])/2)*0.176</f>
        <v>38.631999999999998</v>
      </c>
      <c r="BE257" s="73">
        <v>38.71</v>
      </c>
      <c r="BF257" s="72">
        <f t="shared" si="93"/>
        <v>40.565100000000001</v>
      </c>
      <c r="BG257" s="72">
        <f t="shared" si="89"/>
        <v>52.381889999999999</v>
      </c>
      <c r="BH257" s="72">
        <f>SUM(Table22[[#This Row],[Good Kernel (gm)]:[Spotted (gm)]])/1000*100</f>
        <v>23</v>
      </c>
      <c r="BI257" s="72">
        <f t="shared" si="90"/>
        <v>29.7</v>
      </c>
      <c r="BJ257" s="73">
        <v>8.5</v>
      </c>
      <c r="BK257" s="73">
        <v>160</v>
      </c>
      <c r="BL257" s="73">
        <v>689</v>
      </c>
      <c r="BM257" s="73">
        <v>71</v>
      </c>
      <c r="BN257" s="73"/>
      <c r="BO257" s="73">
        <v>9</v>
      </c>
      <c r="BP257" s="73">
        <v>0</v>
      </c>
      <c r="BQ257" s="71">
        <f t="shared" si="91"/>
        <v>80</v>
      </c>
      <c r="BR257" s="73">
        <v>204</v>
      </c>
      <c r="BS257" s="73">
        <v>12</v>
      </c>
      <c r="BT257" s="73">
        <v>10</v>
      </c>
      <c r="BU257" s="63">
        <f t="shared" si="111"/>
        <v>226</v>
      </c>
      <c r="BV257" s="72">
        <f>SUM(Table22[[#This Row],[Good Kernel (G M)]]+(Table22[[#This Row],[Immature (g m)]]+Table22[[#This Row],[Spotted (g m)]])/2)*0.176</f>
        <v>37.839999999999996</v>
      </c>
      <c r="BW257" s="73">
        <v>37.909999999999997</v>
      </c>
      <c r="BX257" s="73"/>
      <c r="BY257" s="72">
        <f t="shared" si="97"/>
        <v>39.85962</v>
      </c>
      <c r="BZ257" s="72">
        <f t="shared" si="94"/>
        <v>52.381889999999999</v>
      </c>
      <c r="CA257" s="72">
        <f>SUM(Table22[[#This Row],[Good Kernel (G M)]:[Spotted (g m)]])/1000*100</f>
        <v>22.6</v>
      </c>
      <c r="CB257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257" s="73">
        <v>8.1</v>
      </c>
      <c r="CD257" s="73">
        <v>176</v>
      </c>
      <c r="CE257" s="73"/>
      <c r="CF257" s="73"/>
      <c r="CG257" s="73"/>
      <c r="CH257" s="184">
        <f ca="1">TODAY()-Table22[[#This Row],[Discharge Date]]</f>
        <v>56</v>
      </c>
    </row>
    <row r="258" spans="1:86" x14ac:dyDescent="0.25">
      <c r="A258" s="160">
        <v>254</v>
      </c>
      <c r="B258" s="143" t="s">
        <v>95</v>
      </c>
      <c r="C258" s="143" t="s">
        <v>96</v>
      </c>
      <c r="D258" s="144">
        <v>254</v>
      </c>
      <c r="E258" s="137"/>
      <c r="F258" s="144">
        <v>963</v>
      </c>
      <c r="G258" s="137"/>
      <c r="H258" s="137"/>
      <c r="I258" s="137"/>
      <c r="J258" s="137"/>
      <c r="K258" s="144"/>
      <c r="L258" s="137"/>
      <c r="M258" s="144">
        <v>87030</v>
      </c>
      <c r="N258" s="97" t="s">
        <v>641</v>
      </c>
      <c r="O258" s="137" t="s">
        <v>729</v>
      </c>
      <c r="P258" s="180">
        <v>46333</v>
      </c>
      <c r="Q258" s="181">
        <v>46215</v>
      </c>
      <c r="R258" s="146" t="s">
        <v>297</v>
      </c>
      <c r="S258" s="146" t="s">
        <v>280</v>
      </c>
      <c r="T258" s="146"/>
      <c r="U258" s="146" t="s">
        <v>730</v>
      </c>
      <c r="V258" s="137"/>
      <c r="W258" s="137">
        <f>385</f>
        <v>385</v>
      </c>
      <c r="X258" s="137"/>
      <c r="Y258" s="137">
        <v>400</v>
      </c>
      <c r="Z258" s="137"/>
      <c r="AA258" s="148">
        <f t="shared" si="155"/>
        <v>385</v>
      </c>
      <c r="AB258" s="137"/>
      <c r="AC258" s="88">
        <f t="shared" si="157"/>
        <v>385</v>
      </c>
      <c r="AD258" s="137"/>
      <c r="AE258" s="137">
        <v>15</v>
      </c>
      <c r="AF258" s="137"/>
      <c r="AG258" s="137"/>
      <c r="AH258" s="64">
        <f>AC258+AE258+Table22[[#This Row],[Humid Sacs]]</f>
        <v>400</v>
      </c>
      <c r="AI258" s="137"/>
      <c r="AJ258" s="137"/>
      <c r="AK258" s="62">
        <f t="shared" si="169"/>
        <v>400</v>
      </c>
      <c r="AL258" s="62">
        <f t="shared" si="170"/>
        <v>400</v>
      </c>
      <c r="AM258" s="137">
        <v>31960</v>
      </c>
      <c r="AN258" s="152">
        <f>(AD258*0)+(AE258*0)+(AG258*0)+(AH258*1)</f>
        <v>400</v>
      </c>
      <c r="AO258" s="153">
        <f t="shared" si="171"/>
        <v>31560</v>
      </c>
      <c r="AP258" s="153">
        <f t="shared" ref="AP258:AP265" si="176">AM258-AN258</f>
        <v>31560</v>
      </c>
      <c r="AQ258" s="153">
        <f>+AO258-AE258*0</f>
        <v>31560</v>
      </c>
      <c r="AR258" s="154">
        <f>(AD258*0)+(AE258*0)+(AG258*0)</f>
        <v>0</v>
      </c>
      <c r="AS258" s="172">
        <f>Table22[[#This Row],[GROSS WT]]-Table22[[#This Row],[Total Bag Discharged (Truck)]]</f>
        <v>31560</v>
      </c>
      <c r="AT258" s="67">
        <f t="shared" si="175"/>
        <v>31560</v>
      </c>
      <c r="AU258" s="137"/>
      <c r="AV258" s="137"/>
      <c r="AW258" s="137"/>
      <c r="AX258" s="137"/>
      <c r="AY258" s="138">
        <f t="shared" si="88"/>
        <v>0</v>
      </c>
      <c r="AZ258" s="139"/>
      <c r="BA258" s="137"/>
      <c r="BB258" s="137"/>
      <c r="BC258" s="140">
        <f t="shared" si="92"/>
        <v>0</v>
      </c>
      <c r="BD258" s="141">
        <f>SUM(Table22[[#This Row],[Good Kernel (gm)]]+(Table22[[#This Row],[Immature (gm)]]+Table22[[#This Row],[Spotted (gm)]])/2)*0.176</f>
        <v>0</v>
      </c>
      <c r="BE258" s="137"/>
      <c r="BF258" s="141">
        <f t="shared" si="93"/>
        <v>0</v>
      </c>
      <c r="BG258" s="141">
        <f t="shared" si="89"/>
        <v>0</v>
      </c>
      <c r="BH258" s="141">
        <f>SUM(Table22[[#This Row],[Good Kernel (gm)]:[Spotted (gm)]])/1000*100</f>
        <v>0</v>
      </c>
      <c r="BI258" s="141">
        <f t="shared" si="90"/>
        <v>0</v>
      </c>
      <c r="BJ258" s="137"/>
      <c r="BK258" s="137"/>
      <c r="BL258" s="137"/>
      <c r="BM258" s="137">
        <v>47</v>
      </c>
      <c r="BN258" s="137"/>
      <c r="BO258" s="137">
        <v>39</v>
      </c>
      <c r="BP258" s="137">
        <v>2</v>
      </c>
      <c r="BQ258" s="138">
        <f t="shared" si="91"/>
        <v>88</v>
      </c>
      <c r="BR258" s="137">
        <v>207</v>
      </c>
      <c r="BS258" s="137">
        <v>13</v>
      </c>
      <c r="BT258" s="137">
        <v>12</v>
      </c>
      <c r="BU258" s="140">
        <f t="shared" si="111"/>
        <v>232</v>
      </c>
      <c r="BV258" s="141">
        <f>SUM(Table22[[#This Row],[Good Kernel (G M)]]+(Table22[[#This Row],[Immature (g m)]]+Table22[[#This Row],[Spotted (g m)]])/2)*0.176</f>
        <v>38.631999999999998</v>
      </c>
      <c r="BW258" s="137">
        <v>38.71</v>
      </c>
      <c r="BX258" s="137"/>
      <c r="BY258" s="141">
        <f t="shared" si="97"/>
        <v>40.917839999999998</v>
      </c>
      <c r="BZ258" s="141">
        <f t="shared" si="94"/>
        <v>49.55997</v>
      </c>
      <c r="CA258" s="141">
        <f>SUM(Table22[[#This Row],[Good Kernel (G M)]:[Spotted (g m)]])/1000*100</f>
        <v>23.200000000000003</v>
      </c>
      <c r="CB258" s="141">
        <f>(Table22[[#This Row],[BROWNS/Rejection (gm) (NUT)]]+Table22[[#This Row],[OIL (g m)]]+Table22[[#This Row],[Good Kernel (G M)]]+Table22[[#This Row],[Immature (g m)]]+Table22[[#This Row],[Spotted (g m)]])/1000*100</f>
        <v>28.1</v>
      </c>
      <c r="CC258" s="137">
        <v>8.1999999999999993</v>
      </c>
      <c r="CD258" s="137">
        <v>181</v>
      </c>
      <c r="CE258" s="137"/>
      <c r="CF258" s="137"/>
      <c r="CG258" s="137"/>
      <c r="CH258" s="184">
        <f ca="1">TODAY()-Table22[[#This Row],[Discharge Date]]</f>
        <v>40</v>
      </c>
    </row>
    <row r="259" spans="1:86" x14ac:dyDescent="0.25">
      <c r="A259" s="97">
        <v>255</v>
      </c>
      <c r="B259" s="60" t="s">
        <v>95</v>
      </c>
      <c r="C259" s="60" t="s">
        <v>96</v>
      </c>
      <c r="D259" s="97">
        <v>255</v>
      </c>
      <c r="E259" s="73"/>
      <c r="F259" s="97">
        <v>964</v>
      </c>
      <c r="G259" s="73"/>
      <c r="H259" s="73"/>
      <c r="I259" s="73"/>
      <c r="J259" s="73"/>
      <c r="K259" s="97"/>
      <c r="L259" s="73"/>
      <c r="M259" s="97">
        <v>87028</v>
      </c>
      <c r="N259" s="97" t="s">
        <v>641</v>
      </c>
      <c r="O259" s="73" t="s">
        <v>731</v>
      </c>
      <c r="P259" s="109">
        <v>46333</v>
      </c>
      <c r="Q259" s="181">
        <v>46215</v>
      </c>
      <c r="R259" s="102" t="s">
        <v>297</v>
      </c>
      <c r="S259" s="102" t="s">
        <v>280</v>
      </c>
      <c r="T259" s="102"/>
      <c r="U259" s="102" t="s">
        <v>730</v>
      </c>
      <c r="V259" s="73"/>
      <c r="W259" s="73">
        <v>485</v>
      </c>
      <c r="X259" s="73"/>
      <c r="Y259" s="73">
        <v>545</v>
      </c>
      <c r="Z259" s="73"/>
      <c r="AA259" s="148">
        <f t="shared" si="155"/>
        <v>485</v>
      </c>
      <c r="AB259" s="73"/>
      <c r="AC259" s="88">
        <f t="shared" si="157"/>
        <v>485</v>
      </c>
      <c r="AD259" s="73"/>
      <c r="AE259" s="73">
        <v>60</v>
      </c>
      <c r="AF259" s="73"/>
      <c r="AG259" s="73"/>
      <c r="AH259" s="64">
        <f>AC259+AE259+Table22[[#This Row],[Humid Sacs]]</f>
        <v>545</v>
      </c>
      <c r="AI259" s="73"/>
      <c r="AJ259" s="73"/>
      <c r="AK259" s="62">
        <f t="shared" si="169"/>
        <v>545</v>
      </c>
      <c r="AL259" s="62">
        <f t="shared" si="170"/>
        <v>545</v>
      </c>
      <c r="AM259" s="73">
        <v>40780</v>
      </c>
      <c r="AN259" s="124">
        <f>(AD259*0)+(AE259*0)+(AG259*0)+(AH259*1)</f>
        <v>545</v>
      </c>
      <c r="AO259" s="77">
        <f t="shared" si="171"/>
        <v>40235</v>
      </c>
      <c r="AP259" s="77">
        <f t="shared" si="176"/>
        <v>40235</v>
      </c>
      <c r="AQ259" s="77">
        <f>+AO259-AE259*0</f>
        <v>40235</v>
      </c>
      <c r="AR259" s="154">
        <f>(AD259*0)+(AE259*0)+(AG259*0)</f>
        <v>0</v>
      </c>
      <c r="AS259" s="134">
        <f>Table22[[#This Row],[GROSS WT]]-Table22[[#This Row],[Total Bag Discharged (Truck)]]</f>
        <v>40235</v>
      </c>
      <c r="AT259" s="67">
        <f t="shared" si="175"/>
        <v>40235</v>
      </c>
      <c r="AU259" s="73"/>
      <c r="AV259" s="73"/>
      <c r="AW259" s="73"/>
      <c r="AX259" s="73"/>
      <c r="AY259" s="71">
        <f t="shared" si="88"/>
        <v>0</v>
      </c>
      <c r="AZ259" s="70"/>
      <c r="BA259" s="73"/>
      <c r="BB259" s="73"/>
      <c r="BC259" s="63">
        <f t="shared" si="92"/>
        <v>0</v>
      </c>
      <c r="BD259" s="72">
        <f>SUM(Table22[[#This Row],[Good Kernel (gm)]]+(Table22[[#This Row],[Immature (gm)]]+Table22[[#This Row],[Spotted (gm)]])/2)*0.176</f>
        <v>0</v>
      </c>
      <c r="BE259" s="73"/>
      <c r="BF259" s="72">
        <f t="shared" si="93"/>
        <v>0</v>
      </c>
      <c r="BG259" s="72">
        <f t="shared" si="89"/>
        <v>0</v>
      </c>
      <c r="BH259" s="72">
        <f>SUM(Table22[[#This Row],[Good Kernel (gm)]:[Spotted (gm)]])/1000*100</f>
        <v>0</v>
      </c>
      <c r="BI259" s="72">
        <f t="shared" si="90"/>
        <v>0</v>
      </c>
      <c r="BJ259" s="73"/>
      <c r="BK259" s="73"/>
      <c r="BL259" s="73"/>
      <c r="BM259" s="73">
        <v>57</v>
      </c>
      <c r="BN259" s="73"/>
      <c r="BO259" s="73">
        <v>19</v>
      </c>
      <c r="BP259" s="73">
        <v>0</v>
      </c>
      <c r="BQ259" s="71">
        <f t="shared" si="91"/>
        <v>76</v>
      </c>
      <c r="BR259" s="73">
        <v>218</v>
      </c>
      <c r="BS259" s="73">
        <v>10</v>
      </c>
      <c r="BT259" s="73">
        <v>15</v>
      </c>
      <c r="BU259" s="63">
        <f t="shared" si="111"/>
        <v>243</v>
      </c>
      <c r="BV259" s="72">
        <f>SUM(Table22[[#This Row],[Good Kernel (G M)]]+(Table22[[#This Row],[Immature (g m)]]+Table22[[#This Row],[Spotted (g m)]])/2)*0.176</f>
        <v>40.567999999999998</v>
      </c>
      <c r="BW259" s="73">
        <v>40.65</v>
      </c>
      <c r="BX259" s="73"/>
      <c r="BY259" s="72">
        <f t="shared" si="97"/>
        <v>42.857909999999997</v>
      </c>
      <c r="BZ259" s="72">
        <f t="shared" si="94"/>
        <v>52.911000000000001</v>
      </c>
      <c r="CA259" s="72">
        <f>SUM(Table22[[#This Row],[Good Kernel (G M)]:[Spotted (g m)]])/1000*100</f>
        <v>24.3</v>
      </c>
      <c r="CB259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59" s="73">
        <v>8.8000000000000007</v>
      </c>
      <c r="CD259" s="73">
        <v>190</v>
      </c>
      <c r="CE259" s="73"/>
      <c r="CF259" s="73"/>
      <c r="CG259" s="73"/>
      <c r="CH259" s="184"/>
    </row>
    <row r="260" spans="1:86" x14ac:dyDescent="0.25">
      <c r="A260" s="97">
        <v>256</v>
      </c>
      <c r="B260" s="60" t="s">
        <v>95</v>
      </c>
      <c r="C260" s="60" t="s">
        <v>96</v>
      </c>
      <c r="D260" s="97">
        <v>256</v>
      </c>
      <c r="E260" s="73"/>
      <c r="F260" s="97">
        <v>965</v>
      </c>
      <c r="G260" s="73"/>
      <c r="H260" s="73"/>
      <c r="I260" s="73"/>
      <c r="J260" s="73"/>
      <c r="K260" s="97"/>
      <c r="L260" s="73"/>
      <c r="M260" s="97">
        <v>87029</v>
      </c>
      <c r="N260" s="97" t="s">
        <v>641</v>
      </c>
      <c r="O260" s="73" t="s">
        <v>738</v>
      </c>
      <c r="P260" s="109">
        <v>46363</v>
      </c>
      <c r="Q260" s="101">
        <v>46216</v>
      </c>
      <c r="R260" s="102" t="s">
        <v>297</v>
      </c>
      <c r="S260" s="102" t="s">
        <v>280</v>
      </c>
      <c r="T260" s="102"/>
      <c r="U260" s="102" t="s">
        <v>730</v>
      </c>
      <c r="V260" s="73"/>
      <c r="W260" s="73">
        <v>311</v>
      </c>
      <c r="X260" s="73"/>
      <c r="Y260" s="51">
        <f t="shared" ref="Y260" si="177">W260+X260</f>
        <v>311</v>
      </c>
      <c r="Z260" s="73"/>
      <c r="AA260" s="61">
        <f t="shared" si="155"/>
        <v>311</v>
      </c>
      <c r="AB260" s="73"/>
      <c r="AC260" s="88">
        <f t="shared" si="157"/>
        <v>311</v>
      </c>
      <c r="AD260" s="73"/>
      <c r="AE260" s="73">
        <v>16</v>
      </c>
      <c r="AF260" s="73"/>
      <c r="AG260" s="226"/>
      <c r="AH260" s="64">
        <f>AC260+AE260+Table22[[#This Row],[Humid Sacs]]</f>
        <v>327</v>
      </c>
      <c r="AI260" s="73"/>
      <c r="AJ260" s="73"/>
      <c r="AK260" s="62">
        <f t="shared" si="169"/>
        <v>327</v>
      </c>
      <c r="AL260" s="62">
        <f t="shared" si="170"/>
        <v>327</v>
      </c>
      <c r="AM260" s="73">
        <v>26820</v>
      </c>
      <c r="AN260" s="124">
        <f>(AD260*0)+(AE260*0)+(AG260*0)+(AH260*1)</f>
        <v>327</v>
      </c>
      <c r="AO260" s="77">
        <f t="shared" si="171"/>
        <v>26493</v>
      </c>
      <c r="AP260" s="77">
        <f t="shared" ref="AP260" si="178">AM260-AN260</f>
        <v>26493</v>
      </c>
      <c r="AQ260" s="77">
        <f>+AO260-AE260*0</f>
        <v>26493</v>
      </c>
      <c r="AR260" s="67">
        <f>(AD260*0)+(AE260*0)+(AG260*0)</f>
        <v>0</v>
      </c>
      <c r="AS260" s="134">
        <f>Table22[[#This Row],[GROSS WT]]-Table22[[#This Row],[Total Bag Discharged (Truck)]]</f>
        <v>26509</v>
      </c>
      <c r="AT260" s="67">
        <f t="shared" si="175"/>
        <v>26493</v>
      </c>
      <c r="AU260" s="73"/>
      <c r="AV260" s="73"/>
      <c r="AW260" s="73"/>
      <c r="AX260" s="73"/>
      <c r="AY260" s="71">
        <f t="shared" si="88"/>
        <v>0</v>
      </c>
      <c r="AZ260" s="70"/>
      <c r="BA260" s="73"/>
      <c r="BB260" s="73"/>
      <c r="BC260" s="63">
        <f t="shared" si="92"/>
        <v>0</v>
      </c>
      <c r="BD260" s="72">
        <f>SUM(Table22[[#This Row],[Good Kernel (gm)]]+(Table22[[#This Row],[Immature (gm)]]+Table22[[#This Row],[Spotted (gm)]])/2)*0.176</f>
        <v>0</v>
      </c>
      <c r="BE260" s="73"/>
      <c r="BF260" s="72">
        <f t="shared" si="93"/>
        <v>0</v>
      </c>
      <c r="BG260" s="72">
        <f t="shared" si="89"/>
        <v>0</v>
      </c>
      <c r="BH260" s="72">
        <f>SUM(Table22[[#This Row],[Good Kernel (gm)]:[Spotted (gm)]])/1000*100</f>
        <v>0</v>
      </c>
      <c r="BI260" s="72">
        <f t="shared" si="90"/>
        <v>0</v>
      </c>
      <c r="BJ260" s="73"/>
      <c r="BK260" s="73"/>
      <c r="BL260" s="73"/>
      <c r="BM260" s="73">
        <v>45</v>
      </c>
      <c r="BN260" s="73"/>
      <c r="BO260" s="73">
        <v>39</v>
      </c>
      <c r="BP260" s="73">
        <v>0</v>
      </c>
      <c r="BQ260" s="71">
        <f t="shared" si="91"/>
        <v>84</v>
      </c>
      <c r="BR260" s="73">
        <v>212</v>
      </c>
      <c r="BS260" s="73">
        <v>12</v>
      </c>
      <c r="BT260" s="73">
        <v>19</v>
      </c>
      <c r="BU260" s="63">
        <f t="shared" si="111"/>
        <v>243</v>
      </c>
      <c r="BV260" s="72">
        <f>SUM(Table22[[#This Row],[Good Kernel (G M)]]+(Table22[[#This Row],[Immature (g m)]]+Table22[[#This Row],[Spotted (g m)]])/2)*0.176</f>
        <v>40.04</v>
      </c>
      <c r="BW260" s="73">
        <v>40.119999999999997</v>
      </c>
      <c r="BX260" s="73"/>
      <c r="BY260" s="72">
        <f t="shared" si="97"/>
        <v>42.857909999999997</v>
      </c>
      <c r="BZ260" s="72">
        <f t="shared" si="94"/>
        <v>50.794559999999997</v>
      </c>
      <c r="CA260" s="72">
        <f>SUM(Table22[[#This Row],[Good Kernel (G M)]:[Spotted (g m)]])/1000*100</f>
        <v>24.3</v>
      </c>
      <c r="CB260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260" s="73">
        <v>8.6</v>
      </c>
      <c r="CD260" s="73">
        <v>183</v>
      </c>
      <c r="CE260" s="73"/>
      <c r="CF260" s="73"/>
      <c r="CG260" s="73"/>
      <c r="CH260" s="184"/>
    </row>
    <row r="261" spans="1:86" x14ac:dyDescent="0.25">
      <c r="A261" s="73"/>
      <c r="B261" s="73"/>
      <c r="C261" s="73"/>
      <c r="D261" s="97"/>
      <c r="E261" s="73"/>
      <c r="F261" s="73"/>
      <c r="G261" s="73"/>
      <c r="H261" s="73"/>
      <c r="I261" s="73"/>
      <c r="J261" s="73"/>
      <c r="K261" s="97"/>
      <c r="L261" s="73"/>
      <c r="M261" s="97"/>
      <c r="N261" s="97"/>
      <c r="O261" s="73"/>
      <c r="P261" s="97"/>
      <c r="Q261" s="97"/>
      <c r="R261" s="102"/>
      <c r="S261" s="102"/>
      <c r="T261" s="102"/>
      <c r="U261" s="102"/>
      <c r="V261" s="73"/>
      <c r="W261" s="73"/>
      <c r="X261" s="73"/>
      <c r="Y261" s="73"/>
      <c r="Z261" s="73"/>
      <c r="AA261" s="227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124">
        <f t="shared" si="148"/>
        <v>0</v>
      </c>
      <c r="AO261" s="77">
        <f t="shared" si="171"/>
        <v>0</v>
      </c>
      <c r="AP261" s="77">
        <f t="shared" si="176"/>
        <v>0</v>
      </c>
      <c r="AQ261" s="77">
        <f t="shared" ref="AQ261:AQ265" si="179">+AO261-AE261*4</f>
        <v>0</v>
      </c>
      <c r="AR261" s="67">
        <f t="shared" ref="AR261:AR265" si="180">(AD261*8)+(AE261*4)+(AG261*0)</f>
        <v>0</v>
      </c>
      <c r="AS261" s="134">
        <f>Table22[[#This Row],[GROSS WT]]-Table22[[#This Row],[Total Bag Discharged (Truck)]]</f>
        <v>0</v>
      </c>
      <c r="AT261" s="67">
        <f t="shared" si="175"/>
        <v>0</v>
      </c>
      <c r="AU261" s="73"/>
      <c r="AV261" s="73"/>
      <c r="AW261" s="73"/>
      <c r="AX261" s="73"/>
      <c r="AY261" s="71"/>
      <c r="AZ261" s="70"/>
      <c r="BA261" s="73"/>
      <c r="BB261" s="73"/>
      <c r="BC261" s="63"/>
      <c r="BD261" s="72"/>
      <c r="BE261" s="73"/>
      <c r="BF261" s="72"/>
      <c r="BG261" s="72"/>
      <c r="BH261" s="72"/>
      <c r="BI261" s="72"/>
      <c r="BJ261" s="73"/>
      <c r="BK261" s="73"/>
      <c r="BL261" s="73"/>
      <c r="BM261" s="73"/>
      <c r="BN261" s="73"/>
      <c r="BO261" s="73"/>
      <c r="BP261" s="73"/>
      <c r="BQ261" s="71"/>
      <c r="BR261" s="73"/>
      <c r="BS261" s="73"/>
      <c r="BT261" s="73"/>
      <c r="BU261" s="63"/>
      <c r="BV261" s="72"/>
      <c r="BW261" s="73"/>
      <c r="BX261" s="73"/>
      <c r="BY261" s="72"/>
      <c r="BZ261" s="72"/>
      <c r="CA261" s="72"/>
      <c r="CB261" s="72"/>
      <c r="CC261" s="73"/>
      <c r="CD261" s="73"/>
      <c r="CE261" s="73"/>
      <c r="CF261" s="73"/>
      <c r="CG261" s="73"/>
      <c r="CH261" s="184"/>
    </row>
    <row r="262" spans="1:86" x14ac:dyDescent="0.25">
      <c r="A262" s="73"/>
      <c r="B262" s="73"/>
      <c r="C262" s="73"/>
      <c r="D262" s="97"/>
      <c r="E262" s="73"/>
      <c r="F262" s="73"/>
      <c r="G262" s="73"/>
      <c r="H262" s="73"/>
      <c r="I262" s="73"/>
      <c r="J262" s="73"/>
      <c r="K262" s="97"/>
      <c r="L262" s="73"/>
      <c r="M262" s="97"/>
      <c r="N262" s="97"/>
      <c r="O262" s="73"/>
      <c r="P262" s="97"/>
      <c r="Q262" s="97"/>
      <c r="R262" s="102"/>
      <c r="S262" s="102"/>
      <c r="T262" s="102"/>
      <c r="U262" s="102"/>
      <c r="V262" s="73"/>
      <c r="W262" s="73"/>
      <c r="X262" s="73"/>
      <c r="Y262" s="73"/>
      <c r="Z262" s="73"/>
      <c r="AA262" s="227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124">
        <f t="shared" si="148"/>
        <v>0</v>
      </c>
      <c r="AO262" s="77">
        <f t="shared" si="171"/>
        <v>0</v>
      </c>
      <c r="AP262" s="77">
        <f t="shared" si="176"/>
        <v>0</v>
      </c>
      <c r="AQ262" s="77">
        <f t="shared" si="179"/>
        <v>0</v>
      </c>
      <c r="AR262" s="67">
        <f t="shared" si="180"/>
        <v>0</v>
      </c>
      <c r="AS262" s="134">
        <f>Table22[[#This Row],[GROSS WT]]-Table22[[#This Row],[Total Bag Discharged (Truck)]]</f>
        <v>0</v>
      </c>
      <c r="AT262" s="73"/>
      <c r="AU262" s="73"/>
      <c r="AV262" s="73"/>
      <c r="AW262" s="73"/>
      <c r="AX262" s="73"/>
      <c r="AY262" s="71"/>
      <c r="AZ262" s="70"/>
      <c r="BA262" s="73"/>
      <c r="BB262" s="73"/>
      <c r="BC262" s="63"/>
      <c r="BD262" s="72"/>
      <c r="BE262" s="73"/>
      <c r="BF262" s="72"/>
      <c r="BG262" s="72"/>
      <c r="BH262" s="72"/>
      <c r="BI262" s="72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2"/>
      <c r="CA262" s="72"/>
      <c r="CB262" s="72"/>
      <c r="CC262" s="73"/>
      <c r="CD262" s="73"/>
      <c r="CE262" s="73"/>
      <c r="CF262" s="73"/>
      <c r="CG262" s="73"/>
      <c r="CH262" s="184"/>
    </row>
    <row r="263" spans="1:86" x14ac:dyDescent="0.25">
      <c r="A263" s="73"/>
      <c r="B263" s="73"/>
      <c r="C263" s="73"/>
      <c r="D263" s="97"/>
      <c r="E263" s="73"/>
      <c r="F263" s="73"/>
      <c r="G263" s="73"/>
      <c r="H263" s="73"/>
      <c r="I263" s="73"/>
      <c r="J263" s="73"/>
      <c r="K263" s="97"/>
      <c r="L263" s="73"/>
      <c r="M263" s="97"/>
      <c r="N263" s="97"/>
      <c r="O263" s="73"/>
      <c r="P263" s="97"/>
      <c r="Q263" s="97"/>
      <c r="R263" s="102"/>
      <c r="S263" s="102"/>
      <c r="T263" s="102"/>
      <c r="U263" s="102"/>
      <c r="V263" s="73"/>
      <c r="W263" s="73"/>
      <c r="X263" s="73"/>
      <c r="Y263" s="73"/>
      <c r="Z263" s="73"/>
      <c r="AA263" s="227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124">
        <f t="shared" si="148"/>
        <v>0</v>
      </c>
      <c r="AO263" s="77">
        <f t="shared" si="171"/>
        <v>0</v>
      </c>
      <c r="AP263" s="77">
        <f t="shared" si="176"/>
        <v>0</v>
      </c>
      <c r="AQ263" s="77">
        <f t="shared" si="179"/>
        <v>0</v>
      </c>
      <c r="AR263" s="67">
        <f t="shared" si="180"/>
        <v>0</v>
      </c>
      <c r="AS263" s="134">
        <f>Table22[[#This Row],[GROSS WT]]-Table22[[#This Row],[Total Bag Discharged (Truck)]]</f>
        <v>0</v>
      </c>
      <c r="AT263" s="73"/>
      <c r="AU263" s="73"/>
      <c r="AV263" s="73"/>
      <c r="AW263" s="73"/>
      <c r="AX263" s="73"/>
      <c r="AY263" s="71"/>
      <c r="AZ263" s="70"/>
      <c r="BA263" s="73"/>
      <c r="BB263" s="73"/>
      <c r="BC263" s="63"/>
      <c r="BD263" s="72"/>
      <c r="BE263" s="73"/>
      <c r="BF263" s="72"/>
      <c r="BG263" s="72"/>
      <c r="BH263" s="72"/>
      <c r="BI263" s="72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2"/>
      <c r="CA263" s="72"/>
      <c r="CB263" s="72"/>
      <c r="CC263" s="73"/>
      <c r="CD263" s="73"/>
      <c r="CE263" s="73"/>
      <c r="CF263" s="73"/>
      <c r="CG263" s="73"/>
      <c r="CH263" s="184"/>
    </row>
    <row r="264" spans="1:86" x14ac:dyDescent="0.25">
      <c r="A264" s="73"/>
      <c r="B264" s="73"/>
      <c r="C264" s="73"/>
      <c r="D264" s="97"/>
      <c r="E264" s="73"/>
      <c r="F264" s="73"/>
      <c r="G264" s="73"/>
      <c r="H264" s="73"/>
      <c r="I264" s="73"/>
      <c r="J264" s="73"/>
      <c r="K264" s="97"/>
      <c r="L264" s="73"/>
      <c r="M264" s="97"/>
      <c r="N264" s="97"/>
      <c r="O264" s="73"/>
      <c r="P264" s="97"/>
      <c r="Q264" s="97"/>
      <c r="R264" s="102"/>
      <c r="S264" s="102"/>
      <c r="T264" s="102"/>
      <c r="U264" s="102"/>
      <c r="V264" s="73"/>
      <c r="W264" s="73"/>
      <c r="X264" s="73"/>
      <c r="Y264" s="73"/>
      <c r="Z264" s="73"/>
      <c r="AA264" s="227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124">
        <f t="shared" si="148"/>
        <v>0</v>
      </c>
      <c r="AO264" s="77">
        <f t="shared" si="171"/>
        <v>0</v>
      </c>
      <c r="AP264" s="77">
        <f t="shared" si="176"/>
        <v>0</v>
      </c>
      <c r="AQ264" s="77">
        <f t="shared" si="179"/>
        <v>0</v>
      </c>
      <c r="AR264" s="67">
        <f t="shared" si="180"/>
        <v>0</v>
      </c>
      <c r="AS264" s="134">
        <f>Table22[[#This Row],[GROSS WT]]-Table22[[#This Row],[Total Bag Discharged (Truck)]]</f>
        <v>0</v>
      </c>
      <c r="AT264" s="73"/>
      <c r="AU264" s="73"/>
      <c r="AV264" s="73"/>
      <c r="AW264" s="73"/>
      <c r="AX264" s="73"/>
      <c r="AY264" s="71"/>
      <c r="AZ264" s="70"/>
      <c r="BA264" s="73"/>
      <c r="BB264" s="73"/>
      <c r="BC264" s="63"/>
      <c r="BD264" s="72"/>
      <c r="BE264" s="73"/>
      <c r="BF264" s="72"/>
      <c r="BG264" s="72"/>
      <c r="BH264" s="72"/>
      <c r="BI264" s="72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2"/>
      <c r="CA264" s="72"/>
      <c r="CB264" s="72"/>
      <c r="CC264" s="73"/>
      <c r="CD264" s="73"/>
      <c r="CE264" s="73"/>
      <c r="CF264" s="73"/>
      <c r="CG264" s="73"/>
      <c r="CH264" s="184"/>
    </row>
    <row r="265" spans="1:86" x14ac:dyDescent="0.25">
      <c r="A265" s="73"/>
      <c r="B265" s="73"/>
      <c r="C265" s="73"/>
      <c r="D265" s="97"/>
      <c r="E265" s="73"/>
      <c r="F265" s="73"/>
      <c r="G265" s="73"/>
      <c r="H265" s="73"/>
      <c r="I265" s="73"/>
      <c r="J265" s="73"/>
      <c r="K265" s="97"/>
      <c r="L265" s="73"/>
      <c r="M265" s="97"/>
      <c r="N265" s="97"/>
      <c r="O265" s="73"/>
      <c r="P265" s="97"/>
      <c r="Q265" s="97"/>
      <c r="R265" s="102"/>
      <c r="S265" s="102"/>
      <c r="T265" s="102"/>
      <c r="U265" s="102"/>
      <c r="V265" s="73"/>
      <c r="W265" s="73"/>
      <c r="X265" s="73"/>
      <c r="Y265" s="73"/>
      <c r="Z265" s="73"/>
      <c r="AA265" s="227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124">
        <f t="shared" si="148"/>
        <v>0</v>
      </c>
      <c r="AO265" s="77">
        <f t="shared" si="171"/>
        <v>0</v>
      </c>
      <c r="AP265" s="77">
        <f t="shared" si="176"/>
        <v>0</v>
      </c>
      <c r="AQ265" s="77">
        <f t="shared" si="179"/>
        <v>0</v>
      </c>
      <c r="AR265" s="67">
        <f t="shared" si="180"/>
        <v>0</v>
      </c>
      <c r="AS265" s="134">
        <f>Table22[[#This Row],[GROSS WT]]-Table22[[#This Row],[Total Bag Discharged (Truck)]]</f>
        <v>0</v>
      </c>
      <c r="AT265" s="73"/>
      <c r="AU265" s="73"/>
      <c r="AV265" s="73"/>
      <c r="AW265" s="73"/>
      <c r="AX265" s="73"/>
      <c r="AY265" s="71"/>
      <c r="AZ265" s="70"/>
      <c r="BA265" s="73"/>
      <c r="BB265" s="73"/>
      <c r="BC265" s="63"/>
      <c r="BD265" s="72"/>
      <c r="BE265" s="73"/>
      <c r="BF265" s="72"/>
      <c r="BG265" s="72"/>
      <c r="BH265" s="72"/>
      <c r="BI265" s="72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2"/>
      <c r="CA265" s="72"/>
      <c r="CB265" s="72"/>
      <c r="CC265" s="73"/>
      <c r="CD265" s="73"/>
      <c r="CE265" s="73"/>
      <c r="CF265" s="73"/>
      <c r="CG265" s="73"/>
      <c r="CH265" s="184"/>
    </row>
    <row r="266" spans="1:86" x14ac:dyDescent="0.25">
      <c r="A266" s="73"/>
      <c r="B266" s="73"/>
      <c r="C266" s="73"/>
      <c r="D266" s="97"/>
      <c r="E266" s="73"/>
      <c r="F266" s="73"/>
      <c r="G266" s="73"/>
      <c r="H266" s="73"/>
      <c r="I266" s="73"/>
      <c r="J266" s="73"/>
      <c r="K266" s="97"/>
      <c r="L266" s="73"/>
      <c r="M266" s="97"/>
      <c r="N266" s="97"/>
      <c r="O266" s="73"/>
      <c r="P266" s="97"/>
      <c r="Q266" s="97"/>
      <c r="R266" s="102"/>
      <c r="S266" s="102"/>
      <c r="T266" s="102"/>
      <c r="U266" s="102"/>
      <c r="V266" s="73"/>
      <c r="W266" s="73"/>
      <c r="X266" s="73"/>
      <c r="Y266" s="73"/>
      <c r="Z266" s="73"/>
      <c r="AA266" s="227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134">
        <f>Table22[[#This Row],[GROSS WT]]-Table22[[#This Row],[Total Bag Discharged (Truck)]]</f>
        <v>0</v>
      </c>
      <c r="AT266" s="73"/>
      <c r="AU266" s="73"/>
      <c r="AV266" s="73"/>
      <c r="AW266" s="73"/>
      <c r="AX266" s="73"/>
      <c r="AY266" s="71"/>
      <c r="AZ266" s="70"/>
      <c r="BA266" s="73"/>
      <c r="BB266" s="73"/>
      <c r="BC266" s="63"/>
      <c r="BD266" s="72"/>
      <c r="BE266" s="73"/>
      <c r="BF266" s="72"/>
      <c r="BG266" s="72"/>
      <c r="BH266" s="72"/>
      <c r="BI266" s="72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2"/>
      <c r="CA266" s="72"/>
      <c r="CB266" s="72"/>
      <c r="CC266" s="73"/>
      <c r="CD266" s="73"/>
      <c r="CE266" s="73"/>
      <c r="CF266" s="73"/>
      <c r="CG266" s="73"/>
      <c r="CH266" s="184"/>
    </row>
    <row r="267" spans="1:86" x14ac:dyDescent="0.25">
      <c r="A267" s="73"/>
      <c r="B267" s="73"/>
      <c r="C267" s="73"/>
      <c r="D267" s="97"/>
      <c r="E267" s="73"/>
      <c r="F267" s="73"/>
      <c r="G267" s="73"/>
      <c r="H267" s="73"/>
      <c r="I267" s="73"/>
      <c r="J267" s="73"/>
      <c r="K267" s="97"/>
      <c r="L267" s="73"/>
      <c r="M267" s="97"/>
      <c r="N267" s="97"/>
      <c r="O267" s="73"/>
      <c r="P267" s="97"/>
      <c r="Q267" s="97"/>
      <c r="R267" s="102"/>
      <c r="S267" s="102"/>
      <c r="T267" s="102"/>
      <c r="U267" s="102"/>
      <c r="V267" s="73"/>
      <c r="W267" s="73"/>
      <c r="X267" s="73"/>
      <c r="Y267" s="73"/>
      <c r="Z267" s="73"/>
      <c r="AA267" s="227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134">
        <f>Table22[[#This Row],[GROSS WT]]-Table22[[#This Row],[Total Bag Discharged (Truck)]]</f>
        <v>0</v>
      </c>
      <c r="AT267" s="73"/>
      <c r="AU267" s="73"/>
      <c r="AV267" s="73"/>
      <c r="AW267" s="73"/>
      <c r="AX267" s="73"/>
      <c r="AY267" s="71"/>
      <c r="AZ267" s="70"/>
      <c r="BA267" s="73"/>
      <c r="BB267" s="73"/>
      <c r="BC267" s="63"/>
      <c r="BD267" s="72"/>
      <c r="BE267" s="73"/>
      <c r="BF267" s="72"/>
      <c r="BG267" s="72"/>
      <c r="BH267" s="72"/>
      <c r="BI267" s="72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2"/>
      <c r="CA267" s="72"/>
      <c r="CB267" s="72"/>
      <c r="CC267" s="73"/>
      <c r="CD267" s="73"/>
      <c r="CE267" s="73"/>
      <c r="CF267" s="73"/>
      <c r="CG267" s="73"/>
      <c r="CH267" s="184"/>
    </row>
    <row r="268" spans="1:86" x14ac:dyDescent="0.25">
      <c r="A268" s="73"/>
      <c r="B268" s="73"/>
      <c r="C268" s="73"/>
      <c r="D268" s="97"/>
      <c r="E268" s="73"/>
      <c r="F268" s="73"/>
      <c r="G268" s="73"/>
      <c r="H268" s="73"/>
      <c r="I268" s="73"/>
      <c r="J268" s="73"/>
      <c r="K268" s="97"/>
      <c r="L268" s="73"/>
      <c r="M268" s="97"/>
      <c r="N268" s="97"/>
      <c r="O268" s="73"/>
      <c r="P268" s="97"/>
      <c r="Q268" s="97"/>
      <c r="R268" s="102"/>
      <c r="S268" s="102"/>
      <c r="T268" s="102"/>
      <c r="U268" s="102"/>
      <c r="V268" s="73"/>
      <c r="W268" s="73"/>
      <c r="X268" s="73"/>
      <c r="Y268" s="73"/>
      <c r="Z268" s="73"/>
      <c r="AA268" s="227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134">
        <f>Table22[[#This Row],[GROSS WT]]-Table22[[#This Row],[Total Bag Discharged (Truck)]]</f>
        <v>0</v>
      </c>
      <c r="AT268" s="73"/>
      <c r="AU268" s="73"/>
      <c r="AV268" s="73"/>
      <c r="AW268" s="73"/>
      <c r="AX268" s="73"/>
      <c r="AY268" s="71"/>
      <c r="AZ268" s="70"/>
      <c r="BA268" s="73"/>
      <c r="BB268" s="73"/>
      <c r="BC268" s="63"/>
      <c r="BD268" s="72"/>
      <c r="BE268" s="73"/>
      <c r="BF268" s="72"/>
      <c r="BG268" s="72"/>
      <c r="BH268" s="72"/>
      <c r="BI268" s="72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2"/>
      <c r="CA268" s="72"/>
      <c r="CB268" s="72"/>
      <c r="CC268" s="73"/>
      <c r="CD268" s="73"/>
      <c r="CE268" s="73"/>
      <c r="CF268" s="73"/>
      <c r="CG268" s="73"/>
      <c r="CH268" s="184"/>
    </row>
    <row r="269" spans="1:86" x14ac:dyDescent="0.25">
      <c r="A269" s="73"/>
      <c r="B269" s="73"/>
      <c r="C269" s="73"/>
      <c r="D269" s="97"/>
      <c r="E269" s="73"/>
      <c r="F269" s="73"/>
      <c r="G269" s="73"/>
      <c r="H269" s="73"/>
      <c r="I269" s="73"/>
      <c r="J269" s="73"/>
      <c r="K269" s="97"/>
      <c r="L269" s="73"/>
      <c r="M269" s="97"/>
      <c r="N269" s="97"/>
      <c r="O269" s="73"/>
      <c r="P269" s="97"/>
      <c r="Q269" s="97"/>
      <c r="R269" s="102"/>
      <c r="S269" s="102"/>
      <c r="T269" s="102"/>
      <c r="U269" s="102"/>
      <c r="V269" s="73"/>
      <c r="W269" s="73"/>
      <c r="X269" s="73"/>
      <c r="Y269" s="73"/>
      <c r="Z269" s="73"/>
      <c r="AA269" s="227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134">
        <f>Table22[[#This Row],[GROSS WT]]-Table22[[#This Row],[Total Bag Discharged (Truck)]]</f>
        <v>0</v>
      </c>
      <c r="AT269" s="73"/>
      <c r="AU269" s="73"/>
      <c r="AV269" s="73"/>
      <c r="AW269" s="73"/>
      <c r="AX269" s="73"/>
      <c r="AY269" s="71"/>
      <c r="AZ269" s="70"/>
      <c r="BA269" s="73"/>
      <c r="BB269" s="73"/>
      <c r="BC269" s="63"/>
      <c r="BD269" s="72"/>
      <c r="BE269" s="73"/>
      <c r="BF269" s="72"/>
      <c r="BG269" s="72"/>
      <c r="BH269" s="72"/>
      <c r="BI269" s="72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2"/>
      <c r="CA269" s="72"/>
      <c r="CB269" s="72"/>
      <c r="CC269" s="73"/>
      <c r="CD269" s="73"/>
      <c r="CE269" s="73"/>
      <c r="CF269" s="73"/>
      <c r="CG269" s="73"/>
      <c r="CH269" s="184"/>
    </row>
    <row r="270" spans="1:86" x14ac:dyDescent="0.25">
      <c r="A270" s="73"/>
      <c r="B270" s="73"/>
      <c r="C270" s="73"/>
      <c r="D270" s="97"/>
      <c r="E270" s="73"/>
      <c r="F270" s="73"/>
      <c r="G270" s="73"/>
      <c r="H270" s="73"/>
      <c r="I270" s="73"/>
      <c r="J270" s="73"/>
      <c r="K270" s="97"/>
      <c r="L270" s="73"/>
      <c r="M270" s="97"/>
      <c r="N270" s="97"/>
      <c r="O270" s="73"/>
      <c r="P270" s="97"/>
      <c r="Q270" s="97"/>
      <c r="R270" s="102"/>
      <c r="S270" s="102"/>
      <c r="T270" s="102"/>
      <c r="U270" s="102"/>
      <c r="V270" s="73"/>
      <c r="W270" s="73"/>
      <c r="X270" s="73"/>
      <c r="Y270" s="73"/>
      <c r="Z270" s="73"/>
      <c r="AA270" s="227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134">
        <f>Table22[[#This Row],[GROSS WT]]-Table22[[#This Row],[Total Bag Discharged (Truck)]]</f>
        <v>0</v>
      </c>
      <c r="AT270" s="73"/>
      <c r="AU270" s="73"/>
      <c r="AV270" s="73"/>
      <c r="AW270" s="73"/>
      <c r="AX270" s="73"/>
      <c r="AY270" s="71"/>
      <c r="AZ270" s="70"/>
      <c r="BA270" s="73"/>
      <c r="BB270" s="73"/>
      <c r="BC270" s="63"/>
      <c r="BD270" s="72"/>
      <c r="BE270" s="73"/>
      <c r="BF270" s="72"/>
      <c r="BG270" s="72"/>
      <c r="BH270" s="72"/>
      <c r="BI270" s="72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2"/>
      <c r="CA270" s="72"/>
      <c r="CB270" s="72"/>
      <c r="CC270" s="73"/>
      <c r="CD270" s="73"/>
      <c r="CE270" s="73"/>
      <c r="CF270" s="73"/>
      <c r="CG270" s="73"/>
      <c r="CH270" s="184"/>
    </row>
    <row r="271" spans="1:86" x14ac:dyDescent="0.25">
      <c r="A271" s="73"/>
      <c r="B271" s="73"/>
      <c r="C271" s="73"/>
      <c r="D271" s="97"/>
      <c r="E271" s="73"/>
      <c r="F271" s="73"/>
      <c r="G271" s="73"/>
      <c r="H271" s="73"/>
      <c r="I271" s="73"/>
      <c r="J271" s="73"/>
      <c r="K271" s="97"/>
      <c r="L271" s="73"/>
      <c r="M271" s="97"/>
      <c r="N271" s="97"/>
      <c r="O271" s="73"/>
      <c r="P271" s="97"/>
      <c r="Q271" s="97"/>
      <c r="R271" s="102"/>
      <c r="S271" s="102"/>
      <c r="T271" s="102"/>
      <c r="U271" s="102"/>
      <c r="V271" s="73"/>
      <c r="W271" s="73"/>
      <c r="X271" s="73"/>
      <c r="Y271" s="73"/>
      <c r="Z271" s="73"/>
      <c r="AA271" s="227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134">
        <f>Table22[[#This Row],[GROSS WT]]-Table22[[#This Row],[Total Bag Discharged (Truck)]]</f>
        <v>0</v>
      </c>
      <c r="AT271" s="73"/>
      <c r="AU271" s="73"/>
      <c r="AV271" s="73"/>
      <c r="AW271" s="73"/>
      <c r="AX271" s="73"/>
      <c r="AY271" s="71"/>
      <c r="AZ271" s="70"/>
      <c r="BA271" s="73"/>
      <c r="BB271" s="73"/>
      <c r="BC271" s="63"/>
      <c r="BD271" s="72"/>
      <c r="BE271" s="73"/>
      <c r="BF271" s="72"/>
      <c r="BG271" s="72"/>
      <c r="BH271" s="72"/>
      <c r="BI271" s="72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2"/>
      <c r="CA271" s="72"/>
      <c r="CB271" s="72"/>
      <c r="CC271" s="73"/>
      <c r="CD271" s="73"/>
      <c r="CE271" s="73"/>
      <c r="CF271" s="73"/>
      <c r="CG271" s="73"/>
      <c r="CH271" s="184"/>
    </row>
    <row r="272" spans="1:86" x14ac:dyDescent="0.25">
      <c r="A272" s="73"/>
      <c r="B272" s="73"/>
      <c r="C272" s="73"/>
      <c r="D272" s="97"/>
      <c r="E272" s="73"/>
      <c r="F272" s="73"/>
      <c r="G272" s="73"/>
      <c r="H272" s="73"/>
      <c r="I272" s="73"/>
      <c r="J272" s="73"/>
      <c r="K272" s="97"/>
      <c r="L272" s="73"/>
      <c r="M272" s="97"/>
      <c r="N272" s="97"/>
      <c r="O272" s="73"/>
      <c r="P272" s="97"/>
      <c r="Q272" s="97"/>
      <c r="R272" s="102"/>
      <c r="S272" s="102"/>
      <c r="T272" s="102"/>
      <c r="U272" s="102"/>
      <c r="V272" s="73"/>
      <c r="W272" s="73"/>
      <c r="X272" s="73"/>
      <c r="Y272" s="73"/>
      <c r="Z272" s="73"/>
      <c r="AA272" s="227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134">
        <f>Table22[[#This Row],[GROSS WT]]-Table22[[#This Row],[Total Bag Discharged (Truck)]]</f>
        <v>0</v>
      </c>
      <c r="AT272" s="73"/>
      <c r="AU272" s="73"/>
      <c r="AV272" s="73"/>
      <c r="AW272" s="73"/>
      <c r="AX272" s="73"/>
      <c r="AY272" s="71"/>
      <c r="AZ272" s="70"/>
      <c r="BA272" s="73"/>
      <c r="BB272" s="73"/>
      <c r="BC272" s="63"/>
      <c r="BD272" s="72"/>
      <c r="BE272" s="73"/>
      <c r="BF272" s="72"/>
      <c r="BG272" s="72"/>
      <c r="BH272" s="72"/>
      <c r="BI272" s="72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2"/>
      <c r="CA272" s="72"/>
      <c r="CB272" s="72"/>
      <c r="CC272" s="73"/>
      <c r="CD272" s="73"/>
      <c r="CE272" s="73"/>
      <c r="CF272" s="73"/>
      <c r="CG272" s="73"/>
      <c r="CH272" s="184"/>
    </row>
    <row r="273" spans="1:86" x14ac:dyDescent="0.25">
      <c r="A273" s="73"/>
      <c r="B273" s="73"/>
      <c r="C273" s="73"/>
      <c r="D273" s="97"/>
      <c r="E273" s="73"/>
      <c r="F273" s="73"/>
      <c r="G273" s="73"/>
      <c r="H273" s="73"/>
      <c r="I273" s="73"/>
      <c r="J273" s="73"/>
      <c r="K273" s="97"/>
      <c r="L273" s="73"/>
      <c r="M273" s="97"/>
      <c r="N273" s="97"/>
      <c r="O273" s="73"/>
      <c r="P273" s="97"/>
      <c r="Q273" s="97"/>
      <c r="R273" s="102"/>
      <c r="S273" s="102"/>
      <c r="T273" s="102"/>
      <c r="U273" s="102"/>
      <c r="V273" s="73"/>
      <c r="W273" s="73"/>
      <c r="X273" s="73"/>
      <c r="Y273" s="73"/>
      <c r="Z273" s="73"/>
      <c r="AA273" s="227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134">
        <f>Table22[[#This Row],[GROSS WT]]-Table22[[#This Row],[Total Bag Discharged (Truck)]]</f>
        <v>0</v>
      </c>
      <c r="AT273" s="73"/>
      <c r="AU273" s="73"/>
      <c r="AV273" s="73"/>
      <c r="AW273" s="73"/>
      <c r="AX273" s="73"/>
      <c r="AY273" s="71"/>
      <c r="AZ273" s="70"/>
      <c r="BA273" s="73"/>
      <c r="BB273" s="73"/>
      <c r="BC273" s="63"/>
      <c r="BD273" s="72"/>
      <c r="BE273" s="73"/>
      <c r="BF273" s="72"/>
      <c r="BG273" s="72"/>
      <c r="BH273" s="72"/>
      <c r="BI273" s="72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2"/>
      <c r="CA273" s="72"/>
      <c r="CB273" s="72"/>
      <c r="CC273" s="73"/>
      <c r="CD273" s="73"/>
      <c r="CE273" s="73"/>
      <c r="CF273" s="73"/>
      <c r="CG273" s="73"/>
      <c r="CH273" s="184"/>
    </row>
    <row r="274" spans="1:86" x14ac:dyDescent="0.25">
      <c r="A274" s="73"/>
      <c r="B274" s="73"/>
      <c r="C274" s="73"/>
      <c r="D274" s="97"/>
      <c r="E274" s="73"/>
      <c r="F274" s="73"/>
      <c r="G274" s="73"/>
      <c r="H274" s="73"/>
      <c r="I274" s="73"/>
      <c r="J274" s="73"/>
      <c r="K274" s="97"/>
      <c r="L274" s="73"/>
      <c r="M274" s="97"/>
      <c r="N274" s="97"/>
      <c r="O274" s="73"/>
      <c r="P274" s="97"/>
      <c r="Q274" s="97"/>
      <c r="R274" s="102"/>
      <c r="S274" s="102"/>
      <c r="T274" s="102"/>
      <c r="U274" s="102"/>
      <c r="V274" s="73"/>
      <c r="W274" s="73"/>
      <c r="X274" s="73"/>
      <c r="Y274" s="73"/>
      <c r="Z274" s="73"/>
      <c r="AA274" s="227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134">
        <f>Table22[[#This Row],[GROSS WT]]-Table22[[#This Row],[Total Bag Discharged (Truck)]]</f>
        <v>0</v>
      </c>
      <c r="AT274" s="73"/>
      <c r="AU274" s="73"/>
      <c r="AV274" s="73"/>
      <c r="AW274" s="73"/>
      <c r="AX274" s="73"/>
      <c r="AY274" s="71"/>
      <c r="AZ274" s="70"/>
      <c r="BA274" s="73"/>
      <c r="BB274" s="73"/>
      <c r="BC274" s="63"/>
      <c r="BD274" s="72"/>
      <c r="BE274" s="73"/>
      <c r="BF274" s="72"/>
      <c r="BG274" s="72"/>
      <c r="BH274" s="72"/>
      <c r="BI274" s="72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2"/>
      <c r="CA274" s="72"/>
      <c r="CB274" s="72"/>
      <c r="CC274" s="73"/>
      <c r="CD274" s="73"/>
      <c r="CE274" s="73"/>
      <c r="CF274" s="73"/>
      <c r="CG274" s="73"/>
      <c r="CH274" s="184"/>
    </row>
    <row r="275" spans="1:86" x14ac:dyDescent="0.25">
      <c r="A275" s="73"/>
      <c r="B275" s="73"/>
      <c r="C275" s="73"/>
      <c r="D275" s="97"/>
      <c r="E275" s="73"/>
      <c r="F275" s="73"/>
      <c r="G275" s="73"/>
      <c r="H275" s="73"/>
      <c r="I275" s="73"/>
      <c r="J275" s="73"/>
      <c r="K275" s="97"/>
      <c r="L275" s="73"/>
      <c r="M275" s="97"/>
      <c r="N275" s="97"/>
      <c r="O275" s="73"/>
      <c r="P275" s="97"/>
      <c r="Q275" s="97"/>
      <c r="R275" s="102"/>
      <c r="S275" s="102"/>
      <c r="T275" s="102"/>
      <c r="U275" s="102"/>
      <c r="V275" s="73"/>
      <c r="W275" s="73"/>
      <c r="X275" s="73"/>
      <c r="Y275" s="73"/>
      <c r="Z275" s="73"/>
      <c r="AA275" s="227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134">
        <f>Table22[[#This Row],[GROSS WT]]-Table22[[#This Row],[Total Bag Discharged (Truck)]]</f>
        <v>0</v>
      </c>
      <c r="AT275" s="73"/>
      <c r="AU275" s="73"/>
      <c r="AV275" s="73"/>
      <c r="AW275" s="73"/>
      <c r="AX275" s="73"/>
      <c r="AY275" s="71"/>
      <c r="AZ275" s="70"/>
      <c r="BA275" s="73"/>
      <c r="BB275" s="73"/>
      <c r="BC275" s="63"/>
      <c r="BD275" s="72"/>
      <c r="BE275" s="73"/>
      <c r="BF275" s="72"/>
      <c r="BG275" s="72"/>
      <c r="BH275" s="72"/>
      <c r="BI275" s="72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2"/>
      <c r="CA275" s="72"/>
      <c r="CB275" s="72"/>
      <c r="CC275" s="73"/>
      <c r="CD275" s="73"/>
      <c r="CE275" s="73"/>
      <c r="CF275" s="73"/>
      <c r="CG275" s="73"/>
      <c r="CH275" s="184"/>
    </row>
    <row r="276" spans="1:86" x14ac:dyDescent="0.25">
      <c r="A276" s="73"/>
      <c r="B276" s="73"/>
      <c r="C276" s="73"/>
      <c r="D276" s="97"/>
      <c r="E276" s="73"/>
      <c r="F276" s="73"/>
      <c r="G276" s="73"/>
      <c r="H276" s="73"/>
      <c r="I276" s="73"/>
      <c r="J276" s="73"/>
      <c r="K276" s="97"/>
      <c r="L276" s="73"/>
      <c r="M276" s="97"/>
      <c r="N276" s="97"/>
      <c r="O276" s="73"/>
      <c r="P276" s="97"/>
      <c r="Q276" s="97"/>
      <c r="R276" s="102"/>
      <c r="S276" s="102"/>
      <c r="T276" s="102"/>
      <c r="U276" s="102"/>
      <c r="V276" s="73"/>
      <c r="W276" s="73"/>
      <c r="X276" s="73"/>
      <c r="Y276" s="73"/>
      <c r="Z276" s="73"/>
      <c r="AA276" s="227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134">
        <f>Table22[[#This Row],[GROSS WT]]-Table22[[#This Row],[Total Bag Discharged (Truck)]]</f>
        <v>0</v>
      </c>
      <c r="AT276" s="73"/>
      <c r="AU276" s="73"/>
      <c r="AV276" s="73"/>
      <c r="AW276" s="73"/>
      <c r="AX276" s="73"/>
      <c r="AY276" s="71"/>
      <c r="AZ276" s="70"/>
      <c r="BA276" s="73"/>
      <c r="BB276" s="73"/>
      <c r="BC276" s="63"/>
      <c r="BD276" s="72"/>
      <c r="BE276" s="73"/>
      <c r="BF276" s="72"/>
      <c r="BG276" s="72"/>
      <c r="BH276" s="72"/>
      <c r="BI276" s="72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2"/>
      <c r="CA276" s="72"/>
      <c r="CB276" s="72"/>
      <c r="CC276" s="73"/>
      <c r="CD276" s="73"/>
      <c r="CE276" s="73"/>
      <c r="CF276" s="73"/>
      <c r="CG276" s="73"/>
      <c r="CH276" s="184"/>
    </row>
    <row r="277" spans="1:86" x14ac:dyDescent="0.25">
      <c r="A277" s="73"/>
      <c r="B277" s="73"/>
      <c r="C277" s="73"/>
      <c r="D277" s="97"/>
      <c r="E277" s="73"/>
      <c r="F277" s="73"/>
      <c r="G277" s="73"/>
      <c r="H277" s="73"/>
      <c r="I277" s="73"/>
      <c r="J277" s="73"/>
      <c r="K277" s="97"/>
      <c r="L277" s="73"/>
      <c r="M277" s="97"/>
      <c r="N277" s="97"/>
      <c r="O277" s="73"/>
      <c r="P277" s="97"/>
      <c r="Q277" s="97"/>
      <c r="R277" s="102"/>
      <c r="S277" s="102"/>
      <c r="T277" s="102"/>
      <c r="U277" s="102"/>
      <c r="V277" s="73"/>
      <c r="W277" s="73"/>
      <c r="X277" s="73"/>
      <c r="Y277" s="73"/>
      <c r="Z277" s="73"/>
      <c r="AA277" s="227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134">
        <f>Table22[[#This Row],[GROSS WT]]-Table22[[#This Row],[Total Bag Discharged (Truck)]]</f>
        <v>0</v>
      </c>
      <c r="AT277" s="73"/>
      <c r="AU277" s="73"/>
      <c r="AV277" s="73"/>
      <c r="AW277" s="73"/>
      <c r="AX277" s="73"/>
      <c r="AY277" s="71"/>
      <c r="AZ277" s="70"/>
      <c r="BA277" s="73"/>
      <c r="BB277" s="73"/>
      <c r="BC277" s="63"/>
      <c r="BD277" s="72"/>
      <c r="BE277" s="73"/>
      <c r="BF277" s="72"/>
      <c r="BG277" s="72"/>
      <c r="BH277" s="72"/>
      <c r="BI277" s="72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2"/>
      <c r="CA277" s="72"/>
      <c r="CB277" s="72"/>
      <c r="CC277" s="73"/>
      <c r="CD277" s="73"/>
      <c r="CE277" s="73"/>
      <c r="CF277" s="73"/>
      <c r="CG277" s="73"/>
      <c r="CH277" s="184"/>
    </row>
    <row r="278" spans="1:86" x14ac:dyDescent="0.25">
      <c r="A278" s="73"/>
      <c r="B278" s="73"/>
      <c r="C278" s="73"/>
      <c r="D278" s="97"/>
      <c r="E278" s="73"/>
      <c r="F278" s="73"/>
      <c r="G278" s="73"/>
      <c r="H278" s="73"/>
      <c r="I278" s="73"/>
      <c r="J278" s="73"/>
      <c r="K278" s="97"/>
      <c r="L278" s="73"/>
      <c r="M278" s="97"/>
      <c r="N278" s="97"/>
      <c r="O278" s="73"/>
      <c r="P278" s="97"/>
      <c r="Q278" s="97"/>
      <c r="R278" s="102"/>
      <c r="S278" s="102"/>
      <c r="T278" s="102"/>
      <c r="U278" s="102"/>
      <c r="V278" s="73"/>
      <c r="W278" s="73"/>
      <c r="X278" s="73"/>
      <c r="Y278" s="73"/>
      <c r="Z278" s="73"/>
      <c r="AA278" s="227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134">
        <f>Table22[[#This Row],[GROSS WT]]-Table22[[#This Row],[Total Bag Discharged (Truck)]]</f>
        <v>0</v>
      </c>
      <c r="AT278" s="73"/>
      <c r="AU278" s="73"/>
      <c r="AV278" s="73"/>
      <c r="AW278" s="73"/>
      <c r="AX278" s="73"/>
      <c r="AY278" s="71"/>
      <c r="AZ278" s="70"/>
      <c r="BA278" s="73"/>
      <c r="BB278" s="73"/>
      <c r="BC278" s="63"/>
      <c r="BD278" s="72"/>
      <c r="BE278" s="73"/>
      <c r="BF278" s="72"/>
      <c r="BG278" s="72"/>
      <c r="BH278" s="72"/>
      <c r="BI278" s="72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2"/>
      <c r="CA278" s="72"/>
      <c r="CB278" s="72"/>
      <c r="CC278" s="73"/>
      <c r="CD278" s="73"/>
      <c r="CE278" s="73"/>
      <c r="CF278" s="73"/>
      <c r="CG278" s="73"/>
      <c r="CH278" s="184"/>
    </row>
    <row r="279" spans="1:86" x14ac:dyDescent="0.25">
      <c r="A279" s="73"/>
      <c r="B279" s="73"/>
      <c r="C279" s="73"/>
      <c r="D279" s="97"/>
      <c r="E279" s="73"/>
      <c r="F279" s="73"/>
      <c r="G279" s="73"/>
      <c r="H279" s="73"/>
      <c r="I279" s="73"/>
      <c r="J279" s="73"/>
      <c r="K279" s="97"/>
      <c r="L279" s="73"/>
      <c r="M279" s="97"/>
      <c r="N279" s="97"/>
      <c r="O279" s="73"/>
      <c r="P279" s="97"/>
      <c r="Q279" s="97"/>
      <c r="R279" s="102"/>
      <c r="S279" s="102"/>
      <c r="T279" s="102"/>
      <c r="U279" s="102"/>
      <c r="V279" s="73"/>
      <c r="W279" s="73"/>
      <c r="X279" s="73"/>
      <c r="Y279" s="73"/>
      <c r="Z279" s="73"/>
      <c r="AA279" s="227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134">
        <f>Table22[[#This Row],[GROSS WT]]-Table22[[#This Row],[Total Bag Discharged (Truck)]]</f>
        <v>0</v>
      </c>
      <c r="AT279" s="73"/>
      <c r="AU279" s="73"/>
      <c r="AV279" s="73"/>
      <c r="AW279" s="73"/>
      <c r="AX279" s="73"/>
      <c r="AY279" s="71"/>
      <c r="AZ279" s="70"/>
      <c r="BA279" s="73"/>
      <c r="BB279" s="73"/>
      <c r="BC279" s="63"/>
      <c r="BD279" s="72"/>
      <c r="BE279" s="73"/>
      <c r="BF279" s="72"/>
      <c r="BG279" s="72"/>
      <c r="BH279" s="72"/>
      <c r="BI279" s="72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2"/>
      <c r="CA279" s="72"/>
      <c r="CB279" s="72"/>
      <c r="CC279" s="73"/>
      <c r="CD279" s="73"/>
      <c r="CE279" s="73"/>
      <c r="CF279" s="73"/>
      <c r="CG279" s="73"/>
      <c r="CH279" s="184"/>
    </row>
    <row r="280" spans="1:86" x14ac:dyDescent="0.25">
      <c r="A280" s="73"/>
      <c r="B280" s="73"/>
      <c r="C280" s="73"/>
      <c r="D280" s="97"/>
      <c r="E280" s="73"/>
      <c r="F280" s="73"/>
      <c r="G280" s="73"/>
      <c r="H280" s="73"/>
      <c r="I280" s="73"/>
      <c r="J280" s="73"/>
      <c r="K280" s="97"/>
      <c r="L280" s="73"/>
      <c r="M280" s="97"/>
      <c r="N280" s="97"/>
      <c r="O280" s="73"/>
      <c r="P280" s="97"/>
      <c r="Q280" s="97"/>
      <c r="R280" s="102"/>
      <c r="S280" s="102"/>
      <c r="T280" s="102"/>
      <c r="U280" s="102"/>
      <c r="V280" s="73"/>
      <c r="W280" s="73"/>
      <c r="X280" s="73"/>
      <c r="Y280" s="73"/>
      <c r="Z280" s="73"/>
      <c r="AA280" s="227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134">
        <f>Table22[[#This Row],[GROSS WT]]-Table22[[#This Row],[Total Bag Discharged (Truck)]]</f>
        <v>0</v>
      </c>
      <c r="AT280" s="73"/>
      <c r="AU280" s="73"/>
      <c r="AV280" s="73"/>
      <c r="AW280" s="73"/>
      <c r="AX280" s="73"/>
      <c r="AY280" s="71"/>
      <c r="AZ280" s="70"/>
      <c r="BA280" s="73"/>
      <c r="BB280" s="73"/>
      <c r="BC280" s="63"/>
      <c r="BD280" s="72"/>
      <c r="BE280" s="73"/>
      <c r="BF280" s="72"/>
      <c r="BG280" s="72"/>
      <c r="BH280" s="72"/>
      <c r="BI280" s="72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2"/>
      <c r="CA280" s="72"/>
      <c r="CB280" s="72"/>
      <c r="CC280" s="73"/>
      <c r="CD280" s="73"/>
      <c r="CE280" s="73"/>
      <c r="CF280" s="73"/>
      <c r="CG280" s="73"/>
      <c r="CH280" s="184"/>
    </row>
    <row r="281" spans="1:86" x14ac:dyDescent="0.25">
      <c r="A281" s="73"/>
      <c r="B281" s="73"/>
      <c r="C281" s="73"/>
      <c r="D281" s="97"/>
      <c r="E281" s="73"/>
      <c r="F281" s="73"/>
      <c r="G281" s="73"/>
      <c r="H281" s="73"/>
      <c r="I281" s="73"/>
      <c r="J281" s="73"/>
      <c r="K281" s="97"/>
      <c r="L281" s="73"/>
      <c r="M281" s="97"/>
      <c r="N281" s="97"/>
      <c r="O281" s="73"/>
      <c r="P281" s="97"/>
      <c r="Q281" s="97"/>
      <c r="R281" s="102"/>
      <c r="S281" s="102"/>
      <c r="T281" s="102"/>
      <c r="U281" s="102"/>
      <c r="V281" s="73"/>
      <c r="W281" s="73"/>
      <c r="X281" s="73"/>
      <c r="Y281" s="73"/>
      <c r="Z281" s="73"/>
      <c r="AA281" s="227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134">
        <f>Table22[[#This Row],[GROSS WT]]-Table22[[#This Row],[Total Bag Discharged (Truck)]]</f>
        <v>0</v>
      </c>
      <c r="AT281" s="73"/>
      <c r="AU281" s="73"/>
      <c r="AV281" s="73"/>
      <c r="AW281" s="73"/>
      <c r="AX281" s="73"/>
      <c r="AY281" s="71"/>
      <c r="AZ281" s="70"/>
      <c r="BA281" s="73"/>
      <c r="BB281" s="73"/>
      <c r="BC281" s="63"/>
      <c r="BD281" s="72"/>
      <c r="BE281" s="73"/>
      <c r="BF281" s="72"/>
      <c r="BG281" s="72"/>
      <c r="BH281" s="72"/>
      <c r="BI281" s="72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2"/>
      <c r="CA281" s="72"/>
      <c r="CB281" s="72"/>
      <c r="CC281" s="73"/>
      <c r="CD281" s="73"/>
      <c r="CE281" s="73"/>
      <c r="CF281" s="73"/>
      <c r="CG281" s="73"/>
      <c r="CH281" s="185"/>
    </row>
    <row r="282" spans="1:86" x14ac:dyDescent="0.25">
      <c r="A282" s="73"/>
      <c r="B282" s="73"/>
      <c r="C282" s="73"/>
      <c r="D282" s="97"/>
      <c r="E282" s="73"/>
      <c r="F282" s="73"/>
      <c r="G282" s="73"/>
      <c r="H282" s="73"/>
      <c r="I282" s="73"/>
      <c r="J282" s="73"/>
      <c r="K282" s="97"/>
      <c r="L282" s="73"/>
      <c r="M282" s="97"/>
      <c r="N282" s="97"/>
      <c r="O282" s="73"/>
      <c r="P282" s="97"/>
      <c r="Q282" s="97"/>
      <c r="R282" s="102"/>
      <c r="S282" s="102"/>
      <c r="T282" s="102"/>
      <c r="U282" s="102"/>
      <c r="V282" s="73"/>
      <c r="W282" s="73"/>
      <c r="X282" s="73"/>
      <c r="Y282" s="73"/>
      <c r="Z282" s="73"/>
      <c r="AA282" s="227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134">
        <f>Table22[[#This Row],[GROSS WT]]-Table22[[#This Row],[Total Bag Discharged (Truck)]]</f>
        <v>0</v>
      </c>
      <c r="AT282" s="73"/>
      <c r="AU282" s="73"/>
      <c r="AV282" s="73"/>
      <c r="AW282" s="73"/>
      <c r="AX282" s="73"/>
      <c r="AY282" s="71"/>
      <c r="AZ282" s="70"/>
      <c r="BA282" s="73"/>
      <c r="BB282" s="73"/>
      <c r="BC282" s="63"/>
      <c r="BD282" s="72"/>
      <c r="BE282" s="73"/>
      <c r="BF282" s="72"/>
      <c r="BG282" s="72"/>
      <c r="BH282" s="72"/>
      <c r="BI282" s="72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2"/>
      <c r="CA282" s="72"/>
      <c r="CB282" s="72"/>
      <c r="CC282" s="73"/>
      <c r="CD282" s="73"/>
      <c r="CE282" s="73"/>
      <c r="CF282" s="73"/>
      <c r="CG282" s="73"/>
      <c r="CH282" s="185"/>
    </row>
    <row r="283" spans="1:86" x14ac:dyDescent="0.25">
      <c r="A283" s="73"/>
      <c r="B283" s="73"/>
      <c r="C283" s="73"/>
      <c r="D283" s="97"/>
      <c r="E283" s="73"/>
      <c r="F283" s="73"/>
      <c r="G283" s="73"/>
      <c r="H283" s="73"/>
      <c r="I283" s="73"/>
      <c r="J283" s="73"/>
      <c r="K283" s="97"/>
      <c r="L283" s="73"/>
      <c r="M283" s="97"/>
      <c r="N283" s="97"/>
      <c r="O283" s="73"/>
      <c r="P283" s="97"/>
      <c r="Q283" s="97"/>
      <c r="R283" s="102"/>
      <c r="S283" s="102"/>
      <c r="T283" s="102"/>
      <c r="U283" s="102"/>
      <c r="V283" s="73"/>
      <c r="W283" s="73"/>
      <c r="X283" s="73"/>
      <c r="Y283" s="73"/>
      <c r="Z283" s="73"/>
      <c r="AA283" s="227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134">
        <f>Table22[[#This Row],[GROSS WT]]-Table22[[#This Row],[Total Bag Discharged (Truck)]]</f>
        <v>0</v>
      </c>
      <c r="AT283" s="73"/>
      <c r="AU283" s="73"/>
      <c r="AV283" s="73"/>
      <c r="AW283" s="73"/>
      <c r="AX283" s="73"/>
      <c r="AY283" s="71"/>
      <c r="AZ283" s="70"/>
      <c r="BA283" s="73"/>
      <c r="BB283" s="73"/>
      <c r="BC283" s="63"/>
      <c r="BD283" s="72"/>
      <c r="BE283" s="73"/>
      <c r="BF283" s="72"/>
      <c r="BG283" s="72"/>
      <c r="BH283" s="72"/>
      <c r="BI283" s="72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2"/>
      <c r="CA283" s="72"/>
      <c r="CB283" s="72"/>
      <c r="CC283" s="73"/>
      <c r="CD283" s="73"/>
      <c r="CE283" s="73"/>
      <c r="CF283" s="73"/>
      <c r="CG283" s="73"/>
      <c r="CH283" s="185"/>
    </row>
    <row r="284" spans="1:86" x14ac:dyDescent="0.25">
      <c r="A284" s="73"/>
      <c r="B284" s="73"/>
      <c r="C284" s="73"/>
      <c r="D284" s="97"/>
      <c r="E284" s="73"/>
      <c r="F284" s="73"/>
      <c r="G284" s="73"/>
      <c r="H284" s="73"/>
      <c r="I284" s="73"/>
      <c r="J284" s="73"/>
      <c r="K284" s="97"/>
      <c r="L284" s="73"/>
      <c r="M284" s="97"/>
      <c r="N284" s="97"/>
      <c r="O284" s="73"/>
      <c r="P284" s="97"/>
      <c r="Q284" s="97"/>
      <c r="R284" s="102"/>
      <c r="S284" s="102"/>
      <c r="T284" s="102"/>
      <c r="U284" s="102"/>
      <c r="V284" s="73"/>
      <c r="W284" s="73"/>
      <c r="X284" s="73"/>
      <c r="Y284" s="73"/>
      <c r="Z284" s="73"/>
      <c r="AA284" s="227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134">
        <f>Table22[[#This Row],[GROSS WT]]-Table22[[#This Row],[Total Bag Discharged (Truck)]]</f>
        <v>0</v>
      </c>
      <c r="AT284" s="73"/>
      <c r="AU284" s="73"/>
      <c r="AV284" s="73"/>
      <c r="AW284" s="73"/>
      <c r="AX284" s="73"/>
      <c r="AY284" s="71"/>
      <c r="AZ284" s="70"/>
      <c r="BA284" s="73"/>
      <c r="BB284" s="73"/>
      <c r="BC284" s="63"/>
      <c r="BD284" s="72"/>
      <c r="BE284" s="73"/>
      <c r="BF284" s="72"/>
      <c r="BG284" s="72"/>
      <c r="BH284" s="72"/>
      <c r="BI284" s="72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2"/>
      <c r="CA284" s="72"/>
      <c r="CB284" s="72"/>
      <c r="CC284" s="73"/>
      <c r="CD284" s="73"/>
      <c r="CE284" s="73"/>
      <c r="CF284" s="73"/>
      <c r="CG284" s="73"/>
      <c r="CH284" s="185"/>
    </row>
    <row r="285" spans="1:86" x14ac:dyDescent="0.25">
      <c r="A285" s="73"/>
      <c r="B285" s="73"/>
      <c r="C285" s="73"/>
      <c r="D285" s="97"/>
      <c r="E285" s="73"/>
      <c r="F285" s="73"/>
      <c r="G285" s="73"/>
      <c r="H285" s="73"/>
      <c r="I285" s="73"/>
      <c r="J285" s="73"/>
      <c r="K285" s="97"/>
      <c r="L285" s="73"/>
      <c r="M285" s="97"/>
      <c r="N285" s="97"/>
      <c r="O285" s="73"/>
      <c r="P285" s="97"/>
      <c r="Q285" s="97"/>
      <c r="R285" s="102"/>
      <c r="S285" s="102"/>
      <c r="T285" s="102"/>
      <c r="U285" s="102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134">
        <f>Table22[[#This Row],[GROSS WT]]-Table22[[#This Row],[Total Bag Discharged (Truck)]]</f>
        <v>0</v>
      </c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2"/>
      <c r="BI285" s="72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106"/>
      <c r="CA285" s="106"/>
      <c r="CB285" s="106"/>
      <c r="CC285" s="73"/>
      <c r="CD285" s="73"/>
      <c r="CE285" s="73"/>
      <c r="CF285" s="73"/>
      <c r="CG285" s="73"/>
      <c r="CH285" s="185"/>
    </row>
    <row r="286" spans="1:86" x14ac:dyDescent="0.25">
      <c r="A286" s="73"/>
      <c r="B286" s="73"/>
      <c r="C286" s="73"/>
      <c r="D286" s="97"/>
      <c r="E286" s="73"/>
      <c r="F286" s="73"/>
      <c r="G286" s="73"/>
      <c r="H286" s="73"/>
      <c r="I286" s="73"/>
      <c r="J286" s="73"/>
      <c r="K286" s="97"/>
      <c r="L286" s="73"/>
      <c r="M286" s="97"/>
      <c r="N286" s="97"/>
      <c r="O286" s="73"/>
      <c r="P286" s="97"/>
      <c r="Q286" s="97"/>
      <c r="R286" s="102"/>
      <c r="S286" s="102"/>
      <c r="T286" s="102"/>
      <c r="U286" s="102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134">
        <f>Table22[[#This Row],[GROSS WT]]-Table22[[#This Row],[Total Bag Discharged (Truck)]]</f>
        <v>0</v>
      </c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2"/>
      <c r="BI286" s="72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106"/>
      <c r="CA286" s="106"/>
      <c r="CB286" s="106"/>
      <c r="CC286" s="73"/>
      <c r="CD286" s="73"/>
      <c r="CE286" s="73"/>
      <c r="CF286" s="73"/>
      <c r="CG286" s="73"/>
    </row>
    <row r="287" spans="1:86" x14ac:dyDescent="0.25">
      <c r="A287" s="73"/>
      <c r="B287" s="73"/>
      <c r="C287" s="73"/>
      <c r="D287" s="97"/>
      <c r="E287" s="73"/>
      <c r="F287" s="73"/>
      <c r="G287" s="73"/>
      <c r="H287" s="73"/>
      <c r="I287" s="73"/>
      <c r="J287" s="73"/>
      <c r="K287" s="97"/>
      <c r="L287" s="73"/>
      <c r="M287" s="97"/>
      <c r="N287" s="97"/>
      <c r="O287" s="73"/>
      <c r="P287" s="97"/>
      <c r="Q287" s="97"/>
      <c r="R287" s="102"/>
      <c r="S287" s="102"/>
      <c r="T287" s="102"/>
      <c r="U287" s="102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134">
        <f>Table22[[#This Row],[GROSS WT]]-Table22[[#This Row],[Total Bag Discharged (Truck)]]</f>
        <v>0</v>
      </c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2"/>
      <c r="BI287" s="72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106"/>
      <c r="CA287" s="106"/>
      <c r="CB287" s="106"/>
      <c r="CC287" s="73"/>
      <c r="CD287" s="73"/>
      <c r="CE287" s="73"/>
      <c r="CF287" s="73"/>
      <c r="CG287" s="73"/>
    </row>
    <row r="288" spans="1:86" x14ac:dyDescent="0.25">
      <c r="A288" s="73"/>
      <c r="B288" s="73"/>
      <c r="C288" s="73"/>
      <c r="D288" s="97"/>
      <c r="E288" s="73"/>
      <c r="F288" s="73"/>
      <c r="G288" s="73"/>
      <c r="H288" s="73"/>
      <c r="I288" s="73"/>
      <c r="J288" s="73"/>
      <c r="K288" s="97"/>
      <c r="L288" s="73"/>
      <c r="M288" s="97"/>
      <c r="N288" s="97"/>
      <c r="O288" s="73"/>
      <c r="P288" s="97"/>
      <c r="Q288" s="97"/>
      <c r="R288" s="102"/>
      <c r="S288" s="102"/>
      <c r="T288" s="102"/>
      <c r="U288" s="102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134">
        <f>Table22[[#This Row],[GROSS WT]]-Table22[[#This Row],[Total Bag Discharged (Truck)]]</f>
        <v>0</v>
      </c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2"/>
      <c r="BI288" s="72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106"/>
      <c r="CA288" s="106"/>
      <c r="CB288" s="106"/>
      <c r="CC288" s="73"/>
      <c r="CD288" s="73"/>
      <c r="CE288" s="73"/>
      <c r="CF288" s="73"/>
      <c r="CG288" s="73"/>
    </row>
    <row r="289" spans="1:85" x14ac:dyDescent="0.25">
      <c r="A289" s="73"/>
      <c r="B289" s="73"/>
      <c r="C289" s="73"/>
      <c r="D289" s="97"/>
      <c r="E289" s="73"/>
      <c r="F289" s="73"/>
      <c r="G289" s="73"/>
      <c r="H289" s="73"/>
      <c r="I289" s="73"/>
      <c r="J289" s="73"/>
      <c r="K289" s="97"/>
      <c r="L289" s="73"/>
      <c r="M289" s="97"/>
      <c r="N289" s="97"/>
      <c r="O289" s="73"/>
      <c r="P289" s="97"/>
      <c r="Q289" s="97"/>
      <c r="R289" s="102"/>
      <c r="S289" s="102"/>
      <c r="T289" s="102"/>
      <c r="U289" s="102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134">
        <f>Table22[[#This Row],[GROSS WT]]-Table22[[#This Row],[Total Bag Discharged (Truck)]]</f>
        <v>0</v>
      </c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2"/>
      <c r="BI289" s="72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106"/>
      <c r="CA289" s="106"/>
      <c r="CB289" s="106"/>
      <c r="CC289" s="73"/>
      <c r="CD289" s="73"/>
      <c r="CE289" s="73"/>
      <c r="CF289" s="73"/>
      <c r="CG289" s="73"/>
    </row>
    <row r="290" spans="1:85" x14ac:dyDescent="0.25">
      <c r="A290" s="73"/>
      <c r="B290" s="73"/>
      <c r="C290" s="73"/>
      <c r="D290" s="97"/>
      <c r="E290" s="73"/>
      <c r="F290" s="73"/>
      <c r="G290" s="73"/>
      <c r="H290" s="73"/>
      <c r="I290" s="73"/>
      <c r="J290" s="73"/>
      <c r="K290" s="97"/>
      <c r="L290" s="73"/>
      <c r="M290" s="97"/>
      <c r="N290" s="97"/>
      <c r="O290" s="73"/>
      <c r="P290" s="97"/>
      <c r="Q290" s="97"/>
      <c r="R290" s="102"/>
      <c r="S290" s="102"/>
      <c r="T290" s="102"/>
      <c r="U290" s="102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134">
        <f>Table22[[#This Row],[GROSS WT]]-Table22[[#This Row],[Total Bag Discharged (Truck)]]</f>
        <v>0</v>
      </c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2"/>
      <c r="BI290" s="72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106"/>
      <c r="CA290" s="106"/>
      <c r="CB290" s="106"/>
      <c r="CC290" s="73"/>
      <c r="CD290" s="73"/>
      <c r="CE290" s="73"/>
      <c r="CF290" s="73"/>
      <c r="CG290" s="73"/>
    </row>
    <row r="291" spans="1:85" x14ac:dyDescent="0.25">
      <c r="A291" s="73"/>
      <c r="B291" s="73"/>
      <c r="C291" s="73"/>
      <c r="D291" s="97"/>
      <c r="E291" s="73"/>
      <c r="F291" s="73"/>
      <c r="G291" s="73"/>
      <c r="H291" s="73"/>
      <c r="I291" s="73"/>
      <c r="J291" s="73"/>
      <c r="K291" s="97"/>
      <c r="L291" s="73"/>
      <c r="M291" s="97"/>
      <c r="N291" s="97"/>
      <c r="O291" s="73"/>
      <c r="P291" s="97"/>
      <c r="Q291" s="97"/>
      <c r="R291" s="102"/>
      <c r="S291" s="102"/>
      <c r="T291" s="102"/>
      <c r="U291" s="102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134">
        <f>Table22[[#This Row],[GROSS WT]]-Table22[[#This Row],[Total Bag Discharged (Truck)]]</f>
        <v>0</v>
      </c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2"/>
      <c r="BI291" s="72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106"/>
      <c r="CA291" s="106"/>
      <c r="CB291" s="106"/>
      <c r="CC291" s="73"/>
      <c r="CD291" s="73"/>
      <c r="CE291" s="73"/>
      <c r="CF291" s="73"/>
      <c r="CG291" s="73"/>
    </row>
    <row r="292" spans="1:85" x14ac:dyDescent="0.25">
      <c r="A292" s="73"/>
      <c r="B292" s="73"/>
      <c r="C292" s="73"/>
      <c r="D292" s="97"/>
      <c r="E292" s="73"/>
      <c r="F292" s="73"/>
      <c r="G292" s="73"/>
      <c r="H292" s="73"/>
      <c r="I292" s="73"/>
      <c r="J292" s="73"/>
      <c r="K292" s="97"/>
      <c r="L292" s="73"/>
      <c r="M292" s="97"/>
      <c r="N292" s="97"/>
      <c r="O292" s="73"/>
      <c r="P292" s="97"/>
      <c r="Q292" s="97"/>
      <c r="R292" s="102"/>
      <c r="S292" s="102"/>
      <c r="T292" s="102"/>
      <c r="U292" s="102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134">
        <f>Table22[[#This Row],[GROSS WT]]-Table22[[#This Row],[Total Bag Discharged (Truck)]]</f>
        <v>0</v>
      </c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2"/>
      <c r="BI292" s="72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106"/>
      <c r="CA292" s="106"/>
      <c r="CB292" s="106"/>
      <c r="CC292" s="73"/>
      <c r="CD292" s="73"/>
      <c r="CE292" s="73"/>
      <c r="CF292" s="73"/>
      <c r="CG292" s="73"/>
    </row>
    <row r="293" spans="1:85" x14ac:dyDescent="0.25">
      <c r="A293" s="73"/>
      <c r="B293" s="73"/>
      <c r="C293" s="73"/>
      <c r="D293" s="97"/>
      <c r="E293" s="73"/>
      <c r="F293" s="73"/>
      <c r="G293" s="73"/>
      <c r="H293" s="73"/>
      <c r="I293" s="73"/>
      <c r="J293" s="73"/>
      <c r="K293" s="97"/>
      <c r="L293" s="73"/>
      <c r="M293" s="97"/>
      <c r="N293" s="97"/>
      <c r="O293" s="73"/>
      <c r="P293" s="97"/>
      <c r="Q293" s="97"/>
      <c r="R293" s="102"/>
      <c r="S293" s="102"/>
      <c r="T293" s="102"/>
      <c r="U293" s="102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134">
        <f>Table22[[#This Row],[GROSS WT]]-Table22[[#This Row],[Total Bag Discharged (Truck)]]</f>
        <v>0</v>
      </c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2"/>
      <c r="BI293" s="72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106"/>
      <c r="CA293" s="106"/>
      <c r="CB293" s="106"/>
      <c r="CC293" s="73"/>
      <c r="CD293" s="73"/>
      <c r="CE293" s="73"/>
      <c r="CF293" s="73"/>
      <c r="CG293" s="73"/>
    </row>
    <row r="294" spans="1:85" x14ac:dyDescent="0.25">
      <c r="A294" s="73"/>
      <c r="B294" s="73"/>
      <c r="C294" s="73"/>
      <c r="D294" s="97"/>
      <c r="E294" s="73"/>
      <c r="F294" s="73"/>
      <c r="G294" s="73"/>
      <c r="H294" s="73"/>
      <c r="I294" s="73"/>
      <c r="J294" s="73"/>
      <c r="K294" s="97"/>
      <c r="L294" s="73"/>
      <c r="M294" s="97"/>
      <c r="N294" s="97"/>
      <c r="O294" s="73"/>
      <c r="P294" s="97"/>
      <c r="Q294" s="97"/>
      <c r="R294" s="102"/>
      <c r="S294" s="102"/>
      <c r="T294" s="102"/>
      <c r="U294" s="102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134">
        <f>Table22[[#This Row],[GROSS WT]]-Table22[[#This Row],[Total Bag Discharged (Truck)]]</f>
        <v>0</v>
      </c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2"/>
      <c r="BI294" s="72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106"/>
      <c r="CA294" s="106"/>
      <c r="CB294" s="106"/>
      <c r="CC294" s="73"/>
      <c r="CD294" s="73"/>
      <c r="CE294" s="73"/>
      <c r="CF294" s="73"/>
      <c r="CG294" s="73"/>
    </row>
    <row r="295" spans="1:85" x14ac:dyDescent="0.25">
      <c r="A295" s="73"/>
      <c r="B295" s="73"/>
      <c r="C295" s="73"/>
      <c r="D295" s="97"/>
      <c r="E295" s="73"/>
      <c r="F295" s="73"/>
      <c r="G295" s="73"/>
      <c r="H295" s="73"/>
      <c r="I295" s="73"/>
      <c r="J295" s="73"/>
      <c r="K295" s="97"/>
      <c r="L295" s="73"/>
      <c r="M295" s="97"/>
      <c r="N295" s="97"/>
      <c r="O295" s="73"/>
      <c r="P295" s="97"/>
      <c r="Q295" s="97"/>
      <c r="R295" s="102"/>
      <c r="S295" s="102"/>
      <c r="T295" s="102"/>
      <c r="U295" s="102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134">
        <f>Table22[[#This Row],[GROSS WT]]-Table22[[#This Row],[Total Bag Discharged (Truck)]]</f>
        <v>0</v>
      </c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2"/>
      <c r="BI295" s="72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106"/>
      <c r="CA295" s="106"/>
      <c r="CB295" s="106"/>
      <c r="CC295" s="73"/>
      <c r="CD295" s="73"/>
      <c r="CE295" s="73"/>
      <c r="CF295" s="73"/>
      <c r="CG295" s="73"/>
    </row>
    <row r="296" spans="1:85" x14ac:dyDescent="0.25">
      <c r="A296" s="73"/>
      <c r="B296" s="73"/>
      <c r="C296" s="73"/>
      <c r="D296" s="97"/>
      <c r="E296" s="73"/>
      <c r="F296" s="73"/>
      <c r="G296" s="73"/>
      <c r="H296" s="73"/>
      <c r="I296" s="73"/>
      <c r="J296" s="73"/>
      <c r="K296" s="97"/>
      <c r="L296" s="73"/>
      <c r="M296" s="97"/>
      <c r="N296" s="97"/>
      <c r="O296" s="73"/>
      <c r="P296" s="97"/>
      <c r="Q296" s="97"/>
      <c r="R296" s="102"/>
      <c r="S296" s="102"/>
      <c r="T296" s="102"/>
      <c r="U296" s="102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134">
        <f>Table22[[#This Row],[GROSS WT]]-Table22[[#This Row],[Total Bag Discharged (Truck)]]</f>
        <v>0</v>
      </c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2"/>
      <c r="BI296" s="72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106"/>
      <c r="CA296" s="106"/>
      <c r="CB296" s="106"/>
      <c r="CC296" s="73"/>
      <c r="CD296" s="73"/>
      <c r="CE296" s="73"/>
      <c r="CF296" s="73"/>
      <c r="CG296" s="73"/>
    </row>
    <row r="297" spans="1:85" x14ac:dyDescent="0.25">
      <c r="AA297" s="56"/>
      <c r="AS297" s="142">
        <f>Table22[[#This Row],[GROSS WT]]-Table22[[#This Row],[Total Bag Discharged (Truck)]]</f>
        <v>0</v>
      </c>
      <c r="BH297" s="188"/>
      <c r="BI297" s="188"/>
      <c r="BZ297" s="91"/>
      <c r="CA297" s="91"/>
      <c r="CB297" s="91"/>
    </row>
    <row r="298" spans="1:85" x14ac:dyDescent="0.25">
      <c r="AA298" s="56"/>
      <c r="AP298" s="189">
        <f>SUBTOTAL(109,Table22[[Weight Paid ]])</f>
        <v>11213323</v>
      </c>
      <c r="AS298" s="142"/>
      <c r="BH298" s="188"/>
      <c r="BI298" s="188"/>
      <c r="BZ298" s="91"/>
      <c r="CA298" s="91"/>
      <c r="CB298" s="91"/>
    </row>
  </sheetData>
  <mergeCells count="4">
    <mergeCell ref="A3:C3"/>
    <mergeCell ref="AL3:AO3"/>
    <mergeCell ref="AV3:BL3"/>
    <mergeCell ref="BM3:CE3"/>
  </mergeCells>
  <conditionalFormatting sqref="D1:D1048576">
    <cfRule type="duplicateValues" dxfId="21" priority="1"/>
  </conditionalFormatting>
  <conditionalFormatting sqref="D5:E5">
    <cfRule type="duplicateValues" dxfId="20" priority="2"/>
  </conditionalFormatting>
  <conditionalFormatting sqref="D6:E6">
    <cfRule type="duplicateValues" dxfId="19" priority="3"/>
  </conditionalFormatting>
  <conditionalFormatting sqref="D7:E7">
    <cfRule type="duplicateValues" dxfId="18" priority="4"/>
  </conditionalFormatting>
  <conditionalFormatting sqref="D8:E8">
    <cfRule type="duplicateValues" dxfId="17" priority="5"/>
  </conditionalFormatting>
  <conditionalFormatting sqref="D9:E9">
    <cfRule type="duplicateValues" dxfId="16" priority="6"/>
  </conditionalFormatting>
  <conditionalFormatting sqref="D10:E10">
    <cfRule type="duplicateValues" dxfId="15" priority="7"/>
  </conditionalFormatting>
  <conditionalFormatting sqref="D11:E11">
    <cfRule type="duplicateValues" dxfId="14" priority="8"/>
  </conditionalFormatting>
  <conditionalFormatting sqref="D12:E12">
    <cfRule type="duplicateValues" dxfId="13" priority="9"/>
  </conditionalFormatting>
  <conditionalFormatting sqref="D13:F32">
    <cfRule type="duplicateValues" dxfId="12" priority="10"/>
  </conditionalFormatting>
  <conditionalFormatting sqref="D33:F33">
    <cfRule type="duplicateValues" dxfId="11" priority="11"/>
  </conditionalFormatting>
  <conditionalFormatting sqref="D34:F34">
    <cfRule type="duplicateValues" dxfId="10" priority="12"/>
  </conditionalFormatting>
  <conditionalFormatting sqref="D35:F35">
    <cfRule type="duplicateValues" dxfId="9" priority="13"/>
  </conditionalFormatting>
  <conditionalFormatting sqref="D36:F36">
    <cfRule type="duplicateValues" dxfId="8" priority="14"/>
  </conditionalFormatting>
  <conditionalFormatting sqref="D37:F38">
    <cfRule type="duplicateValues" dxfId="7" priority="15"/>
  </conditionalFormatting>
  <conditionalFormatting sqref="D39:F39">
    <cfRule type="duplicateValues" dxfId="6" priority="16"/>
  </conditionalFormatting>
  <conditionalFormatting sqref="D40:F42">
    <cfRule type="duplicateValues" dxfId="5" priority="17"/>
  </conditionalFormatting>
  <conditionalFormatting sqref="D43:F43">
    <cfRule type="duplicateValues" dxfId="4" priority="18"/>
  </conditionalFormatting>
  <conditionalFormatting sqref="D44:F45">
    <cfRule type="duplicateValues" dxfId="3" priority="19"/>
  </conditionalFormatting>
  <conditionalFormatting sqref="D46:F46">
    <cfRule type="duplicateValues" dxfId="2" priority="20"/>
  </conditionalFormatting>
  <conditionalFormatting sqref="D47:F47">
    <cfRule type="duplicateValues" dxfId="1" priority="21"/>
  </conditionalFormatting>
  <conditionalFormatting sqref="D48:F48">
    <cfRule type="duplicateValues" dxfId="0" priority="22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AADD-8328-40D1-8CE1-63E1FFD7E809}">
  <dimension ref="B2:W187"/>
  <sheetViews>
    <sheetView topLeftCell="N59" workbookViewId="0">
      <pane ySplit="3" topLeftCell="A64" activePane="bottomLeft" state="frozen"/>
      <selection activeCell="A59" sqref="A59"/>
      <selection pane="bottomLeft" activeCell="Z68" sqref="Z68"/>
    </sheetView>
  </sheetViews>
  <sheetFormatPr defaultRowHeight="12" x14ac:dyDescent="0.25"/>
  <cols>
    <col min="1" max="2" width="8.88671875" style="56" customWidth="1"/>
    <col min="3" max="4" width="22.77734375" style="56" customWidth="1"/>
    <col min="5" max="6" width="13.21875" style="56" customWidth="1"/>
    <col min="7" max="7" width="21.88671875" style="56" customWidth="1"/>
    <col min="8" max="8" width="13.21875" style="56" customWidth="1"/>
    <col min="9" max="12" width="13.88671875" style="56" customWidth="1"/>
    <col min="13" max="13" width="28.88671875" style="56" bestFit="1" customWidth="1"/>
    <col min="14" max="14" width="18.21875" style="56" customWidth="1"/>
    <col min="15" max="15" width="17.21875" style="56" bestFit="1" customWidth="1"/>
    <col min="16" max="16" width="17.21875" style="56" customWidth="1"/>
    <col min="17" max="17" width="8.88671875" style="56"/>
    <col min="18" max="18" width="18" style="56" bestFit="1" customWidth="1"/>
    <col min="19" max="19" width="18" style="56" customWidth="1"/>
    <col min="20" max="20" width="20.88671875" style="56" bestFit="1" customWidth="1"/>
    <col min="21" max="22" width="8.88671875" style="56"/>
    <col min="23" max="23" width="17.33203125" style="56" bestFit="1" customWidth="1"/>
    <col min="24" max="16384" width="8.88671875" style="56"/>
  </cols>
  <sheetData>
    <row r="2" spans="2:16" x14ac:dyDescent="0.25">
      <c r="I2" s="56">
        <f>SUM(I4:I50)</f>
        <v>133320</v>
      </c>
      <c r="N2" s="56">
        <f>SUM(N4:N187)</f>
        <v>860353</v>
      </c>
    </row>
    <row r="3" spans="2:16" x14ac:dyDescent="0.25">
      <c r="B3" s="186" t="s">
        <v>536</v>
      </c>
      <c r="C3" s="186" t="s">
        <v>431</v>
      </c>
      <c r="D3" s="186" t="s">
        <v>431</v>
      </c>
      <c r="E3" s="186" t="s">
        <v>539</v>
      </c>
      <c r="F3" s="186" t="s">
        <v>540</v>
      </c>
      <c r="G3" s="186" t="s">
        <v>542</v>
      </c>
      <c r="H3" s="186" t="s">
        <v>22</v>
      </c>
      <c r="I3" s="186" t="s">
        <v>537</v>
      </c>
      <c r="J3" s="186" t="s">
        <v>548</v>
      </c>
      <c r="K3" s="186" t="s">
        <v>547</v>
      </c>
      <c r="L3" s="186" t="s">
        <v>545</v>
      </c>
      <c r="M3" s="186" t="s">
        <v>544</v>
      </c>
      <c r="N3" s="186" t="s">
        <v>538</v>
      </c>
      <c r="O3" s="186" t="s">
        <v>546</v>
      </c>
      <c r="P3" s="186"/>
    </row>
    <row r="4" spans="2:16" x14ac:dyDescent="0.25">
      <c r="C4" s="56" t="str">
        <f>'RCN INWARD FACTORY YAKRO 2026'!S202</f>
        <v>BROUMA SARL</v>
      </c>
      <c r="E4" s="56" t="str">
        <f>'RCN INWARD FACTORY YAKRO 2026'!V202</f>
        <v>DIS-041-BRO</v>
      </c>
      <c r="I4" s="56">
        <v>234</v>
      </c>
    </row>
    <row r="5" spans="2:16" x14ac:dyDescent="0.25">
      <c r="C5" s="56" t="str">
        <f>'RCN INWARD FACTORY YAKRO 2026'!S176</f>
        <v>CAPCD- SCOOPS</v>
      </c>
      <c r="E5" s="56" t="str">
        <f>'RCN INWARD FACTORY YAKRO 2026'!V176</f>
        <v>LBA-010-CAP</v>
      </c>
      <c r="I5" s="56">
        <v>496</v>
      </c>
    </row>
    <row r="6" spans="2:16" x14ac:dyDescent="0.25">
      <c r="C6" s="56" t="str">
        <f>'RCN INWARD FACTORY YAKRO 2026'!S216</f>
        <v>CODJISA</v>
      </c>
      <c r="I6" s="56">
        <v>494</v>
      </c>
    </row>
    <row r="7" spans="2:16" x14ac:dyDescent="0.25">
      <c r="C7" s="56" t="str">
        <f>'RCN INWARD FACTORY YAKRO 2026'!S155</f>
        <v>COOP CA TOE SEYDOU</v>
      </c>
      <c r="E7" s="56" t="str">
        <f>'RCN INWARD FACTORY YAKRO 2026'!V241</f>
        <v>DIS-036-SEY</v>
      </c>
      <c r="I7" s="56">
        <v>998</v>
      </c>
    </row>
    <row r="8" spans="2:16" x14ac:dyDescent="0.25">
      <c r="C8" s="56" t="str">
        <f>'RCN INWARD FACTORY YAKRO 2026'!S88</f>
        <v>COP JAVA SCOOP</v>
      </c>
      <c r="E8" s="56" t="str">
        <f>'RCN INWARD FACTORY YAKRO 2026'!V88</f>
        <v>LBA-005-JAV</v>
      </c>
      <c r="I8" s="56">
        <v>11902</v>
      </c>
    </row>
    <row r="9" spans="2:16" x14ac:dyDescent="0.25">
      <c r="C9" s="56" t="str">
        <f>'RCN INWARD FACTORY YAKRO 2026'!S95</f>
        <v>CPAS SCOOPS</v>
      </c>
      <c r="E9" s="56" t="str">
        <f>'RCN INWARD FACTORY YAKRO 2026'!V95</f>
        <v>DIS-029-CPA</v>
      </c>
      <c r="I9" s="56">
        <v>7904</v>
      </c>
    </row>
    <row r="10" spans="2:16" x14ac:dyDescent="0.25">
      <c r="C10" s="130" t="str">
        <f>'RCN INWARD FACTORY YAKRO 2026'!S40</f>
        <v>DECARRE DAVID &amp; DJOUMA</v>
      </c>
      <c r="D10" s="130"/>
      <c r="E10" s="130" t="str">
        <f>'RCN INWARD FACTORY YAKRO 2026'!V40</f>
        <v>DIS-019-DEC</v>
      </c>
      <c r="F10" s="130"/>
      <c r="G10" s="130"/>
      <c r="H10" s="130"/>
      <c r="I10" s="130">
        <v>364</v>
      </c>
    </row>
    <row r="11" spans="2:16" x14ac:dyDescent="0.25">
      <c r="C11" s="56" t="str">
        <f>'RCN INWARD FACTORY YAKRO 2026'!S99</f>
        <v xml:space="preserve">KONE ADAMA </v>
      </c>
      <c r="F11" s="56" t="s">
        <v>550</v>
      </c>
      <c r="G11" s="56" t="str">
        <f>'RCN INWARD FACTORY YAKRO 2026'!V99</f>
        <v>LBA-021-SAN</v>
      </c>
      <c r="I11" s="56">
        <v>6631</v>
      </c>
    </row>
    <row r="12" spans="2:16" x14ac:dyDescent="0.25">
      <c r="C12" s="56" t="str">
        <f>'RCN INWARD FACTORY YAKRO 2026'!S133</f>
        <v>OCEAN NEGOSE</v>
      </c>
      <c r="E12" s="56" t="str">
        <f>'RCN INWARD FACTORY YAKRO 2026'!V133</f>
        <v>DIS-034-OCE</v>
      </c>
      <c r="I12" s="56">
        <v>2201</v>
      </c>
    </row>
    <row r="13" spans="2:16" x14ac:dyDescent="0.25">
      <c r="C13" s="56" t="str">
        <f>'RCN INWARD FACTORY YAKRO 2026'!S85</f>
        <v xml:space="preserve"> RCN SCOOP BAOBAB</v>
      </c>
      <c r="E13" s="56" t="str">
        <f>'RCN INWARD FACTORY YAKRO 2026'!V85</f>
        <v>DIS-027-BAO</v>
      </c>
      <c r="I13" s="56">
        <v>4346</v>
      </c>
    </row>
    <row r="14" spans="2:16" x14ac:dyDescent="0.25">
      <c r="C14" s="56" t="str">
        <f>'RCN INWARD FACTORY YAKRO 2026'!S132</f>
        <v xml:space="preserve"> RCN SCOOP SAHS</v>
      </c>
      <c r="E14" s="56" t="str">
        <f>'RCN INWARD FACTORY YAKRO 2026'!V132</f>
        <v>DIS-010-SAH</v>
      </c>
      <c r="I14" s="56">
        <v>971</v>
      </c>
    </row>
    <row r="15" spans="2:16" x14ac:dyDescent="0.25">
      <c r="C15" s="56" t="str">
        <f>'RCN INWARD FACTORY YAKRO 2026'!S171</f>
        <v>RCN SCOOPS AH AL NOUR</v>
      </c>
      <c r="E15" s="56" t="str">
        <f>'RCN INWARD FACTORY YAKRO 2026'!V171</f>
        <v>LBA-016-NOU</v>
      </c>
      <c r="I15" s="56">
        <v>502</v>
      </c>
    </row>
    <row r="16" spans="2:16" x14ac:dyDescent="0.25">
      <c r="C16" s="56" t="str">
        <f>'RCN INWARD FACTORY YAKRO 2026'!S97</f>
        <v>RCN SCOOPS COOPRAKA</v>
      </c>
      <c r="E16" s="56" t="str">
        <f>'RCN INWARD FACTORY YAKRO 2026'!V97</f>
        <v>LBA-018-COP</v>
      </c>
      <c r="I16" s="56">
        <v>445</v>
      </c>
    </row>
    <row r="17" spans="3:9" x14ac:dyDescent="0.25">
      <c r="C17" s="56" t="str">
        <f>'RCN INWARD FACTORY YAKRO 2026'!S201</f>
        <v>RCN SCOOPS CORISPORT</v>
      </c>
      <c r="E17" s="56" t="str">
        <f>'RCN INWARD FACTORY YAKRO 2026'!V201</f>
        <v>DIS-002-COR</v>
      </c>
      <c r="I17" s="56">
        <v>463</v>
      </c>
    </row>
    <row r="18" spans="3:9" x14ac:dyDescent="0.25">
      <c r="C18" s="56" t="str">
        <f>'RCN INWARD FACTORY YAKRO 2026'!S24</f>
        <v>RCN SCOOPS SKS</v>
      </c>
      <c r="E18" s="56" t="str">
        <f>'RCN INWARD FACTORY YAKRO 2026'!V24</f>
        <v>LBA-020-SKS</v>
      </c>
      <c r="I18" s="56">
        <v>427</v>
      </c>
    </row>
    <row r="19" spans="3:9" x14ac:dyDescent="0.25">
      <c r="C19" s="56" t="str">
        <f>'RCN INWARD FACTORY YAKRO 2026'!S84</f>
        <v xml:space="preserve"> RCN SIMAYAT COOP CA</v>
      </c>
      <c r="E19" s="56" t="str">
        <f>'RCN INWARD FACTORY YAKRO 2026'!V84</f>
        <v>DIS-025-SIM</v>
      </c>
      <c r="I19" s="56">
        <v>1065</v>
      </c>
    </row>
    <row r="20" spans="3:9" x14ac:dyDescent="0.25">
      <c r="C20" s="56" t="str">
        <f>'RCN INWARD FACTORY YAKRO 2026'!S188</f>
        <v>RCN SOCOOP ADD COOP CA</v>
      </c>
      <c r="E20" s="56" t="str">
        <f>'RCN INWARD FACTORY YAKRO 2026'!V188</f>
        <v>DIS-039-DIS</v>
      </c>
      <c r="I20" s="56">
        <v>1019</v>
      </c>
    </row>
    <row r="21" spans="3:9" x14ac:dyDescent="0.25">
      <c r="C21" s="56" t="str">
        <f>'RCN INWARD FACTORY YAKRO 2026'!S15</f>
        <v>RCN SOCOSAM</v>
      </c>
      <c r="E21" s="56" t="str">
        <f>'RCN INWARD FACTORY YAKRO 2026'!V15</f>
        <v>DIS-011-SAM</v>
      </c>
      <c r="I21" s="56">
        <v>693</v>
      </c>
    </row>
    <row r="22" spans="3:9" x14ac:dyDescent="0.25">
      <c r="C22" s="56" t="str">
        <f>'RCN INWARD FACTORY YAKRO 2026'!S212</f>
        <v>RCN SOLANDA CI</v>
      </c>
      <c r="E22" s="56" t="str">
        <f>'RCN INWARD FACTORY YAKRO 2026'!V212</f>
        <v>DIS-040-SOL</v>
      </c>
      <c r="I22" s="56">
        <v>572</v>
      </c>
    </row>
    <row r="23" spans="3:9" x14ac:dyDescent="0.25">
      <c r="C23" s="56" t="str">
        <f>'RCN INWARD FACTORY YAKRO 2026'!S229</f>
        <v>SCAAMT COOP CA</v>
      </c>
      <c r="E23" s="56" t="str">
        <f>'RCN INWARD FACTORY YAKRO 2026'!V229</f>
        <v>LBA-002-SCA</v>
      </c>
      <c r="I23" s="56">
        <v>54212</v>
      </c>
    </row>
    <row r="24" spans="3:9" x14ac:dyDescent="0.25">
      <c r="C24" s="56" t="str">
        <f>'RCN INWARD FACTORY YAKRO 2026'!S203</f>
        <v>SCAN COOP CA</v>
      </c>
      <c r="F24" s="56" t="s">
        <v>550</v>
      </c>
      <c r="G24" s="56" t="str">
        <f>'RCN INWARD FACTORY YAKRO 2026'!V203</f>
        <v>LBA-021-SAN</v>
      </c>
      <c r="I24" s="56">
        <v>942</v>
      </c>
    </row>
    <row r="25" spans="3:9" x14ac:dyDescent="0.25">
      <c r="C25" s="56" t="str">
        <f>'RCN INWARD FACTORY YAKRO 2026'!S49</f>
        <v xml:space="preserve"> SCOOP  KOB S</v>
      </c>
      <c r="E25" s="56" t="str">
        <f>'RCN INWARD FACTORY YAKRO 2026'!V49</f>
        <v>DIS-021-KOB</v>
      </c>
      <c r="I25" s="56">
        <v>1346</v>
      </c>
    </row>
    <row r="26" spans="3:9" x14ac:dyDescent="0.25">
      <c r="C26" s="56" t="str">
        <f>'RCN INWARD FACTORY YAKRO 2026'!S60</f>
        <v>SCOOP CA BENKADI</v>
      </c>
      <c r="F26" s="56" t="s">
        <v>534</v>
      </c>
      <c r="G26" s="56" t="str">
        <f>'RCN INWARD FACTORY YAKRO 2026'!V60</f>
        <v>LBA-004-WEB</v>
      </c>
      <c r="I26" s="56">
        <v>2450</v>
      </c>
    </row>
    <row r="27" spans="3:9" x14ac:dyDescent="0.25">
      <c r="C27" s="56" t="str">
        <f>'RCN INWARD FACTORY YAKRO 2026'!S136</f>
        <v>SCOOP DYNAMAQUE-CDAG</v>
      </c>
      <c r="F27" s="56" t="s">
        <v>550</v>
      </c>
      <c r="G27" s="56" t="str">
        <f>G24</f>
        <v>LBA-021-SAN</v>
      </c>
      <c r="I27" s="56">
        <v>493</v>
      </c>
    </row>
    <row r="28" spans="3:9" x14ac:dyDescent="0.25">
      <c r="C28" s="56" t="str">
        <f>'RCN INWARD FACTORY YAKRO 2026'!S127</f>
        <v>SCOOP EUNI</v>
      </c>
      <c r="F28" s="56" t="s">
        <v>534</v>
      </c>
      <c r="G28" s="56" t="str">
        <f>G26</f>
        <v>LBA-004-WEB</v>
      </c>
      <c r="I28" s="56">
        <v>1966</v>
      </c>
    </row>
    <row r="29" spans="3:9" x14ac:dyDescent="0.25">
      <c r="C29" s="56" t="str">
        <f>'RCN INWARD FACTORY YAKRO 2026'!S43</f>
        <v>SCOOPS AGRO NEGOCE</v>
      </c>
      <c r="E29" s="56" t="str">
        <f>'RCN INWARD FACTORY YAKRO 2026'!V43</f>
        <v>LBA-022-NEG</v>
      </c>
      <c r="I29" s="56">
        <v>1782</v>
      </c>
    </row>
    <row r="30" spans="3:9" x14ac:dyDescent="0.25">
      <c r="C30" s="56" t="str">
        <f>'RCN INWARD FACTORY YAKRO 2026'!S211</f>
        <v>SCOOPS BENKADI-CDAG</v>
      </c>
      <c r="F30" s="56" t="s">
        <v>550</v>
      </c>
      <c r="G30" s="56" t="str">
        <f>G27</f>
        <v>LBA-021-SAN</v>
      </c>
      <c r="I30" s="56">
        <v>499</v>
      </c>
    </row>
    <row r="31" spans="3:9" x14ac:dyDescent="0.25">
      <c r="C31" s="56" t="str">
        <f>'RCN INWARD FACTORY YAKRO 2026'!S195</f>
        <v>SCOOPS BENKADI-CDGA</v>
      </c>
      <c r="F31" s="56" t="s">
        <v>550</v>
      </c>
      <c r="G31" s="56" t="str">
        <f>G30</f>
        <v>LBA-021-SAN</v>
      </c>
      <c r="I31" s="56">
        <v>515</v>
      </c>
    </row>
    <row r="32" spans="3:9" x14ac:dyDescent="0.25">
      <c r="C32" s="56" t="str">
        <f>'RCN INWARD FACTORY YAKRO 2026'!S83</f>
        <v>SCOOPS BENKADY-CINPA</v>
      </c>
      <c r="F32" s="56" t="s">
        <v>550</v>
      </c>
      <c r="G32" s="56" t="str">
        <f>G31</f>
        <v>LBA-021-SAN</v>
      </c>
      <c r="I32" s="56">
        <v>488</v>
      </c>
    </row>
    <row r="33" spans="3:9" x14ac:dyDescent="0.25">
      <c r="C33" s="56" t="str">
        <f>'RCN INWARD FACTORY YAKRO 2026'!S131</f>
        <v>SCOOPS CADEXI</v>
      </c>
      <c r="F33" s="56" t="s">
        <v>534</v>
      </c>
      <c r="G33" s="56" t="s">
        <v>140</v>
      </c>
      <c r="I33" s="56">
        <v>1056</v>
      </c>
    </row>
    <row r="34" spans="3:9" x14ac:dyDescent="0.25">
      <c r="C34" s="56" t="str">
        <f>'RCN INWARD FACTORY YAKRO 2026'!S89</f>
        <v>SCOOPS CDAG</v>
      </c>
      <c r="F34" s="56" t="s">
        <v>550</v>
      </c>
      <c r="G34" s="56" t="str">
        <f>G32</f>
        <v>LBA-021-SAN</v>
      </c>
      <c r="I34" s="56">
        <v>1994</v>
      </c>
    </row>
    <row r="35" spans="3:9" x14ac:dyDescent="0.25">
      <c r="C35" s="56" t="str">
        <f>'RCN INWARD FACTORY YAKRO 2026'!S57</f>
        <v>SCOOPS COOPRES</v>
      </c>
      <c r="E35" s="56" t="str">
        <f>'RCN INWARD FACTORY YAKRO 2026'!V57</f>
        <v>DIS-022-RES</v>
      </c>
      <c r="I35" s="56">
        <v>593</v>
      </c>
    </row>
    <row r="36" spans="3:9" x14ac:dyDescent="0.25">
      <c r="C36" s="56" t="str">
        <f>'RCN INWARD FACTORY YAKRO 2026'!S86</f>
        <v>SCOOPS DJGUISSEME</v>
      </c>
      <c r="E36" s="56" t="str">
        <f>'RCN INWARD FACTORY YAKRO 2026'!V86</f>
        <v>LBA-001-SOC</v>
      </c>
      <c r="I36" s="56">
        <v>640</v>
      </c>
    </row>
    <row r="37" spans="3:9" x14ac:dyDescent="0.25">
      <c r="C37" s="56" t="str">
        <f>'RCN INWARD FACTORY YAKRO 2026'!S37</f>
        <v>SCOOPS DPVICA</v>
      </c>
      <c r="E37" s="56" t="str">
        <f>'RCN INWARD FACTORY YAKRO 2026'!V37</f>
        <v>LBA-017-DPV</v>
      </c>
      <c r="I37" s="56">
        <v>5469</v>
      </c>
    </row>
    <row r="38" spans="3:9" x14ac:dyDescent="0.25">
      <c r="C38" s="56" t="str">
        <f>'RCN INWARD FACTORY YAKRO 2026'!S163</f>
        <v>SCOOPS EUNI(WEBE)</v>
      </c>
      <c r="F38" s="56" t="s">
        <v>534</v>
      </c>
      <c r="G38" s="56" t="str">
        <f>G33</f>
        <v>LBA-004-WEB</v>
      </c>
      <c r="I38" s="56">
        <v>516</v>
      </c>
    </row>
    <row r="39" spans="3:9" x14ac:dyDescent="0.25">
      <c r="C39" s="56" t="str">
        <f>'RCN INWARD FACTORY YAKRO 2026'!S59</f>
        <v>SCOOPS ICFB</v>
      </c>
      <c r="E39" s="56" t="str">
        <f>'RCN INWARD FACTORY YAKRO 2026'!V59</f>
        <v>DIS-023-ICF</v>
      </c>
      <c r="I39" s="56">
        <v>2689</v>
      </c>
    </row>
    <row r="40" spans="3:9" x14ac:dyDescent="0.25">
      <c r="C40" s="56" t="str">
        <f>'RCN INWARD FACTORY YAKRO 2026'!S159</f>
        <v>SCOOPS LAGANFIA</v>
      </c>
      <c r="F40" s="56" t="s">
        <v>550</v>
      </c>
      <c r="G40" s="56" t="str">
        <f>G32</f>
        <v>LBA-021-SAN</v>
      </c>
      <c r="I40" s="56">
        <v>1566</v>
      </c>
    </row>
    <row r="41" spans="3:9" x14ac:dyDescent="0.25">
      <c r="C41" s="56" t="str">
        <f>'RCN INWARD FACTORY YAKRO 2026'!S225</f>
        <v>SCOOPS MOAYE BKE</v>
      </c>
      <c r="E41" s="56" t="str">
        <f>'RCN INWARD FACTORY YAKRO 2026'!V225</f>
        <v>DIS-026-MOA</v>
      </c>
      <c r="I41" s="56">
        <v>1641</v>
      </c>
    </row>
    <row r="42" spans="3:9" x14ac:dyDescent="0.25">
      <c r="C42" s="56" t="str">
        <f>'RCN INWARD FACTORY YAKRO 2026'!S184</f>
        <v>SCOOPS PAGNG YELEN (CDAG)</v>
      </c>
      <c r="F42" s="56" t="s">
        <v>550</v>
      </c>
      <c r="G42" s="56" t="str">
        <f>G40</f>
        <v>LBA-021-SAN</v>
      </c>
      <c r="I42" s="56">
        <v>426</v>
      </c>
    </row>
    <row r="43" spans="3:9" x14ac:dyDescent="0.25">
      <c r="C43" s="56" t="str">
        <f>'RCN INWARD FACTORY YAKRO 2026'!S114</f>
        <v>SCOOPS PS</v>
      </c>
      <c r="F43" s="56" t="s">
        <v>550</v>
      </c>
      <c r="G43" s="56" t="str">
        <f>G42</f>
        <v>LBA-021-SAN</v>
      </c>
      <c r="I43" s="56">
        <v>5387</v>
      </c>
    </row>
    <row r="44" spans="3:9" x14ac:dyDescent="0.25">
      <c r="C44" s="56" t="str">
        <f>'RCN INWARD FACTORY YAKRO 2026'!S148</f>
        <v>SCOOPS SCNB</v>
      </c>
      <c r="E44" s="56" t="str">
        <f>'RCN INWARD FACTORY YAKRO 2026'!V148</f>
        <v>DIS-035-SNC</v>
      </c>
      <c r="I44" s="56">
        <v>2367</v>
      </c>
    </row>
    <row r="45" spans="3:9" x14ac:dyDescent="0.25">
      <c r="C45" s="56" t="str">
        <f>'RCN INWARD FACTORY YAKRO 2026'!S38</f>
        <v>SCOOPS WEBE (EUNI)</v>
      </c>
      <c r="F45" s="56" t="s">
        <v>534</v>
      </c>
      <c r="G45" s="56" t="str">
        <f>G38</f>
        <v>LBA-004-WEB</v>
      </c>
      <c r="I45" s="56">
        <v>467</v>
      </c>
    </row>
    <row r="46" spans="3:9" x14ac:dyDescent="0.25">
      <c r="C46" s="56" t="str">
        <f>'RCN INWARD FACTORY YAKRO 2026'!S33</f>
        <v>SCOOPS WEBE(EUNI)</v>
      </c>
      <c r="F46" s="56" t="s">
        <v>534</v>
      </c>
      <c r="G46" s="56" t="str">
        <f>G45</f>
        <v>LBA-004-WEB</v>
      </c>
      <c r="I46" s="56">
        <v>953</v>
      </c>
    </row>
    <row r="47" spans="3:9" x14ac:dyDescent="0.25">
      <c r="C47" s="56" t="str">
        <f>'RCN INWARD FACTORY YAKRO 2026'!S48</f>
        <v xml:space="preserve"> SCOOPS-SOCOSIDJI</v>
      </c>
      <c r="E47" s="56" t="str">
        <f>'RCN INWARD FACTORY YAKRO 2026'!V48</f>
        <v>LBA-001-SOC</v>
      </c>
      <c r="I47" s="56">
        <v>493</v>
      </c>
    </row>
    <row r="48" spans="3:9" x14ac:dyDescent="0.25">
      <c r="C48" s="56" t="str">
        <f>'RCN INWARD FACTORY YAKRO 2026'!S9</f>
        <v xml:space="preserve">SOVA SCOOP </v>
      </c>
      <c r="E48" s="56" t="str">
        <f>'RCN INWARD FACTORY YAKRO 2026'!V9</f>
        <v>DIS-005-SOV</v>
      </c>
      <c r="I48" s="56">
        <v>643</v>
      </c>
    </row>
    <row r="60" spans="2:17" x14ac:dyDescent="0.25">
      <c r="H60" s="56">
        <f>SUM(H62:H168)</f>
        <v>121767</v>
      </c>
    </row>
    <row r="61" spans="2:17" x14ac:dyDescent="0.25">
      <c r="C61" s="186" t="s">
        <v>551</v>
      </c>
      <c r="D61" s="186" t="s">
        <v>552</v>
      </c>
      <c r="E61" s="186" t="s">
        <v>555</v>
      </c>
      <c r="F61" s="186" t="s">
        <v>22</v>
      </c>
      <c r="G61" s="186" t="s">
        <v>556</v>
      </c>
      <c r="H61" s="186" t="s">
        <v>538</v>
      </c>
      <c r="I61" s="186" t="s">
        <v>554</v>
      </c>
      <c r="J61" s="186"/>
    </row>
    <row r="62" spans="2:17" x14ac:dyDescent="0.25">
      <c r="B62" s="160">
        <v>1</v>
      </c>
      <c r="C62" s="73" t="s">
        <v>541</v>
      </c>
      <c r="D62" s="131">
        <f>18941+494</f>
        <v>19435</v>
      </c>
      <c r="E62" s="97"/>
      <c r="F62" s="73"/>
      <c r="G62" s="73"/>
      <c r="H62" s="73"/>
      <c r="I62" s="97">
        <f>D62-SUM(H63:H67)</f>
        <v>0</v>
      </c>
      <c r="J62" s="73"/>
    </row>
    <row r="63" spans="2:17" x14ac:dyDescent="0.25">
      <c r="B63" s="160"/>
      <c r="C63" s="73"/>
      <c r="D63" s="131"/>
      <c r="E63" s="97">
        <v>710</v>
      </c>
      <c r="F63" s="73" t="s">
        <v>236</v>
      </c>
      <c r="G63" s="73"/>
      <c r="H63" s="131">
        <v>1000</v>
      </c>
      <c r="I63" s="97"/>
      <c r="J63" s="73"/>
    </row>
    <row r="64" spans="2:17" x14ac:dyDescent="0.25">
      <c r="B64" s="160"/>
      <c r="C64" s="73"/>
      <c r="D64" s="131"/>
      <c r="E64" s="97">
        <v>711</v>
      </c>
      <c r="F64" s="73" t="s">
        <v>236</v>
      </c>
      <c r="G64" s="73"/>
      <c r="H64" s="131">
        <v>1000</v>
      </c>
      <c r="I64" s="97"/>
      <c r="J64" s="73"/>
      <c r="M64" s="132" t="s">
        <v>626</v>
      </c>
      <c r="N64" s="132">
        <f>SUM(N65:N70)</f>
        <v>189675</v>
      </c>
      <c r="O64" s="132" t="s">
        <v>629</v>
      </c>
      <c r="P64" s="186"/>
      <c r="Q64" s="56" t="s">
        <v>732</v>
      </c>
    </row>
    <row r="65" spans="2:23" x14ac:dyDescent="0.25">
      <c r="B65" s="160"/>
      <c r="C65" s="73"/>
      <c r="D65" s="131"/>
      <c r="E65" s="97">
        <v>722</v>
      </c>
      <c r="F65" s="73" t="s">
        <v>259</v>
      </c>
      <c r="G65" s="73"/>
      <c r="H65" s="131">
        <v>882</v>
      </c>
      <c r="I65" s="97"/>
      <c r="J65" s="73"/>
      <c r="M65" s="73" t="s">
        <v>655</v>
      </c>
      <c r="N65" s="73">
        <v>26625</v>
      </c>
      <c r="O65" s="109" t="s">
        <v>658</v>
      </c>
      <c r="P65" s="161"/>
      <c r="Q65" s="56" t="s">
        <v>700</v>
      </c>
      <c r="R65" s="56" t="s">
        <v>733</v>
      </c>
      <c r="S65" s="56" t="s">
        <v>22</v>
      </c>
      <c r="T65" s="56" t="s">
        <v>734</v>
      </c>
      <c r="U65" s="56" t="s">
        <v>735</v>
      </c>
      <c r="V65" s="56" t="s">
        <v>736</v>
      </c>
      <c r="W65" s="56" t="s">
        <v>737</v>
      </c>
    </row>
    <row r="66" spans="2:23" x14ac:dyDescent="0.25">
      <c r="B66" s="160"/>
      <c r="C66" s="73"/>
      <c r="D66" s="131"/>
      <c r="E66" s="97">
        <v>818</v>
      </c>
      <c r="F66" s="73" t="s">
        <v>618</v>
      </c>
      <c r="G66" s="73"/>
      <c r="H66" s="131">
        <v>13400</v>
      </c>
      <c r="I66" s="97"/>
      <c r="J66" s="73"/>
      <c r="M66" s="73" t="s">
        <v>655</v>
      </c>
      <c r="N66" s="73">
        <v>29000</v>
      </c>
      <c r="O66" s="109">
        <v>46268</v>
      </c>
      <c r="P66" s="161"/>
    </row>
    <row r="67" spans="2:23" x14ac:dyDescent="0.25">
      <c r="B67" s="160"/>
      <c r="C67" s="73"/>
      <c r="D67" s="131"/>
      <c r="E67" s="97">
        <v>824</v>
      </c>
      <c r="F67" s="155">
        <v>46087</v>
      </c>
      <c r="G67" s="73"/>
      <c r="H67" s="131">
        <v>3153</v>
      </c>
      <c r="I67" s="97"/>
      <c r="J67" s="73"/>
      <c r="M67" s="73" t="s">
        <v>655</v>
      </c>
      <c r="N67" s="73">
        <v>31050</v>
      </c>
      <c r="O67" s="109">
        <v>46298</v>
      </c>
      <c r="P67" s="161"/>
    </row>
    <row r="68" spans="2:23" x14ac:dyDescent="0.25">
      <c r="B68" s="160">
        <v>2</v>
      </c>
      <c r="C68" s="73" t="s">
        <v>553</v>
      </c>
      <c r="D68" s="131">
        <v>7408</v>
      </c>
      <c r="E68" s="97"/>
      <c r="F68" s="73"/>
      <c r="G68" s="73"/>
      <c r="H68" s="131"/>
      <c r="I68" s="97">
        <f>D68-SUM(H69:H80)</f>
        <v>-1159</v>
      </c>
      <c r="J68" s="73"/>
      <c r="M68" s="73" t="s">
        <v>657</v>
      </c>
      <c r="N68" s="73">
        <v>40000</v>
      </c>
      <c r="O68" s="109">
        <v>46360</v>
      </c>
      <c r="P68" s="161"/>
    </row>
    <row r="69" spans="2:23" x14ac:dyDescent="0.25">
      <c r="B69" s="160"/>
      <c r="C69" s="73"/>
      <c r="D69" s="131"/>
      <c r="E69" s="133">
        <v>808</v>
      </c>
      <c r="F69" s="196">
        <v>46147</v>
      </c>
      <c r="G69" s="192" t="s">
        <v>579</v>
      </c>
      <c r="H69" s="197">
        <v>1003</v>
      </c>
      <c r="I69" s="97"/>
      <c r="J69" s="73"/>
      <c r="M69" s="73" t="s">
        <v>657</v>
      </c>
      <c r="N69" s="73">
        <v>31000</v>
      </c>
      <c r="O69" s="97" t="s">
        <v>270</v>
      </c>
      <c r="P69" s="160"/>
    </row>
    <row r="70" spans="2:23" x14ac:dyDescent="0.25">
      <c r="B70" s="160"/>
      <c r="C70" s="73"/>
      <c r="D70" s="131"/>
      <c r="E70" s="133">
        <v>734</v>
      </c>
      <c r="F70" s="197" t="s">
        <v>347</v>
      </c>
      <c r="G70" s="192" t="s">
        <v>137</v>
      </c>
      <c r="H70" s="197">
        <v>516</v>
      </c>
      <c r="I70" s="97"/>
      <c r="J70" s="73"/>
      <c r="M70" s="73" t="s">
        <v>657</v>
      </c>
      <c r="N70" s="73">
        <v>32000</v>
      </c>
      <c r="O70" s="97" t="s">
        <v>311</v>
      </c>
      <c r="P70" s="160"/>
    </row>
    <row r="71" spans="2:23" x14ac:dyDescent="0.25">
      <c r="B71" s="160"/>
      <c r="C71" s="73"/>
      <c r="D71" s="131"/>
      <c r="E71" s="133">
        <v>738</v>
      </c>
      <c r="F71" s="197" t="s">
        <v>355</v>
      </c>
      <c r="G71" s="192" t="s">
        <v>580</v>
      </c>
      <c r="H71" s="197">
        <v>501</v>
      </c>
      <c r="I71" s="97"/>
      <c r="J71" s="73"/>
      <c r="M71" s="208" t="s">
        <v>659</v>
      </c>
      <c r="N71" s="208">
        <f>H60</f>
        <v>121767</v>
      </c>
      <c r="O71" s="208" t="s">
        <v>656</v>
      </c>
      <c r="P71" s="186"/>
    </row>
    <row r="72" spans="2:23" x14ac:dyDescent="0.25">
      <c r="B72" s="160"/>
      <c r="C72" s="73"/>
      <c r="D72" s="131"/>
      <c r="E72" s="133">
        <v>807</v>
      </c>
      <c r="F72" s="196">
        <v>46147</v>
      </c>
      <c r="G72" s="192" t="s">
        <v>367</v>
      </c>
      <c r="H72" s="197">
        <v>522</v>
      </c>
      <c r="I72" s="97"/>
      <c r="J72" s="73"/>
      <c r="M72" s="207" t="s">
        <v>660</v>
      </c>
      <c r="N72" s="207"/>
      <c r="O72" s="207"/>
      <c r="P72" s="186"/>
    </row>
    <row r="73" spans="2:23" x14ac:dyDescent="0.25">
      <c r="B73" s="160"/>
      <c r="C73" s="73"/>
      <c r="D73" s="131"/>
      <c r="E73" s="133">
        <v>713</v>
      </c>
      <c r="F73" s="197" t="s">
        <v>246</v>
      </c>
      <c r="G73" s="192" t="s">
        <v>594</v>
      </c>
      <c r="H73" s="197">
        <v>1030</v>
      </c>
      <c r="I73" s="97"/>
      <c r="J73" s="73"/>
      <c r="M73" s="200" t="s">
        <v>431</v>
      </c>
      <c r="N73" s="200">
        <v>9967</v>
      </c>
      <c r="O73" s="200"/>
      <c r="P73" s="211"/>
    </row>
    <row r="74" spans="2:23" x14ac:dyDescent="0.25">
      <c r="B74" s="160"/>
      <c r="C74" s="73"/>
      <c r="D74" s="131"/>
      <c r="E74" s="133">
        <v>723</v>
      </c>
      <c r="F74" s="197" t="s">
        <v>287</v>
      </c>
      <c r="G74" s="192" t="s">
        <v>594</v>
      </c>
      <c r="H74" s="197">
        <v>497</v>
      </c>
      <c r="I74" s="97"/>
      <c r="J74" s="73"/>
      <c r="M74" s="200" t="s">
        <v>627</v>
      </c>
      <c r="N74" s="200">
        <v>11738</v>
      </c>
      <c r="O74" s="200"/>
      <c r="P74" s="211"/>
      <c r="Q74" s="225"/>
    </row>
    <row r="75" spans="2:23" x14ac:dyDescent="0.25">
      <c r="B75" s="160"/>
      <c r="C75" s="73"/>
      <c r="D75" s="131"/>
      <c r="E75" s="133">
        <v>735</v>
      </c>
      <c r="F75" s="197" t="s">
        <v>355</v>
      </c>
      <c r="G75" s="192" t="s">
        <v>594</v>
      </c>
      <c r="H75" s="197">
        <v>443</v>
      </c>
      <c r="I75" s="97"/>
      <c r="J75" s="73"/>
      <c r="M75" s="207" t="s">
        <v>661</v>
      </c>
      <c r="N75" s="207">
        <f>N73+N74</f>
        <v>21705</v>
      </c>
      <c r="O75" s="207"/>
      <c r="P75" s="186"/>
      <c r="Q75" s="225"/>
    </row>
    <row r="76" spans="2:23" x14ac:dyDescent="0.25">
      <c r="B76" s="160"/>
      <c r="C76" s="73"/>
      <c r="D76" s="131"/>
      <c r="E76" s="133">
        <v>44</v>
      </c>
      <c r="F76" s="197" t="s">
        <v>593</v>
      </c>
      <c r="G76" s="192" t="s">
        <v>595</v>
      </c>
      <c r="H76" s="197">
        <v>530</v>
      </c>
      <c r="I76" s="97"/>
      <c r="J76" s="73"/>
      <c r="M76" s="73" t="s">
        <v>628</v>
      </c>
      <c r="N76" s="73">
        <v>10000</v>
      </c>
      <c r="O76" s="73"/>
      <c r="Q76" s="225"/>
    </row>
    <row r="77" spans="2:23" x14ac:dyDescent="0.25">
      <c r="B77" s="160"/>
      <c r="C77" s="73"/>
      <c r="D77" s="131"/>
      <c r="E77" s="133">
        <v>27</v>
      </c>
      <c r="F77" s="197" t="s">
        <v>596</v>
      </c>
      <c r="G77" s="192" t="s">
        <v>597</v>
      </c>
      <c r="H77" s="197">
        <v>469</v>
      </c>
      <c r="I77" s="97"/>
      <c r="J77" s="73"/>
      <c r="M77" s="132" t="s">
        <v>630</v>
      </c>
      <c r="N77" s="132">
        <f>N71+N75+N76</f>
        <v>153472</v>
      </c>
      <c r="O77" s="132"/>
      <c r="P77" s="186"/>
      <c r="Q77" s="225"/>
    </row>
    <row r="78" spans="2:23" x14ac:dyDescent="0.25">
      <c r="B78" s="160"/>
      <c r="C78" s="73"/>
      <c r="D78" s="131"/>
      <c r="E78" s="133">
        <v>721</v>
      </c>
      <c r="F78" s="197" t="s">
        <v>287</v>
      </c>
      <c r="G78" s="192" t="s">
        <v>137</v>
      </c>
      <c r="H78" s="197">
        <v>2000</v>
      </c>
      <c r="I78" s="97"/>
      <c r="J78" s="73"/>
      <c r="M78" s="201" t="s">
        <v>631</v>
      </c>
      <c r="N78" s="201">
        <f>N64-N77</f>
        <v>36203</v>
      </c>
      <c r="O78" s="73"/>
      <c r="Q78" s="225"/>
    </row>
    <row r="79" spans="2:23" x14ac:dyDescent="0.25">
      <c r="B79" s="160"/>
      <c r="C79" s="73"/>
      <c r="D79" s="131"/>
      <c r="E79" s="133">
        <v>724</v>
      </c>
      <c r="F79" s="197" t="s">
        <v>300</v>
      </c>
      <c r="G79" s="192" t="s">
        <v>603</v>
      </c>
      <c r="H79" s="197">
        <v>525</v>
      </c>
      <c r="I79" s="97"/>
      <c r="J79" s="73"/>
      <c r="M79" s="209" t="s">
        <v>653</v>
      </c>
      <c r="N79" s="215">
        <f>3675</f>
        <v>3675</v>
      </c>
      <c r="O79" s="209"/>
      <c r="P79" s="186"/>
      <c r="Q79" s="225"/>
    </row>
    <row r="80" spans="2:23" x14ac:dyDescent="0.25">
      <c r="B80" s="160"/>
      <c r="C80" s="73"/>
      <c r="D80" s="131"/>
      <c r="E80" s="133">
        <v>745</v>
      </c>
      <c r="F80" s="197" t="s">
        <v>395</v>
      </c>
      <c r="G80" s="192" t="s">
        <v>367</v>
      </c>
      <c r="H80" s="197">
        <v>531</v>
      </c>
      <c r="I80" s="97"/>
      <c r="J80" s="73"/>
      <c r="M80" s="73" t="s">
        <v>654</v>
      </c>
      <c r="N80" s="73">
        <f>N78-N79</f>
        <v>32528</v>
      </c>
      <c r="O80" s="73"/>
      <c r="Q80" s="225"/>
    </row>
    <row r="81" spans="2:17" x14ac:dyDescent="0.25">
      <c r="B81" s="160">
        <v>3</v>
      </c>
      <c r="C81" s="73" t="s">
        <v>378</v>
      </c>
      <c r="D81" s="131">
        <v>234</v>
      </c>
      <c r="E81" s="97">
        <v>747</v>
      </c>
      <c r="F81" s="192" t="s">
        <v>408</v>
      </c>
      <c r="G81" s="192" t="s">
        <v>606</v>
      </c>
      <c r="H81" s="197">
        <v>234</v>
      </c>
      <c r="I81" s="97">
        <f>D81-H81</f>
        <v>0</v>
      </c>
      <c r="J81" s="73"/>
      <c r="M81" s="213" t="s">
        <v>669</v>
      </c>
      <c r="N81" s="213"/>
      <c r="O81" s="213"/>
      <c r="P81" s="211"/>
      <c r="Q81" s="225"/>
    </row>
    <row r="82" spans="2:17" x14ac:dyDescent="0.25">
      <c r="B82" s="160">
        <v>4</v>
      </c>
      <c r="C82" s="73" t="s">
        <v>341</v>
      </c>
      <c r="D82" s="131">
        <v>496</v>
      </c>
      <c r="E82" s="97"/>
      <c r="F82" s="196"/>
      <c r="G82" s="192"/>
      <c r="H82" s="197"/>
      <c r="I82" s="97">
        <f>D82-SUM(H83:H84)</f>
        <v>-1042</v>
      </c>
      <c r="J82" s="73"/>
      <c r="M82" s="200" t="s">
        <v>662</v>
      </c>
      <c r="N82" s="200">
        <f>33240</f>
        <v>33240</v>
      </c>
      <c r="O82" s="200"/>
      <c r="P82" s="186"/>
    </row>
    <row r="83" spans="2:17" x14ac:dyDescent="0.25">
      <c r="B83" s="160"/>
      <c r="C83" s="73"/>
      <c r="D83" s="131"/>
      <c r="E83" s="97">
        <v>805</v>
      </c>
      <c r="F83" s="196">
        <v>46058</v>
      </c>
      <c r="G83" s="192" t="s">
        <v>571</v>
      </c>
      <c r="H83" s="197">
        <v>1000</v>
      </c>
      <c r="I83" s="97"/>
      <c r="J83" s="73"/>
      <c r="M83" s="210" t="s">
        <v>649</v>
      </c>
      <c r="N83" s="210"/>
      <c r="O83" s="210"/>
      <c r="P83" s="212"/>
    </row>
    <row r="84" spans="2:17" x14ac:dyDescent="0.25">
      <c r="B84" s="160"/>
      <c r="C84" s="73"/>
      <c r="D84" s="131"/>
      <c r="E84" s="97">
        <v>819</v>
      </c>
      <c r="F84" s="196" t="s">
        <v>619</v>
      </c>
      <c r="G84" s="192" t="s">
        <v>620</v>
      </c>
      <c r="H84" s="197">
        <v>538</v>
      </c>
      <c r="I84" s="97"/>
      <c r="J84" s="73"/>
      <c r="M84" s="205" t="s">
        <v>650</v>
      </c>
      <c r="N84" s="214">
        <v>25235</v>
      </c>
      <c r="O84" s="204"/>
      <c r="P84" s="212"/>
    </row>
    <row r="85" spans="2:17" x14ac:dyDescent="0.25">
      <c r="B85" s="160">
        <v>5</v>
      </c>
      <c r="C85" s="73" t="s">
        <v>404</v>
      </c>
      <c r="D85" s="131">
        <v>494</v>
      </c>
      <c r="E85" s="97"/>
      <c r="F85" s="131"/>
      <c r="G85" s="73"/>
      <c r="H85" s="131"/>
      <c r="I85" s="97"/>
      <c r="J85" s="73"/>
      <c r="M85" s="205" t="s">
        <v>651</v>
      </c>
      <c r="N85" s="204">
        <v>8215</v>
      </c>
      <c r="O85" s="204"/>
    </row>
    <row r="86" spans="2:17" x14ac:dyDescent="0.25">
      <c r="B86" s="160">
        <v>6</v>
      </c>
      <c r="C86" s="73" t="s">
        <v>533</v>
      </c>
      <c r="D86" s="131">
        <v>998</v>
      </c>
      <c r="E86" s="97"/>
      <c r="F86" s="131"/>
      <c r="G86" s="73"/>
      <c r="H86" s="131">
        <f>H87+H88</f>
        <v>998</v>
      </c>
      <c r="I86" s="97">
        <f>D86-SUM(H87:H88)</f>
        <v>0</v>
      </c>
      <c r="J86" s="73"/>
      <c r="M86" s="73" t="s">
        <v>652</v>
      </c>
      <c r="N86" s="193">
        <v>6866</v>
      </c>
      <c r="O86" s="73"/>
      <c r="P86" s="211"/>
    </row>
    <row r="87" spans="2:17" x14ac:dyDescent="0.25">
      <c r="B87" s="160"/>
      <c r="C87" s="73"/>
      <c r="D87" s="131"/>
      <c r="E87" s="133">
        <v>815</v>
      </c>
      <c r="F87" s="196">
        <v>46239</v>
      </c>
      <c r="G87" s="192" t="s">
        <v>588</v>
      </c>
      <c r="H87" s="197">
        <v>436</v>
      </c>
      <c r="I87" s="97"/>
      <c r="J87" s="73"/>
      <c r="M87" s="210" t="s">
        <v>663</v>
      </c>
      <c r="N87" s="210"/>
      <c r="O87" s="210"/>
      <c r="P87" s="212"/>
    </row>
    <row r="88" spans="2:17" x14ac:dyDescent="0.25">
      <c r="B88" s="160"/>
      <c r="C88" s="73"/>
      <c r="D88" s="131"/>
      <c r="E88" s="133">
        <v>732</v>
      </c>
      <c r="F88" s="197" t="s">
        <v>347</v>
      </c>
      <c r="G88" s="192" t="s">
        <v>589</v>
      </c>
      <c r="H88" s="197">
        <v>562</v>
      </c>
      <c r="I88" s="97"/>
      <c r="J88" s="73"/>
      <c r="M88" s="205" t="s">
        <v>664</v>
      </c>
      <c r="N88" s="204">
        <v>601</v>
      </c>
      <c r="O88" s="204"/>
      <c r="P88" s="212"/>
    </row>
    <row r="89" spans="2:17" x14ac:dyDescent="0.25">
      <c r="B89" s="160">
        <v>7</v>
      </c>
      <c r="C89" s="73" t="s">
        <v>107</v>
      </c>
      <c r="D89" s="131">
        <v>11902</v>
      </c>
      <c r="E89" s="133"/>
      <c r="F89" s="131"/>
      <c r="G89" s="73"/>
      <c r="H89" s="131"/>
      <c r="I89" s="97">
        <f>D89-SUM(H90:H92)</f>
        <v>4902</v>
      </c>
      <c r="J89" s="73"/>
      <c r="M89" s="205" t="s">
        <v>665</v>
      </c>
      <c r="N89" s="204">
        <v>2588</v>
      </c>
      <c r="O89" s="204"/>
    </row>
    <row r="90" spans="2:17" x14ac:dyDescent="0.25">
      <c r="B90" s="160"/>
      <c r="C90" s="73"/>
      <c r="D90" s="131"/>
      <c r="E90" s="133">
        <v>702</v>
      </c>
      <c r="F90" s="196">
        <v>46057</v>
      </c>
      <c r="G90" s="192" t="s">
        <v>142</v>
      </c>
      <c r="H90" s="197">
        <v>3000</v>
      </c>
      <c r="I90" s="97"/>
      <c r="J90" s="73"/>
      <c r="M90" s="132" t="s">
        <v>668</v>
      </c>
      <c r="N90" s="132">
        <f>N88+N89</f>
        <v>3189</v>
      </c>
      <c r="O90" s="132"/>
    </row>
    <row r="91" spans="2:17" x14ac:dyDescent="0.25">
      <c r="B91" s="160"/>
      <c r="C91" s="73"/>
      <c r="D91" s="131"/>
      <c r="E91" s="133">
        <v>719</v>
      </c>
      <c r="F91" s="197" t="s">
        <v>270</v>
      </c>
      <c r="G91" s="192" t="s">
        <v>570</v>
      </c>
      <c r="H91" s="197">
        <v>2000</v>
      </c>
      <c r="I91" s="97"/>
      <c r="J91" s="73"/>
      <c r="M91" s="73" t="s">
        <v>666</v>
      </c>
      <c r="N91" s="73">
        <v>2</v>
      </c>
      <c r="O91" s="73"/>
    </row>
    <row r="92" spans="2:17" x14ac:dyDescent="0.25">
      <c r="B92" s="160"/>
      <c r="C92" s="73"/>
      <c r="D92" s="131"/>
      <c r="E92" s="133">
        <v>2</v>
      </c>
      <c r="F92" s="198" t="s">
        <v>569</v>
      </c>
      <c r="G92" s="192" t="s">
        <v>142</v>
      </c>
      <c r="H92" s="197">
        <v>2000</v>
      </c>
      <c r="I92" s="97"/>
      <c r="J92" s="73"/>
      <c r="M92" s="73" t="s">
        <v>667</v>
      </c>
      <c r="N92" s="73">
        <v>10</v>
      </c>
      <c r="O92" s="73"/>
    </row>
    <row r="93" spans="2:17" x14ac:dyDescent="0.25">
      <c r="B93" s="160">
        <v>8</v>
      </c>
      <c r="C93" s="73" t="s">
        <v>219</v>
      </c>
      <c r="D93" s="131">
        <f>7904+734+710</f>
        <v>9348</v>
      </c>
      <c r="E93" s="133"/>
      <c r="F93" s="131"/>
      <c r="G93" s="73"/>
      <c r="H93" s="131"/>
      <c r="I93" s="97">
        <f>D93-SUM(H94:H99)</f>
        <v>0</v>
      </c>
      <c r="J93" s="73"/>
      <c r="M93" s="73" t="s">
        <v>670</v>
      </c>
      <c r="N93" s="73">
        <v>1</v>
      </c>
      <c r="O93" s="73"/>
    </row>
    <row r="94" spans="2:17" x14ac:dyDescent="0.25">
      <c r="B94" s="160"/>
      <c r="C94" s="73"/>
      <c r="D94" s="131"/>
      <c r="E94" s="133">
        <v>813</v>
      </c>
      <c r="F94" s="196">
        <v>46208</v>
      </c>
      <c r="G94" s="192" t="s">
        <v>350</v>
      </c>
      <c r="H94" s="197">
        <v>1865</v>
      </c>
      <c r="I94" s="97"/>
      <c r="J94" s="73"/>
      <c r="M94" s="73" t="s">
        <v>671</v>
      </c>
      <c r="N94" s="73">
        <v>1</v>
      </c>
      <c r="O94" s="73"/>
    </row>
    <row r="95" spans="2:17" x14ac:dyDescent="0.25">
      <c r="B95" s="160"/>
      <c r="C95" s="73"/>
      <c r="D95" s="131"/>
      <c r="E95" s="133">
        <v>718</v>
      </c>
      <c r="F95" s="197" t="s">
        <v>259</v>
      </c>
      <c r="G95" s="192" t="s">
        <v>581</v>
      </c>
      <c r="H95" s="197">
        <v>732</v>
      </c>
      <c r="I95" s="97"/>
      <c r="J95" s="73"/>
    </row>
    <row r="96" spans="2:17" x14ac:dyDescent="0.25">
      <c r="B96" s="160"/>
      <c r="C96" s="73"/>
      <c r="D96" s="131"/>
      <c r="E96" s="133">
        <v>726</v>
      </c>
      <c r="F96" s="197" t="s">
        <v>300</v>
      </c>
      <c r="G96" s="192" t="s">
        <v>582</v>
      </c>
      <c r="H96" s="197">
        <v>1199</v>
      </c>
      <c r="I96" s="97"/>
      <c r="J96" s="73"/>
    </row>
    <row r="97" spans="2:10" x14ac:dyDescent="0.25">
      <c r="B97" s="160"/>
      <c r="C97" s="73"/>
      <c r="D97" s="131"/>
      <c r="E97" s="133">
        <v>741</v>
      </c>
      <c r="F97" s="197" t="s">
        <v>386</v>
      </c>
      <c r="G97" s="192" t="s">
        <v>583</v>
      </c>
      <c r="H97" s="197">
        <v>2857</v>
      </c>
      <c r="I97" s="97"/>
      <c r="J97" s="73"/>
    </row>
    <row r="98" spans="2:10" x14ac:dyDescent="0.25">
      <c r="B98" s="160"/>
      <c r="C98" s="73"/>
      <c r="D98" s="131"/>
      <c r="E98" s="133">
        <v>750</v>
      </c>
      <c r="F98" s="197" t="s">
        <v>408</v>
      </c>
      <c r="G98" s="192" t="s">
        <v>584</v>
      </c>
      <c r="H98" s="197">
        <v>1251</v>
      </c>
      <c r="I98" s="97"/>
      <c r="J98" s="73"/>
    </row>
    <row r="99" spans="2:10" x14ac:dyDescent="0.25">
      <c r="B99" s="160"/>
      <c r="C99" s="73"/>
      <c r="D99" s="131"/>
      <c r="E99" s="133">
        <v>823</v>
      </c>
      <c r="F99" s="196">
        <v>46028</v>
      </c>
      <c r="G99" s="192"/>
      <c r="H99" s="197">
        <v>1444</v>
      </c>
      <c r="I99" s="97"/>
      <c r="J99" s="73"/>
    </row>
    <row r="100" spans="2:10" x14ac:dyDescent="0.25">
      <c r="B100" s="160">
        <v>9</v>
      </c>
      <c r="C100" s="193" t="s">
        <v>152</v>
      </c>
      <c r="D100" s="194">
        <v>364</v>
      </c>
      <c r="E100" s="133"/>
      <c r="F100" s="131"/>
      <c r="G100" s="73"/>
      <c r="H100" s="131"/>
      <c r="I100" s="97"/>
      <c r="J100" s="73"/>
    </row>
    <row r="101" spans="2:10" x14ac:dyDescent="0.25">
      <c r="B101" s="160">
        <v>10</v>
      </c>
      <c r="C101" s="73" t="s">
        <v>280</v>
      </c>
      <c r="D101" s="131">
        <v>2201</v>
      </c>
      <c r="E101" s="97"/>
      <c r="F101" s="131"/>
      <c r="G101" s="73"/>
      <c r="H101" s="131"/>
      <c r="I101" s="97">
        <f>D101-SUM(H102:H103)</f>
        <v>-46</v>
      </c>
      <c r="J101" s="73"/>
    </row>
    <row r="102" spans="2:10" x14ac:dyDescent="0.25">
      <c r="B102" s="160"/>
      <c r="C102" s="73"/>
      <c r="D102" s="131"/>
      <c r="E102" s="133">
        <v>728</v>
      </c>
      <c r="F102" s="197" t="s">
        <v>300</v>
      </c>
      <c r="G102" s="192" t="s">
        <v>601</v>
      </c>
      <c r="H102" s="197">
        <v>1093</v>
      </c>
      <c r="I102" s="97"/>
      <c r="J102" s="73"/>
    </row>
    <row r="103" spans="2:10" x14ac:dyDescent="0.25">
      <c r="B103" s="160"/>
      <c r="C103" s="73"/>
      <c r="D103" s="131"/>
      <c r="E103" s="133">
        <v>733</v>
      </c>
      <c r="F103" s="197" t="s">
        <v>347</v>
      </c>
      <c r="G103" s="192" t="s">
        <v>602</v>
      </c>
      <c r="H103" s="197">
        <v>1154</v>
      </c>
      <c r="I103" s="97"/>
      <c r="J103" s="73"/>
    </row>
    <row r="104" spans="2:10" x14ac:dyDescent="0.25">
      <c r="B104" s="160">
        <v>11</v>
      </c>
      <c r="C104" s="73" t="s">
        <v>572</v>
      </c>
      <c r="D104" s="131">
        <v>4346</v>
      </c>
      <c r="E104" s="97"/>
      <c r="F104" s="131"/>
      <c r="G104" s="73"/>
      <c r="H104" s="131"/>
      <c r="I104" s="97">
        <f>D104-SUM(H105:H109)</f>
        <v>479</v>
      </c>
      <c r="J104" s="73"/>
    </row>
    <row r="105" spans="2:10" ht="13.8" x14ac:dyDescent="0.3">
      <c r="B105" s="160"/>
      <c r="C105" s="178"/>
      <c r="D105" s="131"/>
      <c r="E105" s="133">
        <v>804</v>
      </c>
      <c r="F105" s="196">
        <v>46058</v>
      </c>
      <c r="G105" s="192" t="s">
        <v>573</v>
      </c>
      <c r="H105" s="197">
        <v>992</v>
      </c>
      <c r="I105" s="97"/>
      <c r="J105" s="73"/>
    </row>
    <row r="106" spans="2:10" ht="13.8" x14ac:dyDescent="0.3">
      <c r="B106" s="160"/>
      <c r="C106" s="178"/>
      <c r="D106" s="131"/>
      <c r="E106" s="133">
        <v>712</v>
      </c>
      <c r="F106" s="197" t="s">
        <v>246</v>
      </c>
      <c r="G106" s="192" t="s">
        <v>574</v>
      </c>
      <c r="H106" s="197">
        <v>458</v>
      </c>
      <c r="I106" s="97"/>
      <c r="J106" s="73"/>
    </row>
    <row r="107" spans="2:10" ht="13.8" x14ac:dyDescent="0.3">
      <c r="B107" s="160"/>
      <c r="C107" s="178"/>
      <c r="D107" s="131"/>
      <c r="E107" s="133">
        <v>731</v>
      </c>
      <c r="F107" s="197" t="s">
        <v>311</v>
      </c>
      <c r="G107" s="192" t="s">
        <v>575</v>
      </c>
      <c r="H107" s="197">
        <v>1008</v>
      </c>
      <c r="I107" s="97"/>
      <c r="J107" s="73"/>
    </row>
    <row r="108" spans="2:10" ht="13.8" x14ac:dyDescent="0.3">
      <c r="B108" s="160"/>
      <c r="C108" s="178"/>
      <c r="D108" s="131"/>
      <c r="E108" s="133">
        <v>739</v>
      </c>
      <c r="F108" s="197" t="s">
        <v>355</v>
      </c>
      <c r="G108" s="192" t="s">
        <v>576</v>
      </c>
      <c r="H108" s="197">
        <v>959</v>
      </c>
      <c r="I108" s="97"/>
      <c r="J108" s="73"/>
    </row>
    <row r="109" spans="2:10" ht="13.8" x14ac:dyDescent="0.3">
      <c r="B109" s="160"/>
      <c r="C109" s="178"/>
      <c r="D109" s="131"/>
      <c r="E109" s="133">
        <v>744</v>
      </c>
      <c r="F109" s="197" t="s">
        <v>377</v>
      </c>
      <c r="G109" s="192" t="s">
        <v>577</v>
      </c>
      <c r="H109" s="197">
        <v>450</v>
      </c>
      <c r="I109" s="97"/>
      <c r="J109" s="73"/>
    </row>
    <row r="110" spans="2:10" x14ac:dyDescent="0.25">
      <c r="B110" s="160">
        <v>12</v>
      </c>
      <c r="C110" s="73" t="s">
        <v>276</v>
      </c>
      <c r="D110" s="131">
        <v>971</v>
      </c>
      <c r="E110" s="133">
        <v>748</v>
      </c>
      <c r="F110" s="197" t="s">
        <v>408</v>
      </c>
      <c r="G110" s="192" t="s">
        <v>605</v>
      </c>
      <c r="H110" s="197">
        <v>500</v>
      </c>
      <c r="I110" s="97">
        <f>D110-H110</f>
        <v>471</v>
      </c>
      <c r="J110" s="73"/>
    </row>
    <row r="111" spans="2:10" x14ac:dyDescent="0.25">
      <c r="B111" s="160">
        <v>13</v>
      </c>
      <c r="C111" s="73" t="s">
        <v>333</v>
      </c>
      <c r="D111" s="131">
        <v>502</v>
      </c>
      <c r="E111" s="97"/>
      <c r="F111" s="197" t="s">
        <v>355</v>
      </c>
      <c r="G111" s="192" t="s">
        <v>355</v>
      </c>
      <c r="H111" s="131">
        <v>502</v>
      </c>
      <c r="I111" s="97">
        <f>D111-H111</f>
        <v>0</v>
      </c>
      <c r="J111" s="73"/>
    </row>
    <row r="112" spans="2:10" x14ac:dyDescent="0.25">
      <c r="B112" s="160">
        <v>14</v>
      </c>
      <c r="C112" s="73" t="s">
        <v>225</v>
      </c>
      <c r="D112" s="131">
        <v>445</v>
      </c>
      <c r="E112" s="97"/>
      <c r="F112" s="131"/>
      <c r="G112" s="73"/>
      <c r="H112" s="131"/>
      <c r="I112" s="97">
        <f>D112-SUM(H113)</f>
        <v>-3222</v>
      </c>
      <c r="J112" s="73"/>
    </row>
    <row r="113" spans="2:10" x14ac:dyDescent="0.25">
      <c r="B113" s="160"/>
      <c r="C113" s="73"/>
      <c r="D113" s="131"/>
      <c r="E113" s="97">
        <v>817</v>
      </c>
      <c r="F113" s="131" t="s">
        <v>608</v>
      </c>
      <c r="G113" s="73" t="s">
        <v>617</v>
      </c>
      <c r="H113" s="131">
        <v>3667</v>
      </c>
      <c r="I113" s="97"/>
      <c r="J113" s="73"/>
    </row>
    <row r="114" spans="2:10" x14ac:dyDescent="0.25">
      <c r="B114" s="160">
        <v>15</v>
      </c>
      <c r="C114" s="73" t="s">
        <v>374</v>
      </c>
      <c r="D114" s="131">
        <v>463</v>
      </c>
      <c r="E114" s="97">
        <v>803</v>
      </c>
      <c r="F114" s="196">
        <v>46058</v>
      </c>
      <c r="G114" s="192" t="s">
        <v>373</v>
      </c>
      <c r="H114" s="197">
        <v>463</v>
      </c>
      <c r="I114" s="97">
        <f>D114-H114</f>
        <v>0</v>
      </c>
      <c r="J114" s="73"/>
    </row>
    <row r="115" spans="2:10" x14ac:dyDescent="0.25">
      <c r="B115" s="160">
        <v>16</v>
      </c>
      <c r="C115" s="73" t="s">
        <v>127</v>
      </c>
      <c r="D115" s="131">
        <v>427</v>
      </c>
      <c r="E115" s="97"/>
      <c r="F115" s="131"/>
      <c r="G115" s="73"/>
      <c r="H115" s="131"/>
      <c r="I115" s="97">
        <f>D115-H115</f>
        <v>427</v>
      </c>
      <c r="J115" s="73"/>
    </row>
    <row r="116" spans="2:10" x14ac:dyDescent="0.25">
      <c r="B116" s="160">
        <v>17</v>
      </c>
      <c r="C116" s="193" t="s">
        <v>201</v>
      </c>
      <c r="D116" s="194">
        <v>1065</v>
      </c>
      <c r="E116" s="97"/>
      <c r="F116" s="131"/>
      <c r="G116" s="73"/>
      <c r="H116" s="131"/>
      <c r="I116" s="97">
        <f>D116-SUM(H117:H118)</f>
        <v>-152</v>
      </c>
      <c r="J116" s="73"/>
    </row>
    <row r="117" spans="2:10" x14ac:dyDescent="0.25">
      <c r="B117" s="160"/>
      <c r="C117" s="73"/>
      <c r="D117" s="131"/>
      <c r="E117" s="133">
        <v>708</v>
      </c>
      <c r="F117" s="196">
        <v>46330</v>
      </c>
      <c r="G117" s="192" t="s">
        <v>590</v>
      </c>
      <c r="H117" s="197">
        <v>728</v>
      </c>
      <c r="I117" s="97"/>
      <c r="J117" s="73"/>
    </row>
    <row r="118" spans="2:10" x14ac:dyDescent="0.25">
      <c r="B118" s="160"/>
      <c r="C118" s="73"/>
      <c r="D118" s="131"/>
      <c r="E118" s="133">
        <v>709</v>
      </c>
      <c r="F118" s="196">
        <v>46330</v>
      </c>
      <c r="G118" s="192" t="s">
        <v>591</v>
      </c>
      <c r="H118" s="197">
        <v>489</v>
      </c>
      <c r="I118" s="97"/>
      <c r="J118" s="73"/>
    </row>
    <row r="119" spans="2:10" x14ac:dyDescent="0.25">
      <c r="B119" s="160">
        <v>18</v>
      </c>
      <c r="C119" s="73" t="s">
        <v>357</v>
      </c>
      <c r="D119" s="131">
        <v>1019</v>
      </c>
      <c r="E119" s="133">
        <v>809</v>
      </c>
      <c r="F119" s="199">
        <v>46178</v>
      </c>
      <c r="G119" s="192" t="s">
        <v>557</v>
      </c>
      <c r="H119" s="197">
        <v>1019</v>
      </c>
      <c r="I119" s="97">
        <f>D119-H119</f>
        <v>0</v>
      </c>
      <c r="J119" s="73"/>
    </row>
    <row r="120" spans="2:10" x14ac:dyDescent="0.25">
      <c r="B120" s="160">
        <v>19</v>
      </c>
      <c r="C120" s="73" t="s">
        <v>117</v>
      </c>
      <c r="D120" s="131">
        <v>693</v>
      </c>
      <c r="E120" s="97">
        <v>21</v>
      </c>
      <c r="F120" s="196" t="s">
        <v>600</v>
      </c>
      <c r="G120" s="192" t="s">
        <v>123</v>
      </c>
      <c r="H120" s="197">
        <v>366</v>
      </c>
      <c r="I120" s="97">
        <f>D120-H120</f>
        <v>327</v>
      </c>
      <c r="J120" s="73"/>
    </row>
    <row r="121" spans="2:10" x14ac:dyDescent="0.25">
      <c r="B121" s="160">
        <v>20</v>
      </c>
      <c r="C121" s="73" t="s">
        <v>396</v>
      </c>
      <c r="D121" s="131">
        <v>572</v>
      </c>
      <c r="E121" s="97">
        <v>802</v>
      </c>
      <c r="F121" s="196">
        <v>46058</v>
      </c>
      <c r="G121" s="73"/>
      <c r="H121" s="131">
        <v>572</v>
      </c>
      <c r="I121" s="97">
        <f>D121-H121</f>
        <v>0</v>
      </c>
      <c r="J121" s="73"/>
    </row>
    <row r="122" spans="2:10" x14ac:dyDescent="0.25">
      <c r="B122" s="160">
        <v>21</v>
      </c>
      <c r="C122" s="73" t="s">
        <v>101</v>
      </c>
      <c r="D122" s="131">
        <v>54212</v>
      </c>
      <c r="E122" s="97"/>
      <c r="F122" s="131"/>
      <c r="G122" s="73"/>
      <c r="H122" s="131"/>
      <c r="I122" s="97">
        <f>D122-SUM(H123:H136)</f>
        <v>16212</v>
      </c>
      <c r="J122" s="73"/>
    </row>
    <row r="123" spans="2:10" x14ac:dyDescent="0.25">
      <c r="B123" s="160"/>
      <c r="C123" s="73"/>
      <c r="D123" s="131"/>
      <c r="E123" s="133">
        <v>41</v>
      </c>
      <c r="F123" s="196">
        <v>46026</v>
      </c>
      <c r="G123" s="192" t="s">
        <v>560</v>
      </c>
      <c r="H123" s="197">
        <v>2000</v>
      </c>
      <c r="I123" s="97"/>
      <c r="J123" s="73"/>
    </row>
    <row r="124" spans="2:10" x14ac:dyDescent="0.25">
      <c r="B124" s="160"/>
      <c r="C124" s="73"/>
      <c r="D124" s="131"/>
      <c r="E124" s="133">
        <v>704</v>
      </c>
      <c r="F124" s="196">
        <v>46116</v>
      </c>
      <c r="G124" s="192" t="s">
        <v>123</v>
      </c>
      <c r="H124" s="197">
        <v>2000</v>
      </c>
      <c r="I124" s="97"/>
      <c r="J124" s="73"/>
    </row>
    <row r="125" spans="2:10" x14ac:dyDescent="0.25">
      <c r="B125" s="160"/>
      <c r="C125" s="73"/>
      <c r="D125" s="131"/>
      <c r="E125" s="133">
        <v>5</v>
      </c>
      <c r="F125" s="196">
        <v>46176</v>
      </c>
      <c r="G125" s="192" t="s">
        <v>123</v>
      </c>
      <c r="H125" s="197">
        <v>3000</v>
      </c>
      <c r="I125" s="97"/>
      <c r="J125" s="73"/>
    </row>
    <row r="126" spans="2:10" x14ac:dyDescent="0.25">
      <c r="B126" s="160"/>
      <c r="C126" s="73"/>
      <c r="D126" s="131"/>
      <c r="E126" s="133">
        <v>706</v>
      </c>
      <c r="F126" s="196">
        <v>46238</v>
      </c>
      <c r="G126" s="192" t="s">
        <v>141</v>
      </c>
      <c r="H126" s="197">
        <v>2000</v>
      </c>
      <c r="I126" s="97"/>
      <c r="J126" s="73"/>
    </row>
    <row r="127" spans="2:10" x14ac:dyDescent="0.25">
      <c r="B127" s="160"/>
      <c r="C127" s="73"/>
      <c r="D127" s="131"/>
      <c r="E127" s="133">
        <v>707</v>
      </c>
      <c r="F127" s="196">
        <v>46299</v>
      </c>
      <c r="G127" s="192" t="s">
        <v>142</v>
      </c>
      <c r="H127" s="197">
        <v>3000</v>
      </c>
      <c r="I127" s="97"/>
      <c r="J127" s="73"/>
    </row>
    <row r="128" spans="2:10" x14ac:dyDescent="0.25">
      <c r="B128" s="160"/>
      <c r="C128" s="73"/>
      <c r="D128" s="131"/>
      <c r="E128" s="133">
        <v>16</v>
      </c>
      <c r="F128" s="196">
        <v>46359</v>
      </c>
      <c r="G128" s="192" t="s">
        <v>561</v>
      </c>
      <c r="H128" s="197">
        <v>2000</v>
      </c>
      <c r="I128" s="97"/>
      <c r="J128" s="73"/>
    </row>
    <row r="129" spans="2:10" x14ac:dyDescent="0.25">
      <c r="B129" s="160"/>
      <c r="C129" s="73"/>
      <c r="D129" s="131"/>
      <c r="E129" s="133">
        <v>21</v>
      </c>
      <c r="F129" s="197" t="s">
        <v>558</v>
      </c>
      <c r="G129" s="192" t="s">
        <v>123</v>
      </c>
      <c r="H129" s="197">
        <v>2000</v>
      </c>
      <c r="I129" s="97"/>
      <c r="J129" s="73"/>
    </row>
    <row r="130" spans="2:10" x14ac:dyDescent="0.25">
      <c r="B130" s="160"/>
      <c r="C130" s="73"/>
      <c r="D130" s="131"/>
      <c r="E130" s="133">
        <v>714</v>
      </c>
      <c r="F130" s="197" t="s">
        <v>246</v>
      </c>
      <c r="G130" s="192" t="s">
        <v>193</v>
      </c>
      <c r="H130" s="197">
        <v>1625</v>
      </c>
      <c r="I130" s="97"/>
      <c r="J130" s="73"/>
    </row>
    <row r="131" spans="2:10" x14ac:dyDescent="0.25">
      <c r="B131" s="160"/>
      <c r="C131" s="73"/>
      <c r="D131" s="131"/>
      <c r="E131" s="133">
        <v>716</v>
      </c>
      <c r="F131" s="197" t="s">
        <v>254</v>
      </c>
      <c r="G131" s="192" t="s">
        <v>562</v>
      </c>
      <c r="H131" s="197">
        <v>3375</v>
      </c>
      <c r="I131" s="97"/>
      <c r="J131" s="73"/>
    </row>
    <row r="132" spans="2:10" x14ac:dyDescent="0.25">
      <c r="B132" s="160"/>
      <c r="C132" s="73"/>
      <c r="D132" s="131"/>
      <c r="E132" s="133">
        <v>30</v>
      </c>
      <c r="F132" s="197" t="s">
        <v>323</v>
      </c>
      <c r="G132" s="192" t="s">
        <v>123</v>
      </c>
      <c r="H132" s="197">
        <v>6000</v>
      </c>
      <c r="I132" s="97"/>
      <c r="J132" s="73"/>
    </row>
    <row r="133" spans="2:10" x14ac:dyDescent="0.25">
      <c r="B133" s="160"/>
      <c r="C133" s="73"/>
      <c r="D133" s="131"/>
      <c r="E133" s="133">
        <v>729</v>
      </c>
      <c r="F133" s="197" t="s">
        <v>315</v>
      </c>
      <c r="G133" s="192" t="s">
        <v>563</v>
      </c>
      <c r="H133" s="197">
        <v>3000</v>
      </c>
      <c r="I133" s="97"/>
      <c r="J133" s="73"/>
    </row>
    <row r="134" spans="2:10" x14ac:dyDescent="0.25">
      <c r="B134" s="160"/>
      <c r="C134" s="73"/>
      <c r="D134" s="131"/>
      <c r="E134" s="133">
        <v>743</v>
      </c>
      <c r="F134" s="197" t="s">
        <v>386</v>
      </c>
      <c r="G134" s="192" t="s">
        <v>563</v>
      </c>
      <c r="H134" s="197">
        <v>3000</v>
      </c>
      <c r="I134" s="97"/>
      <c r="J134" s="73"/>
    </row>
    <row r="135" spans="2:10" x14ac:dyDescent="0.25">
      <c r="B135" s="160"/>
      <c r="C135" s="73"/>
      <c r="D135" s="131"/>
      <c r="E135" s="133">
        <v>50</v>
      </c>
      <c r="F135" s="197" t="s">
        <v>559</v>
      </c>
      <c r="G135" s="192" t="s">
        <v>193</v>
      </c>
      <c r="H135" s="197">
        <v>2000</v>
      </c>
      <c r="I135" s="97"/>
      <c r="J135" s="73"/>
    </row>
    <row r="136" spans="2:10" x14ac:dyDescent="0.25">
      <c r="B136" s="160"/>
      <c r="C136" s="73"/>
      <c r="D136" s="131"/>
      <c r="E136" s="133">
        <v>801</v>
      </c>
      <c r="F136" s="197" t="s">
        <v>408</v>
      </c>
      <c r="G136" s="192" t="s">
        <v>564</v>
      </c>
      <c r="H136" s="197">
        <v>3000</v>
      </c>
      <c r="I136" s="97"/>
      <c r="J136" s="73"/>
    </row>
    <row r="137" spans="2:10" x14ac:dyDescent="0.25">
      <c r="B137" s="160">
        <v>22</v>
      </c>
      <c r="C137" s="73" t="s">
        <v>543</v>
      </c>
      <c r="D137" s="131">
        <v>1346</v>
      </c>
      <c r="E137" s="97"/>
      <c r="F137" s="195"/>
      <c r="H137" s="195"/>
      <c r="I137" s="97">
        <f>D137-SUM(H138:H140)</f>
        <v>-409</v>
      </c>
      <c r="J137" s="73"/>
    </row>
    <row r="138" spans="2:10" x14ac:dyDescent="0.25">
      <c r="B138" s="160"/>
      <c r="C138" s="73"/>
      <c r="D138" s="131"/>
      <c r="E138" s="97">
        <v>703</v>
      </c>
      <c r="F138" s="196">
        <v>46085</v>
      </c>
      <c r="G138" s="193" t="s">
        <v>578</v>
      </c>
      <c r="H138" s="194">
        <v>863</v>
      </c>
      <c r="I138" s="97"/>
      <c r="J138" s="73"/>
    </row>
    <row r="139" spans="2:10" x14ac:dyDescent="0.25">
      <c r="B139" s="160"/>
      <c r="C139" s="73"/>
      <c r="D139" s="131"/>
      <c r="E139" s="133">
        <v>717</v>
      </c>
      <c r="F139" s="197" t="s">
        <v>254</v>
      </c>
      <c r="G139" s="192" t="s">
        <v>599</v>
      </c>
      <c r="H139" s="197">
        <v>483</v>
      </c>
      <c r="I139" s="97"/>
      <c r="J139" s="73"/>
    </row>
    <row r="140" spans="2:10" x14ac:dyDescent="0.25">
      <c r="B140" s="160"/>
      <c r="C140" s="73"/>
      <c r="D140" s="131"/>
      <c r="E140" s="133">
        <v>33</v>
      </c>
      <c r="F140" s="197" t="s">
        <v>598</v>
      </c>
      <c r="G140" s="192" t="s">
        <v>578</v>
      </c>
      <c r="H140" s="197">
        <v>409</v>
      </c>
      <c r="I140" s="97"/>
      <c r="J140" s="73"/>
    </row>
    <row r="141" spans="2:10" x14ac:dyDescent="0.25">
      <c r="B141" s="160">
        <v>23</v>
      </c>
      <c r="C141" s="73" t="s">
        <v>435</v>
      </c>
      <c r="D141" s="131">
        <v>1782</v>
      </c>
      <c r="E141" s="133">
        <v>816</v>
      </c>
      <c r="F141" s="196">
        <v>46331</v>
      </c>
      <c r="G141" s="192" t="s">
        <v>592</v>
      </c>
      <c r="H141" s="197">
        <v>1728</v>
      </c>
      <c r="I141" s="97">
        <f>D141-H141</f>
        <v>54</v>
      </c>
      <c r="J141" s="73"/>
    </row>
    <row r="142" spans="2:10" x14ac:dyDescent="0.25">
      <c r="B142" s="160">
        <v>24</v>
      </c>
      <c r="C142" s="73" t="s">
        <v>174</v>
      </c>
      <c r="D142" s="131">
        <v>593</v>
      </c>
      <c r="E142" s="97">
        <v>23</v>
      </c>
      <c r="F142" s="197" t="s">
        <v>565</v>
      </c>
      <c r="G142" s="192" t="s">
        <v>590</v>
      </c>
      <c r="H142" s="197">
        <v>593</v>
      </c>
      <c r="I142" s="97">
        <f>D142-H142</f>
        <v>0</v>
      </c>
      <c r="J142" s="73"/>
    </row>
    <row r="143" spans="2:10" x14ac:dyDescent="0.25">
      <c r="B143" s="160">
        <v>25</v>
      </c>
      <c r="C143" s="73" t="s">
        <v>209</v>
      </c>
      <c r="D143" s="131">
        <v>640</v>
      </c>
      <c r="E143" s="97"/>
      <c r="F143" s="131"/>
      <c r="G143" s="73"/>
      <c r="H143" s="131"/>
      <c r="I143" s="97">
        <f>D143-H143</f>
        <v>640</v>
      </c>
      <c r="J143" s="73"/>
    </row>
    <row r="144" spans="2:10" x14ac:dyDescent="0.25">
      <c r="B144" s="160">
        <v>26</v>
      </c>
      <c r="C144" s="73" t="s">
        <v>146</v>
      </c>
      <c r="D144" s="131">
        <v>5469</v>
      </c>
      <c r="E144" s="97"/>
      <c r="F144" s="131"/>
      <c r="G144" s="73"/>
      <c r="H144" s="131"/>
      <c r="I144" s="97">
        <f>D144-SUM(H145:H149)</f>
        <v>-5</v>
      </c>
      <c r="J144" s="73"/>
    </row>
    <row r="145" spans="2:10" x14ac:dyDescent="0.25">
      <c r="B145" s="160"/>
      <c r="C145" s="73"/>
      <c r="D145" s="131"/>
      <c r="E145" s="133">
        <v>701</v>
      </c>
      <c r="F145" s="196">
        <v>46026</v>
      </c>
      <c r="G145" s="192" t="s">
        <v>566</v>
      </c>
      <c r="H145" s="197">
        <v>1018</v>
      </c>
      <c r="I145" s="97"/>
      <c r="J145" s="73"/>
    </row>
    <row r="146" spans="2:10" x14ac:dyDescent="0.25">
      <c r="B146" s="160"/>
      <c r="C146" s="73"/>
      <c r="D146" s="131"/>
      <c r="E146" s="133">
        <v>806</v>
      </c>
      <c r="F146" s="196">
        <v>46086</v>
      </c>
      <c r="G146" s="192" t="s">
        <v>268</v>
      </c>
      <c r="H146" s="197">
        <v>485</v>
      </c>
      <c r="I146" s="97"/>
      <c r="J146" s="73"/>
    </row>
    <row r="147" spans="2:10" x14ac:dyDescent="0.25">
      <c r="B147" s="160"/>
      <c r="C147" s="73"/>
      <c r="D147" s="131"/>
      <c r="E147" s="133">
        <v>727</v>
      </c>
      <c r="F147" s="197" t="s">
        <v>300</v>
      </c>
      <c r="G147" s="192" t="s">
        <v>567</v>
      </c>
      <c r="H147" s="197">
        <v>2000</v>
      </c>
      <c r="I147" s="97"/>
      <c r="J147" s="73"/>
    </row>
    <row r="148" spans="2:10" x14ac:dyDescent="0.25">
      <c r="B148" s="160"/>
      <c r="C148" s="73"/>
      <c r="D148" s="131"/>
      <c r="E148" s="133">
        <v>22</v>
      </c>
      <c r="F148" s="197" t="s">
        <v>565</v>
      </c>
      <c r="G148" s="192" t="s">
        <v>568</v>
      </c>
      <c r="H148" s="197">
        <v>925</v>
      </c>
      <c r="I148" s="97"/>
      <c r="J148" s="73"/>
    </row>
    <row r="149" spans="2:10" x14ac:dyDescent="0.25">
      <c r="B149" s="160"/>
      <c r="C149" s="73"/>
      <c r="D149" s="131"/>
      <c r="E149" s="133">
        <v>746</v>
      </c>
      <c r="F149" s="197" t="s">
        <v>395</v>
      </c>
      <c r="G149" s="192" t="s">
        <v>268</v>
      </c>
      <c r="H149" s="197">
        <v>1046</v>
      </c>
      <c r="I149" s="97"/>
      <c r="J149" s="73"/>
    </row>
    <row r="150" spans="2:10" x14ac:dyDescent="0.25">
      <c r="B150" s="160">
        <v>27</v>
      </c>
      <c r="C150" s="73" t="s">
        <v>179</v>
      </c>
      <c r="D150" s="131">
        <v>2689</v>
      </c>
      <c r="E150" s="97"/>
      <c r="F150" s="131"/>
      <c r="G150" s="73"/>
      <c r="H150" s="131"/>
      <c r="I150" s="97">
        <f>D150-SUM(H151:H154)</f>
        <v>-10</v>
      </c>
      <c r="J150" s="73"/>
    </row>
    <row r="151" spans="2:10" x14ac:dyDescent="0.25">
      <c r="B151" s="160"/>
      <c r="C151" s="73"/>
      <c r="D151" s="131"/>
      <c r="E151" s="133">
        <v>814</v>
      </c>
      <c r="F151" s="196">
        <v>46208</v>
      </c>
      <c r="G151" s="192" t="s">
        <v>190</v>
      </c>
      <c r="H151" s="197">
        <v>1295</v>
      </c>
      <c r="I151" s="97"/>
      <c r="J151" s="73"/>
    </row>
    <row r="152" spans="2:10" x14ac:dyDescent="0.25">
      <c r="B152" s="160"/>
      <c r="C152" s="73"/>
      <c r="D152" s="131"/>
      <c r="E152" s="133">
        <v>705</v>
      </c>
      <c r="F152" s="196">
        <v>46177</v>
      </c>
      <c r="G152" s="192" t="s">
        <v>586</v>
      </c>
      <c r="H152" s="197">
        <v>467</v>
      </c>
      <c r="I152" s="97"/>
      <c r="J152" s="73"/>
    </row>
    <row r="153" spans="2:10" x14ac:dyDescent="0.25">
      <c r="B153" s="160"/>
      <c r="C153" s="73"/>
      <c r="D153" s="131"/>
      <c r="E153" s="133">
        <v>725</v>
      </c>
      <c r="F153" s="197" t="s">
        <v>300</v>
      </c>
      <c r="G153" s="192" t="s">
        <v>587</v>
      </c>
      <c r="H153" s="197">
        <v>430</v>
      </c>
      <c r="I153" s="97"/>
      <c r="J153" s="73"/>
    </row>
    <row r="154" spans="2:10" x14ac:dyDescent="0.25">
      <c r="B154" s="160"/>
      <c r="C154" s="73"/>
      <c r="D154" s="131"/>
      <c r="E154" s="133">
        <v>43</v>
      </c>
      <c r="F154" s="197" t="s">
        <v>585</v>
      </c>
      <c r="G154" s="192" t="s">
        <v>407</v>
      </c>
      <c r="H154" s="197">
        <v>507</v>
      </c>
      <c r="I154" s="97"/>
      <c r="J154" s="73"/>
    </row>
    <row r="155" spans="2:10" x14ac:dyDescent="0.25">
      <c r="B155" s="160">
        <v>28</v>
      </c>
      <c r="C155" s="73" t="s">
        <v>413</v>
      </c>
      <c r="D155" s="131">
        <v>1641</v>
      </c>
      <c r="E155" s="97">
        <v>410</v>
      </c>
      <c r="F155" s="195"/>
      <c r="H155" s="195"/>
      <c r="I155" s="97">
        <f>D155-SUM(H156:H157)</f>
        <v>578</v>
      </c>
      <c r="J155" s="73"/>
    </row>
    <row r="156" spans="2:10" x14ac:dyDescent="0.25">
      <c r="B156" s="160"/>
      <c r="C156" s="73"/>
      <c r="D156" s="131"/>
      <c r="E156" s="97"/>
      <c r="F156" s="196">
        <v>46178</v>
      </c>
      <c r="G156" s="192" t="s">
        <v>412</v>
      </c>
      <c r="H156" s="197">
        <v>487</v>
      </c>
      <c r="I156" s="97"/>
      <c r="J156" s="73"/>
    </row>
    <row r="157" spans="2:10" x14ac:dyDescent="0.25">
      <c r="B157" s="160"/>
      <c r="C157" s="73"/>
      <c r="D157" s="131"/>
      <c r="E157" s="97"/>
      <c r="F157" s="196">
        <v>46208</v>
      </c>
      <c r="G157" s="192" t="s">
        <v>412</v>
      </c>
      <c r="H157" s="197">
        <v>576</v>
      </c>
      <c r="I157" s="97"/>
      <c r="J157" s="73"/>
    </row>
    <row r="158" spans="2:10" x14ac:dyDescent="0.25">
      <c r="B158" s="160">
        <v>29</v>
      </c>
      <c r="C158" s="73" t="s">
        <v>526</v>
      </c>
      <c r="D158" s="131">
        <v>2367</v>
      </c>
      <c r="E158" s="97"/>
      <c r="F158" s="131"/>
      <c r="G158" s="73"/>
      <c r="H158" s="131"/>
      <c r="I158" s="97">
        <f>D158-SUM(H159:H161)</f>
        <v>0</v>
      </c>
      <c r="J158" s="73"/>
    </row>
    <row r="159" spans="2:10" x14ac:dyDescent="0.25">
      <c r="B159" s="160"/>
      <c r="C159" s="73"/>
      <c r="D159" s="131"/>
      <c r="E159" s="133">
        <v>730</v>
      </c>
      <c r="F159" s="197" t="s">
        <v>311</v>
      </c>
      <c r="G159" s="192" t="s">
        <v>604</v>
      </c>
      <c r="H159" s="197">
        <v>413</v>
      </c>
      <c r="I159" s="97"/>
      <c r="J159" s="73"/>
    </row>
    <row r="160" spans="2:10" x14ac:dyDescent="0.25">
      <c r="B160" s="160"/>
      <c r="C160" s="73"/>
      <c r="D160" s="131"/>
      <c r="E160" s="133">
        <v>742</v>
      </c>
      <c r="F160" s="197" t="s">
        <v>386</v>
      </c>
      <c r="G160" s="192" t="s">
        <v>604</v>
      </c>
      <c r="H160" s="197">
        <v>481</v>
      </c>
      <c r="I160" s="97"/>
      <c r="J160" s="73"/>
    </row>
    <row r="161" spans="2:10" x14ac:dyDescent="0.25">
      <c r="B161" s="160"/>
      <c r="C161" s="73"/>
      <c r="D161" s="131"/>
      <c r="E161" s="133">
        <v>821</v>
      </c>
      <c r="F161" s="197" t="s">
        <v>610</v>
      </c>
      <c r="G161" s="192" t="s">
        <v>611</v>
      </c>
      <c r="H161" s="197">
        <v>1473</v>
      </c>
      <c r="I161" s="97"/>
      <c r="J161" s="73"/>
    </row>
    <row r="162" spans="2:10" x14ac:dyDescent="0.25">
      <c r="B162" s="160">
        <v>30</v>
      </c>
      <c r="C162" s="73" t="s">
        <v>164</v>
      </c>
      <c r="D162" s="131">
        <v>493</v>
      </c>
      <c r="E162" s="97"/>
      <c r="F162" s="131"/>
      <c r="G162" s="73"/>
      <c r="H162" s="131"/>
      <c r="I162" s="97">
        <f>D162-H162</f>
        <v>493</v>
      </c>
      <c r="J162" s="73"/>
    </row>
    <row r="163" spans="2:10" x14ac:dyDescent="0.25">
      <c r="B163" s="160">
        <v>31</v>
      </c>
      <c r="C163" s="73" t="s">
        <v>110</v>
      </c>
      <c r="D163" s="131">
        <v>643</v>
      </c>
      <c r="E163" s="97">
        <v>4</v>
      </c>
      <c r="F163" s="196">
        <v>46056</v>
      </c>
      <c r="G163" s="192" t="s">
        <v>123</v>
      </c>
      <c r="H163" s="197">
        <v>658</v>
      </c>
      <c r="I163" s="97">
        <f>D163-H163</f>
        <v>-15</v>
      </c>
      <c r="J163" s="73"/>
    </row>
    <row r="164" spans="2:10" x14ac:dyDescent="0.25">
      <c r="B164" s="160">
        <v>32</v>
      </c>
      <c r="C164" s="73" t="s">
        <v>621</v>
      </c>
      <c r="D164" s="131">
        <v>0</v>
      </c>
      <c r="E164" s="97"/>
      <c r="F164" s="131"/>
      <c r="G164" s="73"/>
      <c r="H164" s="131"/>
      <c r="I164" s="97">
        <f>D164-SUM(H165)</f>
        <v>-4892</v>
      </c>
      <c r="J164" s="73"/>
    </row>
    <row r="165" spans="2:10" x14ac:dyDescent="0.25">
      <c r="B165" s="160"/>
      <c r="C165" s="73"/>
      <c r="D165" s="131"/>
      <c r="E165" s="97">
        <v>820</v>
      </c>
      <c r="F165" s="73" t="s">
        <v>619</v>
      </c>
      <c r="G165" s="73" t="s">
        <v>622</v>
      </c>
      <c r="H165" s="131">
        <v>4892</v>
      </c>
      <c r="I165" s="97"/>
      <c r="J165" s="73"/>
    </row>
    <row r="166" spans="2:10" x14ac:dyDescent="0.25">
      <c r="D166" s="195"/>
      <c r="E166" s="160"/>
      <c r="H166" s="195"/>
    </row>
    <row r="167" spans="2:10" x14ac:dyDescent="0.25">
      <c r="D167" s="195"/>
      <c r="E167" s="160"/>
      <c r="H167" s="195"/>
    </row>
    <row r="168" spans="2:10" x14ac:dyDescent="0.25">
      <c r="D168" s="195"/>
      <c r="E168" s="160"/>
      <c r="H168" s="195"/>
    </row>
    <row r="169" spans="2:10" x14ac:dyDescent="0.25">
      <c r="D169" s="195"/>
      <c r="E169" s="160"/>
      <c r="H169" s="195"/>
    </row>
    <row r="170" spans="2:10" x14ac:dyDescent="0.25">
      <c r="D170" s="195"/>
      <c r="E170" s="160"/>
    </row>
    <row r="171" spans="2:10" x14ac:dyDescent="0.25">
      <c r="D171" s="195"/>
      <c r="E171" s="160"/>
    </row>
    <row r="172" spans="2:10" x14ac:dyDescent="0.25">
      <c r="D172" s="195"/>
      <c r="E172" s="160"/>
    </row>
    <row r="173" spans="2:10" x14ac:dyDescent="0.25">
      <c r="D173" s="195"/>
      <c r="E173" s="160"/>
    </row>
    <row r="174" spans="2:10" x14ac:dyDescent="0.25">
      <c r="D174" s="195"/>
      <c r="E174" s="160"/>
    </row>
    <row r="175" spans="2:10" x14ac:dyDescent="0.25">
      <c r="D175" s="195"/>
      <c r="E175" s="160"/>
    </row>
    <row r="176" spans="2:10" x14ac:dyDescent="0.25">
      <c r="D176" s="195"/>
      <c r="E176" s="160"/>
    </row>
    <row r="177" spans="4:5" x14ac:dyDescent="0.25">
      <c r="D177" s="195"/>
      <c r="E177" s="160"/>
    </row>
    <row r="178" spans="4:5" x14ac:dyDescent="0.25">
      <c r="D178" s="195"/>
      <c r="E178" s="160"/>
    </row>
    <row r="179" spans="4:5" x14ac:dyDescent="0.25">
      <c r="D179" s="195"/>
      <c r="E179" s="160"/>
    </row>
    <row r="180" spans="4:5" x14ac:dyDescent="0.25">
      <c r="D180" s="195"/>
      <c r="E180" s="160"/>
    </row>
    <row r="181" spans="4:5" x14ac:dyDescent="0.25">
      <c r="D181" s="195"/>
      <c r="E181" s="160"/>
    </row>
    <row r="182" spans="4:5" x14ac:dyDescent="0.25">
      <c r="D182" s="195"/>
      <c r="E182" s="160"/>
    </row>
    <row r="183" spans="4:5" x14ac:dyDescent="0.25">
      <c r="D183" s="195"/>
      <c r="E183" s="160"/>
    </row>
    <row r="184" spans="4:5" x14ac:dyDescent="0.25">
      <c r="D184" s="195"/>
      <c r="E184" s="160"/>
    </row>
    <row r="185" spans="4:5" x14ac:dyDescent="0.25">
      <c r="D185" s="195"/>
      <c r="E185" s="160"/>
    </row>
    <row r="186" spans="4:5" x14ac:dyDescent="0.25">
      <c r="D186" s="195"/>
      <c r="E186" s="160"/>
    </row>
    <row r="187" spans="4:5" x14ac:dyDescent="0.25">
      <c r="D187" s="195"/>
    </row>
  </sheetData>
  <autoFilter ref="C61:H165" xr:uid="{5A380053-6066-42BC-96EB-4B8C87D9270D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7D31-ABE0-4E37-BEC9-53FF99D9AC86}">
  <dimension ref="D3:Y17"/>
  <sheetViews>
    <sheetView topLeftCell="F106" workbookViewId="0">
      <selection activeCell="Q15" sqref="Q15"/>
    </sheetView>
  </sheetViews>
  <sheetFormatPr defaultColWidth="10.109375" defaultRowHeight="13.8" x14ac:dyDescent="0.3"/>
  <cols>
    <col min="1" max="3" width="10.109375" style="177"/>
    <col min="4" max="4" width="10.5546875" style="177" bestFit="1" customWidth="1"/>
    <col min="5" max="5" width="12.33203125" style="177" bestFit="1" customWidth="1"/>
    <col min="6" max="6" width="7.33203125" style="177" bestFit="1" customWidth="1"/>
    <col min="7" max="7" width="8.21875" style="177" bestFit="1" customWidth="1"/>
    <col min="8" max="8" width="15.77734375" style="177" bestFit="1" customWidth="1"/>
    <col min="9" max="9" width="9.77734375" style="177" bestFit="1" customWidth="1"/>
    <col min="10" max="10" width="12.33203125" style="177" customWidth="1"/>
    <col min="11" max="11" width="8.77734375" style="177" bestFit="1" customWidth="1"/>
    <col min="12" max="12" width="8.77734375" style="177" customWidth="1"/>
    <col min="13" max="13" width="8.33203125" style="177" bestFit="1" customWidth="1"/>
    <col min="14" max="14" width="7.44140625" style="177" bestFit="1" customWidth="1"/>
    <col min="15" max="15" width="11" style="177" bestFit="1" customWidth="1"/>
    <col min="16" max="16" width="7.88671875" style="177" bestFit="1" customWidth="1"/>
    <col min="17" max="17" width="9.33203125" style="177" bestFit="1" customWidth="1"/>
    <col min="18" max="20" width="9.33203125" style="177" customWidth="1"/>
    <col min="21" max="21" width="11.109375" style="177" bestFit="1" customWidth="1"/>
    <col min="22" max="24" width="11.109375" style="177" customWidth="1"/>
    <col min="25" max="25" width="30.6640625" style="177" bestFit="1" customWidth="1"/>
    <col min="26" max="16384" width="10.109375" style="177"/>
  </cols>
  <sheetData>
    <row r="3" spans="4:25" x14ac:dyDescent="0.3">
      <c r="E3" s="177" t="s">
        <v>728</v>
      </c>
    </row>
    <row r="4" spans="4:25" ht="41.4" x14ac:dyDescent="0.3">
      <c r="D4" s="221" t="s">
        <v>700</v>
      </c>
      <c r="E4" s="221" t="s">
        <v>712</v>
      </c>
      <c r="F4" s="221" t="s">
        <v>711</v>
      </c>
      <c r="G4" s="221" t="s">
        <v>701</v>
      </c>
      <c r="H4" s="221" t="s">
        <v>718</v>
      </c>
      <c r="I4" s="221" t="s">
        <v>702</v>
      </c>
      <c r="J4" s="221" t="s">
        <v>710</v>
      </c>
      <c r="K4" s="221" t="s">
        <v>705</v>
      </c>
      <c r="L4" s="221" t="s">
        <v>723</v>
      </c>
      <c r="M4" s="221" t="s">
        <v>719</v>
      </c>
      <c r="N4" s="221" t="s">
        <v>707</v>
      </c>
      <c r="O4" s="221" t="s">
        <v>708</v>
      </c>
      <c r="P4" s="221" t="s">
        <v>706</v>
      </c>
      <c r="Q4" s="221" t="s">
        <v>651</v>
      </c>
      <c r="R4" s="221" t="s">
        <v>725</v>
      </c>
      <c r="S4" s="221" t="s">
        <v>724</v>
      </c>
      <c r="T4" s="221" t="s">
        <v>727</v>
      </c>
      <c r="U4" s="221" t="s">
        <v>726</v>
      </c>
      <c r="V4" s="221" t="s">
        <v>721</v>
      </c>
      <c r="W4" s="221" t="s">
        <v>722</v>
      </c>
      <c r="X4" s="221" t="s">
        <v>706</v>
      </c>
      <c r="Y4" s="221" t="s">
        <v>93</v>
      </c>
    </row>
    <row r="5" spans="4:25" x14ac:dyDescent="0.3">
      <c r="D5" s="222" t="s">
        <v>709</v>
      </c>
      <c r="E5" s="222" t="s">
        <v>713</v>
      </c>
      <c r="F5" s="222" t="s">
        <v>703</v>
      </c>
      <c r="G5" s="223">
        <v>0</v>
      </c>
      <c r="H5" s="223">
        <f>26625+29000+31050</f>
        <v>86675</v>
      </c>
      <c r="I5" s="223">
        <f>J5-H5</f>
        <v>103000</v>
      </c>
      <c r="J5" s="223">
        <f>189675</f>
        <v>189675</v>
      </c>
      <c r="K5" s="223">
        <f>121767</f>
        <v>121767</v>
      </c>
      <c r="L5" s="223">
        <f>1530+138796</f>
        <v>140326</v>
      </c>
      <c r="M5" s="223"/>
      <c r="N5" s="223">
        <v>10000</v>
      </c>
      <c r="O5" s="223">
        <v>21705</v>
      </c>
      <c r="P5" s="223">
        <f>J5-K5-N5-O5</f>
        <v>36203</v>
      </c>
      <c r="Q5" s="223">
        <f>P5-U5</f>
        <v>32528</v>
      </c>
      <c r="R5" s="223">
        <f>15254</f>
        <v>15254</v>
      </c>
      <c r="S5" s="223">
        <v>12925</v>
      </c>
      <c r="T5" s="223">
        <f>R5-S5</f>
        <v>2329</v>
      </c>
      <c r="U5" s="223">
        <v>3675</v>
      </c>
      <c r="V5" s="223"/>
      <c r="W5" s="223"/>
      <c r="X5" s="223"/>
      <c r="Y5" s="222"/>
    </row>
    <row r="6" spans="4:25" ht="27.6" x14ac:dyDescent="0.3">
      <c r="D6" s="222" t="s">
        <v>709</v>
      </c>
      <c r="E6" s="222" t="s">
        <v>714</v>
      </c>
      <c r="F6" s="222" t="s">
        <v>704</v>
      </c>
      <c r="G6" s="223">
        <v>0</v>
      </c>
      <c r="H6" s="223">
        <v>601</v>
      </c>
      <c r="I6" s="223">
        <v>2588</v>
      </c>
      <c r="J6" s="223">
        <f>H6+I6</f>
        <v>3189</v>
      </c>
      <c r="K6" s="223"/>
      <c r="L6" s="223"/>
      <c r="M6" s="223">
        <v>0</v>
      </c>
      <c r="N6" s="223"/>
      <c r="O6" s="223"/>
      <c r="P6" s="223"/>
      <c r="Q6" s="223"/>
      <c r="R6" s="223"/>
      <c r="S6" s="223"/>
      <c r="T6" s="223"/>
      <c r="U6" s="223"/>
      <c r="V6" s="223">
        <v>375</v>
      </c>
      <c r="W6" s="223">
        <v>45</v>
      </c>
      <c r="X6" s="223">
        <f>J6-W6</f>
        <v>3144</v>
      </c>
      <c r="Y6" s="224" t="s">
        <v>715</v>
      </c>
    </row>
    <row r="7" spans="4:25" x14ac:dyDescent="0.3">
      <c r="D7" s="222" t="s">
        <v>709</v>
      </c>
      <c r="E7" s="222" t="s">
        <v>716</v>
      </c>
      <c r="F7" s="222" t="s">
        <v>703</v>
      </c>
      <c r="G7" s="223">
        <v>0</v>
      </c>
      <c r="H7" s="223">
        <v>0</v>
      </c>
      <c r="I7" s="223">
        <f>332000</f>
        <v>332000</v>
      </c>
      <c r="J7" s="223">
        <f>I7</f>
        <v>332000</v>
      </c>
      <c r="K7" s="223">
        <f>304953</f>
        <v>304953</v>
      </c>
      <c r="L7" s="223"/>
      <c r="M7" s="223"/>
      <c r="N7" s="223"/>
      <c r="O7" s="223"/>
      <c r="P7" s="223">
        <f>J7-K7</f>
        <v>27047</v>
      </c>
      <c r="Q7" s="223"/>
      <c r="R7" s="223"/>
      <c r="S7" s="223"/>
      <c r="T7" s="223"/>
      <c r="U7" s="223"/>
      <c r="V7" s="223"/>
      <c r="W7" s="223"/>
      <c r="X7" s="223"/>
      <c r="Y7" s="222" t="s">
        <v>717</v>
      </c>
    </row>
    <row r="8" spans="4:25" x14ac:dyDescent="0.3">
      <c r="D8" s="222" t="s">
        <v>709</v>
      </c>
      <c r="E8" s="222" t="s">
        <v>716</v>
      </c>
      <c r="F8" s="222" t="s">
        <v>704</v>
      </c>
      <c r="G8" s="223">
        <v>0</v>
      </c>
      <c r="H8" s="223">
        <v>0</v>
      </c>
      <c r="I8" s="223">
        <f>2412</f>
        <v>2412</v>
      </c>
      <c r="J8" s="223">
        <f>I8</f>
        <v>2412</v>
      </c>
      <c r="K8" s="223"/>
      <c r="L8" s="223"/>
      <c r="M8" s="223">
        <f>601</f>
        <v>601</v>
      </c>
      <c r="N8" s="223"/>
      <c r="O8" s="223"/>
      <c r="P8" s="223">
        <f>J8-M8</f>
        <v>1811</v>
      </c>
      <c r="Q8" s="223"/>
      <c r="R8" s="223"/>
      <c r="S8" s="223"/>
      <c r="T8" s="223"/>
      <c r="U8" s="223"/>
      <c r="V8" s="223"/>
      <c r="W8" s="223"/>
      <c r="X8" s="223"/>
      <c r="Y8" s="222" t="s">
        <v>720</v>
      </c>
    </row>
    <row r="12" spans="4:25" x14ac:dyDescent="0.3">
      <c r="E12" s="177" t="s">
        <v>740</v>
      </c>
    </row>
    <row r="13" spans="4:25" ht="41.4" x14ac:dyDescent="0.3">
      <c r="D13" s="221" t="s">
        <v>700</v>
      </c>
      <c r="E13" s="221" t="s">
        <v>712</v>
      </c>
      <c r="F13" s="221" t="s">
        <v>711</v>
      </c>
      <c r="G13" s="221" t="s">
        <v>701</v>
      </c>
      <c r="H13" s="221" t="s">
        <v>718</v>
      </c>
      <c r="I13" s="221" t="s">
        <v>702</v>
      </c>
      <c r="J13" s="221" t="s">
        <v>710</v>
      </c>
      <c r="K13" s="221" t="s">
        <v>705</v>
      </c>
      <c r="L13" s="221" t="s">
        <v>723</v>
      </c>
      <c r="M13" s="221" t="s">
        <v>719</v>
      </c>
      <c r="N13" s="221" t="s">
        <v>707</v>
      </c>
      <c r="O13" s="221" t="s">
        <v>708</v>
      </c>
      <c r="P13" s="221" t="s">
        <v>706</v>
      </c>
      <c r="Q13" s="221" t="s">
        <v>651</v>
      </c>
      <c r="R13" s="221" t="s">
        <v>725</v>
      </c>
      <c r="S13" s="221" t="s">
        <v>724</v>
      </c>
      <c r="T13" s="221" t="s">
        <v>727</v>
      </c>
      <c r="U13" s="221" t="s">
        <v>726</v>
      </c>
      <c r="V13" s="221" t="s">
        <v>721</v>
      </c>
      <c r="W13" s="221" t="s">
        <v>722</v>
      </c>
      <c r="X13" s="221" t="s">
        <v>706</v>
      </c>
      <c r="Y13" s="221" t="s">
        <v>93</v>
      </c>
    </row>
    <row r="14" spans="4:25" x14ac:dyDescent="0.3">
      <c r="D14" s="222" t="s">
        <v>709</v>
      </c>
      <c r="E14" s="222" t="s">
        <v>713</v>
      </c>
      <c r="F14" s="222" t="s">
        <v>703</v>
      </c>
      <c r="G14" s="223">
        <v>0</v>
      </c>
      <c r="H14" s="223">
        <f>26625+29000+31050</f>
        <v>86675</v>
      </c>
      <c r="I14" s="223">
        <f>J14-H14</f>
        <v>103000</v>
      </c>
      <c r="J14" s="223">
        <f>189675</f>
        <v>189675</v>
      </c>
      <c r="K14" s="223">
        <v>135851</v>
      </c>
      <c r="L14" s="223">
        <f>1530+138796</f>
        <v>140326</v>
      </c>
      <c r="M14" s="223"/>
      <c r="N14" s="223">
        <v>10000</v>
      </c>
      <c r="O14" s="223">
        <v>21705</v>
      </c>
      <c r="P14" s="223">
        <f>J14-K14-N14-O14</f>
        <v>22119</v>
      </c>
      <c r="Q14" s="223">
        <f>P14-U14</f>
        <v>18444</v>
      </c>
      <c r="R14" s="223">
        <f>15254</f>
        <v>15254</v>
      </c>
      <c r="S14" s="223">
        <v>12925</v>
      </c>
      <c r="T14" s="223">
        <f>R14-S14</f>
        <v>2329</v>
      </c>
      <c r="U14" s="223">
        <v>3675</v>
      </c>
      <c r="V14" s="223"/>
      <c r="W14" s="223"/>
      <c r="X14" s="223"/>
      <c r="Y14" s="222"/>
    </row>
    <row r="15" spans="4:25" ht="27.6" x14ac:dyDescent="0.3">
      <c r="D15" s="222" t="s">
        <v>709</v>
      </c>
      <c r="E15" s="222" t="s">
        <v>714</v>
      </c>
      <c r="F15" s="222" t="s">
        <v>704</v>
      </c>
      <c r="G15" s="223">
        <v>0</v>
      </c>
      <c r="H15" s="223">
        <v>601</v>
      </c>
      <c r="I15" s="223">
        <v>2588</v>
      </c>
      <c r="J15" s="223">
        <f>H15+I15</f>
        <v>3189</v>
      </c>
      <c r="K15" s="223"/>
      <c r="L15" s="223"/>
      <c r="M15" s="223">
        <v>0</v>
      </c>
      <c r="N15" s="223"/>
      <c r="O15" s="223"/>
      <c r="P15" s="223"/>
      <c r="Q15" s="223"/>
      <c r="R15" s="223"/>
      <c r="S15" s="223"/>
      <c r="T15" s="223"/>
      <c r="U15" s="223"/>
      <c r="V15" s="223">
        <v>375</v>
      </c>
      <c r="W15" s="223">
        <v>45</v>
      </c>
      <c r="X15" s="223">
        <f>J15-W15</f>
        <v>3144</v>
      </c>
      <c r="Y15" s="224" t="s">
        <v>715</v>
      </c>
    </row>
    <row r="16" spans="4:25" x14ac:dyDescent="0.3">
      <c r="D16" s="222" t="s">
        <v>709</v>
      </c>
      <c r="E16" s="222" t="s">
        <v>716</v>
      </c>
      <c r="F16" s="222" t="s">
        <v>703</v>
      </c>
      <c r="G16" s="223">
        <v>0</v>
      </c>
      <c r="H16" s="223">
        <v>0</v>
      </c>
      <c r="I16" s="223">
        <f>332000</f>
        <v>332000</v>
      </c>
      <c r="J16" s="223">
        <f>I16</f>
        <v>332000</v>
      </c>
      <c r="K16" s="223">
        <f>304953</f>
        <v>304953</v>
      </c>
      <c r="L16" s="223"/>
      <c r="M16" s="223"/>
      <c r="N16" s="223"/>
      <c r="O16" s="223"/>
      <c r="P16" s="223">
        <f>J16-K16</f>
        <v>27047</v>
      </c>
      <c r="Q16" s="223"/>
      <c r="R16" s="223"/>
      <c r="S16" s="223"/>
      <c r="T16" s="223"/>
      <c r="U16" s="223"/>
      <c r="V16" s="223"/>
      <c r="W16" s="223"/>
      <c r="X16" s="223"/>
      <c r="Y16" s="222" t="s">
        <v>717</v>
      </c>
    </row>
    <row r="17" spans="4:25" x14ac:dyDescent="0.3">
      <c r="D17" s="222" t="s">
        <v>709</v>
      </c>
      <c r="E17" s="222" t="s">
        <v>716</v>
      </c>
      <c r="F17" s="222" t="s">
        <v>704</v>
      </c>
      <c r="G17" s="223">
        <v>0</v>
      </c>
      <c r="H17" s="223">
        <v>0</v>
      </c>
      <c r="I17" s="223">
        <f>2412</f>
        <v>2412</v>
      </c>
      <c r="J17" s="223">
        <f>I17</f>
        <v>2412</v>
      </c>
      <c r="K17" s="223"/>
      <c r="L17" s="223"/>
      <c r="M17" s="223">
        <f>601</f>
        <v>601</v>
      </c>
      <c r="N17" s="223"/>
      <c r="O17" s="223"/>
      <c r="P17" s="223">
        <f>J17-M17</f>
        <v>1811</v>
      </c>
      <c r="Q17" s="223"/>
      <c r="R17" s="223"/>
      <c r="S17" s="223"/>
      <c r="T17" s="223"/>
      <c r="U17" s="223"/>
      <c r="V17" s="223"/>
      <c r="W17" s="223"/>
      <c r="X17" s="223"/>
      <c r="Y17" s="222" t="s">
        <v>720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0053-6066-42BC-96EB-4B8C87D9270D}">
  <dimension ref="B2:P190"/>
  <sheetViews>
    <sheetView tabSelected="1" topLeftCell="E64" workbookViewId="0">
      <selection activeCell="N64" sqref="N64"/>
    </sheetView>
  </sheetViews>
  <sheetFormatPr defaultRowHeight="12" x14ac:dyDescent="0.25"/>
  <cols>
    <col min="1" max="2" width="8.88671875" style="56" customWidth="1"/>
    <col min="3" max="4" width="22.77734375" style="56" customWidth="1"/>
    <col min="5" max="6" width="13.21875" style="56" customWidth="1"/>
    <col min="7" max="7" width="21.88671875" style="56" customWidth="1"/>
    <col min="8" max="8" width="13.21875" style="56" customWidth="1"/>
    <col min="9" max="12" width="13.88671875" style="56" customWidth="1"/>
    <col min="13" max="13" width="28.88671875" style="56" bestFit="1" customWidth="1"/>
    <col min="14" max="14" width="18.21875" style="56" customWidth="1"/>
    <col min="15" max="15" width="17.21875" style="56" bestFit="1" customWidth="1"/>
    <col min="16" max="16" width="17.21875" style="56" customWidth="1"/>
    <col min="17" max="16384" width="8.88671875" style="56"/>
  </cols>
  <sheetData>
    <row r="2" spans="2:16" x14ac:dyDescent="0.25">
      <c r="I2" s="56">
        <f>SUM(I4:I50)</f>
        <v>133320</v>
      </c>
      <c r="N2" s="56">
        <f>SUM(N4:N187)</f>
        <v>910353</v>
      </c>
    </row>
    <row r="3" spans="2:16" x14ac:dyDescent="0.25">
      <c r="B3" s="186" t="s">
        <v>536</v>
      </c>
      <c r="C3" s="186" t="s">
        <v>431</v>
      </c>
      <c r="D3" s="186" t="s">
        <v>431</v>
      </c>
      <c r="E3" s="186" t="s">
        <v>539</v>
      </c>
      <c r="F3" s="186" t="s">
        <v>540</v>
      </c>
      <c r="G3" s="186" t="s">
        <v>542</v>
      </c>
      <c r="H3" s="186" t="s">
        <v>22</v>
      </c>
      <c r="I3" s="186" t="s">
        <v>537</v>
      </c>
      <c r="J3" s="186" t="s">
        <v>548</v>
      </c>
      <c r="K3" s="186" t="s">
        <v>547</v>
      </c>
      <c r="L3" s="186" t="s">
        <v>545</v>
      </c>
      <c r="M3" s="186" t="s">
        <v>544</v>
      </c>
      <c r="N3" s="186" t="s">
        <v>538</v>
      </c>
      <c r="O3" s="186" t="s">
        <v>546</v>
      </c>
      <c r="P3" s="186"/>
    </row>
    <row r="4" spans="2:16" x14ac:dyDescent="0.25">
      <c r="C4" s="56" t="str">
        <f>'RCN INWARD FACTORY YAKRO 2026'!S202</f>
        <v>BROUMA SARL</v>
      </c>
      <c r="E4" s="56" t="str">
        <f>'RCN INWARD FACTORY YAKRO 2026'!V202</f>
        <v>DIS-041-BRO</v>
      </c>
      <c r="I4" s="56">
        <v>234</v>
      </c>
    </row>
    <row r="5" spans="2:16" x14ac:dyDescent="0.25">
      <c r="C5" s="56" t="str">
        <f>'RCN INWARD FACTORY YAKRO 2026'!S176</f>
        <v>CAPCD- SCOOPS</v>
      </c>
      <c r="E5" s="56" t="str">
        <f>'RCN INWARD FACTORY YAKRO 2026'!V176</f>
        <v>LBA-010-CAP</v>
      </c>
      <c r="I5" s="56">
        <v>496</v>
      </c>
    </row>
    <row r="6" spans="2:16" x14ac:dyDescent="0.25">
      <c r="C6" s="56" t="str">
        <f>'RCN INWARD FACTORY YAKRO 2026'!S216</f>
        <v>CODJISA</v>
      </c>
      <c r="I6" s="56">
        <v>494</v>
      </c>
    </row>
    <row r="7" spans="2:16" x14ac:dyDescent="0.25">
      <c r="C7" s="56" t="str">
        <f>'RCN INWARD FACTORY YAKRO 2026'!S155</f>
        <v>COOP CA TOE SEYDOU</v>
      </c>
      <c r="E7" s="56" t="str">
        <f>'RCN INWARD FACTORY YAKRO 2026'!V241</f>
        <v>DIS-036-SEY</v>
      </c>
      <c r="I7" s="56">
        <v>998</v>
      </c>
    </row>
    <row r="8" spans="2:16" x14ac:dyDescent="0.25">
      <c r="C8" s="56" t="str">
        <f>'RCN INWARD FACTORY YAKRO 2026'!S88</f>
        <v>COP JAVA SCOOP</v>
      </c>
      <c r="E8" s="56" t="str">
        <f>'RCN INWARD FACTORY YAKRO 2026'!V88</f>
        <v>LBA-005-JAV</v>
      </c>
      <c r="I8" s="56">
        <v>11902</v>
      </c>
    </row>
    <row r="9" spans="2:16" x14ac:dyDescent="0.25">
      <c r="C9" s="56" t="str">
        <f>'RCN INWARD FACTORY YAKRO 2026'!S95</f>
        <v>CPAS SCOOPS</v>
      </c>
      <c r="E9" s="56" t="str">
        <f>'RCN INWARD FACTORY YAKRO 2026'!V95</f>
        <v>DIS-029-CPA</v>
      </c>
      <c r="I9" s="56">
        <v>7904</v>
      </c>
    </row>
    <row r="10" spans="2:16" x14ac:dyDescent="0.25">
      <c r="C10" s="130" t="str">
        <f>'RCN INWARD FACTORY YAKRO 2026'!S40</f>
        <v>DECARRE DAVID &amp; DJOUMA</v>
      </c>
      <c r="D10" s="130"/>
      <c r="E10" s="130" t="str">
        <f>'RCN INWARD FACTORY YAKRO 2026'!V40</f>
        <v>DIS-019-DEC</v>
      </c>
      <c r="F10" s="130"/>
      <c r="G10" s="130"/>
      <c r="H10" s="130"/>
      <c r="I10" s="130">
        <v>364</v>
      </c>
    </row>
    <row r="11" spans="2:16" x14ac:dyDescent="0.25">
      <c r="C11" s="56" t="str">
        <f>'RCN INWARD FACTORY YAKRO 2026'!S99</f>
        <v xml:space="preserve">KONE ADAMA </v>
      </c>
      <c r="F11" s="56" t="s">
        <v>550</v>
      </c>
      <c r="G11" s="56" t="str">
        <f>'RCN INWARD FACTORY YAKRO 2026'!V99</f>
        <v>LBA-021-SAN</v>
      </c>
      <c r="I11" s="56">
        <v>6631</v>
      </c>
    </row>
    <row r="12" spans="2:16" x14ac:dyDescent="0.25">
      <c r="C12" s="56" t="str">
        <f>'RCN INWARD FACTORY YAKRO 2026'!S133</f>
        <v>OCEAN NEGOSE</v>
      </c>
      <c r="E12" s="56" t="str">
        <f>'RCN INWARD FACTORY YAKRO 2026'!V133</f>
        <v>DIS-034-OCE</v>
      </c>
      <c r="I12" s="56">
        <v>2201</v>
      </c>
    </row>
    <row r="13" spans="2:16" x14ac:dyDescent="0.25">
      <c r="C13" s="56" t="str">
        <f>'RCN INWARD FACTORY YAKRO 2026'!S85</f>
        <v xml:space="preserve"> RCN SCOOP BAOBAB</v>
      </c>
      <c r="E13" s="56" t="str">
        <f>'RCN INWARD FACTORY YAKRO 2026'!V85</f>
        <v>DIS-027-BAO</v>
      </c>
      <c r="I13" s="56">
        <v>4346</v>
      </c>
    </row>
    <row r="14" spans="2:16" x14ac:dyDescent="0.25">
      <c r="C14" s="56" t="str">
        <f>'RCN INWARD FACTORY YAKRO 2026'!S132</f>
        <v xml:space="preserve"> RCN SCOOP SAHS</v>
      </c>
      <c r="E14" s="56" t="str">
        <f>'RCN INWARD FACTORY YAKRO 2026'!V132</f>
        <v>DIS-010-SAH</v>
      </c>
      <c r="I14" s="56">
        <v>971</v>
      </c>
    </row>
    <row r="15" spans="2:16" x14ac:dyDescent="0.25">
      <c r="C15" s="56" t="str">
        <f>'RCN INWARD FACTORY YAKRO 2026'!S171</f>
        <v>RCN SCOOPS AH AL NOUR</v>
      </c>
      <c r="E15" s="56" t="str">
        <f>'RCN INWARD FACTORY YAKRO 2026'!V171</f>
        <v>LBA-016-NOU</v>
      </c>
      <c r="I15" s="56">
        <v>502</v>
      </c>
    </row>
    <row r="16" spans="2:16" x14ac:dyDescent="0.25">
      <c r="C16" s="56" t="str">
        <f>'RCN INWARD FACTORY YAKRO 2026'!S97</f>
        <v>RCN SCOOPS COOPRAKA</v>
      </c>
      <c r="E16" s="56" t="str">
        <f>'RCN INWARD FACTORY YAKRO 2026'!V97</f>
        <v>LBA-018-COP</v>
      </c>
      <c r="I16" s="56">
        <v>445</v>
      </c>
    </row>
    <row r="17" spans="3:9" x14ac:dyDescent="0.25">
      <c r="C17" s="56" t="str">
        <f>'RCN INWARD FACTORY YAKRO 2026'!S201</f>
        <v>RCN SCOOPS CORISPORT</v>
      </c>
      <c r="E17" s="56" t="str">
        <f>'RCN INWARD FACTORY YAKRO 2026'!V201</f>
        <v>DIS-002-COR</v>
      </c>
      <c r="I17" s="56">
        <v>463</v>
      </c>
    </row>
    <row r="18" spans="3:9" x14ac:dyDescent="0.25">
      <c r="C18" s="56" t="str">
        <f>'RCN INWARD FACTORY YAKRO 2026'!S24</f>
        <v>RCN SCOOPS SKS</v>
      </c>
      <c r="E18" s="56" t="str">
        <f>'RCN INWARD FACTORY YAKRO 2026'!V24</f>
        <v>LBA-020-SKS</v>
      </c>
      <c r="I18" s="56">
        <v>427</v>
      </c>
    </row>
    <row r="19" spans="3:9" x14ac:dyDescent="0.25">
      <c r="C19" s="56" t="str">
        <f>'RCN INWARD FACTORY YAKRO 2026'!S84</f>
        <v xml:space="preserve"> RCN SIMAYAT COOP CA</v>
      </c>
      <c r="E19" s="56" t="str">
        <f>'RCN INWARD FACTORY YAKRO 2026'!V84</f>
        <v>DIS-025-SIM</v>
      </c>
      <c r="I19" s="56">
        <v>1065</v>
      </c>
    </row>
    <row r="20" spans="3:9" x14ac:dyDescent="0.25">
      <c r="C20" s="56" t="str">
        <f>'RCN INWARD FACTORY YAKRO 2026'!S188</f>
        <v>RCN SOCOOP ADD COOP CA</v>
      </c>
      <c r="E20" s="56" t="str">
        <f>'RCN INWARD FACTORY YAKRO 2026'!V188</f>
        <v>DIS-039-DIS</v>
      </c>
      <c r="I20" s="56">
        <v>1019</v>
      </c>
    </row>
    <row r="21" spans="3:9" x14ac:dyDescent="0.25">
      <c r="C21" s="56" t="str">
        <f>'RCN INWARD FACTORY YAKRO 2026'!S15</f>
        <v>RCN SOCOSAM</v>
      </c>
      <c r="E21" s="56" t="str">
        <f>'RCN INWARD FACTORY YAKRO 2026'!V15</f>
        <v>DIS-011-SAM</v>
      </c>
      <c r="I21" s="56">
        <v>693</v>
      </c>
    </row>
    <row r="22" spans="3:9" x14ac:dyDescent="0.25">
      <c r="C22" s="56" t="str">
        <f>'RCN INWARD FACTORY YAKRO 2026'!S212</f>
        <v>RCN SOLANDA CI</v>
      </c>
      <c r="E22" s="56" t="str">
        <f>'RCN INWARD FACTORY YAKRO 2026'!V212</f>
        <v>DIS-040-SOL</v>
      </c>
      <c r="I22" s="56">
        <v>572</v>
      </c>
    </row>
    <row r="23" spans="3:9" x14ac:dyDescent="0.25">
      <c r="C23" s="56" t="str">
        <f>'RCN INWARD FACTORY YAKRO 2026'!S229</f>
        <v>SCAAMT COOP CA</v>
      </c>
      <c r="E23" s="56" t="str">
        <f>'RCN INWARD FACTORY YAKRO 2026'!V229</f>
        <v>LBA-002-SCA</v>
      </c>
      <c r="I23" s="56">
        <v>54212</v>
      </c>
    </row>
    <row r="24" spans="3:9" x14ac:dyDescent="0.25">
      <c r="C24" s="56" t="str">
        <f>'RCN INWARD FACTORY YAKRO 2026'!S203</f>
        <v>SCAN COOP CA</v>
      </c>
      <c r="F24" s="56" t="s">
        <v>550</v>
      </c>
      <c r="G24" s="56" t="str">
        <f>'RCN INWARD FACTORY YAKRO 2026'!V203</f>
        <v>LBA-021-SAN</v>
      </c>
      <c r="I24" s="56">
        <v>942</v>
      </c>
    </row>
    <row r="25" spans="3:9" x14ac:dyDescent="0.25">
      <c r="C25" s="56" t="str">
        <f>'RCN INWARD FACTORY YAKRO 2026'!S49</f>
        <v xml:space="preserve"> SCOOP  KOB S</v>
      </c>
      <c r="E25" s="56" t="str">
        <f>'RCN INWARD FACTORY YAKRO 2026'!V49</f>
        <v>DIS-021-KOB</v>
      </c>
      <c r="I25" s="56">
        <v>1346</v>
      </c>
    </row>
    <row r="26" spans="3:9" x14ac:dyDescent="0.25">
      <c r="C26" s="56" t="str">
        <f>'RCN INWARD FACTORY YAKRO 2026'!S60</f>
        <v>SCOOP CA BENKADI</v>
      </c>
      <c r="F26" s="56" t="s">
        <v>534</v>
      </c>
      <c r="G26" s="56" t="str">
        <f>'RCN INWARD FACTORY YAKRO 2026'!V60</f>
        <v>LBA-004-WEB</v>
      </c>
      <c r="I26" s="56">
        <v>2450</v>
      </c>
    </row>
    <row r="27" spans="3:9" x14ac:dyDescent="0.25">
      <c r="C27" s="56" t="str">
        <f>'RCN INWARD FACTORY YAKRO 2026'!S136</f>
        <v>SCOOP DYNAMAQUE-CDAG</v>
      </c>
      <c r="F27" s="56" t="s">
        <v>550</v>
      </c>
      <c r="G27" s="56" t="str">
        <f>G24</f>
        <v>LBA-021-SAN</v>
      </c>
      <c r="I27" s="56">
        <v>493</v>
      </c>
    </row>
    <row r="28" spans="3:9" x14ac:dyDescent="0.25">
      <c r="C28" s="56" t="str">
        <f>'RCN INWARD FACTORY YAKRO 2026'!S127</f>
        <v>SCOOP EUNI</v>
      </c>
      <c r="F28" s="56" t="s">
        <v>534</v>
      </c>
      <c r="G28" s="56" t="str">
        <f>G26</f>
        <v>LBA-004-WEB</v>
      </c>
      <c r="I28" s="56">
        <v>1966</v>
      </c>
    </row>
    <row r="29" spans="3:9" x14ac:dyDescent="0.25">
      <c r="C29" s="56" t="str">
        <f>'RCN INWARD FACTORY YAKRO 2026'!S43</f>
        <v>SCOOPS AGRO NEGOCE</v>
      </c>
      <c r="E29" s="56" t="str">
        <f>'RCN INWARD FACTORY YAKRO 2026'!V43</f>
        <v>LBA-022-NEG</v>
      </c>
      <c r="I29" s="56">
        <v>1782</v>
      </c>
    </row>
    <row r="30" spans="3:9" x14ac:dyDescent="0.25">
      <c r="C30" s="56" t="str">
        <f>'RCN INWARD FACTORY YAKRO 2026'!S211</f>
        <v>SCOOPS BENKADI-CDAG</v>
      </c>
      <c r="F30" s="56" t="s">
        <v>550</v>
      </c>
      <c r="G30" s="56" t="str">
        <f>G27</f>
        <v>LBA-021-SAN</v>
      </c>
      <c r="I30" s="56">
        <v>499</v>
      </c>
    </row>
    <row r="31" spans="3:9" x14ac:dyDescent="0.25">
      <c r="C31" s="56" t="str">
        <f>'RCN INWARD FACTORY YAKRO 2026'!S195</f>
        <v>SCOOPS BENKADI-CDGA</v>
      </c>
      <c r="F31" s="56" t="s">
        <v>550</v>
      </c>
      <c r="G31" s="56" t="str">
        <f>G30</f>
        <v>LBA-021-SAN</v>
      </c>
      <c r="I31" s="56">
        <v>515</v>
      </c>
    </row>
    <row r="32" spans="3:9" x14ac:dyDescent="0.25">
      <c r="C32" s="56" t="str">
        <f>'RCN INWARD FACTORY YAKRO 2026'!S83</f>
        <v>SCOOPS BENKADY-CINPA</v>
      </c>
      <c r="F32" s="56" t="s">
        <v>550</v>
      </c>
      <c r="G32" s="56" t="str">
        <f>G31</f>
        <v>LBA-021-SAN</v>
      </c>
      <c r="I32" s="56">
        <v>488</v>
      </c>
    </row>
    <row r="33" spans="3:9" x14ac:dyDescent="0.25">
      <c r="C33" s="56" t="str">
        <f>'RCN INWARD FACTORY YAKRO 2026'!S131</f>
        <v>SCOOPS CADEXI</v>
      </c>
      <c r="F33" s="56" t="s">
        <v>534</v>
      </c>
      <c r="G33" s="56" t="s">
        <v>140</v>
      </c>
      <c r="I33" s="56">
        <v>1056</v>
      </c>
    </row>
    <row r="34" spans="3:9" x14ac:dyDescent="0.25">
      <c r="C34" s="56" t="str">
        <f>'RCN INWARD FACTORY YAKRO 2026'!S89</f>
        <v>SCOOPS CDAG</v>
      </c>
      <c r="F34" s="56" t="s">
        <v>550</v>
      </c>
      <c r="G34" s="56" t="str">
        <f>G32</f>
        <v>LBA-021-SAN</v>
      </c>
      <c r="I34" s="56">
        <v>1994</v>
      </c>
    </row>
    <row r="35" spans="3:9" x14ac:dyDescent="0.25">
      <c r="C35" s="56" t="str">
        <f>'RCN INWARD FACTORY YAKRO 2026'!S57</f>
        <v>SCOOPS COOPRES</v>
      </c>
      <c r="E35" s="56" t="str">
        <f>'RCN INWARD FACTORY YAKRO 2026'!V57</f>
        <v>DIS-022-RES</v>
      </c>
      <c r="I35" s="56">
        <v>593</v>
      </c>
    </row>
    <row r="36" spans="3:9" x14ac:dyDescent="0.25">
      <c r="C36" s="56" t="str">
        <f>'RCN INWARD FACTORY YAKRO 2026'!S86</f>
        <v>SCOOPS DJGUISSEME</v>
      </c>
      <c r="E36" s="56" t="str">
        <f>'RCN INWARD FACTORY YAKRO 2026'!V86</f>
        <v>LBA-001-SOC</v>
      </c>
      <c r="I36" s="56">
        <v>640</v>
      </c>
    </row>
    <row r="37" spans="3:9" x14ac:dyDescent="0.25">
      <c r="C37" s="56" t="str">
        <f>'RCN INWARD FACTORY YAKRO 2026'!S37</f>
        <v>SCOOPS DPVICA</v>
      </c>
      <c r="E37" s="56" t="str">
        <f>'RCN INWARD FACTORY YAKRO 2026'!V37</f>
        <v>LBA-017-DPV</v>
      </c>
      <c r="I37" s="56">
        <v>5469</v>
      </c>
    </row>
    <row r="38" spans="3:9" x14ac:dyDescent="0.25">
      <c r="C38" s="56" t="str">
        <f>'RCN INWARD FACTORY YAKRO 2026'!S163</f>
        <v>SCOOPS EUNI(WEBE)</v>
      </c>
      <c r="F38" s="56" t="s">
        <v>534</v>
      </c>
      <c r="G38" s="56" t="str">
        <f>G33</f>
        <v>LBA-004-WEB</v>
      </c>
      <c r="I38" s="56">
        <v>516</v>
      </c>
    </row>
    <row r="39" spans="3:9" x14ac:dyDescent="0.25">
      <c r="C39" s="56" t="str">
        <f>'RCN INWARD FACTORY YAKRO 2026'!S59</f>
        <v>SCOOPS ICFB</v>
      </c>
      <c r="E39" s="56" t="str">
        <f>'RCN INWARD FACTORY YAKRO 2026'!V59</f>
        <v>DIS-023-ICF</v>
      </c>
      <c r="I39" s="56">
        <v>2689</v>
      </c>
    </row>
    <row r="40" spans="3:9" x14ac:dyDescent="0.25">
      <c r="C40" s="56" t="str">
        <f>'RCN INWARD FACTORY YAKRO 2026'!S159</f>
        <v>SCOOPS LAGANFIA</v>
      </c>
      <c r="F40" s="56" t="s">
        <v>550</v>
      </c>
      <c r="G40" s="56" t="str">
        <f>G32</f>
        <v>LBA-021-SAN</v>
      </c>
      <c r="I40" s="56">
        <v>1566</v>
      </c>
    </row>
    <row r="41" spans="3:9" x14ac:dyDescent="0.25">
      <c r="C41" s="56" t="str">
        <f>'RCN INWARD FACTORY YAKRO 2026'!S225</f>
        <v>SCOOPS MOAYE BKE</v>
      </c>
      <c r="E41" s="56" t="str">
        <f>'RCN INWARD FACTORY YAKRO 2026'!V225</f>
        <v>DIS-026-MOA</v>
      </c>
      <c r="I41" s="56">
        <v>1641</v>
      </c>
    </row>
    <row r="42" spans="3:9" x14ac:dyDescent="0.25">
      <c r="C42" s="56" t="str">
        <f>'RCN INWARD FACTORY YAKRO 2026'!S184</f>
        <v>SCOOPS PAGNG YELEN (CDAG)</v>
      </c>
      <c r="F42" s="56" t="s">
        <v>550</v>
      </c>
      <c r="G42" s="56" t="str">
        <f>G40</f>
        <v>LBA-021-SAN</v>
      </c>
      <c r="I42" s="56">
        <v>426</v>
      </c>
    </row>
    <row r="43" spans="3:9" x14ac:dyDescent="0.25">
      <c r="C43" s="56" t="str">
        <f>'RCN INWARD FACTORY YAKRO 2026'!S114</f>
        <v>SCOOPS PS</v>
      </c>
      <c r="F43" s="56" t="s">
        <v>550</v>
      </c>
      <c r="G43" s="56" t="str">
        <f>G42</f>
        <v>LBA-021-SAN</v>
      </c>
      <c r="I43" s="56">
        <v>5387</v>
      </c>
    </row>
    <row r="44" spans="3:9" x14ac:dyDescent="0.25">
      <c r="C44" s="56" t="str">
        <f>'RCN INWARD FACTORY YAKRO 2026'!S148</f>
        <v>SCOOPS SCNB</v>
      </c>
      <c r="E44" s="56" t="str">
        <f>'RCN INWARD FACTORY YAKRO 2026'!V148</f>
        <v>DIS-035-SNC</v>
      </c>
      <c r="I44" s="56">
        <v>2367</v>
      </c>
    </row>
    <row r="45" spans="3:9" x14ac:dyDescent="0.25">
      <c r="C45" s="56" t="str">
        <f>'RCN INWARD FACTORY YAKRO 2026'!S38</f>
        <v>SCOOPS WEBE (EUNI)</v>
      </c>
      <c r="F45" s="56" t="s">
        <v>534</v>
      </c>
      <c r="G45" s="56" t="str">
        <f>G38</f>
        <v>LBA-004-WEB</v>
      </c>
      <c r="I45" s="56">
        <v>467</v>
      </c>
    </row>
    <row r="46" spans="3:9" x14ac:dyDescent="0.25">
      <c r="C46" s="56" t="str">
        <f>'RCN INWARD FACTORY YAKRO 2026'!S33</f>
        <v>SCOOPS WEBE(EUNI)</v>
      </c>
      <c r="F46" s="56" t="s">
        <v>534</v>
      </c>
      <c r="G46" s="56" t="str">
        <f>G45</f>
        <v>LBA-004-WEB</v>
      </c>
      <c r="I46" s="56">
        <v>953</v>
      </c>
    </row>
    <row r="47" spans="3:9" x14ac:dyDescent="0.25">
      <c r="C47" s="56" t="str">
        <f>'RCN INWARD FACTORY YAKRO 2026'!S48</f>
        <v xml:space="preserve"> SCOOPS-SOCOSIDJI</v>
      </c>
      <c r="E47" s="56" t="str">
        <f>'RCN INWARD FACTORY YAKRO 2026'!V48</f>
        <v>LBA-001-SOC</v>
      </c>
      <c r="I47" s="56">
        <v>493</v>
      </c>
    </row>
    <row r="48" spans="3:9" x14ac:dyDescent="0.25">
      <c r="C48" s="56" t="str">
        <f>'RCN INWARD FACTORY YAKRO 2026'!S9</f>
        <v xml:space="preserve">SOVA SCOOP </v>
      </c>
      <c r="E48" s="56" t="str">
        <f>'RCN INWARD FACTORY YAKRO 2026'!V9</f>
        <v>DIS-005-SOV</v>
      </c>
      <c r="I48" s="56">
        <v>643</v>
      </c>
    </row>
    <row r="60" spans="2:16" x14ac:dyDescent="0.25">
      <c r="H60" s="56">
        <f>SUM(H62:H169)</f>
        <v>135851</v>
      </c>
    </row>
    <row r="61" spans="2:16" x14ac:dyDescent="0.25">
      <c r="C61" s="186" t="s">
        <v>551</v>
      </c>
      <c r="D61" s="186" t="s">
        <v>552</v>
      </c>
      <c r="E61" s="186" t="s">
        <v>555</v>
      </c>
      <c r="F61" s="186" t="s">
        <v>22</v>
      </c>
      <c r="G61" s="186" t="s">
        <v>556</v>
      </c>
      <c r="H61" s="186" t="s">
        <v>538</v>
      </c>
      <c r="I61" s="186" t="s">
        <v>554</v>
      </c>
      <c r="J61" s="186"/>
    </row>
    <row r="62" spans="2:16" x14ac:dyDescent="0.25">
      <c r="B62" s="160">
        <v>1</v>
      </c>
      <c r="C62" s="73" t="s">
        <v>541</v>
      </c>
      <c r="D62" s="131">
        <f>18941+494</f>
        <v>19435</v>
      </c>
      <c r="E62" s="97"/>
      <c r="F62" s="73"/>
      <c r="G62" s="73"/>
      <c r="H62" s="73"/>
      <c r="I62" s="97">
        <f>D62-SUM(H63:H67)</f>
        <v>0</v>
      </c>
      <c r="J62" s="73"/>
    </row>
    <row r="63" spans="2:16" x14ac:dyDescent="0.25">
      <c r="B63" s="160"/>
      <c r="C63" s="73"/>
      <c r="D63" s="131"/>
      <c r="E63" s="97">
        <v>710</v>
      </c>
      <c r="F63" s="73" t="s">
        <v>236</v>
      </c>
      <c r="G63" s="73"/>
      <c r="H63" s="131">
        <v>1000</v>
      </c>
      <c r="I63" s="97"/>
      <c r="J63" s="73"/>
    </row>
    <row r="64" spans="2:16" x14ac:dyDescent="0.25">
      <c r="B64" s="160"/>
      <c r="C64" s="73"/>
      <c r="D64" s="131"/>
      <c r="E64" s="97">
        <v>711</v>
      </c>
      <c r="F64" s="73" t="s">
        <v>236</v>
      </c>
      <c r="G64" s="73"/>
      <c r="H64" s="131">
        <v>1000</v>
      </c>
      <c r="I64" s="97"/>
      <c r="J64" s="73"/>
      <c r="M64" s="132" t="s">
        <v>626</v>
      </c>
      <c r="N64" s="132">
        <f>SUM(N65:N70)</f>
        <v>189675</v>
      </c>
      <c r="O64" s="132" t="s">
        <v>629</v>
      </c>
      <c r="P64" s="186"/>
    </row>
    <row r="65" spans="2:16" x14ac:dyDescent="0.25">
      <c r="B65" s="160"/>
      <c r="C65" s="73"/>
      <c r="D65" s="131"/>
      <c r="E65" s="97">
        <v>722</v>
      </c>
      <c r="F65" s="73" t="s">
        <v>259</v>
      </c>
      <c r="G65" s="73"/>
      <c r="H65" s="131">
        <v>882</v>
      </c>
      <c r="I65" s="97"/>
      <c r="J65" s="73"/>
      <c r="M65" s="73" t="s">
        <v>655</v>
      </c>
      <c r="N65" s="73">
        <v>26625</v>
      </c>
      <c r="O65" s="109" t="s">
        <v>658</v>
      </c>
      <c r="P65" s="161"/>
    </row>
    <row r="66" spans="2:16" x14ac:dyDescent="0.25">
      <c r="B66" s="160"/>
      <c r="C66" s="73"/>
      <c r="D66" s="131"/>
      <c r="E66" s="97">
        <v>818</v>
      </c>
      <c r="F66" s="73" t="s">
        <v>618</v>
      </c>
      <c r="G66" s="73"/>
      <c r="H66" s="131">
        <v>13400</v>
      </c>
      <c r="I66" s="97"/>
      <c r="J66" s="73"/>
      <c r="M66" s="73" t="s">
        <v>655</v>
      </c>
      <c r="N66" s="73">
        <v>29000</v>
      </c>
      <c r="O66" s="109">
        <v>46268</v>
      </c>
      <c r="P66" s="161"/>
    </row>
    <row r="67" spans="2:16" x14ac:dyDescent="0.25">
      <c r="B67" s="160"/>
      <c r="C67" s="73"/>
      <c r="D67" s="131"/>
      <c r="E67" s="97">
        <v>824</v>
      </c>
      <c r="F67" s="155">
        <v>46087</v>
      </c>
      <c r="G67" s="73"/>
      <c r="H67" s="131">
        <v>3153</v>
      </c>
      <c r="I67" s="97"/>
      <c r="J67" s="73"/>
      <c r="M67" s="73" t="s">
        <v>655</v>
      </c>
      <c r="N67" s="73">
        <v>31050</v>
      </c>
      <c r="O67" s="109">
        <v>46298</v>
      </c>
      <c r="P67" s="161"/>
    </row>
    <row r="68" spans="2:16" x14ac:dyDescent="0.25">
      <c r="B68" s="160">
        <v>2</v>
      </c>
      <c r="C68" s="73" t="s">
        <v>553</v>
      </c>
      <c r="D68" s="131">
        <v>7408</v>
      </c>
      <c r="E68" s="97"/>
      <c r="F68" s="73"/>
      <c r="G68" s="73"/>
      <c r="H68" s="131"/>
      <c r="I68" s="97">
        <f>D68-SUM(H69:H80)</f>
        <v>-1159</v>
      </c>
      <c r="J68" s="73"/>
      <c r="M68" s="73" t="s">
        <v>657</v>
      </c>
      <c r="N68" s="73">
        <v>40000</v>
      </c>
      <c r="O68" s="109">
        <v>46360</v>
      </c>
      <c r="P68" s="161"/>
    </row>
    <row r="69" spans="2:16" x14ac:dyDescent="0.25">
      <c r="B69" s="160"/>
      <c r="C69" s="73"/>
      <c r="D69" s="131"/>
      <c r="E69" s="133">
        <v>808</v>
      </c>
      <c r="F69" s="196">
        <v>46147</v>
      </c>
      <c r="G69" s="192" t="s">
        <v>579</v>
      </c>
      <c r="H69" s="197">
        <v>1003</v>
      </c>
      <c r="I69" s="97"/>
      <c r="J69" s="73"/>
      <c r="M69" s="73" t="s">
        <v>657</v>
      </c>
      <c r="N69" s="73">
        <v>31000</v>
      </c>
      <c r="O69" s="97" t="s">
        <v>270</v>
      </c>
      <c r="P69" s="160"/>
    </row>
    <row r="70" spans="2:16" x14ac:dyDescent="0.25">
      <c r="B70" s="160"/>
      <c r="C70" s="73"/>
      <c r="D70" s="131"/>
      <c r="E70" s="133">
        <v>734</v>
      </c>
      <c r="F70" s="197" t="s">
        <v>347</v>
      </c>
      <c r="G70" s="192" t="s">
        <v>137</v>
      </c>
      <c r="H70" s="197">
        <v>516</v>
      </c>
      <c r="I70" s="97"/>
      <c r="J70" s="73"/>
      <c r="M70" s="73" t="s">
        <v>657</v>
      </c>
      <c r="N70" s="73">
        <v>32000</v>
      </c>
      <c r="O70" s="97" t="s">
        <v>311</v>
      </c>
      <c r="P70" s="160"/>
    </row>
    <row r="71" spans="2:16" x14ac:dyDescent="0.25">
      <c r="B71" s="160"/>
      <c r="C71" s="73"/>
      <c r="D71" s="131"/>
      <c r="E71" s="133">
        <v>738</v>
      </c>
      <c r="F71" s="197" t="s">
        <v>355</v>
      </c>
      <c r="G71" s="192" t="s">
        <v>580</v>
      </c>
      <c r="H71" s="197">
        <v>501</v>
      </c>
      <c r="I71" s="97"/>
      <c r="J71" s="73"/>
      <c r="M71" s="208" t="s">
        <v>659</v>
      </c>
      <c r="N71" s="208">
        <f>H60</f>
        <v>135851</v>
      </c>
      <c r="O71" s="208" t="s">
        <v>656</v>
      </c>
      <c r="P71" s="186"/>
    </row>
    <row r="72" spans="2:16" x14ac:dyDescent="0.25">
      <c r="B72" s="160"/>
      <c r="C72" s="73"/>
      <c r="D72" s="131"/>
      <c r="E72" s="133">
        <v>807</v>
      </c>
      <c r="F72" s="196">
        <v>46147</v>
      </c>
      <c r="G72" s="192" t="s">
        <v>367</v>
      </c>
      <c r="H72" s="197">
        <v>522</v>
      </c>
      <c r="I72" s="97"/>
      <c r="J72" s="73"/>
      <c r="M72" s="207" t="s">
        <v>660</v>
      </c>
      <c r="N72" s="207"/>
      <c r="O72" s="207"/>
      <c r="P72" s="186"/>
    </row>
    <row r="73" spans="2:16" x14ac:dyDescent="0.25">
      <c r="B73" s="160"/>
      <c r="C73" s="73"/>
      <c r="D73" s="131"/>
      <c r="E73" s="133">
        <v>713</v>
      </c>
      <c r="F73" s="197" t="s">
        <v>246</v>
      </c>
      <c r="G73" s="192" t="s">
        <v>594</v>
      </c>
      <c r="H73" s="197">
        <v>1030</v>
      </c>
      <c r="I73" s="97"/>
      <c r="J73" s="73"/>
      <c r="M73" s="200" t="s">
        <v>431</v>
      </c>
      <c r="N73" s="200">
        <v>9967</v>
      </c>
      <c r="O73" s="200"/>
      <c r="P73" s="211"/>
    </row>
    <row r="74" spans="2:16" x14ac:dyDescent="0.25">
      <c r="B74" s="160"/>
      <c r="C74" s="73"/>
      <c r="D74" s="131"/>
      <c r="E74" s="133">
        <v>723</v>
      </c>
      <c r="F74" s="197" t="s">
        <v>287</v>
      </c>
      <c r="G74" s="192" t="s">
        <v>594</v>
      </c>
      <c r="H74" s="197">
        <v>497</v>
      </c>
      <c r="I74" s="97"/>
      <c r="J74" s="73"/>
      <c r="M74" s="200" t="s">
        <v>627</v>
      </c>
      <c r="N74" s="200">
        <v>11738</v>
      </c>
      <c r="O74" s="200"/>
      <c r="P74" s="211"/>
    </row>
    <row r="75" spans="2:16" x14ac:dyDescent="0.25">
      <c r="B75" s="160"/>
      <c r="C75" s="73"/>
      <c r="D75" s="131"/>
      <c r="E75" s="133">
        <v>735</v>
      </c>
      <c r="F75" s="197" t="s">
        <v>355</v>
      </c>
      <c r="G75" s="192" t="s">
        <v>594</v>
      </c>
      <c r="H75" s="197">
        <v>443</v>
      </c>
      <c r="I75" s="97"/>
      <c r="J75" s="73"/>
      <c r="M75" s="207" t="s">
        <v>661</v>
      </c>
      <c r="N75" s="207">
        <f>N73+N74</f>
        <v>21705</v>
      </c>
      <c r="O75" s="207"/>
      <c r="P75" s="186"/>
    </row>
    <row r="76" spans="2:16" x14ac:dyDescent="0.25">
      <c r="B76" s="160"/>
      <c r="C76" s="73"/>
      <c r="D76" s="131"/>
      <c r="E76" s="133">
        <v>44</v>
      </c>
      <c r="F76" s="197" t="s">
        <v>593</v>
      </c>
      <c r="G76" s="192" t="s">
        <v>595</v>
      </c>
      <c r="H76" s="197">
        <v>530</v>
      </c>
      <c r="I76" s="97"/>
      <c r="J76" s="73"/>
      <c r="M76" s="73" t="s">
        <v>628</v>
      </c>
      <c r="N76" s="73">
        <v>10000</v>
      </c>
      <c r="O76" s="73"/>
    </row>
    <row r="77" spans="2:16" x14ac:dyDescent="0.25">
      <c r="B77" s="160"/>
      <c r="C77" s="73"/>
      <c r="D77" s="131"/>
      <c r="E77" s="133">
        <v>27</v>
      </c>
      <c r="F77" s="197" t="s">
        <v>596</v>
      </c>
      <c r="G77" s="192" t="s">
        <v>597</v>
      </c>
      <c r="H77" s="197">
        <v>469</v>
      </c>
      <c r="I77" s="97"/>
      <c r="J77" s="73"/>
      <c r="M77" s="132" t="s">
        <v>630</v>
      </c>
      <c r="N77" s="132">
        <f>N71+N75+N76</f>
        <v>167556</v>
      </c>
      <c r="O77" s="132"/>
      <c r="P77" s="186"/>
    </row>
    <row r="78" spans="2:16" x14ac:dyDescent="0.25">
      <c r="B78" s="160"/>
      <c r="C78" s="73"/>
      <c r="D78" s="131"/>
      <c r="E78" s="133">
        <v>721</v>
      </c>
      <c r="F78" s="197" t="s">
        <v>287</v>
      </c>
      <c r="G78" s="192" t="s">
        <v>137</v>
      </c>
      <c r="H78" s="197">
        <v>2000</v>
      </c>
      <c r="I78" s="97"/>
      <c r="J78" s="73"/>
      <c r="M78" s="201" t="s">
        <v>631</v>
      </c>
      <c r="N78" s="201">
        <f>N64-N77</f>
        <v>22119</v>
      </c>
      <c r="O78" s="73"/>
    </row>
    <row r="79" spans="2:16" x14ac:dyDescent="0.25">
      <c r="B79" s="160"/>
      <c r="C79" s="73"/>
      <c r="D79" s="131"/>
      <c r="E79" s="133">
        <v>724</v>
      </c>
      <c r="F79" s="197" t="s">
        <v>300</v>
      </c>
      <c r="G79" s="192" t="s">
        <v>603</v>
      </c>
      <c r="H79" s="197">
        <v>525</v>
      </c>
      <c r="I79" s="97"/>
      <c r="J79" s="73"/>
      <c r="M79" s="209" t="s">
        <v>653</v>
      </c>
      <c r="N79" s="215">
        <f>3675</f>
        <v>3675</v>
      </c>
      <c r="O79" s="209"/>
      <c r="P79" s="186"/>
    </row>
    <row r="80" spans="2:16" x14ac:dyDescent="0.25">
      <c r="B80" s="160"/>
      <c r="C80" s="73"/>
      <c r="D80" s="131"/>
      <c r="E80" s="133">
        <v>745</v>
      </c>
      <c r="F80" s="197" t="s">
        <v>395</v>
      </c>
      <c r="G80" s="192" t="s">
        <v>367</v>
      </c>
      <c r="H80" s="197">
        <v>531</v>
      </c>
      <c r="I80" s="97"/>
      <c r="J80" s="73"/>
      <c r="M80" s="73" t="s">
        <v>654</v>
      </c>
      <c r="N80" s="73">
        <f>N78-N79</f>
        <v>18444</v>
      </c>
      <c r="O80" s="73"/>
    </row>
    <row r="81" spans="2:16" x14ac:dyDescent="0.25">
      <c r="B81" s="160">
        <v>3</v>
      </c>
      <c r="C81" s="73" t="s">
        <v>378</v>
      </c>
      <c r="D81" s="131">
        <v>234</v>
      </c>
      <c r="E81" s="97">
        <v>747</v>
      </c>
      <c r="F81" s="192" t="s">
        <v>408</v>
      </c>
      <c r="G81" s="192" t="s">
        <v>606</v>
      </c>
      <c r="H81" s="197">
        <v>234</v>
      </c>
      <c r="I81" s="97">
        <f>D81-H81</f>
        <v>0</v>
      </c>
      <c r="J81" s="73"/>
      <c r="M81" s="213" t="s">
        <v>669</v>
      </c>
      <c r="N81" s="213">
        <v>50000</v>
      </c>
      <c r="O81" s="213"/>
      <c r="P81" s="211"/>
    </row>
    <row r="82" spans="2:16" x14ac:dyDescent="0.25">
      <c r="B82" s="160">
        <v>4</v>
      </c>
      <c r="C82" s="73" t="s">
        <v>341</v>
      </c>
      <c r="D82" s="131">
        <v>496</v>
      </c>
      <c r="E82" s="97"/>
      <c r="F82" s="196"/>
      <c r="G82" s="192"/>
      <c r="H82" s="197"/>
      <c r="I82" s="97">
        <f>D82-SUM(H83:H84)</f>
        <v>-1042</v>
      </c>
      <c r="J82" s="73"/>
      <c r="M82" s="200" t="s">
        <v>662</v>
      </c>
      <c r="N82" s="200">
        <f>33240</f>
        <v>33240</v>
      </c>
      <c r="O82" s="200"/>
      <c r="P82" s="186"/>
    </row>
    <row r="83" spans="2:16" x14ac:dyDescent="0.25">
      <c r="B83" s="160"/>
      <c r="C83" s="73"/>
      <c r="D83" s="131"/>
      <c r="E83" s="97">
        <v>805</v>
      </c>
      <c r="F83" s="196">
        <v>46058</v>
      </c>
      <c r="G83" s="192" t="s">
        <v>571</v>
      </c>
      <c r="H83" s="197">
        <v>1000</v>
      </c>
      <c r="I83" s="97"/>
      <c r="J83" s="73"/>
      <c r="M83" s="210" t="s">
        <v>649</v>
      </c>
      <c r="N83" s="210"/>
      <c r="O83" s="210"/>
      <c r="P83" s="212"/>
    </row>
    <row r="84" spans="2:16" x14ac:dyDescent="0.25">
      <c r="B84" s="160"/>
      <c r="C84" s="73"/>
      <c r="D84" s="131"/>
      <c r="E84" s="97">
        <v>819</v>
      </c>
      <c r="F84" s="196" t="s">
        <v>619</v>
      </c>
      <c r="G84" s="192" t="s">
        <v>620</v>
      </c>
      <c r="H84" s="197">
        <v>538</v>
      </c>
      <c r="I84" s="97"/>
      <c r="J84" s="73"/>
      <c r="M84" s="205" t="s">
        <v>650</v>
      </c>
      <c r="N84" s="214">
        <v>25235</v>
      </c>
      <c r="O84" s="204"/>
      <c r="P84" s="212"/>
    </row>
    <row r="85" spans="2:16" x14ac:dyDescent="0.25">
      <c r="B85" s="160">
        <v>5</v>
      </c>
      <c r="C85" s="73" t="s">
        <v>404</v>
      </c>
      <c r="D85" s="131">
        <v>494</v>
      </c>
      <c r="E85" s="97"/>
      <c r="F85" s="131"/>
      <c r="G85" s="73"/>
      <c r="H85" s="131"/>
      <c r="I85" s="97"/>
      <c r="J85" s="73"/>
      <c r="M85" s="205" t="s">
        <v>651</v>
      </c>
      <c r="N85" s="204">
        <v>8215</v>
      </c>
      <c r="O85" s="204"/>
    </row>
    <row r="86" spans="2:16" x14ac:dyDescent="0.25">
      <c r="B86" s="160">
        <v>6</v>
      </c>
      <c r="C86" s="73" t="s">
        <v>533</v>
      </c>
      <c r="D86" s="131">
        <v>998</v>
      </c>
      <c r="E86" s="97"/>
      <c r="F86" s="131"/>
      <c r="G86" s="73"/>
      <c r="H86" s="131">
        <f>H87+H88</f>
        <v>998</v>
      </c>
      <c r="I86" s="97">
        <f>D86-SUM(H87:H88)</f>
        <v>0</v>
      </c>
      <c r="J86" s="73"/>
      <c r="M86" s="73" t="s">
        <v>652</v>
      </c>
      <c r="N86" s="193">
        <v>6866</v>
      </c>
      <c r="O86" s="73"/>
      <c r="P86" s="211"/>
    </row>
    <row r="87" spans="2:16" x14ac:dyDescent="0.25">
      <c r="B87" s="160"/>
      <c r="C87" s="73"/>
      <c r="D87" s="131"/>
      <c r="E87" s="133">
        <v>815</v>
      </c>
      <c r="F87" s="196">
        <v>46239</v>
      </c>
      <c r="G87" s="192" t="s">
        <v>588</v>
      </c>
      <c r="H87" s="197">
        <v>436</v>
      </c>
      <c r="I87" s="97"/>
      <c r="J87" s="73"/>
      <c r="M87" s="210" t="s">
        <v>663</v>
      </c>
      <c r="N87" s="210"/>
      <c r="O87" s="210"/>
      <c r="P87" s="212"/>
    </row>
    <row r="88" spans="2:16" x14ac:dyDescent="0.25">
      <c r="B88" s="160"/>
      <c r="C88" s="73"/>
      <c r="D88" s="131"/>
      <c r="E88" s="133">
        <v>732</v>
      </c>
      <c r="F88" s="197" t="s">
        <v>347</v>
      </c>
      <c r="G88" s="192" t="s">
        <v>589</v>
      </c>
      <c r="H88" s="197">
        <v>562</v>
      </c>
      <c r="I88" s="97"/>
      <c r="J88" s="73"/>
      <c r="M88" s="205" t="s">
        <v>664</v>
      </c>
      <c r="N88" s="204">
        <v>601</v>
      </c>
      <c r="O88" s="204"/>
      <c r="P88" s="212"/>
    </row>
    <row r="89" spans="2:16" x14ac:dyDescent="0.25">
      <c r="B89" s="160">
        <v>7</v>
      </c>
      <c r="C89" s="73" t="s">
        <v>107</v>
      </c>
      <c r="D89" s="131">
        <v>11902</v>
      </c>
      <c r="E89" s="133"/>
      <c r="F89" s="131"/>
      <c r="G89" s="73"/>
      <c r="H89" s="131"/>
      <c r="I89" s="97">
        <f>D89-SUM(H90:H92)</f>
        <v>4902</v>
      </c>
      <c r="J89" s="73"/>
      <c r="M89" s="205" t="s">
        <v>665</v>
      </c>
      <c r="N89" s="204">
        <v>2588</v>
      </c>
      <c r="O89" s="204"/>
    </row>
    <row r="90" spans="2:16" x14ac:dyDescent="0.25">
      <c r="B90" s="160"/>
      <c r="C90" s="73"/>
      <c r="D90" s="131"/>
      <c r="E90" s="133">
        <v>702</v>
      </c>
      <c r="F90" s="196">
        <v>46057</v>
      </c>
      <c r="G90" s="192" t="s">
        <v>142</v>
      </c>
      <c r="H90" s="197">
        <v>3000</v>
      </c>
      <c r="I90" s="97"/>
      <c r="J90" s="73"/>
      <c r="M90" s="132" t="s">
        <v>668</v>
      </c>
      <c r="N90" s="132">
        <f>N88+N89</f>
        <v>3189</v>
      </c>
      <c r="O90" s="132"/>
    </row>
    <row r="91" spans="2:16" x14ac:dyDescent="0.25">
      <c r="B91" s="160"/>
      <c r="C91" s="73"/>
      <c r="D91" s="131"/>
      <c r="E91" s="133">
        <v>719</v>
      </c>
      <c r="F91" s="197" t="s">
        <v>270</v>
      </c>
      <c r="G91" s="192" t="s">
        <v>570</v>
      </c>
      <c r="H91" s="197">
        <v>2000</v>
      </c>
      <c r="I91" s="97"/>
      <c r="J91" s="73"/>
      <c r="M91" s="73" t="s">
        <v>666</v>
      </c>
      <c r="N91" s="73">
        <v>2</v>
      </c>
      <c r="O91" s="73"/>
    </row>
    <row r="92" spans="2:16" x14ac:dyDescent="0.25">
      <c r="B92" s="160"/>
      <c r="C92" s="73"/>
      <c r="D92" s="131"/>
      <c r="E92" s="133">
        <v>2</v>
      </c>
      <c r="F92" s="198" t="s">
        <v>569</v>
      </c>
      <c r="G92" s="192" t="s">
        <v>142</v>
      </c>
      <c r="H92" s="197">
        <v>2000</v>
      </c>
      <c r="I92" s="97"/>
      <c r="J92" s="73"/>
      <c r="M92" s="73" t="s">
        <v>667</v>
      </c>
      <c r="N92" s="73">
        <v>10</v>
      </c>
      <c r="O92" s="73"/>
    </row>
    <row r="93" spans="2:16" x14ac:dyDescent="0.25">
      <c r="B93" s="160">
        <v>8</v>
      </c>
      <c r="C93" s="73" t="s">
        <v>219</v>
      </c>
      <c r="D93" s="131">
        <f>7904+734+710</f>
        <v>9348</v>
      </c>
      <c r="E93" s="133"/>
      <c r="F93" s="131"/>
      <c r="G93" s="73"/>
      <c r="H93" s="131"/>
      <c r="I93" s="97">
        <f>D93-SUM(H94:H99)</f>
        <v>0</v>
      </c>
      <c r="J93" s="73"/>
      <c r="M93" s="73" t="s">
        <v>670</v>
      </c>
      <c r="N93" s="73">
        <v>1</v>
      </c>
      <c r="O93" s="73"/>
    </row>
    <row r="94" spans="2:16" x14ac:dyDescent="0.25">
      <c r="B94" s="160"/>
      <c r="C94" s="73"/>
      <c r="D94" s="131"/>
      <c r="E94" s="133">
        <v>813</v>
      </c>
      <c r="F94" s="196">
        <v>46208</v>
      </c>
      <c r="G94" s="192" t="s">
        <v>350</v>
      </c>
      <c r="H94" s="197">
        <v>1865</v>
      </c>
      <c r="I94" s="97"/>
      <c r="J94" s="73"/>
      <c r="M94" s="73" t="s">
        <v>671</v>
      </c>
      <c r="N94" s="73">
        <v>1</v>
      </c>
      <c r="O94" s="73"/>
    </row>
    <row r="95" spans="2:16" x14ac:dyDescent="0.25">
      <c r="B95" s="160"/>
      <c r="C95" s="73"/>
      <c r="D95" s="131"/>
      <c r="E95" s="133">
        <v>718</v>
      </c>
      <c r="F95" s="197" t="s">
        <v>259</v>
      </c>
      <c r="G95" s="192" t="s">
        <v>581</v>
      </c>
      <c r="H95" s="197">
        <v>732</v>
      </c>
      <c r="I95" s="97"/>
      <c r="J95" s="73"/>
    </row>
    <row r="96" spans="2:16" x14ac:dyDescent="0.25">
      <c r="B96" s="160"/>
      <c r="C96" s="73"/>
      <c r="D96" s="131"/>
      <c r="E96" s="133">
        <v>726</v>
      </c>
      <c r="F96" s="197" t="s">
        <v>300</v>
      </c>
      <c r="G96" s="192" t="s">
        <v>582</v>
      </c>
      <c r="H96" s="197">
        <v>1199</v>
      </c>
      <c r="I96" s="97"/>
      <c r="J96" s="73"/>
    </row>
    <row r="97" spans="2:10" x14ac:dyDescent="0.25">
      <c r="B97" s="160"/>
      <c r="C97" s="73"/>
      <c r="D97" s="131"/>
      <c r="E97" s="133">
        <v>741</v>
      </c>
      <c r="F97" s="197" t="s">
        <v>386</v>
      </c>
      <c r="G97" s="192" t="s">
        <v>583</v>
      </c>
      <c r="H97" s="197">
        <v>2857</v>
      </c>
      <c r="I97" s="97"/>
      <c r="J97" s="73"/>
    </row>
    <row r="98" spans="2:10" x14ac:dyDescent="0.25">
      <c r="B98" s="160"/>
      <c r="C98" s="73"/>
      <c r="D98" s="131"/>
      <c r="E98" s="133">
        <v>750</v>
      </c>
      <c r="F98" s="197" t="s">
        <v>408</v>
      </c>
      <c r="G98" s="192" t="s">
        <v>584</v>
      </c>
      <c r="H98" s="197">
        <v>1251</v>
      </c>
      <c r="I98" s="97"/>
      <c r="J98" s="73"/>
    </row>
    <row r="99" spans="2:10" x14ac:dyDescent="0.25">
      <c r="B99" s="160"/>
      <c r="C99" s="73"/>
      <c r="D99" s="131"/>
      <c r="E99" s="133">
        <v>823</v>
      </c>
      <c r="F99" s="196">
        <v>46028</v>
      </c>
      <c r="G99" s="192"/>
      <c r="H99" s="197">
        <v>1444</v>
      </c>
      <c r="I99" s="97"/>
      <c r="J99" s="73"/>
    </row>
    <row r="100" spans="2:10" x14ac:dyDescent="0.25">
      <c r="B100" s="160">
        <v>9</v>
      </c>
      <c r="C100" s="193" t="s">
        <v>152</v>
      </c>
      <c r="D100" s="194">
        <v>364</v>
      </c>
      <c r="E100" s="133"/>
      <c r="F100" s="131"/>
      <c r="G100" s="73"/>
      <c r="H100" s="131"/>
      <c r="I100" s="97"/>
      <c r="J100" s="73"/>
    </row>
    <row r="101" spans="2:10" x14ac:dyDescent="0.25">
      <c r="B101" s="160">
        <v>10</v>
      </c>
      <c r="C101" s="73" t="s">
        <v>280</v>
      </c>
      <c r="D101" s="131">
        <v>2201</v>
      </c>
      <c r="E101" s="97"/>
      <c r="F101" s="131"/>
      <c r="G101" s="73"/>
      <c r="H101" s="131"/>
      <c r="I101" s="97">
        <f>D101-SUM(H102:H103)</f>
        <v>-46</v>
      </c>
      <c r="J101" s="73"/>
    </row>
    <row r="102" spans="2:10" x14ac:dyDescent="0.25">
      <c r="B102" s="160"/>
      <c r="C102" s="73"/>
      <c r="D102" s="131"/>
      <c r="E102" s="133">
        <v>728</v>
      </c>
      <c r="F102" s="197" t="s">
        <v>300</v>
      </c>
      <c r="G102" s="192" t="s">
        <v>601</v>
      </c>
      <c r="H102" s="197">
        <v>1093</v>
      </c>
      <c r="I102" s="97"/>
      <c r="J102" s="73"/>
    </row>
    <row r="103" spans="2:10" x14ac:dyDescent="0.25">
      <c r="B103" s="160"/>
      <c r="C103" s="73"/>
      <c r="D103" s="131"/>
      <c r="E103" s="133">
        <v>733</v>
      </c>
      <c r="F103" s="197" t="s">
        <v>347</v>
      </c>
      <c r="G103" s="192" t="s">
        <v>602</v>
      </c>
      <c r="H103" s="197">
        <v>1154</v>
      </c>
      <c r="I103" s="97"/>
      <c r="J103" s="73"/>
    </row>
    <row r="104" spans="2:10" x14ac:dyDescent="0.25">
      <c r="B104" s="160">
        <v>11</v>
      </c>
      <c r="C104" s="73" t="s">
        <v>572</v>
      </c>
      <c r="D104" s="131">
        <v>4346</v>
      </c>
      <c r="E104" s="97"/>
      <c r="F104" s="131"/>
      <c r="G104" s="73"/>
      <c r="H104" s="131"/>
      <c r="I104" s="97">
        <f>D104-SUM(H105:H109)</f>
        <v>479</v>
      </c>
      <c r="J104" s="73"/>
    </row>
    <row r="105" spans="2:10" ht="13.8" x14ac:dyDescent="0.3">
      <c r="B105" s="160"/>
      <c r="C105" s="178"/>
      <c r="D105" s="131"/>
      <c r="E105" s="133">
        <v>804</v>
      </c>
      <c r="F105" s="196">
        <v>46058</v>
      </c>
      <c r="G105" s="192" t="s">
        <v>573</v>
      </c>
      <c r="H105" s="197">
        <v>992</v>
      </c>
      <c r="I105" s="97"/>
      <c r="J105" s="73"/>
    </row>
    <row r="106" spans="2:10" ht="13.8" x14ac:dyDescent="0.3">
      <c r="B106" s="160"/>
      <c r="C106" s="178"/>
      <c r="D106" s="131"/>
      <c r="E106" s="133">
        <v>712</v>
      </c>
      <c r="F106" s="197" t="s">
        <v>246</v>
      </c>
      <c r="G106" s="192" t="s">
        <v>574</v>
      </c>
      <c r="H106" s="197">
        <v>458</v>
      </c>
      <c r="I106" s="97"/>
      <c r="J106" s="73"/>
    </row>
    <row r="107" spans="2:10" ht="13.8" x14ac:dyDescent="0.3">
      <c r="B107" s="160"/>
      <c r="C107" s="178"/>
      <c r="D107" s="131"/>
      <c r="E107" s="133">
        <v>731</v>
      </c>
      <c r="F107" s="197" t="s">
        <v>311</v>
      </c>
      <c r="G107" s="192" t="s">
        <v>575</v>
      </c>
      <c r="H107" s="197">
        <v>1008</v>
      </c>
      <c r="I107" s="97"/>
      <c r="J107" s="73"/>
    </row>
    <row r="108" spans="2:10" ht="13.8" x14ac:dyDescent="0.3">
      <c r="B108" s="160"/>
      <c r="C108" s="178"/>
      <c r="D108" s="131"/>
      <c r="E108" s="133">
        <v>739</v>
      </c>
      <c r="F108" s="197" t="s">
        <v>355</v>
      </c>
      <c r="G108" s="192" t="s">
        <v>576</v>
      </c>
      <c r="H108" s="197">
        <v>959</v>
      </c>
      <c r="I108" s="97"/>
      <c r="J108" s="73"/>
    </row>
    <row r="109" spans="2:10" ht="13.8" x14ac:dyDescent="0.3">
      <c r="B109" s="160"/>
      <c r="C109" s="178"/>
      <c r="D109" s="131"/>
      <c r="E109" s="133">
        <v>744</v>
      </c>
      <c r="F109" s="197" t="s">
        <v>377</v>
      </c>
      <c r="G109" s="192" t="s">
        <v>577</v>
      </c>
      <c r="H109" s="197">
        <v>450</v>
      </c>
      <c r="I109" s="97"/>
      <c r="J109" s="73"/>
    </row>
    <row r="110" spans="2:10" x14ac:dyDescent="0.25">
      <c r="B110" s="160">
        <v>12</v>
      </c>
      <c r="C110" s="73" t="s">
        <v>276</v>
      </c>
      <c r="D110" s="131">
        <v>971</v>
      </c>
      <c r="E110" s="133">
        <v>748</v>
      </c>
      <c r="F110" s="197" t="s">
        <v>408</v>
      </c>
      <c r="G110" s="192" t="s">
        <v>605</v>
      </c>
      <c r="H110" s="197">
        <v>500</v>
      </c>
      <c r="I110" s="97">
        <f>D110-H110</f>
        <v>471</v>
      </c>
      <c r="J110" s="73"/>
    </row>
    <row r="111" spans="2:10" x14ac:dyDescent="0.25">
      <c r="B111" s="160">
        <v>13</v>
      </c>
      <c r="C111" s="73" t="s">
        <v>333</v>
      </c>
      <c r="D111" s="131">
        <v>502</v>
      </c>
      <c r="E111" s="97"/>
      <c r="F111" s="197" t="s">
        <v>355</v>
      </c>
      <c r="G111" s="192" t="s">
        <v>355</v>
      </c>
      <c r="H111" s="131">
        <v>502</v>
      </c>
      <c r="I111" s="97">
        <f>D111-H111</f>
        <v>0</v>
      </c>
      <c r="J111" s="73"/>
    </row>
    <row r="112" spans="2:10" x14ac:dyDescent="0.25">
      <c r="B112" s="160">
        <v>14</v>
      </c>
      <c r="C112" s="73" t="s">
        <v>225</v>
      </c>
      <c r="D112" s="131">
        <v>445</v>
      </c>
      <c r="E112" s="97"/>
      <c r="F112" s="131"/>
      <c r="G112" s="73"/>
      <c r="H112" s="131"/>
      <c r="I112" s="97">
        <f>D112-SUM(H113)</f>
        <v>-3222</v>
      </c>
      <c r="J112" s="73"/>
    </row>
    <row r="113" spans="2:10" x14ac:dyDescent="0.25">
      <c r="B113" s="160"/>
      <c r="C113" s="73"/>
      <c r="D113" s="131"/>
      <c r="E113" s="97">
        <v>817</v>
      </c>
      <c r="F113" s="131" t="s">
        <v>608</v>
      </c>
      <c r="G113" s="73" t="s">
        <v>617</v>
      </c>
      <c r="H113" s="131">
        <v>3667</v>
      </c>
      <c r="I113" s="97"/>
      <c r="J113" s="73"/>
    </row>
    <row r="114" spans="2:10" x14ac:dyDescent="0.25">
      <c r="B114" s="160">
        <v>15</v>
      </c>
      <c r="C114" s="73" t="s">
        <v>374</v>
      </c>
      <c r="D114" s="131">
        <v>463</v>
      </c>
      <c r="E114" s="97">
        <v>803</v>
      </c>
      <c r="F114" s="196">
        <v>46058</v>
      </c>
      <c r="G114" s="192" t="s">
        <v>373</v>
      </c>
      <c r="H114" s="197">
        <v>463</v>
      </c>
      <c r="I114" s="97">
        <f>D114-H114</f>
        <v>0</v>
      </c>
      <c r="J114" s="73"/>
    </row>
    <row r="115" spans="2:10" x14ac:dyDescent="0.25">
      <c r="B115" s="160">
        <v>16</v>
      </c>
      <c r="C115" s="73" t="s">
        <v>127</v>
      </c>
      <c r="D115" s="131">
        <v>427</v>
      </c>
      <c r="E115" s="97"/>
      <c r="F115" s="131"/>
      <c r="G115" s="73"/>
      <c r="H115" s="131"/>
      <c r="I115" s="97">
        <f>D115-H115</f>
        <v>427</v>
      </c>
      <c r="J115" s="73"/>
    </row>
    <row r="116" spans="2:10" x14ac:dyDescent="0.25">
      <c r="B116" s="160">
        <v>17</v>
      </c>
      <c r="C116" s="193" t="s">
        <v>201</v>
      </c>
      <c r="D116" s="194">
        <v>1065</v>
      </c>
      <c r="E116" s="97"/>
      <c r="F116" s="131"/>
      <c r="G116" s="73"/>
      <c r="H116" s="131"/>
      <c r="I116" s="97">
        <f>D116-SUM(H117:H118)</f>
        <v>-152</v>
      </c>
      <c r="J116" s="73"/>
    </row>
    <row r="117" spans="2:10" x14ac:dyDescent="0.25">
      <c r="B117" s="160"/>
      <c r="C117" s="73"/>
      <c r="D117" s="131"/>
      <c r="E117" s="133">
        <v>708</v>
      </c>
      <c r="F117" s="196">
        <v>46330</v>
      </c>
      <c r="G117" s="192" t="s">
        <v>590</v>
      </c>
      <c r="H117" s="197">
        <v>728</v>
      </c>
      <c r="I117" s="97"/>
      <c r="J117" s="73"/>
    </row>
    <row r="118" spans="2:10" x14ac:dyDescent="0.25">
      <c r="B118" s="160"/>
      <c r="C118" s="73"/>
      <c r="D118" s="131"/>
      <c r="E118" s="133">
        <v>709</v>
      </c>
      <c r="F118" s="196">
        <v>46330</v>
      </c>
      <c r="G118" s="192" t="s">
        <v>591</v>
      </c>
      <c r="H118" s="197">
        <v>489</v>
      </c>
      <c r="I118" s="97"/>
      <c r="J118" s="73"/>
    </row>
    <row r="119" spans="2:10" x14ac:dyDescent="0.25">
      <c r="B119" s="160">
        <v>18</v>
      </c>
      <c r="C119" s="73" t="s">
        <v>357</v>
      </c>
      <c r="D119" s="131">
        <v>1019</v>
      </c>
      <c r="E119" s="133">
        <v>809</v>
      </c>
      <c r="F119" s="199">
        <v>46178</v>
      </c>
      <c r="G119" s="192" t="s">
        <v>557</v>
      </c>
      <c r="H119" s="197">
        <v>1019</v>
      </c>
      <c r="I119" s="97">
        <f>D119-H119</f>
        <v>0</v>
      </c>
      <c r="J119" s="73"/>
    </row>
    <row r="120" spans="2:10" x14ac:dyDescent="0.25">
      <c r="B120" s="160">
        <v>19</v>
      </c>
      <c r="C120" s="73" t="s">
        <v>117</v>
      </c>
      <c r="D120" s="131">
        <v>693</v>
      </c>
      <c r="E120" s="97">
        <v>21</v>
      </c>
      <c r="F120" s="196" t="s">
        <v>600</v>
      </c>
      <c r="G120" s="192" t="s">
        <v>123</v>
      </c>
      <c r="H120" s="197">
        <v>366</v>
      </c>
      <c r="I120" s="97">
        <f>D120-H120</f>
        <v>327</v>
      </c>
      <c r="J120" s="73"/>
    </row>
    <row r="121" spans="2:10" x14ac:dyDescent="0.25">
      <c r="B121" s="160">
        <v>20</v>
      </c>
      <c r="C121" s="73" t="s">
        <v>396</v>
      </c>
      <c r="D121" s="131">
        <v>572</v>
      </c>
      <c r="E121" s="97">
        <v>802</v>
      </c>
      <c r="F121" s="196">
        <v>46058</v>
      </c>
      <c r="G121" s="73"/>
      <c r="H121" s="131">
        <v>572</v>
      </c>
      <c r="I121" s="97">
        <f>D121-H121</f>
        <v>0</v>
      </c>
      <c r="J121" s="73"/>
    </row>
    <row r="122" spans="2:10" x14ac:dyDescent="0.25">
      <c r="B122" s="160">
        <v>21</v>
      </c>
      <c r="C122" s="73" t="s">
        <v>101</v>
      </c>
      <c r="D122" s="131">
        <v>54212</v>
      </c>
      <c r="E122" s="97"/>
      <c r="F122" s="131"/>
      <c r="G122" s="73"/>
      <c r="H122" s="131"/>
      <c r="I122" s="97">
        <f>D122-SUM(H123:H136)</f>
        <v>16212</v>
      </c>
      <c r="J122" s="73"/>
    </row>
    <row r="123" spans="2:10" x14ac:dyDescent="0.25">
      <c r="B123" s="160"/>
      <c r="C123" s="73"/>
      <c r="D123" s="131"/>
      <c r="E123" s="133">
        <v>41</v>
      </c>
      <c r="F123" s="196">
        <v>46026</v>
      </c>
      <c r="G123" s="192" t="s">
        <v>560</v>
      </c>
      <c r="H123" s="197">
        <v>2000</v>
      </c>
      <c r="I123" s="97"/>
      <c r="J123" s="73"/>
    </row>
    <row r="124" spans="2:10" x14ac:dyDescent="0.25">
      <c r="B124" s="160"/>
      <c r="C124" s="73"/>
      <c r="D124" s="131"/>
      <c r="E124" s="133">
        <v>704</v>
      </c>
      <c r="F124" s="196">
        <v>46116</v>
      </c>
      <c r="G124" s="192" t="s">
        <v>123</v>
      </c>
      <c r="H124" s="197">
        <v>2000</v>
      </c>
      <c r="I124" s="97"/>
      <c r="J124" s="73"/>
    </row>
    <row r="125" spans="2:10" x14ac:dyDescent="0.25">
      <c r="B125" s="160"/>
      <c r="C125" s="73"/>
      <c r="D125" s="131"/>
      <c r="E125" s="133">
        <v>5</v>
      </c>
      <c r="F125" s="196">
        <v>46176</v>
      </c>
      <c r="G125" s="192" t="s">
        <v>123</v>
      </c>
      <c r="H125" s="197">
        <v>3000</v>
      </c>
      <c r="I125" s="97"/>
      <c r="J125" s="73"/>
    </row>
    <row r="126" spans="2:10" x14ac:dyDescent="0.25">
      <c r="B126" s="160"/>
      <c r="C126" s="73"/>
      <c r="D126" s="131"/>
      <c r="E126" s="133">
        <v>706</v>
      </c>
      <c r="F126" s="196">
        <v>46238</v>
      </c>
      <c r="G126" s="192" t="s">
        <v>141</v>
      </c>
      <c r="H126" s="197">
        <v>2000</v>
      </c>
      <c r="I126" s="97"/>
      <c r="J126" s="73"/>
    </row>
    <row r="127" spans="2:10" x14ac:dyDescent="0.25">
      <c r="B127" s="160"/>
      <c r="C127" s="73"/>
      <c r="D127" s="131"/>
      <c r="E127" s="133">
        <v>707</v>
      </c>
      <c r="F127" s="196">
        <v>46299</v>
      </c>
      <c r="G127" s="192" t="s">
        <v>142</v>
      </c>
      <c r="H127" s="197">
        <v>3000</v>
      </c>
      <c r="I127" s="97"/>
      <c r="J127" s="73"/>
    </row>
    <row r="128" spans="2:10" x14ac:dyDescent="0.25">
      <c r="B128" s="160"/>
      <c r="C128" s="73"/>
      <c r="D128" s="131"/>
      <c r="E128" s="133">
        <v>16</v>
      </c>
      <c r="F128" s="196">
        <v>46359</v>
      </c>
      <c r="G128" s="192" t="s">
        <v>561</v>
      </c>
      <c r="H128" s="197">
        <v>2000</v>
      </c>
      <c r="I128" s="97"/>
      <c r="J128" s="73"/>
    </row>
    <row r="129" spans="2:10" x14ac:dyDescent="0.25">
      <c r="B129" s="160"/>
      <c r="C129" s="73"/>
      <c r="D129" s="131"/>
      <c r="E129" s="133">
        <v>21</v>
      </c>
      <c r="F129" s="197" t="s">
        <v>558</v>
      </c>
      <c r="G129" s="192" t="s">
        <v>123</v>
      </c>
      <c r="H129" s="197">
        <v>2000</v>
      </c>
      <c r="I129" s="97"/>
      <c r="J129" s="73"/>
    </row>
    <row r="130" spans="2:10" x14ac:dyDescent="0.25">
      <c r="B130" s="160"/>
      <c r="C130" s="73"/>
      <c r="D130" s="131"/>
      <c r="E130" s="133">
        <v>714</v>
      </c>
      <c r="F130" s="197" t="s">
        <v>246</v>
      </c>
      <c r="G130" s="192" t="s">
        <v>193</v>
      </c>
      <c r="H130" s="197">
        <v>1625</v>
      </c>
      <c r="I130" s="97"/>
      <c r="J130" s="73"/>
    </row>
    <row r="131" spans="2:10" x14ac:dyDescent="0.25">
      <c r="B131" s="160"/>
      <c r="C131" s="73"/>
      <c r="D131" s="131"/>
      <c r="E131" s="133">
        <v>716</v>
      </c>
      <c r="F131" s="197" t="s">
        <v>254</v>
      </c>
      <c r="G131" s="192" t="s">
        <v>562</v>
      </c>
      <c r="H131" s="197">
        <v>3375</v>
      </c>
      <c r="I131" s="97"/>
      <c r="J131" s="73"/>
    </row>
    <row r="132" spans="2:10" x14ac:dyDescent="0.25">
      <c r="B132" s="160"/>
      <c r="C132" s="73"/>
      <c r="D132" s="131"/>
      <c r="E132" s="133">
        <v>30</v>
      </c>
      <c r="F132" s="197" t="s">
        <v>323</v>
      </c>
      <c r="G132" s="192" t="s">
        <v>123</v>
      </c>
      <c r="H132" s="197">
        <v>6000</v>
      </c>
      <c r="I132" s="97"/>
      <c r="J132" s="73"/>
    </row>
    <row r="133" spans="2:10" x14ac:dyDescent="0.25">
      <c r="B133" s="160"/>
      <c r="C133" s="73"/>
      <c r="D133" s="131"/>
      <c r="E133" s="133">
        <v>729</v>
      </c>
      <c r="F133" s="197" t="s">
        <v>315</v>
      </c>
      <c r="G133" s="192" t="s">
        <v>563</v>
      </c>
      <c r="H133" s="197">
        <v>3000</v>
      </c>
      <c r="I133" s="97"/>
      <c r="J133" s="73"/>
    </row>
    <row r="134" spans="2:10" x14ac:dyDescent="0.25">
      <c r="B134" s="160"/>
      <c r="C134" s="73"/>
      <c r="D134" s="131"/>
      <c r="E134" s="133">
        <v>743</v>
      </c>
      <c r="F134" s="197" t="s">
        <v>386</v>
      </c>
      <c r="G134" s="192" t="s">
        <v>563</v>
      </c>
      <c r="H134" s="197">
        <v>3000</v>
      </c>
      <c r="I134" s="97"/>
      <c r="J134" s="73"/>
    </row>
    <row r="135" spans="2:10" x14ac:dyDescent="0.25">
      <c r="B135" s="160"/>
      <c r="C135" s="73"/>
      <c r="D135" s="131"/>
      <c r="E135" s="133">
        <v>50</v>
      </c>
      <c r="F135" s="197" t="s">
        <v>559</v>
      </c>
      <c r="G135" s="192" t="s">
        <v>193</v>
      </c>
      <c r="H135" s="197">
        <v>2000</v>
      </c>
      <c r="I135" s="97"/>
      <c r="J135" s="73"/>
    </row>
    <row r="136" spans="2:10" x14ac:dyDescent="0.25">
      <c r="B136" s="160"/>
      <c r="C136" s="73"/>
      <c r="D136" s="131"/>
      <c r="E136" s="133">
        <v>801</v>
      </c>
      <c r="F136" s="197" t="s">
        <v>408</v>
      </c>
      <c r="G136" s="192" t="s">
        <v>564</v>
      </c>
      <c r="H136" s="197">
        <v>3000</v>
      </c>
      <c r="I136" s="97"/>
      <c r="J136" s="73"/>
    </row>
    <row r="137" spans="2:10" x14ac:dyDescent="0.25">
      <c r="B137" s="160"/>
      <c r="C137" s="73"/>
      <c r="D137" s="131"/>
      <c r="E137" s="133"/>
      <c r="F137" s="228" t="s">
        <v>739</v>
      </c>
      <c r="G137" s="229"/>
      <c r="H137" s="228">
        <v>14084</v>
      </c>
      <c r="I137" s="97"/>
      <c r="J137" s="73"/>
    </row>
    <row r="138" spans="2:10" x14ac:dyDescent="0.25">
      <c r="B138" s="160">
        <v>22</v>
      </c>
      <c r="C138" s="73" t="s">
        <v>543</v>
      </c>
      <c r="D138" s="131">
        <v>1346</v>
      </c>
      <c r="E138" s="97"/>
      <c r="F138" s="195"/>
      <c r="H138" s="195"/>
      <c r="I138" s="97">
        <f>D138-SUM(H139:H141)</f>
        <v>-409</v>
      </c>
      <c r="J138" s="73"/>
    </row>
    <row r="139" spans="2:10" x14ac:dyDescent="0.25">
      <c r="B139" s="160"/>
      <c r="C139" s="73"/>
      <c r="D139" s="131"/>
      <c r="E139" s="97">
        <v>703</v>
      </c>
      <c r="F139" s="196">
        <v>46085</v>
      </c>
      <c r="G139" s="193" t="s">
        <v>578</v>
      </c>
      <c r="H139" s="194">
        <v>863</v>
      </c>
      <c r="I139" s="97"/>
      <c r="J139" s="73"/>
    </row>
    <row r="140" spans="2:10" x14ac:dyDescent="0.25">
      <c r="B140" s="160"/>
      <c r="C140" s="73"/>
      <c r="D140" s="131"/>
      <c r="E140" s="133">
        <v>717</v>
      </c>
      <c r="F140" s="197" t="s">
        <v>254</v>
      </c>
      <c r="G140" s="192" t="s">
        <v>599</v>
      </c>
      <c r="H140" s="197">
        <v>483</v>
      </c>
      <c r="I140" s="97"/>
      <c r="J140" s="73"/>
    </row>
    <row r="141" spans="2:10" x14ac:dyDescent="0.25">
      <c r="B141" s="160"/>
      <c r="C141" s="73"/>
      <c r="D141" s="131"/>
      <c r="E141" s="133">
        <v>33</v>
      </c>
      <c r="F141" s="197" t="s">
        <v>598</v>
      </c>
      <c r="G141" s="192" t="s">
        <v>578</v>
      </c>
      <c r="H141" s="197">
        <v>409</v>
      </c>
      <c r="I141" s="97"/>
      <c r="J141" s="73"/>
    </row>
    <row r="142" spans="2:10" x14ac:dyDescent="0.25">
      <c r="B142" s="160">
        <v>23</v>
      </c>
      <c r="C142" s="73" t="s">
        <v>435</v>
      </c>
      <c r="D142" s="131">
        <v>1782</v>
      </c>
      <c r="E142" s="133">
        <v>816</v>
      </c>
      <c r="F142" s="196">
        <v>46331</v>
      </c>
      <c r="G142" s="192" t="s">
        <v>592</v>
      </c>
      <c r="H142" s="197">
        <v>1728</v>
      </c>
      <c r="I142" s="97">
        <f>D142-H142</f>
        <v>54</v>
      </c>
      <c r="J142" s="73"/>
    </row>
    <row r="143" spans="2:10" x14ac:dyDescent="0.25">
      <c r="B143" s="160">
        <v>24</v>
      </c>
      <c r="C143" s="73" t="s">
        <v>174</v>
      </c>
      <c r="D143" s="131">
        <v>593</v>
      </c>
      <c r="E143" s="97">
        <v>23</v>
      </c>
      <c r="F143" s="197" t="s">
        <v>565</v>
      </c>
      <c r="G143" s="192" t="s">
        <v>590</v>
      </c>
      <c r="H143" s="197">
        <v>593</v>
      </c>
      <c r="I143" s="97">
        <f>D143-H143</f>
        <v>0</v>
      </c>
      <c r="J143" s="73"/>
    </row>
    <row r="144" spans="2:10" x14ac:dyDescent="0.25">
      <c r="B144" s="160">
        <v>25</v>
      </c>
      <c r="C144" s="73" t="s">
        <v>209</v>
      </c>
      <c r="D144" s="131">
        <v>640</v>
      </c>
      <c r="E144" s="97"/>
      <c r="F144" s="131"/>
      <c r="G144" s="73"/>
      <c r="H144" s="131"/>
      <c r="I144" s="97">
        <f>D144-H144</f>
        <v>640</v>
      </c>
      <c r="J144" s="73"/>
    </row>
    <row r="145" spans="2:10" x14ac:dyDescent="0.25">
      <c r="B145" s="160">
        <v>26</v>
      </c>
      <c r="C145" s="73" t="s">
        <v>146</v>
      </c>
      <c r="D145" s="131">
        <v>5469</v>
      </c>
      <c r="E145" s="97"/>
      <c r="F145" s="131"/>
      <c r="G145" s="73"/>
      <c r="H145" s="131"/>
      <c r="I145" s="97">
        <f>D145-SUM(H146:H150)</f>
        <v>-5</v>
      </c>
      <c r="J145" s="73"/>
    </row>
    <row r="146" spans="2:10" x14ac:dyDescent="0.25">
      <c r="B146" s="160"/>
      <c r="C146" s="73"/>
      <c r="D146" s="131"/>
      <c r="E146" s="133">
        <v>701</v>
      </c>
      <c r="F146" s="196">
        <v>46026</v>
      </c>
      <c r="G146" s="192" t="s">
        <v>566</v>
      </c>
      <c r="H146" s="197">
        <v>1018</v>
      </c>
      <c r="I146" s="97"/>
      <c r="J146" s="73"/>
    </row>
    <row r="147" spans="2:10" x14ac:dyDescent="0.25">
      <c r="B147" s="160"/>
      <c r="C147" s="73"/>
      <c r="D147" s="131"/>
      <c r="E147" s="133">
        <v>806</v>
      </c>
      <c r="F147" s="196">
        <v>46086</v>
      </c>
      <c r="G147" s="192" t="s">
        <v>268</v>
      </c>
      <c r="H147" s="197">
        <v>485</v>
      </c>
      <c r="I147" s="97"/>
      <c r="J147" s="73"/>
    </row>
    <row r="148" spans="2:10" x14ac:dyDescent="0.25">
      <c r="B148" s="160"/>
      <c r="C148" s="73"/>
      <c r="D148" s="131"/>
      <c r="E148" s="133">
        <v>727</v>
      </c>
      <c r="F148" s="197" t="s">
        <v>300</v>
      </c>
      <c r="G148" s="192" t="s">
        <v>567</v>
      </c>
      <c r="H148" s="197">
        <v>2000</v>
      </c>
      <c r="I148" s="97"/>
      <c r="J148" s="73"/>
    </row>
    <row r="149" spans="2:10" x14ac:dyDescent="0.25">
      <c r="B149" s="160"/>
      <c r="C149" s="73"/>
      <c r="D149" s="131"/>
      <c r="E149" s="133">
        <v>22</v>
      </c>
      <c r="F149" s="197" t="s">
        <v>565</v>
      </c>
      <c r="G149" s="192" t="s">
        <v>568</v>
      </c>
      <c r="H149" s="197">
        <v>925</v>
      </c>
      <c r="I149" s="97"/>
      <c r="J149" s="73"/>
    </row>
    <row r="150" spans="2:10" x14ac:dyDescent="0.25">
      <c r="B150" s="160"/>
      <c r="C150" s="73"/>
      <c r="D150" s="131"/>
      <c r="E150" s="133">
        <v>746</v>
      </c>
      <c r="F150" s="197" t="s">
        <v>395</v>
      </c>
      <c r="G150" s="192" t="s">
        <v>268</v>
      </c>
      <c r="H150" s="197">
        <v>1046</v>
      </c>
      <c r="I150" s="97"/>
      <c r="J150" s="73"/>
    </row>
    <row r="151" spans="2:10" x14ac:dyDescent="0.25">
      <c r="B151" s="160">
        <v>27</v>
      </c>
      <c r="C151" s="73" t="s">
        <v>179</v>
      </c>
      <c r="D151" s="131">
        <v>2689</v>
      </c>
      <c r="E151" s="97"/>
      <c r="F151" s="131"/>
      <c r="G151" s="73"/>
      <c r="H151" s="131"/>
      <c r="I151" s="97">
        <f>D151-SUM(H152:H155)</f>
        <v>-10</v>
      </c>
      <c r="J151" s="73"/>
    </row>
    <row r="152" spans="2:10" x14ac:dyDescent="0.25">
      <c r="B152" s="160"/>
      <c r="C152" s="73"/>
      <c r="D152" s="131"/>
      <c r="E152" s="133">
        <v>814</v>
      </c>
      <c r="F152" s="196">
        <v>46208</v>
      </c>
      <c r="G152" s="192" t="s">
        <v>190</v>
      </c>
      <c r="H152" s="197">
        <v>1295</v>
      </c>
      <c r="I152" s="97"/>
      <c r="J152" s="73"/>
    </row>
    <row r="153" spans="2:10" x14ac:dyDescent="0.25">
      <c r="B153" s="160"/>
      <c r="C153" s="73"/>
      <c r="D153" s="131"/>
      <c r="E153" s="133">
        <v>705</v>
      </c>
      <c r="F153" s="196">
        <v>46177</v>
      </c>
      <c r="G153" s="192" t="s">
        <v>586</v>
      </c>
      <c r="H153" s="197">
        <v>467</v>
      </c>
      <c r="I153" s="97"/>
      <c r="J153" s="73"/>
    </row>
    <row r="154" spans="2:10" x14ac:dyDescent="0.25">
      <c r="B154" s="160"/>
      <c r="C154" s="73"/>
      <c r="D154" s="131"/>
      <c r="E154" s="133">
        <v>725</v>
      </c>
      <c r="F154" s="197" t="s">
        <v>300</v>
      </c>
      <c r="G154" s="192" t="s">
        <v>587</v>
      </c>
      <c r="H154" s="197">
        <v>430</v>
      </c>
      <c r="I154" s="97"/>
      <c r="J154" s="73"/>
    </row>
    <row r="155" spans="2:10" x14ac:dyDescent="0.25">
      <c r="B155" s="160"/>
      <c r="C155" s="73"/>
      <c r="D155" s="131"/>
      <c r="E155" s="133">
        <v>43</v>
      </c>
      <c r="F155" s="197" t="s">
        <v>585</v>
      </c>
      <c r="G155" s="192" t="s">
        <v>407</v>
      </c>
      <c r="H155" s="197">
        <v>507</v>
      </c>
      <c r="I155" s="97"/>
      <c r="J155" s="73"/>
    </row>
    <row r="156" spans="2:10" x14ac:dyDescent="0.25">
      <c r="B156" s="160">
        <v>28</v>
      </c>
      <c r="C156" s="73" t="s">
        <v>413</v>
      </c>
      <c r="D156" s="131">
        <v>1641</v>
      </c>
      <c r="E156" s="97">
        <v>410</v>
      </c>
      <c r="F156" s="195"/>
      <c r="H156" s="195"/>
      <c r="I156" s="97">
        <f>D156-SUM(H157:H158)</f>
        <v>578</v>
      </c>
      <c r="J156" s="73"/>
    </row>
    <row r="157" spans="2:10" x14ac:dyDescent="0.25">
      <c r="B157" s="160"/>
      <c r="C157" s="73"/>
      <c r="D157" s="131"/>
      <c r="E157" s="97"/>
      <c r="F157" s="196">
        <v>46178</v>
      </c>
      <c r="G157" s="192" t="s">
        <v>412</v>
      </c>
      <c r="H157" s="197">
        <v>487</v>
      </c>
      <c r="I157" s="97"/>
      <c r="J157" s="73"/>
    </row>
    <row r="158" spans="2:10" x14ac:dyDescent="0.25">
      <c r="B158" s="160"/>
      <c r="C158" s="73"/>
      <c r="D158" s="131"/>
      <c r="E158" s="97"/>
      <c r="F158" s="196">
        <v>46208</v>
      </c>
      <c r="G158" s="192" t="s">
        <v>412</v>
      </c>
      <c r="H158" s="197">
        <v>576</v>
      </c>
      <c r="I158" s="97"/>
      <c r="J158" s="73"/>
    </row>
    <row r="159" spans="2:10" x14ac:dyDescent="0.25">
      <c r="B159" s="160">
        <v>29</v>
      </c>
      <c r="C159" s="73" t="s">
        <v>526</v>
      </c>
      <c r="D159" s="131">
        <v>2367</v>
      </c>
      <c r="E159" s="97"/>
      <c r="F159" s="131"/>
      <c r="G159" s="73"/>
      <c r="H159" s="131"/>
      <c r="I159" s="97">
        <f>D159-SUM(H160:H162)</f>
        <v>0</v>
      </c>
      <c r="J159" s="73"/>
    </row>
    <row r="160" spans="2:10" x14ac:dyDescent="0.25">
      <c r="B160" s="160"/>
      <c r="C160" s="73"/>
      <c r="D160" s="131"/>
      <c r="E160" s="133">
        <v>730</v>
      </c>
      <c r="F160" s="197" t="s">
        <v>311</v>
      </c>
      <c r="G160" s="192" t="s">
        <v>604</v>
      </c>
      <c r="H160" s="197">
        <v>413</v>
      </c>
      <c r="I160" s="97"/>
      <c r="J160" s="73"/>
    </row>
    <row r="161" spans="2:10" x14ac:dyDescent="0.25">
      <c r="B161" s="160"/>
      <c r="C161" s="73"/>
      <c r="D161" s="131"/>
      <c r="E161" s="133">
        <v>742</v>
      </c>
      <c r="F161" s="197" t="s">
        <v>386</v>
      </c>
      <c r="G161" s="192" t="s">
        <v>604</v>
      </c>
      <c r="H161" s="197">
        <v>481</v>
      </c>
      <c r="I161" s="97"/>
      <c r="J161" s="73"/>
    </row>
    <row r="162" spans="2:10" x14ac:dyDescent="0.25">
      <c r="B162" s="160"/>
      <c r="C162" s="73"/>
      <c r="D162" s="131"/>
      <c r="E162" s="133">
        <v>821</v>
      </c>
      <c r="F162" s="197" t="s">
        <v>610</v>
      </c>
      <c r="G162" s="192" t="s">
        <v>611</v>
      </c>
      <c r="H162" s="197">
        <v>1473</v>
      </c>
      <c r="I162" s="97"/>
      <c r="J162" s="73"/>
    </row>
    <row r="163" spans="2:10" x14ac:dyDescent="0.25">
      <c r="B163" s="160">
        <v>30</v>
      </c>
      <c r="C163" s="73" t="s">
        <v>164</v>
      </c>
      <c r="D163" s="131">
        <v>493</v>
      </c>
      <c r="E163" s="97"/>
      <c r="F163" s="131"/>
      <c r="G163" s="73"/>
      <c r="H163" s="131"/>
      <c r="I163" s="97">
        <f>D163-H163</f>
        <v>493</v>
      </c>
      <c r="J163" s="73"/>
    </row>
    <row r="164" spans="2:10" x14ac:dyDescent="0.25">
      <c r="B164" s="160">
        <v>31</v>
      </c>
      <c r="C164" s="73" t="s">
        <v>110</v>
      </c>
      <c r="D164" s="131">
        <v>643</v>
      </c>
      <c r="E164" s="97">
        <v>4</v>
      </c>
      <c r="F164" s="196">
        <v>46056</v>
      </c>
      <c r="G164" s="192" t="s">
        <v>123</v>
      </c>
      <c r="H164" s="197">
        <v>658</v>
      </c>
      <c r="I164" s="97">
        <f>D164-H164</f>
        <v>-15</v>
      </c>
      <c r="J164" s="73"/>
    </row>
    <row r="165" spans="2:10" x14ac:dyDescent="0.25">
      <c r="B165" s="160">
        <v>32</v>
      </c>
      <c r="C165" s="73" t="s">
        <v>621</v>
      </c>
      <c r="D165" s="131">
        <v>0</v>
      </c>
      <c r="E165" s="97"/>
      <c r="F165" s="131"/>
      <c r="G165" s="73"/>
      <c r="H165" s="131"/>
      <c r="I165" s="97">
        <f>D165-SUM(H166)</f>
        <v>-4892</v>
      </c>
      <c r="J165" s="73"/>
    </row>
    <row r="166" spans="2:10" x14ac:dyDescent="0.25">
      <c r="B166" s="160"/>
      <c r="C166" s="73"/>
      <c r="D166" s="131"/>
      <c r="E166" s="97">
        <v>820</v>
      </c>
      <c r="F166" s="73" t="s">
        <v>619</v>
      </c>
      <c r="G166" s="73" t="s">
        <v>622</v>
      </c>
      <c r="H166" s="131">
        <v>4892</v>
      </c>
      <c r="I166" s="97"/>
      <c r="J166" s="73"/>
    </row>
    <row r="167" spans="2:10" x14ac:dyDescent="0.25">
      <c r="D167" s="195"/>
      <c r="E167" s="160"/>
      <c r="H167" s="195"/>
    </row>
    <row r="168" spans="2:10" x14ac:dyDescent="0.25">
      <c r="D168" s="195"/>
      <c r="E168" s="160"/>
      <c r="H168" s="195"/>
    </row>
    <row r="169" spans="2:10" x14ac:dyDescent="0.25">
      <c r="D169" s="195"/>
      <c r="E169" s="160"/>
      <c r="H169" s="195"/>
    </row>
    <row r="170" spans="2:10" x14ac:dyDescent="0.25">
      <c r="D170" s="195"/>
      <c r="E170" s="160"/>
      <c r="H170" s="195"/>
    </row>
    <row r="171" spans="2:10" x14ac:dyDescent="0.25">
      <c r="D171" s="195"/>
      <c r="E171" s="160"/>
    </row>
    <row r="172" spans="2:10" x14ac:dyDescent="0.25">
      <c r="D172" s="195"/>
      <c r="E172" s="160"/>
    </row>
    <row r="173" spans="2:10" x14ac:dyDescent="0.25">
      <c r="D173" s="195"/>
      <c r="E173" s="160"/>
    </row>
    <row r="174" spans="2:10" x14ac:dyDescent="0.25">
      <c r="D174" s="195"/>
      <c r="E174" s="160"/>
    </row>
    <row r="175" spans="2:10" x14ac:dyDescent="0.25">
      <c r="D175" s="195"/>
      <c r="E175" s="160"/>
    </row>
    <row r="176" spans="2:10" x14ac:dyDescent="0.25">
      <c r="D176" s="195"/>
      <c r="E176" s="160"/>
    </row>
    <row r="177" spans="4:14" x14ac:dyDescent="0.25">
      <c r="D177" s="195"/>
      <c r="E177" s="160"/>
    </row>
    <row r="178" spans="4:14" x14ac:dyDescent="0.25">
      <c r="D178" s="195"/>
      <c r="E178" s="160"/>
    </row>
    <row r="179" spans="4:14" x14ac:dyDescent="0.25">
      <c r="D179" s="195"/>
      <c r="E179" s="160"/>
    </row>
    <row r="180" spans="4:14" x14ac:dyDescent="0.25">
      <c r="D180" s="195"/>
      <c r="E180" s="160"/>
    </row>
    <row r="181" spans="4:14" x14ac:dyDescent="0.25">
      <c r="D181" s="195"/>
      <c r="E181" s="160"/>
    </row>
    <row r="182" spans="4:14" x14ac:dyDescent="0.25">
      <c r="D182" s="195"/>
      <c r="E182" s="160"/>
    </row>
    <row r="183" spans="4:14" x14ac:dyDescent="0.25">
      <c r="D183" s="195"/>
      <c r="E183" s="160"/>
    </row>
    <row r="184" spans="4:14" x14ac:dyDescent="0.25">
      <c r="D184" s="195"/>
      <c r="E184" s="160"/>
    </row>
    <row r="185" spans="4:14" x14ac:dyDescent="0.25">
      <c r="D185" s="195"/>
      <c r="E185" s="160"/>
      <c r="M185" s="218"/>
    </row>
    <row r="186" spans="4:14" x14ac:dyDescent="0.25">
      <c r="D186" s="195"/>
      <c r="E186" s="160"/>
      <c r="M186" s="206"/>
    </row>
    <row r="187" spans="4:14" x14ac:dyDescent="0.25">
      <c r="D187" s="195"/>
      <c r="E187" s="160"/>
    </row>
    <row r="188" spans="4:14" x14ac:dyDescent="0.25">
      <c r="M188" s="219"/>
      <c r="N188" s="219"/>
    </row>
    <row r="189" spans="4:14" x14ac:dyDescent="0.25">
      <c r="N189" s="206"/>
    </row>
    <row r="190" spans="4:14" x14ac:dyDescent="0.25">
      <c r="M190" s="219"/>
      <c r="N190" s="220"/>
    </row>
  </sheetData>
  <autoFilter ref="C61:H166" xr:uid="{5A380053-6066-42BC-96EB-4B8C87D9270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LBA-2026</vt:lpstr>
      <vt:lpstr>RCN INWARD FACTORY YAKRO 2026</vt:lpstr>
      <vt:lpstr>JUte Bag Record (2)</vt:lpstr>
      <vt:lpstr>Sheet1</vt:lpstr>
      <vt:lpstr>JUte Bag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-Anagroci</dc:creator>
  <cp:lastModifiedBy>deepak kumar singh singh</cp:lastModifiedBy>
  <dcterms:created xsi:type="dcterms:W3CDTF">2026-05-07T15:50:18Z</dcterms:created>
  <dcterms:modified xsi:type="dcterms:W3CDTF">2026-08-21T16:43:14Z</dcterms:modified>
</cp:coreProperties>
</file>