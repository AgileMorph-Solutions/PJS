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e1b34c60ccc372/Desktop/RCN YAKRO/RCN REPORT/"/>
    </mc:Choice>
  </mc:AlternateContent>
  <xr:revisionPtr revIDLastSave="2214" documentId="13_ncr:1_{E85091C5-B235-4A4D-B6F2-0C29C103C3F3}" xr6:coauthVersionLast="47" xr6:coauthVersionMax="47" xr10:uidLastSave="{EF42E940-BC60-458B-8E9D-6B90DFD4CD70}"/>
  <bookViews>
    <workbookView xWindow="-108" yWindow="-108" windowWidth="23256" windowHeight="12456" xr2:uid="{289BF31F-2408-4F1A-BB29-26E3F7CF6E9E}"/>
  </bookViews>
  <sheets>
    <sheet name="FINAL DRY RCN-YAKRO-2026" sheetId="1" r:id="rId1"/>
    <sheet name="No Dryied Issued RCN" sheetId="5" r:id="rId2"/>
    <sheet name="Sheet1" sheetId="4" r:id="rId3"/>
    <sheet name="Bouake Dring RCN" sheetId="3" r:id="rId4"/>
    <sheet name="Issued to Production Section" sheetId="2" r:id="rId5"/>
  </sheets>
  <externalReferences>
    <externalReference r:id="rId6"/>
    <externalReference r:id="rId7"/>
  </externalReferences>
  <definedNames>
    <definedName name="_xlnm._FilterDatabase" localSheetId="0" hidden="1">'FINAL DRY RCN-YAKRO-2026'!$A$2:$AY$69</definedName>
    <definedName name="_xlnm._FilterDatabase" localSheetId="4" hidden="1">'Issued to Production Section'!$A$5:$AG$65</definedName>
    <definedName name="Prestataires">[1]Listes!$A$2:$A$20</definedName>
    <definedName name="Sites" localSheetId="0">[2]Listes!$B$2:$B$20</definedName>
    <definedName name="Sites">[1]Listes!$B$2:$B$20</definedName>
  </definedNames>
  <calcPr calcId="191029"/>
  <pivotCaches>
    <pivotCache cacheId="21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83" i="1" l="1"/>
  <c r="AJ83" i="1" s="1"/>
  <c r="T83" i="1"/>
  <c r="R83" i="1"/>
  <c r="AH66" i="2"/>
  <c r="AD66" i="2"/>
  <c r="AB66" i="2"/>
  <c r="X66" i="2"/>
  <c r="V66" i="2"/>
  <c r="O23" i="5" l="1"/>
  <c r="N23" i="5"/>
  <c r="L23" i="5"/>
  <c r="K23" i="5"/>
  <c r="I23" i="5"/>
  <c r="O22" i="5"/>
  <c r="N22" i="5"/>
  <c r="L22" i="5"/>
  <c r="K22" i="5"/>
  <c r="I22" i="5"/>
  <c r="X65" i="2"/>
  <c r="V65" i="2"/>
  <c r="AB65" i="2" s="1"/>
  <c r="AD65" i="2" s="1"/>
  <c r="AH65" i="2" s="1"/>
  <c r="AA65" i="2"/>
  <c r="AA64" i="2" l="1"/>
  <c r="X64" i="2"/>
  <c r="Y64" i="2"/>
  <c r="W64" i="2"/>
  <c r="V64" i="2"/>
  <c r="AB64" i="2" s="1"/>
  <c r="AD64" i="2" s="1"/>
  <c r="AH64" i="2" s="1"/>
  <c r="O21" i="5"/>
  <c r="N21" i="5"/>
  <c r="M21" i="5"/>
  <c r="L21" i="5"/>
  <c r="K21" i="5"/>
  <c r="W63" i="2" l="1"/>
  <c r="Y63" i="2"/>
  <c r="V63" i="2"/>
  <c r="AB63" i="2" s="1"/>
  <c r="AD63" i="2" s="1"/>
  <c r="AH63" i="2" s="1"/>
  <c r="O20" i="5"/>
  <c r="N20" i="5"/>
  <c r="M20" i="5"/>
  <c r="L20" i="5" s="1"/>
  <c r="K20" i="5"/>
  <c r="J20" i="5"/>
  <c r="I20" i="5"/>
  <c r="X63" i="2" l="1"/>
  <c r="X62" i="2" l="1"/>
  <c r="V62" i="2"/>
  <c r="AB62" i="2" s="1"/>
  <c r="AD62" i="2" s="1"/>
  <c r="AH62" i="2" s="1"/>
  <c r="M19" i="5"/>
  <c r="N19" i="5"/>
  <c r="O19" i="5"/>
  <c r="L19" i="5"/>
  <c r="K19" i="5"/>
  <c r="M83" i="1"/>
  <c r="O83" i="1" s="1"/>
  <c r="K83" i="1"/>
  <c r="M82" i="1"/>
  <c r="O82" i="1" s="1"/>
  <c r="W61" i="2"/>
  <c r="X61" i="2" s="1"/>
  <c r="V61" i="2"/>
  <c r="AB61" i="2" s="1"/>
  <c r="AD61" i="2" s="1"/>
  <c r="AH61" i="2" s="1"/>
  <c r="O18" i="5"/>
  <c r="N18" i="5"/>
  <c r="M18" i="5"/>
  <c r="L18" i="5"/>
  <c r="K18" i="5"/>
  <c r="J18" i="5"/>
  <c r="I18" i="5"/>
  <c r="R82" i="1"/>
  <c r="T82" i="1" s="1"/>
  <c r="AI82" i="1" l="1"/>
  <c r="AJ82" i="1" s="1"/>
  <c r="M81" i="1"/>
  <c r="O81" i="1" s="1"/>
  <c r="R81" i="1"/>
  <c r="T81" i="1" s="1"/>
  <c r="Y60" i="2"/>
  <c r="X60" i="2" s="1"/>
  <c r="V60" i="2"/>
  <c r="AB60" i="2" s="1"/>
  <c r="AD60" i="2" s="1"/>
  <c r="AH60" i="2" s="1"/>
  <c r="N17" i="5"/>
  <c r="K17" i="5"/>
  <c r="O17" i="5" s="1"/>
  <c r="M80" i="1"/>
  <c r="O80" i="1" s="1"/>
  <c r="K80" i="1"/>
  <c r="R80" i="1"/>
  <c r="T80" i="1" s="1"/>
  <c r="Y59" i="2"/>
  <c r="X59" i="2" s="1"/>
  <c r="V59" i="2"/>
  <c r="AB59" i="2" s="1"/>
  <c r="AD59" i="2" s="1"/>
  <c r="AH59" i="2" s="1"/>
  <c r="O16" i="5"/>
  <c r="N16" i="5"/>
  <c r="L16" i="5"/>
  <c r="K16" i="5"/>
  <c r="J16" i="5"/>
  <c r="I16" i="5"/>
  <c r="AI81" i="1" l="1"/>
  <c r="AJ81" i="1" s="1"/>
  <c r="AI80" i="1"/>
  <c r="AJ80" i="1" s="1"/>
  <c r="L17" i="5"/>
  <c r="Q79" i="1"/>
  <c r="P79" i="1"/>
  <c r="O1" i="5"/>
  <c r="R78" i="1"/>
  <c r="T78" i="1" s="1"/>
  <c r="P78" i="1"/>
  <c r="AA58" i="2"/>
  <c r="Y58" i="2"/>
  <c r="V58" i="2"/>
  <c r="AB58" i="2" s="1"/>
  <c r="AD58" i="2" s="1"/>
  <c r="AH58" i="2" s="1"/>
  <c r="M15" i="5"/>
  <c r="N15" i="5"/>
  <c r="K15" i="5"/>
  <c r="N79" i="1"/>
  <c r="M79" i="1"/>
  <c r="L79" i="1"/>
  <c r="K79" i="1"/>
  <c r="R79" i="1"/>
  <c r="T79" i="1" s="1"/>
  <c r="O79" i="1" l="1"/>
  <c r="L15" i="5"/>
  <c r="O15" i="5"/>
  <c r="K78" i="1"/>
  <c r="M78" i="1" s="1"/>
  <c r="S77" i="1"/>
  <c r="P77" i="1"/>
  <c r="AI79" i="1" l="1"/>
  <c r="AJ79" i="1" s="1"/>
  <c r="O78" i="1"/>
  <c r="AI78" i="1" s="1"/>
  <c r="AJ78" i="1" s="1"/>
  <c r="AA57" i="2" l="1"/>
  <c r="Y57" i="2"/>
  <c r="X57" i="2" s="1"/>
  <c r="T57" i="2"/>
  <c r="V57" i="2" s="1"/>
  <c r="O14" i="5"/>
  <c r="N14" i="5"/>
  <c r="L14" i="5"/>
  <c r="K14" i="5"/>
  <c r="I14" i="5"/>
  <c r="N77" i="1"/>
  <c r="M77" i="1"/>
  <c r="O77" i="1" s="1"/>
  <c r="L77" i="1"/>
  <c r="K77" i="1"/>
  <c r="S76" i="1"/>
  <c r="P76" i="1"/>
  <c r="R77" i="1"/>
  <c r="T77" i="1" s="1"/>
  <c r="K76" i="1"/>
  <c r="M76" i="1" s="1"/>
  <c r="AB57" i="2" l="1"/>
  <c r="AI77" i="1"/>
  <c r="AJ77" i="1" s="1"/>
  <c r="O76" i="1"/>
  <c r="R76" i="1"/>
  <c r="T76" i="1" s="1"/>
  <c r="P74" i="1"/>
  <c r="K75" i="1"/>
  <c r="AI76" i="1" l="1"/>
  <c r="AJ76" i="1" s="1"/>
  <c r="AH74" i="1"/>
  <c r="AH73" i="1"/>
  <c r="AH72" i="1"/>
  <c r="Y56" i="2"/>
  <c r="W56" i="2"/>
  <c r="T56" i="2"/>
  <c r="V56" i="2" s="1"/>
  <c r="S56" i="2"/>
  <c r="AA56" i="2"/>
  <c r="AA55" i="2"/>
  <c r="AA54" i="2"/>
  <c r="I12" i="5"/>
  <c r="K12" i="5" s="1"/>
  <c r="J13" i="5"/>
  <c r="M13" i="5"/>
  <c r="N13" i="5" s="1"/>
  <c r="I13" i="5"/>
  <c r="K13" i="5" s="1"/>
  <c r="O13" i="5" s="1"/>
  <c r="N75" i="1"/>
  <c r="M75" i="1"/>
  <c r="O75" i="1" s="1"/>
  <c r="L75" i="1"/>
  <c r="Q73" i="1"/>
  <c r="P73" i="1"/>
  <c r="R75" i="1"/>
  <c r="T75" i="1" s="1"/>
  <c r="AB56" i="2" l="1"/>
  <c r="X56" i="2"/>
  <c r="AI75" i="1"/>
  <c r="AJ75" i="1" s="1"/>
  <c r="L13" i="5"/>
  <c r="K74" i="1" l="1"/>
  <c r="M74" i="1"/>
  <c r="O74" i="1" s="1"/>
  <c r="I11" i="5" l="1"/>
  <c r="R74" i="1" l="1"/>
  <c r="T74" i="1" s="1"/>
  <c r="AI74" i="1" s="1"/>
  <c r="AD57" i="2"/>
  <c r="AH57" i="2" s="1"/>
  <c r="AD56" i="2"/>
  <c r="AH56" i="2" s="1"/>
  <c r="Y55" i="2"/>
  <c r="X55" i="2" s="1"/>
  <c r="V55" i="2"/>
  <c r="N12" i="5"/>
  <c r="O12" i="5" s="1"/>
  <c r="R60" i="1"/>
  <c r="T60" i="1" s="1"/>
  <c r="R59" i="1"/>
  <c r="T59" i="1" s="1"/>
  <c r="AB55" i="2" l="1"/>
  <c r="AD55" i="2" s="1"/>
  <c r="AH55" i="2" s="1"/>
  <c r="AJ74" i="1"/>
  <c r="L12" i="5"/>
  <c r="AH71" i="1"/>
  <c r="P72" i="1"/>
  <c r="Y54" i="2"/>
  <c r="X54" i="2" s="1"/>
  <c r="U54" i="2"/>
  <c r="V54" i="2" s="1"/>
  <c r="AB54" i="2" s="1"/>
  <c r="AD54" i="2" s="1"/>
  <c r="AH54" i="2" s="1"/>
  <c r="M11" i="5"/>
  <c r="J11" i="5"/>
  <c r="K11" i="5" s="1"/>
  <c r="L11" i="5" l="1"/>
  <c r="N11" i="5"/>
  <c r="O11" i="5" s="1"/>
  <c r="L3" i="5" l="1"/>
  <c r="L6" i="5"/>
  <c r="L4" i="5"/>
  <c r="M10" i="5" l="1"/>
  <c r="N10" i="5" s="1"/>
  <c r="I10" i="5"/>
  <c r="K10" i="5" s="1"/>
  <c r="O10" i="5" l="1"/>
  <c r="L10" i="5"/>
  <c r="AH69" i="2"/>
  <c r="Y53" i="2"/>
  <c r="AA53" i="2" s="1"/>
  <c r="V53" i="2"/>
  <c r="Q69" i="1"/>
  <c r="P69" i="1"/>
  <c r="AB53" i="2" l="1"/>
  <c r="AD53" i="2" s="1"/>
  <c r="AH53" i="2" s="1"/>
  <c r="X53" i="2"/>
  <c r="R69" i="1" l="1"/>
  <c r="AH68" i="1"/>
  <c r="AH70" i="1"/>
  <c r="AH69" i="1"/>
  <c r="AK68" i="1"/>
  <c r="Y52" i="2"/>
  <c r="AA52" i="2" s="1"/>
  <c r="V52" i="2"/>
  <c r="K9" i="5"/>
  <c r="N9" i="5"/>
  <c r="M73" i="1"/>
  <c r="O73" i="1" s="1"/>
  <c r="L72" i="1"/>
  <c r="K72" i="1"/>
  <c r="M72" i="1" s="1"/>
  <c r="O72" i="1" s="1"/>
  <c r="O9" i="5" l="1"/>
  <c r="L9" i="5"/>
  <c r="X52" i="2"/>
  <c r="AB52" i="2"/>
  <c r="AD52" i="2" s="1"/>
  <c r="AH52" i="2" s="1"/>
  <c r="Q71" i="1" l="1"/>
  <c r="P71" i="1"/>
  <c r="X51" i="2" l="1"/>
  <c r="V51" i="2"/>
  <c r="AB51" i="2" s="1"/>
  <c r="AD51" i="2" s="1"/>
  <c r="AH51" i="2" s="1"/>
  <c r="M8" i="5"/>
  <c r="N7" i="5"/>
  <c r="N6" i="5"/>
  <c r="O6" i="5" s="1"/>
  <c r="M5" i="5"/>
  <c r="N3" i="5"/>
  <c r="O3" i="5" s="1"/>
  <c r="N4" i="5"/>
  <c r="O4" i="5" s="1"/>
  <c r="N5" i="5" l="1"/>
  <c r="O5" i="5" s="1"/>
  <c r="L5" i="5"/>
  <c r="N8" i="5"/>
  <c r="O8" i="5" s="1"/>
  <c r="L8" i="5"/>
  <c r="K7" i="5"/>
  <c r="AA6" i="2"/>
  <c r="O7" i="5" l="1"/>
  <c r="L7" i="5"/>
  <c r="L1" i="5" s="1"/>
  <c r="L71" i="1"/>
  <c r="M71" i="1" s="1"/>
  <c r="Q70" i="1"/>
  <c r="P70" i="1"/>
  <c r="R70" i="1" s="1"/>
  <c r="T70" i="1" s="1"/>
  <c r="R71" i="1"/>
  <c r="T71" i="1" s="1"/>
  <c r="R72" i="1"/>
  <c r="T72" i="1" s="1"/>
  <c r="R73" i="1"/>
  <c r="T73" i="1" s="1"/>
  <c r="AI73" i="1" s="1"/>
  <c r="R58" i="1"/>
  <c r="T58" i="1" s="1"/>
  <c r="AH43" i="1"/>
  <c r="R7" i="1"/>
  <c r="T7" i="1" s="1"/>
  <c r="R6" i="1"/>
  <c r="T6" i="1" s="1"/>
  <c r="R5" i="1"/>
  <c r="T5" i="1" s="1"/>
  <c r="R4" i="1"/>
  <c r="T4" i="1" s="1"/>
  <c r="R3" i="1"/>
  <c r="T3" i="1" s="1"/>
  <c r="R68" i="1"/>
  <c r="T68" i="1" s="1"/>
  <c r="R67" i="1"/>
  <c r="R66" i="1"/>
  <c r="T66" i="1" s="1"/>
  <c r="R65" i="1"/>
  <c r="R64" i="1"/>
  <c r="T64" i="1" s="1"/>
  <c r="R63" i="1"/>
  <c r="R62" i="1"/>
  <c r="R61" i="1"/>
  <c r="T61" i="1" s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Y50" i="2"/>
  <c r="X50" i="2" s="1"/>
  <c r="W50" i="2"/>
  <c r="V50" i="2"/>
  <c r="AB50" i="2" s="1"/>
  <c r="AD50" i="2" s="1"/>
  <c r="AH50" i="2" s="1"/>
  <c r="AI72" i="1" l="1"/>
  <c r="AJ73" i="1"/>
  <c r="T62" i="1"/>
  <c r="T63" i="1"/>
  <c r="T67" i="1"/>
  <c r="T11" i="1"/>
  <c r="T12" i="1"/>
  <c r="T13" i="1"/>
  <c r="T37" i="1"/>
  <c r="T49" i="1"/>
  <c r="T26" i="1"/>
  <c r="T15" i="1"/>
  <c r="T27" i="1"/>
  <c r="T39" i="1"/>
  <c r="T51" i="1"/>
  <c r="T47" i="1"/>
  <c r="T24" i="1"/>
  <c r="T50" i="1"/>
  <c r="T35" i="1"/>
  <c r="T36" i="1"/>
  <c r="T38" i="1"/>
  <c r="T23" i="1"/>
  <c r="T48" i="1"/>
  <c r="T25" i="1"/>
  <c r="T14" i="1"/>
  <c r="T16" i="1"/>
  <c r="T40" i="1"/>
  <c r="T31" i="1"/>
  <c r="T55" i="1"/>
  <c r="T8" i="1"/>
  <c r="T20" i="1"/>
  <c r="T32" i="1"/>
  <c r="T44" i="1"/>
  <c r="T56" i="1"/>
  <c r="T28" i="1"/>
  <c r="T17" i="1"/>
  <c r="T41" i="1"/>
  <c r="T53" i="1"/>
  <c r="T18" i="1"/>
  <c r="T43" i="1"/>
  <c r="T9" i="1"/>
  <c r="T21" i="1"/>
  <c r="T33" i="1"/>
  <c r="T45" i="1"/>
  <c r="T57" i="1"/>
  <c r="T52" i="1"/>
  <c r="T29" i="1"/>
  <c r="T30" i="1"/>
  <c r="T42" i="1"/>
  <c r="T54" i="1"/>
  <c r="T19" i="1"/>
  <c r="T10" i="1"/>
  <c r="T22" i="1"/>
  <c r="T34" i="1"/>
  <c r="T46" i="1"/>
  <c r="T65" i="1"/>
  <c r="T1" i="1" l="1"/>
  <c r="AJ72" i="1"/>
  <c r="O71" i="1"/>
  <c r="M70" i="1"/>
  <c r="O70" i="1" s="1"/>
  <c r="T69" i="1"/>
  <c r="Q1" i="1" s="1"/>
  <c r="L69" i="1"/>
  <c r="K69" i="1"/>
  <c r="M69" i="1" s="1"/>
  <c r="AA49" i="2"/>
  <c r="X49" i="2"/>
  <c r="V49" i="2"/>
  <c r="AI71" i="1" l="1"/>
  <c r="AJ71" i="1" s="1"/>
  <c r="AB49" i="2"/>
  <c r="AD49" i="2" s="1"/>
  <c r="AH49" i="2" s="1"/>
  <c r="AI70" i="1"/>
  <c r="AJ70" i="1" s="1"/>
  <c r="O69" i="1"/>
  <c r="AI69" i="1" s="1"/>
  <c r="AJ69" i="1" s="1"/>
  <c r="L55" i="1" l="1"/>
  <c r="K55" i="1"/>
  <c r="K65" i="1"/>
  <c r="L65" i="1"/>
  <c r="L63" i="1"/>
  <c r="K63" i="1"/>
  <c r="K61" i="1"/>
  <c r="L61" i="1"/>
  <c r="M67" i="1" l="1"/>
  <c r="M66" i="1"/>
  <c r="O66" i="1" s="1"/>
  <c r="AI66" i="1" s="1"/>
  <c r="AJ66" i="1" s="1"/>
  <c r="M65" i="1"/>
  <c r="M63" i="1"/>
  <c r="O63" i="1" s="1"/>
  <c r="AI63" i="1" s="1"/>
  <c r="AJ63" i="1" s="1"/>
  <c r="M60" i="1"/>
  <c r="M58" i="1"/>
  <c r="M56" i="1"/>
  <c r="M55" i="1"/>
  <c r="O55" i="1" s="1"/>
  <c r="AI55" i="1" s="1"/>
  <c r="AJ55" i="1" s="1"/>
  <c r="M53" i="1"/>
  <c r="O53" i="1" s="1"/>
  <c r="AI53" i="1" s="1"/>
  <c r="AJ53" i="1" s="1"/>
  <c r="M52" i="1"/>
  <c r="O52" i="1" s="1"/>
  <c r="AI52" i="1" s="1"/>
  <c r="AJ52" i="1" s="1"/>
  <c r="M51" i="1"/>
  <c r="O51" i="1" s="1"/>
  <c r="AI51" i="1" s="1"/>
  <c r="AJ51" i="1" s="1"/>
  <c r="M49" i="1"/>
  <c r="O49" i="1" s="1"/>
  <c r="AI49" i="1" s="1"/>
  <c r="AJ49" i="1" s="1"/>
  <c r="M46" i="1"/>
  <c r="M40" i="1"/>
  <c r="M39" i="1"/>
  <c r="M64" i="1"/>
  <c r="O64" i="1" s="1"/>
  <c r="AI64" i="1" s="1"/>
  <c r="AJ64" i="1" s="1"/>
  <c r="M50" i="1"/>
  <c r="O50" i="1" s="1"/>
  <c r="AI50" i="1" s="1"/>
  <c r="M54" i="1"/>
  <c r="O54" i="1" s="1"/>
  <c r="AI54" i="1" s="1"/>
  <c r="AJ54" i="1" s="1"/>
  <c r="M33" i="1"/>
  <c r="O33" i="1" s="1"/>
  <c r="AI33" i="1" s="1"/>
  <c r="AJ33" i="1" s="1"/>
  <c r="M29" i="1"/>
  <c r="O29" i="1" s="1"/>
  <c r="AI29" i="1" s="1"/>
  <c r="AJ29" i="1" s="1"/>
  <c r="M6" i="1"/>
  <c r="O6" i="1" s="1"/>
  <c r="AI6" i="1" s="1"/>
  <c r="AJ6" i="1" s="1"/>
  <c r="M5" i="1"/>
  <c r="O5" i="1" s="1"/>
  <c r="AI5" i="1" s="1"/>
  <c r="AJ5" i="1" s="1"/>
  <c r="M36" i="1"/>
  <c r="O36" i="1" s="1"/>
  <c r="AI36" i="1" s="1"/>
  <c r="AJ36" i="1" s="1"/>
  <c r="M35" i="1"/>
  <c r="O35" i="1" s="1"/>
  <c r="AI35" i="1" s="1"/>
  <c r="AJ35" i="1" s="1"/>
  <c r="M34" i="1"/>
  <c r="O34" i="1" s="1"/>
  <c r="AI34" i="1" s="1"/>
  <c r="AJ34" i="1" s="1"/>
  <c r="M45" i="1"/>
  <c r="O45" i="1" s="1"/>
  <c r="AI45" i="1" s="1"/>
  <c r="AJ45" i="1" s="1"/>
  <c r="M44" i="1"/>
  <c r="O44" i="1" s="1"/>
  <c r="AI44" i="1" s="1"/>
  <c r="AJ44" i="1" s="1"/>
  <c r="M43" i="1"/>
  <c r="O43" i="1" s="1"/>
  <c r="AI43" i="1" s="1"/>
  <c r="AJ43" i="1" s="1"/>
  <c r="M41" i="1"/>
  <c r="O41" i="1" s="1"/>
  <c r="AI41" i="1" s="1"/>
  <c r="AJ41" i="1" s="1"/>
  <c r="M37" i="1"/>
  <c r="O37" i="1" s="1"/>
  <c r="AI37" i="1" s="1"/>
  <c r="AJ37" i="1" s="1"/>
  <c r="M32" i="1"/>
  <c r="O32" i="1" s="1"/>
  <c r="AI32" i="1" s="1"/>
  <c r="AJ32" i="1" s="1"/>
  <c r="M31" i="1"/>
  <c r="O31" i="1" s="1"/>
  <c r="AI31" i="1" s="1"/>
  <c r="AJ31" i="1" s="1"/>
  <c r="M30" i="1"/>
  <c r="O30" i="1" s="1"/>
  <c r="AI30" i="1" s="1"/>
  <c r="AJ30" i="1" s="1"/>
  <c r="M28" i="1"/>
  <c r="O28" i="1" s="1"/>
  <c r="AI28" i="1" s="1"/>
  <c r="AJ28" i="1" s="1"/>
  <c r="M27" i="1"/>
  <c r="O27" i="1" s="1"/>
  <c r="AI27" i="1" s="1"/>
  <c r="AJ27" i="1" s="1"/>
  <c r="M26" i="1"/>
  <c r="O26" i="1" s="1"/>
  <c r="AI26" i="1" s="1"/>
  <c r="AJ26" i="1" s="1"/>
  <c r="M25" i="1"/>
  <c r="O25" i="1" s="1"/>
  <c r="AI25" i="1" s="1"/>
  <c r="AJ25" i="1" s="1"/>
  <c r="M24" i="1"/>
  <c r="O24" i="1" s="1"/>
  <c r="AI24" i="1" s="1"/>
  <c r="AJ24" i="1" s="1"/>
  <c r="M23" i="1"/>
  <c r="O23" i="1" s="1"/>
  <c r="AI23" i="1" s="1"/>
  <c r="AJ23" i="1" s="1"/>
  <c r="M22" i="1"/>
  <c r="O22" i="1" s="1"/>
  <c r="AI22" i="1" s="1"/>
  <c r="AJ22" i="1" s="1"/>
  <c r="M21" i="1"/>
  <c r="O21" i="1" s="1"/>
  <c r="AI21" i="1" s="1"/>
  <c r="AJ21" i="1" s="1"/>
  <c r="M20" i="1"/>
  <c r="O20" i="1" s="1"/>
  <c r="AI20" i="1" s="1"/>
  <c r="AJ20" i="1" s="1"/>
  <c r="M19" i="1"/>
  <c r="O19" i="1" s="1"/>
  <c r="AI19" i="1" s="1"/>
  <c r="AJ19" i="1" s="1"/>
  <c r="M18" i="1"/>
  <c r="O18" i="1" s="1"/>
  <c r="AI18" i="1" s="1"/>
  <c r="AJ18" i="1" s="1"/>
  <c r="M17" i="1"/>
  <c r="O17" i="1" s="1"/>
  <c r="AI17" i="1" s="1"/>
  <c r="AJ17" i="1" s="1"/>
  <c r="M16" i="1"/>
  <c r="O16" i="1" s="1"/>
  <c r="AI16" i="1" s="1"/>
  <c r="AJ16" i="1" s="1"/>
  <c r="M15" i="1"/>
  <c r="O15" i="1" s="1"/>
  <c r="AI15" i="1" s="1"/>
  <c r="M14" i="1"/>
  <c r="O14" i="1" s="1"/>
  <c r="AI14" i="1" s="1"/>
  <c r="AJ14" i="1" s="1"/>
  <c r="M13" i="1"/>
  <c r="O13" i="1" s="1"/>
  <c r="AI13" i="1" s="1"/>
  <c r="AJ13" i="1" s="1"/>
  <c r="M12" i="1"/>
  <c r="O12" i="1" s="1"/>
  <c r="AI12" i="1" s="1"/>
  <c r="AJ12" i="1" s="1"/>
  <c r="M11" i="1"/>
  <c r="O11" i="1" s="1"/>
  <c r="AI11" i="1" s="1"/>
  <c r="AJ11" i="1" s="1"/>
  <c r="M10" i="1"/>
  <c r="O10" i="1" s="1"/>
  <c r="AI10" i="1" s="1"/>
  <c r="AJ10" i="1" s="1"/>
  <c r="M9" i="1"/>
  <c r="O9" i="1" s="1"/>
  <c r="AI9" i="1" s="1"/>
  <c r="AJ9" i="1" s="1"/>
  <c r="M8" i="1"/>
  <c r="O8" i="1" s="1"/>
  <c r="AI8" i="1" s="1"/>
  <c r="AJ8" i="1" s="1"/>
  <c r="M7" i="1"/>
  <c r="O7" i="1" s="1"/>
  <c r="AI7" i="1" s="1"/>
  <c r="AJ7" i="1" s="1"/>
  <c r="M4" i="1"/>
  <c r="O4" i="1" s="1"/>
  <c r="AI4" i="1" s="1"/>
  <c r="AJ4" i="1" s="1"/>
  <c r="M3" i="1"/>
  <c r="AJ15" i="1" l="1"/>
  <c r="AJ50" i="1"/>
  <c r="O3" i="1"/>
  <c r="O65" i="1"/>
  <c r="AI65" i="1" s="1"/>
  <c r="M61" i="1"/>
  <c r="O61" i="1" s="1"/>
  <c r="AI61" i="1" s="1"/>
  <c r="AJ61" i="1" s="1"/>
  <c r="M57" i="1"/>
  <c r="O57" i="1" s="1"/>
  <c r="AI57" i="1" s="1"/>
  <c r="AJ57" i="1" s="1"/>
  <c r="O40" i="1"/>
  <c r="AI40" i="1" s="1"/>
  <c r="AJ40" i="1" s="1"/>
  <c r="O58" i="1"/>
  <c r="M47" i="1"/>
  <c r="O47" i="1" s="1"/>
  <c r="AI47" i="1" s="1"/>
  <c r="AJ47" i="1" s="1"/>
  <c r="M62" i="1"/>
  <c r="O62" i="1" s="1"/>
  <c r="AI62" i="1" s="1"/>
  <c r="AJ62" i="1" s="1"/>
  <c r="M38" i="1"/>
  <c r="O38" i="1" s="1"/>
  <c r="AI38" i="1" s="1"/>
  <c r="O56" i="1"/>
  <c r="AI56" i="1" s="1"/>
  <c r="AJ56" i="1" s="1"/>
  <c r="M68" i="1"/>
  <c r="O68" i="1" s="1"/>
  <c r="AI68" i="1" s="1"/>
  <c r="AJ68" i="1" s="1"/>
  <c r="M48" i="1"/>
  <c r="O48" i="1" s="1"/>
  <c r="AI48" i="1" s="1"/>
  <c r="AJ48" i="1" s="1"/>
  <c r="O67" i="1"/>
  <c r="AI67" i="1" s="1"/>
  <c r="AJ67" i="1" s="1"/>
  <c r="O39" i="1"/>
  <c r="AI39" i="1" s="1"/>
  <c r="AJ39" i="1" s="1"/>
  <c r="O46" i="1"/>
  <c r="AI46" i="1" s="1"/>
  <c r="AJ46" i="1" s="1"/>
  <c r="O60" i="1"/>
  <c r="AI60" i="1" s="1"/>
  <c r="AJ60" i="1" s="1"/>
  <c r="M42" i="1"/>
  <c r="O42" i="1" s="1"/>
  <c r="AI42" i="1" s="1"/>
  <c r="AJ42" i="1" s="1"/>
  <c r="M59" i="1"/>
  <c r="O59" i="1" s="1"/>
  <c r="AI59" i="1" s="1"/>
  <c r="AJ59" i="1" s="1"/>
  <c r="AA48" i="2"/>
  <c r="X48" i="2"/>
  <c r="U48" i="2"/>
  <c r="V48" i="2" s="1"/>
  <c r="O1" i="1" l="1"/>
  <c r="AJ38" i="1"/>
  <c r="AJ65" i="1"/>
  <c r="AB48" i="2"/>
  <c r="AD48" i="2" s="1"/>
  <c r="AH48" i="2" s="1"/>
  <c r="AI58" i="1"/>
  <c r="AJ58" i="1" s="1"/>
  <c r="M1" i="1"/>
  <c r="AI3" i="1"/>
  <c r="AI1" i="1" s="1"/>
  <c r="AJ3" i="1" l="1"/>
  <c r="X47" i="2"/>
  <c r="W47" i="2"/>
  <c r="V47" i="2"/>
  <c r="AB47" i="2" s="1"/>
  <c r="AD47" i="2" s="1"/>
  <c r="AH47" i="2" s="1"/>
  <c r="AH67" i="1" l="1"/>
  <c r="AH66" i="1"/>
  <c r="Y46" i="2" l="1"/>
  <c r="X46" i="2" s="1"/>
  <c r="V46" i="2"/>
  <c r="AB46" i="2" s="1"/>
  <c r="AD46" i="2" s="1"/>
  <c r="AH46" i="2" s="1"/>
  <c r="V45" i="2" l="1"/>
  <c r="AB45" i="2" l="1"/>
  <c r="AD45" i="2" s="1"/>
  <c r="AH45" i="2" s="1"/>
  <c r="AA44" i="2"/>
  <c r="Y44" i="2" l="1"/>
  <c r="W44" i="2"/>
  <c r="U44" i="2"/>
  <c r="V44" i="2" s="1"/>
  <c r="S44" i="2"/>
  <c r="S71" i="2" s="1"/>
  <c r="X44" i="2" l="1"/>
  <c r="AB44" i="2"/>
  <c r="AD44" i="2" s="1"/>
  <c r="AH44" i="2" s="1"/>
  <c r="V43" i="2"/>
  <c r="AB43" i="2" s="1"/>
  <c r="AD43" i="2" s="1"/>
  <c r="AH43" i="2" s="1"/>
  <c r="AH42" i="2" l="1"/>
  <c r="V42" i="2"/>
  <c r="AB42" i="2" s="1"/>
  <c r="AH65" i="1"/>
  <c r="AH64" i="1"/>
  <c r="AH63" i="1"/>
  <c r="AH62" i="1"/>
  <c r="AH41" i="2" l="1"/>
  <c r="AD17" i="2"/>
  <c r="AD6" i="2"/>
  <c r="AF39" i="2"/>
  <c r="AH39" i="2" s="1"/>
  <c r="AF34" i="2"/>
  <c r="AH34" i="2" s="1"/>
  <c r="V41" i="2" l="1"/>
  <c r="AB41" i="2" s="1"/>
  <c r="AD40" i="2" l="1"/>
  <c r="Q71" i="2"/>
  <c r="X40" i="2"/>
  <c r="V40" i="2"/>
  <c r="AB40" i="2" s="1"/>
  <c r="AH61" i="1"/>
  <c r="U39" i="2"/>
  <c r="V39" i="2" s="1"/>
  <c r="X39" i="2"/>
  <c r="AH58" i="1"/>
  <c r="AH57" i="1"/>
  <c r="AF40" i="2" l="1"/>
  <c r="AH40" i="2" s="1"/>
  <c r="X38" i="2"/>
  <c r="V38" i="2"/>
  <c r="AB38" i="2" s="1"/>
  <c r="AF38" i="2" s="1"/>
  <c r="AH38" i="2" s="1"/>
  <c r="AD37" i="2" l="1"/>
  <c r="AH37" i="2" s="1"/>
  <c r="X37" i="2"/>
  <c r="X36" i="2"/>
  <c r="V37" i="2"/>
  <c r="AB37" i="2" s="1"/>
  <c r="T36" i="2"/>
  <c r="X35" i="2"/>
  <c r="V36" i="2" l="1"/>
  <c r="AB36" i="2" s="1"/>
  <c r="AF36" i="2" s="1"/>
  <c r="AH36" i="2" s="1"/>
  <c r="V35" i="2"/>
  <c r="AB35" i="2" s="1"/>
  <c r="AF35" i="2" s="1"/>
  <c r="AH35" i="2" s="1"/>
  <c r="X34" i="2"/>
  <c r="X33" i="2"/>
  <c r="G16" i="4" l="1"/>
  <c r="G15" i="4"/>
  <c r="G14" i="4"/>
  <c r="G13" i="4"/>
  <c r="G12" i="4"/>
  <c r="G11" i="4"/>
  <c r="G10" i="4"/>
  <c r="G9" i="4"/>
  <c r="G8" i="4"/>
  <c r="G7" i="4"/>
  <c r="G6" i="4"/>
  <c r="G5" i="4"/>
  <c r="G4" i="4"/>
  <c r="AK56" i="1" l="1"/>
  <c r="AB33" i="2" l="1"/>
  <c r="AF33" i="2" s="1"/>
  <c r="AH33" i="2" s="1"/>
  <c r="U33" i="2"/>
  <c r="AB32" i="2"/>
  <c r="AF32" i="2" s="1"/>
  <c r="AH32" i="2" s="1"/>
  <c r="X32" i="2"/>
  <c r="U32" i="2"/>
  <c r="AH56" i="1"/>
  <c r="AH55" i="1" l="1"/>
  <c r="AB31" i="2" l="1"/>
  <c r="AF31" i="2" s="1"/>
  <c r="AH31" i="2" s="1"/>
  <c r="X31" i="2"/>
  <c r="AH54" i="1" l="1"/>
  <c r="AH37" i="1" l="1"/>
  <c r="V30" i="2"/>
  <c r="X30" i="2"/>
  <c r="V29" i="2"/>
  <c r="AB29" i="2" s="1"/>
  <c r="AF29" i="2" s="1"/>
  <c r="AH29" i="2" s="1"/>
  <c r="X29" i="2"/>
  <c r="AH53" i="1"/>
  <c r="AH52" i="1" l="1"/>
  <c r="AH3" i="3" l="1"/>
  <c r="AG3" i="3"/>
  <c r="AF3" i="3"/>
  <c r="R3" i="3"/>
  <c r="AH51" i="1"/>
  <c r="X28" i="2"/>
  <c r="V28" i="2"/>
  <c r="AB28" i="2" s="1"/>
  <c r="AF28" i="2" s="1"/>
  <c r="AH28" i="2" s="1"/>
  <c r="AH50" i="1"/>
  <c r="AD27" i="2"/>
  <c r="X27" i="2"/>
  <c r="X26" i="2"/>
  <c r="V27" i="2"/>
  <c r="AB27" i="2" s="1"/>
  <c r="AF27" i="2" l="1"/>
  <c r="AH27" i="2" s="1"/>
  <c r="U26" i="2"/>
  <c r="V26" i="2" s="1"/>
  <c r="AB26" i="2" s="1"/>
  <c r="AF26" i="2" s="1"/>
  <c r="AH26" i="2" s="1"/>
  <c r="AD25" i="2"/>
  <c r="AH49" i="1" l="1"/>
  <c r="AH48" i="1"/>
  <c r="X25" i="2" l="1"/>
  <c r="AH47" i="1" l="1"/>
  <c r="AH42" i="1" l="1"/>
  <c r="AH46" i="1" l="1"/>
  <c r="AH45" i="1"/>
  <c r="AD24" i="2"/>
  <c r="AB24" i="2"/>
  <c r="U24" i="2"/>
  <c r="X24" i="2"/>
  <c r="AB23" i="2"/>
  <c r="AF23" i="2" s="1"/>
  <c r="AH23" i="2" s="1"/>
  <c r="U23" i="2"/>
  <c r="V25" i="2"/>
  <c r="AB25" i="2" s="1"/>
  <c r="AF25" i="2" s="1"/>
  <c r="AH25" i="2" s="1"/>
  <c r="V22" i="2"/>
  <c r="X23" i="2"/>
  <c r="X22" i="2"/>
  <c r="X21" i="2"/>
  <c r="AD20" i="2"/>
  <c r="AF24" i="2" l="1"/>
  <c r="AH24" i="2" s="1"/>
  <c r="X20" i="2"/>
  <c r="AD18" i="2"/>
  <c r="AH44" i="1"/>
  <c r="AB22" i="2"/>
  <c r="AF22" i="2" s="1"/>
  <c r="AH22" i="2" s="1"/>
  <c r="V20" i="2"/>
  <c r="AH41" i="1"/>
  <c r="AH40" i="1"/>
  <c r="AH39" i="1"/>
  <c r="AB20" i="2" l="1"/>
  <c r="AF20" i="2" s="1"/>
  <c r="AH20" i="2" s="1"/>
  <c r="AH36" i="1"/>
  <c r="AD13" i="2"/>
  <c r="AH38" i="1"/>
  <c r="V18" i="2" l="1"/>
  <c r="AA18" i="2"/>
  <c r="X18" i="2"/>
  <c r="AD19" i="2"/>
  <c r="AA19" i="2"/>
  <c r="AB18" i="2" l="1"/>
  <c r="AF18" i="2" s="1"/>
  <c r="AH18" i="2" s="1"/>
  <c r="X19" i="2"/>
  <c r="V19" i="2"/>
  <c r="AB19" i="2" s="1"/>
  <c r="AF19" i="2" s="1"/>
  <c r="AH19" i="2" s="1"/>
  <c r="AB12" i="2" l="1"/>
  <c r="Y12" i="2"/>
  <c r="AD12" i="2" l="1"/>
  <c r="AF12" i="2" s="1"/>
  <c r="AH12" i="2" s="1"/>
  <c r="V17" i="2"/>
  <c r="AB17" i="2" s="1"/>
  <c r="AF17" i="2" s="1"/>
  <c r="AH17" i="2" s="1"/>
  <c r="X17" i="2"/>
  <c r="X16" i="2"/>
  <c r="V16" i="2"/>
  <c r="V15" i="2"/>
  <c r="AD16" i="2" l="1"/>
  <c r="AB16" i="2"/>
  <c r="AD15" i="2"/>
  <c r="Y15" i="2"/>
  <c r="X15" i="2" s="1"/>
  <c r="AB15" i="2"/>
  <c r="U14" i="2"/>
  <c r="AF16" i="2" l="1"/>
  <c r="AH16" i="2" s="1"/>
  <c r="AF15" i="2"/>
  <c r="AH15" i="2" s="1"/>
  <c r="AD14" i="2"/>
  <c r="X14" i="2"/>
  <c r="Y13" i="2"/>
  <c r="V14" i="2"/>
  <c r="AB14" i="2" s="1"/>
  <c r="AF14" i="2" s="1"/>
  <c r="AH14" i="2" s="1"/>
  <c r="AH35" i="1"/>
  <c r="AH34" i="1" l="1"/>
  <c r="AH33" i="1"/>
  <c r="AH32" i="1"/>
  <c r="AH31" i="1"/>
  <c r="AD9" i="2" l="1"/>
  <c r="U11" i="2"/>
  <c r="U13" i="2"/>
  <c r="AB13" i="2" s="1"/>
  <c r="AF13" i="2" s="1"/>
  <c r="AH13" i="2" s="1"/>
  <c r="U12" i="2"/>
  <c r="V11" i="2"/>
  <c r="AB11" i="2" s="1"/>
  <c r="AD11" i="2"/>
  <c r="X13" i="2"/>
  <c r="X12" i="2"/>
  <c r="X11" i="2"/>
  <c r="T7" i="2"/>
  <c r="V7" i="2" s="1"/>
  <c r="T6" i="2"/>
  <c r="R7" i="2"/>
  <c r="R6" i="2"/>
  <c r="Y10" i="2"/>
  <c r="X10" i="2" s="1"/>
  <c r="U10" i="2"/>
  <c r="V10" i="2" s="1"/>
  <c r="X9" i="2"/>
  <c r="U9" i="2"/>
  <c r="V9" i="2" s="1"/>
  <c r="AD8" i="2"/>
  <c r="X8" i="2"/>
  <c r="U8" i="2"/>
  <c r="V8" i="2" s="1"/>
  <c r="Y7" i="2"/>
  <c r="X7" i="2"/>
  <c r="U7" i="2"/>
  <c r="Y6" i="2"/>
  <c r="U6" i="2"/>
  <c r="AD71" i="2" l="1"/>
  <c r="AD72" i="2" s="1"/>
  <c r="V6" i="2"/>
  <c r="T71" i="2"/>
  <c r="AA71" i="2"/>
  <c r="AA72" i="2" s="1"/>
  <c r="AF11" i="2"/>
  <c r="AH11" i="2" s="1"/>
  <c r="AB9" i="2"/>
  <c r="AF9" i="2" s="1"/>
  <c r="AH9" i="2" s="1"/>
  <c r="AB8" i="2"/>
  <c r="AF8" i="2" s="1"/>
  <c r="AH8" i="2" s="1"/>
  <c r="AB10" i="2"/>
  <c r="AF10" i="2" s="1"/>
  <c r="AH10" i="2" s="1"/>
  <c r="AB7" i="2"/>
  <c r="AB6" i="2" l="1"/>
  <c r="AF6" i="2" s="1"/>
  <c r="AH6" i="2" s="1"/>
  <c r="AH28" i="1" l="1"/>
  <c r="AH30" i="1"/>
  <c r="AH29" i="1"/>
  <c r="AH27" i="1"/>
  <c r="AH26" i="1"/>
  <c r="AH25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H9" i="1"/>
  <c r="AH8" i="1"/>
  <c r="AH7" i="1"/>
  <c r="AH6" i="1"/>
  <c r="AH5" i="1"/>
  <c r="AH4" i="1"/>
  <c r="AH3" i="1"/>
  <c r="AL1" i="1"/>
  <c r="V21" i="2" l="1"/>
  <c r="V71" i="2" s="1"/>
  <c r="U71" i="2"/>
  <c r="AB21" i="2" l="1"/>
  <c r="AB71" i="2" s="1"/>
  <c r="AB72" i="2" s="1"/>
  <c r="AF21" i="2" l="1"/>
  <c r="AH21" i="2" s="1"/>
  <c r="AH71" i="2" s="1"/>
  <c r="AF71" i="2" l="1"/>
  <c r="W71" i="2" l="1"/>
  <c r="X58" i="2"/>
  <c r="X7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Deepak -Anagroci</author>
  </authors>
  <commentList>
    <comment ref="O12" authorId="0" shapeId="0" xr:uid="{B5CA3B5C-CBA3-4B63-B01E-D01884A636C4}">
      <text>
        <r>
          <rPr>
            <b/>
            <sz val="9"/>
            <color indexed="81"/>
            <rFont val="Tahoma"/>
            <family val="2"/>
          </rPr>
          <t>Deepak -Anagroci:</t>
        </r>
        <r>
          <rPr>
            <sz val="9"/>
            <color indexed="81"/>
            <rFont val="Tahoma"/>
            <family val="2"/>
          </rPr>
          <t xml:space="preserve">
We took calibration difference weight (100kg 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Deepak -Anagroci</author>
  </authors>
  <commentList>
    <comment ref="Q3" authorId="0" shapeId="0" xr:uid="{850F4C36-5015-4C35-B136-3E293089FE14}">
      <text>
        <r>
          <rPr>
            <b/>
            <sz val="9"/>
            <color indexed="81"/>
            <rFont val="Tahoma"/>
            <family val="2"/>
          </rPr>
          <t>Deepak -Anagroci:</t>
        </r>
        <r>
          <rPr>
            <sz val="9"/>
            <color indexed="81"/>
            <rFont val="Tahoma"/>
            <family val="2"/>
          </rPr>
          <t xml:space="preserve">
Calibration Weight 
We scaled from our weighbridge and difference come at calibrartion 386 kg.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Deepak -Anagroci</author>
  </authors>
  <commentList>
    <comment ref="V12" authorId="0" shapeId="0" xr:uid="{A33F9B24-A49D-41F9-AA9F-1439F16B0D5D}">
      <text>
        <r>
          <rPr>
            <b/>
            <sz val="9"/>
            <color indexed="81"/>
            <rFont val="Tahoma"/>
            <family val="2"/>
          </rPr>
          <t>Deepak -Anagroci:</t>
        </r>
        <r>
          <rPr>
            <sz val="9"/>
            <color indexed="81"/>
            <rFont val="Tahoma"/>
            <family val="2"/>
          </rPr>
          <t xml:space="preserve">
599*.63
352.17
prev-286.50
</t>
        </r>
      </text>
    </comment>
    <comment ref="R19" authorId="0" shapeId="0" xr:uid="{8C47E600-72CF-4042-9083-4672A811661C}">
      <text>
        <r>
          <rPr>
            <b/>
            <sz val="9"/>
            <color indexed="81"/>
            <rFont val="Tahoma"/>
            <family val="2"/>
          </rPr>
          <t>Deepak -Anagroci:</t>
        </r>
        <r>
          <rPr>
            <sz val="9"/>
            <color indexed="81"/>
            <rFont val="Tahoma"/>
            <family val="2"/>
          </rPr>
          <t xml:space="preserve">
Dryied from Bouake 
Bouake Cargo
</t>
        </r>
      </text>
    </comment>
  </commentList>
</comments>
</file>

<file path=xl/sharedStrings.xml><?xml version="1.0" encoding="utf-8"?>
<sst xmlns="http://schemas.openxmlformats.org/spreadsheetml/2006/main" count="1423" uniqueCount="200">
  <si>
    <t>S.No.</t>
  </si>
  <si>
    <t>DATE</t>
  </si>
  <si>
    <t xml:space="preserve">Warehouse </t>
  </si>
  <si>
    <t>BIN</t>
  </si>
  <si>
    <t>Lot No</t>
  </si>
  <si>
    <t>FICHE NO</t>
  </si>
  <si>
    <t>Dry Type</t>
  </si>
  <si>
    <t xml:space="preserve">Input Moisture                </t>
  </si>
  <si>
    <t>INPUT NUT COUNT</t>
  </si>
  <si>
    <t>INPUT KOR</t>
  </si>
  <si>
    <t xml:space="preserve">Output Moisture                </t>
  </si>
  <si>
    <t>OUTPUT NUT COUNT</t>
  </si>
  <si>
    <t>OUTPUT KOR</t>
  </si>
  <si>
    <t>MOIS Loss%</t>
  </si>
  <si>
    <t>Drying Loss Kg's</t>
  </si>
  <si>
    <t>Drying LOSS  %</t>
  </si>
  <si>
    <t>Damaged nuts - KGS/ TRIAGE</t>
  </si>
  <si>
    <t>Total Sac Received</t>
  </si>
  <si>
    <t>INPUT BAGS FOR DRYING</t>
  </si>
  <si>
    <t>OUTPUT BAGS AFTER DRING</t>
  </si>
  <si>
    <t>DRYING/ PICKING</t>
  </si>
  <si>
    <t>REMARKS</t>
  </si>
  <si>
    <t>ANAGROCI-01</t>
  </si>
  <si>
    <t>Supplier</t>
  </si>
  <si>
    <t>Dryied</t>
  </si>
  <si>
    <t>BOUAKE</t>
  </si>
  <si>
    <t>Scaled</t>
  </si>
  <si>
    <t>Issued to Production</t>
  </si>
  <si>
    <t>DRY RCN GIVEN TO PRODUCTION SECTION</t>
  </si>
  <si>
    <t>Date</t>
  </si>
  <si>
    <t>Fiche No</t>
  </si>
  <si>
    <t>Bag inStock afetr Dry</t>
  </si>
  <si>
    <t>No of Pallet</t>
  </si>
  <si>
    <t>Avg Pallet Wt</t>
  </si>
  <si>
    <t>Pallet Weight (Kg)</t>
  </si>
  <si>
    <t>Gross Wt (After Drying Wt with Jute Bag)</t>
  </si>
  <si>
    <t>Net Wt (Without Jute Bag)</t>
  </si>
  <si>
    <t>Avg Bag Wt (Empty  Bag)</t>
  </si>
  <si>
    <t>Bag Wt(Empty Bag)</t>
  </si>
  <si>
    <t xml:space="preserve">Direct offload for dry </t>
  </si>
  <si>
    <t>No of Bag(Issued to Production)</t>
  </si>
  <si>
    <t>Received By Production(Net Wt)</t>
  </si>
  <si>
    <t>Diff in Issue</t>
  </si>
  <si>
    <t>KOR-Issued</t>
  </si>
  <si>
    <t>RCN</t>
  </si>
  <si>
    <t>Dry Rcn</t>
  </si>
  <si>
    <t>Nut Count</t>
  </si>
  <si>
    <t>Moisture</t>
  </si>
  <si>
    <t xml:space="preserve">Remarks </t>
  </si>
  <si>
    <t>Gross Wt (Before Dry)</t>
  </si>
  <si>
    <t>Shell (Gram)</t>
  </si>
  <si>
    <t>OIL (Gram)</t>
  </si>
  <si>
    <t>Void (Gram)</t>
  </si>
  <si>
    <t>Oil</t>
  </si>
  <si>
    <t>Void</t>
  </si>
  <si>
    <t>Rejection</t>
  </si>
  <si>
    <t>Spoted</t>
  </si>
  <si>
    <t>Immature</t>
  </si>
  <si>
    <t>GK</t>
  </si>
  <si>
    <t>Shell</t>
  </si>
  <si>
    <t xml:space="preserve">Spottd </t>
  </si>
  <si>
    <t xml:space="preserve">BTM </t>
  </si>
  <si>
    <t>Need re drying -Calibrator rejected to accept the caro due to high moisture</t>
  </si>
  <si>
    <t>SI NO</t>
  </si>
  <si>
    <t xml:space="preserve">Re Drying </t>
  </si>
  <si>
    <t>Moisture -1st Dry</t>
  </si>
  <si>
    <t>Moisture -2nd Dry</t>
  </si>
  <si>
    <t xml:space="preserve">Issued from </t>
  </si>
  <si>
    <t>18/05/2026</t>
  </si>
  <si>
    <t>19/05/2026</t>
  </si>
  <si>
    <t>15/05/2026</t>
  </si>
  <si>
    <t xml:space="preserve">Dryied </t>
  </si>
  <si>
    <t>Dried from Bouake Issued to Calibrator</t>
  </si>
  <si>
    <t>Date of Issue to Calibration</t>
  </si>
  <si>
    <t>20/05/2026</t>
  </si>
  <si>
    <t>22/05/2026</t>
  </si>
  <si>
    <t xml:space="preserve">DRY BIN </t>
  </si>
  <si>
    <t>BIN-03B</t>
  </si>
  <si>
    <t>Issued To Production</t>
  </si>
  <si>
    <t>26/05/2026</t>
  </si>
  <si>
    <t>Empilage in Production Area</t>
  </si>
  <si>
    <t>28/05/2026</t>
  </si>
  <si>
    <t>82488/82155</t>
  </si>
  <si>
    <t>Dried</t>
  </si>
  <si>
    <t>29.05/2026</t>
  </si>
  <si>
    <t>Net wt yet pending from Calibrataion</t>
  </si>
  <si>
    <t>Dry Bin No</t>
  </si>
  <si>
    <t>ANA-02-DRY</t>
  </si>
  <si>
    <t>STATUS</t>
  </si>
  <si>
    <t>OK</t>
  </si>
  <si>
    <t>ANA-03-DRY</t>
  </si>
  <si>
    <t>ANA-04-DRY</t>
  </si>
  <si>
    <t>ANA-07-DRY</t>
  </si>
  <si>
    <t>ANA-05-DRY</t>
  </si>
  <si>
    <t>ANA-08-DRY</t>
  </si>
  <si>
    <t>ANA-06-DRY</t>
  </si>
  <si>
    <t>ANA-09-DRY</t>
  </si>
  <si>
    <t>ANA-01-DRY</t>
  </si>
  <si>
    <t>BIN IN CALIBRATION AREA</t>
  </si>
  <si>
    <t>Issued to calibration dated 02/06/2026. Returned by Calibration 03/06/2026.</t>
  </si>
  <si>
    <t>BIN-005</t>
  </si>
  <si>
    <t>Destintion</t>
  </si>
  <si>
    <t>BIN-013</t>
  </si>
  <si>
    <t>BIN-001</t>
  </si>
  <si>
    <t>BIN-002</t>
  </si>
  <si>
    <t>BIN-004</t>
  </si>
  <si>
    <t>BIN-003</t>
  </si>
  <si>
    <t>BIN-06A</t>
  </si>
  <si>
    <t>BIN-07A</t>
  </si>
  <si>
    <t>BIN-008</t>
  </si>
  <si>
    <t>BIN-09A</t>
  </si>
  <si>
    <t>BIN-015</t>
  </si>
  <si>
    <t>ANA-01</t>
  </si>
  <si>
    <t>Lot returned due to start higer KOR calibration/Staked in Calibration Area/Date of retur of CARGO-3/06/2026. (54.663)</t>
  </si>
  <si>
    <t>Row Labels</t>
  </si>
  <si>
    <t>Grand Total</t>
  </si>
  <si>
    <t>Sum of Issued Net Weight(Mt)</t>
  </si>
  <si>
    <t>ANA-03B-DRY</t>
  </si>
  <si>
    <t>ANA-05A-DRY</t>
  </si>
  <si>
    <t>PROCESSED</t>
  </si>
  <si>
    <t>Remarks</t>
  </si>
  <si>
    <t>PROCESSING</t>
  </si>
  <si>
    <t>ISSUE TO CALIBRATION</t>
  </si>
  <si>
    <t>Issued 43436.5 Kg/ 10779kg Staked (10/06/2026)</t>
  </si>
  <si>
    <t xml:space="preserve">ISSUE TO CALIBRATION </t>
  </si>
  <si>
    <t>13/06/2026</t>
  </si>
  <si>
    <t xml:space="preserve">Dried </t>
  </si>
  <si>
    <t>Check</t>
  </si>
  <si>
    <t>14/06/2026</t>
  </si>
  <si>
    <t>BIN-016</t>
  </si>
  <si>
    <t>ANA-016-DRY</t>
  </si>
  <si>
    <t>scaled</t>
  </si>
  <si>
    <t>16/06/2026</t>
  </si>
  <si>
    <t xml:space="preserve">Dry Rcn </t>
  </si>
  <si>
    <t>17/06/2026</t>
  </si>
  <si>
    <t>17-06-2026</t>
  </si>
  <si>
    <t>BIN-05</t>
  </si>
  <si>
    <t>18-06-2026</t>
  </si>
  <si>
    <t>BKE-001-DRY</t>
  </si>
  <si>
    <t>Source Bin</t>
  </si>
  <si>
    <t>18/06/2026</t>
  </si>
  <si>
    <t>19/06/2026</t>
  </si>
  <si>
    <t>BIN-007</t>
  </si>
  <si>
    <t>ANA-07A-DRY</t>
  </si>
  <si>
    <t>22/06/2026</t>
  </si>
  <si>
    <t xml:space="preserve">Bin Status </t>
  </si>
  <si>
    <t>Closed</t>
  </si>
  <si>
    <t>23/06/2026</t>
  </si>
  <si>
    <t>Rain water touched Qty issued -68.086 Mt net/ 23/06/2026.(Not scaled after rain touch)</t>
  </si>
  <si>
    <t>BIN-02A</t>
  </si>
  <si>
    <t>ANA-02A-DRY</t>
  </si>
  <si>
    <t>Issued Wt To Drying (Net Wt)</t>
  </si>
  <si>
    <t>Issued Wt to Drying GW RCN+BAGS</t>
  </si>
  <si>
    <t>Issued for Drying GW RCN+BAGS+PALLETS</t>
  </si>
  <si>
    <t>Issued Bags for Drying</t>
  </si>
  <si>
    <t>Pallets WT</t>
  </si>
  <si>
    <t>26/06/2026</t>
  </si>
  <si>
    <t>Running</t>
  </si>
  <si>
    <t>27/06/2026</t>
  </si>
  <si>
    <t>Received Bags from Drying</t>
  </si>
  <si>
    <t>Received Wt from Drying (Net Wt)</t>
  </si>
  <si>
    <t>Received Wt from Drying GW RCN+BAGS</t>
  </si>
  <si>
    <t>Received from Drying GW RCN+BAGS+PALLETS</t>
  </si>
  <si>
    <t>Pallets Wt2</t>
  </si>
  <si>
    <t>Issued to Production3</t>
  </si>
  <si>
    <t>Remarks4</t>
  </si>
  <si>
    <t>Issued Direct from BIN</t>
  </si>
  <si>
    <t>BIN-Low Moisture</t>
  </si>
  <si>
    <t>Issued Gwt -Bag +Cashew</t>
  </si>
  <si>
    <t xml:space="preserve">No of Bag Issued </t>
  </si>
  <si>
    <t xml:space="preserve">Nwt Issued </t>
  </si>
  <si>
    <t>23-06-2026</t>
  </si>
  <si>
    <t>25-06-2026</t>
  </si>
  <si>
    <t>26-06-2026</t>
  </si>
  <si>
    <t>27-06-2026</t>
  </si>
  <si>
    <t>Bag Wt</t>
  </si>
  <si>
    <t>28-06-2026</t>
  </si>
  <si>
    <t>28/06/2026</t>
  </si>
  <si>
    <t>Direct Issue from Bin due to Low moisture</t>
  </si>
  <si>
    <t>29-06-2026</t>
  </si>
  <si>
    <t>29/06/2026</t>
  </si>
  <si>
    <t>Issued Wt (Pallet + Jute Bag +Cashew)</t>
  </si>
  <si>
    <t>Pallet Wt</t>
  </si>
  <si>
    <t>Net Wt-WH</t>
  </si>
  <si>
    <t>30-06-2026</t>
  </si>
  <si>
    <t>30/06/2026</t>
  </si>
  <si>
    <t>Re Drying Date</t>
  </si>
  <si>
    <t>Moisture -1st Re- Dry</t>
  </si>
  <si>
    <t>WIP</t>
  </si>
  <si>
    <t>BIN-02B</t>
  </si>
  <si>
    <t>ANA-02B-DRY</t>
  </si>
  <si>
    <t>13/07/2026</t>
  </si>
  <si>
    <t>BIN-008A</t>
  </si>
  <si>
    <t>ANA-008A-DRY</t>
  </si>
  <si>
    <t>14/07/2026</t>
  </si>
  <si>
    <t>BIN-08A</t>
  </si>
  <si>
    <t>ANA-08A-DRY</t>
  </si>
  <si>
    <t>15/07/2026</t>
  </si>
  <si>
    <t>16/07/2026</t>
  </si>
  <si>
    <t>17/07/2026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</si>
</sst>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[$-409]d\-mmm\-yyyy;@"/>
    <numFmt numFmtId="166" formatCode="_(* #,##0.000_);_(* \(#,##0.00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theme="1"/>
      <name val="Calibri"/>
      <family val="2"/>
      <scheme val="minor"/>
    </font>
    <font>
      <b/>
      <sz val="9"/>
      <name val="Arial"/>
      <family val="2"/>
    </font>
    <font>
      <u/>
      <sz val="11"/>
      <color theme="10"/>
      <name val="Calibri"/>
      <family val="2"/>
      <scheme val="minor"/>
    </font>
    <font>
      <sz val="9"/>
      <name val="Cambria"/>
      <family val="1"/>
    </font>
    <font>
      <sz val="9"/>
      <color theme="1"/>
      <name val="Cambria"/>
      <family val="1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218">
    <xf numFmtId="0" fontId="0" fillId="0" borderId="0" xfId="0"/>
    <xf numFmtId="0" fontId="2" fillId="0" borderId="0" xfId="0" applyFont="1" applyAlignment="1">
      <alignment vertical="center"/>
    </xf>
    <xf numFmtId="1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1" fontId="2" fillId="0" borderId="1" xfId="0" applyNumberFormat="1" applyFont="1" applyBorder="1" applyAlignment="1">
      <alignment vertical="center"/>
    </xf>
    <xf numFmtId="2" fontId="4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right" vertical="center" wrapText="1"/>
    </xf>
    <xf numFmtId="2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2" fillId="0" borderId="1" xfId="0" applyFont="1" applyBorder="1"/>
    <xf numFmtId="43" fontId="2" fillId="0" borderId="1" xfId="1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43" fontId="2" fillId="0" borderId="1" xfId="1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1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0" fontId="4" fillId="0" borderId="1" xfId="0" applyFont="1" applyBorder="1"/>
    <xf numFmtId="0" fontId="2" fillId="0" borderId="0" xfId="0" applyFont="1"/>
    <xf numFmtId="10" fontId="4" fillId="0" borderId="1" xfId="2" applyNumberFormat="1" applyFont="1" applyFill="1" applyBorder="1"/>
    <xf numFmtId="43" fontId="2" fillId="0" borderId="0" xfId="1" applyFont="1" applyAlignment="1">
      <alignment vertical="center"/>
    </xf>
    <xf numFmtId="43" fontId="4" fillId="0" borderId="1" xfId="1" applyFont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1" fontId="4" fillId="0" borderId="1" xfId="0" applyNumberFormat="1" applyFont="1" applyBorder="1" applyAlignment="1">
      <alignment horizontal="center" vertical="center"/>
    </xf>
    <xf numFmtId="43" fontId="4" fillId="0" borderId="1" xfId="1" applyFont="1" applyFill="1" applyBorder="1" applyAlignment="1">
      <alignment vertical="center"/>
    </xf>
    <xf numFmtId="1" fontId="2" fillId="0" borderId="1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left" vertical="center" wrapText="1"/>
    </xf>
    <xf numFmtId="2" fontId="4" fillId="5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right" vertical="center"/>
    </xf>
    <xf numFmtId="10" fontId="4" fillId="5" borderId="1" xfId="0" applyNumberFormat="1" applyFont="1" applyFill="1" applyBorder="1" applyAlignment="1">
      <alignment horizontal="right" vertical="center"/>
    </xf>
    <xf numFmtId="1" fontId="2" fillId="5" borderId="1" xfId="0" applyNumberFormat="1" applyFont="1" applyFill="1" applyBorder="1" applyAlignment="1">
      <alignment vertical="center"/>
    </xf>
    <xf numFmtId="10" fontId="2" fillId="5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/>
    <xf numFmtId="0" fontId="2" fillId="5" borderId="1" xfId="0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43" fontId="2" fillId="5" borderId="1" xfId="1" applyFont="1" applyFill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2" fontId="4" fillId="5" borderId="1" xfId="0" applyNumberFormat="1" applyFont="1" applyFill="1" applyBorder="1" applyAlignment="1">
      <alignment vertical="center"/>
    </xf>
    <xf numFmtId="43" fontId="4" fillId="5" borderId="1" xfId="1" applyFont="1" applyFill="1" applyBorder="1" applyAlignment="1">
      <alignment horizontal="right" vertical="center"/>
    </xf>
    <xf numFmtId="43" fontId="4" fillId="0" borderId="1" xfId="1" applyFont="1" applyBorder="1" applyAlignment="1">
      <alignment vertical="center"/>
    </xf>
    <xf numFmtId="43" fontId="4" fillId="5" borderId="1" xfId="1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5" borderId="1" xfId="0" applyFont="1" applyFill="1" applyBorder="1"/>
    <xf numFmtId="43" fontId="2" fillId="0" borderId="1" xfId="1" applyFont="1" applyFill="1" applyBorder="1" applyAlignment="1">
      <alignment horizontal="center" vertical="center"/>
    </xf>
    <xf numFmtId="43" fontId="2" fillId="5" borderId="1" xfId="1" applyFont="1" applyFill="1" applyBorder="1" applyAlignment="1">
      <alignment horizontal="center" vertical="center"/>
    </xf>
    <xf numFmtId="43" fontId="4" fillId="0" borderId="1" xfId="1" applyFont="1" applyFill="1" applyBorder="1" applyAlignment="1">
      <alignment horizontal="center" vertical="center"/>
    </xf>
    <xf numFmtId="14" fontId="2" fillId="0" borderId="1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43" fontId="2" fillId="0" borderId="0" xfId="1" applyFont="1"/>
    <xf numFmtId="1" fontId="2" fillId="0" borderId="0" xfId="0" applyNumberFormat="1" applyFont="1"/>
    <xf numFmtId="2" fontId="2" fillId="0" borderId="0" xfId="0" applyNumberFormat="1" applyFont="1"/>
    <xf numFmtId="43" fontId="2" fillId="0" borderId="0" xfId="1" applyFont="1" applyAlignment="1">
      <alignment horizontal="center" vertical="center"/>
    </xf>
    <xf numFmtId="43" fontId="2" fillId="0" borderId="0" xfId="1" applyFont="1" applyAlignment="1">
      <alignment horizontal="center"/>
    </xf>
    <xf numFmtId="0" fontId="2" fillId="0" borderId="0" xfId="0" applyFont="1" applyAlignment="1">
      <alignment wrapText="1"/>
    </xf>
    <xf numFmtId="14" fontId="2" fillId="0" borderId="0" xfId="0" applyNumberFormat="1" applyFont="1"/>
    <xf numFmtId="0" fontId="3" fillId="4" borderId="0" xfId="0" applyFont="1" applyFill="1"/>
    <xf numFmtId="43" fontId="3" fillId="4" borderId="0" xfId="0" applyNumberFormat="1" applyFont="1" applyFill="1"/>
    <xf numFmtId="43" fontId="3" fillId="4" borderId="0" xfId="1" applyFont="1" applyFill="1"/>
    <xf numFmtId="43" fontId="2" fillId="0" borderId="0" xfId="0" applyNumberFormat="1" applyFont="1"/>
    <xf numFmtId="0" fontId="2" fillId="0" borderId="0" xfId="0" applyFont="1" applyAlignment="1">
      <alignment horizontal="right"/>
    </xf>
    <xf numFmtId="14" fontId="2" fillId="5" borderId="1" xfId="0" applyNumberFormat="1" applyFont="1" applyFill="1" applyBorder="1" applyAlignment="1">
      <alignment horizontal="left" vertical="center"/>
    </xf>
    <xf numFmtId="14" fontId="2" fillId="5" borderId="1" xfId="1" applyNumberFormat="1" applyFont="1" applyFill="1" applyBorder="1" applyAlignment="1">
      <alignment horizontal="center" vertical="center"/>
    </xf>
    <xf numFmtId="2" fontId="2" fillId="0" borderId="0" xfId="0" applyNumberFormat="1" applyFont="1" applyAlignment="1">
      <alignment vertical="center"/>
    </xf>
    <xf numFmtId="164" fontId="2" fillId="5" borderId="1" xfId="1" applyNumberFormat="1" applyFont="1" applyFill="1" applyBorder="1" applyAlignment="1">
      <alignment vertical="center"/>
    </xf>
    <xf numFmtId="43" fontId="2" fillId="5" borderId="4" xfId="1" applyFont="1" applyFill="1" applyBorder="1" applyAlignment="1">
      <alignment vertical="center"/>
    </xf>
    <xf numFmtId="0" fontId="2" fillId="5" borderId="1" xfId="1" applyNumberFormat="1" applyFont="1" applyFill="1" applyBorder="1" applyAlignment="1">
      <alignment horizontal="center" vertical="center"/>
    </xf>
    <xf numFmtId="14" fontId="2" fillId="0" borderId="0" xfId="0" applyNumberFormat="1" applyFont="1" applyAlignment="1">
      <alignment horizontal="right"/>
    </xf>
    <xf numFmtId="14" fontId="2" fillId="0" borderId="0" xfId="0" applyNumberFormat="1" applyFont="1" applyAlignment="1">
      <alignment horizontal="right" vertical="center"/>
    </xf>
    <xf numFmtId="0" fontId="2" fillId="5" borderId="4" xfId="0" applyFont="1" applyFill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43" fontId="2" fillId="0" borderId="4" xfId="1" applyFont="1" applyFill="1" applyBorder="1" applyAlignment="1">
      <alignment vertical="center"/>
    </xf>
    <xf numFmtId="2" fontId="4" fillId="0" borderId="1" xfId="0" applyNumberFormat="1" applyFont="1" applyBorder="1" applyAlignment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9" fillId="3" borderId="3" xfId="0" applyFont="1" applyFill="1" applyBorder="1" applyAlignment="1">
      <alignment vertical="center" wrapText="1"/>
    </xf>
    <xf numFmtId="0" fontId="9" fillId="4" borderId="2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0" fontId="9" fillId="4" borderId="3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3" fontId="9" fillId="2" borderId="1" xfId="0" applyNumberFormat="1" applyFont="1" applyFill="1" applyBorder="1" applyAlignment="1">
      <alignment horizontal="center" vertical="center" wrapText="1"/>
    </xf>
    <xf numFmtId="10" fontId="2" fillId="0" borderId="0" xfId="2" applyNumberFormat="1" applyFont="1"/>
    <xf numFmtId="43" fontId="2" fillId="0" borderId="4" xfId="1" applyFont="1" applyBorder="1" applyAlignment="1">
      <alignment vertical="center"/>
    </xf>
    <xf numFmtId="0" fontId="10" fillId="0" borderId="0" xfId="3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2" fontId="2" fillId="2" borderId="0" xfId="0" applyNumberFormat="1" applyFont="1" applyFill="1" applyAlignment="1">
      <alignment vertical="center"/>
    </xf>
    <xf numFmtId="43" fontId="2" fillId="2" borderId="0" xfId="1" applyFont="1" applyFill="1" applyAlignment="1">
      <alignment vertical="center"/>
    </xf>
    <xf numFmtId="1" fontId="2" fillId="2" borderId="0" xfId="0" applyNumberFormat="1" applyFont="1" applyFill="1" applyAlignment="1">
      <alignment vertical="center"/>
    </xf>
    <xf numFmtId="14" fontId="2" fillId="2" borderId="0" xfId="0" applyNumberFormat="1" applyFont="1" applyFill="1" applyAlignment="1">
      <alignment vertical="center"/>
    </xf>
    <xf numFmtId="43" fontId="2" fillId="2" borderId="0" xfId="1" applyFont="1" applyFill="1" applyAlignment="1">
      <alignment horizontal="center" vertical="center"/>
    </xf>
    <xf numFmtId="43" fontId="2" fillId="2" borderId="0" xfId="1" applyFont="1" applyFill="1" applyAlignment="1">
      <alignment horizontal="center"/>
    </xf>
    <xf numFmtId="43" fontId="2" fillId="2" borderId="0" xfId="1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/>
    </xf>
    <xf numFmtId="165" fontId="2" fillId="0" borderId="0" xfId="0" applyNumberFormat="1" applyFont="1" applyAlignment="1">
      <alignment horizontal="left"/>
    </xf>
    <xf numFmtId="165" fontId="2" fillId="2" borderId="0" xfId="0" applyNumberFormat="1" applyFont="1" applyFill="1" applyAlignment="1">
      <alignment horizontal="left" vertical="center"/>
    </xf>
    <xf numFmtId="0" fontId="2" fillId="0" borderId="0" xfId="0" applyFont="1" applyAlignment="1">
      <alignment horizontal="left"/>
    </xf>
    <xf numFmtId="0" fontId="3" fillId="4" borderId="0" xfId="0" applyFont="1" applyFill="1" applyAlignment="1">
      <alignment horizontal="left"/>
    </xf>
    <xf numFmtId="0" fontId="1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43" fontId="2" fillId="0" borderId="1" xfId="1" applyFont="1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0" fontId="2" fillId="6" borderId="0" xfId="0" applyFont="1" applyFill="1"/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/>
    </xf>
    <xf numFmtId="43" fontId="2" fillId="8" borderId="0" xfId="1" applyFont="1" applyFill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43" fontId="2" fillId="0" borderId="6" xfId="1" applyFont="1" applyFill="1" applyBorder="1" applyAlignment="1">
      <alignment vertical="center"/>
    </xf>
    <xf numFmtId="43" fontId="2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166" fontId="2" fillId="0" borderId="0" xfId="1" applyNumberFormat="1" applyFont="1" applyAlignment="1">
      <alignment vertical="center"/>
    </xf>
    <xf numFmtId="166" fontId="2" fillId="0" borderId="0" xfId="0" applyNumberFormat="1" applyFont="1"/>
    <xf numFmtId="164" fontId="3" fillId="4" borderId="0" xfId="1" applyNumberFormat="1" applyFont="1" applyFill="1"/>
    <xf numFmtId="43" fontId="2" fillId="0" borderId="1" xfId="1" applyFont="1" applyFill="1" applyBorder="1" applyAlignment="1">
      <alignment horizontal="right" vertical="center"/>
    </xf>
    <xf numFmtId="43" fontId="2" fillId="0" borderId="6" xfId="1" applyFont="1" applyFill="1" applyBorder="1" applyAlignment="1">
      <alignment horizontal="center" vertical="center"/>
    </xf>
    <xf numFmtId="43" fontId="2" fillId="0" borderId="4" xfId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43" fontId="2" fillId="0" borderId="6" xfId="0" applyNumberFormat="1" applyFont="1" applyBorder="1" applyAlignment="1">
      <alignment vertical="center"/>
    </xf>
    <xf numFmtId="0" fontId="13" fillId="2" borderId="1" xfId="0" applyFont="1" applyFill="1" applyBorder="1" applyAlignment="1">
      <alignment horizontal="center" vertical="center" wrapText="1"/>
    </xf>
    <xf numFmtId="49" fontId="13" fillId="2" borderId="1" xfId="0" applyNumberFormat="1" applyFont="1" applyFill="1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vertical="center" wrapText="1"/>
    </xf>
    <xf numFmtId="0" fontId="13" fillId="3" borderId="3" xfId="0" applyFont="1" applyFill="1" applyBorder="1" applyAlignment="1">
      <alignment vertical="center" wrapText="1"/>
    </xf>
    <xf numFmtId="0" fontId="13" fillId="4" borderId="2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vertical="center" wrapText="1"/>
    </xf>
    <xf numFmtId="0" fontId="13" fillId="4" borderId="3" xfId="0" applyFont="1" applyFill="1" applyBorder="1" applyAlignment="1">
      <alignment vertical="center" wrapText="1"/>
    </xf>
    <xf numFmtId="0" fontId="14" fillId="0" borderId="0" xfId="0" applyFont="1"/>
    <xf numFmtId="0" fontId="14" fillId="0" borderId="0" xfId="0" applyFont="1" applyAlignment="1">
      <alignment vertical="center"/>
    </xf>
    <xf numFmtId="43" fontId="2" fillId="0" borderId="0" xfId="1" applyFont="1" applyFill="1" applyAlignment="1">
      <alignment vertical="center"/>
    </xf>
    <xf numFmtId="43" fontId="2" fillId="0" borderId="5" xfId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0" fillId="0" borderId="0" xfId="0" applyAlignment="1">
      <alignment vertical="center"/>
    </xf>
    <xf numFmtId="43" fontId="3" fillId="0" borderId="0" xfId="0" applyNumberFormat="1" applyFont="1" applyAlignment="1">
      <alignment vertical="center"/>
    </xf>
    <xf numFmtId="43" fontId="2" fillId="0" borderId="1" xfId="1" applyFont="1" applyBorder="1" applyAlignment="1">
      <alignment vertical="center" wrapText="1"/>
    </xf>
    <xf numFmtId="43" fontId="12" fillId="0" borderId="1" xfId="1" applyFont="1" applyBorder="1" applyAlignment="1">
      <alignment horizontal="center" vertical="center"/>
    </xf>
    <xf numFmtId="1" fontId="2" fillId="2" borderId="0" xfId="0" applyNumberFormat="1" applyFont="1" applyFill="1"/>
    <xf numFmtId="0" fontId="2" fillId="6" borderId="1" xfId="0" applyFont="1" applyFill="1" applyBorder="1"/>
    <xf numFmtId="43" fontId="5" fillId="0" borderId="1" xfId="1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43" fontId="2" fillId="0" borderId="0" xfId="1" applyFont="1" applyFill="1"/>
    <xf numFmtId="43" fontId="2" fillId="0" borderId="0" xfId="1" applyFont="1" applyFill="1" applyAlignment="1">
      <alignment horizontal="center" vertical="center"/>
    </xf>
    <xf numFmtId="43" fontId="2" fillId="0" borderId="0" xfId="1" applyFont="1" applyFill="1" applyAlignment="1">
      <alignment horizontal="center"/>
    </xf>
    <xf numFmtId="43" fontId="4" fillId="0" borderId="1" xfId="0" applyNumberFormat="1" applyFont="1" applyBorder="1" applyAlignment="1">
      <alignment vertical="center"/>
    </xf>
    <xf numFmtId="43" fontId="2" fillId="0" borderId="0" xfId="0" applyNumberFormat="1" applyFont="1" applyAlignment="1">
      <alignment vertical="center" wrapText="1"/>
    </xf>
    <xf numFmtId="14" fontId="2" fillId="0" borderId="0" xfId="0" applyNumberFormat="1" applyFont="1" applyAlignment="1">
      <alignment horizontal="center"/>
    </xf>
    <xf numFmtId="43" fontId="0" fillId="0" borderId="0" xfId="1" applyFont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43" fontId="3" fillId="0" borderId="0" xfId="1" applyFont="1" applyAlignment="1">
      <alignment vertical="center"/>
    </xf>
    <xf numFmtId="166" fontId="3" fillId="6" borderId="0" xfId="1" applyNumberFormat="1" applyFont="1" applyFill="1" applyAlignment="1">
      <alignment horizontal="center" vertical="center"/>
    </xf>
    <xf numFmtId="43" fontId="3" fillId="6" borderId="0" xfId="1" applyFont="1" applyFill="1" applyAlignment="1">
      <alignment vertical="center"/>
    </xf>
    <xf numFmtId="1" fontId="3" fillId="0" borderId="0" xfId="0" applyNumberFormat="1" applyFont="1" applyAlignment="1">
      <alignment vertical="center"/>
    </xf>
    <xf numFmtId="43" fontId="2" fillId="0" borderId="6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vertical="center" wrapText="1"/>
    </xf>
    <xf numFmtId="2" fontId="2" fillId="2" borderId="0" xfId="0" applyNumberFormat="1" applyFont="1" applyFill="1"/>
    <xf numFmtId="43" fontId="2" fillId="0" borderId="6" xfId="1" applyFont="1" applyBorder="1" applyAlignment="1">
      <alignment vertical="center"/>
    </xf>
    <xf numFmtId="43" fontId="2" fillId="0" borderId="0" xfId="1" applyFont="1" applyBorder="1" applyAlignment="1">
      <alignment vertical="center"/>
    </xf>
    <xf numFmtId="164" fontId="2" fillId="0" borderId="6" xfId="1" applyNumberFormat="1" applyFont="1" applyFill="1" applyBorder="1" applyAlignment="1">
      <alignment vertical="center"/>
    </xf>
    <xf numFmtId="43" fontId="2" fillId="0" borderId="0" xfId="1" applyFont="1" applyFill="1" applyBorder="1" applyAlignment="1">
      <alignment vertical="center"/>
    </xf>
    <xf numFmtId="43" fontId="2" fillId="2" borderId="0" xfId="1" applyFont="1" applyFill="1"/>
    <xf numFmtId="43" fontId="2" fillId="0" borderId="1" xfId="1" applyFont="1" applyFill="1" applyBorder="1" applyAlignment="1">
      <alignment vertical="center" wrapText="1"/>
    </xf>
    <xf numFmtId="43" fontId="5" fillId="0" borderId="1" xfId="1" applyFont="1" applyFill="1" applyBorder="1" applyAlignment="1">
      <alignment vertical="center" wrapText="1"/>
    </xf>
    <xf numFmtId="43" fontId="2" fillId="0" borderId="6" xfId="1" applyFont="1" applyBorder="1" applyAlignment="1">
      <alignment horizontal="center" vertical="center"/>
    </xf>
    <xf numFmtId="43" fontId="3" fillId="0" borderId="0" xfId="1" applyFont="1"/>
    <xf numFmtId="43" fontId="2" fillId="11" borderId="0" xfId="1" applyFont="1" applyFill="1"/>
    <xf numFmtId="0" fontId="8" fillId="2" borderId="0" xfId="0" applyFont="1" applyFill="1" applyAlignment="1">
      <alignment horizontal="center"/>
    </xf>
    <xf numFmtId="43" fontId="2" fillId="0" borderId="0" xfId="1" applyFont="1" applyAlignment="1">
      <alignment horizontal="center" vertical="center"/>
    </xf>
    <xf numFmtId="43" fontId="2" fillId="8" borderId="0" xfId="1" applyFont="1" applyFill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165" fontId="2" fillId="0" borderId="0" xfId="0" applyNumberFormat="1" applyFont="1" applyFill="1" applyAlignment="1">
      <alignment horizontal="left"/>
    </xf>
    <xf numFmtId="0" fontId="2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vertical="center"/>
    </xf>
    <xf numFmtId="43" fontId="2" fillId="0" borderId="6" xfId="0" applyNumberFormat="1" applyFont="1" applyFill="1" applyBorder="1" applyAlignment="1">
      <alignment vertical="center"/>
    </xf>
    <xf numFmtId="43" fontId="2" fillId="0" borderId="6" xfId="1" applyFont="1" applyFill="1" applyBorder="1" applyAlignment="1">
      <alignment vertical="center" wrapText="1"/>
    </xf>
    <xf numFmtId="1" fontId="2" fillId="0" borderId="1" xfId="0" applyNumberFormat="1" applyFont="1" applyFill="1" applyBorder="1" applyAlignment="1">
      <alignment vertical="center"/>
    </xf>
    <xf numFmtId="43" fontId="2" fillId="0" borderId="6" xfId="0" applyNumberFormat="1" applyFont="1" applyFill="1" applyBorder="1" applyAlignment="1">
      <alignment horizontal="right" vertical="center"/>
    </xf>
  </cellXfs>
  <cellStyles count="4">
    <cellStyle name="Comma" xfId="1" builtinId="3"/>
    <cellStyle name="Hyperlink" xfId="3" builtinId="8"/>
    <cellStyle name="Normal" xfId="0" builtinId="0"/>
    <cellStyle name="Per cent" xfId="2" builtinId="5"/>
  </cellStyles>
  <dxfs count="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4" formatCode="0.00%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BOUAKE%20Stock%20transfe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bouke%20tfr.xlsx" TargetMode="External"/><Relationship Id="rId1" Type="http://schemas.openxmlformats.org/officeDocument/2006/relationships/externalLinkPath" Target="/Users/User/Downloads/bouke%20tf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_emploi"/>
      <sheetName val="Parametres"/>
      <sheetName val="Listes"/>
      <sheetName val=" Transfer Tracking"/>
    </sheetNames>
    <sheetDataSet>
      <sheetData sheetId="0"/>
      <sheetData sheetId="1"/>
      <sheetData sheetId="2">
        <row r="2">
          <cell r="A2" t="str">
            <v>CAMARA MAGAH</v>
          </cell>
          <cell r="B2" t="str">
            <v>BKE-001</v>
          </cell>
        </row>
        <row r="3">
          <cell r="A3" t="str">
            <v>SONELTRANS</v>
          </cell>
          <cell r="B3" t="str">
            <v>BKE-002</v>
          </cell>
        </row>
        <row r="4">
          <cell r="B4" t="str">
            <v>BKE-003</v>
          </cell>
        </row>
        <row r="5">
          <cell r="B5" t="str">
            <v>ANAGROCI 1</v>
          </cell>
        </row>
        <row r="6">
          <cell r="B6" t="str">
            <v>ANAGROCI 2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_emploi"/>
      <sheetName val="Parametres"/>
      <sheetName val="Listes"/>
      <sheetName val=" Transfer Tracking"/>
    </sheetNames>
    <sheetDataSet>
      <sheetData sheetId="0"/>
      <sheetData sheetId="1"/>
      <sheetData sheetId="2">
        <row r="2">
          <cell r="B2" t="str">
            <v>BKE-001</v>
          </cell>
        </row>
        <row r="3">
          <cell r="B3" t="str">
            <v>BKE-002</v>
          </cell>
        </row>
        <row r="4">
          <cell r="B4" t="str">
            <v>BKE-003</v>
          </cell>
        </row>
        <row r="5">
          <cell r="B5" t="str">
            <v>ANAGROCI 1</v>
          </cell>
        </row>
        <row r="6">
          <cell r="B6" t="str">
            <v>ANAGROCI 2</v>
          </cell>
        </row>
      </sheetData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ak -Anagroci" refreshedDate="46181.171381018517" createdVersion="8" refreshedVersion="8" minRefreshableVersion="3" recordCount="56" xr:uid="{AA1684DC-0CE5-4AC1-94FD-42A7813592FB}">
  <cacheSource type="worksheet">
    <worksheetSource ref="A2:AT58" sheet="FINAL DRY RCN-YAKRO-2026"/>
  </cacheSource>
  <cacheFields count="50">
    <cacheField name="S.No." numFmtId="0">
      <sharedItems containsSemiMixedTypes="0" containsString="0" containsNumber="1" containsInteger="1" minValue="1" maxValue="56"/>
    </cacheField>
    <cacheField name="DATE" numFmtId="0">
      <sharedItems containsDate="1" containsMixedTypes="1" minDate="2026-01-06T00:00:00" maxDate="2026-12-06T00:00:00"/>
    </cacheField>
    <cacheField name="Warehouse/Site" numFmtId="0">
      <sharedItems containsNonDate="0" containsString="0" containsBlank="1"/>
    </cacheField>
    <cacheField name="Warehouse " numFmtId="0">
      <sharedItems containsBlank="1"/>
    </cacheField>
    <cacheField name="BIN" numFmtId="0">
      <sharedItems count="12">
        <s v="BIN-002"/>
        <s v="BIN-008"/>
        <s v="BIN-09A"/>
        <s v="BIN-001"/>
        <s v="BIN-003"/>
        <s v="BIN-07A"/>
        <s v="BIN-013"/>
        <s v="BIN-06A"/>
        <s v="BIN-03B"/>
        <s v="BIN-004"/>
        <s v="BIN-015"/>
        <s v="BIN-005"/>
      </sharedItems>
    </cacheField>
    <cacheField name="Lot No" numFmtId="0">
      <sharedItems containsMixedTypes="1" containsNumber="1" containsInteger="1" minValue="5" maxValue="87036"/>
    </cacheField>
    <cacheField name="FICHE NO" numFmtId="0">
      <sharedItems containsBlank="1" containsMixedTypes="1" containsNumber="1" containsInteger="1" minValue="773" maxValue="89784"/>
    </cacheField>
    <cacheField name="Field1" numFmtId="0">
      <sharedItems containsNonDate="0" containsString="0" containsBlank="1"/>
    </cacheField>
    <cacheField name="Field2" numFmtId="0">
      <sharedItems containsNonDate="0" containsString="0" containsBlank="1"/>
    </cacheField>
    <cacheField name="STATUS" numFmtId="0">
      <sharedItems containsBlank="1"/>
    </cacheField>
    <cacheField name="Dry Type" numFmtId="0">
      <sharedItems containsBlank="1"/>
    </cacheField>
    <cacheField name="W/H Receipt No." numFmtId="0">
      <sharedItems containsNonDate="0" containsString="0" containsBlank="1"/>
    </cacheField>
    <cacheField name="Origin" numFmtId="0">
      <sharedItems containsBlank="1"/>
    </cacheField>
    <cacheField name="Supplier Name" numFmtId="0">
      <sharedItems containsBlank="1"/>
    </cacheField>
    <cacheField name="Supplier's Code (Anagroci)" numFmtId="0">
      <sharedItems containsBlank="1"/>
    </cacheField>
    <cacheField name="Supplier's Code (CCAK)" numFmtId="0">
      <sharedItems containsNonDate="0" containsString="0" containsBlank="1"/>
    </cacheField>
    <cacheField name="Destintion" numFmtId="0">
      <sharedItems containsBlank="1"/>
    </cacheField>
    <cacheField name="Dry Bin No" numFmtId="0">
      <sharedItems containsBlank="1"/>
    </cacheField>
    <cacheField name="Issued Net Weight(Mt)" numFmtId="0">
      <sharedItems containsString="0" containsBlank="1" containsNumber="1" minValue="31473" maxValue="101749"/>
    </cacheField>
    <cacheField name="Actual Dry Weight (After Scle) (Mt)" numFmtId="0">
      <sharedItems containsString="0" containsBlank="1" containsNumber="1" minValue="30903" maxValue="99494"/>
    </cacheField>
    <cacheField name="Difference " numFmtId="43">
      <sharedItems containsString="0" containsBlank="1" containsNumber="1" minValue="85" maxValue="2422"/>
    </cacheField>
    <cacheField name="Input Moisture                " numFmtId="43">
      <sharedItems containsString="0" containsBlank="1" containsNumber="1" minValue="9.8000000000000007" maxValue="15.4"/>
    </cacheField>
    <cacheField name="INPUT NUT COUNT" numFmtId="0">
      <sharedItems containsString="0" containsBlank="1" containsNumber="1" containsInteger="1" minValue="157" maxValue="189"/>
    </cacheField>
    <cacheField name="INPUT KOR" numFmtId="0">
      <sharedItems containsString="0" containsBlank="1" containsNumber="1" minValue="40.65" maxValue="46.2"/>
    </cacheField>
    <cacheField name="Output Moisture                " numFmtId="43">
      <sharedItems containsString="0" containsBlank="1" containsNumber="1" minValue="7.9" maxValue="10.9"/>
    </cacheField>
    <cacheField name="OUTPUT NUT COUNT" numFmtId="0">
      <sharedItems containsString="0" containsBlank="1" containsNumber="1" containsInteger="1" minValue="160" maxValue="199"/>
    </cacheField>
    <cacheField name="OUTPUT KOR" numFmtId="0">
      <sharedItems containsSemiMixedTypes="0" containsString="0" containsNumber="1" minValue="0" maxValue="46.2"/>
    </cacheField>
    <cacheField name="Oil" numFmtId="0">
      <sharedItems containsString="0" containsBlank="1" containsNumber="1" containsInteger="1" minValue="0" maxValue="4"/>
    </cacheField>
    <cacheField name="Rejection" numFmtId="0">
      <sharedItems containsString="0" containsBlank="1" containsNumber="1" containsInteger="1" minValue="20" maxValue="49"/>
    </cacheField>
    <cacheField name="GK" numFmtId="0">
      <sharedItems containsString="0" containsBlank="1" containsNumber="1" containsInteger="1" minValue="214" maxValue="244"/>
    </cacheField>
    <cacheField name="Immature" numFmtId="0">
      <sharedItems containsString="0" containsBlank="1" containsNumber="1" containsInteger="1" minValue="10" maxValue="21"/>
    </cacheField>
    <cacheField name="Spoted" numFmtId="0">
      <sharedItems containsString="0" containsBlank="1" containsNumber="1" containsInteger="1" minValue="4" maxValue="20"/>
    </cacheField>
    <cacheField name="Shell" numFmtId="0">
      <sharedItems containsString="0" containsBlank="1" containsNumber="1" containsInteger="1" minValue="659" maxValue="689"/>
    </cacheField>
    <cacheField name="Void" numFmtId="0">
      <sharedItems containsString="0" containsBlank="1" containsNumber="1" containsInteger="1" minValue="9" maxValue="41"/>
    </cacheField>
    <cacheField name="MOIS Loss%" numFmtId="0">
      <sharedItems containsString="0" containsBlank="1" containsNumber="1" minValue="5.9999999999999967E-3" maxValue="5.0999999999999997E-2"/>
    </cacheField>
    <cacheField name="Drying Loss Kg's" numFmtId="1">
      <sharedItems containsSemiMixedTypes="0" containsString="0" containsNumber="1" minValue="0" maxValue="2422"/>
    </cacheField>
    <cacheField name="Drying LOSS  %" numFmtId="10">
      <sharedItems containsString="0" containsBlank="1" containsNumber="1" minValue="1.8906114459841189E-3" maxValue="5.9842364045165915E-2"/>
    </cacheField>
    <cacheField name="Total Sac Received" numFmtId="0">
      <sharedItems containsString="0" containsBlank="1" containsNumber="1" containsInteger="1" minValue="426" maxValue="706"/>
    </cacheField>
    <cacheField name="INPUT BAGS FOR DRYING" numFmtId="0">
      <sharedItems containsString="0" containsBlank="1" containsNumber="1" containsInteger="1" minValue="414" maxValue="1322"/>
    </cacheField>
    <cacheField name="OUTPUT BAGS AFTER DRING" numFmtId="0">
      <sharedItems containsString="0" containsBlank="1" containsNumber="1" containsInteger="1" minValue="414" maxValue="1323"/>
    </cacheField>
    <cacheField name="DRYING/ PICKING" numFmtId="0">
      <sharedItems containsBlank="1"/>
    </cacheField>
    <cacheField name="REMARKS" numFmtId="0">
      <sharedItems containsBlank="1"/>
    </cacheField>
    <cacheField name="DRY BIN " numFmtId="0">
      <sharedItems containsNonDate="0" containsString="0" containsBlank="1"/>
    </cacheField>
    <cacheField name="Issued To Production" numFmtId="0">
      <sharedItems containsBlank="1"/>
    </cacheField>
    <cacheField name="Damaged nuts - KGS/ TRIAGE" numFmtId="0">
      <sharedItems containsNonDate="0" containsString="0" containsBlank="1"/>
    </cacheField>
    <cacheField name="Re Drying " numFmtId="0">
      <sharedItems containsNonDate="0" containsDate="1" containsString="0" containsBlank="1" minDate="2026-08-05T00:00:00" maxDate="2026-10-06T00:00:00"/>
    </cacheField>
    <cacheField name="Moisture -1st Dry" numFmtId="0">
      <sharedItems containsString="0" containsBlank="1" containsNumber="1" minValue="10.1" maxValue="10.6"/>
    </cacheField>
    <cacheField name="Moisture -2nd Dry" numFmtId="0">
      <sharedItems containsString="0" containsBlank="1" containsNumber="1" minValue="8.9" maxValue="9"/>
    </cacheField>
    <cacheField name="Issued to Production2" numFmtId="0">
      <sharedItems containsBlank="1"/>
    </cacheField>
    <cacheField name="Remarks 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n v="1"/>
    <s v="18/03/2026"/>
    <m/>
    <s v="ANAGROCI-01"/>
    <x v="0"/>
    <n v="23"/>
    <n v="77676"/>
    <m/>
    <m/>
    <s v="OK"/>
    <s v="Supplier"/>
    <m/>
    <s v="WOROBOUGOU"/>
    <s v="SCAAMT COOP CA"/>
    <s v="LBA-002-SCA"/>
    <m/>
    <s v="ANA-03-DRY"/>
    <s v="ANA-03-DRY"/>
    <n v="48784"/>
    <n v="47807"/>
    <n v="977"/>
    <n v="11"/>
    <n v="171"/>
    <n v="45.23"/>
    <n v="8.9"/>
    <n v="173"/>
    <n v="45.67"/>
    <m/>
    <m/>
    <m/>
    <m/>
    <m/>
    <m/>
    <m/>
    <n v="2.0999999999999998E-2"/>
    <n v="977"/>
    <n v="2.0027058051820271E-2"/>
    <n v="596"/>
    <n v="638"/>
    <n v="592"/>
    <s v="Dryied"/>
    <s v="Scaled"/>
    <m/>
    <s v="BIN"/>
    <m/>
    <m/>
    <m/>
    <m/>
    <m/>
    <m/>
  </r>
  <r>
    <n v="2"/>
    <s v="25/03/2026"/>
    <m/>
    <s v="ANAGROCI-01"/>
    <x v="0"/>
    <n v="29"/>
    <n v="82146"/>
    <m/>
    <m/>
    <s v="OK"/>
    <s v="Supplier"/>
    <m/>
    <s v="BONIEREDOUGOU"/>
    <s v="SCOOPS WEBE"/>
    <s v="LBA-004-WEB"/>
    <m/>
    <s v="ANA-03-DRY"/>
    <s v="ANA-03-DRY"/>
    <n v="39234"/>
    <n v="38213.915999999997"/>
    <n v="1020.0840000000026"/>
    <n v="12"/>
    <n v="176"/>
    <n v="45.05"/>
    <n v="9.4"/>
    <n v="176"/>
    <n v="45.5"/>
    <m/>
    <m/>
    <m/>
    <m/>
    <m/>
    <m/>
    <m/>
    <n v="2.5999999999999995E-2"/>
    <n v="1020.0840000000026"/>
    <n v="2.6000000000000065E-2"/>
    <n v="466"/>
    <n v="489"/>
    <n v="502"/>
    <s v="Dryied"/>
    <s v="Scaled"/>
    <m/>
    <s v="BIN"/>
    <m/>
    <m/>
    <m/>
    <m/>
    <m/>
    <m/>
  </r>
  <r>
    <n v="3"/>
    <s v="27/03/2026"/>
    <m/>
    <s v="ANAGROCI-01"/>
    <x v="1"/>
    <n v="5"/>
    <n v="52047"/>
    <m/>
    <m/>
    <s v="OK"/>
    <s v="BOUAKE"/>
    <m/>
    <m/>
    <m/>
    <m/>
    <m/>
    <s v="ANA-08-DRY"/>
    <s v="ANA-08-DRY"/>
    <n v="51232"/>
    <n v="49643.807999999997"/>
    <n v="1588.1920000000027"/>
    <n v="12"/>
    <n v="157"/>
    <n v="45.32"/>
    <n v="8.9"/>
    <n v="160"/>
    <n v="45.49"/>
    <m/>
    <m/>
    <m/>
    <m/>
    <m/>
    <m/>
    <m/>
    <n v="3.0999999999999996E-2"/>
    <n v="1588.1920000000027"/>
    <n v="3.1000000000000052E-2"/>
    <n v="608"/>
    <n v="615"/>
    <n v="699"/>
    <s v="Dryied"/>
    <s v="Scaled"/>
    <m/>
    <s v="BIN"/>
    <m/>
    <m/>
    <m/>
    <m/>
    <m/>
    <m/>
  </r>
  <r>
    <n v="4"/>
    <s v="28/03/2026"/>
    <m/>
    <s v="ANAGROCI-01"/>
    <x v="2"/>
    <n v="20"/>
    <n v="51512"/>
    <m/>
    <m/>
    <s v="OK"/>
    <s v="BOUAKE"/>
    <m/>
    <m/>
    <m/>
    <m/>
    <m/>
    <s v="ANA-09-DRY"/>
    <s v="ANA-09-DRY"/>
    <n v="37843"/>
    <n v="36783.396000000001"/>
    <n v="1059.6039999999994"/>
    <n v="11.7"/>
    <n v="174"/>
    <n v="43.82"/>
    <n v="8.9"/>
    <n v="172"/>
    <n v="43.91"/>
    <m/>
    <m/>
    <m/>
    <m/>
    <m/>
    <m/>
    <m/>
    <n v="2.799999999999999E-2"/>
    <n v="1059.6039999999994"/>
    <n v="2.7999999999999983E-2"/>
    <n v="537"/>
    <n v="537"/>
    <n v="530"/>
    <s v="Dryied"/>
    <s v="Scaled"/>
    <m/>
    <s v="BIN"/>
    <m/>
    <m/>
    <m/>
    <m/>
    <m/>
    <m/>
  </r>
  <r>
    <n v="5"/>
    <s v="31/03/2026"/>
    <m/>
    <s v="ANAGROCI-01"/>
    <x v="3"/>
    <n v="56"/>
    <n v="82495"/>
    <m/>
    <m/>
    <s v="OK"/>
    <s v="Supplier"/>
    <m/>
    <s v="KOTI"/>
    <s v="SCOOPS WEBE"/>
    <s v="LBA-004-WEB"/>
    <m/>
    <s v="ANA-02-DRY"/>
    <s v="ANA-02-DRY"/>
    <n v="45590"/>
    <n v="43876"/>
    <n v="1714"/>
    <n v="11.2"/>
    <n v="183"/>
    <n v="44.35"/>
    <n v="9.3000000000000007"/>
    <n v="184"/>
    <n v="44.7"/>
    <m/>
    <m/>
    <m/>
    <m/>
    <m/>
    <m/>
    <m/>
    <n v="1.8999999999999986E-2"/>
    <n v="1714"/>
    <n v="3.7595964027198947E-2"/>
    <n v="538"/>
    <n v="538"/>
    <n v="601"/>
    <s v="Dryied"/>
    <s v="Scaled"/>
    <m/>
    <s v="BIN"/>
    <m/>
    <m/>
    <m/>
    <m/>
    <m/>
    <m/>
  </r>
  <r>
    <n v="6"/>
    <d v="2026-02-04T00:00:00"/>
    <m/>
    <s v="ANAGROCI-01"/>
    <x v="4"/>
    <n v="61"/>
    <n v="83411"/>
    <m/>
    <m/>
    <s v="OK"/>
    <s v="Supplier"/>
    <m/>
    <s v="VAVOUA"/>
    <s v="SCAAMT COOP CA"/>
    <s v="LBA-002-SCA"/>
    <m/>
    <s v="ANA-05-DRY"/>
    <s v="ANA-05-DRY"/>
    <n v="41220"/>
    <n v="40360"/>
    <n v="860"/>
    <n v="10.1"/>
    <n v="185"/>
    <n v="46.2"/>
    <n v="8.5"/>
    <n v="170"/>
    <n v="46.2"/>
    <m/>
    <m/>
    <m/>
    <m/>
    <m/>
    <m/>
    <m/>
    <n v="1.5999999999999997E-2"/>
    <n v="860"/>
    <n v="2.0863658418243572E-2"/>
    <n v="560"/>
    <n v="568"/>
    <n v="577"/>
    <s v="Dryied"/>
    <s v="Scaled"/>
    <m/>
    <s v="BIN"/>
    <m/>
    <m/>
    <m/>
    <m/>
    <m/>
    <m/>
  </r>
  <r>
    <n v="7"/>
    <d v="2026-03-04T00:00:00"/>
    <m/>
    <s v="ANAGROCI-01"/>
    <x v="0"/>
    <n v="64"/>
    <n v="82496"/>
    <m/>
    <m/>
    <s v="OK"/>
    <s v="Supplier"/>
    <m/>
    <s v="AGNIBILEKRO"/>
    <s v="COOP CA BENKADI"/>
    <m/>
    <m/>
    <s v="ANA-03-DRY"/>
    <s v="ANA-03-DRY"/>
    <n v="43380"/>
    <n v="41827"/>
    <n v="1553"/>
    <n v="11.8"/>
    <n v="177"/>
    <n v="44.44"/>
    <n v="9.1999999999999993"/>
    <n v="176"/>
    <n v="45.2"/>
    <m/>
    <m/>
    <m/>
    <m/>
    <m/>
    <m/>
    <m/>
    <n v="2.6000000000000013E-2"/>
    <n v="1553"/>
    <n v="3.5799907791609034E-2"/>
    <n v="500"/>
    <n v="509"/>
    <n v="550"/>
    <s v="Dryied"/>
    <s v="Scaled"/>
    <m/>
    <s v="BIN"/>
    <m/>
    <m/>
    <m/>
    <m/>
    <m/>
    <m/>
  </r>
  <r>
    <n v="8"/>
    <d v="2026-08-04T00:00:00"/>
    <m/>
    <s v="ANAGROCI-01"/>
    <x v="5"/>
    <n v="67"/>
    <n v="87134"/>
    <m/>
    <m/>
    <s v="OK"/>
    <s v="Supplier"/>
    <m/>
    <s v="BOUAFLE"/>
    <m/>
    <m/>
    <m/>
    <s v="ANA-07-DRY"/>
    <s v="ANA-07-DRY"/>
    <n v="36706"/>
    <n v="35861"/>
    <n v="845"/>
    <n v="11"/>
    <n v="170"/>
    <n v="45.15"/>
    <n v="8.3000000000000007"/>
    <n v="173"/>
    <n v="45.85"/>
    <m/>
    <m/>
    <m/>
    <m/>
    <m/>
    <m/>
    <m/>
    <n v="2.6999999999999993E-2"/>
    <n v="845"/>
    <n v="2.3020759548847601E-2"/>
    <n v="460"/>
    <n v="463"/>
    <n v="477"/>
    <s v="Dryied"/>
    <s v="Scaled"/>
    <m/>
    <s v="BIN"/>
    <m/>
    <m/>
    <m/>
    <m/>
    <m/>
    <m/>
  </r>
  <r>
    <n v="9"/>
    <d v="2026-11-04T00:00:00"/>
    <m/>
    <s v="ANAGROCI-01"/>
    <x v="3"/>
    <n v="72"/>
    <n v="87139"/>
    <m/>
    <m/>
    <s v="OK"/>
    <s v="Supplier"/>
    <m/>
    <s v="VAVOUA"/>
    <m/>
    <m/>
    <m/>
    <s v="ANA-02-DRY"/>
    <s v="ANA-02-DRY"/>
    <n v="53554"/>
    <n v="52062"/>
    <n v="1492"/>
    <n v="10.1"/>
    <n v="183"/>
    <n v="44.09"/>
    <n v="8"/>
    <n v="181"/>
    <n v="44.26"/>
    <m/>
    <m/>
    <m/>
    <m/>
    <m/>
    <m/>
    <m/>
    <n v="2.0999999999999998E-2"/>
    <n v="1492"/>
    <n v="2.7859730365612279E-2"/>
    <n v="706"/>
    <n v="721"/>
    <n v="712"/>
    <s v="Dryied"/>
    <s v="Scaled"/>
    <m/>
    <s v="BIN"/>
    <m/>
    <m/>
    <m/>
    <m/>
    <m/>
    <m/>
  </r>
  <r>
    <n v="10"/>
    <d v="2026-12-04T00:00:00"/>
    <m/>
    <s v="ANAGROCI-01"/>
    <x v="3"/>
    <n v="76"/>
    <n v="78911"/>
    <m/>
    <m/>
    <s v="OK"/>
    <s v="Supplier"/>
    <m/>
    <s v="VAVOUA"/>
    <m/>
    <m/>
    <m/>
    <s v="ANA-02-DRY"/>
    <s v="ANA-02-DRY"/>
    <n v="46982"/>
    <n v="45614"/>
    <n v="1368"/>
    <n v="10.1"/>
    <n v="185"/>
    <n v="44.26"/>
    <n v="8.3000000000000007"/>
    <n v="179"/>
    <n v="44.53"/>
    <m/>
    <m/>
    <m/>
    <m/>
    <m/>
    <m/>
    <m/>
    <n v="1.7999999999999988E-2"/>
    <n v="1368"/>
    <n v="2.9117534374866971E-2"/>
    <n v="658"/>
    <n v="658"/>
    <n v="648"/>
    <s v="Dryied"/>
    <s v="Scaled"/>
    <m/>
    <s v="BIN"/>
    <m/>
    <m/>
    <m/>
    <m/>
    <m/>
    <m/>
  </r>
  <r>
    <n v="11"/>
    <s v="13/4/2026"/>
    <m/>
    <s v="ANAGROCI-01"/>
    <x v="3"/>
    <n v="79"/>
    <n v="37970"/>
    <m/>
    <m/>
    <s v="OK"/>
    <s v="Supplier"/>
    <m/>
    <s v="VAVOUA"/>
    <m/>
    <m/>
    <m/>
    <s v="ANA-02-DRY"/>
    <s v="ANA-02-DRY"/>
    <n v="41622"/>
    <n v="40391"/>
    <n v="1231"/>
    <n v="13.7"/>
    <n v="160"/>
    <n v="43.56"/>
    <n v="9.6999999999999993"/>
    <n v="163"/>
    <n v="44"/>
    <m/>
    <m/>
    <m/>
    <m/>
    <m/>
    <m/>
    <m/>
    <n v="0.04"/>
    <n v="1231"/>
    <n v="2.9575705155927154E-2"/>
    <n v="488"/>
    <n v="488"/>
    <n v="542"/>
    <s v="Dryied"/>
    <s v="Scaled"/>
    <m/>
    <s v="BIN"/>
    <m/>
    <m/>
    <m/>
    <m/>
    <m/>
    <m/>
  </r>
  <r>
    <n v="12"/>
    <s v="16/04/2026"/>
    <m/>
    <s v="ANAGROCI-01"/>
    <x v="3"/>
    <n v="102"/>
    <n v="78869"/>
    <m/>
    <m/>
    <s v="OK"/>
    <s v="Supplier"/>
    <m/>
    <s v="VAVOUA"/>
    <m/>
    <m/>
    <m/>
    <s v="ANA-02-DRY"/>
    <s v="ANA-02-DRY"/>
    <n v="49006"/>
    <n v="47430"/>
    <n v="1576"/>
    <n v="11.2"/>
    <n v="181"/>
    <n v="43.56"/>
    <n v="9.4"/>
    <n v="182"/>
    <n v="44"/>
    <m/>
    <m/>
    <m/>
    <m/>
    <m/>
    <m/>
    <m/>
    <n v="1.7999999999999988E-2"/>
    <n v="1576"/>
    <n v="3.2159327429294372E-2"/>
    <n v="684"/>
    <n v="691"/>
    <n v="674"/>
    <s v="Dryied"/>
    <s v="Scaled"/>
    <m/>
    <s v="BIN"/>
    <m/>
    <m/>
    <m/>
    <m/>
    <m/>
    <m/>
  </r>
  <r>
    <n v="13"/>
    <s v="17/04/2026"/>
    <m/>
    <s v="ANAGROCI-01"/>
    <x v="6"/>
    <n v="96"/>
    <n v="89770"/>
    <m/>
    <m/>
    <s v="OK"/>
    <s v="Supplier"/>
    <m/>
    <s v="PORO"/>
    <m/>
    <m/>
    <m/>
    <s v="ANA-01-DRY"/>
    <s v="ANA-01-DRY"/>
    <n v="49932"/>
    <n v="48375"/>
    <n v="1557"/>
    <n v="11.1"/>
    <n v="168"/>
    <n v="42.58"/>
    <n v="8.9"/>
    <n v="172"/>
    <n v="43.12"/>
    <m/>
    <m/>
    <m/>
    <m/>
    <m/>
    <m/>
    <m/>
    <n v="2.1999999999999992E-2"/>
    <n v="1557"/>
    <n v="3.1182408074981974E-2"/>
    <n v="604"/>
    <n v="612"/>
    <n v="644"/>
    <s v="Dryied"/>
    <s v="Scaled"/>
    <m/>
    <s v="Issued to Production"/>
    <m/>
    <m/>
    <m/>
    <m/>
    <s v="Issued to Production"/>
    <m/>
  </r>
  <r>
    <n v="14"/>
    <s v="18/04/2026"/>
    <m/>
    <s v="ANAGROCI-01"/>
    <x v="6"/>
    <n v="95"/>
    <n v="89781"/>
    <m/>
    <m/>
    <s v="OK"/>
    <s v="Supplier"/>
    <m/>
    <s v="PORO"/>
    <m/>
    <m/>
    <m/>
    <s v="ANA-01-DRY"/>
    <s v="ANA-01-DRY"/>
    <n v="49746"/>
    <n v="48344"/>
    <n v="1402"/>
    <n v="12.3"/>
    <n v="169"/>
    <n v="42.41"/>
    <n v="9.8000000000000007"/>
    <n v="170"/>
    <n v="42.85"/>
    <m/>
    <m/>
    <m/>
    <m/>
    <m/>
    <m/>
    <m/>
    <n v="2.5000000000000001E-2"/>
    <n v="1402"/>
    <n v="2.8183170506171352E-2"/>
    <n v="598"/>
    <n v="629"/>
    <n v="667"/>
    <s v="Dryied"/>
    <s v="Scaled"/>
    <m/>
    <s v="Issued to Production"/>
    <m/>
    <m/>
    <m/>
    <m/>
    <s v="Issued to Production"/>
    <m/>
  </r>
  <r>
    <n v="15"/>
    <s v="19/04/2026"/>
    <m/>
    <s v="ANAGROCI-01"/>
    <x v="3"/>
    <n v="116"/>
    <n v="31888"/>
    <m/>
    <m/>
    <s v="OK"/>
    <s v="Supplier"/>
    <m/>
    <s v="BOUKE"/>
    <m/>
    <m/>
    <m/>
    <s v="ANA-02-DRY"/>
    <s v="ANA-02-DRY"/>
    <n v="40201"/>
    <n v="38925"/>
    <n v="1276"/>
    <n v="14.2"/>
    <n v="158"/>
    <n v="44.18"/>
    <n v="10.1"/>
    <n v="160"/>
    <n v="44.26"/>
    <m/>
    <m/>
    <m/>
    <m/>
    <m/>
    <m/>
    <m/>
    <n v="4.0999999999999995E-2"/>
    <n v="1276"/>
    <n v="3.1740503967562998E-2"/>
    <n v="489"/>
    <n v="489"/>
    <n v="524"/>
    <s v="Dryied"/>
    <s v="Scaled"/>
    <m/>
    <s v="BIN"/>
    <m/>
    <m/>
    <m/>
    <m/>
    <m/>
    <m/>
  </r>
  <r>
    <n v="16"/>
    <s v="21/04/2026"/>
    <m/>
    <s v="ANAGROCI-01"/>
    <x v="6"/>
    <n v="122"/>
    <n v="29107"/>
    <m/>
    <m/>
    <s v="OK"/>
    <s v="Supplier"/>
    <m/>
    <s v="VAVOUA"/>
    <m/>
    <m/>
    <m/>
    <s v="ANA-01-DRY"/>
    <s v="ANA-01-DRY"/>
    <n v="45376"/>
    <n v="44380"/>
    <n v="996"/>
    <n v="10.3"/>
    <n v="183"/>
    <n v="41.79"/>
    <n v="8.6"/>
    <n v="180"/>
    <n v="43.38"/>
    <m/>
    <m/>
    <m/>
    <m/>
    <m/>
    <m/>
    <m/>
    <n v="1.7000000000000012E-2"/>
    <n v="996"/>
    <n v="2.1949929478138223E-2"/>
    <n v="604"/>
    <n v="609"/>
    <n v="600"/>
    <s v="Dryied"/>
    <s v="Scaled"/>
    <m/>
    <s v="Issued to Production"/>
    <m/>
    <m/>
    <m/>
    <m/>
    <s v="Issued to Production"/>
    <m/>
  </r>
  <r>
    <n v="17"/>
    <s v="21/04/2026"/>
    <m/>
    <s v="ANAGROCI-01"/>
    <x v="6"/>
    <n v="125"/>
    <n v="37582"/>
    <m/>
    <m/>
    <s v="OK"/>
    <s v="Supplier"/>
    <m/>
    <s v="BERE"/>
    <m/>
    <m/>
    <m/>
    <s v="ANA-01-DRY"/>
    <s v="ANA-01-DRY"/>
    <n v="45076"/>
    <n v="44038"/>
    <n v="1038"/>
    <n v="11.4"/>
    <n v="162"/>
    <n v="43.12"/>
    <n v="9.5"/>
    <n v="161"/>
    <n v="43.38"/>
    <m/>
    <m/>
    <m/>
    <m/>
    <m/>
    <m/>
    <m/>
    <n v="1.9000000000000003E-2"/>
    <n v="1038"/>
    <n v="2.3027775312805039E-2"/>
    <n v="444"/>
    <n v="475"/>
    <n v="585"/>
    <s v="Dryied"/>
    <s v="Scaled"/>
    <m/>
    <s v="Issued to Production"/>
    <m/>
    <m/>
    <m/>
    <m/>
    <s v="Issued to Production"/>
    <m/>
  </r>
  <r>
    <n v="18"/>
    <s v="22/04/2026"/>
    <m/>
    <s v="ANAGROCI-01"/>
    <x v="7"/>
    <n v="135"/>
    <n v="87109"/>
    <m/>
    <m/>
    <s v="OK"/>
    <s v="Supplier"/>
    <m/>
    <m/>
    <m/>
    <m/>
    <m/>
    <s v="ANA-06-DRY"/>
    <s v="ANA-06-DRY"/>
    <n v="46473"/>
    <n v="45193"/>
    <n v="1280"/>
    <n v="10.7"/>
    <n v="182"/>
    <n v="42.15"/>
    <n v="9.1"/>
    <n v="176"/>
    <n v="44.7"/>
    <m/>
    <m/>
    <m/>
    <m/>
    <m/>
    <m/>
    <m/>
    <n v="1.5999999999999997E-2"/>
    <n v="1280"/>
    <n v="2.7542874357153618E-2"/>
    <n v="523"/>
    <n v="594"/>
    <n v="606"/>
    <s v="Dryied"/>
    <s v="Scaled"/>
    <m/>
    <s v="BIN"/>
    <m/>
    <m/>
    <m/>
    <m/>
    <m/>
    <m/>
  </r>
  <r>
    <n v="19"/>
    <s v="22/04/2026"/>
    <m/>
    <s v="ANAGROCI-01"/>
    <x v="6"/>
    <n v="139"/>
    <n v="35967"/>
    <m/>
    <m/>
    <s v="OK"/>
    <s v="Supplier"/>
    <m/>
    <m/>
    <m/>
    <m/>
    <m/>
    <s v="ANA-01-DRY"/>
    <s v="ANA-01-DRY"/>
    <n v="41877"/>
    <n v="41366"/>
    <n v="511"/>
    <n v="11.4"/>
    <n v="178"/>
    <n v="41.97"/>
    <n v="9.3000000000000007"/>
    <n v="179"/>
    <n v="42.68"/>
    <m/>
    <m/>
    <m/>
    <m/>
    <m/>
    <m/>
    <m/>
    <n v="2.0999999999999998E-2"/>
    <n v="511"/>
    <n v="1.2202402273324258E-2"/>
    <n v="643"/>
    <n v="542"/>
    <n v="564"/>
    <s v="Dryied"/>
    <s v="Scaled"/>
    <m/>
    <s v="Issued to Production"/>
    <m/>
    <m/>
    <m/>
    <m/>
    <s v="Issued to Production"/>
    <m/>
  </r>
  <r>
    <n v="20"/>
    <s v="23/04/2026"/>
    <m/>
    <s v="ANAGROCI-01"/>
    <x v="6"/>
    <n v="113"/>
    <n v="87146"/>
    <m/>
    <m/>
    <s v="OK"/>
    <s v="Supplier"/>
    <m/>
    <m/>
    <m/>
    <m/>
    <m/>
    <s v="ANA-01-DRY"/>
    <s v="ANA-01-DRY"/>
    <n v="33580"/>
    <n v="33006"/>
    <n v="574"/>
    <n v="9.8000000000000007"/>
    <n v="172"/>
    <n v="42.59"/>
    <n v="8.8000000000000007"/>
    <n v="171"/>
    <n v="43.65"/>
    <m/>
    <m/>
    <m/>
    <m/>
    <m/>
    <m/>
    <m/>
    <n v="0.01"/>
    <n v="574"/>
    <n v="1.7093508040500298E-2"/>
    <n v="430"/>
    <n v="449"/>
    <n v="457"/>
    <s v="Dryied"/>
    <s v="Scaled"/>
    <m/>
    <s v="Issued to Production"/>
    <m/>
    <m/>
    <m/>
    <m/>
    <s v="Issued to Production"/>
    <m/>
  </r>
  <r>
    <n v="21"/>
    <s v="24/04/2026"/>
    <m/>
    <s v="ANAGROCI-01"/>
    <x v="6"/>
    <n v="107"/>
    <n v="37581"/>
    <m/>
    <m/>
    <s v="OK"/>
    <s v="Supplier"/>
    <m/>
    <m/>
    <m/>
    <m/>
    <m/>
    <s v="ANA-01-DRY"/>
    <s v="ANA-01-DRY"/>
    <n v="44959"/>
    <n v="44874"/>
    <n v="85"/>
    <n v="10.1"/>
    <n v="159"/>
    <n v="42.15"/>
    <n v="8.6999999999999993"/>
    <n v="164"/>
    <n v="42.59"/>
    <m/>
    <m/>
    <m/>
    <m/>
    <m/>
    <m/>
    <m/>
    <n v="1.4000000000000004E-2"/>
    <n v="85"/>
    <n v="1.8906114459841189E-3"/>
    <n v="531"/>
    <n v="558"/>
    <n v="603"/>
    <s v="Dryied"/>
    <s v="Scaled"/>
    <m/>
    <s v="Issued to Production"/>
    <m/>
    <m/>
    <m/>
    <m/>
    <s v="Issued to Production"/>
    <m/>
  </r>
  <r>
    <n v="22"/>
    <s v="24/04/2026"/>
    <m/>
    <s v="ANAGROCI-01"/>
    <x v="3"/>
    <n v="110"/>
    <n v="3198"/>
    <m/>
    <m/>
    <s v="OK"/>
    <s v="Supplier"/>
    <m/>
    <m/>
    <m/>
    <m/>
    <m/>
    <s v="ANA-02-DRY"/>
    <s v="ANA-02-DRY"/>
    <n v="37544"/>
    <n v="36937"/>
    <n v="607"/>
    <n v="12.9"/>
    <n v="158"/>
    <n v="43.21"/>
    <n v="9.8000000000000007"/>
    <n v="166"/>
    <n v="44.26"/>
    <m/>
    <m/>
    <m/>
    <m/>
    <m/>
    <m/>
    <m/>
    <n v="3.0999999999999996E-2"/>
    <n v="607"/>
    <n v="1.6167696569358618E-2"/>
    <n v="426"/>
    <n v="450"/>
    <n v="506"/>
    <s v="Dryied"/>
    <s v="Scaled"/>
    <m/>
    <s v="BIN"/>
    <m/>
    <m/>
    <m/>
    <m/>
    <m/>
    <m/>
  </r>
  <r>
    <n v="23"/>
    <s v="25/04/2026"/>
    <m/>
    <s v="ANAGROCI-01"/>
    <x v="7"/>
    <n v="162"/>
    <n v="89784"/>
    <m/>
    <m/>
    <s v="OK"/>
    <s v="Supplier"/>
    <m/>
    <m/>
    <m/>
    <m/>
    <m/>
    <s v="ANA-06-DRY"/>
    <s v="ANA-06-DRY"/>
    <n v="38983"/>
    <n v="38381"/>
    <n v="602"/>
    <n v="12.8"/>
    <n v="170"/>
    <n v="44.09"/>
    <n v="10.1"/>
    <n v="169"/>
    <n v="44.97"/>
    <m/>
    <m/>
    <m/>
    <m/>
    <m/>
    <m/>
    <m/>
    <n v="2.700000000000001E-2"/>
    <n v="602"/>
    <n v="1.5442628838211528E-2"/>
    <n v="477"/>
    <n v="486"/>
    <n v="518"/>
    <s v="Dryied"/>
    <s v="Scaled"/>
    <m/>
    <s v="BIN"/>
    <m/>
    <m/>
    <m/>
    <m/>
    <m/>
    <m/>
  </r>
  <r>
    <n v="24"/>
    <s v="25/04/2026"/>
    <m/>
    <s v="ANAGROCI-01"/>
    <x v="7"/>
    <n v="160"/>
    <n v="65511"/>
    <m/>
    <m/>
    <s v="OK"/>
    <s v="Supplier"/>
    <m/>
    <m/>
    <m/>
    <m/>
    <m/>
    <s v="ANA-06-DRY"/>
    <s v="ANA-06-DRY"/>
    <n v="43410"/>
    <n v="42527"/>
    <n v="883"/>
    <n v="14.3"/>
    <n v="165"/>
    <n v="43.73"/>
    <n v="10.9"/>
    <n v="169"/>
    <n v="45.06"/>
    <m/>
    <m/>
    <m/>
    <m/>
    <m/>
    <m/>
    <m/>
    <n v="3.4000000000000002E-2"/>
    <n v="883"/>
    <n v="2.0340935268371343E-2"/>
    <n v="540"/>
    <n v="566"/>
    <n v="570"/>
    <s v="Dryied"/>
    <s v="Scaled"/>
    <m/>
    <s v="BIN"/>
    <m/>
    <m/>
    <m/>
    <m/>
    <m/>
    <m/>
  </r>
  <r>
    <n v="25"/>
    <s v="26/04/2026"/>
    <m/>
    <s v="ANAGROCI-01"/>
    <x v="3"/>
    <n v="173"/>
    <n v="32358"/>
    <m/>
    <m/>
    <s v="OK"/>
    <s v="Supplier"/>
    <m/>
    <m/>
    <m/>
    <m/>
    <m/>
    <s v="ANA-02-DRY"/>
    <s v="ANA-02-DRY"/>
    <n v="45557"/>
    <n v="44448"/>
    <n v="1109"/>
    <n v="13.6"/>
    <n v="172"/>
    <n v="44.2"/>
    <n v="9.8000000000000007"/>
    <n v="169"/>
    <n v="44.53"/>
    <m/>
    <m/>
    <m/>
    <m/>
    <m/>
    <m/>
    <m/>
    <n v="3.7999999999999992E-2"/>
    <n v="1109"/>
    <n v="2.434313058366442E-2"/>
    <n v="533"/>
    <n v="533"/>
    <n v="594"/>
    <s v="Dryied"/>
    <s v="Scaled"/>
    <m/>
    <s v="BIN"/>
    <m/>
    <m/>
    <m/>
    <m/>
    <m/>
    <m/>
  </r>
  <r>
    <n v="26"/>
    <s v="26/04/2026"/>
    <m/>
    <s v="ANAGROCI-01"/>
    <x v="6"/>
    <n v="172"/>
    <n v="87093"/>
    <m/>
    <m/>
    <s v="OK"/>
    <s v="Supplier"/>
    <m/>
    <m/>
    <m/>
    <m/>
    <m/>
    <s v="ANA-01-DRY"/>
    <s v="ANA-01-DRY"/>
    <n v="39634"/>
    <n v="38919"/>
    <n v="715"/>
    <n v="11.1"/>
    <n v="183"/>
    <n v="41.97"/>
    <n v="10.5"/>
    <n v="176"/>
    <n v="42.68"/>
    <m/>
    <m/>
    <m/>
    <m/>
    <m/>
    <m/>
    <m/>
    <n v="5.9999999999999967E-3"/>
    <n v="715"/>
    <n v="1.8040066609476713E-2"/>
    <n v="496"/>
    <n v="496"/>
    <n v="528"/>
    <s v="Dryied"/>
    <s v="Scaled"/>
    <m/>
    <s v="Issued to Production"/>
    <m/>
    <m/>
    <m/>
    <m/>
    <s v="Issued to Production"/>
    <m/>
  </r>
  <r>
    <n v="27"/>
    <s v="27/04/2026"/>
    <m/>
    <s v="ANAGROCI-01"/>
    <x v="3"/>
    <n v="139"/>
    <n v="68652"/>
    <m/>
    <m/>
    <s v="OK"/>
    <s v="BOUAKE"/>
    <m/>
    <m/>
    <m/>
    <m/>
    <m/>
    <s v="ANA-02-DRY"/>
    <s v="ANA-02-DRY"/>
    <n v="50724"/>
    <n v="49357"/>
    <n v="1367"/>
    <n v="10.8"/>
    <n v="174"/>
    <n v="42.06"/>
    <n v="8.4"/>
    <n v="180"/>
    <n v="43.73"/>
    <m/>
    <m/>
    <m/>
    <m/>
    <m/>
    <m/>
    <m/>
    <n v="2.4000000000000004E-2"/>
    <n v="1367"/>
    <n v="2.694976736850406E-2"/>
    <n v="656"/>
    <n v="673"/>
    <n v="660"/>
    <s v="Dryied"/>
    <s v="Scaled"/>
    <m/>
    <s v="BIN"/>
    <m/>
    <m/>
    <m/>
    <m/>
    <m/>
    <m/>
  </r>
  <r>
    <n v="28"/>
    <s v="28/04/2026"/>
    <m/>
    <s v="ANAGROCI-01"/>
    <x v="6"/>
    <n v="184"/>
    <n v="35051"/>
    <m/>
    <m/>
    <s v="OK"/>
    <s v="Supplier"/>
    <m/>
    <m/>
    <m/>
    <m/>
    <m/>
    <s v="ANA-01-DRY"/>
    <s v="ANA-01-DRY"/>
    <n v="48174"/>
    <n v="47959"/>
    <n v="215"/>
    <n v="11.2"/>
    <n v="189"/>
    <n v="42.32"/>
    <n v="9.6999999999999993"/>
    <n v="199"/>
    <n v="42.32"/>
    <m/>
    <m/>
    <m/>
    <m/>
    <m/>
    <m/>
    <m/>
    <n v="1.4999999999999999E-2"/>
    <n v="215"/>
    <n v="4.4629883339560757E-3"/>
    <n v="566"/>
    <n v="567"/>
    <n v="643"/>
    <s v="Dryied"/>
    <s v="Scaled"/>
    <m/>
    <s v="Empilage in Production Area"/>
    <m/>
    <m/>
    <m/>
    <m/>
    <s v="Issued to Production"/>
    <m/>
  </r>
  <r>
    <n v="29"/>
    <s v="30/04/2026"/>
    <m/>
    <s v="ANAGROCI-01"/>
    <x v="6"/>
    <n v="193"/>
    <n v="773"/>
    <m/>
    <m/>
    <s v="OK"/>
    <s v="Supplier"/>
    <m/>
    <m/>
    <m/>
    <m/>
    <m/>
    <s v="ANA-01-DRY"/>
    <s v="ANA-01-DRY"/>
    <n v="43149"/>
    <n v="42344"/>
    <n v="805"/>
    <n v="11.8"/>
    <n v="185"/>
    <n v="43.03"/>
    <n v="9.6"/>
    <n v="183"/>
    <n v="43.32"/>
    <n v="0"/>
    <n v="49"/>
    <n v="227"/>
    <n v="10"/>
    <n v="16"/>
    <n v="675"/>
    <n v="17"/>
    <n v="2.2000000000000009E-2"/>
    <n v="805"/>
    <n v="1.8656284039027554E-2"/>
    <n v="531"/>
    <n v="540"/>
    <n v="572"/>
    <s v="Dryied"/>
    <s v="Scaled"/>
    <m/>
    <s v="Empilage in Production Area"/>
    <m/>
    <m/>
    <m/>
    <m/>
    <s v="Issued to Production"/>
    <m/>
  </r>
  <r>
    <n v="30"/>
    <s v="30/04/2026"/>
    <m/>
    <s v="ANAGROCI-01"/>
    <x v="6"/>
    <n v="197"/>
    <n v="14643"/>
    <m/>
    <m/>
    <s v="Direct offload for dry "/>
    <s v="Supplier"/>
    <m/>
    <m/>
    <m/>
    <m/>
    <m/>
    <s v="ANA-01-DRY"/>
    <s v="ANA-01-DRY"/>
    <n v="40027"/>
    <n v="38952"/>
    <n v="1075"/>
    <n v="11.8"/>
    <n v="160"/>
    <n v="43.12"/>
    <n v="10.4"/>
    <n v="164"/>
    <n v="43.21"/>
    <n v="4"/>
    <n v="20"/>
    <n v="230"/>
    <n v="12"/>
    <n v="18"/>
    <n v="675"/>
    <n v="36"/>
    <n v="1.4000000000000004E-2"/>
    <n v="1075"/>
    <n v="2.6856871611662128E-2"/>
    <n v="453"/>
    <n v="465"/>
    <n v="536"/>
    <s v="Dryied"/>
    <s v="Scaled"/>
    <m/>
    <s v="Empilage in Production Area"/>
    <m/>
    <m/>
    <m/>
    <m/>
    <s v="Issued to Production"/>
    <m/>
  </r>
  <r>
    <n v="31"/>
    <d v="2026-03-05T00:00:00"/>
    <m/>
    <s v="ANAGROCI-01"/>
    <x v="6"/>
    <n v="178"/>
    <n v="82154"/>
    <m/>
    <m/>
    <s v="OK"/>
    <s v="BOUAKE"/>
    <m/>
    <m/>
    <m/>
    <m/>
    <m/>
    <s v="ANA-01-DRY"/>
    <s v="ANA-01-DRY"/>
    <n v="46124"/>
    <n v="44445"/>
    <n v="1679"/>
    <n v="12.1"/>
    <n v="171"/>
    <n v="42.32"/>
    <n v="8.9"/>
    <n v="174"/>
    <n v="42.5"/>
    <m/>
    <m/>
    <m/>
    <m/>
    <m/>
    <m/>
    <m/>
    <n v="3.1999999999999994E-2"/>
    <n v="1679"/>
    <n v="3.6401873211343333E-2"/>
    <n v="576"/>
    <n v="530"/>
    <n v="584"/>
    <s v="Dryied"/>
    <s v="Scaled"/>
    <m/>
    <s v="Issued to Production"/>
    <m/>
    <d v="2026-08-05T00:00:00"/>
    <n v="10.1"/>
    <n v="8.9"/>
    <s v="Issued to Production"/>
    <m/>
  </r>
  <r>
    <n v="32"/>
    <d v="2026-03-05T00:00:00"/>
    <m/>
    <s v="ANAGROCI-01"/>
    <x v="3"/>
    <n v="160"/>
    <n v="82124"/>
    <m/>
    <m/>
    <s v="OK"/>
    <s v="BOUAKE"/>
    <m/>
    <m/>
    <m/>
    <m/>
    <m/>
    <s v="ANA-02-DRY"/>
    <s v="ANA-02-DRY"/>
    <n v="53534"/>
    <n v="53038"/>
    <n v="496"/>
    <n v="15.4"/>
    <n v="158"/>
    <n v="43.56"/>
    <n v="10.5"/>
    <n v="170"/>
    <n v="44.26"/>
    <n v="0"/>
    <n v="27"/>
    <n v="244"/>
    <n v="10"/>
    <n v="4"/>
    <n v="674"/>
    <n v="37"/>
    <n v="4.9000000000000002E-2"/>
    <n v="496"/>
    <n v="9.265139911084545E-3"/>
    <n v="646"/>
    <n v="631"/>
    <n v="701"/>
    <s v="Dryied"/>
    <s v="Scaled"/>
    <m/>
    <s v="BIN"/>
    <m/>
    <m/>
    <m/>
    <m/>
    <m/>
    <m/>
  </r>
  <r>
    <n v="33"/>
    <d v="2026-04-05T00:00:00"/>
    <m/>
    <s v="ANAGROCI-01"/>
    <x v="3"/>
    <n v="177"/>
    <n v="82914"/>
    <m/>
    <m/>
    <s v="OK"/>
    <s v="BOUAKE"/>
    <m/>
    <m/>
    <m/>
    <m/>
    <m/>
    <s v="ANA-02-DRY"/>
    <s v="ANA-02-DRY"/>
    <n v="40473"/>
    <n v="38051"/>
    <n v="2422"/>
    <n v="13.9"/>
    <n v="166"/>
    <n v="42.41"/>
    <n v="10.6"/>
    <n v="176"/>
    <n v="44.35"/>
    <m/>
    <m/>
    <m/>
    <m/>
    <m/>
    <m/>
    <m/>
    <n v="3.3000000000000008E-2"/>
    <n v="2422"/>
    <n v="5.9842364045165915E-2"/>
    <n v="507"/>
    <n v="521"/>
    <n v="491"/>
    <s v="Dryied"/>
    <s v="Scaled"/>
    <m/>
    <s v="BIN"/>
    <m/>
    <d v="2026-10-05T00:00:00"/>
    <n v="10.6"/>
    <n v="9"/>
    <s v="Need re drying -Calibrator rejected to accept the caro due to high moisture"/>
    <m/>
  </r>
  <r>
    <n v="34"/>
    <d v="2026-04-05T00:00:00"/>
    <m/>
    <s v="ANAGROCI-01"/>
    <x v="6"/>
    <n v="179"/>
    <n v="66919"/>
    <m/>
    <m/>
    <s v="OK"/>
    <s v="BOUAKE"/>
    <m/>
    <m/>
    <m/>
    <m/>
    <m/>
    <s v="ANA-01-DRY"/>
    <s v="ANA-01-DRY"/>
    <n v="41903"/>
    <n v="40966"/>
    <n v="937"/>
    <n v="10.5"/>
    <n v="184"/>
    <n v="42.41"/>
    <n v="8.5"/>
    <n v="188"/>
    <n v="43.03"/>
    <n v="2"/>
    <n v="22"/>
    <n v="234"/>
    <n v="12"/>
    <n v="10"/>
    <n v="681"/>
    <n v="34"/>
    <n v="0.02"/>
    <n v="937"/>
    <n v="2.236116745817722E-2"/>
    <n v="577"/>
    <n v="599"/>
    <n v="547"/>
    <s v="Dryied"/>
    <s v="Scaled"/>
    <m/>
    <s v="Empilage in Production Area"/>
    <m/>
    <m/>
    <m/>
    <m/>
    <s v="Issued to Production"/>
    <m/>
  </r>
  <r>
    <n v="35"/>
    <d v="2026-05-05T00:00:00"/>
    <m/>
    <m/>
    <x v="3"/>
    <n v="222"/>
    <n v="36093"/>
    <m/>
    <m/>
    <s v="OK"/>
    <s v="Supplier"/>
    <m/>
    <m/>
    <m/>
    <m/>
    <m/>
    <s v="ANA-02-DRY"/>
    <s v="ANA-02-DRY"/>
    <n v="49861"/>
    <n v="47682"/>
    <n v="2179"/>
    <n v="14.7"/>
    <n v="173"/>
    <n v="43.65"/>
    <n v="9.6"/>
    <n v="167"/>
    <n v="44.44"/>
    <m/>
    <m/>
    <m/>
    <m/>
    <m/>
    <m/>
    <m/>
    <n v="5.0999999999999997E-2"/>
    <n v="2179"/>
    <n v="4.3701490142596416E-2"/>
    <n v="579"/>
    <n v="597"/>
    <n v="611"/>
    <s v="Dryied"/>
    <s v="Scaled"/>
    <m/>
    <s v="BIN"/>
    <m/>
    <m/>
    <m/>
    <m/>
    <m/>
    <m/>
  </r>
  <r>
    <n v="36"/>
    <d v="2026-12-05T00:00:00"/>
    <m/>
    <m/>
    <x v="8"/>
    <s v="BIN-03B"/>
    <n v="82484"/>
    <m/>
    <m/>
    <s v="OK"/>
    <s v="BIN-03B"/>
    <m/>
    <m/>
    <m/>
    <m/>
    <m/>
    <s v="BIN-03B-DRY"/>
    <s v="ANA-01-DRY"/>
    <n v="47320"/>
    <n v="46136"/>
    <n v="1184"/>
    <n v="11"/>
    <m/>
    <m/>
    <n v="9"/>
    <n v="168"/>
    <n v="42.76"/>
    <m/>
    <m/>
    <m/>
    <m/>
    <m/>
    <m/>
    <m/>
    <n v="0.02"/>
    <n v="1184"/>
    <n v="2.5021132713440405E-2"/>
    <m/>
    <n v="597"/>
    <n v="605"/>
    <s v="Dryied"/>
    <s v="Scaled"/>
    <m/>
    <s v="Issued to Production"/>
    <m/>
    <m/>
    <m/>
    <m/>
    <s v="Issued to Production"/>
    <m/>
  </r>
  <r>
    <n v="37"/>
    <s v="13/05/2026"/>
    <m/>
    <m/>
    <x v="8"/>
    <s v="BIN-03B"/>
    <n v="64970"/>
    <m/>
    <m/>
    <s v="OK"/>
    <s v="BIN-03B"/>
    <m/>
    <m/>
    <m/>
    <m/>
    <m/>
    <s v="BIN-03B-DRY"/>
    <s v="ANA-01-DRY"/>
    <n v="44896"/>
    <n v="43873"/>
    <n v="1023"/>
    <n v="11"/>
    <m/>
    <m/>
    <n v="9"/>
    <n v="168"/>
    <n v="42.76"/>
    <m/>
    <m/>
    <m/>
    <m/>
    <m/>
    <m/>
    <m/>
    <n v="0.02"/>
    <n v="1023"/>
    <n v="2.2785994297933002E-2"/>
    <m/>
    <n v="572"/>
    <n v="575"/>
    <s v="Dryied"/>
    <s v="Scaled"/>
    <m/>
    <s v="Issued to Production"/>
    <m/>
    <m/>
    <m/>
    <m/>
    <s v="Issued to Production"/>
    <m/>
  </r>
  <r>
    <n v="38"/>
    <s v="15/05/2026"/>
    <m/>
    <m/>
    <x v="8"/>
    <s v="BIN-03B"/>
    <n v="77650"/>
    <m/>
    <m/>
    <s v="OK"/>
    <s v="BIN-03B"/>
    <m/>
    <m/>
    <m/>
    <m/>
    <m/>
    <s v="BIN-03B-DRY"/>
    <s v="ANA-01-DRY"/>
    <n v="50300"/>
    <n v="48908"/>
    <n v="1392"/>
    <n v="12"/>
    <m/>
    <m/>
    <n v="8.5"/>
    <n v="172"/>
    <n v="42.15"/>
    <m/>
    <m/>
    <m/>
    <m/>
    <m/>
    <m/>
    <m/>
    <n v="3.5000000000000003E-2"/>
    <n v="1392"/>
    <n v="2.7673956262425449E-2"/>
    <m/>
    <n v="660"/>
    <n v="638"/>
    <s v="Dryied"/>
    <s v="Scaled"/>
    <m/>
    <s v="Issued to Production"/>
    <m/>
    <m/>
    <m/>
    <m/>
    <s v="Issued to Production"/>
    <m/>
  </r>
  <r>
    <n v="39"/>
    <s v="18/05/2026"/>
    <m/>
    <m/>
    <x v="6"/>
    <n v="243"/>
    <n v="31510"/>
    <m/>
    <m/>
    <s v="OK"/>
    <s v="Supplier"/>
    <m/>
    <m/>
    <m/>
    <m/>
    <m/>
    <s v="ANA-01-DRY"/>
    <s v="ANA-01-DRY"/>
    <n v="42814"/>
    <n v="42581"/>
    <n v="233"/>
    <n v="9.8000000000000007"/>
    <n v="168"/>
    <n v="43.12"/>
    <n v="8.5"/>
    <n v="173"/>
    <n v="43.47"/>
    <m/>
    <m/>
    <m/>
    <m/>
    <m/>
    <m/>
    <m/>
    <n v="1.3000000000000006E-2"/>
    <n v="233"/>
    <n v="5.4421450927266786E-3"/>
    <m/>
    <n v="544"/>
    <n v="566"/>
    <s v="Dryied"/>
    <s v="Scaled"/>
    <m/>
    <s v="Issued to Production"/>
    <m/>
    <m/>
    <m/>
    <m/>
    <s v="Issued to Production"/>
    <m/>
  </r>
  <r>
    <n v="40"/>
    <s v="19/05/2026"/>
    <m/>
    <m/>
    <x v="8"/>
    <s v="BIN-03B"/>
    <s v="82488/82155"/>
    <m/>
    <m/>
    <s v="OK"/>
    <s v="BIN-03B"/>
    <m/>
    <m/>
    <m/>
    <m/>
    <m/>
    <s v="BIN-03B-DRY"/>
    <s v="ANA-01-DRY"/>
    <n v="101749"/>
    <n v="99494"/>
    <n v="2255"/>
    <n v="11.1"/>
    <m/>
    <m/>
    <n v="8.5"/>
    <n v="172"/>
    <n v="42.06"/>
    <m/>
    <m/>
    <m/>
    <m/>
    <m/>
    <m/>
    <m/>
    <n v="2.5999999999999995E-2"/>
    <n v="2255"/>
    <n v="2.216237997425036E-2"/>
    <m/>
    <n v="1322"/>
    <n v="1323"/>
    <s v="Dryied"/>
    <s v="Scaled"/>
    <m/>
    <s v="Issued to Production"/>
    <m/>
    <m/>
    <m/>
    <m/>
    <s v="Issued to Production"/>
    <m/>
  </r>
  <r>
    <n v="41"/>
    <s v="21/05/2026"/>
    <m/>
    <m/>
    <x v="9"/>
    <n v="244"/>
    <n v="31512"/>
    <m/>
    <m/>
    <s v="OK"/>
    <s v="Supplier"/>
    <m/>
    <m/>
    <m/>
    <m/>
    <m/>
    <s v="ANA-04-DRY"/>
    <s v="ANA-04-DRY"/>
    <n v="39199"/>
    <n v="38911"/>
    <n v="288"/>
    <n v="10.5"/>
    <n v="179"/>
    <n v="42.24"/>
    <n v="8.6999999999999993"/>
    <n v="185"/>
    <n v="42.24"/>
    <m/>
    <m/>
    <m/>
    <m/>
    <m/>
    <m/>
    <m/>
    <n v="1.8000000000000006E-2"/>
    <n v="288"/>
    <n v="7.347126202199036E-3"/>
    <n v="551"/>
    <n v="560"/>
    <n v="506"/>
    <s v="Dryied"/>
    <s v="Scaled"/>
    <m/>
    <s v="BIN"/>
    <m/>
    <m/>
    <m/>
    <m/>
    <m/>
    <m/>
  </r>
  <r>
    <n v="42"/>
    <s v="21/05/2026"/>
    <m/>
    <m/>
    <x v="9"/>
    <n v="245"/>
    <n v="31511"/>
    <m/>
    <m/>
    <s v="OK"/>
    <s v="Supplier"/>
    <m/>
    <m/>
    <m/>
    <m/>
    <m/>
    <s v="ANA-04-DRY"/>
    <s v="ANA-04-DRY"/>
    <n v="37453"/>
    <n v="37221"/>
    <n v="232"/>
    <n v="11"/>
    <n v="166"/>
    <n v="41.53"/>
    <n v="8.4"/>
    <n v="170"/>
    <n v="42.41"/>
    <m/>
    <m/>
    <m/>
    <m/>
    <m/>
    <m/>
    <m/>
    <n v="2.5999999999999995E-2"/>
    <n v="232"/>
    <n v="6.1944303527087284E-3"/>
    <n v="467"/>
    <n v="471"/>
    <n v="504"/>
    <s v="Dryied"/>
    <s v="Scaled"/>
    <m/>
    <s v="BIN"/>
    <m/>
    <m/>
    <m/>
    <m/>
    <m/>
    <m/>
  </r>
  <r>
    <n v="43"/>
    <s v="22/05/2026"/>
    <m/>
    <m/>
    <x v="9"/>
    <n v="246"/>
    <n v="35056"/>
    <m/>
    <m/>
    <s v="OK"/>
    <s v="Supplier"/>
    <m/>
    <m/>
    <m/>
    <m/>
    <m/>
    <s v="ANA-04-DRY"/>
    <s v="ANA-04-DRY"/>
    <n v="45324"/>
    <n v="45064"/>
    <n v="260"/>
    <n v="10.8"/>
    <n v="180"/>
    <n v="42.15"/>
    <n v="8.6999999999999993"/>
    <n v="187"/>
    <n v="42.41"/>
    <m/>
    <m/>
    <m/>
    <m/>
    <m/>
    <m/>
    <m/>
    <n v="2.1000000000000015E-2"/>
    <n v="260"/>
    <n v="5.7364751566498983E-3"/>
    <n v="476"/>
    <n v="521"/>
    <n v="584"/>
    <s v="Dryied"/>
    <s v="Scaled"/>
    <m/>
    <s v="BIN"/>
    <m/>
    <m/>
    <m/>
    <m/>
    <m/>
    <m/>
  </r>
  <r>
    <n v="44"/>
    <s v="22/05/2026"/>
    <m/>
    <m/>
    <x v="8"/>
    <s v="BIN-03B"/>
    <n v="51237"/>
    <m/>
    <m/>
    <s v="OK"/>
    <s v="BIN-03B"/>
    <m/>
    <m/>
    <m/>
    <m/>
    <m/>
    <s v="BIN-03B-DRY"/>
    <s v="ANA-01-DRY"/>
    <n v="40623"/>
    <n v="39919"/>
    <n v="704"/>
    <n v="10.8"/>
    <n v="178"/>
    <n v="42.24"/>
    <n v="8.8000000000000007"/>
    <n v="172"/>
    <n v="42.76"/>
    <n v="0"/>
    <n v="40"/>
    <n v="230"/>
    <n v="11"/>
    <n v="14"/>
    <n v="687"/>
    <n v="13"/>
    <n v="0.02"/>
    <n v="704"/>
    <n v="1.7330083942594096E-2"/>
    <m/>
    <n v="540"/>
    <n v="535"/>
    <s v="Dryied"/>
    <s v="Scaled"/>
    <m/>
    <s v="Issued to Production"/>
    <m/>
    <m/>
    <m/>
    <m/>
    <s v="Issued to Production"/>
    <m/>
  </r>
  <r>
    <n v="45"/>
    <s v="25/05/2026"/>
    <m/>
    <m/>
    <x v="8"/>
    <s v="BIN-03B"/>
    <n v="82120"/>
    <m/>
    <m/>
    <s v="OK"/>
    <s v="BIN-03B"/>
    <m/>
    <m/>
    <m/>
    <m/>
    <m/>
    <s v="BIN-03B-DRY"/>
    <s v="ANA-01-DRY"/>
    <n v="75968.599999999991"/>
    <n v="74281"/>
    <n v="1687.5999999999913"/>
    <n v="10.5"/>
    <n v="174"/>
    <n v="42.24"/>
    <n v="8.8000000000000007"/>
    <n v="171"/>
    <n v="42.59"/>
    <n v="3"/>
    <n v="30"/>
    <n v="227"/>
    <n v="19"/>
    <n v="10"/>
    <n v="670"/>
    <n v="36"/>
    <n v="1.6999999999999994E-2"/>
    <n v="1687.5999999999913"/>
    <n v="2.2214441229665829E-2"/>
    <m/>
    <n v="1001"/>
    <n v="998"/>
    <s v="Dryied"/>
    <s v="Scaled"/>
    <m/>
    <s v="Issued to Production"/>
    <m/>
    <m/>
    <m/>
    <m/>
    <s v="Issued to Production on Pallet"/>
    <m/>
  </r>
  <r>
    <n v="46"/>
    <s v="26/05/2026"/>
    <m/>
    <m/>
    <x v="8"/>
    <s v="BIN-03B"/>
    <n v="82869"/>
    <m/>
    <m/>
    <s v="OK"/>
    <s v="BIN-03B"/>
    <m/>
    <m/>
    <m/>
    <m/>
    <m/>
    <s v="BIN-03B-DRY"/>
    <s v="ANA-01-DRY"/>
    <n v="31473"/>
    <n v="30903"/>
    <n v="570"/>
    <n v="10.1"/>
    <n v="174"/>
    <n v="42.15"/>
    <n v="8.6999999999999993"/>
    <n v="175"/>
    <n v="42.5"/>
    <n v="0"/>
    <n v="36"/>
    <n v="223"/>
    <n v="17"/>
    <n v="19"/>
    <n v="659"/>
    <n v="41"/>
    <n v="1.4000000000000004E-2"/>
    <n v="570"/>
    <n v="1.8110761605185398E-2"/>
    <m/>
    <n v="414"/>
    <n v="414"/>
    <s v="Dryied "/>
    <s v="Scaled"/>
    <m/>
    <s v="Issued to Production"/>
    <m/>
    <m/>
    <m/>
    <m/>
    <m/>
    <m/>
  </r>
  <r>
    <n v="47"/>
    <s v="27/05/2026"/>
    <m/>
    <m/>
    <x v="8"/>
    <s v="BIN-03B"/>
    <n v="82153"/>
    <m/>
    <m/>
    <s v="OK"/>
    <s v="BIN-03B"/>
    <m/>
    <m/>
    <m/>
    <m/>
    <m/>
    <s v="BIN-03B-DRY"/>
    <s v="ANA-01-DRY"/>
    <n v="48870"/>
    <n v="47982"/>
    <n v="888"/>
    <n v="10.5"/>
    <n v="177"/>
    <n v="42.24"/>
    <n v="8.8000000000000007"/>
    <n v="174"/>
    <n v="42.41"/>
    <n v="0"/>
    <n v="37"/>
    <n v="226"/>
    <n v="14"/>
    <n v="15"/>
    <n v="671"/>
    <n v="32"/>
    <n v="1.6999999999999994E-2"/>
    <n v="888"/>
    <n v="1.8170656844689995E-2"/>
    <m/>
    <n v="638"/>
    <n v="645"/>
    <s v="Dryied "/>
    <s v="Scaled"/>
    <m/>
    <s v="Issued to Production"/>
    <m/>
    <m/>
    <m/>
    <m/>
    <s v="Issued to Production on Pallet"/>
    <m/>
  </r>
  <r>
    <n v="48"/>
    <s v="28/05/2026"/>
    <m/>
    <m/>
    <x v="6"/>
    <n v="87036"/>
    <n v="87036"/>
    <m/>
    <m/>
    <s v="OK"/>
    <s v="Supplier"/>
    <m/>
    <m/>
    <m/>
    <m/>
    <m/>
    <s v="ANA-01-DRY"/>
    <s v="BIN-CALIBRATION-01"/>
    <n v="55150"/>
    <n v="54663"/>
    <n v="487"/>
    <n v="10.4"/>
    <n v="175"/>
    <n v="41.88"/>
    <n v="8.9"/>
    <n v="183"/>
    <n v="41.09"/>
    <n v="0"/>
    <n v="49"/>
    <n v="220"/>
    <n v="12"/>
    <n v="14"/>
    <n v="682"/>
    <n v="17"/>
    <n v="1.4999999999999999E-2"/>
    <n v="487"/>
    <n v="8.830462375339982E-3"/>
    <m/>
    <n v="734"/>
    <n v="751"/>
    <s v="Dried"/>
    <s v="Scaled"/>
    <m/>
    <s v="BIN IN CALIBRATION AREA"/>
    <m/>
    <m/>
    <m/>
    <m/>
    <s v="BIN IN CALIBRATION AREA"/>
    <s v="Issued to calibration dated 02/06/2026. Returned by Calibration 03/06/2026."/>
  </r>
  <r>
    <n v="49"/>
    <s v="29/05/2026"/>
    <m/>
    <m/>
    <x v="8"/>
    <s v="BIN-03B"/>
    <s v="BIN-03B"/>
    <m/>
    <m/>
    <s v="OK"/>
    <s v="BIN-03B"/>
    <m/>
    <m/>
    <m/>
    <m/>
    <m/>
    <s v="BIN-03B-DRY"/>
    <s v="BIN-CALIBRATION-01"/>
    <n v="67671"/>
    <n v="65708"/>
    <n v="1963"/>
    <n v="10.199999999999999"/>
    <n v="174"/>
    <n v="42.65"/>
    <n v="8.6"/>
    <n v="170"/>
    <n v="43.03"/>
    <n v="2"/>
    <n v="28"/>
    <n v="230"/>
    <n v="18"/>
    <n v="10"/>
    <n v="678"/>
    <n v="26"/>
    <n v="1.5999999999999997E-2"/>
    <n v="1963"/>
    <n v="2.9007994561924606E-2"/>
    <m/>
    <n v="893"/>
    <n v="912"/>
    <s v="Dried"/>
    <s v="Scaled"/>
    <m/>
    <s v="BIN IN CALIBRATION AREA"/>
    <m/>
    <m/>
    <m/>
    <m/>
    <m/>
    <m/>
  </r>
  <r>
    <n v="50"/>
    <s v="30/05/2026"/>
    <m/>
    <m/>
    <x v="8"/>
    <s v="BIN-03B"/>
    <s v="BIN-03B"/>
    <m/>
    <m/>
    <s v="OK"/>
    <s v="BIN-03B"/>
    <m/>
    <m/>
    <m/>
    <m/>
    <m/>
    <s v="BIN-03B-DRY"/>
    <s v="ANA-01-DRY"/>
    <n v="67603"/>
    <n v="66342"/>
    <n v="1261"/>
    <n v="10.7"/>
    <n v="175"/>
    <n v="42.06"/>
    <n v="8.3000000000000007"/>
    <n v="177"/>
    <n v="41.53"/>
    <n v="2"/>
    <n v="40"/>
    <n v="217"/>
    <n v="17"/>
    <n v="20"/>
    <n v="665"/>
    <n v="35"/>
    <n v="2.3999999999999987E-2"/>
    <n v="1261"/>
    <n v="1.8653018357173499E-2"/>
    <m/>
    <n v="898"/>
    <n v="890"/>
    <s v="Dried"/>
    <s v="Scaled"/>
    <m/>
    <s v="Issued to Production"/>
    <m/>
    <m/>
    <m/>
    <m/>
    <m/>
    <m/>
  </r>
  <r>
    <n v="51"/>
    <d v="2026-01-06T00:00:00"/>
    <m/>
    <m/>
    <x v="8"/>
    <s v="BIN-03B"/>
    <s v="BIN-03B"/>
    <m/>
    <m/>
    <s v="OK"/>
    <s v="BIN-03B"/>
    <m/>
    <m/>
    <m/>
    <m/>
    <m/>
    <s v="BIN-03B-DRY"/>
    <s v="BIN-CALIBRATION-01"/>
    <n v="50516"/>
    <n v="48672"/>
    <n v="1844"/>
    <n v="11.2"/>
    <n v="170"/>
    <n v="41.27"/>
    <n v="8.6999999999999993"/>
    <n v="170"/>
    <n v="41.27"/>
    <n v="0"/>
    <n v="48"/>
    <n v="222"/>
    <n v="10"/>
    <n v="14"/>
    <n v="678"/>
    <n v="23"/>
    <n v="2.5000000000000001E-2"/>
    <n v="1844"/>
    <n v="3.6503286087576213E-2"/>
    <m/>
    <n v="660"/>
    <n v="740"/>
    <s v="Dried"/>
    <s v="Scaled"/>
    <m/>
    <s v="BIN IN CALIBRATION AREA"/>
    <m/>
    <m/>
    <m/>
    <m/>
    <s v="BIN IN CALIBRATION AREA"/>
    <m/>
  </r>
  <r>
    <n v="52"/>
    <d v="2026-02-06T00:00:00"/>
    <m/>
    <m/>
    <x v="10"/>
    <s v="BIN-015"/>
    <n v="87130"/>
    <m/>
    <m/>
    <s v="Direct offload for dry "/>
    <s v="Supplier"/>
    <m/>
    <m/>
    <m/>
    <m/>
    <m/>
    <s v="BIN-015-DRY"/>
    <s v="BIN-CALIBRATION-01"/>
    <n v="55466"/>
    <n v="54719"/>
    <n v="747"/>
    <n v="10.4"/>
    <n v="164"/>
    <n v="41.88"/>
    <n v="8.9"/>
    <n v="174"/>
    <n v="41.97"/>
    <n v="0"/>
    <n v="39"/>
    <n v="219"/>
    <n v="21"/>
    <n v="17"/>
    <n v="688"/>
    <n v="15"/>
    <n v="1.4999999999999999E-2"/>
    <n v="747"/>
    <n v="1.3467709948436881E-2"/>
    <m/>
    <n v="740"/>
    <n v="740"/>
    <s v="Dried"/>
    <s v="Scaled"/>
    <m/>
    <s v="BIN IN CALIBRATION AREA"/>
    <m/>
    <m/>
    <m/>
    <m/>
    <s v="BIN IN CALIBRATION AREA"/>
    <m/>
  </r>
  <r>
    <n v="53"/>
    <d v="2026-03-06T00:00:00"/>
    <m/>
    <m/>
    <x v="8"/>
    <s v="BIN-03B"/>
    <s v="BIN-03B"/>
    <m/>
    <m/>
    <s v="OK"/>
    <s v="BIN-03B"/>
    <m/>
    <m/>
    <m/>
    <m/>
    <m/>
    <s v="BIN-03B-DRY"/>
    <s v="BIN-CALIBRATION-01"/>
    <n v="55750"/>
    <n v="54790"/>
    <n v="960"/>
    <n v="10.199999999999999"/>
    <n v="175"/>
    <n v="40.65"/>
    <n v="8.8000000000000007"/>
    <n v="180"/>
    <n v="40.82"/>
    <n v="0"/>
    <n v="42"/>
    <n v="214"/>
    <n v="19"/>
    <n v="16"/>
    <n v="686"/>
    <n v="18"/>
    <n v="1.3999999999999986E-2"/>
    <n v="960"/>
    <n v="1.7219730941704037E-2"/>
    <m/>
    <n v="750"/>
    <n v="749"/>
    <s v="Dried"/>
    <s v="Scaled"/>
    <m/>
    <s v="BIN IN CALIBRATION AREA"/>
    <m/>
    <m/>
    <m/>
    <m/>
    <m/>
    <m/>
  </r>
  <r>
    <n v="54"/>
    <d v="2026-05-06T00:00:00"/>
    <m/>
    <m/>
    <x v="11"/>
    <s v="BIN-005"/>
    <s v="BIN-005"/>
    <m/>
    <m/>
    <m/>
    <s v="BIN-005"/>
    <m/>
    <m/>
    <m/>
    <m/>
    <m/>
    <s v="BIN-05A-DRY"/>
    <s v="BIN-CALIBRATION-01"/>
    <n v="59232"/>
    <n v="58346"/>
    <n v="886"/>
    <n v="9.8000000000000007"/>
    <n v="180"/>
    <n v="42.24"/>
    <n v="8.5"/>
    <n v="187"/>
    <n v="42.76"/>
    <n v="2"/>
    <n v="36"/>
    <n v="226"/>
    <n v="14"/>
    <n v="19"/>
    <n v="677"/>
    <n v="20"/>
    <n v="1.3000000000000006E-2"/>
    <n v="886"/>
    <n v="1.4958130740140465E-2"/>
    <m/>
    <n v="780"/>
    <n v="785"/>
    <s v="Dried"/>
    <s v="Scaled"/>
    <m/>
    <s v="BIN-IN -WH "/>
    <m/>
    <m/>
    <m/>
    <m/>
    <m/>
    <m/>
  </r>
  <r>
    <n v="55"/>
    <d v="2026-06-06T00:00:00"/>
    <m/>
    <m/>
    <x v="11"/>
    <s v="BIN-005"/>
    <s v="BIN-005"/>
    <m/>
    <m/>
    <m/>
    <s v="BIN-005"/>
    <m/>
    <m/>
    <m/>
    <m/>
    <m/>
    <s v="BIN-05A-DRY"/>
    <s v="BIN-CALIBRATION-01"/>
    <n v="49512"/>
    <n v="48877"/>
    <n v="635"/>
    <n v="9.8000000000000007"/>
    <n v="181"/>
    <n v="43.47"/>
    <n v="7.9"/>
    <n v="177"/>
    <n v="43.73"/>
    <n v="0"/>
    <n v="34"/>
    <n v="233"/>
    <n v="13"/>
    <n v="17"/>
    <n v="689"/>
    <n v="9"/>
    <n v="1.9000000000000003E-2"/>
    <n v="635"/>
    <n v="1.2825173695265793E-2"/>
    <m/>
    <n v="660"/>
    <n v="656"/>
    <s v="Dried"/>
    <s v="Scaled"/>
    <m/>
    <s v="BIN IN WH"/>
    <m/>
    <m/>
    <m/>
    <m/>
    <m/>
    <m/>
  </r>
  <r>
    <n v="56"/>
    <d v="2026-07-06T00:00:00"/>
    <m/>
    <m/>
    <x v="11"/>
    <s v="BIN-005"/>
    <m/>
    <m/>
    <m/>
    <m/>
    <m/>
    <m/>
    <m/>
    <m/>
    <m/>
    <m/>
    <m/>
    <m/>
    <m/>
    <m/>
    <m/>
    <m/>
    <m/>
    <m/>
    <m/>
    <m/>
    <n v="0"/>
    <m/>
    <m/>
    <m/>
    <m/>
    <m/>
    <m/>
    <m/>
    <m/>
    <n v="0"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05CF8C-E48F-43F8-891E-EF1E123B7C15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C16" firstHeaderRow="1" firstDataRow="1" firstDataCol="1"/>
  <pivotFields count="50">
    <pivotField showAll="0"/>
    <pivotField showAll="0"/>
    <pivotField showAll="0"/>
    <pivotField showAll="0"/>
    <pivotField axis="axisRow" showAll="0">
      <items count="13">
        <item x="3"/>
        <item x="0"/>
        <item x="4"/>
        <item x="9"/>
        <item x="11"/>
        <item x="1"/>
        <item x="6"/>
        <item x="10"/>
        <item x="8"/>
        <item x="7"/>
        <item x="5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Issued Net Weight(Mt)" fld="18" baseField="0" baseItem="0" numFmtId="43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AD1572-6BB7-4330-8B89-1A6003C508E3}" name="Table1" displayName="Table1" ref="A2:AT83" totalsRowShown="0" headerRowDxfId="53" dataDxfId="52" tableBorderDxfId="51">
  <autoFilter ref="A2:AT83" xr:uid="{C7AD1572-6BB7-4330-8B89-1A6003C508E3}"/>
  <tableColumns count="46">
    <tableColumn id="1" xr3:uid="{B24C3F73-4052-4BE8-99F4-7F836E974F9A}" name="S.No." dataDxfId="50"/>
    <tableColumn id="2" xr3:uid="{4D20A502-8EEC-49E1-9F54-A0A752CAF644}" name="DATE" dataDxfId="49"/>
    <tableColumn id="4" xr3:uid="{6A7B1E89-5A80-40AB-9A67-44E18D807D43}" name="Warehouse " dataDxfId="48"/>
    <tableColumn id="5" xr3:uid="{5A80E775-3AE4-464B-A268-610C0988BBF3}" name="BIN" dataDxfId="47"/>
    <tableColumn id="6" xr3:uid="{594276F1-36CD-4BFE-B152-0665EFC960A5}" name="Lot No" dataDxfId="46"/>
    <tableColumn id="7" xr3:uid="{7C5CCEBA-4EEF-4484-9200-55CAA362779F}" name="FICHE NO" dataDxfId="45"/>
    <tableColumn id="8" xr3:uid="{21F5D983-C246-4709-AD6B-19D8C9EE38BE}" name="STATUS" dataDxfId="44"/>
    <tableColumn id="9" xr3:uid="{82664360-A687-4A40-8FC4-908316E49595}" name="Dry Type" dataDxfId="43"/>
    <tableColumn id="10" xr3:uid="{B8871AE7-5397-4385-A78D-5F818EE4F96B}" name="Destintion" dataDxfId="42"/>
    <tableColumn id="11" xr3:uid="{45A0BAA3-5077-4BC1-A374-4ABB15B3EDF0}" name="Dry Bin No" dataDxfId="41"/>
    <tableColumn id="12" xr3:uid="{87D01649-D08B-4674-89DF-4EBA38A86F1B}" name="Issued for Drying GW RCN+BAGS+PALLETS" dataDxfId="40"/>
    <tableColumn id="13" xr3:uid="{011C4DD9-50FC-48CB-9157-53A95CF499B7}" name="Pallets WT" dataDxfId="39"/>
    <tableColumn id="14" xr3:uid="{26E2936F-9EA0-4E21-8F07-C082A8CB9761}" name="Issued Wt to Drying GW RCN+BAGS" dataDxfId="38"/>
    <tableColumn id="15" xr3:uid="{4B445472-296D-420C-A4AF-158778660A41}" name="Issued Bags for Drying" dataDxfId="37"/>
    <tableColumn id="16" xr3:uid="{1A8E81C4-DE8C-4A6D-BBC1-6CE8EACD8E82}" name="Issued Wt To Drying (Net Wt)" dataDxfId="36">
      <calculatedColumnFormula>M3-N3</calculatedColumnFormula>
    </tableColumn>
    <tableColumn id="17" xr3:uid="{0DA4042F-E859-4BC0-981B-81AAC816494F}" name="Received from Drying GW RCN+BAGS+PALLETS" dataDxfId="35"/>
    <tableColumn id="18" xr3:uid="{D6DD1F8C-69D2-4159-AEE2-5C8D946849DC}" name="Pallets Wt2"/>
    <tableColumn id="19" xr3:uid="{071657CC-2C89-479F-86EA-1246642FF847}" name="Received Wt from Drying GW RCN+BAGS" dataDxfId="34" dataCellStyle="Comma">
      <calculatedColumnFormula>P3-Q3</calculatedColumnFormula>
    </tableColumn>
    <tableColumn id="20" xr3:uid="{E185C0A7-2C03-4667-A6D4-D48AE018B795}" name="Received Bags from Drying" dataDxfId="33"/>
    <tableColumn id="21" xr3:uid="{E2DD26D2-F6A9-4FF8-B271-8EF60ADDE1D9}" name="Received Wt from Drying (Net Wt)" dataDxfId="32" dataCellStyle="Comma">
      <calculatedColumnFormula>R3-S3</calculatedColumnFormula>
    </tableColumn>
    <tableColumn id="22" xr3:uid="{A99687CF-93E1-4703-8A2A-CA3ACCF90F7D}" name="Input Moisture                " dataDxfId="31"/>
    <tableColumn id="23" xr3:uid="{50ADF243-FF37-40E6-A65A-070785215A02}" name="INPUT NUT COUNT" dataDxfId="30"/>
    <tableColumn id="24" xr3:uid="{C21F5867-C389-4C0E-8414-9795375D3370}" name="INPUT KOR" dataDxfId="29"/>
    <tableColumn id="25" xr3:uid="{F1153E32-745B-4054-8752-DC14491A5A33}" name="Output Moisture                " dataDxfId="28"/>
    <tableColumn id="26" xr3:uid="{5226EDC5-CF24-4E8C-AEB8-FA54A7157332}" name="OUTPUT NUT COUNT" dataDxfId="27"/>
    <tableColumn id="27" xr3:uid="{AD9B6E15-EF49-480F-B3FF-940DA40982C4}" name="OUTPUT KOR" dataDxfId="26"/>
    <tableColumn id="28" xr3:uid="{BF0BEE68-8EE7-4EF0-8625-798FBDD2A662}" name="Oil" dataDxfId="25"/>
    <tableColumn id="29" xr3:uid="{47605A1A-E559-4F0A-B1A2-D07B8CEA6E18}" name="Rejection" dataDxfId="24"/>
    <tableColumn id="30" xr3:uid="{E70FAF8F-E643-40D4-BEF0-F366C8F96C45}" name="GK" dataDxfId="23"/>
    <tableColumn id="31" xr3:uid="{A7512B50-F4F3-4AE0-9706-1095324BCA55}" name="Immature" dataDxfId="22"/>
    <tableColumn id="32" xr3:uid="{472AA90C-2AD0-4E6D-A23A-CFB78E2E72E2}" name="Spoted" dataDxfId="21"/>
    <tableColumn id="33" xr3:uid="{81D49854-A75C-498D-871F-1C4988BB3574}" name="Shell" dataDxfId="20"/>
    <tableColumn id="34" xr3:uid="{B6F5AF9A-4706-4F59-B2CB-18B044FA6118}" name="Void" dataDxfId="19"/>
    <tableColumn id="35" xr3:uid="{09B027A9-BABC-4167-9A82-41F59F3DF2C7}" name="MOIS Loss%" dataDxfId="18"/>
    <tableColumn id="36" xr3:uid="{0D672046-1452-4CAC-AA38-FD92249AF37B}" name="Drying Loss Kg's" dataDxfId="17"/>
    <tableColumn id="37" xr3:uid="{FE910A31-E23B-4E00-8D50-119EF5F7E28A}" name="Drying LOSS  %" dataDxfId="16">
      <calculatedColumnFormula>AI3/O3</calculatedColumnFormula>
    </tableColumn>
    <tableColumn id="38" xr3:uid="{19E1EF5B-2B0C-40FE-B69E-AAC1A410403F}" name="INPUT BAGS FOR DRYING" dataDxfId="15"/>
    <tableColumn id="39" xr3:uid="{E3D3934C-A07B-4862-91AD-F47D37D2C73E}" name="OUTPUT BAGS AFTER DRING" dataDxfId="14"/>
    <tableColumn id="40" xr3:uid="{0369DE79-6C23-487B-A521-6260F1FF69D6}" name="DRYING/ PICKING" dataDxfId="13"/>
    <tableColumn id="41" xr3:uid="{6ADD7B8C-D70E-4A4F-9A29-DA074B99E51B}" name="REMARKS" dataDxfId="12"/>
    <tableColumn id="42" xr3:uid="{F42D519B-FDF7-4E82-AE2F-ED16B1F52163}" name="Issued To Production" dataDxfId="11"/>
    <tableColumn id="44" xr3:uid="{18E02F14-F09F-4142-8F44-2322C003AC2F}" name="Re Drying Date" dataDxfId="10"/>
    <tableColumn id="45" xr3:uid="{1951FBE5-D1B2-4479-8690-ACF14BF865A7}" name="Moisture -1st Re- Dry" dataDxfId="9"/>
    <tableColumn id="46" xr3:uid="{4935D565-BEF5-46BC-9DE7-F0001AF2C1E1}" name="Moisture -2nd Dry" dataDxfId="8"/>
    <tableColumn id="47" xr3:uid="{810A4018-07A4-450D-8CEF-B719261B854D}" name="Issued to Production3" dataDxfId="7"/>
    <tableColumn id="48" xr3:uid="{37A6C1F9-4183-4394-8B01-919A3C91DD25}" name="Remarks4" dataDxfId="6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D19D1-A860-4301-A30B-9E9515387B23}">
  <sheetPr>
    <tabColor rgb="FFC00000"/>
  </sheetPr>
  <dimension ref="A1:AY89"/>
  <sheetViews>
    <sheetView tabSelected="1" topLeftCell="J1" zoomScale="97" zoomScaleNormal="100" workbookViewId="0">
      <pane ySplit="2" topLeftCell="A66" activePane="bottomLeft" state="frozen"/>
      <selection pane="bottomLeft" activeCell="P83" sqref="P83:T83"/>
    </sheetView>
  </sheetViews>
  <sheetFormatPr defaultColWidth="8.88671875" defaultRowHeight="12" x14ac:dyDescent="0.3"/>
  <cols>
    <col min="1" max="1" width="9" style="1" bestFit="1" customWidth="1"/>
    <col min="2" max="2" width="9.5546875" style="1" bestFit="1" customWidth="1"/>
    <col min="3" max="3" width="12.33203125" style="1" customWidth="1"/>
    <col min="4" max="4" width="15.5546875" style="1" bestFit="1" customWidth="1"/>
    <col min="5" max="6" width="12.33203125" style="1" customWidth="1"/>
    <col min="7" max="7" width="15.5546875" style="1" hidden="1" customWidth="1"/>
    <col min="8" max="8" width="9.88671875" style="1" customWidth="1"/>
    <col min="9" max="10" width="16.109375" style="1" customWidth="1"/>
    <col min="11" max="11" width="20.77734375" style="1" customWidth="1"/>
    <col min="12" max="12" width="11.21875" style="1" customWidth="1"/>
    <col min="13" max="13" width="18.88671875" style="1" customWidth="1"/>
    <col min="14" max="14" width="12" style="1" customWidth="1"/>
    <col min="15" max="15" width="12.88671875" style="1" customWidth="1"/>
    <col min="16" max="16" width="21" style="1" customWidth="1"/>
    <col min="17" max="17" width="11.5546875" style="1" customWidth="1"/>
    <col min="18" max="18" width="14.33203125" style="1" customWidth="1"/>
    <col min="19" max="19" width="14.88671875" style="1" customWidth="1"/>
    <col min="20" max="20" width="13.109375" style="1" customWidth="1"/>
    <col min="21" max="21" width="11.5546875" style="1" customWidth="1"/>
    <col min="22" max="22" width="11.109375" style="3" customWidth="1"/>
    <col min="23" max="23" width="8" style="1" customWidth="1"/>
    <col min="24" max="24" width="10.44140625" style="1" customWidth="1"/>
    <col min="25" max="25" width="11.33203125" style="1" customWidth="1"/>
    <col min="26" max="26" width="5.21875" style="1" customWidth="1"/>
    <col min="27" max="33" width="9.5546875" style="1" customWidth="1"/>
    <col min="34" max="34" width="8.6640625" style="1" customWidth="1"/>
    <col min="35" max="35" width="16.21875" style="1" customWidth="1"/>
    <col min="36" max="36" width="15.33203125" style="1" customWidth="1"/>
    <col min="37" max="37" width="20.21875" style="1" customWidth="1"/>
    <col min="38" max="38" width="22.21875" style="1" customWidth="1"/>
    <col min="39" max="39" width="15.109375" style="1" customWidth="1"/>
    <col min="40" max="40" width="9.21875" style="1" customWidth="1"/>
    <col min="41" max="41" width="20.44140625" style="1" bestFit="1" customWidth="1"/>
    <col min="42" max="42" width="9.77734375" style="1" customWidth="1"/>
    <col min="43" max="43" width="16.33203125" style="1" customWidth="1"/>
    <col min="44" max="44" width="16.88671875" style="1" customWidth="1"/>
    <col min="45" max="45" width="21.6640625" style="1" bestFit="1" customWidth="1"/>
    <col min="46" max="46" width="10.44140625" style="1" customWidth="1"/>
    <col min="47" max="47" width="6.77734375" style="1" bestFit="1" customWidth="1"/>
    <col min="48" max="48" width="23.88671875" style="1" bestFit="1" customWidth="1"/>
    <col min="49" max="49" width="39.33203125" style="1" bestFit="1" customWidth="1"/>
    <col min="50" max="50" width="21.44140625" style="1" bestFit="1" customWidth="1"/>
    <col min="51" max="51" width="33.44140625" style="1" bestFit="1" customWidth="1"/>
    <col min="52" max="16384" width="8.88671875" style="1"/>
  </cols>
  <sheetData>
    <row r="1" spans="1:51" ht="14.4" x14ac:dyDescent="0.3">
      <c r="I1" s="2"/>
      <c r="J1" s="2"/>
      <c r="K1" s="2"/>
      <c r="L1" s="2"/>
      <c r="M1" s="189">
        <f>SUBTOTAL(9,Table1[[#All],[Issued Wt to Drying GW RCN+BAGS]])</f>
        <v>4096678.4000000008</v>
      </c>
      <c r="N1" s="192"/>
      <c r="O1" s="186">
        <f>SUMIF(T2:T83,"&gt;0",O2:O83)</f>
        <v>4044378.4000000008</v>
      </c>
      <c r="P1" s="190" t="s">
        <v>188</v>
      </c>
      <c r="Q1" s="191">
        <f>SUMIF(Table1[[#All],[Received Wt from Drying (Net Wt)]],0,Table1[[#All],[Issued Wt To Drying (Net Wt)]])</f>
        <v>0</v>
      </c>
      <c r="R1" s="31"/>
      <c r="S1" s="141"/>
      <c r="T1" s="186">
        <f>SUBTOTAL(9,T3:T83)</f>
        <v>3939483.02</v>
      </c>
      <c r="U1" s="2"/>
      <c r="AH1" s="2"/>
      <c r="AI1" s="172">
        <f>SUBTOTAL(9,AI2:AI83)</f>
        <v>104895.37999999996</v>
      </c>
      <c r="AJ1" s="173"/>
      <c r="AK1" s="138"/>
      <c r="AL1" s="4">
        <f>SUM(AL2:AL65)</f>
        <v>41676</v>
      </c>
      <c r="AP1" s="4"/>
      <c r="AQ1" s="4"/>
      <c r="AR1" s="4"/>
    </row>
    <row r="2" spans="1:51" s="163" customFormat="1" ht="30.6" x14ac:dyDescent="0.2">
      <c r="A2" s="167" t="s">
        <v>0</v>
      </c>
      <c r="B2" s="150" t="s">
        <v>1</v>
      </c>
      <c r="C2" s="151" t="s">
        <v>2</v>
      </c>
      <c r="D2" s="152" t="s">
        <v>3</v>
      </c>
      <c r="E2" s="151" t="s">
        <v>4</v>
      </c>
      <c r="F2" s="153" t="s">
        <v>5</v>
      </c>
      <c r="G2" s="151" t="s">
        <v>88</v>
      </c>
      <c r="H2" s="151" t="s">
        <v>6</v>
      </c>
      <c r="I2" s="150" t="s">
        <v>101</v>
      </c>
      <c r="J2" s="150" t="s">
        <v>86</v>
      </c>
      <c r="K2" s="154" t="s">
        <v>153</v>
      </c>
      <c r="L2" s="154" t="s">
        <v>155</v>
      </c>
      <c r="M2" s="154" t="s">
        <v>152</v>
      </c>
      <c r="N2" s="154" t="s">
        <v>154</v>
      </c>
      <c r="O2" s="154" t="s">
        <v>151</v>
      </c>
      <c r="P2" s="155" t="s">
        <v>162</v>
      </c>
      <c r="Q2" s="155" t="s">
        <v>163</v>
      </c>
      <c r="R2" s="155" t="s">
        <v>161</v>
      </c>
      <c r="S2" s="155" t="s">
        <v>159</v>
      </c>
      <c r="T2" s="155" t="s">
        <v>160</v>
      </c>
      <c r="U2" s="156" t="s">
        <v>7</v>
      </c>
      <c r="V2" s="157" t="s">
        <v>8</v>
      </c>
      <c r="W2" s="158" t="s">
        <v>9</v>
      </c>
      <c r="X2" s="159" t="s">
        <v>10</v>
      </c>
      <c r="Y2" s="160" t="s">
        <v>11</v>
      </c>
      <c r="Z2" s="161" t="s">
        <v>12</v>
      </c>
      <c r="AA2" s="161" t="s">
        <v>53</v>
      </c>
      <c r="AB2" s="161" t="s">
        <v>55</v>
      </c>
      <c r="AC2" s="161" t="s">
        <v>58</v>
      </c>
      <c r="AD2" s="161" t="s">
        <v>57</v>
      </c>
      <c r="AE2" s="161" t="s">
        <v>56</v>
      </c>
      <c r="AF2" s="161" t="s">
        <v>59</v>
      </c>
      <c r="AG2" s="161" t="s">
        <v>54</v>
      </c>
      <c r="AH2" s="150" t="s">
        <v>13</v>
      </c>
      <c r="AI2" s="150" t="s">
        <v>14</v>
      </c>
      <c r="AJ2" s="150" t="s">
        <v>15</v>
      </c>
      <c r="AK2" s="168" t="s">
        <v>18</v>
      </c>
      <c r="AL2" s="168" t="s">
        <v>19</v>
      </c>
      <c r="AM2" s="168" t="s">
        <v>20</v>
      </c>
      <c r="AN2" s="169" t="s">
        <v>21</v>
      </c>
      <c r="AO2" s="169" t="s">
        <v>78</v>
      </c>
      <c r="AP2" s="170" t="s">
        <v>186</v>
      </c>
      <c r="AQ2" s="170" t="s">
        <v>187</v>
      </c>
      <c r="AR2" s="170" t="s">
        <v>66</v>
      </c>
      <c r="AS2" s="170" t="s">
        <v>164</v>
      </c>
      <c r="AT2" s="170" t="s">
        <v>165</v>
      </c>
      <c r="AU2" s="162"/>
      <c r="AV2" s="162"/>
      <c r="AW2" s="162"/>
      <c r="AX2" s="162"/>
      <c r="AY2" s="162"/>
    </row>
    <row r="3" spans="1:51" x14ac:dyDescent="0.25">
      <c r="A3" s="166">
        <v>1</v>
      </c>
      <c r="B3" s="119">
        <v>46099</v>
      </c>
      <c r="C3" s="6" t="s">
        <v>22</v>
      </c>
      <c r="D3" s="5" t="s">
        <v>104</v>
      </c>
      <c r="E3" s="7">
        <v>23</v>
      </c>
      <c r="F3" s="7">
        <v>77676</v>
      </c>
      <c r="G3" s="7" t="s">
        <v>89</v>
      </c>
      <c r="H3" s="7" t="s">
        <v>23</v>
      </c>
      <c r="I3" s="8" t="s">
        <v>90</v>
      </c>
      <c r="J3" s="8" t="s">
        <v>90</v>
      </c>
      <c r="K3" s="174">
        <v>49460</v>
      </c>
      <c r="L3" s="174">
        <v>0</v>
      </c>
      <c r="M3" s="174">
        <f>K3-L3</f>
        <v>49460</v>
      </c>
      <c r="N3" s="8">
        <v>596</v>
      </c>
      <c r="O3" s="174">
        <f>M3-N3</f>
        <v>48864</v>
      </c>
      <c r="P3" s="16">
        <v>47807</v>
      </c>
      <c r="Q3" s="16">
        <v>0</v>
      </c>
      <c r="R3" s="16">
        <f>P3-Q3</f>
        <v>47807</v>
      </c>
      <c r="S3" s="16">
        <v>592</v>
      </c>
      <c r="T3" s="16">
        <f t="shared" ref="T3:T8" si="0">R3-S3</f>
        <v>47215</v>
      </c>
      <c r="U3" s="32">
        <v>11</v>
      </c>
      <c r="V3" s="11">
        <v>171</v>
      </c>
      <c r="W3" s="12">
        <v>45.23</v>
      </c>
      <c r="X3" s="16">
        <v>8.9</v>
      </c>
      <c r="Y3" s="6">
        <v>173</v>
      </c>
      <c r="Z3" s="13">
        <v>45.67</v>
      </c>
      <c r="AA3" s="13"/>
      <c r="AB3" s="13"/>
      <c r="AC3" s="13"/>
      <c r="AD3" s="13"/>
      <c r="AE3" s="13"/>
      <c r="AF3" s="13"/>
      <c r="AG3" s="13"/>
      <c r="AH3" s="14">
        <f t="shared" ref="AH3:AH17" si="1">(U3-X3)/100</f>
        <v>2.0999999999999998E-2</v>
      </c>
      <c r="AI3" s="9">
        <f>O3-T3</f>
        <v>1649</v>
      </c>
      <c r="AJ3" s="14">
        <f>AI3/O3</f>
        <v>3.3746725605762931E-2</v>
      </c>
      <c r="AK3" s="15">
        <v>638</v>
      </c>
      <c r="AL3" s="7">
        <v>592</v>
      </c>
      <c r="AM3" s="15" t="s">
        <v>24</v>
      </c>
      <c r="AN3" s="6" t="s">
        <v>26</v>
      </c>
      <c r="AO3" s="6" t="s">
        <v>3</v>
      </c>
      <c r="AP3" s="15"/>
      <c r="AQ3" s="15"/>
      <c r="AR3" s="15"/>
      <c r="AS3" s="15"/>
      <c r="AT3" s="29"/>
      <c r="AU3" s="67"/>
      <c r="AV3" s="29"/>
      <c r="AW3" s="29"/>
      <c r="AX3" s="29"/>
      <c r="AY3" s="29"/>
    </row>
    <row r="4" spans="1:51" x14ac:dyDescent="0.25">
      <c r="A4" s="166">
        <v>2</v>
      </c>
      <c r="B4" s="119">
        <v>46106</v>
      </c>
      <c r="C4" s="6" t="s">
        <v>22</v>
      </c>
      <c r="D4" s="5" t="s">
        <v>104</v>
      </c>
      <c r="E4" s="7">
        <v>29</v>
      </c>
      <c r="F4" s="7">
        <v>82146</v>
      </c>
      <c r="G4" s="7" t="s">
        <v>89</v>
      </c>
      <c r="H4" s="7" t="s">
        <v>23</v>
      </c>
      <c r="I4" s="8" t="s">
        <v>90</v>
      </c>
      <c r="J4" s="8" t="s">
        <v>90</v>
      </c>
      <c r="K4" s="174">
        <v>39700</v>
      </c>
      <c r="L4" s="174">
        <v>0</v>
      </c>
      <c r="M4" s="174">
        <f t="shared" ref="M4" si="2">K4-L4</f>
        <v>39700</v>
      </c>
      <c r="N4" s="8">
        <v>467</v>
      </c>
      <c r="O4" s="174">
        <f t="shared" ref="O4" si="3">M4-N4</f>
        <v>39233</v>
      </c>
      <c r="P4" s="16">
        <v>38213.915999999997</v>
      </c>
      <c r="Q4" s="16">
        <v>0</v>
      </c>
      <c r="R4" s="16">
        <f t="shared" ref="R4:R7" si="4">P4-Q4</f>
        <v>38213.915999999997</v>
      </c>
      <c r="S4" s="16">
        <v>502</v>
      </c>
      <c r="T4" s="16">
        <f t="shared" si="0"/>
        <v>37711.915999999997</v>
      </c>
      <c r="U4" s="32">
        <v>12</v>
      </c>
      <c r="V4" s="11">
        <v>176</v>
      </c>
      <c r="W4" s="18">
        <v>45.05</v>
      </c>
      <c r="X4" s="16">
        <v>9.4</v>
      </c>
      <c r="Y4" s="6">
        <v>176</v>
      </c>
      <c r="Z4" s="13">
        <v>45.5</v>
      </c>
      <c r="AA4" s="13"/>
      <c r="AB4" s="13"/>
      <c r="AC4" s="13"/>
      <c r="AD4" s="13"/>
      <c r="AE4" s="13"/>
      <c r="AF4" s="13"/>
      <c r="AG4" s="13"/>
      <c r="AH4" s="14">
        <f t="shared" si="1"/>
        <v>2.5999999999999995E-2</v>
      </c>
      <c r="AI4" s="9">
        <f t="shared" ref="AI4:AI65" si="5">O4-T4</f>
        <v>1521.0840000000026</v>
      </c>
      <c r="AJ4" s="14">
        <f t="shared" ref="AJ4:AJ65" si="6">AI4/O4</f>
        <v>3.8770524813294995E-2</v>
      </c>
      <c r="AK4" s="15">
        <v>489</v>
      </c>
      <c r="AL4" s="7">
        <v>502</v>
      </c>
      <c r="AM4" s="15" t="s">
        <v>24</v>
      </c>
      <c r="AN4" s="6" t="s">
        <v>26</v>
      </c>
      <c r="AO4" s="6" t="s">
        <v>3</v>
      </c>
      <c r="AP4" s="15"/>
      <c r="AQ4" s="15"/>
      <c r="AR4" s="15"/>
      <c r="AS4" s="15"/>
      <c r="AT4" s="29"/>
      <c r="AU4" s="67"/>
      <c r="AV4" s="29"/>
      <c r="AW4" s="29"/>
      <c r="AX4" s="29"/>
      <c r="AY4" s="29"/>
    </row>
    <row r="5" spans="1:51" x14ac:dyDescent="0.25">
      <c r="A5" s="166">
        <v>3</v>
      </c>
      <c r="B5" s="119">
        <v>46108</v>
      </c>
      <c r="C5" s="6" t="s">
        <v>22</v>
      </c>
      <c r="D5" s="5" t="s">
        <v>109</v>
      </c>
      <c r="E5" s="7">
        <v>5</v>
      </c>
      <c r="F5" s="7">
        <v>72564</v>
      </c>
      <c r="G5" s="7" t="s">
        <v>89</v>
      </c>
      <c r="H5" s="7" t="s">
        <v>25</v>
      </c>
      <c r="I5" s="8" t="s">
        <v>94</v>
      </c>
      <c r="J5" s="8" t="s">
        <v>94</v>
      </c>
      <c r="K5" s="174">
        <v>51840</v>
      </c>
      <c r="L5" s="174">
        <v>0</v>
      </c>
      <c r="M5" s="174">
        <f>K5-L5</f>
        <v>51840</v>
      </c>
      <c r="N5" s="8">
        <v>608</v>
      </c>
      <c r="O5" s="174">
        <f>M5-N5</f>
        <v>51232</v>
      </c>
      <c r="P5" s="16">
        <v>49643.807999999997</v>
      </c>
      <c r="Q5" s="16">
        <v>0</v>
      </c>
      <c r="R5" s="16">
        <f t="shared" si="4"/>
        <v>49643.807999999997</v>
      </c>
      <c r="S5" s="16">
        <v>699</v>
      </c>
      <c r="T5" s="16">
        <f t="shared" si="0"/>
        <v>48944.807999999997</v>
      </c>
      <c r="U5" s="32">
        <v>12</v>
      </c>
      <c r="V5" s="11">
        <v>157</v>
      </c>
      <c r="W5" s="12">
        <v>45.32</v>
      </c>
      <c r="X5" s="16">
        <v>8.9</v>
      </c>
      <c r="Y5" s="6">
        <v>160</v>
      </c>
      <c r="Z5" s="13">
        <v>45.49</v>
      </c>
      <c r="AA5" s="13"/>
      <c r="AB5" s="13"/>
      <c r="AC5" s="13"/>
      <c r="AD5" s="13"/>
      <c r="AE5" s="13"/>
      <c r="AF5" s="13"/>
      <c r="AG5" s="13"/>
      <c r="AH5" s="14">
        <f t="shared" si="1"/>
        <v>3.0999999999999996E-2</v>
      </c>
      <c r="AI5" s="9">
        <f t="shared" si="5"/>
        <v>2287.1920000000027</v>
      </c>
      <c r="AJ5" s="14">
        <f t="shared" si="6"/>
        <v>4.464381636477207E-2</v>
      </c>
      <c r="AK5" s="15">
        <v>615</v>
      </c>
      <c r="AL5" s="7">
        <v>699</v>
      </c>
      <c r="AM5" s="15" t="s">
        <v>24</v>
      </c>
      <c r="AN5" s="6" t="s">
        <v>26</v>
      </c>
      <c r="AO5" s="6" t="s">
        <v>3</v>
      </c>
      <c r="AP5" s="15"/>
      <c r="AQ5" s="15"/>
      <c r="AR5" s="15"/>
      <c r="AS5" s="15"/>
      <c r="AT5" s="29"/>
      <c r="AU5" s="67"/>
      <c r="AV5" s="29"/>
      <c r="AW5" s="29"/>
      <c r="AX5" s="29"/>
      <c r="AY5" s="29"/>
    </row>
    <row r="6" spans="1:51" x14ac:dyDescent="0.25">
      <c r="A6" s="166">
        <v>4</v>
      </c>
      <c r="B6" s="119">
        <v>46109</v>
      </c>
      <c r="C6" s="6" t="s">
        <v>22</v>
      </c>
      <c r="D6" s="123" t="s">
        <v>110</v>
      </c>
      <c r="E6" s="7">
        <v>20</v>
      </c>
      <c r="F6" s="7">
        <v>72566</v>
      </c>
      <c r="G6" s="7" t="s">
        <v>89</v>
      </c>
      <c r="H6" s="7" t="s">
        <v>25</v>
      </c>
      <c r="I6" s="8" t="s">
        <v>96</v>
      </c>
      <c r="J6" s="8" t="s">
        <v>96</v>
      </c>
      <c r="K6" s="174">
        <v>38380</v>
      </c>
      <c r="L6" s="174">
        <v>0</v>
      </c>
      <c r="M6" s="174">
        <f t="shared" ref="M6" si="7">K6-L6</f>
        <v>38380</v>
      </c>
      <c r="N6" s="8">
        <v>537</v>
      </c>
      <c r="O6" s="174">
        <f t="shared" ref="O6" si="8">M6-N6</f>
        <v>37843</v>
      </c>
      <c r="P6" s="16">
        <v>36783.396000000001</v>
      </c>
      <c r="Q6" s="16">
        <v>0</v>
      </c>
      <c r="R6" s="16">
        <f t="shared" si="4"/>
        <v>36783.396000000001</v>
      </c>
      <c r="S6" s="16">
        <v>530</v>
      </c>
      <c r="T6" s="16">
        <f t="shared" si="0"/>
        <v>36253.396000000001</v>
      </c>
      <c r="U6" s="32">
        <v>11.7</v>
      </c>
      <c r="V6" s="11">
        <v>174</v>
      </c>
      <c r="W6" s="12">
        <v>43.82</v>
      </c>
      <c r="X6" s="16">
        <v>8.9</v>
      </c>
      <c r="Y6" s="6">
        <v>172</v>
      </c>
      <c r="Z6" s="13">
        <v>43.91</v>
      </c>
      <c r="AA6" s="13"/>
      <c r="AB6" s="13"/>
      <c r="AC6" s="13"/>
      <c r="AD6" s="13"/>
      <c r="AE6" s="13"/>
      <c r="AF6" s="13"/>
      <c r="AG6" s="13"/>
      <c r="AH6" s="14">
        <f t="shared" si="1"/>
        <v>2.799999999999999E-2</v>
      </c>
      <c r="AI6" s="9">
        <f t="shared" si="5"/>
        <v>1589.6039999999994</v>
      </c>
      <c r="AJ6" s="14">
        <f t="shared" si="6"/>
        <v>4.2005232143328998E-2</v>
      </c>
      <c r="AK6" s="15">
        <v>537</v>
      </c>
      <c r="AL6" s="7">
        <v>530</v>
      </c>
      <c r="AM6" s="15" t="s">
        <v>24</v>
      </c>
      <c r="AN6" s="6" t="s">
        <v>26</v>
      </c>
      <c r="AO6" s="6" t="s">
        <v>3</v>
      </c>
      <c r="AP6" s="15"/>
      <c r="AQ6" s="15"/>
      <c r="AR6" s="15"/>
      <c r="AS6" s="15"/>
      <c r="AT6" s="29"/>
      <c r="AU6" s="67"/>
      <c r="AV6" s="29"/>
      <c r="AW6" s="29"/>
      <c r="AX6" s="29"/>
      <c r="AY6" s="29"/>
    </row>
    <row r="7" spans="1:51" x14ac:dyDescent="0.25">
      <c r="A7" s="166">
        <v>5</v>
      </c>
      <c r="B7" s="119">
        <v>46109</v>
      </c>
      <c r="C7" s="6" t="s">
        <v>22</v>
      </c>
      <c r="D7" s="5" t="s">
        <v>103</v>
      </c>
      <c r="E7" s="7">
        <v>56</v>
      </c>
      <c r="F7" s="7">
        <v>82495</v>
      </c>
      <c r="G7" s="7" t="s">
        <v>89</v>
      </c>
      <c r="H7" s="7" t="s">
        <v>23</v>
      </c>
      <c r="I7" s="17" t="s">
        <v>87</v>
      </c>
      <c r="J7" s="17" t="s">
        <v>87</v>
      </c>
      <c r="K7" s="174">
        <v>46120</v>
      </c>
      <c r="L7" s="174">
        <v>0</v>
      </c>
      <c r="M7" s="174">
        <f t="shared" ref="M7:M28" si="9">K7-L7</f>
        <v>46120</v>
      </c>
      <c r="N7" s="8">
        <v>530</v>
      </c>
      <c r="O7" s="174">
        <f t="shared" ref="O7:O28" si="10">M7-N7</f>
        <v>45590</v>
      </c>
      <c r="P7" s="16">
        <v>43876</v>
      </c>
      <c r="Q7" s="16">
        <v>0</v>
      </c>
      <c r="R7" s="16">
        <f t="shared" si="4"/>
        <v>43876</v>
      </c>
      <c r="S7" s="16">
        <v>601</v>
      </c>
      <c r="T7" s="16">
        <f t="shared" si="0"/>
        <v>43275</v>
      </c>
      <c r="U7" s="32">
        <v>11.2</v>
      </c>
      <c r="V7" s="11">
        <v>183</v>
      </c>
      <c r="W7" s="18">
        <v>44.35</v>
      </c>
      <c r="X7" s="16">
        <v>9.3000000000000007</v>
      </c>
      <c r="Y7" s="6">
        <v>184</v>
      </c>
      <c r="Z7" s="13">
        <v>44.7</v>
      </c>
      <c r="AA7" s="13"/>
      <c r="AB7" s="13"/>
      <c r="AC7" s="13"/>
      <c r="AD7" s="13"/>
      <c r="AE7" s="13"/>
      <c r="AF7" s="13"/>
      <c r="AG7" s="13"/>
      <c r="AH7" s="14">
        <f t="shared" si="1"/>
        <v>1.8999999999999986E-2</v>
      </c>
      <c r="AI7" s="9">
        <f t="shared" si="5"/>
        <v>2315</v>
      </c>
      <c r="AJ7" s="14">
        <f t="shared" si="6"/>
        <v>5.0778679534985743E-2</v>
      </c>
      <c r="AK7" s="15">
        <v>538</v>
      </c>
      <c r="AL7" s="7">
        <v>601</v>
      </c>
      <c r="AM7" s="15" t="s">
        <v>24</v>
      </c>
      <c r="AN7" s="6" t="s">
        <v>26</v>
      </c>
      <c r="AO7" s="6" t="s">
        <v>3</v>
      </c>
      <c r="AP7" s="15"/>
      <c r="AQ7" s="15"/>
      <c r="AR7" s="15"/>
      <c r="AS7" s="15"/>
      <c r="AT7" s="29" t="s">
        <v>121</v>
      </c>
      <c r="AU7" s="67"/>
      <c r="AV7" s="29"/>
      <c r="AW7" s="29"/>
      <c r="AX7" s="29"/>
      <c r="AY7" s="29"/>
    </row>
    <row r="8" spans="1:51" x14ac:dyDescent="0.25">
      <c r="A8" s="166">
        <v>6</v>
      </c>
      <c r="B8" s="119">
        <v>46114</v>
      </c>
      <c r="C8" s="6" t="s">
        <v>22</v>
      </c>
      <c r="D8" s="5" t="s">
        <v>106</v>
      </c>
      <c r="E8" s="7">
        <v>61</v>
      </c>
      <c r="F8" s="7">
        <v>83411</v>
      </c>
      <c r="G8" s="7" t="s">
        <v>89</v>
      </c>
      <c r="H8" s="7" t="s">
        <v>23</v>
      </c>
      <c r="I8" s="17" t="s">
        <v>93</v>
      </c>
      <c r="J8" s="17" t="s">
        <v>93</v>
      </c>
      <c r="K8" s="174">
        <v>41780</v>
      </c>
      <c r="L8" s="174">
        <v>0</v>
      </c>
      <c r="M8" s="174">
        <f t="shared" si="9"/>
        <v>41780</v>
      </c>
      <c r="N8" s="8">
        <v>560</v>
      </c>
      <c r="O8" s="174">
        <f t="shared" si="10"/>
        <v>41220</v>
      </c>
      <c r="P8" s="16">
        <v>42642</v>
      </c>
      <c r="Q8" s="16">
        <v>2280</v>
      </c>
      <c r="R8" s="16">
        <f>P8-Q8</f>
        <v>40362</v>
      </c>
      <c r="S8" s="16">
        <v>577</v>
      </c>
      <c r="T8" s="16">
        <f t="shared" si="0"/>
        <v>39785</v>
      </c>
      <c r="U8" s="32">
        <v>10.1</v>
      </c>
      <c r="V8" s="11">
        <v>185</v>
      </c>
      <c r="W8" s="18">
        <v>46.2</v>
      </c>
      <c r="X8" s="16">
        <v>8.5</v>
      </c>
      <c r="Y8" s="6">
        <v>170</v>
      </c>
      <c r="Z8" s="13">
        <v>46.2</v>
      </c>
      <c r="AA8" s="13"/>
      <c r="AB8" s="13"/>
      <c r="AC8" s="13"/>
      <c r="AD8" s="13"/>
      <c r="AE8" s="13"/>
      <c r="AF8" s="13"/>
      <c r="AG8" s="13"/>
      <c r="AH8" s="14">
        <f t="shared" si="1"/>
        <v>1.5999999999999997E-2</v>
      </c>
      <c r="AI8" s="9">
        <f t="shared" si="5"/>
        <v>1435</v>
      </c>
      <c r="AJ8" s="14">
        <f t="shared" si="6"/>
        <v>3.4813197476952933E-2</v>
      </c>
      <c r="AK8" s="15">
        <v>568</v>
      </c>
      <c r="AL8" s="7">
        <v>577</v>
      </c>
      <c r="AM8" s="15" t="s">
        <v>24</v>
      </c>
      <c r="AN8" s="6" t="s">
        <v>26</v>
      </c>
      <c r="AO8" s="6" t="s">
        <v>3</v>
      </c>
      <c r="AP8" s="15"/>
      <c r="AQ8" s="15"/>
      <c r="AR8" s="15"/>
      <c r="AS8" s="15"/>
      <c r="AT8" s="29"/>
      <c r="AU8" s="67"/>
      <c r="AV8" s="29"/>
      <c r="AW8" s="29"/>
      <c r="AX8" s="29"/>
      <c r="AY8" s="29"/>
    </row>
    <row r="9" spans="1:51" x14ac:dyDescent="0.25">
      <c r="A9" s="166">
        <v>7</v>
      </c>
      <c r="B9" s="119">
        <v>46115</v>
      </c>
      <c r="C9" s="6" t="s">
        <v>22</v>
      </c>
      <c r="D9" s="5" t="s">
        <v>104</v>
      </c>
      <c r="E9" s="7">
        <v>64</v>
      </c>
      <c r="F9" s="7">
        <v>82496</v>
      </c>
      <c r="G9" s="7" t="s">
        <v>89</v>
      </c>
      <c r="H9" s="7" t="s">
        <v>23</v>
      </c>
      <c r="I9" s="8" t="s">
        <v>90</v>
      </c>
      <c r="J9" s="17" t="s">
        <v>90</v>
      </c>
      <c r="K9" s="174">
        <v>43880</v>
      </c>
      <c r="L9" s="174">
        <v>0</v>
      </c>
      <c r="M9" s="174">
        <f t="shared" si="9"/>
        <v>43880</v>
      </c>
      <c r="N9" s="8">
        <v>500</v>
      </c>
      <c r="O9" s="174">
        <f t="shared" si="10"/>
        <v>43380</v>
      </c>
      <c r="P9" s="16">
        <v>44295</v>
      </c>
      <c r="Q9" s="16">
        <v>2470</v>
      </c>
      <c r="R9" s="16">
        <f t="shared" ref="R9:R60" si="11">P9-Q9</f>
        <v>41825</v>
      </c>
      <c r="S9" s="16">
        <v>550</v>
      </c>
      <c r="T9" s="16">
        <f t="shared" ref="T9:T56" si="12">R9-S9</f>
        <v>41275</v>
      </c>
      <c r="U9" s="32">
        <v>11.8</v>
      </c>
      <c r="V9" s="11">
        <v>177</v>
      </c>
      <c r="W9" s="18">
        <v>44.44</v>
      </c>
      <c r="X9" s="125">
        <v>9.1999999999999993</v>
      </c>
      <c r="Y9" s="19">
        <v>176</v>
      </c>
      <c r="Z9" s="18">
        <v>45.2</v>
      </c>
      <c r="AA9" s="18"/>
      <c r="AB9" s="18"/>
      <c r="AC9" s="18"/>
      <c r="AD9" s="18"/>
      <c r="AE9" s="18"/>
      <c r="AF9" s="18"/>
      <c r="AG9" s="18"/>
      <c r="AH9" s="14">
        <f t="shared" si="1"/>
        <v>2.6000000000000013E-2</v>
      </c>
      <c r="AI9" s="9">
        <f t="shared" si="5"/>
        <v>2105</v>
      </c>
      <c r="AJ9" s="14">
        <f t="shared" si="6"/>
        <v>4.8524665744582758E-2</v>
      </c>
      <c r="AK9" s="15">
        <v>509</v>
      </c>
      <c r="AL9" s="7">
        <v>550</v>
      </c>
      <c r="AM9" s="15" t="s">
        <v>24</v>
      </c>
      <c r="AN9" s="6" t="s">
        <v>26</v>
      </c>
      <c r="AO9" s="6" t="s">
        <v>3</v>
      </c>
      <c r="AP9" s="15"/>
      <c r="AQ9" s="15"/>
      <c r="AR9" s="15"/>
      <c r="AS9" s="15"/>
      <c r="AT9" s="29"/>
      <c r="AU9" s="67"/>
      <c r="AV9" s="29"/>
      <c r="AW9" s="29"/>
      <c r="AX9" s="29"/>
      <c r="AY9" s="29"/>
    </row>
    <row r="10" spans="1:51" x14ac:dyDescent="0.25">
      <c r="A10" s="166">
        <v>8</v>
      </c>
      <c r="B10" s="119">
        <v>46120</v>
      </c>
      <c r="C10" s="6" t="s">
        <v>22</v>
      </c>
      <c r="D10" s="5" t="s">
        <v>108</v>
      </c>
      <c r="E10" s="22">
        <v>67</v>
      </c>
      <c r="F10" s="22">
        <v>87134</v>
      </c>
      <c r="G10" s="22" t="s">
        <v>89</v>
      </c>
      <c r="H10" s="22" t="s">
        <v>23</v>
      </c>
      <c r="I10" s="8" t="s">
        <v>92</v>
      </c>
      <c r="J10" s="23" t="s">
        <v>92</v>
      </c>
      <c r="K10" s="174">
        <v>37160</v>
      </c>
      <c r="L10" s="174">
        <v>0</v>
      </c>
      <c r="M10" s="174">
        <f t="shared" si="9"/>
        <v>37160</v>
      </c>
      <c r="N10" s="8">
        <v>454</v>
      </c>
      <c r="O10" s="174">
        <f t="shared" si="10"/>
        <v>36706</v>
      </c>
      <c r="P10" s="16">
        <v>37911</v>
      </c>
      <c r="Q10" s="16">
        <v>2050</v>
      </c>
      <c r="R10" s="16">
        <f t="shared" si="11"/>
        <v>35861</v>
      </c>
      <c r="S10" s="16">
        <v>477</v>
      </c>
      <c r="T10" s="16">
        <f t="shared" si="12"/>
        <v>35384</v>
      </c>
      <c r="U10" s="32">
        <v>11</v>
      </c>
      <c r="V10" s="25">
        <v>170</v>
      </c>
      <c r="W10" s="10">
        <v>45.15</v>
      </c>
      <c r="X10" s="32">
        <v>8.3000000000000007</v>
      </c>
      <c r="Y10" s="26">
        <v>173</v>
      </c>
      <c r="Z10" s="10">
        <v>45.85</v>
      </c>
      <c r="AA10" s="10"/>
      <c r="AB10" s="10"/>
      <c r="AC10" s="10"/>
      <c r="AD10" s="10"/>
      <c r="AE10" s="10"/>
      <c r="AF10" s="10"/>
      <c r="AG10" s="10"/>
      <c r="AH10" s="27">
        <f t="shared" si="1"/>
        <v>2.6999999999999993E-2</v>
      </c>
      <c r="AI10" s="9">
        <f t="shared" si="5"/>
        <v>1322</v>
      </c>
      <c r="AJ10" s="14">
        <f t="shared" si="6"/>
        <v>3.6015910205416009E-2</v>
      </c>
      <c r="AK10" s="28">
        <v>463</v>
      </c>
      <c r="AL10" s="22">
        <v>477</v>
      </c>
      <c r="AM10" s="15" t="s">
        <v>24</v>
      </c>
      <c r="AN10" s="6" t="s">
        <v>26</v>
      </c>
      <c r="AO10" s="6" t="s">
        <v>3</v>
      </c>
      <c r="AP10" s="28"/>
      <c r="AQ10" s="28"/>
      <c r="AR10" s="28"/>
      <c r="AS10" s="15"/>
      <c r="AT10" s="29"/>
      <c r="AU10" s="67"/>
      <c r="AV10" s="29"/>
      <c r="AW10" s="29"/>
      <c r="AX10" s="29"/>
      <c r="AY10" s="29"/>
    </row>
    <row r="11" spans="1:51" x14ac:dyDescent="0.25">
      <c r="A11" s="166">
        <v>9</v>
      </c>
      <c r="B11" s="119">
        <v>46123</v>
      </c>
      <c r="C11" s="6" t="s">
        <v>22</v>
      </c>
      <c r="D11" s="5" t="s">
        <v>103</v>
      </c>
      <c r="E11" s="22">
        <v>72</v>
      </c>
      <c r="F11" s="22">
        <v>87139</v>
      </c>
      <c r="G11" s="22" t="s">
        <v>89</v>
      </c>
      <c r="H11" s="22" t="s">
        <v>23</v>
      </c>
      <c r="I11" s="17" t="s">
        <v>87</v>
      </c>
      <c r="J11" s="23" t="s">
        <v>87</v>
      </c>
      <c r="K11" s="174">
        <v>54260</v>
      </c>
      <c r="L11" s="174">
        <v>0</v>
      </c>
      <c r="M11" s="174">
        <f t="shared" si="9"/>
        <v>54260</v>
      </c>
      <c r="N11" s="8">
        <v>706</v>
      </c>
      <c r="O11" s="174">
        <f t="shared" si="10"/>
        <v>53554</v>
      </c>
      <c r="P11" s="16">
        <v>55007</v>
      </c>
      <c r="Q11" s="16">
        <v>2945</v>
      </c>
      <c r="R11" s="16">
        <f t="shared" si="11"/>
        <v>52062</v>
      </c>
      <c r="S11" s="16">
        <v>712</v>
      </c>
      <c r="T11" s="16">
        <f t="shared" si="12"/>
        <v>51350</v>
      </c>
      <c r="U11" s="32">
        <v>10.1</v>
      </c>
      <c r="V11" s="25">
        <v>183</v>
      </c>
      <c r="W11" s="10">
        <v>44.09</v>
      </c>
      <c r="X11" s="32">
        <v>8</v>
      </c>
      <c r="Y11" s="26">
        <v>181</v>
      </c>
      <c r="Z11" s="10">
        <v>44.26</v>
      </c>
      <c r="AA11" s="10"/>
      <c r="AB11" s="10"/>
      <c r="AC11" s="10"/>
      <c r="AD11" s="10"/>
      <c r="AE11" s="10"/>
      <c r="AF11" s="10"/>
      <c r="AG11" s="10"/>
      <c r="AH11" s="27">
        <f t="shared" si="1"/>
        <v>2.0999999999999998E-2</v>
      </c>
      <c r="AI11" s="9">
        <f t="shared" si="5"/>
        <v>2204</v>
      </c>
      <c r="AJ11" s="14">
        <f t="shared" si="6"/>
        <v>4.1154722336333417E-2</v>
      </c>
      <c r="AK11" s="28">
        <v>721</v>
      </c>
      <c r="AL11" s="22">
        <v>712</v>
      </c>
      <c r="AM11" s="15" t="s">
        <v>24</v>
      </c>
      <c r="AN11" s="6" t="s">
        <v>26</v>
      </c>
      <c r="AO11" s="6" t="s">
        <v>3</v>
      </c>
      <c r="AP11" s="28"/>
      <c r="AQ11" s="28"/>
      <c r="AR11" s="28"/>
      <c r="AS11" s="15"/>
      <c r="AT11" s="29" t="s">
        <v>121</v>
      </c>
      <c r="AU11" s="67"/>
      <c r="AV11" s="29"/>
      <c r="AW11" s="29"/>
      <c r="AX11" s="29"/>
      <c r="AY11" s="29"/>
    </row>
    <row r="12" spans="1:51" x14ac:dyDescent="0.25">
      <c r="A12" s="166">
        <v>10</v>
      </c>
      <c r="B12" s="119">
        <v>46124</v>
      </c>
      <c r="C12" s="6" t="s">
        <v>22</v>
      </c>
      <c r="D12" s="5" t="s">
        <v>103</v>
      </c>
      <c r="E12" s="22">
        <v>76</v>
      </c>
      <c r="F12" s="22">
        <v>78911</v>
      </c>
      <c r="G12" s="22" t="s">
        <v>89</v>
      </c>
      <c r="H12" s="22" t="s">
        <v>23</v>
      </c>
      <c r="I12" s="17" t="s">
        <v>87</v>
      </c>
      <c r="J12" s="23" t="s">
        <v>87</v>
      </c>
      <c r="K12" s="174">
        <v>47640</v>
      </c>
      <c r="L12" s="174">
        <v>0</v>
      </c>
      <c r="M12" s="174">
        <f t="shared" si="9"/>
        <v>47640</v>
      </c>
      <c r="N12" s="8">
        <v>658</v>
      </c>
      <c r="O12" s="174">
        <f t="shared" si="10"/>
        <v>46982</v>
      </c>
      <c r="P12" s="16">
        <v>48274</v>
      </c>
      <c r="Q12" s="16">
        <v>2660</v>
      </c>
      <c r="R12" s="16">
        <f t="shared" si="11"/>
        <v>45614</v>
      </c>
      <c r="S12" s="16">
        <v>648</v>
      </c>
      <c r="T12" s="16">
        <f t="shared" si="12"/>
        <v>44966</v>
      </c>
      <c r="U12" s="32">
        <v>10.1</v>
      </c>
      <c r="V12" s="25">
        <v>185</v>
      </c>
      <c r="W12" s="10">
        <v>44.26</v>
      </c>
      <c r="X12" s="32">
        <v>8.3000000000000007</v>
      </c>
      <c r="Y12" s="26">
        <v>179</v>
      </c>
      <c r="Z12" s="10">
        <v>44.53</v>
      </c>
      <c r="AA12" s="10"/>
      <c r="AB12" s="10"/>
      <c r="AC12" s="10"/>
      <c r="AD12" s="10"/>
      <c r="AE12" s="10"/>
      <c r="AF12" s="10"/>
      <c r="AG12" s="10"/>
      <c r="AH12" s="27">
        <f t="shared" si="1"/>
        <v>1.7999999999999988E-2</v>
      </c>
      <c r="AI12" s="9">
        <f t="shared" si="5"/>
        <v>2016</v>
      </c>
      <c r="AJ12" s="14">
        <f t="shared" si="6"/>
        <v>4.2910050657698692E-2</v>
      </c>
      <c r="AK12" s="28">
        <v>658</v>
      </c>
      <c r="AL12" s="22">
        <v>648</v>
      </c>
      <c r="AM12" s="15" t="s">
        <v>24</v>
      </c>
      <c r="AN12" s="6" t="s">
        <v>26</v>
      </c>
      <c r="AO12" s="6" t="s">
        <v>3</v>
      </c>
      <c r="AP12" s="28"/>
      <c r="AQ12" s="28"/>
      <c r="AR12" s="28"/>
      <c r="AS12" s="15"/>
      <c r="AT12" s="29" t="s">
        <v>121</v>
      </c>
      <c r="AU12" s="67"/>
      <c r="AV12" s="29"/>
      <c r="AW12" s="29"/>
      <c r="AX12" s="29"/>
      <c r="AY12" s="29"/>
    </row>
    <row r="13" spans="1:51" x14ac:dyDescent="0.25">
      <c r="A13" s="166">
        <v>11</v>
      </c>
      <c r="B13" s="119">
        <v>46125</v>
      </c>
      <c r="C13" s="6" t="s">
        <v>22</v>
      </c>
      <c r="D13" s="5" t="s">
        <v>103</v>
      </c>
      <c r="E13" s="22">
        <v>79</v>
      </c>
      <c r="F13" s="22">
        <v>37970</v>
      </c>
      <c r="G13" s="22" t="s">
        <v>89</v>
      </c>
      <c r="H13" s="22" t="s">
        <v>23</v>
      </c>
      <c r="I13" s="17" t="s">
        <v>87</v>
      </c>
      <c r="J13" s="23" t="s">
        <v>87</v>
      </c>
      <c r="K13" s="174">
        <v>42110</v>
      </c>
      <c r="L13" s="174">
        <v>0</v>
      </c>
      <c r="M13" s="174">
        <f t="shared" si="9"/>
        <v>42110</v>
      </c>
      <c r="N13" s="8">
        <v>488</v>
      </c>
      <c r="O13" s="174">
        <f t="shared" si="10"/>
        <v>41622</v>
      </c>
      <c r="P13" s="16">
        <v>42671</v>
      </c>
      <c r="Q13" s="16">
        <v>2280</v>
      </c>
      <c r="R13" s="16">
        <f t="shared" si="11"/>
        <v>40391</v>
      </c>
      <c r="S13" s="16">
        <v>542</v>
      </c>
      <c r="T13" s="16">
        <f t="shared" si="12"/>
        <v>39849</v>
      </c>
      <c r="U13" s="32">
        <v>13.7</v>
      </c>
      <c r="V13" s="25">
        <v>160</v>
      </c>
      <c r="W13" s="10">
        <v>43.56</v>
      </c>
      <c r="X13" s="32">
        <v>9.6999999999999993</v>
      </c>
      <c r="Y13" s="26">
        <v>163</v>
      </c>
      <c r="Z13" s="10">
        <v>44</v>
      </c>
      <c r="AA13" s="10"/>
      <c r="AB13" s="10"/>
      <c r="AC13" s="10"/>
      <c r="AD13" s="10"/>
      <c r="AE13" s="10"/>
      <c r="AF13" s="10"/>
      <c r="AG13" s="10"/>
      <c r="AH13" s="27">
        <f t="shared" si="1"/>
        <v>0.04</v>
      </c>
      <c r="AI13" s="9">
        <f t="shared" si="5"/>
        <v>1773</v>
      </c>
      <c r="AJ13" s="14">
        <f t="shared" si="6"/>
        <v>4.259766469655471E-2</v>
      </c>
      <c r="AK13" s="28">
        <v>488</v>
      </c>
      <c r="AL13" s="22">
        <v>542</v>
      </c>
      <c r="AM13" s="28" t="s">
        <v>24</v>
      </c>
      <c r="AN13" s="21" t="s">
        <v>26</v>
      </c>
      <c r="AO13" s="21" t="s">
        <v>3</v>
      </c>
      <c r="AP13" s="28"/>
      <c r="AQ13" s="28"/>
      <c r="AR13" s="28"/>
      <c r="AS13" s="15"/>
      <c r="AT13" s="29" t="s">
        <v>121</v>
      </c>
      <c r="AU13" s="67"/>
      <c r="AV13" s="29"/>
      <c r="AW13" s="29"/>
      <c r="AX13" s="29"/>
      <c r="AY13" s="29"/>
    </row>
    <row r="14" spans="1:51" x14ac:dyDescent="0.25">
      <c r="A14" s="166">
        <v>12</v>
      </c>
      <c r="B14" s="119">
        <v>46128</v>
      </c>
      <c r="C14" s="6" t="s">
        <v>22</v>
      </c>
      <c r="D14" s="5" t="s">
        <v>103</v>
      </c>
      <c r="E14" s="22">
        <v>102</v>
      </c>
      <c r="F14" s="22">
        <v>78869</v>
      </c>
      <c r="G14" s="22" t="s">
        <v>89</v>
      </c>
      <c r="H14" s="22" t="s">
        <v>23</v>
      </c>
      <c r="I14" s="17" t="s">
        <v>87</v>
      </c>
      <c r="J14" s="23" t="s">
        <v>87</v>
      </c>
      <c r="K14" s="174">
        <v>49690</v>
      </c>
      <c r="L14" s="174">
        <v>0</v>
      </c>
      <c r="M14" s="174">
        <f t="shared" si="9"/>
        <v>49690</v>
      </c>
      <c r="N14" s="8">
        <v>684</v>
      </c>
      <c r="O14" s="174">
        <f t="shared" si="10"/>
        <v>49006</v>
      </c>
      <c r="P14" s="16">
        <v>50005</v>
      </c>
      <c r="Q14" s="16">
        <v>2575</v>
      </c>
      <c r="R14" s="16">
        <f t="shared" si="11"/>
        <v>47430</v>
      </c>
      <c r="S14" s="16">
        <v>674</v>
      </c>
      <c r="T14" s="16">
        <f t="shared" si="12"/>
        <v>46756</v>
      </c>
      <c r="U14" s="32">
        <v>11.2</v>
      </c>
      <c r="V14" s="25">
        <v>181</v>
      </c>
      <c r="W14" s="10">
        <v>43.56</v>
      </c>
      <c r="X14" s="32">
        <v>9.4</v>
      </c>
      <c r="Y14" s="26">
        <v>182</v>
      </c>
      <c r="Z14" s="10">
        <v>44</v>
      </c>
      <c r="AA14" s="10"/>
      <c r="AB14" s="10"/>
      <c r="AC14" s="10"/>
      <c r="AD14" s="10"/>
      <c r="AE14" s="10"/>
      <c r="AF14" s="10"/>
      <c r="AG14" s="10"/>
      <c r="AH14" s="27">
        <f t="shared" si="1"/>
        <v>1.7999999999999988E-2</v>
      </c>
      <c r="AI14" s="9">
        <f t="shared" si="5"/>
        <v>2250</v>
      </c>
      <c r="AJ14" s="14">
        <f t="shared" si="6"/>
        <v>4.5912745378116966E-2</v>
      </c>
      <c r="AK14" s="28">
        <v>691</v>
      </c>
      <c r="AL14" s="22">
        <v>674</v>
      </c>
      <c r="AM14" s="28" t="s">
        <v>24</v>
      </c>
      <c r="AN14" s="21" t="s">
        <v>26</v>
      </c>
      <c r="AO14" s="21" t="s">
        <v>3</v>
      </c>
      <c r="AP14" s="30"/>
      <c r="AQ14" s="30"/>
      <c r="AR14" s="30"/>
      <c r="AS14" s="15"/>
      <c r="AT14" s="29" t="s">
        <v>121</v>
      </c>
      <c r="AU14" s="67"/>
      <c r="AV14" s="29"/>
      <c r="AW14" s="29"/>
      <c r="AX14" s="29"/>
      <c r="AY14" s="29"/>
    </row>
    <row r="15" spans="1:51" x14ac:dyDescent="0.25">
      <c r="A15" s="166">
        <v>13</v>
      </c>
      <c r="B15" s="119">
        <v>46129</v>
      </c>
      <c r="C15" s="39" t="s">
        <v>22</v>
      </c>
      <c r="D15" s="48" t="s">
        <v>102</v>
      </c>
      <c r="E15" s="40">
        <v>96</v>
      </c>
      <c r="F15" s="22">
        <v>89770</v>
      </c>
      <c r="G15" s="40" t="s">
        <v>89</v>
      </c>
      <c r="H15" s="40" t="s">
        <v>23</v>
      </c>
      <c r="I15" s="41" t="s">
        <v>97</v>
      </c>
      <c r="J15" s="130" t="s">
        <v>97</v>
      </c>
      <c r="K15" s="174">
        <v>50530</v>
      </c>
      <c r="L15" s="174">
        <v>0</v>
      </c>
      <c r="M15" s="174">
        <f t="shared" si="9"/>
        <v>50530</v>
      </c>
      <c r="N15" s="8">
        <v>598</v>
      </c>
      <c r="O15" s="174">
        <f t="shared" si="10"/>
        <v>49932</v>
      </c>
      <c r="P15" s="51">
        <v>51035</v>
      </c>
      <c r="Q15" s="51">
        <v>2660</v>
      </c>
      <c r="R15" s="16">
        <f t="shared" si="11"/>
        <v>48375</v>
      </c>
      <c r="S15" s="16">
        <v>644</v>
      </c>
      <c r="T15" s="16">
        <f t="shared" si="12"/>
        <v>47731</v>
      </c>
      <c r="U15" s="54">
        <v>11.1</v>
      </c>
      <c r="V15" s="37">
        <v>168</v>
      </c>
      <c r="W15" s="42">
        <v>42.58</v>
      </c>
      <c r="X15" s="54">
        <v>8.9</v>
      </c>
      <c r="Y15" s="43">
        <v>172</v>
      </c>
      <c r="Z15" s="42">
        <v>43.12</v>
      </c>
      <c r="AA15" s="42"/>
      <c r="AB15" s="42"/>
      <c r="AC15" s="42"/>
      <c r="AD15" s="42"/>
      <c r="AE15" s="42"/>
      <c r="AF15" s="42"/>
      <c r="AG15" s="42"/>
      <c r="AH15" s="44">
        <f t="shared" si="1"/>
        <v>2.1999999999999992E-2</v>
      </c>
      <c r="AI15" s="9">
        <f t="shared" si="5"/>
        <v>2201</v>
      </c>
      <c r="AJ15" s="14">
        <f t="shared" si="6"/>
        <v>4.4079948730273169E-2</v>
      </c>
      <c r="AK15" s="47">
        <v>612</v>
      </c>
      <c r="AL15" s="40">
        <v>644</v>
      </c>
      <c r="AM15" s="47" t="s">
        <v>24</v>
      </c>
      <c r="AN15" s="38" t="s">
        <v>26</v>
      </c>
      <c r="AO15" s="38" t="s">
        <v>27</v>
      </c>
      <c r="AP15" s="47"/>
      <c r="AQ15" s="47"/>
      <c r="AR15" s="47"/>
      <c r="AS15" s="58" t="s">
        <v>27</v>
      </c>
      <c r="AT15" s="129" t="s">
        <v>119</v>
      </c>
      <c r="AU15" s="67"/>
      <c r="AV15" s="29"/>
      <c r="AW15" s="29"/>
      <c r="AX15" s="29"/>
      <c r="AY15" s="29"/>
    </row>
    <row r="16" spans="1:51" x14ac:dyDescent="0.25">
      <c r="A16" s="166">
        <v>14</v>
      </c>
      <c r="B16" s="119">
        <v>46130</v>
      </c>
      <c r="C16" s="39" t="s">
        <v>22</v>
      </c>
      <c r="D16" s="48" t="s">
        <v>102</v>
      </c>
      <c r="E16" s="40">
        <v>95</v>
      </c>
      <c r="F16" s="22">
        <v>89781</v>
      </c>
      <c r="G16" s="40" t="s">
        <v>89</v>
      </c>
      <c r="H16" s="40" t="s">
        <v>23</v>
      </c>
      <c r="I16" s="41" t="s">
        <v>97</v>
      </c>
      <c r="J16" s="130" t="s">
        <v>97</v>
      </c>
      <c r="K16" s="174">
        <v>50350</v>
      </c>
      <c r="L16" s="174">
        <v>0</v>
      </c>
      <c r="M16" s="174">
        <f t="shared" si="9"/>
        <v>50350</v>
      </c>
      <c r="N16" s="8">
        <v>604</v>
      </c>
      <c r="O16" s="174">
        <f t="shared" si="10"/>
        <v>49746</v>
      </c>
      <c r="P16" s="51">
        <v>51004</v>
      </c>
      <c r="Q16" s="51">
        <v>2660</v>
      </c>
      <c r="R16" s="16">
        <f t="shared" si="11"/>
        <v>48344</v>
      </c>
      <c r="S16" s="16">
        <v>667</v>
      </c>
      <c r="T16" s="16">
        <f t="shared" si="12"/>
        <v>47677</v>
      </c>
      <c r="U16" s="54">
        <v>12.3</v>
      </c>
      <c r="V16" s="37">
        <v>169</v>
      </c>
      <c r="W16" s="42">
        <v>42.41</v>
      </c>
      <c r="X16" s="54">
        <v>9.8000000000000007</v>
      </c>
      <c r="Y16" s="43">
        <v>170</v>
      </c>
      <c r="Z16" s="42">
        <v>42.85</v>
      </c>
      <c r="AA16" s="42"/>
      <c r="AB16" s="42"/>
      <c r="AC16" s="42"/>
      <c r="AD16" s="42"/>
      <c r="AE16" s="42"/>
      <c r="AF16" s="42"/>
      <c r="AG16" s="42"/>
      <c r="AH16" s="44">
        <f t="shared" si="1"/>
        <v>2.5000000000000001E-2</v>
      </c>
      <c r="AI16" s="9">
        <f t="shared" si="5"/>
        <v>2069</v>
      </c>
      <c r="AJ16" s="14">
        <f t="shared" si="6"/>
        <v>4.1591283721304224E-2</v>
      </c>
      <c r="AK16" s="47">
        <v>629</v>
      </c>
      <c r="AL16" s="40">
        <v>667</v>
      </c>
      <c r="AM16" s="47" t="s">
        <v>24</v>
      </c>
      <c r="AN16" s="38" t="s">
        <v>26</v>
      </c>
      <c r="AO16" s="38" t="s">
        <v>27</v>
      </c>
      <c r="AP16" s="47"/>
      <c r="AQ16" s="47"/>
      <c r="AR16" s="47"/>
      <c r="AS16" s="58" t="s">
        <v>27</v>
      </c>
      <c r="AT16" s="129" t="s">
        <v>119</v>
      </c>
      <c r="AU16" s="67"/>
      <c r="AV16" s="29"/>
      <c r="AW16" s="29"/>
      <c r="AX16" s="29"/>
      <c r="AY16" s="29"/>
    </row>
    <row r="17" spans="1:51" x14ac:dyDescent="0.25">
      <c r="A17" s="166">
        <v>15</v>
      </c>
      <c r="B17" s="119">
        <v>46131</v>
      </c>
      <c r="C17" s="6" t="s">
        <v>22</v>
      </c>
      <c r="D17" s="5" t="s">
        <v>103</v>
      </c>
      <c r="E17" s="22">
        <v>116</v>
      </c>
      <c r="F17" s="22">
        <v>31888</v>
      </c>
      <c r="G17" s="22" t="s">
        <v>89</v>
      </c>
      <c r="H17" s="22" t="s">
        <v>23</v>
      </c>
      <c r="I17" s="17" t="s">
        <v>87</v>
      </c>
      <c r="J17" s="33" t="s">
        <v>87</v>
      </c>
      <c r="K17" s="174">
        <v>40690</v>
      </c>
      <c r="L17" s="174">
        <v>0</v>
      </c>
      <c r="M17" s="174">
        <f t="shared" si="9"/>
        <v>40690</v>
      </c>
      <c r="N17" s="8">
        <v>489</v>
      </c>
      <c r="O17" s="174">
        <f t="shared" si="10"/>
        <v>40201</v>
      </c>
      <c r="P17" s="16">
        <v>40311</v>
      </c>
      <c r="Q17" s="16">
        <v>1386</v>
      </c>
      <c r="R17" s="16">
        <f t="shared" si="11"/>
        <v>38925</v>
      </c>
      <c r="S17" s="16">
        <v>524</v>
      </c>
      <c r="T17" s="16">
        <f t="shared" si="12"/>
        <v>38401</v>
      </c>
      <c r="U17" s="32">
        <v>14.2</v>
      </c>
      <c r="V17" s="25">
        <v>158</v>
      </c>
      <c r="W17" s="10">
        <v>44.18</v>
      </c>
      <c r="X17" s="32">
        <v>10.1</v>
      </c>
      <c r="Y17" s="26">
        <v>160</v>
      </c>
      <c r="Z17" s="10">
        <v>44.26</v>
      </c>
      <c r="AA17" s="10"/>
      <c r="AB17" s="10"/>
      <c r="AC17" s="10"/>
      <c r="AD17" s="10"/>
      <c r="AE17" s="10"/>
      <c r="AF17" s="10"/>
      <c r="AG17" s="10"/>
      <c r="AH17" s="27">
        <f t="shared" si="1"/>
        <v>4.0999999999999995E-2</v>
      </c>
      <c r="AI17" s="9">
        <f t="shared" si="5"/>
        <v>1800</v>
      </c>
      <c r="AJ17" s="14">
        <f t="shared" si="6"/>
        <v>4.4775005596875701E-2</v>
      </c>
      <c r="AK17" s="28">
        <v>489</v>
      </c>
      <c r="AL17" s="22">
        <v>524</v>
      </c>
      <c r="AM17" s="28" t="s">
        <v>24</v>
      </c>
      <c r="AN17" s="6" t="s">
        <v>26</v>
      </c>
      <c r="AO17" s="6" t="s">
        <v>3</v>
      </c>
      <c r="AP17" s="28"/>
      <c r="AQ17" s="28"/>
      <c r="AR17" s="28"/>
      <c r="AS17" s="15"/>
      <c r="AT17" s="29" t="s">
        <v>121</v>
      </c>
      <c r="AU17" s="67"/>
      <c r="AV17" s="29"/>
      <c r="AW17" s="29"/>
      <c r="AX17" s="29"/>
      <c r="AY17" s="29"/>
    </row>
    <row r="18" spans="1:51" x14ac:dyDescent="0.25">
      <c r="A18" s="166">
        <v>16</v>
      </c>
      <c r="B18" s="119">
        <v>46133</v>
      </c>
      <c r="C18" s="39" t="s">
        <v>22</v>
      </c>
      <c r="D18" s="48" t="s">
        <v>102</v>
      </c>
      <c r="E18" s="37">
        <v>122</v>
      </c>
      <c r="F18" s="25">
        <v>29107</v>
      </c>
      <c r="G18" s="37" t="s">
        <v>89</v>
      </c>
      <c r="H18" s="37" t="s">
        <v>23</v>
      </c>
      <c r="I18" s="41" t="s">
        <v>97</v>
      </c>
      <c r="J18" s="131" t="s">
        <v>97</v>
      </c>
      <c r="K18" s="174">
        <v>45980</v>
      </c>
      <c r="L18" s="174">
        <v>0</v>
      </c>
      <c r="M18" s="174">
        <f t="shared" si="9"/>
        <v>45980</v>
      </c>
      <c r="N18" s="8">
        <v>604</v>
      </c>
      <c r="O18" s="174">
        <f t="shared" si="10"/>
        <v>45376</v>
      </c>
      <c r="P18" s="56">
        <v>46755</v>
      </c>
      <c r="Q18" s="56">
        <v>2375</v>
      </c>
      <c r="R18" s="16">
        <f t="shared" si="11"/>
        <v>44380</v>
      </c>
      <c r="S18" s="16">
        <v>600</v>
      </c>
      <c r="T18" s="16">
        <f t="shared" si="12"/>
        <v>43780</v>
      </c>
      <c r="U18" s="54">
        <v>10.3</v>
      </c>
      <c r="V18" s="37">
        <v>183</v>
      </c>
      <c r="W18" s="42">
        <v>41.79</v>
      </c>
      <c r="X18" s="54">
        <v>8.6</v>
      </c>
      <c r="Y18" s="43">
        <v>180</v>
      </c>
      <c r="Z18" s="42">
        <v>43.38</v>
      </c>
      <c r="AA18" s="42"/>
      <c r="AB18" s="42"/>
      <c r="AC18" s="42"/>
      <c r="AD18" s="42"/>
      <c r="AE18" s="42"/>
      <c r="AF18" s="42"/>
      <c r="AG18" s="42"/>
      <c r="AH18" s="44">
        <f>(U18-X18)/100</f>
        <v>1.7000000000000012E-2</v>
      </c>
      <c r="AI18" s="9">
        <f t="shared" si="5"/>
        <v>1596</v>
      </c>
      <c r="AJ18" s="14">
        <f t="shared" si="6"/>
        <v>3.5172778561354021E-2</v>
      </c>
      <c r="AK18" s="47">
        <v>609</v>
      </c>
      <c r="AL18" s="40">
        <v>600</v>
      </c>
      <c r="AM18" s="47" t="s">
        <v>24</v>
      </c>
      <c r="AN18" s="38" t="s">
        <v>26</v>
      </c>
      <c r="AO18" s="38" t="s">
        <v>27</v>
      </c>
      <c r="AP18" s="47"/>
      <c r="AQ18" s="47"/>
      <c r="AR18" s="47"/>
      <c r="AS18" s="58" t="s">
        <v>27</v>
      </c>
      <c r="AT18" s="129" t="s">
        <v>119</v>
      </c>
      <c r="AU18" s="67"/>
      <c r="AV18" s="67"/>
      <c r="AW18" s="105"/>
      <c r="AX18" s="29"/>
      <c r="AY18" s="29"/>
    </row>
    <row r="19" spans="1:51" x14ac:dyDescent="0.25">
      <c r="A19" s="166">
        <v>17</v>
      </c>
      <c r="B19" s="119">
        <v>46133</v>
      </c>
      <c r="C19" s="39" t="s">
        <v>22</v>
      </c>
      <c r="D19" s="48" t="s">
        <v>102</v>
      </c>
      <c r="E19" s="37">
        <v>125</v>
      </c>
      <c r="F19" s="25">
        <v>37582</v>
      </c>
      <c r="G19" s="37" t="s">
        <v>89</v>
      </c>
      <c r="H19" s="37" t="s">
        <v>23</v>
      </c>
      <c r="I19" s="41" t="s">
        <v>97</v>
      </c>
      <c r="J19" s="131" t="s">
        <v>97</v>
      </c>
      <c r="K19" s="174">
        <v>45520</v>
      </c>
      <c r="L19" s="174">
        <v>0</v>
      </c>
      <c r="M19" s="174">
        <f t="shared" si="9"/>
        <v>45520</v>
      </c>
      <c r="N19" s="8">
        <v>444</v>
      </c>
      <c r="O19" s="174">
        <f t="shared" si="10"/>
        <v>45076</v>
      </c>
      <c r="P19" s="56">
        <v>46698</v>
      </c>
      <c r="Q19" s="56">
        <v>2660</v>
      </c>
      <c r="R19" s="16">
        <f t="shared" si="11"/>
        <v>44038</v>
      </c>
      <c r="S19" s="16">
        <v>585</v>
      </c>
      <c r="T19" s="16">
        <f t="shared" si="12"/>
        <v>43453</v>
      </c>
      <c r="U19" s="54">
        <v>11.4</v>
      </c>
      <c r="V19" s="37">
        <v>162</v>
      </c>
      <c r="W19" s="42">
        <v>43.12</v>
      </c>
      <c r="X19" s="56">
        <v>9.5</v>
      </c>
      <c r="Y19" s="38">
        <v>161</v>
      </c>
      <c r="Z19" s="53">
        <v>43.38</v>
      </c>
      <c r="AA19" s="53"/>
      <c r="AB19" s="53"/>
      <c r="AC19" s="53"/>
      <c r="AD19" s="53"/>
      <c r="AE19" s="53"/>
      <c r="AF19" s="53"/>
      <c r="AG19" s="53"/>
      <c r="AH19" s="44">
        <f t="shared" ref="AH19:AH30" si="13">(U19-X19)/100</f>
        <v>1.9000000000000003E-2</v>
      </c>
      <c r="AI19" s="9">
        <f t="shared" si="5"/>
        <v>1623</v>
      </c>
      <c r="AJ19" s="14">
        <f t="shared" si="6"/>
        <v>3.6005856775224068E-2</v>
      </c>
      <c r="AK19" s="38">
        <v>475</v>
      </c>
      <c r="AL19" s="37">
        <v>585</v>
      </c>
      <c r="AM19" s="47" t="s">
        <v>24</v>
      </c>
      <c r="AN19" s="38" t="s">
        <v>26</v>
      </c>
      <c r="AO19" s="38" t="s">
        <v>27</v>
      </c>
      <c r="AP19" s="38"/>
      <c r="AQ19" s="38"/>
      <c r="AR19" s="38"/>
      <c r="AS19" s="58" t="s">
        <v>27</v>
      </c>
      <c r="AT19" s="129" t="s">
        <v>119</v>
      </c>
      <c r="AU19" s="29"/>
      <c r="AV19" s="29"/>
      <c r="AW19" s="29"/>
      <c r="AX19" s="29"/>
      <c r="AY19" s="29"/>
    </row>
    <row r="20" spans="1:51" x14ac:dyDescent="0.25">
      <c r="A20" s="166">
        <v>18</v>
      </c>
      <c r="B20" s="119">
        <v>46134</v>
      </c>
      <c r="C20" s="6" t="s">
        <v>22</v>
      </c>
      <c r="D20" s="25" t="s">
        <v>107</v>
      </c>
      <c r="E20" s="25">
        <v>135</v>
      </c>
      <c r="F20" s="25">
        <v>87109</v>
      </c>
      <c r="G20" s="25" t="s">
        <v>89</v>
      </c>
      <c r="H20" s="25" t="s">
        <v>23</v>
      </c>
      <c r="I20" s="8" t="s">
        <v>95</v>
      </c>
      <c r="J20" s="6" t="s">
        <v>95</v>
      </c>
      <c r="K20" s="174">
        <v>47060</v>
      </c>
      <c r="L20" s="174">
        <v>0</v>
      </c>
      <c r="M20" s="174">
        <f t="shared" si="9"/>
        <v>47060</v>
      </c>
      <c r="N20" s="8">
        <v>587</v>
      </c>
      <c r="O20" s="174">
        <f t="shared" si="10"/>
        <v>46473</v>
      </c>
      <c r="P20" s="55">
        <v>47318</v>
      </c>
      <c r="Q20" s="55">
        <v>2125</v>
      </c>
      <c r="R20" s="16">
        <f t="shared" si="11"/>
        <v>45193</v>
      </c>
      <c r="S20" s="16">
        <v>606</v>
      </c>
      <c r="T20" s="16">
        <f t="shared" si="12"/>
        <v>44587</v>
      </c>
      <c r="U20" s="55">
        <v>10.7</v>
      </c>
      <c r="V20" s="34">
        <v>182</v>
      </c>
      <c r="W20" s="21">
        <v>42.15</v>
      </c>
      <c r="X20" s="55">
        <v>9.1</v>
      </c>
      <c r="Y20" s="24">
        <v>176</v>
      </c>
      <c r="Z20" s="90">
        <v>44.7</v>
      </c>
      <c r="AA20" s="21"/>
      <c r="AB20" s="21"/>
      <c r="AC20" s="21"/>
      <c r="AD20" s="21"/>
      <c r="AE20" s="21"/>
      <c r="AF20" s="21"/>
      <c r="AG20" s="21"/>
      <c r="AH20" s="27">
        <f t="shared" si="13"/>
        <v>1.5999999999999997E-2</v>
      </c>
      <c r="AI20" s="9">
        <f t="shared" si="5"/>
        <v>1886</v>
      </c>
      <c r="AJ20" s="14">
        <f t="shared" si="6"/>
        <v>4.0582703935618532E-2</v>
      </c>
      <c r="AK20" s="21">
        <v>594</v>
      </c>
      <c r="AL20" s="25">
        <v>606</v>
      </c>
      <c r="AM20" s="28" t="s">
        <v>24</v>
      </c>
      <c r="AN20" s="21" t="s">
        <v>26</v>
      </c>
      <c r="AO20" s="21" t="s">
        <v>3</v>
      </c>
      <c r="AP20" s="35"/>
      <c r="AQ20" s="35"/>
      <c r="AR20" s="35"/>
      <c r="AS20" s="15"/>
      <c r="AT20" s="29"/>
      <c r="AU20" s="29"/>
      <c r="AV20" s="29"/>
      <c r="AW20" s="29"/>
      <c r="AX20" s="29"/>
      <c r="AY20" s="29"/>
    </row>
    <row r="21" spans="1:51" x14ac:dyDescent="0.25">
      <c r="A21" s="166">
        <v>19</v>
      </c>
      <c r="B21" s="119">
        <v>46134</v>
      </c>
      <c r="C21" s="39" t="s">
        <v>22</v>
      </c>
      <c r="D21" s="48" t="s">
        <v>102</v>
      </c>
      <c r="E21" s="37">
        <v>139</v>
      </c>
      <c r="F21" s="5">
        <v>35967</v>
      </c>
      <c r="G21" s="48" t="s">
        <v>89</v>
      </c>
      <c r="H21" s="48" t="s">
        <v>23</v>
      </c>
      <c r="I21" s="41" t="s">
        <v>97</v>
      </c>
      <c r="J21" s="132" t="s">
        <v>97</v>
      </c>
      <c r="K21" s="174">
        <v>42400</v>
      </c>
      <c r="L21" s="174">
        <v>0</v>
      </c>
      <c r="M21" s="174">
        <f t="shared" si="9"/>
        <v>42400</v>
      </c>
      <c r="N21" s="8">
        <v>523</v>
      </c>
      <c r="O21" s="174">
        <f t="shared" si="10"/>
        <v>41877</v>
      </c>
      <c r="P21" s="51">
        <v>43491</v>
      </c>
      <c r="Q21" s="51">
        <v>2125</v>
      </c>
      <c r="R21" s="16">
        <f t="shared" si="11"/>
        <v>41366</v>
      </c>
      <c r="S21" s="16">
        <v>564</v>
      </c>
      <c r="T21" s="16">
        <f t="shared" si="12"/>
        <v>40802</v>
      </c>
      <c r="U21" s="51">
        <v>11.4</v>
      </c>
      <c r="V21" s="49">
        <v>178</v>
      </c>
      <c r="W21" s="39">
        <v>41.97</v>
      </c>
      <c r="X21" s="51">
        <v>9.3000000000000007</v>
      </c>
      <c r="Y21" s="45">
        <v>179</v>
      </c>
      <c r="Z21" s="39">
        <v>42.68</v>
      </c>
      <c r="AA21" s="39"/>
      <c r="AB21" s="39"/>
      <c r="AC21" s="39"/>
      <c r="AD21" s="39"/>
      <c r="AE21" s="39"/>
      <c r="AF21" s="39"/>
      <c r="AG21" s="39"/>
      <c r="AH21" s="44">
        <f t="shared" si="13"/>
        <v>2.0999999999999998E-2</v>
      </c>
      <c r="AI21" s="9">
        <f t="shared" si="5"/>
        <v>1075</v>
      </c>
      <c r="AJ21" s="14">
        <f t="shared" si="6"/>
        <v>2.5670415741337726E-2</v>
      </c>
      <c r="AK21" s="39">
        <v>542</v>
      </c>
      <c r="AL21" s="48">
        <v>564</v>
      </c>
      <c r="AM21" s="47" t="s">
        <v>24</v>
      </c>
      <c r="AN21" s="38" t="s">
        <v>26</v>
      </c>
      <c r="AO21" s="38" t="s">
        <v>27</v>
      </c>
      <c r="AP21" s="51"/>
      <c r="AQ21" s="51"/>
      <c r="AR21" s="51"/>
      <c r="AS21" s="58" t="s">
        <v>27</v>
      </c>
      <c r="AT21" s="129" t="s">
        <v>119</v>
      </c>
      <c r="AU21" s="29"/>
      <c r="AV21" s="29"/>
      <c r="AW21" s="29"/>
      <c r="AX21" s="29"/>
      <c r="AY21" s="29"/>
    </row>
    <row r="22" spans="1:51" x14ac:dyDescent="0.25">
      <c r="A22" s="166">
        <v>20</v>
      </c>
      <c r="B22" s="119">
        <v>46135</v>
      </c>
      <c r="C22" s="39" t="s">
        <v>22</v>
      </c>
      <c r="D22" s="48" t="s">
        <v>102</v>
      </c>
      <c r="E22" s="37">
        <v>113</v>
      </c>
      <c r="F22" s="5">
        <v>87146</v>
      </c>
      <c r="G22" s="48" t="s">
        <v>89</v>
      </c>
      <c r="H22" s="48" t="s">
        <v>23</v>
      </c>
      <c r="I22" s="41" t="s">
        <v>97</v>
      </c>
      <c r="J22" s="132" t="s">
        <v>97</v>
      </c>
      <c r="K22" s="174">
        <v>34010</v>
      </c>
      <c r="L22" s="174">
        <v>0</v>
      </c>
      <c r="M22" s="174">
        <f t="shared" si="9"/>
        <v>34010</v>
      </c>
      <c r="N22" s="8">
        <v>430</v>
      </c>
      <c r="O22" s="174">
        <f t="shared" si="10"/>
        <v>33580</v>
      </c>
      <c r="P22" s="51">
        <v>34791</v>
      </c>
      <c r="Q22" s="51">
        <v>1785</v>
      </c>
      <c r="R22" s="16">
        <f t="shared" si="11"/>
        <v>33006</v>
      </c>
      <c r="S22" s="16">
        <v>457</v>
      </c>
      <c r="T22" s="16">
        <f t="shared" si="12"/>
        <v>32549</v>
      </c>
      <c r="U22" s="51">
        <v>9.8000000000000007</v>
      </c>
      <c r="V22" s="49">
        <v>172</v>
      </c>
      <c r="W22" s="39">
        <v>42.59</v>
      </c>
      <c r="X22" s="51">
        <v>8.8000000000000007</v>
      </c>
      <c r="Y22" s="45">
        <v>171</v>
      </c>
      <c r="Z22" s="39">
        <v>43.65</v>
      </c>
      <c r="AA22" s="39"/>
      <c r="AB22" s="39"/>
      <c r="AC22" s="39"/>
      <c r="AD22" s="39"/>
      <c r="AE22" s="39"/>
      <c r="AF22" s="39"/>
      <c r="AG22" s="39"/>
      <c r="AH22" s="44">
        <f t="shared" si="13"/>
        <v>0.01</v>
      </c>
      <c r="AI22" s="9">
        <f t="shared" si="5"/>
        <v>1031</v>
      </c>
      <c r="AJ22" s="14">
        <f t="shared" si="6"/>
        <v>3.0702799285288861E-2</v>
      </c>
      <c r="AK22" s="39">
        <v>449</v>
      </c>
      <c r="AL22" s="50">
        <v>457</v>
      </c>
      <c r="AM22" s="47" t="s">
        <v>24</v>
      </c>
      <c r="AN22" s="38" t="s">
        <v>26</v>
      </c>
      <c r="AO22" s="38" t="s">
        <v>27</v>
      </c>
      <c r="AP22" s="51"/>
      <c r="AQ22" s="51"/>
      <c r="AR22" s="51"/>
      <c r="AS22" s="58" t="s">
        <v>27</v>
      </c>
      <c r="AT22" s="129" t="s">
        <v>119</v>
      </c>
      <c r="AU22" s="29"/>
      <c r="AV22" s="29"/>
      <c r="AW22" s="29"/>
      <c r="AX22" s="29"/>
      <c r="AY22" s="29"/>
    </row>
    <row r="23" spans="1:51" x14ac:dyDescent="0.25">
      <c r="A23" s="166">
        <v>21</v>
      </c>
      <c r="B23" s="119">
        <v>46136</v>
      </c>
      <c r="C23" s="39" t="s">
        <v>22</v>
      </c>
      <c r="D23" s="48" t="s">
        <v>102</v>
      </c>
      <c r="E23" s="48">
        <v>107</v>
      </c>
      <c r="F23" s="5">
        <v>37581</v>
      </c>
      <c r="G23" s="48" t="s">
        <v>89</v>
      </c>
      <c r="H23" s="48" t="s">
        <v>23</v>
      </c>
      <c r="I23" s="41" t="s">
        <v>97</v>
      </c>
      <c r="J23" s="132" t="s">
        <v>97</v>
      </c>
      <c r="K23" s="174">
        <v>45490</v>
      </c>
      <c r="L23" s="174">
        <v>0</v>
      </c>
      <c r="M23" s="174">
        <f t="shared" si="9"/>
        <v>45490</v>
      </c>
      <c r="N23" s="8">
        <v>531</v>
      </c>
      <c r="O23" s="174">
        <f t="shared" si="10"/>
        <v>44959</v>
      </c>
      <c r="P23" s="51">
        <v>47169</v>
      </c>
      <c r="Q23" s="51">
        <v>2295</v>
      </c>
      <c r="R23" s="16">
        <f t="shared" si="11"/>
        <v>44874</v>
      </c>
      <c r="S23" s="16">
        <v>603</v>
      </c>
      <c r="T23" s="16">
        <f t="shared" si="12"/>
        <v>44271</v>
      </c>
      <c r="U23" s="51">
        <v>10.1</v>
      </c>
      <c r="V23" s="49">
        <v>159</v>
      </c>
      <c r="W23" s="39">
        <v>42.15</v>
      </c>
      <c r="X23" s="51">
        <v>8.6999999999999993</v>
      </c>
      <c r="Y23" s="45">
        <v>164</v>
      </c>
      <c r="Z23" s="39">
        <v>42.59</v>
      </c>
      <c r="AA23" s="39"/>
      <c r="AB23" s="39"/>
      <c r="AC23" s="39"/>
      <c r="AD23" s="39"/>
      <c r="AE23" s="39"/>
      <c r="AF23" s="39"/>
      <c r="AG23" s="39"/>
      <c r="AH23" s="44">
        <f t="shared" si="13"/>
        <v>1.4000000000000004E-2</v>
      </c>
      <c r="AI23" s="9">
        <f t="shared" si="5"/>
        <v>688</v>
      </c>
      <c r="AJ23" s="14">
        <f t="shared" si="6"/>
        <v>1.5302831468671457E-2</v>
      </c>
      <c r="AK23" s="39">
        <v>558</v>
      </c>
      <c r="AL23" s="48">
        <v>603</v>
      </c>
      <c r="AM23" s="47" t="s">
        <v>24</v>
      </c>
      <c r="AN23" s="38" t="s">
        <v>26</v>
      </c>
      <c r="AO23" s="38" t="s">
        <v>27</v>
      </c>
      <c r="AP23" s="51"/>
      <c r="AQ23" s="51"/>
      <c r="AR23" s="51"/>
      <c r="AS23" s="58" t="s">
        <v>27</v>
      </c>
      <c r="AT23" s="129" t="s">
        <v>119</v>
      </c>
      <c r="AU23" s="29"/>
      <c r="AV23" s="29"/>
      <c r="AW23" s="29"/>
      <c r="AX23" s="29"/>
      <c r="AY23" s="29"/>
    </row>
    <row r="24" spans="1:51" x14ac:dyDescent="0.25">
      <c r="A24" s="166">
        <v>22</v>
      </c>
      <c r="B24" s="119">
        <v>46136</v>
      </c>
      <c r="C24" s="6" t="s">
        <v>22</v>
      </c>
      <c r="D24" s="5" t="s">
        <v>103</v>
      </c>
      <c r="E24" s="5">
        <v>110</v>
      </c>
      <c r="F24" s="5">
        <v>3198</v>
      </c>
      <c r="G24" s="5" t="s">
        <v>89</v>
      </c>
      <c r="H24" s="5" t="s">
        <v>23</v>
      </c>
      <c r="I24" s="17" t="s">
        <v>87</v>
      </c>
      <c r="J24" s="6" t="s">
        <v>87</v>
      </c>
      <c r="K24" s="174">
        <v>37970</v>
      </c>
      <c r="L24" s="174">
        <v>0</v>
      </c>
      <c r="M24" s="174">
        <f t="shared" si="9"/>
        <v>37970</v>
      </c>
      <c r="N24" s="8">
        <v>426</v>
      </c>
      <c r="O24" s="174">
        <f t="shared" si="10"/>
        <v>37544</v>
      </c>
      <c r="P24" s="16">
        <v>38637</v>
      </c>
      <c r="Q24" s="16">
        <v>1700</v>
      </c>
      <c r="R24" s="16">
        <f t="shared" si="11"/>
        <v>36937</v>
      </c>
      <c r="S24" s="16">
        <v>506</v>
      </c>
      <c r="T24" s="16">
        <f t="shared" si="12"/>
        <v>36431</v>
      </c>
      <c r="U24" s="16">
        <v>12.9</v>
      </c>
      <c r="V24" s="36">
        <v>158</v>
      </c>
      <c r="W24" s="6">
        <v>43.21</v>
      </c>
      <c r="X24" s="16">
        <v>9.8000000000000007</v>
      </c>
      <c r="Y24" s="9">
        <v>166</v>
      </c>
      <c r="Z24" s="6">
        <v>44.26</v>
      </c>
      <c r="AA24" s="6"/>
      <c r="AB24" s="6"/>
      <c r="AC24" s="6"/>
      <c r="AD24" s="6"/>
      <c r="AE24" s="6"/>
      <c r="AF24" s="6"/>
      <c r="AG24" s="6"/>
      <c r="AH24" s="27">
        <f t="shared" si="13"/>
        <v>3.0999999999999996E-2</v>
      </c>
      <c r="AI24" s="9">
        <f t="shared" si="5"/>
        <v>1113</v>
      </c>
      <c r="AJ24" s="14">
        <f t="shared" si="6"/>
        <v>2.964521627956531E-2</v>
      </c>
      <c r="AK24" s="6">
        <v>450</v>
      </c>
      <c r="AL24" s="5">
        <v>506</v>
      </c>
      <c r="AM24" s="28" t="s">
        <v>24</v>
      </c>
      <c r="AN24" s="21" t="s">
        <v>26</v>
      </c>
      <c r="AO24" s="21" t="s">
        <v>3</v>
      </c>
      <c r="AP24" s="59"/>
      <c r="AQ24" s="59"/>
      <c r="AR24" s="59"/>
      <c r="AS24" s="15"/>
      <c r="AT24" s="29" t="s">
        <v>121</v>
      </c>
      <c r="AU24" s="29"/>
      <c r="AV24" s="29"/>
      <c r="AW24" s="29"/>
      <c r="AX24" s="29"/>
      <c r="AY24" s="29"/>
    </row>
    <row r="25" spans="1:51" x14ac:dyDescent="0.25">
      <c r="A25" s="166">
        <v>23</v>
      </c>
      <c r="B25" s="119">
        <v>46137</v>
      </c>
      <c r="C25" s="6" t="s">
        <v>22</v>
      </c>
      <c r="D25" s="25" t="s">
        <v>107</v>
      </c>
      <c r="E25" s="5">
        <v>162</v>
      </c>
      <c r="F25" s="5">
        <v>89784</v>
      </c>
      <c r="G25" s="5" t="s">
        <v>89</v>
      </c>
      <c r="H25" s="5" t="s">
        <v>23</v>
      </c>
      <c r="I25" s="8" t="s">
        <v>95</v>
      </c>
      <c r="J25" s="6" t="s">
        <v>95</v>
      </c>
      <c r="K25" s="174">
        <v>39460</v>
      </c>
      <c r="L25" s="174">
        <v>0</v>
      </c>
      <c r="M25" s="174">
        <f t="shared" si="9"/>
        <v>39460</v>
      </c>
      <c r="N25" s="8">
        <v>477</v>
      </c>
      <c r="O25" s="174">
        <f t="shared" si="10"/>
        <v>38983</v>
      </c>
      <c r="P25" s="16">
        <v>40251</v>
      </c>
      <c r="Q25" s="16">
        <v>1870</v>
      </c>
      <c r="R25" s="16">
        <f t="shared" si="11"/>
        <v>38381</v>
      </c>
      <c r="S25" s="16">
        <v>518</v>
      </c>
      <c r="T25" s="16">
        <f t="shared" si="12"/>
        <v>37863</v>
      </c>
      <c r="U25" s="16">
        <v>12.8</v>
      </c>
      <c r="V25" s="36">
        <v>170</v>
      </c>
      <c r="W25" s="6">
        <v>44.09</v>
      </c>
      <c r="X25" s="16">
        <v>10.1</v>
      </c>
      <c r="Y25" s="9">
        <v>169</v>
      </c>
      <c r="Z25" s="6">
        <v>44.97</v>
      </c>
      <c r="AA25" s="6"/>
      <c r="AB25" s="6"/>
      <c r="AC25" s="6"/>
      <c r="AD25" s="6"/>
      <c r="AE25" s="6"/>
      <c r="AF25" s="6"/>
      <c r="AG25" s="6"/>
      <c r="AH25" s="27">
        <f t="shared" si="13"/>
        <v>2.700000000000001E-2</v>
      </c>
      <c r="AI25" s="9">
        <f t="shared" si="5"/>
        <v>1120</v>
      </c>
      <c r="AJ25" s="14">
        <f t="shared" si="6"/>
        <v>2.8730472257137728E-2</v>
      </c>
      <c r="AK25" s="6">
        <v>486</v>
      </c>
      <c r="AL25" s="5">
        <v>518</v>
      </c>
      <c r="AM25" s="28" t="s">
        <v>24</v>
      </c>
      <c r="AN25" s="21" t="s">
        <v>26</v>
      </c>
      <c r="AO25" s="21" t="s">
        <v>3</v>
      </c>
      <c r="AP25" s="59"/>
      <c r="AQ25" s="59"/>
      <c r="AR25" s="59"/>
      <c r="AS25" s="15"/>
      <c r="AT25" s="29"/>
      <c r="AU25" s="29"/>
      <c r="AV25" s="29"/>
      <c r="AW25" s="29"/>
      <c r="AX25" s="29"/>
      <c r="AY25" s="29"/>
    </row>
    <row r="26" spans="1:51" x14ac:dyDescent="0.25">
      <c r="A26" s="166">
        <v>24</v>
      </c>
      <c r="B26" s="119">
        <v>46137</v>
      </c>
      <c r="C26" s="6" t="s">
        <v>22</v>
      </c>
      <c r="D26" s="25" t="s">
        <v>107</v>
      </c>
      <c r="E26" s="5">
        <v>160</v>
      </c>
      <c r="F26" s="5">
        <v>65511</v>
      </c>
      <c r="G26" s="5" t="s">
        <v>89</v>
      </c>
      <c r="H26" s="5" t="s">
        <v>23</v>
      </c>
      <c r="I26" s="8" t="s">
        <v>95</v>
      </c>
      <c r="J26" s="6" t="s">
        <v>95</v>
      </c>
      <c r="K26" s="174">
        <v>43950</v>
      </c>
      <c r="L26" s="174">
        <v>0</v>
      </c>
      <c r="M26" s="174">
        <f t="shared" si="9"/>
        <v>43950</v>
      </c>
      <c r="N26" s="8">
        <v>540</v>
      </c>
      <c r="O26" s="174">
        <f t="shared" si="10"/>
        <v>43410</v>
      </c>
      <c r="P26" s="16">
        <v>44482</v>
      </c>
      <c r="Q26" s="16">
        <v>1955</v>
      </c>
      <c r="R26" s="16">
        <f t="shared" si="11"/>
        <v>42527</v>
      </c>
      <c r="S26" s="16">
        <v>570</v>
      </c>
      <c r="T26" s="16">
        <f t="shared" si="12"/>
        <v>41957</v>
      </c>
      <c r="U26" s="20">
        <v>14.3</v>
      </c>
      <c r="V26" s="36">
        <v>165</v>
      </c>
      <c r="W26" s="6">
        <v>43.73</v>
      </c>
      <c r="X26" s="16">
        <v>10.9</v>
      </c>
      <c r="Y26" s="9">
        <v>169</v>
      </c>
      <c r="Z26" s="6">
        <v>45.06</v>
      </c>
      <c r="AA26" s="6"/>
      <c r="AB26" s="6"/>
      <c r="AC26" s="6"/>
      <c r="AD26" s="6"/>
      <c r="AE26" s="6"/>
      <c r="AF26" s="6"/>
      <c r="AG26" s="6"/>
      <c r="AH26" s="27">
        <f t="shared" si="13"/>
        <v>3.4000000000000002E-2</v>
      </c>
      <c r="AI26" s="9">
        <f t="shared" si="5"/>
        <v>1453</v>
      </c>
      <c r="AJ26" s="14">
        <f t="shared" si="6"/>
        <v>3.3471550334024415E-2</v>
      </c>
      <c r="AK26" s="6">
        <v>566</v>
      </c>
      <c r="AL26" s="5">
        <v>570</v>
      </c>
      <c r="AM26" s="28" t="s">
        <v>24</v>
      </c>
      <c r="AN26" s="21" t="s">
        <v>26</v>
      </c>
      <c r="AO26" s="21" t="s">
        <v>3</v>
      </c>
      <c r="AP26" s="59"/>
      <c r="AQ26" s="59"/>
      <c r="AR26" s="59"/>
      <c r="AS26" s="15"/>
      <c r="AT26" s="29"/>
      <c r="AU26" s="29"/>
      <c r="AV26" s="29"/>
      <c r="AW26" s="29"/>
      <c r="AX26" s="29"/>
      <c r="AY26" s="29"/>
    </row>
    <row r="27" spans="1:51" x14ac:dyDescent="0.25">
      <c r="A27" s="166">
        <v>25</v>
      </c>
      <c r="B27" s="119">
        <v>46138</v>
      </c>
      <c r="C27" s="6" t="s">
        <v>22</v>
      </c>
      <c r="D27" s="5" t="s">
        <v>103</v>
      </c>
      <c r="E27" s="5">
        <v>173</v>
      </c>
      <c r="F27" s="5">
        <v>32358</v>
      </c>
      <c r="G27" s="5" t="s">
        <v>89</v>
      </c>
      <c r="H27" s="5" t="s">
        <v>23</v>
      </c>
      <c r="I27" s="17" t="s">
        <v>87</v>
      </c>
      <c r="J27" s="6" t="s">
        <v>87</v>
      </c>
      <c r="K27" s="174">
        <v>46090</v>
      </c>
      <c r="L27" s="174">
        <v>0</v>
      </c>
      <c r="M27" s="174">
        <f t="shared" si="9"/>
        <v>46090</v>
      </c>
      <c r="N27" s="8">
        <v>533</v>
      </c>
      <c r="O27" s="174">
        <f t="shared" si="10"/>
        <v>45557</v>
      </c>
      <c r="P27" s="16">
        <v>46658</v>
      </c>
      <c r="Q27" s="16">
        <v>2210</v>
      </c>
      <c r="R27" s="16">
        <f t="shared" si="11"/>
        <v>44448</v>
      </c>
      <c r="S27" s="16">
        <v>594</v>
      </c>
      <c r="T27" s="16">
        <f t="shared" si="12"/>
        <v>43854</v>
      </c>
      <c r="U27" s="16">
        <v>13.6</v>
      </c>
      <c r="V27" s="36">
        <v>172</v>
      </c>
      <c r="W27" s="13">
        <v>44.2</v>
      </c>
      <c r="X27" s="16">
        <v>9.8000000000000007</v>
      </c>
      <c r="Y27" s="9">
        <v>169</v>
      </c>
      <c r="Z27" s="6">
        <v>44.53</v>
      </c>
      <c r="AA27" s="6"/>
      <c r="AB27" s="6"/>
      <c r="AC27" s="6"/>
      <c r="AD27" s="6"/>
      <c r="AE27" s="6"/>
      <c r="AF27" s="6"/>
      <c r="AG27" s="6"/>
      <c r="AH27" s="27">
        <f t="shared" si="13"/>
        <v>3.7999999999999992E-2</v>
      </c>
      <c r="AI27" s="9">
        <f t="shared" si="5"/>
        <v>1703</v>
      </c>
      <c r="AJ27" s="14">
        <f t="shared" si="6"/>
        <v>3.7381741554536073E-2</v>
      </c>
      <c r="AK27" s="6">
        <v>533</v>
      </c>
      <c r="AL27" s="5">
        <v>594</v>
      </c>
      <c r="AM27" s="28" t="s">
        <v>24</v>
      </c>
      <c r="AN27" s="21" t="s">
        <v>26</v>
      </c>
      <c r="AO27" s="21" t="s">
        <v>3</v>
      </c>
      <c r="AP27" s="59"/>
      <c r="AQ27" s="59"/>
      <c r="AR27" s="59"/>
      <c r="AS27" s="15"/>
      <c r="AT27" s="29" t="s">
        <v>121</v>
      </c>
      <c r="AU27" s="29"/>
      <c r="AV27" s="29"/>
      <c r="AW27" s="29"/>
      <c r="AX27" s="29"/>
      <c r="AY27" s="29"/>
    </row>
    <row r="28" spans="1:51" x14ac:dyDescent="0.25">
      <c r="A28" s="166">
        <v>26</v>
      </c>
      <c r="B28" s="119">
        <v>46138</v>
      </c>
      <c r="C28" s="39" t="s">
        <v>22</v>
      </c>
      <c r="D28" s="48" t="s">
        <v>102</v>
      </c>
      <c r="E28" s="48">
        <v>172</v>
      </c>
      <c r="F28" s="5">
        <v>87093</v>
      </c>
      <c r="G28" s="48" t="s">
        <v>89</v>
      </c>
      <c r="H28" s="48" t="s">
        <v>23</v>
      </c>
      <c r="I28" s="41" t="s">
        <v>97</v>
      </c>
      <c r="J28" s="132" t="s">
        <v>97</v>
      </c>
      <c r="K28" s="174">
        <v>40130</v>
      </c>
      <c r="L28" s="174">
        <v>0</v>
      </c>
      <c r="M28" s="174">
        <f t="shared" si="9"/>
        <v>40130</v>
      </c>
      <c r="N28" s="8">
        <v>496</v>
      </c>
      <c r="O28" s="174">
        <f t="shared" si="10"/>
        <v>39634</v>
      </c>
      <c r="P28" s="51">
        <v>40789</v>
      </c>
      <c r="Q28" s="51">
        <v>1870</v>
      </c>
      <c r="R28" s="16">
        <f t="shared" si="11"/>
        <v>38919</v>
      </c>
      <c r="S28" s="16">
        <v>528</v>
      </c>
      <c r="T28" s="16">
        <f t="shared" si="12"/>
        <v>38391</v>
      </c>
      <c r="U28" s="51">
        <v>11.1</v>
      </c>
      <c r="V28" s="49">
        <v>183</v>
      </c>
      <c r="W28" s="39">
        <v>41.97</v>
      </c>
      <c r="X28" s="51">
        <v>10.5</v>
      </c>
      <c r="Y28" s="45">
        <v>176</v>
      </c>
      <c r="Z28" s="39">
        <v>42.68</v>
      </c>
      <c r="AA28" s="39"/>
      <c r="AB28" s="39"/>
      <c r="AC28" s="39"/>
      <c r="AD28" s="39"/>
      <c r="AE28" s="39"/>
      <c r="AF28" s="39"/>
      <c r="AG28" s="39"/>
      <c r="AH28" s="44">
        <f t="shared" si="13"/>
        <v>5.9999999999999967E-3</v>
      </c>
      <c r="AI28" s="9">
        <f t="shared" si="5"/>
        <v>1243</v>
      </c>
      <c r="AJ28" s="14">
        <f t="shared" si="6"/>
        <v>3.1361961951859516E-2</v>
      </c>
      <c r="AK28" s="39">
        <v>496</v>
      </c>
      <c r="AL28" s="48">
        <v>528</v>
      </c>
      <c r="AM28" s="47" t="s">
        <v>24</v>
      </c>
      <c r="AN28" s="38" t="s">
        <v>26</v>
      </c>
      <c r="AO28" s="38" t="s">
        <v>27</v>
      </c>
      <c r="AP28" s="60"/>
      <c r="AQ28" s="60"/>
      <c r="AR28" s="60"/>
      <c r="AS28" s="58" t="s">
        <v>27</v>
      </c>
      <c r="AT28" s="129" t="s">
        <v>119</v>
      </c>
      <c r="AU28" s="29"/>
      <c r="AV28" s="29"/>
      <c r="AW28" s="29"/>
      <c r="AX28" s="29"/>
      <c r="AY28" s="29"/>
    </row>
    <row r="29" spans="1:51" x14ac:dyDescent="0.25">
      <c r="A29" s="166">
        <v>27</v>
      </c>
      <c r="B29" s="119">
        <v>46139</v>
      </c>
      <c r="C29" s="21" t="s">
        <v>22</v>
      </c>
      <c r="D29" s="5" t="s">
        <v>103</v>
      </c>
      <c r="E29" s="25">
        <v>139</v>
      </c>
      <c r="F29" s="25">
        <v>68652</v>
      </c>
      <c r="G29" s="25" t="s">
        <v>89</v>
      </c>
      <c r="H29" s="25" t="s">
        <v>25</v>
      </c>
      <c r="I29" s="17" t="s">
        <v>87</v>
      </c>
      <c r="J29" s="21" t="s">
        <v>87</v>
      </c>
      <c r="K29" s="174">
        <v>51380</v>
      </c>
      <c r="L29" s="55">
        <v>0</v>
      </c>
      <c r="M29" s="174">
        <f>K29-L29</f>
        <v>51380</v>
      </c>
      <c r="N29" s="8">
        <v>656</v>
      </c>
      <c r="O29" s="175">
        <f>M29-N29</f>
        <v>50724</v>
      </c>
      <c r="P29" s="55">
        <v>51652</v>
      </c>
      <c r="Q29" s="55">
        <v>2295</v>
      </c>
      <c r="R29" s="16">
        <f t="shared" si="11"/>
        <v>49357</v>
      </c>
      <c r="S29" s="16">
        <v>660</v>
      </c>
      <c r="T29" s="16">
        <f t="shared" si="12"/>
        <v>48697</v>
      </c>
      <c r="U29" s="55">
        <v>10.8</v>
      </c>
      <c r="V29" s="34">
        <v>174</v>
      </c>
      <c r="W29" s="21">
        <v>42.06</v>
      </c>
      <c r="X29" s="55">
        <v>8.4</v>
      </c>
      <c r="Y29" s="24">
        <v>180</v>
      </c>
      <c r="Z29" s="21">
        <v>43.73</v>
      </c>
      <c r="AA29" s="21"/>
      <c r="AB29" s="21"/>
      <c r="AC29" s="21"/>
      <c r="AD29" s="21"/>
      <c r="AE29" s="21"/>
      <c r="AF29" s="21"/>
      <c r="AG29" s="21"/>
      <c r="AH29" s="27">
        <f t="shared" si="13"/>
        <v>2.4000000000000004E-2</v>
      </c>
      <c r="AI29" s="9">
        <f t="shared" si="5"/>
        <v>2027</v>
      </c>
      <c r="AJ29" s="14">
        <f t="shared" si="6"/>
        <v>3.9961359514233893E-2</v>
      </c>
      <c r="AK29" s="21">
        <v>673</v>
      </c>
      <c r="AL29" s="25">
        <v>660</v>
      </c>
      <c r="AM29" s="28" t="s">
        <v>24</v>
      </c>
      <c r="AN29" s="21" t="s">
        <v>26</v>
      </c>
      <c r="AO29" s="21" t="s">
        <v>3</v>
      </c>
      <c r="AP29" s="61"/>
      <c r="AQ29" s="61"/>
      <c r="AR29" s="61"/>
      <c r="AS29" s="15"/>
      <c r="AT29" s="29" t="s">
        <v>121</v>
      </c>
      <c r="AU29" s="29"/>
      <c r="AV29" s="29"/>
      <c r="AW29" s="29"/>
      <c r="AX29" s="29"/>
      <c r="AY29" s="29"/>
    </row>
    <row r="30" spans="1:51" x14ac:dyDescent="0.25">
      <c r="A30" s="166">
        <v>28</v>
      </c>
      <c r="B30" s="119">
        <v>46140</v>
      </c>
      <c r="C30" s="38" t="s">
        <v>22</v>
      </c>
      <c r="D30" s="48" t="s">
        <v>102</v>
      </c>
      <c r="E30" s="48">
        <v>184</v>
      </c>
      <c r="F30" s="5">
        <v>35051</v>
      </c>
      <c r="G30" s="48" t="s">
        <v>89</v>
      </c>
      <c r="H30" s="48" t="s">
        <v>23</v>
      </c>
      <c r="I30" s="41" t="s">
        <v>97</v>
      </c>
      <c r="J30" s="132" t="s">
        <v>97</v>
      </c>
      <c r="K30" s="174">
        <v>48740</v>
      </c>
      <c r="L30" s="174">
        <v>0</v>
      </c>
      <c r="M30" s="174">
        <f t="shared" ref="M30:M36" si="14">K30-L30</f>
        <v>48740</v>
      </c>
      <c r="N30" s="8">
        <v>564</v>
      </c>
      <c r="O30" s="174">
        <f t="shared" ref="O30:O36" si="15">M30-N30</f>
        <v>48176</v>
      </c>
      <c r="P30" s="51">
        <v>50339</v>
      </c>
      <c r="Q30" s="51">
        <v>2380</v>
      </c>
      <c r="R30" s="16">
        <f t="shared" si="11"/>
        <v>47959</v>
      </c>
      <c r="S30" s="16">
        <v>643</v>
      </c>
      <c r="T30" s="16">
        <f t="shared" si="12"/>
        <v>47316</v>
      </c>
      <c r="U30" s="56">
        <v>11.2</v>
      </c>
      <c r="V30" s="48">
        <v>189</v>
      </c>
      <c r="W30" s="39">
        <v>42.32</v>
      </c>
      <c r="X30" s="51">
        <v>9.6999999999999993</v>
      </c>
      <c r="Y30" s="45">
        <v>199</v>
      </c>
      <c r="Z30" s="39">
        <v>42.32</v>
      </c>
      <c r="AA30" s="39"/>
      <c r="AB30" s="39"/>
      <c r="AC30" s="39"/>
      <c r="AD30" s="39"/>
      <c r="AE30" s="39"/>
      <c r="AF30" s="39"/>
      <c r="AG30" s="39"/>
      <c r="AH30" s="44">
        <f t="shared" si="13"/>
        <v>1.4999999999999999E-2</v>
      </c>
      <c r="AI30" s="9">
        <f t="shared" si="5"/>
        <v>860</v>
      </c>
      <c r="AJ30" s="14">
        <f t="shared" si="6"/>
        <v>1.7851212221853204E-2</v>
      </c>
      <c r="AK30" s="39">
        <v>567</v>
      </c>
      <c r="AL30" s="48">
        <v>643</v>
      </c>
      <c r="AM30" s="39" t="s">
        <v>24</v>
      </c>
      <c r="AN30" s="39" t="s">
        <v>26</v>
      </c>
      <c r="AO30" s="39" t="s">
        <v>80</v>
      </c>
      <c r="AP30" s="60"/>
      <c r="AQ30" s="60"/>
      <c r="AR30" s="60"/>
      <c r="AS30" s="58" t="s">
        <v>27</v>
      </c>
      <c r="AT30" s="129" t="s">
        <v>119</v>
      </c>
      <c r="AU30" s="29"/>
      <c r="AV30" s="29"/>
      <c r="AW30" s="29"/>
      <c r="AX30" s="29"/>
      <c r="AY30" s="29"/>
    </row>
    <row r="31" spans="1:51" x14ac:dyDescent="0.25">
      <c r="A31" s="166">
        <v>29</v>
      </c>
      <c r="B31" s="119">
        <v>46142</v>
      </c>
      <c r="C31" s="38" t="s">
        <v>22</v>
      </c>
      <c r="D31" s="48" t="s">
        <v>102</v>
      </c>
      <c r="E31" s="48">
        <v>193</v>
      </c>
      <c r="F31" s="5">
        <v>773</v>
      </c>
      <c r="G31" s="48" t="s">
        <v>89</v>
      </c>
      <c r="H31" s="48" t="s">
        <v>23</v>
      </c>
      <c r="I31" s="41" t="s">
        <v>97</v>
      </c>
      <c r="J31" s="132" t="s">
        <v>97</v>
      </c>
      <c r="K31" s="174">
        <v>43680</v>
      </c>
      <c r="L31" s="174">
        <v>0</v>
      </c>
      <c r="M31" s="174">
        <f t="shared" si="14"/>
        <v>43680</v>
      </c>
      <c r="N31" s="8">
        <v>531</v>
      </c>
      <c r="O31" s="174">
        <f t="shared" si="15"/>
        <v>43149</v>
      </c>
      <c r="P31" s="51">
        <v>44299</v>
      </c>
      <c r="Q31" s="51">
        <v>1955</v>
      </c>
      <c r="R31" s="16">
        <f t="shared" si="11"/>
        <v>42344</v>
      </c>
      <c r="S31" s="16">
        <v>572</v>
      </c>
      <c r="T31" s="16">
        <f t="shared" si="12"/>
        <v>41772</v>
      </c>
      <c r="U31" s="51">
        <v>11.8</v>
      </c>
      <c r="V31" s="48">
        <v>185</v>
      </c>
      <c r="W31" s="39">
        <v>43.03</v>
      </c>
      <c r="X31" s="51">
        <v>9.6</v>
      </c>
      <c r="Y31" s="45">
        <v>183</v>
      </c>
      <c r="Z31" s="39">
        <v>43.32</v>
      </c>
      <c r="AA31" s="39">
        <v>0</v>
      </c>
      <c r="AB31" s="39">
        <v>49</v>
      </c>
      <c r="AC31" s="39">
        <v>227</v>
      </c>
      <c r="AD31" s="39">
        <v>10</v>
      </c>
      <c r="AE31" s="39">
        <v>16</v>
      </c>
      <c r="AF31" s="39">
        <v>675</v>
      </c>
      <c r="AG31" s="39">
        <v>17</v>
      </c>
      <c r="AH31" s="44">
        <f t="shared" ref="AH31:AH65" si="16">(U31-X31)/100</f>
        <v>2.2000000000000009E-2</v>
      </c>
      <c r="AI31" s="9">
        <f t="shared" si="5"/>
        <v>1377</v>
      </c>
      <c r="AJ31" s="14">
        <f t="shared" si="6"/>
        <v>3.1912674685392474E-2</v>
      </c>
      <c r="AK31" s="39">
        <v>540</v>
      </c>
      <c r="AL31" s="48">
        <v>572</v>
      </c>
      <c r="AM31" s="39" t="s">
        <v>24</v>
      </c>
      <c r="AN31" s="39" t="s">
        <v>26</v>
      </c>
      <c r="AO31" s="39" t="s">
        <v>80</v>
      </c>
      <c r="AP31" s="60"/>
      <c r="AQ31" s="60"/>
      <c r="AR31" s="60"/>
      <c r="AS31" s="58" t="s">
        <v>27</v>
      </c>
      <c r="AT31" s="129" t="s">
        <v>119</v>
      </c>
      <c r="AU31" s="29"/>
      <c r="AV31" s="29"/>
      <c r="AW31" s="29"/>
      <c r="AX31" s="29"/>
      <c r="AY31" s="29"/>
    </row>
    <row r="32" spans="1:51" x14ac:dyDescent="0.25">
      <c r="A32" s="166">
        <v>30</v>
      </c>
      <c r="B32" s="119">
        <v>46142</v>
      </c>
      <c r="C32" s="38" t="s">
        <v>22</v>
      </c>
      <c r="D32" s="48" t="s">
        <v>102</v>
      </c>
      <c r="E32" s="48">
        <v>197</v>
      </c>
      <c r="F32" s="5">
        <v>14643</v>
      </c>
      <c r="G32" s="39" t="s">
        <v>39</v>
      </c>
      <c r="H32" s="48" t="s">
        <v>23</v>
      </c>
      <c r="I32" s="41" t="s">
        <v>97</v>
      </c>
      <c r="J32" s="132" t="s">
        <v>97</v>
      </c>
      <c r="K32" s="174">
        <v>40480</v>
      </c>
      <c r="L32" s="174">
        <v>0</v>
      </c>
      <c r="M32" s="174">
        <f t="shared" si="14"/>
        <v>40480</v>
      </c>
      <c r="N32" s="8">
        <v>453</v>
      </c>
      <c r="O32" s="174">
        <f t="shared" si="15"/>
        <v>40027</v>
      </c>
      <c r="P32" s="51">
        <v>40602</v>
      </c>
      <c r="Q32" s="51">
        <v>1650</v>
      </c>
      <c r="R32" s="16">
        <f t="shared" si="11"/>
        <v>38952</v>
      </c>
      <c r="S32" s="16">
        <v>536</v>
      </c>
      <c r="T32" s="16">
        <f t="shared" si="12"/>
        <v>38416</v>
      </c>
      <c r="U32" s="51">
        <v>11.8</v>
      </c>
      <c r="V32" s="48">
        <v>160</v>
      </c>
      <c r="W32" s="39">
        <v>43.12</v>
      </c>
      <c r="X32" s="51">
        <v>10.4</v>
      </c>
      <c r="Y32" s="45">
        <v>164</v>
      </c>
      <c r="Z32" s="39">
        <v>43.21</v>
      </c>
      <c r="AA32" s="39">
        <v>4</v>
      </c>
      <c r="AB32" s="39">
        <v>20</v>
      </c>
      <c r="AC32" s="39">
        <v>230</v>
      </c>
      <c r="AD32" s="39">
        <v>12</v>
      </c>
      <c r="AE32" s="39">
        <v>18</v>
      </c>
      <c r="AF32" s="39">
        <v>675</v>
      </c>
      <c r="AG32" s="39">
        <v>36</v>
      </c>
      <c r="AH32" s="44">
        <f t="shared" si="16"/>
        <v>1.4000000000000004E-2</v>
      </c>
      <c r="AI32" s="9">
        <f t="shared" si="5"/>
        <v>1611</v>
      </c>
      <c r="AJ32" s="14">
        <f t="shared" si="6"/>
        <v>4.0247832712918777E-2</v>
      </c>
      <c r="AK32" s="39">
        <v>465</v>
      </c>
      <c r="AL32" s="48">
        <v>536</v>
      </c>
      <c r="AM32" s="39" t="s">
        <v>24</v>
      </c>
      <c r="AN32" s="39" t="s">
        <v>26</v>
      </c>
      <c r="AO32" s="39" t="s">
        <v>80</v>
      </c>
      <c r="AP32" s="60"/>
      <c r="AQ32" s="60"/>
      <c r="AR32" s="60"/>
      <c r="AS32" s="58" t="s">
        <v>27</v>
      </c>
      <c r="AT32" s="129" t="s">
        <v>119</v>
      </c>
      <c r="AU32" s="29"/>
      <c r="AV32" s="29"/>
      <c r="AW32" s="29"/>
      <c r="AX32" s="29"/>
      <c r="AY32" s="29"/>
    </row>
    <row r="33" spans="1:51" x14ac:dyDescent="0.25">
      <c r="A33" s="166">
        <v>31</v>
      </c>
      <c r="B33" s="119">
        <v>46145</v>
      </c>
      <c r="C33" s="38" t="s">
        <v>22</v>
      </c>
      <c r="D33" s="48" t="s">
        <v>102</v>
      </c>
      <c r="E33" s="48">
        <v>178</v>
      </c>
      <c r="F33" s="5">
        <v>82154</v>
      </c>
      <c r="G33" s="48"/>
      <c r="H33" s="48" t="s">
        <v>25</v>
      </c>
      <c r="I33" s="41" t="s">
        <v>97</v>
      </c>
      <c r="J33" s="132" t="s">
        <v>97</v>
      </c>
      <c r="K33" s="174">
        <v>46700</v>
      </c>
      <c r="L33" s="16">
        <v>0</v>
      </c>
      <c r="M33" s="174">
        <f t="shared" si="14"/>
        <v>46700</v>
      </c>
      <c r="N33" s="8">
        <v>576</v>
      </c>
      <c r="O33" s="175">
        <f t="shared" si="15"/>
        <v>46124</v>
      </c>
      <c r="P33" s="51">
        <v>46125</v>
      </c>
      <c r="Q33" s="51">
        <v>1680</v>
      </c>
      <c r="R33" s="16">
        <f t="shared" si="11"/>
        <v>44445</v>
      </c>
      <c r="S33" s="16">
        <v>584</v>
      </c>
      <c r="T33" s="16">
        <f t="shared" si="12"/>
        <v>43861</v>
      </c>
      <c r="U33" s="51">
        <v>12.1</v>
      </c>
      <c r="V33" s="48">
        <v>171</v>
      </c>
      <c r="W33" s="39">
        <v>42.32</v>
      </c>
      <c r="X33" s="51">
        <v>8.9</v>
      </c>
      <c r="Y33" s="45">
        <v>174</v>
      </c>
      <c r="Z33" s="51">
        <v>42.5</v>
      </c>
      <c r="AA33" s="39"/>
      <c r="AB33" s="39"/>
      <c r="AC33" s="39"/>
      <c r="AD33" s="39"/>
      <c r="AE33" s="39"/>
      <c r="AF33" s="39"/>
      <c r="AG33" s="39"/>
      <c r="AH33" s="44">
        <f t="shared" si="16"/>
        <v>3.1999999999999994E-2</v>
      </c>
      <c r="AI33" s="9">
        <f t="shared" si="5"/>
        <v>2263</v>
      </c>
      <c r="AJ33" s="14">
        <f t="shared" si="6"/>
        <v>4.9063394328332323E-2</v>
      </c>
      <c r="AK33" s="39">
        <v>530</v>
      </c>
      <c r="AL33" s="48">
        <v>584</v>
      </c>
      <c r="AM33" s="39" t="s">
        <v>24</v>
      </c>
      <c r="AN33" s="39" t="s">
        <v>26</v>
      </c>
      <c r="AO33" s="38" t="s">
        <v>27</v>
      </c>
      <c r="AP33" s="79">
        <v>46239</v>
      </c>
      <c r="AQ33" s="60">
        <v>10.1</v>
      </c>
      <c r="AR33" s="60">
        <v>8.9</v>
      </c>
      <c r="AS33" s="58" t="s">
        <v>27</v>
      </c>
      <c r="AT33" s="129" t="s">
        <v>119</v>
      </c>
      <c r="AU33" s="29"/>
      <c r="AV33" s="29"/>
      <c r="AW33" s="29"/>
      <c r="AX33" s="29"/>
      <c r="AY33" s="29"/>
    </row>
    <row r="34" spans="1:51" x14ac:dyDescent="0.25">
      <c r="A34" s="166">
        <v>32</v>
      </c>
      <c r="B34" s="119">
        <v>46145</v>
      </c>
      <c r="C34" s="6" t="s">
        <v>22</v>
      </c>
      <c r="D34" s="5" t="s">
        <v>103</v>
      </c>
      <c r="E34" s="5">
        <v>160</v>
      </c>
      <c r="F34" s="5">
        <v>82124</v>
      </c>
      <c r="G34" s="5" t="s">
        <v>89</v>
      </c>
      <c r="H34" s="5" t="s">
        <v>25</v>
      </c>
      <c r="I34" s="17" t="s">
        <v>87</v>
      </c>
      <c r="J34" s="6" t="s">
        <v>87</v>
      </c>
      <c r="K34" s="174">
        <v>54180</v>
      </c>
      <c r="L34" s="16">
        <v>0</v>
      </c>
      <c r="M34" s="174">
        <f t="shared" si="14"/>
        <v>54180</v>
      </c>
      <c r="N34" s="8">
        <v>646</v>
      </c>
      <c r="O34" s="175">
        <f t="shared" si="15"/>
        <v>53534</v>
      </c>
      <c r="P34" s="16">
        <v>55082</v>
      </c>
      <c r="Q34" s="16">
        <v>2044</v>
      </c>
      <c r="R34" s="16">
        <f t="shared" si="11"/>
        <v>53038</v>
      </c>
      <c r="S34" s="16">
        <v>701</v>
      </c>
      <c r="T34" s="16">
        <f t="shared" si="12"/>
        <v>52337</v>
      </c>
      <c r="U34" s="16">
        <v>15.4</v>
      </c>
      <c r="V34" s="5">
        <v>158</v>
      </c>
      <c r="W34" s="6">
        <v>43.56</v>
      </c>
      <c r="X34" s="16">
        <v>10.5</v>
      </c>
      <c r="Y34" s="9">
        <v>170</v>
      </c>
      <c r="Z34" s="6">
        <v>44.26</v>
      </c>
      <c r="AA34" s="6">
        <v>0</v>
      </c>
      <c r="AB34" s="6">
        <v>27</v>
      </c>
      <c r="AC34" s="6">
        <v>244</v>
      </c>
      <c r="AD34" s="6">
        <v>10</v>
      </c>
      <c r="AE34" s="6">
        <v>4</v>
      </c>
      <c r="AF34" s="6">
        <v>674</v>
      </c>
      <c r="AG34" s="6">
        <v>37</v>
      </c>
      <c r="AH34" s="27">
        <f t="shared" si="16"/>
        <v>4.9000000000000002E-2</v>
      </c>
      <c r="AI34" s="9">
        <f t="shared" si="5"/>
        <v>1197</v>
      </c>
      <c r="AJ34" s="14">
        <f t="shared" si="6"/>
        <v>2.2359621922516532E-2</v>
      </c>
      <c r="AK34" s="6">
        <v>631</v>
      </c>
      <c r="AL34" s="5">
        <v>701</v>
      </c>
      <c r="AM34" s="6" t="s">
        <v>24</v>
      </c>
      <c r="AN34" s="6" t="s">
        <v>26</v>
      </c>
      <c r="AO34" s="6" t="s">
        <v>3</v>
      </c>
      <c r="AP34" s="59"/>
      <c r="AQ34" s="59"/>
      <c r="AR34" s="59"/>
      <c r="AS34" s="15"/>
      <c r="AT34" s="29" t="s">
        <v>121</v>
      </c>
      <c r="AU34" s="29"/>
      <c r="AV34" s="29"/>
      <c r="AW34" s="29"/>
      <c r="AX34" s="29"/>
      <c r="AY34" s="29"/>
    </row>
    <row r="35" spans="1:51" ht="36" x14ac:dyDescent="0.25">
      <c r="A35" s="166">
        <v>33</v>
      </c>
      <c r="B35" s="119">
        <v>46145</v>
      </c>
      <c r="C35" s="6" t="s">
        <v>22</v>
      </c>
      <c r="D35" s="5" t="s">
        <v>103</v>
      </c>
      <c r="E35" s="5">
        <v>177</v>
      </c>
      <c r="F35" s="5">
        <v>82914</v>
      </c>
      <c r="G35" s="5" t="s">
        <v>89</v>
      </c>
      <c r="H35" s="5" t="s">
        <v>25</v>
      </c>
      <c r="I35" s="17" t="s">
        <v>87</v>
      </c>
      <c r="J35" s="6" t="s">
        <v>87</v>
      </c>
      <c r="K35" s="174">
        <v>40980</v>
      </c>
      <c r="L35" s="16">
        <v>0</v>
      </c>
      <c r="M35" s="174">
        <f t="shared" si="14"/>
        <v>40980</v>
      </c>
      <c r="N35" s="8">
        <v>507</v>
      </c>
      <c r="O35" s="175">
        <f t="shared" si="15"/>
        <v>40473</v>
      </c>
      <c r="P35" s="16">
        <v>39521</v>
      </c>
      <c r="Q35" s="16">
        <v>1470</v>
      </c>
      <c r="R35" s="16">
        <f t="shared" si="11"/>
        <v>38051</v>
      </c>
      <c r="S35" s="16">
        <v>491</v>
      </c>
      <c r="T35" s="16">
        <f t="shared" si="12"/>
        <v>37560</v>
      </c>
      <c r="U35" s="20">
        <v>13.9</v>
      </c>
      <c r="V35" s="5">
        <v>166</v>
      </c>
      <c r="W35" s="6">
        <v>42.41</v>
      </c>
      <c r="X35" s="16">
        <v>10.6</v>
      </c>
      <c r="Y35" s="9">
        <v>176</v>
      </c>
      <c r="Z35" s="6">
        <v>44.35</v>
      </c>
      <c r="AA35" s="6"/>
      <c r="AB35" s="6"/>
      <c r="AC35" s="6"/>
      <c r="AD35" s="6"/>
      <c r="AE35" s="6"/>
      <c r="AF35" s="6"/>
      <c r="AG35" s="6"/>
      <c r="AH35" s="27">
        <f t="shared" si="16"/>
        <v>3.3000000000000008E-2</v>
      </c>
      <c r="AI35" s="9">
        <f t="shared" si="5"/>
        <v>2913</v>
      </c>
      <c r="AJ35" s="14">
        <f t="shared" si="6"/>
        <v>7.1973908531613673E-2</v>
      </c>
      <c r="AK35" s="6">
        <v>521</v>
      </c>
      <c r="AL35" s="5">
        <v>491</v>
      </c>
      <c r="AM35" s="6" t="s">
        <v>24</v>
      </c>
      <c r="AN35" s="6" t="s">
        <v>26</v>
      </c>
      <c r="AO35" s="6" t="s">
        <v>3</v>
      </c>
      <c r="AP35" s="62">
        <v>46300</v>
      </c>
      <c r="AQ35" s="59">
        <v>10.6</v>
      </c>
      <c r="AR35" s="59">
        <v>9</v>
      </c>
      <c r="AS35" s="103" t="s">
        <v>62</v>
      </c>
      <c r="AT35" s="29" t="s">
        <v>121</v>
      </c>
      <c r="AU35" s="29"/>
      <c r="AV35" s="29"/>
      <c r="AW35" s="29"/>
      <c r="AX35" s="29"/>
      <c r="AY35" s="29"/>
    </row>
    <row r="36" spans="1:51" x14ac:dyDescent="0.25">
      <c r="A36" s="166">
        <v>34</v>
      </c>
      <c r="B36" s="119">
        <v>46146</v>
      </c>
      <c r="C36" s="39" t="s">
        <v>22</v>
      </c>
      <c r="D36" s="48" t="s">
        <v>102</v>
      </c>
      <c r="E36" s="48">
        <v>179</v>
      </c>
      <c r="F36" s="5">
        <v>66919</v>
      </c>
      <c r="G36" s="48"/>
      <c r="H36" s="48" t="s">
        <v>25</v>
      </c>
      <c r="I36" s="41" t="s">
        <v>97</v>
      </c>
      <c r="J36" s="132" t="s">
        <v>97</v>
      </c>
      <c r="K36" s="174">
        <v>42480</v>
      </c>
      <c r="L36" s="16">
        <v>0</v>
      </c>
      <c r="M36" s="174">
        <f t="shared" si="14"/>
        <v>42480</v>
      </c>
      <c r="N36" s="8">
        <v>577</v>
      </c>
      <c r="O36" s="175">
        <f t="shared" si="15"/>
        <v>41903</v>
      </c>
      <c r="P36" s="51">
        <v>42599</v>
      </c>
      <c r="Q36" s="51">
        <v>1633</v>
      </c>
      <c r="R36" s="16">
        <f t="shared" si="11"/>
        <v>40966</v>
      </c>
      <c r="S36" s="16">
        <v>547</v>
      </c>
      <c r="T36" s="16">
        <f t="shared" si="12"/>
        <v>40419</v>
      </c>
      <c r="U36" s="51">
        <v>10.5</v>
      </c>
      <c r="V36" s="48">
        <v>184</v>
      </c>
      <c r="W36" s="39">
        <v>42.41</v>
      </c>
      <c r="X36" s="51">
        <v>8.5</v>
      </c>
      <c r="Y36" s="45">
        <v>188</v>
      </c>
      <c r="Z36" s="39">
        <v>43.03</v>
      </c>
      <c r="AA36" s="39">
        <v>2</v>
      </c>
      <c r="AB36" s="39">
        <v>22</v>
      </c>
      <c r="AC36" s="39">
        <v>234</v>
      </c>
      <c r="AD36" s="39">
        <v>12</v>
      </c>
      <c r="AE36" s="39">
        <v>10</v>
      </c>
      <c r="AF36" s="39">
        <v>681</v>
      </c>
      <c r="AG36" s="39">
        <v>34</v>
      </c>
      <c r="AH36" s="44">
        <f t="shared" si="16"/>
        <v>0.02</v>
      </c>
      <c r="AI36" s="9">
        <f t="shared" si="5"/>
        <v>1484</v>
      </c>
      <c r="AJ36" s="14">
        <f t="shared" si="6"/>
        <v>3.5415125408681955E-2</v>
      </c>
      <c r="AK36" s="39">
        <v>599</v>
      </c>
      <c r="AL36" s="48">
        <v>547</v>
      </c>
      <c r="AM36" s="39" t="s">
        <v>24</v>
      </c>
      <c r="AN36" s="39" t="s">
        <v>26</v>
      </c>
      <c r="AO36" s="39" t="s">
        <v>80</v>
      </c>
      <c r="AP36" s="60"/>
      <c r="AQ36" s="60"/>
      <c r="AR36" s="60"/>
      <c r="AS36" s="58" t="s">
        <v>27</v>
      </c>
      <c r="AT36" s="129" t="s">
        <v>119</v>
      </c>
      <c r="AU36" s="29"/>
      <c r="AV36" s="29"/>
      <c r="AW36" s="29"/>
      <c r="AX36" s="29"/>
      <c r="AY36" s="29"/>
    </row>
    <row r="37" spans="1:51" x14ac:dyDescent="0.25">
      <c r="A37" s="166">
        <v>35</v>
      </c>
      <c r="B37" s="119">
        <v>46147</v>
      </c>
      <c r="C37" s="39" t="s">
        <v>22</v>
      </c>
      <c r="D37" s="5" t="s">
        <v>103</v>
      </c>
      <c r="E37" s="5">
        <v>222</v>
      </c>
      <c r="F37" s="5">
        <v>36093</v>
      </c>
      <c r="G37" s="5" t="s">
        <v>89</v>
      </c>
      <c r="H37" s="5" t="s">
        <v>23</v>
      </c>
      <c r="I37" s="17" t="s">
        <v>87</v>
      </c>
      <c r="J37" s="6" t="s">
        <v>87</v>
      </c>
      <c r="K37" s="174">
        <v>50440</v>
      </c>
      <c r="L37" s="174">
        <v>0</v>
      </c>
      <c r="M37" s="174">
        <f>K37-L37</f>
        <v>50440</v>
      </c>
      <c r="N37" s="8">
        <v>579</v>
      </c>
      <c r="O37" s="174">
        <f>M37-N37</f>
        <v>49861</v>
      </c>
      <c r="P37" s="16">
        <v>49632</v>
      </c>
      <c r="Q37" s="16">
        <v>1950</v>
      </c>
      <c r="R37" s="16">
        <f t="shared" si="11"/>
        <v>47682</v>
      </c>
      <c r="S37" s="16">
        <v>611</v>
      </c>
      <c r="T37" s="16">
        <f t="shared" si="12"/>
        <v>47071</v>
      </c>
      <c r="U37" s="20">
        <v>14.7</v>
      </c>
      <c r="V37" s="5">
        <v>173</v>
      </c>
      <c r="W37" s="6">
        <v>43.65</v>
      </c>
      <c r="X37" s="16">
        <v>9.6</v>
      </c>
      <c r="Y37" s="9">
        <v>167</v>
      </c>
      <c r="Z37" s="6">
        <v>44.44</v>
      </c>
      <c r="AA37" s="6"/>
      <c r="AB37" s="6"/>
      <c r="AC37" s="6"/>
      <c r="AD37" s="6"/>
      <c r="AE37" s="6"/>
      <c r="AF37" s="6"/>
      <c r="AG37" s="6"/>
      <c r="AH37" s="27">
        <f t="shared" si="16"/>
        <v>5.0999999999999997E-2</v>
      </c>
      <c r="AI37" s="9">
        <f t="shared" si="5"/>
        <v>2790</v>
      </c>
      <c r="AJ37" s="14">
        <f t="shared" si="6"/>
        <v>5.5955556446922447E-2</v>
      </c>
      <c r="AK37" s="6">
        <v>597</v>
      </c>
      <c r="AL37" s="5">
        <v>611</v>
      </c>
      <c r="AM37" s="6" t="s">
        <v>24</v>
      </c>
      <c r="AN37" s="6" t="s">
        <v>26</v>
      </c>
      <c r="AO37" s="6" t="s">
        <v>3</v>
      </c>
      <c r="AP37" s="59"/>
      <c r="AQ37" s="59"/>
      <c r="AR37" s="59"/>
      <c r="AS37" s="15"/>
      <c r="AT37" s="29" t="s">
        <v>121</v>
      </c>
      <c r="AU37" s="29"/>
      <c r="AV37" s="29"/>
      <c r="AW37" s="29"/>
      <c r="AX37" s="29"/>
      <c r="AY37" s="29"/>
    </row>
    <row r="38" spans="1:51" x14ac:dyDescent="0.25">
      <c r="A38" s="166">
        <v>36</v>
      </c>
      <c r="B38" s="119">
        <v>46154</v>
      </c>
      <c r="C38" s="39" t="s">
        <v>22</v>
      </c>
      <c r="D38" s="48" t="s">
        <v>77</v>
      </c>
      <c r="E38" s="48" t="s">
        <v>77</v>
      </c>
      <c r="F38" s="5">
        <v>82484</v>
      </c>
      <c r="G38" s="48" t="s">
        <v>89</v>
      </c>
      <c r="H38" s="48" t="s">
        <v>77</v>
      </c>
      <c r="I38" s="39" t="s">
        <v>97</v>
      </c>
      <c r="J38" s="132" t="s">
        <v>97</v>
      </c>
      <c r="K38" s="16">
        <v>48780</v>
      </c>
      <c r="L38" s="16">
        <v>1460</v>
      </c>
      <c r="M38" s="16">
        <f>K38-L38</f>
        <v>47320</v>
      </c>
      <c r="N38" s="6">
        <v>597</v>
      </c>
      <c r="O38" s="16">
        <f>M38-N38</f>
        <v>46723</v>
      </c>
      <c r="P38" s="51">
        <v>47936</v>
      </c>
      <c r="Q38" s="51">
        <v>1800</v>
      </c>
      <c r="R38" s="16">
        <f t="shared" si="11"/>
        <v>46136</v>
      </c>
      <c r="S38" s="16">
        <v>605</v>
      </c>
      <c r="T38" s="16">
        <f t="shared" si="12"/>
        <v>45531</v>
      </c>
      <c r="U38" s="51">
        <v>11</v>
      </c>
      <c r="V38" s="48"/>
      <c r="W38" s="39"/>
      <c r="X38" s="51">
        <v>9</v>
      </c>
      <c r="Y38" s="81">
        <v>168</v>
      </c>
      <c r="Z38" s="39">
        <v>42.76</v>
      </c>
      <c r="AA38" s="39"/>
      <c r="AB38" s="39"/>
      <c r="AC38" s="39"/>
      <c r="AD38" s="39"/>
      <c r="AE38" s="39"/>
      <c r="AF38" s="39"/>
      <c r="AG38" s="39"/>
      <c r="AH38" s="39">
        <f t="shared" si="16"/>
        <v>0.02</v>
      </c>
      <c r="AI38" s="9">
        <f t="shared" si="5"/>
        <v>1192</v>
      </c>
      <c r="AJ38" s="14">
        <f t="shared" si="6"/>
        <v>2.55120604413244E-2</v>
      </c>
      <c r="AK38" s="39">
        <v>597</v>
      </c>
      <c r="AL38" s="48">
        <v>605</v>
      </c>
      <c r="AM38" s="39" t="s">
        <v>24</v>
      </c>
      <c r="AN38" s="39" t="s">
        <v>26</v>
      </c>
      <c r="AO38" s="38" t="s">
        <v>27</v>
      </c>
      <c r="AP38" s="60"/>
      <c r="AQ38" s="60"/>
      <c r="AR38" s="60"/>
      <c r="AS38" s="39" t="s">
        <v>27</v>
      </c>
      <c r="AT38" s="129" t="s">
        <v>119</v>
      </c>
      <c r="AU38" s="29"/>
      <c r="AV38" s="29"/>
      <c r="AW38" s="29"/>
      <c r="AX38" s="29"/>
      <c r="AY38" s="29"/>
    </row>
    <row r="39" spans="1:51" x14ac:dyDescent="0.25">
      <c r="A39" s="166">
        <v>37</v>
      </c>
      <c r="B39" s="119">
        <v>46155</v>
      </c>
      <c r="C39" s="39" t="s">
        <v>22</v>
      </c>
      <c r="D39" s="48" t="s">
        <v>77</v>
      </c>
      <c r="E39" s="48" t="s">
        <v>77</v>
      </c>
      <c r="F39" s="5">
        <v>64970</v>
      </c>
      <c r="G39" s="48" t="s">
        <v>89</v>
      </c>
      <c r="H39" s="48" t="s">
        <v>77</v>
      </c>
      <c r="I39" s="39" t="s">
        <v>97</v>
      </c>
      <c r="J39" s="132" t="s">
        <v>97</v>
      </c>
      <c r="K39" s="16">
        <v>46287</v>
      </c>
      <c r="L39" s="16">
        <v>1391</v>
      </c>
      <c r="M39" s="16">
        <f t="shared" ref="M39:M40" si="17">K39-L39</f>
        <v>44896</v>
      </c>
      <c r="N39" s="6">
        <v>572</v>
      </c>
      <c r="O39" s="16">
        <f t="shared" ref="O39:O40" si="18">M39-N39</f>
        <v>44324</v>
      </c>
      <c r="P39" s="51">
        <v>45644</v>
      </c>
      <c r="Q39" s="51">
        <v>1771</v>
      </c>
      <c r="R39" s="16">
        <f t="shared" si="11"/>
        <v>43873</v>
      </c>
      <c r="S39" s="16">
        <v>575</v>
      </c>
      <c r="T39" s="16">
        <f t="shared" si="12"/>
        <v>43298</v>
      </c>
      <c r="U39" s="51">
        <v>11</v>
      </c>
      <c r="V39" s="48"/>
      <c r="W39" s="39"/>
      <c r="X39" s="51">
        <v>9</v>
      </c>
      <c r="Y39" s="81">
        <v>168</v>
      </c>
      <c r="Z39" s="39">
        <v>42.76</v>
      </c>
      <c r="AA39" s="39"/>
      <c r="AB39" s="39"/>
      <c r="AC39" s="39"/>
      <c r="AD39" s="39"/>
      <c r="AE39" s="39"/>
      <c r="AF39" s="39"/>
      <c r="AG39" s="39"/>
      <c r="AH39" s="39">
        <f t="shared" si="16"/>
        <v>0.02</v>
      </c>
      <c r="AI39" s="9">
        <f t="shared" si="5"/>
        <v>1026</v>
      </c>
      <c r="AJ39" s="14">
        <f t="shared" si="6"/>
        <v>2.3147730349246456E-2</v>
      </c>
      <c r="AK39" s="39">
        <v>572</v>
      </c>
      <c r="AL39" s="48">
        <v>575</v>
      </c>
      <c r="AM39" s="39" t="s">
        <v>24</v>
      </c>
      <c r="AN39" s="39" t="s">
        <v>26</v>
      </c>
      <c r="AO39" s="38" t="s">
        <v>27</v>
      </c>
      <c r="AP39" s="60"/>
      <c r="AQ39" s="60"/>
      <c r="AR39" s="60"/>
      <c r="AS39" s="39" t="s">
        <v>27</v>
      </c>
      <c r="AT39" s="129" t="s">
        <v>119</v>
      </c>
      <c r="AU39" s="29"/>
      <c r="AV39" s="29"/>
      <c r="AW39" s="29"/>
      <c r="AX39" s="29"/>
      <c r="AY39" s="29"/>
    </row>
    <row r="40" spans="1:51" x14ac:dyDescent="0.25">
      <c r="A40" s="166">
        <v>38</v>
      </c>
      <c r="B40" s="119">
        <v>46157</v>
      </c>
      <c r="C40" s="39" t="s">
        <v>22</v>
      </c>
      <c r="D40" s="48" t="s">
        <v>77</v>
      </c>
      <c r="E40" s="48" t="s">
        <v>77</v>
      </c>
      <c r="F40" s="5">
        <v>77650</v>
      </c>
      <c r="G40" s="48" t="s">
        <v>89</v>
      </c>
      <c r="H40" s="48" t="s">
        <v>77</v>
      </c>
      <c r="I40" s="39" t="s">
        <v>97</v>
      </c>
      <c r="J40" s="132" t="s">
        <v>97</v>
      </c>
      <c r="K40" s="16">
        <v>51884</v>
      </c>
      <c r="L40" s="16">
        <v>1584</v>
      </c>
      <c r="M40" s="16">
        <f t="shared" si="17"/>
        <v>50300</v>
      </c>
      <c r="N40" s="6">
        <v>660</v>
      </c>
      <c r="O40" s="16">
        <f t="shared" si="18"/>
        <v>49640</v>
      </c>
      <c r="P40" s="51">
        <v>50879</v>
      </c>
      <c r="Q40" s="51">
        <v>1971</v>
      </c>
      <c r="R40" s="16">
        <f t="shared" si="11"/>
        <v>48908</v>
      </c>
      <c r="S40" s="16">
        <v>638</v>
      </c>
      <c r="T40" s="16">
        <f t="shared" si="12"/>
        <v>48270</v>
      </c>
      <c r="U40" s="51">
        <v>12</v>
      </c>
      <c r="V40" s="48"/>
      <c r="W40" s="39"/>
      <c r="X40" s="51">
        <v>8.5</v>
      </c>
      <c r="Y40" s="81">
        <v>172</v>
      </c>
      <c r="Z40" s="39">
        <v>42.15</v>
      </c>
      <c r="AA40" s="39"/>
      <c r="AB40" s="39"/>
      <c r="AC40" s="39"/>
      <c r="AD40" s="39"/>
      <c r="AE40" s="39"/>
      <c r="AF40" s="39"/>
      <c r="AG40" s="39"/>
      <c r="AH40" s="44">
        <f t="shared" si="16"/>
        <v>3.5000000000000003E-2</v>
      </c>
      <c r="AI40" s="9">
        <f t="shared" si="5"/>
        <v>1370</v>
      </c>
      <c r="AJ40" s="14">
        <f t="shared" si="6"/>
        <v>2.7598710717163577E-2</v>
      </c>
      <c r="AK40" s="39">
        <v>660</v>
      </c>
      <c r="AL40" s="48">
        <v>638</v>
      </c>
      <c r="AM40" s="39" t="s">
        <v>24</v>
      </c>
      <c r="AN40" s="39" t="s">
        <v>26</v>
      </c>
      <c r="AO40" s="38" t="s">
        <v>27</v>
      </c>
      <c r="AP40" s="60"/>
      <c r="AQ40" s="60"/>
      <c r="AR40" s="60"/>
      <c r="AS40" s="39" t="s">
        <v>27</v>
      </c>
      <c r="AT40" s="129" t="s">
        <v>119</v>
      </c>
      <c r="AU40" s="29"/>
      <c r="AV40" s="29"/>
      <c r="AW40" s="29"/>
      <c r="AX40" s="29"/>
      <c r="AY40" s="29"/>
    </row>
    <row r="41" spans="1:51" x14ac:dyDescent="0.25">
      <c r="A41" s="166">
        <v>39</v>
      </c>
      <c r="B41" s="119">
        <v>46160</v>
      </c>
      <c r="C41" s="39" t="s">
        <v>22</v>
      </c>
      <c r="D41" s="48" t="s">
        <v>102</v>
      </c>
      <c r="E41" s="48">
        <v>243</v>
      </c>
      <c r="F41" s="5">
        <v>31510</v>
      </c>
      <c r="G41" s="48"/>
      <c r="H41" s="48" t="s">
        <v>23</v>
      </c>
      <c r="I41" s="41" t="s">
        <v>97</v>
      </c>
      <c r="J41" s="132" t="s">
        <v>97</v>
      </c>
      <c r="K41" s="174">
        <v>43350</v>
      </c>
      <c r="L41" s="174">
        <v>0</v>
      </c>
      <c r="M41" s="174">
        <f>K41-L41</f>
        <v>43350</v>
      </c>
      <c r="N41" s="8">
        <v>518</v>
      </c>
      <c r="O41" s="174">
        <f>M41-N41</f>
        <v>42832</v>
      </c>
      <c r="P41" s="51">
        <v>44309</v>
      </c>
      <c r="Q41" s="51">
        <v>1728</v>
      </c>
      <c r="R41" s="16">
        <f t="shared" si="11"/>
        <v>42581</v>
      </c>
      <c r="S41" s="16">
        <v>566</v>
      </c>
      <c r="T41" s="16">
        <f t="shared" si="12"/>
        <v>42015</v>
      </c>
      <c r="U41" s="51">
        <v>9.8000000000000007</v>
      </c>
      <c r="V41" s="48">
        <v>168</v>
      </c>
      <c r="W41" s="39">
        <v>43.12</v>
      </c>
      <c r="X41" s="51">
        <v>8.5</v>
      </c>
      <c r="Y41" s="81">
        <v>173</v>
      </c>
      <c r="Z41" s="39">
        <v>43.47</v>
      </c>
      <c r="AA41" s="39"/>
      <c r="AB41" s="39"/>
      <c r="AC41" s="39"/>
      <c r="AD41" s="39"/>
      <c r="AE41" s="39"/>
      <c r="AF41" s="39"/>
      <c r="AG41" s="39"/>
      <c r="AH41" s="44">
        <f t="shared" si="16"/>
        <v>1.3000000000000006E-2</v>
      </c>
      <c r="AI41" s="9">
        <f t="shared" si="5"/>
        <v>817</v>
      </c>
      <c r="AJ41" s="14">
        <f t="shared" si="6"/>
        <v>1.9074523720582742E-2</v>
      </c>
      <c r="AK41" s="39">
        <v>544</v>
      </c>
      <c r="AL41" s="48">
        <v>566</v>
      </c>
      <c r="AM41" s="39" t="s">
        <v>24</v>
      </c>
      <c r="AN41" s="39" t="s">
        <v>26</v>
      </c>
      <c r="AO41" s="38" t="s">
        <v>27</v>
      </c>
      <c r="AP41" s="60"/>
      <c r="AQ41" s="60"/>
      <c r="AR41" s="60"/>
      <c r="AS41" s="39" t="s">
        <v>27</v>
      </c>
      <c r="AT41" s="129" t="s">
        <v>119</v>
      </c>
      <c r="AU41" s="29"/>
      <c r="AV41" s="29"/>
      <c r="AW41" s="29"/>
      <c r="AX41" s="29"/>
      <c r="AY41" s="29"/>
    </row>
    <row r="42" spans="1:51" x14ac:dyDescent="0.25">
      <c r="A42" s="166">
        <v>40</v>
      </c>
      <c r="B42" s="119">
        <v>46161</v>
      </c>
      <c r="C42" s="39" t="s">
        <v>22</v>
      </c>
      <c r="D42" s="48" t="s">
        <v>77</v>
      </c>
      <c r="E42" s="48" t="s">
        <v>77</v>
      </c>
      <c r="F42" s="123" t="s">
        <v>82</v>
      </c>
      <c r="G42" s="48" t="s">
        <v>89</v>
      </c>
      <c r="H42" s="48" t="s">
        <v>77</v>
      </c>
      <c r="I42" s="39" t="s">
        <v>97</v>
      </c>
      <c r="J42" s="132" t="s">
        <v>97</v>
      </c>
      <c r="K42" s="16">
        <v>105079</v>
      </c>
      <c r="L42" s="16">
        <v>3330</v>
      </c>
      <c r="M42" s="16">
        <f>K42-L42</f>
        <v>101749</v>
      </c>
      <c r="N42" s="6">
        <v>1322</v>
      </c>
      <c r="O42" s="16">
        <f>M42-N42</f>
        <v>100427</v>
      </c>
      <c r="P42" s="51">
        <v>103479.6</v>
      </c>
      <c r="Q42" s="51">
        <v>3985.2</v>
      </c>
      <c r="R42" s="16">
        <f t="shared" si="11"/>
        <v>99494.400000000009</v>
      </c>
      <c r="S42" s="16">
        <v>1323</v>
      </c>
      <c r="T42" s="16">
        <f t="shared" si="12"/>
        <v>98171.400000000009</v>
      </c>
      <c r="U42" s="51">
        <v>11.1</v>
      </c>
      <c r="V42" s="48"/>
      <c r="W42" s="39"/>
      <c r="X42" s="51">
        <v>8.5</v>
      </c>
      <c r="Y42" s="81">
        <v>172</v>
      </c>
      <c r="Z42" s="39">
        <v>42.06</v>
      </c>
      <c r="AA42" s="39"/>
      <c r="AB42" s="39"/>
      <c r="AC42" s="39"/>
      <c r="AD42" s="39"/>
      <c r="AE42" s="39"/>
      <c r="AF42" s="39"/>
      <c r="AG42" s="39"/>
      <c r="AH42" s="44">
        <f>(U42-X42)/100</f>
        <v>2.5999999999999995E-2</v>
      </c>
      <c r="AI42" s="9">
        <f t="shared" si="5"/>
        <v>2255.5999999999913</v>
      </c>
      <c r="AJ42" s="14">
        <f t="shared" si="6"/>
        <v>2.2460095392673199E-2</v>
      </c>
      <c r="AK42" s="39">
        <v>1322</v>
      </c>
      <c r="AL42" s="48">
        <v>1323</v>
      </c>
      <c r="AM42" s="39" t="s">
        <v>24</v>
      </c>
      <c r="AN42" s="39" t="s">
        <v>26</v>
      </c>
      <c r="AO42" s="38" t="s">
        <v>27</v>
      </c>
      <c r="AP42" s="60"/>
      <c r="AQ42" s="60"/>
      <c r="AR42" s="60"/>
      <c r="AS42" s="39" t="s">
        <v>27</v>
      </c>
      <c r="AT42" s="129" t="s">
        <v>119</v>
      </c>
      <c r="AU42" s="29"/>
      <c r="AV42" s="29"/>
      <c r="AW42" s="29"/>
      <c r="AX42" s="29"/>
      <c r="AY42" s="29"/>
    </row>
    <row r="43" spans="1:51" x14ac:dyDescent="0.25">
      <c r="A43" s="166">
        <v>41</v>
      </c>
      <c r="B43" s="119">
        <v>46163</v>
      </c>
      <c r="C43" s="39" t="s">
        <v>22</v>
      </c>
      <c r="D43" s="87" t="s">
        <v>105</v>
      </c>
      <c r="E43" s="87">
        <v>244</v>
      </c>
      <c r="F43" s="87">
        <v>31512</v>
      </c>
      <c r="G43" s="87" t="s">
        <v>89</v>
      </c>
      <c r="H43" s="87" t="s">
        <v>23</v>
      </c>
      <c r="I43" s="8" t="s">
        <v>91</v>
      </c>
      <c r="J43" s="88" t="s">
        <v>91</v>
      </c>
      <c r="K43" s="174">
        <v>39750</v>
      </c>
      <c r="L43" s="174">
        <v>0</v>
      </c>
      <c r="M43" s="174">
        <f t="shared" ref="M43:M49" si="19">K43-L43</f>
        <v>39750</v>
      </c>
      <c r="N43" s="8">
        <v>526</v>
      </c>
      <c r="O43" s="174">
        <f t="shared" ref="O43:O49" si="20">M43-N43</f>
        <v>39224</v>
      </c>
      <c r="P43" s="106">
        <v>40479</v>
      </c>
      <c r="Q43" s="106">
        <v>1568</v>
      </c>
      <c r="R43" s="16">
        <f t="shared" si="11"/>
        <v>38911</v>
      </c>
      <c r="S43" s="16">
        <v>506</v>
      </c>
      <c r="T43" s="16">
        <f t="shared" si="12"/>
        <v>38405</v>
      </c>
      <c r="U43" s="89">
        <v>10.5</v>
      </c>
      <c r="V43" s="87">
        <v>179</v>
      </c>
      <c r="W43" s="88">
        <v>42.24</v>
      </c>
      <c r="X43" s="106">
        <v>8.6999999999999993</v>
      </c>
      <c r="Y43" s="88">
        <v>185</v>
      </c>
      <c r="Z43" s="88">
        <v>42.24</v>
      </c>
      <c r="AA43" s="88"/>
      <c r="AB43" s="88"/>
      <c r="AC43" s="88"/>
      <c r="AD43" s="88"/>
      <c r="AE43" s="88"/>
      <c r="AF43" s="88"/>
      <c r="AG43" s="88"/>
      <c r="AH43" s="44">
        <f>(U43-X43)/100</f>
        <v>1.8000000000000006E-2</v>
      </c>
      <c r="AI43" s="9">
        <f t="shared" si="5"/>
        <v>819</v>
      </c>
      <c r="AJ43" s="14">
        <f t="shared" si="6"/>
        <v>2.0880073424434022E-2</v>
      </c>
      <c r="AK43" s="88">
        <v>560</v>
      </c>
      <c r="AL43" s="87">
        <v>506</v>
      </c>
      <c r="AM43" s="88" t="s">
        <v>24</v>
      </c>
      <c r="AN43" s="88" t="s">
        <v>26</v>
      </c>
      <c r="AO43" s="88" t="s">
        <v>3</v>
      </c>
      <c r="AP43" s="20"/>
      <c r="AQ43" s="20"/>
      <c r="AR43" s="20"/>
      <c r="AS43" s="6"/>
      <c r="AT43" s="29"/>
      <c r="AU43" s="29"/>
      <c r="AV43" s="29"/>
      <c r="AW43" s="29"/>
      <c r="AX43" s="29"/>
      <c r="AY43" s="29"/>
    </row>
    <row r="44" spans="1:51" x14ac:dyDescent="0.25">
      <c r="A44" s="166">
        <v>42</v>
      </c>
      <c r="B44" s="119">
        <v>46163</v>
      </c>
      <c r="C44" s="39" t="s">
        <v>22</v>
      </c>
      <c r="D44" s="87" t="s">
        <v>105</v>
      </c>
      <c r="E44" s="5">
        <v>245</v>
      </c>
      <c r="F44" s="5">
        <v>31511</v>
      </c>
      <c r="G44" s="5" t="s">
        <v>89</v>
      </c>
      <c r="H44" s="5" t="s">
        <v>23</v>
      </c>
      <c r="I44" s="8" t="s">
        <v>91</v>
      </c>
      <c r="J44" s="88" t="s">
        <v>91</v>
      </c>
      <c r="K44" s="174">
        <v>37920</v>
      </c>
      <c r="L44" s="174">
        <v>0</v>
      </c>
      <c r="M44" s="174">
        <f t="shared" si="19"/>
        <v>37920</v>
      </c>
      <c r="N44" s="8">
        <v>417</v>
      </c>
      <c r="O44" s="174">
        <f t="shared" si="20"/>
        <v>37503</v>
      </c>
      <c r="P44" s="16">
        <v>38661</v>
      </c>
      <c r="Q44" s="16">
        <v>1440</v>
      </c>
      <c r="R44" s="16">
        <f t="shared" si="11"/>
        <v>37221</v>
      </c>
      <c r="S44" s="16">
        <v>504</v>
      </c>
      <c r="T44" s="16">
        <f t="shared" si="12"/>
        <v>36717</v>
      </c>
      <c r="U44" s="20">
        <v>11</v>
      </c>
      <c r="V44" s="5">
        <v>166</v>
      </c>
      <c r="W44" s="6">
        <v>41.53</v>
      </c>
      <c r="X44" s="16">
        <v>8.4</v>
      </c>
      <c r="Y44" s="6">
        <v>170</v>
      </c>
      <c r="Z44" s="6">
        <v>42.41</v>
      </c>
      <c r="AA44" s="6"/>
      <c r="AB44" s="6"/>
      <c r="AC44" s="6"/>
      <c r="AD44" s="6"/>
      <c r="AE44" s="6"/>
      <c r="AF44" s="6"/>
      <c r="AG44" s="6"/>
      <c r="AH44" s="6">
        <f t="shared" si="16"/>
        <v>2.5999999999999995E-2</v>
      </c>
      <c r="AI44" s="9">
        <f t="shared" si="5"/>
        <v>786</v>
      </c>
      <c r="AJ44" s="14">
        <f t="shared" si="6"/>
        <v>2.0958323334133271E-2</v>
      </c>
      <c r="AK44" s="6">
        <v>471</v>
      </c>
      <c r="AL44" s="5">
        <v>504</v>
      </c>
      <c r="AM44" s="6" t="s">
        <v>24</v>
      </c>
      <c r="AN44" s="6" t="s">
        <v>26</v>
      </c>
      <c r="AO44" s="6" t="s">
        <v>3</v>
      </c>
      <c r="AP44" s="20"/>
      <c r="AQ44" s="20"/>
      <c r="AR44" s="20"/>
      <c r="AS44" s="6"/>
      <c r="AT44" s="29"/>
      <c r="AU44" s="29"/>
      <c r="AV44" s="29"/>
      <c r="AW44" s="29"/>
      <c r="AX44" s="29"/>
      <c r="AY44" s="29"/>
    </row>
    <row r="45" spans="1:51" x14ac:dyDescent="0.25">
      <c r="A45" s="166">
        <v>43</v>
      </c>
      <c r="B45" s="119">
        <v>46164</v>
      </c>
      <c r="C45" s="39" t="s">
        <v>22</v>
      </c>
      <c r="D45" s="87" t="s">
        <v>105</v>
      </c>
      <c r="E45" s="5">
        <v>246</v>
      </c>
      <c r="F45" s="5">
        <v>35056</v>
      </c>
      <c r="G45" s="5" t="s">
        <v>89</v>
      </c>
      <c r="H45" s="5" t="s">
        <v>23</v>
      </c>
      <c r="I45" s="8" t="s">
        <v>91</v>
      </c>
      <c r="J45" s="88" t="s">
        <v>91</v>
      </c>
      <c r="K45" s="174">
        <v>45840</v>
      </c>
      <c r="L45" s="174">
        <v>0</v>
      </c>
      <c r="M45" s="174">
        <f t="shared" si="19"/>
        <v>45840</v>
      </c>
      <c r="N45" s="8">
        <v>476</v>
      </c>
      <c r="O45" s="174">
        <f t="shared" si="20"/>
        <v>45364</v>
      </c>
      <c r="P45" s="16">
        <v>46869</v>
      </c>
      <c r="Q45" s="16">
        <v>1805</v>
      </c>
      <c r="R45" s="16">
        <f t="shared" si="11"/>
        <v>45064</v>
      </c>
      <c r="S45" s="16">
        <v>584</v>
      </c>
      <c r="T45" s="16">
        <f t="shared" si="12"/>
        <v>44480</v>
      </c>
      <c r="U45" s="20">
        <v>10.8</v>
      </c>
      <c r="V45" s="5">
        <v>180</v>
      </c>
      <c r="W45" s="6">
        <v>42.15</v>
      </c>
      <c r="X45" s="16">
        <v>8.6999999999999993</v>
      </c>
      <c r="Y45" s="6">
        <v>187</v>
      </c>
      <c r="Z45" s="6">
        <v>42.41</v>
      </c>
      <c r="AA45" s="6"/>
      <c r="AB45" s="6"/>
      <c r="AC45" s="6"/>
      <c r="AD45" s="6"/>
      <c r="AE45" s="6"/>
      <c r="AF45" s="6"/>
      <c r="AG45" s="6"/>
      <c r="AH45" s="6">
        <f t="shared" si="16"/>
        <v>2.1000000000000015E-2</v>
      </c>
      <c r="AI45" s="9">
        <f t="shared" si="5"/>
        <v>884</v>
      </c>
      <c r="AJ45" s="14">
        <f t="shared" si="6"/>
        <v>1.9486817740939952E-2</v>
      </c>
      <c r="AK45" s="6">
        <v>521</v>
      </c>
      <c r="AL45" s="5">
        <v>584</v>
      </c>
      <c r="AM45" s="6" t="s">
        <v>24</v>
      </c>
      <c r="AN45" s="6" t="s">
        <v>26</v>
      </c>
      <c r="AO45" s="6" t="s">
        <v>3</v>
      </c>
      <c r="AP45" s="137"/>
      <c r="AQ45" s="137"/>
      <c r="AR45" s="137"/>
      <c r="AS45" s="135"/>
      <c r="AT45" s="29"/>
      <c r="AU45" s="29"/>
      <c r="AV45" s="29"/>
      <c r="AW45" s="29"/>
      <c r="AX45" s="29"/>
      <c r="AY45" s="29"/>
    </row>
    <row r="46" spans="1:51" x14ac:dyDescent="0.25">
      <c r="A46" s="166">
        <v>44</v>
      </c>
      <c r="B46" s="119">
        <v>46164</v>
      </c>
      <c r="C46" s="39" t="s">
        <v>22</v>
      </c>
      <c r="D46" s="48" t="s">
        <v>77</v>
      </c>
      <c r="E46" s="48" t="s">
        <v>77</v>
      </c>
      <c r="F46" s="22">
        <v>51237</v>
      </c>
      <c r="G46" s="48" t="s">
        <v>89</v>
      </c>
      <c r="H46" s="48" t="s">
        <v>77</v>
      </c>
      <c r="I46" s="39" t="s">
        <v>97</v>
      </c>
      <c r="J46" s="132" t="s">
        <v>97</v>
      </c>
      <c r="K46" s="16">
        <v>46553</v>
      </c>
      <c r="L46" s="16">
        <v>5930</v>
      </c>
      <c r="M46" s="16">
        <f t="shared" si="19"/>
        <v>40623</v>
      </c>
      <c r="N46" s="6">
        <v>540</v>
      </c>
      <c r="O46" s="16">
        <f t="shared" si="20"/>
        <v>40083</v>
      </c>
      <c r="P46" s="51">
        <v>41509</v>
      </c>
      <c r="Q46" s="51">
        <v>1590</v>
      </c>
      <c r="R46" s="16">
        <f t="shared" si="11"/>
        <v>39919</v>
      </c>
      <c r="S46" s="16">
        <v>535</v>
      </c>
      <c r="T46" s="16">
        <f t="shared" si="12"/>
        <v>39384</v>
      </c>
      <c r="U46" s="51">
        <v>10.8</v>
      </c>
      <c r="V46" s="48">
        <v>178</v>
      </c>
      <c r="W46" s="39">
        <v>42.24</v>
      </c>
      <c r="X46" s="51">
        <v>8.8000000000000007</v>
      </c>
      <c r="Y46" s="39">
        <v>172</v>
      </c>
      <c r="Z46" s="39">
        <v>42.76</v>
      </c>
      <c r="AA46" s="39">
        <v>0</v>
      </c>
      <c r="AB46" s="39">
        <v>40</v>
      </c>
      <c r="AC46" s="39">
        <v>230</v>
      </c>
      <c r="AD46" s="39">
        <v>11</v>
      </c>
      <c r="AE46" s="39">
        <v>14</v>
      </c>
      <c r="AF46" s="39">
        <v>687</v>
      </c>
      <c r="AG46" s="39">
        <v>13</v>
      </c>
      <c r="AH46" s="39">
        <f t="shared" si="16"/>
        <v>0.02</v>
      </c>
      <c r="AI46" s="9">
        <f t="shared" si="5"/>
        <v>699</v>
      </c>
      <c r="AJ46" s="14">
        <f t="shared" si="6"/>
        <v>1.7438814459995511E-2</v>
      </c>
      <c r="AK46" s="39">
        <v>540</v>
      </c>
      <c r="AL46" s="48">
        <v>535</v>
      </c>
      <c r="AM46" s="39" t="s">
        <v>24</v>
      </c>
      <c r="AN46" s="39" t="s">
        <v>26</v>
      </c>
      <c r="AO46" s="39" t="s">
        <v>27</v>
      </c>
      <c r="AP46" s="51"/>
      <c r="AQ46" s="51"/>
      <c r="AR46" s="51"/>
      <c r="AS46" s="39" t="s">
        <v>27</v>
      </c>
      <c r="AT46" s="177" t="s">
        <v>119</v>
      </c>
      <c r="AU46" s="29"/>
      <c r="AV46" s="29"/>
      <c r="AW46" s="29"/>
      <c r="AX46" s="29"/>
      <c r="AY46" s="29"/>
    </row>
    <row r="47" spans="1:51" x14ac:dyDescent="0.25">
      <c r="A47" s="166">
        <v>45</v>
      </c>
      <c r="B47" s="119">
        <v>46167</v>
      </c>
      <c r="C47" s="39" t="s">
        <v>22</v>
      </c>
      <c r="D47" s="48" t="s">
        <v>77</v>
      </c>
      <c r="E47" s="48" t="s">
        <v>77</v>
      </c>
      <c r="F47" s="123">
        <v>82120</v>
      </c>
      <c r="G47" s="48" t="s">
        <v>89</v>
      </c>
      <c r="H47" s="48" t="s">
        <v>77</v>
      </c>
      <c r="I47" s="39" t="s">
        <v>97</v>
      </c>
      <c r="J47" s="132" t="s">
        <v>97</v>
      </c>
      <c r="K47" s="16">
        <v>78459</v>
      </c>
      <c r="L47" s="16">
        <v>2490</v>
      </c>
      <c r="M47" s="16">
        <f t="shared" si="19"/>
        <v>75969</v>
      </c>
      <c r="N47" s="6">
        <v>1001</v>
      </c>
      <c r="O47" s="16">
        <f t="shared" si="20"/>
        <v>74968</v>
      </c>
      <c r="P47" s="51">
        <v>77183</v>
      </c>
      <c r="Q47" s="51">
        <v>2902</v>
      </c>
      <c r="R47" s="16">
        <f t="shared" si="11"/>
        <v>74281</v>
      </c>
      <c r="S47" s="16">
        <v>998</v>
      </c>
      <c r="T47" s="16">
        <f t="shared" si="12"/>
        <v>73283</v>
      </c>
      <c r="U47" s="51">
        <v>10.5</v>
      </c>
      <c r="V47" s="48">
        <v>174</v>
      </c>
      <c r="W47" s="39">
        <v>42.24</v>
      </c>
      <c r="X47" s="51">
        <v>8.8000000000000007</v>
      </c>
      <c r="Y47" s="39">
        <v>171</v>
      </c>
      <c r="Z47" s="39">
        <v>42.59</v>
      </c>
      <c r="AA47" s="39">
        <v>3</v>
      </c>
      <c r="AB47" s="39">
        <v>30</v>
      </c>
      <c r="AC47" s="39">
        <v>227</v>
      </c>
      <c r="AD47" s="39">
        <v>19</v>
      </c>
      <c r="AE47" s="39">
        <v>10</v>
      </c>
      <c r="AF47" s="39">
        <v>670</v>
      </c>
      <c r="AG47" s="39">
        <v>36</v>
      </c>
      <c r="AH47" s="39">
        <f t="shared" si="16"/>
        <v>1.6999999999999994E-2</v>
      </c>
      <c r="AI47" s="9">
        <f t="shared" si="5"/>
        <v>1685</v>
      </c>
      <c r="AJ47" s="14">
        <f t="shared" si="6"/>
        <v>2.2476256536122077E-2</v>
      </c>
      <c r="AK47" s="39">
        <v>1001</v>
      </c>
      <c r="AL47" s="48">
        <v>998</v>
      </c>
      <c r="AM47" s="39" t="s">
        <v>24</v>
      </c>
      <c r="AN47" s="39" t="s">
        <v>26</v>
      </c>
      <c r="AO47" s="39" t="s">
        <v>78</v>
      </c>
      <c r="AP47" s="51"/>
      <c r="AQ47" s="51"/>
      <c r="AR47" s="51"/>
      <c r="AS47" s="39" t="s">
        <v>27</v>
      </c>
      <c r="AT47" s="177" t="s">
        <v>119</v>
      </c>
      <c r="AU47" s="29"/>
      <c r="AV47" s="29"/>
      <c r="AW47" s="29"/>
      <c r="AX47" s="29"/>
      <c r="AY47" s="29"/>
    </row>
    <row r="48" spans="1:51" x14ac:dyDescent="0.25">
      <c r="A48" s="166">
        <v>46</v>
      </c>
      <c r="B48" s="119">
        <v>46168</v>
      </c>
      <c r="C48" s="39" t="s">
        <v>22</v>
      </c>
      <c r="D48" s="48" t="s">
        <v>77</v>
      </c>
      <c r="E48" s="48" t="s">
        <v>77</v>
      </c>
      <c r="F48" s="123">
        <v>82869</v>
      </c>
      <c r="G48" s="48" t="s">
        <v>89</v>
      </c>
      <c r="H48" s="48" t="s">
        <v>77</v>
      </c>
      <c r="I48" s="39" t="s">
        <v>97</v>
      </c>
      <c r="J48" s="132" t="s">
        <v>97</v>
      </c>
      <c r="K48" s="16">
        <v>32489</v>
      </c>
      <c r="L48" s="16">
        <v>1016</v>
      </c>
      <c r="M48" s="16">
        <f t="shared" si="19"/>
        <v>31473</v>
      </c>
      <c r="N48" s="6">
        <v>414</v>
      </c>
      <c r="O48" s="16">
        <f t="shared" si="20"/>
        <v>31059</v>
      </c>
      <c r="P48" s="51">
        <v>32297</v>
      </c>
      <c r="Q48" s="51">
        <v>1394</v>
      </c>
      <c r="R48" s="16">
        <f t="shared" si="11"/>
        <v>30903</v>
      </c>
      <c r="S48" s="16">
        <v>414</v>
      </c>
      <c r="T48" s="16">
        <f t="shared" si="12"/>
        <v>30489</v>
      </c>
      <c r="U48" s="51">
        <v>10.1</v>
      </c>
      <c r="V48" s="48">
        <v>174</v>
      </c>
      <c r="W48" s="39">
        <v>42.15</v>
      </c>
      <c r="X48" s="51">
        <v>8.6999999999999993</v>
      </c>
      <c r="Y48" s="39">
        <v>175</v>
      </c>
      <c r="Z48" s="39">
        <v>42.5</v>
      </c>
      <c r="AA48" s="39">
        <v>0</v>
      </c>
      <c r="AB48" s="39">
        <v>36</v>
      </c>
      <c r="AC48" s="39">
        <v>223</v>
      </c>
      <c r="AD48" s="39">
        <v>17</v>
      </c>
      <c r="AE48" s="39">
        <v>19</v>
      </c>
      <c r="AF48" s="39">
        <v>659</v>
      </c>
      <c r="AG48" s="39">
        <v>41</v>
      </c>
      <c r="AH48" s="39">
        <f t="shared" si="16"/>
        <v>1.4000000000000004E-2</v>
      </c>
      <c r="AI48" s="9">
        <f t="shared" si="5"/>
        <v>570</v>
      </c>
      <c r="AJ48" s="14">
        <f t="shared" si="6"/>
        <v>1.8352168453588332E-2</v>
      </c>
      <c r="AK48" s="39">
        <v>414</v>
      </c>
      <c r="AL48" s="48">
        <v>414</v>
      </c>
      <c r="AM48" s="39" t="s">
        <v>71</v>
      </c>
      <c r="AN48" s="39" t="s">
        <v>26</v>
      </c>
      <c r="AO48" s="39" t="s">
        <v>78</v>
      </c>
      <c r="AP48" s="51"/>
      <c r="AQ48" s="51"/>
      <c r="AR48" s="51"/>
      <c r="AS48" s="39" t="s">
        <v>27</v>
      </c>
      <c r="AT48" s="177" t="s">
        <v>119</v>
      </c>
      <c r="AU48" s="29"/>
      <c r="AV48" s="29"/>
      <c r="AW48" s="29"/>
      <c r="AX48" s="29"/>
      <c r="AY48" s="29"/>
    </row>
    <row r="49" spans="1:51" x14ac:dyDescent="0.25">
      <c r="A49" s="166">
        <v>47</v>
      </c>
      <c r="B49" s="119">
        <v>46169</v>
      </c>
      <c r="C49" s="39" t="s">
        <v>22</v>
      </c>
      <c r="D49" s="48" t="s">
        <v>77</v>
      </c>
      <c r="E49" s="48" t="s">
        <v>77</v>
      </c>
      <c r="F49" s="123">
        <v>82153</v>
      </c>
      <c r="G49" s="48" t="s">
        <v>89</v>
      </c>
      <c r="H49" s="48" t="s">
        <v>77</v>
      </c>
      <c r="I49" s="39" t="s">
        <v>97</v>
      </c>
      <c r="J49" s="132" t="s">
        <v>97</v>
      </c>
      <c r="K49" s="16">
        <v>50394</v>
      </c>
      <c r="L49" s="16">
        <v>1523.9</v>
      </c>
      <c r="M49" s="16">
        <f t="shared" si="19"/>
        <v>48870.1</v>
      </c>
      <c r="N49" s="6">
        <v>638</v>
      </c>
      <c r="O49" s="16">
        <f t="shared" si="20"/>
        <v>48232.1</v>
      </c>
      <c r="P49" s="51">
        <v>49948</v>
      </c>
      <c r="Q49" s="51">
        <v>1966</v>
      </c>
      <c r="R49" s="16">
        <f t="shared" si="11"/>
        <v>47982</v>
      </c>
      <c r="S49" s="16">
        <v>645</v>
      </c>
      <c r="T49" s="16">
        <f t="shared" si="12"/>
        <v>47337</v>
      </c>
      <c r="U49" s="51">
        <v>10.5</v>
      </c>
      <c r="V49" s="48">
        <v>177</v>
      </c>
      <c r="W49" s="39">
        <v>42.24</v>
      </c>
      <c r="X49" s="51">
        <v>8.8000000000000007</v>
      </c>
      <c r="Y49" s="39">
        <v>174</v>
      </c>
      <c r="Z49" s="39">
        <v>42.41</v>
      </c>
      <c r="AA49" s="39">
        <v>0</v>
      </c>
      <c r="AB49" s="39">
        <v>37</v>
      </c>
      <c r="AC49" s="39">
        <v>226</v>
      </c>
      <c r="AD49" s="39">
        <v>14</v>
      </c>
      <c r="AE49" s="39">
        <v>15</v>
      </c>
      <c r="AF49" s="39">
        <v>671</v>
      </c>
      <c r="AG49" s="39">
        <v>32</v>
      </c>
      <c r="AH49" s="39">
        <f t="shared" si="16"/>
        <v>1.6999999999999994E-2</v>
      </c>
      <c r="AI49" s="9">
        <f t="shared" si="5"/>
        <v>895.09999999999854</v>
      </c>
      <c r="AJ49" s="14">
        <f t="shared" si="6"/>
        <v>1.8558180133147813E-2</v>
      </c>
      <c r="AK49" s="39">
        <v>638</v>
      </c>
      <c r="AL49" s="48">
        <v>645</v>
      </c>
      <c r="AM49" s="39" t="s">
        <v>71</v>
      </c>
      <c r="AN49" s="39" t="s">
        <v>26</v>
      </c>
      <c r="AO49" s="39" t="s">
        <v>78</v>
      </c>
      <c r="AP49" s="51"/>
      <c r="AQ49" s="51"/>
      <c r="AR49" s="51"/>
      <c r="AS49" s="39" t="s">
        <v>27</v>
      </c>
      <c r="AT49" s="177" t="s">
        <v>119</v>
      </c>
      <c r="AU49" s="29"/>
      <c r="AV49" s="29"/>
      <c r="AW49" s="29"/>
      <c r="AX49" s="29"/>
      <c r="AY49" s="29"/>
    </row>
    <row r="50" spans="1:51" x14ac:dyDescent="0.25">
      <c r="A50" s="166">
        <v>48</v>
      </c>
      <c r="B50" s="119">
        <v>46170</v>
      </c>
      <c r="C50" s="39" t="s">
        <v>22</v>
      </c>
      <c r="D50" s="5" t="s">
        <v>102</v>
      </c>
      <c r="E50" s="5">
        <v>247</v>
      </c>
      <c r="F50" s="187">
        <v>87036</v>
      </c>
      <c r="G50" s="5" t="s">
        <v>89</v>
      </c>
      <c r="H50" s="5" t="s">
        <v>23</v>
      </c>
      <c r="I50" s="6" t="s">
        <v>117</v>
      </c>
      <c r="J50" s="6" t="s">
        <v>117</v>
      </c>
      <c r="K50" s="16">
        <v>55860</v>
      </c>
      <c r="L50" s="174">
        <v>0</v>
      </c>
      <c r="M50" s="174">
        <f t="shared" ref="M50:M53" si="21">K50-L50</f>
        <v>55860</v>
      </c>
      <c r="N50" s="6">
        <v>690</v>
      </c>
      <c r="O50" s="174">
        <f t="shared" ref="O50:O53" si="22">M50-N50</f>
        <v>55170</v>
      </c>
      <c r="P50" s="20">
        <v>56876</v>
      </c>
      <c r="Q50" s="20">
        <v>2215</v>
      </c>
      <c r="R50" s="16">
        <f t="shared" si="11"/>
        <v>54661</v>
      </c>
      <c r="S50" s="16">
        <v>751</v>
      </c>
      <c r="T50" s="16">
        <f t="shared" si="12"/>
        <v>53910</v>
      </c>
      <c r="U50" s="20">
        <v>10.4</v>
      </c>
      <c r="V50" s="5">
        <v>175</v>
      </c>
      <c r="W50" s="6">
        <v>41.88</v>
      </c>
      <c r="X50" s="16">
        <v>8.9</v>
      </c>
      <c r="Y50" s="6">
        <v>183</v>
      </c>
      <c r="Z50" s="6">
        <v>41.09</v>
      </c>
      <c r="AA50" s="6">
        <v>0</v>
      </c>
      <c r="AB50" s="6">
        <v>49</v>
      </c>
      <c r="AC50" s="6">
        <v>220</v>
      </c>
      <c r="AD50" s="6">
        <v>12</v>
      </c>
      <c r="AE50" s="6">
        <v>14</v>
      </c>
      <c r="AF50" s="6">
        <v>682</v>
      </c>
      <c r="AG50" s="6">
        <v>17</v>
      </c>
      <c r="AH50" s="6">
        <f t="shared" si="16"/>
        <v>1.4999999999999999E-2</v>
      </c>
      <c r="AI50" s="9">
        <f t="shared" si="5"/>
        <v>1260</v>
      </c>
      <c r="AJ50" s="14">
        <f t="shared" si="6"/>
        <v>2.2838499184339316E-2</v>
      </c>
      <c r="AK50" s="6">
        <v>734</v>
      </c>
      <c r="AL50" s="5">
        <v>751</v>
      </c>
      <c r="AM50" s="6" t="s">
        <v>83</v>
      </c>
      <c r="AN50" s="6" t="s">
        <v>26</v>
      </c>
      <c r="AO50" s="6" t="s">
        <v>98</v>
      </c>
      <c r="AP50" s="20"/>
      <c r="AQ50" s="20"/>
      <c r="AR50" s="20"/>
      <c r="AS50" s="6" t="s">
        <v>98</v>
      </c>
      <c r="AT50" s="15" t="s">
        <v>99</v>
      </c>
      <c r="AU50" s="29"/>
      <c r="AV50" s="29"/>
      <c r="AW50" s="29"/>
      <c r="AX50" s="29"/>
      <c r="AY50" s="29"/>
    </row>
    <row r="51" spans="1:51" x14ac:dyDescent="0.25">
      <c r="A51" s="166">
        <v>49</v>
      </c>
      <c r="B51" s="119">
        <v>46171</v>
      </c>
      <c r="C51" s="39" t="s">
        <v>22</v>
      </c>
      <c r="D51" s="5" t="s">
        <v>77</v>
      </c>
      <c r="E51" s="5" t="s">
        <v>77</v>
      </c>
      <c r="F51" s="188" t="s">
        <v>77</v>
      </c>
      <c r="G51" s="5" t="s">
        <v>89</v>
      </c>
      <c r="H51" s="5" t="s">
        <v>77</v>
      </c>
      <c r="I51" s="6" t="s">
        <v>117</v>
      </c>
      <c r="J51" s="6" t="s">
        <v>117</v>
      </c>
      <c r="K51" s="16">
        <v>69877</v>
      </c>
      <c r="L51" s="16">
        <v>2206</v>
      </c>
      <c r="M51" s="16">
        <f t="shared" si="21"/>
        <v>67671</v>
      </c>
      <c r="N51" s="6">
        <v>893</v>
      </c>
      <c r="O51" s="16">
        <f t="shared" si="22"/>
        <v>66778</v>
      </c>
      <c r="P51" s="20">
        <v>68376</v>
      </c>
      <c r="Q51" s="20">
        <v>2668</v>
      </c>
      <c r="R51" s="16">
        <f t="shared" si="11"/>
        <v>65708</v>
      </c>
      <c r="S51" s="16">
        <v>912</v>
      </c>
      <c r="T51" s="16">
        <f t="shared" si="12"/>
        <v>64796</v>
      </c>
      <c r="U51" s="20">
        <v>10.199999999999999</v>
      </c>
      <c r="V51" s="5">
        <v>174</v>
      </c>
      <c r="W51" s="6">
        <v>42.65</v>
      </c>
      <c r="X51" s="16">
        <v>8.6</v>
      </c>
      <c r="Y51" s="6">
        <v>170</v>
      </c>
      <c r="Z51" s="6">
        <v>43.03</v>
      </c>
      <c r="AA51" s="6">
        <v>2</v>
      </c>
      <c r="AB51" s="6">
        <v>28</v>
      </c>
      <c r="AC51" s="6">
        <v>230</v>
      </c>
      <c r="AD51" s="6">
        <v>18</v>
      </c>
      <c r="AE51" s="6">
        <v>10</v>
      </c>
      <c r="AF51" s="6">
        <v>678</v>
      </c>
      <c r="AG51" s="6">
        <v>26</v>
      </c>
      <c r="AH51" s="6">
        <f t="shared" si="16"/>
        <v>1.5999999999999997E-2</v>
      </c>
      <c r="AI51" s="9">
        <f t="shared" si="5"/>
        <v>1982</v>
      </c>
      <c r="AJ51" s="14">
        <f t="shared" si="6"/>
        <v>2.9680433675761477E-2</v>
      </c>
      <c r="AK51" s="6">
        <v>893</v>
      </c>
      <c r="AL51" s="5">
        <v>912</v>
      </c>
      <c r="AM51" s="6" t="s">
        <v>83</v>
      </c>
      <c r="AN51" s="6" t="s">
        <v>26</v>
      </c>
      <c r="AO51" s="6" t="s">
        <v>98</v>
      </c>
      <c r="AP51" s="20"/>
      <c r="AQ51" s="20"/>
      <c r="AR51" s="20"/>
      <c r="AS51" s="6"/>
      <c r="AT51" s="15"/>
      <c r="AU51" s="29"/>
      <c r="AV51" s="29"/>
      <c r="AW51" s="29"/>
      <c r="AX51" s="29"/>
      <c r="AY51" s="29"/>
    </row>
    <row r="52" spans="1:51" x14ac:dyDescent="0.25">
      <c r="A52" s="166">
        <v>50</v>
      </c>
      <c r="B52" s="119">
        <v>46172</v>
      </c>
      <c r="C52" s="39" t="s">
        <v>22</v>
      </c>
      <c r="D52" s="48" t="s">
        <v>77</v>
      </c>
      <c r="E52" s="48" t="s">
        <v>77</v>
      </c>
      <c r="F52" s="5" t="s">
        <v>77</v>
      </c>
      <c r="G52" s="48" t="s">
        <v>89</v>
      </c>
      <c r="H52" s="48" t="s">
        <v>77</v>
      </c>
      <c r="I52" s="39" t="s">
        <v>97</v>
      </c>
      <c r="J52" s="132" t="s">
        <v>97</v>
      </c>
      <c r="K52" s="16">
        <v>69809</v>
      </c>
      <c r="L52" s="16">
        <v>2206</v>
      </c>
      <c r="M52" s="16">
        <f t="shared" si="21"/>
        <v>67603</v>
      </c>
      <c r="N52" s="6">
        <v>898</v>
      </c>
      <c r="O52" s="16">
        <f t="shared" si="22"/>
        <v>66705</v>
      </c>
      <c r="P52" s="51">
        <v>69008</v>
      </c>
      <c r="Q52" s="51">
        <v>2666</v>
      </c>
      <c r="R52" s="16">
        <f t="shared" si="11"/>
        <v>66342</v>
      </c>
      <c r="S52" s="16">
        <v>890</v>
      </c>
      <c r="T52" s="16">
        <f t="shared" si="12"/>
        <v>65452</v>
      </c>
      <c r="U52" s="51">
        <v>10.7</v>
      </c>
      <c r="V52" s="48">
        <v>175</v>
      </c>
      <c r="W52" s="39">
        <v>42.06</v>
      </c>
      <c r="X52" s="51">
        <v>8.3000000000000007</v>
      </c>
      <c r="Y52" s="39">
        <v>177</v>
      </c>
      <c r="Z52" s="39">
        <v>41.53</v>
      </c>
      <c r="AA52" s="39">
        <v>2</v>
      </c>
      <c r="AB52" s="39">
        <v>40</v>
      </c>
      <c r="AC52" s="39">
        <v>217</v>
      </c>
      <c r="AD52" s="39">
        <v>17</v>
      </c>
      <c r="AE52" s="39">
        <v>20</v>
      </c>
      <c r="AF52" s="39">
        <v>665</v>
      </c>
      <c r="AG52" s="39">
        <v>35</v>
      </c>
      <c r="AH52" s="39">
        <f t="shared" si="16"/>
        <v>2.3999999999999987E-2</v>
      </c>
      <c r="AI52" s="9">
        <f t="shared" si="5"/>
        <v>1253</v>
      </c>
      <c r="AJ52" s="14">
        <f t="shared" si="6"/>
        <v>1.8784199085525824E-2</v>
      </c>
      <c r="AK52" s="39">
        <v>898</v>
      </c>
      <c r="AL52" s="48">
        <v>890</v>
      </c>
      <c r="AM52" s="39" t="s">
        <v>83</v>
      </c>
      <c r="AN52" s="39" t="s">
        <v>26</v>
      </c>
      <c r="AO52" s="39" t="s">
        <v>78</v>
      </c>
      <c r="AP52" s="51"/>
      <c r="AQ52" s="51"/>
      <c r="AR52" s="51"/>
      <c r="AS52" s="39" t="s">
        <v>27</v>
      </c>
      <c r="AT52" s="177" t="s">
        <v>119</v>
      </c>
      <c r="AU52" s="29"/>
      <c r="AV52" s="29"/>
      <c r="AW52" s="29"/>
      <c r="AX52" s="29"/>
      <c r="AY52" s="29"/>
    </row>
    <row r="53" spans="1:51" x14ac:dyDescent="0.25">
      <c r="A53" s="166">
        <v>51</v>
      </c>
      <c r="B53" s="119">
        <v>46174</v>
      </c>
      <c r="C53" s="39" t="s">
        <v>22</v>
      </c>
      <c r="D53" s="5" t="s">
        <v>77</v>
      </c>
      <c r="E53" s="5" t="s">
        <v>77</v>
      </c>
      <c r="F53" s="188" t="s">
        <v>77</v>
      </c>
      <c r="G53" s="5" t="s">
        <v>89</v>
      </c>
      <c r="H53" s="5" t="s">
        <v>77</v>
      </c>
      <c r="I53" s="6" t="s">
        <v>117</v>
      </c>
      <c r="J53" s="6" t="s">
        <v>117</v>
      </c>
      <c r="K53" s="16">
        <v>52187</v>
      </c>
      <c r="L53" s="16">
        <v>1671</v>
      </c>
      <c r="M53" s="16">
        <f t="shared" si="21"/>
        <v>50516</v>
      </c>
      <c r="N53" s="6">
        <v>660</v>
      </c>
      <c r="O53" s="20">
        <f t="shared" si="22"/>
        <v>49856</v>
      </c>
      <c r="P53" s="20">
        <v>50641.7</v>
      </c>
      <c r="Q53" s="20">
        <v>1969</v>
      </c>
      <c r="R53" s="16">
        <f t="shared" si="11"/>
        <v>48672.7</v>
      </c>
      <c r="S53" s="16">
        <v>740</v>
      </c>
      <c r="T53" s="16">
        <f t="shared" si="12"/>
        <v>47932.7</v>
      </c>
      <c r="U53" s="20">
        <v>11.2</v>
      </c>
      <c r="V53" s="5">
        <v>170</v>
      </c>
      <c r="W53" s="6">
        <v>41.27</v>
      </c>
      <c r="X53" s="16">
        <v>8.6999999999999993</v>
      </c>
      <c r="Y53" s="6">
        <v>170</v>
      </c>
      <c r="Z53" s="6">
        <v>41.27</v>
      </c>
      <c r="AA53" s="6">
        <v>0</v>
      </c>
      <c r="AB53" s="6">
        <v>48</v>
      </c>
      <c r="AC53" s="6">
        <v>222</v>
      </c>
      <c r="AD53" s="6">
        <v>10</v>
      </c>
      <c r="AE53" s="6">
        <v>14</v>
      </c>
      <c r="AF53" s="6">
        <v>678</v>
      </c>
      <c r="AG53" s="6">
        <v>23</v>
      </c>
      <c r="AH53" s="6">
        <f t="shared" si="16"/>
        <v>2.5000000000000001E-2</v>
      </c>
      <c r="AI53" s="9">
        <f t="shared" si="5"/>
        <v>1923.3000000000029</v>
      </c>
      <c r="AJ53" s="14">
        <f t="shared" si="6"/>
        <v>3.8577102053915333E-2</v>
      </c>
      <c r="AK53" s="6">
        <v>660</v>
      </c>
      <c r="AL53" s="5">
        <v>740</v>
      </c>
      <c r="AM53" s="6" t="s">
        <v>83</v>
      </c>
      <c r="AN53" s="6" t="s">
        <v>26</v>
      </c>
      <c r="AO53" s="6" t="s">
        <v>98</v>
      </c>
      <c r="AP53" s="20"/>
      <c r="AQ53" s="20"/>
      <c r="AR53" s="20"/>
      <c r="AS53" s="6" t="s">
        <v>98</v>
      </c>
      <c r="AT53" s="15"/>
      <c r="AU53" s="29"/>
      <c r="AV53" s="29"/>
      <c r="AW53" s="29"/>
      <c r="AX53" s="29"/>
      <c r="AY53" s="29"/>
    </row>
    <row r="54" spans="1:51" x14ac:dyDescent="0.25">
      <c r="A54" s="166">
        <v>52</v>
      </c>
      <c r="B54" s="119">
        <v>46175</v>
      </c>
      <c r="C54" s="39" t="s">
        <v>22</v>
      </c>
      <c r="D54" s="124" t="s">
        <v>111</v>
      </c>
      <c r="E54" s="124" t="s">
        <v>111</v>
      </c>
      <c r="F54" s="187">
        <v>87130</v>
      </c>
      <c r="G54" s="5" t="s">
        <v>39</v>
      </c>
      <c r="H54" s="5" t="s">
        <v>23</v>
      </c>
      <c r="I54" s="6" t="s">
        <v>117</v>
      </c>
      <c r="J54" s="6" t="s">
        <v>117</v>
      </c>
      <c r="K54" s="16">
        <v>56200</v>
      </c>
      <c r="L54" s="16">
        <v>0</v>
      </c>
      <c r="M54" s="174">
        <f t="shared" ref="M54:M63" si="23">K54-L54</f>
        <v>56200</v>
      </c>
      <c r="N54" s="6">
        <v>724</v>
      </c>
      <c r="O54" s="201">
        <f t="shared" ref="O54:O63" si="24">M54-N54</f>
        <v>55476</v>
      </c>
      <c r="P54" s="20">
        <v>57460</v>
      </c>
      <c r="Q54" s="20">
        <v>2240</v>
      </c>
      <c r="R54" s="16">
        <f t="shared" si="11"/>
        <v>55220</v>
      </c>
      <c r="S54" s="16">
        <v>772</v>
      </c>
      <c r="T54" s="16">
        <f t="shared" si="12"/>
        <v>54448</v>
      </c>
      <c r="U54" s="20">
        <v>10.4</v>
      </c>
      <c r="V54" s="5">
        <v>164</v>
      </c>
      <c r="W54" s="6">
        <v>41.88</v>
      </c>
      <c r="X54" s="16">
        <v>8.9</v>
      </c>
      <c r="Y54" s="6">
        <v>174</v>
      </c>
      <c r="Z54" s="6">
        <v>41.97</v>
      </c>
      <c r="AA54" s="6">
        <v>0</v>
      </c>
      <c r="AB54" s="6">
        <v>39</v>
      </c>
      <c r="AC54" s="6">
        <v>219</v>
      </c>
      <c r="AD54" s="6">
        <v>21</v>
      </c>
      <c r="AE54" s="6">
        <v>17</v>
      </c>
      <c r="AF54" s="6">
        <v>688</v>
      </c>
      <c r="AG54" s="6">
        <v>15</v>
      </c>
      <c r="AH54" s="6">
        <f t="shared" si="16"/>
        <v>1.4999999999999999E-2</v>
      </c>
      <c r="AI54" s="9">
        <f t="shared" si="5"/>
        <v>1028</v>
      </c>
      <c r="AJ54" s="14">
        <f t="shared" si="6"/>
        <v>1.8530535727161294E-2</v>
      </c>
      <c r="AK54" s="6">
        <v>740</v>
      </c>
      <c r="AL54" s="5">
        <v>772</v>
      </c>
      <c r="AM54" s="6" t="s">
        <v>83</v>
      </c>
      <c r="AN54" s="6" t="s">
        <v>26</v>
      </c>
      <c r="AO54" s="6" t="s">
        <v>98</v>
      </c>
      <c r="AP54" s="20"/>
      <c r="AQ54" s="20"/>
      <c r="AR54" s="20"/>
      <c r="AS54" s="6" t="s">
        <v>98</v>
      </c>
      <c r="AT54" s="15"/>
      <c r="AU54" s="29"/>
      <c r="AV54" s="29"/>
      <c r="AW54" s="29"/>
      <c r="AX54" s="29"/>
      <c r="AY54" s="29"/>
    </row>
    <row r="55" spans="1:51" x14ac:dyDescent="0.25">
      <c r="A55" s="166">
        <v>53</v>
      </c>
      <c r="B55" s="119">
        <v>46176</v>
      </c>
      <c r="C55" s="39" t="s">
        <v>22</v>
      </c>
      <c r="D55" s="5" t="s">
        <v>77</v>
      </c>
      <c r="E55" s="5" t="s">
        <v>77</v>
      </c>
      <c r="F55" s="188" t="s">
        <v>77</v>
      </c>
      <c r="G55" s="5" t="s">
        <v>89</v>
      </c>
      <c r="H55" s="5" t="s">
        <v>77</v>
      </c>
      <c r="I55" s="6" t="s">
        <v>117</v>
      </c>
      <c r="J55" s="6" t="s">
        <v>117</v>
      </c>
      <c r="K55" s="16">
        <f>57551</f>
        <v>57551</v>
      </c>
      <c r="L55" s="16">
        <f>530+671+600</f>
        <v>1801</v>
      </c>
      <c r="M55" s="16">
        <f t="shared" si="23"/>
        <v>55750</v>
      </c>
      <c r="N55" s="6">
        <v>750</v>
      </c>
      <c r="O55" s="20">
        <f t="shared" si="24"/>
        <v>55000</v>
      </c>
      <c r="P55" s="20">
        <v>57075</v>
      </c>
      <c r="Q55" s="20">
        <v>2285</v>
      </c>
      <c r="R55" s="16">
        <f t="shared" si="11"/>
        <v>54790</v>
      </c>
      <c r="S55" s="16">
        <v>749</v>
      </c>
      <c r="T55" s="16">
        <f t="shared" si="12"/>
        <v>54041</v>
      </c>
      <c r="U55" s="20">
        <v>10.199999999999999</v>
      </c>
      <c r="V55" s="5">
        <v>175</v>
      </c>
      <c r="W55" s="6">
        <v>40.65</v>
      </c>
      <c r="X55" s="16">
        <v>8.8000000000000007</v>
      </c>
      <c r="Y55" s="6">
        <v>180</v>
      </c>
      <c r="Z55" s="6">
        <v>40.82</v>
      </c>
      <c r="AA55" s="6">
        <v>0</v>
      </c>
      <c r="AB55" s="6">
        <v>42</v>
      </c>
      <c r="AC55" s="6">
        <v>214</v>
      </c>
      <c r="AD55" s="6">
        <v>19</v>
      </c>
      <c r="AE55" s="6">
        <v>16</v>
      </c>
      <c r="AF55" s="6">
        <v>686</v>
      </c>
      <c r="AG55" s="6">
        <v>18</v>
      </c>
      <c r="AH55" s="6">
        <f t="shared" si="16"/>
        <v>1.3999999999999986E-2</v>
      </c>
      <c r="AI55" s="9">
        <f t="shared" si="5"/>
        <v>959</v>
      </c>
      <c r="AJ55" s="14">
        <f t="shared" si="6"/>
        <v>1.7436363636363635E-2</v>
      </c>
      <c r="AK55" s="6">
        <v>750</v>
      </c>
      <c r="AL55" s="5">
        <v>749</v>
      </c>
      <c r="AM55" s="6" t="s">
        <v>83</v>
      </c>
      <c r="AN55" s="6" t="s">
        <v>26</v>
      </c>
      <c r="AO55" s="21" t="s">
        <v>98</v>
      </c>
      <c r="AP55" s="20"/>
      <c r="AQ55" s="20"/>
      <c r="AR55" s="20"/>
      <c r="AS55" s="6"/>
      <c r="AT55" s="15"/>
      <c r="AU55" s="29"/>
      <c r="AV55" s="29"/>
      <c r="AW55" s="29"/>
      <c r="AX55" s="29"/>
      <c r="AY55" s="29"/>
    </row>
    <row r="56" spans="1:51" x14ac:dyDescent="0.25">
      <c r="A56" s="166">
        <v>54</v>
      </c>
      <c r="B56" s="119">
        <v>46178</v>
      </c>
      <c r="C56" s="39" t="s">
        <v>22</v>
      </c>
      <c r="D56" s="25" t="s">
        <v>100</v>
      </c>
      <c r="E56" s="25" t="s">
        <v>100</v>
      </c>
      <c r="F56" s="25" t="s">
        <v>100</v>
      </c>
      <c r="G56" s="21"/>
      <c r="H56" s="25" t="s">
        <v>100</v>
      </c>
      <c r="I56" s="21" t="s">
        <v>118</v>
      </c>
      <c r="J56" s="21" t="s">
        <v>118</v>
      </c>
      <c r="K56" s="16">
        <v>61767</v>
      </c>
      <c r="L56" s="16">
        <v>2475</v>
      </c>
      <c r="M56" s="16">
        <f t="shared" si="23"/>
        <v>59292</v>
      </c>
      <c r="N56" s="6">
        <v>780</v>
      </c>
      <c r="O56" s="20">
        <f t="shared" si="24"/>
        <v>58512</v>
      </c>
      <c r="P56" s="35">
        <v>60785.2</v>
      </c>
      <c r="Q56" s="35">
        <v>2349.1999999999998</v>
      </c>
      <c r="R56" s="16">
        <f t="shared" si="11"/>
        <v>58436</v>
      </c>
      <c r="S56" s="16">
        <v>785</v>
      </c>
      <c r="T56" s="16">
        <f t="shared" si="12"/>
        <v>57651</v>
      </c>
      <c r="U56" s="35">
        <v>9.8000000000000007</v>
      </c>
      <c r="V56" s="25">
        <v>180</v>
      </c>
      <c r="W56" s="21">
        <v>42.24</v>
      </c>
      <c r="X56" s="55">
        <v>8.5</v>
      </c>
      <c r="Y56" s="21">
        <v>187</v>
      </c>
      <c r="Z56" s="21">
        <v>42.76</v>
      </c>
      <c r="AA56" s="21">
        <v>2</v>
      </c>
      <c r="AB56" s="21">
        <v>36</v>
      </c>
      <c r="AC56" s="21">
        <v>226</v>
      </c>
      <c r="AD56" s="21">
        <v>14</v>
      </c>
      <c r="AE56" s="21">
        <v>19</v>
      </c>
      <c r="AF56" s="21">
        <v>677</v>
      </c>
      <c r="AG56" s="21">
        <v>20</v>
      </c>
      <c r="AH56" s="21">
        <f t="shared" si="16"/>
        <v>1.3000000000000006E-2</v>
      </c>
      <c r="AI56" s="9">
        <f t="shared" si="5"/>
        <v>861</v>
      </c>
      <c r="AJ56" s="14">
        <f t="shared" si="6"/>
        <v>1.4714930270713699E-2</v>
      </c>
      <c r="AK56" s="21">
        <f>750+30</f>
        <v>780</v>
      </c>
      <c r="AL56" s="25">
        <v>785</v>
      </c>
      <c r="AM56" s="6" t="s">
        <v>83</v>
      </c>
      <c r="AN56" s="6" t="s">
        <v>26</v>
      </c>
      <c r="AO56" s="21" t="s">
        <v>98</v>
      </c>
      <c r="AP56" s="35"/>
      <c r="AQ56" s="178"/>
      <c r="AR56" s="178"/>
      <c r="AS56" s="179"/>
      <c r="AT56" s="15"/>
      <c r="AU56" s="29"/>
      <c r="AV56" s="29"/>
      <c r="AW56" s="29"/>
      <c r="AX56" s="29"/>
      <c r="AY56" s="29"/>
    </row>
    <row r="57" spans="1:51" x14ac:dyDescent="0.25">
      <c r="A57" s="166">
        <v>55</v>
      </c>
      <c r="B57" s="119">
        <v>46179</v>
      </c>
      <c r="C57" s="39" t="s">
        <v>22</v>
      </c>
      <c r="D57" s="5" t="s">
        <v>100</v>
      </c>
      <c r="E57" s="5" t="s">
        <v>100</v>
      </c>
      <c r="F57" s="5" t="s">
        <v>100</v>
      </c>
      <c r="G57" s="6"/>
      <c r="H57" s="5" t="s">
        <v>100</v>
      </c>
      <c r="I57" s="21" t="s">
        <v>118</v>
      </c>
      <c r="J57" s="21" t="s">
        <v>118</v>
      </c>
      <c r="K57" s="16">
        <v>51163</v>
      </c>
      <c r="L57" s="16">
        <v>1651</v>
      </c>
      <c r="M57" s="16">
        <f t="shared" si="23"/>
        <v>49512</v>
      </c>
      <c r="N57" s="6">
        <v>660</v>
      </c>
      <c r="O57" s="20">
        <f t="shared" si="24"/>
        <v>48852</v>
      </c>
      <c r="P57" s="20">
        <v>50909.8</v>
      </c>
      <c r="Q57" s="20">
        <v>2032.6</v>
      </c>
      <c r="R57" s="16">
        <f t="shared" si="11"/>
        <v>48877.200000000004</v>
      </c>
      <c r="S57" s="16">
        <v>656</v>
      </c>
      <c r="T57" s="16">
        <f>R57-S57</f>
        <v>48221.200000000004</v>
      </c>
      <c r="U57" s="59">
        <v>9.8000000000000007</v>
      </c>
      <c r="V57" s="5">
        <v>181</v>
      </c>
      <c r="W57" s="19">
        <v>43.47</v>
      </c>
      <c r="X57" s="125">
        <v>7.9</v>
      </c>
      <c r="Y57" s="6">
        <v>177</v>
      </c>
      <c r="Z57" s="6">
        <v>43.73</v>
      </c>
      <c r="AA57" s="6">
        <v>0</v>
      </c>
      <c r="AB57" s="6">
        <v>34</v>
      </c>
      <c r="AC57" s="6">
        <v>233</v>
      </c>
      <c r="AD57" s="6">
        <v>13</v>
      </c>
      <c r="AE57" s="6">
        <v>17</v>
      </c>
      <c r="AF57" s="6">
        <v>689</v>
      </c>
      <c r="AG57" s="6">
        <v>9</v>
      </c>
      <c r="AH57" s="21">
        <f t="shared" si="16"/>
        <v>1.9000000000000003E-2</v>
      </c>
      <c r="AI57" s="9">
        <f t="shared" si="5"/>
        <v>630.79999999999563</v>
      </c>
      <c r="AJ57" s="14">
        <f t="shared" si="6"/>
        <v>1.291247031851297E-2</v>
      </c>
      <c r="AK57" s="6">
        <v>660</v>
      </c>
      <c r="AL57" s="5">
        <v>656</v>
      </c>
      <c r="AM57" s="6" t="s">
        <v>83</v>
      </c>
      <c r="AN57" s="6" t="s">
        <v>26</v>
      </c>
      <c r="AO57" s="21" t="s">
        <v>98</v>
      </c>
      <c r="AP57" s="20"/>
      <c r="AQ57" s="20"/>
      <c r="AR57" s="20"/>
      <c r="AS57" s="6"/>
      <c r="AT57" s="15"/>
      <c r="AU57" s="29"/>
      <c r="AV57" s="29"/>
      <c r="AW57" s="29"/>
      <c r="AX57" s="29"/>
      <c r="AY57" s="29"/>
    </row>
    <row r="58" spans="1:51" x14ac:dyDescent="0.25">
      <c r="A58" s="166">
        <v>56</v>
      </c>
      <c r="B58" s="119">
        <v>46181</v>
      </c>
      <c r="C58" s="39" t="s">
        <v>22</v>
      </c>
      <c r="D58" s="5" t="s">
        <v>100</v>
      </c>
      <c r="E58" s="5" t="s">
        <v>100</v>
      </c>
      <c r="F58" s="5" t="s">
        <v>100</v>
      </c>
      <c r="G58" s="6"/>
      <c r="H58" s="5" t="s">
        <v>100</v>
      </c>
      <c r="I58" s="21" t="s">
        <v>118</v>
      </c>
      <c r="J58" s="21" t="s">
        <v>118</v>
      </c>
      <c r="K58" s="16">
        <v>56895</v>
      </c>
      <c r="L58" s="16">
        <v>1876</v>
      </c>
      <c r="M58" s="16">
        <f t="shared" si="23"/>
        <v>55019</v>
      </c>
      <c r="N58" s="6">
        <v>750</v>
      </c>
      <c r="O58" s="20">
        <f t="shared" si="24"/>
        <v>54269</v>
      </c>
      <c r="P58" s="20">
        <v>54217</v>
      </c>
      <c r="Q58" s="20">
        <v>0</v>
      </c>
      <c r="R58" s="20">
        <f t="shared" si="11"/>
        <v>54217</v>
      </c>
      <c r="S58" s="20">
        <v>641</v>
      </c>
      <c r="T58" s="20">
        <f>R58-S58</f>
        <v>53576</v>
      </c>
      <c r="U58" s="20">
        <v>8.9</v>
      </c>
      <c r="V58" s="5">
        <v>186</v>
      </c>
      <c r="W58" s="6">
        <v>42.32</v>
      </c>
      <c r="X58" s="20">
        <v>8.1999999999999993</v>
      </c>
      <c r="Y58" s="6">
        <v>184</v>
      </c>
      <c r="Z58" s="6">
        <v>42.59</v>
      </c>
      <c r="AA58" s="6">
        <v>2</v>
      </c>
      <c r="AB58" s="6">
        <v>30</v>
      </c>
      <c r="AC58" s="6">
        <v>227</v>
      </c>
      <c r="AD58" s="6">
        <v>16</v>
      </c>
      <c r="AE58" s="6">
        <v>13</v>
      </c>
      <c r="AF58" s="6">
        <v>675</v>
      </c>
      <c r="AG58" s="6">
        <v>32</v>
      </c>
      <c r="AH58" s="21">
        <f t="shared" si="16"/>
        <v>7.0000000000000106E-3</v>
      </c>
      <c r="AI58" s="9">
        <f t="shared" si="5"/>
        <v>693</v>
      </c>
      <c r="AJ58" s="14">
        <f t="shared" si="6"/>
        <v>1.276972120363375E-2</v>
      </c>
      <c r="AK58" s="6">
        <v>750</v>
      </c>
      <c r="AL58" s="5">
        <v>641</v>
      </c>
      <c r="AM58" s="6" t="s">
        <v>83</v>
      </c>
      <c r="AN58" s="6" t="s">
        <v>26</v>
      </c>
      <c r="AO58" s="6" t="s">
        <v>122</v>
      </c>
      <c r="AP58" s="20"/>
      <c r="AQ58" s="20"/>
      <c r="AR58" s="20"/>
      <c r="AS58" s="6"/>
      <c r="AT58" s="15" t="s">
        <v>123</v>
      </c>
      <c r="AU58" s="29"/>
      <c r="AV58" s="29"/>
      <c r="AW58" s="29"/>
      <c r="AX58" s="29"/>
      <c r="AY58" s="29"/>
    </row>
    <row r="59" spans="1:51" x14ac:dyDescent="0.25">
      <c r="A59" s="166">
        <v>57</v>
      </c>
      <c r="B59" s="119">
        <v>46182</v>
      </c>
      <c r="C59" s="39" t="s">
        <v>22</v>
      </c>
      <c r="D59" s="5" t="s">
        <v>100</v>
      </c>
      <c r="E59" s="5" t="s">
        <v>100</v>
      </c>
      <c r="F59" s="5" t="s">
        <v>100</v>
      </c>
      <c r="G59" s="6"/>
      <c r="H59" s="5" t="s">
        <v>100</v>
      </c>
      <c r="I59" s="21" t="s">
        <v>118</v>
      </c>
      <c r="J59" s="21" t="s">
        <v>118</v>
      </c>
      <c r="K59" s="16">
        <v>67330.3</v>
      </c>
      <c r="L59" s="16">
        <v>2267</v>
      </c>
      <c r="M59" s="16">
        <f t="shared" si="23"/>
        <v>65063.3</v>
      </c>
      <c r="N59" s="6">
        <v>930</v>
      </c>
      <c r="O59" s="20">
        <f t="shared" si="24"/>
        <v>64133.3</v>
      </c>
      <c r="P59" s="145">
        <v>66705</v>
      </c>
      <c r="Q59" s="145">
        <v>2568</v>
      </c>
      <c r="R59" s="20">
        <f t="shared" si="11"/>
        <v>64137</v>
      </c>
      <c r="S59" s="16">
        <v>943</v>
      </c>
      <c r="T59" s="20">
        <f>R59-S59</f>
        <v>63194</v>
      </c>
      <c r="U59" s="137">
        <v>8.5</v>
      </c>
      <c r="V59" s="5">
        <v>188</v>
      </c>
      <c r="W59" s="6">
        <v>42.68</v>
      </c>
      <c r="X59" s="137">
        <v>7.8</v>
      </c>
      <c r="Y59" s="6">
        <v>182</v>
      </c>
      <c r="Z59" s="135">
        <v>43.65</v>
      </c>
      <c r="AA59" s="6">
        <v>2</v>
      </c>
      <c r="AB59" s="6">
        <v>36</v>
      </c>
      <c r="AC59" s="6">
        <v>237</v>
      </c>
      <c r="AD59" s="6">
        <v>9</v>
      </c>
      <c r="AE59" s="6">
        <v>12</v>
      </c>
      <c r="AF59" s="6">
        <v>686</v>
      </c>
      <c r="AG59" s="6">
        <v>13</v>
      </c>
      <c r="AH59" s="149">
        <v>1.9000000000000003E-2</v>
      </c>
      <c r="AI59" s="9">
        <f t="shared" si="5"/>
        <v>939.30000000000291</v>
      </c>
      <c r="AJ59" s="14">
        <f t="shared" si="6"/>
        <v>1.4646057508345942E-2</v>
      </c>
      <c r="AK59" s="6">
        <v>930</v>
      </c>
      <c r="AL59" s="134">
        <v>395</v>
      </c>
      <c r="AM59" s="147" t="s">
        <v>83</v>
      </c>
      <c r="AN59" s="6" t="s">
        <v>26</v>
      </c>
      <c r="AO59" s="147" t="s">
        <v>124</v>
      </c>
      <c r="AP59" s="20"/>
      <c r="AQ59" s="20"/>
      <c r="AR59" s="20"/>
      <c r="AS59" s="6"/>
      <c r="AT59" s="15"/>
      <c r="AU59" s="29"/>
      <c r="AV59" s="29"/>
      <c r="AW59" s="29"/>
      <c r="AX59" s="29"/>
      <c r="AY59" s="29"/>
    </row>
    <row r="60" spans="1:51" x14ac:dyDescent="0.25">
      <c r="A60" s="166">
        <v>58</v>
      </c>
      <c r="B60" s="119">
        <v>46183</v>
      </c>
      <c r="C60" s="39" t="s">
        <v>22</v>
      </c>
      <c r="D60" s="5" t="s">
        <v>100</v>
      </c>
      <c r="E60" s="5" t="s">
        <v>100</v>
      </c>
      <c r="F60" s="5" t="s">
        <v>100</v>
      </c>
      <c r="G60" s="6"/>
      <c r="H60" s="5" t="s">
        <v>100</v>
      </c>
      <c r="I60" s="21" t="s">
        <v>118</v>
      </c>
      <c r="J60" s="21" t="s">
        <v>118</v>
      </c>
      <c r="K60" s="16">
        <v>28436.400000000001</v>
      </c>
      <c r="L60" s="16">
        <v>935</v>
      </c>
      <c r="M60" s="16">
        <f t="shared" si="23"/>
        <v>27501.4</v>
      </c>
      <c r="N60" s="6">
        <v>390</v>
      </c>
      <c r="O60" s="20">
        <f t="shared" si="24"/>
        <v>27111.4</v>
      </c>
      <c r="P60" s="146">
        <v>27973</v>
      </c>
      <c r="Q60" s="146">
        <v>1077</v>
      </c>
      <c r="R60" s="20">
        <f t="shared" si="11"/>
        <v>26896</v>
      </c>
      <c r="S60" s="16">
        <v>395</v>
      </c>
      <c r="T60" s="20">
        <f>R60-S60</f>
        <v>26501</v>
      </c>
      <c r="U60" s="89">
        <v>8.5</v>
      </c>
      <c r="V60" s="5">
        <v>188</v>
      </c>
      <c r="W60" s="6">
        <v>42.68</v>
      </c>
      <c r="X60" s="137">
        <v>7.8</v>
      </c>
      <c r="Y60" s="6">
        <v>182</v>
      </c>
      <c r="Z60" s="135">
        <v>43.65</v>
      </c>
      <c r="AA60" s="6">
        <v>2</v>
      </c>
      <c r="AB60" s="6">
        <v>36</v>
      </c>
      <c r="AC60" s="6">
        <v>237</v>
      </c>
      <c r="AD60" s="6">
        <v>9</v>
      </c>
      <c r="AE60" s="6">
        <v>12</v>
      </c>
      <c r="AF60" s="6">
        <v>686</v>
      </c>
      <c r="AG60" s="6">
        <v>13</v>
      </c>
      <c r="AH60" s="149">
        <v>1.9000000000000003E-2</v>
      </c>
      <c r="AI60" s="9">
        <f t="shared" si="5"/>
        <v>610.40000000000146</v>
      </c>
      <c r="AJ60" s="14">
        <f t="shared" si="6"/>
        <v>2.2514514189602951E-2</v>
      </c>
      <c r="AK60" s="6">
        <v>390</v>
      </c>
      <c r="AL60" s="87">
        <v>943</v>
      </c>
      <c r="AM60" s="148"/>
      <c r="AN60" s="6" t="s">
        <v>26</v>
      </c>
      <c r="AO60" s="87"/>
      <c r="AP60" s="20"/>
      <c r="AQ60" s="20"/>
      <c r="AR60" s="20"/>
      <c r="AS60" s="6"/>
      <c r="AT60" s="15"/>
      <c r="AU60" s="29"/>
      <c r="AV60" s="29"/>
      <c r="AW60" s="29"/>
      <c r="AX60" s="29"/>
      <c r="AY60" s="29"/>
    </row>
    <row r="61" spans="1:51" x14ac:dyDescent="0.25">
      <c r="A61" s="166">
        <v>59</v>
      </c>
      <c r="B61" s="119">
        <v>46184</v>
      </c>
      <c r="C61" s="39" t="s">
        <v>22</v>
      </c>
      <c r="D61" s="5" t="s">
        <v>100</v>
      </c>
      <c r="E61" s="5" t="s">
        <v>100</v>
      </c>
      <c r="F61" s="5" t="s">
        <v>100</v>
      </c>
      <c r="G61" s="6"/>
      <c r="H61" s="5" t="s">
        <v>100</v>
      </c>
      <c r="I61" s="6" t="s">
        <v>118</v>
      </c>
      <c r="J61" s="21" t="s">
        <v>118</v>
      </c>
      <c r="K61" s="16">
        <f>34656.8+32919.7</f>
        <v>67576.5</v>
      </c>
      <c r="L61" s="16">
        <f>1019+1028</f>
        <v>2047</v>
      </c>
      <c r="M61" s="16">
        <f t="shared" si="23"/>
        <v>65529.5</v>
      </c>
      <c r="N61" s="6">
        <v>870</v>
      </c>
      <c r="O61" s="178">
        <f t="shared" si="24"/>
        <v>64659.5</v>
      </c>
      <c r="P61" s="20">
        <v>68016</v>
      </c>
      <c r="Q61" s="20">
        <v>2648</v>
      </c>
      <c r="R61" s="145">
        <f t="shared" ref="R61:R70" si="25">P61-Q61</f>
        <v>65368</v>
      </c>
      <c r="S61" s="16">
        <v>884</v>
      </c>
      <c r="T61" s="145">
        <f t="shared" ref="T61:T70" si="26">R61-S61</f>
        <v>64484</v>
      </c>
      <c r="U61" s="20">
        <v>9.8000000000000007</v>
      </c>
      <c r="V61" s="5">
        <v>187</v>
      </c>
      <c r="W61" s="6">
        <v>43.56</v>
      </c>
      <c r="X61" s="125">
        <v>7.9</v>
      </c>
      <c r="Y61" s="6">
        <v>190</v>
      </c>
      <c r="Z61" s="6">
        <v>43.21</v>
      </c>
      <c r="AA61" s="6">
        <v>2</v>
      </c>
      <c r="AB61" s="6">
        <v>34</v>
      </c>
      <c r="AC61" s="6">
        <v>230</v>
      </c>
      <c r="AD61" s="6">
        <v>15</v>
      </c>
      <c r="AE61" s="6">
        <v>15</v>
      </c>
      <c r="AF61" s="6">
        <v>660</v>
      </c>
      <c r="AG61" s="6">
        <v>34</v>
      </c>
      <c r="AH61" s="21">
        <f t="shared" si="16"/>
        <v>1.9000000000000003E-2</v>
      </c>
      <c r="AI61" s="9">
        <f t="shared" si="5"/>
        <v>175.5</v>
      </c>
      <c r="AJ61" s="14">
        <f t="shared" si="6"/>
        <v>2.7142183283198913E-3</v>
      </c>
      <c r="AK61" s="6">
        <v>870</v>
      </c>
      <c r="AL61" s="5">
        <v>884</v>
      </c>
      <c r="AM61" s="6" t="s">
        <v>83</v>
      </c>
      <c r="AN61" s="6" t="s">
        <v>26</v>
      </c>
      <c r="AO61" s="6" t="s">
        <v>27</v>
      </c>
      <c r="AP61" s="20"/>
      <c r="AQ61" s="20"/>
      <c r="AR61" s="20"/>
      <c r="AS61" s="6"/>
      <c r="AT61" s="15"/>
      <c r="AU61" s="29"/>
      <c r="AV61" s="29"/>
      <c r="AW61" s="29"/>
      <c r="AX61" s="29"/>
      <c r="AY61" s="29"/>
    </row>
    <row r="62" spans="1:51" x14ac:dyDescent="0.25">
      <c r="A62" s="166">
        <v>60</v>
      </c>
      <c r="B62" s="119">
        <v>46185</v>
      </c>
      <c r="C62" s="39" t="s">
        <v>22</v>
      </c>
      <c r="D62" s="5" t="s">
        <v>100</v>
      </c>
      <c r="E62" s="5" t="s">
        <v>100</v>
      </c>
      <c r="F62" s="5" t="s">
        <v>100</v>
      </c>
      <c r="G62" s="6"/>
      <c r="H62" s="5" t="s">
        <v>100</v>
      </c>
      <c r="I62" s="6" t="s">
        <v>118</v>
      </c>
      <c r="J62" s="21" t="s">
        <v>118</v>
      </c>
      <c r="K62" s="16">
        <v>74750</v>
      </c>
      <c r="L62" s="16">
        <v>2353</v>
      </c>
      <c r="M62" s="16">
        <f t="shared" si="23"/>
        <v>72397</v>
      </c>
      <c r="N62" s="6">
        <v>990</v>
      </c>
      <c r="O62" s="20">
        <f t="shared" si="24"/>
        <v>71407</v>
      </c>
      <c r="P62" s="20">
        <v>73569</v>
      </c>
      <c r="Q62" s="20">
        <v>2853</v>
      </c>
      <c r="R62" s="145">
        <f t="shared" si="25"/>
        <v>70716</v>
      </c>
      <c r="S62" s="16">
        <v>966</v>
      </c>
      <c r="T62" s="145">
        <f t="shared" si="26"/>
        <v>69750</v>
      </c>
      <c r="U62" s="20">
        <v>9.6</v>
      </c>
      <c r="V62" s="5">
        <v>173</v>
      </c>
      <c r="W62" s="6">
        <v>43.47</v>
      </c>
      <c r="X62" s="125">
        <v>7.3</v>
      </c>
      <c r="Y62" s="6">
        <v>179</v>
      </c>
      <c r="Z62" s="13">
        <v>44</v>
      </c>
      <c r="AA62" s="6">
        <v>0</v>
      </c>
      <c r="AB62" s="6">
        <v>30</v>
      </c>
      <c r="AC62" s="6">
        <v>235</v>
      </c>
      <c r="AD62" s="6">
        <v>15</v>
      </c>
      <c r="AE62" s="6">
        <v>14</v>
      </c>
      <c r="AF62" s="6">
        <v>658</v>
      </c>
      <c r="AG62" s="6">
        <v>38</v>
      </c>
      <c r="AH62" s="21">
        <f t="shared" si="16"/>
        <v>2.3E-2</v>
      </c>
      <c r="AI62" s="9">
        <f t="shared" si="5"/>
        <v>1657</v>
      </c>
      <c r="AJ62" s="14">
        <f t="shared" si="6"/>
        <v>2.3205007912389542E-2</v>
      </c>
      <c r="AK62" s="6">
        <v>990</v>
      </c>
      <c r="AL62" s="5">
        <v>966</v>
      </c>
      <c r="AM62" s="6" t="s">
        <v>126</v>
      </c>
      <c r="AN62" s="6" t="s">
        <v>131</v>
      </c>
      <c r="AO62" s="6"/>
      <c r="AP62" s="20"/>
      <c r="AQ62" s="20"/>
      <c r="AR62" s="20"/>
      <c r="AS62" s="6"/>
      <c r="AT62" s="15"/>
      <c r="AU62" s="29"/>
      <c r="AV62" s="29"/>
      <c r="AW62" s="29"/>
      <c r="AX62" s="29"/>
      <c r="AY62" s="29"/>
    </row>
    <row r="63" spans="1:51" x14ac:dyDescent="0.25">
      <c r="A63" s="166">
        <v>61</v>
      </c>
      <c r="B63" s="119">
        <v>46186</v>
      </c>
      <c r="C63" s="39" t="s">
        <v>22</v>
      </c>
      <c r="D63" s="5" t="s">
        <v>100</v>
      </c>
      <c r="E63" s="5" t="s">
        <v>100</v>
      </c>
      <c r="F63" s="5" t="s">
        <v>100</v>
      </c>
      <c r="G63" s="6"/>
      <c r="H63" s="5" t="s">
        <v>100</v>
      </c>
      <c r="I63" s="6" t="s">
        <v>118</v>
      </c>
      <c r="J63" s="21" t="s">
        <v>118</v>
      </c>
      <c r="K63" s="16">
        <f>101655</f>
        <v>101655</v>
      </c>
      <c r="L63" s="16">
        <f>3208</f>
        <v>3208</v>
      </c>
      <c r="M63" s="16">
        <f t="shared" si="23"/>
        <v>98447</v>
      </c>
      <c r="N63" s="6">
        <v>1322</v>
      </c>
      <c r="O63" s="20">
        <f t="shared" si="24"/>
        <v>97125</v>
      </c>
      <c r="P63" s="20">
        <v>101548</v>
      </c>
      <c r="Q63" s="20">
        <v>3740</v>
      </c>
      <c r="R63" s="145">
        <f t="shared" si="25"/>
        <v>97808</v>
      </c>
      <c r="S63" s="16">
        <v>1325</v>
      </c>
      <c r="T63" s="145">
        <f t="shared" si="26"/>
        <v>96483</v>
      </c>
      <c r="U63" s="20">
        <v>9</v>
      </c>
      <c r="V63" s="5">
        <v>175</v>
      </c>
      <c r="W63" s="6">
        <v>43.21</v>
      </c>
      <c r="X63" s="125">
        <v>8.1</v>
      </c>
      <c r="Y63" s="6">
        <v>182</v>
      </c>
      <c r="Z63" s="6">
        <v>44.35</v>
      </c>
      <c r="AA63" s="6">
        <v>3</v>
      </c>
      <c r="AB63" s="6">
        <v>20</v>
      </c>
      <c r="AC63" s="6">
        <v>238</v>
      </c>
      <c r="AD63" s="6">
        <v>17</v>
      </c>
      <c r="AE63" s="6">
        <v>10</v>
      </c>
      <c r="AF63" s="6">
        <v>673</v>
      </c>
      <c r="AG63" s="6">
        <v>24</v>
      </c>
      <c r="AH63" s="21">
        <f t="shared" si="16"/>
        <v>9.0000000000000028E-3</v>
      </c>
      <c r="AI63" s="9">
        <f t="shared" si="5"/>
        <v>642</v>
      </c>
      <c r="AJ63" s="14">
        <f t="shared" si="6"/>
        <v>6.6100386100386103E-3</v>
      </c>
      <c r="AK63" s="6">
        <v>1322</v>
      </c>
      <c r="AL63" s="5">
        <v>1325</v>
      </c>
      <c r="AM63" s="6" t="s">
        <v>126</v>
      </c>
      <c r="AN63" s="6" t="s">
        <v>26</v>
      </c>
      <c r="AO63" s="6"/>
      <c r="AP63" s="20"/>
      <c r="AQ63" s="20"/>
      <c r="AR63" s="20"/>
      <c r="AS63" s="6"/>
      <c r="AT63" s="15"/>
      <c r="AU63" s="29"/>
      <c r="AV63" s="29"/>
      <c r="AW63" s="29"/>
      <c r="AX63" s="29"/>
      <c r="AY63" s="29"/>
    </row>
    <row r="64" spans="1:51" x14ac:dyDescent="0.25">
      <c r="A64" s="166">
        <v>62</v>
      </c>
      <c r="B64" s="119">
        <v>46187</v>
      </c>
      <c r="C64" s="39" t="s">
        <v>22</v>
      </c>
      <c r="D64" s="5" t="s">
        <v>129</v>
      </c>
      <c r="E64" s="5" t="s">
        <v>129</v>
      </c>
      <c r="F64" s="5">
        <v>30581</v>
      </c>
      <c r="G64" s="6" t="s">
        <v>39</v>
      </c>
      <c r="H64" s="5" t="s">
        <v>129</v>
      </c>
      <c r="I64" s="6" t="s">
        <v>130</v>
      </c>
      <c r="J64" s="6" t="s">
        <v>130</v>
      </c>
      <c r="K64" s="16">
        <v>37730</v>
      </c>
      <c r="L64" s="16">
        <v>0</v>
      </c>
      <c r="M64" s="174">
        <f t="shared" ref="M64:M68" si="27">K64-L64</f>
        <v>37730</v>
      </c>
      <c r="N64" s="6">
        <v>513</v>
      </c>
      <c r="O64" s="202">
        <f t="shared" ref="O64:O68" si="28">M64-N64</f>
        <v>37217</v>
      </c>
      <c r="P64" s="20">
        <v>38195</v>
      </c>
      <c r="Q64" s="20">
        <v>1323</v>
      </c>
      <c r="R64" s="145">
        <f t="shared" si="25"/>
        <v>36872</v>
      </c>
      <c r="S64" s="16">
        <v>531</v>
      </c>
      <c r="T64" s="145">
        <f t="shared" si="26"/>
        <v>36341</v>
      </c>
      <c r="U64" s="20">
        <v>10</v>
      </c>
      <c r="V64" s="5">
        <v>183</v>
      </c>
      <c r="W64" s="6">
        <v>39.85</v>
      </c>
      <c r="X64" s="125">
        <v>9</v>
      </c>
      <c r="Y64" s="6">
        <v>185</v>
      </c>
      <c r="Z64" s="6">
        <v>39.85</v>
      </c>
      <c r="AA64" s="6">
        <v>0</v>
      </c>
      <c r="AB64" s="6">
        <v>46</v>
      </c>
      <c r="AC64" s="6">
        <v>210</v>
      </c>
      <c r="AD64" s="6">
        <v>15</v>
      </c>
      <c r="AE64" s="6">
        <v>17</v>
      </c>
      <c r="AF64" s="6">
        <v>675</v>
      </c>
      <c r="AG64" s="6">
        <v>29</v>
      </c>
      <c r="AH64" s="21">
        <f t="shared" si="16"/>
        <v>0.01</v>
      </c>
      <c r="AI64" s="9">
        <f t="shared" si="5"/>
        <v>876</v>
      </c>
      <c r="AJ64" s="14">
        <f t="shared" si="6"/>
        <v>2.353763065265873E-2</v>
      </c>
      <c r="AK64" s="6">
        <v>531</v>
      </c>
      <c r="AL64" s="5">
        <v>531</v>
      </c>
      <c r="AM64" s="6" t="s">
        <v>83</v>
      </c>
      <c r="AN64" s="6" t="s">
        <v>26</v>
      </c>
      <c r="AO64" s="6"/>
      <c r="AP64" s="20"/>
      <c r="AQ64" s="20"/>
      <c r="AR64" s="20"/>
      <c r="AS64" s="6"/>
      <c r="AT64" s="15"/>
      <c r="AU64" s="29"/>
      <c r="AV64" s="29"/>
      <c r="AW64" s="29"/>
      <c r="AX64" s="29"/>
      <c r="AY64" s="29"/>
    </row>
    <row r="65" spans="1:51" x14ac:dyDescent="0.25">
      <c r="A65" s="166">
        <v>63</v>
      </c>
      <c r="B65" s="119">
        <v>46188</v>
      </c>
      <c r="C65" s="39" t="s">
        <v>22</v>
      </c>
      <c r="D65" s="134" t="s">
        <v>100</v>
      </c>
      <c r="E65" s="134" t="s">
        <v>100</v>
      </c>
      <c r="F65" s="134" t="s">
        <v>100</v>
      </c>
      <c r="G65" s="135"/>
      <c r="H65" s="134" t="s">
        <v>100</v>
      </c>
      <c r="I65" s="135" t="s">
        <v>118</v>
      </c>
      <c r="J65" s="136" t="s">
        <v>118</v>
      </c>
      <c r="K65" s="16">
        <f>59725.8+46751.6</f>
        <v>106477.4</v>
      </c>
      <c r="L65" s="16">
        <f>1425+1809</f>
        <v>3234</v>
      </c>
      <c r="M65" s="16">
        <f t="shared" si="27"/>
        <v>103243.4</v>
      </c>
      <c r="N65" s="6">
        <v>1353</v>
      </c>
      <c r="O65" s="20">
        <f>M65-N65</f>
        <v>101890.4</v>
      </c>
      <c r="P65" s="137">
        <v>105951</v>
      </c>
      <c r="Q65" s="137">
        <v>4281</v>
      </c>
      <c r="R65" s="145">
        <f t="shared" si="25"/>
        <v>101670</v>
      </c>
      <c r="S65" s="16">
        <v>1428</v>
      </c>
      <c r="T65" s="145">
        <f>R65-S65</f>
        <v>100242</v>
      </c>
      <c r="U65" s="137">
        <v>9.5</v>
      </c>
      <c r="V65" s="134">
        <v>180</v>
      </c>
      <c r="W65" s="135">
        <v>43.47</v>
      </c>
      <c r="X65" s="196">
        <v>7.8</v>
      </c>
      <c r="Y65" s="135">
        <v>177</v>
      </c>
      <c r="Z65" s="135">
        <v>43.29</v>
      </c>
      <c r="AA65" s="135">
        <v>4</v>
      </c>
      <c r="AB65" s="135">
        <v>31</v>
      </c>
      <c r="AC65" s="135">
        <v>231</v>
      </c>
      <c r="AD65" s="135">
        <v>16</v>
      </c>
      <c r="AE65" s="135">
        <v>13</v>
      </c>
      <c r="AF65" s="135">
        <v>688</v>
      </c>
      <c r="AG65" s="135">
        <v>12</v>
      </c>
      <c r="AH65" s="136">
        <f t="shared" si="16"/>
        <v>1.7000000000000001E-2</v>
      </c>
      <c r="AI65" s="9">
        <f t="shared" si="5"/>
        <v>1648.3999999999942</v>
      </c>
      <c r="AJ65" s="14">
        <f t="shared" si="6"/>
        <v>1.6178167913758257E-2</v>
      </c>
      <c r="AK65" s="135">
        <v>1353</v>
      </c>
      <c r="AL65" s="134">
        <v>1428</v>
      </c>
      <c r="AM65" s="135" t="s">
        <v>126</v>
      </c>
      <c r="AN65" s="135" t="s">
        <v>26</v>
      </c>
      <c r="AO65" s="135"/>
      <c r="AP65" s="20"/>
      <c r="AQ65" s="20"/>
      <c r="AR65" s="20"/>
      <c r="AS65" s="6"/>
      <c r="AT65" s="15"/>
      <c r="AU65" s="29"/>
      <c r="AV65" s="29"/>
      <c r="AW65" s="29"/>
      <c r="AX65" s="29"/>
      <c r="AY65" s="29"/>
    </row>
    <row r="66" spans="1:51" x14ac:dyDescent="0.25">
      <c r="A66" s="166">
        <v>65</v>
      </c>
      <c r="B66" s="119">
        <v>46192</v>
      </c>
      <c r="C66" s="39" t="s">
        <v>22</v>
      </c>
      <c r="D66" s="5" t="s">
        <v>142</v>
      </c>
      <c r="E66" s="5" t="s">
        <v>142</v>
      </c>
      <c r="F66" s="5" t="s">
        <v>142</v>
      </c>
      <c r="G66" s="5"/>
      <c r="H66" s="5" t="s">
        <v>142</v>
      </c>
      <c r="I66" s="6" t="s">
        <v>143</v>
      </c>
      <c r="J66" s="6" t="s">
        <v>143</v>
      </c>
      <c r="K66" s="16">
        <v>25319.200000000001</v>
      </c>
      <c r="L66" s="16">
        <v>698</v>
      </c>
      <c r="M66" s="16">
        <f t="shared" si="27"/>
        <v>24621.200000000001</v>
      </c>
      <c r="N66" s="6">
        <v>300</v>
      </c>
      <c r="O66" s="20">
        <f t="shared" si="28"/>
        <v>24321.200000000001</v>
      </c>
      <c r="P66" s="144">
        <v>24929.200000000001</v>
      </c>
      <c r="Q66" s="144">
        <v>988.4</v>
      </c>
      <c r="R66" s="145">
        <f t="shared" si="25"/>
        <v>23940.799999999999</v>
      </c>
      <c r="S66" s="16">
        <v>331</v>
      </c>
      <c r="T66" s="145">
        <f t="shared" si="26"/>
        <v>23609.8</v>
      </c>
      <c r="U66" s="16">
        <v>10.7</v>
      </c>
      <c r="V66" s="11">
        <v>175</v>
      </c>
      <c r="W66" s="6">
        <v>39.68</v>
      </c>
      <c r="X66" s="16">
        <v>9.4</v>
      </c>
      <c r="Y66" s="6">
        <v>176</v>
      </c>
      <c r="Z66" s="6">
        <v>40.56</v>
      </c>
      <c r="AA66" s="6">
        <v>2</v>
      </c>
      <c r="AB66" s="6">
        <v>41</v>
      </c>
      <c r="AC66" s="6">
        <v>216</v>
      </c>
      <c r="AD66" s="6">
        <v>16</v>
      </c>
      <c r="AE66" s="6">
        <v>12</v>
      </c>
      <c r="AF66" s="6">
        <v>674</v>
      </c>
      <c r="AG66" s="6">
        <v>33</v>
      </c>
      <c r="AH66" s="136">
        <f t="shared" ref="AH66:AH70" si="29">(U66-X66)/100</f>
        <v>1.2999999999999989E-2</v>
      </c>
      <c r="AI66" s="9">
        <f t="shared" ref="AI66:AI75" si="30">O66-T66</f>
        <v>711.40000000000146</v>
      </c>
      <c r="AJ66" s="14">
        <f t="shared" ref="AJ66:AJ70" si="31">AI66/O66</f>
        <v>2.9250201470322246E-2</v>
      </c>
      <c r="AK66" s="6">
        <v>300</v>
      </c>
      <c r="AL66" s="5">
        <v>331</v>
      </c>
      <c r="AM66" s="6" t="s">
        <v>126</v>
      </c>
      <c r="AN66" s="6" t="s">
        <v>131</v>
      </c>
      <c r="AO66" s="6"/>
      <c r="AP66" s="6"/>
      <c r="AQ66" s="6"/>
      <c r="AR66" s="6"/>
      <c r="AS66" s="6"/>
      <c r="AT66" s="6"/>
    </row>
    <row r="67" spans="1:51" x14ac:dyDescent="0.25">
      <c r="A67" s="166">
        <v>66</v>
      </c>
      <c r="B67" s="119">
        <v>46193</v>
      </c>
      <c r="C67" s="39" t="s">
        <v>22</v>
      </c>
      <c r="D67" s="5" t="s">
        <v>142</v>
      </c>
      <c r="E67" s="5" t="s">
        <v>142</v>
      </c>
      <c r="F67" s="5" t="s">
        <v>142</v>
      </c>
      <c r="G67" s="5"/>
      <c r="H67" s="5" t="s">
        <v>142</v>
      </c>
      <c r="I67" s="6" t="s">
        <v>143</v>
      </c>
      <c r="J67" s="6" t="s">
        <v>143</v>
      </c>
      <c r="K67" s="16">
        <v>24780</v>
      </c>
      <c r="L67" s="16">
        <v>737.8</v>
      </c>
      <c r="M67" s="16">
        <f t="shared" si="27"/>
        <v>24042.2</v>
      </c>
      <c r="N67" s="6">
        <v>300</v>
      </c>
      <c r="O67" s="20">
        <f t="shared" si="28"/>
        <v>23742.2</v>
      </c>
      <c r="P67" s="144">
        <v>24704.400000000001</v>
      </c>
      <c r="Q67" s="144">
        <v>1002.6</v>
      </c>
      <c r="R67" s="145">
        <f t="shared" si="25"/>
        <v>23701.800000000003</v>
      </c>
      <c r="S67" s="16">
        <v>308</v>
      </c>
      <c r="T67" s="145">
        <f t="shared" si="26"/>
        <v>23393.800000000003</v>
      </c>
      <c r="U67" s="16">
        <v>10.7</v>
      </c>
      <c r="V67" s="11">
        <v>175</v>
      </c>
      <c r="W67" s="6">
        <v>39.68</v>
      </c>
      <c r="X67" s="16">
        <v>9.4</v>
      </c>
      <c r="Y67" s="6">
        <v>176</v>
      </c>
      <c r="Z67" s="6">
        <v>40.56</v>
      </c>
      <c r="AA67" s="6">
        <v>2</v>
      </c>
      <c r="AB67" s="6">
        <v>41</v>
      </c>
      <c r="AC67" s="6">
        <v>216</v>
      </c>
      <c r="AD67" s="6">
        <v>16</v>
      </c>
      <c r="AE67" s="6">
        <v>12</v>
      </c>
      <c r="AF67" s="6">
        <v>674</v>
      </c>
      <c r="AG67" s="6">
        <v>33</v>
      </c>
      <c r="AH67" s="21">
        <f t="shared" si="29"/>
        <v>1.2999999999999989E-2</v>
      </c>
      <c r="AI67" s="9">
        <f t="shared" si="30"/>
        <v>348.39999999999782</v>
      </c>
      <c r="AJ67" s="14">
        <f t="shared" si="31"/>
        <v>1.4674293030974291E-2</v>
      </c>
      <c r="AK67" s="6">
        <v>300</v>
      </c>
      <c r="AL67" s="5">
        <v>308</v>
      </c>
      <c r="AM67" s="6" t="s">
        <v>126</v>
      </c>
      <c r="AN67" s="6" t="s">
        <v>131</v>
      </c>
      <c r="AO67" s="6"/>
      <c r="AP67" s="6"/>
      <c r="AQ67" s="6"/>
      <c r="AR67" s="6"/>
      <c r="AS67" s="6"/>
      <c r="AT67" s="6"/>
    </row>
    <row r="68" spans="1:51" x14ac:dyDescent="0.25">
      <c r="A68" s="166">
        <v>67</v>
      </c>
      <c r="B68" s="119">
        <v>46197</v>
      </c>
      <c r="C68" s="39" t="s">
        <v>22</v>
      </c>
      <c r="D68" s="5" t="s">
        <v>142</v>
      </c>
      <c r="E68" s="5" t="s">
        <v>142</v>
      </c>
      <c r="F68" s="5" t="s">
        <v>142</v>
      </c>
      <c r="G68" s="6"/>
      <c r="H68" s="5" t="s">
        <v>142</v>
      </c>
      <c r="I68" s="6" t="s">
        <v>143</v>
      </c>
      <c r="J68" s="6" t="s">
        <v>143</v>
      </c>
      <c r="K68" s="16">
        <v>35380.400000000001</v>
      </c>
      <c r="L68" s="16">
        <v>1537.2</v>
      </c>
      <c r="M68" s="16">
        <f t="shared" si="27"/>
        <v>33843.200000000004</v>
      </c>
      <c r="N68" s="6">
        <v>471</v>
      </c>
      <c r="O68" s="20">
        <f t="shared" si="28"/>
        <v>33372.200000000004</v>
      </c>
      <c r="P68" s="16">
        <v>34799.599999999999</v>
      </c>
      <c r="Q68" s="16">
        <v>1442.4</v>
      </c>
      <c r="R68" s="145">
        <f t="shared" si="25"/>
        <v>33357.199999999997</v>
      </c>
      <c r="S68" s="16">
        <v>449</v>
      </c>
      <c r="T68" s="145">
        <f t="shared" si="26"/>
        <v>32908.199999999997</v>
      </c>
      <c r="U68" s="16">
        <v>10</v>
      </c>
      <c r="V68" s="11">
        <v>176</v>
      </c>
      <c r="W68" s="6">
        <v>43.38</v>
      </c>
      <c r="X68" s="16">
        <v>8.4</v>
      </c>
      <c r="Y68" s="6">
        <v>177</v>
      </c>
      <c r="Z68" s="6">
        <v>43.12</v>
      </c>
      <c r="AA68" s="6">
        <v>0</v>
      </c>
      <c r="AB68" s="6">
        <v>27</v>
      </c>
      <c r="AC68" s="6">
        <v>226</v>
      </c>
      <c r="AD68" s="6">
        <v>15</v>
      </c>
      <c r="AE68" s="6">
        <v>22</v>
      </c>
      <c r="AF68" s="6">
        <v>685</v>
      </c>
      <c r="AG68" s="6">
        <v>17</v>
      </c>
      <c r="AH68" s="21">
        <f t="shared" si="29"/>
        <v>1.5999999999999997E-2</v>
      </c>
      <c r="AI68" s="9">
        <f t="shared" si="30"/>
        <v>464.00000000000728</v>
      </c>
      <c r="AJ68" s="14">
        <f t="shared" si="31"/>
        <v>1.3903788182978863E-2</v>
      </c>
      <c r="AK68" s="6">
        <f>471</f>
        <v>471</v>
      </c>
      <c r="AL68" s="5">
        <v>449</v>
      </c>
      <c r="AM68" s="6" t="s">
        <v>126</v>
      </c>
      <c r="AN68" s="6" t="s">
        <v>131</v>
      </c>
      <c r="AO68" s="6"/>
      <c r="AP68" s="6"/>
      <c r="AQ68" s="6"/>
      <c r="AR68" s="6"/>
      <c r="AS68" s="6"/>
      <c r="AT68" s="6" t="s">
        <v>148</v>
      </c>
    </row>
    <row r="69" spans="1:51" x14ac:dyDescent="0.25">
      <c r="A69" s="166">
        <v>68</v>
      </c>
      <c r="B69" s="119">
        <v>46198</v>
      </c>
      <c r="C69" s="39" t="s">
        <v>22</v>
      </c>
      <c r="D69" s="5" t="s">
        <v>142</v>
      </c>
      <c r="E69" s="5" t="s">
        <v>142</v>
      </c>
      <c r="F69" s="5" t="s">
        <v>142</v>
      </c>
      <c r="G69" s="6"/>
      <c r="H69" s="5" t="s">
        <v>142</v>
      </c>
      <c r="I69" s="6" t="s">
        <v>143</v>
      </c>
      <c r="J69" s="6" t="s">
        <v>143</v>
      </c>
      <c r="K69" s="16">
        <f>35909.2+34291.6</f>
        <v>70200.799999999988</v>
      </c>
      <c r="L69" s="16">
        <f>1048.6+1405</f>
        <v>2453.6</v>
      </c>
      <c r="M69" s="16">
        <f>K69-L69</f>
        <v>67747.199999999983</v>
      </c>
      <c r="N69" s="6">
        <v>897</v>
      </c>
      <c r="O69" s="20">
        <f>M69-N69</f>
        <v>66850.199999999983</v>
      </c>
      <c r="P69" s="16">
        <f>35265.7+33629</f>
        <v>68894.7</v>
      </c>
      <c r="Q69" s="16">
        <f>1238.4+1505</f>
        <v>2743.4</v>
      </c>
      <c r="R69" s="145">
        <f>P69-Q69</f>
        <v>66151.3</v>
      </c>
      <c r="S69" s="16">
        <v>898</v>
      </c>
      <c r="T69" s="145">
        <f t="shared" si="26"/>
        <v>65253.3</v>
      </c>
      <c r="U69" s="16">
        <v>11.2</v>
      </c>
      <c r="V69" s="11">
        <v>173</v>
      </c>
      <c r="W69" s="6">
        <v>41.97</v>
      </c>
      <c r="X69" s="16">
        <v>9.4</v>
      </c>
      <c r="Y69" s="6">
        <v>176</v>
      </c>
      <c r="Z69" s="6">
        <v>42.32</v>
      </c>
      <c r="AA69" s="6">
        <v>2</v>
      </c>
      <c r="AB69" s="6">
        <v>35</v>
      </c>
      <c r="AC69" s="6">
        <v>226</v>
      </c>
      <c r="AD69" s="6">
        <v>16</v>
      </c>
      <c r="AE69" s="6">
        <v>12</v>
      </c>
      <c r="AF69" s="6">
        <v>686</v>
      </c>
      <c r="AG69" s="6">
        <v>27</v>
      </c>
      <c r="AH69" s="21">
        <f t="shared" si="29"/>
        <v>1.7999999999999988E-2</v>
      </c>
      <c r="AI69" s="9">
        <f t="shared" si="30"/>
        <v>1596.8999999999796</v>
      </c>
      <c r="AJ69" s="14">
        <f t="shared" si="31"/>
        <v>2.3887737059873869E-2</v>
      </c>
      <c r="AK69" s="6">
        <v>897</v>
      </c>
      <c r="AL69" s="5">
        <v>872</v>
      </c>
      <c r="AM69" s="6" t="s">
        <v>126</v>
      </c>
      <c r="AN69" s="6" t="s">
        <v>131</v>
      </c>
      <c r="AO69" s="6"/>
      <c r="AP69" s="6"/>
      <c r="AQ69" s="6"/>
      <c r="AR69" s="6"/>
      <c r="AS69" s="6"/>
      <c r="AT69" s="6"/>
    </row>
    <row r="70" spans="1:51" x14ac:dyDescent="0.25">
      <c r="A70" s="166">
        <v>69</v>
      </c>
      <c r="B70" s="119">
        <v>46199</v>
      </c>
      <c r="C70" s="39" t="s">
        <v>22</v>
      </c>
      <c r="D70" s="5" t="s">
        <v>142</v>
      </c>
      <c r="E70" s="5" t="s">
        <v>142</v>
      </c>
      <c r="F70" s="5" t="s">
        <v>142</v>
      </c>
      <c r="G70" s="6"/>
      <c r="H70" s="5" t="s">
        <v>142</v>
      </c>
      <c r="I70" s="6" t="s">
        <v>143</v>
      </c>
      <c r="J70" s="6" t="s">
        <v>143</v>
      </c>
      <c r="K70" s="16">
        <v>35604</v>
      </c>
      <c r="L70" s="16">
        <v>1090.5999999999999</v>
      </c>
      <c r="M70" s="16">
        <f>K70-L70</f>
        <v>34513.4</v>
      </c>
      <c r="N70" s="6">
        <v>450</v>
      </c>
      <c r="O70" s="20">
        <f t="shared" ref="O70:O72" si="32">M70-N70</f>
        <v>34063.4</v>
      </c>
      <c r="P70" s="16">
        <f>35340</f>
        <v>35340</v>
      </c>
      <c r="Q70" s="16">
        <f>693.6+562.8</f>
        <v>1256.4000000000001</v>
      </c>
      <c r="R70" s="145">
        <f t="shared" si="25"/>
        <v>34083.599999999999</v>
      </c>
      <c r="S70" s="16">
        <v>459</v>
      </c>
      <c r="T70" s="145">
        <f t="shared" si="26"/>
        <v>33624.6</v>
      </c>
      <c r="U70" s="16">
        <v>10.4</v>
      </c>
      <c r="V70" s="11">
        <v>179</v>
      </c>
      <c r="W70" s="6">
        <v>42.94</v>
      </c>
      <c r="X70" s="16">
        <v>8.1</v>
      </c>
      <c r="Y70" s="6">
        <v>180</v>
      </c>
      <c r="Z70" s="6">
        <v>42.95</v>
      </c>
      <c r="AA70" s="6">
        <v>0</v>
      </c>
      <c r="AB70" s="6">
        <v>33</v>
      </c>
      <c r="AC70" s="6">
        <v>230</v>
      </c>
      <c r="AD70" s="6">
        <v>15</v>
      </c>
      <c r="AE70" s="6">
        <v>12</v>
      </c>
      <c r="AF70" s="6">
        <v>676</v>
      </c>
      <c r="AG70" s="6">
        <v>29</v>
      </c>
      <c r="AH70" s="21">
        <f t="shared" si="29"/>
        <v>2.3000000000000007E-2</v>
      </c>
      <c r="AI70" s="9">
        <f t="shared" si="30"/>
        <v>438.80000000000291</v>
      </c>
      <c r="AJ70" s="14">
        <f t="shared" si="31"/>
        <v>1.2881861470082343E-2</v>
      </c>
      <c r="AK70" s="6">
        <v>450</v>
      </c>
      <c r="AL70" s="5">
        <v>459</v>
      </c>
      <c r="AM70" s="6" t="s">
        <v>126</v>
      </c>
      <c r="AN70" s="6" t="s">
        <v>131</v>
      </c>
      <c r="AO70" s="6"/>
      <c r="AP70" s="6"/>
      <c r="AQ70" s="6"/>
      <c r="AR70" s="6"/>
      <c r="AS70" s="6"/>
      <c r="AT70" s="6"/>
    </row>
    <row r="71" spans="1:51" x14ac:dyDescent="0.25">
      <c r="A71" s="166">
        <v>70</v>
      </c>
      <c r="B71" s="119">
        <v>46200</v>
      </c>
      <c r="C71" s="39" t="s">
        <v>22</v>
      </c>
      <c r="D71" s="5" t="s">
        <v>142</v>
      </c>
      <c r="E71" s="5" t="s">
        <v>142</v>
      </c>
      <c r="F71" s="5" t="s">
        <v>142</v>
      </c>
      <c r="G71" s="6"/>
      <c r="H71" s="5" t="s">
        <v>142</v>
      </c>
      <c r="I71" s="6" t="s">
        <v>143</v>
      </c>
      <c r="J71" s="6" t="s">
        <v>143</v>
      </c>
      <c r="K71" s="16">
        <v>61590</v>
      </c>
      <c r="L71" s="16">
        <f>977+862.4</f>
        <v>1839.4</v>
      </c>
      <c r="M71" s="16">
        <f t="shared" ref="M71:M73" si="33">K71-L71</f>
        <v>59750.6</v>
      </c>
      <c r="N71" s="6">
        <v>750</v>
      </c>
      <c r="O71" s="20">
        <f t="shared" si="32"/>
        <v>59000.6</v>
      </c>
      <c r="P71" s="20">
        <f>43704.6+17420.6</f>
        <v>61125.2</v>
      </c>
      <c r="Q71" s="164">
        <f>1298.6+1249.8</f>
        <v>2548.3999999999996</v>
      </c>
      <c r="R71" s="145">
        <f t="shared" ref="R71:R73" si="34">P71-Q71</f>
        <v>58576.799999999996</v>
      </c>
      <c r="S71" s="20">
        <v>787</v>
      </c>
      <c r="T71" s="145">
        <f t="shared" ref="T71:T73" si="35">R71-S71</f>
        <v>57789.799999999996</v>
      </c>
      <c r="U71" s="16">
        <v>9.8000000000000007</v>
      </c>
      <c r="V71" s="11">
        <v>179</v>
      </c>
      <c r="W71" s="6">
        <v>42.86</v>
      </c>
      <c r="X71" s="16">
        <v>8</v>
      </c>
      <c r="Y71" s="6">
        <v>176</v>
      </c>
      <c r="Z71" s="6">
        <v>42.85</v>
      </c>
      <c r="AA71" s="6">
        <v>0</v>
      </c>
      <c r="AB71" s="6">
        <v>33</v>
      </c>
      <c r="AC71" s="6">
        <v>226</v>
      </c>
      <c r="AD71" s="6">
        <v>18</v>
      </c>
      <c r="AE71" s="6">
        <v>16</v>
      </c>
      <c r="AF71" s="6">
        <v>679</v>
      </c>
      <c r="AG71" s="6">
        <v>22</v>
      </c>
      <c r="AH71" s="183">
        <f>(U71-X71)/100</f>
        <v>1.8000000000000006E-2</v>
      </c>
      <c r="AI71" s="9">
        <f t="shared" si="30"/>
        <v>1210.8000000000029</v>
      </c>
      <c r="AJ71" s="14">
        <f t="shared" ref="AJ71:AJ73" si="36">AI71/O71</f>
        <v>2.0521825201777658E-2</v>
      </c>
      <c r="AK71" s="6">
        <v>750</v>
      </c>
      <c r="AL71" s="5">
        <v>787</v>
      </c>
      <c r="AM71" s="6" t="s">
        <v>126</v>
      </c>
      <c r="AN71" s="6" t="s">
        <v>131</v>
      </c>
      <c r="AO71" s="6"/>
      <c r="AP71" s="6"/>
      <c r="AQ71" s="6"/>
      <c r="AR71" s="6"/>
      <c r="AS71" s="6"/>
      <c r="AT71" s="6"/>
    </row>
    <row r="72" spans="1:51" x14ac:dyDescent="0.25">
      <c r="A72" s="166">
        <v>71</v>
      </c>
      <c r="B72" s="119">
        <v>46202</v>
      </c>
      <c r="C72" s="39" t="s">
        <v>22</v>
      </c>
      <c r="D72" s="5" t="s">
        <v>142</v>
      </c>
      <c r="E72" s="5" t="s">
        <v>142</v>
      </c>
      <c r="F72" s="5" t="s">
        <v>142</v>
      </c>
      <c r="G72" s="6"/>
      <c r="H72" s="5" t="s">
        <v>142</v>
      </c>
      <c r="I72" s="6" t="s">
        <v>143</v>
      </c>
      <c r="J72" s="6" t="s">
        <v>143</v>
      </c>
      <c r="K72" s="20">
        <f>61724.2+21537</f>
        <v>83261.2</v>
      </c>
      <c r="L72" s="20">
        <f>284.4+318.2+399.4+220.2+560.4+758.6+72.6</f>
        <v>2613.7999999999997</v>
      </c>
      <c r="M72" s="20">
        <f t="shared" si="33"/>
        <v>80647.399999999994</v>
      </c>
      <c r="N72" s="6">
        <v>1023</v>
      </c>
      <c r="O72" s="20">
        <f t="shared" si="32"/>
        <v>79624.399999999994</v>
      </c>
      <c r="P72" s="20">
        <f>50072.6+33091</f>
        <v>83163.600000000006</v>
      </c>
      <c r="Q72" s="164">
        <v>3134.4</v>
      </c>
      <c r="R72" s="165">
        <f t="shared" si="34"/>
        <v>80029.200000000012</v>
      </c>
      <c r="S72" s="20">
        <v>1081</v>
      </c>
      <c r="T72" s="165">
        <f t="shared" si="35"/>
        <v>78948.200000000012</v>
      </c>
      <c r="U72" s="6"/>
      <c r="V72" s="8"/>
      <c r="W72" s="6"/>
      <c r="X72" s="16"/>
      <c r="Y72" s="6"/>
      <c r="Z72" s="6"/>
      <c r="AA72" s="6"/>
      <c r="AB72" s="6"/>
      <c r="AC72" s="6"/>
      <c r="AD72" s="6"/>
      <c r="AE72" s="6"/>
      <c r="AF72" s="6"/>
      <c r="AG72" s="6"/>
      <c r="AH72" s="183">
        <f t="shared" ref="AH72:AH74" si="37">(U72-X72)/100</f>
        <v>0</v>
      </c>
      <c r="AI72" s="9">
        <f t="shared" si="30"/>
        <v>676.19999999998254</v>
      </c>
      <c r="AJ72" s="14">
        <f t="shared" si="36"/>
        <v>8.4923716850611453E-3</v>
      </c>
      <c r="AK72" s="6"/>
      <c r="AL72" s="6"/>
      <c r="AM72" s="6"/>
      <c r="AN72" s="6" t="s">
        <v>26</v>
      </c>
      <c r="AO72" s="6"/>
      <c r="AP72" s="6"/>
      <c r="AQ72" s="6"/>
      <c r="AR72" s="6"/>
      <c r="AS72" s="6"/>
      <c r="AT72" s="6"/>
    </row>
    <row r="73" spans="1:51" x14ac:dyDescent="0.25">
      <c r="A73" s="166">
        <v>72</v>
      </c>
      <c r="B73" s="119">
        <v>46204</v>
      </c>
      <c r="C73" s="39" t="s">
        <v>22</v>
      </c>
      <c r="D73" s="5" t="s">
        <v>77</v>
      </c>
      <c r="E73" s="5" t="s">
        <v>77</v>
      </c>
      <c r="F73" s="5" t="s">
        <v>77</v>
      </c>
      <c r="G73" s="5" t="s">
        <v>77</v>
      </c>
      <c r="H73" s="5" t="s">
        <v>77</v>
      </c>
      <c r="I73" s="6" t="s">
        <v>117</v>
      </c>
      <c r="J73" s="6" t="s">
        <v>117</v>
      </c>
      <c r="K73" s="20">
        <v>41652.5</v>
      </c>
      <c r="L73" s="20">
        <v>1318.5</v>
      </c>
      <c r="M73" s="20">
        <f t="shared" si="33"/>
        <v>40334</v>
      </c>
      <c r="N73" s="6">
        <v>540</v>
      </c>
      <c r="O73" s="20">
        <f t="shared" ref="O73" si="38">M73-N73</f>
        <v>39794</v>
      </c>
      <c r="P73" s="20">
        <f>39713.6</f>
        <v>39713.599999999999</v>
      </c>
      <c r="Q73" s="164">
        <f>1554.6</f>
        <v>1554.6</v>
      </c>
      <c r="R73" s="165">
        <f t="shared" si="34"/>
        <v>38159</v>
      </c>
      <c r="S73" s="20">
        <v>535</v>
      </c>
      <c r="T73" s="165">
        <f t="shared" si="35"/>
        <v>37624</v>
      </c>
      <c r="U73" s="6"/>
      <c r="V73" s="8"/>
      <c r="W73" s="6"/>
      <c r="X73" s="20"/>
      <c r="Y73" s="6"/>
      <c r="Z73" s="6"/>
      <c r="AA73" s="6"/>
      <c r="AB73" s="6"/>
      <c r="AC73" s="6"/>
      <c r="AD73" s="6"/>
      <c r="AE73" s="6"/>
      <c r="AF73" s="6"/>
      <c r="AG73" s="6"/>
      <c r="AH73" s="183">
        <f t="shared" si="37"/>
        <v>0</v>
      </c>
      <c r="AI73" s="9">
        <f t="shared" si="30"/>
        <v>2170</v>
      </c>
      <c r="AJ73" s="14">
        <f t="shared" si="36"/>
        <v>5.45308337940393E-2</v>
      </c>
      <c r="AK73" s="6"/>
      <c r="AL73" s="6"/>
      <c r="AM73" s="6"/>
      <c r="AN73" s="6" t="s">
        <v>26</v>
      </c>
      <c r="AO73" s="6"/>
      <c r="AP73" s="6"/>
      <c r="AQ73" s="6"/>
      <c r="AR73" s="6"/>
      <c r="AS73" s="6"/>
      <c r="AT73" s="6"/>
    </row>
    <row r="74" spans="1:51" x14ac:dyDescent="0.25">
      <c r="A74" s="171">
        <v>73</v>
      </c>
      <c r="B74" s="119">
        <v>46205</v>
      </c>
      <c r="C74" s="39" t="s">
        <v>22</v>
      </c>
      <c r="D74" s="134" t="s">
        <v>77</v>
      </c>
      <c r="E74" s="134" t="s">
        <v>77</v>
      </c>
      <c r="F74" s="134" t="s">
        <v>77</v>
      </c>
      <c r="G74" s="134" t="s">
        <v>77</v>
      </c>
      <c r="H74" s="134" t="s">
        <v>77</v>
      </c>
      <c r="I74" s="6" t="s">
        <v>117</v>
      </c>
      <c r="J74" s="6" t="s">
        <v>117</v>
      </c>
      <c r="K74" s="137">
        <f>41025.8</f>
        <v>41025.800000000003</v>
      </c>
      <c r="L74" s="137">
        <v>1312</v>
      </c>
      <c r="M74" s="137">
        <f>Table1[[#This Row],[Issued for Drying GW RCN+BAGS+PALLETS]]-Table1[[#This Row],[Pallets WT]]</f>
        <v>39713.800000000003</v>
      </c>
      <c r="N74" s="135">
        <v>511</v>
      </c>
      <c r="O74" s="149">
        <f t="shared" ref="O74:O79" si="39">M74-N74</f>
        <v>39202.800000000003</v>
      </c>
      <c r="P74" s="137">
        <f>40715.6</f>
        <v>40715.599999999999</v>
      </c>
      <c r="Q74" s="164">
        <v>1638.8</v>
      </c>
      <c r="R74" s="145">
        <f t="shared" ref="R74:R79" si="40">P74-Q74</f>
        <v>39076.799999999996</v>
      </c>
      <c r="S74" s="137">
        <v>548</v>
      </c>
      <c r="T74" s="145">
        <f t="shared" ref="T74:T79" si="41">R74-S74</f>
        <v>38528.799999999996</v>
      </c>
      <c r="U74" s="135"/>
      <c r="V74" s="194"/>
      <c r="W74" s="135"/>
      <c r="X74" s="137"/>
      <c r="Y74" s="135"/>
      <c r="Z74" s="135"/>
      <c r="AA74" s="135"/>
      <c r="AB74" s="135"/>
      <c r="AC74" s="135"/>
      <c r="AD74" s="135"/>
      <c r="AE74" s="135"/>
      <c r="AF74" s="135"/>
      <c r="AG74" s="135"/>
      <c r="AH74" s="183">
        <f t="shared" si="37"/>
        <v>0</v>
      </c>
      <c r="AI74" s="9">
        <f t="shared" si="30"/>
        <v>674.00000000000728</v>
      </c>
      <c r="AJ74" s="193">
        <f>AI74/O74</f>
        <v>1.7192649504627403E-2</v>
      </c>
      <c r="AK74" s="135"/>
      <c r="AL74" s="135"/>
      <c r="AM74" s="135"/>
      <c r="AN74" s="135" t="s">
        <v>26</v>
      </c>
      <c r="AO74" s="135"/>
      <c r="AP74" s="135"/>
      <c r="AQ74" s="135"/>
      <c r="AR74" s="135"/>
      <c r="AS74" s="135"/>
      <c r="AT74" s="135"/>
    </row>
    <row r="75" spans="1:51" x14ac:dyDescent="0.25">
      <c r="A75" s="171">
        <v>74</v>
      </c>
      <c r="B75" s="119">
        <v>46206</v>
      </c>
      <c r="C75" s="39" t="s">
        <v>22</v>
      </c>
      <c r="D75" s="134" t="s">
        <v>77</v>
      </c>
      <c r="E75" s="134" t="s">
        <v>77</v>
      </c>
      <c r="F75" s="134" t="s">
        <v>77</v>
      </c>
      <c r="G75" s="134" t="s">
        <v>77</v>
      </c>
      <c r="H75" s="134" t="s">
        <v>77</v>
      </c>
      <c r="I75" s="6" t="s">
        <v>117</v>
      </c>
      <c r="J75" s="6" t="s">
        <v>117</v>
      </c>
      <c r="K75" s="137">
        <f>76577.8</f>
        <v>76577.8</v>
      </c>
      <c r="L75" s="137">
        <f>2431.6</f>
        <v>2431.6</v>
      </c>
      <c r="M75" s="137">
        <f>Table1[[#This Row],[Issued for Drying GW RCN+BAGS+PALLETS]]-Table1[[#This Row],[Pallets WT]]</f>
        <v>74146.2</v>
      </c>
      <c r="N75" s="198">
        <f>992</f>
        <v>992</v>
      </c>
      <c r="O75" s="149">
        <f t="shared" si="39"/>
        <v>73154.2</v>
      </c>
      <c r="P75" s="137">
        <v>75172.2</v>
      </c>
      <c r="Q75" s="164">
        <v>3054.2</v>
      </c>
      <c r="R75" s="145">
        <f t="shared" si="40"/>
        <v>72118</v>
      </c>
      <c r="S75" s="137">
        <v>998</v>
      </c>
      <c r="T75" s="145">
        <f t="shared" si="41"/>
        <v>71120</v>
      </c>
      <c r="U75" s="135"/>
      <c r="V75" s="194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35"/>
      <c r="AI75" s="9">
        <f t="shared" si="30"/>
        <v>2034.1999999999971</v>
      </c>
      <c r="AJ75" s="193">
        <f>AI75/O75</f>
        <v>2.7807015865117753E-2</v>
      </c>
      <c r="AK75" s="135"/>
      <c r="AL75" s="135"/>
      <c r="AM75" s="135"/>
      <c r="AN75" s="135" t="s">
        <v>26</v>
      </c>
      <c r="AO75" s="135"/>
      <c r="AP75" s="135"/>
      <c r="AQ75" s="135"/>
      <c r="AR75" s="135"/>
      <c r="AS75" s="135"/>
      <c r="AT75" s="135"/>
    </row>
    <row r="76" spans="1:51" x14ac:dyDescent="0.25">
      <c r="A76" s="171">
        <v>75</v>
      </c>
      <c r="B76" s="119">
        <v>46208</v>
      </c>
      <c r="C76" s="39" t="s">
        <v>22</v>
      </c>
      <c r="D76" s="134" t="s">
        <v>77</v>
      </c>
      <c r="E76" s="134" t="s">
        <v>77</v>
      </c>
      <c r="F76" s="134" t="s">
        <v>77</v>
      </c>
      <c r="G76" s="134" t="s">
        <v>77</v>
      </c>
      <c r="H76" s="134" t="s">
        <v>77</v>
      </c>
      <c r="I76" s="6" t="s">
        <v>117</v>
      </c>
      <c r="J76" s="6" t="s">
        <v>117</v>
      </c>
      <c r="K76" s="137">
        <f>46047.8</f>
        <v>46047.8</v>
      </c>
      <c r="L76" s="137">
        <v>1416.8</v>
      </c>
      <c r="M76" s="137">
        <f>Table1[[#This Row],[Issued for Drying GW RCN+BAGS+PALLETS]]-Table1[[#This Row],[Pallets WT]]</f>
        <v>44631</v>
      </c>
      <c r="N76" s="198">
        <v>600</v>
      </c>
      <c r="O76" s="137">
        <f t="shared" si="39"/>
        <v>44031</v>
      </c>
      <c r="P76" s="137">
        <f>45871.2</f>
        <v>45871.199999999997</v>
      </c>
      <c r="Q76" s="199">
        <v>1866</v>
      </c>
      <c r="R76" s="145">
        <f t="shared" si="40"/>
        <v>44005.2</v>
      </c>
      <c r="S76" s="137">
        <f>622</f>
        <v>622</v>
      </c>
      <c r="T76" s="145">
        <f t="shared" si="41"/>
        <v>43383.199999999997</v>
      </c>
      <c r="U76" s="135"/>
      <c r="V76" s="194"/>
      <c r="W76" s="135"/>
      <c r="X76" s="135"/>
      <c r="Y76" s="135"/>
      <c r="Z76" s="135"/>
      <c r="AA76" s="135"/>
      <c r="AB76" s="135"/>
      <c r="AC76" s="135"/>
      <c r="AD76" s="135"/>
      <c r="AE76" s="135"/>
      <c r="AF76" s="135"/>
      <c r="AG76" s="135"/>
      <c r="AH76" s="135"/>
      <c r="AI76" s="9">
        <f t="shared" ref="AI76" si="42">O76-T76</f>
        <v>647.80000000000291</v>
      </c>
      <c r="AJ76" s="193">
        <f t="shared" ref="AJ76" si="43">AI76/O76</f>
        <v>1.4712361745134177E-2</v>
      </c>
      <c r="AK76" s="135"/>
      <c r="AL76" s="135"/>
      <c r="AM76" s="135"/>
      <c r="AN76" s="135" t="s">
        <v>26</v>
      </c>
      <c r="AO76" s="135"/>
      <c r="AP76" s="135"/>
      <c r="AQ76" s="135"/>
      <c r="AR76" s="135"/>
      <c r="AS76" s="135"/>
      <c r="AT76" s="135"/>
    </row>
    <row r="77" spans="1:51" x14ac:dyDescent="0.25">
      <c r="A77" s="171">
        <v>76</v>
      </c>
      <c r="B77" s="119">
        <v>46209</v>
      </c>
      <c r="C77" s="39" t="s">
        <v>22</v>
      </c>
      <c r="D77" s="134" t="s">
        <v>77</v>
      </c>
      <c r="E77" s="134" t="s">
        <v>77</v>
      </c>
      <c r="F77" s="134" t="s">
        <v>77</v>
      </c>
      <c r="G77" s="134" t="s">
        <v>77</v>
      </c>
      <c r="H77" s="134" t="s">
        <v>77</v>
      </c>
      <c r="I77" s="6" t="s">
        <v>117</v>
      </c>
      <c r="J77" s="6" t="s">
        <v>117</v>
      </c>
      <c r="K77" s="137">
        <f>49738.3</f>
        <v>49738.3</v>
      </c>
      <c r="L77" s="137">
        <f>1113.2+433.8</f>
        <v>1547</v>
      </c>
      <c r="M77" s="137">
        <f>Table1[[#This Row],[Issued for Drying GW RCN+BAGS+PALLETS]]-Table1[[#This Row],[Pallets WT]]</f>
        <v>48191.3</v>
      </c>
      <c r="N77" s="135">
        <f>631</f>
        <v>631</v>
      </c>
      <c r="O77" s="149">
        <f t="shared" si="39"/>
        <v>47560.3</v>
      </c>
      <c r="P77" s="137">
        <f>49625</f>
        <v>49625</v>
      </c>
      <c r="Q77" s="164">
        <v>2284</v>
      </c>
      <c r="R77" s="145">
        <f t="shared" si="40"/>
        <v>47341</v>
      </c>
      <c r="S77" s="137">
        <f>520+150</f>
        <v>670</v>
      </c>
      <c r="T77" s="145">
        <f t="shared" si="41"/>
        <v>46671</v>
      </c>
      <c r="U77" s="135"/>
      <c r="V77" s="194"/>
      <c r="W77" s="135"/>
      <c r="X77" s="135"/>
      <c r="Y77" s="135"/>
      <c r="Z77" s="135"/>
      <c r="AA77" s="135"/>
      <c r="AB77" s="135"/>
      <c r="AC77" s="135"/>
      <c r="AD77" s="135"/>
      <c r="AE77" s="135"/>
      <c r="AF77" s="135"/>
      <c r="AG77" s="135"/>
      <c r="AH77" s="135"/>
      <c r="AI77" s="9">
        <f t="shared" ref="AI77" si="44">O77-T77</f>
        <v>889.30000000000291</v>
      </c>
      <c r="AJ77" s="193">
        <f t="shared" ref="AJ77" si="45">AI77/O77</f>
        <v>1.8698368176819802E-2</v>
      </c>
      <c r="AK77" s="135"/>
      <c r="AL77" s="135"/>
      <c r="AM77" s="135"/>
      <c r="AN77" s="135" t="s">
        <v>26</v>
      </c>
      <c r="AO77" s="135"/>
      <c r="AP77" s="135"/>
      <c r="AQ77" s="135"/>
      <c r="AR77" s="135"/>
      <c r="AS77" s="135"/>
      <c r="AT77" s="135"/>
    </row>
    <row r="78" spans="1:51" x14ac:dyDescent="0.25">
      <c r="A78" s="171">
        <v>77</v>
      </c>
      <c r="B78" s="119">
        <v>46210</v>
      </c>
      <c r="C78" s="6" t="s">
        <v>22</v>
      </c>
      <c r="D78" s="134" t="s">
        <v>77</v>
      </c>
      <c r="E78" s="134" t="s">
        <v>77</v>
      </c>
      <c r="F78" s="134" t="s">
        <v>77</v>
      </c>
      <c r="G78" s="134" t="s">
        <v>77</v>
      </c>
      <c r="H78" s="134" t="s">
        <v>77</v>
      </c>
      <c r="I78" s="6" t="s">
        <v>117</v>
      </c>
      <c r="J78" s="6" t="s">
        <v>117</v>
      </c>
      <c r="K78" s="137">
        <f>62409.8</f>
        <v>62409.8</v>
      </c>
      <c r="L78" s="137">
        <v>2276.6</v>
      </c>
      <c r="M78" s="137">
        <f>Table1[[#This Row],[Issued for Drying GW RCN+BAGS+PALLETS]]-Table1[[#This Row],[Pallets WT]]</f>
        <v>60133.200000000004</v>
      </c>
      <c r="N78" s="135">
        <v>906</v>
      </c>
      <c r="O78" s="149">
        <f t="shared" si="39"/>
        <v>59227.200000000004</v>
      </c>
      <c r="P78" s="137">
        <f>62293.8</f>
        <v>62293.8</v>
      </c>
      <c r="Q78" s="199">
        <v>2482.4</v>
      </c>
      <c r="R78" s="145">
        <f t="shared" si="40"/>
        <v>59811.4</v>
      </c>
      <c r="S78" s="137">
        <v>841</v>
      </c>
      <c r="T78" s="145">
        <f t="shared" si="41"/>
        <v>58970.400000000001</v>
      </c>
      <c r="U78" s="135"/>
      <c r="V78" s="194"/>
      <c r="W78" s="135"/>
      <c r="X78" s="135"/>
      <c r="Y78" s="135"/>
      <c r="Z78" s="135"/>
      <c r="AA78" s="135"/>
      <c r="AB78" s="135"/>
      <c r="AC78" s="135"/>
      <c r="AD78" s="135"/>
      <c r="AE78" s="135"/>
      <c r="AF78" s="135"/>
      <c r="AG78" s="135"/>
      <c r="AH78" s="135"/>
      <c r="AI78" s="9">
        <f t="shared" ref="AI78:AI79" si="46">O78-T78</f>
        <v>256.80000000000291</v>
      </c>
      <c r="AJ78" s="193">
        <f t="shared" ref="AJ78" si="47">AI78/O78</f>
        <v>4.3358456925197018E-3</v>
      </c>
      <c r="AK78" s="135"/>
      <c r="AL78" s="135"/>
      <c r="AM78" s="135"/>
      <c r="AN78" s="135" t="s">
        <v>26</v>
      </c>
      <c r="AO78" s="135"/>
      <c r="AP78" s="135"/>
      <c r="AQ78" s="135"/>
      <c r="AR78" s="135"/>
      <c r="AS78" s="135"/>
      <c r="AT78" s="135"/>
    </row>
    <row r="79" spans="1:51" x14ac:dyDescent="0.25">
      <c r="A79" s="171">
        <v>78</v>
      </c>
      <c r="B79" s="119">
        <v>46211</v>
      </c>
      <c r="C79" s="6" t="s">
        <v>22</v>
      </c>
      <c r="D79" s="134" t="s">
        <v>77</v>
      </c>
      <c r="E79" s="134" t="s">
        <v>77</v>
      </c>
      <c r="F79" s="134" t="s">
        <v>77</v>
      </c>
      <c r="G79" s="134" t="s">
        <v>77</v>
      </c>
      <c r="H79" s="134" t="s">
        <v>77</v>
      </c>
      <c r="I79" s="6" t="s">
        <v>117</v>
      </c>
      <c r="J79" s="6" t="s">
        <v>117</v>
      </c>
      <c r="K79" s="137">
        <f>57793.6</f>
        <v>57793.599999999999</v>
      </c>
      <c r="L79" s="137">
        <f>742+1051</f>
        <v>1793</v>
      </c>
      <c r="M79" s="137">
        <f>Table1[[#This Row],[Issued for Drying GW RCN+BAGS+PALLETS]]-Table1[[#This Row],[Pallets WT]]</f>
        <v>56000.6</v>
      </c>
      <c r="N79" s="135">
        <f>732</f>
        <v>732</v>
      </c>
      <c r="O79" s="149">
        <f t="shared" si="39"/>
        <v>55268.6</v>
      </c>
      <c r="P79" s="137">
        <f>57877</f>
        <v>57877</v>
      </c>
      <c r="Q79" s="199">
        <f>2380.8</f>
        <v>2380.8000000000002</v>
      </c>
      <c r="R79" s="145">
        <f t="shared" si="40"/>
        <v>55496.2</v>
      </c>
      <c r="S79" s="137">
        <v>775</v>
      </c>
      <c r="T79" s="145">
        <f t="shared" si="41"/>
        <v>54721.2</v>
      </c>
      <c r="U79" s="135"/>
      <c r="V79" s="194"/>
      <c r="W79" s="135"/>
      <c r="X79" s="135"/>
      <c r="Y79" s="135"/>
      <c r="Z79" s="135"/>
      <c r="AA79" s="135"/>
      <c r="AB79" s="135"/>
      <c r="AC79" s="135"/>
      <c r="AD79" s="135"/>
      <c r="AE79" s="135"/>
      <c r="AF79" s="135"/>
      <c r="AG79" s="135"/>
      <c r="AH79" s="135"/>
      <c r="AI79" s="9">
        <f t="shared" si="46"/>
        <v>547.40000000000146</v>
      </c>
      <c r="AJ79" s="193">
        <f>AI79/O79</f>
        <v>9.9043579898894039E-3</v>
      </c>
      <c r="AK79" s="135"/>
      <c r="AL79" s="135"/>
      <c r="AM79" s="135"/>
      <c r="AN79" s="135" t="s">
        <v>26</v>
      </c>
      <c r="AO79" s="135"/>
      <c r="AP79" s="135"/>
      <c r="AQ79" s="135"/>
      <c r="AR79" s="135"/>
      <c r="AS79" s="135"/>
      <c r="AT79" s="135"/>
    </row>
    <row r="80" spans="1:51" x14ac:dyDescent="0.25">
      <c r="A80" s="171">
        <v>79</v>
      </c>
      <c r="B80" s="119">
        <v>46213</v>
      </c>
      <c r="C80" s="6" t="s">
        <v>22</v>
      </c>
      <c r="D80" s="134" t="s">
        <v>77</v>
      </c>
      <c r="E80" s="134" t="s">
        <v>77</v>
      </c>
      <c r="F80" s="134" t="s">
        <v>77</v>
      </c>
      <c r="G80" s="134" t="s">
        <v>77</v>
      </c>
      <c r="H80" s="134" t="s">
        <v>77</v>
      </c>
      <c r="I80" s="6" t="s">
        <v>117</v>
      </c>
      <c r="J80" s="6" t="s">
        <v>117</v>
      </c>
      <c r="K80" s="137">
        <f>69724</f>
        <v>69724</v>
      </c>
      <c r="L80" s="137">
        <v>2259.8000000000002</v>
      </c>
      <c r="M80" s="137">
        <f>Table1[[#This Row],[Issued for Drying GW RCN+BAGS+PALLETS]]-Table1[[#This Row],[Pallets WT]]</f>
        <v>67464.2</v>
      </c>
      <c r="N80" s="135">
        <v>901</v>
      </c>
      <c r="O80" s="149">
        <f>M80-N80</f>
        <v>66563.199999999997</v>
      </c>
      <c r="P80" s="196">
        <v>69586</v>
      </c>
      <c r="Q80" s="197">
        <v>2817.5</v>
      </c>
      <c r="R80" s="145">
        <f>P80-Q80</f>
        <v>66768.5</v>
      </c>
      <c r="S80" s="196">
        <v>940</v>
      </c>
      <c r="T80" s="145">
        <f>R80-S80</f>
        <v>65828.5</v>
      </c>
      <c r="U80" s="135"/>
      <c r="V80" s="194"/>
      <c r="W80" s="135"/>
      <c r="X80" s="135"/>
      <c r="Y80" s="135"/>
      <c r="Z80" s="135"/>
      <c r="AA80" s="135"/>
      <c r="AB80" s="135"/>
      <c r="AC80" s="135"/>
      <c r="AD80" s="135"/>
      <c r="AE80" s="135"/>
      <c r="AF80" s="135"/>
      <c r="AG80" s="135"/>
      <c r="AH80" s="135"/>
      <c r="AI80" s="9">
        <f t="shared" ref="AI80" si="48">O80-T80</f>
        <v>734.69999999999709</v>
      </c>
      <c r="AJ80" s="193">
        <f t="shared" ref="AJ80" si="49">AI80/O80</f>
        <v>1.1037630402384457E-2</v>
      </c>
      <c r="AK80" s="135"/>
      <c r="AL80" s="135"/>
      <c r="AM80" s="135"/>
      <c r="AN80" s="135" t="s">
        <v>26</v>
      </c>
      <c r="AO80" s="135"/>
      <c r="AP80" s="135"/>
      <c r="AQ80" s="135"/>
      <c r="AR80" s="135"/>
      <c r="AS80" s="135"/>
      <c r="AT80" s="135"/>
    </row>
    <row r="81" spans="1:46" x14ac:dyDescent="0.25">
      <c r="A81" s="171">
        <v>80</v>
      </c>
      <c r="B81" s="119">
        <v>46214</v>
      </c>
      <c r="C81" s="6" t="s">
        <v>22</v>
      </c>
      <c r="D81" s="134" t="s">
        <v>77</v>
      </c>
      <c r="E81" s="134" t="s">
        <v>77</v>
      </c>
      <c r="F81" s="134" t="s">
        <v>77</v>
      </c>
      <c r="G81" s="134" t="s">
        <v>77</v>
      </c>
      <c r="H81" s="134" t="s">
        <v>77</v>
      </c>
      <c r="I81" s="6" t="s">
        <v>117</v>
      </c>
      <c r="J81" s="6" t="s">
        <v>117</v>
      </c>
      <c r="K81" s="137">
        <v>49397.599999999999</v>
      </c>
      <c r="L81" s="137">
        <v>1409.4</v>
      </c>
      <c r="M81" s="137">
        <f>Table1[[#This Row],[Issued for Drying GW RCN+BAGS+PALLETS]]-Table1[[#This Row],[Pallets WT]]</f>
        <v>47988.2</v>
      </c>
      <c r="N81" s="135">
        <v>630</v>
      </c>
      <c r="O81" s="149">
        <f>M81-N81</f>
        <v>47358.2</v>
      </c>
      <c r="P81" s="196">
        <v>49287</v>
      </c>
      <c r="Q81" s="197">
        <v>2084.1999999999998</v>
      </c>
      <c r="R81" s="145">
        <f>P81-Q81</f>
        <v>47202.8</v>
      </c>
      <c r="S81" s="203">
        <v>665</v>
      </c>
      <c r="T81" s="145">
        <f>R81-S81</f>
        <v>46537.8</v>
      </c>
      <c r="U81" s="135"/>
      <c r="V81" s="194"/>
      <c r="W81" s="135"/>
      <c r="X81" s="135"/>
      <c r="Y81" s="135"/>
      <c r="Z81" s="135"/>
      <c r="AA81" s="135"/>
      <c r="AB81" s="135"/>
      <c r="AC81" s="135"/>
      <c r="AD81" s="135"/>
      <c r="AE81" s="135"/>
      <c r="AF81" s="135"/>
      <c r="AG81" s="135"/>
      <c r="AH81" s="135"/>
      <c r="AI81" s="9">
        <f t="shared" ref="AI81" si="50">O81-T81</f>
        <v>820.39999999999418</v>
      </c>
      <c r="AJ81" s="193">
        <f t="shared" ref="AJ81" si="51">AI81/O81</f>
        <v>1.7323293537338712E-2</v>
      </c>
      <c r="AK81" s="135"/>
      <c r="AL81" s="135"/>
      <c r="AM81" s="135"/>
      <c r="AN81" s="135" t="s">
        <v>26</v>
      </c>
      <c r="AO81" s="135"/>
      <c r="AP81" s="135"/>
      <c r="AQ81" s="135"/>
      <c r="AR81" s="135"/>
      <c r="AS81" s="135"/>
      <c r="AT81" s="135"/>
    </row>
    <row r="82" spans="1:46" x14ac:dyDescent="0.25">
      <c r="A82" s="171">
        <v>81</v>
      </c>
      <c r="B82" s="119">
        <v>46215</v>
      </c>
      <c r="C82" s="6" t="s">
        <v>22</v>
      </c>
      <c r="D82" s="134" t="s">
        <v>77</v>
      </c>
      <c r="E82" s="134" t="s">
        <v>77</v>
      </c>
      <c r="F82" s="134" t="s">
        <v>77</v>
      </c>
      <c r="G82" s="134" t="s">
        <v>77</v>
      </c>
      <c r="H82" s="134" t="s">
        <v>77</v>
      </c>
      <c r="I82" s="6" t="s">
        <v>117</v>
      </c>
      <c r="J82" s="6" t="s">
        <v>117</v>
      </c>
      <c r="K82" s="137">
        <v>58566.400000000001</v>
      </c>
      <c r="L82" s="137">
        <v>1724.9</v>
      </c>
      <c r="M82" s="137">
        <f>Table1[[#This Row],[Issued for Drying GW RCN+BAGS+PALLETS]]-Table1[[#This Row],[Pallets WT]]</f>
        <v>56841.5</v>
      </c>
      <c r="N82" s="135">
        <v>750</v>
      </c>
      <c r="O82" s="149">
        <f>M82-N82</f>
        <v>56091.5</v>
      </c>
      <c r="P82" s="196">
        <v>58905.4</v>
      </c>
      <c r="Q82" s="31">
        <v>2398.8000000000002</v>
      </c>
      <c r="R82" s="145">
        <f>P82-Q82</f>
        <v>56506.6</v>
      </c>
      <c r="S82" s="196">
        <v>802</v>
      </c>
      <c r="T82" s="145">
        <f>R82-S82</f>
        <v>55704.6</v>
      </c>
      <c r="U82" s="135"/>
      <c r="V82" s="194"/>
      <c r="W82" s="135"/>
      <c r="X82" s="135"/>
      <c r="Y82" s="135"/>
      <c r="Z82" s="135"/>
      <c r="AA82" s="135"/>
      <c r="AB82" s="135"/>
      <c r="AC82" s="135"/>
      <c r="AD82" s="135"/>
      <c r="AE82" s="135"/>
      <c r="AF82" s="135"/>
      <c r="AG82" s="135"/>
      <c r="AH82" s="135"/>
      <c r="AI82" s="9">
        <f t="shared" ref="AI82" si="52">O82-T82</f>
        <v>386.90000000000146</v>
      </c>
      <c r="AJ82" s="193">
        <f t="shared" ref="AJ82" si="53">AI82/O82</f>
        <v>6.8976582904718446E-3</v>
      </c>
      <c r="AK82" s="135"/>
      <c r="AL82" s="135"/>
      <c r="AM82" s="135"/>
      <c r="AN82" s="135" t="s">
        <v>26</v>
      </c>
      <c r="AO82" s="135"/>
      <c r="AP82" s="135"/>
      <c r="AQ82" s="135"/>
      <c r="AR82" s="135"/>
      <c r="AS82" s="135"/>
      <c r="AT82" s="135"/>
    </row>
    <row r="83" spans="1:46" x14ac:dyDescent="0.25">
      <c r="A83" s="209">
        <v>82</v>
      </c>
      <c r="B83" s="210">
        <v>46216</v>
      </c>
      <c r="C83" s="211" t="s">
        <v>22</v>
      </c>
      <c r="D83" s="212" t="s">
        <v>77</v>
      </c>
      <c r="E83" s="212" t="s">
        <v>77</v>
      </c>
      <c r="F83" s="212" t="s">
        <v>77</v>
      </c>
      <c r="G83" s="212" t="s">
        <v>77</v>
      </c>
      <c r="H83" s="212" t="s">
        <v>77</v>
      </c>
      <c r="I83" s="211" t="s">
        <v>117</v>
      </c>
      <c r="J83" s="211" t="s">
        <v>117</v>
      </c>
      <c r="K83" s="137">
        <f>72199.3</f>
        <v>72199.3</v>
      </c>
      <c r="L83" s="137">
        <v>2234.8000000000002</v>
      </c>
      <c r="M83" s="137">
        <f>Table1[[#This Row],[Issued for Drying GW RCN+BAGS+PALLETS]]-Table1[[#This Row],[Pallets WT]]</f>
        <v>69964.5</v>
      </c>
      <c r="N83" s="213">
        <v>903</v>
      </c>
      <c r="O83" s="214">
        <f>M83-N83</f>
        <v>69061.5</v>
      </c>
      <c r="P83" s="137">
        <v>72206.8</v>
      </c>
      <c r="Q83" s="164">
        <v>2759.4</v>
      </c>
      <c r="R83" s="145">
        <f>P83-Q83</f>
        <v>69447.400000000009</v>
      </c>
      <c r="S83" s="137">
        <v>946</v>
      </c>
      <c r="T83" s="145">
        <f>R83-S83</f>
        <v>68501.400000000009</v>
      </c>
      <c r="U83" s="213"/>
      <c r="V83" s="215"/>
      <c r="W83" s="213"/>
      <c r="X83" s="213"/>
      <c r="Y83" s="213"/>
      <c r="Z83" s="213"/>
      <c r="AA83" s="213"/>
      <c r="AB83" s="213"/>
      <c r="AC83" s="213"/>
      <c r="AD83" s="213"/>
      <c r="AE83" s="213"/>
      <c r="AF83" s="213"/>
      <c r="AG83" s="213"/>
      <c r="AH83" s="213"/>
      <c r="AI83" s="216">
        <f t="shared" ref="AI83" si="54">O83-T83</f>
        <v>560.09999999999127</v>
      </c>
      <c r="AJ83" s="217">
        <f t="shared" ref="AJ83" si="55">AI83/O83</f>
        <v>8.1101626810884692E-3</v>
      </c>
      <c r="AK83" s="213"/>
      <c r="AL83" s="213"/>
      <c r="AM83" s="213"/>
      <c r="AN83" s="213"/>
      <c r="AO83" s="135"/>
      <c r="AP83" s="135"/>
      <c r="AQ83" s="135"/>
      <c r="AR83" s="135"/>
      <c r="AS83" s="135"/>
      <c r="AT83" s="135"/>
    </row>
    <row r="84" spans="1:46" x14ac:dyDescent="0.3">
      <c r="U84" s="138"/>
    </row>
    <row r="85" spans="1:46" x14ac:dyDescent="0.3">
      <c r="U85" s="138"/>
    </row>
    <row r="87" spans="1:46" x14ac:dyDescent="0.3">
      <c r="V87" s="184"/>
    </row>
    <row r="88" spans="1:46" x14ac:dyDescent="0.3">
      <c r="V88" s="184"/>
    </row>
    <row r="89" spans="1:46" x14ac:dyDescent="0.3">
      <c r="V89" s="184"/>
    </row>
  </sheetData>
  <conditionalFormatting sqref="D6">
    <cfRule type="duplicateValues" dxfId="4" priority="1"/>
    <cfRule type="duplicateValues" dxfId="3" priority="2"/>
    <cfRule type="duplicateValues" dxfId="2" priority="3"/>
  </conditionalFormatting>
  <conditionalFormatting sqref="H56">
    <cfRule type="duplicateValues" dxfId="1" priority="4"/>
  </conditionalFormatting>
  <pageMargins left="0.7" right="0.7" top="0.75" bottom="0.75" header="0.3" footer="0.3"/>
  <pageSetup paperSize="9" orientation="portrait" r:id="rId1"/>
  <ignoredErrors>
    <ignoredError sqref="S76:S77" formula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5606E-5402-40EA-B654-DC330FBC7B9D}">
  <dimension ref="A1:AR25"/>
  <sheetViews>
    <sheetView workbookViewId="0">
      <selection activeCell="L22" sqref="L22"/>
    </sheetView>
  </sheetViews>
  <sheetFormatPr defaultRowHeight="12" x14ac:dyDescent="0.25"/>
  <cols>
    <col min="1" max="1" width="8.88671875" style="29"/>
    <col min="2" max="2" width="10.33203125" style="29" bestFit="1" customWidth="1"/>
    <col min="3" max="4" width="8.88671875" style="29"/>
    <col min="5" max="5" width="37.77734375" style="29" bestFit="1" customWidth="1"/>
    <col min="6" max="6" width="17.21875" style="29" customWidth="1"/>
    <col min="7" max="7" width="14" style="29" customWidth="1"/>
    <col min="8" max="10" width="11.21875" style="29" customWidth="1"/>
    <col min="11" max="12" width="8.88671875" style="29"/>
    <col min="13" max="13" width="10.21875" style="29" bestFit="1" customWidth="1"/>
    <col min="14" max="14" width="8.88671875" style="29"/>
    <col min="15" max="15" width="15" style="29" bestFit="1" customWidth="1"/>
    <col min="16" max="16" width="14" style="29" customWidth="1"/>
    <col min="17" max="17" width="11" style="29" customWidth="1"/>
    <col min="18" max="16384" width="8.88671875" style="29"/>
  </cols>
  <sheetData>
    <row r="1" spans="1:44" x14ac:dyDescent="0.25">
      <c r="L1" s="29">
        <f>SUBTOTAL(9,L3:L12)/1000</f>
        <v>1158.1538</v>
      </c>
      <c r="O1" s="68">
        <f>SUBTOTAL(9,O3:O25)/1000</f>
        <v>2640.3100999999997</v>
      </c>
    </row>
    <row r="2" spans="1:44" ht="48" x14ac:dyDescent="0.25">
      <c r="A2" s="91" t="s">
        <v>0</v>
      </c>
      <c r="B2" s="91" t="s">
        <v>1</v>
      </c>
      <c r="C2" s="104" t="s">
        <v>3</v>
      </c>
      <c r="D2" s="92" t="s">
        <v>4</v>
      </c>
      <c r="E2" s="92" t="s">
        <v>88</v>
      </c>
      <c r="F2" s="92" t="s">
        <v>6</v>
      </c>
      <c r="G2" s="91" t="s">
        <v>101</v>
      </c>
      <c r="H2" s="91" t="s">
        <v>86</v>
      </c>
      <c r="I2" s="91" t="s">
        <v>181</v>
      </c>
      <c r="J2" s="91" t="s">
        <v>182</v>
      </c>
      <c r="K2" s="91" t="s">
        <v>168</v>
      </c>
      <c r="L2" s="93" t="s">
        <v>183</v>
      </c>
      <c r="M2" s="93" t="s">
        <v>169</v>
      </c>
      <c r="N2" s="93" t="s">
        <v>175</v>
      </c>
      <c r="O2" s="93" t="s">
        <v>170</v>
      </c>
      <c r="P2" s="94" t="s">
        <v>7</v>
      </c>
      <c r="Q2" s="95" t="s">
        <v>8</v>
      </c>
      <c r="R2" s="96" t="s">
        <v>9</v>
      </c>
      <c r="S2" s="97" t="s">
        <v>10</v>
      </c>
      <c r="T2" s="98" t="s">
        <v>11</v>
      </c>
      <c r="U2" s="99" t="s">
        <v>12</v>
      </c>
      <c r="V2" s="99" t="s">
        <v>53</v>
      </c>
      <c r="W2" s="99" t="s">
        <v>55</v>
      </c>
      <c r="X2" s="99" t="s">
        <v>58</v>
      </c>
      <c r="Y2" s="99" t="s">
        <v>57</v>
      </c>
      <c r="Z2" s="99" t="s">
        <v>56</v>
      </c>
      <c r="AA2" s="99" t="s">
        <v>59</v>
      </c>
      <c r="AB2" s="99" t="s">
        <v>54</v>
      </c>
      <c r="AC2" s="91" t="s">
        <v>13</v>
      </c>
      <c r="AD2" s="91" t="s">
        <v>14</v>
      </c>
      <c r="AE2" s="91" t="s">
        <v>15</v>
      </c>
      <c r="AF2" s="91" t="s">
        <v>17</v>
      </c>
      <c r="AG2" s="100" t="s">
        <v>18</v>
      </c>
      <c r="AH2" s="100" t="s">
        <v>19</v>
      </c>
      <c r="AI2" s="100" t="s">
        <v>20</v>
      </c>
      <c r="AJ2" s="101" t="s">
        <v>21</v>
      </c>
      <c r="AK2" s="101" t="s">
        <v>76</v>
      </c>
      <c r="AL2" s="101" t="s">
        <v>78</v>
      </c>
      <c r="AM2" s="91" t="s">
        <v>16</v>
      </c>
      <c r="AN2" s="57" t="s">
        <v>64</v>
      </c>
      <c r="AO2" s="91" t="s">
        <v>65</v>
      </c>
      <c r="AP2" s="91" t="s">
        <v>66</v>
      </c>
      <c r="AQ2" s="100" t="s">
        <v>27</v>
      </c>
      <c r="AR2" s="102" t="s">
        <v>120</v>
      </c>
    </row>
    <row r="3" spans="1:44" x14ac:dyDescent="0.25">
      <c r="A3" s="65">
        <v>1</v>
      </c>
      <c r="B3" s="72" t="s">
        <v>135</v>
      </c>
      <c r="C3" s="29" t="s">
        <v>136</v>
      </c>
      <c r="D3" s="29" t="s">
        <v>136</v>
      </c>
      <c r="E3" s="29" t="s">
        <v>166</v>
      </c>
      <c r="F3" s="29" t="s">
        <v>167</v>
      </c>
      <c r="G3" s="29" t="s">
        <v>93</v>
      </c>
      <c r="H3" s="29" t="s">
        <v>93</v>
      </c>
      <c r="K3" s="66">
        <v>112235</v>
      </c>
      <c r="L3" s="66">
        <f>K3-M3</f>
        <v>110750</v>
      </c>
      <c r="M3" s="66">
        <v>1485</v>
      </c>
      <c r="N3" s="66">
        <f t="shared" ref="N3:N9" si="0">M3*0.65</f>
        <v>965.25</v>
      </c>
      <c r="O3" s="66">
        <f t="shared" ref="O3:O8" si="1">K3-N3</f>
        <v>111269.75</v>
      </c>
      <c r="P3" s="76"/>
    </row>
    <row r="4" spans="1:44" x14ac:dyDescent="0.25">
      <c r="A4" s="65">
        <v>2</v>
      </c>
      <c r="B4" s="29" t="s">
        <v>137</v>
      </c>
      <c r="C4" s="29" t="s">
        <v>136</v>
      </c>
      <c r="D4" s="29" t="s">
        <v>136</v>
      </c>
      <c r="E4" s="29" t="s">
        <v>166</v>
      </c>
      <c r="F4" s="29" t="s">
        <v>167</v>
      </c>
      <c r="G4" s="29" t="s">
        <v>93</v>
      </c>
      <c r="H4" s="29" t="s">
        <v>93</v>
      </c>
      <c r="K4" s="31">
        <v>155376</v>
      </c>
      <c r="L4" s="66">
        <f t="shared" ref="L4:L16" si="2">K4-M4</f>
        <v>153337</v>
      </c>
      <c r="M4" s="31">
        <v>2039</v>
      </c>
      <c r="N4" s="31">
        <f t="shared" si="0"/>
        <v>1325.3500000000001</v>
      </c>
      <c r="O4" s="66">
        <f t="shared" si="1"/>
        <v>154050.65</v>
      </c>
      <c r="P4" s="76"/>
      <c r="Q4" s="76"/>
    </row>
    <row r="5" spans="1:44" x14ac:dyDescent="0.25">
      <c r="A5" s="65">
        <v>3</v>
      </c>
      <c r="B5" s="29" t="s">
        <v>171</v>
      </c>
      <c r="C5" s="29" t="s">
        <v>149</v>
      </c>
      <c r="D5" s="29" t="s">
        <v>149</v>
      </c>
      <c r="E5" s="29" t="s">
        <v>166</v>
      </c>
      <c r="F5" s="29" t="s">
        <v>167</v>
      </c>
      <c r="G5" s="29" t="s">
        <v>150</v>
      </c>
      <c r="H5" s="29" t="s">
        <v>150</v>
      </c>
      <c r="K5" s="66">
        <v>109097.8</v>
      </c>
      <c r="L5" s="66">
        <f t="shared" si="2"/>
        <v>107657.8</v>
      </c>
      <c r="M5" s="66">
        <f>1440</f>
        <v>1440</v>
      </c>
      <c r="N5" s="66">
        <f t="shared" si="0"/>
        <v>936</v>
      </c>
      <c r="O5" s="66">
        <f t="shared" si="1"/>
        <v>108161.8</v>
      </c>
    </row>
    <row r="6" spans="1:44" x14ac:dyDescent="0.25">
      <c r="A6" s="65">
        <v>4</v>
      </c>
      <c r="B6" s="29" t="s">
        <v>172</v>
      </c>
      <c r="C6" s="29" t="s">
        <v>149</v>
      </c>
      <c r="D6" s="29" t="s">
        <v>149</v>
      </c>
      <c r="E6" s="29" t="s">
        <v>166</v>
      </c>
      <c r="F6" s="29" t="s">
        <v>167</v>
      </c>
      <c r="G6" s="29" t="s">
        <v>150</v>
      </c>
      <c r="H6" s="29" t="s">
        <v>150</v>
      </c>
      <c r="K6" s="66">
        <v>99598</v>
      </c>
      <c r="L6" s="66">
        <f t="shared" si="2"/>
        <v>98277</v>
      </c>
      <c r="M6" s="66">
        <v>1321</v>
      </c>
      <c r="N6" s="66">
        <f t="shared" si="0"/>
        <v>858.65</v>
      </c>
      <c r="O6" s="66">
        <f t="shared" si="1"/>
        <v>98739.35</v>
      </c>
    </row>
    <row r="7" spans="1:44" x14ac:dyDescent="0.25">
      <c r="A7" s="65">
        <v>5</v>
      </c>
      <c r="B7" s="29" t="s">
        <v>173</v>
      </c>
      <c r="C7" s="29" t="s">
        <v>149</v>
      </c>
      <c r="D7" s="29" t="s">
        <v>149</v>
      </c>
      <c r="E7" s="29" t="s">
        <v>166</v>
      </c>
      <c r="F7" s="29" t="s">
        <v>167</v>
      </c>
      <c r="G7" s="29" t="s">
        <v>150</v>
      </c>
      <c r="H7" s="29" t="s">
        <v>150</v>
      </c>
      <c r="K7" s="66">
        <f>116651.4</f>
        <v>116651.4</v>
      </c>
      <c r="L7" s="66">
        <f t="shared" si="2"/>
        <v>115151.4</v>
      </c>
      <c r="M7" s="66">
        <v>1500</v>
      </c>
      <c r="N7" s="66">
        <f t="shared" si="0"/>
        <v>975</v>
      </c>
      <c r="O7" s="66">
        <f t="shared" si="1"/>
        <v>115676.4</v>
      </c>
    </row>
    <row r="8" spans="1:44" x14ac:dyDescent="0.25">
      <c r="A8" s="65">
        <v>6</v>
      </c>
      <c r="B8" s="29" t="s">
        <v>174</v>
      </c>
      <c r="C8" s="29" t="s">
        <v>149</v>
      </c>
      <c r="D8" s="29" t="s">
        <v>149</v>
      </c>
      <c r="E8" s="29" t="s">
        <v>166</v>
      </c>
      <c r="F8" s="29" t="s">
        <v>167</v>
      </c>
      <c r="G8" s="29" t="s">
        <v>150</v>
      </c>
      <c r="H8" s="29" t="s">
        <v>150</v>
      </c>
      <c r="K8" s="66">
        <v>110815.8</v>
      </c>
      <c r="L8" s="66">
        <f t="shared" si="2"/>
        <v>109313.8</v>
      </c>
      <c r="M8" s="66">
        <f>751+751</f>
        <v>1502</v>
      </c>
      <c r="N8" s="66">
        <f t="shared" si="0"/>
        <v>976.30000000000007</v>
      </c>
      <c r="O8" s="66">
        <f t="shared" si="1"/>
        <v>109839.5</v>
      </c>
    </row>
    <row r="9" spans="1:44" x14ac:dyDescent="0.25">
      <c r="A9" s="65">
        <v>7</v>
      </c>
      <c r="B9" s="29" t="s">
        <v>176</v>
      </c>
      <c r="C9" s="29" t="s">
        <v>149</v>
      </c>
      <c r="D9" s="29" t="s">
        <v>149</v>
      </c>
      <c r="E9" s="29" t="s">
        <v>166</v>
      </c>
      <c r="F9" s="29" t="s">
        <v>167</v>
      </c>
      <c r="G9" s="29" t="s">
        <v>150</v>
      </c>
      <c r="H9" s="29" t="s">
        <v>150</v>
      </c>
      <c r="K9" s="66">
        <f>87594.5-2913.2</f>
        <v>84681.3</v>
      </c>
      <c r="L9" s="66">
        <f t="shared" si="2"/>
        <v>83511.3</v>
      </c>
      <c r="M9" s="66">
        <v>1170</v>
      </c>
      <c r="N9" s="66">
        <f t="shared" si="0"/>
        <v>760.5</v>
      </c>
      <c r="O9" s="66">
        <f t="shared" ref="O9:O14" si="3">K9-N9</f>
        <v>83920.8</v>
      </c>
    </row>
    <row r="10" spans="1:44" x14ac:dyDescent="0.25">
      <c r="A10" s="65">
        <v>8</v>
      </c>
      <c r="B10" s="29" t="s">
        <v>179</v>
      </c>
      <c r="C10" s="29" t="s">
        <v>149</v>
      </c>
      <c r="D10" s="29" t="s">
        <v>149</v>
      </c>
      <c r="E10" s="29" t="s">
        <v>166</v>
      </c>
      <c r="F10" s="29" t="s">
        <v>167</v>
      </c>
      <c r="G10" s="29" t="s">
        <v>150</v>
      </c>
      <c r="H10" s="29" t="s">
        <v>150</v>
      </c>
      <c r="I10" s="66">
        <f>107540.1</f>
        <v>107540.1</v>
      </c>
      <c r="J10" s="66">
        <v>3615.7</v>
      </c>
      <c r="K10" s="66">
        <f t="shared" ref="K10:K16" si="4">I10-J10</f>
        <v>103924.40000000001</v>
      </c>
      <c r="L10" s="66">
        <f t="shared" si="2"/>
        <v>102420.40000000001</v>
      </c>
      <c r="M10" s="66">
        <f>1504</f>
        <v>1504</v>
      </c>
      <c r="N10" s="66">
        <f t="shared" ref="N10:N16" si="5">M10*0.65</f>
        <v>977.6</v>
      </c>
      <c r="O10" s="66">
        <f t="shared" si="3"/>
        <v>102946.8</v>
      </c>
    </row>
    <row r="11" spans="1:44" x14ac:dyDescent="0.25">
      <c r="A11" s="65">
        <v>9</v>
      </c>
      <c r="B11" s="29" t="s">
        <v>184</v>
      </c>
      <c r="C11" s="29" t="s">
        <v>149</v>
      </c>
      <c r="D11" s="29" t="s">
        <v>149</v>
      </c>
      <c r="E11" s="29" t="s">
        <v>166</v>
      </c>
      <c r="F11" s="29" t="s">
        <v>167</v>
      </c>
      <c r="G11" s="29" t="s">
        <v>150</v>
      </c>
      <c r="H11" s="29" t="s">
        <v>150</v>
      </c>
      <c r="I11" s="66">
        <f>230579.4</f>
        <v>230579.4</v>
      </c>
      <c r="J11" s="66">
        <f>7052.3</f>
        <v>7052.3</v>
      </c>
      <c r="K11" s="66">
        <f t="shared" si="4"/>
        <v>223527.1</v>
      </c>
      <c r="L11" s="66">
        <f t="shared" si="2"/>
        <v>220520.1</v>
      </c>
      <c r="M11" s="66">
        <f>3007</f>
        <v>3007</v>
      </c>
      <c r="N11" s="66">
        <f t="shared" si="5"/>
        <v>1954.55</v>
      </c>
      <c r="O11" s="66">
        <f t="shared" si="3"/>
        <v>221572.55000000002</v>
      </c>
    </row>
    <row r="12" spans="1:44" x14ac:dyDescent="0.25">
      <c r="A12" s="65">
        <v>10</v>
      </c>
      <c r="B12" s="185">
        <v>46029</v>
      </c>
      <c r="C12" s="29" t="s">
        <v>149</v>
      </c>
      <c r="D12" s="29" t="s">
        <v>149</v>
      </c>
      <c r="E12" s="29" t="s">
        <v>166</v>
      </c>
      <c r="F12" s="29" t="s">
        <v>167</v>
      </c>
      <c r="G12" s="29" t="s">
        <v>150</v>
      </c>
      <c r="H12" s="29" t="s">
        <v>150</v>
      </c>
      <c r="I12" s="180">
        <f>59664+100</f>
        <v>59764</v>
      </c>
      <c r="J12" s="180">
        <v>1798</v>
      </c>
      <c r="K12" s="66">
        <f t="shared" si="4"/>
        <v>57966</v>
      </c>
      <c r="L12" s="66">
        <f t="shared" si="2"/>
        <v>57215</v>
      </c>
      <c r="M12" s="180">
        <v>751</v>
      </c>
      <c r="N12" s="180">
        <f t="shared" si="5"/>
        <v>488.15000000000003</v>
      </c>
      <c r="O12" s="66">
        <f t="shared" si="3"/>
        <v>57477.85</v>
      </c>
      <c r="P12" s="76"/>
    </row>
    <row r="13" spans="1:44" x14ac:dyDescent="0.25">
      <c r="A13" s="65">
        <v>11</v>
      </c>
      <c r="B13" s="185">
        <v>46060</v>
      </c>
      <c r="C13" s="29" t="s">
        <v>149</v>
      </c>
      <c r="D13" s="29" t="s">
        <v>149</v>
      </c>
      <c r="E13" s="29" t="s">
        <v>166</v>
      </c>
      <c r="F13" s="29" t="s">
        <v>167</v>
      </c>
      <c r="G13" s="29" t="s">
        <v>150</v>
      </c>
      <c r="H13" s="29" t="s">
        <v>150</v>
      </c>
      <c r="I13" s="180">
        <f>56632.6+13181.3+59078.6+56226.1-347.6</f>
        <v>184771</v>
      </c>
      <c r="J13" s="180">
        <f>260.5+216.9+223.9+215.3+245.6+753.3+1207.3+204.1+211.4+430.1+205.9+191+233.1+360+749.3+201</f>
        <v>5908.7</v>
      </c>
      <c r="K13" s="180">
        <f t="shared" si="4"/>
        <v>178862.3</v>
      </c>
      <c r="L13" s="66">
        <f t="shared" si="2"/>
        <v>176455.3</v>
      </c>
      <c r="M13" s="180">
        <f>734+180+748+750-5</f>
        <v>2407</v>
      </c>
      <c r="N13" s="180">
        <f t="shared" si="5"/>
        <v>1564.55</v>
      </c>
      <c r="O13" s="66">
        <f t="shared" si="3"/>
        <v>177297.75</v>
      </c>
    </row>
    <row r="14" spans="1:44" x14ac:dyDescent="0.25">
      <c r="A14" s="65">
        <v>12</v>
      </c>
      <c r="B14" s="185">
        <v>46119</v>
      </c>
      <c r="C14" s="29" t="s">
        <v>189</v>
      </c>
      <c r="D14" s="29" t="s">
        <v>189</v>
      </c>
      <c r="E14" s="29" t="s">
        <v>166</v>
      </c>
      <c r="F14" s="29" t="s">
        <v>167</v>
      </c>
      <c r="G14" s="29" t="s">
        <v>190</v>
      </c>
      <c r="H14" s="29" t="s">
        <v>190</v>
      </c>
      <c r="I14" s="180">
        <f>226161.9</f>
        <v>226161.9</v>
      </c>
      <c r="J14" s="180">
        <v>7388.4</v>
      </c>
      <c r="K14" s="180">
        <f t="shared" si="4"/>
        <v>218773.5</v>
      </c>
      <c r="L14" s="66">
        <f t="shared" si="2"/>
        <v>215766.5</v>
      </c>
      <c r="M14" s="180">
        <v>3007</v>
      </c>
      <c r="N14" s="180">
        <f t="shared" si="5"/>
        <v>1954.55</v>
      </c>
      <c r="O14" s="66">
        <f t="shared" si="3"/>
        <v>216818.95</v>
      </c>
    </row>
    <row r="15" spans="1:44" x14ac:dyDescent="0.25">
      <c r="A15" s="65">
        <v>13</v>
      </c>
      <c r="B15" s="185">
        <v>46210</v>
      </c>
      <c r="C15" s="29" t="s">
        <v>189</v>
      </c>
      <c r="D15" s="29" t="s">
        <v>189</v>
      </c>
      <c r="E15" s="29" t="s">
        <v>166</v>
      </c>
      <c r="F15" s="29" t="s">
        <v>167</v>
      </c>
      <c r="G15" s="29" t="s">
        <v>190</v>
      </c>
      <c r="H15" s="29" t="s">
        <v>190</v>
      </c>
      <c r="I15" s="66">
        <v>160177.5</v>
      </c>
      <c r="J15" s="66">
        <v>5170.5</v>
      </c>
      <c r="K15" s="180">
        <f t="shared" si="4"/>
        <v>155007</v>
      </c>
      <c r="L15" s="66">
        <f t="shared" si="2"/>
        <v>152882</v>
      </c>
      <c r="M15" s="66">
        <f>2125</f>
        <v>2125</v>
      </c>
      <c r="N15" s="180">
        <f t="shared" si="5"/>
        <v>1381.25</v>
      </c>
      <c r="O15" s="66">
        <f t="shared" ref="O15:O23" si="6">K15-N15</f>
        <v>153625.75</v>
      </c>
    </row>
    <row r="16" spans="1:44" x14ac:dyDescent="0.25">
      <c r="A16" s="65">
        <v>14</v>
      </c>
      <c r="B16" s="185">
        <v>46302</v>
      </c>
      <c r="C16" s="29" t="s">
        <v>189</v>
      </c>
      <c r="D16" s="29" t="s">
        <v>189</v>
      </c>
      <c r="E16" s="29" t="s">
        <v>166</v>
      </c>
      <c r="F16" s="29" t="s">
        <v>167</v>
      </c>
      <c r="G16" s="29" t="s">
        <v>190</v>
      </c>
      <c r="H16" s="29" t="s">
        <v>190</v>
      </c>
      <c r="I16" s="66">
        <f>224785.1</f>
        <v>224785.1</v>
      </c>
      <c r="J16" s="66">
        <f>7410</f>
        <v>7410</v>
      </c>
      <c r="K16" s="180">
        <f t="shared" si="4"/>
        <v>217375.1</v>
      </c>
      <c r="L16" s="66">
        <f t="shared" si="2"/>
        <v>214380.1</v>
      </c>
      <c r="M16" s="66">
        <v>2995</v>
      </c>
      <c r="N16" s="180">
        <f t="shared" si="5"/>
        <v>1946.75</v>
      </c>
      <c r="O16" s="66">
        <f t="shared" si="6"/>
        <v>215428.35</v>
      </c>
    </row>
    <row r="17" spans="1:15" x14ac:dyDescent="0.25">
      <c r="A17" s="65">
        <v>15</v>
      </c>
      <c r="B17" s="185">
        <v>46333</v>
      </c>
      <c r="C17" s="29" t="s">
        <v>189</v>
      </c>
      <c r="D17" s="29" t="s">
        <v>189</v>
      </c>
      <c r="E17" s="29" t="s">
        <v>166</v>
      </c>
      <c r="F17" s="29" t="s">
        <v>167</v>
      </c>
      <c r="G17" s="29" t="s">
        <v>190</v>
      </c>
      <c r="H17" s="29" t="s">
        <v>190</v>
      </c>
      <c r="I17" s="66">
        <v>111500.7</v>
      </c>
      <c r="J17" s="66">
        <v>3710.7</v>
      </c>
      <c r="K17" s="180">
        <f t="shared" ref="K17:K23" si="7">I17-J17</f>
        <v>107790</v>
      </c>
      <c r="L17" s="66">
        <f t="shared" ref="L17:L23" si="8">K17-M17</f>
        <v>106261</v>
      </c>
      <c r="M17" s="66">
        <v>1529</v>
      </c>
      <c r="N17" s="180">
        <f t="shared" ref="N17:N23" si="9">M17*0.65</f>
        <v>993.85</v>
      </c>
      <c r="O17" s="66">
        <f t="shared" si="6"/>
        <v>106796.15</v>
      </c>
    </row>
    <row r="18" spans="1:15" x14ac:dyDescent="0.25">
      <c r="A18" s="65">
        <v>16</v>
      </c>
      <c r="B18" s="185">
        <v>46363</v>
      </c>
      <c r="C18" s="29" t="s">
        <v>189</v>
      </c>
      <c r="D18" s="29" t="s">
        <v>189</v>
      </c>
      <c r="E18" s="29" t="s">
        <v>166</v>
      </c>
      <c r="F18" s="29" t="s">
        <v>167</v>
      </c>
      <c r="G18" s="29" t="s">
        <v>190</v>
      </c>
      <c r="H18" s="29" t="s">
        <v>190</v>
      </c>
      <c r="I18" s="66">
        <f>41877.5+54336.6</f>
        <v>96214.1</v>
      </c>
      <c r="J18" s="66">
        <f>3158.3</f>
        <v>3158.3</v>
      </c>
      <c r="K18" s="180">
        <f t="shared" si="7"/>
        <v>93055.8</v>
      </c>
      <c r="L18" s="180">
        <f t="shared" si="8"/>
        <v>91741.8</v>
      </c>
      <c r="M18" s="66">
        <f>574+740</f>
        <v>1314</v>
      </c>
      <c r="N18" s="180">
        <f t="shared" si="9"/>
        <v>854.1</v>
      </c>
      <c r="O18" s="66">
        <f t="shared" si="6"/>
        <v>92201.7</v>
      </c>
    </row>
    <row r="19" spans="1:15" x14ac:dyDescent="0.25">
      <c r="A19" s="65">
        <v>17</v>
      </c>
      <c r="B19" s="185" t="s">
        <v>191</v>
      </c>
      <c r="C19" s="29" t="s">
        <v>189</v>
      </c>
      <c r="D19" s="29" t="s">
        <v>189</v>
      </c>
      <c r="E19" s="29" t="s">
        <v>166</v>
      </c>
      <c r="F19" s="29" t="s">
        <v>167</v>
      </c>
      <c r="G19" s="29" t="s">
        <v>190</v>
      </c>
      <c r="H19" s="29" t="s">
        <v>190</v>
      </c>
      <c r="I19" s="66">
        <v>93027.9</v>
      </c>
      <c r="J19" s="66">
        <v>3101.3</v>
      </c>
      <c r="K19" s="180">
        <f t="shared" si="7"/>
        <v>89926.599999999991</v>
      </c>
      <c r="L19" s="180">
        <f t="shared" si="8"/>
        <v>88642.599999999991</v>
      </c>
      <c r="M19" s="66">
        <f>750+534</f>
        <v>1284</v>
      </c>
      <c r="N19" s="66">
        <f t="shared" si="9"/>
        <v>834.6</v>
      </c>
      <c r="O19" s="76">
        <f t="shared" si="6"/>
        <v>89091.999999999985</v>
      </c>
    </row>
    <row r="20" spans="1:15" x14ac:dyDescent="0.25">
      <c r="A20" s="65">
        <v>18</v>
      </c>
      <c r="B20" s="29" t="s">
        <v>194</v>
      </c>
      <c r="C20" s="29" t="s">
        <v>195</v>
      </c>
      <c r="D20" s="29" t="s">
        <v>195</v>
      </c>
      <c r="E20" s="29" t="s">
        <v>166</v>
      </c>
      <c r="F20" s="29" t="s">
        <v>167</v>
      </c>
      <c r="G20" s="29" t="s">
        <v>195</v>
      </c>
      <c r="H20" s="29" t="s">
        <v>196</v>
      </c>
      <c r="I20" s="66">
        <f>100356.6</f>
        <v>100356.6</v>
      </c>
      <c r="J20" s="66">
        <f>3180.2</f>
        <v>3180.2</v>
      </c>
      <c r="K20" s="180">
        <f t="shared" si="7"/>
        <v>97176.400000000009</v>
      </c>
      <c r="L20" s="180">
        <f t="shared" si="8"/>
        <v>95887.400000000009</v>
      </c>
      <c r="M20" s="66">
        <f>718+571</f>
        <v>1289</v>
      </c>
      <c r="N20" s="66">
        <f t="shared" si="9"/>
        <v>837.85</v>
      </c>
      <c r="O20" s="76">
        <f t="shared" si="6"/>
        <v>96338.55</v>
      </c>
    </row>
    <row r="21" spans="1:15" x14ac:dyDescent="0.25">
      <c r="A21" s="65">
        <v>19</v>
      </c>
      <c r="B21" s="29" t="s">
        <v>197</v>
      </c>
      <c r="C21" s="29" t="s">
        <v>195</v>
      </c>
      <c r="D21" s="29" t="s">
        <v>195</v>
      </c>
      <c r="E21" s="29" t="s">
        <v>166</v>
      </c>
      <c r="F21" s="29" t="s">
        <v>167</v>
      </c>
      <c r="G21" s="29" t="s">
        <v>195</v>
      </c>
      <c r="H21" s="29" t="s">
        <v>196</v>
      </c>
      <c r="I21" s="204">
        <v>102254.3</v>
      </c>
      <c r="J21" s="66">
        <v>3340.3</v>
      </c>
      <c r="K21" s="180">
        <f t="shared" si="7"/>
        <v>98914</v>
      </c>
      <c r="L21" s="180">
        <f t="shared" si="8"/>
        <v>97581</v>
      </c>
      <c r="M21" s="66">
        <f>752+581</f>
        <v>1333</v>
      </c>
      <c r="N21" s="66">
        <f t="shared" si="9"/>
        <v>866.45</v>
      </c>
      <c r="O21" s="76">
        <f t="shared" si="6"/>
        <v>98047.55</v>
      </c>
    </row>
    <row r="22" spans="1:15" x14ac:dyDescent="0.25">
      <c r="A22" s="29">
        <v>20</v>
      </c>
      <c r="B22" s="29" t="s">
        <v>198</v>
      </c>
      <c r="C22" s="29" t="s">
        <v>195</v>
      </c>
      <c r="D22" s="29" t="s">
        <v>195</v>
      </c>
      <c r="E22" s="29" t="s">
        <v>166</v>
      </c>
      <c r="F22" s="29" t="s">
        <v>167</v>
      </c>
      <c r="G22" s="29" t="s">
        <v>195</v>
      </c>
      <c r="H22" s="29" t="s">
        <v>196</v>
      </c>
      <c r="I22" s="66">
        <f>185021.6</f>
        <v>185021.6</v>
      </c>
      <c r="J22" s="66">
        <v>5904.3</v>
      </c>
      <c r="K22" s="180">
        <f t="shared" si="7"/>
        <v>179117.30000000002</v>
      </c>
      <c r="L22" s="180">
        <f t="shared" si="8"/>
        <v>176672.30000000002</v>
      </c>
      <c r="M22" s="66">
        <v>2445</v>
      </c>
      <c r="N22" s="66">
        <f t="shared" si="9"/>
        <v>1589.25</v>
      </c>
      <c r="O22" s="66">
        <f t="shared" si="6"/>
        <v>177528.05000000002</v>
      </c>
    </row>
    <row r="23" spans="1:15" x14ac:dyDescent="0.25">
      <c r="B23" s="29" t="s">
        <v>199</v>
      </c>
      <c r="C23" s="29" t="s">
        <v>195</v>
      </c>
      <c r="D23" s="29" t="s">
        <v>195</v>
      </c>
      <c r="E23" s="29" t="s">
        <v>166</v>
      </c>
      <c r="F23" s="29" t="s">
        <v>167</v>
      </c>
      <c r="G23" s="29" t="s">
        <v>195</v>
      </c>
      <c r="H23" s="29" t="s">
        <v>196</v>
      </c>
      <c r="I23" s="66">
        <f>55817.5</f>
        <v>55817.5</v>
      </c>
      <c r="J23" s="66">
        <v>1859.9</v>
      </c>
      <c r="K23" s="66">
        <f t="shared" si="7"/>
        <v>53957.599999999999</v>
      </c>
      <c r="L23" s="180">
        <f t="shared" si="8"/>
        <v>53222.6</v>
      </c>
      <c r="M23" s="66">
        <v>735</v>
      </c>
      <c r="N23" s="66">
        <f t="shared" si="9"/>
        <v>477.75</v>
      </c>
      <c r="O23" s="66">
        <f t="shared" si="6"/>
        <v>53479.85</v>
      </c>
    </row>
    <row r="25" spans="1:15" x14ac:dyDescent="0.25">
      <c r="K25" s="76"/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C6A68-DF61-4F29-B395-2AC2B08A5E0E}">
  <dimension ref="B3:G16"/>
  <sheetViews>
    <sheetView workbookViewId="0">
      <selection activeCell="I18" sqref="I18"/>
    </sheetView>
  </sheetViews>
  <sheetFormatPr defaultRowHeight="14.4" x14ac:dyDescent="0.3"/>
  <cols>
    <col min="2" max="2" width="12.5546875" bestFit="1" customWidth="1"/>
    <col min="3" max="3" width="26.88671875" bestFit="1" customWidth="1"/>
    <col min="5" max="5" width="10.5546875" bestFit="1" customWidth="1"/>
    <col min="6" max="6" width="25.77734375" bestFit="1" customWidth="1"/>
  </cols>
  <sheetData>
    <row r="3" spans="2:7" x14ac:dyDescent="0.3">
      <c r="B3" s="126" t="s">
        <v>114</v>
      </c>
      <c r="C3" t="s">
        <v>116</v>
      </c>
      <c r="E3" t="s">
        <v>114</v>
      </c>
      <c r="F3" t="s">
        <v>116</v>
      </c>
    </row>
    <row r="4" spans="2:7" x14ac:dyDescent="0.3">
      <c r="B4" s="127" t="s">
        <v>103</v>
      </c>
      <c r="C4" s="128">
        <v>554648</v>
      </c>
      <c r="E4" t="s">
        <v>103</v>
      </c>
      <c r="F4">
        <v>554648</v>
      </c>
      <c r="G4">
        <f>+F4/1000</f>
        <v>554.64800000000002</v>
      </c>
    </row>
    <row r="5" spans="2:7" x14ac:dyDescent="0.3">
      <c r="B5" s="127" t="s">
        <v>104</v>
      </c>
      <c r="C5" s="128">
        <v>131398</v>
      </c>
      <c r="E5" t="s">
        <v>104</v>
      </c>
      <c r="F5">
        <v>131398</v>
      </c>
      <c r="G5">
        <f t="shared" ref="G5:G16" si="0">+F5/1000</f>
        <v>131.398</v>
      </c>
    </row>
    <row r="6" spans="2:7" x14ac:dyDescent="0.3">
      <c r="B6" s="127" t="s">
        <v>106</v>
      </c>
      <c r="C6" s="128">
        <v>41220</v>
      </c>
      <c r="E6" t="s">
        <v>106</v>
      </c>
      <c r="F6">
        <v>41220</v>
      </c>
      <c r="G6">
        <f t="shared" si="0"/>
        <v>41.22</v>
      </c>
    </row>
    <row r="7" spans="2:7" x14ac:dyDescent="0.3">
      <c r="B7" s="127" t="s">
        <v>105</v>
      </c>
      <c r="C7" s="128">
        <v>121976</v>
      </c>
      <c r="E7" t="s">
        <v>105</v>
      </c>
      <c r="F7">
        <v>121976</v>
      </c>
      <c r="G7">
        <f t="shared" si="0"/>
        <v>121.976</v>
      </c>
    </row>
    <row r="8" spans="2:7" x14ac:dyDescent="0.3">
      <c r="B8" s="127" t="s">
        <v>100</v>
      </c>
      <c r="C8" s="128">
        <v>108744</v>
      </c>
      <c r="E8" t="s">
        <v>100</v>
      </c>
      <c r="F8">
        <v>108744</v>
      </c>
      <c r="G8">
        <f t="shared" si="0"/>
        <v>108.744</v>
      </c>
    </row>
    <row r="9" spans="2:7" x14ac:dyDescent="0.3">
      <c r="B9" s="127" t="s">
        <v>109</v>
      </c>
      <c r="C9" s="128">
        <v>51232</v>
      </c>
      <c r="E9" t="s">
        <v>109</v>
      </c>
      <c r="F9">
        <v>51232</v>
      </c>
      <c r="G9">
        <f t="shared" si="0"/>
        <v>51.231999999999999</v>
      </c>
    </row>
    <row r="10" spans="2:7" x14ac:dyDescent="0.3">
      <c r="B10" s="127" t="s">
        <v>102</v>
      </c>
      <c r="C10" s="128">
        <v>667521</v>
      </c>
      <c r="E10" t="s">
        <v>102</v>
      </c>
      <c r="F10">
        <v>667521</v>
      </c>
      <c r="G10">
        <f t="shared" si="0"/>
        <v>667.52099999999996</v>
      </c>
    </row>
    <row r="11" spans="2:7" x14ac:dyDescent="0.3">
      <c r="B11" s="127" t="s">
        <v>111</v>
      </c>
      <c r="C11" s="128">
        <v>55466</v>
      </c>
      <c r="E11" t="s">
        <v>111</v>
      </c>
      <c r="F11">
        <v>55466</v>
      </c>
      <c r="G11">
        <f t="shared" si="0"/>
        <v>55.466000000000001</v>
      </c>
    </row>
    <row r="12" spans="2:7" x14ac:dyDescent="0.3">
      <c r="B12" s="127" t="s">
        <v>77</v>
      </c>
      <c r="C12" s="128">
        <v>682739.6</v>
      </c>
      <c r="E12" t="s">
        <v>77</v>
      </c>
      <c r="F12">
        <v>682739.6</v>
      </c>
      <c r="G12">
        <f t="shared" si="0"/>
        <v>682.7396</v>
      </c>
    </row>
    <row r="13" spans="2:7" x14ac:dyDescent="0.3">
      <c r="B13" s="127" t="s">
        <v>107</v>
      </c>
      <c r="C13" s="128">
        <v>128866</v>
      </c>
      <c r="E13" t="s">
        <v>107</v>
      </c>
      <c r="F13">
        <v>128866</v>
      </c>
      <c r="G13">
        <f t="shared" si="0"/>
        <v>128.86600000000001</v>
      </c>
    </row>
    <row r="14" spans="2:7" x14ac:dyDescent="0.3">
      <c r="B14" s="127" t="s">
        <v>108</v>
      </c>
      <c r="C14" s="128">
        <v>36706</v>
      </c>
      <c r="E14" t="s">
        <v>108</v>
      </c>
      <c r="F14">
        <v>36706</v>
      </c>
      <c r="G14">
        <f t="shared" si="0"/>
        <v>36.706000000000003</v>
      </c>
    </row>
    <row r="15" spans="2:7" x14ac:dyDescent="0.3">
      <c r="B15" s="127" t="s">
        <v>110</v>
      </c>
      <c r="C15" s="128">
        <v>37843</v>
      </c>
      <c r="E15" t="s">
        <v>110</v>
      </c>
      <c r="F15">
        <v>37843</v>
      </c>
      <c r="G15">
        <f t="shared" si="0"/>
        <v>37.843000000000004</v>
      </c>
    </row>
    <row r="16" spans="2:7" x14ac:dyDescent="0.3">
      <c r="B16" s="127" t="s">
        <v>115</v>
      </c>
      <c r="C16" s="128">
        <v>2618359.6</v>
      </c>
      <c r="E16" t="s">
        <v>115</v>
      </c>
      <c r="F16">
        <v>2618359.6</v>
      </c>
      <c r="G16">
        <f t="shared" si="0"/>
        <v>2618.3596000000002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FE67-6B93-4EA9-BBFA-D0DA264EF09F}">
  <dimension ref="A3:AZ3"/>
  <sheetViews>
    <sheetView topLeftCell="A2" workbookViewId="0">
      <selection activeCell="I14" sqref="I14"/>
    </sheetView>
  </sheetViews>
  <sheetFormatPr defaultColWidth="9.88671875" defaultRowHeight="14.4" x14ac:dyDescent="0.3"/>
  <sheetData>
    <row r="3" spans="1:52" s="1" customFormat="1" ht="48" x14ac:dyDescent="0.25">
      <c r="A3" s="48">
        <v>36</v>
      </c>
      <c r="B3" s="78">
        <v>46331</v>
      </c>
      <c r="C3" s="39"/>
      <c r="D3" s="39"/>
      <c r="E3" s="39"/>
      <c r="F3" s="48">
        <v>207</v>
      </c>
      <c r="G3" s="48">
        <v>82770</v>
      </c>
      <c r="H3" s="48"/>
      <c r="I3" s="48"/>
      <c r="J3" s="48" t="s">
        <v>25</v>
      </c>
      <c r="K3" s="39"/>
      <c r="L3" s="39"/>
      <c r="M3" s="39"/>
      <c r="N3" s="39"/>
      <c r="O3" s="39"/>
      <c r="P3" s="39">
        <v>49741</v>
      </c>
      <c r="Q3" s="39">
        <v>49355</v>
      </c>
      <c r="R3" s="51">
        <f t="shared" ref="R3" si="0">P3-Q3</f>
        <v>386</v>
      </c>
      <c r="S3" s="51">
        <v>8.9</v>
      </c>
      <c r="T3" s="48">
        <v>176</v>
      </c>
      <c r="U3" s="39">
        <v>42.76</v>
      </c>
      <c r="V3" s="39">
        <v>8.9</v>
      </c>
      <c r="W3" s="81">
        <v>176</v>
      </c>
      <c r="X3" s="39">
        <v>42.76</v>
      </c>
      <c r="Y3" s="39"/>
      <c r="Z3" s="39"/>
      <c r="AA3" s="39"/>
      <c r="AB3" s="39"/>
      <c r="AC3" s="39"/>
      <c r="AD3" s="39"/>
      <c r="AE3" s="39"/>
      <c r="AF3" s="44">
        <f t="shared" ref="AF3" si="1">(S3-V3)/100</f>
        <v>0</v>
      </c>
      <c r="AG3" s="45">
        <f t="shared" ref="AG3" si="2">P3-Q3</f>
        <v>386</v>
      </c>
      <c r="AH3" s="46">
        <f t="shared" ref="AH3" si="3">IFERROR(AG3/P3,"0")</f>
        <v>7.7601978247321124E-3</v>
      </c>
      <c r="AI3" s="39">
        <v>639</v>
      </c>
      <c r="AJ3" s="39">
        <v>666</v>
      </c>
      <c r="AK3" s="48">
        <v>666</v>
      </c>
      <c r="AL3" s="39" t="s">
        <v>71</v>
      </c>
      <c r="AM3" s="39" t="s">
        <v>26</v>
      </c>
      <c r="AN3" s="86" t="s">
        <v>80</v>
      </c>
      <c r="AO3" s="38" t="s">
        <v>27</v>
      </c>
      <c r="AP3" s="82"/>
      <c r="AQ3" s="79"/>
      <c r="AR3" s="83"/>
      <c r="AS3" s="83"/>
      <c r="AT3" s="52" t="s">
        <v>27</v>
      </c>
      <c r="AU3" s="71" t="s">
        <v>72</v>
      </c>
      <c r="AV3" s="29"/>
      <c r="AW3" s="29"/>
      <c r="AX3" s="29"/>
      <c r="AY3" s="29"/>
      <c r="AZ3" s="29"/>
    </row>
  </sheetData>
  <conditionalFormatting sqref="G3">
    <cfRule type="duplicateValues" dxfId="0" priority="1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DD879-00F0-4325-99F3-F810B28B8EDD}">
  <dimension ref="A4:AI90"/>
  <sheetViews>
    <sheetView topLeftCell="A5" workbookViewId="0">
      <pane xSplit="7" ySplit="1" topLeftCell="T54" activePane="bottomRight" state="frozen"/>
      <selection activeCell="A5" sqref="A5"/>
      <selection pane="topRight" activeCell="F5" sqref="F5"/>
      <selection pane="bottomLeft" activeCell="A6" sqref="A6"/>
      <selection pane="bottomRight" activeCell="D73" sqref="D73"/>
    </sheetView>
  </sheetViews>
  <sheetFormatPr defaultRowHeight="12" x14ac:dyDescent="0.25"/>
  <cols>
    <col min="1" max="1" width="8.88671875" style="29"/>
    <col min="2" max="2" width="16.109375" style="121" customWidth="1"/>
    <col min="3" max="3" width="16.6640625" style="29" bestFit="1" customWidth="1"/>
    <col min="4" max="4" width="11.33203125" style="29" bestFit="1" customWidth="1"/>
    <col min="5" max="5" width="11.21875" style="29" bestFit="1" customWidth="1"/>
    <col min="6" max="6" width="11.21875" style="29" customWidth="1"/>
    <col min="7" max="7" width="8.88671875" style="29"/>
    <col min="8" max="16" width="8.88671875" style="29" customWidth="1"/>
    <col min="17" max="17" width="9" style="29" customWidth="1"/>
    <col min="18" max="18" width="11.5546875" style="29" bestFit="1" customWidth="1"/>
    <col min="19" max="19" width="8.88671875" style="29"/>
    <col min="20" max="20" width="13.88671875" style="29" customWidth="1"/>
    <col min="21" max="21" width="8.88671875" style="29"/>
    <col min="22" max="22" width="12.77734375" style="29" customWidth="1"/>
    <col min="23" max="23" width="8.88671875" style="29" customWidth="1"/>
    <col min="24" max="24" width="9.109375" style="29" customWidth="1"/>
    <col min="25" max="26" width="10.109375" style="29" customWidth="1"/>
    <col min="27" max="27" width="11.109375" style="29" customWidth="1"/>
    <col min="28" max="28" width="12" style="29" bestFit="1" customWidth="1"/>
    <col min="29" max="29" width="8.88671875" style="29"/>
    <col min="30" max="31" width="12.5546875" style="29" customWidth="1"/>
    <col min="32" max="32" width="10.6640625" style="29" bestFit="1" customWidth="1"/>
    <col min="33" max="33" width="55.21875" style="29" bestFit="1" customWidth="1"/>
    <col min="34" max="34" width="18.77734375" style="29" bestFit="1" customWidth="1"/>
    <col min="35" max="16384" width="8.88671875" style="29"/>
  </cols>
  <sheetData>
    <row r="4" spans="1:35" x14ac:dyDescent="0.25">
      <c r="B4" s="206" t="s">
        <v>28</v>
      </c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206"/>
      <c r="AC4" s="206"/>
      <c r="AD4" s="206"/>
      <c r="AE4" s="206"/>
      <c r="AF4" s="206"/>
    </row>
    <row r="5" spans="1:35" ht="48" x14ac:dyDescent="0.25">
      <c r="A5" s="63" t="s">
        <v>63</v>
      </c>
      <c r="B5" s="118" t="s">
        <v>29</v>
      </c>
      <c r="C5" s="64" t="s">
        <v>44</v>
      </c>
      <c r="D5" s="64" t="s">
        <v>139</v>
      </c>
      <c r="E5" s="64" t="s">
        <v>76</v>
      </c>
      <c r="F5" s="64" t="s">
        <v>145</v>
      </c>
      <c r="G5" s="64" t="s">
        <v>61</v>
      </c>
      <c r="H5" s="64" t="s">
        <v>43</v>
      </c>
      <c r="I5" s="64" t="s">
        <v>46</v>
      </c>
      <c r="J5" s="64" t="s">
        <v>58</v>
      </c>
      <c r="K5" s="64" t="s">
        <v>47</v>
      </c>
      <c r="L5" s="64" t="s">
        <v>57</v>
      </c>
      <c r="M5" s="64" t="s">
        <v>60</v>
      </c>
      <c r="N5" s="64" t="s">
        <v>55</v>
      </c>
      <c r="O5" s="64" t="s">
        <v>51</v>
      </c>
      <c r="P5" s="64" t="s">
        <v>52</v>
      </c>
      <c r="Q5" s="64" t="s">
        <v>50</v>
      </c>
      <c r="R5" s="64" t="s">
        <v>30</v>
      </c>
      <c r="S5" s="64" t="s">
        <v>31</v>
      </c>
      <c r="T5" s="64" t="s">
        <v>40</v>
      </c>
      <c r="U5" s="64" t="s">
        <v>37</v>
      </c>
      <c r="V5" s="64" t="s">
        <v>38</v>
      </c>
      <c r="W5" s="64" t="s">
        <v>32</v>
      </c>
      <c r="X5" s="64" t="s">
        <v>33</v>
      </c>
      <c r="Y5" s="64" t="s">
        <v>34</v>
      </c>
      <c r="Z5" s="64" t="s">
        <v>49</v>
      </c>
      <c r="AA5" s="64" t="s">
        <v>35</v>
      </c>
      <c r="AB5" s="64" t="s">
        <v>36</v>
      </c>
      <c r="AC5" s="64" t="s">
        <v>73</v>
      </c>
      <c r="AD5" s="64" t="s">
        <v>41</v>
      </c>
      <c r="AE5" s="64" t="s">
        <v>67</v>
      </c>
      <c r="AF5" s="64" t="s">
        <v>42</v>
      </c>
      <c r="AG5" s="64" t="s">
        <v>48</v>
      </c>
      <c r="AH5" s="63" t="s">
        <v>127</v>
      </c>
    </row>
    <row r="6" spans="1:35" x14ac:dyDescent="0.25">
      <c r="A6" s="65">
        <v>1</v>
      </c>
      <c r="B6" s="119">
        <v>46134</v>
      </c>
      <c r="C6" s="29" t="s">
        <v>45</v>
      </c>
      <c r="D6" s="63" t="s">
        <v>102</v>
      </c>
      <c r="E6" s="65" t="s">
        <v>112</v>
      </c>
      <c r="F6" s="65"/>
      <c r="G6" s="29">
        <v>1001</v>
      </c>
      <c r="H6" s="29">
        <v>43.12</v>
      </c>
      <c r="I6" s="29">
        <v>172</v>
      </c>
      <c r="J6" s="29">
        <v>230</v>
      </c>
      <c r="K6" s="29">
        <v>8.9</v>
      </c>
      <c r="L6" s="29">
        <v>16</v>
      </c>
      <c r="M6" s="29">
        <v>13</v>
      </c>
      <c r="N6" s="29">
        <v>20</v>
      </c>
      <c r="O6" s="29">
        <v>0</v>
      </c>
      <c r="P6" s="29">
        <v>25</v>
      </c>
      <c r="Q6" s="29">
        <v>690</v>
      </c>
      <c r="R6" s="29">
        <f>'FINAL DRY RCN-YAKRO-2026'!F15</f>
        <v>89770</v>
      </c>
      <c r="S6" s="29">
        <v>644</v>
      </c>
      <c r="T6" s="65">
        <f>'FINAL DRY RCN-YAKRO-2026'!AL15</f>
        <v>644</v>
      </c>
      <c r="U6" s="66">
        <f>0.69</f>
        <v>0.69</v>
      </c>
      <c r="V6" s="66">
        <f>0.69*T6</f>
        <v>444.35999999999996</v>
      </c>
      <c r="W6" s="65">
        <v>25</v>
      </c>
      <c r="X6" s="66">
        <v>71.319999999999993</v>
      </c>
      <c r="Y6" s="66">
        <f>71.32*25</f>
        <v>1782.9999999999998</v>
      </c>
      <c r="Z6" s="66"/>
      <c r="AA6" s="67">
        <f>48375</f>
        <v>48375</v>
      </c>
      <c r="AB6" s="68">
        <f>AA6-V6</f>
        <v>47930.64</v>
      </c>
      <c r="AC6" s="119">
        <v>46135</v>
      </c>
      <c r="AD6" s="207">
        <f>97398</f>
        <v>97398</v>
      </c>
      <c r="AE6" s="69" t="s">
        <v>3</v>
      </c>
      <c r="AF6" s="208">
        <f>AD6-AB6-AB7</f>
        <v>1583.5900000000038</v>
      </c>
      <c r="AG6" s="76"/>
      <c r="AH6" s="66">
        <f>AF6+AB6+AB7</f>
        <v>97398</v>
      </c>
    </row>
    <row r="7" spans="1:35" x14ac:dyDescent="0.25">
      <c r="A7" s="65">
        <v>2</v>
      </c>
      <c r="B7" s="119">
        <v>46134</v>
      </c>
      <c r="C7" s="29" t="s">
        <v>45</v>
      </c>
      <c r="D7" s="63" t="s">
        <v>102</v>
      </c>
      <c r="E7" s="65" t="s">
        <v>112</v>
      </c>
      <c r="F7" s="65"/>
      <c r="G7" s="29">
        <v>1001</v>
      </c>
      <c r="H7" s="29">
        <v>42.85</v>
      </c>
      <c r="I7" s="29">
        <v>170</v>
      </c>
      <c r="J7" s="29">
        <v>230</v>
      </c>
      <c r="K7" s="29">
        <v>9.8000000000000007</v>
      </c>
      <c r="L7" s="29">
        <v>10</v>
      </c>
      <c r="M7" s="29">
        <v>16</v>
      </c>
      <c r="N7" s="29">
        <v>28</v>
      </c>
      <c r="O7" s="29">
        <v>8</v>
      </c>
      <c r="P7" s="29">
        <v>30</v>
      </c>
      <c r="Q7" s="29">
        <v>689</v>
      </c>
      <c r="R7" s="29">
        <f>'FINAL DRY RCN-YAKRO-2026'!F16</f>
        <v>89781</v>
      </c>
      <c r="S7" s="29">
        <v>667</v>
      </c>
      <c r="T7" s="65">
        <f>'FINAL DRY RCN-YAKRO-2026'!AL16</f>
        <v>667</v>
      </c>
      <c r="U7" s="66">
        <f>0.69</f>
        <v>0.69</v>
      </c>
      <c r="V7" s="66">
        <f t="shared" ref="V7" si="0">0.69*T7</f>
        <v>460.22999999999996</v>
      </c>
      <c r="W7" s="65">
        <v>31</v>
      </c>
      <c r="X7" s="66">
        <f>71.32</f>
        <v>71.319999999999993</v>
      </c>
      <c r="Y7" s="66">
        <f>71.32*31</f>
        <v>2210.9199999999996</v>
      </c>
      <c r="Z7" s="66"/>
      <c r="AA7" s="67">
        <v>48344</v>
      </c>
      <c r="AB7" s="68">
        <f>AA7-V7</f>
        <v>47883.77</v>
      </c>
      <c r="AC7" s="119">
        <v>46135</v>
      </c>
      <c r="AD7" s="207"/>
      <c r="AE7" s="69" t="s">
        <v>3</v>
      </c>
      <c r="AF7" s="208"/>
      <c r="AG7" s="76"/>
      <c r="AH7" s="76"/>
    </row>
    <row r="8" spans="1:35" x14ac:dyDescent="0.25">
      <c r="A8" s="65">
        <v>3</v>
      </c>
      <c r="B8" s="119">
        <v>46135</v>
      </c>
      <c r="C8" s="29" t="s">
        <v>45</v>
      </c>
      <c r="D8" s="63" t="s">
        <v>102</v>
      </c>
      <c r="E8" s="65" t="s">
        <v>112</v>
      </c>
      <c r="F8" s="65"/>
      <c r="G8" s="29">
        <v>1004</v>
      </c>
      <c r="H8" s="29">
        <v>43.38</v>
      </c>
      <c r="I8" s="29">
        <v>180</v>
      </c>
      <c r="J8" s="29">
        <v>228</v>
      </c>
      <c r="K8" s="29">
        <v>8.6</v>
      </c>
      <c r="L8" s="29">
        <v>10</v>
      </c>
      <c r="M8" s="29">
        <v>11</v>
      </c>
      <c r="N8" s="29">
        <v>31</v>
      </c>
      <c r="O8" s="29">
        <v>0</v>
      </c>
      <c r="P8" s="29">
        <v>20</v>
      </c>
      <c r="Q8" s="29">
        <v>693</v>
      </c>
      <c r="R8" s="29">
        <v>29107</v>
      </c>
      <c r="S8" s="29">
        <v>600</v>
      </c>
      <c r="T8" s="65">
        <v>614</v>
      </c>
      <c r="U8" s="66">
        <f>0.617</f>
        <v>0.61699999999999999</v>
      </c>
      <c r="V8" s="66">
        <f>T8*U8</f>
        <v>378.83800000000002</v>
      </c>
      <c r="W8" s="65">
        <v>26</v>
      </c>
      <c r="X8" s="66">
        <f>Y8/W8</f>
        <v>74.230769230769226</v>
      </c>
      <c r="Y8" s="66">
        <v>1930</v>
      </c>
      <c r="Z8" s="66"/>
      <c r="AA8" s="67">
        <v>44380</v>
      </c>
      <c r="AB8" s="68">
        <f>AA8-V8</f>
        <v>44001.161999999997</v>
      </c>
      <c r="AC8" s="119">
        <v>46137</v>
      </c>
      <c r="AD8" s="69">
        <f>44066</f>
        <v>44066</v>
      </c>
      <c r="AE8" s="69"/>
      <c r="AF8" s="133">
        <f>AD8-AB8</f>
        <v>64.838000000003376</v>
      </c>
      <c r="AH8" s="76">
        <f>AF8+AB8</f>
        <v>44066</v>
      </c>
    </row>
    <row r="9" spans="1:35" x14ac:dyDescent="0.25">
      <c r="A9" s="65">
        <v>4</v>
      </c>
      <c r="B9" s="119">
        <v>46137</v>
      </c>
      <c r="C9" s="29" t="s">
        <v>45</v>
      </c>
      <c r="D9" s="63" t="s">
        <v>102</v>
      </c>
      <c r="E9" s="65" t="s">
        <v>112</v>
      </c>
      <c r="F9" s="65"/>
      <c r="G9" s="29">
        <v>1004</v>
      </c>
      <c r="H9" s="29">
        <v>43.65</v>
      </c>
      <c r="I9" s="29">
        <v>171</v>
      </c>
      <c r="J9" s="29">
        <v>238</v>
      </c>
      <c r="K9" s="29">
        <v>8.8000000000000007</v>
      </c>
      <c r="L9" s="29">
        <v>11</v>
      </c>
      <c r="M9" s="29">
        <v>8</v>
      </c>
      <c r="N9" s="29">
        <v>30</v>
      </c>
      <c r="O9" s="29">
        <v>2</v>
      </c>
      <c r="P9" s="29">
        <v>20</v>
      </c>
      <c r="Q9" s="29">
        <v>685</v>
      </c>
      <c r="R9" s="29">
        <v>87146</v>
      </c>
      <c r="S9" s="29">
        <v>457</v>
      </c>
      <c r="T9" s="65">
        <v>458</v>
      </c>
      <c r="U9" s="66">
        <f>289/458</f>
        <v>0.63100436681222705</v>
      </c>
      <c r="V9" s="66">
        <f t="shared" ref="V9:V14" si="1">T9*U9</f>
        <v>289</v>
      </c>
      <c r="W9" s="65">
        <v>21</v>
      </c>
      <c r="X9" s="66">
        <f t="shared" ref="X9:X25" si="2">Y9/W9</f>
        <v>74.747619047619054</v>
      </c>
      <c r="Y9" s="66">
        <v>1569.7</v>
      </c>
      <c r="Z9" s="66"/>
      <c r="AA9" s="29">
        <v>33006</v>
      </c>
      <c r="AB9" s="68">
        <f>AA9-V9</f>
        <v>32717</v>
      </c>
      <c r="AC9" s="119">
        <v>46137</v>
      </c>
      <c r="AD9" s="69">
        <f>32913.9</f>
        <v>32913.9</v>
      </c>
      <c r="AE9" s="69"/>
      <c r="AF9" s="133">
        <f>AD9-AB9</f>
        <v>196.90000000000146</v>
      </c>
      <c r="AH9" s="76">
        <f>AF9+AB9</f>
        <v>32913.9</v>
      </c>
    </row>
    <row r="10" spans="1:35" x14ac:dyDescent="0.25">
      <c r="A10" s="65">
        <v>5</v>
      </c>
      <c r="B10" s="119">
        <v>46137</v>
      </c>
      <c r="C10" s="29" t="s">
        <v>45</v>
      </c>
      <c r="D10" s="63" t="s">
        <v>102</v>
      </c>
      <c r="E10" s="65" t="s">
        <v>112</v>
      </c>
      <c r="F10" s="65"/>
      <c r="G10" s="29">
        <v>1002</v>
      </c>
      <c r="H10" s="29">
        <v>42.68</v>
      </c>
      <c r="I10" s="29">
        <v>176</v>
      </c>
      <c r="J10" s="29">
        <v>226</v>
      </c>
      <c r="K10" s="29">
        <v>10.5</v>
      </c>
      <c r="L10" s="29">
        <v>19</v>
      </c>
      <c r="M10" s="29">
        <v>13</v>
      </c>
      <c r="N10" s="29">
        <v>33</v>
      </c>
      <c r="O10" s="29">
        <v>2</v>
      </c>
      <c r="P10" s="29">
        <v>17</v>
      </c>
      <c r="Q10" s="29">
        <v>687</v>
      </c>
      <c r="R10" s="29">
        <v>87093</v>
      </c>
      <c r="S10" s="29">
        <v>528</v>
      </c>
      <c r="T10" s="65">
        <v>527</v>
      </c>
      <c r="U10" s="66">
        <f t="shared" ref="U10:U13" si="3">289/458</f>
        <v>0.63100436681222705</v>
      </c>
      <c r="V10" s="66">
        <f>T10*U10</f>
        <v>332.53930131004364</v>
      </c>
      <c r="W10" s="65">
        <v>23</v>
      </c>
      <c r="X10" s="66">
        <f t="shared" si="2"/>
        <v>76.847826086956516</v>
      </c>
      <c r="Y10" s="66">
        <f>1767.5</f>
        <v>1767.5</v>
      </c>
      <c r="Z10" s="66"/>
      <c r="AA10" s="67">
        <v>38919</v>
      </c>
      <c r="AB10" s="68">
        <f t="shared" ref="AB10:AB17" si="4">AA10-V10</f>
        <v>38586.46069868996</v>
      </c>
      <c r="AC10" s="119">
        <v>46140</v>
      </c>
      <c r="AD10" s="69">
        <v>38461.599999999999</v>
      </c>
      <c r="AE10" s="69"/>
      <c r="AF10" s="70">
        <f>AB10-AD10</f>
        <v>124.86069868996128</v>
      </c>
      <c r="AH10" s="76">
        <f>AF10+AD10</f>
        <v>38586.46069868996</v>
      </c>
    </row>
    <row r="11" spans="1:35" x14ac:dyDescent="0.25">
      <c r="A11" s="65">
        <v>6</v>
      </c>
      <c r="B11" s="119">
        <v>46140</v>
      </c>
      <c r="C11" s="29" t="s">
        <v>45</v>
      </c>
      <c r="D11" s="63" t="s">
        <v>102</v>
      </c>
      <c r="E11" s="65" t="s">
        <v>112</v>
      </c>
      <c r="F11" s="65"/>
      <c r="G11" s="29">
        <v>1005</v>
      </c>
      <c r="H11" s="29">
        <v>42.59</v>
      </c>
      <c r="I11" s="29">
        <v>164</v>
      </c>
      <c r="J11" s="29">
        <v>227</v>
      </c>
      <c r="K11" s="29">
        <v>8.6999999999999993</v>
      </c>
      <c r="L11" s="29">
        <v>19</v>
      </c>
      <c r="M11" s="29">
        <v>10</v>
      </c>
      <c r="N11" s="29">
        <v>16</v>
      </c>
      <c r="O11" s="29">
        <v>5</v>
      </c>
      <c r="P11" s="29">
        <v>21</v>
      </c>
      <c r="Q11" s="29">
        <v>696</v>
      </c>
      <c r="R11" s="29">
        <v>37581</v>
      </c>
      <c r="S11" s="29">
        <v>603</v>
      </c>
      <c r="T11" s="65">
        <v>609</v>
      </c>
      <c r="U11" s="66">
        <f>439.1/609</f>
        <v>0.72101806239737276</v>
      </c>
      <c r="V11" s="66">
        <f>439.1</f>
        <v>439.1</v>
      </c>
      <c r="W11" s="65">
        <v>26</v>
      </c>
      <c r="X11" s="66">
        <f t="shared" si="2"/>
        <v>75.542307692307688</v>
      </c>
      <c r="Y11" s="66">
        <v>1964.1</v>
      </c>
      <c r="Z11" s="66"/>
      <c r="AA11" s="67">
        <v>44874</v>
      </c>
      <c r="AB11" s="68">
        <f t="shared" si="4"/>
        <v>44434.9</v>
      </c>
      <c r="AC11" s="119">
        <v>46140</v>
      </c>
      <c r="AD11" s="69">
        <f>44720</f>
        <v>44720</v>
      </c>
      <c r="AE11" s="69"/>
      <c r="AF11" s="133">
        <f>AD11-AB11</f>
        <v>285.09999999999854</v>
      </c>
      <c r="AG11" s="76"/>
      <c r="AH11" s="76">
        <f>AF11+AB11</f>
        <v>44720</v>
      </c>
    </row>
    <row r="12" spans="1:35" x14ac:dyDescent="0.25">
      <c r="A12" s="65">
        <v>7</v>
      </c>
      <c r="B12" s="119">
        <v>46142</v>
      </c>
      <c r="C12" s="29" t="s">
        <v>45</v>
      </c>
      <c r="D12" s="63" t="s">
        <v>102</v>
      </c>
      <c r="E12" s="65" t="s">
        <v>112</v>
      </c>
      <c r="F12" s="65"/>
      <c r="G12" s="29">
        <v>1010</v>
      </c>
      <c r="H12" s="29">
        <v>42.68</v>
      </c>
      <c r="I12" s="29">
        <v>179</v>
      </c>
      <c r="J12" s="29">
        <v>232</v>
      </c>
      <c r="K12" s="29">
        <v>9.3000000000000007</v>
      </c>
      <c r="L12" s="29">
        <v>12</v>
      </c>
      <c r="M12" s="29">
        <v>8</v>
      </c>
      <c r="N12" s="29">
        <v>28</v>
      </c>
      <c r="O12" s="29">
        <v>0</v>
      </c>
      <c r="P12" s="29">
        <v>21</v>
      </c>
      <c r="Q12" s="29">
        <v>692</v>
      </c>
      <c r="R12" s="29">
        <v>35967</v>
      </c>
      <c r="S12" s="29">
        <v>564</v>
      </c>
      <c r="T12" s="65">
        <v>559</v>
      </c>
      <c r="U12" s="66">
        <f t="shared" si="3"/>
        <v>0.63100436681222705</v>
      </c>
      <c r="V12" s="66">
        <v>352.17</v>
      </c>
      <c r="W12" s="65">
        <v>20</v>
      </c>
      <c r="X12" s="66">
        <f t="shared" si="2"/>
        <v>70.424999999999997</v>
      </c>
      <c r="Y12" s="66">
        <f>1408.5</f>
        <v>1408.5</v>
      </c>
      <c r="Z12" s="66"/>
      <c r="AA12" s="67">
        <v>41366</v>
      </c>
      <c r="AB12" s="68">
        <f>AA12-V12</f>
        <v>41013.83</v>
      </c>
      <c r="AC12" s="119">
        <v>46142</v>
      </c>
      <c r="AD12" s="69">
        <f>42450.8-Y12-V12</f>
        <v>40690.130000000005</v>
      </c>
      <c r="AE12" s="69"/>
      <c r="AF12" s="70">
        <f>AB12-AD12</f>
        <v>323.69999999999709</v>
      </c>
      <c r="AG12" s="68"/>
      <c r="AH12" s="76">
        <f>AF12+AD12</f>
        <v>41013.83</v>
      </c>
    </row>
    <row r="13" spans="1:35" x14ac:dyDescent="0.25">
      <c r="A13" s="65">
        <v>8</v>
      </c>
      <c r="B13" s="119">
        <v>46142</v>
      </c>
      <c r="C13" s="29" t="s">
        <v>45</v>
      </c>
      <c r="D13" s="63" t="s">
        <v>102</v>
      </c>
      <c r="E13" s="65" t="s">
        <v>112</v>
      </c>
      <c r="F13" s="65"/>
      <c r="G13" s="29">
        <v>1013</v>
      </c>
      <c r="H13" s="68">
        <v>43.38</v>
      </c>
      <c r="I13" s="29">
        <v>161</v>
      </c>
      <c r="J13" s="29">
        <v>232</v>
      </c>
      <c r="K13" s="29">
        <v>9.5</v>
      </c>
      <c r="L13" s="29">
        <v>10</v>
      </c>
      <c r="M13" s="29">
        <v>18</v>
      </c>
      <c r="N13" s="29">
        <v>28</v>
      </c>
      <c r="O13" s="29">
        <v>2</v>
      </c>
      <c r="P13" s="29">
        <v>18</v>
      </c>
      <c r="Q13" s="29">
        <v>687</v>
      </c>
      <c r="R13" s="29">
        <v>37582</v>
      </c>
      <c r="S13" s="29">
        <v>585</v>
      </c>
      <c r="T13" s="65">
        <v>618</v>
      </c>
      <c r="U13" s="66">
        <f t="shared" si="3"/>
        <v>0.63100436681222705</v>
      </c>
      <c r="V13" s="66">
        <v>401.7</v>
      </c>
      <c r="W13" s="65">
        <v>27</v>
      </c>
      <c r="X13" s="66">
        <f t="shared" si="2"/>
        <v>73.69</v>
      </c>
      <c r="Y13" s="66">
        <f>27*73.69</f>
        <v>1989.6299999999999</v>
      </c>
      <c r="Z13" s="66"/>
      <c r="AA13" s="67">
        <v>44038</v>
      </c>
      <c r="AB13" s="68">
        <f t="shared" si="4"/>
        <v>43636.3</v>
      </c>
      <c r="AC13" s="119">
        <v>46142</v>
      </c>
      <c r="AD13" s="69">
        <f>44024.5</f>
        <v>44024.5</v>
      </c>
      <c r="AE13" s="69"/>
      <c r="AF13" s="133">
        <f>AD13-AB13</f>
        <v>388.19999999999709</v>
      </c>
      <c r="AG13" s="71"/>
      <c r="AH13" s="66">
        <f>AF13+AB13</f>
        <v>44024.5</v>
      </c>
      <c r="AI13" s="67"/>
    </row>
    <row r="14" spans="1:35" x14ac:dyDescent="0.25">
      <c r="A14" s="65">
        <v>9</v>
      </c>
      <c r="B14" s="119">
        <v>46147</v>
      </c>
      <c r="C14" s="29" t="s">
        <v>45</v>
      </c>
      <c r="D14" s="63" t="s">
        <v>102</v>
      </c>
      <c r="E14" s="65" t="s">
        <v>112</v>
      </c>
      <c r="F14" s="65"/>
      <c r="G14" s="29">
        <v>1006</v>
      </c>
      <c r="H14" s="68">
        <v>43.03</v>
      </c>
      <c r="I14" s="29">
        <v>188</v>
      </c>
      <c r="J14" s="29">
        <v>227</v>
      </c>
      <c r="K14" s="29">
        <v>8.5</v>
      </c>
      <c r="L14" s="29">
        <v>17</v>
      </c>
      <c r="M14" s="29">
        <v>17</v>
      </c>
      <c r="N14" s="29">
        <v>28</v>
      </c>
      <c r="O14" s="29">
        <v>0</v>
      </c>
      <c r="P14" s="29">
        <v>21</v>
      </c>
      <c r="Q14" s="29">
        <v>684</v>
      </c>
      <c r="R14" s="29">
        <v>66919</v>
      </c>
      <c r="S14" s="29">
        <v>547</v>
      </c>
      <c r="T14" s="65">
        <v>547</v>
      </c>
      <c r="U14" s="66">
        <f>0.65</f>
        <v>0.65</v>
      </c>
      <c r="V14" s="66">
        <f t="shared" si="1"/>
        <v>355.55</v>
      </c>
      <c r="W14" s="65">
        <v>22</v>
      </c>
      <c r="X14" s="66">
        <f t="shared" si="2"/>
        <v>72.940909090909088</v>
      </c>
      <c r="Y14" s="66">
        <v>1604.7</v>
      </c>
      <c r="Z14" s="66"/>
      <c r="AA14" s="67">
        <v>40966</v>
      </c>
      <c r="AB14" s="68">
        <f t="shared" si="4"/>
        <v>40610.449999999997</v>
      </c>
      <c r="AC14" s="84">
        <v>46147</v>
      </c>
      <c r="AD14" s="69">
        <f>42570.3-1604.7-355.55</f>
        <v>40610.050000000003</v>
      </c>
      <c r="AE14" s="69"/>
      <c r="AF14" s="70">
        <f t="shared" ref="AF14:AF28" si="5">AB14-AD14</f>
        <v>0.39999999999417923</v>
      </c>
      <c r="AH14" s="66">
        <f>AF14+AD14</f>
        <v>40610.449999999997</v>
      </c>
      <c r="AI14" s="68"/>
    </row>
    <row r="15" spans="1:35" x14ac:dyDescent="0.25">
      <c r="A15" s="65">
        <v>10</v>
      </c>
      <c r="B15" s="119">
        <v>46147</v>
      </c>
      <c r="C15" s="29" t="s">
        <v>45</v>
      </c>
      <c r="D15" s="63" t="s">
        <v>102</v>
      </c>
      <c r="E15" s="65" t="s">
        <v>112</v>
      </c>
      <c r="F15" s="65"/>
      <c r="G15" s="29">
        <v>1007</v>
      </c>
      <c r="H15" s="68">
        <v>42.32</v>
      </c>
      <c r="I15" s="29">
        <v>199</v>
      </c>
      <c r="J15" s="29">
        <v>228</v>
      </c>
      <c r="K15" s="29">
        <v>9.6999999999999993</v>
      </c>
      <c r="L15" s="29">
        <v>12</v>
      </c>
      <c r="M15" s="29">
        <v>12</v>
      </c>
      <c r="N15" s="29">
        <v>46</v>
      </c>
      <c r="O15" s="29">
        <v>4</v>
      </c>
      <c r="P15" s="29">
        <v>26</v>
      </c>
      <c r="Q15" s="29">
        <v>667</v>
      </c>
      <c r="R15" s="29">
        <v>35051</v>
      </c>
      <c r="S15" s="29">
        <v>643</v>
      </c>
      <c r="T15" s="65">
        <v>644</v>
      </c>
      <c r="U15" s="66">
        <v>0.65</v>
      </c>
      <c r="V15" s="66">
        <f>T15*U15</f>
        <v>418.6</v>
      </c>
      <c r="W15" s="65">
        <v>28</v>
      </c>
      <c r="X15" s="66">
        <f t="shared" si="2"/>
        <v>75.421428571428578</v>
      </c>
      <c r="Y15" s="66">
        <f>2111.8</f>
        <v>2111.8000000000002</v>
      </c>
      <c r="Z15" s="66"/>
      <c r="AA15" s="67">
        <v>47959</v>
      </c>
      <c r="AB15" s="68">
        <f t="shared" si="4"/>
        <v>47540.4</v>
      </c>
      <c r="AC15" s="84">
        <v>46147</v>
      </c>
      <c r="AD15" s="69">
        <f>47464</f>
        <v>47464</v>
      </c>
      <c r="AE15" s="69"/>
      <c r="AF15" s="70">
        <f t="shared" si="5"/>
        <v>76.400000000001455</v>
      </c>
      <c r="AH15" s="66">
        <f>AF15+AD15</f>
        <v>47540.4</v>
      </c>
    </row>
    <row r="16" spans="1:35" x14ac:dyDescent="0.25">
      <c r="A16" s="65">
        <v>11</v>
      </c>
      <c r="B16" s="119">
        <v>46148</v>
      </c>
      <c r="C16" s="29" t="s">
        <v>45</v>
      </c>
      <c r="D16" s="63" t="s">
        <v>102</v>
      </c>
      <c r="E16" s="65" t="s">
        <v>112</v>
      </c>
      <c r="F16" s="65"/>
      <c r="G16" s="29">
        <v>1008</v>
      </c>
      <c r="H16" s="68">
        <v>43.21</v>
      </c>
      <c r="I16" s="29">
        <v>164</v>
      </c>
      <c r="J16" s="29">
        <v>230</v>
      </c>
      <c r="K16" s="29">
        <v>10.4</v>
      </c>
      <c r="L16" s="29">
        <v>12</v>
      </c>
      <c r="M16" s="29">
        <v>18</v>
      </c>
      <c r="N16" s="29">
        <v>20</v>
      </c>
      <c r="O16" s="29">
        <v>4</v>
      </c>
      <c r="P16" s="29">
        <v>36</v>
      </c>
      <c r="Q16" s="29">
        <v>675</v>
      </c>
      <c r="R16" s="29">
        <v>14643</v>
      </c>
      <c r="S16" s="29">
        <v>537</v>
      </c>
      <c r="T16" s="65">
        <v>537</v>
      </c>
      <c r="U16" s="66">
        <v>0.65</v>
      </c>
      <c r="V16" s="66">
        <f>T16*U16</f>
        <v>349.05</v>
      </c>
      <c r="W16" s="65">
        <v>22</v>
      </c>
      <c r="X16" s="66">
        <f t="shared" si="2"/>
        <v>71.640909090909091</v>
      </c>
      <c r="Y16" s="66">
        <v>1576.1</v>
      </c>
      <c r="Z16" s="66"/>
      <c r="AA16" s="67">
        <v>38952</v>
      </c>
      <c r="AB16" s="68">
        <f>AA16-V16</f>
        <v>38602.949999999997</v>
      </c>
      <c r="AC16" s="84">
        <v>46178</v>
      </c>
      <c r="AD16" s="69">
        <f>40137.1-Y16-V16</f>
        <v>38211.949999999997</v>
      </c>
      <c r="AE16" s="69"/>
      <c r="AF16" s="70">
        <f>AB16-AD16</f>
        <v>391</v>
      </c>
      <c r="AH16" s="66">
        <f t="shared" ref="AH16:AH18" si="6">AF16+AD16</f>
        <v>38602.949999999997</v>
      </c>
    </row>
    <row r="17" spans="1:34" x14ac:dyDescent="0.25">
      <c r="A17" s="65">
        <v>12</v>
      </c>
      <c r="B17" s="119">
        <v>46148</v>
      </c>
      <c r="C17" s="29" t="s">
        <v>45</v>
      </c>
      <c r="D17" s="63" t="s">
        <v>102</v>
      </c>
      <c r="E17" s="65" t="s">
        <v>112</v>
      </c>
      <c r="F17" s="65"/>
      <c r="G17" s="29">
        <v>1009</v>
      </c>
      <c r="H17" s="68">
        <v>42.32</v>
      </c>
      <c r="I17" s="29">
        <v>183</v>
      </c>
      <c r="J17" s="29">
        <v>227</v>
      </c>
      <c r="K17" s="29">
        <v>9.6</v>
      </c>
      <c r="L17" s="29">
        <v>10</v>
      </c>
      <c r="M17" s="29">
        <v>16</v>
      </c>
      <c r="N17" s="29">
        <v>49</v>
      </c>
      <c r="O17" s="29">
        <v>0</v>
      </c>
      <c r="P17" s="29">
        <v>17</v>
      </c>
      <c r="Q17" s="29">
        <v>675</v>
      </c>
      <c r="R17" s="29">
        <v>773</v>
      </c>
      <c r="S17" s="29">
        <v>572</v>
      </c>
      <c r="T17" s="65">
        <v>572</v>
      </c>
      <c r="U17" s="66">
        <v>0.65</v>
      </c>
      <c r="V17" s="66">
        <f t="shared" ref="V17" si="7">T17*U17</f>
        <v>371.8</v>
      </c>
      <c r="W17" s="65">
        <v>23</v>
      </c>
      <c r="X17" s="66">
        <f t="shared" si="2"/>
        <v>73.095652173913052</v>
      </c>
      <c r="Y17" s="66">
        <v>1681.2</v>
      </c>
      <c r="Z17" s="66"/>
      <c r="AA17" s="67">
        <v>42344</v>
      </c>
      <c r="AB17" s="68">
        <f t="shared" si="4"/>
        <v>41972.2</v>
      </c>
      <c r="AC17" s="84">
        <v>46178</v>
      </c>
      <c r="AD17" s="69">
        <f>41541</f>
        <v>41541</v>
      </c>
      <c r="AE17" s="69"/>
      <c r="AF17" s="70">
        <f>AB17-AD17</f>
        <v>431.19999999999709</v>
      </c>
      <c r="AH17" s="66">
        <f t="shared" si="6"/>
        <v>41972.2</v>
      </c>
    </row>
    <row r="18" spans="1:34" x14ac:dyDescent="0.25">
      <c r="A18" s="65">
        <v>13</v>
      </c>
      <c r="B18" s="119">
        <v>46151</v>
      </c>
      <c r="C18" s="1" t="s">
        <v>45</v>
      </c>
      <c r="D18" s="63" t="s">
        <v>102</v>
      </c>
      <c r="E18" s="65" t="s">
        <v>112</v>
      </c>
      <c r="F18" s="65"/>
      <c r="G18" s="1">
        <v>1011</v>
      </c>
      <c r="H18" s="80">
        <v>42.5</v>
      </c>
      <c r="I18" s="1">
        <v>174</v>
      </c>
      <c r="J18" s="1">
        <v>225</v>
      </c>
      <c r="K18" s="1">
        <v>8.9</v>
      </c>
      <c r="L18" s="1">
        <v>14</v>
      </c>
      <c r="M18" s="1">
        <v>18</v>
      </c>
      <c r="N18" s="1">
        <v>41</v>
      </c>
      <c r="O18" s="1">
        <v>0</v>
      </c>
      <c r="P18" s="1">
        <v>13</v>
      </c>
      <c r="Q18" s="1">
        <v>684</v>
      </c>
      <c r="R18" s="1">
        <v>82154</v>
      </c>
      <c r="S18" s="1">
        <v>584</v>
      </c>
      <c r="T18" s="63">
        <v>585</v>
      </c>
      <c r="U18" s="31">
        <v>0.65</v>
      </c>
      <c r="V18" s="31">
        <f>0.65*T18</f>
        <v>380.25</v>
      </c>
      <c r="W18" s="63">
        <v>25</v>
      </c>
      <c r="X18" s="31">
        <f t="shared" si="2"/>
        <v>67.2</v>
      </c>
      <c r="Y18" s="31">
        <v>1680</v>
      </c>
      <c r="Z18" s="31"/>
      <c r="AA18" s="2">
        <f>44445</f>
        <v>44445</v>
      </c>
      <c r="AB18" s="80">
        <f>AA18-V18</f>
        <v>44064.75</v>
      </c>
      <c r="AC18" s="85">
        <v>46270</v>
      </c>
      <c r="AD18" s="69">
        <f>43454</f>
        <v>43454</v>
      </c>
      <c r="AE18" s="69"/>
      <c r="AF18" s="70">
        <f>AB18-AD18</f>
        <v>610.75</v>
      </c>
      <c r="AG18" s="3"/>
      <c r="AH18" s="66">
        <f t="shared" si="6"/>
        <v>44064.75</v>
      </c>
    </row>
    <row r="19" spans="1:34" x14ac:dyDescent="0.25">
      <c r="A19" s="65">
        <v>14</v>
      </c>
      <c r="B19" s="119">
        <v>46153</v>
      </c>
      <c r="C19" s="29" t="s">
        <v>45</v>
      </c>
      <c r="D19" s="139" t="s">
        <v>138</v>
      </c>
      <c r="E19" s="65" t="s">
        <v>112</v>
      </c>
      <c r="F19" s="65"/>
      <c r="G19" s="29">
        <v>1012</v>
      </c>
      <c r="H19" s="68">
        <v>42.76</v>
      </c>
      <c r="I19" s="29">
        <v>176</v>
      </c>
      <c r="J19" s="29">
        <v>228</v>
      </c>
      <c r="K19" s="29">
        <v>8.9</v>
      </c>
      <c r="L19" s="29">
        <v>16</v>
      </c>
      <c r="M19" s="29">
        <v>13</v>
      </c>
      <c r="N19" s="29">
        <v>22</v>
      </c>
      <c r="O19" s="29">
        <v>2</v>
      </c>
      <c r="P19" s="29">
        <v>30</v>
      </c>
      <c r="Q19" s="29">
        <v>684</v>
      </c>
      <c r="R19" s="29">
        <v>82770</v>
      </c>
      <c r="S19" s="29">
        <v>667</v>
      </c>
      <c r="T19" s="65">
        <v>667</v>
      </c>
      <c r="U19" s="66">
        <v>0.65</v>
      </c>
      <c r="V19" s="66">
        <f>0.65*667</f>
        <v>433.55</v>
      </c>
      <c r="W19" s="65">
        <v>25</v>
      </c>
      <c r="X19" s="66">
        <f t="shared" si="2"/>
        <v>71.316000000000003</v>
      </c>
      <c r="Y19" s="66">
        <v>1782.9</v>
      </c>
      <c r="Z19" s="66"/>
      <c r="AA19" s="67">
        <f>49741</f>
        <v>49741</v>
      </c>
      <c r="AB19" s="68">
        <f>49741-V19</f>
        <v>49307.45</v>
      </c>
      <c r="AC19" s="84">
        <v>46331</v>
      </c>
      <c r="AD19" s="69">
        <f>49355</f>
        <v>49355</v>
      </c>
      <c r="AE19" s="69"/>
      <c r="AF19" s="70">
        <f>AD19-AB19</f>
        <v>47.55000000000291</v>
      </c>
      <c r="AH19" s="66">
        <f>AF19+AB19</f>
        <v>49355</v>
      </c>
    </row>
    <row r="20" spans="1:34" x14ac:dyDescent="0.25">
      <c r="A20" s="65">
        <v>15</v>
      </c>
      <c r="B20" s="119">
        <v>46154</v>
      </c>
      <c r="C20" s="29" t="s">
        <v>45</v>
      </c>
      <c r="D20" s="65" t="s">
        <v>77</v>
      </c>
      <c r="E20" s="65" t="s">
        <v>112</v>
      </c>
      <c r="F20" s="65"/>
      <c r="G20" s="29">
        <v>1015</v>
      </c>
      <c r="H20" s="68">
        <v>43.47</v>
      </c>
      <c r="I20" s="29">
        <v>172</v>
      </c>
      <c r="J20" s="29">
        <v>230</v>
      </c>
      <c r="K20" s="29">
        <v>8.6999999999999993</v>
      </c>
      <c r="L20" s="29">
        <v>12</v>
      </c>
      <c r="M20" s="29">
        <v>21</v>
      </c>
      <c r="N20" s="29">
        <v>32</v>
      </c>
      <c r="O20" s="29">
        <v>4</v>
      </c>
      <c r="P20" s="29">
        <v>9</v>
      </c>
      <c r="Q20" s="29">
        <v>688</v>
      </c>
      <c r="R20" s="77" t="s">
        <v>77</v>
      </c>
      <c r="S20" s="29">
        <v>605</v>
      </c>
      <c r="T20" s="65">
        <v>605</v>
      </c>
      <c r="U20" s="66">
        <v>0.65</v>
      </c>
      <c r="V20" s="66">
        <f>U20*S20</f>
        <v>393.25</v>
      </c>
      <c r="W20" s="65">
        <v>25</v>
      </c>
      <c r="X20" s="66">
        <f t="shared" si="2"/>
        <v>72</v>
      </c>
      <c r="Y20" s="66">
        <v>1800</v>
      </c>
      <c r="Z20" s="66"/>
      <c r="AA20" s="67">
        <v>46136</v>
      </c>
      <c r="AB20" s="68">
        <f>46136-V20</f>
        <v>45742.75</v>
      </c>
      <c r="AC20" s="84" t="s">
        <v>69</v>
      </c>
      <c r="AD20" s="69">
        <f>45333</f>
        <v>45333</v>
      </c>
      <c r="AE20" s="69"/>
      <c r="AF20" s="70">
        <f t="shared" ref="AF20:AF27" si="8">AB20-AD20</f>
        <v>409.75</v>
      </c>
      <c r="AH20" s="66">
        <f>AF20+AD20</f>
        <v>45742.75</v>
      </c>
    </row>
    <row r="21" spans="1:34" x14ac:dyDescent="0.25">
      <c r="A21" s="65">
        <v>16</v>
      </c>
      <c r="B21" s="119">
        <v>46155</v>
      </c>
      <c r="C21" s="29" t="s">
        <v>45</v>
      </c>
      <c r="D21" s="65" t="s">
        <v>77</v>
      </c>
      <c r="E21" s="65" t="s">
        <v>112</v>
      </c>
      <c r="F21" s="65"/>
      <c r="G21" s="29">
        <v>1014</v>
      </c>
      <c r="H21" s="68">
        <v>42.15</v>
      </c>
      <c r="I21" s="29">
        <v>177</v>
      </c>
      <c r="J21" s="29">
        <v>223</v>
      </c>
      <c r="K21" s="29">
        <v>8.5</v>
      </c>
      <c r="L21" s="29">
        <v>11</v>
      </c>
      <c r="M21" s="29">
        <v>21</v>
      </c>
      <c r="N21" s="29">
        <v>40</v>
      </c>
      <c r="O21" s="29">
        <v>0</v>
      </c>
      <c r="P21" s="29">
        <v>30</v>
      </c>
      <c r="Q21" s="29">
        <v>671</v>
      </c>
      <c r="R21" s="77" t="s">
        <v>77</v>
      </c>
      <c r="S21" s="29">
        <v>575</v>
      </c>
      <c r="T21" s="65">
        <v>575</v>
      </c>
      <c r="U21" s="66">
        <v>0.65</v>
      </c>
      <c r="V21" s="66">
        <f t="shared" ref="V21" si="9">U21*S21</f>
        <v>373.75</v>
      </c>
      <c r="W21" s="65">
        <v>24</v>
      </c>
      <c r="X21" s="66">
        <f t="shared" si="2"/>
        <v>73.791666666666671</v>
      </c>
      <c r="Y21" s="66">
        <v>1771</v>
      </c>
      <c r="Z21" s="66"/>
      <c r="AA21" s="67">
        <v>43873</v>
      </c>
      <c r="AB21" s="68">
        <f>AA21-V21</f>
        <v>43499.25</v>
      </c>
      <c r="AC21" s="84" t="s">
        <v>70</v>
      </c>
      <c r="AD21" s="69">
        <v>43110</v>
      </c>
      <c r="AE21" s="69"/>
      <c r="AF21" s="70">
        <f t="shared" si="8"/>
        <v>389.25</v>
      </c>
      <c r="AG21" s="76"/>
      <c r="AH21" s="66">
        <f t="shared" ref="AH21:AH29" si="10">AF21+AD21</f>
        <v>43499.25</v>
      </c>
    </row>
    <row r="22" spans="1:34" x14ac:dyDescent="0.25">
      <c r="A22" s="65">
        <v>17</v>
      </c>
      <c r="B22" s="119">
        <v>46157</v>
      </c>
      <c r="C22" s="29" t="s">
        <v>45</v>
      </c>
      <c r="D22" s="65" t="s">
        <v>77</v>
      </c>
      <c r="E22" s="65" t="s">
        <v>112</v>
      </c>
      <c r="F22" s="65"/>
      <c r="G22" s="29">
        <v>1016</v>
      </c>
      <c r="H22" s="68">
        <v>43.47</v>
      </c>
      <c r="I22" s="29">
        <v>172</v>
      </c>
      <c r="J22" s="29">
        <v>230</v>
      </c>
      <c r="K22" s="29">
        <v>8.6999999999999993</v>
      </c>
      <c r="L22" s="29">
        <v>12</v>
      </c>
      <c r="M22" s="29">
        <v>21</v>
      </c>
      <c r="N22" s="29">
        <v>32</v>
      </c>
      <c r="O22" s="29">
        <v>4</v>
      </c>
      <c r="P22" s="29">
        <v>9</v>
      </c>
      <c r="Q22" s="29">
        <v>688</v>
      </c>
      <c r="R22" s="77" t="s">
        <v>77</v>
      </c>
      <c r="S22" s="29">
        <v>638</v>
      </c>
      <c r="T22" s="65">
        <v>638</v>
      </c>
      <c r="U22" s="66">
        <v>0.65</v>
      </c>
      <c r="V22" s="66">
        <f>U22*S22</f>
        <v>414.7</v>
      </c>
      <c r="W22" s="65">
        <v>27</v>
      </c>
      <c r="X22" s="66">
        <f t="shared" si="2"/>
        <v>73</v>
      </c>
      <c r="Y22" s="66">
        <v>1971</v>
      </c>
      <c r="Z22" s="66"/>
      <c r="AA22" s="67">
        <v>48908</v>
      </c>
      <c r="AB22" s="68">
        <f t="shared" ref="AB22" si="11">AA22-V22</f>
        <v>48493.3</v>
      </c>
      <c r="AC22" s="84" t="s">
        <v>68</v>
      </c>
      <c r="AD22" s="69">
        <v>48024</v>
      </c>
      <c r="AE22" s="69"/>
      <c r="AF22" s="70">
        <f t="shared" si="8"/>
        <v>469.30000000000291</v>
      </c>
      <c r="AH22" s="66">
        <f t="shared" si="10"/>
        <v>48493.3</v>
      </c>
    </row>
    <row r="23" spans="1:34" x14ac:dyDescent="0.25">
      <c r="A23" s="65">
        <v>18</v>
      </c>
      <c r="B23" s="119">
        <v>46160</v>
      </c>
      <c r="C23" s="29" t="s">
        <v>45</v>
      </c>
      <c r="D23" s="63" t="s">
        <v>102</v>
      </c>
      <c r="E23" s="65" t="s">
        <v>112</v>
      </c>
      <c r="F23" s="65"/>
      <c r="G23" s="29">
        <v>1018</v>
      </c>
      <c r="H23" s="68">
        <v>43.47</v>
      </c>
      <c r="I23" s="29">
        <v>173</v>
      </c>
      <c r="J23" s="29">
        <v>233</v>
      </c>
      <c r="K23" s="29">
        <v>8.5</v>
      </c>
      <c r="L23" s="29">
        <v>16</v>
      </c>
      <c r="M23" s="29">
        <v>11</v>
      </c>
      <c r="N23" s="29">
        <v>35</v>
      </c>
      <c r="O23" s="29">
        <v>0</v>
      </c>
      <c r="P23" s="29">
        <v>22</v>
      </c>
      <c r="Q23" s="29">
        <v>678</v>
      </c>
      <c r="R23" s="29">
        <v>31510</v>
      </c>
      <c r="S23" s="29">
        <v>566</v>
      </c>
      <c r="T23" s="65">
        <v>566</v>
      </c>
      <c r="U23" s="66">
        <f>V23/T23</f>
        <v>0.65017667844522964</v>
      </c>
      <c r="V23" s="66">
        <v>368</v>
      </c>
      <c r="W23" s="65">
        <v>24</v>
      </c>
      <c r="X23" s="66">
        <f t="shared" si="2"/>
        <v>72</v>
      </c>
      <c r="Y23" s="66">
        <v>1728</v>
      </c>
      <c r="Z23" s="66"/>
      <c r="AA23" s="67">
        <v>42581</v>
      </c>
      <c r="AB23" s="68">
        <f t="shared" ref="AB23:AB29" si="12">AA23-V23</f>
        <v>42213</v>
      </c>
      <c r="AC23" s="84" t="s">
        <v>74</v>
      </c>
      <c r="AD23" s="69">
        <v>41773</v>
      </c>
      <c r="AE23" s="69"/>
      <c r="AF23" s="70">
        <f t="shared" si="8"/>
        <v>440</v>
      </c>
      <c r="AH23" s="66">
        <f t="shared" si="10"/>
        <v>42213</v>
      </c>
    </row>
    <row r="24" spans="1:34" x14ac:dyDescent="0.25">
      <c r="A24" s="65">
        <v>19</v>
      </c>
      <c r="B24" s="119">
        <v>46161</v>
      </c>
      <c r="C24" s="29" t="s">
        <v>45</v>
      </c>
      <c r="D24" s="65" t="s">
        <v>77</v>
      </c>
      <c r="E24" s="65" t="s">
        <v>112</v>
      </c>
      <c r="F24" s="65"/>
      <c r="G24" s="29">
        <v>1019</v>
      </c>
      <c r="H24" s="68">
        <v>42.06</v>
      </c>
      <c r="I24" s="29">
        <v>172</v>
      </c>
      <c r="J24" s="29">
        <v>225</v>
      </c>
      <c r="K24" s="29">
        <v>8.5</v>
      </c>
      <c r="L24" s="29">
        <v>14</v>
      </c>
      <c r="M24" s="29">
        <v>13</v>
      </c>
      <c r="N24" s="29">
        <v>41</v>
      </c>
      <c r="O24" s="29">
        <v>0</v>
      </c>
      <c r="P24" s="29">
        <v>26</v>
      </c>
      <c r="Q24" s="29">
        <v>676</v>
      </c>
      <c r="R24" s="77" t="s">
        <v>77</v>
      </c>
      <c r="S24" s="29">
        <v>1322</v>
      </c>
      <c r="T24" s="65">
        <v>1323</v>
      </c>
      <c r="U24" s="66">
        <f>V24/T24</f>
        <v>0.6500377928949358</v>
      </c>
      <c r="V24" s="66">
        <v>860</v>
      </c>
      <c r="W24" s="65">
        <v>55</v>
      </c>
      <c r="X24" s="66">
        <f t="shared" si="2"/>
        <v>72.454545454545453</v>
      </c>
      <c r="Y24" s="66">
        <v>3985</v>
      </c>
      <c r="Z24" s="66"/>
      <c r="AA24" s="67">
        <v>99494</v>
      </c>
      <c r="AB24" s="68">
        <f t="shared" si="12"/>
        <v>98634</v>
      </c>
      <c r="AC24" s="84" t="s">
        <v>75</v>
      </c>
      <c r="AD24" s="69">
        <f>97586</f>
        <v>97586</v>
      </c>
      <c r="AE24" s="69"/>
      <c r="AF24" s="70">
        <f t="shared" si="8"/>
        <v>1048</v>
      </c>
      <c r="AH24" s="66">
        <f t="shared" si="10"/>
        <v>98634</v>
      </c>
    </row>
    <row r="25" spans="1:34" x14ac:dyDescent="0.25">
      <c r="A25" s="65">
        <v>20</v>
      </c>
      <c r="B25" s="119">
        <v>46168</v>
      </c>
      <c r="C25" s="29" t="s">
        <v>45</v>
      </c>
      <c r="D25" s="65" t="s">
        <v>77</v>
      </c>
      <c r="E25" s="65" t="s">
        <v>112</v>
      </c>
      <c r="F25" s="65"/>
      <c r="G25" s="29">
        <v>1020</v>
      </c>
      <c r="H25" s="68">
        <v>42.76</v>
      </c>
      <c r="I25" s="29">
        <v>172</v>
      </c>
      <c r="J25" s="29">
        <v>230</v>
      </c>
      <c r="K25" s="29">
        <v>8.8000000000000007</v>
      </c>
      <c r="L25" s="29">
        <v>11</v>
      </c>
      <c r="M25" s="29">
        <v>14</v>
      </c>
      <c r="N25" s="29">
        <v>40</v>
      </c>
      <c r="O25" s="29">
        <v>0</v>
      </c>
      <c r="P25" s="29">
        <v>13</v>
      </c>
      <c r="Q25" s="29">
        <v>687</v>
      </c>
      <c r="R25" s="77" t="s">
        <v>77</v>
      </c>
      <c r="S25" s="29">
        <v>535</v>
      </c>
      <c r="T25" s="65">
        <v>535</v>
      </c>
      <c r="U25" s="66">
        <v>0.65</v>
      </c>
      <c r="V25" s="66">
        <f t="shared" ref="V25:V27" si="13">U25*S25</f>
        <v>347.75</v>
      </c>
      <c r="W25" s="65">
        <v>22</v>
      </c>
      <c r="X25" s="66">
        <f t="shared" si="2"/>
        <v>72.272727272727266</v>
      </c>
      <c r="Y25" s="66">
        <v>1590</v>
      </c>
      <c r="Z25" s="66"/>
      <c r="AA25" s="67">
        <v>39919</v>
      </c>
      <c r="AB25" s="68">
        <f t="shared" si="12"/>
        <v>39571.25</v>
      </c>
      <c r="AC25" s="72" t="s">
        <v>79</v>
      </c>
      <c r="AD25" s="69">
        <f>39269</f>
        <v>39269</v>
      </c>
      <c r="AE25" s="69"/>
      <c r="AF25" s="70">
        <f t="shared" si="8"/>
        <v>302.25</v>
      </c>
      <c r="AH25" s="66">
        <f t="shared" si="10"/>
        <v>39571.25</v>
      </c>
    </row>
    <row r="26" spans="1:34" x14ac:dyDescent="0.25">
      <c r="A26" s="65">
        <v>21</v>
      </c>
      <c r="B26" s="119">
        <v>46170</v>
      </c>
      <c r="C26" s="29" t="s">
        <v>45</v>
      </c>
      <c r="D26" s="65" t="s">
        <v>77</v>
      </c>
      <c r="E26" s="65" t="s">
        <v>112</v>
      </c>
      <c r="F26" s="65"/>
      <c r="G26" s="29">
        <v>1022</v>
      </c>
      <c r="H26" s="68">
        <v>42.5</v>
      </c>
      <c r="I26" s="29">
        <v>175</v>
      </c>
      <c r="J26" s="29">
        <v>223</v>
      </c>
      <c r="K26" s="29">
        <v>8.6999999999999993</v>
      </c>
      <c r="L26" s="29">
        <v>17</v>
      </c>
      <c r="M26" s="29">
        <v>19</v>
      </c>
      <c r="N26" s="29">
        <v>36</v>
      </c>
      <c r="O26" s="29">
        <v>0</v>
      </c>
      <c r="P26" s="29">
        <v>41</v>
      </c>
      <c r="Q26" s="29">
        <v>659</v>
      </c>
      <c r="R26" s="77" t="s">
        <v>77</v>
      </c>
      <c r="S26" s="29">
        <v>414</v>
      </c>
      <c r="T26" s="65">
        <v>414</v>
      </c>
      <c r="U26" s="66">
        <f>0.65</f>
        <v>0.65</v>
      </c>
      <c r="V26" s="66">
        <f t="shared" si="13"/>
        <v>269.10000000000002</v>
      </c>
      <c r="W26" s="65">
        <v>19</v>
      </c>
      <c r="X26" s="66">
        <f>Y26/W26</f>
        <v>73.368421052631575</v>
      </c>
      <c r="Y26" s="66">
        <v>1394</v>
      </c>
      <c r="Z26" s="66"/>
      <c r="AA26" s="67">
        <v>30903</v>
      </c>
      <c r="AB26" s="68">
        <f t="shared" si="12"/>
        <v>30633.9</v>
      </c>
      <c r="AC26" s="68" t="s">
        <v>81</v>
      </c>
      <c r="AD26" s="69">
        <v>30377</v>
      </c>
      <c r="AE26" s="69"/>
      <c r="AF26" s="70">
        <f t="shared" si="8"/>
        <v>256.90000000000146</v>
      </c>
      <c r="AH26" s="66">
        <f t="shared" si="10"/>
        <v>30633.9</v>
      </c>
    </row>
    <row r="27" spans="1:34" x14ac:dyDescent="0.25">
      <c r="A27" s="65">
        <v>22</v>
      </c>
      <c r="B27" s="119">
        <v>46170</v>
      </c>
      <c r="C27" s="29" t="s">
        <v>45</v>
      </c>
      <c r="D27" s="65" t="s">
        <v>77</v>
      </c>
      <c r="E27" s="65" t="s">
        <v>112</v>
      </c>
      <c r="F27" s="65"/>
      <c r="G27" s="29">
        <v>1021</v>
      </c>
      <c r="H27" s="68">
        <v>42.59</v>
      </c>
      <c r="I27" s="29">
        <v>171</v>
      </c>
      <c r="J27" s="29">
        <v>227</v>
      </c>
      <c r="K27" s="29">
        <v>8.8000000000000007</v>
      </c>
      <c r="L27" s="29">
        <v>19</v>
      </c>
      <c r="M27" s="29">
        <v>10</v>
      </c>
      <c r="N27" s="29">
        <v>30</v>
      </c>
      <c r="O27" s="29">
        <v>0</v>
      </c>
      <c r="P27" s="29">
        <v>36</v>
      </c>
      <c r="Q27" s="29">
        <v>670</v>
      </c>
      <c r="R27" s="77" t="s">
        <v>77</v>
      </c>
      <c r="S27" s="29">
        <v>998</v>
      </c>
      <c r="T27" s="65">
        <v>1001</v>
      </c>
      <c r="U27" s="66">
        <v>0.65</v>
      </c>
      <c r="V27" s="66">
        <f t="shared" si="13"/>
        <v>648.70000000000005</v>
      </c>
      <c r="W27" s="65">
        <v>40</v>
      </c>
      <c r="X27" s="66">
        <f>2902/40</f>
        <v>72.55</v>
      </c>
      <c r="Y27" s="66">
        <v>2902</v>
      </c>
      <c r="Z27" s="66"/>
      <c r="AA27" s="67">
        <v>74281</v>
      </c>
      <c r="AB27" s="68">
        <f t="shared" si="12"/>
        <v>73632.3</v>
      </c>
      <c r="AC27" s="68" t="s">
        <v>81</v>
      </c>
      <c r="AD27" s="69">
        <f>73630</f>
        <v>73630</v>
      </c>
      <c r="AE27" s="69"/>
      <c r="AF27" s="70">
        <f t="shared" si="8"/>
        <v>2.3000000000029104</v>
      </c>
      <c r="AG27" s="69"/>
      <c r="AH27" s="66">
        <f t="shared" si="10"/>
        <v>73632.3</v>
      </c>
    </row>
    <row r="28" spans="1:34" x14ac:dyDescent="0.25">
      <c r="A28" s="65">
        <v>23</v>
      </c>
      <c r="B28" s="119">
        <v>46171</v>
      </c>
      <c r="C28" s="29" t="s">
        <v>45</v>
      </c>
      <c r="D28" s="65" t="s">
        <v>77</v>
      </c>
      <c r="E28" s="65" t="s">
        <v>112</v>
      </c>
      <c r="F28" s="65"/>
      <c r="G28" s="29">
        <v>1023</v>
      </c>
      <c r="H28" s="68">
        <v>42.41</v>
      </c>
      <c r="I28" s="29">
        <v>174</v>
      </c>
      <c r="J28" s="29">
        <v>226</v>
      </c>
      <c r="K28" s="29">
        <v>8.8000000000000007</v>
      </c>
      <c r="L28" s="29">
        <v>14</v>
      </c>
      <c r="M28" s="29">
        <v>15</v>
      </c>
      <c r="N28" s="29">
        <v>37</v>
      </c>
      <c r="O28" s="29">
        <v>0</v>
      </c>
      <c r="P28" s="29">
        <v>32</v>
      </c>
      <c r="Q28" s="29">
        <v>671</v>
      </c>
      <c r="R28" s="77" t="s">
        <v>77</v>
      </c>
      <c r="S28" s="29">
        <v>645</v>
      </c>
      <c r="T28" s="65">
        <v>649</v>
      </c>
      <c r="U28" s="66">
        <v>0.65</v>
      </c>
      <c r="V28" s="66">
        <f>U28*T28</f>
        <v>421.85</v>
      </c>
      <c r="W28" s="65">
        <v>27</v>
      </c>
      <c r="X28" s="66">
        <f>Y28/W28</f>
        <v>72.81481481481481</v>
      </c>
      <c r="Y28" s="66">
        <v>1966</v>
      </c>
      <c r="Z28" s="66"/>
      <c r="AA28" s="67">
        <v>47982</v>
      </c>
      <c r="AB28" s="68">
        <f t="shared" si="12"/>
        <v>47560.15</v>
      </c>
      <c r="AC28" s="68" t="s">
        <v>84</v>
      </c>
      <c r="AD28" s="69">
        <v>47061.599999999999</v>
      </c>
      <c r="AE28" s="69"/>
      <c r="AF28" s="70">
        <f t="shared" si="5"/>
        <v>498.55000000000291</v>
      </c>
      <c r="AG28" s="69"/>
      <c r="AH28" s="66">
        <f t="shared" si="10"/>
        <v>47560.15</v>
      </c>
    </row>
    <row r="29" spans="1:34" x14ac:dyDescent="0.25">
      <c r="A29" s="65">
        <v>24</v>
      </c>
      <c r="B29" s="119">
        <v>46175</v>
      </c>
      <c r="C29" s="29" t="s">
        <v>45</v>
      </c>
      <c r="D29" s="65" t="s">
        <v>77</v>
      </c>
      <c r="E29" s="65" t="s">
        <v>112</v>
      </c>
      <c r="F29" s="65"/>
      <c r="G29" s="29">
        <v>1026</v>
      </c>
      <c r="H29" s="68">
        <v>42.53</v>
      </c>
      <c r="I29" s="29">
        <v>177</v>
      </c>
      <c r="J29" s="29">
        <v>217</v>
      </c>
      <c r="K29" s="29">
        <v>8.3000000000000007</v>
      </c>
      <c r="L29" s="29">
        <v>17</v>
      </c>
      <c r="M29" s="29">
        <v>20</v>
      </c>
      <c r="N29" s="29">
        <v>40</v>
      </c>
      <c r="O29" s="29">
        <v>2</v>
      </c>
      <c r="P29" s="29">
        <v>35</v>
      </c>
      <c r="Q29" s="29">
        <v>665</v>
      </c>
      <c r="R29" s="77" t="s">
        <v>77</v>
      </c>
      <c r="S29" s="29">
        <v>890</v>
      </c>
      <c r="T29" s="65">
        <v>890</v>
      </c>
      <c r="U29" s="66">
        <v>0.65</v>
      </c>
      <c r="V29" s="66">
        <f>T29*U29</f>
        <v>578.5</v>
      </c>
      <c r="W29" s="65">
        <v>37</v>
      </c>
      <c r="X29" s="66">
        <f>Y29/W29</f>
        <v>72.054054054054049</v>
      </c>
      <c r="Y29" s="66">
        <v>2666</v>
      </c>
      <c r="Z29" s="66"/>
      <c r="AA29" s="67">
        <v>66342</v>
      </c>
      <c r="AB29" s="68">
        <f t="shared" si="12"/>
        <v>65763.5</v>
      </c>
      <c r="AC29" s="72">
        <v>46059</v>
      </c>
      <c r="AD29" s="69">
        <v>65116</v>
      </c>
      <c r="AE29" s="69"/>
      <c r="AF29" s="70">
        <f>AB29-AD29</f>
        <v>647.5</v>
      </c>
      <c r="AG29" s="69"/>
      <c r="AH29" s="66">
        <f t="shared" si="10"/>
        <v>65763.5</v>
      </c>
    </row>
    <row r="30" spans="1:34" ht="24" x14ac:dyDescent="0.25">
      <c r="A30" s="108">
        <v>0</v>
      </c>
      <c r="B30" s="120">
        <v>46175</v>
      </c>
      <c r="C30" s="109" t="s">
        <v>45</v>
      </c>
      <c r="D30" s="110">
        <v>0</v>
      </c>
      <c r="E30" s="110"/>
      <c r="F30" s="110"/>
      <c r="G30" s="109">
        <v>1024</v>
      </c>
      <c r="H30" s="111">
        <v>41.09</v>
      </c>
      <c r="I30" s="109">
        <v>183</v>
      </c>
      <c r="J30" s="109">
        <v>220</v>
      </c>
      <c r="K30" s="109">
        <v>8.9</v>
      </c>
      <c r="L30" s="109">
        <v>12</v>
      </c>
      <c r="M30" s="109">
        <v>14</v>
      </c>
      <c r="N30" s="109">
        <v>49</v>
      </c>
      <c r="O30" s="109">
        <v>0</v>
      </c>
      <c r="P30" s="109">
        <v>17</v>
      </c>
      <c r="Q30" s="109">
        <v>682</v>
      </c>
      <c r="R30" s="110">
        <v>87036</v>
      </c>
      <c r="S30" s="109">
        <v>0</v>
      </c>
      <c r="T30" s="108">
        <v>0</v>
      </c>
      <c r="U30" s="112">
        <v>0.65</v>
      </c>
      <c r="V30" s="112">
        <f>T30*U30</f>
        <v>0</v>
      </c>
      <c r="W30" s="108">
        <v>31</v>
      </c>
      <c r="X30" s="112">
        <f>Y30/W30</f>
        <v>71.451612903225808</v>
      </c>
      <c r="Y30" s="112">
        <v>2215</v>
      </c>
      <c r="Z30" s="112"/>
      <c r="AA30" s="113">
        <v>0</v>
      </c>
      <c r="AB30" s="111">
        <v>0</v>
      </c>
      <c r="AC30" s="114">
        <v>46059</v>
      </c>
      <c r="AD30" s="115">
        <v>0</v>
      </c>
      <c r="AE30" s="115"/>
      <c r="AF30" s="116">
        <v>0</v>
      </c>
      <c r="AG30" s="117" t="s">
        <v>113</v>
      </c>
      <c r="AH30" s="66"/>
    </row>
    <row r="31" spans="1:34" x14ac:dyDescent="0.25">
      <c r="A31" s="65">
        <v>25</v>
      </c>
      <c r="B31" s="119">
        <v>46178</v>
      </c>
      <c r="C31" s="29" t="s">
        <v>45</v>
      </c>
      <c r="D31" s="140" t="s">
        <v>103</v>
      </c>
      <c r="E31" s="77" t="s">
        <v>87</v>
      </c>
      <c r="F31" s="77"/>
      <c r="G31" s="29">
        <v>1027</v>
      </c>
      <c r="H31" s="68">
        <v>44.09</v>
      </c>
      <c r="I31" s="29">
        <v>176</v>
      </c>
      <c r="J31" s="29">
        <v>232</v>
      </c>
      <c r="K31" s="29">
        <v>8.8000000000000007</v>
      </c>
      <c r="L31" s="29">
        <v>16</v>
      </c>
      <c r="M31" s="29">
        <v>20</v>
      </c>
      <c r="N31" s="29">
        <v>21</v>
      </c>
      <c r="O31" s="29">
        <v>0</v>
      </c>
      <c r="P31" s="29">
        <v>20</v>
      </c>
      <c r="Q31" s="29">
        <v>684</v>
      </c>
      <c r="R31" s="77" t="s">
        <v>87</v>
      </c>
      <c r="S31" s="29">
        <v>810</v>
      </c>
      <c r="T31" s="65">
        <v>805</v>
      </c>
      <c r="U31" s="66">
        <v>0.65</v>
      </c>
      <c r="V31" s="66">
        <v>526</v>
      </c>
      <c r="W31" s="65">
        <v>27</v>
      </c>
      <c r="X31" s="66">
        <f>Y31/W31</f>
        <v>70.111111111111114</v>
      </c>
      <c r="Y31" s="66">
        <v>1893</v>
      </c>
      <c r="Z31" s="66"/>
      <c r="AA31" s="67">
        <v>60031</v>
      </c>
      <c r="AB31" s="68">
        <f>AA31-V31</f>
        <v>59505</v>
      </c>
      <c r="AC31" s="72">
        <v>46148</v>
      </c>
      <c r="AD31" s="69">
        <v>58913.9</v>
      </c>
      <c r="AE31" s="69"/>
      <c r="AF31" s="70">
        <f t="shared" ref="AF31:AF36" si="14">AB31-AD31</f>
        <v>591.09999999999854</v>
      </c>
      <c r="AG31" s="69"/>
      <c r="AH31" s="66">
        <f t="shared" ref="AH31:AH69" si="15">AF31+AD31</f>
        <v>59505</v>
      </c>
    </row>
    <row r="32" spans="1:34" x14ac:dyDescent="0.25">
      <c r="A32" s="65">
        <v>26</v>
      </c>
      <c r="B32" s="119">
        <v>46179</v>
      </c>
      <c r="C32" s="29" t="s">
        <v>45</v>
      </c>
      <c r="D32" s="140" t="s">
        <v>103</v>
      </c>
      <c r="E32" s="77" t="s">
        <v>87</v>
      </c>
      <c r="F32" s="77"/>
      <c r="G32" s="29">
        <v>1028</v>
      </c>
      <c r="H32" s="68">
        <v>45.41</v>
      </c>
      <c r="I32" s="29">
        <v>187</v>
      </c>
      <c r="J32" s="29">
        <v>240</v>
      </c>
      <c r="K32" s="29">
        <v>7.6</v>
      </c>
      <c r="L32" s="29">
        <v>18</v>
      </c>
      <c r="M32" s="29">
        <v>17</v>
      </c>
      <c r="N32" s="29">
        <v>15</v>
      </c>
      <c r="O32" s="29">
        <v>3</v>
      </c>
      <c r="P32" s="29">
        <v>32</v>
      </c>
      <c r="Q32" s="29">
        <v>669</v>
      </c>
      <c r="R32" s="77" t="s">
        <v>87</v>
      </c>
      <c r="S32" s="29">
        <v>1201</v>
      </c>
      <c r="T32" s="65">
        <v>1201</v>
      </c>
      <c r="U32" s="66">
        <f>780/1201</f>
        <v>0.64945878434637805</v>
      </c>
      <c r="V32" s="66">
        <v>780</v>
      </c>
      <c r="W32" s="65">
        <v>40</v>
      </c>
      <c r="X32" s="66">
        <f>Y32/40</f>
        <v>69.275000000000006</v>
      </c>
      <c r="Y32" s="66">
        <v>2771</v>
      </c>
      <c r="Z32" s="66"/>
      <c r="AA32" s="67">
        <v>89375</v>
      </c>
      <c r="AB32" s="68">
        <f>AA32-V32</f>
        <v>88595</v>
      </c>
      <c r="AC32" s="72">
        <v>46179</v>
      </c>
      <c r="AD32" s="69">
        <v>88081</v>
      </c>
      <c r="AE32" s="69"/>
      <c r="AF32" s="70">
        <f t="shared" si="14"/>
        <v>514</v>
      </c>
      <c r="AG32" s="69"/>
      <c r="AH32" s="66">
        <f t="shared" si="15"/>
        <v>88595</v>
      </c>
    </row>
    <row r="33" spans="1:34" x14ac:dyDescent="0.25">
      <c r="A33" s="65">
        <v>27</v>
      </c>
      <c r="B33" s="119">
        <v>46179</v>
      </c>
      <c r="C33" s="29" t="s">
        <v>45</v>
      </c>
      <c r="D33" s="140" t="s">
        <v>103</v>
      </c>
      <c r="E33" s="77" t="s">
        <v>87</v>
      </c>
      <c r="F33" s="77"/>
      <c r="G33" s="29">
        <v>1029</v>
      </c>
      <c r="H33" s="68">
        <v>45.41</v>
      </c>
      <c r="I33" s="29">
        <v>187</v>
      </c>
      <c r="J33" s="29">
        <v>241</v>
      </c>
      <c r="K33" s="29">
        <v>8.8000000000000007</v>
      </c>
      <c r="L33" s="29">
        <v>13</v>
      </c>
      <c r="M33" s="29">
        <v>20</v>
      </c>
      <c r="N33" s="29">
        <v>23</v>
      </c>
      <c r="O33" s="29">
        <v>0</v>
      </c>
      <c r="P33" s="29">
        <v>11</v>
      </c>
      <c r="Q33" s="29">
        <v>685</v>
      </c>
      <c r="R33" s="77" t="s">
        <v>87</v>
      </c>
      <c r="S33" s="29">
        <v>746</v>
      </c>
      <c r="T33" s="65">
        <v>745</v>
      </c>
      <c r="U33" s="66">
        <f>V33/T33</f>
        <v>0.64966442953020132</v>
      </c>
      <c r="V33" s="66">
        <v>484</v>
      </c>
      <c r="W33" s="65">
        <v>25</v>
      </c>
      <c r="X33" s="66">
        <f>Y33/25</f>
        <v>72.64</v>
      </c>
      <c r="Y33" s="66">
        <v>1816</v>
      </c>
      <c r="Z33" s="66"/>
      <c r="AA33" s="67">
        <v>55159</v>
      </c>
      <c r="AB33" s="68">
        <f>AA33-V33</f>
        <v>54675</v>
      </c>
      <c r="AC33" s="72">
        <v>46179</v>
      </c>
      <c r="AD33" s="69">
        <v>54456</v>
      </c>
      <c r="AE33" s="69"/>
      <c r="AF33" s="70">
        <f t="shared" si="14"/>
        <v>219</v>
      </c>
      <c r="AG33" s="69"/>
      <c r="AH33" s="66">
        <f t="shared" si="15"/>
        <v>54675</v>
      </c>
    </row>
    <row r="34" spans="1:34" x14ac:dyDescent="0.25">
      <c r="A34" s="65">
        <v>28</v>
      </c>
      <c r="B34" s="119">
        <v>46180</v>
      </c>
      <c r="C34" s="29" t="s">
        <v>45</v>
      </c>
      <c r="D34" s="140" t="s">
        <v>103</v>
      </c>
      <c r="E34" s="77" t="s">
        <v>87</v>
      </c>
      <c r="F34" s="77"/>
      <c r="G34" s="29">
        <v>1030</v>
      </c>
      <c r="H34" s="68">
        <v>43.82</v>
      </c>
      <c r="I34" s="29">
        <v>184</v>
      </c>
      <c r="J34" s="29">
        <v>231</v>
      </c>
      <c r="K34" s="29">
        <v>91</v>
      </c>
      <c r="L34" s="29">
        <v>15</v>
      </c>
      <c r="M34" s="29">
        <v>20</v>
      </c>
      <c r="N34" s="29">
        <v>27</v>
      </c>
      <c r="O34" s="29">
        <v>0</v>
      </c>
      <c r="P34" s="29">
        <v>33</v>
      </c>
      <c r="Q34" s="29">
        <v>675</v>
      </c>
      <c r="R34" s="77" t="s">
        <v>87</v>
      </c>
      <c r="S34" s="29">
        <v>1230</v>
      </c>
      <c r="T34" s="65">
        <v>1234</v>
      </c>
      <c r="U34" s="66">
        <v>0.65</v>
      </c>
      <c r="V34" s="66">
        <v>800</v>
      </c>
      <c r="W34" s="65">
        <v>41</v>
      </c>
      <c r="X34" s="66">
        <f>Y34/W34</f>
        <v>70.487804878048777</v>
      </c>
      <c r="Y34" s="66">
        <v>2890</v>
      </c>
      <c r="Z34" s="66"/>
      <c r="AA34" s="67">
        <v>89158.5</v>
      </c>
      <c r="AB34" s="68">
        <v>88358.5</v>
      </c>
      <c r="AC34" s="72">
        <v>46209</v>
      </c>
      <c r="AD34" s="69">
        <v>87867.85</v>
      </c>
      <c r="AE34" s="69"/>
      <c r="AF34" s="70">
        <f t="shared" si="14"/>
        <v>490.64999999999418</v>
      </c>
      <c r="AG34" s="69"/>
      <c r="AH34" s="66">
        <f t="shared" si="15"/>
        <v>88358.5</v>
      </c>
    </row>
    <row r="35" spans="1:34" x14ac:dyDescent="0.25">
      <c r="A35" s="65">
        <v>29</v>
      </c>
      <c r="B35" s="119">
        <v>46182</v>
      </c>
      <c r="C35" s="29" t="s">
        <v>45</v>
      </c>
      <c r="D35" s="140" t="s">
        <v>103</v>
      </c>
      <c r="E35" s="77" t="s">
        <v>87</v>
      </c>
      <c r="F35" s="77"/>
      <c r="G35" s="29">
        <v>1031</v>
      </c>
      <c r="H35" s="68">
        <v>44.44</v>
      </c>
      <c r="I35" s="29">
        <v>188</v>
      </c>
      <c r="J35" s="29">
        <v>241</v>
      </c>
      <c r="K35" s="29">
        <v>8.5</v>
      </c>
      <c r="L35" s="29">
        <v>13</v>
      </c>
      <c r="M35" s="29">
        <v>9</v>
      </c>
      <c r="N35" s="29">
        <v>28</v>
      </c>
      <c r="O35" s="29">
        <v>2</v>
      </c>
      <c r="P35" s="29">
        <v>23</v>
      </c>
      <c r="Q35" s="29">
        <v>677</v>
      </c>
      <c r="R35" s="77" t="s">
        <v>87</v>
      </c>
      <c r="S35" s="29">
        <v>1318</v>
      </c>
      <c r="T35" s="65">
        <v>1318</v>
      </c>
      <c r="U35" s="66">
        <v>0.65</v>
      </c>
      <c r="V35" s="66">
        <f>T35*U35</f>
        <v>856.7</v>
      </c>
      <c r="W35" s="65">
        <v>44</v>
      </c>
      <c r="X35" s="66">
        <f>Y35/44</f>
        <v>71.61363636363636</v>
      </c>
      <c r="Y35" s="66">
        <v>3151</v>
      </c>
      <c r="Z35" s="66"/>
      <c r="AA35" s="67">
        <v>94315</v>
      </c>
      <c r="AB35" s="68">
        <f>AA35-V35</f>
        <v>93458.3</v>
      </c>
      <c r="AC35" s="72">
        <v>46271</v>
      </c>
      <c r="AD35" s="69">
        <v>92903</v>
      </c>
      <c r="AE35" s="69"/>
      <c r="AF35" s="70">
        <f t="shared" si="14"/>
        <v>555.30000000000291</v>
      </c>
      <c r="AG35" s="69"/>
      <c r="AH35" s="66">
        <f t="shared" si="15"/>
        <v>93458.3</v>
      </c>
    </row>
    <row r="36" spans="1:34" x14ac:dyDescent="0.25">
      <c r="A36" s="65">
        <v>30</v>
      </c>
      <c r="B36" s="119">
        <v>46182</v>
      </c>
      <c r="C36" s="29" t="s">
        <v>45</v>
      </c>
      <c r="D36" s="140" t="s">
        <v>103</v>
      </c>
      <c r="E36" s="77" t="s">
        <v>87</v>
      </c>
      <c r="F36" s="77"/>
      <c r="G36" s="29">
        <v>1032</v>
      </c>
      <c r="H36" s="68">
        <v>43.65</v>
      </c>
      <c r="I36" s="29">
        <v>184</v>
      </c>
      <c r="J36" s="29">
        <v>235</v>
      </c>
      <c r="K36" s="29">
        <v>8.1</v>
      </c>
      <c r="L36" s="29">
        <v>10</v>
      </c>
      <c r="M36" s="29">
        <v>15</v>
      </c>
      <c r="N36" s="29">
        <v>27</v>
      </c>
      <c r="O36" s="29">
        <v>0</v>
      </c>
      <c r="P36" s="29">
        <v>27</v>
      </c>
      <c r="Q36" s="29">
        <v>679</v>
      </c>
      <c r="R36" s="77" t="s">
        <v>87</v>
      </c>
      <c r="S36" s="29">
        <v>1104</v>
      </c>
      <c r="T36" s="65">
        <f>721+360</f>
        <v>1081</v>
      </c>
      <c r="U36" s="66">
        <v>0.65</v>
      </c>
      <c r="V36" s="66">
        <f>T36*U36</f>
        <v>702.65</v>
      </c>
      <c r="W36" s="65">
        <v>36</v>
      </c>
      <c r="X36" s="66">
        <f>Y36/W36</f>
        <v>71.472222222222229</v>
      </c>
      <c r="Y36" s="66">
        <v>2573</v>
      </c>
      <c r="Z36" s="66"/>
      <c r="AA36" s="67">
        <v>77198</v>
      </c>
      <c r="AB36" s="68">
        <f>AA36-V36</f>
        <v>76495.350000000006</v>
      </c>
      <c r="AC36" s="72">
        <v>46271</v>
      </c>
      <c r="AD36" s="66">
        <v>75770.100000000006</v>
      </c>
      <c r="AE36" s="69"/>
      <c r="AF36" s="70">
        <f t="shared" si="14"/>
        <v>725.25</v>
      </c>
      <c r="AG36" s="69"/>
      <c r="AH36" s="66">
        <f t="shared" si="15"/>
        <v>76495.350000000006</v>
      </c>
    </row>
    <row r="37" spans="1:34" x14ac:dyDescent="0.25">
      <c r="A37" s="65">
        <v>31</v>
      </c>
      <c r="B37" s="119">
        <v>46183</v>
      </c>
      <c r="C37" s="29" t="s">
        <v>45</v>
      </c>
      <c r="D37" s="140" t="s">
        <v>103</v>
      </c>
      <c r="E37" s="77" t="s">
        <v>87</v>
      </c>
      <c r="F37" s="77"/>
      <c r="G37" s="29">
        <v>1033</v>
      </c>
      <c r="H37" s="68">
        <v>45.06</v>
      </c>
      <c r="I37" s="29">
        <v>186</v>
      </c>
      <c r="J37" s="29">
        <v>238</v>
      </c>
      <c r="K37" s="29">
        <v>8.1</v>
      </c>
      <c r="L37" s="29">
        <v>20</v>
      </c>
      <c r="M37" s="29">
        <v>15</v>
      </c>
      <c r="N37" s="29">
        <v>18</v>
      </c>
      <c r="O37" s="29">
        <v>1</v>
      </c>
      <c r="P37" s="29">
        <v>28</v>
      </c>
      <c r="Q37" s="29">
        <v>675</v>
      </c>
      <c r="R37" s="77" t="s">
        <v>87</v>
      </c>
      <c r="S37" s="29">
        <v>1108</v>
      </c>
      <c r="T37" s="65">
        <v>1108</v>
      </c>
      <c r="U37" s="66">
        <v>0.65</v>
      </c>
      <c r="V37" s="66">
        <f>T37*0.65</f>
        <v>720.2</v>
      </c>
      <c r="W37" s="65">
        <v>37</v>
      </c>
      <c r="X37" s="66">
        <f>Y37/37</f>
        <v>72.264864864864876</v>
      </c>
      <c r="Y37" s="66">
        <v>2673.8</v>
      </c>
      <c r="Z37" s="66"/>
      <c r="AA37" s="67">
        <v>78781</v>
      </c>
      <c r="AB37" s="68">
        <f>AA37-V37</f>
        <v>78060.800000000003</v>
      </c>
      <c r="AC37" s="72">
        <v>46301</v>
      </c>
      <c r="AD37" s="66">
        <f>78060</f>
        <v>78060</v>
      </c>
      <c r="AE37" s="69"/>
      <c r="AF37" s="70"/>
      <c r="AG37" s="69" t="s">
        <v>85</v>
      </c>
      <c r="AH37" s="66">
        <f t="shared" si="15"/>
        <v>78060</v>
      </c>
    </row>
    <row r="38" spans="1:34" x14ac:dyDescent="0.25">
      <c r="A38" s="65">
        <v>32</v>
      </c>
      <c r="B38" s="119">
        <v>46184</v>
      </c>
      <c r="C38" s="29" t="s">
        <v>45</v>
      </c>
      <c r="D38" s="65" t="s">
        <v>136</v>
      </c>
      <c r="E38" s="77" t="s">
        <v>118</v>
      </c>
      <c r="F38" s="77" t="s">
        <v>146</v>
      </c>
      <c r="G38" s="29">
        <v>1034</v>
      </c>
      <c r="H38" s="68">
        <v>48.41</v>
      </c>
      <c r="I38" s="29">
        <v>185</v>
      </c>
      <c r="J38" s="29">
        <v>258</v>
      </c>
      <c r="K38" s="29">
        <v>7.4</v>
      </c>
      <c r="L38" s="29">
        <v>22</v>
      </c>
      <c r="M38" s="29">
        <v>11</v>
      </c>
      <c r="N38" s="29">
        <v>14</v>
      </c>
      <c r="O38" s="29">
        <v>0</v>
      </c>
      <c r="P38" s="29">
        <v>6</v>
      </c>
      <c r="Q38" s="29">
        <v>679</v>
      </c>
      <c r="R38" s="77" t="s">
        <v>118</v>
      </c>
      <c r="S38" s="29">
        <v>591</v>
      </c>
      <c r="T38" s="65">
        <v>591</v>
      </c>
      <c r="U38" s="66">
        <v>0.65</v>
      </c>
      <c r="V38" s="66">
        <f>T38*U38</f>
        <v>384.15000000000003</v>
      </c>
      <c r="W38" s="65">
        <v>24</v>
      </c>
      <c r="X38" s="66">
        <f>Y38/W38</f>
        <v>73.666666666666671</v>
      </c>
      <c r="Y38" s="66">
        <v>1768</v>
      </c>
      <c r="Z38" s="66"/>
      <c r="AA38" s="67">
        <v>43436</v>
      </c>
      <c r="AB38" s="68">
        <f>AA38-V38</f>
        <v>43051.85</v>
      </c>
      <c r="AC38" s="72">
        <v>46332</v>
      </c>
      <c r="AD38" s="66">
        <v>42945.65</v>
      </c>
      <c r="AE38" s="69"/>
      <c r="AF38" s="70">
        <f>AB38-AD38</f>
        <v>106.19999999999709</v>
      </c>
      <c r="AG38" s="69"/>
      <c r="AH38" s="66">
        <f t="shared" si="15"/>
        <v>43051.85</v>
      </c>
    </row>
    <row r="39" spans="1:34" x14ac:dyDescent="0.25">
      <c r="A39" s="65">
        <v>33</v>
      </c>
      <c r="B39" s="119">
        <v>46184</v>
      </c>
      <c r="C39" s="29" t="s">
        <v>45</v>
      </c>
      <c r="D39" s="65" t="s">
        <v>136</v>
      </c>
      <c r="E39" s="77" t="s">
        <v>118</v>
      </c>
      <c r="F39" s="77" t="s">
        <v>146</v>
      </c>
      <c r="G39" s="29">
        <v>1035</v>
      </c>
      <c r="H39" s="68">
        <v>45.06</v>
      </c>
      <c r="I39" s="29">
        <v>188</v>
      </c>
      <c r="J39" s="29">
        <v>240</v>
      </c>
      <c r="K39" s="29">
        <v>7.1</v>
      </c>
      <c r="L39" s="29">
        <v>23</v>
      </c>
      <c r="M39" s="29">
        <v>16</v>
      </c>
      <c r="N39" s="29">
        <v>21</v>
      </c>
      <c r="O39" s="29">
        <v>4</v>
      </c>
      <c r="P39" s="29">
        <v>15</v>
      </c>
      <c r="Q39" s="29">
        <v>665</v>
      </c>
      <c r="R39" s="77" t="s">
        <v>118</v>
      </c>
      <c r="S39" s="29">
        <v>867</v>
      </c>
      <c r="T39" s="65">
        <v>867</v>
      </c>
      <c r="U39" s="66">
        <f>0.65</f>
        <v>0.65</v>
      </c>
      <c r="V39" s="66">
        <f>U39*T39</f>
        <v>563.55000000000007</v>
      </c>
      <c r="W39" s="65">
        <v>36</v>
      </c>
      <c r="X39" s="66">
        <f>Y39/W39</f>
        <v>72.927777777777777</v>
      </c>
      <c r="Y39" s="66">
        <v>2625.4</v>
      </c>
      <c r="Z39" s="66"/>
      <c r="AA39" s="67">
        <v>61930</v>
      </c>
      <c r="AB39" s="68">
        <v>61366.55</v>
      </c>
      <c r="AC39" s="72">
        <v>46332</v>
      </c>
      <c r="AD39" s="66">
        <v>61179</v>
      </c>
      <c r="AE39" s="69"/>
      <c r="AF39" s="70">
        <f>AB39-AD39</f>
        <v>187.55000000000291</v>
      </c>
      <c r="AG39" s="69"/>
      <c r="AH39" s="66">
        <f t="shared" si="15"/>
        <v>61366.55</v>
      </c>
    </row>
    <row r="40" spans="1:34" x14ac:dyDescent="0.25">
      <c r="A40" s="65">
        <v>34</v>
      </c>
      <c r="B40" s="119">
        <v>46185</v>
      </c>
      <c r="C40" s="29" t="s">
        <v>45</v>
      </c>
      <c r="D40" s="65" t="s">
        <v>136</v>
      </c>
      <c r="E40" s="77" t="s">
        <v>118</v>
      </c>
      <c r="F40" s="77" t="s">
        <v>146</v>
      </c>
      <c r="G40" s="29">
        <v>1036</v>
      </c>
      <c r="H40" s="68">
        <v>44.88</v>
      </c>
      <c r="I40" s="29">
        <v>185</v>
      </c>
      <c r="J40" s="29">
        <v>236</v>
      </c>
      <c r="K40" s="29">
        <v>7.5</v>
      </c>
      <c r="L40" s="29">
        <v>18</v>
      </c>
      <c r="M40" s="29">
        <v>19</v>
      </c>
      <c r="N40" s="29">
        <v>27</v>
      </c>
      <c r="O40" s="29">
        <v>0</v>
      </c>
      <c r="P40" s="29">
        <v>16</v>
      </c>
      <c r="Q40" s="29">
        <v>671</v>
      </c>
      <c r="R40" s="77" t="s">
        <v>118</v>
      </c>
      <c r="S40" s="29">
        <v>884</v>
      </c>
      <c r="T40" s="65">
        <v>884</v>
      </c>
      <c r="U40" s="66">
        <v>0.65</v>
      </c>
      <c r="V40" s="66">
        <f>T40*U40</f>
        <v>574.6</v>
      </c>
      <c r="W40" s="65">
        <v>38</v>
      </c>
      <c r="X40" s="66">
        <f>Y40/38</f>
        <v>69.692105263157899</v>
      </c>
      <c r="Y40" s="66">
        <v>2648.3</v>
      </c>
      <c r="Z40" s="66"/>
      <c r="AA40" s="67">
        <v>65368</v>
      </c>
      <c r="AB40" s="68">
        <f t="shared" ref="AB40:AB43" si="16">AA40-V40</f>
        <v>64793.4</v>
      </c>
      <c r="AC40" s="72">
        <v>46362</v>
      </c>
      <c r="AD40" s="66">
        <f>64571.4</f>
        <v>64571.4</v>
      </c>
      <c r="AE40" s="69"/>
      <c r="AF40" s="70">
        <f>AB40-AD40</f>
        <v>222</v>
      </c>
      <c r="AG40" s="69"/>
      <c r="AH40" s="66">
        <f t="shared" si="15"/>
        <v>64793.4</v>
      </c>
    </row>
    <row r="41" spans="1:34" x14ac:dyDescent="0.25">
      <c r="A41" s="65">
        <v>35</v>
      </c>
      <c r="B41" s="119">
        <v>46186</v>
      </c>
      <c r="C41" s="29" t="s">
        <v>45</v>
      </c>
      <c r="D41" s="65" t="s">
        <v>136</v>
      </c>
      <c r="E41" s="77" t="s">
        <v>118</v>
      </c>
      <c r="F41" s="77" t="s">
        <v>146</v>
      </c>
      <c r="G41" s="29">
        <v>1037</v>
      </c>
      <c r="H41" s="68">
        <v>44.62</v>
      </c>
      <c r="I41" s="29">
        <v>184</v>
      </c>
      <c r="J41" s="29">
        <v>234</v>
      </c>
      <c r="K41" s="29">
        <v>7.3</v>
      </c>
      <c r="L41" s="29">
        <v>18</v>
      </c>
      <c r="M41" s="29">
        <v>20</v>
      </c>
      <c r="N41" s="29">
        <v>23</v>
      </c>
      <c r="O41" s="29">
        <v>0</v>
      </c>
      <c r="P41" s="29">
        <v>33</v>
      </c>
      <c r="Q41" s="29">
        <v>663</v>
      </c>
      <c r="R41" s="77" t="s">
        <v>118</v>
      </c>
      <c r="S41" s="29">
        <v>966</v>
      </c>
      <c r="T41" s="65">
        <v>966</v>
      </c>
      <c r="U41" s="66">
        <v>0.65</v>
      </c>
      <c r="V41" s="66">
        <f>T41*U41</f>
        <v>627.9</v>
      </c>
      <c r="W41" s="65"/>
      <c r="X41" s="66"/>
      <c r="Y41" s="66">
        <v>2853</v>
      </c>
      <c r="Z41" s="66"/>
      <c r="AA41" s="67">
        <v>70726</v>
      </c>
      <c r="AB41" s="68">
        <f t="shared" si="16"/>
        <v>70098.100000000006</v>
      </c>
      <c r="AC41" s="84" t="s">
        <v>125</v>
      </c>
      <c r="AD41" s="66">
        <v>70098.100000000006</v>
      </c>
      <c r="AE41" s="69"/>
      <c r="AF41" s="70"/>
      <c r="AG41" s="69" t="s">
        <v>85</v>
      </c>
      <c r="AH41" s="66">
        <f t="shared" si="15"/>
        <v>70098.100000000006</v>
      </c>
    </row>
    <row r="42" spans="1:34" x14ac:dyDescent="0.25">
      <c r="A42" s="65">
        <v>36</v>
      </c>
      <c r="B42" s="119">
        <v>46188</v>
      </c>
      <c r="C42" s="29" t="s">
        <v>45</v>
      </c>
      <c r="D42" s="65" t="s">
        <v>136</v>
      </c>
      <c r="E42" s="77" t="s">
        <v>118</v>
      </c>
      <c r="F42" s="77" t="s">
        <v>146</v>
      </c>
      <c r="G42" s="29">
        <v>1038</v>
      </c>
      <c r="H42" s="68">
        <v>44</v>
      </c>
      <c r="I42" s="29">
        <v>186</v>
      </c>
      <c r="J42" s="29">
        <v>233</v>
      </c>
      <c r="K42" s="29">
        <v>7.6</v>
      </c>
      <c r="L42" s="29">
        <v>17</v>
      </c>
      <c r="M42" s="29">
        <v>16</v>
      </c>
      <c r="N42" s="29">
        <v>28</v>
      </c>
      <c r="O42" s="29">
        <v>2</v>
      </c>
      <c r="P42" s="29">
        <v>22</v>
      </c>
      <c r="Q42" s="29">
        <v>676</v>
      </c>
      <c r="R42" s="77" t="s">
        <v>118</v>
      </c>
      <c r="S42" s="29">
        <v>1325</v>
      </c>
      <c r="T42" s="65">
        <v>1325</v>
      </c>
      <c r="U42" s="66">
        <v>0.65</v>
      </c>
      <c r="V42" s="66">
        <f>T42*U42</f>
        <v>861.25</v>
      </c>
      <c r="W42" s="65"/>
      <c r="X42" s="66"/>
      <c r="Y42" s="66"/>
      <c r="Z42" s="66"/>
      <c r="AA42" s="67">
        <v>97807</v>
      </c>
      <c r="AB42" s="68">
        <f t="shared" si="16"/>
        <v>96945.75</v>
      </c>
      <c r="AC42" s="84" t="s">
        <v>128</v>
      </c>
      <c r="AD42" s="66">
        <v>96945.75</v>
      </c>
      <c r="AE42" s="69"/>
      <c r="AF42" s="70"/>
      <c r="AG42" s="69"/>
      <c r="AH42" s="66">
        <f t="shared" si="15"/>
        <v>96945.75</v>
      </c>
    </row>
    <row r="43" spans="1:34" x14ac:dyDescent="0.25">
      <c r="A43" s="65">
        <v>37</v>
      </c>
      <c r="B43" s="119">
        <v>46189</v>
      </c>
      <c r="C43" s="29" t="s">
        <v>133</v>
      </c>
      <c r="D43" s="65" t="s">
        <v>136</v>
      </c>
      <c r="E43" s="77" t="s">
        <v>118</v>
      </c>
      <c r="F43" s="77" t="s">
        <v>146</v>
      </c>
      <c r="G43" s="29">
        <v>1039</v>
      </c>
      <c r="H43" s="68">
        <v>44.7</v>
      </c>
      <c r="I43" s="29">
        <v>186</v>
      </c>
      <c r="J43" s="29">
        <v>240</v>
      </c>
      <c r="K43" s="29">
        <v>7.1</v>
      </c>
      <c r="L43" s="29">
        <v>15</v>
      </c>
      <c r="M43" s="29">
        <v>12</v>
      </c>
      <c r="N43" s="29">
        <v>25</v>
      </c>
      <c r="O43" s="29">
        <v>3</v>
      </c>
      <c r="P43" s="29">
        <v>22</v>
      </c>
      <c r="Q43" s="29">
        <v>672</v>
      </c>
      <c r="R43" s="77" t="s">
        <v>118</v>
      </c>
      <c r="S43" s="29">
        <v>1428</v>
      </c>
      <c r="T43" s="65">
        <v>1428</v>
      </c>
      <c r="U43" s="66">
        <v>0.65</v>
      </c>
      <c r="V43" s="66">
        <f>T43*U43</f>
        <v>928.2</v>
      </c>
      <c r="W43" s="65">
        <v>60</v>
      </c>
      <c r="X43" s="66"/>
      <c r="Y43" s="66">
        <v>4281.8</v>
      </c>
      <c r="Z43" s="66"/>
      <c r="AA43" s="67">
        <v>101669</v>
      </c>
      <c r="AB43" s="68">
        <f t="shared" si="16"/>
        <v>100740.8</v>
      </c>
      <c r="AC43" s="72" t="s">
        <v>132</v>
      </c>
      <c r="AD43" s="66">
        <f t="shared" ref="AD43:AD63" si="17">AB43</f>
        <v>100740.8</v>
      </c>
      <c r="AE43" s="69"/>
      <c r="AF43" s="70"/>
      <c r="AG43" s="69"/>
      <c r="AH43" s="66">
        <f t="shared" si="15"/>
        <v>100740.8</v>
      </c>
    </row>
    <row r="44" spans="1:34" x14ac:dyDescent="0.25">
      <c r="A44" s="65">
        <v>38</v>
      </c>
      <c r="B44" s="119">
        <v>46190</v>
      </c>
      <c r="C44" s="29" t="s">
        <v>133</v>
      </c>
      <c r="D44" s="65" t="s">
        <v>136</v>
      </c>
      <c r="E44" s="77" t="s">
        <v>118</v>
      </c>
      <c r="F44" s="77" t="s">
        <v>146</v>
      </c>
      <c r="G44" s="29">
        <v>1040</v>
      </c>
      <c r="H44" s="68">
        <v>44.07</v>
      </c>
      <c r="I44" s="29">
        <v>182</v>
      </c>
      <c r="J44" s="29">
        <v>234</v>
      </c>
      <c r="K44" s="29">
        <v>8.1999999999999993</v>
      </c>
      <c r="L44" s="29">
        <v>9</v>
      </c>
      <c r="M44" s="29">
        <v>14</v>
      </c>
      <c r="N44" s="29">
        <v>33</v>
      </c>
      <c r="O44" s="29">
        <v>5</v>
      </c>
      <c r="P44" s="29">
        <v>22</v>
      </c>
      <c r="Q44" s="29">
        <v>672</v>
      </c>
      <c r="R44" s="77" t="s">
        <v>118</v>
      </c>
      <c r="S44" s="29">
        <f>455+1030</f>
        <v>1485</v>
      </c>
      <c r="T44" s="65">
        <v>1485</v>
      </c>
      <c r="U44" s="66">
        <f>0.65</f>
        <v>0.65</v>
      </c>
      <c r="V44" s="66">
        <f>T44*U44</f>
        <v>965.25</v>
      </c>
      <c r="W44" s="65">
        <f>16+37</f>
        <v>53</v>
      </c>
      <c r="X44" s="66">
        <f>Y44/W44</f>
        <v>69.335849056603777</v>
      </c>
      <c r="Y44" s="66">
        <f>1179.8+2495</f>
        <v>3674.8</v>
      </c>
      <c r="Z44" s="66"/>
      <c r="AA44" s="176">
        <f>35047.8+77188</f>
        <v>112235.8</v>
      </c>
      <c r="AB44" s="68">
        <f t="shared" ref="AB44:AB51" si="18">AA44-V44</f>
        <v>111270.55</v>
      </c>
      <c r="AC44" s="72" t="s">
        <v>134</v>
      </c>
      <c r="AD44" s="66">
        <f t="shared" si="17"/>
        <v>111270.55</v>
      </c>
      <c r="AE44" s="69"/>
      <c r="AF44" s="70"/>
      <c r="AG44" s="69" t="s">
        <v>178</v>
      </c>
      <c r="AH44" s="66">
        <f t="shared" si="15"/>
        <v>111270.55</v>
      </c>
    </row>
    <row r="45" spans="1:34" x14ac:dyDescent="0.25">
      <c r="A45" s="65">
        <v>39</v>
      </c>
      <c r="B45" s="119">
        <v>46191</v>
      </c>
      <c r="C45" s="29" t="s">
        <v>133</v>
      </c>
      <c r="D45" s="65" t="s">
        <v>136</v>
      </c>
      <c r="E45" s="77" t="s">
        <v>118</v>
      </c>
      <c r="F45" s="77" t="s">
        <v>146</v>
      </c>
      <c r="G45" s="29">
        <v>1041</v>
      </c>
      <c r="H45" s="68">
        <v>43.73</v>
      </c>
      <c r="I45" s="29">
        <v>187</v>
      </c>
      <c r="J45" s="29">
        <v>229</v>
      </c>
      <c r="K45" s="29">
        <v>8.1</v>
      </c>
      <c r="L45" s="29">
        <v>12</v>
      </c>
      <c r="M45" s="29">
        <v>15</v>
      </c>
      <c r="N45" s="29">
        <v>36</v>
      </c>
      <c r="O45" s="29">
        <v>5</v>
      </c>
      <c r="P45" s="29">
        <v>26</v>
      </c>
      <c r="Q45" s="29">
        <v>669</v>
      </c>
      <c r="R45" s="77" t="s">
        <v>118</v>
      </c>
      <c r="S45" s="29">
        <v>2039</v>
      </c>
      <c r="T45" s="65">
        <v>2039</v>
      </c>
      <c r="U45" s="66">
        <v>0.65</v>
      </c>
      <c r="V45" s="66">
        <f>U45*T45</f>
        <v>1325.3500000000001</v>
      </c>
      <c r="W45" s="65"/>
      <c r="X45" s="66"/>
      <c r="Y45" s="66"/>
      <c r="Z45" s="66"/>
      <c r="AA45" s="176">
        <v>155376</v>
      </c>
      <c r="AB45" s="68">
        <f t="shared" si="18"/>
        <v>154050.65</v>
      </c>
      <c r="AC45" s="72" t="s">
        <v>140</v>
      </c>
      <c r="AD45" s="66">
        <f t="shared" si="17"/>
        <v>154050.65</v>
      </c>
      <c r="AE45" s="69"/>
      <c r="AF45" s="70"/>
      <c r="AG45" s="69" t="s">
        <v>178</v>
      </c>
      <c r="AH45" s="66">
        <f t="shared" si="15"/>
        <v>154050.65</v>
      </c>
    </row>
    <row r="46" spans="1:34" x14ac:dyDescent="0.25">
      <c r="A46" s="65">
        <v>40</v>
      </c>
      <c r="B46" s="119">
        <v>46192</v>
      </c>
      <c r="C46" s="29" t="s">
        <v>133</v>
      </c>
      <c r="D46" s="65" t="s">
        <v>136</v>
      </c>
      <c r="E46" s="77" t="s">
        <v>118</v>
      </c>
      <c r="F46" s="77" t="s">
        <v>146</v>
      </c>
      <c r="G46" s="29">
        <v>1042</v>
      </c>
      <c r="H46" s="68">
        <v>45.01</v>
      </c>
      <c r="I46" s="29">
        <v>188</v>
      </c>
      <c r="J46" s="29">
        <v>235</v>
      </c>
      <c r="K46" s="29">
        <v>7.4</v>
      </c>
      <c r="L46" s="29">
        <v>17</v>
      </c>
      <c r="M46" s="29">
        <v>13</v>
      </c>
      <c r="N46" s="29">
        <v>24</v>
      </c>
      <c r="O46" s="29">
        <v>0</v>
      </c>
      <c r="P46" s="29">
        <v>39</v>
      </c>
      <c r="Q46" s="29">
        <v>665</v>
      </c>
      <c r="R46" s="77" t="s">
        <v>118</v>
      </c>
      <c r="S46" s="29">
        <v>719</v>
      </c>
      <c r="T46" s="65">
        <v>719</v>
      </c>
      <c r="U46" s="66">
        <v>0.65</v>
      </c>
      <c r="V46" s="66">
        <f>U46*T46</f>
        <v>467.35</v>
      </c>
      <c r="W46" s="65">
        <v>25</v>
      </c>
      <c r="X46" s="66">
        <f>Y46/W46</f>
        <v>73.536000000000001</v>
      </c>
      <c r="Y46" s="66">
        <f>890+457.2+491.2</f>
        <v>1838.4</v>
      </c>
      <c r="Z46" s="66"/>
      <c r="AA46" s="67">
        <v>51687.6</v>
      </c>
      <c r="AB46" s="68">
        <f t="shared" si="18"/>
        <v>51220.25</v>
      </c>
      <c r="AC46" s="72" t="s">
        <v>141</v>
      </c>
      <c r="AD46" s="66">
        <f t="shared" si="17"/>
        <v>51220.25</v>
      </c>
      <c r="AE46" s="69"/>
      <c r="AF46" s="70"/>
      <c r="AG46" s="69"/>
      <c r="AH46" s="66">
        <f t="shared" si="15"/>
        <v>51220.25</v>
      </c>
    </row>
    <row r="47" spans="1:34" x14ac:dyDescent="0.25">
      <c r="A47" s="65">
        <v>41</v>
      </c>
      <c r="B47" s="119">
        <v>46195</v>
      </c>
      <c r="C47" s="29" t="s">
        <v>133</v>
      </c>
      <c r="D47" s="65" t="s">
        <v>136</v>
      </c>
      <c r="E47" s="77" t="s">
        <v>118</v>
      </c>
      <c r="F47" s="77" t="s">
        <v>146</v>
      </c>
      <c r="G47" s="29">
        <v>1043</v>
      </c>
      <c r="H47" s="68">
        <v>44.62</v>
      </c>
      <c r="I47" s="29">
        <v>193</v>
      </c>
      <c r="J47" s="29">
        <v>231</v>
      </c>
      <c r="K47" s="29">
        <v>7.4</v>
      </c>
      <c r="L47" s="29">
        <v>17</v>
      </c>
      <c r="M47" s="29">
        <v>22</v>
      </c>
      <c r="N47" s="29">
        <v>25</v>
      </c>
      <c r="O47" s="29">
        <v>2</v>
      </c>
      <c r="P47" s="29">
        <v>27</v>
      </c>
      <c r="Q47" s="29">
        <v>666</v>
      </c>
      <c r="R47" s="77" t="s">
        <v>118</v>
      </c>
      <c r="S47" s="29">
        <v>1309</v>
      </c>
      <c r="T47" s="65">
        <v>1309</v>
      </c>
      <c r="U47" s="66">
        <v>0.65</v>
      </c>
      <c r="V47" s="66">
        <f>T47*U47</f>
        <v>850.85</v>
      </c>
      <c r="W47" s="65">
        <f>25+19</f>
        <v>44</v>
      </c>
      <c r="X47" s="66">
        <f>3221.6/44</f>
        <v>73.218181818181819</v>
      </c>
      <c r="Y47" s="66">
        <v>3221.6</v>
      </c>
      <c r="Z47" s="66"/>
      <c r="AA47" s="67">
        <v>94894.399999999994</v>
      </c>
      <c r="AB47" s="68">
        <f t="shared" si="18"/>
        <v>94043.549999999988</v>
      </c>
      <c r="AC47" s="72" t="s">
        <v>144</v>
      </c>
      <c r="AD47" s="66">
        <f t="shared" si="17"/>
        <v>94043.549999999988</v>
      </c>
      <c r="AE47" s="69"/>
      <c r="AF47" s="70"/>
      <c r="AG47" s="69"/>
      <c r="AH47" s="66">
        <f t="shared" si="15"/>
        <v>94043.549999999988</v>
      </c>
    </row>
    <row r="48" spans="1:34" x14ac:dyDescent="0.25">
      <c r="A48" s="65">
        <v>42</v>
      </c>
      <c r="B48" s="119">
        <v>46196</v>
      </c>
      <c r="C48" s="29" t="s">
        <v>133</v>
      </c>
      <c r="D48" s="65" t="s">
        <v>149</v>
      </c>
      <c r="E48" s="77" t="s">
        <v>150</v>
      </c>
      <c r="F48" s="77" t="s">
        <v>157</v>
      </c>
      <c r="G48" s="29">
        <v>1044</v>
      </c>
      <c r="H48" s="68">
        <v>47.57</v>
      </c>
      <c r="I48" s="29">
        <v>186</v>
      </c>
      <c r="J48" s="29">
        <v>260</v>
      </c>
      <c r="K48" s="29">
        <v>7.8</v>
      </c>
      <c r="L48" s="29">
        <v>8</v>
      </c>
      <c r="M48" s="29">
        <v>10</v>
      </c>
      <c r="N48" s="29">
        <v>28</v>
      </c>
      <c r="O48" s="29">
        <v>0</v>
      </c>
      <c r="P48" s="29">
        <v>14</v>
      </c>
      <c r="Q48" s="29">
        <v>667</v>
      </c>
      <c r="R48" s="77" t="s">
        <v>150</v>
      </c>
      <c r="S48" s="29">
        <v>1440</v>
      </c>
      <c r="T48" s="65">
        <v>1440</v>
      </c>
      <c r="U48" s="66">
        <f>0.65</f>
        <v>0.65</v>
      </c>
      <c r="V48" s="66">
        <f>T48*U48</f>
        <v>936</v>
      </c>
      <c r="W48" s="65">
        <v>48</v>
      </c>
      <c r="X48" s="66">
        <f>Y48/W48</f>
        <v>74.875</v>
      </c>
      <c r="Y48" s="66">
        <v>3594</v>
      </c>
      <c r="Z48" s="66"/>
      <c r="AA48" s="176">
        <f>109098</f>
        <v>109098</v>
      </c>
      <c r="AB48" s="68">
        <f t="shared" si="18"/>
        <v>108162</v>
      </c>
      <c r="AC48" s="72" t="s">
        <v>147</v>
      </c>
      <c r="AD48" s="66">
        <f t="shared" si="17"/>
        <v>108162</v>
      </c>
      <c r="AE48" s="69"/>
      <c r="AF48" s="70"/>
      <c r="AG48" s="69" t="s">
        <v>178</v>
      </c>
      <c r="AH48" s="66">
        <f t="shared" si="15"/>
        <v>108162</v>
      </c>
    </row>
    <row r="49" spans="1:34" x14ac:dyDescent="0.25">
      <c r="A49" s="65">
        <v>43</v>
      </c>
      <c r="B49" s="119">
        <v>46198</v>
      </c>
      <c r="C49" s="29" t="s">
        <v>133</v>
      </c>
      <c r="D49" s="65" t="s">
        <v>149</v>
      </c>
      <c r="E49" s="77" t="s">
        <v>150</v>
      </c>
      <c r="F49" s="77" t="s">
        <v>157</v>
      </c>
      <c r="G49" s="29">
        <v>1045</v>
      </c>
      <c r="H49" s="68">
        <v>46.47</v>
      </c>
      <c r="I49" s="29">
        <v>184</v>
      </c>
      <c r="J49" s="29">
        <v>253</v>
      </c>
      <c r="K49" s="29">
        <v>8.1</v>
      </c>
      <c r="L49" s="29">
        <v>13</v>
      </c>
      <c r="M49" s="29">
        <v>9</v>
      </c>
      <c r="N49" s="29">
        <v>18</v>
      </c>
      <c r="O49" s="29">
        <v>0</v>
      </c>
      <c r="P49" s="29">
        <v>31</v>
      </c>
      <c r="Q49" s="29">
        <v>666</v>
      </c>
      <c r="R49" s="77" t="s">
        <v>150</v>
      </c>
      <c r="S49" s="29">
        <v>1321</v>
      </c>
      <c r="T49" s="65">
        <v>1321</v>
      </c>
      <c r="U49" s="66">
        <v>0.65</v>
      </c>
      <c r="V49" s="66">
        <f>U49*T49</f>
        <v>858.65</v>
      </c>
      <c r="W49" s="65">
        <v>44</v>
      </c>
      <c r="X49" s="66">
        <f>Y49/W49</f>
        <v>73.931818181818187</v>
      </c>
      <c r="Y49" s="66">
        <v>3253</v>
      </c>
      <c r="Z49" s="66"/>
      <c r="AA49" s="176">
        <f>102851-Y49</f>
        <v>99598</v>
      </c>
      <c r="AB49" s="68">
        <f t="shared" si="18"/>
        <v>98739.35</v>
      </c>
      <c r="AC49" s="72" t="s">
        <v>156</v>
      </c>
      <c r="AD49" s="66">
        <f t="shared" si="17"/>
        <v>98739.35</v>
      </c>
      <c r="AE49" s="69"/>
      <c r="AF49" s="70"/>
      <c r="AG49" s="69" t="s">
        <v>178</v>
      </c>
      <c r="AH49" s="66">
        <f t="shared" si="15"/>
        <v>98739.35</v>
      </c>
    </row>
    <row r="50" spans="1:34" x14ac:dyDescent="0.25">
      <c r="A50" s="65">
        <v>44</v>
      </c>
      <c r="B50" s="119">
        <v>46199</v>
      </c>
      <c r="C50" s="29" t="s">
        <v>133</v>
      </c>
      <c r="D50" s="65" t="s">
        <v>149</v>
      </c>
      <c r="E50" s="77" t="s">
        <v>150</v>
      </c>
      <c r="F50" s="77" t="s">
        <v>157</v>
      </c>
      <c r="G50" s="29">
        <v>1046</v>
      </c>
      <c r="H50" s="68">
        <v>45.71</v>
      </c>
      <c r="I50" s="29">
        <v>190</v>
      </c>
      <c r="J50" s="29">
        <v>239</v>
      </c>
      <c r="K50" s="29">
        <v>8.5</v>
      </c>
      <c r="L50" s="29">
        <v>20</v>
      </c>
      <c r="M50" s="29">
        <v>20</v>
      </c>
      <c r="N50" s="29">
        <v>18</v>
      </c>
      <c r="O50" s="29">
        <v>3</v>
      </c>
      <c r="P50" s="29">
        <v>22</v>
      </c>
      <c r="Q50" s="29">
        <v>673</v>
      </c>
      <c r="R50" s="77" t="s">
        <v>150</v>
      </c>
      <c r="S50" s="29">
        <v>1500</v>
      </c>
      <c r="T50" s="65">
        <v>1500</v>
      </c>
      <c r="U50" s="66">
        <v>0.65</v>
      </c>
      <c r="V50" s="66">
        <f>U50*T50</f>
        <v>975</v>
      </c>
      <c r="W50" s="65">
        <f>50</f>
        <v>50</v>
      </c>
      <c r="X50" s="66">
        <f>Y50/50</f>
        <v>72.013999999999996</v>
      </c>
      <c r="Y50" s="66">
        <f>3600.7</f>
        <v>3600.7</v>
      </c>
      <c r="Z50" s="66"/>
      <c r="AA50" s="176">
        <v>116651.4</v>
      </c>
      <c r="AB50" s="68">
        <f t="shared" si="18"/>
        <v>115676.4</v>
      </c>
      <c r="AC50" s="72" t="s">
        <v>158</v>
      </c>
      <c r="AD50" s="66">
        <f t="shared" si="17"/>
        <v>115676.4</v>
      </c>
      <c r="AE50" s="69"/>
      <c r="AF50" s="70"/>
      <c r="AG50" s="69" t="s">
        <v>178</v>
      </c>
      <c r="AH50" s="66">
        <f t="shared" si="15"/>
        <v>115676.4</v>
      </c>
    </row>
    <row r="51" spans="1:34" x14ac:dyDescent="0.25">
      <c r="A51" s="65">
        <v>45</v>
      </c>
      <c r="B51" s="119">
        <v>46200</v>
      </c>
      <c r="C51" s="29" t="s">
        <v>133</v>
      </c>
      <c r="D51" s="65" t="s">
        <v>149</v>
      </c>
      <c r="E51" s="77" t="s">
        <v>150</v>
      </c>
      <c r="F51" s="77" t="s">
        <v>157</v>
      </c>
      <c r="G51" s="29">
        <v>1047</v>
      </c>
      <c r="H51" s="68">
        <v>45.81</v>
      </c>
      <c r="I51" s="29">
        <v>196</v>
      </c>
      <c r="J51" s="29">
        <v>240</v>
      </c>
      <c r="K51" s="29">
        <v>8</v>
      </c>
      <c r="L51" s="29">
        <v>21</v>
      </c>
      <c r="M51" s="29">
        <v>16</v>
      </c>
      <c r="N51" s="29">
        <v>24</v>
      </c>
      <c r="O51" s="29">
        <v>0</v>
      </c>
      <c r="P51" s="29">
        <v>24</v>
      </c>
      <c r="Q51" s="29">
        <v>663</v>
      </c>
      <c r="R51" s="77" t="s">
        <v>150</v>
      </c>
      <c r="S51" s="29">
        <v>1502</v>
      </c>
      <c r="T51" s="65">
        <v>1502</v>
      </c>
      <c r="U51" s="66">
        <v>0.65</v>
      </c>
      <c r="V51" s="66">
        <f>T51*U51</f>
        <v>976.30000000000007</v>
      </c>
      <c r="W51" s="65">
        <v>50</v>
      </c>
      <c r="X51" s="66">
        <f>Y51/50</f>
        <v>70.828000000000003</v>
      </c>
      <c r="Y51" s="66">
        <v>3541.4</v>
      </c>
      <c r="Z51" s="66"/>
      <c r="AA51" s="176">
        <v>110815.8</v>
      </c>
      <c r="AB51" s="68">
        <f t="shared" si="18"/>
        <v>109839.5</v>
      </c>
      <c r="AC51" s="72" t="s">
        <v>158</v>
      </c>
      <c r="AD51" s="66">
        <f t="shared" si="17"/>
        <v>109839.5</v>
      </c>
      <c r="AE51" s="69"/>
      <c r="AF51" s="70"/>
      <c r="AG51" s="69" t="s">
        <v>178</v>
      </c>
      <c r="AH51" s="66">
        <f t="shared" si="15"/>
        <v>109839.5</v>
      </c>
    </row>
    <row r="52" spans="1:34" x14ac:dyDescent="0.25">
      <c r="A52" s="65">
        <v>46</v>
      </c>
      <c r="B52" s="119">
        <v>46201</v>
      </c>
      <c r="C52" s="29" t="s">
        <v>133</v>
      </c>
      <c r="D52" s="65" t="s">
        <v>149</v>
      </c>
      <c r="E52" s="77" t="s">
        <v>150</v>
      </c>
      <c r="F52" s="77" t="s">
        <v>157</v>
      </c>
      <c r="G52" s="29">
        <v>1048</v>
      </c>
      <c r="H52" s="68">
        <v>46.42</v>
      </c>
      <c r="I52" s="29">
        <v>197</v>
      </c>
      <c r="J52" s="29">
        <v>248</v>
      </c>
      <c r="K52" s="29">
        <v>7.8</v>
      </c>
      <c r="L52" s="29">
        <v>16</v>
      </c>
      <c r="M52" s="29">
        <v>15</v>
      </c>
      <c r="N52" s="29">
        <v>26</v>
      </c>
      <c r="O52" s="29">
        <v>0</v>
      </c>
      <c r="P52" s="29">
        <v>27</v>
      </c>
      <c r="Q52" s="29">
        <v>657</v>
      </c>
      <c r="R52" s="77" t="s">
        <v>150</v>
      </c>
      <c r="S52" s="29">
        <v>1170</v>
      </c>
      <c r="T52" s="65">
        <v>1170</v>
      </c>
      <c r="U52" s="66">
        <v>0.65</v>
      </c>
      <c r="V52" s="66">
        <f>T52*U52</f>
        <v>760.5</v>
      </c>
      <c r="W52" s="65">
        <v>39</v>
      </c>
      <c r="X52" s="66">
        <f>Y52/39</f>
        <v>74.697435897435895</v>
      </c>
      <c r="Y52" s="66">
        <f>2913.2</f>
        <v>2913.2</v>
      </c>
      <c r="Z52" s="66"/>
      <c r="AA52" s="176">
        <f>87594.5-Y52</f>
        <v>84681.3</v>
      </c>
      <c r="AB52" s="68">
        <f t="shared" ref="AB52:AB66" si="19">AA52-V52</f>
        <v>83920.8</v>
      </c>
      <c r="AC52" s="72" t="s">
        <v>177</v>
      </c>
      <c r="AD52" s="66">
        <f t="shared" si="17"/>
        <v>83920.8</v>
      </c>
      <c r="AE52" s="69"/>
      <c r="AF52" s="70"/>
      <c r="AG52" s="69" t="s">
        <v>178</v>
      </c>
      <c r="AH52" s="66">
        <f t="shared" si="15"/>
        <v>83920.8</v>
      </c>
    </row>
    <row r="53" spans="1:34" x14ac:dyDescent="0.25">
      <c r="A53" s="65">
        <v>47</v>
      </c>
      <c r="B53" s="119">
        <v>46202</v>
      </c>
      <c r="C53" s="29" t="s">
        <v>133</v>
      </c>
      <c r="D53" s="65" t="s">
        <v>149</v>
      </c>
      <c r="E53" s="77" t="s">
        <v>150</v>
      </c>
      <c r="F53" s="77" t="s">
        <v>157</v>
      </c>
      <c r="G53" s="29">
        <v>1049</v>
      </c>
      <c r="H53" s="68">
        <v>45.63</v>
      </c>
      <c r="I53" s="29">
        <v>188</v>
      </c>
      <c r="J53" s="29">
        <v>250</v>
      </c>
      <c r="K53" s="29">
        <v>7.7</v>
      </c>
      <c r="L53" s="29">
        <v>3</v>
      </c>
      <c r="M53" s="29">
        <v>8</v>
      </c>
      <c r="N53" s="29">
        <v>32</v>
      </c>
      <c r="O53" s="29">
        <v>4</v>
      </c>
      <c r="P53" s="29">
        <v>21</v>
      </c>
      <c r="Q53" s="29">
        <v>673</v>
      </c>
      <c r="R53" s="77" t="s">
        <v>150</v>
      </c>
      <c r="S53" s="29">
        <v>1504</v>
      </c>
      <c r="T53" s="65">
        <v>1504</v>
      </c>
      <c r="U53" s="180">
        <v>0.65</v>
      </c>
      <c r="V53" s="66">
        <f>T53*U53</f>
        <v>977.6</v>
      </c>
      <c r="W53" s="65">
        <v>50</v>
      </c>
      <c r="X53" s="180">
        <f t="shared" ref="X53:X66" si="20">Y53/W53</f>
        <v>72.313999999999993</v>
      </c>
      <c r="Y53" s="180">
        <f>3615.7</f>
        <v>3615.7</v>
      </c>
      <c r="Z53" s="180"/>
      <c r="AA53" s="176">
        <f>107540.1-Y53</f>
        <v>103924.40000000001</v>
      </c>
      <c r="AB53" s="68">
        <f t="shared" si="19"/>
        <v>102946.8</v>
      </c>
      <c r="AC53" s="72" t="s">
        <v>180</v>
      </c>
      <c r="AD53" s="66">
        <f t="shared" si="17"/>
        <v>102946.8</v>
      </c>
      <c r="AE53" s="181"/>
      <c r="AF53" s="182"/>
      <c r="AG53" s="69" t="s">
        <v>178</v>
      </c>
      <c r="AH53" s="66">
        <f t="shared" si="15"/>
        <v>102946.8</v>
      </c>
    </row>
    <row r="54" spans="1:34" x14ac:dyDescent="0.25">
      <c r="A54" s="65">
        <v>48</v>
      </c>
      <c r="B54" s="119">
        <v>46203</v>
      </c>
      <c r="C54" s="29" t="s">
        <v>133</v>
      </c>
      <c r="D54" s="65" t="s">
        <v>149</v>
      </c>
      <c r="E54" s="77" t="s">
        <v>150</v>
      </c>
      <c r="F54" s="77" t="s">
        <v>157</v>
      </c>
      <c r="G54" s="29">
        <v>1050</v>
      </c>
      <c r="H54" s="68">
        <v>46.07</v>
      </c>
      <c r="I54" s="29">
        <v>191</v>
      </c>
      <c r="J54" s="29">
        <v>246</v>
      </c>
      <c r="K54" s="29">
        <v>8.1</v>
      </c>
      <c r="L54" s="29">
        <v>14</v>
      </c>
      <c r="M54" s="29">
        <v>15</v>
      </c>
      <c r="N54" s="29">
        <v>26</v>
      </c>
      <c r="O54" s="29">
        <v>4</v>
      </c>
      <c r="P54" s="29">
        <v>14</v>
      </c>
      <c r="Q54" s="29">
        <v>672</v>
      </c>
      <c r="R54" s="77" t="s">
        <v>150</v>
      </c>
      <c r="S54" s="29">
        <v>3007</v>
      </c>
      <c r="T54" s="65">
        <v>3007</v>
      </c>
      <c r="U54" s="180">
        <f>0.65</f>
        <v>0.65</v>
      </c>
      <c r="V54" s="66">
        <f>T54*U54</f>
        <v>1954.55</v>
      </c>
      <c r="W54" s="65">
        <v>100</v>
      </c>
      <c r="X54" s="180">
        <f t="shared" si="20"/>
        <v>70.522999999999996</v>
      </c>
      <c r="Y54" s="180">
        <f>7052.3</f>
        <v>7052.3</v>
      </c>
      <c r="Z54" s="180"/>
      <c r="AA54" s="176">
        <f>223527.1</f>
        <v>223527.1</v>
      </c>
      <c r="AB54" s="68">
        <f t="shared" si="19"/>
        <v>221572.55000000002</v>
      </c>
      <c r="AC54" s="72" t="s">
        <v>185</v>
      </c>
      <c r="AD54" s="66">
        <f t="shared" si="17"/>
        <v>221572.55000000002</v>
      </c>
      <c r="AE54" s="181"/>
      <c r="AF54" s="182"/>
      <c r="AG54" s="69" t="s">
        <v>178</v>
      </c>
      <c r="AH54" s="66">
        <f t="shared" si="15"/>
        <v>221572.55000000002</v>
      </c>
    </row>
    <row r="55" spans="1:34" x14ac:dyDescent="0.25">
      <c r="A55" s="65">
        <v>49</v>
      </c>
      <c r="B55" s="119">
        <v>46204</v>
      </c>
      <c r="C55" s="29" t="s">
        <v>133</v>
      </c>
      <c r="D55" s="65" t="s">
        <v>149</v>
      </c>
      <c r="E55" s="77" t="s">
        <v>150</v>
      </c>
      <c r="F55" s="77" t="s">
        <v>157</v>
      </c>
      <c r="G55" s="29">
        <v>1051</v>
      </c>
      <c r="H55" s="68">
        <v>43.82</v>
      </c>
      <c r="I55" s="29">
        <v>178</v>
      </c>
      <c r="J55" s="29">
        <v>231</v>
      </c>
      <c r="K55" s="29">
        <v>8.3000000000000007</v>
      </c>
      <c r="L55" s="29">
        <v>12</v>
      </c>
      <c r="M55" s="29">
        <v>15</v>
      </c>
      <c r="N55" s="29">
        <v>36</v>
      </c>
      <c r="O55" s="29">
        <v>4</v>
      </c>
      <c r="P55" s="29">
        <v>13</v>
      </c>
      <c r="Q55" s="29">
        <v>682</v>
      </c>
      <c r="R55" s="77" t="s">
        <v>150</v>
      </c>
      <c r="S55" s="29">
        <v>751</v>
      </c>
      <c r="T55" s="65">
        <v>751</v>
      </c>
      <c r="U55" s="180">
        <v>0.65</v>
      </c>
      <c r="V55" s="66">
        <f>T55*U55</f>
        <v>488.15000000000003</v>
      </c>
      <c r="W55" s="65">
        <v>25</v>
      </c>
      <c r="X55" s="180">
        <f t="shared" si="20"/>
        <v>71.92</v>
      </c>
      <c r="Y55" s="180">
        <f>1798</f>
        <v>1798</v>
      </c>
      <c r="Z55" s="180"/>
      <c r="AA55" s="176">
        <f>57966</f>
        <v>57966</v>
      </c>
      <c r="AB55" s="68">
        <f t="shared" si="19"/>
        <v>57477.85</v>
      </c>
      <c r="AC55" s="72">
        <v>46029</v>
      </c>
      <c r="AD55" s="66">
        <f t="shared" si="17"/>
        <v>57477.85</v>
      </c>
      <c r="AE55" s="181"/>
      <c r="AF55" s="182"/>
      <c r="AG55" s="69" t="s">
        <v>178</v>
      </c>
      <c r="AH55" s="66">
        <f t="shared" si="15"/>
        <v>57477.85</v>
      </c>
    </row>
    <row r="56" spans="1:34" x14ac:dyDescent="0.25">
      <c r="A56" s="65">
        <v>50</v>
      </c>
      <c r="B56" s="119">
        <v>46205</v>
      </c>
      <c r="C56" s="29" t="s">
        <v>133</v>
      </c>
      <c r="D56" s="65" t="s">
        <v>149</v>
      </c>
      <c r="E56" s="77" t="s">
        <v>150</v>
      </c>
      <c r="F56" s="77" t="s">
        <v>146</v>
      </c>
      <c r="G56" s="29">
        <v>1051</v>
      </c>
      <c r="H56" s="68">
        <v>43.82</v>
      </c>
      <c r="I56" s="29">
        <v>178</v>
      </c>
      <c r="J56" s="29">
        <v>231</v>
      </c>
      <c r="K56" s="29">
        <v>8.3000000000000007</v>
      </c>
      <c r="L56" s="29">
        <v>12</v>
      </c>
      <c r="M56" s="29">
        <v>15</v>
      </c>
      <c r="N56" s="29">
        <v>36</v>
      </c>
      <c r="O56" s="29">
        <v>4</v>
      </c>
      <c r="P56" s="29">
        <v>13</v>
      </c>
      <c r="Q56" s="29">
        <v>682</v>
      </c>
      <c r="R56" s="77" t="s">
        <v>150</v>
      </c>
      <c r="S56" s="29">
        <f>2407</f>
        <v>2407</v>
      </c>
      <c r="T56" s="65">
        <f>2407</f>
        <v>2407</v>
      </c>
      <c r="U56" s="180">
        <v>0.65</v>
      </c>
      <c r="V56" s="66">
        <f t="shared" ref="V56:V66" si="21">T56*U56</f>
        <v>1564.55</v>
      </c>
      <c r="W56" s="65">
        <f>81</f>
        <v>81</v>
      </c>
      <c r="X56" s="180">
        <f t="shared" si="20"/>
        <v>72.946913580246914</v>
      </c>
      <c r="Y56" s="180">
        <f>5908.7</f>
        <v>5908.7</v>
      </c>
      <c r="Z56" s="180"/>
      <c r="AA56" s="195">
        <f>178862.3</f>
        <v>178862.3</v>
      </c>
      <c r="AB56" s="68">
        <f t="shared" si="19"/>
        <v>177297.75</v>
      </c>
      <c r="AC56" s="72">
        <v>46060</v>
      </c>
      <c r="AD56" s="180">
        <f t="shared" si="17"/>
        <v>177297.75</v>
      </c>
      <c r="AE56" s="181"/>
      <c r="AF56" s="182"/>
      <c r="AG56" s="69" t="s">
        <v>178</v>
      </c>
      <c r="AH56" s="66">
        <f t="shared" si="15"/>
        <v>177297.75</v>
      </c>
    </row>
    <row r="57" spans="1:34" x14ac:dyDescent="0.25">
      <c r="A57" s="65">
        <v>51</v>
      </c>
      <c r="B57" s="119">
        <v>46209</v>
      </c>
      <c r="C57" s="29" t="s">
        <v>133</v>
      </c>
      <c r="D57" s="65" t="s">
        <v>189</v>
      </c>
      <c r="E57" s="77" t="s">
        <v>190</v>
      </c>
      <c r="F57" s="77" t="s">
        <v>157</v>
      </c>
      <c r="G57" s="29">
        <v>1052</v>
      </c>
      <c r="H57" s="68">
        <v>45.59</v>
      </c>
      <c r="I57" s="29">
        <v>184</v>
      </c>
      <c r="J57" s="29">
        <v>242</v>
      </c>
      <c r="K57" s="29">
        <v>8.1</v>
      </c>
      <c r="L57" s="29">
        <v>15</v>
      </c>
      <c r="M57" s="29">
        <v>18</v>
      </c>
      <c r="N57" s="29">
        <v>21</v>
      </c>
      <c r="O57" s="29">
        <v>0</v>
      </c>
      <c r="P57" s="29">
        <v>23</v>
      </c>
      <c r="Q57" s="29">
        <v>669</v>
      </c>
      <c r="R57" s="77" t="s">
        <v>190</v>
      </c>
      <c r="S57" s="29">
        <v>3007</v>
      </c>
      <c r="T57" s="65">
        <f>3007</f>
        <v>3007</v>
      </c>
      <c r="U57" s="180">
        <v>0.65</v>
      </c>
      <c r="V57" s="180">
        <f t="shared" si="21"/>
        <v>1954.55</v>
      </c>
      <c r="W57" s="65">
        <v>101</v>
      </c>
      <c r="X57" s="180">
        <f t="shared" si="20"/>
        <v>73.152475247524748</v>
      </c>
      <c r="Y57" s="180">
        <f>7388.4</f>
        <v>7388.4</v>
      </c>
      <c r="Z57" s="180"/>
      <c r="AA57" s="200">
        <f>218773.5</f>
        <v>218773.5</v>
      </c>
      <c r="AB57" s="68">
        <f t="shared" si="19"/>
        <v>216818.95</v>
      </c>
      <c r="AC57" s="72">
        <v>46180</v>
      </c>
      <c r="AD57" s="180">
        <f t="shared" si="17"/>
        <v>216818.95</v>
      </c>
      <c r="AE57" s="181"/>
      <c r="AF57" s="182"/>
      <c r="AG57" s="69" t="s">
        <v>178</v>
      </c>
      <c r="AH57" s="66">
        <f t="shared" si="15"/>
        <v>216818.95</v>
      </c>
    </row>
    <row r="58" spans="1:34" x14ac:dyDescent="0.25">
      <c r="A58" s="65">
        <v>52</v>
      </c>
      <c r="B58" s="119">
        <v>46210</v>
      </c>
      <c r="C58" s="29" t="s">
        <v>133</v>
      </c>
      <c r="D58" s="65" t="s">
        <v>189</v>
      </c>
      <c r="E58" s="77" t="s">
        <v>190</v>
      </c>
      <c r="F58" s="77" t="s">
        <v>157</v>
      </c>
      <c r="G58" s="29">
        <v>1053</v>
      </c>
      <c r="H58" s="68">
        <v>45.76</v>
      </c>
      <c r="I58" s="29">
        <v>182</v>
      </c>
      <c r="J58" s="29">
        <v>248</v>
      </c>
      <c r="K58" s="29">
        <v>7.9</v>
      </c>
      <c r="L58" s="29">
        <v>10</v>
      </c>
      <c r="M58" s="29">
        <v>13</v>
      </c>
      <c r="N58" s="29">
        <v>23</v>
      </c>
      <c r="O58" s="29">
        <v>0</v>
      </c>
      <c r="P58" s="29">
        <v>23</v>
      </c>
      <c r="Q58" s="29">
        <v>675</v>
      </c>
      <c r="R58" s="77" t="s">
        <v>190</v>
      </c>
      <c r="S58" s="29">
        <v>2125</v>
      </c>
      <c r="T58" s="65">
        <v>2125</v>
      </c>
      <c r="U58" s="180">
        <v>0.65</v>
      </c>
      <c r="V58" s="180">
        <f t="shared" si="21"/>
        <v>1381.25</v>
      </c>
      <c r="W58" s="65">
        <v>71</v>
      </c>
      <c r="X58" s="180">
        <f t="shared" si="20"/>
        <v>72.823943661971825</v>
      </c>
      <c r="Y58" s="180">
        <f>5170.5</f>
        <v>5170.5</v>
      </c>
      <c r="Z58" s="180"/>
      <c r="AA58" s="200">
        <f>155007</f>
        <v>155007</v>
      </c>
      <c r="AB58" s="68">
        <f t="shared" si="19"/>
        <v>153625.75</v>
      </c>
      <c r="AC58" s="72">
        <v>46210</v>
      </c>
      <c r="AD58" s="180">
        <f t="shared" si="17"/>
        <v>153625.75</v>
      </c>
      <c r="AE58" s="181"/>
      <c r="AF58" s="182"/>
      <c r="AG58" s="69" t="s">
        <v>178</v>
      </c>
      <c r="AH58" s="66">
        <f t="shared" si="15"/>
        <v>153625.75</v>
      </c>
    </row>
    <row r="59" spans="1:34" x14ac:dyDescent="0.25">
      <c r="A59" s="65">
        <v>53</v>
      </c>
      <c r="B59" s="119">
        <v>46213</v>
      </c>
      <c r="C59" s="29" t="s">
        <v>133</v>
      </c>
      <c r="D59" s="65" t="s">
        <v>189</v>
      </c>
      <c r="E59" s="77" t="s">
        <v>190</v>
      </c>
      <c r="F59" s="77" t="s">
        <v>157</v>
      </c>
      <c r="G59" s="29">
        <v>1054</v>
      </c>
      <c r="H59" s="68">
        <v>45.67</v>
      </c>
      <c r="I59" s="29">
        <v>182</v>
      </c>
      <c r="J59" s="29">
        <v>244</v>
      </c>
      <c r="K59" s="29">
        <v>8</v>
      </c>
      <c r="L59" s="29">
        <v>16</v>
      </c>
      <c r="M59" s="29">
        <v>14</v>
      </c>
      <c r="N59" s="29">
        <v>17</v>
      </c>
      <c r="O59" s="29">
        <v>3</v>
      </c>
      <c r="P59" s="29">
        <v>20</v>
      </c>
      <c r="Q59" s="29">
        <v>680</v>
      </c>
      <c r="R59" s="77" t="s">
        <v>190</v>
      </c>
      <c r="S59" s="29">
        <v>2995</v>
      </c>
      <c r="T59" s="65">
        <v>2995</v>
      </c>
      <c r="U59" s="180">
        <v>0.65</v>
      </c>
      <c r="V59" s="66">
        <f t="shared" si="21"/>
        <v>1946.75</v>
      </c>
      <c r="W59" s="65">
        <v>100</v>
      </c>
      <c r="X59" s="180">
        <f t="shared" si="20"/>
        <v>74.099999999999994</v>
      </c>
      <c r="Y59" s="180">
        <f>7410</f>
        <v>7410</v>
      </c>
      <c r="Z59" s="180"/>
      <c r="AA59" s="200">
        <v>217375.1</v>
      </c>
      <c r="AB59" s="68">
        <f t="shared" si="19"/>
        <v>215428.35</v>
      </c>
      <c r="AC59" s="72">
        <v>46302</v>
      </c>
      <c r="AD59" s="180">
        <f t="shared" si="17"/>
        <v>215428.35</v>
      </c>
      <c r="AE59" s="181"/>
      <c r="AF59" s="182"/>
      <c r="AG59" s="69" t="s">
        <v>178</v>
      </c>
      <c r="AH59" s="66">
        <f t="shared" ref="AH59" si="22">AF59+AD59</f>
        <v>215428.35</v>
      </c>
    </row>
    <row r="60" spans="1:34" x14ac:dyDescent="0.25">
      <c r="A60" s="65">
        <v>54</v>
      </c>
      <c r="B60" s="119">
        <v>46214</v>
      </c>
      <c r="C60" s="29" t="s">
        <v>133</v>
      </c>
      <c r="D60" s="65" t="s">
        <v>189</v>
      </c>
      <c r="E60" s="77" t="s">
        <v>190</v>
      </c>
      <c r="F60" s="77" t="s">
        <v>157</v>
      </c>
      <c r="G60" s="29">
        <v>1055</v>
      </c>
      <c r="H60" s="68">
        <v>45.85</v>
      </c>
      <c r="I60" s="29">
        <v>178</v>
      </c>
      <c r="J60" s="29">
        <v>242</v>
      </c>
      <c r="K60" s="29">
        <v>8.1</v>
      </c>
      <c r="L60" s="29">
        <v>24</v>
      </c>
      <c r="M60" s="29">
        <v>12</v>
      </c>
      <c r="N60" s="29">
        <v>23</v>
      </c>
      <c r="O60" s="29">
        <v>0</v>
      </c>
      <c r="P60" s="29">
        <v>13</v>
      </c>
      <c r="Q60" s="29">
        <v>680</v>
      </c>
      <c r="R60" s="77" t="s">
        <v>190</v>
      </c>
      <c r="S60" s="29">
        <v>1529</v>
      </c>
      <c r="T60" s="65">
        <v>1529</v>
      </c>
      <c r="U60" s="180">
        <v>0.65</v>
      </c>
      <c r="V60" s="66">
        <f t="shared" si="21"/>
        <v>993.85</v>
      </c>
      <c r="W60" s="65">
        <v>50</v>
      </c>
      <c r="X60" s="180">
        <f t="shared" si="20"/>
        <v>74.213999999999999</v>
      </c>
      <c r="Y60" s="180">
        <f>3710.7</f>
        <v>3710.7</v>
      </c>
      <c r="Z60" s="180"/>
      <c r="AA60" s="200">
        <v>107790</v>
      </c>
      <c r="AB60" s="66">
        <f t="shared" si="19"/>
        <v>106796.15</v>
      </c>
      <c r="AC60" s="72">
        <v>46333</v>
      </c>
      <c r="AD60" s="180">
        <f t="shared" si="17"/>
        <v>106796.15</v>
      </c>
      <c r="AE60" s="181"/>
      <c r="AF60" s="182"/>
      <c r="AG60" s="69" t="s">
        <v>178</v>
      </c>
      <c r="AH60" s="66">
        <f t="shared" ref="AH60:AH63" si="23">AF60+AD60</f>
        <v>106796.15</v>
      </c>
    </row>
    <row r="61" spans="1:34" x14ac:dyDescent="0.25">
      <c r="A61" s="65">
        <v>55</v>
      </c>
      <c r="B61" s="119">
        <v>46215</v>
      </c>
      <c r="C61" s="29" t="s">
        <v>133</v>
      </c>
      <c r="D61" s="65" t="s">
        <v>189</v>
      </c>
      <c r="E61" s="77" t="s">
        <v>190</v>
      </c>
      <c r="F61" s="77" t="s">
        <v>157</v>
      </c>
      <c r="G61" s="29">
        <v>101</v>
      </c>
      <c r="H61" s="68">
        <v>46.82</v>
      </c>
      <c r="I61" s="29">
        <v>181</v>
      </c>
      <c r="J61" s="29">
        <v>249</v>
      </c>
      <c r="K61" s="29">
        <v>8</v>
      </c>
      <c r="L61" s="29">
        <v>13</v>
      </c>
      <c r="M61" s="29">
        <v>20</v>
      </c>
      <c r="N61" s="29">
        <v>19</v>
      </c>
      <c r="O61" s="29">
        <v>0</v>
      </c>
      <c r="P61" s="29">
        <v>17</v>
      </c>
      <c r="Q61" s="29">
        <v>670</v>
      </c>
      <c r="R61" s="77" t="s">
        <v>190</v>
      </c>
      <c r="S61" s="29">
        <v>1314</v>
      </c>
      <c r="T61" s="65">
        <v>1314</v>
      </c>
      <c r="U61" s="180">
        <v>0.65</v>
      </c>
      <c r="V61" s="66">
        <f t="shared" si="21"/>
        <v>854.1</v>
      </c>
      <c r="W61" s="65">
        <f>19+25</f>
        <v>44</v>
      </c>
      <c r="X61" s="180">
        <f t="shared" si="20"/>
        <v>71.779545454545456</v>
      </c>
      <c r="Y61" s="180">
        <v>3158.3</v>
      </c>
      <c r="Z61" s="180"/>
      <c r="AA61" s="205">
        <v>93055.8</v>
      </c>
      <c r="AB61" s="66">
        <f t="shared" si="19"/>
        <v>92201.7</v>
      </c>
      <c r="AC61" s="72">
        <v>46363</v>
      </c>
      <c r="AD61" s="180">
        <f t="shared" si="17"/>
        <v>92201.7</v>
      </c>
      <c r="AE61" s="181"/>
      <c r="AF61" s="182"/>
      <c r="AG61" s="69" t="s">
        <v>178</v>
      </c>
      <c r="AH61" s="66">
        <f t="shared" si="23"/>
        <v>92201.7</v>
      </c>
    </row>
    <row r="62" spans="1:34" x14ac:dyDescent="0.25">
      <c r="A62" s="65">
        <v>56</v>
      </c>
      <c r="B62" s="119">
        <v>46216</v>
      </c>
      <c r="C62" s="29" t="s">
        <v>133</v>
      </c>
      <c r="D62" s="65" t="s">
        <v>189</v>
      </c>
      <c r="E62" s="77" t="s">
        <v>190</v>
      </c>
      <c r="F62" s="77" t="s">
        <v>146</v>
      </c>
      <c r="G62" s="29">
        <v>102</v>
      </c>
      <c r="H62" s="68">
        <v>46.29</v>
      </c>
      <c r="I62" s="29">
        <v>184</v>
      </c>
      <c r="J62" s="29">
        <v>250</v>
      </c>
      <c r="K62" s="29">
        <v>8.1999999999999993</v>
      </c>
      <c r="L62" s="29">
        <v>11</v>
      </c>
      <c r="M62" s="29">
        <v>14</v>
      </c>
      <c r="N62" s="29">
        <v>23</v>
      </c>
      <c r="O62" s="29">
        <v>2</v>
      </c>
      <c r="P62" s="29">
        <v>17</v>
      </c>
      <c r="Q62" s="29">
        <v>677</v>
      </c>
      <c r="R62" s="77" t="s">
        <v>190</v>
      </c>
      <c r="S62" s="29">
        <v>1284</v>
      </c>
      <c r="T62" s="65">
        <v>1284</v>
      </c>
      <c r="U62" s="180">
        <v>0.65</v>
      </c>
      <c r="V62" s="66">
        <f t="shared" si="21"/>
        <v>834.6</v>
      </c>
      <c r="W62" s="65">
        <v>43</v>
      </c>
      <c r="X62" s="180">
        <f t="shared" si="20"/>
        <v>72.123255813953492</v>
      </c>
      <c r="Y62" s="180">
        <v>3101.3</v>
      </c>
      <c r="Z62" s="180"/>
      <c r="AA62" s="205">
        <v>89926.6</v>
      </c>
      <c r="AB62" s="66">
        <f t="shared" si="19"/>
        <v>89092</v>
      </c>
      <c r="AC62" s="72" t="s">
        <v>191</v>
      </c>
      <c r="AD62" s="180">
        <f t="shared" si="17"/>
        <v>89092</v>
      </c>
      <c r="AE62" s="181"/>
      <c r="AF62" s="182"/>
      <c r="AG62" s="69" t="s">
        <v>178</v>
      </c>
      <c r="AH62" s="66">
        <f t="shared" si="23"/>
        <v>89092</v>
      </c>
    </row>
    <row r="63" spans="1:34" x14ac:dyDescent="0.25">
      <c r="A63" s="65">
        <v>57</v>
      </c>
      <c r="B63" s="119">
        <v>46217</v>
      </c>
      <c r="C63" s="29" t="s">
        <v>133</v>
      </c>
      <c r="D63" s="65" t="s">
        <v>192</v>
      </c>
      <c r="E63" s="77" t="s">
        <v>193</v>
      </c>
      <c r="F63" s="77" t="s">
        <v>157</v>
      </c>
      <c r="G63" s="29">
        <v>103</v>
      </c>
      <c r="H63" s="68">
        <v>46.29</v>
      </c>
      <c r="I63" s="29">
        <v>168</v>
      </c>
      <c r="J63" s="29">
        <v>252</v>
      </c>
      <c r="K63" s="29">
        <v>7.6</v>
      </c>
      <c r="L63" s="29">
        <v>11</v>
      </c>
      <c r="M63" s="29">
        <v>10</v>
      </c>
      <c r="N63" s="29">
        <v>19</v>
      </c>
      <c r="O63" s="29">
        <v>0</v>
      </c>
      <c r="P63" s="29">
        <v>18</v>
      </c>
      <c r="Q63" s="29">
        <v>682</v>
      </c>
      <c r="R63" s="77" t="s">
        <v>193</v>
      </c>
      <c r="S63" s="29">
        <v>1289</v>
      </c>
      <c r="T63" s="65">
        <v>1289</v>
      </c>
      <c r="U63" s="180">
        <v>0.65</v>
      </c>
      <c r="V63" s="66">
        <f t="shared" si="21"/>
        <v>837.85</v>
      </c>
      <c r="W63" s="65">
        <f>24+19</f>
        <v>43</v>
      </c>
      <c r="X63" s="180">
        <f t="shared" si="20"/>
        <v>73.958139534883713</v>
      </c>
      <c r="Y63" s="180">
        <f>3180.2</f>
        <v>3180.2</v>
      </c>
      <c r="Z63" s="180"/>
      <c r="AA63" s="205">
        <v>97176.4</v>
      </c>
      <c r="AB63" s="66">
        <f t="shared" si="19"/>
        <v>96338.549999999988</v>
      </c>
      <c r="AC63" s="72" t="s">
        <v>194</v>
      </c>
      <c r="AD63" s="180">
        <f t="shared" si="17"/>
        <v>96338.549999999988</v>
      </c>
      <c r="AE63" s="181"/>
      <c r="AF63" s="182"/>
      <c r="AG63" s="69" t="s">
        <v>178</v>
      </c>
      <c r="AH63" s="66">
        <f t="shared" si="23"/>
        <v>96338.549999999988</v>
      </c>
    </row>
    <row r="64" spans="1:34" x14ac:dyDescent="0.25">
      <c r="A64" s="65">
        <v>58</v>
      </c>
      <c r="B64" s="119">
        <v>46218</v>
      </c>
      <c r="C64" s="29" t="s">
        <v>133</v>
      </c>
      <c r="D64" s="65" t="s">
        <v>192</v>
      </c>
      <c r="E64" s="77" t="s">
        <v>193</v>
      </c>
      <c r="F64" s="77" t="s">
        <v>157</v>
      </c>
      <c r="G64" s="29">
        <v>104</v>
      </c>
      <c r="H64" s="68">
        <v>46.82</v>
      </c>
      <c r="I64" s="29">
        <v>178</v>
      </c>
      <c r="J64" s="29">
        <v>251</v>
      </c>
      <c r="K64" s="29">
        <v>7.3</v>
      </c>
      <c r="L64" s="29">
        <v>17</v>
      </c>
      <c r="M64" s="29">
        <v>12</v>
      </c>
      <c r="N64" s="29">
        <v>13</v>
      </c>
      <c r="O64" s="29">
        <v>0</v>
      </c>
      <c r="P64" s="29">
        <v>21</v>
      </c>
      <c r="Q64" s="29">
        <v>677</v>
      </c>
      <c r="R64" s="77" t="s">
        <v>193</v>
      </c>
      <c r="S64" s="29">
        <v>1333</v>
      </c>
      <c r="T64" s="65">
        <v>1333</v>
      </c>
      <c r="U64" s="180">
        <v>0.65</v>
      </c>
      <c r="V64" s="66">
        <f t="shared" si="21"/>
        <v>866.45</v>
      </c>
      <c r="W64" s="65">
        <f>25+19</f>
        <v>44</v>
      </c>
      <c r="X64" s="180">
        <f t="shared" si="20"/>
        <v>75.915909090909096</v>
      </c>
      <c r="Y64" s="180">
        <f>3340.3</f>
        <v>3340.3</v>
      </c>
      <c r="Z64" s="180"/>
      <c r="AA64" s="205">
        <f>98914</f>
        <v>98914</v>
      </c>
      <c r="AB64" s="66">
        <f t="shared" si="19"/>
        <v>98047.55</v>
      </c>
      <c r="AC64" s="72" t="s">
        <v>197</v>
      </c>
      <c r="AD64" s="180">
        <f t="shared" ref="AD64:AD66" si="24">AB64</f>
        <v>98047.55</v>
      </c>
      <c r="AE64" s="181"/>
      <c r="AF64" s="182"/>
      <c r="AG64" s="69" t="s">
        <v>178</v>
      </c>
      <c r="AH64" s="66">
        <f t="shared" ref="AH64:AH66" si="25">AF64+AD64</f>
        <v>98047.55</v>
      </c>
    </row>
    <row r="65" spans="1:34" x14ac:dyDescent="0.25">
      <c r="A65" s="65">
        <v>59</v>
      </c>
      <c r="B65" s="119">
        <v>46219</v>
      </c>
      <c r="C65" s="29" t="s">
        <v>133</v>
      </c>
      <c r="D65" s="65" t="s">
        <v>192</v>
      </c>
      <c r="E65" s="77" t="s">
        <v>193</v>
      </c>
      <c r="F65" s="77" t="s">
        <v>157</v>
      </c>
      <c r="G65" s="29">
        <v>105</v>
      </c>
      <c r="H65" s="68">
        <v>47.35</v>
      </c>
      <c r="I65" s="29">
        <v>173</v>
      </c>
      <c r="J65" s="29">
        <v>255</v>
      </c>
      <c r="K65" s="29">
        <v>7.4</v>
      </c>
      <c r="L65" s="29">
        <v>10</v>
      </c>
      <c r="M65" s="29">
        <v>17</v>
      </c>
      <c r="N65" s="29">
        <v>17</v>
      </c>
      <c r="O65" s="29">
        <v>3</v>
      </c>
      <c r="P65" s="29">
        <v>20</v>
      </c>
      <c r="Q65" s="29">
        <v>678</v>
      </c>
      <c r="R65" s="77" t="s">
        <v>193</v>
      </c>
      <c r="S65" s="29">
        <v>2445</v>
      </c>
      <c r="T65" s="65">
        <v>2445</v>
      </c>
      <c r="U65" s="180">
        <v>0.65</v>
      </c>
      <c r="V65" s="66">
        <f t="shared" si="21"/>
        <v>1589.25</v>
      </c>
      <c r="W65" s="65">
        <v>81</v>
      </c>
      <c r="X65" s="180">
        <f t="shared" si="20"/>
        <v>72.892592592592592</v>
      </c>
      <c r="Y65" s="180">
        <v>5904.3</v>
      </c>
      <c r="Z65" s="180"/>
      <c r="AA65" s="200">
        <f>179117.3</f>
        <v>179117.3</v>
      </c>
      <c r="AB65" s="66">
        <f t="shared" si="19"/>
        <v>177528.05</v>
      </c>
      <c r="AC65" s="72" t="s">
        <v>198</v>
      </c>
      <c r="AD65" s="180">
        <f t="shared" si="24"/>
        <v>177528.05</v>
      </c>
      <c r="AE65" s="181"/>
      <c r="AF65" s="182"/>
      <c r="AG65" s="69" t="s">
        <v>178</v>
      </c>
      <c r="AH65" s="66">
        <f t="shared" si="25"/>
        <v>177528.05</v>
      </c>
    </row>
    <row r="66" spans="1:34" x14ac:dyDescent="0.25">
      <c r="A66" s="65">
        <v>60</v>
      </c>
      <c r="B66" s="119">
        <v>46220</v>
      </c>
      <c r="C66" s="29" t="s">
        <v>133</v>
      </c>
      <c r="D66" s="65" t="s">
        <v>192</v>
      </c>
      <c r="E66" s="77" t="s">
        <v>193</v>
      </c>
      <c r="F66" s="77" t="s">
        <v>146</v>
      </c>
      <c r="G66" s="29">
        <v>106</v>
      </c>
      <c r="H66" s="68">
        <v>46.42</v>
      </c>
      <c r="K66" s="29">
        <v>7.7</v>
      </c>
      <c r="R66" s="77" t="s">
        <v>193</v>
      </c>
      <c r="S66" s="29">
        <v>735</v>
      </c>
      <c r="T66" s="65">
        <v>735</v>
      </c>
      <c r="U66" s="180">
        <v>0.65</v>
      </c>
      <c r="V66" s="66">
        <f t="shared" si="21"/>
        <v>477.75</v>
      </c>
      <c r="W66" s="65">
        <v>25</v>
      </c>
      <c r="X66" s="180">
        <f t="shared" si="20"/>
        <v>74.396000000000001</v>
      </c>
      <c r="Y66" s="180">
        <v>1859.9</v>
      </c>
      <c r="Z66" s="180"/>
      <c r="AA66" s="200">
        <v>53957.599999999999</v>
      </c>
      <c r="AB66" s="66">
        <f t="shared" si="19"/>
        <v>53479.85</v>
      </c>
      <c r="AC66" s="72" t="s">
        <v>199</v>
      </c>
      <c r="AD66" s="180">
        <f t="shared" si="24"/>
        <v>53479.85</v>
      </c>
      <c r="AE66" s="181"/>
      <c r="AF66" s="182"/>
      <c r="AG66" s="69" t="s">
        <v>178</v>
      </c>
      <c r="AH66" s="66">
        <f t="shared" si="25"/>
        <v>53479.85</v>
      </c>
    </row>
    <row r="67" spans="1:34" x14ac:dyDescent="0.25">
      <c r="A67" s="65"/>
      <c r="B67" s="119"/>
      <c r="D67" s="65"/>
      <c r="E67" s="77"/>
      <c r="F67" s="77"/>
      <c r="H67" s="68"/>
      <c r="R67" s="77"/>
      <c r="T67" s="65"/>
      <c r="U67" s="180"/>
      <c r="V67" s="66"/>
      <c r="W67" s="65"/>
      <c r="X67" s="180"/>
      <c r="Y67" s="180"/>
      <c r="Z67" s="180"/>
      <c r="AA67" s="66"/>
      <c r="AB67" s="66"/>
      <c r="AC67" s="72"/>
      <c r="AD67" s="180"/>
      <c r="AE67" s="181"/>
      <c r="AF67" s="182"/>
      <c r="AG67" s="69"/>
      <c r="AH67" s="66"/>
    </row>
    <row r="68" spans="1:34" x14ac:dyDescent="0.25">
      <c r="A68" s="65"/>
      <c r="B68" s="119"/>
      <c r="D68" s="65"/>
      <c r="E68" s="77"/>
      <c r="F68" s="77"/>
      <c r="H68" s="68"/>
      <c r="R68" s="77"/>
      <c r="T68" s="65"/>
      <c r="U68" s="180"/>
      <c r="V68" s="66"/>
      <c r="W68" s="65"/>
      <c r="X68" s="180"/>
      <c r="Y68" s="180"/>
      <c r="Z68" s="180"/>
      <c r="AA68" s="66"/>
      <c r="AB68" s="66"/>
      <c r="AC68" s="72"/>
      <c r="AD68" s="180"/>
      <c r="AE68" s="181"/>
      <c r="AF68" s="182"/>
      <c r="AG68" s="69"/>
      <c r="AH68" s="66"/>
    </row>
    <row r="69" spans="1:34" x14ac:dyDescent="0.25">
      <c r="A69" s="65"/>
      <c r="B69" s="119"/>
      <c r="D69" s="77"/>
      <c r="E69" s="77"/>
      <c r="F69" s="77"/>
      <c r="H69" s="68"/>
      <c r="R69" s="77"/>
      <c r="T69" s="65"/>
      <c r="U69" s="66"/>
      <c r="V69" s="66"/>
      <c r="W69" s="65"/>
      <c r="X69" s="66"/>
      <c r="Y69" s="66"/>
      <c r="Z69" s="66"/>
      <c r="AA69" s="67"/>
      <c r="AB69" s="68"/>
      <c r="AC69" s="72"/>
      <c r="AD69" s="66"/>
      <c r="AE69" s="69"/>
      <c r="AF69" s="70"/>
      <c r="AG69" s="69"/>
      <c r="AH69" s="66">
        <f t="shared" si="15"/>
        <v>0</v>
      </c>
    </row>
    <row r="70" spans="1:34" x14ac:dyDescent="0.25">
      <c r="U70" s="66"/>
      <c r="X70" s="66"/>
      <c r="Y70" s="66"/>
      <c r="Z70" s="66"/>
      <c r="AC70" s="72"/>
      <c r="AD70" s="65"/>
      <c r="AE70" s="65"/>
      <c r="AF70" s="65"/>
      <c r="AH70" s="66"/>
    </row>
    <row r="71" spans="1:34" x14ac:dyDescent="0.25">
      <c r="B71" s="122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5">
        <f>AVERAGE(Q6:Q70)</f>
        <v>676.4666666666667</v>
      </c>
      <c r="R71" s="73"/>
      <c r="S71" s="73">
        <f>SUM(S6:S69)</f>
        <v>67174</v>
      </c>
      <c r="T71" s="73">
        <f>SUM(T6:T69)</f>
        <v>67207</v>
      </c>
      <c r="U71" s="74">
        <f>AVERAGE(U6:U70)</f>
        <v>0.65067824942398333</v>
      </c>
      <c r="V71" s="75">
        <f>SUM(V6:V70)/1000</f>
        <v>43.728037301310032</v>
      </c>
      <c r="W71" s="73">
        <f>SUM(W6:W70)</f>
        <v>2294</v>
      </c>
      <c r="X71" s="74">
        <f>AVERAGE(X6:X70)</f>
        <v>72.581465127747919</v>
      </c>
      <c r="Y71" s="75"/>
      <c r="Z71" s="75"/>
      <c r="AA71" s="143">
        <f>SUBTOTAL(9,AA6:AA70)</f>
        <v>4943492.8999999985</v>
      </c>
      <c r="AB71" s="75">
        <f>SUBTOTAL(9,AB6:AB70)</f>
        <v>4899764.9626986887</v>
      </c>
      <c r="AC71" s="75"/>
      <c r="AD71" s="75">
        <f>SUM(AD6:AD70)</f>
        <v>4892297.1799999988</v>
      </c>
      <c r="AE71" s="75"/>
      <c r="AF71" s="75">
        <f t="shared" ref="AF71" si="26">SUM(AF6:AF70)/1000</f>
        <v>12.599338698689964</v>
      </c>
      <c r="AH71" s="66">
        <f>SUM(AH6:AH70)/1000</f>
        <v>4902.3303406986888</v>
      </c>
    </row>
    <row r="72" spans="1:34" x14ac:dyDescent="0.25">
      <c r="AA72" s="142">
        <f>AA71/1000</f>
        <v>4943.4928999999984</v>
      </c>
      <c r="AB72" s="76">
        <f>AB71/1000</f>
        <v>4899.7649626986886</v>
      </c>
      <c r="AD72" s="76">
        <f>AD71/1000</f>
        <v>4892.2971799999987</v>
      </c>
    </row>
    <row r="73" spans="1:34" x14ac:dyDescent="0.25">
      <c r="AA73" s="76"/>
      <c r="AB73" s="76"/>
      <c r="AD73" s="76"/>
      <c r="AE73" s="76"/>
    </row>
    <row r="74" spans="1:34" x14ac:dyDescent="0.25">
      <c r="T74" s="76"/>
      <c r="AA74" s="67"/>
      <c r="AB74" s="76"/>
      <c r="AD74" s="76"/>
    </row>
    <row r="75" spans="1:34" x14ac:dyDescent="0.25">
      <c r="U75" s="76"/>
      <c r="Z75" s="76"/>
      <c r="AA75" s="76"/>
      <c r="AB75" s="76"/>
      <c r="AD75" s="76"/>
    </row>
    <row r="76" spans="1:34" x14ac:dyDescent="0.25">
      <c r="X76" s="76"/>
      <c r="Y76" s="76"/>
      <c r="Z76" s="76"/>
      <c r="AA76" s="67"/>
      <c r="AB76" s="76"/>
    </row>
    <row r="77" spans="1:34" x14ac:dyDescent="0.25">
      <c r="Y77" s="76"/>
      <c r="AA77" s="76"/>
      <c r="AB77" s="76"/>
    </row>
    <row r="78" spans="1:34" x14ac:dyDescent="0.25">
      <c r="Y78" s="76"/>
      <c r="Z78" s="76"/>
      <c r="AA78" s="76"/>
    </row>
    <row r="79" spans="1:34" x14ac:dyDescent="0.25">
      <c r="AB79" s="76"/>
    </row>
    <row r="81" spans="15:32" x14ac:dyDescent="0.25">
      <c r="AB81" s="76"/>
    </row>
    <row r="82" spans="15:32" x14ac:dyDescent="0.25">
      <c r="AB82" s="76"/>
    </row>
    <row r="89" spans="15:32" ht="14.4" x14ac:dyDescent="0.3">
      <c r="O89" s="107"/>
    </row>
    <row r="90" spans="15:32" x14ac:dyDescent="0.25">
      <c r="AF90" s="68"/>
    </row>
  </sheetData>
  <autoFilter ref="A5:AG65" xr:uid="{4D3DD879-00F0-4325-99F3-F810B28B8EDD}"/>
  <mergeCells count="3">
    <mergeCell ref="B4:AF4"/>
    <mergeCell ref="AD6:AD7"/>
    <mergeCell ref="AF6:AF7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FINAL DRY RCN-YAKRO-2026</vt:lpstr>
      <vt:lpstr>No Dryied Issued RCN</vt:lpstr>
      <vt:lpstr>Sheet1</vt:lpstr>
      <vt:lpstr>Bouake Dring RCN</vt:lpstr>
      <vt:lpstr>Issued to Production Section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Deepak -Anagroci</cp:lastModifiedBy>
  <dcterms:created xsi:type="dcterms:W3CDTF">2026-04-23T13:41:55Z</dcterms:created>
  <dcterms:modified xsi:type="dcterms:W3CDTF">2026-07-18T12:07:05Z</dcterms:modified>
</cp:coreProperties>
</file>