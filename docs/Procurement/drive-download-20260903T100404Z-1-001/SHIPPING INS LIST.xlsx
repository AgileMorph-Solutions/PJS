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B45BE0C-E88A-49FC-8F6E-E76971CD5A01}" xr6:coauthVersionLast="47" xr6:coauthVersionMax="47" xr10:uidLastSave="{00000000-0000-0000-0000-000000000000}"/>
  <bookViews>
    <workbookView xWindow="-108" yWindow="-108" windowWidth="23256" windowHeight="12456" xr2:uid="{40A24EB1-48D8-423E-A326-BC5025D18D55}"/>
  </bookViews>
  <sheets>
    <sheet name="SI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19" i="1"/>
  <c r="G18" i="1"/>
  <c r="G17" i="1"/>
  <c r="G16" i="1"/>
  <c r="F15" i="1"/>
  <c r="G15" i="1" s="1"/>
  <c r="F14" i="1"/>
  <c r="F35" i="1" s="1"/>
  <c r="F36" i="1" s="1"/>
  <c r="G13" i="1"/>
  <c r="G12" i="1"/>
  <c r="G11" i="1"/>
  <c r="G10" i="1"/>
  <c r="G9" i="1"/>
  <c r="G8" i="1"/>
  <c r="G7" i="1"/>
  <c r="G6" i="1"/>
  <c r="G5" i="1"/>
  <c r="G4" i="1"/>
  <c r="G3" i="1"/>
  <c r="J1" i="1"/>
  <c r="F1" i="1"/>
  <c r="G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3" authorId="0" shapeId="0" xr:uid="{F2CCE027-0B93-4998-9FFD-C4607D7907C9}">
      <text>
        <r>
          <rPr>
            <sz val="10"/>
            <rFont val="Arial"/>
            <family val="2"/>
          </rPr>
          <t xml:space="preserve">User:
REQUIRED DOCUMENTS
1. Bill of Lading – Issued by a reputable shipping company, Clean on Board. Master BL (except CMA) +21 days of Free time. 
2. Certificate of Origin – Issued by the relevant authority of the exporting country.
3. Phytosanitary Certificate – Issued by the relevant authority of the exporting country.
4. Fumigation Certificate – Issued by the relevant authority of the exporting country.
5. Certificate of Quality approval issued by buyer’s representative. 
SPECIAL INSTRUCTIONS 1. Shipping Advice to be sent to us within 7 days of shipped on board date.
2. Please show full details of shipping lines’ agent at discharge port.
3. 21 DAYS COMBINED free time detention &amp; demurrage at destination to be included in B/L.
4. Freight Prepaid Message should be included in B/L
5. CARTONS MARKING: must show correct origin of cargoes (Ivory Coast), name of exporter and name of commodity.
6. PORT OF DISCHARGE: HOCHIMINH PORT, VIETNAM (SPITC PORT OR ICD PHUOC LONG 3, VIETNAM) 
7. Fumigation:  Only use Aluminium Phosphide
8. Container type: Ventilated or Semi-Ventilated containers. (No hole, no damage, clean containers)
9. Send draft shipping docs first to check and confirm before issuing original. 
</t>
        </r>
      </text>
    </comment>
    <comment ref="N4" authorId="0" shapeId="0" xr:uid="{CB93EC44-C50A-47F2-9ECD-C7EE67988233}">
      <text>
        <r>
          <rPr>
            <sz val="10"/>
            <rFont val="Arial"/>
            <family val="2"/>
          </rPr>
          <t xml:space="preserve">User:
REQUIRED DOCUMENTS
1. Bill of Lading – Issued by a reputable shipping company, Clean on Board. Master BL (except CMA) +21 days of Free time. 
2. Certificate of Origin – Issued by the relevant authority of the exporting country.
3. Phytosanitary Certificate – Issued by the relevant authority of the exporting country.
4. Fumigation Certificate – Issued by the relevant authority of the exporting country.
5. Certificate of Quality approval issued by buyer’s representative. 
SPECIAL INSTRUCTIONS 1. Shipping Advice to be sent to us within 7 days of shipped on board date.
2. Please show full details of shipping lines’ agent at discharge port.
3. 21 DAYS COMBINED free time detention &amp; demurrage at destination to be included in B/L.
4. Freight Prepaid Message should be included in B/L
5. CARTONS MARKING: must show correct origin of cargoes (Ivory Coast), name of exporter and name of commodity.
6. PORT OF DISCHARGE: HOCHIMINH PORT, VIETNAM (SPITC PORT OR ICD PHUOC LONG 3, VIETNAM) 
7. Fumigation:  Only use Aluminium Phosphide
8. Container type: Ventilated or Semi-Ventilated containers. (No hole, no damage, clean containers)
9. Send draft shipping docs first to check and confirm before issuing original. 
</t>
        </r>
      </text>
    </comment>
    <comment ref="N5" authorId="0" shapeId="0" xr:uid="{5A862F31-D993-4EF1-98F0-B2E48F3A6922}">
      <text>
        <r>
          <rPr>
            <sz val="10"/>
            <rFont val="Arial"/>
            <family val="2"/>
          </rPr>
          <t xml:space="preserve">User:
REQUIRED DOCUMENTS
1. Bill of Lading – Issued by a reputable shipping company, Clean on Board. Master BL (except CMA) +21 days of Free time. 
2. Certificate of Origin – Issued by the relevant authority of the exporting country.
3. Phytosanitary Certificate – Issued by the relevant authority of the exporting country.
4. Fumigation Certificate – Issued by the relevant authority of the exporting country.
5. Certificate of Quality approval issued by buyer’s representative. 
SPECIAL INSTRUCTIONS 1. Shipping Advice to be sent to us within 7 days of shipped on board date.
2. Please show full details of shipping lines’ agent at discharge port.
3. 21 DAYS COMBINED free time detention &amp; demurrage at destination to be included in B/L.
4. Freight Prepaid Message should be included in B/L
5. CARTONS MARKING: must show correct origin of cargoes (Ivory Coast), name of exporter and name of commodity.
6. PORT OF DISCHARGE: HOCHIMINH PORT, VIETNAM (SPITC PORT OR ICD PHUOC LONG 3, VIETNAM) 
7. Fumigation:  Only use Aluminium Phosphide
8. Container type: Ventilated or Semi-Ventilated containers. (No hole, no damage, clean containers)
9. Send draft shipping docs first to check and confirm before issuing original. 
</t>
        </r>
      </text>
    </comment>
    <comment ref="N6" authorId="0" shapeId="0" xr:uid="{B6747E38-58DA-4955-B723-A7B512088158}">
      <text>
        <r>
          <rPr>
            <sz val="10"/>
            <rFont val="Arial"/>
            <family val="2"/>
          </rPr>
          <t xml:space="preserve">User:
REQUIRED DOCUMENTS
1. Bill of Lading – Issued by a reputable shipping company, Clean on Board. Master BL (except CMA) +21 days of Free time. 
2. Certificate of Origin – Issued by the relevant authority of the exporting country.
3. Phytosanitary Certificate – Issued by the relevant authority of the exporting country.
4. Fumigation Certificate – Issued by the relevant authority of the exporting country.
5. Certificate of Quality approval issued by buyer’s representative. 
SPECIAL INSTRUCTIONS 1. Shipping Advice to be sent to us within 7 days of shipped on board date.
2. Please show full details of shipping lines’ agent at discharge port.
3. 21 DAYS COMBINED free time detention &amp; demurrage at destination to be included in B/L.
4. Freight Prepaid Message should be included in B/L
5. CARTONS MARKING: must show correct origin of cargoes (Ivory Coast), name of exporter and name of commodity.
6. PORT OF DISCHARGE: HOCHIMINH PORT, VIETNAM (SPITC PORT OR ICD PHUOC LONG 3, VIETNAM) 
7. Fumigation:  Only use Aluminium Phosphide
8. Container type: Ventilated or Semi-Ventilated containers. (No hole, no damage, clean containers)
9. Send draft shipping docs first to check and confirm before issuing original. 
</t>
        </r>
      </text>
    </comment>
    <comment ref="N7" authorId="0" shapeId="0" xr:uid="{5BABCA61-A444-43E6-85E5-A759C16889CE}">
      <text>
        <r>
          <rPr>
            <sz val="10"/>
            <rFont val="Arial"/>
            <family val="2"/>
          </rPr>
          <t xml:space="preserve">User:
REQUIRED DOCUMENTS
1. Bill of Lading – Issued by a reputable shipping company, Clean on Board. Master BL (except CMA) +21 days of Free time. 
2. Certificate of Origin – Issued by the relevant authority of the exporting country.
3. Phytosanitary Certificate – Issued by the relevant authority of the exporting country.
4. Fumigation Certificate – Issued by the relevant authority of the exporting country.
5. Certificate of Quality approval issued by buyer’s representative. 
SPECIAL INSTRUCTIONS 1. Shipping Advice to be sent to us within 7 days of shipped on board date.
2. Please show full details of shipping lines’ agent at discharge port.
3. 21 DAYS COMBINED free time detention &amp; demurrage at destination to be included in B/L.
4. Freight Prepaid Message should be included in B/L
5. CARTONS MARKING: must show correct origin of cargoes (Ivory Coast), name of exporter and name of commodity.
6. PORT OF DISCHARGE: HOCHIMINH PORT, VIETNAM (SPITC PORT OR ICD PHUOC LONG 3, VIETNAM) 
7. Fumigation:  Only use Aluminium Phosphide
8. Container type: Ventilated or Semi-Ventilated containers. (No hole, no damage, clean containers)
9. Send draft shipping docs first to check and confirm before issuing original. 
</t>
        </r>
      </text>
    </comment>
    <comment ref="N8" authorId="0" shapeId="0" xr:uid="{CF60C739-A932-484E-9B2E-27C4A7881ABB}">
      <text>
        <r>
          <rPr>
            <sz val="10"/>
            <rFont val="Arial"/>
            <family val="2"/>
          </rPr>
          <t xml:space="preserve">User:
REQUIRED DOCUMENTS
1. Bill of Lading – Issued by a reputable shipping company, Clean on Board. Master BL (except CMA) +21 days of Free time. 
2. Certificate of Origin – Issued by the relevant authority of the exporting country.
3. Phytosanitary Certificate – Issued by the relevant authority of the exporting country.
4. Fumigation Certificate – Issued by the relevant authority of the exporting country.
5. Certificate of Quality approval issued by buyer’s representative. 
SPECIAL INSTRUCTIONS 1. Shipping Advice to be sent to us within 7 days of shipped on board date.
2. Please show full details of shipping lines’ agent at discharge port.
3. 21 DAYS COMBINED free time detention &amp; demurrage at destination to be included in B/L.
4. Freight Prepaid Message should be included in B/L
5. CARTONS MARKING: must show correct origin of cargoes (Ivory Coast), name of exporter and name of commodity.
6. PORT OF DISCHARGE: HOCHIMINH PORT, VIETNAM (SPITC PORT OR ICD PHUOC LONG 3, VIETNAM) 
7. Fumigation:  Only use Aluminium Phosphide
8. Container type: Ventilated or Semi-Ventilated containers. (No hole, no damage, clean containers)
9. Send draft shipping docs first to check and confirm before issuing original. 
</t>
        </r>
      </text>
    </comment>
  </commentList>
</comments>
</file>

<file path=xl/sharedStrings.xml><?xml version="1.0" encoding="utf-8"?>
<sst xmlns="http://schemas.openxmlformats.org/spreadsheetml/2006/main" count="307" uniqueCount="109">
  <si>
    <t>CONTRACT</t>
  </si>
  <si>
    <t xml:space="preserve">shipping instructions </t>
  </si>
  <si>
    <t>CONSIGNEE</t>
  </si>
  <si>
    <t>NOTIFY PARTY</t>
  </si>
  <si>
    <t>COMMODITY</t>
  </si>
  <si>
    <t>QUANTITY (IN KG )</t>
  </si>
  <si>
    <t>WEIGHT IN TON</t>
  </si>
  <si>
    <t xml:space="preserve">Note Of loading </t>
  </si>
  <si>
    <t>Req Container Size</t>
  </si>
  <si>
    <t>REQ. CONTAINERS</t>
  </si>
  <si>
    <t>SPECIFICATIONS</t>
  </si>
  <si>
    <t>PORT OF DISCHARGE</t>
  </si>
  <si>
    <t>SHIPMENT PERIOD</t>
  </si>
  <si>
    <t>Req Bl's</t>
  </si>
  <si>
    <t>FREE DAYS Req</t>
  </si>
  <si>
    <t>FREIGHT TYPE</t>
  </si>
  <si>
    <t>MARKING</t>
  </si>
  <si>
    <t>CERTIFICATE REQ.</t>
  </si>
  <si>
    <t>Special Req</t>
  </si>
  <si>
    <t>Special Req2</t>
  </si>
  <si>
    <t>Remark</t>
  </si>
  <si>
    <t>STATUS OF COMPLETION</t>
  </si>
  <si>
    <t>Shipped BY</t>
  </si>
  <si>
    <t xml:space="preserve">PGF/IVC/RC-KN/2026/001   </t>
  </si>
  <si>
    <t>Received</t>
  </si>
  <si>
    <t xml:space="preserve">HANFIMEX BINH PHUOC  VIETNAM, </t>
  </si>
  <si>
    <t>BORMA CASHEW KERNELS</t>
  </si>
  <si>
    <t>2 FULL CONTAINER LOAD X 40’ (1100-1300 CARTONS ON EACH CONTAINER)</t>
  </si>
  <si>
    <t>40FCL</t>
  </si>
  <si>
    <t>Nut Count: Maximum 300 nuts/lb
Moisture: Maximum 5%
Defective Kernels: Maximum 1.5%
Broken Kernels: Maximum 5%</t>
  </si>
  <si>
    <t>HOCHIMINH CITY, VIETNAM</t>
  </si>
  <si>
    <t>JUNE, 2026</t>
  </si>
  <si>
    <t xml:space="preserve">2X 1BL </t>
  </si>
  <si>
    <t>PREPAID</t>
  </si>
  <si>
    <t>must show correct origin of cargoes (Ivory Coast), name of exporter and name of commodity.</t>
  </si>
  <si>
    <t xml:space="preserve">OBL ,C/O , Phyto, Fumigation, Certificate of Quality Approval </t>
  </si>
  <si>
    <t>LANDED QUALITY</t>
  </si>
  <si>
    <t>ANY SHIIPING</t>
  </si>
  <si>
    <t>LOADED</t>
  </si>
  <si>
    <t>DUNAMIS</t>
  </si>
  <si>
    <t xml:space="preserve">PGF/IVC/RC-KN/2026/002  </t>
  </si>
  <si>
    <t>NGOC TUAN PRODUCTION TRADING IMPORT EXPORT ONE MEMBER CO,. LTD</t>
  </si>
  <si>
    <t>4 FULL CONTAINER LOAD X 40’ (1100-1300 CARTONS ON EACH CONTAINER)
(2 BLS – 2FCL EACH)</t>
  </si>
  <si>
    <t>Nut Count: Maximum 300 nuts/lb
Moisture: Maximum 5%
Defective Kernels: Maximum 1.5%
Broken Kernels: Maximum 5%
Spotted: 8% max</t>
  </si>
  <si>
    <t>2X 2 BL</t>
  </si>
  <si>
    <t xml:space="preserve">Quality Certificate Approval By Buyer's Rep. </t>
  </si>
  <si>
    <t>PGF/IVC/RC-KN/2026/003</t>
  </si>
  <si>
    <t xml:space="preserve">SON PHUONG IMPORT EXPORT COMPANY LIMITED
</t>
  </si>
  <si>
    <t>6 FULL CONTAINER LOAD X 40’ (1100-1300 CARTONS ON EACH CONTAINER)
(2 BLS – 3FCL EACH)</t>
  </si>
  <si>
    <t>3X 2 BL</t>
  </si>
  <si>
    <t xml:space="preserve">Quality Certificate Approval By Buyer's Rep.  &amp; Master BL (except CMA) </t>
  </si>
  <si>
    <t xml:space="preserve"> PIL, CMA, MAERSK</t>
  </si>
  <si>
    <t xml:space="preserve">PGF/IVC/RC-KN/2026/004  </t>
  </si>
  <si>
    <t xml:space="preserve">LONG THINH IMPORT EXPORT SERVICE TRADING CO.LTD
</t>
  </si>
  <si>
    <t>002/BORMA/IVC/LS/PGF/2026</t>
  </si>
  <si>
    <t xml:space="preserve">LONG SON JOINT STOCK COMPANY
</t>
  </si>
  <si>
    <t>9 FULL CONTAINER LOAD X 40’ (1100-1300 CARTONS ON EACH CONTAINER)</t>
  </si>
  <si>
    <t>GAS-INFUSED HERMETICALLY SEALED FLEXI-PACK OF 50 LBS NET (20 KGS TO 22.68 KG NET), IN CARDBOARD CARTONS
(Number of total cartons/bags in bill of Lading) of borma cashew kernel, new crop 2026 Ivory Coast origin, packed in vaccum packaging per 20 KG carton
HS code: 08013200</t>
  </si>
  <si>
    <t>HOCHIMINH CITY, VIETNAM (SPITC OR ICD PHUOC LONG 3)</t>
  </si>
  <si>
    <t>JULY, 2026</t>
  </si>
  <si>
    <t xml:space="preserve">10 X 1BL </t>
  </si>
  <si>
    <t>Quality Certificate Approval By Buyer's Rep.  &amp; Master BL (except CMA)</t>
  </si>
  <si>
    <t>001/BORMA/IVC/LS/PGF/2026</t>
  </si>
  <si>
    <t>GAS-INFUSED HERMETICALLY SEALED FLEXI-PACK OF 50 LBS NET (20 KGS TO 22.68 KG NET), IN CARDBOARD CARTONS
(Number of total cartons/bags in bill of Lading) of borma cashew kernel, new crop 2026 Ivory Coast origin, packed in vaccum packaging per 20 KG carton
HS code: 08013200</t>
  </si>
  <si>
    <t xml:space="preserve">10X1BL </t>
  </si>
  <si>
    <t xml:space="preserve">PGF/IVC/RC-KN/2026/005  </t>
  </si>
  <si>
    <t xml:space="preserve">
PHUOC LONG MT CO., LTD
 </t>
  </si>
  <si>
    <t xml:space="preserve">BORMA CASHEW KERNELS </t>
  </si>
  <si>
    <t>6 FULL CONTAINER LOAD X 40’ (APPROX. 1250 CARTONS ON EACH CONTAINER)</t>
  </si>
  <si>
    <t>GAS-INFUSED HERMETICALLY SEALED FLEXI-PACK OF 50 LBS NET (20 KGS TO 22.68 KG NET), IN CARDBOARD CARTONS</t>
  </si>
  <si>
    <t>6x1Bl</t>
  </si>
  <si>
    <t xml:space="preserve">PGF/IVC/RC-KN/2026/006 </t>
  </si>
  <si>
    <t>INTIMEX GROUP JOINT STOCK COMPANY</t>
  </si>
  <si>
    <t>3X 40</t>
  </si>
  <si>
    <t>3X1BL</t>
  </si>
  <si>
    <t>PGF/IVC/RC-KN/2026/007</t>
  </si>
  <si>
    <t>VUI VUI IMPORT EXPORT COMPANY LIMITED</t>
  </si>
  <si>
    <t>2x40</t>
  </si>
  <si>
    <t>AUGUST,2026</t>
  </si>
  <si>
    <t>2X1BL</t>
  </si>
  <si>
    <t>PENDING</t>
  </si>
  <si>
    <t>PGF/IVC/RC-KN/2026/008</t>
  </si>
  <si>
    <t>NAM DUY MANUFACTURING TRADE SERVICE COMPANY LIMITED</t>
  </si>
  <si>
    <t>CASHEW KERNELS IN TESTA</t>
  </si>
  <si>
    <t>6x40</t>
  </si>
  <si>
    <t>GAS-INFUSED HERMETICALLY SEALED FLEXI-PACK OF 20 KGS NET IN CARDBOARD CARTONS</t>
  </si>
  <si>
    <t>3X2 BL</t>
  </si>
  <si>
    <t>PRE LOADING INSPECTION</t>
  </si>
  <si>
    <t xml:space="preserve">PGF/IVC/RC-KN/2026/011 </t>
  </si>
  <si>
    <t>TRU LANH TRADING IMPORT EXPORT ONE MEMBER COMPANY LIMITED</t>
  </si>
  <si>
    <t xml:space="preserve">PGF/IVC/RC-KN/2026/009 </t>
  </si>
  <si>
    <t>TRUONG PHU COMPANY LIMITED</t>
  </si>
  <si>
    <t>14+7</t>
  </si>
  <si>
    <t>PGF/IVC/RC-KN/2026/010</t>
  </si>
  <si>
    <t>HOANG PHUONG TRADING IMPORT EXPORT COMPANY LIMITED</t>
  </si>
  <si>
    <t>COMBNED OR 14+7 FREE DAYS</t>
  </si>
  <si>
    <t>PGF/IVC/RC-KN/2026/012</t>
  </si>
  <si>
    <t>AUG, 2026</t>
  </si>
  <si>
    <t>PGF/IVC/RC-KN/2026/013</t>
  </si>
  <si>
    <t>RICHCOM CO.,LTD.</t>
  </si>
  <si>
    <t>RICHCOM CO., LTD.
10/17, 14 STREET, AN KHANH WARD, 
HOCHIMINH CITY, VIETNAM, 
TAX CODE: 0313119469</t>
  </si>
  <si>
    <t>3X40</t>
  </si>
  <si>
    <t>PGF/IVC/RC-KN/2026/014</t>
  </si>
  <si>
    <t>LAN DOAN CO., LTD</t>
  </si>
  <si>
    <t>LAN DOAN CO., LTD
NO. 9, QUARTER 1, PHUOC BINH WARD, 
DONG NAI PROVINCE, VIETNAM, 
TAX CODE: 3800301555</t>
  </si>
  <si>
    <t>TOTAL WEIGHT (KG)</t>
  </si>
  <si>
    <t>TOTAL WEIGHT (MTS)</t>
  </si>
  <si>
    <t>TOTAL CONTAINER 40FT</t>
  </si>
  <si>
    <t>TOTAL CONTAINER 20FT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</si>
</sst>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13" x14ac:knownFonts="1">
    <font>
      <sz val="11"/>
      <color theme="1"/>
      <name val="Calibri"/>
      <family val="2"/>
      <charset val="1"/>
    </font>
    <font>
      <sz val="8"/>
      <color theme="1"/>
      <name val="Arial"/>
      <family val="2"/>
      <charset val="1"/>
    </font>
    <font>
      <b/>
      <sz val="8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sz val="11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8"/>
      <color theme="0"/>
      <name val="Arial"/>
      <family val="2"/>
      <charset val="1"/>
    </font>
    <font>
      <sz val="11"/>
      <color theme="0"/>
      <name val="Arial"/>
      <family val="2"/>
      <charset val="1"/>
    </font>
    <font>
      <sz val="9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color theme="1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rgb="FF1F7B4C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C3B94-EAD0-488C-8C22-E993F4772DA2}" name="Table1" displayName="Table1" ref="A2:W32" totalsRowShown="0">
  <autoFilter ref="A2:W32" xr:uid="{00000000-0009-0000-0100-000001000000}"/>
  <tableColumns count="23">
    <tableColumn id="1" xr3:uid="{68CA77BB-F06B-4E9A-9A19-32ACD795CF63}" name="CONTRACT"/>
    <tableColumn id="2" xr3:uid="{AA44C240-6280-4664-85B3-D0CD505E28F1}" name="shipping instructions "/>
    <tableColumn id="3" xr3:uid="{607E852A-FCEF-4FF4-BCFC-8AB706592104}" name="CONSIGNEE"/>
    <tableColumn id="4" xr3:uid="{C37ED811-FB80-457D-87D6-66E6A3349B66}" name="NOTIFY PARTY"/>
    <tableColumn id="5" xr3:uid="{CAB5C965-B94E-4ED8-A0D4-904CD498387B}" name="COMMODITY"/>
    <tableColumn id="6" xr3:uid="{7FF3A885-852D-4E4D-B661-952FA89104E2}" name="QUANTITY (IN KG )"/>
    <tableColumn id="7" xr3:uid="{BEC6F0A7-5008-4D81-BC10-49AFFD445630}" name="WEIGHT IN TON"/>
    <tableColumn id="8" xr3:uid="{9E7E5DD6-E2B7-4C3E-8030-92B21F45E1BA}" name="Note Of loading "/>
    <tableColumn id="9" xr3:uid="{19CEFCAC-25AE-4D7B-8A85-DF77D310E867}" name="Req Container Size"/>
    <tableColumn id="10" xr3:uid="{054531D3-C01D-4D96-B8AB-055DF821D61A}" name="REQ. CONTAINERS"/>
    <tableColumn id="11" xr3:uid="{C10F3F97-B852-4651-9C4C-BAFD79D95C13}" name="SPECIFICATIONS"/>
    <tableColumn id="12" xr3:uid="{1566B48D-3E04-44D2-8DF8-35410EF35B89}" name="PORT OF DISCHARGE"/>
    <tableColumn id="13" xr3:uid="{8BC0DA42-ADF3-4311-B75F-A471F18B0615}" name="SHIPMENT PERIOD"/>
    <tableColumn id="14" xr3:uid="{C9B2722A-212B-4183-95AB-27F322649312}" name="Req Bl's"/>
    <tableColumn id="15" xr3:uid="{01FE33BB-E3B9-40E9-B0F3-7F178D1195E9}" name="FREE DAYS Req"/>
    <tableColumn id="16" xr3:uid="{52296347-CA88-4218-BD42-E4CFEF01DB82}" name="FREIGHT TYPE"/>
    <tableColumn id="17" xr3:uid="{8FA59318-FBF1-4E71-863F-6F1EFDA6D5D4}" name="MARKING"/>
    <tableColumn id="18" xr3:uid="{FC943FE2-5E3D-4F32-8B66-5C39BC55535E}" name="CERTIFICATE REQ."/>
    <tableColumn id="19" xr3:uid="{4608D285-D376-4C35-81DC-5BE6D4E1326D}" name="Special Req"/>
    <tableColumn id="20" xr3:uid="{1D87DFA8-BE29-4D6F-BC4C-5CFF808D60E0}" name="Special Req2"/>
    <tableColumn id="21" xr3:uid="{024C239C-8CBC-43DE-B6C4-CB4664247572}" name="Remark"/>
    <tableColumn id="22" xr3:uid="{900DFDF3-B328-4805-8970-CE3A98FCFCA9}" name="STATUS OF COMPLETION"/>
    <tableColumn id="23" xr3:uid="{AE5D088B-6704-4E92-AF0A-B3D49E7EFDA1}" name="Shipped B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Glow Edge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1456-B806-40B0-B74A-9CA54B055FFD}">
  <sheetPr>
    <pageSetUpPr fitToPage="1"/>
  </sheetPr>
  <dimension ref="A1:X39"/>
  <sheetViews>
    <sheetView tabSelected="1" topLeftCell="A14" zoomScaleNormal="100" workbookViewId="0">
      <selection activeCell="F36" sqref="F36"/>
    </sheetView>
  </sheetViews>
  <sheetFormatPr defaultColWidth="19.88671875" defaultRowHeight="13.8" x14ac:dyDescent="0.3"/>
  <cols>
    <col min="1" max="1" width="22.44140625" style="1" customWidth="1"/>
    <col min="2" max="5" width="19.88671875" style="2"/>
    <col min="6" max="7" width="19.88671875" style="15"/>
    <col min="8" max="8" width="19.88671875" style="2"/>
    <col min="9" max="9" width="19.88671875" style="1"/>
    <col min="10" max="10" width="9.109375" style="17" customWidth="1"/>
    <col min="11" max="11" width="28" style="2" customWidth="1"/>
    <col min="12" max="12" width="17.5546875" style="2" customWidth="1"/>
    <col min="13" max="13" width="19.88671875" style="7"/>
    <col min="14" max="14" width="12.77734375" style="2" customWidth="1"/>
    <col min="15" max="15" width="12.21875" style="2" customWidth="1"/>
    <col min="16" max="16" width="12.44140625" style="7" customWidth="1"/>
    <col min="17" max="17" width="19.88671875" style="8"/>
    <col min="18" max="23" width="19.88671875" style="2"/>
    <col min="24" max="24" width="19.88671875" style="7"/>
    <col min="25" max="16384" width="19.88671875" style="9"/>
  </cols>
  <sheetData>
    <row r="1" spans="1:24" ht="17.25" customHeight="1" x14ac:dyDescent="0.3">
      <c r="F1" s="3">
        <f>SUM(Table1[QUANTITY (IN KG )])</f>
        <v>1691588</v>
      </c>
      <c r="G1" s="3"/>
      <c r="H1" s="4"/>
      <c r="I1" s="5"/>
      <c r="J1" s="6">
        <f>SUM(J3:J31)</f>
        <v>65</v>
      </c>
    </row>
    <row r="2" spans="1:24" s="14" customFormat="1" ht="41.25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0" t="s">
        <v>6</v>
      </c>
      <c r="H2" s="10" t="s">
        <v>7</v>
      </c>
      <c r="I2" s="10" t="s">
        <v>8</v>
      </c>
      <c r="J2" s="12" t="s">
        <v>9</v>
      </c>
      <c r="K2" s="10" t="s">
        <v>10</v>
      </c>
      <c r="L2" s="10" t="s">
        <v>11</v>
      </c>
      <c r="M2" s="12" t="s">
        <v>12</v>
      </c>
      <c r="N2" s="10" t="s">
        <v>13</v>
      </c>
      <c r="O2" s="10" t="s">
        <v>14</v>
      </c>
      <c r="P2" s="12" t="s">
        <v>15</v>
      </c>
      <c r="Q2" s="13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</row>
    <row r="3" spans="1:24" s="18" customFormat="1" ht="45" customHeight="1" x14ac:dyDescent="0.3">
      <c r="A3" s="1" t="s">
        <v>23</v>
      </c>
      <c r="B3" s="1" t="s">
        <v>24</v>
      </c>
      <c r="C3" s="1" t="s">
        <v>25</v>
      </c>
      <c r="D3" s="1" t="s">
        <v>25</v>
      </c>
      <c r="E3" s="1" t="s">
        <v>26</v>
      </c>
      <c r="F3" s="15">
        <v>54432</v>
      </c>
      <c r="G3" s="1">
        <f>Table1[[#This Row],[QUANTITY (IN KG )]]/1000</f>
        <v>54.432000000000002</v>
      </c>
      <c r="H3" s="1" t="s">
        <v>27</v>
      </c>
      <c r="I3" s="1" t="s">
        <v>28</v>
      </c>
      <c r="J3" s="1">
        <v>2</v>
      </c>
      <c r="K3" s="1" t="s">
        <v>29</v>
      </c>
      <c r="L3" s="1" t="s">
        <v>30</v>
      </c>
      <c r="M3" s="1" t="s">
        <v>31</v>
      </c>
      <c r="N3" s="1" t="s">
        <v>32</v>
      </c>
      <c r="O3" s="1">
        <v>21</v>
      </c>
      <c r="P3" s="1" t="s">
        <v>33</v>
      </c>
      <c r="Q3" s="16" t="s">
        <v>34</v>
      </c>
      <c r="R3" s="1" t="s">
        <v>35</v>
      </c>
      <c r="S3" s="1" t="s">
        <v>36</v>
      </c>
      <c r="T3" s="1" t="s">
        <v>37</v>
      </c>
      <c r="U3" s="1"/>
      <c r="V3" s="1" t="s">
        <v>38</v>
      </c>
      <c r="W3" s="1" t="s">
        <v>39</v>
      </c>
      <c r="X3" s="17"/>
    </row>
    <row r="4" spans="1:24" s="18" customFormat="1" ht="51" customHeight="1" x14ac:dyDescent="0.3">
      <c r="A4" s="1" t="s">
        <v>40</v>
      </c>
      <c r="B4" s="1" t="s">
        <v>24</v>
      </c>
      <c r="C4" s="1" t="s">
        <v>41</v>
      </c>
      <c r="D4" s="1" t="s">
        <v>41</v>
      </c>
      <c r="E4" s="1" t="s">
        <v>26</v>
      </c>
      <c r="F4" s="15">
        <v>108864</v>
      </c>
      <c r="G4" s="1">
        <f>Table1[[#This Row],[QUANTITY (IN KG )]]/1000</f>
        <v>108.864</v>
      </c>
      <c r="H4" s="1" t="s">
        <v>42</v>
      </c>
      <c r="I4" s="1" t="s">
        <v>28</v>
      </c>
      <c r="J4" s="1">
        <v>4</v>
      </c>
      <c r="K4" s="1" t="s">
        <v>43</v>
      </c>
      <c r="L4" s="1" t="s">
        <v>30</v>
      </c>
      <c r="M4" s="1" t="s">
        <v>31</v>
      </c>
      <c r="N4" s="1" t="s">
        <v>44</v>
      </c>
      <c r="O4" s="1">
        <v>21</v>
      </c>
      <c r="P4" s="1" t="s">
        <v>33</v>
      </c>
      <c r="Q4" s="16" t="s">
        <v>34</v>
      </c>
      <c r="R4" s="1" t="s">
        <v>35</v>
      </c>
      <c r="S4" s="1" t="s">
        <v>45</v>
      </c>
      <c r="T4" s="1" t="s">
        <v>37</v>
      </c>
      <c r="U4" s="1"/>
      <c r="V4" s="1" t="s">
        <v>38</v>
      </c>
      <c r="W4" s="1" t="s">
        <v>39</v>
      </c>
      <c r="X4" s="17"/>
    </row>
    <row r="5" spans="1:24" s="18" customFormat="1" ht="51" customHeight="1" x14ac:dyDescent="0.3">
      <c r="A5" s="1" t="s">
        <v>46</v>
      </c>
      <c r="B5" s="1" t="s">
        <v>24</v>
      </c>
      <c r="C5" s="1" t="s">
        <v>47</v>
      </c>
      <c r="D5" s="1" t="s">
        <v>47</v>
      </c>
      <c r="E5" s="1" t="s">
        <v>26</v>
      </c>
      <c r="F5" s="15">
        <v>163296</v>
      </c>
      <c r="G5" s="1">
        <f>Table1[[#This Row],[QUANTITY (IN KG )]]/1000</f>
        <v>163.29599999999999</v>
      </c>
      <c r="H5" s="1" t="s">
        <v>48</v>
      </c>
      <c r="I5" s="1" t="s">
        <v>28</v>
      </c>
      <c r="J5" s="1">
        <v>6</v>
      </c>
      <c r="K5" s="1" t="s">
        <v>43</v>
      </c>
      <c r="L5" s="1" t="s">
        <v>30</v>
      </c>
      <c r="M5" s="1" t="s">
        <v>31</v>
      </c>
      <c r="N5" s="1" t="s">
        <v>49</v>
      </c>
      <c r="O5" s="1">
        <v>21</v>
      </c>
      <c r="P5" s="1" t="s">
        <v>33</v>
      </c>
      <c r="Q5" s="16" t="s">
        <v>34</v>
      </c>
      <c r="R5" s="1" t="s">
        <v>35</v>
      </c>
      <c r="S5" s="1" t="s">
        <v>50</v>
      </c>
      <c r="T5" s="1" t="s">
        <v>51</v>
      </c>
      <c r="U5" s="1">
        <v>0</v>
      </c>
      <c r="V5" s="1" t="s">
        <v>38</v>
      </c>
      <c r="W5" s="1" t="s">
        <v>39</v>
      </c>
      <c r="X5" s="17"/>
    </row>
    <row r="6" spans="1:24" s="18" customFormat="1" ht="51" customHeight="1" x14ac:dyDescent="0.3">
      <c r="A6" s="1" t="s">
        <v>52</v>
      </c>
      <c r="B6" s="1" t="s">
        <v>24</v>
      </c>
      <c r="C6" s="1" t="s">
        <v>53</v>
      </c>
      <c r="D6" s="1" t="s">
        <v>53</v>
      </c>
      <c r="E6" s="1" t="s">
        <v>26</v>
      </c>
      <c r="F6" s="15">
        <v>49896</v>
      </c>
      <c r="G6" s="1">
        <f>Table1[[#This Row],[QUANTITY (IN KG )]]/1000</f>
        <v>49.896000000000001</v>
      </c>
      <c r="H6" s="1" t="s">
        <v>27</v>
      </c>
      <c r="I6" s="1" t="s">
        <v>28</v>
      </c>
      <c r="J6" s="1">
        <v>2</v>
      </c>
      <c r="K6" s="1" t="s">
        <v>43</v>
      </c>
      <c r="L6" s="1" t="s">
        <v>30</v>
      </c>
      <c r="M6" s="1" t="s">
        <v>31</v>
      </c>
      <c r="N6" s="1" t="s">
        <v>32</v>
      </c>
      <c r="O6" s="1">
        <v>21</v>
      </c>
      <c r="P6" s="1" t="s">
        <v>33</v>
      </c>
      <c r="Q6" s="16" t="s">
        <v>34</v>
      </c>
      <c r="R6" s="1" t="s">
        <v>35</v>
      </c>
      <c r="S6" s="1" t="s">
        <v>50</v>
      </c>
      <c r="T6" s="1" t="s">
        <v>37</v>
      </c>
      <c r="U6" s="1"/>
      <c r="V6" s="1" t="s">
        <v>38</v>
      </c>
      <c r="W6" s="1" t="s">
        <v>39</v>
      </c>
      <c r="X6" s="17"/>
    </row>
    <row r="7" spans="1:24" s="18" customFormat="1" ht="111.75" customHeight="1" x14ac:dyDescent="0.3">
      <c r="A7" s="1" t="s">
        <v>54</v>
      </c>
      <c r="B7" s="1" t="s">
        <v>24</v>
      </c>
      <c r="C7" s="1" t="s">
        <v>55</v>
      </c>
      <c r="D7" s="1" t="s">
        <v>55</v>
      </c>
      <c r="E7" s="1" t="s">
        <v>26</v>
      </c>
      <c r="F7" s="15">
        <v>250000</v>
      </c>
      <c r="G7" s="1">
        <f>Table1[[#This Row],[QUANTITY (IN KG )]]/1000</f>
        <v>250</v>
      </c>
      <c r="H7" s="1" t="s">
        <v>56</v>
      </c>
      <c r="I7" s="1" t="s">
        <v>28</v>
      </c>
      <c r="J7" s="1">
        <v>10</v>
      </c>
      <c r="K7" s="1" t="s">
        <v>57</v>
      </c>
      <c r="L7" s="1" t="s">
        <v>58</v>
      </c>
      <c r="M7" s="1" t="s">
        <v>59</v>
      </c>
      <c r="N7" s="1" t="s">
        <v>60</v>
      </c>
      <c r="O7" s="1">
        <v>21</v>
      </c>
      <c r="P7" s="1" t="s">
        <v>33</v>
      </c>
      <c r="Q7" s="16" t="s">
        <v>34</v>
      </c>
      <c r="R7" s="1" t="s">
        <v>35</v>
      </c>
      <c r="S7" s="1" t="s">
        <v>61</v>
      </c>
      <c r="T7" s="1" t="s">
        <v>37</v>
      </c>
      <c r="U7" s="1"/>
      <c r="V7" s="1" t="s">
        <v>38</v>
      </c>
      <c r="W7" s="1" t="s">
        <v>39</v>
      </c>
      <c r="X7" s="17"/>
    </row>
    <row r="8" spans="1:24" s="18" customFormat="1" ht="102" customHeight="1" x14ac:dyDescent="0.3">
      <c r="A8" s="1" t="s">
        <v>62</v>
      </c>
      <c r="B8" s="1" t="s">
        <v>24</v>
      </c>
      <c r="C8" s="1" t="s">
        <v>55</v>
      </c>
      <c r="D8" s="1" t="s">
        <v>55</v>
      </c>
      <c r="E8" s="1" t="s">
        <v>26</v>
      </c>
      <c r="F8" s="15">
        <v>250000</v>
      </c>
      <c r="G8" s="1">
        <f>Table1[[#This Row],[QUANTITY (IN KG )]]/1000</f>
        <v>250</v>
      </c>
      <c r="H8" s="1" t="s">
        <v>56</v>
      </c>
      <c r="I8" s="1" t="s">
        <v>28</v>
      </c>
      <c r="J8" s="1">
        <v>10</v>
      </c>
      <c r="K8" s="1" t="s">
        <v>63</v>
      </c>
      <c r="L8" s="1" t="s">
        <v>58</v>
      </c>
      <c r="M8" s="1" t="s">
        <v>31</v>
      </c>
      <c r="N8" s="1" t="s">
        <v>64</v>
      </c>
      <c r="O8" s="1">
        <v>21</v>
      </c>
      <c r="P8" s="1" t="s">
        <v>33</v>
      </c>
      <c r="Q8" s="16" t="s">
        <v>34</v>
      </c>
      <c r="R8" s="1" t="s">
        <v>35</v>
      </c>
      <c r="S8" s="1" t="s">
        <v>61</v>
      </c>
      <c r="T8" s="1" t="s">
        <v>37</v>
      </c>
      <c r="U8" s="1"/>
      <c r="V8" s="1" t="s">
        <v>38</v>
      </c>
      <c r="W8" s="1" t="s">
        <v>39</v>
      </c>
      <c r="X8" s="17"/>
    </row>
    <row r="9" spans="1:24" s="18" customFormat="1" ht="45" customHeight="1" x14ac:dyDescent="0.3">
      <c r="A9" s="1" t="s">
        <v>65</v>
      </c>
      <c r="B9" s="1" t="s">
        <v>24</v>
      </c>
      <c r="C9" s="1" t="s">
        <v>66</v>
      </c>
      <c r="D9" s="1" t="s">
        <v>66</v>
      </c>
      <c r="E9" s="1" t="s">
        <v>67</v>
      </c>
      <c r="F9" s="15">
        <v>170100</v>
      </c>
      <c r="G9" s="1">
        <f>Table1[[#This Row],[QUANTITY (IN KG )]]/1000</f>
        <v>170.1</v>
      </c>
      <c r="H9" s="1" t="s">
        <v>68</v>
      </c>
      <c r="I9" s="1" t="s">
        <v>28</v>
      </c>
      <c r="J9" s="1">
        <v>6</v>
      </c>
      <c r="K9" s="1" t="s">
        <v>69</v>
      </c>
      <c r="L9" s="1" t="s">
        <v>30</v>
      </c>
      <c r="M9" s="1" t="s">
        <v>31</v>
      </c>
      <c r="N9" s="1" t="s">
        <v>70</v>
      </c>
      <c r="O9" s="1">
        <v>21</v>
      </c>
      <c r="P9" s="1" t="s">
        <v>33</v>
      </c>
      <c r="Q9" s="16" t="s">
        <v>34</v>
      </c>
      <c r="R9" s="1" t="s">
        <v>35</v>
      </c>
      <c r="S9" s="1" t="s">
        <v>61</v>
      </c>
      <c r="T9" s="1" t="s">
        <v>37</v>
      </c>
      <c r="U9" s="1"/>
      <c r="V9" s="1" t="s">
        <v>38</v>
      </c>
      <c r="W9" s="1" t="s">
        <v>39</v>
      </c>
      <c r="X9" s="17"/>
    </row>
    <row r="10" spans="1:24" s="18" customFormat="1" ht="45" customHeight="1" x14ac:dyDescent="0.3">
      <c r="A10" s="1" t="s">
        <v>71</v>
      </c>
      <c r="B10" s="1" t="s">
        <v>24</v>
      </c>
      <c r="C10" s="1" t="s">
        <v>72</v>
      </c>
      <c r="D10" s="1" t="s">
        <v>72</v>
      </c>
      <c r="E10" s="1" t="s">
        <v>67</v>
      </c>
      <c r="F10" s="15">
        <v>75000</v>
      </c>
      <c r="G10" s="1">
        <f>Table1[[#This Row],[QUANTITY (IN KG )]]/1000</f>
        <v>75</v>
      </c>
      <c r="H10" s="1" t="s">
        <v>73</v>
      </c>
      <c r="I10" s="1" t="s">
        <v>28</v>
      </c>
      <c r="J10" s="1">
        <v>3</v>
      </c>
      <c r="K10" s="1"/>
      <c r="L10" s="1" t="s">
        <v>30</v>
      </c>
      <c r="M10" s="1" t="s">
        <v>31</v>
      </c>
      <c r="N10" s="1" t="s">
        <v>74</v>
      </c>
      <c r="O10" s="1">
        <v>21</v>
      </c>
      <c r="P10" s="1" t="s">
        <v>33</v>
      </c>
      <c r="Q10" s="16" t="s">
        <v>34</v>
      </c>
      <c r="R10" s="1" t="s">
        <v>35</v>
      </c>
      <c r="S10" s="1" t="s">
        <v>36</v>
      </c>
      <c r="T10" s="1" t="s">
        <v>37</v>
      </c>
      <c r="U10" s="1"/>
      <c r="V10" s="1" t="s">
        <v>38</v>
      </c>
      <c r="W10" s="1" t="s">
        <v>39</v>
      </c>
      <c r="X10" s="17"/>
    </row>
    <row r="11" spans="1:24" s="18" customFormat="1" ht="45" customHeight="1" x14ac:dyDescent="0.3">
      <c r="A11" s="1" t="s">
        <v>75</v>
      </c>
      <c r="B11" s="1" t="s">
        <v>24</v>
      </c>
      <c r="C11" s="1" t="s">
        <v>76</v>
      </c>
      <c r="D11" s="1" t="s">
        <v>76</v>
      </c>
      <c r="E11" s="1" t="s">
        <v>67</v>
      </c>
      <c r="F11" s="15">
        <v>50000</v>
      </c>
      <c r="G11" s="1">
        <f>Table1[[#This Row],[QUANTITY (IN KG )]]/1000</f>
        <v>50</v>
      </c>
      <c r="H11" s="1" t="s">
        <v>77</v>
      </c>
      <c r="I11" s="1" t="s">
        <v>28</v>
      </c>
      <c r="J11" s="1">
        <v>2</v>
      </c>
      <c r="K11" s="19" t="s">
        <v>69</v>
      </c>
      <c r="L11" s="1" t="s">
        <v>30</v>
      </c>
      <c r="M11" s="1" t="s">
        <v>78</v>
      </c>
      <c r="N11" s="1" t="s">
        <v>79</v>
      </c>
      <c r="O11" s="1">
        <v>21</v>
      </c>
      <c r="P11" s="1" t="s">
        <v>33</v>
      </c>
      <c r="Q11" s="16" t="s">
        <v>34</v>
      </c>
      <c r="R11" s="1" t="s">
        <v>35</v>
      </c>
      <c r="S11" s="1" t="s">
        <v>36</v>
      </c>
      <c r="T11" s="1" t="s">
        <v>37</v>
      </c>
      <c r="U11" s="1"/>
      <c r="V11" s="1" t="s">
        <v>80</v>
      </c>
      <c r="W11" s="1"/>
      <c r="X11" s="17"/>
    </row>
    <row r="12" spans="1:24" s="18" customFormat="1" ht="45" customHeight="1" x14ac:dyDescent="0.3">
      <c r="A12" s="1" t="s">
        <v>81</v>
      </c>
      <c r="B12" s="1" t="s">
        <v>24</v>
      </c>
      <c r="C12" s="20" t="s">
        <v>82</v>
      </c>
      <c r="D12" s="20" t="s">
        <v>82</v>
      </c>
      <c r="E12" s="21" t="s">
        <v>83</v>
      </c>
      <c r="F12" s="15">
        <v>156000</v>
      </c>
      <c r="G12" s="1">
        <f>Table1[[#This Row],[QUANTITY (IN KG )]]/1000</f>
        <v>156</v>
      </c>
      <c r="H12" s="1" t="s">
        <v>84</v>
      </c>
      <c r="I12" s="1" t="s">
        <v>28</v>
      </c>
      <c r="J12" s="1">
        <v>6</v>
      </c>
      <c r="K12" s="19" t="s">
        <v>85</v>
      </c>
      <c r="L12" s="1" t="s">
        <v>30</v>
      </c>
      <c r="M12" s="1" t="s">
        <v>78</v>
      </c>
      <c r="N12" s="1" t="s">
        <v>86</v>
      </c>
      <c r="O12" s="1">
        <v>21</v>
      </c>
      <c r="P12" s="1" t="s">
        <v>33</v>
      </c>
      <c r="Q12" s="16" t="s">
        <v>34</v>
      </c>
      <c r="R12" s="1" t="s">
        <v>35</v>
      </c>
      <c r="S12" s="1" t="s">
        <v>87</v>
      </c>
      <c r="T12" s="1" t="s">
        <v>37</v>
      </c>
      <c r="U12" s="1"/>
      <c r="V12" s="1" t="s">
        <v>80</v>
      </c>
      <c r="W12" s="1"/>
      <c r="X12" s="17"/>
    </row>
    <row r="13" spans="1:24" s="18" customFormat="1" ht="45" customHeight="1" x14ac:dyDescent="0.3">
      <c r="A13" s="1" t="s">
        <v>88</v>
      </c>
      <c r="B13" s="1" t="s">
        <v>24</v>
      </c>
      <c r="C13" s="1" t="s">
        <v>89</v>
      </c>
      <c r="D13" s="1" t="s">
        <v>89</v>
      </c>
      <c r="E13" s="1" t="s">
        <v>83</v>
      </c>
      <c r="F13" s="15">
        <v>52000</v>
      </c>
      <c r="G13" s="1">
        <f>Table1[[#This Row],[QUANTITY (IN KG )]]/1000</f>
        <v>52</v>
      </c>
      <c r="H13" s="1" t="s">
        <v>77</v>
      </c>
      <c r="I13" s="1" t="s">
        <v>28</v>
      </c>
      <c r="J13" s="1">
        <v>2</v>
      </c>
      <c r="K13" s="19" t="s">
        <v>85</v>
      </c>
      <c r="L13" s="1" t="s">
        <v>30</v>
      </c>
      <c r="M13" s="1" t="s">
        <v>78</v>
      </c>
      <c r="N13" s="1" t="s">
        <v>79</v>
      </c>
      <c r="O13" s="1">
        <v>21</v>
      </c>
      <c r="P13" s="1" t="s">
        <v>33</v>
      </c>
      <c r="Q13" s="16" t="s">
        <v>34</v>
      </c>
      <c r="R13" s="1" t="s">
        <v>35</v>
      </c>
      <c r="S13" s="1" t="s">
        <v>87</v>
      </c>
      <c r="T13" s="1" t="s">
        <v>37</v>
      </c>
      <c r="U13" s="1"/>
      <c r="V13" s="1" t="s">
        <v>80</v>
      </c>
      <c r="W13" s="1"/>
      <c r="X13" s="17"/>
    </row>
    <row r="14" spans="1:24" s="18" customFormat="1" ht="45" customHeight="1" x14ac:dyDescent="0.3">
      <c r="A14" s="1" t="s">
        <v>90</v>
      </c>
      <c r="B14" s="1" t="s">
        <v>24</v>
      </c>
      <c r="C14" s="1" t="s">
        <v>91</v>
      </c>
      <c r="D14" s="1" t="s">
        <v>91</v>
      </c>
      <c r="E14" s="1" t="s">
        <v>83</v>
      </c>
      <c r="F14" s="15">
        <f>20*1300*2</f>
        <v>52000</v>
      </c>
      <c r="G14" s="1">
        <f>Table1[[#This Row],[QUANTITY (IN KG )]]/1000</f>
        <v>52</v>
      </c>
      <c r="H14" s="1" t="s">
        <v>77</v>
      </c>
      <c r="I14" s="1" t="s">
        <v>28</v>
      </c>
      <c r="J14" s="1">
        <v>2</v>
      </c>
      <c r="K14" s="19" t="s">
        <v>85</v>
      </c>
      <c r="L14" s="1" t="s">
        <v>30</v>
      </c>
      <c r="M14" s="1" t="s">
        <v>78</v>
      </c>
      <c r="N14" s="1" t="s">
        <v>79</v>
      </c>
      <c r="O14" s="1" t="s">
        <v>92</v>
      </c>
      <c r="P14" s="1" t="s">
        <v>33</v>
      </c>
      <c r="Q14" s="16" t="s">
        <v>34</v>
      </c>
      <c r="R14" s="1" t="s">
        <v>35</v>
      </c>
      <c r="S14" s="1" t="s">
        <v>87</v>
      </c>
      <c r="T14" s="1" t="s">
        <v>37</v>
      </c>
      <c r="U14" s="1"/>
      <c r="V14" s="1" t="s">
        <v>80</v>
      </c>
      <c r="W14" s="1"/>
      <c r="X14" s="17"/>
    </row>
    <row r="15" spans="1:24" s="18" customFormat="1" ht="30" customHeight="1" x14ac:dyDescent="0.3">
      <c r="A15" s="1" t="s">
        <v>93</v>
      </c>
      <c r="B15" s="1" t="s">
        <v>24</v>
      </c>
      <c r="C15" s="1" t="s">
        <v>94</v>
      </c>
      <c r="D15" s="1" t="s">
        <v>94</v>
      </c>
      <c r="E15" s="1" t="s">
        <v>83</v>
      </c>
      <c r="F15" s="15">
        <f>20*1300*2</f>
        <v>52000</v>
      </c>
      <c r="G15" s="1">
        <f>Table1[[#This Row],[QUANTITY (IN KG )]]/1000</f>
        <v>52</v>
      </c>
      <c r="H15" s="1" t="s">
        <v>77</v>
      </c>
      <c r="I15" s="1" t="s">
        <v>28</v>
      </c>
      <c r="J15" s="1">
        <v>2</v>
      </c>
      <c r="K15" s="19" t="s">
        <v>85</v>
      </c>
      <c r="L15" s="1" t="s">
        <v>30</v>
      </c>
      <c r="M15" s="1" t="s">
        <v>78</v>
      </c>
      <c r="N15" s="1" t="s">
        <v>79</v>
      </c>
      <c r="O15" s="1">
        <v>21</v>
      </c>
      <c r="P15" s="1" t="s">
        <v>33</v>
      </c>
      <c r="Q15" s="16" t="s">
        <v>34</v>
      </c>
      <c r="R15" s="1" t="s">
        <v>35</v>
      </c>
      <c r="S15" s="1" t="s">
        <v>36</v>
      </c>
      <c r="T15" s="1" t="s">
        <v>95</v>
      </c>
      <c r="U15" s="1"/>
      <c r="V15" s="1" t="s">
        <v>80</v>
      </c>
      <c r="W15" s="1"/>
      <c r="X15" s="17"/>
    </row>
    <row r="16" spans="1:24" s="18" customFormat="1" ht="13.5" customHeight="1" x14ac:dyDescent="0.3">
      <c r="A16" s="1" t="s">
        <v>96</v>
      </c>
      <c r="B16" s="1" t="s">
        <v>24</v>
      </c>
      <c r="C16" s="1" t="s">
        <v>82</v>
      </c>
      <c r="D16" s="1" t="s">
        <v>82</v>
      </c>
      <c r="E16" s="1" t="s">
        <v>83</v>
      </c>
      <c r="F16" s="15">
        <v>78000</v>
      </c>
      <c r="G16" s="1">
        <f>Table1[[#This Row],[QUANTITY (IN KG )]]/1000</f>
        <v>78</v>
      </c>
      <c r="H16" s="1" t="s">
        <v>73</v>
      </c>
      <c r="I16" s="1" t="s">
        <v>28</v>
      </c>
      <c r="J16" s="1">
        <v>3</v>
      </c>
      <c r="K16" s="19" t="s">
        <v>85</v>
      </c>
      <c r="L16" s="1" t="s">
        <v>30</v>
      </c>
      <c r="M16" s="1" t="s">
        <v>97</v>
      </c>
      <c r="N16" s="1" t="s">
        <v>74</v>
      </c>
      <c r="O16" s="1">
        <v>21</v>
      </c>
      <c r="P16" s="1" t="s">
        <v>33</v>
      </c>
      <c r="Q16" s="16" t="s">
        <v>34</v>
      </c>
      <c r="R16" s="1" t="s">
        <v>35</v>
      </c>
      <c r="S16" s="1" t="s">
        <v>36</v>
      </c>
      <c r="T16" s="1" t="s">
        <v>37</v>
      </c>
      <c r="U16" s="1"/>
      <c r="V16" s="1" t="s">
        <v>80</v>
      </c>
      <c r="W16" s="1"/>
      <c r="X16" s="17"/>
    </row>
    <row r="17" spans="1:24" s="18" customFormat="1" ht="13.5" customHeight="1" x14ac:dyDescent="0.3">
      <c r="A17" s="1" t="s">
        <v>98</v>
      </c>
      <c r="B17" s="1" t="s">
        <v>24</v>
      </c>
      <c r="C17" s="1" t="s">
        <v>99</v>
      </c>
      <c r="D17" s="1" t="s">
        <v>100</v>
      </c>
      <c r="E17" s="1" t="s">
        <v>83</v>
      </c>
      <c r="F17" s="15">
        <v>78000</v>
      </c>
      <c r="G17" s="1">
        <f>Table1[[#This Row],[QUANTITY (IN KG )]]/1000</f>
        <v>78</v>
      </c>
      <c r="H17" s="1" t="s">
        <v>101</v>
      </c>
      <c r="I17" s="1" t="s">
        <v>28</v>
      </c>
      <c r="J17" s="1">
        <v>3</v>
      </c>
      <c r="K17" s="19" t="s">
        <v>85</v>
      </c>
      <c r="L17" s="1" t="s">
        <v>30</v>
      </c>
      <c r="M17" s="1" t="s">
        <v>97</v>
      </c>
      <c r="N17" s="1" t="s">
        <v>74</v>
      </c>
      <c r="O17" s="1">
        <v>21</v>
      </c>
      <c r="P17" s="1" t="s">
        <v>33</v>
      </c>
      <c r="Q17" s="16" t="s">
        <v>34</v>
      </c>
      <c r="R17" s="1" t="s">
        <v>35</v>
      </c>
      <c r="S17" s="1" t="s">
        <v>36</v>
      </c>
      <c r="T17" s="1" t="s">
        <v>37</v>
      </c>
      <c r="U17" s="1"/>
      <c r="V17" s="1" t="s">
        <v>80</v>
      </c>
      <c r="W17" s="1"/>
      <c r="X17" s="17"/>
    </row>
    <row r="18" spans="1:24" s="18" customFormat="1" ht="13.5" customHeight="1" x14ac:dyDescent="0.3">
      <c r="A18" s="1" t="s">
        <v>102</v>
      </c>
      <c r="B18" s="1" t="s">
        <v>24</v>
      </c>
      <c r="C18" s="1" t="s">
        <v>103</v>
      </c>
      <c r="D18" s="1" t="s">
        <v>104</v>
      </c>
      <c r="E18" s="1" t="s">
        <v>83</v>
      </c>
      <c r="F18" s="15">
        <v>52000</v>
      </c>
      <c r="G18" s="1">
        <f>Table1[[#This Row],[QUANTITY (IN KG )]]/1000</f>
        <v>52</v>
      </c>
      <c r="H18" s="1" t="s">
        <v>77</v>
      </c>
      <c r="I18" s="1" t="s">
        <v>28</v>
      </c>
      <c r="J18" s="1">
        <v>2</v>
      </c>
      <c r="K18" s="19" t="s">
        <v>85</v>
      </c>
      <c r="L18" s="1" t="s">
        <v>30</v>
      </c>
      <c r="M18" s="1" t="s">
        <v>97</v>
      </c>
      <c r="N18" s="1" t="s">
        <v>79</v>
      </c>
      <c r="O18" s="1">
        <v>21</v>
      </c>
      <c r="P18" s="1" t="s">
        <v>33</v>
      </c>
      <c r="Q18" s="16" t="s">
        <v>34</v>
      </c>
      <c r="R18" s="1" t="s">
        <v>35</v>
      </c>
      <c r="S18" s="1" t="s">
        <v>36</v>
      </c>
      <c r="T18" s="1" t="s">
        <v>37</v>
      </c>
      <c r="U18" s="1"/>
      <c r="V18" s="1" t="s">
        <v>80</v>
      </c>
      <c r="W18" s="1"/>
      <c r="X18" s="17"/>
    </row>
    <row r="19" spans="1:24" s="18" customFormat="1" ht="13.5" customHeight="1" x14ac:dyDescent="0.3">
      <c r="A19" s="1"/>
      <c r="B19" s="1"/>
      <c r="C19" s="1"/>
      <c r="D19" s="1"/>
      <c r="E19" s="1"/>
      <c r="F19" s="15"/>
      <c r="G19" s="1">
        <f>Table1[[#This Row],[QUANTITY (IN KG )]]/1000</f>
        <v>0</v>
      </c>
      <c r="H19" s="1"/>
      <c r="I19" s="1"/>
      <c r="J19" s="1"/>
      <c r="K19" s="1"/>
      <c r="L19" s="1"/>
      <c r="M19" s="1"/>
      <c r="N19" s="1"/>
      <c r="O19" s="1"/>
      <c r="P19" s="1"/>
      <c r="Q19" s="16"/>
      <c r="R19" s="1"/>
      <c r="S19" s="1"/>
      <c r="T19" s="1"/>
      <c r="U19" s="1"/>
      <c r="V19" s="1"/>
      <c r="W19" s="1"/>
      <c r="X19" s="17"/>
    </row>
    <row r="20" spans="1:24" s="18" customFormat="1" ht="13.5" customHeight="1" x14ac:dyDescent="0.3">
      <c r="A20" s="1"/>
      <c r="B20" s="1"/>
      <c r="C20" s="1"/>
      <c r="D20" s="1"/>
      <c r="E20" s="1"/>
      <c r="F20" s="15"/>
      <c r="G20" s="1"/>
      <c r="H20" s="1"/>
      <c r="I20" s="1"/>
      <c r="J20" s="1"/>
      <c r="K20" s="1"/>
      <c r="L20" s="1"/>
      <c r="M20" s="1"/>
      <c r="N20" s="1"/>
      <c r="O20" s="1"/>
      <c r="P20" s="1"/>
      <c r="Q20" s="16"/>
      <c r="R20" s="1"/>
      <c r="S20" s="1"/>
      <c r="T20" s="1"/>
      <c r="U20" s="1"/>
      <c r="V20" s="1"/>
      <c r="W20" s="1"/>
      <c r="X20" s="17"/>
    </row>
    <row r="21" spans="1:24" s="18" customFormat="1" ht="13.5" customHeight="1" x14ac:dyDescent="0.3">
      <c r="A21" s="1"/>
      <c r="B21" s="1"/>
      <c r="C21" s="1"/>
      <c r="D21" s="1"/>
      <c r="E21" s="1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6"/>
      <c r="R21" s="1"/>
      <c r="S21" s="1"/>
      <c r="T21" s="1"/>
      <c r="U21" s="1"/>
      <c r="V21" s="1"/>
      <c r="W21" s="1"/>
      <c r="X21" s="17"/>
    </row>
    <row r="22" spans="1:24" s="18" customFormat="1" ht="13.5" customHeight="1" x14ac:dyDescent="0.3">
      <c r="A22" s="1"/>
      <c r="B22" s="1"/>
      <c r="C22" s="1"/>
      <c r="D22" s="1"/>
      <c r="E22" s="1"/>
      <c r="F22" s="15"/>
      <c r="G22" s="1"/>
      <c r="H22" s="1"/>
      <c r="I22" s="1"/>
      <c r="J22" s="1"/>
      <c r="K22" s="1"/>
      <c r="L22" s="1"/>
      <c r="M22" s="1"/>
      <c r="N22" s="1"/>
      <c r="O22" s="1"/>
      <c r="P22" s="1"/>
      <c r="Q22" s="16"/>
      <c r="R22" s="1"/>
      <c r="S22" s="1"/>
      <c r="T22" s="1"/>
      <c r="U22" s="1"/>
      <c r="V22" s="1"/>
      <c r="W22" s="1"/>
      <c r="X22" s="17"/>
    </row>
    <row r="23" spans="1:24" s="18" customFormat="1" ht="13.5" customHeight="1" x14ac:dyDescent="0.3">
      <c r="A23" s="1"/>
      <c r="B23" s="1"/>
      <c r="C23" s="1"/>
      <c r="D23" s="1"/>
      <c r="E23" s="1"/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6"/>
      <c r="R23" s="1"/>
      <c r="S23" s="1"/>
      <c r="T23" s="1"/>
      <c r="U23" s="1"/>
      <c r="V23" s="1"/>
      <c r="W23" s="1"/>
      <c r="X23" s="17"/>
    </row>
    <row r="24" spans="1:24" s="18" customFormat="1" ht="13.5" customHeight="1" x14ac:dyDescent="0.3">
      <c r="A24" s="1"/>
      <c r="B24" s="1"/>
      <c r="C24" s="1"/>
      <c r="D24" s="1"/>
      <c r="E24" s="1"/>
      <c r="F24" s="15"/>
      <c r="G24" s="1"/>
      <c r="H24" s="1"/>
      <c r="I24" s="1"/>
      <c r="J24" s="1"/>
      <c r="K24" s="1"/>
      <c r="L24" s="1"/>
      <c r="M24" s="1"/>
      <c r="N24" s="1"/>
      <c r="O24" s="1"/>
      <c r="P24" s="1"/>
      <c r="Q24" s="16"/>
      <c r="R24" s="1"/>
      <c r="S24" s="1"/>
      <c r="T24" s="1"/>
      <c r="U24" s="1"/>
      <c r="V24" s="1"/>
      <c r="W24" s="1"/>
      <c r="X24" s="17"/>
    </row>
    <row r="25" spans="1:24" s="18" customFormat="1" ht="13.5" customHeight="1" x14ac:dyDescent="0.3">
      <c r="A25" s="1"/>
      <c r="B25" s="1"/>
      <c r="C25" s="1"/>
      <c r="D25" s="1"/>
      <c r="E25" s="1"/>
      <c r="F25" s="15"/>
      <c r="G25" s="1"/>
      <c r="H25" s="1"/>
      <c r="I25" s="1"/>
      <c r="J25" s="1"/>
      <c r="K25" s="1"/>
      <c r="L25" s="1"/>
      <c r="M25" s="1"/>
      <c r="N25" s="1"/>
      <c r="O25" s="1"/>
      <c r="P25" s="1"/>
      <c r="Q25" s="16"/>
      <c r="R25" s="1"/>
      <c r="S25" s="1"/>
      <c r="T25" s="1"/>
      <c r="U25" s="1"/>
      <c r="V25" s="1"/>
      <c r="W25" s="1"/>
      <c r="X25" s="17"/>
    </row>
    <row r="26" spans="1:24" s="18" customFormat="1" ht="13.5" customHeight="1" x14ac:dyDescent="0.3">
      <c r="A26" s="1"/>
      <c r="B26" s="1"/>
      <c r="C26" s="1"/>
      <c r="D26" s="1"/>
      <c r="E26" s="1"/>
      <c r="F26" s="15"/>
      <c r="G26" s="1"/>
      <c r="H26" s="1"/>
      <c r="I26" s="1"/>
      <c r="J26" s="1"/>
      <c r="K26" s="1"/>
      <c r="L26" s="1"/>
      <c r="M26" s="1"/>
      <c r="N26" s="1"/>
      <c r="O26" s="1"/>
      <c r="P26" s="1"/>
      <c r="Q26" s="16"/>
      <c r="R26" s="1"/>
      <c r="S26" s="1"/>
      <c r="T26" s="1"/>
      <c r="U26" s="1"/>
      <c r="V26" s="1"/>
      <c r="W26" s="1"/>
      <c r="X26" s="17"/>
    </row>
    <row r="27" spans="1:24" ht="13.5" customHeight="1" x14ac:dyDescent="0.3">
      <c r="B27" s="22"/>
      <c r="C27" s="22"/>
      <c r="D27" s="22"/>
      <c r="E27" s="22"/>
      <c r="F27" s="23"/>
      <c r="G27" s="1"/>
      <c r="H27" s="22"/>
      <c r="J27" s="1"/>
      <c r="K27" s="22"/>
      <c r="L27" s="22"/>
      <c r="M27" s="22"/>
      <c r="N27" s="22"/>
      <c r="O27" s="22"/>
      <c r="P27" s="22"/>
      <c r="Q27" s="24"/>
      <c r="R27" s="22"/>
      <c r="S27" s="22"/>
      <c r="T27" s="22"/>
      <c r="U27" s="22"/>
      <c r="V27" s="22"/>
      <c r="W27" s="22"/>
    </row>
    <row r="28" spans="1:24" ht="13.5" customHeight="1" x14ac:dyDescent="0.3">
      <c r="B28" s="22"/>
      <c r="C28" s="22"/>
      <c r="D28" s="22"/>
      <c r="E28" s="22"/>
      <c r="F28" s="23"/>
      <c r="G28" s="1"/>
      <c r="H28" s="22"/>
      <c r="J28" s="1"/>
      <c r="K28" s="22"/>
      <c r="L28" s="22"/>
      <c r="M28" s="22"/>
      <c r="N28" s="22"/>
      <c r="O28" s="22"/>
      <c r="P28" s="22"/>
      <c r="Q28" s="24"/>
      <c r="R28" s="22"/>
      <c r="S28" s="22"/>
      <c r="T28" s="22"/>
      <c r="U28" s="22"/>
      <c r="V28" s="22"/>
      <c r="W28" s="22"/>
    </row>
    <row r="29" spans="1:24" ht="13.5" customHeight="1" x14ac:dyDescent="0.3">
      <c r="B29" s="22"/>
      <c r="C29" s="22"/>
      <c r="D29" s="22"/>
      <c r="E29" s="22"/>
      <c r="F29" s="23"/>
      <c r="G29" s="1"/>
      <c r="H29" s="22"/>
      <c r="J29" s="1"/>
      <c r="K29" s="22"/>
      <c r="L29" s="22"/>
      <c r="M29" s="22"/>
      <c r="N29" s="22"/>
      <c r="O29" s="22"/>
      <c r="P29" s="22"/>
      <c r="Q29" s="24"/>
      <c r="R29" s="22"/>
      <c r="S29" s="22"/>
      <c r="T29" s="22"/>
      <c r="U29" s="22"/>
      <c r="V29" s="22"/>
      <c r="W29" s="22"/>
    </row>
    <row r="30" spans="1:24" ht="13.5" customHeight="1" x14ac:dyDescent="0.3">
      <c r="B30" s="22"/>
      <c r="C30" s="22"/>
      <c r="D30" s="22"/>
      <c r="E30" s="22"/>
      <c r="F30" s="23"/>
      <c r="G30" s="1"/>
      <c r="H30" s="22"/>
      <c r="J30" s="1"/>
      <c r="K30" s="22"/>
      <c r="L30" s="22"/>
      <c r="M30" s="22"/>
      <c r="N30" s="22"/>
      <c r="O30" s="22"/>
      <c r="P30" s="22"/>
      <c r="Q30" s="24"/>
      <c r="R30" s="22"/>
      <c r="S30" s="22"/>
      <c r="T30" s="22"/>
      <c r="U30" s="22"/>
      <c r="V30" s="22"/>
      <c r="W30" s="22"/>
    </row>
    <row r="31" spans="1:24" ht="13.5" customHeight="1" x14ac:dyDescent="0.3">
      <c r="B31" s="22"/>
      <c r="C31" s="22"/>
      <c r="D31" s="22"/>
      <c r="E31" s="22"/>
      <c r="F31" s="23"/>
      <c r="G31" s="1"/>
      <c r="H31" s="22"/>
      <c r="J31" s="1"/>
      <c r="K31" s="22"/>
      <c r="L31" s="22"/>
      <c r="M31" s="22"/>
      <c r="N31" s="22"/>
      <c r="O31" s="22"/>
      <c r="P31" s="22"/>
      <c r="Q31" s="24"/>
      <c r="R31" s="22"/>
      <c r="S31" s="22"/>
      <c r="T31" s="22"/>
      <c r="U31" s="22"/>
      <c r="V31" s="22"/>
      <c r="W31" s="22"/>
    </row>
    <row r="32" spans="1:24" ht="13.5" customHeight="1" x14ac:dyDescent="0.3">
      <c r="B32" s="22"/>
      <c r="C32" s="22"/>
      <c r="D32" s="22"/>
      <c r="E32" s="22"/>
      <c r="F32" s="23"/>
      <c r="G32" s="1"/>
      <c r="H32" s="22"/>
      <c r="J32" s="1"/>
      <c r="K32" s="22"/>
      <c r="L32" s="22"/>
      <c r="M32" s="22"/>
      <c r="N32" s="22"/>
      <c r="O32" s="22"/>
      <c r="P32" s="22"/>
      <c r="Q32" s="24"/>
      <c r="R32" s="22"/>
      <c r="S32" s="22"/>
      <c r="T32" s="22"/>
      <c r="U32" s="22"/>
      <c r="V32" s="22"/>
      <c r="W32" s="22"/>
    </row>
    <row r="35" spans="4:6" ht="13.5" customHeight="1" x14ac:dyDescent="0.3">
      <c r="D35" s="25" t="s">
        <v>105</v>
      </c>
      <c r="E35" s="26"/>
      <c r="F35" s="27">
        <f>SUM(F3:F34)</f>
        <v>1691588</v>
      </c>
    </row>
    <row r="36" spans="4:6" ht="13.5" customHeight="1" x14ac:dyDescent="0.3">
      <c r="D36" s="28" t="s">
        <v>106</v>
      </c>
      <c r="E36" s="29"/>
      <c r="F36" s="30">
        <f>F35/1000</f>
        <v>1691.588</v>
      </c>
    </row>
    <row r="37" spans="4:6" ht="13.5" customHeight="1" x14ac:dyDescent="0.3">
      <c r="D37" s="28" t="s">
        <v>107</v>
      </c>
      <c r="E37" s="29"/>
      <c r="F37" s="30">
        <f>SUM(Table1[REQ. CONTAINERS])</f>
        <v>65</v>
      </c>
    </row>
    <row r="38" spans="4:6" ht="13.5" customHeight="1" x14ac:dyDescent="0.3">
      <c r="D38" s="31" t="s">
        <v>108</v>
      </c>
      <c r="E38" s="32"/>
      <c r="F38" s="33">
        <v>0</v>
      </c>
    </row>
    <row r="39" spans="4:6" ht="13.5" customHeight="1" x14ac:dyDescent="0.3">
      <c r="D39" s="34"/>
      <c r="E39" s="34"/>
      <c r="F39" s="35"/>
    </row>
  </sheetData>
  <pageMargins left="0.55972222222222201" right="0.31527777777777799" top="0.35416666666666702" bottom="0.23611111111111099" header="0.511811023622047" footer="0.511811023622047"/>
  <pageSetup paperSize="8" scale="45" orientation="landscape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GROCI</dc:creator>
  <cp:lastModifiedBy>ANA GROCI</cp:lastModifiedBy>
  <dcterms:created xsi:type="dcterms:W3CDTF">2026-07-23T07:50:01Z</dcterms:created>
  <dcterms:modified xsi:type="dcterms:W3CDTF">2026-07-23T07:50:18Z</dcterms:modified>
</cp:coreProperties>
</file>