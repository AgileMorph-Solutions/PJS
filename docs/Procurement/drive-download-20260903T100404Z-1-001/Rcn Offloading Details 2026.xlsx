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41CF34D2-FE6A-4A0C-B737-5018BC5AEE4B}" xr6:coauthVersionLast="40" xr6:coauthVersionMax="40" xr10:uidLastSave="{00000000-0000-0000-0000-000000000000}"/>
  <bookViews>
    <workbookView xWindow="0" yWindow="0" windowWidth="19200" windowHeight="6790" xr2:uid="{CDEE5D74-F849-4F99-82E8-1A0E52241BC1}"/>
  </bookViews>
  <sheets>
    <sheet name="OFFLOADING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OFFLOADINGS!$A$2:$Z$988</definedName>
    <definedName name="Prestataires">[3]Listes!$A$2:$A$20</definedName>
    <definedName name="Sites">[3]Listes!$B$2:$B$20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" i="1" l="1"/>
  <c r="T988" i="1"/>
  <c r="P988" i="1"/>
  <c r="AG988" i="1" s="1"/>
  <c r="I988" i="1"/>
  <c r="AE987" i="1"/>
  <c r="T987" i="1"/>
  <c r="U987" i="1" s="1"/>
  <c r="W987" i="1" s="1"/>
  <c r="P987" i="1"/>
  <c r="AG987" i="1" s="1"/>
  <c r="I987" i="1"/>
  <c r="T986" i="1"/>
  <c r="P986" i="1"/>
  <c r="AG986" i="1" s="1"/>
  <c r="I986" i="1"/>
  <c r="AF985" i="1"/>
  <c r="T985" i="1"/>
  <c r="P985" i="1"/>
  <c r="I985" i="1"/>
  <c r="AG984" i="1"/>
  <c r="AF984" i="1"/>
  <c r="T984" i="1"/>
  <c r="Q984" i="1"/>
  <c r="P984" i="1"/>
  <c r="AE984" i="1" s="1"/>
  <c r="T983" i="1"/>
  <c r="P983" i="1"/>
  <c r="AE983" i="1" s="1"/>
  <c r="I983" i="1"/>
  <c r="T982" i="1"/>
  <c r="P982" i="1"/>
  <c r="AG982" i="1" s="1"/>
  <c r="I982" i="1"/>
  <c r="AG981" i="1"/>
  <c r="AE981" i="1"/>
  <c r="T981" i="1"/>
  <c r="P981" i="1"/>
  <c r="AF981" i="1" s="1"/>
  <c r="I981" i="1"/>
  <c r="AF980" i="1"/>
  <c r="AE980" i="1"/>
  <c r="T980" i="1"/>
  <c r="U980" i="1" s="1"/>
  <c r="W980" i="1" s="1"/>
  <c r="P980" i="1"/>
  <c r="AG980" i="1" s="1"/>
  <c r="I980" i="1"/>
  <c r="AG979" i="1"/>
  <c r="AF979" i="1"/>
  <c r="U979" i="1"/>
  <c r="W979" i="1" s="1"/>
  <c r="T979" i="1"/>
  <c r="P979" i="1"/>
  <c r="AE979" i="1" s="1"/>
  <c r="I979" i="1"/>
  <c r="T978" i="1"/>
  <c r="P978" i="1"/>
  <c r="I978" i="1"/>
  <c r="AG977" i="1"/>
  <c r="T977" i="1"/>
  <c r="U977" i="1" s="1"/>
  <c r="W977" i="1" s="1"/>
  <c r="P977" i="1"/>
  <c r="AF977" i="1" s="1"/>
  <c r="I977" i="1"/>
  <c r="AG976" i="1"/>
  <c r="T976" i="1"/>
  <c r="P976" i="1"/>
  <c r="AF976" i="1" s="1"/>
  <c r="I976" i="1"/>
  <c r="AF975" i="1"/>
  <c r="AE975" i="1"/>
  <c r="T975" i="1"/>
  <c r="P975" i="1"/>
  <c r="I975" i="1"/>
  <c r="AE974" i="1"/>
  <c r="T974" i="1"/>
  <c r="P974" i="1"/>
  <c r="I974" i="1"/>
  <c r="T973" i="1"/>
  <c r="P973" i="1"/>
  <c r="I973" i="1"/>
  <c r="AG972" i="1"/>
  <c r="T972" i="1"/>
  <c r="P972" i="1"/>
  <c r="AF972" i="1" s="1"/>
  <c r="I972" i="1"/>
  <c r="T971" i="1"/>
  <c r="P971" i="1"/>
  <c r="I971" i="1"/>
  <c r="T970" i="1"/>
  <c r="P970" i="1"/>
  <c r="I970" i="1"/>
  <c r="AG969" i="1"/>
  <c r="AF969" i="1"/>
  <c r="T969" i="1"/>
  <c r="P969" i="1"/>
  <c r="AE969" i="1" s="1"/>
  <c r="I969" i="1"/>
  <c r="T968" i="1"/>
  <c r="P968" i="1"/>
  <c r="AF968" i="1" s="1"/>
  <c r="I968" i="1"/>
  <c r="AF967" i="1"/>
  <c r="AE967" i="1"/>
  <c r="T967" i="1"/>
  <c r="U967" i="1" s="1"/>
  <c r="W967" i="1" s="1"/>
  <c r="P967" i="1"/>
  <c r="AG967" i="1" s="1"/>
  <c r="I967" i="1"/>
  <c r="T966" i="1"/>
  <c r="P966" i="1"/>
  <c r="AE966" i="1" s="1"/>
  <c r="I966" i="1"/>
  <c r="T965" i="1"/>
  <c r="P965" i="1"/>
  <c r="I965" i="1"/>
  <c r="AG964" i="1"/>
  <c r="T964" i="1"/>
  <c r="P964" i="1"/>
  <c r="AF964" i="1" s="1"/>
  <c r="I964" i="1"/>
  <c r="T963" i="1"/>
  <c r="P963" i="1"/>
  <c r="I963" i="1"/>
  <c r="AE962" i="1"/>
  <c r="T962" i="1"/>
  <c r="P962" i="1"/>
  <c r="I962" i="1"/>
  <c r="C961" i="1"/>
  <c r="C960" i="1"/>
  <c r="C959" i="1"/>
  <c r="C958" i="1"/>
  <c r="C957" i="1"/>
  <c r="C956" i="1"/>
  <c r="AF955" i="1"/>
  <c r="T955" i="1"/>
  <c r="U955" i="1" s="1"/>
  <c r="W955" i="1" s="1"/>
  <c r="P955" i="1"/>
  <c r="AE955" i="1" s="1"/>
  <c r="I955" i="1"/>
  <c r="T954" i="1"/>
  <c r="P954" i="1"/>
  <c r="I954" i="1"/>
  <c r="T953" i="1"/>
  <c r="P953" i="1"/>
  <c r="I953" i="1"/>
  <c r="AE952" i="1"/>
  <c r="T952" i="1"/>
  <c r="P952" i="1"/>
  <c r="I952" i="1"/>
  <c r="AG951" i="1"/>
  <c r="AF951" i="1"/>
  <c r="T951" i="1"/>
  <c r="P951" i="1"/>
  <c r="AE951" i="1" s="1"/>
  <c r="I951" i="1"/>
  <c r="T950" i="1"/>
  <c r="P950" i="1"/>
  <c r="AF950" i="1" s="1"/>
  <c r="M950" i="1"/>
  <c r="I950" i="1"/>
  <c r="AG949" i="1"/>
  <c r="AF949" i="1"/>
  <c r="AE949" i="1"/>
  <c r="T949" i="1"/>
  <c r="U949" i="1" s="1"/>
  <c r="W949" i="1" s="1"/>
  <c r="O949" i="1"/>
  <c r="I949" i="1"/>
  <c r="AG948" i="1"/>
  <c r="AF948" i="1"/>
  <c r="AE948" i="1"/>
  <c r="U948" i="1"/>
  <c r="W948" i="1" s="1"/>
  <c r="T948" i="1"/>
  <c r="O948" i="1"/>
  <c r="I948" i="1"/>
  <c r="AG947" i="1"/>
  <c r="AF947" i="1"/>
  <c r="AE947" i="1"/>
  <c r="U947" i="1"/>
  <c r="W947" i="1" s="1"/>
  <c r="T947" i="1"/>
  <c r="O947" i="1"/>
  <c r="I947" i="1"/>
  <c r="AG946" i="1"/>
  <c r="AF946" i="1"/>
  <c r="AE946" i="1"/>
  <c r="T946" i="1"/>
  <c r="U946" i="1" s="1"/>
  <c r="W946" i="1" s="1"/>
  <c r="O946" i="1"/>
  <c r="I946" i="1"/>
  <c r="C945" i="1"/>
  <c r="C944" i="1"/>
  <c r="C943" i="1"/>
  <c r="C942" i="1"/>
  <c r="C941" i="1"/>
  <c r="T940" i="1"/>
  <c r="P940" i="1"/>
  <c r="I940" i="1"/>
  <c r="T939" i="1"/>
  <c r="P939" i="1"/>
  <c r="I939" i="1"/>
  <c r="AG938" i="1"/>
  <c r="AE938" i="1"/>
  <c r="T938" i="1"/>
  <c r="U938" i="1" s="1"/>
  <c r="W938" i="1" s="1"/>
  <c r="Q938" i="1"/>
  <c r="P938" i="1"/>
  <c r="AF938" i="1" s="1"/>
  <c r="I938" i="1"/>
  <c r="T937" i="1"/>
  <c r="P937" i="1"/>
  <c r="I937" i="1"/>
  <c r="T936" i="1"/>
  <c r="P936" i="1"/>
  <c r="AF936" i="1" s="1"/>
  <c r="I936" i="1"/>
  <c r="AF935" i="1"/>
  <c r="AE935" i="1"/>
  <c r="T935" i="1"/>
  <c r="P935" i="1"/>
  <c r="I935" i="1"/>
  <c r="AG934" i="1"/>
  <c r="AF934" i="1"/>
  <c r="AE934" i="1"/>
  <c r="T934" i="1"/>
  <c r="U934" i="1" s="1"/>
  <c r="W934" i="1" s="1"/>
  <c r="O934" i="1"/>
  <c r="I934" i="1"/>
  <c r="AG933" i="1"/>
  <c r="AF933" i="1"/>
  <c r="AE933" i="1"/>
  <c r="T933" i="1"/>
  <c r="U933" i="1" s="1"/>
  <c r="W933" i="1" s="1"/>
  <c r="O933" i="1"/>
  <c r="I933" i="1"/>
  <c r="AG932" i="1"/>
  <c r="AF932" i="1"/>
  <c r="AE932" i="1"/>
  <c r="T932" i="1"/>
  <c r="U932" i="1" s="1"/>
  <c r="W932" i="1" s="1"/>
  <c r="O932" i="1"/>
  <c r="I932" i="1"/>
  <c r="AG931" i="1"/>
  <c r="AF931" i="1"/>
  <c r="AE931" i="1"/>
  <c r="T931" i="1"/>
  <c r="U931" i="1" s="1"/>
  <c r="W931" i="1" s="1"/>
  <c r="O931" i="1"/>
  <c r="I931" i="1"/>
  <c r="AG930" i="1"/>
  <c r="AF930" i="1"/>
  <c r="AE930" i="1"/>
  <c r="U930" i="1"/>
  <c r="W930" i="1" s="1"/>
  <c r="T930" i="1"/>
  <c r="O930" i="1"/>
  <c r="I930" i="1"/>
  <c r="AG929" i="1"/>
  <c r="AF929" i="1"/>
  <c r="AE929" i="1"/>
  <c r="T929" i="1"/>
  <c r="U929" i="1" s="1"/>
  <c r="W929" i="1" s="1"/>
  <c r="O929" i="1"/>
  <c r="I929" i="1"/>
  <c r="C928" i="1"/>
  <c r="C927" i="1"/>
  <c r="C926" i="1"/>
  <c r="C925" i="1"/>
  <c r="C924" i="1"/>
  <c r="C923" i="1"/>
  <c r="C922" i="1"/>
  <c r="C921" i="1"/>
  <c r="AE920" i="1"/>
  <c r="T920" i="1"/>
  <c r="Q920" i="1"/>
  <c r="P920" i="1"/>
  <c r="AG920" i="1" s="1"/>
  <c r="M920" i="1"/>
  <c r="I920" i="1"/>
  <c r="AG919" i="1"/>
  <c r="AE919" i="1"/>
  <c r="T919" i="1"/>
  <c r="Q919" i="1"/>
  <c r="P919" i="1"/>
  <c r="I919" i="1"/>
  <c r="T918" i="1"/>
  <c r="Q918" i="1"/>
  <c r="P918" i="1"/>
  <c r="AG918" i="1" s="1"/>
  <c r="I918" i="1"/>
  <c r="AF917" i="1"/>
  <c r="T917" i="1"/>
  <c r="U917" i="1" s="1"/>
  <c r="W917" i="1" s="1"/>
  <c r="Q917" i="1"/>
  <c r="P917" i="1"/>
  <c r="AG917" i="1" s="1"/>
  <c r="I917" i="1"/>
  <c r="AG916" i="1"/>
  <c r="AF916" i="1"/>
  <c r="AE916" i="1"/>
  <c r="T916" i="1"/>
  <c r="U916" i="1" s="1"/>
  <c r="W916" i="1" s="1"/>
  <c r="O916" i="1"/>
  <c r="I916" i="1"/>
  <c r="AG915" i="1"/>
  <c r="AF915" i="1"/>
  <c r="AE915" i="1"/>
  <c r="T915" i="1"/>
  <c r="U915" i="1" s="1"/>
  <c r="W915" i="1" s="1"/>
  <c r="O915" i="1"/>
  <c r="I915" i="1"/>
  <c r="AG914" i="1"/>
  <c r="AF914" i="1"/>
  <c r="AE914" i="1"/>
  <c r="T914" i="1"/>
  <c r="U914" i="1" s="1"/>
  <c r="W914" i="1" s="1"/>
  <c r="O914" i="1"/>
  <c r="I914" i="1"/>
  <c r="AG913" i="1"/>
  <c r="AF913" i="1"/>
  <c r="AE913" i="1"/>
  <c r="T913" i="1"/>
  <c r="U913" i="1" s="1"/>
  <c r="W913" i="1" s="1"/>
  <c r="O913" i="1"/>
  <c r="I913" i="1"/>
  <c r="AG912" i="1"/>
  <c r="AF912" i="1"/>
  <c r="AE912" i="1"/>
  <c r="W912" i="1"/>
  <c r="U912" i="1"/>
  <c r="T912" i="1"/>
  <c r="O912" i="1"/>
  <c r="I912" i="1"/>
  <c r="AG911" i="1"/>
  <c r="AF911" i="1"/>
  <c r="AE911" i="1"/>
  <c r="T911" i="1"/>
  <c r="U911" i="1" s="1"/>
  <c r="W911" i="1" s="1"/>
  <c r="O911" i="1"/>
  <c r="I911" i="1"/>
  <c r="AG910" i="1"/>
  <c r="AF910" i="1"/>
  <c r="AE910" i="1"/>
  <c r="T910" i="1"/>
  <c r="U910" i="1" s="1"/>
  <c r="W910" i="1" s="1"/>
  <c r="O910" i="1"/>
  <c r="I910" i="1"/>
  <c r="AG909" i="1"/>
  <c r="AF909" i="1"/>
  <c r="AE909" i="1"/>
  <c r="T909" i="1"/>
  <c r="U909" i="1" s="1"/>
  <c r="W909" i="1" s="1"/>
  <c r="O909" i="1"/>
  <c r="I909" i="1"/>
  <c r="C908" i="1"/>
  <c r="C907" i="1"/>
  <c r="T906" i="1"/>
  <c r="U906" i="1" s="1"/>
  <c r="W906" i="1" s="1"/>
  <c r="Q906" i="1"/>
  <c r="P906" i="1"/>
  <c r="AG906" i="1" s="1"/>
  <c r="I906" i="1"/>
  <c r="T905" i="1"/>
  <c r="Q905" i="1"/>
  <c r="P905" i="1"/>
  <c r="I905" i="1"/>
  <c r="T904" i="1"/>
  <c r="Q904" i="1"/>
  <c r="P904" i="1"/>
  <c r="I904" i="1"/>
  <c r="AF903" i="1"/>
  <c r="AE903" i="1"/>
  <c r="T903" i="1"/>
  <c r="U903" i="1" s="1"/>
  <c r="W903" i="1" s="1"/>
  <c r="Q903" i="1"/>
  <c r="P903" i="1"/>
  <c r="AG903" i="1" s="1"/>
  <c r="I903" i="1"/>
  <c r="T902" i="1"/>
  <c r="Q902" i="1"/>
  <c r="P902" i="1"/>
  <c r="I902" i="1"/>
  <c r="AG901" i="1"/>
  <c r="AE901" i="1"/>
  <c r="T901" i="1"/>
  <c r="Q901" i="1"/>
  <c r="P901" i="1"/>
  <c r="AG900" i="1"/>
  <c r="AF900" i="1"/>
  <c r="AE900" i="1"/>
  <c r="T900" i="1"/>
  <c r="U900" i="1" s="1"/>
  <c r="W900" i="1" s="1"/>
  <c r="O900" i="1"/>
  <c r="I900" i="1"/>
  <c r="AG899" i="1"/>
  <c r="AF899" i="1"/>
  <c r="AE899" i="1"/>
  <c r="W899" i="1"/>
  <c r="U899" i="1"/>
  <c r="T899" i="1"/>
  <c r="O899" i="1"/>
  <c r="I899" i="1"/>
  <c r="AG898" i="1"/>
  <c r="AF898" i="1"/>
  <c r="AE898" i="1"/>
  <c r="T898" i="1"/>
  <c r="U898" i="1" s="1"/>
  <c r="W898" i="1" s="1"/>
  <c r="O898" i="1"/>
  <c r="I898" i="1"/>
  <c r="C897" i="1"/>
  <c r="C896" i="1"/>
  <c r="C895" i="1"/>
  <c r="C894" i="1"/>
  <c r="AG893" i="1"/>
  <c r="AF893" i="1"/>
  <c r="AE893" i="1"/>
  <c r="U893" i="1"/>
  <c r="W893" i="1" s="1"/>
  <c r="O893" i="1"/>
  <c r="I893" i="1"/>
  <c r="C893" i="1"/>
  <c r="AG892" i="1"/>
  <c r="AF892" i="1"/>
  <c r="AE892" i="1"/>
  <c r="U892" i="1"/>
  <c r="W892" i="1" s="1"/>
  <c r="O892" i="1"/>
  <c r="I892" i="1"/>
  <c r="C892" i="1"/>
  <c r="T891" i="1"/>
  <c r="Q891" i="1"/>
  <c r="P891" i="1"/>
  <c r="I891" i="1"/>
  <c r="AG890" i="1"/>
  <c r="T890" i="1"/>
  <c r="Q890" i="1"/>
  <c r="P890" i="1"/>
  <c r="I890" i="1"/>
  <c r="T889" i="1"/>
  <c r="Q889" i="1"/>
  <c r="P889" i="1"/>
  <c r="I889" i="1"/>
  <c r="T888" i="1"/>
  <c r="Q888" i="1"/>
  <c r="P888" i="1"/>
  <c r="I888" i="1"/>
  <c r="AF887" i="1"/>
  <c r="T887" i="1"/>
  <c r="Q887" i="1"/>
  <c r="P887" i="1"/>
  <c r="I887" i="1"/>
  <c r="T886" i="1"/>
  <c r="U886" i="1" s="1"/>
  <c r="W886" i="1" s="1"/>
  <c r="Q886" i="1"/>
  <c r="P886" i="1"/>
  <c r="I886" i="1"/>
  <c r="AG885" i="1"/>
  <c r="AF885" i="1"/>
  <c r="U885" i="1"/>
  <c r="W885" i="1" s="1"/>
  <c r="T885" i="1"/>
  <c r="Q885" i="1"/>
  <c r="P885" i="1"/>
  <c r="AE885" i="1" s="1"/>
  <c r="I885" i="1"/>
  <c r="AE884" i="1"/>
  <c r="T884" i="1"/>
  <c r="Q884" i="1"/>
  <c r="P884" i="1"/>
  <c r="I884" i="1"/>
  <c r="AE883" i="1"/>
  <c r="T883" i="1"/>
  <c r="U883" i="1" s="1"/>
  <c r="W883" i="1" s="1"/>
  <c r="Q883" i="1"/>
  <c r="P883" i="1"/>
  <c r="AG883" i="1" s="1"/>
  <c r="T882" i="1"/>
  <c r="Q882" i="1"/>
  <c r="P882" i="1"/>
  <c r="I882" i="1"/>
  <c r="AG881" i="1"/>
  <c r="AF881" i="1"/>
  <c r="AE881" i="1"/>
  <c r="T881" i="1"/>
  <c r="U881" i="1" s="1"/>
  <c r="W881" i="1" s="1"/>
  <c r="O881" i="1"/>
  <c r="I881" i="1"/>
  <c r="AG880" i="1"/>
  <c r="AF880" i="1"/>
  <c r="AE880" i="1"/>
  <c r="T880" i="1"/>
  <c r="U880" i="1" s="1"/>
  <c r="W880" i="1" s="1"/>
  <c r="O880" i="1"/>
  <c r="I880" i="1"/>
  <c r="AG879" i="1"/>
  <c r="AF879" i="1"/>
  <c r="AE879" i="1"/>
  <c r="T879" i="1"/>
  <c r="U879" i="1" s="1"/>
  <c r="W879" i="1" s="1"/>
  <c r="O879" i="1"/>
  <c r="I879" i="1"/>
  <c r="AG878" i="1"/>
  <c r="AF878" i="1"/>
  <c r="AE878" i="1"/>
  <c r="T878" i="1"/>
  <c r="U878" i="1" s="1"/>
  <c r="W878" i="1" s="1"/>
  <c r="O878" i="1"/>
  <c r="I878" i="1"/>
  <c r="T877" i="1"/>
  <c r="Q877" i="1"/>
  <c r="P877" i="1"/>
  <c r="U877" i="1" s="1"/>
  <c r="W877" i="1" s="1"/>
  <c r="I877" i="1"/>
  <c r="T876" i="1"/>
  <c r="Q876" i="1"/>
  <c r="P876" i="1"/>
  <c r="U876" i="1" s="1"/>
  <c r="W876" i="1" s="1"/>
  <c r="I876" i="1"/>
  <c r="AG875" i="1"/>
  <c r="AF875" i="1"/>
  <c r="AE875" i="1"/>
  <c r="T875" i="1"/>
  <c r="U875" i="1" s="1"/>
  <c r="W875" i="1" s="1"/>
  <c r="Q875" i="1"/>
  <c r="P875" i="1"/>
  <c r="I875" i="1"/>
  <c r="T874" i="1"/>
  <c r="Q874" i="1"/>
  <c r="P874" i="1"/>
  <c r="AF874" i="1" s="1"/>
  <c r="I874" i="1"/>
  <c r="AG873" i="1"/>
  <c r="T873" i="1"/>
  <c r="P873" i="1"/>
  <c r="I873" i="1"/>
  <c r="T872" i="1"/>
  <c r="P872" i="1"/>
  <c r="AG872" i="1" s="1"/>
  <c r="I872" i="1"/>
  <c r="AG871" i="1"/>
  <c r="AF871" i="1"/>
  <c r="AE871" i="1"/>
  <c r="T871" i="1"/>
  <c r="U871" i="1" s="1"/>
  <c r="W871" i="1" s="1"/>
  <c r="O871" i="1"/>
  <c r="I871" i="1"/>
  <c r="AG870" i="1"/>
  <c r="AF870" i="1"/>
  <c r="AE870" i="1"/>
  <c r="T870" i="1"/>
  <c r="U870" i="1" s="1"/>
  <c r="W870" i="1" s="1"/>
  <c r="O870" i="1"/>
  <c r="I870" i="1"/>
  <c r="AG869" i="1"/>
  <c r="AF869" i="1"/>
  <c r="AE869" i="1"/>
  <c r="W869" i="1"/>
  <c r="T869" i="1"/>
  <c r="U869" i="1" s="1"/>
  <c r="O869" i="1"/>
  <c r="I869" i="1"/>
  <c r="AG868" i="1"/>
  <c r="AF868" i="1"/>
  <c r="AE868" i="1"/>
  <c r="T868" i="1"/>
  <c r="U868" i="1" s="1"/>
  <c r="W868" i="1" s="1"/>
  <c r="O868" i="1"/>
  <c r="I868" i="1"/>
  <c r="AG867" i="1"/>
  <c r="AF867" i="1"/>
  <c r="AE867" i="1"/>
  <c r="U867" i="1"/>
  <c r="W867" i="1" s="1"/>
  <c r="T867" i="1"/>
  <c r="O867" i="1"/>
  <c r="I867" i="1"/>
  <c r="C866" i="1"/>
  <c r="C865" i="1"/>
  <c r="AG864" i="1"/>
  <c r="AF864" i="1"/>
  <c r="AE864" i="1"/>
  <c r="W864" i="1"/>
  <c r="U864" i="1"/>
  <c r="O864" i="1"/>
  <c r="I864" i="1"/>
  <c r="C864" i="1"/>
  <c r="AG863" i="1"/>
  <c r="AF863" i="1"/>
  <c r="AE863" i="1"/>
  <c r="U863" i="1"/>
  <c r="W863" i="1" s="1"/>
  <c r="O863" i="1"/>
  <c r="I863" i="1"/>
  <c r="C863" i="1"/>
  <c r="C862" i="1"/>
  <c r="C861" i="1"/>
  <c r="C860" i="1"/>
  <c r="C859" i="1"/>
  <c r="C858" i="1"/>
  <c r="C857" i="1"/>
  <c r="AG856" i="1"/>
  <c r="AF856" i="1"/>
  <c r="AE856" i="1"/>
  <c r="T856" i="1"/>
  <c r="U856" i="1" s="1"/>
  <c r="W856" i="1" s="1"/>
  <c r="O856" i="1"/>
  <c r="T855" i="1"/>
  <c r="Q855" i="1"/>
  <c r="P855" i="1"/>
  <c r="I855" i="1"/>
  <c r="AF854" i="1"/>
  <c r="AE854" i="1"/>
  <c r="T854" i="1"/>
  <c r="U854" i="1" s="1"/>
  <c r="W854" i="1" s="1"/>
  <c r="Q854" i="1"/>
  <c r="P854" i="1"/>
  <c r="AG854" i="1" s="1"/>
  <c r="I854" i="1"/>
  <c r="T853" i="1"/>
  <c r="U853" i="1" s="1"/>
  <c r="W853" i="1" s="1"/>
  <c r="Q853" i="1"/>
  <c r="P853" i="1"/>
  <c r="AE853" i="1" s="1"/>
  <c r="I853" i="1"/>
  <c r="AE852" i="1"/>
  <c r="T852" i="1"/>
  <c r="P852" i="1"/>
  <c r="I852" i="1"/>
  <c r="T851" i="1"/>
  <c r="Q851" i="1"/>
  <c r="P851" i="1"/>
  <c r="I851" i="1"/>
  <c r="T850" i="1"/>
  <c r="Q850" i="1"/>
  <c r="P850" i="1"/>
  <c r="AE850" i="1" s="1"/>
  <c r="I850" i="1"/>
  <c r="U849" i="1"/>
  <c r="W849" i="1" s="1"/>
  <c r="T849" i="1"/>
  <c r="P849" i="1"/>
  <c r="I849" i="1"/>
  <c r="AG848" i="1"/>
  <c r="AF848" i="1"/>
  <c r="AE848" i="1"/>
  <c r="U848" i="1"/>
  <c r="W848" i="1" s="1"/>
  <c r="T848" i="1"/>
  <c r="O848" i="1"/>
  <c r="I848" i="1"/>
  <c r="AG847" i="1"/>
  <c r="AF847" i="1"/>
  <c r="AE847" i="1"/>
  <c r="U847" i="1"/>
  <c r="W847" i="1" s="1"/>
  <c r="T847" i="1"/>
  <c r="O847" i="1"/>
  <c r="I847" i="1"/>
  <c r="AG846" i="1"/>
  <c r="AF846" i="1"/>
  <c r="AE846" i="1"/>
  <c r="U846" i="1"/>
  <c r="W846" i="1" s="1"/>
  <c r="T846" i="1"/>
  <c r="O846" i="1"/>
  <c r="I846" i="1"/>
  <c r="AG845" i="1"/>
  <c r="AF845" i="1"/>
  <c r="AE845" i="1"/>
  <c r="T845" i="1"/>
  <c r="U845" i="1" s="1"/>
  <c r="W845" i="1" s="1"/>
  <c r="O845" i="1"/>
  <c r="I845" i="1"/>
  <c r="AG844" i="1"/>
  <c r="AF844" i="1"/>
  <c r="AE844" i="1"/>
  <c r="T844" i="1"/>
  <c r="U844" i="1" s="1"/>
  <c r="W844" i="1" s="1"/>
  <c r="O844" i="1"/>
  <c r="I844" i="1"/>
  <c r="AG843" i="1"/>
  <c r="AF843" i="1"/>
  <c r="AE843" i="1"/>
  <c r="T843" i="1"/>
  <c r="U843" i="1" s="1"/>
  <c r="W843" i="1" s="1"/>
  <c r="O843" i="1"/>
  <c r="I843" i="1"/>
  <c r="T842" i="1"/>
  <c r="P842" i="1"/>
  <c r="AF841" i="1"/>
  <c r="AE841" i="1"/>
  <c r="T841" i="1"/>
  <c r="P841" i="1"/>
  <c r="AG841" i="1" s="1"/>
  <c r="I841" i="1"/>
  <c r="AF840" i="1"/>
  <c r="AE840" i="1"/>
  <c r="T840" i="1"/>
  <c r="P840" i="1"/>
  <c r="I840" i="1"/>
  <c r="T839" i="1"/>
  <c r="P839" i="1"/>
  <c r="I839" i="1"/>
  <c r="T838" i="1"/>
  <c r="P838" i="1"/>
  <c r="AF838" i="1" s="1"/>
  <c r="M838" i="1"/>
  <c r="I838" i="1"/>
  <c r="AE837" i="1"/>
  <c r="T837" i="1"/>
  <c r="U837" i="1" s="1"/>
  <c r="W837" i="1" s="1"/>
  <c r="P837" i="1"/>
  <c r="AG837" i="1" s="1"/>
  <c r="I837" i="1"/>
  <c r="AG836" i="1"/>
  <c r="AF836" i="1"/>
  <c r="T836" i="1"/>
  <c r="U836" i="1" s="1"/>
  <c r="W836" i="1" s="1"/>
  <c r="P836" i="1"/>
  <c r="AE836" i="1" s="1"/>
  <c r="I836" i="1"/>
  <c r="AE835" i="1"/>
  <c r="T835" i="1"/>
  <c r="U835" i="1" s="1"/>
  <c r="W835" i="1" s="1"/>
  <c r="P835" i="1"/>
  <c r="AG835" i="1" s="1"/>
  <c r="M835" i="1"/>
  <c r="I835" i="1"/>
  <c r="T834" i="1"/>
  <c r="P834" i="1"/>
  <c r="M834" i="1"/>
  <c r="I834" i="1"/>
  <c r="AG833" i="1"/>
  <c r="AF833" i="1"/>
  <c r="AE833" i="1"/>
  <c r="T833" i="1"/>
  <c r="U833" i="1" s="1"/>
  <c r="W833" i="1" s="1"/>
  <c r="O833" i="1"/>
  <c r="I833" i="1"/>
  <c r="AG832" i="1"/>
  <c r="AF832" i="1"/>
  <c r="AE832" i="1"/>
  <c r="T832" i="1"/>
  <c r="U832" i="1" s="1"/>
  <c r="W832" i="1" s="1"/>
  <c r="O832" i="1"/>
  <c r="I832" i="1"/>
  <c r="AG831" i="1"/>
  <c r="AF831" i="1"/>
  <c r="AE831" i="1"/>
  <c r="T831" i="1"/>
  <c r="U831" i="1" s="1"/>
  <c r="W831" i="1" s="1"/>
  <c r="O831" i="1"/>
  <c r="I831" i="1"/>
  <c r="AG830" i="1"/>
  <c r="AF830" i="1"/>
  <c r="AE830" i="1"/>
  <c r="T830" i="1"/>
  <c r="U830" i="1" s="1"/>
  <c r="W830" i="1" s="1"/>
  <c r="O830" i="1"/>
  <c r="I830" i="1"/>
  <c r="AG829" i="1"/>
  <c r="AF829" i="1"/>
  <c r="AE829" i="1"/>
  <c r="T829" i="1"/>
  <c r="U829" i="1" s="1"/>
  <c r="W829" i="1" s="1"/>
  <c r="O829" i="1"/>
  <c r="I829" i="1"/>
  <c r="AG828" i="1"/>
  <c r="AF828" i="1"/>
  <c r="AE828" i="1"/>
  <c r="T828" i="1"/>
  <c r="U828" i="1" s="1"/>
  <c r="W828" i="1" s="1"/>
  <c r="O828" i="1"/>
  <c r="I828" i="1"/>
  <c r="C827" i="1"/>
  <c r="C826" i="1"/>
  <c r="C825" i="1"/>
  <c r="AG824" i="1"/>
  <c r="AF824" i="1"/>
  <c r="AE824" i="1"/>
  <c r="W824" i="1"/>
  <c r="U824" i="1"/>
  <c r="O824" i="1"/>
  <c r="I824" i="1"/>
  <c r="C824" i="1"/>
  <c r="AG823" i="1"/>
  <c r="AF823" i="1"/>
  <c r="AE823" i="1"/>
  <c r="U823" i="1"/>
  <c r="W823" i="1" s="1"/>
  <c r="O823" i="1"/>
  <c r="I823" i="1"/>
  <c r="C823" i="1"/>
  <c r="AG822" i="1"/>
  <c r="AF822" i="1"/>
  <c r="AE822" i="1"/>
  <c r="W822" i="1"/>
  <c r="U822" i="1"/>
  <c r="O822" i="1"/>
  <c r="I822" i="1"/>
  <c r="C822" i="1"/>
  <c r="AG821" i="1"/>
  <c r="AF821" i="1"/>
  <c r="AE821" i="1"/>
  <c r="T821" i="1"/>
  <c r="U821" i="1" s="1"/>
  <c r="W821" i="1" s="1"/>
  <c r="O821" i="1"/>
  <c r="C821" i="1"/>
  <c r="AG820" i="1"/>
  <c r="AF820" i="1"/>
  <c r="AE820" i="1"/>
  <c r="T820" i="1"/>
  <c r="U820" i="1" s="1"/>
  <c r="W820" i="1" s="1"/>
  <c r="O820" i="1"/>
  <c r="I820" i="1"/>
  <c r="AG819" i="1"/>
  <c r="AF819" i="1"/>
  <c r="AE819" i="1"/>
  <c r="T819" i="1"/>
  <c r="U819" i="1" s="1"/>
  <c r="W819" i="1" s="1"/>
  <c r="O819" i="1"/>
  <c r="I819" i="1"/>
  <c r="AG818" i="1"/>
  <c r="AF818" i="1"/>
  <c r="AE818" i="1"/>
  <c r="T818" i="1"/>
  <c r="U818" i="1" s="1"/>
  <c r="W818" i="1" s="1"/>
  <c r="O818" i="1"/>
  <c r="I818" i="1"/>
  <c r="AG817" i="1"/>
  <c r="AF817" i="1"/>
  <c r="AE817" i="1"/>
  <c r="U817" i="1"/>
  <c r="W817" i="1" s="1"/>
  <c r="T817" i="1"/>
  <c r="O817" i="1"/>
  <c r="I817" i="1"/>
  <c r="AE816" i="1"/>
  <c r="T816" i="1"/>
  <c r="P816" i="1"/>
  <c r="AG816" i="1" s="1"/>
  <c r="M816" i="1"/>
  <c r="I816" i="1"/>
  <c r="T815" i="1"/>
  <c r="Q815" i="1" s="1"/>
  <c r="P815" i="1"/>
  <c r="M815" i="1"/>
  <c r="I815" i="1"/>
  <c r="C814" i="1"/>
  <c r="AG813" i="1"/>
  <c r="AF813" i="1"/>
  <c r="AE813" i="1"/>
  <c r="T813" i="1"/>
  <c r="U813" i="1" s="1"/>
  <c r="W813" i="1" s="1"/>
  <c r="O813" i="1"/>
  <c r="C813" i="1"/>
  <c r="AG812" i="1"/>
  <c r="AF812" i="1"/>
  <c r="AE812" i="1"/>
  <c r="U812" i="1"/>
  <c r="W812" i="1" s="1"/>
  <c r="T812" i="1"/>
  <c r="O812" i="1"/>
  <c r="C812" i="1"/>
  <c r="AG811" i="1"/>
  <c r="AF811" i="1"/>
  <c r="AE811" i="1"/>
  <c r="W811" i="1"/>
  <c r="T811" i="1"/>
  <c r="U811" i="1" s="1"/>
  <c r="O811" i="1"/>
  <c r="C811" i="1"/>
  <c r="AG810" i="1"/>
  <c r="AF810" i="1"/>
  <c r="AE810" i="1"/>
  <c r="U810" i="1"/>
  <c r="W810" i="1" s="1"/>
  <c r="T810" i="1"/>
  <c r="O810" i="1"/>
  <c r="C810" i="1"/>
  <c r="AG809" i="1"/>
  <c r="AF809" i="1"/>
  <c r="AE809" i="1"/>
  <c r="T809" i="1"/>
  <c r="U809" i="1" s="1"/>
  <c r="W809" i="1" s="1"/>
  <c r="O809" i="1"/>
  <c r="C809" i="1"/>
  <c r="C808" i="1"/>
  <c r="C807" i="1"/>
  <c r="C806" i="1"/>
  <c r="C805" i="1"/>
  <c r="C804" i="1"/>
  <c r="C803" i="1"/>
  <c r="C802" i="1"/>
  <c r="C801" i="1"/>
  <c r="C800" i="1"/>
  <c r="AG799" i="1"/>
  <c r="AF799" i="1"/>
  <c r="AE799" i="1"/>
  <c r="U799" i="1"/>
  <c r="W799" i="1" s="1"/>
  <c r="T799" i="1"/>
  <c r="O799" i="1"/>
  <c r="I799" i="1"/>
  <c r="AG798" i="1"/>
  <c r="AF798" i="1"/>
  <c r="AE798" i="1"/>
  <c r="T798" i="1"/>
  <c r="U798" i="1" s="1"/>
  <c r="W798" i="1" s="1"/>
  <c r="O798" i="1"/>
  <c r="I798" i="1"/>
  <c r="T797" i="1"/>
  <c r="P797" i="1"/>
  <c r="I797" i="1"/>
  <c r="T796" i="1"/>
  <c r="P796" i="1"/>
  <c r="AE796" i="1" s="1"/>
  <c r="M796" i="1"/>
  <c r="I796" i="1"/>
  <c r="T795" i="1"/>
  <c r="P795" i="1"/>
  <c r="I795" i="1"/>
  <c r="T794" i="1"/>
  <c r="P794" i="1"/>
  <c r="AG794" i="1" s="1"/>
  <c r="M794" i="1"/>
  <c r="I794" i="1"/>
  <c r="AG793" i="1"/>
  <c r="AF793" i="1"/>
  <c r="AE793" i="1"/>
  <c r="U793" i="1"/>
  <c r="W793" i="1" s="1"/>
  <c r="T793" i="1"/>
  <c r="P793" i="1"/>
  <c r="I793" i="1"/>
  <c r="AG792" i="1"/>
  <c r="AF792" i="1"/>
  <c r="AE792" i="1"/>
  <c r="T792" i="1"/>
  <c r="U792" i="1" s="1"/>
  <c r="W792" i="1" s="1"/>
  <c r="O792" i="1"/>
  <c r="I792" i="1"/>
  <c r="AG791" i="1"/>
  <c r="AF791" i="1"/>
  <c r="AE791" i="1"/>
  <c r="T791" i="1"/>
  <c r="U791" i="1" s="1"/>
  <c r="W791" i="1" s="1"/>
  <c r="O791" i="1"/>
  <c r="I791" i="1"/>
  <c r="AG790" i="1"/>
  <c r="AF790" i="1"/>
  <c r="AE790" i="1"/>
  <c r="T790" i="1"/>
  <c r="U790" i="1" s="1"/>
  <c r="W790" i="1" s="1"/>
  <c r="O790" i="1"/>
  <c r="I790" i="1"/>
  <c r="AG789" i="1"/>
  <c r="AF789" i="1"/>
  <c r="AE789" i="1"/>
  <c r="U789" i="1"/>
  <c r="W789" i="1" s="1"/>
  <c r="T789" i="1"/>
  <c r="O789" i="1"/>
  <c r="I789" i="1"/>
  <c r="AG788" i="1"/>
  <c r="AF788" i="1"/>
  <c r="AE788" i="1"/>
  <c r="T788" i="1"/>
  <c r="U788" i="1" s="1"/>
  <c r="W788" i="1" s="1"/>
  <c r="O788" i="1"/>
  <c r="I788" i="1"/>
  <c r="AG787" i="1"/>
  <c r="AF787" i="1"/>
  <c r="AE787" i="1"/>
  <c r="T787" i="1"/>
  <c r="U787" i="1" s="1"/>
  <c r="W787" i="1" s="1"/>
  <c r="O787" i="1"/>
  <c r="I787" i="1"/>
  <c r="T786" i="1"/>
  <c r="P786" i="1"/>
  <c r="I786" i="1"/>
  <c r="AG785" i="1"/>
  <c r="AF785" i="1"/>
  <c r="AE785" i="1"/>
  <c r="U785" i="1"/>
  <c r="W785" i="1" s="1"/>
  <c r="T785" i="1"/>
  <c r="P785" i="1"/>
  <c r="I785" i="1"/>
  <c r="T784" i="1"/>
  <c r="P784" i="1"/>
  <c r="U784" i="1" s="1"/>
  <c r="W784" i="1" s="1"/>
  <c r="I784" i="1"/>
  <c r="AF783" i="1"/>
  <c r="AE783" i="1"/>
  <c r="T783" i="1"/>
  <c r="U783" i="1" s="1"/>
  <c r="W783" i="1" s="1"/>
  <c r="P783" i="1"/>
  <c r="AG783" i="1" s="1"/>
  <c r="I783" i="1"/>
  <c r="T782" i="1"/>
  <c r="P782" i="1"/>
  <c r="AF782" i="1" s="1"/>
  <c r="M782" i="1"/>
  <c r="I782" i="1"/>
  <c r="T781" i="1"/>
  <c r="P781" i="1"/>
  <c r="I781" i="1"/>
  <c r="AG780" i="1"/>
  <c r="AF780" i="1"/>
  <c r="AE780" i="1"/>
  <c r="U780" i="1"/>
  <c r="W780" i="1" s="1"/>
  <c r="O780" i="1"/>
  <c r="C780" i="1"/>
  <c r="AG779" i="1"/>
  <c r="AF779" i="1"/>
  <c r="AE779" i="1"/>
  <c r="U779" i="1"/>
  <c r="W779" i="1" s="1"/>
  <c r="O779" i="1"/>
  <c r="C779" i="1"/>
  <c r="AG778" i="1"/>
  <c r="AF778" i="1"/>
  <c r="AE778" i="1"/>
  <c r="W778" i="1"/>
  <c r="U778" i="1"/>
  <c r="O778" i="1"/>
  <c r="C778" i="1"/>
  <c r="AG777" i="1"/>
  <c r="AF777" i="1"/>
  <c r="AE777" i="1"/>
  <c r="U777" i="1"/>
  <c r="W777" i="1" s="1"/>
  <c r="O777" i="1"/>
  <c r="C777" i="1"/>
  <c r="AG776" i="1"/>
  <c r="AF776" i="1"/>
  <c r="AE776" i="1"/>
  <c r="W776" i="1"/>
  <c r="U776" i="1"/>
  <c r="O776" i="1"/>
  <c r="C776" i="1"/>
  <c r="AG775" i="1"/>
  <c r="AF775" i="1"/>
  <c r="AE775" i="1"/>
  <c r="W775" i="1"/>
  <c r="U775" i="1"/>
  <c r="O775" i="1"/>
  <c r="C775" i="1"/>
  <c r="T774" i="1"/>
  <c r="P774" i="1"/>
  <c r="I774" i="1"/>
  <c r="T773" i="1"/>
  <c r="P773" i="1"/>
  <c r="I773" i="1"/>
  <c r="AG772" i="1"/>
  <c r="W772" i="1"/>
  <c r="U772" i="1"/>
  <c r="T772" i="1"/>
  <c r="P772" i="1"/>
  <c r="I772" i="1"/>
  <c r="T771" i="1"/>
  <c r="P771" i="1"/>
  <c r="M771" i="1"/>
  <c r="I771" i="1"/>
  <c r="T770" i="1"/>
  <c r="U770" i="1" s="1"/>
  <c r="W770" i="1" s="1"/>
  <c r="P770" i="1"/>
  <c r="AE770" i="1" s="1"/>
  <c r="I770" i="1"/>
  <c r="AG769" i="1"/>
  <c r="AF769" i="1"/>
  <c r="AE769" i="1"/>
  <c r="T769" i="1"/>
  <c r="U769" i="1" s="1"/>
  <c r="W769" i="1" s="1"/>
  <c r="O769" i="1"/>
  <c r="I769" i="1"/>
  <c r="AG768" i="1"/>
  <c r="AF768" i="1"/>
  <c r="AE768" i="1"/>
  <c r="T768" i="1"/>
  <c r="U768" i="1" s="1"/>
  <c r="W768" i="1" s="1"/>
  <c r="O768" i="1"/>
  <c r="AG767" i="1"/>
  <c r="AF767" i="1"/>
  <c r="AE767" i="1"/>
  <c r="U767" i="1"/>
  <c r="W767" i="1" s="1"/>
  <c r="T767" i="1"/>
  <c r="O767" i="1"/>
  <c r="AG766" i="1"/>
  <c r="AF766" i="1"/>
  <c r="AE766" i="1"/>
  <c r="T766" i="1"/>
  <c r="U766" i="1" s="1"/>
  <c r="W766" i="1" s="1"/>
  <c r="O766" i="1"/>
  <c r="I766" i="1"/>
  <c r="AG765" i="1"/>
  <c r="AF765" i="1"/>
  <c r="AE765" i="1"/>
  <c r="T765" i="1"/>
  <c r="U765" i="1" s="1"/>
  <c r="W765" i="1" s="1"/>
  <c r="O765" i="1"/>
  <c r="I765" i="1"/>
  <c r="AG764" i="1"/>
  <c r="AF764" i="1"/>
  <c r="AE764" i="1"/>
  <c r="T764" i="1"/>
  <c r="U764" i="1" s="1"/>
  <c r="W764" i="1" s="1"/>
  <c r="O764" i="1"/>
  <c r="I764" i="1"/>
  <c r="AG763" i="1"/>
  <c r="AF763" i="1"/>
  <c r="AE763" i="1"/>
  <c r="U763" i="1"/>
  <c r="W763" i="1" s="1"/>
  <c r="T763" i="1"/>
  <c r="O763" i="1"/>
  <c r="I763" i="1"/>
  <c r="AG762" i="1"/>
  <c r="AF762" i="1"/>
  <c r="AE762" i="1"/>
  <c r="T762" i="1"/>
  <c r="U762" i="1" s="1"/>
  <c r="W762" i="1" s="1"/>
  <c r="O762" i="1"/>
  <c r="AG761" i="1"/>
  <c r="AF761" i="1"/>
  <c r="AE761" i="1"/>
  <c r="T761" i="1"/>
  <c r="U761" i="1" s="1"/>
  <c r="W761" i="1" s="1"/>
  <c r="O761" i="1"/>
  <c r="I761" i="1"/>
  <c r="T760" i="1"/>
  <c r="P760" i="1"/>
  <c r="AE760" i="1" s="1"/>
  <c r="I760" i="1"/>
  <c r="AE759" i="1"/>
  <c r="T759" i="1"/>
  <c r="U759" i="1" s="1"/>
  <c r="W759" i="1" s="1"/>
  <c r="P759" i="1"/>
  <c r="AG759" i="1" s="1"/>
  <c r="I759" i="1"/>
  <c r="AG758" i="1"/>
  <c r="AF758" i="1"/>
  <c r="AE758" i="1"/>
  <c r="T758" i="1"/>
  <c r="P758" i="1"/>
  <c r="M758" i="1"/>
  <c r="I758" i="1"/>
  <c r="AF757" i="1"/>
  <c r="AE757" i="1"/>
  <c r="T757" i="1"/>
  <c r="P757" i="1"/>
  <c r="AG757" i="1" s="1"/>
  <c r="M757" i="1"/>
  <c r="I757" i="1"/>
  <c r="AG756" i="1"/>
  <c r="AF756" i="1"/>
  <c r="AE756" i="1"/>
  <c r="U756" i="1"/>
  <c r="W756" i="1" s="1"/>
  <c r="O756" i="1"/>
  <c r="C756" i="1"/>
  <c r="AG755" i="1"/>
  <c r="AF755" i="1"/>
  <c r="AE755" i="1"/>
  <c r="U755" i="1"/>
  <c r="W755" i="1" s="1"/>
  <c r="O755" i="1"/>
  <c r="C755" i="1"/>
  <c r="AG754" i="1"/>
  <c r="AF754" i="1"/>
  <c r="AE754" i="1"/>
  <c r="W754" i="1"/>
  <c r="U754" i="1"/>
  <c r="O754" i="1"/>
  <c r="C754" i="1"/>
  <c r="AG753" i="1"/>
  <c r="AF753" i="1"/>
  <c r="AE753" i="1"/>
  <c r="T753" i="1"/>
  <c r="U753" i="1" s="1"/>
  <c r="W753" i="1" s="1"/>
  <c r="O753" i="1"/>
  <c r="I753" i="1"/>
  <c r="AG752" i="1"/>
  <c r="AF752" i="1"/>
  <c r="AE752" i="1"/>
  <c r="T752" i="1"/>
  <c r="U752" i="1" s="1"/>
  <c r="W752" i="1" s="1"/>
  <c r="O752" i="1"/>
  <c r="I752" i="1"/>
  <c r="AG751" i="1"/>
  <c r="AF751" i="1"/>
  <c r="AE751" i="1"/>
  <c r="T751" i="1"/>
  <c r="U751" i="1" s="1"/>
  <c r="W751" i="1" s="1"/>
  <c r="O751" i="1"/>
  <c r="I751" i="1"/>
  <c r="AG750" i="1"/>
  <c r="AF750" i="1"/>
  <c r="AE750" i="1"/>
  <c r="W750" i="1"/>
  <c r="T750" i="1"/>
  <c r="U750" i="1" s="1"/>
  <c r="O750" i="1"/>
  <c r="I750" i="1"/>
  <c r="T749" i="1"/>
  <c r="P749" i="1"/>
  <c r="T748" i="1"/>
  <c r="P748" i="1"/>
  <c r="I748" i="1"/>
  <c r="T747" i="1"/>
  <c r="P747" i="1"/>
  <c r="AF747" i="1" s="1"/>
  <c r="I747" i="1"/>
  <c r="AF746" i="1"/>
  <c r="AE746" i="1"/>
  <c r="T746" i="1"/>
  <c r="U746" i="1" s="1"/>
  <c r="W746" i="1" s="1"/>
  <c r="P746" i="1"/>
  <c r="AG746" i="1" s="1"/>
  <c r="I746" i="1"/>
  <c r="T745" i="1"/>
  <c r="P745" i="1"/>
  <c r="AE745" i="1" s="1"/>
  <c r="M745" i="1"/>
  <c r="I745" i="1"/>
  <c r="T744" i="1"/>
  <c r="P744" i="1"/>
  <c r="I744" i="1"/>
  <c r="T743" i="1"/>
  <c r="P743" i="1"/>
  <c r="I743" i="1"/>
  <c r="AG742" i="1"/>
  <c r="AF742" i="1"/>
  <c r="AE742" i="1"/>
  <c r="T742" i="1"/>
  <c r="U742" i="1" s="1"/>
  <c r="W742" i="1" s="1"/>
  <c r="O742" i="1"/>
  <c r="I742" i="1"/>
  <c r="AG741" i="1"/>
  <c r="AF741" i="1"/>
  <c r="AE741" i="1"/>
  <c r="W741" i="1"/>
  <c r="U741" i="1"/>
  <c r="O741" i="1"/>
  <c r="C741" i="1"/>
  <c r="AG740" i="1"/>
  <c r="AF740" i="1"/>
  <c r="AE740" i="1"/>
  <c r="W740" i="1"/>
  <c r="U740" i="1"/>
  <c r="O740" i="1"/>
  <c r="C740" i="1"/>
  <c r="AG739" i="1"/>
  <c r="AF739" i="1"/>
  <c r="AE739" i="1"/>
  <c r="W739" i="1"/>
  <c r="U739" i="1"/>
  <c r="O739" i="1"/>
  <c r="C739" i="1"/>
  <c r="AG738" i="1"/>
  <c r="AF738" i="1"/>
  <c r="AE738" i="1"/>
  <c r="U738" i="1"/>
  <c r="W738" i="1" s="1"/>
  <c r="O738" i="1"/>
  <c r="C738" i="1"/>
  <c r="AG737" i="1"/>
  <c r="AF737" i="1"/>
  <c r="AE737" i="1"/>
  <c r="U737" i="1"/>
  <c r="W737" i="1" s="1"/>
  <c r="O737" i="1"/>
  <c r="C737" i="1"/>
  <c r="AG736" i="1"/>
  <c r="AF736" i="1"/>
  <c r="AE736" i="1"/>
  <c r="W736" i="1"/>
  <c r="U736" i="1"/>
  <c r="O736" i="1"/>
  <c r="C736" i="1"/>
  <c r="AG735" i="1"/>
  <c r="AF735" i="1"/>
  <c r="AE735" i="1"/>
  <c r="W735" i="1"/>
  <c r="U735" i="1"/>
  <c r="O735" i="1"/>
  <c r="C735" i="1"/>
  <c r="AG734" i="1"/>
  <c r="AF734" i="1"/>
  <c r="AE734" i="1"/>
  <c r="U734" i="1"/>
  <c r="W734" i="1" s="1"/>
  <c r="O734" i="1"/>
  <c r="C734" i="1"/>
  <c r="AG733" i="1"/>
  <c r="AF733" i="1"/>
  <c r="AE733" i="1"/>
  <c r="T733" i="1"/>
  <c r="U733" i="1" s="1"/>
  <c r="W733" i="1" s="1"/>
  <c r="O733" i="1"/>
  <c r="I733" i="1"/>
  <c r="AG732" i="1"/>
  <c r="AF732" i="1"/>
  <c r="AE732" i="1"/>
  <c r="T732" i="1"/>
  <c r="U732" i="1" s="1"/>
  <c r="W732" i="1" s="1"/>
  <c r="O732" i="1"/>
  <c r="I732" i="1"/>
  <c r="AG731" i="1"/>
  <c r="AF731" i="1"/>
  <c r="AE731" i="1"/>
  <c r="T731" i="1"/>
  <c r="U731" i="1" s="1"/>
  <c r="W731" i="1" s="1"/>
  <c r="O731" i="1"/>
  <c r="I731" i="1"/>
  <c r="AG730" i="1"/>
  <c r="AF730" i="1"/>
  <c r="AE730" i="1"/>
  <c r="T730" i="1"/>
  <c r="U730" i="1" s="1"/>
  <c r="W730" i="1" s="1"/>
  <c r="O730" i="1"/>
  <c r="I730" i="1"/>
  <c r="AG729" i="1"/>
  <c r="AF729" i="1"/>
  <c r="AE729" i="1"/>
  <c r="T729" i="1"/>
  <c r="U729" i="1" s="1"/>
  <c r="W729" i="1" s="1"/>
  <c r="O729" i="1"/>
  <c r="I729" i="1"/>
  <c r="T728" i="1"/>
  <c r="P728" i="1"/>
  <c r="U728" i="1" s="1"/>
  <c r="W728" i="1" s="1"/>
  <c r="I728" i="1"/>
  <c r="AF727" i="1"/>
  <c r="T727" i="1"/>
  <c r="P727" i="1"/>
  <c r="I727" i="1"/>
  <c r="AG726" i="1"/>
  <c r="AF726" i="1"/>
  <c r="AE726" i="1"/>
  <c r="U726" i="1"/>
  <c r="W726" i="1" s="1"/>
  <c r="T726" i="1"/>
  <c r="O726" i="1"/>
  <c r="I726" i="1"/>
  <c r="AG725" i="1"/>
  <c r="AF725" i="1"/>
  <c r="AE725" i="1"/>
  <c r="W725" i="1"/>
  <c r="T725" i="1"/>
  <c r="U725" i="1" s="1"/>
  <c r="O725" i="1"/>
  <c r="I725" i="1"/>
  <c r="AG724" i="1"/>
  <c r="AF724" i="1"/>
  <c r="AE724" i="1"/>
  <c r="U724" i="1"/>
  <c r="W724" i="1" s="1"/>
  <c r="O724" i="1"/>
  <c r="C724" i="1"/>
  <c r="AG723" i="1"/>
  <c r="AF723" i="1"/>
  <c r="AE723" i="1"/>
  <c r="W723" i="1"/>
  <c r="U723" i="1"/>
  <c r="O723" i="1"/>
  <c r="C723" i="1"/>
  <c r="AG722" i="1"/>
  <c r="AF722" i="1"/>
  <c r="AE722" i="1"/>
  <c r="U722" i="1"/>
  <c r="W722" i="1" s="1"/>
  <c r="O722" i="1"/>
  <c r="C722" i="1"/>
  <c r="AG721" i="1"/>
  <c r="AF721" i="1"/>
  <c r="AE721" i="1"/>
  <c r="U721" i="1"/>
  <c r="W721" i="1" s="1"/>
  <c r="O721" i="1"/>
  <c r="C721" i="1"/>
  <c r="AG720" i="1"/>
  <c r="AF720" i="1"/>
  <c r="AE720" i="1"/>
  <c r="U720" i="1"/>
  <c r="W720" i="1" s="1"/>
  <c r="O720" i="1"/>
  <c r="C720" i="1"/>
  <c r="AG719" i="1"/>
  <c r="AF719" i="1"/>
  <c r="AE719" i="1"/>
  <c r="U719" i="1"/>
  <c r="W719" i="1" s="1"/>
  <c r="O719" i="1"/>
  <c r="C719" i="1"/>
  <c r="T718" i="1"/>
  <c r="U718" i="1" s="1"/>
  <c r="W718" i="1" s="1"/>
  <c r="P718" i="1"/>
  <c r="I718" i="1"/>
  <c r="AG717" i="1"/>
  <c r="T717" i="1"/>
  <c r="P717" i="1"/>
  <c r="T716" i="1"/>
  <c r="P716" i="1"/>
  <c r="I716" i="1"/>
  <c r="AG715" i="1"/>
  <c r="AF715" i="1"/>
  <c r="T715" i="1"/>
  <c r="P715" i="1"/>
  <c r="I715" i="1"/>
  <c r="AG714" i="1"/>
  <c r="AF714" i="1"/>
  <c r="AE714" i="1"/>
  <c r="T714" i="1"/>
  <c r="U714" i="1" s="1"/>
  <c r="W714" i="1" s="1"/>
  <c r="O714" i="1"/>
  <c r="I714" i="1"/>
  <c r="AG713" i="1"/>
  <c r="AF713" i="1"/>
  <c r="AE713" i="1"/>
  <c r="T713" i="1"/>
  <c r="U713" i="1" s="1"/>
  <c r="W713" i="1" s="1"/>
  <c r="O713" i="1"/>
  <c r="I713" i="1"/>
  <c r="AG712" i="1"/>
  <c r="AF712" i="1"/>
  <c r="AE712" i="1"/>
  <c r="T712" i="1"/>
  <c r="U712" i="1" s="1"/>
  <c r="W712" i="1" s="1"/>
  <c r="O712" i="1"/>
  <c r="I712" i="1"/>
  <c r="AG711" i="1"/>
  <c r="AF711" i="1"/>
  <c r="AE711" i="1"/>
  <c r="T711" i="1"/>
  <c r="U711" i="1" s="1"/>
  <c r="W711" i="1" s="1"/>
  <c r="O711" i="1"/>
  <c r="I711" i="1"/>
  <c r="AG710" i="1"/>
  <c r="AF710" i="1"/>
  <c r="AE710" i="1"/>
  <c r="T710" i="1"/>
  <c r="U710" i="1" s="1"/>
  <c r="W710" i="1" s="1"/>
  <c r="O710" i="1"/>
  <c r="I710" i="1"/>
  <c r="AG709" i="1"/>
  <c r="AF709" i="1"/>
  <c r="AE709" i="1"/>
  <c r="W709" i="1"/>
  <c r="U709" i="1"/>
  <c r="T709" i="1"/>
  <c r="O709" i="1"/>
  <c r="I709" i="1"/>
  <c r="AG708" i="1"/>
  <c r="AF708" i="1"/>
  <c r="AE708" i="1"/>
  <c r="T708" i="1"/>
  <c r="U708" i="1" s="1"/>
  <c r="W708" i="1" s="1"/>
  <c r="O708" i="1"/>
  <c r="I708" i="1"/>
  <c r="AG707" i="1"/>
  <c r="AF707" i="1"/>
  <c r="AE707" i="1"/>
  <c r="T707" i="1"/>
  <c r="U707" i="1" s="1"/>
  <c r="W707" i="1" s="1"/>
  <c r="O707" i="1"/>
  <c r="I707" i="1"/>
  <c r="AG706" i="1"/>
  <c r="AF706" i="1"/>
  <c r="AE706" i="1"/>
  <c r="U706" i="1"/>
  <c r="W706" i="1" s="1"/>
  <c r="T706" i="1"/>
  <c r="O706" i="1"/>
  <c r="I706" i="1"/>
  <c r="AG705" i="1"/>
  <c r="AF705" i="1"/>
  <c r="AE705" i="1"/>
  <c r="U705" i="1"/>
  <c r="W705" i="1" s="1"/>
  <c r="O705" i="1"/>
  <c r="C705" i="1"/>
  <c r="AG704" i="1"/>
  <c r="AF704" i="1"/>
  <c r="AE704" i="1"/>
  <c r="U704" i="1"/>
  <c r="W704" i="1" s="1"/>
  <c r="O704" i="1"/>
  <c r="C704" i="1"/>
  <c r="T703" i="1"/>
  <c r="P703" i="1"/>
  <c r="AG702" i="1"/>
  <c r="AF702" i="1"/>
  <c r="T702" i="1"/>
  <c r="Q702" i="1"/>
  <c r="P702" i="1"/>
  <c r="T701" i="1"/>
  <c r="P701" i="1"/>
  <c r="I701" i="1"/>
  <c r="AE700" i="1"/>
  <c r="T700" i="1"/>
  <c r="P700" i="1"/>
  <c r="M700" i="1"/>
  <c r="I700" i="1"/>
  <c r="T699" i="1"/>
  <c r="P699" i="1"/>
  <c r="I699" i="1"/>
  <c r="T698" i="1"/>
  <c r="P698" i="1"/>
  <c r="I698" i="1"/>
  <c r="T697" i="1"/>
  <c r="P697" i="1"/>
  <c r="AF697" i="1" s="1"/>
  <c r="M697" i="1"/>
  <c r="I697" i="1"/>
  <c r="AG696" i="1"/>
  <c r="AF696" i="1"/>
  <c r="AE696" i="1"/>
  <c r="T696" i="1"/>
  <c r="U696" i="1" s="1"/>
  <c r="W696" i="1" s="1"/>
  <c r="O696" i="1"/>
  <c r="I696" i="1"/>
  <c r="AG695" i="1"/>
  <c r="AF695" i="1"/>
  <c r="AE695" i="1"/>
  <c r="T695" i="1"/>
  <c r="U695" i="1" s="1"/>
  <c r="W695" i="1" s="1"/>
  <c r="O695" i="1"/>
  <c r="I695" i="1"/>
  <c r="AG694" i="1"/>
  <c r="AF694" i="1"/>
  <c r="AE694" i="1"/>
  <c r="T694" i="1"/>
  <c r="U694" i="1" s="1"/>
  <c r="W694" i="1" s="1"/>
  <c r="O694" i="1"/>
  <c r="I694" i="1"/>
  <c r="T693" i="1"/>
  <c r="P693" i="1"/>
  <c r="U693" i="1" s="1"/>
  <c r="W693" i="1" s="1"/>
  <c r="I693" i="1"/>
  <c r="AE692" i="1"/>
  <c r="T692" i="1"/>
  <c r="P692" i="1"/>
  <c r="M692" i="1"/>
  <c r="I692" i="1"/>
  <c r="T691" i="1"/>
  <c r="P691" i="1"/>
  <c r="I691" i="1"/>
  <c r="AG690" i="1"/>
  <c r="AF690" i="1"/>
  <c r="AE690" i="1"/>
  <c r="T690" i="1"/>
  <c r="U690" i="1" s="1"/>
  <c r="W690" i="1" s="1"/>
  <c r="O690" i="1"/>
  <c r="I690" i="1"/>
  <c r="AG689" i="1"/>
  <c r="AF689" i="1"/>
  <c r="AE689" i="1"/>
  <c r="T689" i="1"/>
  <c r="U689" i="1" s="1"/>
  <c r="W689" i="1" s="1"/>
  <c r="O689" i="1"/>
  <c r="I689" i="1"/>
  <c r="AG688" i="1"/>
  <c r="AF688" i="1"/>
  <c r="AE688" i="1"/>
  <c r="U688" i="1"/>
  <c r="W688" i="1" s="1"/>
  <c r="T688" i="1"/>
  <c r="O688" i="1"/>
  <c r="I688" i="1"/>
  <c r="AG687" i="1"/>
  <c r="AF687" i="1"/>
  <c r="AE687" i="1"/>
  <c r="T687" i="1"/>
  <c r="U687" i="1" s="1"/>
  <c r="W687" i="1" s="1"/>
  <c r="O687" i="1"/>
  <c r="I687" i="1"/>
  <c r="AG686" i="1"/>
  <c r="AF686" i="1"/>
  <c r="AE686" i="1"/>
  <c r="T686" i="1"/>
  <c r="U686" i="1" s="1"/>
  <c r="W686" i="1" s="1"/>
  <c r="O686" i="1"/>
  <c r="I686" i="1"/>
  <c r="AG685" i="1"/>
  <c r="AF685" i="1"/>
  <c r="AE685" i="1"/>
  <c r="T685" i="1"/>
  <c r="U685" i="1" s="1"/>
  <c r="W685" i="1" s="1"/>
  <c r="O685" i="1"/>
  <c r="I685" i="1"/>
  <c r="AG684" i="1"/>
  <c r="AF684" i="1"/>
  <c r="AE684" i="1"/>
  <c r="U684" i="1"/>
  <c r="W684" i="1" s="1"/>
  <c r="O684" i="1"/>
  <c r="C684" i="1"/>
  <c r="AG683" i="1"/>
  <c r="AF683" i="1"/>
  <c r="AE683" i="1"/>
  <c r="U683" i="1"/>
  <c r="W683" i="1" s="1"/>
  <c r="O683" i="1"/>
  <c r="C683" i="1"/>
  <c r="AG682" i="1"/>
  <c r="AF682" i="1"/>
  <c r="AE682" i="1"/>
  <c r="U682" i="1"/>
  <c r="W682" i="1" s="1"/>
  <c r="O682" i="1"/>
  <c r="C682" i="1"/>
  <c r="T681" i="1"/>
  <c r="P681" i="1"/>
  <c r="AE681" i="1" s="1"/>
  <c r="I681" i="1"/>
  <c r="AF680" i="1"/>
  <c r="T680" i="1"/>
  <c r="P680" i="1"/>
  <c r="I680" i="1"/>
  <c r="AE679" i="1"/>
  <c r="U679" i="1"/>
  <c r="W679" i="1" s="1"/>
  <c r="T679" i="1"/>
  <c r="P679" i="1"/>
  <c r="I679" i="1"/>
  <c r="AG678" i="1"/>
  <c r="AF678" i="1"/>
  <c r="AE678" i="1"/>
  <c r="T678" i="1"/>
  <c r="P678" i="1"/>
  <c r="AE677" i="1"/>
  <c r="U677" i="1"/>
  <c r="W677" i="1" s="1"/>
  <c r="T677" i="1"/>
  <c r="P677" i="1"/>
  <c r="AG677" i="1" s="1"/>
  <c r="M677" i="1"/>
  <c r="I677" i="1"/>
  <c r="T676" i="1"/>
  <c r="P676" i="1"/>
  <c r="I676" i="1"/>
  <c r="T675" i="1"/>
  <c r="P675" i="1"/>
  <c r="I675" i="1"/>
  <c r="AF674" i="1"/>
  <c r="T674" i="1"/>
  <c r="P674" i="1"/>
  <c r="AE674" i="1" s="1"/>
  <c r="I674" i="1"/>
  <c r="T673" i="1"/>
  <c r="P673" i="1"/>
  <c r="AF673" i="1" s="1"/>
  <c r="I673" i="1"/>
  <c r="T672" i="1"/>
  <c r="P672" i="1"/>
  <c r="U672" i="1" s="1"/>
  <c r="W672" i="1" s="1"/>
  <c r="I672" i="1"/>
  <c r="T671" i="1"/>
  <c r="P671" i="1"/>
  <c r="I671" i="1"/>
  <c r="AG670" i="1"/>
  <c r="AF670" i="1"/>
  <c r="AE670" i="1"/>
  <c r="T670" i="1"/>
  <c r="U670" i="1" s="1"/>
  <c r="W670" i="1" s="1"/>
  <c r="O670" i="1"/>
  <c r="I670" i="1"/>
  <c r="AG669" i="1"/>
  <c r="AF669" i="1"/>
  <c r="AE669" i="1"/>
  <c r="T669" i="1"/>
  <c r="U669" i="1" s="1"/>
  <c r="W669" i="1" s="1"/>
  <c r="O669" i="1"/>
  <c r="I669" i="1"/>
  <c r="AG668" i="1"/>
  <c r="AF668" i="1"/>
  <c r="AE668" i="1"/>
  <c r="T668" i="1"/>
  <c r="U668" i="1" s="1"/>
  <c r="W668" i="1" s="1"/>
  <c r="O668" i="1"/>
  <c r="I668" i="1"/>
  <c r="AG667" i="1"/>
  <c r="AF667" i="1"/>
  <c r="AE667" i="1"/>
  <c r="U667" i="1"/>
  <c r="W667" i="1" s="1"/>
  <c r="O667" i="1"/>
  <c r="C667" i="1"/>
  <c r="AG666" i="1"/>
  <c r="AF666" i="1"/>
  <c r="AE666" i="1"/>
  <c r="U666" i="1"/>
  <c r="W666" i="1" s="1"/>
  <c r="O666" i="1"/>
  <c r="C666" i="1"/>
  <c r="AG665" i="1"/>
  <c r="AF665" i="1"/>
  <c r="AE665" i="1"/>
  <c r="U665" i="1"/>
  <c r="W665" i="1" s="1"/>
  <c r="O665" i="1"/>
  <c r="C665" i="1"/>
  <c r="AG664" i="1"/>
  <c r="AF664" i="1"/>
  <c r="AE664" i="1"/>
  <c r="U664" i="1"/>
  <c r="W664" i="1" s="1"/>
  <c r="O664" i="1"/>
  <c r="C664" i="1"/>
  <c r="T663" i="1"/>
  <c r="U663" i="1" s="1"/>
  <c r="W663" i="1" s="1"/>
  <c r="P663" i="1"/>
  <c r="I663" i="1"/>
  <c r="T662" i="1"/>
  <c r="P662" i="1"/>
  <c r="I662" i="1"/>
  <c r="AG661" i="1"/>
  <c r="AF661" i="1"/>
  <c r="AE661" i="1"/>
  <c r="T661" i="1"/>
  <c r="U661" i="1" s="1"/>
  <c r="W661" i="1" s="1"/>
  <c r="P661" i="1"/>
  <c r="I661" i="1"/>
  <c r="U660" i="1"/>
  <c r="W660" i="1" s="1"/>
  <c r="T660" i="1"/>
  <c r="P660" i="1"/>
  <c r="AF660" i="1" s="1"/>
  <c r="I660" i="1"/>
  <c r="AG659" i="1"/>
  <c r="AF659" i="1"/>
  <c r="AE659" i="1"/>
  <c r="T659" i="1"/>
  <c r="U659" i="1" s="1"/>
  <c r="W659" i="1" s="1"/>
  <c r="O659" i="1"/>
  <c r="I659" i="1"/>
  <c r="AG658" i="1"/>
  <c r="AF658" i="1"/>
  <c r="AE658" i="1"/>
  <c r="T658" i="1"/>
  <c r="U658" i="1" s="1"/>
  <c r="W658" i="1" s="1"/>
  <c r="O658" i="1"/>
  <c r="I658" i="1"/>
  <c r="AG657" i="1"/>
  <c r="AF657" i="1"/>
  <c r="AE657" i="1"/>
  <c r="W657" i="1"/>
  <c r="U657" i="1"/>
  <c r="T657" i="1"/>
  <c r="O657" i="1"/>
  <c r="I657" i="1"/>
  <c r="AG656" i="1"/>
  <c r="AF656" i="1"/>
  <c r="AE656" i="1"/>
  <c r="T656" i="1"/>
  <c r="U656" i="1" s="1"/>
  <c r="W656" i="1" s="1"/>
  <c r="O656" i="1"/>
  <c r="AG655" i="1"/>
  <c r="AF655" i="1"/>
  <c r="AE655" i="1"/>
  <c r="U655" i="1"/>
  <c r="W655" i="1" s="1"/>
  <c r="T655" i="1"/>
  <c r="O655" i="1"/>
  <c r="I655" i="1"/>
  <c r="AG654" i="1"/>
  <c r="AF654" i="1"/>
  <c r="AE654" i="1"/>
  <c r="T654" i="1"/>
  <c r="U654" i="1" s="1"/>
  <c r="W654" i="1" s="1"/>
  <c r="O654" i="1"/>
  <c r="I654" i="1"/>
  <c r="AG653" i="1"/>
  <c r="AF653" i="1"/>
  <c r="AE653" i="1"/>
  <c r="T653" i="1"/>
  <c r="U653" i="1" s="1"/>
  <c r="W653" i="1" s="1"/>
  <c r="O653" i="1"/>
  <c r="I653" i="1"/>
  <c r="AG652" i="1"/>
  <c r="AF652" i="1"/>
  <c r="AE652" i="1"/>
  <c r="T652" i="1"/>
  <c r="U652" i="1" s="1"/>
  <c r="W652" i="1" s="1"/>
  <c r="O652" i="1"/>
  <c r="I652" i="1"/>
  <c r="AG651" i="1"/>
  <c r="AF651" i="1"/>
  <c r="AE651" i="1"/>
  <c r="T651" i="1"/>
  <c r="U651" i="1" s="1"/>
  <c r="W651" i="1" s="1"/>
  <c r="O651" i="1"/>
  <c r="I651" i="1"/>
  <c r="AG650" i="1"/>
  <c r="AF650" i="1"/>
  <c r="AE650" i="1"/>
  <c r="T650" i="1"/>
  <c r="U650" i="1" s="1"/>
  <c r="W650" i="1" s="1"/>
  <c r="O650" i="1"/>
  <c r="I650" i="1"/>
  <c r="AG649" i="1"/>
  <c r="AF649" i="1"/>
  <c r="AE649" i="1"/>
  <c r="U649" i="1"/>
  <c r="W649" i="1" s="1"/>
  <c r="O649" i="1"/>
  <c r="C649" i="1"/>
  <c r="AG648" i="1"/>
  <c r="AF648" i="1"/>
  <c r="AE648" i="1"/>
  <c r="U648" i="1"/>
  <c r="W648" i="1" s="1"/>
  <c r="O648" i="1"/>
  <c r="C648" i="1"/>
  <c r="AG647" i="1"/>
  <c r="AF647" i="1"/>
  <c r="AE647" i="1"/>
  <c r="U647" i="1"/>
  <c r="W647" i="1" s="1"/>
  <c r="O647" i="1"/>
  <c r="C647" i="1"/>
  <c r="AG646" i="1"/>
  <c r="AF646" i="1"/>
  <c r="AE646" i="1"/>
  <c r="U646" i="1"/>
  <c r="W646" i="1" s="1"/>
  <c r="O646" i="1"/>
  <c r="C646" i="1"/>
  <c r="AG645" i="1"/>
  <c r="AF645" i="1"/>
  <c r="AE645" i="1"/>
  <c r="U645" i="1"/>
  <c r="W645" i="1" s="1"/>
  <c r="O645" i="1"/>
  <c r="C645" i="1"/>
  <c r="T644" i="1"/>
  <c r="P644" i="1"/>
  <c r="U644" i="1" s="1"/>
  <c r="W644" i="1" s="1"/>
  <c r="I644" i="1"/>
  <c r="AE643" i="1"/>
  <c r="T643" i="1"/>
  <c r="U643" i="1" s="1"/>
  <c r="W643" i="1" s="1"/>
  <c r="P643" i="1"/>
  <c r="I643" i="1"/>
  <c r="T642" i="1"/>
  <c r="P642" i="1"/>
  <c r="AF642" i="1" s="1"/>
  <c r="I642" i="1"/>
  <c r="T641" i="1"/>
  <c r="P641" i="1"/>
  <c r="I641" i="1"/>
  <c r="T640" i="1"/>
  <c r="P640" i="1"/>
  <c r="I640" i="1"/>
  <c r="AG639" i="1"/>
  <c r="AF639" i="1"/>
  <c r="AE639" i="1"/>
  <c r="U639" i="1"/>
  <c r="W639" i="1" s="1"/>
  <c r="T639" i="1"/>
  <c r="P639" i="1"/>
  <c r="M639" i="1"/>
  <c r="I639" i="1"/>
  <c r="AF638" i="1"/>
  <c r="AE638" i="1"/>
  <c r="T638" i="1"/>
  <c r="P638" i="1"/>
  <c r="AG638" i="1" s="1"/>
  <c r="I638" i="1"/>
  <c r="AG637" i="1"/>
  <c r="AF637" i="1"/>
  <c r="AE637" i="1"/>
  <c r="U637" i="1"/>
  <c r="W637" i="1" s="1"/>
  <c r="T637" i="1"/>
  <c r="O637" i="1"/>
  <c r="I637" i="1"/>
  <c r="AG636" i="1"/>
  <c r="AF636" i="1"/>
  <c r="AE636" i="1"/>
  <c r="W636" i="1"/>
  <c r="T636" i="1"/>
  <c r="U636" i="1" s="1"/>
  <c r="O636" i="1"/>
  <c r="AG635" i="1"/>
  <c r="AF635" i="1"/>
  <c r="AE635" i="1"/>
  <c r="T635" i="1"/>
  <c r="U635" i="1" s="1"/>
  <c r="W635" i="1" s="1"/>
  <c r="O635" i="1"/>
  <c r="I635" i="1"/>
  <c r="AG634" i="1"/>
  <c r="AF634" i="1"/>
  <c r="AE634" i="1"/>
  <c r="U634" i="1"/>
  <c r="W634" i="1" s="1"/>
  <c r="T634" i="1"/>
  <c r="O634" i="1"/>
  <c r="I634" i="1"/>
  <c r="AG633" i="1"/>
  <c r="AF633" i="1"/>
  <c r="AE633" i="1"/>
  <c r="T633" i="1"/>
  <c r="U633" i="1" s="1"/>
  <c r="W633" i="1" s="1"/>
  <c r="O633" i="1"/>
  <c r="I633" i="1"/>
  <c r="AG632" i="1"/>
  <c r="AF632" i="1"/>
  <c r="AE632" i="1"/>
  <c r="U632" i="1"/>
  <c r="W632" i="1" s="1"/>
  <c r="T632" i="1"/>
  <c r="O632" i="1"/>
  <c r="I632" i="1"/>
  <c r="AG631" i="1"/>
  <c r="AF631" i="1"/>
  <c r="AE631" i="1"/>
  <c r="U631" i="1"/>
  <c r="W631" i="1" s="1"/>
  <c r="O631" i="1"/>
  <c r="C631" i="1"/>
  <c r="AF630" i="1"/>
  <c r="T630" i="1"/>
  <c r="U630" i="1" s="1"/>
  <c r="W630" i="1" s="1"/>
  <c r="P630" i="1"/>
  <c r="I630" i="1"/>
  <c r="T629" i="1"/>
  <c r="P629" i="1"/>
  <c r="I629" i="1"/>
  <c r="AG628" i="1"/>
  <c r="AF628" i="1"/>
  <c r="AE628" i="1"/>
  <c r="W628" i="1"/>
  <c r="T628" i="1"/>
  <c r="U628" i="1" s="1"/>
  <c r="O628" i="1"/>
  <c r="I628" i="1"/>
  <c r="AG627" i="1"/>
  <c r="AF627" i="1"/>
  <c r="AE627" i="1"/>
  <c r="T627" i="1"/>
  <c r="U627" i="1" s="1"/>
  <c r="W627" i="1" s="1"/>
  <c r="O627" i="1"/>
  <c r="I627" i="1"/>
  <c r="AG626" i="1"/>
  <c r="AF626" i="1"/>
  <c r="AE626" i="1"/>
  <c r="T626" i="1"/>
  <c r="U626" i="1" s="1"/>
  <c r="W626" i="1" s="1"/>
  <c r="O626" i="1"/>
  <c r="I626" i="1"/>
  <c r="AG625" i="1"/>
  <c r="AF625" i="1"/>
  <c r="AE625" i="1"/>
  <c r="T625" i="1"/>
  <c r="U625" i="1" s="1"/>
  <c r="W625" i="1" s="1"/>
  <c r="O625" i="1"/>
  <c r="I625" i="1"/>
  <c r="AG624" i="1"/>
  <c r="AF624" i="1"/>
  <c r="T624" i="1"/>
  <c r="P624" i="1"/>
  <c r="AE624" i="1" s="1"/>
  <c r="I624" i="1"/>
  <c r="T623" i="1"/>
  <c r="P623" i="1"/>
  <c r="AF623" i="1" s="1"/>
  <c r="I623" i="1"/>
  <c r="T622" i="1"/>
  <c r="P622" i="1"/>
  <c r="I622" i="1"/>
  <c r="T621" i="1"/>
  <c r="P621" i="1"/>
  <c r="I621" i="1"/>
  <c r="AG620" i="1"/>
  <c r="AF620" i="1"/>
  <c r="AE620" i="1"/>
  <c r="T620" i="1"/>
  <c r="U620" i="1" s="1"/>
  <c r="W620" i="1" s="1"/>
  <c r="O620" i="1"/>
  <c r="AG619" i="1"/>
  <c r="AF619" i="1"/>
  <c r="AE619" i="1"/>
  <c r="T619" i="1"/>
  <c r="U619" i="1" s="1"/>
  <c r="W619" i="1" s="1"/>
  <c r="O619" i="1"/>
  <c r="AG618" i="1"/>
  <c r="AF618" i="1"/>
  <c r="AE618" i="1"/>
  <c r="T618" i="1"/>
  <c r="U618" i="1" s="1"/>
  <c r="W618" i="1" s="1"/>
  <c r="O618" i="1"/>
  <c r="I618" i="1"/>
  <c r="AG617" i="1"/>
  <c r="AF617" i="1"/>
  <c r="AE617" i="1"/>
  <c r="U617" i="1"/>
  <c r="W617" i="1" s="1"/>
  <c r="O617" i="1"/>
  <c r="C617" i="1"/>
  <c r="AG616" i="1"/>
  <c r="AF616" i="1"/>
  <c r="AE616" i="1"/>
  <c r="W616" i="1"/>
  <c r="U616" i="1"/>
  <c r="O616" i="1"/>
  <c r="C616" i="1"/>
  <c r="AG615" i="1"/>
  <c r="AF615" i="1"/>
  <c r="AE615" i="1"/>
  <c r="U615" i="1"/>
  <c r="W615" i="1" s="1"/>
  <c r="O615" i="1"/>
  <c r="C615" i="1"/>
  <c r="AG614" i="1"/>
  <c r="AF614" i="1"/>
  <c r="AE614" i="1"/>
  <c r="U614" i="1"/>
  <c r="W614" i="1" s="1"/>
  <c r="O614" i="1"/>
  <c r="C614" i="1"/>
  <c r="AG613" i="1"/>
  <c r="AF613" i="1"/>
  <c r="AE613" i="1"/>
  <c r="U613" i="1"/>
  <c r="W613" i="1" s="1"/>
  <c r="O613" i="1"/>
  <c r="C613" i="1"/>
  <c r="AG612" i="1"/>
  <c r="AF612" i="1"/>
  <c r="AE612" i="1"/>
  <c r="U612" i="1"/>
  <c r="W612" i="1" s="1"/>
  <c r="O612" i="1"/>
  <c r="C612" i="1"/>
  <c r="T611" i="1"/>
  <c r="P611" i="1"/>
  <c r="I611" i="1"/>
  <c r="AG610" i="1"/>
  <c r="AF610" i="1"/>
  <c r="AE610" i="1"/>
  <c r="T610" i="1"/>
  <c r="U610" i="1" s="1"/>
  <c r="W610" i="1" s="1"/>
  <c r="O610" i="1"/>
  <c r="I610" i="1"/>
  <c r="AG609" i="1"/>
  <c r="AF609" i="1"/>
  <c r="AE609" i="1"/>
  <c r="T609" i="1"/>
  <c r="U609" i="1" s="1"/>
  <c r="W609" i="1" s="1"/>
  <c r="O609" i="1"/>
  <c r="I609" i="1"/>
  <c r="AG608" i="1"/>
  <c r="AF608" i="1"/>
  <c r="AE608" i="1"/>
  <c r="T608" i="1"/>
  <c r="U608" i="1" s="1"/>
  <c r="W608" i="1" s="1"/>
  <c r="O608" i="1"/>
  <c r="I608" i="1"/>
  <c r="T607" i="1"/>
  <c r="P607" i="1"/>
  <c r="I607" i="1"/>
  <c r="AG606" i="1"/>
  <c r="AF606" i="1"/>
  <c r="AE606" i="1"/>
  <c r="T606" i="1"/>
  <c r="P606" i="1"/>
  <c r="I606" i="1"/>
  <c r="T605" i="1"/>
  <c r="P605" i="1"/>
  <c r="I605" i="1"/>
  <c r="T604" i="1"/>
  <c r="P604" i="1"/>
  <c r="AF604" i="1" s="1"/>
  <c r="I604" i="1"/>
  <c r="T603" i="1"/>
  <c r="P603" i="1"/>
  <c r="AF603" i="1" s="1"/>
  <c r="I603" i="1"/>
  <c r="AG602" i="1"/>
  <c r="AF602" i="1"/>
  <c r="AE602" i="1"/>
  <c r="T602" i="1"/>
  <c r="U602" i="1" s="1"/>
  <c r="W602" i="1" s="1"/>
  <c r="O602" i="1"/>
  <c r="I602" i="1"/>
  <c r="AG601" i="1"/>
  <c r="AF601" i="1"/>
  <c r="AE601" i="1"/>
  <c r="T601" i="1"/>
  <c r="U601" i="1" s="1"/>
  <c r="W601" i="1" s="1"/>
  <c r="O601" i="1"/>
  <c r="I601" i="1"/>
  <c r="AG600" i="1"/>
  <c r="AF600" i="1"/>
  <c r="AE600" i="1"/>
  <c r="T600" i="1"/>
  <c r="U600" i="1" s="1"/>
  <c r="W600" i="1" s="1"/>
  <c r="O600" i="1"/>
  <c r="I600" i="1"/>
  <c r="AG599" i="1"/>
  <c r="AF599" i="1"/>
  <c r="AE599" i="1"/>
  <c r="U599" i="1"/>
  <c r="W599" i="1" s="1"/>
  <c r="T599" i="1"/>
  <c r="O599" i="1"/>
  <c r="I599" i="1"/>
  <c r="AG598" i="1"/>
  <c r="AF598" i="1"/>
  <c r="AE598" i="1"/>
  <c r="U598" i="1"/>
  <c r="W598" i="1" s="1"/>
  <c r="T598" i="1"/>
  <c r="O598" i="1"/>
  <c r="I598" i="1"/>
  <c r="AG597" i="1"/>
  <c r="AF597" i="1"/>
  <c r="AE597" i="1"/>
  <c r="T597" i="1"/>
  <c r="U597" i="1" s="1"/>
  <c r="W597" i="1" s="1"/>
  <c r="O597" i="1"/>
  <c r="I597" i="1"/>
  <c r="AG596" i="1"/>
  <c r="AF596" i="1"/>
  <c r="AE596" i="1"/>
  <c r="U596" i="1"/>
  <c r="W596" i="1" s="1"/>
  <c r="O596" i="1"/>
  <c r="C596" i="1"/>
  <c r="AG595" i="1"/>
  <c r="AF595" i="1"/>
  <c r="AE595" i="1"/>
  <c r="U595" i="1"/>
  <c r="W595" i="1" s="1"/>
  <c r="O595" i="1"/>
  <c r="C595" i="1"/>
  <c r="AG594" i="1"/>
  <c r="AF594" i="1"/>
  <c r="AE594" i="1"/>
  <c r="T594" i="1"/>
  <c r="U594" i="1" s="1"/>
  <c r="W594" i="1" s="1"/>
  <c r="O594" i="1"/>
  <c r="I594" i="1"/>
  <c r="T593" i="1"/>
  <c r="P593" i="1"/>
  <c r="I593" i="1"/>
  <c r="T592" i="1"/>
  <c r="P592" i="1"/>
  <c r="AE592" i="1" s="1"/>
  <c r="I592" i="1"/>
  <c r="AF591" i="1"/>
  <c r="T591" i="1"/>
  <c r="U591" i="1" s="1"/>
  <c r="W591" i="1" s="1"/>
  <c r="P591" i="1"/>
  <c r="T590" i="1"/>
  <c r="P590" i="1"/>
  <c r="AG590" i="1" s="1"/>
  <c r="I590" i="1"/>
  <c r="T589" i="1"/>
  <c r="P589" i="1"/>
  <c r="AE589" i="1" s="1"/>
  <c r="I589" i="1"/>
  <c r="AE588" i="1"/>
  <c r="T588" i="1"/>
  <c r="P588" i="1"/>
  <c r="M588" i="1"/>
  <c r="I588" i="1"/>
  <c r="T587" i="1"/>
  <c r="P587" i="1"/>
  <c r="AE587" i="1" s="1"/>
  <c r="M587" i="1"/>
  <c r="I587" i="1"/>
  <c r="AG586" i="1"/>
  <c r="AF586" i="1"/>
  <c r="AE586" i="1"/>
  <c r="T586" i="1"/>
  <c r="U586" i="1" s="1"/>
  <c r="W586" i="1" s="1"/>
  <c r="O586" i="1"/>
  <c r="I586" i="1"/>
  <c r="AG585" i="1"/>
  <c r="AF585" i="1"/>
  <c r="AE585" i="1"/>
  <c r="U585" i="1"/>
  <c r="W585" i="1" s="1"/>
  <c r="O585" i="1"/>
  <c r="C585" i="1"/>
  <c r="AG584" i="1"/>
  <c r="AF584" i="1"/>
  <c r="AE584" i="1"/>
  <c r="U584" i="1"/>
  <c r="W584" i="1" s="1"/>
  <c r="O584" i="1"/>
  <c r="C584" i="1"/>
  <c r="T583" i="1"/>
  <c r="P583" i="1"/>
  <c r="AE583" i="1" s="1"/>
  <c r="I583" i="1"/>
  <c r="T582" i="1"/>
  <c r="U582" i="1" s="1"/>
  <c r="W582" i="1" s="1"/>
  <c r="P582" i="1"/>
  <c r="M582" i="1"/>
  <c r="I582" i="1"/>
  <c r="AG581" i="1"/>
  <c r="AE581" i="1"/>
  <c r="T581" i="1"/>
  <c r="U581" i="1" s="1"/>
  <c r="W581" i="1" s="1"/>
  <c r="P581" i="1"/>
  <c r="AF581" i="1" s="1"/>
  <c r="I581" i="1"/>
  <c r="AG580" i="1"/>
  <c r="AF580" i="1"/>
  <c r="AE580" i="1"/>
  <c r="T580" i="1"/>
  <c r="U580" i="1" s="1"/>
  <c r="W580" i="1" s="1"/>
  <c r="O580" i="1"/>
  <c r="I580" i="1"/>
  <c r="AG579" i="1"/>
  <c r="AF579" i="1"/>
  <c r="AE579" i="1"/>
  <c r="U579" i="1"/>
  <c r="W579" i="1" s="1"/>
  <c r="T579" i="1"/>
  <c r="O579" i="1"/>
  <c r="I579" i="1"/>
  <c r="AG578" i="1"/>
  <c r="AF578" i="1"/>
  <c r="AE578" i="1"/>
  <c r="W578" i="1"/>
  <c r="T578" i="1"/>
  <c r="U578" i="1" s="1"/>
  <c r="O578" i="1"/>
  <c r="I578" i="1"/>
  <c r="AG577" i="1"/>
  <c r="AF577" i="1"/>
  <c r="AE577" i="1"/>
  <c r="T577" i="1"/>
  <c r="U577" i="1" s="1"/>
  <c r="W577" i="1" s="1"/>
  <c r="O577" i="1"/>
  <c r="AG576" i="1"/>
  <c r="AF576" i="1"/>
  <c r="AE576" i="1"/>
  <c r="U576" i="1"/>
  <c r="W576" i="1" s="1"/>
  <c r="T576" i="1"/>
  <c r="O576" i="1"/>
  <c r="I576" i="1"/>
  <c r="T575" i="1"/>
  <c r="U575" i="1" s="1"/>
  <c r="W575" i="1" s="1"/>
  <c r="P575" i="1"/>
  <c r="M575" i="1"/>
  <c r="I575" i="1"/>
  <c r="AF574" i="1"/>
  <c r="AE574" i="1"/>
  <c r="T574" i="1"/>
  <c r="P574" i="1"/>
  <c r="AG574" i="1" s="1"/>
  <c r="I574" i="1"/>
  <c r="T573" i="1"/>
  <c r="P573" i="1"/>
  <c r="AF573" i="1" s="1"/>
  <c r="I573" i="1"/>
  <c r="T572" i="1"/>
  <c r="P572" i="1"/>
  <c r="I572" i="1"/>
  <c r="AG571" i="1"/>
  <c r="AF571" i="1"/>
  <c r="AE571" i="1"/>
  <c r="U571" i="1"/>
  <c r="W571" i="1" s="1"/>
  <c r="T571" i="1"/>
  <c r="O571" i="1"/>
  <c r="I571" i="1"/>
  <c r="AG570" i="1"/>
  <c r="AF570" i="1"/>
  <c r="AE570" i="1"/>
  <c r="T570" i="1"/>
  <c r="U570" i="1" s="1"/>
  <c r="W570" i="1" s="1"/>
  <c r="O570" i="1"/>
  <c r="I570" i="1"/>
  <c r="AG569" i="1"/>
  <c r="AF569" i="1"/>
  <c r="AE569" i="1"/>
  <c r="T569" i="1"/>
  <c r="U569" i="1" s="1"/>
  <c r="W569" i="1" s="1"/>
  <c r="O569" i="1"/>
  <c r="I569" i="1"/>
  <c r="AG568" i="1"/>
  <c r="AF568" i="1"/>
  <c r="AE568" i="1"/>
  <c r="U568" i="1"/>
  <c r="W568" i="1" s="1"/>
  <c r="O568" i="1"/>
  <c r="C568" i="1"/>
  <c r="AG567" i="1"/>
  <c r="AF567" i="1"/>
  <c r="AE567" i="1"/>
  <c r="U567" i="1"/>
  <c r="W567" i="1" s="1"/>
  <c r="O567" i="1"/>
  <c r="C567" i="1"/>
  <c r="AG566" i="1"/>
  <c r="AF566" i="1"/>
  <c r="AE566" i="1"/>
  <c r="T566" i="1"/>
  <c r="U566" i="1" s="1"/>
  <c r="W566" i="1" s="1"/>
  <c r="O566" i="1"/>
  <c r="I566" i="1"/>
  <c r="AG565" i="1"/>
  <c r="AF565" i="1"/>
  <c r="AE565" i="1"/>
  <c r="T565" i="1"/>
  <c r="U565" i="1" s="1"/>
  <c r="W565" i="1" s="1"/>
  <c r="O565" i="1"/>
  <c r="I565" i="1"/>
  <c r="AG564" i="1"/>
  <c r="AF564" i="1"/>
  <c r="AE564" i="1"/>
  <c r="W564" i="1"/>
  <c r="T564" i="1"/>
  <c r="U564" i="1" s="1"/>
  <c r="O564" i="1"/>
  <c r="I564" i="1"/>
  <c r="AG563" i="1"/>
  <c r="AF563" i="1"/>
  <c r="AE563" i="1"/>
  <c r="U563" i="1"/>
  <c r="W563" i="1" s="1"/>
  <c r="T563" i="1"/>
  <c r="O563" i="1"/>
  <c r="I563" i="1"/>
  <c r="AG562" i="1"/>
  <c r="AF562" i="1"/>
  <c r="T562" i="1"/>
  <c r="P562" i="1"/>
  <c r="AE562" i="1" s="1"/>
  <c r="I562" i="1"/>
  <c r="AG561" i="1"/>
  <c r="AF561" i="1"/>
  <c r="AE561" i="1"/>
  <c r="U561" i="1"/>
  <c r="W561" i="1" s="1"/>
  <c r="O561" i="1"/>
  <c r="C561" i="1"/>
  <c r="AG560" i="1"/>
  <c r="AF560" i="1"/>
  <c r="AE560" i="1"/>
  <c r="U560" i="1"/>
  <c r="W560" i="1" s="1"/>
  <c r="O560" i="1"/>
  <c r="C560" i="1"/>
  <c r="AG559" i="1"/>
  <c r="AF559" i="1"/>
  <c r="AE559" i="1"/>
  <c r="U559" i="1"/>
  <c r="W559" i="1" s="1"/>
  <c r="O559" i="1"/>
  <c r="C559" i="1"/>
  <c r="AG558" i="1"/>
  <c r="AF558" i="1"/>
  <c r="AE558" i="1"/>
  <c r="U558" i="1"/>
  <c r="W558" i="1" s="1"/>
  <c r="O558" i="1"/>
  <c r="C558" i="1"/>
  <c r="AG557" i="1"/>
  <c r="AF557" i="1"/>
  <c r="AE557" i="1"/>
  <c r="U557" i="1"/>
  <c r="W557" i="1" s="1"/>
  <c r="O557" i="1"/>
  <c r="C557" i="1"/>
  <c r="AG556" i="1"/>
  <c r="AE556" i="1"/>
  <c r="U556" i="1"/>
  <c r="W556" i="1" s="1"/>
  <c r="T556" i="1"/>
  <c r="P556" i="1"/>
  <c r="AF556" i="1" s="1"/>
  <c r="AG555" i="1"/>
  <c r="AF555" i="1"/>
  <c r="AE555" i="1"/>
  <c r="T555" i="1"/>
  <c r="U555" i="1" s="1"/>
  <c r="W555" i="1" s="1"/>
  <c r="O555" i="1"/>
  <c r="I555" i="1"/>
  <c r="AG554" i="1"/>
  <c r="AF554" i="1"/>
  <c r="AE554" i="1"/>
  <c r="T554" i="1"/>
  <c r="U554" i="1" s="1"/>
  <c r="W554" i="1" s="1"/>
  <c r="O554" i="1"/>
  <c r="I554" i="1"/>
  <c r="AG553" i="1"/>
  <c r="AF553" i="1"/>
  <c r="AE553" i="1"/>
  <c r="T553" i="1"/>
  <c r="U553" i="1" s="1"/>
  <c r="W553" i="1" s="1"/>
  <c r="O553" i="1"/>
  <c r="I553" i="1"/>
  <c r="AG552" i="1"/>
  <c r="AF552" i="1"/>
  <c r="AE552" i="1"/>
  <c r="T552" i="1"/>
  <c r="U552" i="1" s="1"/>
  <c r="W552" i="1" s="1"/>
  <c r="O552" i="1"/>
  <c r="I552" i="1"/>
  <c r="AG551" i="1"/>
  <c r="AF551" i="1"/>
  <c r="AE551" i="1"/>
  <c r="T551" i="1"/>
  <c r="U551" i="1" s="1"/>
  <c r="W551" i="1" s="1"/>
  <c r="O551" i="1"/>
  <c r="AG550" i="1"/>
  <c r="AF550" i="1"/>
  <c r="AE550" i="1"/>
  <c r="T550" i="1"/>
  <c r="U550" i="1" s="1"/>
  <c r="W550" i="1" s="1"/>
  <c r="O550" i="1"/>
  <c r="I550" i="1"/>
  <c r="AG549" i="1"/>
  <c r="AF549" i="1"/>
  <c r="AE549" i="1"/>
  <c r="T549" i="1"/>
  <c r="U549" i="1" s="1"/>
  <c r="W549" i="1" s="1"/>
  <c r="O549" i="1"/>
  <c r="AG548" i="1"/>
  <c r="AF548" i="1"/>
  <c r="AE548" i="1"/>
  <c r="U548" i="1"/>
  <c r="W548" i="1" s="1"/>
  <c r="T548" i="1"/>
  <c r="O548" i="1"/>
  <c r="I548" i="1"/>
  <c r="AG547" i="1"/>
  <c r="AF547" i="1"/>
  <c r="AE547" i="1"/>
  <c r="U547" i="1"/>
  <c r="W547" i="1" s="1"/>
  <c r="O547" i="1"/>
  <c r="C547" i="1"/>
  <c r="AG546" i="1"/>
  <c r="U546" i="1"/>
  <c r="W546" i="1" s="1"/>
  <c r="T546" i="1"/>
  <c r="P546" i="1"/>
  <c r="I546" i="1"/>
  <c r="T545" i="1"/>
  <c r="P545" i="1"/>
  <c r="AG545" i="1" s="1"/>
  <c r="M545" i="1"/>
  <c r="I545" i="1"/>
  <c r="AF544" i="1"/>
  <c r="AE544" i="1"/>
  <c r="U544" i="1"/>
  <c r="W544" i="1" s="1"/>
  <c r="T544" i="1"/>
  <c r="P544" i="1"/>
  <c r="AG544" i="1" s="1"/>
  <c r="I544" i="1"/>
  <c r="T543" i="1"/>
  <c r="U543" i="1" s="1"/>
  <c r="W543" i="1" s="1"/>
  <c r="P543" i="1"/>
  <c r="AF543" i="1" s="1"/>
  <c r="I543" i="1"/>
  <c r="AG542" i="1"/>
  <c r="AF542" i="1"/>
  <c r="AE542" i="1"/>
  <c r="T542" i="1"/>
  <c r="U542" i="1" s="1"/>
  <c r="W542" i="1" s="1"/>
  <c r="P542" i="1"/>
  <c r="I542" i="1"/>
  <c r="T541" i="1"/>
  <c r="P541" i="1"/>
  <c r="AF541" i="1" s="1"/>
  <c r="I541" i="1"/>
  <c r="AG540" i="1"/>
  <c r="AF540" i="1"/>
  <c r="AE540" i="1"/>
  <c r="T540" i="1"/>
  <c r="U540" i="1" s="1"/>
  <c r="W540" i="1" s="1"/>
  <c r="O540" i="1"/>
  <c r="I540" i="1"/>
  <c r="AG539" i="1"/>
  <c r="AF539" i="1"/>
  <c r="AE539" i="1"/>
  <c r="T539" i="1"/>
  <c r="U539" i="1" s="1"/>
  <c r="W539" i="1" s="1"/>
  <c r="O539" i="1"/>
  <c r="I539" i="1"/>
  <c r="AG538" i="1"/>
  <c r="AF538" i="1"/>
  <c r="AE538" i="1"/>
  <c r="U538" i="1"/>
  <c r="W538" i="1" s="1"/>
  <c r="T538" i="1"/>
  <c r="O538" i="1"/>
  <c r="I538" i="1"/>
  <c r="AG537" i="1"/>
  <c r="AF537" i="1"/>
  <c r="AE537" i="1"/>
  <c r="T537" i="1"/>
  <c r="U537" i="1" s="1"/>
  <c r="W537" i="1" s="1"/>
  <c r="O537" i="1"/>
  <c r="I537" i="1"/>
  <c r="AG536" i="1"/>
  <c r="AF536" i="1"/>
  <c r="AE536" i="1"/>
  <c r="T536" i="1"/>
  <c r="U536" i="1" s="1"/>
  <c r="W536" i="1" s="1"/>
  <c r="O536" i="1"/>
  <c r="AG535" i="1"/>
  <c r="AF535" i="1"/>
  <c r="AE535" i="1"/>
  <c r="T535" i="1"/>
  <c r="U535" i="1" s="1"/>
  <c r="W535" i="1" s="1"/>
  <c r="O535" i="1"/>
  <c r="I535" i="1"/>
  <c r="AG534" i="1"/>
  <c r="AF534" i="1"/>
  <c r="AE534" i="1"/>
  <c r="U534" i="1"/>
  <c r="W534" i="1" s="1"/>
  <c r="T534" i="1"/>
  <c r="O534" i="1"/>
  <c r="I534" i="1"/>
  <c r="AG533" i="1"/>
  <c r="AF533" i="1"/>
  <c r="AE533" i="1"/>
  <c r="T533" i="1"/>
  <c r="U533" i="1" s="1"/>
  <c r="W533" i="1" s="1"/>
  <c r="O533" i="1"/>
  <c r="I533" i="1"/>
  <c r="AG532" i="1"/>
  <c r="AF532" i="1"/>
  <c r="AE532" i="1"/>
  <c r="U532" i="1"/>
  <c r="W532" i="1" s="1"/>
  <c r="O532" i="1"/>
  <c r="C532" i="1"/>
  <c r="AG531" i="1"/>
  <c r="AF531" i="1"/>
  <c r="AE531" i="1"/>
  <c r="U531" i="1"/>
  <c r="W531" i="1" s="1"/>
  <c r="O531" i="1"/>
  <c r="C531" i="1"/>
  <c r="AG530" i="1"/>
  <c r="AF530" i="1"/>
  <c r="AE530" i="1"/>
  <c r="U530" i="1"/>
  <c r="W530" i="1" s="1"/>
  <c r="O530" i="1"/>
  <c r="C530" i="1"/>
  <c r="AG529" i="1"/>
  <c r="AF529" i="1"/>
  <c r="AE529" i="1"/>
  <c r="U529" i="1"/>
  <c r="W529" i="1" s="1"/>
  <c r="O529" i="1"/>
  <c r="C529" i="1"/>
  <c r="AG528" i="1"/>
  <c r="AF528" i="1"/>
  <c r="AE528" i="1"/>
  <c r="T528" i="1"/>
  <c r="U528" i="1" s="1"/>
  <c r="W528" i="1" s="1"/>
  <c r="O528" i="1"/>
  <c r="I528" i="1"/>
  <c r="AG527" i="1"/>
  <c r="AF527" i="1"/>
  <c r="AE527" i="1"/>
  <c r="T527" i="1"/>
  <c r="U527" i="1" s="1"/>
  <c r="W527" i="1" s="1"/>
  <c r="O527" i="1"/>
  <c r="I527" i="1"/>
  <c r="AG526" i="1"/>
  <c r="AF526" i="1"/>
  <c r="AE526" i="1"/>
  <c r="T526" i="1"/>
  <c r="U526" i="1" s="1"/>
  <c r="W526" i="1" s="1"/>
  <c r="O526" i="1"/>
  <c r="I526" i="1"/>
  <c r="AG525" i="1"/>
  <c r="AF525" i="1"/>
  <c r="AE525" i="1"/>
  <c r="U525" i="1"/>
  <c r="W525" i="1" s="1"/>
  <c r="O525" i="1"/>
  <c r="C525" i="1"/>
  <c r="AG524" i="1"/>
  <c r="AF524" i="1"/>
  <c r="AE524" i="1"/>
  <c r="U524" i="1"/>
  <c r="W524" i="1" s="1"/>
  <c r="O524" i="1"/>
  <c r="C524" i="1"/>
  <c r="AG523" i="1"/>
  <c r="AF523" i="1"/>
  <c r="AE523" i="1"/>
  <c r="U523" i="1"/>
  <c r="W523" i="1" s="1"/>
  <c r="O523" i="1"/>
  <c r="C523" i="1"/>
  <c r="T522" i="1"/>
  <c r="U522" i="1" s="1"/>
  <c r="W522" i="1" s="1"/>
  <c r="P522" i="1"/>
  <c r="I522" i="1"/>
  <c r="T521" i="1"/>
  <c r="P521" i="1"/>
  <c r="I521" i="1"/>
  <c r="AG520" i="1"/>
  <c r="AF520" i="1"/>
  <c r="AE520" i="1"/>
  <c r="T520" i="1"/>
  <c r="U520" i="1" s="1"/>
  <c r="W520" i="1" s="1"/>
  <c r="O520" i="1"/>
  <c r="I520" i="1"/>
  <c r="AG519" i="1"/>
  <c r="AF519" i="1"/>
  <c r="AE519" i="1"/>
  <c r="T519" i="1"/>
  <c r="U519" i="1" s="1"/>
  <c r="W519" i="1" s="1"/>
  <c r="O519" i="1"/>
  <c r="I519" i="1"/>
  <c r="AG518" i="1"/>
  <c r="AF518" i="1"/>
  <c r="AE518" i="1"/>
  <c r="U518" i="1"/>
  <c r="W518" i="1" s="1"/>
  <c r="T518" i="1"/>
  <c r="O518" i="1"/>
  <c r="I518" i="1"/>
  <c r="AG517" i="1"/>
  <c r="AF517" i="1"/>
  <c r="AE517" i="1"/>
  <c r="T517" i="1"/>
  <c r="U517" i="1" s="1"/>
  <c r="W517" i="1" s="1"/>
  <c r="O517" i="1"/>
  <c r="I517" i="1"/>
  <c r="AG516" i="1"/>
  <c r="T516" i="1"/>
  <c r="P516" i="1"/>
  <c r="I516" i="1"/>
  <c r="AG515" i="1"/>
  <c r="AF515" i="1"/>
  <c r="AE515" i="1"/>
  <c r="T515" i="1"/>
  <c r="U515" i="1" s="1"/>
  <c r="W515" i="1" s="1"/>
  <c r="O515" i="1"/>
  <c r="I515" i="1"/>
  <c r="AG514" i="1"/>
  <c r="AF514" i="1"/>
  <c r="AE514" i="1"/>
  <c r="U514" i="1"/>
  <c r="W514" i="1" s="1"/>
  <c r="T514" i="1"/>
  <c r="Q514" i="1"/>
  <c r="O514" i="1"/>
  <c r="I514" i="1"/>
  <c r="AG513" i="1"/>
  <c r="AF513" i="1"/>
  <c r="AE513" i="1"/>
  <c r="T513" i="1"/>
  <c r="U513" i="1" s="1"/>
  <c r="W513" i="1" s="1"/>
  <c r="Q513" i="1"/>
  <c r="O513" i="1"/>
  <c r="I513" i="1"/>
  <c r="AG512" i="1"/>
  <c r="AF512" i="1"/>
  <c r="AE512" i="1"/>
  <c r="U512" i="1"/>
  <c r="W512" i="1" s="1"/>
  <c r="O512" i="1"/>
  <c r="C512" i="1"/>
  <c r="AG511" i="1"/>
  <c r="AF511" i="1"/>
  <c r="AE511" i="1"/>
  <c r="U511" i="1"/>
  <c r="W511" i="1" s="1"/>
  <c r="O511" i="1"/>
  <c r="C511" i="1"/>
  <c r="AG510" i="1"/>
  <c r="AF510" i="1"/>
  <c r="AE510" i="1"/>
  <c r="U510" i="1"/>
  <c r="W510" i="1" s="1"/>
  <c r="O510" i="1"/>
  <c r="C510" i="1"/>
  <c r="AG509" i="1"/>
  <c r="AF509" i="1"/>
  <c r="AE509" i="1"/>
  <c r="U509" i="1"/>
  <c r="W509" i="1" s="1"/>
  <c r="T509" i="1"/>
  <c r="O509" i="1"/>
  <c r="I509" i="1"/>
  <c r="AG508" i="1"/>
  <c r="AF508" i="1"/>
  <c r="AE508" i="1"/>
  <c r="T508" i="1"/>
  <c r="U508" i="1" s="1"/>
  <c r="W508" i="1" s="1"/>
  <c r="O508" i="1"/>
  <c r="I508" i="1"/>
  <c r="AG507" i="1"/>
  <c r="AF507" i="1"/>
  <c r="AE507" i="1"/>
  <c r="W507" i="1"/>
  <c r="U507" i="1"/>
  <c r="T507" i="1"/>
  <c r="Q507" i="1"/>
  <c r="O507" i="1"/>
  <c r="I507" i="1"/>
  <c r="AG506" i="1"/>
  <c r="AF506" i="1"/>
  <c r="AE506" i="1"/>
  <c r="T506" i="1"/>
  <c r="U506" i="1" s="1"/>
  <c r="W506" i="1" s="1"/>
  <c r="O506" i="1"/>
  <c r="I506" i="1"/>
  <c r="AG505" i="1"/>
  <c r="AF505" i="1"/>
  <c r="AE505" i="1"/>
  <c r="T505" i="1"/>
  <c r="U505" i="1" s="1"/>
  <c r="W505" i="1" s="1"/>
  <c r="O505" i="1"/>
  <c r="I505" i="1"/>
  <c r="AG504" i="1"/>
  <c r="AF504" i="1"/>
  <c r="AE504" i="1"/>
  <c r="T504" i="1"/>
  <c r="U504" i="1" s="1"/>
  <c r="W504" i="1" s="1"/>
  <c r="O504" i="1"/>
  <c r="I504" i="1"/>
  <c r="AG503" i="1"/>
  <c r="AF503" i="1"/>
  <c r="AE503" i="1"/>
  <c r="W503" i="1"/>
  <c r="T503" i="1"/>
  <c r="U503" i="1" s="1"/>
  <c r="O503" i="1"/>
  <c r="I503" i="1"/>
  <c r="AG502" i="1"/>
  <c r="AF502" i="1"/>
  <c r="AE502" i="1"/>
  <c r="U502" i="1"/>
  <c r="W502" i="1" s="1"/>
  <c r="O502" i="1"/>
  <c r="C502" i="1"/>
  <c r="AG501" i="1"/>
  <c r="AF501" i="1"/>
  <c r="AE501" i="1"/>
  <c r="U501" i="1"/>
  <c r="W501" i="1" s="1"/>
  <c r="O501" i="1"/>
  <c r="C501" i="1"/>
  <c r="AG500" i="1"/>
  <c r="AF500" i="1"/>
  <c r="AE500" i="1"/>
  <c r="U500" i="1"/>
  <c r="W500" i="1" s="1"/>
  <c r="O500" i="1"/>
  <c r="C500" i="1"/>
  <c r="AG499" i="1"/>
  <c r="AF499" i="1"/>
  <c r="AE499" i="1"/>
  <c r="U499" i="1"/>
  <c r="W499" i="1" s="1"/>
  <c r="O499" i="1"/>
  <c r="C499" i="1"/>
  <c r="AG498" i="1"/>
  <c r="AF498" i="1"/>
  <c r="AE498" i="1"/>
  <c r="T498" i="1"/>
  <c r="U498" i="1" s="1"/>
  <c r="W498" i="1" s="1"/>
  <c r="O498" i="1"/>
  <c r="I498" i="1"/>
  <c r="AG497" i="1"/>
  <c r="AF497" i="1"/>
  <c r="AE497" i="1"/>
  <c r="T497" i="1"/>
  <c r="U497" i="1" s="1"/>
  <c r="W497" i="1" s="1"/>
  <c r="O497" i="1"/>
  <c r="I497" i="1"/>
  <c r="AG496" i="1"/>
  <c r="AF496" i="1"/>
  <c r="AE496" i="1"/>
  <c r="T496" i="1"/>
  <c r="U496" i="1" s="1"/>
  <c r="W496" i="1" s="1"/>
  <c r="O496" i="1"/>
  <c r="I496" i="1"/>
  <c r="AG495" i="1"/>
  <c r="AF495" i="1"/>
  <c r="AE495" i="1"/>
  <c r="T495" i="1"/>
  <c r="U495" i="1" s="1"/>
  <c r="W495" i="1" s="1"/>
  <c r="O495" i="1"/>
  <c r="I495" i="1"/>
  <c r="T494" i="1"/>
  <c r="P494" i="1"/>
  <c r="I494" i="1"/>
  <c r="AG493" i="1"/>
  <c r="T493" i="1"/>
  <c r="P493" i="1"/>
  <c r="I493" i="1"/>
  <c r="AG492" i="1"/>
  <c r="AF492" i="1"/>
  <c r="AE492" i="1"/>
  <c r="U492" i="1"/>
  <c r="W492" i="1" s="1"/>
  <c r="O492" i="1"/>
  <c r="C492" i="1"/>
  <c r="AG491" i="1"/>
  <c r="AF491" i="1"/>
  <c r="AE491" i="1"/>
  <c r="U491" i="1"/>
  <c r="W491" i="1" s="1"/>
  <c r="O491" i="1"/>
  <c r="C491" i="1"/>
  <c r="AG490" i="1"/>
  <c r="AF490" i="1"/>
  <c r="AE490" i="1"/>
  <c r="U490" i="1"/>
  <c r="W490" i="1" s="1"/>
  <c r="O490" i="1"/>
  <c r="C490" i="1"/>
  <c r="AG489" i="1"/>
  <c r="AF489" i="1"/>
  <c r="AE489" i="1"/>
  <c r="U489" i="1"/>
  <c r="W489" i="1" s="1"/>
  <c r="O489" i="1"/>
  <c r="C489" i="1"/>
  <c r="AG488" i="1"/>
  <c r="AF488" i="1"/>
  <c r="AE488" i="1"/>
  <c r="U488" i="1"/>
  <c r="W488" i="1" s="1"/>
  <c r="O488" i="1"/>
  <c r="C488" i="1"/>
  <c r="AE487" i="1"/>
  <c r="T487" i="1"/>
  <c r="U487" i="1" s="1"/>
  <c r="W487" i="1" s="1"/>
  <c r="P487" i="1"/>
  <c r="M487" i="1"/>
  <c r="I487" i="1"/>
  <c r="T486" i="1"/>
  <c r="P486" i="1"/>
  <c r="AG486" i="1" s="1"/>
  <c r="I486" i="1"/>
  <c r="AG485" i="1"/>
  <c r="AF485" i="1"/>
  <c r="AE485" i="1"/>
  <c r="T485" i="1"/>
  <c r="U485" i="1" s="1"/>
  <c r="W485" i="1" s="1"/>
  <c r="O485" i="1"/>
  <c r="I485" i="1"/>
  <c r="AG484" i="1"/>
  <c r="AF484" i="1"/>
  <c r="AE484" i="1"/>
  <c r="T484" i="1"/>
  <c r="U484" i="1" s="1"/>
  <c r="W484" i="1" s="1"/>
  <c r="O484" i="1"/>
  <c r="I484" i="1"/>
  <c r="AG483" i="1"/>
  <c r="AF483" i="1"/>
  <c r="AE483" i="1"/>
  <c r="T483" i="1"/>
  <c r="U483" i="1" s="1"/>
  <c r="W483" i="1" s="1"/>
  <c r="O483" i="1"/>
  <c r="I483" i="1"/>
  <c r="AG482" i="1"/>
  <c r="AF482" i="1"/>
  <c r="AE482" i="1"/>
  <c r="T482" i="1"/>
  <c r="U482" i="1" s="1"/>
  <c r="W482" i="1" s="1"/>
  <c r="O482" i="1"/>
  <c r="I482" i="1"/>
  <c r="AG481" i="1"/>
  <c r="AF481" i="1"/>
  <c r="AE481" i="1"/>
  <c r="T481" i="1"/>
  <c r="U481" i="1" s="1"/>
  <c r="W481" i="1" s="1"/>
  <c r="O481" i="1"/>
  <c r="I481" i="1"/>
  <c r="AG480" i="1"/>
  <c r="AF480" i="1"/>
  <c r="AE480" i="1"/>
  <c r="T480" i="1"/>
  <c r="U480" i="1" s="1"/>
  <c r="W480" i="1" s="1"/>
  <c r="O480" i="1"/>
  <c r="I480" i="1"/>
  <c r="AG479" i="1"/>
  <c r="AF479" i="1"/>
  <c r="AE479" i="1"/>
  <c r="U479" i="1"/>
  <c r="W479" i="1" s="1"/>
  <c r="O479" i="1"/>
  <c r="C479" i="1"/>
  <c r="AG478" i="1"/>
  <c r="AF478" i="1"/>
  <c r="AE478" i="1"/>
  <c r="W478" i="1"/>
  <c r="U478" i="1"/>
  <c r="O478" i="1"/>
  <c r="C478" i="1"/>
  <c r="AG477" i="1"/>
  <c r="AF477" i="1"/>
  <c r="AE477" i="1"/>
  <c r="U477" i="1"/>
  <c r="W477" i="1" s="1"/>
  <c r="O477" i="1"/>
  <c r="C477" i="1"/>
  <c r="AG476" i="1"/>
  <c r="AF476" i="1"/>
  <c r="AE476" i="1"/>
  <c r="U476" i="1"/>
  <c r="W476" i="1" s="1"/>
  <c r="O476" i="1"/>
  <c r="C476" i="1"/>
  <c r="AE475" i="1"/>
  <c r="T475" i="1"/>
  <c r="P475" i="1"/>
  <c r="I475" i="1"/>
  <c r="AG474" i="1"/>
  <c r="AF474" i="1"/>
  <c r="AE474" i="1"/>
  <c r="T474" i="1"/>
  <c r="U474" i="1" s="1"/>
  <c r="W474" i="1" s="1"/>
  <c r="O474" i="1"/>
  <c r="I474" i="1"/>
  <c r="AG473" i="1"/>
  <c r="AF473" i="1"/>
  <c r="AE473" i="1"/>
  <c r="T473" i="1"/>
  <c r="U473" i="1" s="1"/>
  <c r="W473" i="1" s="1"/>
  <c r="O473" i="1"/>
  <c r="I473" i="1"/>
  <c r="AG472" i="1"/>
  <c r="AF472" i="1"/>
  <c r="AE472" i="1"/>
  <c r="T472" i="1"/>
  <c r="U472" i="1" s="1"/>
  <c r="W472" i="1" s="1"/>
  <c r="O472" i="1"/>
  <c r="I472" i="1"/>
  <c r="AG471" i="1"/>
  <c r="AF471" i="1"/>
  <c r="AE471" i="1"/>
  <c r="T471" i="1"/>
  <c r="U471" i="1" s="1"/>
  <c r="W471" i="1" s="1"/>
  <c r="O471" i="1"/>
  <c r="I471" i="1"/>
  <c r="AG470" i="1"/>
  <c r="AF470" i="1"/>
  <c r="AE470" i="1"/>
  <c r="T470" i="1"/>
  <c r="U470" i="1" s="1"/>
  <c r="W470" i="1" s="1"/>
  <c r="O470" i="1"/>
  <c r="I470" i="1"/>
  <c r="AG469" i="1"/>
  <c r="AF469" i="1"/>
  <c r="AE469" i="1"/>
  <c r="U469" i="1"/>
  <c r="W469" i="1" s="1"/>
  <c r="O469" i="1"/>
  <c r="C469" i="1"/>
  <c r="AG468" i="1"/>
  <c r="AF468" i="1"/>
  <c r="AE468" i="1"/>
  <c r="U468" i="1"/>
  <c r="W468" i="1" s="1"/>
  <c r="O468" i="1"/>
  <c r="C468" i="1"/>
  <c r="AG467" i="1"/>
  <c r="AF467" i="1"/>
  <c r="AE467" i="1"/>
  <c r="U467" i="1"/>
  <c r="W467" i="1" s="1"/>
  <c r="O467" i="1"/>
  <c r="C467" i="1"/>
  <c r="AG466" i="1"/>
  <c r="AF466" i="1"/>
  <c r="AE466" i="1"/>
  <c r="U466" i="1"/>
  <c r="W466" i="1" s="1"/>
  <c r="O466" i="1"/>
  <c r="C466" i="1"/>
  <c r="AG465" i="1"/>
  <c r="AF465" i="1"/>
  <c r="AE465" i="1"/>
  <c r="U465" i="1"/>
  <c r="W465" i="1" s="1"/>
  <c r="O465" i="1"/>
  <c r="C465" i="1"/>
  <c r="AG464" i="1"/>
  <c r="AF464" i="1"/>
  <c r="AE464" i="1"/>
  <c r="T464" i="1"/>
  <c r="U464" i="1" s="1"/>
  <c r="W464" i="1" s="1"/>
  <c r="O464" i="1"/>
  <c r="I464" i="1"/>
  <c r="AG463" i="1"/>
  <c r="AF463" i="1"/>
  <c r="AE463" i="1"/>
  <c r="U463" i="1"/>
  <c r="W463" i="1" s="1"/>
  <c r="T463" i="1"/>
  <c r="O463" i="1"/>
  <c r="I463" i="1"/>
  <c r="T462" i="1"/>
  <c r="P462" i="1"/>
  <c r="AG462" i="1" s="1"/>
  <c r="I462" i="1"/>
  <c r="T461" i="1"/>
  <c r="P461" i="1"/>
  <c r="AF461" i="1" s="1"/>
  <c r="I461" i="1"/>
  <c r="AG460" i="1"/>
  <c r="AF460" i="1"/>
  <c r="T460" i="1"/>
  <c r="P460" i="1"/>
  <c r="AE460" i="1" s="1"/>
  <c r="I460" i="1"/>
  <c r="AG459" i="1"/>
  <c r="AF459" i="1"/>
  <c r="U459" i="1"/>
  <c r="W459" i="1" s="1"/>
  <c r="T459" i="1"/>
  <c r="P459" i="1"/>
  <c r="AE459" i="1" s="1"/>
  <c r="I459" i="1"/>
  <c r="AF458" i="1"/>
  <c r="AE458" i="1"/>
  <c r="T458" i="1"/>
  <c r="U458" i="1" s="1"/>
  <c r="W458" i="1" s="1"/>
  <c r="P458" i="1"/>
  <c r="AG458" i="1" s="1"/>
  <c r="I458" i="1"/>
  <c r="AG457" i="1"/>
  <c r="AF457" i="1"/>
  <c r="AE457" i="1"/>
  <c r="U457" i="1"/>
  <c r="W457" i="1" s="1"/>
  <c r="O457" i="1"/>
  <c r="C457" i="1"/>
  <c r="AG456" i="1"/>
  <c r="AF456" i="1"/>
  <c r="AE456" i="1"/>
  <c r="U456" i="1"/>
  <c r="W456" i="1" s="1"/>
  <c r="O456" i="1"/>
  <c r="C456" i="1"/>
  <c r="T455" i="1"/>
  <c r="P455" i="1"/>
  <c r="I455" i="1"/>
  <c r="U454" i="1"/>
  <c r="W454" i="1" s="1"/>
  <c r="T454" i="1"/>
  <c r="P454" i="1"/>
  <c r="I454" i="1"/>
  <c r="AG453" i="1"/>
  <c r="AF453" i="1"/>
  <c r="AE453" i="1"/>
  <c r="U453" i="1"/>
  <c r="W453" i="1" s="1"/>
  <c r="T453" i="1"/>
  <c r="O453" i="1"/>
  <c r="I453" i="1"/>
  <c r="AG452" i="1"/>
  <c r="AF452" i="1"/>
  <c r="AE452" i="1"/>
  <c r="T452" i="1"/>
  <c r="U452" i="1" s="1"/>
  <c r="W452" i="1" s="1"/>
  <c r="O452" i="1"/>
  <c r="I452" i="1"/>
  <c r="T451" i="1"/>
  <c r="P451" i="1"/>
  <c r="M451" i="1"/>
  <c r="I451" i="1"/>
  <c r="AG450" i="1"/>
  <c r="AF450" i="1"/>
  <c r="AE450" i="1"/>
  <c r="T450" i="1"/>
  <c r="U450" i="1" s="1"/>
  <c r="W450" i="1" s="1"/>
  <c r="O450" i="1"/>
  <c r="AG449" i="1"/>
  <c r="AF449" i="1"/>
  <c r="AE449" i="1"/>
  <c r="U449" i="1"/>
  <c r="W449" i="1" s="1"/>
  <c r="T449" i="1"/>
  <c r="O449" i="1"/>
  <c r="I449" i="1"/>
  <c r="AG448" i="1"/>
  <c r="AF448" i="1"/>
  <c r="AE448" i="1"/>
  <c r="U448" i="1"/>
  <c r="C448" i="1"/>
  <c r="AG447" i="1"/>
  <c r="AF447" i="1"/>
  <c r="AE447" i="1"/>
  <c r="U447" i="1"/>
  <c r="C447" i="1"/>
  <c r="AG446" i="1"/>
  <c r="AF446" i="1"/>
  <c r="AE446" i="1"/>
  <c r="T446" i="1"/>
  <c r="U446" i="1" s="1"/>
  <c r="W446" i="1" s="1"/>
  <c r="O446" i="1"/>
  <c r="I446" i="1"/>
  <c r="AG445" i="1"/>
  <c r="AF445" i="1"/>
  <c r="AE445" i="1"/>
  <c r="T445" i="1"/>
  <c r="U445" i="1" s="1"/>
  <c r="W445" i="1" s="1"/>
  <c r="O445" i="1"/>
  <c r="I445" i="1"/>
  <c r="AG444" i="1"/>
  <c r="AF444" i="1"/>
  <c r="AE444" i="1"/>
  <c r="U444" i="1"/>
  <c r="C444" i="1"/>
  <c r="AG443" i="1"/>
  <c r="AF443" i="1"/>
  <c r="AE443" i="1"/>
  <c r="U443" i="1"/>
  <c r="C443" i="1"/>
  <c r="AG442" i="1"/>
  <c r="AF442" i="1"/>
  <c r="AE442" i="1"/>
  <c r="U442" i="1"/>
  <c r="C442" i="1"/>
  <c r="AE441" i="1"/>
  <c r="T441" i="1"/>
  <c r="P441" i="1"/>
  <c r="I441" i="1"/>
  <c r="AG440" i="1"/>
  <c r="AF440" i="1"/>
  <c r="AE440" i="1"/>
  <c r="W440" i="1"/>
  <c r="T440" i="1"/>
  <c r="P440" i="1"/>
  <c r="U440" i="1" s="1"/>
  <c r="I440" i="1"/>
  <c r="AG439" i="1"/>
  <c r="AF439" i="1"/>
  <c r="AE439" i="1"/>
  <c r="U439" i="1"/>
  <c r="W439" i="1" s="1"/>
  <c r="T439" i="1"/>
  <c r="O439" i="1"/>
  <c r="I439" i="1"/>
  <c r="AG438" i="1"/>
  <c r="AF438" i="1"/>
  <c r="AE438" i="1"/>
  <c r="T438" i="1"/>
  <c r="U438" i="1" s="1"/>
  <c r="W438" i="1" s="1"/>
  <c r="O438" i="1"/>
  <c r="I438" i="1"/>
  <c r="AG437" i="1"/>
  <c r="AF437" i="1"/>
  <c r="AE437" i="1"/>
  <c r="T437" i="1"/>
  <c r="U437" i="1" s="1"/>
  <c r="W437" i="1" s="1"/>
  <c r="O437" i="1"/>
  <c r="I437" i="1"/>
  <c r="AG436" i="1"/>
  <c r="AF436" i="1"/>
  <c r="AE436" i="1"/>
  <c r="U436" i="1"/>
  <c r="W436" i="1" s="1"/>
  <c r="O436" i="1"/>
  <c r="C436" i="1"/>
  <c r="AG435" i="1"/>
  <c r="AF435" i="1"/>
  <c r="AE435" i="1"/>
  <c r="U435" i="1"/>
  <c r="W435" i="1" s="1"/>
  <c r="O435" i="1"/>
  <c r="I435" i="1"/>
  <c r="C435" i="1"/>
  <c r="AG434" i="1"/>
  <c r="AF434" i="1"/>
  <c r="AE434" i="1"/>
  <c r="U434" i="1"/>
  <c r="W434" i="1" s="1"/>
  <c r="O434" i="1"/>
  <c r="I434" i="1"/>
  <c r="C434" i="1"/>
  <c r="AG433" i="1"/>
  <c r="AF433" i="1"/>
  <c r="AE433" i="1"/>
  <c r="U433" i="1"/>
  <c r="W433" i="1" s="1"/>
  <c r="T433" i="1"/>
  <c r="O433" i="1"/>
  <c r="I433" i="1"/>
  <c r="T432" i="1"/>
  <c r="U432" i="1" s="1"/>
  <c r="W432" i="1" s="1"/>
  <c r="P432" i="1"/>
  <c r="I432" i="1"/>
  <c r="AG431" i="1"/>
  <c r="AF431" i="1"/>
  <c r="AE431" i="1"/>
  <c r="T431" i="1"/>
  <c r="U431" i="1" s="1"/>
  <c r="W431" i="1" s="1"/>
  <c r="O431" i="1"/>
  <c r="I431" i="1"/>
  <c r="AG430" i="1"/>
  <c r="AF430" i="1"/>
  <c r="AE430" i="1"/>
  <c r="U430" i="1"/>
  <c r="W430" i="1" s="1"/>
  <c r="T430" i="1"/>
  <c r="O430" i="1"/>
  <c r="I430" i="1"/>
  <c r="AG429" i="1"/>
  <c r="AE429" i="1"/>
  <c r="U429" i="1"/>
  <c r="W429" i="1" s="1"/>
  <c r="T429" i="1"/>
  <c r="P429" i="1"/>
  <c r="AF429" i="1" s="1"/>
  <c r="I429" i="1"/>
  <c r="AG428" i="1"/>
  <c r="AF428" i="1"/>
  <c r="AE428" i="1"/>
  <c r="T428" i="1"/>
  <c r="U428" i="1" s="1"/>
  <c r="W428" i="1" s="1"/>
  <c r="O428" i="1"/>
  <c r="I428" i="1"/>
  <c r="AG427" i="1"/>
  <c r="AF427" i="1"/>
  <c r="AE427" i="1"/>
  <c r="T427" i="1"/>
  <c r="U427" i="1" s="1"/>
  <c r="W427" i="1" s="1"/>
  <c r="O427" i="1"/>
  <c r="AG426" i="1"/>
  <c r="AF426" i="1"/>
  <c r="AE426" i="1"/>
  <c r="U426" i="1"/>
  <c r="W426" i="1" s="1"/>
  <c r="T426" i="1"/>
  <c r="O426" i="1"/>
  <c r="I426" i="1"/>
  <c r="AG425" i="1"/>
  <c r="AF425" i="1"/>
  <c r="AE425" i="1"/>
  <c r="U425" i="1"/>
  <c r="W425" i="1" s="1"/>
  <c r="T425" i="1"/>
  <c r="O425" i="1"/>
  <c r="I425" i="1"/>
  <c r="AG424" i="1"/>
  <c r="AF424" i="1"/>
  <c r="AE424" i="1"/>
  <c r="T424" i="1"/>
  <c r="U424" i="1" s="1"/>
  <c r="W424" i="1" s="1"/>
  <c r="O424" i="1"/>
  <c r="I424" i="1"/>
  <c r="AG423" i="1"/>
  <c r="AF423" i="1"/>
  <c r="AE423" i="1"/>
  <c r="T423" i="1"/>
  <c r="U423" i="1" s="1"/>
  <c r="W423" i="1" s="1"/>
  <c r="O423" i="1"/>
  <c r="I423" i="1"/>
  <c r="AG422" i="1"/>
  <c r="AF422" i="1"/>
  <c r="AE422" i="1"/>
  <c r="T422" i="1"/>
  <c r="U422" i="1" s="1"/>
  <c r="W422" i="1" s="1"/>
  <c r="O422" i="1"/>
  <c r="I422" i="1"/>
  <c r="AG421" i="1"/>
  <c r="AF421" i="1"/>
  <c r="AE421" i="1"/>
  <c r="T421" i="1"/>
  <c r="U421" i="1" s="1"/>
  <c r="W421" i="1" s="1"/>
  <c r="Q421" i="1"/>
  <c r="P421" i="1"/>
  <c r="I421" i="1"/>
  <c r="AF420" i="1"/>
  <c r="AE420" i="1"/>
  <c r="T420" i="1"/>
  <c r="U420" i="1" s="1"/>
  <c r="W420" i="1" s="1"/>
  <c r="Q420" i="1"/>
  <c r="P420" i="1"/>
  <c r="AG420" i="1" s="1"/>
  <c r="I420" i="1"/>
  <c r="AG419" i="1"/>
  <c r="AF419" i="1"/>
  <c r="AE419" i="1"/>
  <c r="U419" i="1"/>
  <c r="W419" i="1" s="1"/>
  <c r="O419" i="1"/>
  <c r="I419" i="1"/>
  <c r="C419" i="1"/>
  <c r="AG418" i="1"/>
  <c r="AF418" i="1"/>
  <c r="AE418" i="1"/>
  <c r="T418" i="1"/>
  <c r="U418" i="1" s="1"/>
  <c r="W418" i="1" s="1"/>
  <c r="O418" i="1"/>
  <c r="AG417" i="1"/>
  <c r="AF417" i="1"/>
  <c r="AE417" i="1"/>
  <c r="U417" i="1"/>
  <c r="W417" i="1" s="1"/>
  <c r="T417" i="1"/>
  <c r="O417" i="1"/>
  <c r="I417" i="1"/>
  <c r="AG416" i="1"/>
  <c r="AF416" i="1"/>
  <c r="AE416" i="1"/>
  <c r="U416" i="1"/>
  <c r="W416" i="1" s="1"/>
  <c r="T416" i="1"/>
  <c r="O416" i="1"/>
  <c r="I416" i="1"/>
  <c r="AG415" i="1"/>
  <c r="AF415" i="1"/>
  <c r="AE415" i="1"/>
  <c r="T415" i="1"/>
  <c r="U415" i="1" s="1"/>
  <c r="W415" i="1" s="1"/>
  <c r="O415" i="1"/>
  <c r="AG414" i="1"/>
  <c r="AF414" i="1"/>
  <c r="AE414" i="1"/>
  <c r="T414" i="1"/>
  <c r="U414" i="1" s="1"/>
  <c r="W414" i="1" s="1"/>
  <c r="O414" i="1"/>
  <c r="I414" i="1"/>
  <c r="AG413" i="1"/>
  <c r="AF413" i="1"/>
  <c r="AE413" i="1"/>
  <c r="T413" i="1"/>
  <c r="U413" i="1" s="1"/>
  <c r="W413" i="1" s="1"/>
  <c r="O413" i="1"/>
  <c r="I413" i="1"/>
  <c r="AG412" i="1"/>
  <c r="AF412" i="1"/>
  <c r="AE412" i="1"/>
  <c r="U412" i="1"/>
  <c r="W412" i="1" s="1"/>
  <c r="T412" i="1"/>
  <c r="O412" i="1"/>
  <c r="I412" i="1"/>
  <c r="T411" i="1"/>
  <c r="Q411" i="1"/>
  <c r="P411" i="1"/>
  <c r="AF411" i="1" s="1"/>
  <c r="AG410" i="1"/>
  <c r="AF410" i="1"/>
  <c r="AE410" i="1"/>
  <c r="T410" i="1"/>
  <c r="U410" i="1" s="1"/>
  <c r="W410" i="1" s="1"/>
  <c r="Q410" i="1"/>
  <c r="P410" i="1"/>
  <c r="AG409" i="1"/>
  <c r="AF409" i="1"/>
  <c r="AE409" i="1"/>
  <c r="U409" i="1"/>
  <c r="W409" i="1" s="1"/>
  <c r="O409" i="1"/>
  <c r="C409" i="1"/>
  <c r="AG408" i="1"/>
  <c r="AF408" i="1"/>
  <c r="AE408" i="1"/>
  <c r="W408" i="1"/>
  <c r="U408" i="1"/>
  <c r="O408" i="1"/>
  <c r="C408" i="1"/>
  <c r="AG407" i="1"/>
  <c r="AF407" i="1"/>
  <c r="AE407" i="1"/>
  <c r="W407" i="1"/>
  <c r="U407" i="1"/>
  <c r="O407" i="1"/>
  <c r="I407" i="1"/>
  <c r="C407" i="1"/>
  <c r="U406" i="1"/>
  <c r="W406" i="1" s="1"/>
  <c r="T406" i="1"/>
  <c r="P406" i="1"/>
  <c r="I406" i="1"/>
  <c r="T405" i="1"/>
  <c r="P405" i="1"/>
  <c r="I405" i="1"/>
  <c r="AG404" i="1"/>
  <c r="AF404" i="1"/>
  <c r="AE404" i="1"/>
  <c r="U404" i="1"/>
  <c r="W404" i="1" s="1"/>
  <c r="O404" i="1"/>
  <c r="C404" i="1"/>
  <c r="AG403" i="1"/>
  <c r="AF403" i="1"/>
  <c r="AE403" i="1"/>
  <c r="U403" i="1"/>
  <c r="W403" i="1" s="1"/>
  <c r="O403" i="1"/>
  <c r="I403" i="1"/>
  <c r="C403" i="1"/>
  <c r="AG402" i="1"/>
  <c r="AF402" i="1"/>
  <c r="AE402" i="1"/>
  <c r="U402" i="1"/>
  <c r="W402" i="1" s="1"/>
  <c r="O402" i="1"/>
  <c r="C402" i="1"/>
  <c r="AG401" i="1"/>
  <c r="AF401" i="1"/>
  <c r="AE401" i="1"/>
  <c r="U401" i="1"/>
  <c r="W401" i="1" s="1"/>
  <c r="O401" i="1"/>
  <c r="C401" i="1"/>
  <c r="AG400" i="1"/>
  <c r="AF400" i="1"/>
  <c r="AE400" i="1"/>
  <c r="T400" i="1"/>
  <c r="U400" i="1" s="1"/>
  <c r="W400" i="1" s="1"/>
  <c r="P400" i="1"/>
  <c r="I400" i="1"/>
  <c r="AG399" i="1"/>
  <c r="AF399" i="1"/>
  <c r="AE399" i="1"/>
  <c r="T399" i="1"/>
  <c r="U399" i="1" s="1"/>
  <c r="W399" i="1" s="1"/>
  <c r="O399" i="1"/>
  <c r="I399" i="1"/>
  <c r="AG398" i="1"/>
  <c r="AF398" i="1"/>
  <c r="AE398" i="1"/>
  <c r="U398" i="1"/>
  <c r="W398" i="1" s="1"/>
  <c r="T398" i="1"/>
  <c r="O398" i="1"/>
  <c r="I398" i="1"/>
  <c r="T397" i="1"/>
  <c r="P397" i="1"/>
  <c r="I397" i="1"/>
  <c r="AG396" i="1"/>
  <c r="AF396" i="1"/>
  <c r="AE396" i="1"/>
  <c r="T396" i="1"/>
  <c r="U396" i="1" s="1"/>
  <c r="W396" i="1" s="1"/>
  <c r="O396" i="1"/>
  <c r="I396" i="1"/>
  <c r="AG395" i="1"/>
  <c r="AF395" i="1"/>
  <c r="AE395" i="1"/>
  <c r="U395" i="1"/>
  <c r="W395" i="1" s="1"/>
  <c r="O395" i="1"/>
  <c r="C395" i="1"/>
  <c r="AG394" i="1"/>
  <c r="AF394" i="1"/>
  <c r="AE394" i="1"/>
  <c r="U394" i="1"/>
  <c r="W394" i="1" s="1"/>
  <c r="O394" i="1"/>
  <c r="C394" i="1"/>
  <c r="AG393" i="1"/>
  <c r="AF393" i="1"/>
  <c r="AE393" i="1"/>
  <c r="U393" i="1"/>
  <c r="W393" i="1" s="1"/>
  <c r="O393" i="1"/>
  <c r="C393" i="1"/>
  <c r="AG392" i="1"/>
  <c r="AF392" i="1"/>
  <c r="AE392" i="1"/>
  <c r="U392" i="1"/>
  <c r="W392" i="1" s="1"/>
  <c r="O392" i="1"/>
  <c r="I392" i="1"/>
  <c r="C392" i="1"/>
  <c r="AG391" i="1"/>
  <c r="AF391" i="1"/>
  <c r="AE391" i="1"/>
  <c r="T391" i="1"/>
  <c r="U391" i="1" s="1"/>
  <c r="W391" i="1" s="1"/>
  <c r="O391" i="1"/>
  <c r="I391" i="1"/>
  <c r="AG390" i="1"/>
  <c r="AF390" i="1"/>
  <c r="AE390" i="1"/>
  <c r="T390" i="1"/>
  <c r="U390" i="1" s="1"/>
  <c r="W390" i="1" s="1"/>
  <c r="O390" i="1"/>
  <c r="I390" i="1"/>
  <c r="T389" i="1"/>
  <c r="P389" i="1"/>
  <c r="AE389" i="1" s="1"/>
  <c r="I389" i="1"/>
  <c r="AG388" i="1"/>
  <c r="AF388" i="1"/>
  <c r="AE388" i="1"/>
  <c r="T388" i="1"/>
  <c r="U388" i="1" s="1"/>
  <c r="W388" i="1" s="1"/>
  <c r="O388" i="1"/>
  <c r="I388" i="1"/>
  <c r="AG387" i="1"/>
  <c r="AF387" i="1"/>
  <c r="AE387" i="1"/>
  <c r="T387" i="1"/>
  <c r="U387" i="1" s="1"/>
  <c r="W387" i="1" s="1"/>
  <c r="O387" i="1"/>
  <c r="I387" i="1"/>
  <c r="AG386" i="1"/>
  <c r="AF386" i="1"/>
  <c r="AE386" i="1"/>
  <c r="T386" i="1"/>
  <c r="U386" i="1" s="1"/>
  <c r="W386" i="1" s="1"/>
  <c r="O386" i="1"/>
  <c r="I386" i="1"/>
  <c r="T385" i="1"/>
  <c r="P385" i="1"/>
  <c r="U385" i="1" s="1"/>
  <c r="W385" i="1" s="1"/>
  <c r="AG384" i="1"/>
  <c r="AF384" i="1"/>
  <c r="AE384" i="1"/>
  <c r="T384" i="1"/>
  <c r="U384" i="1" s="1"/>
  <c r="W384" i="1" s="1"/>
  <c r="O384" i="1"/>
  <c r="I384" i="1"/>
  <c r="T383" i="1"/>
  <c r="P383" i="1"/>
  <c r="I383" i="1"/>
  <c r="AG382" i="1"/>
  <c r="AF382" i="1"/>
  <c r="AE382" i="1"/>
  <c r="U382" i="1"/>
  <c r="W382" i="1" s="1"/>
  <c r="T382" i="1"/>
  <c r="O382" i="1"/>
  <c r="I382" i="1"/>
  <c r="AG381" i="1"/>
  <c r="AF381" i="1"/>
  <c r="AE381" i="1"/>
  <c r="U381" i="1"/>
  <c r="W381" i="1" s="1"/>
  <c r="O381" i="1"/>
  <c r="C381" i="1"/>
  <c r="AG380" i="1"/>
  <c r="AF380" i="1"/>
  <c r="AE380" i="1"/>
  <c r="U380" i="1"/>
  <c r="W380" i="1" s="1"/>
  <c r="O380" i="1"/>
  <c r="C380" i="1"/>
  <c r="AF379" i="1"/>
  <c r="AE379" i="1"/>
  <c r="T379" i="1"/>
  <c r="P379" i="1"/>
  <c r="I379" i="1"/>
  <c r="T378" i="1"/>
  <c r="P378" i="1"/>
  <c r="I378" i="1"/>
  <c r="AG377" i="1"/>
  <c r="AF377" i="1"/>
  <c r="AE377" i="1"/>
  <c r="T377" i="1"/>
  <c r="U377" i="1" s="1"/>
  <c r="W377" i="1" s="1"/>
  <c r="O377" i="1"/>
  <c r="I377" i="1"/>
  <c r="AG376" i="1"/>
  <c r="AF376" i="1"/>
  <c r="AE376" i="1"/>
  <c r="T376" i="1"/>
  <c r="U376" i="1" s="1"/>
  <c r="W376" i="1" s="1"/>
  <c r="O376" i="1"/>
  <c r="I376" i="1"/>
  <c r="AG375" i="1"/>
  <c r="AF375" i="1"/>
  <c r="AE375" i="1"/>
  <c r="T375" i="1"/>
  <c r="U375" i="1" s="1"/>
  <c r="W375" i="1" s="1"/>
  <c r="O375" i="1"/>
  <c r="I375" i="1"/>
  <c r="AG374" i="1"/>
  <c r="AF374" i="1"/>
  <c r="AE374" i="1"/>
  <c r="T374" i="1"/>
  <c r="U374" i="1" s="1"/>
  <c r="W374" i="1" s="1"/>
  <c r="O374" i="1"/>
  <c r="I374" i="1"/>
  <c r="AG373" i="1"/>
  <c r="AF373" i="1"/>
  <c r="AE373" i="1"/>
  <c r="U373" i="1"/>
  <c r="W373" i="1" s="1"/>
  <c r="O373" i="1"/>
  <c r="C373" i="1"/>
  <c r="AG372" i="1"/>
  <c r="AF372" i="1"/>
  <c r="AE372" i="1"/>
  <c r="T372" i="1"/>
  <c r="U372" i="1" s="1"/>
  <c r="W372" i="1" s="1"/>
  <c r="P372" i="1"/>
  <c r="I372" i="1"/>
  <c r="AF371" i="1"/>
  <c r="AE371" i="1"/>
  <c r="T371" i="1"/>
  <c r="U371" i="1" s="1"/>
  <c r="W371" i="1" s="1"/>
  <c r="P371" i="1"/>
  <c r="AG371" i="1" s="1"/>
  <c r="I371" i="1"/>
  <c r="AF370" i="1"/>
  <c r="AE370" i="1"/>
  <c r="T370" i="1"/>
  <c r="P370" i="1"/>
  <c r="AG370" i="1" s="1"/>
  <c r="AG369" i="1"/>
  <c r="AF369" i="1"/>
  <c r="AE369" i="1"/>
  <c r="W369" i="1"/>
  <c r="U369" i="1"/>
  <c r="O369" i="1"/>
  <c r="I369" i="1"/>
  <c r="C369" i="1"/>
  <c r="AG368" i="1"/>
  <c r="AF368" i="1"/>
  <c r="AE368" i="1"/>
  <c r="U368" i="1"/>
  <c r="W368" i="1" s="1"/>
  <c r="O368" i="1"/>
  <c r="C368" i="1"/>
  <c r="AG367" i="1"/>
  <c r="AF367" i="1"/>
  <c r="AE367" i="1"/>
  <c r="U367" i="1"/>
  <c r="W367" i="1" s="1"/>
  <c r="T367" i="1"/>
  <c r="O367" i="1"/>
  <c r="I367" i="1"/>
  <c r="AG366" i="1"/>
  <c r="AF366" i="1"/>
  <c r="AE366" i="1"/>
  <c r="T366" i="1"/>
  <c r="U366" i="1" s="1"/>
  <c r="W366" i="1" s="1"/>
  <c r="O366" i="1"/>
  <c r="I366" i="1"/>
  <c r="AG365" i="1"/>
  <c r="AF365" i="1"/>
  <c r="AE365" i="1"/>
  <c r="U365" i="1"/>
  <c r="W365" i="1" s="1"/>
  <c r="T365" i="1"/>
  <c r="O365" i="1"/>
  <c r="I365" i="1"/>
  <c r="T364" i="1"/>
  <c r="P364" i="1"/>
  <c r="AG364" i="1" s="1"/>
  <c r="T363" i="1"/>
  <c r="P363" i="1"/>
  <c r="AG363" i="1" s="1"/>
  <c r="I363" i="1"/>
  <c r="AG362" i="1"/>
  <c r="AF362" i="1"/>
  <c r="AE362" i="1"/>
  <c r="T362" i="1"/>
  <c r="U362" i="1" s="1"/>
  <c r="W362" i="1" s="1"/>
  <c r="O362" i="1"/>
  <c r="I362" i="1"/>
  <c r="AG361" i="1"/>
  <c r="AF361" i="1"/>
  <c r="AE361" i="1"/>
  <c r="T361" i="1"/>
  <c r="U361" i="1" s="1"/>
  <c r="W361" i="1" s="1"/>
  <c r="O361" i="1"/>
  <c r="I361" i="1"/>
  <c r="AG360" i="1"/>
  <c r="AF360" i="1"/>
  <c r="AE360" i="1"/>
  <c r="W360" i="1"/>
  <c r="U360" i="1"/>
  <c r="T360" i="1"/>
  <c r="O360" i="1"/>
  <c r="I360" i="1"/>
  <c r="AG359" i="1"/>
  <c r="AF359" i="1"/>
  <c r="AE359" i="1"/>
  <c r="T359" i="1"/>
  <c r="U359" i="1" s="1"/>
  <c r="W359" i="1" s="1"/>
  <c r="O359" i="1"/>
  <c r="I359" i="1"/>
  <c r="AG358" i="1"/>
  <c r="AF358" i="1"/>
  <c r="AE358" i="1"/>
  <c r="U358" i="1"/>
  <c r="W358" i="1" s="1"/>
  <c r="O358" i="1"/>
  <c r="C358" i="1"/>
  <c r="AG357" i="1"/>
  <c r="AF357" i="1"/>
  <c r="AE357" i="1"/>
  <c r="U357" i="1"/>
  <c r="W357" i="1" s="1"/>
  <c r="O357" i="1"/>
  <c r="C357" i="1"/>
  <c r="AG356" i="1"/>
  <c r="AF356" i="1"/>
  <c r="AE356" i="1"/>
  <c r="U356" i="1"/>
  <c r="W356" i="1" s="1"/>
  <c r="O356" i="1"/>
  <c r="I356" i="1"/>
  <c r="C356" i="1"/>
  <c r="AG355" i="1"/>
  <c r="AF355" i="1"/>
  <c r="AE355" i="1"/>
  <c r="U355" i="1"/>
  <c r="W355" i="1" s="1"/>
  <c r="O355" i="1"/>
  <c r="I355" i="1"/>
  <c r="C355" i="1"/>
  <c r="AG354" i="1"/>
  <c r="AF354" i="1"/>
  <c r="AE354" i="1"/>
  <c r="U354" i="1"/>
  <c r="W354" i="1" s="1"/>
  <c r="O354" i="1"/>
  <c r="I354" i="1"/>
  <c r="C354" i="1"/>
  <c r="AG353" i="1"/>
  <c r="AF353" i="1"/>
  <c r="AE353" i="1"/>
  <c r="T353" i="1"/>
  <c r="P353" i="1"/>
  <c r="T352" i="1"/>
  <c r="P352" i="1"/>
  <c r="I352" i="1"/>
  <c r="AG351" i="1"/>
  <c r="AF351" i="1"/>
  <c r="AE351" i="1"/>
  <c r="U351" i="1"/>
  <c r="W351" i="1" s="1"/>
  <c r="T351" i="1"/>
  <c r="O351" i="1"/>
  <c r="AG350" i="1"/>
  <c r="AF350" i="1"/>
  <c r="AE350" i="1"/>
  <c r="T350" i="1"/>
  <c r="U350" i="1" s="1"/>
  <c r="W350" i="1" s="1"/>
  <c r="O350" i="1"/>
  <c r="I350" i="1"/>
  <c r="AG349" i="1"/>
  <c r="AF349" i="1"/>
  <c r="AE349" i="1"/>
  <c r="T349" i="1"/>
  <c r="U349" i="1" s="1"/>
  <c r="W349" i="1" s="1"/>
  <c r="O349" i="1"/>
  <c r="I349" i="1"/>
  <c r="AG348" i="1"/>
  <c r="AF348" i="1"/>
  <c r="AE348" i="1"/>
  <c r="T348" i="1"/>
  <c r="U348" i="1" s="1"/>
  <c r="W348" i="1" s="1"/>
  <c r="O348" i="1"/>
  <c r="I348" i="1"/>
  <c r="AG347" i="1"/>
  <c r="AF347" i="1"/>
  <c r="AE347" i="1"/>
  <c r="W347" i="1"/>
  <c r="U347" i="1"/>
  <c r="O347" i="1"/>
  <c r="I347" i="1"/>
  <c r="C347" i="1"/>
  <c r="AE346" i="1"/>
  <c r="T346" i="1"/>
  <c r="P346" i="1"/>
  <c r="I346" i="1"/>
  <c r="T345" i="1"/>
  <c r="P345" i="1"/>
  <c r="U345" i="1" s="1"/>
  <c r="W345" i="1" s="1"/>
  <c r="AG344" i="1"/>
  <c r="AF344" i="1"/>
  <c r="AE344" i="1"/>
  <c r="U344" i="1"/>
  <c r="W344" i="1" s="1"/>
  <c r="O344" i="1"/>
  <c r="C344" i="1"/>
  <c r="AG343" i="1"/>
  <c r="AF343" i="1"/>
  <c r="AE343" i="1"/>
  <c r="W343" i="1"/>
  <c r="U343" i="1"/>
  <c r="O343" i="1"/>
  <c r="C343" i="1"/>
  <c r="AG342" i="1"/>
  <c r="AF342" i="1"/>
  <c r="AE342" i="1"/>
  <c r="U342" i="1"/>
  <c r="W342" i="1" s="1"/>
  <c r="O342" i="1"/>
  <c r="C342" i="1"/>
  <c r="AG341" i="1"/>
  <c r="AF341" i="1"/>
  <c r="AE341" i="1"/>
  <c r="U341" i="1"/>
  <c r="W341" i="1" s="1"/>
  <c r="O341" i="1"/>
  <c r="C341" i="1"/>
  <c r="AG340" i="1"/>
  <c r="AF340" i="1"/>
  <c r="AE340" i="1"/>
  <c r="U340" i="1"/>
  <c r="W340" i="1" s="1"/>
  <c r="O340" i="1"/>
  <c r="C340" i="1"/>
  <c r="T339" i="1"/>
  <c r="U339" i="1" s="1"/>
  <c r="W339" i="1" s="1"/>
  <c r="P339" i="1"/>
  <c r="T338" i="1"/>
  <c r="P338" i="1"/>
  <c r="AF338" i="1" s="1"/>
  <c r="AG337" i="1"/>
  <c r="AF337" i="1"/>
  <c r="AE337" i="1"/>
  <c r="T337" i="1"/>
  <c r="U337" i="1" s="1"/>
  <c r="W337" i="1" s="1"/>
  <c r="P337" i="1"/>
  <c r="AE336" i="1"/>
  <c r="T336" i="1"/>
  <c r="U336" i="1" s="1"/>
  <c r="W336" i="1" s="1"/>
  <c r="P336" i="1"/>
  <c r="AG335" i="1"/>
  <c r="AF335" i="1"/>
  <c r="AE335" i="1"/>
  <c r="T335" i="1"/>
  <c r="U335" i="1" s="1"/>
  <c r="W335" i="1" s="1"/>
  <c r="O335" i="1"/>
  <c r="AG334" i="1"/>
  <c r="AF334" i="1"/>
  <c r="AE334" i="1"/>
  <c r="T334" i="1"/>
  <c r="U334" i="1" s="1"/>
  <c r="W334" i="1" s="1"/>
  <c r="O334" i="1"/>
  <c r="AG333" i="1"/>
  <c r="AF333" i="1"/>
  <c r="AE333" i="1"/>
  <c r="T333" i="1"/>
  <c r="U333" i="1" s="1"/>
  <c r="W333" i="1" s="1"/>
  <c r="O333" i="1"/>
  <c r="AG332" i="1"/>
  <c r="AF332" i="1"/>
  <c r="AE332" i="1"/>
  <c r="T332" i="1"/>
  <c r="U332" i="1" s="1"/>
  <c r="W332" i="1" s="1"/>
  <c r="O332" i="1"/>
  <c r="AG331" i="1"/>
  <c r="AF331" i="1"/>
  <c r="AE331" i="1"/>
  <c r="T331" i="1"/>
  <c r="U331" i="1" s="1"/>
  <c r="W331" i="1" s="1"/>
  <c r="O331" i="1"/>
  <c r="AG330" i="1"/>
  <c r="AF330" i="1"/>
  <c r="AE330" i="1"/>
  <c r="T330" i="1"/>
  <c r="U330" i="1" s="1"/>
  <c r="W330" i="1" s="1"/>
  <c r="O330" i="1"/>
  <c r="AG329" i="1"/>
  <c r="AF329" i="1"/>
  <c r="AE329" i="1"/>
  <c r="U329" i="1"/>
  <c r="W329" i="1" s="1"/>
  <c r="O329" i="1"/>
  <c r="I329" i="1"/>
  <c r="AQ20" i="1" s="1"/>
  <c r="C329" i="1"/>
  <c r="AG328" i="1"/>
  <c r="AF328" i="1"/>
  <c r="AE328" i="1"/>
  <c r="U328" i="1"/>
  <c r="W328" i="1" s="1"/>
  <c r="O328" i="1"/>
  <c r="C328" i="1"/>
  <c r="AG327" i="1"/>
  <c r="AF327" i="1"/>
  <c r="AE327" i="1"/>
  <c r="U327" i="1"/>
  <c r="W327" i="1" s="1"/>
  <c r="O327" i="1"/>
  <c r="C327" i="1"/>
  <c r="AG326" i="1"/>
  <c r="AF326" i="1"/>
  <c r="AE326" i="1"/>
  <c r="U326" i="1"/>
  <c r="W326" i="1" s="1"/>
  <c r="O326" i="1"/>
  <c r="C326" i="1"/>
  <c r="AG325" i="1"/>
  <c r="AF325" i="1"/>
  <c r="AE325" i="1"/>
  <c r="T325" i="1"/>
  <c r="U325" i="1" s="1"/>
  <c r="W325" i="1" s="1"/>
  <c r="O325" i="1"/>
  <c r="AG324" i="1"/>
  <c r="AF324" i="1"/>
  <c r="AE324" i="1"/>
  <c r="U324" i="1"/>
  <c r="W324" i="1" s="1"/>
  <c r="T324" i="1"/>
  <c r="O324" i="1"/>
  <c r="AG323" i="1"/>
  <c r="AF323" i="1"/>
  <c r="AE323" i="1"/>
  <c r="T323" i="1"/>
  <c r="U323" i="1" s="1"/>
  <c r="W323" i="1" s="1"/>
  <c r="O323" i="1"/>
  <c r="AG322" i="1"/>
  <c r="AF322" i="1"/>
  <c r="AE322" i="1"/>
  <c r="T322" i="1"/>
  <c r="U322" i="1" s="1"/>
  <c r="W322" i="1" s="1"/>
  <c r="O322" i="1"/>
  <c r="AG321" i="1"/>
  <c r="AF321" i="1"/>
  <c r="AE321" i="1"/>
  <c r="T321" i="1"/>
  <c r="U321" i="1" s="1"/>
  <c r="W321" i="1" s="1"/>
  <c r="O321" i="1"/>
  <c r="AG320" i="1"/>
  <c r="AF320" i="1"/>
  <c r="AE320" i="1"/>
  <c r="U320" i="1"/>
  <c r="W320" i="1" s="1"/>
  <c r="O320" i="1"/>
  <c r="C320" i="1"/>
  <c r="AG319" i="1"/>
  <c r="AF319" i="1"/>
  <c r="AE319" i="1"/>
  <c r="T319" i="1"/>
  <c r="U319" i="1" s="1"/>
  <c r="W319" i="1" s="1"/>
  <c r="O319" i="1"/>
  <c r="AG318" i="1"/>
  <c r="AF318" i="1"/>
  <c r="AE318" i="1"/>
  <c r="U318" i="1"/>
  <c r="W318" i="1" s="1"/>
  <c r="T318" i="1"/>
  <c r="O318" i="1"/>
  <c r="AG317" i="1"/>
  <c r="AF317" i="1"/>
  <c r="AE317" i="1"/>
  <c r="T317" i="1"/>
  <c r="U317" i="1" s="1"/>
  <c r="W317" i="1" s="1"/>
  <c r="O317" i="1"/>
  <c r="AG316" i="1"/>
  <c r="AF316" i="1"/>
  <c r="AE316" i="1"/>
  <c r="T316" i="1"/>
  <c r="U316" i="1" s="1"/>
  <c r="W316" i="1" s="1"/>
  <c r="O316" i="1"/>
  <c r="AG315" i="1"/>
  <c r="AF315" i="1"/>
  <c r="AE315" i="1"/>
  <c r="T315" i="1"/>
  <c r="U315" i="1" s="1"/>
  <c r="W315" i="1" s="1"/>
  <c r="O315" i="1"/>
  <c r="T314" i="1"/>
  <c r="P314" i="1"/>
  <c r="AG313" i="1"/>
  <c r="AF313" i="1"/>
  <c r="AE313" i="1"/>
  <c r="U313" i="1"/>
  <c r="W313" i="1" s="1"/>
  <c r="O313" i="1"/>
  <c r="C313" i="1"/>
  <c r="AG312" i="1"/>
  <c r="AF312" i="1"/>
  <c r="AE312" i="1"/>
  <c r="U312" i="1"/>
  <c r="W312" i="1" s="1"/>
  <c r="T312" i="1"/>
  <c r="O312" i="1"/>
  <c r="AG311" i="1"/>
  <c r="AF311" i="1"/>
  <c r="AE311" i="1"/>
  <c r="U311" i="1"/>
  <c r="W311" i="1" s="1"/>
  <c r="O311" i="1"/>
  <c r="C311" i="1"/>
  <c r="AG310" i="1"/>
  <c r="AF310" i="1"/>
  <c r="AE310" i="1"/>
  <c r="U310" i="1"/>
  <c r="W310" i="1" s="1"/>
  <c r="O310" i="1"/>
  <c r="C310" i="1"/>
  <c r="AG309" i="1"/>
  <c r="AF309" i="1"/>
  <c r="AE309" i="1"/>
  <c r="U309" i="1"/>
  <c r="W309" i="1" s="1"/>
  <c r="O309" i="1"/>
  <c r="C309" i="1"/>
  <c r="AG308" i="1"/>
  <c r="AF308" i="1"/>
  <c r="AE308" i="1"/>
  <c r="U308" i="1"/>
  <c r="W308" i="1" s="1"/>
  <c r="O308" i="1"/>
  <c r="C308" i="1"/>
  <c r="AG307" i="1"/>
  <c r="AF307" i="1"/>
  <c r="AE307" i="1"/>
  <c r="U307" i="1"/>
  <c r="W307" i="1" s="1"/>
  <c r="O307" i="1"/>
  <c r="C307" i="1"/>
  <c r="AG306" i="1"/>
  <c r="AF306" i="1"/>
  <c r="AE306" i="1"/>
  <c r="U306" i="1"/>
  <c r="W306" i="1" s="1"/>
  <c r="O306" i="1"/>
  <c r="C306" i="1"/>
  <c r="AG305" i="1"/>
  <c r="AF305" i="1"/>
  <c r="AE305" i="1"/>
  <c r="U305" i="1"/>
  <c r="W305" i="1" s="1"/>
  <c r="O305" i="1"/>
  <c r="C305" i="1"/>
  <c r="AG304" i="1"/>
  <c r="AF304" i="1"/>
  <c r="AE304" i="1"/>
  <c r="U304" i="1"/>
  <c r="W304" i="1" s="1"/>
  <c r="O304" i="1"/>
  <c r="C304" i="1"/>
  <c r="AF303" i="1"/>
  <c r="AE303" i="1"/>
  <c r="U303" i="1"/>
  <c r="W303" i="1" s="1"/>
  <c r="T303" i="1"/>
  <c r="P303" i="1"/>
  <c r="AG303" i="1" s="1"/>
  <c r="AG302" i="1"/>
  <c r="AE302" i="1"/>
  <c r="T302" i="1"/>
  <c r="U302" i="1" s="1"/>
  <c r="W302" i="1" s="1"/>
  <c r="P302" i="1"/>
  <c r="AF302" i="1" s="1"/>
  <c r="T301" i="1"/>
  <c r="P301" i="1"/>
  <c r="AG300" i="1"/>
  <c r="AF300" i="1"/>
  <c r="AE300" i="1"/>
  <c r="W300" i="1"/>
  <c r="T300" i="1"/>
  <c r="U300" i="1" s="1"/>
  <c r="P300" i="1"/>
  <c r="AG299" i="1"/>
  <c r="AF299" i="1"/>
  <c r="AE299" i="1"/>
  <c r="U299" i="1"/>
  <c r="W299" i="1" s="1"/>
  <c r="T299" i="1"/>
  <c r="O299" i="1"/>
  <c r="AG298" i="1"/>
  <c r="AF298" i="1"/>
  <c r="AE298" i="1"/>
  <c r="T298" i="1"/>
  <c r="U298" i="1" s="1"/>
  <c r="W298" i="1" s="1"/>
  <c r="O298" i="1"/>
  <c r="AG297" i="1"/>
  <c r="AF297" i="1"/>
  <c r="AE297" i="1"/>
  <c r="U297" i="1"/>
  <c r="W297" i="1" s="1"/>
  <c r="T297" i="1"/>
  <c r="O297" i="1"/>
  <c r="AG296" i="1"/>
  <c r="AF296" i="1"/>
  <c r="AE296" i="1"/>
  <c r="T296" i="1"/>
  <c r="U296" i="1" s="1"/>
  <c r="W296" i="1" s="1"/>
  <c r="O296" i="1"/>
  <c r="AG295" i="1"/>
  <c r="AF295" i="1"/>
  <c r="AE295" i="1"/>
  <c r="U295" i="1"/>
  <c r="W295" i="1" s="1"/>
  <c r="T295" i="1"/>
  <c r="O295" i="1"/>
  <c r="AG294" i="1"/>
  <c r="AF294" i="1"/>
  <c r="AE294" i="1"/>
  <c r="U294" i="1"/>
  <c r="W294" i="1" s="1"/>
  <c r="T294" i="1"/>
  <c r="O294" i="1"/>
  <c r="AG293" i="1"/>
  <c r="AF293" i="1"/>
  <c r="AE293" i="1"/>
  <c r="W293" i="1"/>
  <c r="U293" i="1"/>
  <c r="O293" i="1"/>
  <c r="C293" i="1"/>
  <c r="AG292" i="1"/>
  <c r="AF292" i="1"/>
  <c r="AE292" i="1"/>
  <c r="U292" i="1"/>
  <c r="W292" i="1" s="1"/>
  <c r="O292" i="1"/>
  <c r="C292" i="1"/>
  <c r="AG291" i="1"/>
  <c r="AF291" i="1"/>
  <c r="AE291" i="1"/>
  <c r="U291" i="1"/>
  <c r="W291" i="1" s="1"/>
  <c r="O291" i="1"/>
  <c r="C291" i="1"/>
  <c r="AG290" i="1"/>
  <c r="AF290" i="1"/>
  <c r="AE290" i="1"/>
  <c r="U290" i="1"/>
  <c r="W290" i="1" s="1"/>
  <c r="O290" i="1"/>
  <c r="C290" i="1"/>
  <c r="AG289" i="1"/>
  <c r="AF289" i="1"/>
  <c r="AE289" i="1"/>
  <c r="U289" i="1"/>
  <c r="W289" i="1" s="1"/>
  <c r="O289" i="1"/>
  <c r="C289" i="1"/>
  <c r="AG288" i="1"/>
  <c r="AF288" i="1"/>
  <c r="AE288" i="1"/>
  <c r="U288" i="1"/>
  <c r="W288" i="1" s="1"/>
  <c r="O288" i="1"/>
  <c r="C288" i="1"/>
  <c r="AG287" i="1"/>
  <c r="AF287" i="1"/>
  <c r="AE287" i="1"/>
  <c r="T287" i="1"/>
  <c r="U287" i="1" s="1"/>
  <c r="W287" i="1" s="1"/>
  <c r="O287" i="1"/>
  <c r="C287" i="1"/>
  <c r="AG286" i="1"/>
  <c r="AF286" i="1"/>
  <c r="AE286" i="1"/>
  <c r="T286" i="1"/>
  <c r="U286" i="1" s="1"/>
  <c r="W286" i="1" s="1"/>
  <c r="O286" i="1"/>
  <c r="AG285" i="1"/>
  <c r="AF285" i="1"/>
  <c r="AE285" i="1"/>
  <c r="W285" i="1"/>
  <c r="T285" i="1"/>
  <c r="U285" i="1" s="1"/>
  <c r="O285" i="1"/>
  <c r="AG284" i="1"/>
  <c r="AF284" i="1"/>
  <c r="AE284" i="1"/>
  <c r="T284" i="1"/>
  <c r="U284" i="1" s="1"/>
  <c r="W284" i="1" s="1"/>
  <c r="O284" i="1"/>
  <c r="AG283" i="1"/>
  <c r="AF283" i="1"/>
  <c r="AE283" i="1"/>
  <c r="T283" i="1"/>
  <c r="U283" i="1" s="1"/>
  <c r="W283" i="1" s="1"/>
  <c r="O283" i="1"/>
  <c r="AG282" i="1"/>
  <c r="AF282" i="1"/>
  <c r="AE282" i="1"/>
  <c r="T282" i="1"/>
  <c r="U282" i="1" s="1"/>
  <c r="W282" i="1" s="1"/>
  <c r="O282" i="1"/>
  <c r="AG281" i="1"/>
  <c r="AF281" i="1"/>
  <c r="AE281" i="1"/>
  <c r="U281" i="1"/>
  <c r="W281" i="1" s="1"/>
  <c r="T281" i="1"/>
  <c r="O281" i="1"/>
  <c r="AG280" i="1"/>
  <c r="AF280" i="1"/>
  <c r="AE280" i="1"/>
  <c r="T280" i="1"/>
  <c r="U280" i="1" s="1"/>
  <c r="W280" i="1" s="1"/>
  <c r="O280" i="1"/>
  <c r="AG279" i="1"/>
  <c r="AF279" i="1"/>
  <c r="AE279" i="1"/>
  <c r="T279" i="1"/>
  <c r="U279" i="1" s="1"/>
  <c r="W279" i="1" s="1"/>
  <c r="O279" i="1"/>
  <c r="AG278" i="1"/>
  <c r="AF278" i="1"/>
  <c r="AE278" i="1"/>
  <c r="T278" i="1"/>
  <c r="U278" i="1" s="1"/>
  <c r="W278" i="1" s="1"/>
  <c r="O278" i="1"/>
  <c r="T277" i="1"/>
  <c r="P277" i="1"/>
  <c r="AG276" i="1"/>
  <c r="AF276" i="1"/>
  <c r="AE276" i="1"/>
  <c r="U276" i="1"/>
  <c r="W276" i="1" s="1"/>
  <c r="O276" i="1"/>
  <c r="C276" i="1"/>
  <c r="AG275" i="1"/>
  <c r="AF275" i="1"/>
  <c r="AE275" i="1"/>
  <c r="U275" i="1"/>
  <c r="W275" i="1" s="1"/>
  <c r="O275" i="1"/>
  <c r="C275" i="1"/>
  <c r="AG274" i="1"/>
  <c r="AF274" i="1"/>
  <c r="AE274" i="1"/>
  <c r="W274" i="1"/>
  <c r="U274" i="1"/>
  <c r="O274" i="1"/>
  <c r="C274" i="1"/>
  <c r="AG273" i="1"/>
  <c r="AF273" i="1"/>
  <c r="AE273" i="1"/>
  <c r="W273" i="1"/>
  <c r="U273" i="1"/>
  <c r="O273" i="1"/>
  <c r="C273" i="1"/>
  <c r="AG272" i="1"/>
  <c r="AF272" i="1"/>
  <c r="AE272" i="1"/>
  <c r="U272" i="1"/>
  <c r="W272" i="1" s="1"/>
  <c r="O272" i="1"/>
  <c r="C272" i="1"/>
  <c r="AG271" i="1"/>
  <c r="AF271" i="1"/>
  <c r="AE271" i="1"/>
  <c r="U271" i="1"/>
  <c r="W271" i="1" s="1"/>
  <c r="O271" i="1"/>
  <c r="C271" i="1"/>
  <c r="AG270" i="1"/>
  <c r="AF270" i="1"/>
  <c r="AE270" i="1"/>
  <c r="U270" i="1"/>
  <c r="W270" i="1" s="1"/>
  <c r="O270" i="1"/>
  <c r="C270" i="1"/>
  <c r="AG269" i="1"/>
  <c r="AF269" i="1"/>
  <c r="AE269" i="1"/>
  <c r="U269" i="1"/>
  <c r="W269" i="1" s="1"/>
  <c r="O269" i="1"/>
  <c r="C269" i="1"/>
  <c r="AG268" i="1"/>
  <c r="AF268" i="1"/>
  <c r="AE268" i="1"/>
  <c r="T268" i="1"/>
  <c r="U268" i="1" s="1"/>
  <c r="W268" i="1" s="1"/>
  <c r="O268" i="1"/>
  <c r="AG267" i="1"/>
  <c r="AF267" i="1"/>
  <c r="AE267" i="1"/>
  <c r="T267" i="1"/>
  <c r="U267" i="1" s="1"/>
  <c r="W267" i="1" s="1"/>
  <c r="O267" i="1"/>
  <c r="AG266" i="1"/>
  <c r="AF266" i="1"/>
  <c r="AE266" i="1"/>
  <c r="T266" i="1"/>
  <c r="U266" i="1" s="1"/>
  <c r="W266" i="1" s="1"/>
  <c r="O266" i="1"/>
  <c r="AG265" i="1"/>
  <c r="AF265" i="1"/>
  <c r="AE265" i="1"/>
  <c r="W265" i="1"/>
  <c r="T265" i="1"/>
  <c r="U265" i="1" s="1"/>
  <c r="O265" i="1"/>
  <c r="AG264" i="1"/>
  <c r="AF264" i="1"/>
  <c r="AE264" i="1"/>
  <c r="T264" i="1"/>
  <c r="U264" i="1" s="1"/>
  <c r="W264" i="1" s="1"/>
  <c r="O264" i="1"/>
  <c r="AG263" i="1"/>
  <c r="AF263" i="1"/>
  <c r="AE263" i="1"/>
  <c r="T263" i="1"/>
  <c r="U263" i="1" s="1"/>
  <c r="W263" i="1" s="1"/>
  <c r="O263" i="1"/>
  <c r="AG262" i="1"/>
  <c r="AF262" i="1"/>
  <c r="AE262" i="1"/>
  <c r="T262" i="1"/>
  <c r="U262" i="1" s="1"/>
  <c r="W262" i="1" s="1"/>
  <c r="O262" i="1"/>
  <c r="AG261" i="1"/>
  <c r="AF261" i="1"/>
  <c r="AE261" i="1"/>
  <c r="T261" i="1"/>
  <c r="U261" i="1" s="1"/>
  <c r="W261" i="1" s="1"/>
  <c r="O261" i="1"/>
  <c r="T260" i="1"/>
  <c r="P260" i="1"/>
  <c r="AF260" i="1" s="1"/>
  <c r="T259" i="1"/>
  <c r="P259" i="1"/>
  <c r="AG258" i="1"/>
  <c r="AF258" i="1"/>
  <c r="AE258" i="1"/>
  <c r="U258" i="1"/>
  <c r="W258" i="1" s="1"/>
  <c r="O258" i="1"/>
  <c r="C258" i="1"/>
  <c r="AG257" i="1"/>
  <c r="AF257" i="1"/>
  <c r="AE257" i="1"/>
  <c r="W257" i="1"/>
  <c r="U257" i="1"/>
  <c r="O257" i="1"/>
  <c r="C257" i="1"/>
  <c r="T256" i="1"/>
  <c r="P256" i="1"/>
  <c r="AG255" i="1"/>
  <c r="AF255" i="1"/>
  <c r="AE255" i="1"/>
  <c r="W255" i="1"/>
  <c r="T255" i="1"/>
  <c r="U255" i="1" s="1"/>
  <c r="O255" i="1"/>
  <c r="AG254" i="1"/>
  <c r="AF254" i="1"/>
  <c r="AE254" i="1"/>
  <c r="T254" i="1"/>
  <c r="U254" i="1" s="1"/>
  <c r="W254" i="1" s="1"/>
  <c r="O254" i="1"/>
  <c r="AG253" i="1"/>
  <c r="AF253" i="1"/>
  <c r="AE253" i="1"/>
  <c r="T253" i="1"/>
  <c r="U253" i="1" s="1"/>
  <c r="W253" i="1" s="1"/>
  <c r="O253" i="1"/>
  <c r="AG252" i="1"/>
  <c r="AF252" i="1"/>
  <c r="AE252" i="1"/>
  <c r="W252" i="1"/>
  <c r="T252" i="1"/>
  <c r="U252" i="1" s="1"/>
  <c r="O252" i="1"/>
  <c r="AG251" i="1"/>
  <c r="AF251" i="1"/>
  <c r="AE251" i="1"/>
  <c r="T251" i="1"/>
  <c r="U251" i="1" s="1"/>
  <c r="W251" i="1" s="1"/>
  <c r="O251" i="1"/>
  <c r="AG250" i="1"/>
  <c r="AF250" i="1"/>
  <c r="AE250" i="1"/>
  <c r="T250" i="1"/>
  <c r="U250" i="1" s="1"/>
  <c r="W250" i="1" s="1"/>
  <c r="O250" i="1"/>
  <c r="AG249" i="1"/>
  <c r="AF249" i="1"/>
  <c r="AE249" i="1"/>
  <c r="T249" i="1"/>
  <c r="U249" i="1" s="1"/>
  <c r="W249" i="1" s="1"/>
  <c r="O249" i="1"/>
  <c r="AG248" i="1"/>
  <c r="AF248" i="1"/>
  <c r="AE248" i="1"/>
  <c r="T248" i="1"/>
  <c r="U248" i="1" s="1"/>
  <c r="W248" i="1" s="1"/>
  <c r="O248" i="1"/>
  <c r="AG247" i="1"/>
  <c r="AF247" i="1"/>
  <c r="AE247" i="1"/>
  <c r="T247" i="1"/>
  <c r="U247" i="1" s="1"/>
  <c r="W247" i="1" s="1"/>
  <c r="O247" i="1"/>
  <c r="AG246" i="1"/>
  <c r="AF246" i="1"/>
  <c r="AE246" i="1"/>
  <c r="W246" i="1"/>
  <c r="U246" i="1"/>
  <c r="O246" i="1"/>
  <c r="C246" i="1"/>
  <c r="AG245" i="1"/>
  <c r="AF245" i="1"/>
  <c r="AE245" i="1"/>
  <c r="U245" i="1"/>
  <c r="W245" i="1" s="1"/>
  <c r="O245" i="1"/>
  <c r="C245" i="1"/>
  <c r="AG244" i="1"/>
  <c r="AF244" i="1"/>
  <c r="AE244" i="1"/>
  <c r="W244" i="1"/>
  <c r="U244" i="1"/>
  <c r="O244" i="1"/>
  <c r="C244" i="1"/>
  <c r="T243" i="1"/>
  <c r="P243" i="1"/>
  <c r="AF242" i="1"/>
  <c r="AE242" i="1"/>
  <c r="T242" i="1"/>
  <c r="U242" i="1" s="1"/>
  <c r="W242" i="1" s="1"/>
  <c r="P242" i="1"/>
  <c r="AG242" i="1" s="1"/>
  <c r="T241" i="1"/>
  <c r="P241" i="1"/>
  <c r="AG240" i="1"/>
  <c r="AF240" i="1"/>
  <c r="AE240" i="1"/>
  <c r="T240" i="1"/>
  <c r="U240" i="1" s="1"/>
  <c r="W240" i="1" s="1"/>
  <c r="O240" i="1"/>
  <c r="AG239" i="1"/>
  <c r="AF239" i="1"/>
  <c r="AE239" i="1"/>
  <c r="T239" i="1"/>
  <c r="U239" i="1" s="1"/>
  <c r="W239" i="1" s="1"/>
  <c r="O239" i="1"/>
  <c r="AG238" i="1"/>
  <c r="AF238" i="1"/>
  <c r="AE238" i="1"/>
  <c r="T238" i="1"/>
  <c r="U238" i="1" s="1"/>
  <c r="W238" i="1" s="1"/>
  <c r="O238" i="1"/>
  <c r="AG237" i="1"/>
  <c r="AF237" i="1"/>
  <c r="AE237" i="1"/>
  <c r="T237" i="1"/>
  <c r="U237" i="1" s="1"/>
  <c r="W237" i="1" s="1"/>
  <c r="O237" i="1"/>
  <c r="AG236" i="1"/>
  <c r="AF236" i="1"/>
  <c r="AE236" i="1"/>
  <c r="T236" i="1"/>
  <c r="U236" i="1" s="1"/>
  <c r="W236" i="1" s="1"/>
  <c r="O236" i="1"/>
  <c r="AG235" i="1"/>
  <c r="AF235" i="1"/>
  <c r="AE235" i="1"/>
  <c r="T235" i="1"/>
  <c r="U235" i="1" s="1"/>
  <c r="W235" i="1" s="1"/>
  <c r="O235" i="1"/>
  <c r="AG234" i="1"/>
  <c r="AF234" i="1"/>
  <c r="AE234" i="1"/>
  <c r="U234" i="1"/>
  <c r="W234" i="1" s="1"/>
  <c r="O234" i="1"/>
  <c r="C234" i="1"/>
  <c r="AG233" i="1"/>
  <c r="AF233" i="1"/>
  <c r="AE233" i="1"/>
  <c r="U233" i="1"/>
  <c r="W233" i="1" s="1"/>
  <c r="O233" i="1"/>
  <c r="C233" i="1"/>
  <c r="AG232" i="1"/>
  <c r="AF232" i="1"/>
  <c r="AE232" i="1"/>
  <c r="U232" i="1"/>
  <c r="W232" i="1" s="1"/>
  <c r="O232" i="1"/>
  <c r="C232" i="1"/>
  <c r="AG231" i="1"/>
  <c r="AF231" i="1"/>
  <c r="AE231" i="1"/>
  <c r="W231" i="1"/>
  <c r="U231" i="1"/>
  <c r="O231" i="1"/>
  <c r="C231" i="1"/>
  <c r="T230" i="1"/>
  <c r="P230" i="1"/>
  <c r="AG229" i="1"/>
  <c r="AF229" i="1"/>
  <c r="AE229" i="1"/>
  <c r="T229" i="1"/>
  <c r="U229" i="1" s="1"/>
  <c r="W229" i="1" s="1"/>
  <c r="O229" i="1"/>
  <c r="AG228" i="1"/>
  <c r="AF228" i="1"/>
  <c r="AE228" i="1"/>
  <c r="T228" i="1"/>
  <c r="U228" i="1" s="1"/>
  <c r="W228" i="1" s="1"/>
  <c r="O228" i="1"/>
  <c r="AG227" i="1"/>
  <c r="AF227" i="1"/>
  <c r="AE227" i="1"/>
  <c r="T227" i="1"/>
  <c r="U227" i="1" s="1"/>
  <c r="W227" i="1" s="1"/>
  <c r="O227" i="1"/>
  <c r="P226" i="1"/>
  <c r="AG225" i="1"/>
  <c r="AF225" i="1"/>
  <c r="AE225" i="1"/>
  <c r="W225" i="1"/>
  <c r="U225" i="1"/>
  <c r="T225" i="1"/>
  <c r="O225" i="1"/>
  <c r="AG224" i="1"/>
  <c r="AF224" i="1"/>
  <c r="AE224" i="1"/>
  <c r="T224" i="1"/>
  <c r="U224" i="1" s="1"/>
  <c r="W224" i="1" s="1"/>
  <c r="O224" i="1"/>
  <c r="AG223" i="1"/>
  <c r="AF223" i="1"/>
  <c r="AE223" i="1"/>
  <c r="U223" i="1"/>
  <c r="W223" i="1" s="1"/>
  <c r="T223" i="1"/>
  <c r="O223" i="1"/>
  <c r="AG222" i="1"/>
  <c r="AF222" i="1"/>
  <c r="AE222" i="1"/>
  <c r="T222" i="1"/>
  <c r="U222" i="1" s="1"/>
  <c r="W222" i="1" s="1"/>
  <c r="O222" i="1"/>
  <c r="AG221" i="1"/>
  <c r="AF221" i="1"/>
  <c r="AE221" i="1"/>
  <c r="U221" i="1"/>
  <c r="W221" i="1" s="1"/>
  <c r="O221" i="1"/>
  <c r="C221" i="1"/>
  <c r="AG220" i="1"/>
  <c r="AF220" i="1"/>
  <c r="AE220" i="1"/>
  <c r="U220" i="1"/>
  <c r="W220" i="1" s="1"/>
  <c r="O220" i="1"/>
  <c r="C220" i="1"/>
  <c r="AG219" i="1"/>
  <c r="AF219" i="1"/>
  <c r="AE219" i="1"/>
  <c r="U219" i="1"/>
  <c r="W219" i="1" s="1"/>
  <c r="O219" i="1"/>
  <c r="C219" i="1"/>
  <c r="AG218" i="1"/>
  <c r="AF218" i="1"/>
  <c r="AE218" i="1"/>
  <c r="U218" i="1"/>
  <c r="W218" i="1" s="1"/>
  <c r="O218" i="1"/>
  <c r="C218" i="1"/>
  <c r="AG217" i="1"/>
  <c r="AF217" i="1"/>
  <c r="AE217" i="1"/>
  <c r="U217" i="1"/>
  <c r="W217" i="1" s="1"/>
  <c r="O217" i="1"/>
  <c r="C217" i="1"/>
  <c r="AG216" i="1"/>
  <c r="AF216" i="1"/>
  <c r="AE216" i="1"/>
  <c r="U216" i="1"/>
  <c r="W216" i="1" s="1"/>
  <c r="O216" i="1"/>
  <c r="C216" i="1"/>
  <c r="AG215" i="1"/>
  <c r="AF215" i="1"/>
  <c r="AE215" i="1"/>
  <c r="U215" i="1"/>
  <c r="W215" i="1" s="1"/>
  <c r="O215" i="1"/>
  <c r="C215" i="1"/>
  <c r="AG214" i="1"/>
  <c r="AF214" i="1"/>
  <c r="AE214" i="1"/>
  <c r="U214" i="1"/>
  <c r="W214" i="1" s="1"/>
  <c r="O214" i="1"/>
  <c r="C214" i="1"/>
  <c r="AG213" i="1"/>
  <c r="AF213" i="1"/>
  <c r="AE213" i="1"/>
  <c r="U213" i="1"/>
  <c r="W213" i="1" s="1"/>
  <c r="O213" i="1"/>
  <c r="C213" i="1"/>
  <c r="P212" i="1"/>
  <c r="AF212" i="1" s="1"/>
  <c r="P211" i="1"/>
  <c r="AG211" i="1" s="1"/>
  <c r="P210" i="1"/>
  <c r="AG210" i="1" s="1"/>
  <c r="P209" i="1"/>
  <c r="AE208" i="1"/>
  <c r="P208" i="1"/>
  <c r="AG207" i="1"/>
  <c r="AF207" i="1"/>
  <c r="AE207" i="1"/>
  <c r="T207" i="1"/>
  <c r="U207" i="1" s="1"/>
  <c r="W207" i="1" s="1"/>
  <c r="O207" i="1"/>
  <c r="AG206" i="1"/>
  <c r="AF206" i="1"/>
  <c r="AE206" i="1"/>
  <c r="T206" i="1"/>
  <c r="U206" i="1" s="1"/>
  <c r="W206" i="1" s="1"/>
  <c r="O206" i="1"/>
  <c r="AG205" i="1"/>
  <c r="AF205" i="1"/>
  <c r="AE205" i="1"/>
  <c r="T205" i="1"/>
  <c r="U205" i="1" s="1"/>
  <c r="W205" i="1" s="1"/>
  <c r="O205" i="1"/>
  <c r="AG204" i="1"/>
  <c r="AF204" i="1"/>
  <c r="AE204" i="1"/>
  <c r="U204" i="1"/>
  <c r="W204" i="1" s="1"/>
  <c r="T204" i="1"/>
  <c r="O204" i="1"/>
  <c r="AG203" i="1"/>
  <c r="AF203" i="1"/>
  <c r="AE203" i="1"/>
  <c r="T203" i="1"/>
  <c r="U203" i="1" s="1"/>
  <c r="W203" i="1" s="1"/>
  <c r="O203" i="1"/>
  <c r="AG202" i="1"/>
  <c r="AF202" i="1"/>
  <c r="AE202" i="1"/>
  <c r="U202" i="1"/>
  <c r="W202" i="1" s="1"/>
  <c r="T202" i="1"/>
  <c r="O202" i="1"/>
  <c r="AG201" i="1"/>
  <c r="AF201" i="1"/>
  <c r="AE201" i="1"/>
  <c r="T201" i="1"/>
  <c r="U201" i="1" s="1"/>
  <c r="W201" i="1" s="1"/>
  <c r="O201" i="1"/>
  <c r="AG200" i="1"/>
  <c r="AF200" i="1"/>
  <c r="AE200" i="1"/>
  <c r="T200" i="1"/>
  <c r="U200" i="1" s="1"/>
  <c r="W200" i="1" s="1"/>
  <c r="O200" i="1"/>
  <c r="AG199" i="1"/>
  <c r="AF199" i="1"/>
  <c r="AE199" i="1"/>
  <c r="T199" i="1"/>
  <c r="U199" i="1" s="1"/>
  <c r="W199" i="1" s="1"/>
  <c r="O199" i="1"/>
  <c r="AG198" i="1"/>
  <c r="AF198" i="1"/>
  <c r="AE198" i="1"/>
  <c r="T198" i="1"/>
  <c r="U198" i="1" s="1"/>
  <c r="W198" i="1" s="1"/>
  <c r="O198" i="1"/>
  <c r="AG197" i="1"/>
  <c r="AF197" i="1"/>
  <c r="AE197" i="1"/>
  <c r="W197" i="1"/>
  <c r="U197" i="1"/>
  <c r="O197" i="1"/>
  <c r="C197" i="1"/>
  <c r="AG196" i="1"/>
  <c r="AF196" i="1"/>
  <c r="AE196" i="1"/>
  <c r="U196" i="1"/>
  <c r="W196" i="1" s="1"/>
  <c r="O196" i="1"/>
  <c r="C196" i="1"/>
  <c r="AG195" i="1"/>
  <c r="AF195" i="1"/>
  <c r="AE195" i="1"/>
  <c r="T195" i="1"/>
  <c r="U195" i="1" s="1"/>
  <c r="W195" i="1" s="1"/>
  <c r="O195" i="1"/>
  <c r="AG194" i="1"/>
  <c r="AF194" i="1"/>
  <c r="AE194" i="1"/>
  <c r="T194" i="1"/>
  <c r="U194" i="1" s="1"/>
  <c r="W194" i="1" s="1"/>
  <c r="O194" i="1"/>
  <c r="AG193" i="1"/>
  <c r="AF193" i="1"/>
  <c r="AE193" i="1"/>
  <c r="T193" i="1"/>
  <c r="U193" i="1" s="1"/>
  <c r="W193" i="1" s="1"/>
  <c r="O193" i="1"/>
  <c r="AG192" i="1"/>
  <c r="AF192" i="1"/>
  <c r="AE192" i="1"/>
  <c r="T192" i="1"/>
  <c r="U192" i="1" s="1"/>
  <c r="W192" i="1" s="1"/>
  <c r="O192" i="1"/>
  <c r="AG191" i="1"/>
  <c r="AF191" i="1"/>
  <c r="AE191" i="1"/>
  <c r="T191" i="1"/>
  <c r="U191" i="1" s="1"/>
  <c r="W191" i="1" s="1"/>
  <c r="O191" i="1"/>
  <c r="AG190" i="1"/>
  <c r="AF190" i="1"/>
  <c r="AE190" i="1"/>
  <c r="T190" i="1"/>
  <c r="U190" i="1" s="1"/>
  <c r="W190" i="1" s="1"/>
  <c r="O190" i="1"/>
  <c r="AG189" i="1"/>
  <c r="AF189" i="1"/>
  <c r="AE189" i="1"/>
  <c r="T189" i="1"/>
  <c r="U189" i="1" s="1"/>
  <c r="W189" i="1" s="1"/>
  <c r="O189" i="1"/>
  <c r="AG188" i="1"/>
  <c r="AF188" i="1"/>
  <c r="AE188" i="1"/>
  <c r="T188" i="1"/>
  <c r="U188" i="1" s="1"/>
  <c r="W188" i="1" s="1"/>
  <c r="O188" i="1"/>
  <c r="AG187" i="1"/>
  <c r="AF187" i="1"/>
  <c r="AE187" i="1"/>
  <c r="U187" i="1"/>
  <c r="W187" i="1" s="1"/>
  <c r="O187" i="1"/>
  <c r="C187" i="1"/>
  <c r="AG186" i="1"/>
  <c r="AF186" i="1"/>
  <c r="AE186" i="1"/>
  <c r="U186" i="1"/>
  <c r="W186" i="1" s="1"/>
  <c r="O186" i="1"/>
  <c r="C186" i="1"/>
  <c r="AG185" i="1"/>
  <c r="AF185" i="1"/>
  <c r="AE185" i="1"/>
  <c r="U185" i="1"/>
  <c r="W185" i="1" s="1"/>
  <c r="O185" i="1"/>
  <c r="C185" i="1"/>
  <c r="AG184" i="1"/>
  <c r="AF184" i="1"/>
  <c r="AE184" i="1"/>
  <c r="U184" i="1"/>
  <c r="W184" i="1" s="1"/>
  <c r="O184" i="1"/>
  <c r="C184" i="1"/>
  <c r="AG183" i="1"/>
  <c r="AF183" i="1"/>
  <c r="AE183" i="1"/>
  <c r="W183" i="1"/>
  <c r="U183" i="1"/>
  <c r="O183" i="1"/>
  <c r="C183" i="1"/>
  <c r="Q182" i="1"/>
  <c r="P182" i="1"/>
  <c r="AE182" i="1" s="1"/>
  <c r="Q181" i="1"/>
  <c r="P181" i="1"/>
  <c r="AG180" i="1"/>
  <c r="AF180" i="1"/>
  <c r="AE180" i="1"/>
  <c r="T180" i="1"/>
  <c r="U180" i="1" s="1"/>
  <c r="W180" i="1" s="1"/>
  <c r="O180" i="1"/>
  <c r="AG179" i="1"/>
  <c r="AF179" i="1"/>
  <c r="AE179" i="1"/>
  <c r="T179" i="1"/>
  <c r="U179" i="1" s="1"/>
  <c r="W179" i="1" s="1"/>
  <c r="O179" i="1"/>
  <c r="AG178" i="1"/>
  <c r="AF178" i="1"/>
  <c r="AE178" i="1"/>
  <c r="U178" i="1"/>
  <c r="W178" i="1" s="1"/>
  <c r="T178" i="1"/>
  <c r="O178" i="1"/>
  <c r="AG177" i="1"/>
  <c r="AF177" i="1"/>
  <c r="AE177" i="1"/>
  <c r="T177" i="1"/>
  <c r="U177" i="1" s="1"/>
  <c r="W177" i="1" s="1"/>
  <c r="O177" i="1"/>
  <c r="AG176" i="1"/>
  <c r="AF176" i="1"/>
  <c r="AE176" i="1"/>
  <c r="T176" i="1"/>
  <c r="U176" i="1" s="1"/>
  <c r="W176" i="1" s="1"/>
  <c r="O176" i="1"/>
  <c r="AG175" i="1"/>
  <c r="AF175" i="1"/>
  <c r="AE175" i="1"/>
  <c r="U175" i="1"/>
  <c r="W175" i="1" s="1"/>
  <c r="T175" i="1"/>
  <c r="O175" i="1"/>
  <c r="AG174" i="1"/>
  <c r="AF174" i="1"/>
  <c r="AE174" i="1"/>
  <c r="T174" i="1"/>
  <c r="U174" i="1" s="1"/>
  <c r="W174" i="1" s="1"/>
  <c r="O174" i="1"/>
  <c r="AG173" i="1"/>
  <c r="AF173" i="1"/>
  <c r="AE173" i="1"/>
  <c r="T173" i="1"/>
  <c r="U173" i="1" s="1"/>
  <c r="W173" i="1" s="1"/>
  <c r="O173" i="1"/>
  <c r="AG172" i="1"/>
  <c r="AF172" i="1"/>
  <c r="AE172" i="1"/>
  <c r="U172" i="1"/>
  <c r="W172" i="1" s="1"/>
  <c r="O172" i="1"/>
  <c r="C172" i="1"/>
  <c r="AG171" i="1"/>
  <c r="AF171" i="1"/>
  <c r="AE171" i="1"/>
  <c r="U171" i="1"/>
  <c r="W171" i="1" s="1"/>
  <c r="O171" i="1"/>
  <c r="C171" i="1"/>
  <c r="AG170" i="1"/>
  <c r="AF170" i="1"/>
  <c r="AE170" i="1"/>
  <c r="U170" i="1"/>
  <c r="W170" i="1" s="1"/>
  <c r="O170" i="1"/>
  <c r="C170" i="1"/>
  <c r="AG169" i="1"/>
  <c r="AF169" i="1"/>
  <c r="AE169" i="1"/>
  <c r="U169" i="1"/>
  <c r="W169" i="1" s="1"/>
  <c r="O169" i="1"/>
  <c r="C169" i="1"/>
  <c r="AG168" i="1"/>
  <c r="AF168" i="1"/>
  <c r="AE168" i="1"/>
  <c r="U168" i="1"/>
  <c r="W168" i="1" s="1"/>
  <c r="O168" i="1"/>
  <c r="C168" i="1"/>
  <c r="AG167" i="1"/>
  <c r="AF167" i="1"/>
  <c r="AE167" i="1"/>
  <c r="U167" i="1"/>
  <c r="W167" i="1" s="1"/>
  <c r="O167" i="1"/>
  <c r="C167" i="1"/>
  <c r="AG166" i="1"/>
  <c r="AF166" i="1"/>
  <c r="AE166" i="1"/>
  <c r="U166" i="1"/>
  <c r="W166" i="1" s="1"/>
  <c r="T166" i="1"/>
  <c r="O166" i="1"/>
  <c r="AG165" i="1"/>
  <c r="AF165" i="1"/>
  <c r="AE165" i="1"/>
  <c r="W165" i="1"/>
  <c r="U165" i="1"/>
  <c r="T165" i="1"/>
  <c r="O165" i="1"/>
  <c r="AG164" i="1"/>
  <c r="AF164" i="1"/>
  <c r="AE164" i="1"/>
  <c r="T164" i="1"/>
  <c r="U164" i="1" s="1"/>
  <c r="W164" i="1" s="1"/>
  <c r="O164" i="1"/>
  <c r="AG163" i="1"/>
  <c r="AF163" i="1"/>
  <c r="AE163" i="1"/>
  <c r="U163" i="1"/>
  <c r="W163" i="1" s="1"/>
  <c r="T163" i="1"/>
  <c r="O163" i="1"/>
  <c r="AG162" i="1"/>
  <c r="AF162" i="1"/>
  <c r="AE162" i="1"/>
  <c r="U162" i="1"/>
  <c r="W162" i="1" s="1"/>
  <c r="T162" i="1"/>
  <c r="O162" i="1"/>
  <c r="AG161" i="1"/>
  <c r="AF161" i="1"/>
  <c r="AE161" i="1"/>
  <c r="T161" i="1"/>
  <c r="U161" i="1" s="1"/>
  <c r="W161" i="1" s="1"/>
  <c r="O161" i="1"/>
  <c r="AG160" i="1"/>
  <c r="AF160" i="1"/>
  <c r="AE160" i="1"/>
  <c r="T160" i="1"/>
  <c r="U160" i="1" s="1"/>
  <c r="W160" i="1" s="1"/>
  <c r="O160" i="1"/>
  <c r="AG159" i="1"/>
  <c r="AF159" i="1"/>
  <c r="AE159" i="1"/>
  <c r="T159" i="1"/>
  <c r="U159" i="1" s="1"/>
  <c r="W159" i="1" s="1"/>
  <c r="O159" i="1"/>
  <c r="AG158" i="1"/>
  <c r="AF158" i="1"/>
  <c r="AE158" i="1"/>
  <c r="T158" i="1"/>
  <c r="U158" i="1" s="1"/>
  <c r="W158" i="1" s="1"/>
  <c r="O158" i="1"/>
  <c r="AG157" i="1"/>
  <c r="AF157" i="1"/>
  <c r="AE157" i="1"/>
  <c r="U157" i="1"/>
  <c r="W157" i="1" s="1"/>
  <c r="T157" i="1"/>
  <c r="O157" i="1"/>
  <c r="AG156" i="1"/>
  <c r="AF156" i="1"/>
  <c r="AE156" i="1"/>
  <c r="U156" i="1"/>
  <c r="W156" i="1" s="1"/>
  <c r="O156" i="1"/>
  <c r="C156" i="1"/>
  <c r="AG155" i="1"/>
  <c r="AF155" i="1"/>
  <c r="AE155" i="1"/>
  <c r="U155" i="1"/>
  <c r="W155" i="1" s="1"/>
  <c r="O155" i="1"/>
  <c r="C155" i="1"/>
  <c r="AG154" i="1"/>
  <c r="AF154" i="1"/>
  <c r="AE154" i="1"/>
  <c r="U154" i="1"/>
  <c r="W154" i="1" s="1"/>
  <c r="O154" i="1"/>
  <c r="AG153" i="1"/>
  <c r="AF153" i="1"/>
  <c r="AE153" i="1"/>
  <c r="U153" i="1"/>
  <c r="W153" i="1" s="1"/>
  <c r="O153" i="1"/>
  <c r="AG152" i="1"/>
  <c r="AF152" i="1"/>
  <c r="AE152" i="1"/>
  <c r="U152" i="1"/>
  <c r="W152" i="1" s="1"/>
  <c r="O152" i="1"/>
  <c r="AG151" i="1"/>
  <c r="AF151" i="1"/>
  <c r="AE151" i="1"/>
  <c r="U151" i="1"/>
  <c r="W151" i="1" s="1"/>
  <c r="O151" i="1"/>
  <c r="AG150" i="1"/>
  <c r="AF150" i="1"/>
  <c r="AE150" i="1"/>
  <c r="U150" i="1"/>
  <c r="W150" i="1" s="1"/>
  <c r="O150" i="1"/>
  <c r="AG149" i="1"/>
  <c r="AF149" i="1"/>
  <c r="AE149" i="1"/>
  <c r="U149" i="1"/>
  <c r="W149" i="1" s="1"/>
  <c r="O149" i="1"/>
  <c r="AG148" i="1"/>
  <c r="AF148" i="1"/>
  <c r="AE148" i="1"/>
  <c r="U148" i="1"/>
  <c r="W148" i="1" s="1"/>
  <c r="O148" i="1"/>
  <c r="AG147" i="1"/>
  <c r="AF147" i="1"/>
  <c r="AE147" i="1"/>
  <c r="U147" i="1"/>
  <c r="W147" i="1" s="1"/>
  <c r="O147" i="1"/>
  <c r="AG146" i="1"/>
  <c r="AF146" i="1"/>
  <c r="AE146" i="1"/>
  <c r="U146" i="1"/>
  <c r="W146" i="1" s="1"/>
  <c r="O146" i="1"/>
  <c r="AG145" i="1"/>
  <c r="AF145" i="1"/>
  <c r="AE145" i="1"/>
  <c r="U145" i="1"/>
  <c r="W145" i="1" s="1"/>
  <c r="O145" i="1"/>
  <c r="AG144" i="1"/>
  <c r="AF144" i="1"/>
  <c r="AE144" i="1"/>
  <c r="U144" i="1"/>
  <c r="W144" i="1" s="1"/>
  <c r="O144" i="1"/>
  <c r="AG143" i="1"/>
  <c r="AF143" i="1"/>
  <c r="AE143" i="1"/>
  <c r="U143" i="1"/>
  <c r="W143" i="1" s="1"/>
  <c r="O143" i="1"/>
  <c r="AG142" i="1"/>
  <c r="AF142" i="1"/>
  <c r="AE142" i="1"/>
  <c r="U142" i="1"/>
  <c r="W142" i="1" s="1"/>
  <c r="O142" i="1"/>
  <c r="AG141" i="1"/>
  <c r="AF141" i="1"/>
  <c r="AE141" i="1"/>
  <c r="U141" i="1"/>
  <c r="W141" i="1" s="1"/>
  <c r="O141" i="1"/>
  <c r="C141" i="1"/>
  <c r="AG140" i="1"/>
  <c r="AF140" i="1"/>
  <c r="AE140" i="1"/>
  <c r="U140" i="1"/>
  <c r="W140" i="1" s="1"/>
  <c r="O140" i="1"/>
  <c r="C140" i="1"/>
  <c r="AG139" i="1"/>
  <c r="AF139" i="1"/>
  <c r="AE139" i="1"/>
  <c r="U139" i="1"/>
  <c r="W139" i="1" s="1"/>
  <c r="O139" i="1"/>
  <c r="C139" i="1"/>
  <c r="AG138" i="1"/>
  <c r="AF138" i="1"/>
  <c r="AE138" i="1"/>
  <c r="U138" i="1"/>
  <c r="W138" i="1" s="1"/>
  <c r="O138" i="1"/>
  <c r="C138" i="1"/>
  <c r="Q137" i="1"/>
  <c r="P137" i="1"/>
  <c r="AG136" i="1"/>
  <c r="AF136" i="1"/>
  <c r="AE136" i="1"/>
  <c r="U136" i="1"/>
  <c r="W136" i="1" s="1"/>
  <c r="O136" i="1"/>
  <c r="AG135" i="1"/>
  <c r="AF135" i="1"/>
  <c r="AE135" i="1"/>
  <c r="W135" i="1"/>
  <c r="U135" i="1"/>
  <c r="O135" i="1"/>
  <c r="AG134" i="1"/>
  <c r="AF134" i="1"/>
  <c r="AE134" i="1"/>
  <c r="U134" i="1"/>
  <c r="W134" i="1" s="1"/>
  <c r="O134" i="1"/>
  <c r="AG133" i="1"/>
  <c r="AF133" i="1"/>
  <c r="AE133" i="1"/>
  <c r="W133" i="1"/>
  <c r="U133" i="1"/>
  <c r="O133" i="1"/>
  <c r="AG132" i="1"/>
  <c r="AF132" i="1"/>
  <c r="AE132" i="1"/>
  <c r="U132" i="1"/>
  <c r="W132" i="1" s="1"/>
  <c r="O132" i="1"/>
  <c r="AG131" i="1"/>
  <c r="AF131" i="1"/>
  <c r="AE131" i="1"/>
  <c r="W131" i="1"/>
  <c r="U131" i="1"/>
  <c r="O131" i="1"/>
  <c r="AG130" i="1"/>
  <c r="AF130" i="1"/>
  <c r="AE130" i="1"/>
  <c r="U130" i="1"/>
  <c r="W130" i="1" s="1"/>
  <c r="O130" i="1"/>
  <c r="AN129" i="1"/>
  <c r="AO129" i="1" s="1"/>
  <c r="AG129" i="1"/>
  <c r="AF129" i="1"/>
  <c r="AE129" i="1"/>
  <c r="W129" i="1"/>
  <c r="U129" i="1"/>
  <c r="O129" i="1"/>
  <c r="C129" i="1"/>
  <c r="AN128" i="1"/>
  <c r="AO128" i="1" s="1"/>
  <c r="AG128" i="1"/>
  <c r="AF128" i="1"/>
  <c r="AE128" i="1"/>
  <c r="U128" i="1"/>
  <c r="W128" i="1" s="1"/>
  <c r="O128" i="1"/>
  <c r="C128" i="1"/>
  <c r="AG127" i="1"/>
  <c r="AF127" i="1"/>
  <c r="AE127" i="1"/>
  <c r="U127" i="1"/>
  <c r="W127" i="1" s="1"/>
  <c r="O127" i="1"/>
  <c r="AG126" i="1"/>
  <c r="AF126" i="1"/>
  <c r="AE126" i="1"/>
  <c r="U126" i="1"/>
  <c r="W126" i="1" s="1"/>
  <c r="O126" i="1"/>
  <c r="AG125" i="1"/>
  <c r="AF125" i="1"/>
  <c r="AE125" i="1"/>
  <c r="U125" i="1"/>
  <c r="W125" i="1" s="1"/>
  <c r="O125" i="1"/>
  <c r="AG124" i="1"/>
  <c r="AF124" i="1"/>
  <c r="AE124" i="1"/>
  <c r="U124" i="1"/>
  <c r="W124" i="1" s="1"/>
  <c r="O124" i="1"/>
  <c r="AG123" i="1"/>
  <c r="AF123" i="1"/>
  <c r="AE123" i="1"/>
  <c r="U123" i="1"/>
  <c r="W123" i="1" s="1"/>
  <c r="O123" i="1"/>
  <c r="AG122" i="1"/>
  <c r="AF122" i="1"/>
  <c r="AE122" i="1"/>
  <c r="U122" i="1"/>
  <c r="W122" i="1" s="1"/>
  <c r="O122" i="1"/>
  <c r="AG121" i="1"/>
  <c r="AF121" i="1"/>
  <c r="AE121" i="1"/>
  <c r="U121" i="1"/>
  <c r="W121" i="1" s="1"/>
  <c r="O121" i="1"/>
  <c r="Q120" i="1"/>
  <c r="P120" i="1"/>
  <c r="Q119" i="1"/>
  <c r="P119" i="1"/>
  <c r="Q118" i="1"/>
  <c r="P118" i="1"/>
  <c r="U118" i="1" s="1"/>
  <c r="W118" i="1" s="1"/>
  <c r="Q117" i="1"/>
  <c r="P117" i="1"/>
  <c r="AF116" i="1"/>
  <c r="P116" i="1"/>
  <c r="O116" i="1" s="1"/>
  <c r="P115" i="1"/>
  <c r="AG114" i="1"/>
  <c r="AF114" i="1"/>
  <c r="AE114" i="1"/>
  <c r="U114" i="1"/>
  <c r="W114" i="1" s="1"/>
  <c r="O114" i="1"/>
  <c r="C114" i="1"/>
  <c r="AG113" i="1"/>
  <c r="AF113" i="1"/>
  <c r="AE113" i="1"/>
  <c r="U113" i="1"/>
  <c r="W113" i="1" s="1"/>
  <c r="T113" i="1"/>
  <c r="O113" i="1"/>
  <c r="AG112" i="1"/>
  <c r="AF112" i="1"/>
  <c r="AE112" i="1"/>
  <c r="T112" i="1"/>
  <c r="U112" i="1" s="1"/>
  <c r="W112" i="1" s="1"/>
  <c r="O112" i="1"/>
  <c r="AG111" i="1"/>
  <c r="AF111" i="1"/>
  <c r="AE111" i="1"/>
  <c r="T111" i="1"/>
  <c r="U111" i="1" s="1"/>
  <c r="W111" i="1" s="1"/>
  <c r="O111" i="1"/>
  <c r="AG110" i="1"/>
  <c r="AF110" i="1"/>
  <c r="AE110" i="1"/>
  <c r="T110" i="1"/>
  <c r="U110" i="1" s="1"/>
  <c r="W110" i="1" s="1"/>
  <c r="O110" i="1"/>
  <c r="AG109" i="1"/>
  <c r="AF109" i="1"/>
  <c r="AE109" i="1"/>
  <c r="T109" i="1"/>
  <c r="U109" i="1" s="1"/>
  <c r="W109" i="1" s="1"/>
  <c r="O109" i="1"/>
  <c r="AG108" i="1"/>
  <c r="AF108" i="1"/>
  <c r="AE108" i="1"/>
  <c r="T108" i="1"/>
  <c r="U108" i="1" s="1"/>
  <c r="W108" i="1" s="1"/>
  <c r="O108" i="1"/>
  <c r="AG107" i="1"/>
  <c r="AF107" i="1"/>
  <c r="AE107" i="1"/>
  <c r="T107" i="1"/>
  <c r="U107" i="1" s="1"/>
  <c r="W107" i="1" s="1"/>
  <c r="O107" i="1"/>
  <c r="AG106" i="1"/>
  <c r="AF106" i="1"/>
  <c r="AE106" i="1"/>
  <c r="U106" i="1"/>
  <c r="W106" i="1" s="1"/>
  <c r="T106" i="1"/>
  <c r="O106" i="1"/>
  <c r="AG105" i="1"/>
  <c r="AF105" i="1"/>
  <c r="AE105" i="1"/>
  <c r="T105" i="1"/>
  <c r="U105" i="1" s="1"/>
  <c r="W105" i="1" s="1"/>
  <c r="O105" i="1"/>
  <c r="AG104" i="1"/>
  <c r="AF104" i="1"/>
  <c r="AE104" i="1"/>
  <c r="T104" i="1"/>
  <c r="U104" i="1" s="1"/>
  <c r="W104" i="1" s="1"/>
  <c r="O104" i="1"/>
  <c r="AG103" i="1"/>
  <c r="AF103" i="1"/>
  <c r="AE103" i="1"/>
  <c r="T103" i="1"/>
  <c r="U103" i="1" s="1"/>
  <c r="W103" i="1" s="1"/>
  <c r="O103" i="1"/>
  <c r="C103" i="1"/>
  <c r="AG102" i="1"/>
  <c r="AF102" i="1"/>
  <c r="AE102" i="1"/>
  <c r="U102" i="1"/>
  <c r="W102" i="1" s="1"/>
  <c r="T102" i="1"/>
  <c r="O102" i="1"/>
  <c r="C102" i="1"/>
  <c r="AG101" i="1"/>
  <c r="AF101" i="1"/>
  <c r="AE101" i="1"/>
  <c r="T101" i="1"/>
  <c r="U101" i="1" s="1"/>
  <c r="W101" i="1" s="1"/>
  <c r="O101" i="1"/>
  <c r="C101" i="1"/>
  <c r="AG100" i="1"/>
  <c r="AF100" i="1"/>
  <c r="AE100" i="1"/>
  <c r="T100" i="1"/>
  <c r="U100" i="1" s="1"/>
  <c r="W100" i="1" s="1"/>
  <c r="O100" i="1"/>
  <c r="AG99" i="1"/>
  <c r="AF99" i="1"/>
  <c r="AE99" i="1"/>
  <c r="T99" i="1"/>
  <c r="U99" i="1" s="1"/>
  <c r="W99" i="1" s="1"/>
  <c r="O99" i="1"/>
  <c r="AG98" i="1"/>
  <c r="AF98" i="1"/>
  <c r="AE98" i="1"/>
  <c r="T98" i="1"/>
  <c r="U98" i="1" s="1"/>
  <c r="W98" i="1" s="1"/>
  <c r="O98" i="1"/>
  <c r="AG97" i="1"/>
  <c r="AF97" i="1"/>
  <c r="AE97" i="1"/>
  <c r="T97" i="1"/>
  <c r="U97" i="1" s="1"/>
  <c r="W97" i="1" s="1"/>
  <c r="O97" i="1"/>
  <c r="AG96" i="1"/>
  <c r="AF96" i="1"/>
  <c r="AE96" i="1"/>
  <c r="T96" i="1"/>
  <c r="U96" i="1" s="1"/>
  <c r="W96" i="1" s="1"/>
  <c r="O96" i="1"/>
  <c r="AG95" i="1"/>
  <c r="AF95" i="1"/>
  <c r="AE95" i="1"/>
  <c r="T95" i="1"/>
  <c r="U95" i="1" s="1"/>
  <c r="W95" i="1" s="1"/>
  <c r="O95" i="1"/>
  <c r="AG94" i="1"/>
  <c r="AF94" i="1"/>
  <c r="AE94" i="1"/>
  <c r="T94" i="1"/>
  <c r="U94" i="1" s="1"/>
  <c r="W94" i="1" s="1"/>
  <c r="O94" i="1"/>
  <c r="AG93" i="1"/>
  <c r="AF93" i="1"/>
  <c r="AE93" i="1"/>
  <c r="U93" i="1"/>
  <c r="W93" i="1" s="1"/>
  <c r="T93" i="1"/>
  <c r="O93" i="1"/>
  <c r="AG92" i="1"/>
  <c r="AF92" i="1"/>
  <c r="AE92" i="1"/>
  <c r="T92" i="1"/>
  <c r="U92" i="1" s="1"/>
  <c r="W92" i="1" s="1"/>
  <c r="O92" i="1"/>
  <c r="AG91" i="1"/>
  <c r="AF91" i="1"/>
  <c r="AE91" i="1"/>
  <c r="U91" i="1"/>
  <c r="W91" i="1" s="1"/>
  <c r="O91" i="1"/>
  <c r="C91" i="1"/>
  <c r="AG90" i="1"/>
  <c r="AF90" i="1"/>
  <c r="AE90" i="1"/>
  <c r="U90" i="1"/>
  <c r="W90" i="1" s="1"/>
  <c r="O90" i="1"/>
  <c r="C90" i="1"/>
  <c r="AG89" i="1"/>
  <c r="AF89" i="1"/>
  <c r="AE89" i="1"/>
  <c r="U89" i="1"/>
  <c r="W89" i="1" s="1"/>
  <c r="O89" i="1"/>
  <c r="C89" i="1"/>
  <c r="AG88" i="1"/>
  <c r="AF88" i="1"/>
  <c r="AE88" i="1"/>
  <c r="U88" i="1"/>
  <c r="W88" i="1" s="1"/>
  <c r="O88" i="1"/>
  <c r="C88" i="1"/>
  <c r="AG87" i="1"/>
  <c r="AF87" i="1"/>
  <c r="AE87" i="1"/>
  <c r="U87" i="1"/>
  <c r="W87" i="1" s="1"/>
  <c r="O87" i="1"/>
  <c r="C87" i="1"/>
  <c r="AG86" i="1"/>
  <c r="AF86" i="1"/>
  <c r="AE86" i="1"/>
  <c r="T86" i="1"/>
  <c r="U86" i="1" s="1"/>
  <c r="W86" i="1" s="1"/>
  <c r="O86" i="1"/>
  <c r="AG85" i="1"/>
  <c r="AF85" i="1"/>
  <c r="AE85" i="1"/>
  <c r="T85" i="1"/>
  <c r="U85" i="1" s="1"/>
  <c r="W85" i="1" s="1"/>
  <c r="O85" i="1"/>
  <c r="AG84" i="1"/>
  <c r="AF84" i="1"/>
  <c r="AE84" i="1"/>
  <c r="U84" i="1"/>
  <c r="W84" i="1" s="1"/>
  <c r="O84" i="1"/>
  <c r="AG83" i="1"/>
  <c r="AF83" i="1"/>
  <c r="AE83" i="1"/>
  <c r="T83" i="1"/>
  <c r="U83" i="1" s="1"/>
  <c r="W83" i="1" s="1"/>
  <c r="O83" i="1"/>
  <c r="AG82" i="1"/>
  <c r="AF82" i="1"/>
  <c r="AE82" i="1"/>
  <c r="U82" i="1"/>
  <c r="W82" i="1" s="1"/>
  <c r="O82" i="1"/>
  <c r="AG81" i="1"/>
  <c r="AF81" i="1"/>
  <c r="AE81" i="1"/>
  <c r="T81" i="1"/>
  <c r="U81" i="1" s="1"/>
  <c r="W81" i="1" s="1"/>
  <c r="O81" i="1"/>
  <c r="AG80" i="1"/>
  <c r="AF80" i="1"/>
  <c r="AE80" i="1"/>
  <c r="T80" i="1"/>
  <c r="U80" i="1" s="1"/>
  <c r="W80" i="1" s="1"/>
  <c r="O80" i="1"/>
  <c r="AG79" i="1"/>
  <c r="AF79" i="1"/>
  <c r="AE79" i="1"/>
  <c r="U79" i="1"/>
  <c r="W79" i="1" s="1"/>
  <c r="O79" i="1"/>
  <c r="AG78" i="1"/>
  <c r="AF78" i="1"/>
  <c r="AE78" i="1"/>
  <c r="U78" i="1"/>
  <c r="W78" i="1" s="1"/>
  <c r="O78" i="1"/>
  <c r="AG77" i="1"/>
  <c r="AF77" i="1"/>
  <c r="AE77" i="1"/>
  <c r="T77" i="1"/>
  <c r="U77" i="1" s="1"/>
  <c r="W77" i="1" s="1"/>
  <c r="O77" i="1"/>
  <c r="AG76" i="1"/>
  <c r="AF76" i="1"/>
  <c r="AE76" i="1"/>
  <c r="T76" i="1"/>
  <c r="U76" i="1" s="1"/>
  <c r="W76" i="1" s="1"/>
  <c r="O76" i="1"/>
  <c r="AG75" i="1"/>
  <c r="AF75" i="1"/>
  <c r="AE75" i="1"/>
  <c r="T75" i="1"/>
  <c r="U75" i="1" s="1"/>
  <c r="W75" i="1" s="1"/>
  <c r="O75" i="1"/>
  <c r="C75" i="1"/>
  <c r="AG74" i="1"/>
  <c r="AF74" i="1"/>
  <c r="AE74" i="1"/>
  <c r="T74" i="1"/>
  <c r="U74" i="1" s="1"/>
  <c r="W74" i="1" s="1"/>
  <c r="O74" i="1"/>
  <c r="C74" i="1"/>
  <c r="AG73" i="1"/>
  <c r="AF73" i="1"/>
  <c r="AE73" i="1"/>
  <c r="T73" i="1"/>
  <c r="U73" i="1" s="1"/>
  <c r="W73" i="1" s="1"/>
  <c r="O73" i="1"/>
  <c r="AQ72" i="1"/>
  <c r="AG72" i="1"/>
  <c r="AF72" i="1"/>
  <c r="AE72" i="1"/>
  <c r="T72" i="1"/>
  <c r="U72" i="1" s="1"/>
  <c r="W72" i="1" s="1"/>
  <c r="O72" i="1"/>
  <c r="AQ71" i="1"/>
  <c r="AG71" i="1"/>
  <c r="AF71" i="1"/>
  <c r="AE71" i="1"/>
  <c r="T71" i="1"/>
  <c r="U71" i="1" s="1"/>
  <c r="W71" i="1" s="1"/>
  <c r="O71" i="1"/>
  <c r="AQ70" i="1"/>
  <c r="AG70" i="1"/>
  <c r="AF70" i="1"/>
  <c r="AE70" i="1"/>
  <c r="T70" i="1"/>
  <c r="U70" i="1" s="1"/>
  <c r="W70" i="1" s="1"/>
  <c r="O70" i="1"/>
  <c r="AQ69" i="1"/>
  <c r="AG69" i="1"/>
  <c r="AF69" i="1"/>
  <c r="AE69" i="1"/>
  <c r="T69" i="1"/>
  <c r="U69" i="1" s="1"/>
  <c r="W69" i="1" s="1"/>
  <c r="O69" i="1"/>
  <c r="AQ68" i="1"/>
  <c r="AG68" i="1"/>
  <c r="AF68" i="1"/>
  <c r="AE68" i="1"/>
  <c r="T68" i="1"/>
  <c r="U68" i="1" s="1"/>
  <c r="W68" i="1" s="1"/>
  <c r="O68" i="1"/>
  <c r="AQ67" i="1"/>
  <c r="AG67" i="1"/>
  <c r="AF67" i="1"/>
  <c r="AE67" i="1"/>
  <c r="T67" i="1"/>
  <c r="U67" i="1" s="1"/>
  <c r="W67" i="1" s="1"/>
  <c r="O67" i="1"/>
  <c r="AQ66" i="1"/>
  <c r="AG66" i="1"/>
  <c r="AF66" i="1"/>
  <c r="AE66" i="1"/>
  <c r="T66" i="1"/>
  <c r="U66" i="1" s="1"/>
  <c r="W66" i="1" s="1"/>
  <c r="O66" i="1"/>
  <c r="AQ65" i="1"/>
  <c r="AG65" i="1"/>
  <c r="AF65" i="1"/>
  <c r="AE65" i="1"/>
  <c r="U65" i="1"/>
  <c r="W65" i="1" s="1"/>
  <c r="O65" i="1"/>
  <c r="C65" i="1"/>
  <c r="AQ64" i="1"/>
  <c r="AG64" i="1"/>
  <c r="AF64" i="1"/>
  <c r="AE64" i="1"/>
  <c r="W64" i="1"/>
  <c r="U64" i="1"/>
  <c r="O64" i="1"/>
  <c r="C64" i="1"/>
  <c r="AG63" i="1"/>
  <c r="AF63" i="1"/>
  <c r="AE63" i="1"/>
  <c r="T63" i="1"/>
  <c r="U63" i="1" s="1"/>
  <c r="W63" i="1" s="1"/>
  <c r="O63" i="1"/>
  <c r="AQ62" i="1"/>
  <c r="AG62" i="1"/>
  <c r="AF62" i="1"/>
  <c r="AE62" i="1"/>
  <c r="T62" i="1"/>
  <c r="U62" i="1" s="1"/>
  <c r="W62" i="1" s="1"/>
  <c r="O62" i="1"/>
  <c r="AQ61" i="1"/>
  <c r="AG61" i="1"/>
  <c r="AF61" i="1"/>
  <c r="AE61" i="1"/>
  <c r="T61" i="1"/>
  <c r="U61" i="1" s="1"/>
  <c r="W61" i="1" s="1"/>
  <c r="O61" i="1"/>
  <c r="AQ60" i="1"/>
  <c r="AG60" i="1"/>
  <c r="AF60" i="1"/>
  <c r="AE60" i="1"/>
  <c r="T60" i="1"/>
  <c r="U60" i="1" s="1"/>
  <c r="W60" i="1" s="1"/>
  <c r="O60" i="1"/>
  <c r="AQ59" i="1"/>
  <c r="AG59" i="1"/>
  <c r="AF59" i="1"/>
  <c r="AE59" i="1"/>
  <c r="T59" i="1"/>
  <c r="U59" i="1" s="1"/>
  <c r="W59" i="1" s="1"/>
  <c r="O59" i="1"/>
  <c r="AQ58" i="1"/>
  <c r="AG58" i="1"/>
  <c r="AF58" i="1"/>
  <c r="AE58" i="1"/>
  <c r="U58" i="1"/>
  <c r="W58" i="1" s="1"/>
  <c r="O58" i="1"/>
  <c r="C58" i="1"/>
  <c r="AQ57" i="1"/>
  <c r="AG57" i="1"/>
  <c r="AF57" i="1"/>
  <c r="AE57" i="1"/>
  <c r="U57" i="1"/>
  <c r="W57" i="1" s="1"/>
  <c r="O57" i="1"/>
  <c r="C57" i="1"/>
  <c r="AQ56" i="1"/>
  <c r="AG56" i="1"/>
  <c r="AF56" i="1"/>
  <c r="AE56" i="1"/>
  <c r="U56" i="1"/>
  <c r="W56" i="1" s="1"/>
  <c r="O56" i="1"/>
  <c r="C56" i="1"/>
  <c r="AQ55" i="1"/>
  <c r="AG55" i="1"/>
  <c r="AF55" i="1"/>
  <c r="AE55" i="1"/>
  <c r="T55" i="1"/>
  <c r="U55" i="1" s="1"/>
  <c r="W55" i="1" s="1"/>
  <c r="O55" i="1"/>
  <c r="AQ54" i="1"/>
  <c r="AG54" i="1"/>
  <c r="AF54" i="1"/>
  <c r="AE54" i="1"/>
  <c r="T54" i="1"/>
  <c r="U54" i="1" s="1"/>
  <c r="W54" i="1" s="1"/>
  <c r="O54" i="1"/>
  <c r="AQ53" i="1"/>
  <c r="AG53" i="1"/>
  <c r="AF53" i="1"/>
  <c r="AE53" i="1"/>
  <c r="T53" i="1"/>
  <c r="U53" i="1" s="1"/>
  <c r="W53" i="1" s="1"/>
  <c r="O53" i="1"/>
  <c r="AQ52" i="1"/>
  <c r="AG52" i="1"/>
  <c r="AF52" i="1"/>
  <c r="AE52" i="1"/>
  <c r="T52" i="1"/>
  <c r="U52" i="1" s="1"/>
  <c r="W52" i="1" s="1"/>
  <c r="O52" i="1"/>
  <c r="AG51" i="1"/>
  <c r="AF51" i="1"/>
  <c r="AE51" i="1"/>
  <c r="T51" i="1"/>
  <c r="U51" i="1" s="1"/>
  <c r="W51" i="1" s="1"/>
  <c r="O51" i="1"/>
  <c r="AG50" i="1"/>
  <c r="AF50" i="1"/>
  <c r="AE50" i="1"/>
  <c r="T50" i="1"/>
  <c r="U50" i="1" s="1"/>
  <c r="W50" i="1" s="1"/>
  <c r="O50" i="1"/>
  <c r="AG49" i="1"/>
  <c r="AF49" i="1"/>
  <c r="AE49" i="1"/>
  <c r="T49" i="1"/>
  <c r="U49" i="1" s="1"/>
  <c r="W49" i="1" s="1"/>
  <c r="O49" i="1"/>
  <c r="AG48" i="1"/>
  <c r="AF48" i="1"/>
  <c r="AE48" i="1"/>
  <c r="T48" i="1"/>
  <c r="U48" i="1" s="1"/>
  <c r="W48" i="1" s="1"/>
  <c r="O48" i="1"/>
  <c r="AG47" i="1"/>
  <c r="AF47" i="1"/>
  <c r="AE47" i="1"/>
  <c r="U47" i="1"/>
  <c r="W47" i="1" s="1"/>
  <c r="O47" i="1"/>
  <c r="C47" i="1"/>
  <c r="AG46" i="1"/>
  <c r="AF46" i="1"/>
  <c r="AE46" i="1"/>
  <c r="U46" i="1"/>
  <c r="W46" i="1" s="1"/>
  <c r="O46" i="1"/>
  <c r="C46" i="1"/>
  <c r="AG45" i="1"/>
  <c r="AF45" i="1"/>
  <c r="AE45" i="1"/>
  <c r="U45" i="1"/>
  <c r="W45" i="1" s="1"/>
  <c r="O45" i="1"/>
  <c r="C45" i="1"/>
  <c r="AG44" i="1"/>
  <c r="AF44" i="1"/>
  <c r="AE44" i="1"/>
  <c r="T44" i="1"/>
  <c r="U44" i="1" s="1"/>
  <c r="W44" i="1" s="1"/>
  <c r="O44" i="1"/>
  <c r="AG43" i="1"/>
  <c r="AF43" i="1"/>
  <c r="AE43" i="1"/>
  <c r="T43" i="1"/>
  <c r="U43" i="1" s="1"/>
  <c r="W43" i="1" s="1"/>
  <c r="O43" i="1"/>
  <c r="AG42" i="1"/>
  <c r="AF42" i="1"/>
  <c r="AE42" i="1"/>
  <c r="U42" i="1"/>
  <c r="W42" i="1" s="1"/>
  <c r="T42" i="1"/>
  <c r="O42" i="1"/>
  <c r="AG41" i="1"/>
  <c r="AF41" i="1"/>
  <c r="AE41" i="1"/>
  <c r="T41" i="1"/>
  <c r="U41" i="1" s="1"/>
  <c r="W41" i="1" s="1"/>
  <c r="O41" i="1"/>
  <c r="AG40" i="1"/>
  <c r="AF40" i="1"/>
  <c r="AE40" i="1"/>
  <c r="T40" i="1"/>
  <c r="U40" i="1" s="1"/>
  <c r="W40" i="1" s="1"/>
  <c r="O40" i="1"/>
  <c r="AG39" i="1"/>
  <c r="AF39" i="1"/>
  <c r="AE39" i="1"/>
  <c r="T39" i="1"/>
  <c r="U39" i="1" s="1"/>
  <c r="W39" i="1" s="1"/>
  <c r="O39" i="1"/>
  <c r="AG38" i="1"/>
  <c r="AF38" i="1"/>
  <c r="AE38" i="1"/>
  <c r="T38" i="1"/>
  <c r="U38" i="1" s="1"/>
  <c r="W38" i="1" s="1"/>
  <c r="O38" i="1"/>
  <c r="AG37" i="1"/>
  <c r="AF37" i="1"/>
  <c r="AE37" i="1"/>
  <c r="U37" i="1"/>
  <c r="W37" i="1" s="1"/>
  <c r="O37" i="1"/>
  <c r="C37" i="1"/>
  <c r="AG36" i="1"/>
  <c r="AF36" i="1"/>
  <c r="AE36" i="1"/>
  <c r="T36" i="1"/>
  <c r="U36" i="1" s="1"/>
  <c r="W36" i="1" s="1"/>
  <c r="O36" i="1"/>
  <c r="AG35" i="1"/>
  <c r="AF35" i="1"/>
  <c r="AE35" i="1"/>
  <c r="T35" i="1"/>
  <c r="U35" i="1" s="1"/>
  <c r="W35" i="1" s="1"/>
  <c r="O35" i="1"/>
  <c r="AG34" i="1"/>
  <c r="AF34" i="1"/>
  <c r="AE34" i="1"/>
  <c r="T34" i="1"/>
  <c r="U34" i="1" s="1"/>
  <c r="W34" i="1" s="1"/>
  <c r="O34" i="1"/>
  <c r="AG33" i="1"/>
  <c r="AF33" i="1"/>
  <c r="AE33" i="1"/>
  <c r="T33" i="1"/>
  <c r="U33" i="1" s="1"/>
  <c r="W33" i="1" s="1"/>
  <c r="O33" i="1"/>
  <c r="AG32" i="1"/>
  <c r="AF32" i="1"/>
  <c r="AE32" i="1"/>
  <c r="T32" i="1"/>
  <c r="U32" i="1" s="1"/>
  <c r="W32" i="1" s="1"/>
  <c r="O32" i="1"/>
  <c r="AG31" i="1"/>
  <c r="AF31" i="1"/>
  <c r="AE31" i="1"/>
  <c r="W31" i="1"/>
  <c r="T31" i="1"/>
  <c r="U31" i="1" s="1"/>
  <c r="O31" i="1"/>
  <c r="AG30" i="1"/>
  <c r="AF30" i="1"/>
  <c r="AE30" i="1"/>
  <c r="T30" i="1"/>
  <c r="U30" i="1" s="1"/>
  <c r="W30" i="1" s="1"/>
  <c r="AG29" i="1"/>
  <c r="AF29" i="1"/>
  <c r="AE29" i="1"/>
  <c r="U29" i="1"/>
  <c r="W29" i="1" s="1"/>
  <c r="T29" i="1"/>
  <c r="O29" i="1"/>
  <c r="AG28" i="1"/>
  <c r="AF28" i="1"/>
  <c r="AE28" i="1"/>
  <c r="T28" i="1"/>
  <c r="U28" i="1" s="1"/>
  <c r="W28" i="1" s="1"/>
  <c r="O28" i="1"/>
  <c r="AG27" i="1"/>
  <c r="AF27" i="1"/>
  <c r="AE27" i="1"/>
  <c r="T27" i="1"/>
  <c r="U27" i="1" s="1"/>
  <c r="W27" i="1" s="1"/>
  <c r="O27" i="1"/>
  <c r="AG26" i="1"/>
  <c r="AF26" i="1"/>
  <c r="AE26" i="1"/>
  <c r="U26" i="1"/>
  <c r="W26" i="1" s="1"/>
  <c r="O26" i="1"/>
  <c r="C26" i="1"/>
  <c r="AG25" i="1"/>
  <c r="AF25" i="1"/>
  <c r="AE25" i="1"/>
  <c r="U25" i="1"/>
  <c r="W25" i="1" s="1"/>
  <c r="O25" i="1"/>
  <c r="C25" i="1"/>
  <c r="AG24" i="1"/>
  <c r="AF24" i="1"/>
  <c r="AE24" i="1"/>
  <c r="U24" i="1"/>
  <c r="W24" i="1" s="1"/>
  <c r="O24" i="1"/>
  <c r="C24" i="1"/>
  <c r="AG23" i="1"/>
  <c r="AF23" i="1"/>
  <c r="AE23" i="1"/>
  <c r="T23" i="1"/>
  <c r="U23" i="1" s="1"/>
  <c r="W23" i="1" s="1"/>
  <c r="O23" i="1"/>
  <c r="AG22" i="1"/>
  <c r="AF22" i="1"/>
  <c r="AE22" i="1"/>
  <c r="T22" i="1"/>
  <c r="U22" i="1" s="1"/>
  <c r="W22" i="1" s="1"/>
  <c r="O22" i="1"/>
  <c r="AG21" i="1"/>
  <c r="AF21" i="1"/>
  <c r="AE21" i="1"/>
  <c r="T21" i="1"/>
  <c r="U21" i="1" s="1"/>
  <c r="W21" i="1" s="1"/>
  <c r="O21" i="1"/>
  <c r="AG20" i="1"/>
  <c r="AF20" i="1"/>
  <c r="AE20" i="1"/>
  <c r="T20" i="1"/>
  <c r="U20" i="1" s="1"/>
  <c r="W20" i="1" s="1"/>
  <c r="O20" i="1"/>
  <c r="AG19" i="1"/>
  <c r="AF19" i="1"/>
  <c r="AE19" i="1"/>
  <c r="T19" i="1"/>
  <c r="U19" i="1" s="1"/>
  <c r="W19" i="1" s="1"/>
  <c r="O19" i="1"/>
  <c r="AQ18" i="1"/>
  <c r="AG18" i="1"/>
  <c r="AF18" i="1"/>
  <c r="AE18" i="1"/>
  <c r="T18" i="1"/>
  <c r="U18" i="1" s="1"/>
  <c r="W18" i="1" s="1"/>
  <c r="O18" i="1"/>
  <c r="AQ17" i="1"/>
  <c r="AG17" i="1"/>
  <c r="AF17" i="1"/>
  <c r="AE17" i="1"/>
  <c r="T17" i="1"/>
  <c r="U17" i="1" s="1"/>
  <c r="W17" i="1" s="1"/>
  <c r="O17" i="1"/>
  <c r="A17" i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Q16" i="1"/>
  <c r="AG16" i="1"/>
  <c r="AF16" i="1"/>
  <c r="AE16" i="1"/>
  <c r="T16" i="1"/>
  <c r="U16" i="1" s="1"/>
  <c r="W16" i="1" s="1"/>
  <c r="O16" i="1"/>
  <c r="AQ15" i="1"/>
  <c r="AG15" i="1"/>
  <c r="AF15" i="1"/>
  <c r="AE15" i="1"/>
  <c r="U15" i="1"/>
  <c r="W15" i="1" s="1"/>
  <c r="O15" i="1"/>
  <c r="C15" i="1"/>
  <c r="AQ14" i="1"/>
  <c r="AG14" i="1"/>
  <c r="AF14" i="1"/>
  <c r="AE14" i="1"/>
  <c r="U14" i="1"/>
  <c r="W14" i="1" s="1"/>
  <c r="O14" i="1"/>
  <c r="C14" i="1"/>
  <c r="AQ13" i="1"/>
  <c r="AG13" i="1"/>
  <c r="AF13" i="1"/>
  <c r="AE13" i="1"/>
  <c r="U13" i="1"/>
  <c r="W13" i="1" s="1"/>
  <c r="T13" i="1"/>
  <c r="O13" i="1"/>
  <c r="AQ12" i="1"/>
  <c r="AG12" i="1"/>
  <c r="AF12" i="1"/>
  <c r="AE12" i="1"/>
  <c r="W12" i="1"/>
  <c r="T12" i="1"/>
  <c r="U12" i="1" s="1"/>
  <c r="O12" i="1"/>
  <c r="AQ11" i="1"/>
  <c r="AG11" i="1"/>
  <c r="AF11" i="1"/>
  <c r="AE11" i="1"/>
  <c r="T11" i="1"/>
  <c r="U11" i="1" s="1"/>
  <c r="W11" i="1" s="1"/>
  <c r="O11" i="1"/>
  <c r="AQ10" i="1"/>
  <c r="T10" i="1"/>
  <c r="P10" i="1"/>
  <c r="AG10" i="1" s="1"/>
  <c r="O10" i="1"/>
  <c r="AQ9" i="1"/>
  <c r="AG9" i="1"/>
  <c r="AF9" i="1"/>
  <c r="AE9" i="1"/>
  <c r="T9" i="1"/>
  <c r="U9" i="1" s="1"/>
  <c r="W9" i="1" s="1"/>
  <c r="O9" i="1"/>
  <c r="AQ8" i="1"/>
  <c r="AG8" i="1"/>
  <c r="AF8" i="1"/>
  <c r="AE8" i="1"/>
  <c r="T8" i="1"/>
  <c r="U8" i="1" s="1"/>
  <c r="W8" i="1" s="1"/>
  <c r="O8" i="1"/>
  <c r="A8" i="1"/>
  <c r="A9" i="1" s="1"/>
  <c r="A10" i="1" s="1"/>
  <c r="A11" i="1" s="1"/>
  <c r="A12" i="1" s="1"/>
  <c r="A13" i="1" s="1"/>
  <c r="A14" i="1" s="1"/>
  <c r="A15" i="1" s="1"/>
  <c r="A16" i="1" s="1"/>
  <c r="AQ7" i="1"/>
  <c r="AG7" i="1"/>
  <c r="AF7" i="1"/>
  <c r="AE7" i="1"/>
  <c r="T7" i="1"/>
  <c r="U7" i="1" s="1"/>
  <c r="W7" i="1" s="1"/>
  <c r="O7" i="1"/>
  <c r="AQ6" i="1"/>
  <c r="AG6" i="1"/>
  <c r="AF6" i="1"/>
  <c r="AE6" i="1"/>
  <c r="U6" i="1"/>
  <c r="W6" i="1" s="1"/>
  <c r="O6" i="1"/>
  <c r="C6" i="1"/>
  <c r="AQ5" i="1"/>
  <c r="AG5" i="1"/>
  <c r="AF5" i="1"/>
  <c r="AE5" i="1"/>
  <c r="T5" i="1"/>
  <c r="U5" i="1" s="1"/>
  <c r="W5" i="1" s="1"/>
  <c r="O5" i="1"/>
  <c r="AQ4" i="1"/>
  <c r="AG4" i="1"/>
  <c r="AF4" i="1"/>
  <c r="AE4" i="1"/>
  <c r="T4" i="1"/>
  <c r="U4" i="1" s="1"/>
  <c r="W4" i="1" s="1"/>
  <c r="O4" i="1"/>
  <c r="A4" i="1"/>
  <c r="A5" i="1" s="1"/>
  <c r="A6" i="1" s="1"/>
  <c r="A7" i="1" s="1"/>
  <c r="AQ3" i="1"/>
  <c r="AG3" i="1"/>
  <c r="AF3" i="1"/>
  <c r="AE3" i="1"/>
  <c r="T3" i="1"/>
  <c r="U3" i="1" s="1"/>
  <c r="O3" i="1"/>
  <c r="A3" i="1"/>
  <c r="AE493" i="1" l="1"/>
  <c r="AF493" i="1"/>
  <c r="U493" i="1"/>
  <c r="W493" i="1" s="1"/>
  <c r="AF888" i="1"/>
  <c r="U888" i="1"/>
  <c r="W888" i="1" s="1"/>
  <c r="U363" i="1"/>
  <c r="W363" i="1" s="1"/>
  <c r="U640" i="1"/>
  <c r="W640" i="1" s="1"/>
  <c r="AF640" i="1"/>
  <c r="AE640" i="1"/>
  <c r="AF671" i="1"/>
  <c r="AE671" i="1"/>
  <c r="U671" i="1"/>
  <c r="W671" i="1" s="1"/>
  <c r="AG671" i="1"/>
  <c r="U839" i="1"/>
  <c r="W839" i="1" s="1"/>
  <c r="U243" i="1"/>
  <c r="W243" i="1" s="1"/>
  <c r="AG243" i="1"/>
  <c r="AF243" i="1"/>
  <c r="AE243" i="1"/>
  <c r="AG611" i="1"/>
  <c r="AF611" i="1"/>
  <c r="AE611" i="1"/>
  <c r="U611" i="1"/>
  <c r="W611" i="1" s="1"/>
  <c r="AF839" i="1"/>
  <c r="AG839" i="1"/>
  <c r="AE839" i="1"/>
  <c r="AE572" i="1"/>
  <c r="AG572" i="1"/>
  <c r="AF572" i="1"/>
  <c r="AF954" i="1"/>
  <c r="AG954" i="1"/>
  <c r="U978" i="1"/>
  <c r="W978" i="1" s="1"/>
  <c r="AE978" i="1"/>
  <c r="AE181" i="1"/>
  <c r="U181" i="1"/>
  <c r="W181" i="1" s="1"/>
  <c r="AF181" i="1"/>
  <c r="AG181" i="1"/>
  <c r="U346" i="1"/>
  <c r="W346" i="1" s="1"/>
  <c r="AF346" i="1"/>
  <c r="AG346" i="1"/>
  <c r="AE973" i="1"/>
  <c r="AG973" i="1"/>
  <c r="AE212" i="1"/>
  <c r="U494" i="1"/>
  <c r="W494" i="1" s="1"/>
  <c r="U521" i="1"/>
  <c r="W521" i="1" s="1"/>
  <c r="AG575" i="1"/>
  <c r="AF575" i="1"/>
  <c r="AE575" i="1"/>
  <c r="U697" i="1"/>
  <c r="W697" i="1" s="1"/>
  <c r="AG886" i="1"/>
  <c r="AF886" i="1"/>
  <c r="AE886" i="1"/>
  <c r="U936" i="1"/>
  <c r="W936" i="1" s="1"/>
  <c r="U970" i="1"/>
  <c r="W970" i="1" s="1"/>
  <c r="AE970" i="1"/>
  <c r="U973" i="1"/>
  <c r="W973" i="1" s="1"/>
  <c r="U583" i="1"/>
  <c r="W583" i="1" s="1"/>
  <c r="AE644" i="1"/>
  <c r="AE697" i="1"/>
  <c r="AF745" i="1"/>
  <c r="AG748" i="1"/>
  <c r="AF748" i="1"/>
  <c r="AE748" i="1"/>
  <c r="U796" i="1"/>
  <c r="W796" i="1" s="1"/>
  <c r="AG889" i="1"/>
  <c r="AE889" i="1"/>
  <c r="AG902" i="1"/>
  <c r="U902" i="1"/>
  <c r="W902" i="1" s="1"/>
  <c r="AE965" i="1"/>
  <c r="AG965" i="1"/>
  <c r="AF973" i="1"/>
  <c r="U587" i="1"/>
  <c r="W587" i="1" s="1"/>
  <c r="U676" i="1"/>
  <c r="W676" i="1" s="1"/>
  <c r="AF681" i="1"/>
  <c r="AG697" i="1"/>
  <c r="AG760" i="1"/>
  <c r="AF770" i="1"/>
  <c r="AG796" i="1"/>
  <c r="AG851" i="1"/>
  <c r="AF851" i="1"/>
  <c r="AE851" i="1"/>
  <c r="AG118" i="1"/>
  <c r="AG137" i="1"/>
  <c r="AF137" i="1"/>
  <c r="AE137" i="1"/>
  <c r="U137" i="1"/>
  <c r="W137" i="1" s="1"/>
  <c r="AG208" i="1"/>
  <c r="AF208" i="1"/>
  <c r="AG339" i="1"/>
  <c r="AF339" i="1"/>
  <c r="AE339" i="1"/>
  <c r="AE345" i="1"/>
  <c r="U379" i="1"/>
  <c r="W379" i="1" s="1"/>
  <c r="AG379" i="1"/>
  <c r="AF462" i="1"/>
  <c r="AE522" i="1"/>
  <c r="AG522" i="1"/>
  <c r="AG583" i="1"/>
  <c r="AF589" i="1"/>
  <c r="AG592" i="1"/>
  <c r="U605" i="1"/>
  <c r="W605" i="1" s="1"/>
  <c r="U642" i="1"/>
  <c r="W642" i="1" s="1"/>
  <c r="AG662" i="1"/>
  <c r="U662" i="1"/>
  <c r="W662" i="1" s="1"/>
  <c r="AG681" i="1"/>
  <c r="U715" i="1"/>
  <c r="W715" i="1" s="1"/>
  <c r="AE715" i="1"/>
  <c r="AG770" i="1"/>
  <c r="AE784" i="1"/>
  <c r="U874" i="1"/>
  <c r="W874" i="1" s="1"/>
  <c r="AE887" i="1"/>
  <c r="AG887" i="1"/>
  <c r="U889" i="1"/>
  <c r="W889" i="1" s="1"/>
  <c r="AG950" i="1"/>
  <c r="AG985" i="1"/>
  <c r="U985" i="1"/>
  <c r="W985" i="1" s="1"/>
  <c r="AE855" i="1"/>
  <c r="AG855" i="1"/>
  <c r="AF855" i="1"/>
  <c r="AE10" i="1"/>
  <c r="AG212" i="1"/>
  <c r="AE545" i="1"/>
  <c r="AF10" i="1"/>
  <c r="AE118" i="1"/>
  <c r="AE541" i="1"/>
  <c r="U592" i="1"/>
  <c r="W592" i="1" s="1"/>
  <c r="AF644" i="1"/>
  <c r="AF796" i="1"/>
  <c r="AF118" i="1"/>
  <c r="U462" i="1"/>
  <c r="W462" i="1" s="1"/>
  <c r="AF583" i="1"/>
  <c r="AF592" i="1"/>
  <c r="AF605" i="1"/>
  <c r="AG605" i="1"/>
  <c r="AE605" i="1"/>
  <c r="AG644" i="1"/>
  <c r="AE743" i="1"/>
  <c r="AG743" i="1"/>
  <c r="AF743" i="1"/>
  <c r="U748" i="1"/>
  <c r="W748" i="1" s="1"/>
  <c r="AF937" i="1"/>
  <c r="AG937" i="1"/>
  <c r="AE937" i="1"/>
  <c r="AG953" i="1"/>
  <c r="AE953" i="1"/>
  <c r="AG955" i="1"/>
  <c r="AG963" i="1"/>
  <c r="U963" i="1"/>
  <c r="W963" i="1" s="1"/>
  <c r="AF965" i="1"/>
  <c r="AG971" i="1"/>
  <c r="AE971" i="1"/>
  <c r="U971" i="1"/>
  <c r="W971" i="1" s="1"/>
  <c r="AF987" i="1"/>
  <c r="AF182" i="1"/>
  <c r="U208" i="1"/>
  <c r="W208" i="1" s="1"/>
  <c r="AG336" i="1"/>
  <c r="AF336" i="1"/>
  <c r="AF345" i="1"/>
  <c r="AF587" i="1"/>
  <c r="AG642" i="1"/>
  <c r="AE728" i="1"/>
  <c r="U743" i="1"/>
  <c r="W743" i="1" s="1"/>
  <c r="AF784" i="1"/>
  <c r="AE838" i="1"/>
  <c r="U851" i="1"/>
  <c r="W851" i="1" s="1"/>
  <c r="U953" i="1"/>
  <c r="W953" i="1" s="1"/>
  <c r="AG968" i="1"/>
  <c r="AF971" i="1"/>
  <c r="AG693" i="1"/>
  <c r="AE693" i="1"/>
  <c r="U364" i="1"/>
  <c r="W364" i="1" s="1"/>
  <c r="AF364" i="1"/>
  <c r="AE364" i="1"/>
  <c r="AE891" i="1"/>
  <c r="U891" i="1"/>
  <c r="W891" i="1" s="1"/>
  <c r="AE521" i="1"/>
  <c r="AF693" i="1"/>
  <c r="AG745" i="1"/>
  <c r="AG345" i="1"/>
  <c r="AG587" i="1"/>
  <c r="AG784" i="1"/>
  <c r="AG838" i="1"/>
  <c r="AG849" i="1"/>
  <c r="AF849" i="1"/>
  <c r="AE849" i="1"/>
  <c r="U890" i="1"/>
  <c r="W890" i="1" s="1"/>
  <c r="AE890" i="1"/>
  <c r="U918" i="1"/>
  <c r="W918" i="1" s="1"/>
  <c r="AE963" i="1"/>
  <c r="AE985" i="1"/>
  <c r="P1" i="1"/>
  <c r="AG352" i="1"/>
  <c r="U352" i="1"/>
  <c r="W352" i="1" s="1"/>
  <c r="U541" i="1"/>
  <c r="W541" i="1" s="1"/>
  <c r="AG541" i="1"/>
  <c r="AG675" i="1"/>
  <c r="AE675" i="1"/>
  <c r="AE904" i="1"/>
  <c r="AG904" i="1"/>
  <c r="AF904" i="1"/>
  <c r="AG936" i="1"/>
  <c r="AE936" i="1"/>
  <c r="U338" i="1"/>
  <c r="W338" i="1" s="1"/>
  <c r="U397" i="1"/>
  <c r="W397" i="1" s="1"/>
  <c r="AG397" i="1"/>
  <c r="AF397" i="1"/>
  <c r="AE397" i="1"/>
  <c r="AF876" i="1"/>
  <c r="AG876" i="1"/>
  <c r="AE876" i="1"/>
  <c r="AG891" i="1"/>
  <c r="U965" i="1"/>
  <c r="W965" i="1" s="1"/>
  <c r="U182" i="1"/>
  <c r="W182" i="1" s="1"/>
  <c r="AE116" i="1"/>
  <c r="AG116" i="1"/>
  <c r="AG182" i="1"/>
  <c r="U116" i="1"/>
  <c r="W116" i="1" s="1"/>
  <c r="O120" i="1"/>
  <c r="AG120" i="1"/>
  <c r="U120" i="1"/>
  <c r="W120" i="1" s="1"/>
  <c r="AE383" i="1"/>
  <c r="AG383" i="1"/>
  <c r="AF383" i="1"/>
  <c r="U460" i="1"/>
  <c r="W460" i="1" s="1"/>
  <c r="AF487" i="1"/>
  <c r="AG487" i="1"/>
  <c r="U562" i="1"/>
  <c r="W562" i="1" s="1"/>
  <c r="U574" i="1"/>
  <c r="W574" i="1" s="1"/>
  <c r="AG582" i="1"/>
  <c r="AF582" i="1"/>
  <c r="AE582" i="1"/>
  <c r="U606" i="1"/>
  <c r="W606" i="1" s="1"/>
  <c r="U638" i="1"/>
  <c r="W638" i="1" s="1"/>
  <c r="AG643" i="1"/>
  <c r="AF643" i="1"/>
  <c r="U702" i="1"/>
  <c r="W702" i="1" s="1"/>
  <c r="U901" i="1"/>
  <c r="W901" i="1" s="1"/>
  <c r="AE918" i="1"/>
  <c r="AF953" i="1"/>
  <c r="AF963" i="1"/>
  <c r="AG975" i="1"/>
  <c r="U975" i="1"/>
  <c r="W975" i="1" s="1"/>
  <c r="U700" i="1"/>
  <c r="W700" i="1" s="1"/>
  <c r="U757" i="1"/>
  <c r="W757" i="1" s="1"/>
  <c r="U841" i="1"/>
  <c r="W841" i="1" s="1"/>
  <c r="U884" i="1"/>
  <c r="W884" i="1" s="1"/>
  <c r="U951" i="1"/>
  <c r="W951" i="1" s="1"/>
  <c r="U10" i="1"/>
  <c r="W10" i="1" s="1"/>
  <c r="U383" i="1"/>
  <c r="W383" i="1" s="1"/>
  <c r="AF677" i="1"/>
  <c r="AF700" i="1"/>
  <c r="U703" i="1"/>
  <c r="W703" i="1" s="1"/>
  <c r="AF759" i="1"/>
  <c r="AF835" i="1"/>
  <c r="AF837" i="1"/>
  <c r="AF853" i="1"/>
  <c r="AG884" i="1"/>
  <c r="AE906" i="1"/>
  <c r="AF920" i="1"/>
  <c r="U353" i="1"/>
  <c r="W353" i="1" s="1"/>
  <c r="U678" i="1"/>
  <c r="W678" i="1" s="1"/>
  <c r="AG700" i="1"/>
  <c r="U758" i="1"/>
  <c r="W758" i="1" s="1"/>
  <c r="AG853" i="1"/>
  <c r="U919" i="1"/>
  <c r="W919" i="1" s="1"/>
  <c r="U840" i="1"/>
  <c r="W840" i="1" s="1"/>
  <c r="U962" i="1"/>
  <c r="W962" i="1" s="1"/>
  <c r="U969" i="1"/>
  <c r="W969" i="1" s="1"/>
  <c r="U974" i="1"/>
  <c r="W974" i="1" s="1"/>
  <c r="U984" i="1"/>
  <c r="W984" i="1" s="1"/>
  <c r="AF986" i="1"/>
  <c r="W3" i="1"/>
  <c r="AF314" i="1"/>
  <c r="AG314" i="1"/>
  <c r="AE314" i="1"/>
  <c r="U314" i="1"/>
  <c r="W314" i="1" s="1"/>
  <c r="AQ37" i="1"/>
  <c r="AQ45" i="1"/>
  <c r="AQ24" i="1"/>
  <c r="K985" i="1" s="1"/>
  <c r="AQ40" i="1"/>
  <c r="AQ27" i="1"/>
  <c r="AQ48" i="1"/>
  <c r="AG226" i="1"/>
  <c r="AF226" i="1"/>
  <c r="AE226" i="1"/>
  <c r="U226" i="1"/>
  <c r="W226" i="1" s="1"/>
  <c r="AG230" i="1"/>
  <c r="AF230" i="1"/>
  <c r="U230" i="1"/>
  <c r="W230" i="1" s="1"/>
  <c r="AE230" i="1"/>
  <c r="AF301" i="1"/>
  <c r="AE301" i="1"/>
  <c r="AG301" i="1"/>
  <c r="U301" i="1"/>
  <c r="W301" i="1" s="1"/>
  <c r="T1" i="1"/>
  <c r="AF621" i="1"/>
  <c r="AE621" i="1"/>
  <c r="U621" i="1"/>
  <c r="W621" i="1" s="1"/>
  <c r="AG621" i="1"/>
  <c r="AG378" i="1"/>
  <c r="AE378" i="1"/>
  <c r="AG256" i="1"/>
  <c r="AF256" i="1"/>
  <c r="AE256" i="1"/>
  <c r="U256" i="1"/>
  <c r="W256" i="1" s="1"/>
  <c r="AG451" i="1"/>
  <c r="AF451" i="1"/>
  <c r="AE451" i="1"/>
  <c r="U451" i="1"/>
  <c r="W451" i="1" s="1"/>
  <c r="AG119" i="1"/>
  <c r="U119" i="1"/>
  <c r="W119" i="1" s="1"/>
  <c r="AE119" i="1"/>
  <c r="O119" i="1"/>
  <c r="AF455" i="1"/>
  <c r="AE455" i="1"/>
  <c r="U486" i="1"/>
  <c r="W486" i="1" s="1"/>
  <c r="AE593" i="1"/>
  <c r="U593" i="1"/>
  <c r="W593" i="1" s="1"/>
  <c r="U698" i="1"/>
  <c r="W698" i="1" s="1"/>
  <c r="AG698" i="1"/>
  <c r="AF698" i="1"/>
  <c r="AQ26" i="1"/>
  <c r="AQ31" i="1"/>
  <c r="AQ39" i="1"/>
  <c r="AQ47" i="1"/>
  <c r="AQ75" i="1"/>
  <c r="U210" i="1"/>
  <c r="W210" i="1" s="1"/>
  <c r="AF378" i="1"/>
  <c r="AF385" i="1"/>
  <c r="U441" i="1"/>
  <c r="W441" i="1" s="1"/>
  <c r="AG441" i="1"/>
  <c r="AF441" i="1"/>
  <c r="AE486" i="1"/>
  <c r="AG604" i="1"/>
  <c r="U604" i="1"/>
  <c r="W604" i="1" s="1"/>
  <c r="AE604" i="1"/>
  <c r="AE716" i="1"/>
  <c r="AG716" i="1"/>
  <c r="AF716" i="1"/>
  <c r="U716" i="1"/>
  <c r="W716" i="1" s="1"/>
  <c r="O117" i="1"/>
  <c r="AG117" i="1"/>
  <c r="AF117" i="1"/>
  <c r="AE117" i="1"/>
  <c r="U117" i="1"/>
  <c r="W117" i="1" s="1"/>
  <c r="AF119" i="1"/>
  <c r="AG385" i="1"/>
  <c r="U455" i="1"/>
  <c r="W455" i="1" s="1"/>
  <c r="AF486" i="1"/>
  <c r="AF593" i="1"/>
  <c r="AE698" i="1"/>
  <c r="AG815" i="1"/>
  <c r="AE815" i="1"/>
  <c r="AF815" i="1"/>
  <c r="U815" i="1"/>
  <c r="W815" i="1" s="1"/>
  <c r="AQ29" i="1"/>
  <c r="AQ73" i="1"/>
  <c r="AQ49" i="1"/>
  <c r="AQ42" i="1"/>
  <c r="AQ35" i="1"/>
  <c r="AQ25" i="1"/>
  <c r="AQ21" i="1"/>
  <c r="AQ63" i="1"/>
  <c r="AQ32" i="1"/>
  <c r="AQ50" i="1"/>
  <c r="AQ36" i="1"/>
  <c r="AQ44" i="1"/>
  <c r="AQ28" i="1"/>
  <c r="AE115" i="1"/>
  <c r="O115" i="1"/>
  <c r="O1" i="1" s="1"/>
  <c r="AF115" i="1"/>
  <c r="AE210" i="1"/>
  <c r="AG455" i="1"/>
  <c r="AG593" i="1"/>
  <c r="AG882" i="1"/>
  <c r="AF882" i="1"/>
  <c r="U882" i="1"/>
  <c r="W882" i="1" s="1"/>
  <c r="AE882" i="1"/>
  <c r="AQ41" i="1"/>
  <c r="AQ74" i="1"/>
  <c r="U115" i="1"/>
  <c r="W115" i="1" s="1"/>
  <c r="AF210" i="1"/>
  <c r="AG277" i="1"/>
  <c r="AF277" i="1"/>
  <c r="AE277" i="1"/>
  <c r="U277" i="1"/>
  <c r="W277" i="1" s="1"/>
  <c r="AF521" i="1"/>
  <c r="AE781" i="1"/>
  <c r="U781" i="1"/>
  <c r="W781" i="1" s="1"/>
  <c r="AG781" i="1"/>
  <c r="AF781" i="1"/>
  <c r="AG850" i="1"/>
  <c r="AF850" i="1"/>
  <c r="U850" i="1"/>
  <c r="W850" i="1" s="1"/>
  <c r="AG260" i="1"/>
  <c r="AE260" i="1"/>
  <c r="AQ34" i="1"/>
  <c r="AG389" i="1"/>
  <c r="AF389" i="1"/>
  <c r="U389" i="1"/>
  <c r="W389" i="1" s="1"/>
  <c r="U744" i="1"/>
  <c r="W744" i="1" s="1"/>
  <c r="AG744" i="1"/>
  <c r="AF744" i="1"/>
  <c r="AE744" i="1"/>
  <c r="AQ33" i="1"/>
  <c r="AQ46" i="1"/>
  <c r="AF120" i="1"/>
  <c r="AE120" i="1"/>
  <c r="U370" i="1"/>
  <c r="W370" i="1" s="1"/>
  <c r="AG521" i="1"/>
  <c r="U852" i="1"/>
  <c r="W852" i="1" s="1"/>
  <c r="AF852" i="1"/>
  <c r="AG852" i="1"/>
  <c r="AG673" i="1"/>
  <c r="AE673" i="1"/>
  <c r="U673" i="1"/>
  <c r="W673" i="1" s="1"/>
  <c r="AG241" i="1"/>
  <c r="AF241" i="1"/>
  <c r="AE241" i="1"/>
  <c r="U241" i="1"/>
  <c r="W241" i="1" s="1"/>
  <c r="AF494" i="1"/>
  <c r="AE494" i="1"/>
  <c r="AG494" i="1"/>
  <c r="AE603" i="1"/>
  <c r="U603" i="1"/>
  <c r="W603" i="1" s="1"/>
  <c r="AG603" i="1"/>
  <c r="AQ23" i="1"/>
  <c r="U260" i="1"/>
  <c r="W260" i="1" s="1"/>
  <c r="U378" i="1"/>
  <c r="W378" i="1" s="1"/>
  <c r="AE385" i="1"/>
  <c r="AE461" i="1"/>
  <c r="U461" i="1"/>
  <c r="W461" i="1" s="1"/>
  <c r="AG623" i="1"/>
  <c r="AE623" i="1"/>
  <c r="U623" i="1"/>
  <c r="W623" i="1" s="1"/>
  <c r="AQ30" i="1"/>
  <c r="K979" i="1" s="1"/>
  <c r="AQ38" i="1"/>
  <c r="AQ51" i="1"/>
  <c r="AQ19" i="1"/>
  <c r="AQ22" i="1"/>
  <c r="AQ43" i="1"/>
  <c r="AG115" i="1"/>
  <c r="AE211" i="1"/>
  <c r="U211" i="1"/>
  <c r="W211" i="1" s="1"/>
  <c r="AF211" i="1"/>
  <c r="AF406" i="1"/>
  <c r="AG406" i="1"/>
  <c r="AE406" i="1"/>
  <c r="AG461" i="1"/>
  <c r="AE543" i="1"/>
  <c r="AG543" i="1"/>
  <c r="AG773" i="1"/>
  <c r="AF773" i="1"/>
  <c r="AE773" i="1"/>
  <c r="U773" i="1"/>
  <c r="W773" i="1" s="1"/>
  <c r="AG432" i="1"/>
  <c r="AE432" i="1"/>
  <c r="AF672" i="1"/>
  <c r="AE672" i="1"/>
  <c r="AE771" i="1"/>
  <c r="U771" i="1"/>
  <c r="W771" i="1" s="1"/>
  <c r="AF771" i="1"/>
  <c r="AG771" i="1"/>
  <c r="U939" i="1"/>
  <c r="W939" i="1" s="1"/>
  <c r="AG939" i="1"/>
  <c r="AF939" i="1"/>
  <c r="AE939" i="1"/>
  <c r="K982" i="1"/>
  <c r="AG338" i="1"/>
  <c r="AE338" i="1"/>
  <c r="AG699" i="1"/>
  <c r="AF699" i="1"/>
  <c r="AE699" i="1"/>
  <c r="U699" i="1"/>
  <c r="W699" i="1" s="1"/>
  <c r="AG905" i="1"/>
  <c r="AE905" i="1"/>
  <c r="AF905" i="1"/>
  <c r="U905" i="1"/>
  <c r="W905" i="1" s="1"/>
  <c r="AG209" i="1"/>
  <c r="AF209" i="1"/>
  <c r="AE209" i="1"/>
  <c r="U209" i="1"/>
  <c r="W209" i="1" s="1"/>
  <c r="AG405" i="1"/>
  <c r="AF405" i="1"/>
  <c r="AE405" i="1"/>
  <c r="AF516" i="1"/>
  <c r="AE516" i="1"/>
  <c r="AG622" i="1"/>
  <c r="AE622" i="1"/>
  <c r="U622" i="1"/>
  <c r="W622" i="1" s="1"/>
  <c r="AF629" i="1"/>
  <c r="AE629" i="1"/>
  <c r="AG629" i="1"/>
  <c r="AG672" i="1"/>
  <c r="AE774" i="1"/>
  <c r="AG774" i="1"/>
  <c r="AF774" i="1"/>
  <c r="U774" i="1"/>
  <c r="W774" i="1" s="1"/>
  <c r="AF834" i="1"/>
  <c r="AE834" i="1"/>
  <c r="U834" i="1"/>
  <c r="W834" i="1" s="1"/>
  <c r="AG834" i="1"/>
  <c r="AE352" i="1"/>
  <c r="AE363" i="1"/>
  <c r="AF432" i="1"/>
  <c r="AE454" i="1"/>
  <c r="AG454" i="1"/>
  <c r="AF454" i="1"/>
  <c r="AF590" i="1"/>
  <c r="U590" i="1"/>
  <c r="W590" i="1" s="1"/>
  <c r="AE590" i="1"/>
  <c r="U727" i="1"/>
  <c r="W727" i="1" s="1"/>
  <c r="AG727" i="1"/>
  <c r="AE727" i="1"/>
  <c r="U212" i="1"/>
  <c r="W212" i="1" s="1"/>
  <c r="AG259" i="1"/>
  <c r="AF259" i="1"/>
  <c r="AE259" i="1"/>
  <c r="U259" i="1"/>
  <c r="W259" i="1" s="1"/>
  <c r="AF352" i="1"/>
  <c r="AF363" i="1"/>
  <c r="U405" i="1"/>
  <c r="W405" i="1" s="1"/>
  <c r="U516" i="1"/>
  <c r="W516" i="1" s="1"/>
  <c r="AF546" i="1"/>
  <c r="AE546" i="1"/>
  <c r="AG588" i="1"/>
  <c r="AF588" i="1"/>
  <c r="U588" i="1"/>
  <c r="W588" i="1" s="1"/>
  <c r="AG607" i="1"/>
  <c r="AE607" i="1"/>
  <c r="AF607" i="1"/>
  <c r="U607" i="1"/>
  <c r="W607" i="1" s="1"/>
  <c r="AF622" i="1"/>
  <c r="U629" i="1"/>
  <c r="W629" i="1" s="1"/>
  <c r="AF662" i="1"/>
  <c r="AE662" i="1"/>
  <c r="AG411" i="1"/>
  <c r="U411" i="1"/>
  <c r="W411" i="1" s="1"/>
  <c r="AG475" i="1"/>
  <c r="U475" i="1"/>
  <c r="W475" i="1" s="1"/>
  <c r="U545" i="1"/>
  <c r="W545" i="1" s="1"/>
  <c r="AG573" i="1"/>
  <c r="AE573" i="1"/>
  <c r="U573" i="1"/>
  <c r="W573" i="1" s="1"/>
  <c r="AF692" i="1"/>
  <c r="AG692" i="1"/>
  <c r="U692" i="1"/>
  <c r="W692" i="1" s="1"/>
  <c r="AG842" i="1"/>
  <c r="AE842" i="1"/>
  <c r="U842" i="1"/>
  <c r="W842" i="1" s="1"/>
  <c r="AF842" i="1"/>
  <c r="U935" i="1"/>
  <c r="W935" i="1" s="1"/>
  <c r="AG680" i="1"/>
  <c r="AE680" i="1"/>
  <c r="AG940" i="1"/>
  <c r="AF940" i="1"/>
  <c r="AE940" i="1"/>
  <c r="U940" i="1"/>
  <c r="W940" i="1" s="1"/>
  <c r="AG589" i="1"/>
  <c r="U589" i="1"/>
  <c r="W589" i="1" s="1"/>
  <c r="AG591" i="1"/>
  <c r="AE591" i="1"/>
  <c r="AG641" i="1"/>
  <c r="AF641" i="1"/>
  <c r="AE641" i="1"/>
  <c r="U641" i="1"/>
  <c r="W641" i="1" s="1"/>
  <c r="U674" i="1"/>
  <c r="W674" i="1" s="1"/>
  <c r="AG674" i="1"/>
  <c r="U717" i="1"/>
  <c r="W717" i="1" s="1"/>
  <c r="AF717" i="1"/>
  <c r="AE717" i="1"/>
  <c r="AE411" i="1"/>
  <c r="AE462" i="1"/>
  <c r="AF475" i="1"/>
  <c r="AF545" i="1"/>
  <c r="AG676" i="1"/>
  <c r="AF676" i="1"/>
  <c r="AE676" i="1"/>
  <c r="U680" i="1"/>
  <c r="W680" i="1" s="1"/>
  <c r="AE702" i="1"/>
  <c r="AG782" i="1"/>
  <c r="AE782" i="1"/>
  <c r="U782" i="1"/>
  <c r="W782" i="1" s="1"/>
  <c r="AG786" i="1"/>
  <c r="AE786" i="1"/>
  <c r="AF786" i="1"/>
  <c r="U786" i="1"/>
  <c r="W786" i="1" s="1"/>
  <c r="AG663" i="1"/>
  <c r="AE663" i="1"/>
  <c r="AF760" i="1"/>
  <c r="U760" i="1"/>
  <c r="W760" i="1" s="1"/>
  <c r="AF873" i="1"/>
  <c r="AE873" i="1"/>
  <c r="U873" i="1"/>
  <c r="W873" i="1" s="1"/>
  <c r="AE701" i="1"/>
  <c r="AG701" i="1"/>
  <c r="AF701" i="1"/>
  <c r="U701" i="1"/>
  <c r="W701" i="1" s="1"/>
  <c r="AG747" i="1"/>
  <c r="AE747" i="1"/>
  <c r="AF749" i="1"/>
  <c r="AE749" i="1"/>
  <c r="U749" i="1"/>
  <c r="W749" i="1" s="1"/>
  <c r="AG795" i="1"/>
  <c r="AF795" i="1"/>
  <c r="AE795" i="1"/>
  <c r="U920" i="1"/>
  <c r="W920" i="1" s="1"/>
  <c r="AK920" i="1"/>
  <c r="AE660" i="1"/>
  <c r="AG660" i="1"/>
  <c r="AF675" i="1"/>
  <c r="U675" i="1"/>
  <c r="W675" i="1" s="1"/>
  <c r="AF679" i="1"/>
  <c r="AG679" i="1"/>
  <c r="AE902" i="1"/>
  <c r="AF902" i="1"/>
  <c r="AF522" i="1"/>
  <c r="U572" i="1"/>
  <c r="W572" i="1" s="1"/>
  <c r="U624" i="1"/>
  <c r="W624" i="1" s="1"/>
  <c r="AG630" i="1"/>
  <c r="AE630" i="1"/>
  <c r="AG640" i="1"/>
  <c r="AE642" i="1"/>
  <c r="AF663" i="1"/>
  <c r="AG691" i="1"/>
  <c r="AF691" i="1"/>
  <c r="AE691" i="1"/>
  <c r="U691" i="1"/>
  <c r="W691" i="1" s="1"/>
  <c r="U745" i="1"/>
  <c r="W745" i="1" s="1"/>
  <c r="U747" i="1"/>
  <c r="W747" i="1" s="1"/>
  <c r="AG749" i="1"/>
  <c r="U795" i="1"/>
  <c r="W795" i="1" s="1"/>
  <c r="AG703" i="1"/>
  <c r="AF703" i="1"/>
  <c r="AG718" i="1"/>
  <c r="AF718" i="1"/>
  <c r="AE797" i="1"/>
  <c r="U797" i="1"/>
  <c r="W797" i="1" s="1"/>
  <c r="AG874" i="1"/>
  <c r="AE874" i="1"/>
  <c r="AG877" i="1"/>
  <c r="AE877" i="1"/>
  <c r="U952" i="1"/>
  <c r="W952" i="1" s="1"/>
  <c r="U966" i="1"/>
  <c r="W966" i="1" s="1"/>
  <c r="AF794" i="1"/>
  <c r="U794" i="1"/>
  <c r="W794" i="1" s="1"/>
  <c r="AF872" i="1"/>
  <c r="AE872" i="1"/>
  <c r="U872" i="1"/>
  <c r="W872" i="1" s="1"/>
  <c r="AG728" i="1"/>
  <c r="AF728" i="1"/>
  <c r="AF772" i="1"/>
  <c r="AE772" i="1"/>
  <c r="AF797" i="1"/>
  <c r="U681" i="1"/>
  <c r="W681" i="1" s="1"/>
  <c r="AE703" i="1"/>
  <c r="AE718" i="1"/>
  <c r="AE794" i="1"/>
  <c r="AG797" i="1"/>
  <c r="AF877" i="1"/>
  <c r="AG888" i="1"/>
  <c r="AE888" i="1"/>
  <c r="AF891" i="1"/>
  <c r="AF952" i="1"/>
  <c r="AF962" i="1"/>
  <c r="AF966" i="1"/>
  <c r="AF970" i="1"/>
  <c r="AF974" i="1"/>
  <c r="AF978" i="1"/>
  <c r="U982" i="1"/>
  <c r="W982" i="1" s="1"/>
  <c r="AF983" i="1"/>
  <c r="AG840" i="1"/>
  <c r="AF884" i="1"/>
  <c r="AF890" i="1"/>
  <c r="AF901" i="1"/>
  <c r="AF919" i="1"/>
  <c r="AG935" i="1"/>
  <c r="AG952" i="1"/>
  <c r="AG962" i="1"/>
  <c r="AG966" i="1"/>
  <c r="AG970" i="1"/>
  <c r="AG974" i="1"/>
  <c r="AG978" i="1"/>
  <c r="AG983" i="1"/>
  <c r="U986" i="1"/>
  <c r="W986" i="1" s="1"/>
  <c r="AE977" i="1"/>
  <c r="U981" i="1"/>
  <c r="W981" i="1" s="1"/>
  <c r="AE982" i="1"/>
  <c r="U816" i="1"/>
  <c r="W816" i="1" s="1"/>
  <c r="U838" i="1"/>
  <c r="W838" i="1" s="1"/>
  <c r="AF883" i="1"/>
  <c r="AF889" i="1"/>
  <c r="AF906" i="1"/>
  <c r="AF918" i="1"/>
  <c r="U937" i="1"/>
  <c r="W937" i="1" s="1"/>
  <c r="U950" i="1"/>
  <c r="W950" i="1" s="1"/>
  <c r="U954" i="1"/>
  <c r="W954" i="1" s="1"/>
  <c r="U964" i="1"/>
  <c r="W964" i="1" s="1"/>
  <c r="U968" i="1"/>
  <c r="W968" i="1" s="1"/>
  <c r="U972" i="1"/>
  <c r="W972" i="1" s="1"/>
  <c r="U976" i="1"/>
  <c r="W976" i="1" s="1"/>
  <c r="AF982" i="1"/>
  <c r="AE986" i="1"/>
  <c r="U855" i="1"/>
  <c r="W855" i="1" s="1"/>
  <c r="U887" i="1"/>
  <c r="W887" i="1" s="1"/>
  <c r="U904" i="1"/>
  <c r="W904" i="1" s="1"/>
  <c r="AE917" i="1"/>
  <c r="AE950" i="1"/>
  <c r="AE954" i="1"/>
  <c r="AE964" i="1"/>
  <c r="AE968" i="1"/>
  <c r="AE972" i="1"/>
  <c r="AE976" i="1"/>
  <c r="AF816" i="1"/>
  <c r="U988" i="1"/>
  <c r="W988" i="1" s="1"/>
  <c r="U983" i="1"/>
  <c r="W983" i="1" s="1"/>
  <c r="AE988" i="1"/>
  <c r="AF988" i="1"/>
  <c r="AG2" i="1" l="1"/>
  <c r="AG1" i="1" s="1"/>
  <c r="BH5" i="1" s="1"/>
  <c r="K980" i="1"/>
  <c r="AE2" i="1"/>
  <c r="AE1" i="1" s="1"/>
  <c r="AF2" i="1"/>
  <c r="AF1" i="1" s="1"/>
  <c r="BH4" i="1" s="1"/>
  <c r="R1" i="1"/>
  <c r="AM920" i="1"/>
  <c r="AN920" i="1" s="1"/>
  <c r="AO920" i="1"/>
  <c r="AM921" i="1"/>
  <c r="I1" i="1"/>
  <c r="BH3" i="1"/>
  <c r="U1" i="1"/>
  <c r="W1" i="1"/>
  <c r="V1" i="1" l="1"/>
  <c r="K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V110" authorId="0" shapeId="0" xr:uid="{FD4E6C38-1610-42E0-A006-1356675891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price has changed as per approved by GM</t>
        </r>
      </text>
    </comment>
  </commentList>
</comments>
</file>

<file path=xl/sharedStrings.xml><?xml version="1.0" encoding="utf-8"?>
<sst xmlns="http://schemas.openxmlformats.org/spreadsheetml/2006/main" count="8629" uniqueCount="1045">
  <si>
    <t>Values</t>
  </si>
  <si>
    <t>S N</t>
  </si>
  <si>
    <t>DATE OF ARRIVAL</t>
  </si>
  <si>
    <t>DATE OF OFFLOADING</t>
  </si>
  <si>
    <t>RM/FG</t>
  </si>
  <si>
    <t>CREDIT/CASH</t>
  </si>
  <si>
    <t>WH LOCATION</t>
  </si>
  <si>
    <t>WH NO.</t>
  </si>
  <si>
    <t>SUPPLIERS NAME</t>
  </si>
  <si>
    <t>LBA CODE</t>
  </si>
  <si>
    <t>VEHICLE NO.</t>
  </si>
  <si>
    <t>FICHE CODE</t>
  </si>
  <si>
    <t>REF.</t>
  </si>
  <si>
    <t>FICHE</t>
  </si>
  <si>
    <t>SACS</t>
  </si>
  <si>
    <t>GROSS WT KGS</t>
  </si>
  <si>
    <t>NET WT KGS</t>
  </si>
  <si>
    <t>BON SACS</t>
  </si>
  <si>
    <t>HUMID SACS</t>
  </si>
  <si>
    <t>Sacs déchirés</t>
  </si>
  <si>
    <t>Refraction</t>
  </si>
  <si>
    <t>PAID WT</t>
  </si>
  <si>
    <t>PRICE</t>
  </si>
  <si>
    <t>AMOUNT</t>
  </si>
  <si>
    <t>MOIS.</t>
  </si>
  <si>
    <t>NUT COUNT</t>
  </si>
  <si>
    <t>KOR</t>
  </si>
  <si>
    <t>FINAL KOR</t>
  </si>
  <si>
    <t>ORIGIN</t>
  </si>
  <si>
    <t>REMARKS</t>
  </si>
  <si>
    <t>WEEKS</t>
  </si>
  <si>
    <t>Months</t>
  </si>
  <si>
    <t>Sum of PAID WT</t>
  </si>
  <si>
    <t>Average of PRICE</t>
  </si>
  <si>
    <t>Average of MOIS.</t>
  </si>
  <si>
    <t>Average of NUT COUNT</t>
  </si>
  <si>
    <t>Average of KOR</t>
  </si>
  <si>
    <t>Row Labels</t>
  </si>
  <si>
    <t>RM</t>
  </si>
  <si>
    <t>CREDIT</t>
  </si>
  <si>
    <t>BOUAKE</t>
  </si>
  <si>
    <t>BKE-002</t>
  </si>
  <si>
    <t>RCN SCOOP IMANE</t>
  </si>
  <si>
    <t>LBA-006-IMA</t>
  </si>
  <si>
    <t>827KT01</t>
  </si>
  <si>
    <t>0401-0007</t>
  </si>
  <si>
    <t>DIANRA</t>
  </si>
  <si>
    <t>W-8 Feb</t>
  </si>
  <si>
    <t>Feb</t>
  </si>
  <si>
    <t>16-Feb</t>
  </si>
  <si>
    <t>DIS-001-SCO</t>
  </si>
  <si>
    <t>Sum of GROSS WT KGS</t>
  </si>
  <si>
    <t>Sum of NET WT KGS</t>
  </si>
  <si>
    <t>TOTAL ARRIVAL</t>
  </si>
  <si>
    <t>RCN CASP-S SCOOPS</t>
  </si>
  <si>
    <t>LBA-007-CAS</t>
  </si>
  <si>
    <t>793LT03</t>
  </si>
  <si>
    <t>0429-0040</t>
  </si>
  <si>
    <t>MANKONO</t>
  </si>
  <si>
    <t>17-Feb</t>
  </si>
  <si>
    <t>DIS-002-COR</t>
  </si>
  <si>
    <t>26-Feb</t>
  </si>
  <si>
    <t>YAKRO FACTORY</t>
  </si>
  <si>
    <t>AVG. MOISTURE</t>
  </si>
  <si>
    <t>7716FP01</t>
  </si>
  <si>
    <t>18-Feb</t>
  </si>
  <si>
    <t>DIS-003-DEM</t>
  </si>
  <si>
    <t>27-Feb</t>
  </si>
  <si>
    <t>AVG. KOR</t>
  </si>
  <si>
    <t>524LS01</t>
  </si>
  <si>
    <t>REJECT</t>
  </si>
  <si>
    <t>19-Feb</t>
  </si>
  <si>
    <t>DIS-005-SOV</t>
  </si>
  <si>
    <t>28-Feb</t>
  </si>
  <si>
    <t>RCN SCOOPS HERE B</t>
  </si>
  <si>
    <t>LBA-003-HER</t>
  </si>
  <si>
    <t>8287GH03</t>
  </si>
  <si>
    <t>0426-0187</t>
  </si>
  <si>
    <t>NIAKARA</t>
  </si>
  <si>
    <t>20-Feb</t>
  </si>
  <si>
    <t>DIS-006-DIE</t>
  </si>
  <si>
    <t>04-Mar</t>
  </si>
  <si>
    <t>4731CR04</t>
  </si>
  <si>
    <t>21-Feb</t>
  </si>
  <si>
    <t>DIS-007-SPA</t>
  </si>
  <si>
    <t>05-Mar</t>
  </si>
  <si>
    <t>BKE-003</t>
  </si>
  <si>
    <t>RCN SCOPPAS SCOOPS</t>
  </si>
  <si>
    <t>LBA-009-SCO</t>
  </si>
  <si>
    <t>338KX01</t>
  </si>
  <si>
    <t>0426-0203</t>
  </si>
  <si>
    <t>22-Feb</t>
  </si>
  <si>
    <t>DIS-008-FOU</t>
  </si>
  <si>
    <t>06-Mar</t>
  </si>
  <si>
    <t>RCN DAGNOGO KARIM</t>
  </si>
  <si>
    <t>LBA-013-DAG</t>
  </si>
  <si>
    <t>3633LZ04</t>
  </si>
  <si>
    <t>0425-0068</t>
  </si>
  <si>
    <t>23-Feb</t>
  </si>
  <si>
    <t>DIS-009-YAO</t>
  </si>
  <si>
    <t>07-Mar</t>
  </si>
  <si>
    <t>753HA01</t>
  </si>
  <si>
    <t>24-Feb</t>
  </si>
  <si>
    <t>DIS-010-SAH</t>
  </si>
  <si>
    <t>08-Mar</t>
  </si>
  <si>
    <t>RCN SCOOPS BAY SCOOPS</t>
  </si>
  <si>
    <t>LBA-014-BAY</t>
  </si>
  <si>
    <t>3509KJ01</t>
  </si>
  <si>
    <t>0426-0194</t>
  </si>
  <si>
    <t>25-Feb</t>
  </si>
  <si>
    <t>DIS-011-SAM</t>
  </si>
  <si>
    <t>09-Mar</t>
  </si>
  <si>
    <t>RCN SCOOPS-OUMI/KONE SIDY</t>
  </si>
  <si>
    <t>LBA-015-OUM</t>
  </si>
  <si>
    <t>28JZ01</t>
  </si>
  <si>
    <t>0426-0347</t>
  </si>
  <si>
    <t>DIS-012-GOL</t>
  </si>
  <si>
    <t>10-Mar</t>
  </si>
  <si>
    <t>RCN SCOOPS-SOCOSIDJI</t>
  </si>
  <si>
    <t>LBA-001-SOC</t>
  </si>
  <si>
    <t>7695EF01</t>
  </si>
  <si>
    <t>DIS-013-BAB</t>
  </si>
  <si>
    <t>11-Mar</t>
  </si>
  <si>
    <t>RCN SCOOP ASER</t>
  </si>
  <si>
    <t>LBA-011-ASR</t>
  </si>
  <si>
    <t>AA398TS04</t>
  </si>
  <si>
    <t>DIS-014-DAV</t>
  </si>
  <si>
    <t>12-Mar</t>
  </si>
  <si>
    <t>RCN SCAAMT COOP CA</t>
  </si>
  <si>
    <t>LBA-002-SCA</t>
  </si>
  <si>
    <t>AA864JL01</t>
  </si>
  <si>
    <t>0419-0180</t>
  </si>
  <si>
    <t>VAVOUA</t>
  </si>
  <si>
    <t>Feb Total</t>
  </si>
  <si>
    <t>DIS-015-ESP</t>
  </si>
  <si>
    <t>13-Mar</t>
  </si>
  <si>
    <t>RCN SCOOPS WEBE</t>
  </si>
  <si>
    <t>LBA-004-WEB</t>
  </si>
  <si>
    <t>5176LG04</t>
  </si>
  <si>
    <t>0425-0212</t>
  </si>
  <si>
    <t>DABAKALA</t>
  </si>
  <si>
    <t>Mar</t>
  </si>
  <si>
    <t>01-Mar</t>
  </si>
  <si>
    <t>DIS-016-SIB</t>
  </si>
  <si>
    <t>14-Mar</t>
  </si>
  <si>
    <t>852KH03</t>
  </si>
  <si>
    <t>02-Mar</t>
  </si>
  <si>
    <t>DIS-017-MAS</t>
  </si>
  <si>
    <t>15-Mar</t>
  </si>
  <si>
    <t>6939EQ01</t>
  </si>
  <si>
    <t>KOUNAHIRI</t>
  </si>
  <si>
    <t>03-Mar</t>
  </si>
  <si>
    <t>DIS-018-PAP</t>
  </si>
  <si>
    <t>16-Mar</t>
  </si>
  <si>
    <t>RCN CAPCD-SCOOPS</t>
  </si>
  <si>
    <t>LBA-010-CAP</t>
  </si>
  <si>
    <t>AA562YL04</t>
  </si>
  <si>
    <t>0431-0277</t>
  </si>
  <si>
    <t>DIS-019-DEC</t>
  </si>
  <si>
    <t>17-Mar</t>
  </si>
  <si>
    <t>2138HC01</t>
  </si>
  <si>
    <t>0426-0340</t>
  </si>
  <si>
    <t>DIS-020-SOU</t>
  </si>
  <si>
    <t>18-Mar</t>
  </si>
  <si>
    <t>9462GX04</t>
  </si>
  <si>
    <t>DIS-021-KOB</t>
  </si>
  <si>
    <t>19-Mar</t>
  </si>
  <si>
    <t>2023HF01</t>
  </si>
  <si>
    <t>DIS-022-RES</t>
  </si>
  <si>
    <t>21-Mar</t>
  </si>
  <si>
    <t>AA533NN</t>
  </si>
  <si>
    <t>KORHOGO</t>
  </si>
  <si>
    <t>DIS-023-ICF</t>
  </si>
  <si>
    <t>22-Mar</t>
  </si>
  <si>
    <t>9817KN04</t>
  </si>
  <si>
    <t>DIS-024-CAD</t>
  </si>
  <si>
    <t>23-Mar</t>
  </si>
  <si>
    <t>913HB04</t>
  </si>
  <si>
    <t>KOUTO</t>
  </si>
  <si>
    <t>DIS-025-SIM</t>
  </si>
  <si>
    <t>24-Mar</t>
  </si>
  <si>
    <t>1367LH02</t>
  </si>
  <si>
    <t>KANI</t>
  </si>
  <si>
    <t>DIS-026-MOA</t>
  </si>
  <si>
    <t>25-Mar</t>
  </si>
  <si>
    <t>DIS-027-BAO</t>
  </si>
  <si>
    <t>26-Mar</t>
  </si>
  <si>
    <t>6085HR03</t>
  </si>
  <si>
    <t>DIS-028-ALF</t>
  </si>
  <si>
    <t>27-Mar</t>
  </si>
  <si>
    <t>653KX01</t>
  </si>
  <si>
    <t>DIS-029-CPA</t>
  </si>
  <si>
    <t>29-Mar</t>
  </si>
  <si>
    <t>RCN COP JAVA SCOOPS</t>
  </si>
  <si>
    <t>LBA-005-JAV</t>
  </si>
  <si>
    <t>285LA01</t>
  </si>
  <si>
    <t>0429-0005</t>
  </si>
  <si>
    <t>DIS-030-JPP</t>
  </si>
  <si>
    <t>30-Mar</t>
  </si>
  <si>
    <t>1447JT01</t>
  </si>
  <si>
    <t>DIS-031-ADA</t>
  </si>
  <si>
    <t>31-Mar</t>
  </si>
  <si>
    <t>RCN SCOOPS KPESSO</t>
  </si>
  <si>
    <t>LBA-012-KPE</t>
  </si>
  <si>
    <t>AA057ER03</t>
  </si>
  <si>
    <t>0426-0365</t>
  </si>
  <si>
    <t>DIS-032-SCM</t>
  </si>
  <si>
    <t>01-Apr</t>
  </si>
  <si>
    <t>9149EL04</t>
  </si>
  <si>
    <t>DIS-033-AJC</t>
  </si>
  <si>
    <t>02-Apr</t>
  </si>
  <si>
    <t>5500FL02</t>
  </si>
  <si>
    <t>BEOUMI</t>
  </si>
  <si>
    <t>DIS-034-OCE</t>
  </si>
  <si>
    <t>03-Apr</t>
  </si>
  <si>
    <t>RCN SCOOPS FRA PRO</t>
  </si>
  <si>
    <t>LBA-019-FRA</t>
  </si>
  <si>
    <t>7065GB01</t>
  </si>
  <si>
    <t>0426-0379</t>
  </si>
  <si>
    <t>DIS-035-SNC</t>
  </si>
  <si>
    <t>04-Apr</t>
  </si>
  <si>
    <t>AA044CA</t>
  </si>
  <si>
    <t>DIS-036-SEY</t>
  </si>
  <si>
    <t>06-Apr</t>
  </si>
  <si>
    <t>1367LH01</t>
  </si>
  <si>
    <t>DIS-037-PAP</t>
  </si>
  <si>
    <t>08-Apr</t>
  </si>
  <si>
    <t>AA918RX03</t>
  </si>
  <si>
    <t>DIS-038-AKF</t>
  </si>
  <si>
    <t>10-Apr</t>
  </si>
  <si>
    <t>2033FJ03</t>
  </si>
  <si>
    <t>DIS-039-ADD</t>
  </si>
  <si>
    <t>11-Apr</t>
  </si>
  <si>
    <t>DIS-040-SOL</t>
  </si>
  <si>
    <t>12-Apr</t>
  </si>
  <si>
    <t>RCN SCOOP-CA/COBAN</t>
  </si>
  <si>
    <t>LBA-008-COB</t>
  </si>
  <si>
    <t>2415CV03</t>
  </si>
  <si>
    <t>0420-0149</t>
  </si>
  <si>
    <t>DIS-041-BRO</t>
  </si>
  <si>
    <t>13-Apr</t>
  </si>
  <si>
    <t>6034JE03</t>
  </si>
  <si>
    <t>BANGOLO</t>
  </si>
  <si>
    <t>28-Mar</t>
  </si>
  <si>
    <t>DIS-CASH-001</t>
  </si>
  <si>
    <t>14-Apr</t>
  </si>
  <si>
    <t>627GZ04</t>
  </si>
  <si>
    <t>DIS-CASH-002</t>
  </si>
  <si>
    <t>15-Apr</t>
  </si>
  <si>
    <t>6089HA01</t>
  </si>
  <si>
    <t>DIS-CASH-003</t>
  </si>
  <si>
    <t>16-Apr</t>
  </si>
  <si>
    <t>DIS-CASH-004</t>
  </si>
  <si>
    <t>17-Apr</t>
  </si>
  <si>
    <t>9719FC01</t>
  </si>
  <si>
    <t>Mar Total</t>
  </si>
  <si>
    <t>DIS-CASH-005</t>
  </si>
  <si>
    <t>18-Apr</t>
  </si>
  <si>
    <t>CASH</t>
  </si>
  <si>
    <t>RCN SCOOPS CORISPORT</t>
  </si>
  <si>
    <t>2945GX01</t>
  </si>
  <si>
    <t>0427-0133</t>
  </si>
  <si>
    <t>Apr</t>
  </si>
  <si>
    <t>DIS-CASH-006</t>
  </si>
  <si>
    <t>19-Apr</t>
  </si>
  <si>
    <t>2637FH01</t>
  </si>
  <si>
    <t>0427-0007</t>
  </si>
  <si>
    <t>DIS-CASH-007</t>
  </si>
  <si>
    <t>20-Apr</t>
  </si>
  <si>
    <t>9900KU03</t>
  </si>
  <si>
    <t>DIS-CASH-008</t>
  </si>
  <si>
    <t>21-Apr</t>
  </si>
  <si>
    <t>AA459KL03</t>
  </si>
  <si>
    <t>DIS-CASH-009</t>
  </si>
  <si>
    <t>22-Apr</t>
  </si>
  <si>
    <t>5038JG06</t>
  </si>
  <si>
    <t>23-Apr</t>
  </si>
  <si>
    <t>9488FC01</t>
  </si>
  <si>
    <t>07-Apr</t>
  </si>
  <si>
    <t>24-Apr</t>
  </si>
  <si>
    <t>RCN SCOOPS AH AL NOUR</t>
  </si>
  <si>
    <t>LBA-016-NOU</t>
  </si>
  <si>
    <t>838LX01</t>
  </si>
  <si>
    <t>0425-0055</t>
  </si>
  <si>
    <t>KATIOLA</t>
  </si>
  <si>
    <t>25-Apr</t>
  </si>
  <si>
    <t>RCN SCOOPS DPVICA</t>
  </si>
  <si>
    <t>LBA-017-DPV</t>
  </si>
  <si>
    <t>32LA01</t>
  </si>
  <si>
    <t>0420-0251</t>
  </si>
  <si>
    <t>09-Apr</t>
  </si>
  <si>
    <t>26-Apr</t>
  </si>
  <si>
    <t>175GY01</t>
  </si>
  <si>
    <t>27-Apr</t>
  </si>
  <si>
    <t>5176LH04</t>
  </si>
  <si>
    <t>28-Apr</t>
  </si>
  <si>
    <t>4814KF01</t>
  </si>
  <si>
    <t>29-Apr</t>
  </si>
  <si>
    <t>30-Apr</t>
  </si>
  <si>
    <t>SAKASSAU</t>
  </si>
  <si>
    <t>02-May</t>
  </si>
  <si>
    <t>03-May</t>
  </si>
  <si>
    <t>AA944AR</t>
  </si>
  <si>
    <t>04-May</t>
  </si>
  <si>
    <t>374LK01</t>
  </si>
  <si>
    <t>LBA-012-CPE</t>
  </si>
  <si>
    <t>05-May</t>
  </si>
  <si>
    <t>6103GZ03</t>
  </si>
  <si>
    <t>DIKODOUGOU</t>
  </si>
  <si>
    <t>06-May</t>
  </si>
  <si>
    <t>07-May</t>
  </si>
  <si>
    <t>6305EP01</t>
  </si>
  <si>
    <t>W-9 Feb</t>
  </si>
  <si>
    <t>08-May</t>
  </si>
  <si>
    <t>15-May</t>
  </si>
  <si>
    <t>20-May</t>
  </si>
  <si>
    <t>21-May</t>
  </si>
  <si>
    <t>LBA-018-COP</t>
  </si>
  <si>
    <t>26-May</t>
  </si>
  <si>
    <t>7650HB07</t>
  </si>
  <si>
    <t>31-May</t>
  </si>
  <si>
    <t>4974FC01</t>
  </si>
  <si>
    <t>LBA-020-SKS</t>
  </si>
  <si>
    <t>Grand Total</t>
  </si>
  <si>
    <t>DIDIEVI</t>
  </si>
  <si>
    <t>LBA-021-SAN</t>
  </si>
  <si>
    <t>4830GN01</t>
  </si>
  <si>
    <t>FERKE</t>
  </si>
  <si>
    <t>LBA-022-NEG</t>
  </si>
  <si>
    <t>LBA-023-AGR</t>
  </si>
  <si>
    <t>2423KC03</t>
  </si>
  <si>
    <t>1649LE01</t>
  </si>
  <si>
    <t>PRIKRO</t>
  </si>
  <si>
    <t>Apr Total</t>
  </si>
  <si>
    <t>May</t>
  </si>
  <si>
    <t>RCN SCOOPS DEMBOL</t>
  </si>
  <si>
    <t>2960JH01</t>
  </si>
  <si>
    <t>0426-0440</t>
  </si>
  <si>
    <t>RCN SCOOPS COOPRAKA</t>
  </si>
  <si>
    <t>2766HC01</t>
  </si>
  <si>
    <t>0425-0001</t>
  </si>
  <si>
    <t>2952CE01</t>
  </si>
  <si>
    <t>KOUASSI</t>
  </si>
  <si>
    <t>1298HU01</t>
  </si>
  <si>
    <t>AA518FY01</t>
  </si>
  <si>
    <t>AA430LC</t>
  </si>
  <si>
    <t>May Total</t>
  </si>
  <si>
    <t>2844JS04</t>
  </si>
  <si>
    <t>AA465KK01</t>
  </si>
  <si>
    <t>Total</t>
  </si>
  <si>
    <t>BKE-001</t>
  </si>
  <si>
    <t>BOUAFLE</t>
  </si>
  <si>
    <t>AA 953 AD</t>
  </si>
  <si>
    <t>2023 HF 01</t>
  </si>
  <si>
    <t>6253KV04</t>
  </si>
  <si>
    <t>ZOUKOUGBEU</t>
  </si>
  <si>
    <t>RCN GOLDY AGRI MARKET</t>
  </si>
  <si>
    <t>3619 EJ 03</t>
  </si>
  <si>
    <t>BOUNDIALI</t>
  </si>
  <si>
    <t>4179 KF 04</t>
  </si>
  <si>
    <t>6555 CS 03</t>
  </si>
  <si>
    <t>3978 LC 01</t>
  </si>
  <si>
    <t>RCN SCOOPADA SCOOPS</t>
  </si>
  <si>
    <t>8631 EF 01</t>
  </si>
  <si>
    <t>RCN SCOOPASS</t>
  </si>
  <si>
    <t>4669CP03</t>
  </si>
  <si>
    <t>1026FL01</t>
  </si>
  <si>
    <t>BOTRO</t>
  </si>
  <si>
    <t>7558EJ03</t>
  </si>
  <si>
    <t>4139GV01</t>
  </si>
  <si>
    <t>0426-0424</t>
  </si>
  <si>
    <t>6010GB03</t>
  </si>
  <si>
    <t>RCN SCOOPS DIENE</t>
  </si>
  <si>
    <t>RCN SCOOPS FOUNDARA</t>
  </si>
  <si>
    <t>1148CV03</t>
  </si>
  <si>
    <t>4379LL02</t>
  </si>
  <si>
    <t>RCN SCOOPS IB</t>
  </si>
  <si>
    <t>RCN SOVA SCOOPS</t>
  </si>
  <si>
    <t>AA114NQ02</t>
  </si>
  <si>
    <t>0429-0361</t>
  </si>
  <si>
    <t>AA335NH01</t>
  </si>
  <si>
    <t>RCN SCOOPS MASSATIGUI</t>
  </si>
  <si>
    <t>2744KK02</t>
  </si>
  <si>
    <t>RCN SCOOPS PAPN</t>
  </si>
  <si>
    <t>2319LR01</t>
  </si>
  <si>
    <t>RCN SCOOPS SKS</t>
  </si>
  <si>
    <t>CH3646</t>
  </si>
  <si>
    <t>2496HJ04</t>
  </si>
  <si>
    <t>9828JC03</t>
  </si>
  <si>
    <t>2616GX04</t>
  </si>
  <si>
    <t>RCN YAO OUMIAN LAMBERT</t>
  </si>
  <si>
    <t>RCN CADEPO COOP CA</t>
  </si>
  <si>
    <t>RCN SCOOPS MOAYE BKE</t>
  </si>
  <si>
    <t>6089HAO1</t>
  </si>
  <si>
    <t>RCN ALFCOUL GROUP</t>
  </si>
  <si>
    <t>979HZO</t>
  </si>
  <si>
    <t>RCN SCOOPS AC SOURCING</t>
  </si>
  <si>
    <t>RCN SCOOPS JPPAGG</t>
  </si>
  <si>
    <t>DUEKOUE</t>
  </si>
  <si>
    <t>RCN ADAM IVOIRE</t>
  </si>
  <si>
    <t>AA087XL03</t>
  </si>
  <si>
    <t>RCN SCMB COOP CA</t>
  </si>
  <si>
    <t>RCN SCOOPS AJCB</t>
  </si>
  <si>
    <t>RCN SCOOPS AKF</t>
  </si>
  <si>
    <t>RCN SCOOPS PAP</t>
  </si>
  <si>
    <t>RCN SCOPA</t>
  </si>
  <si>
    <t>RCN SCOOPS ESPOIR</t>
  </si>
  <si>
    <t>1569KR01</t>
  </si>
  <si>
    <t>RCN KONE KOLOGO</t>
  </si>
  <si>
    <t>7195 HU 03</t>
  </si>
  <si>
    <t>RCN SCOOPS YIRIWA</t>
  </si>
  <si>
    <t xml:space="preserve">AV2744KK0R </t>
  </si>
  <si>
    <t>RCN SCAAB</t>
  </si>
  <si>
    <t>RCN SCOOP SAHS</t>
  </si>
  <si>
    <t>AV3916LLO2</t>
  </si>
  <si>
    <t>DALOA</t>
  </si>
  <si>
    <t>7695HJ01</t>
  </si>
  <si>
    <t>W-9 Mar</t>
  </si>
  <si>
    <t>TRITURAF</t>
  </si>
  <si>
    <t>MARCHE DE GROS</t>
  </si>
  <si>
    <t>9545FN04</t>
  </si>
  <si>
    <t>0401-0187</t>
  </si>
  <si>
    <t>W-10 Mar</t>
  </si>
  <si>
    <t>6008FE04</t>
  </si>
  <si>
    <t>4794HN01</t>
  </si>
  <si>
    <t>3337KC01</t>
  </si>
  <si>
    <t>0426-0399</t>
  </si>
  <si>
    <t>SETIFLA</t>
  </si>
  <si>
    <t>7367GV01</t>
  </si>
  <si>
    <t>SEGUELA</t>
  </si>
  <si>
    <t>AA084AG01</t>
  </si>
  <si>
    <t>7784GV04</t>
  </si>
  <si>
    <t>3376FL03</t>
  </si>
  <si>
    <t>7692GB04</t>
  </si>
  <si>
    <t>4972KB01</t>
  </si>
  <si>
    <t>0429-0606</t>
  </si>
  <si>
    <t>2788HZ04</t>
  </si>
  <si>
    <t>69883/69881</t>
  </si>
  <si>
    <t>AA727PZ07</t>
  </si>
  <si>
    <t>4313AS03</t>
  </si>
  <si>
    <t>7013HX04</t>
  </si>
  <si>
    <t>2798JR04</t>
  </si>
  <si>
    <t>5453GN01</t>
  </si>
  <si>
    <t>AA092NE</t>
  </si>
  <si>
    <t>KONGASSOU</t>
  </si>
  <si>
    <t>7569GH01</t>
  </si>
  <si>
    <t>197KL01</t>
  </si>
  <si>
    <t>9538FK04</t>
  </si>
  <si>
    <t>7013 HX 04</t>
  </si>
  <si>
    <t>AA 465 KK 01</t>
  </si>
  <si>
    <t>6253 KV 04</t>
  </si>
  <si>
    <t>3916LLO2</t>
  </si>
  <si>
    <t xml:space="preserve">DALOA </t>
  </si>
  <si>
    <t>334HT04</t>
  </si>
  <si>
    <t>0401-0154</t>
  </si>
  <si>
    <t>932GY01</t>
  </si>
  <si>
    <t>735KV01</t>
  </si>
  <si>
    <t>9816HYO12</t>
  </si>
  <si>
    <t>TIEBISSOU</t>
  </si>
  <si>
    <t>1760GZ03</t>
  </si>
  <si>
    <t>6690GB01</t>
  </si>
  <si>
    <t>68652/75592</t>
  </si>
  <si>
    <t>4981JR04</t>
  </si>
  <si>
    <t>6557FK01</t>
  </si>
  <si>
    <t>RCN SOCOSAM</t>
  </si>
  <si>
    <t>7727GR01</t>
  </si>
  <si>
    <t>0401-0145</t>
  </si>
  <si>
    <t>AA721PZ01</t>
  </si>
  <si>
    <t>2766 HC 01</t>
  </si>
  <si>
    <t>6305 EP 01</t>
  </si>
  <si>
    <t>6008 FE 04</t>
  </si>
  <si>
    <t>7796HY01</t>
  </si>
  <si>
    <t>AA248LC01</t>
  </si>
  <si>
    <t>1060JO4AR</t>
  </si>
  <si>
    <t>AV9816HYO2</t>
  </si>
  <si>
    <t>120GL01</t>
  </si>
  <si>
    <t>7210HG01</t>
  </si>
  <si>
    <t>AA944AR02</t>
  </si>
  <si>
    <t>1652JE01</t>
  </si>
  <si>
    <t>3998HF01</t>
  </si>
  <si>
    <t>5545JE01</t>
  </si>
  <si>
    <t>4639CT01</t>
  </si>
  <si>
    <t>7576HC01</t>
  </si>
  <si>
    <t>W-11 Mar</t>
  </si>
  <si>
    <t>809BA04</t>
  </si>
  <si>
    <t>5176FR03</t>
  </si>
  <si>
    <t>2060HR01</t>
  </si>
  <si>
    <t>AA653PE03</t>
  </si>
  <si>
    <t>9868JA01</t>
  </si>
  <si>
    <t>59642WWC101</t>
  </si>
  <si>
    <t>629KS01</t>
  </si>
  <si>
    <t>8867GY03</t>
  </si>
  <si>
    <t>6358JU04</t>
  </si>
  <si>
    <t>M'BENGUE</t>
  </si>
  <si>
    <t>5739GH01</t>
  </si>
  <si>
    <t>2337HV01</t>
  </si>
  <si>
    <t>3139GR03</t>
  </si>
  <si>
    <t>616KY03</t>
  </si>
  <si>
    <t>130HA04</t>
  </si>
  <si>
    <t>KONG</t>
  </si>
  <si>
    <t>2664GZ</t>
  </si>
  <si>
    <t>SEMEIN</t>
  </si>
  <si>
    <t>RCN SCOOPS BAOBAB</t>
  </si>
  <si>
    <t>AA379AD</t>
  </si>
  <si>
    <t>6867HH03</t>
  </si>
  <si>
    <t>RCN DCARRE DAVID D JOUMAN</t>
  </si>
  <si>
    <t>AV2506HKO1AR</t>
  </si>
  <si>
    <t>RCN  ESPI SCOOPS</t>
  </si>
  <si>
    <t>AA604BY01</t>
  </si>
  <si>
    <t>DJIBROSSO</t>
  </si>
  <si>
    <t>2494HJ04</t>
  </si>
  <si>
    <t>AA402GH01</t>
  </si>
  <si>
    <t>8573GA01</t>
  </si>
  <si>
    <t>ZUENOULA</t>
  </si>
  <si>
    <t>4137LG04</t>
  </si>
  <si>
    <t>4668LE02</t>
  </si>
  <si>
    <t>197KC01</t>
  </si>
  <si>
    <t>255GZ04</t>
  </si>
  <si>
    <t>2038LL06</t>
  </si>
  <si>
    <t>3591LR01</t>
  </si>
  <si>
    <t>2505KE01</t>
  </si>
  <si>
    <t>6339HA01</t>
  </si>
  <si>
    <t>5012HJ01</t>
  </si>
  <si>
    <t>9418LG03</t>
  </si>
  <si>
    <t>0401-0191</t>
  </si>
  <si>
    <t>1218JF01</t>
  </si>
  <si>
    <t>4895FV01</t>
  </si>
  <si>
    <t>3452HA01</t>
  </si>
  <si>
    <t>0426-0432</t>
  </si>
  <si>
    <t>5533KT01</t>
  </si>
  <si>
    <t>5739GN01</t>
  </si>
  <si>
    <t>8751EZ01</t>
  </si>
  <si>
    <t>4981JR01</t>
  </si>
  <si>
    <t>6621KS03</t>
  </si>
  <si>
    <t>7342GS04</t>
  </si>
  <si>
    <t>6253KU01</t>
  </si>
  <si>
    <t>AA784AQOI</t>
  </si>
  <si>
    <t>NIDROU</t>
  </si>
  <si>
    <t>2019GN01</t>
  </si>
  <si>
    <t>TORTIYA</t>
  </si>
  <si>
    <t>AA869FY01</t>
  </si>
  <si>
    <t>2698JR03</t>
  </si>
  <si>
    <t>3272JE01</t>
  </si>
  <si>
    <t>2384JV01</t>
  </si>
  <si>
    <t>4539CT01</t>
  </si>
  <si>
    <t>5544FU01</t>
  </si>
  <si>
    <t>TENGRELA</t>
  </si>
  <si>
    <t>AV6034JEO3</t>
  </si>
  <si>
    <t>AV2319LR01</t>
  </si>
  <si>
    <t>W-12 Mar</t>
  </si>
  <si>
    <t>AA301XS</t>
  </si>
  <si>
    <t>BONIEREDOUGOU</t>
  </si>
  <si>
    <t>AV2744KK02</t>
  </si>
  <si>
    <t>120GZ01</t>
  </si>
  <si>
    <t>2276KL04</t>
  </si>
  <si>
    <t>6336GP03</t>
  </si>
  <si>
    <t>33HK01</t>
  </si>
  <si>
    <t>1028FN03</t>
  </si>
  <si>
    <t>RCN DECARRE DAVID &amp;DJOUMAN</t>
  </si>
  <si>
    <t>AA680YJ03</t>
  </si>
  <si>
    <t>0321-0019</t>
  </si>
  <si>
    <t>BONDUKOU</t>
  </si>
  <si>
    <t>6978EQ01</t>
  </si>
  <si>
    <t>0426-0285</t>
  </si>
  <si>
    <t>9082GC01</t>
  </si>
  <si>
    <t>AA286TBO1/1046HYO1</t>
  </si>
  <si>
    <t>TOCIBA</t>
  </si>
  <si>
    <t>AA937LNAR7363ELO1</t>
  </si>
  <si>
    <t xml:space="preserve">DIANRA </t>
  </si>
  <si>
    <t>6085HR</t>
  </si>
  <si>
    <t>118A</t>
  </si>
  <si>
    <t>AA039CS003</t>
  </si>
  <si>
    <t>2106BA04</t>
  </si>
  <si>
    <t>1649CE01</t>
  </si>
  <si>
    <t>RCN SCOOPS AGRO NEGOCE</t>
  </si>
  <si>
    <t>1480LY01</t>
  </si>
  <si>
    <t>0408-0287</t>
  </si>
  <si>
    <t>2319LK02</t>
  </si>
  <si>
    <t>7115GU01</t>
  </si>
  <si>
    <t>8466GY03</t>
  </si>
  <si>
    <t>ODIENNE</t>
  </si>
  <si>
    <t>4457KE01</t>
  </si>
  <si>
    <t>1060KT04</t>
  </si>
  <si>
    <t>KANIASSO</t>
  </si>
  <si>
    <t>RCN SCOOPS KOB S</t>
  </si>
  <si>
    <t>1714LE01</t>
  </si>
  <si>
    <t>0401-0173</t>
  </si>
  <si>
    <t>W-13 Mar</t>
  </si>
  <si>
    <t>5JH01</t>
  </si>
  <si>
    <t>5740EH03</t>
  </si>
  <si>
    <t>4496KV03</t>
  </si>
  <si>
    <t>7203CL04</t>
  </si>
  <si>
    <t>4327LG04</t>
  </si>
  <si>
    <t>4379LL07</t>
  </si>
  <si>
    <t>8246HA03</t>
  </si>
  <si>
    <t>4834HT03</t>
  </si>
  <si>
    <t>RCN SCOOPS OUANIAGNACHION</t>
  </si>
  <si>
    <t>1421KC01/6090BA01</t>
  </si>
  <si>
    <t>GOGNOO</t>
  </si>
  <si>
    <t>8348EC03/603HU03</t>
  </si>
  <si>
    <t>RCN SCOOPS COOPRES</t>
  </si>
  <si>
    <t>0429-0611</t>
  </si>
  <si>
    <t>KORO</t>
  </si>
  <si>
    <t>RCN ICFB</t>
  </si>
  <si>
    <t>3725JE01</t>
  </si>
  <si>
    <t>0401-0177</t>
  </si>
  <si>
    <t>DESINFRA</t>
  </si>
  <si>
    <t>KOUIBLY</t>
  </si>
  <si>
    <t>2941FE03</t>
  </si>
  <si>
    <t>9003KV03</t>
  </si>
  <si>
    <t>MADINANI</t>
  </si>
  <si>
    <t>AA162RF01</t>
  </si>
  <si>
    <t>32AL01</t>
  </si>
  <si>
    <t>7936LF03</t>
  </si>
  <si>
    <t>2319LR02</t>
  </si>
  <si>
    <t>8697HZ01</t>
  </si>
  <si>
    <t>3937KT01</t>
  </si>
  <si>
    <t>ABENGOUKOU</t>
  </si>
  <si>
    <t>4346FN03</t>
  </si>
  <si>
    <t>953LU01</t>
  </si>
  <si>
    <t>W-14 Mar</t>
  </si>
  <si>
    <t>5964WWCI01</t>
  </si>
  <si>
    <t>5500FL02/8832CP02</t>
  </si>
  <si>
    <t>5545JE01/2743EJ03</t>
  </si>
  <si>
    <t>6253KU04/9488FC01</t>
  </si>
  <si>
    <t>2801FS01</t>
  </si>
  <si>
    <t>AA044CA01</t>
  </si>
  <si>
    <t>6008FE04/6895AZ03</t>
  </si>
  <si>
    <t>8287GH03/6555CS03</t>
  </si>
  <si>
    <t>4240HA04</t>
  </si>
  <si>
    <t>7287JT01</t>
  </si>
  <si>
    <t>293HV03</t>
  </si>
  <si>
    <t>1847KS01</t>
  </si>
  <si>
    <t>7212FU01/6940EQ01</t>
  </si>
  <si>
    <t>9090KV03/9003KV03</t>
  </si>
  <si>
    <t>AA562YC04</t>
  </si>
  <si>
    <t>138GL01</t>
  </si>
  <si>
    <t>AGNIBILEKRO</t>
  </si>
  <si>
    <t>3620KT01</t>
  </si>
  <si>
    <t>9640GEE04</t>
  </si>
  <si>
    <t>9082GC01/4544CR01</t>
  </si>
  <si>
    <t>7344CL03/2208GF01</t>
  </si>
  <si>
    <t>RCN SCOOPS MANANA</t>
  </si>
  <si>
    <t>2818CY01/AA822NG01</t>
  </si>
  <si>
    <t>OUANINOU</t>
  </si>
  <si>
    <t>9126KK04</t>
  </si>
  <si>
    <t>X7212FU01</t>
  </si>
  <si>
    <t>7558EJ03/9932EK03</t>
  </si>
  <si>
    <t>4981JR04/7378CB01</t>
  </si>
  <si>
    <t>3605HT01/7104CS03</t>
  </si>
  <si>
    <t>6464LU03</t>
  </si>
  <si>
    <t>K5545JE04</t>
  </si>
  <si>
    <t>A044CA</t>
  </si>
  <si>
    <t>6139KV01</t>
  </si>
  <si>
    <t>KONONFLA</t>
  </si>
  <si>
    <t>4089HK01/2223HF01</t>
  </si>
  <si>
    <t>374LK01/572KA01</t>
  </si>
  <si>
    <t>3921CN03/3922CN03</t>
  </si>
  <si>
    <t>28JZ01/3717CN01</t>
  </si>
  <si>
    <t>W-15 Mar</t>
  </si>
  <si>
    <t>M'BAHIAKRO</t>
  </si>
  <si>
    <t>6010GB03/5201GB03</t>
  </si>
  <si>
    <t>4539CT01/2857AU01</t>
  </si>
  <si>
    <t>151HY03/7733FS01</t>
  </si>
  <si>
    <t>2318JK01/2843CG01</t>
  </si>
  <si>
    <t>A9082GC01</t>
  </si>
  <si>
    <t>AA343VP04</t>
  </si>
  <si>
    <t>6305BP01</t>
  </si>
  <si>
    <t>AA0044CA</t>
  </si>
  <si>
    <t>2801FS01/9890HJ04</t>
  </si>
  <si>
    <t>3577JK04/AA301XS01</t>
  </si>
  <si>
    <t>2852A01</t>
  </si>
  <si>
    <t xml:space="preserve">KOUASSI </t>
  </si>
  <si>
    <t>AA141VT01</t>
  </si>
  <si>
    <t>AA562YL04/354LH01</t>
  </si>
  <si>
    <t>6085HR03/6633HR03</t>
  </si>
  <si>
    <t>BORON</t>
  </si>
  <si>
    <t>2552GY03/4018ER03</t>
  </si>
  <si>
    <t>BROBO</t>
  </si>
  <si>
    <t>5524JN4</t>
  </si>
  <si>
    <t>0420-0288</t>
  </si>
  <si>
    <t>SIRASSO</t>
  </si>
  <si>
    <t>307JE01</t>
  </si>
  <si>
    <t>4919KV01</t>
  </si>
  <si>
    <t>RCN SANOGO SINDOU</t>
  </si>
  <si>
    <t>8454CF04</t>
  </si>
  <si>
    <t>SCOOP BENKADY_CDAG</t>
  </si>
  <si>
    <t>RCN SIMAYAT COOP CA</t>
  </si>
  <si>
    <t xml:space="preserve">3452HA01 </t>
  </si>
  <si>
    <t>0425-0122</t>
  </si>
  <si>
    <t>2050FZ01</t>
  </si>
  <si>
    <t>1622FS01</t>
  </si>
  <si>
    <t>0325-0065</t>
  </si>
  <si>
    <t>2610GX04</t>
  </si>
  <si>
    <t>0426-0386</t>
  </si>
  <si>
    <t>2552GY03</t>
  </si>
  <si>
    <t xml:space="preserve">621FK01 </t>
  </si>
  <si>
    <t>0427-0091</t>
  </si>
  <si>
    <t>4238HY04/8502BG04</t>
  </si>
  <si>
    <t>7695EF01/3890AS01</t>
  </si>
  <si>
    <t>7065GB01/6974AX01</t>
  </si>
  <si>
    <t>6690GB01/7531EQ01</t>
  </si>
  <si>
    <t>AA379AD01/268WWCI01</t>
  </si>
  <si>
    <t xml:space="preserve">MAN </t>
  </si>
  <si>
    <t>794JL01</t>
  </si>
  <si>
    <t>1303KJ01</t>
  </si>
  <si>
    <t>9082CG01/4544CR01</t>
  </si>
  <si>
    <t>8539GS01</t>
  </si>
  <si>
    <t>W-16 Mar</t>
  </si>
  <si>
    <t xml:space="preserve">3620KT01 </t>
  </si>
  <si>
    <t xml:space="preserve">AA335NH01 </t>
  </si>
  <si>
    <t xml:space="preserve">285LA01 </t>
  </si>
  <si>
    <t xml:space="preserve">938HT03 </t>
  </si>
  <si>
    <t>SCOOPS CDAG</t>
  </si>
  <si>
    <t>AA207CS04</t>
  </si>
  <si>
    <t>6166FT04</t>
  </si>
  <si>
    <t>0401-0106</t>
  </si>
  <si>
    <t>5365GX01</t>
  </si>
  <si>
    <t>814KT02/770KT02</t>
  </si>
  <si>
    <t xml:space="preserve">AA783NC03 </t>
  </si>
  <si>
    <t>KONE ADAMA</t>
  </si>
  <si>
    <t>270LC03</t>
  </si>
  <si>
    <t>8773JC03</t>
  </si>
  <si>
    <t xml:space="preserve">4919KN01 </t>
  </si>
  <si>
    <t>RCN CPAS SCOOPS</t>
  </si>
  <si>
    <t xml:space="preserve">AA576QV02 </t>
  </si>
  <si>
    <t>0429-0462</t>
  </si>
  <si>
    <t>TOUMODI</t>
  </si>
  <si>
    <t>2114LP01</t>
  </si>
  <si>
    <t>5261JV01</t>
  </si>
  <si>
    <t>WEREHOUSE WISE</t>
  </si>
  <si>
    <t>TOTAL QTY</t>
  </si>
  <si>
    <t>6305RP01</t>
  </si>
  <si>
    <t>464LJ04/1451LC04</t>
  </si>
  <si>
    <t xml:space="preserve">1464KJ01 </t>
  </si>
  <si>
    <t xml:space="preserve">1361KL01 </t>
  </si>
  <si>
    <t xml:space="preserve">2542LG01 </t>
  </si>
  <si>
    <t>4434EZ01</t>
  </si>
  <si>
    <t>9090KV03</t>
  </si>
  <si>
    <t>3651CY03</t>
  </si>
  <si>
    <t>X2801FS01</t>
  </si>
  <si>
    <t>8304JG03/8925CS03</t>
  </si>
  <si>
    <t>1114KZ01/1700KZ01</t>
  </si>
  <si>
    <t>6238JL01/4363HU01</t>
  </si>
  <si>
    <t>3143LH03/954FS01</t>
  </si>
  <si>
    <t>2706GN01</t>
  </si>
  <si>
    <t>0426-0321</t>
  </si>
  <si>
    <t>3253LE01</t>
  </si>
  <si>
    <t>0326-0159</t>
  </si>
  <si>
    <t>AA359EJ01</t>
  </si>
  <si>
    <t>MINIGNAN</t>
  </si>
  <si>
    <t>1635LR01</t>
  </si>
  <si>
    <t>2387JE01</t>
  </si>
  <si>
    <t>5821GH01</t>
  </si>
  <si>
    <t>696FV02</t>
  </si>
  <si>
    <t>AB026AH</t>
  </si>
  <si>
    <t>1528LP01</t>
  </si>
  <si>
    <t>AA456BZZ</t>
  </si>
  <si>
    <t>0426-0123</t>
  </si>
  <si>
    <t>5911KT04</t>
  </si>
  <si>
    <t xml:space="preserve">7650GJ04 </t>
  </si>
  <si>
    <t>DJEBONOUA</t>
  </si>
  <si>
    <t>SCOOPS PS</t>
  </si>
  <si>
    <t>8567FF03</t>
  </si>
  <si>
    <t xml:space="preserve">2028GY01 </t>
  </si>
  <si>
    <t>AA822NQ01</t>
  </si>
  <si>
    <t>AA576QV02</t>
  </si>
  <si>
    <t>AA187AQ01/6368EF01</t>
  </si>
  <si>
    <t>8545FJ01/786GH01</t>
  </si>
  <si>
    <t>7981EQ03/6907AZ03</t>
  </si>
  <si>
    <t>460CH05</t>
  </si>
  <si>
    <t>8584KG04</t>
  </si>
  <si>
    <t>9450GX01</t>
  </si>
  <si>
    <t>2318JK01</t>
  </si>
  <si>
    <t>0426-0429</t>
  </si>
  <si>
    <t>1114KZ01</t>
  </si>
  <si>
    <t>8113GA01</t>
  </si>
  <si>
    <t>4919KN01</t>
  </si>
  <si>
    <t xml:space="preserve">AA095EV01 </t>
  </si>
  <si>
    <t xml:space="preserve">AA721PZ01 </t>
  </si>
  <si>
    <t>4972KB01/9901KD01</t>
  </si>
  <si>
    <t>6939EQ01/8653EG01</t>
  </si>
  <si>
    <t>7212PU01/6940EQ01</t>
  </si>
  <si>
    <t>RCN OCEAN NEGOSE</t>
  </si>
  <si>
    <t>AA929ZT01/AA679JQ01</t>
  </si>
  <si>
    <t>W-17 Mar</t>
  </si>
  <si>
    <t>AA324PK03</t>
  </si>
  <si>
    <t xml:space="preserve">AA439NX06  </t>
  </si>
  <si>
    <t xml:space="preserve">3143LH03 </t>
  </si>
  <si>
    <t xml:space="preserve">5176LG04 </t>
  </si>
  <si>
    <t xml:space="preserve">9086GX03 </t>
  </si>
  <si>
    <t xml:space="preserve">AA161JA03 </t>
  </si>
  <si>
    <t>0429-0202</t>
  </si>
  <si>
    <t>GBOGUHE</t>
  </si>
  <si>
    <t xml:space="preserve">AA141VT01 </t>
  </si>
  <si>
    <t xml:space="preserve">138GL01 </t>
  </si>
  <si>
    <t xml:space="preserve">319KV01 </t>
  </si>
  <si>
    <t>0301-0064</t>
  </si>
  <si>
    <t>8773JC01/3277CX04</t>
  </si>
  <si>
    <t>TRANSUA</t>
  </si>
  <si>
    <t>2123LH01/1007HH04</t>
  </si>
  <si>
    <t>8925CS03</t>
  </si>
  <si>
    <t>6253KJ04</t>
  </si>
  <si>
    <t xml:space="preserve">5116HF01 </t>
  </si>
  <si>
    <t xml:space="preserve">2743CU03 </t>
  </si>
  <si>
    <t>3143LH03</t>
  </si>
  <si>
    <t>4078KS03</t>
  </si>
  <si>
    <t>9406HV01</t>
  </si>
  <si>
    <t>6742FG04</t>
  </si>
  <si>
    <t xml:space="preserve">AA115LF01 </t>
  </si>
  <si>
    <t>938HF03</t>
  </si>
  <si>
    <t xml:space="preserve">2596FZ03 </t>
  </si>
  <si>
    <t>4520KR01</t>
  </si>
  <si>
    <t>AA929ZT01</t>
  </si>
  <si>
    <t>4434EZ01/</t>
  </si>
  <si>
    <t>7882GH01</t>
  </si>
  <si>
    <t>1450HH04</t>
  </si>
  <si>
    <t>8156EF03</t>
  </si>
  <si>
    <t>65GP01</t>
  </si>
  <si>
    <t xml:space="preserve">AA944AR01 </t>
  </si>
  <si>
    <t>2028GY01</t>
  </si>
  <si>
    <t>RCN SCOOPS SCNB</t>
  </si>
  <si>
    <t xml:space="preserve">4214JH03 </t>
  </si>
  <si>
    <t>0401-0057</t>
  </si>
  <si>
    <t xml:space="preserve">1861KY01 </t>
  </si>
  <si>
    <t>9584GX03/4742BB04</t>
  </si>
  <si>
    <t>627GZ04/3887JA04</t>
  </si>
  <si>
    <t>8229FV02/9908BG01</t>
  </si>
  <si>
    <t>4852HV03</t>
  </si>
  <si>
    <t>9333WCI01</t>
  </si>
  <si>
    <t>5741GY04</t>
  </si>
  <si>
    <t>AA245YN03</t>
  </si>
  <si>
    <t>6872HB01</t>
  </si>
  <si>
    <t>5740EH03/5742EH03</t>
  </si>
  <si>
    <t>2289FS04/2294FP04</t>
  </si>
  <si>
    <t>7191CL03/3433HC01</t>
  </si>
  <si>
    <t>M BAHIAKRO</t>
  </si>
  <si>
    <t>6161JZ03/6103JZ03</t>
  </si>
  <si>
    <t>6866JG04/5245GL04</t>
  </si>
  <si>
    <t>RCN SCOOPS PSP</t>
  </si>
  <si>
    <t>AA226CP/AA316CE01</t>
  </si>
  <si>
    <t>ANIANOU</t>
  </si>
  <si>
    <t xml:space="preserve">AA798AV01  </t>
  </si>
  <si>
    <t>1889KH01</t>
  </si>
  <si>
    <t xml:space="preserve">2319LR02 </t>
  </si>
  <si>
    <t>621KF01</t>
  </si>
  <si>
    <t>RCN COOPCA TOE SEYDOU</t>
  </si>
  <si>
    <t xml:space="preserve">8774KS04 </t>
  </si>
  <si>
    <t>0331-0083</t>
  </si>
  <si>
    <t>AA231VP04</t>
  </si>
  <si>
    <t>7006HV01</t>
  </si>
  <si>
    <t>SANDEGUE</t>
  </si>
  <si>
    <t>T9584GX03</t>
  </si>
  <si>
    <t>792LS04/875HB04</t>
  </si>
  <si>
    <t xml:space="preserve">AA717FV03 </t>
  </si>
  <si>
    <t>SCOOPS LAGANFIA</t>
  </si>
  <si>
    <t>AA439NX06</t>
  </si>
  <si>
    <t>7650GS07</t>
  </si>
  <si>
    <t>AA187AQ01</t>
  </si>
  <si>
    <t>0426-0352</t>
  </si>
  <si>
    <t>2563GY01</t>
  </si>
  <si>
    <t>211HA01</t>
  </si>
  <si>
    <t>6007GP03</t>
  </si>
  <si>
    <t>360LU01</t>
  </si>
  <si>
    <t>0408-0440</t>
  </si>
  <si>
    <t>TOUBA</t>
  </si>
  <si>
    <t>3284KP01</t>
  </si>
  <si>
    <t>5151CK03</t>
  </si>
  <si>
    <t xml:space="preserve">2767HC01 </t>
  </si>
  <si>
    <t>NANOUFLA</t>
  </si>
  <si>
    <t xml:space="preserve">5500FL02 </t>
  </si>
  <si>
    <t xml:space="preserve">929ZT01 </t>
  </si>
  <si>
    <t>AA14PB01/5533GH01</t>
  </si>
  <si>
    <t>7468GJ04</t>
  </si>
  <si>
    <t>9149LE021/6786EF05</t>
  </si>
  <si>
    <t>7936LF03/7938LF03</t>
  </si>
  <si>
    <t>OUANGOLODOUGOU</t>
  </si>
  <si>
    <t>AA547FT01/4022LU03</t>
  </si>
  <si>
    <t xml:space="preserve">6526HZ04 </t>
  </si>
  <si>
    <t xml:space="preserve">5446KV07 </t>
  </si>
  <si>
    <t>SINFRA</t>
  </si>
  <si>
    <t xml:space="preserve">AA560LJ01 </t>
  </si>
  <si>
    <t>AA738PN01</t>
  </si>
  <si>
    <t>4098BB04</t>
  </si>
  <si>
    <t>7242JS01</t>
  </si>
  <si>
    <t>2289FS04</t>
  </si>
  <si>
    <t>8773JC01</t>
  </si>
  <si>
    <t>AA547FT01</t>
  </si>
  <si>
    <t>3257KE01</t>
  </si>
  <si>
    <t>KOLIA</t>
  </si>
  <si>
    <t xml:space="preserve">9970HE07 </t>
  </si>
  <si>
    <t xml:space="preserve">4981JR04 </t>
  </si>
  <si>
    <t>8868EK03</t>
  </si>
  <si>
    <t>2396KY01/6870GV01</t>
  </si>
  <si>
    <t>750EH01/3742GR01</t>
  </si>
  <si>
    <t>8113GA04</t>
  </si>
  <si>
    <t>3039KT01/7442CL02</t>
  </si>
  <si>
    <t>1437FK03/821BG03</t>
  </si>
  <si>
    <t>5563GX03/5195CF03</t>
  </si>
  <si>
    <t>9064HV01/3245RY01</t>
  </si>
  <si>
    <t>AA215CV03/AA228CV03</t>
  </si>
  <si>
    <t>RCN BENI BUSINESS CENTER</t>
  </si>
  <si>
    <t>2022LL03/AA497CF</t>
  </si>
  <si>
    <t>412EJ02/1930K01</t>
  </si>
  <si>
    <t>621KF01/8421GH01</t>
  </si>
  <si>
    <t>9133JK01/2099LY01</t>
  </si>
  <si>
    <t>7153KB04/4807HE03</t>
  </si>
  <si>
    <t>307JE01/8922JC04</t>
  </si>
  <si>
    <t xml:space="preserve">7444FK03 </t>
  </si>
  <si>
    <t>8874FS04</t>
  </si>
  <si>
    <t>3709LF01/3048SE02</t>
  </si>
  <si>
    <t>4747JL03</t>
  </si>
  <si>
    <t>8014CL01</t>
  </si>
  <si>
    <t>5012HJ01/3822CF01</t>
  </si>
  <si>
    <t>5947KJ04</t>
  </si>
  <si>
    <t>1070GG01</t>
  </si>
  <si>
    <t xml:space="preserve">9791HS03 </t>
  </si>
  <si>
    <t xml:space="preserve">9333WWCI01 </t>
  </si>
  <si>
    <t xml:space="preserve">AA518FY01 </t>
  </si>
  <si>
    <t>SCOOPS PAGNELE (CDAG)</t>
  </si>
  <si>
    <t xml:space="preserve">2744KK02 </t>
  </si>
  <si>
    <t xml:space="preserve">2605LP03 </t>
  </si>
  <si>
    <t>RCN SOCOOP ADD COOP CA</t>
  </si>
  <si>
    <t xml:space="preserve">560GS01 </t>
  </si>
  <si>
    <t>0426-0063</t>
  </si>
  <si>
    <t>DAIUKRO</t>
  </si>
  <si>
    <t>2396KY01</t>
  </si>
  <si>
    <t>3015CN03</t>
  </si>
  <si>
    <t>8981FU01</t>
  </si>
  <si>
    <t>6557HY07/2886JH07</t>
  </si>
  <si>
    <t>3543KB01/2768EE02</t>
  </si>
  <si>
    <t>5261JV01/5136JV02</t>
  </si>
  <si>
    <t>3679LF07/8304FH07</t>
  </si>
  <si>
    <t>4817JE04/8370JR04</t>
  </si>
  <si>
    <t>6589GN01/3779CN01</t>
  </si>
  <si>
    <t>AA465KK01/AA013KL01</t>
  </si>
  <si>
    <t>RCN AGRICAS IVOIRE</t>
  </si>
  <si>
    <t>9032JL07</t>
  </si>
  <si>
    <t>YAMOUSSOUKRO</t>
  </si>
  <si>
    <t>1010HL04/1884CJ01</t>
  </si>
  <si>
    <t>8981FU01/3748CK04</t>
  </si>
  <si>
    <t>953LU01/1113CV01</t>
  </si>
  <si>
    <t>1562JS01</t>
  </si>
  <si>
    <t>7063JA01</t>
  </si>
  <si>
    <t>5088ER03</t>
  </si>
  <si>
    <t>997JY01/3599KV01</t>
  </si>
  <si>
    <t>5328KZ03/3332LB03</t>
  </si>
  <si>
    <t>6150FL04</t>
  </si>
  <si>
    <t>1562GS01</t>
  </si>
  <si>
    <t>6161GZ03</t>
  </si>
  <si>
    <t>7257CL03</t>
  </si>
  <si>
    <t xml:space="preserve">AA539FT01 </t>
  </si>
  <si>
    <t xml:space="preserve">3294KV01 </t>
  </si>
  <si>
    <t xml:space="preserve">3916LL02 </t>
  </si>
  <si>
    <t xml:space="preserve">SJ459687 </t>
  </si>
  <si>
    <t xml:space="preserve">4139EP01 </t>
  </si>
  <si>
    <t>1010HL04</t>
  </si>
  <si>
    <t>838LY01</t>
  </si>
  <si>
    <t xml:space="preserve">2641CV03 </t>
  </si>
  <si>
    <t>SCAN COOP CA</t>
  </si>
  <si>
    <t>RCN BROUMA SARL</t>
  </si>
  <si>
    <t>8087JB01</t>
  </si>
  <si>
    <t>0331-0057</t>
  </si>
  <si>
    <t>GOHITAFLA</t>
  </si>
  <si>
    <t>7636HZ05</t>
  </si>
  <si>
    <t xml:space="preserve">2060HC01 </t>
  </si>
  <si>
    <t xml:space="preserve">933KC01 </t>
  </si>
  <si>
    <t>DAOUKRO</t>
  </si>
  <si>
    <t xml:space="preserve">9551HL01 </t>
  </si>
  <si>
    <t xml:space="preserve">1504LB01 </t>
  </si>
  <si>
    <t xml:space="preserve">3725JE01 </t>
  </si>
  <si>
    <t>AA674XF03/6358CL01</t>
  </si>
  <si>
    <t>6421JC01/2467GN01</t>
  </si>
  <si>
    <t>AA044CA/4068BG04</t>
  </si>
  <si>
    <t>5328KZ03</t>
  </si>
  <si>
    <t>2458HT04</t>
  </si>
  <si>
    <t>RCN SOLANDA-CI</t>
  </si>
  <si>
    <t xml:space="preserve">AB714BE04 </t>
  </si>
  <si>
    <t>0331-0092</t>
  </si>
  <si>
    <t>BERE</t>
  </si>
  <si>
    <t xml:space="preserve">AA335NH </t>
  </si>
  <si>
    <t xml:space="preserve">9173JA01 </t>
  </si>
  <si>
    <t xml:space="preserve">2123LH0 </t>
  </si>
  <si>
    <t xml:space="preserve">4557KE01 </t>
  </si>
  <si>
    <t>CODJISA</t>
  </si>
  <si>
    <t xml:space="preserve">2429CV03 </t>
  </si>
  <si>
    <t>2387JE01/6617FY01</t>
  </si>
  <si>
    <t>7576HC01/5818FX01</t>
  </si>
  <si>
    <t>9253CX03</t>
  </si>
  <si>
    <t>9903AX01</t>
  </si>
  <si>
    <t>10FK03/6498BC04</t>
  </si>
  <si>
    <t>9335EF01</t>
  </si>
  <si>
    <t>AA127YR03/9272FG01</t>
  </si>
  <si>
    <t>6142HZ01/3812KK04</t>
  </si>
  <si>
    <t>4848HR01/6100HU01</t>
  </si>
  <si>
    <t xml:space="preserve">9783JH04 </t>
  </si>
  <si>
    <t>0520-0024</t>
  </si>
  <si>
    <t>3039KT01</t>
  </si>
  <si>
    <t>09053</t>
  </si>
  <si>
    <t xml:space="preserve">54GH04 </t>
  </si>
  <si>
    <t>AA343ET01</t>
  </si>
  <si>
    <t>2977KT03/AA38YB03</t>
  </si>
  <si>
    <t>AA235SC04/524CT04</t>
  </si>
  <si>
    <t>4669CP03/7164AX03</t>
  </si>
  <si>
    <t>5382GG01</t>
  </si>
  <si>
    <t>838LY01/6297BH01</t>
  </si>
  <si>
    <t>9611CV03</t>
  </si>
  <si>
    <t>0431-0018</t>
  </si>
  <si>
    <t>KOUBIRRO</t>
  </si>
  <si>
    <t>SCOOP CA BENKADI</t>
  </si>
  <si>
    <t xml:space="preserve">8751EZ01 </t>
  </si>
  <si>
    <t>0429-0180</t>
  </si>
  <si>
    <t xml:space="preserve">4050LE07 </t>
  </si>
  <si>
    <t>0401-0094</t>
  </si>
  <si>
    <t>1386KX04/1028KT04</t>
  </si>
  <si>
    <t>9126KK04/2743EJ03</t>
  </si>
  <si>
    <t>1760JZ03/33HK01</t>
  </si>
  <si>
    <t>9640GE04/4196CF03</t>
  </si>
  <si>
    <t>3487FZ02/5507JA01</t>
  </si>
  <si>
    <t xml:space="preserve">6139KV01 </t>
  </si>
  <si>
    <t>AA184AV</t>
  </si>
  <si>
    <t xml:space="preserve">4668LR04 </t>
  </si>
  <si>
    <t xml:space="preserve">7987JL03 </t>
  </si>
  <si>
    <t xml:space="preserve">AA359EJ01 </t>
  </si>
  <si>
    <t xml:space="preserve">3008FT01 </t>
  </si>
  <si>
    <t xml:space="preserve">8188KU03 </t>
  </si>
  <si>
    <t>SAMATIGUILA</t>
  </si>
  <si>
    <t xml:space="preserve">3680FK04 </t>
  </si>
  <si>
    <t xml:space="preserve">9155HP04 </t>
  </si>
  <si>
    <t>694KA03</t>
  </si>
  <si>
    <t>KOUASSI KOUASSIKRO</t>
  </si>
  <si>
    <t>8549CE03</t>
  </si>
  <si>
    <t xml:space="preserve">2310JC03 </t>
  </si>
  <si>
    <t xml:space="preserve">5261JV01 </t>
  </si>
  <si>
    <t xml:space="preserve">5966CK07 </t>
  </si>
  <si>
    <t>AA122GP01</t>
  </si>
  <si>
    <t>SAHANDRA</t>
  </si>
  <si>
    <t>RCN ANAGROCI UT-CCA</t>
  </si>
  <si>
    <t>DIS-004-ANA</t>
  </si>
  <si>
    <t xml:space="preserve">1070KA01 </t>
  </si>
  <si>
    <t>0201-112610-0037</t>
  </si>
  <si>
    <t>1294JS02</t>
  </si>
  <si>
    <t>LOGBAKRO</t>
  </si>
  <si>
    <t>9153JR01</t>
  </si>
  <si>
    <t>AA626NT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</si>
</sst>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0\ 000"/>
    <numFmt numFmtId="166" formatCode="[$-409]d\-mmm\-yy;@"/>
    <numFmt numFmtId="167" formatCode="0000\ 000"/>
    <numFmt numFmtId="168" formatCode="0.000"/>
    <numFmt numFmtId="169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3">
    <xf numFmtId="0" fontId="0" fillId="0" borderId="0" xfId="0"/>
    <xf numFmtId="43" fontId="0" fillId="0" borderId="0" xfId="0" applyNumberFormat="1"/>
    <xf numFmtId="0" fontId="4" fillId="0" borderId="0" xfId="0" applyFont="1"/>
    <xf numFmtId="164" fontId="4" fillId="0" borderId="0" xfId="1" applyNumberFormat="1" applyFont="1"/>
    <xf numFmtId="10" fontId="5" fillId="0" borderId="0" xfId="2" applyNumberFormat="1" applyFont="1"/>
    <xf numFmtId="165" fontId="4" fillId="0" borderId="0" xfId="0" applyNumberFormat="1" applyFont="1"/>
    <xf numFmtId="164" fontId="4" fillId="0" borderId="0" xfId="1" applyNumberFormat="1" applyFont="1" applyAlignment="1"/>
    <xf numFmtId="2" fontId="4" fillId="0" borderId="0" xfId="0" applyNumberFormat="1" applyFont="1"/>
    <xf numFmtId="43" fontId="0" fillId="0" borderId="0" xfId="1" applyFont="1"/>
    <xf numFmtId="43" fontId="4" fillId="0" borderId="0" xfId="0" applyNumberFormat="1" applyFont="1"/>
    <xf numFmtId="0" fontId="0" fillId="0" borderId="1" xfId="0" applyBorder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vertical="center"/>
    </xf>
    <xf numFmtId="164" fontId="0" fillId="0" borderId="0" xfId="1" applyNumberFormat="1" applyFont="1"/>
    <xf numFmtId="0" fontId="0" fillId="0" borderId="5" xfId="0" applyBorder="1" applyAlignment="1">
      <alignment wrapText="1"/>
    </xf>
    <xf numFmtId="166" fontId="0" fillId="0" borderId="1" xfId="0" applyNumberFormat="1" applyBorder="1"/>
    <xf numFmtId="0" fontId="0" fillId="0" borderId="6" xfId="0" quotePrefix="1" applyBorder="1"/>
    <xf numFmtId="165" fontId="0" fillId="0" borderId="1" xfId="0" applyNumberFormat="1" applyBorder="1"/>
    <xf numFmtId="164" fontId="0" fillId="0" borderId="1" xfId="1" applyNumberFormat="1" applyFont="1" applyBorder="1"/>
    <xf numFmtId="2" fontId="0" fillId="0" borderId="1" xfId="0" applyNumberFormat="1" applyBorder="1"/>
    <xf numFmtId="1" fontId="0" fillId="0" borderId="1" xfId="0" applyNumberFormat="1" applyBorder="1" applyAlignment="1">
      <alignment horizontal="center"/>
    </xf>
    <xf numFmtId="2" fontId="0" fillId="4" borderId="1" xfId="0" applyNumberFormat="1" applyFill="1" applyBorder="1"/>
    <xf numFmtId="14" fontId="0" fillId="0" borderId="1" xfId="0" applyNumberFormat="1" applyBorder="1"/>
    <xf numFmtId="0" fontId="0" fillId="0" borderId="7" xfId="0" applyBorder="1"/>
    <xf numFmtId="0" fontId="0" fillId="0" borderId="0" xfId="0" applyNumberFormat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5" xfId="0" applyBorder="1"/>
    <xf numFmtId="0" fontId="0" fillId="0" borderId="1" xfId="0" quotePrefix="1" applyBorder="1"/>
    <xf numFmtId="166" fontId="0" fillId="0" borderId="0" xfId="0" applyNumberFormat="1"/>
    <xf numFmtId="166" fontId="3" fillId="0" borderId="1" xfId="0" applyNumberFormat="1" applyFont="1" applyBorder="1"/>
    <xf numFmtId="0" fontId="3" fillId="0" borderId="1" xfId="0" applyFont="1" applyBorder="1"/>
    <xf numFmtId="165" fontId="3" fillId="0" borderId="1" xfId="0" applyNumberFormat="1" applyFont="1" applyBorder="1"/>
    <xf numFmtId="164" fontId="3" fillId="0" borderId="1" xfId="1" applyNumberFormat="1" applyFont="1" applyBorder="1"/>
    <xf numFmtId="2" fontId="3" fillId="0" borderId="1" xfId="0" applyNumberFormat="1" applyFont="1" applyBorder="1"/>
    <xf numFmtId="1" fontId="3" fillId="0" borderId="1" xfId="0" applyNumberFormat="1" applyFont="1" applyBorder="1" applyAlignment="1">
      <alignment horizontal="center"/>
    </xf>
    <xf numFmtId="2" fontId="3" fillId="4" borderId="1" xfId="0" applyNumberFormat="1" applyFont="1" applyFill="1" applyBorder="1"/>
    <xf numFmtId="14" fontId="3" fillId="0" borderId="1" xfId="0" applyNumberFormat="1" applyFont="1" applyBorder="1"/>
    <xf numFmtId="2" fontId="0" fillId="5" borderId="1" xfId="0" applyNumberFormat="1" applyFill="1" applyBorder="1"/>
    <xf numFmtId="1" fontId="0" fillId="0" borderId="1" xfId="0" applyNumberFormat="1" applyBorder="1"/>
    <xf numFmtId="168" fontId="3" fillId="0" borderId="1" xfId="0" applyNumberFormat="1" applyFont="1" applyBorder="1"/>
    <xf numFmtId="164" fontId="0" fillId="6" borderId="1" xfId="1" applyNumberFormat="1" applyFont="1" applyFill="1" applyBorder="1"/>
    <xf numFmtId="164" fontId="3" fillId="0" borderId="1" xfId="1" applyNumberFormat="1" applyFont="1" applyFill="1" applyBorder="1"/>
    <xf numFmtId="164" fontId="0" fillId="0" borderId="1" xfId="1" applyNumberFormat="1" applyFont="1" applyFill="1" applyBorder="1"/>
    <xf numFmtId="169" fontId="0" fillId="0" borderId="1" xfId="0" applyNumberFormat="1" applyBorder="1"/>
    <xf numFmtId="0" fontId="6" fillId="0" borderId="1" xfId="0" applyFont="1" applyBorder="1"/>
    <xf numFmtId="165" fontId="6" fillId="0" borderId="1" xfId="0" applyNumberFormat="1" applyFont="1" applyBorder="1"/>
    <xf numFmtId="164" fontId="6" fillId="0" borderId="1" xfId="1" applyNumberFormat="1" applyFont="1" applyBorder="1"/>
    <xf numFmtId="2" fontId="6" fillId="0" borderId="1" xfId="0" applyNumberFormat="1" applyFont="1" applyBorder="1"/>
    <xf numFmtId="1" fontId="6" fillId="0" borderId="1" xfId="0" applyNumberFormat="1" applyFont="1" applyBorder="1" applyAlignment="1">
      <alignment horizontal="center"/>
    </xf>
    <xf numFmtId="2" fontId="6" fillId="4" borderId="1" xfId="0" applyNumberFormat="1" applyFont="1" applyFill="1" applyBorder="1"/>
    <xf numFmtId="14" fontId="6" fillId="0" borderId="1" xfId="0" applyNumberFormat="1" applyFont="1" applyBorder="1"/>
    <xf numFmtId="0" fontId="6" fillId="0" borderId="1" xfId="0" quotePrefix="1" applyFont="1" applyBorder="1"/>
    <xf numFmtId="43" fontId="0" fillId="3" borderId="0" xfId="0" applyNumberFormat="1" applyFill="1"/>
    <xf numFmtId="164" fontId="0" fillId="0" borderId="0" xfId="0" applyNumberFormat="1"/>
    <xf numFmtId="0" fontId="0" fillId="5" borderId="0" xfId="0" applyFill="1"/>
    <xf numFmtId="164" fontId="6" fillId="5" borderId="1" xfId="1" applyNumberFormat="1" applyFont="1" applyFill="1" applyBorder="1"/>
    <xf numFmtId="165" fontId="6" fillId="5" borderId="1" xfId="0" applyNumberFormat="1" applyFont="1" applyFill="1" applyBorder="1"/>
    <xf numFmtId="0" fontId="6" fillId="0" borderId="7" xfId="0" applyFont="1" applyBorder="1"/>
    <xf numFmtId="164" fontId="6" fillId="0" borderId="1" xfId="1" applyNumberFormat="1" applyFont="1" applyFill="1" applyBorder="1"/>
    <xf numFmtId="166" fontId="0" fillId="0" borderId="6" xfId="0" applyNumberFormat="1" applyBorder="1"/>
    <xf numFmtId="0" fontId="0" fillId="0" borderId="6" xfId="0" applyBorder="1"/>
    <xf numFmtId="0" fontId="6" fillId="0" borderId="6" xfId="0" applyFont="1" applyBorder="1"/>
    <xf numFmtId="165" fontId="0" fillId="0" borderId="6" xfId="0" applyNumberFormat="1" applyBorder="1"/>
    <xf numFmtId="164" fontId="0" fillId="0" borderId="6" xfId="1" applyNumberFormat="1" applyFont="1" applyBorder="1"/>
    <xf numFmtId="2" fontId="0" fillId="0" borderId="6" xfId="0" applyNumberFormat="1" applyBorder="1"/>
    <xf numFmtId="1" fontId="0" fillId="0" borderId="6" xfId="0" applyNumberFormat="1" applyBorder="1" applyAlignment="1">
      <alignment horizontal="center"/>
    </xf>
    <xf numFmtId="2" fontId="0" fillId="4" borderId="6" xfId="0" applyNumberFormat="1" applyFill="1" applyBorder="1"/>
    <xf numFmtId="14" fontId="0" fillId="0" borderId="6" xfId="0" applyNumberFormat="1" applyBorder="1"/>
    <xf numFmtId="0" fontId="3" fillId="0" borderId="6" xfId="0" applyFont="1" applyBorder="1"/>
    <xf numFmtId="166" fontId="6" fillId="0" borderId="1" xfId="0" applyNumberFormat="1" applyFont="1" applyBorder="1"/>
    <xf numFmtId="166" fontId="0" fillId="0" borderId="1" xfId="0" applyNumberFormat="1" applyBorder="1" applyAlignment="1">
      <alignment horizontal="left" vertical="center" wrapText="1"/>
    </xf>
    <xf numFmtId="166" fontId="0" fillId="0" borderId="1" xfId="0" quotePrefix="1" applyNumberFormat="1" applyBorder="1" applyAlignment="1">
      <alignment horizontal="left" vertical="center" wrapText="1"/>
    </xf>
    <xf numFmtId="0" fontId="6" fillId="3" borderId="1" xfId="0" applyFont="1" applyFill="1" applyBorder="1"/>
    <xf numFmtId="165" fontId="3" fillId="0" borderId="6" xfId="0" applyNumberFormat="1" applyFont="1" applyBorder="1"/>
    <xf numFmtId="165" fontId="3" fillId="0" borderId="6" xfId="1" applyNumberFormat="1" applyFont="1" applyBorder="1"/>
    <xf numFmtId="164" fontId="3" fillId="0" borderId="6" xfId="1" applyNumberFormat="1" applyFont="1" applyBorder="1"/>
    <xf numFmtId="2" fontId="3" fillId="0" borderId="6" xfId="0" applyNumberFormat="1" applyFont="1" applyBorder="1"/>
    <xf numFmtId="1" fontId="3" fillId="0" borderId="6" xfId="0" applyNumberFormat="1" applyFont="1" applyBorder="1" applyAlignment="1">
      <alignment horizontal="center"/>
    </xf>
    <xf numFmtId="2" fontId="3" fillId="4" borderId="6" xfId="0" applyNumberFormat="1" applyFont="1" applyFill="1" applyBorder="1"/>
    <xf numFmtId="0" fontId="0" fillId="0" borderId="8" xfId="0" applyBorder="1"/>
    <xf numFmtId="165" fontId="3" fillId="0" borderId="1" xfId="1" applyNumberFormat="1" applyFont="1" applyBorder="1"/>
    <xf numFmtId="166" fontId="6" fillId="0" borderId="6" xfId="0" applyNumberFormat="1" applyFont="1" applyBorder="1"/>
    <xf numFmtId="165" fontId="0" fillId="5" borderId="6" xfId="0" applyNumberFormat="1" applyFill="1" applyBorder="1"/>
    <xf numFmtId="165" fontId="0" fillId="5" borderId="1" xfId="0" applyNumberFormat="1" applyFill="1" applyBorder="1"/>
    <xf numFmtId="0" fontId="0" fillId="3" borderId="1" xfId="0" applyFill="1" applyBorder="1"/>
    <xf numFmtId="166" fontId="3" fillId="0" borderId="6" xfId="0" applyNumberFormat="1" applyFont="1" applyBorder="1"/>
    <xf numFmtId="14" fontId="3" fillId="0" borderId="6" xfId="0" applyNumberFormat="1" applyFont="1" applyBorder="1"/>
    <xf numFmtId="165" fontId="6" fillId="0" borderId="6" xfId="0" applyNumberFormat="1" applyFont="1" applyBorder="1"/>
    <xf numFmtId="164" fontId="6" fillId="0" borderId="6" xfId="1" applyNumberFormat="1" applyFont="1" applyBorder="1"/>
    <xf numFmtId="2" fontId="6" fillId="0" borderId="6" xfId="0" applyNumberFormat="1" applyFont="1" applyBorder="1"/>
    <xf numFmtId="1" fontId="6" fillId="0" borderId="6" xfId="0" applyNumberFormat="1" applyFont="1" applyBorder="1" applyAlignment="1">
      <alignment horizontal="center"/>
    </xf>
    <xf numFmtId="14" fontId="6" fillId="0" borderId="6" xfId="0" applyNumberFormat="1" applyFont="1" applyBorder="1"/>
    <xf numFmtId="0" fontId="3" fillId="0" borderId="8" xfId="0" applyFont="1" applyBorder="1"/>
    <xf numFmtId="0" fontId="3" fillId="0" borderId="7" xfId="0" applyFont="1" applyBorder="1"/>
    <xf numFmtId="2" fontId="6" fillId="4" borderId="6" xfId="0" applyNumberFormat="1" applyFont="1" applyFill="1" applyBorder="1"/>
    <xf numFmtId="164" fontId="0" fillId="5" borderId="6" xfId="1" applyNumberFormat="1" applyFont="1" applyFill="1" applyBorder="1"/>
    <xf numFmtId="0" fontId="0" fillId="3" borderId="6" xfId="0" applyFill="1" applyBorder="1"/>
    <xf numFmtId="0" fontId="6" fillId="0" borderId="8" xfId="0" applyFont="1" applyBorder="1"/>
    <xf numFmtId="0" fontId="0" fillId="5" borderId="1" xfId="0" applyFill="1" applyBorder="1"/>
    <xf numFmtId="164" fontId="3" fillId="0" borderId="6" xfId="1" applyNumberFormat="1" applyFont="1" applyFill="1" applyBorder="1"/>
    <xf numFmtId="0" fontId="3" fillId="0" borderId="9" xfId="0" applyFont="1" applyBorder="1"/>
    <xf numFmtId="0" fontId="0" fillId="0" borderId="9" xfId="0" quotePrefix="1" applyBorder="1"/>
    <xf numFmtId="164" fontId="0" fillId="0" borderId="6" xfId="1" applyNumberFormat="1" applyFont="1" applyFill="1" applyBorder="1"/>
    <xf numFmtId="2" fontId="3" fillId="0" borderId="1" xfId="1" applyNumberFormat="1" applyFont="1" applyBorder="1"/>
    <xf numFmtId="2" fontId="3" fillId="0" borderId="1" xfId="0" applyNumberFormat="1" applyFont="1" applyBorder="1" applyAlignment="1">
      <alignment horizontal="center"/>
    </xf>
    <xf numFmtId="2" fontId="3" fillId="0" borderId="6" xfId="1" applyNumberFormat="1" applyFont="1" applyBorder="1"/>
    <xf numFmtId="2" fontId="3" fillId="0" borderId="6" xfId="0" applyNumberFormat="1" applyFont="1" applyBorder="1" applyAlignment="1">
      <alignment horizontal="center"/>
    </xf>
    <xf numFmtId="2" fontId="0" fillId="0" borderId="6" xfId="1" applyNumberFormat="1" applyFont="1" applyBorder="1"/>
    <xf numFmtId="16" fontId="0" fillId="0" borderId="0" xfId="0" applyNumberFormat="1"/>
    <xf numFmtId="165" fontId="0" fillId="3" borderId="6" xfId="0" applyNumberFormat="1" applyFill="1" applyBorder="1"/>
    <xf numFmtId="0" fontId="0" fillId="7" borderId="6" xfId="0" applyFill="1" applyBorder="1"/>
    <xf numFmtId="0" fontId="0" fillId="7" borderId="1" xfId="0" applyFill="1" applyBorder="1"/>
    <xf numFmtId="0" fontId="6" fillId="5" borderId="6" xfId="0" applyFont="1" applyFill="1" applyBorder="1"/>
    <xf numFmtId="165" fontId="0" fillId="3" borderId="1" xfId="0" applyNumberFormat="1" applyFill="1" applyBorder="1"/>
    <xf numFmtId="164" fontId="0" fillId="3" borderId="1" xfId="1" applyNumberFormat="1" applyFont="1" applyFill="1" applyBorder="1"/>
    <xf numFmtId="0" fontId="0" fillId="0" borderId="9" xfId="0" applyBorder="1"/>
    <xf numFmtId="1" fontId="0" fillId="0" borderId="1" xfId="1" applyNumberFormat="1" applyFont="1" applyBorder="1"/>
    <xf numFmtId="1" fontId="0" fillId="0" borderId="6" xfId="1" applyNumberFormat="1" applyFont="1" applyBorder="1"/>
    <xf numFmtId="0" fontId="0" fillId="0" borderId="1" xfId="1" applyNumberFormat="1" applyFont="1" applyBorder="1"/>
    <xf numFmtId="0" fontId="0" fillId="0" borderId="6" xfId="1" applyNumberFormat="1" applyFont="1" applyBorder="1"/>
    <xf numFmtId="0" fontId="6" fillId="5" borderId="1" xfId="0" applyFont="1" applyFill="1" applyBorder="1"/>
    <xf numFmtId="0" fontId="3" fillId="0" borderId="1" xfId="1" applyNumberFormat="1" applyFont="1" applyBorder="1"/>
    <xf numFmtId="165" fontId="0" fillId="0" borderId="1" xfId="1" applyNumberFormat="1" applyFont="1" applyBorder="1"/>
    <xf numFmtId="165" fontId="0" fillId="0" borderId="6" xfId="1" applyNumberFormat="1" applyFont="1" applyBorder="1"/>
    <xf numFmtId="0" fontId="6" fillId="0" borderId="1" xfId="0" applyFont="1" applyFill="1" applyBorder="1"/>
    <xf numFmtId="0" fontId="6" fillId="0" borderId="6" xfId="0" applyFont="1" applyFill="1" applyBorder="1"/>
    <xf numFmtId="0" fontId="3" fillId="0" borderId="6" xfId="1" applyNumberFormat="1" applyFont="1" applyBorder="1"/>
    <xf numFmtId="166" fontId="0" fillId="5" borderId="1" xfId="0" applyNumberFormat="1" applyFill="1" applyBorder="1"/>
    <xf numFmtId="0" fontId="0" fillId="5" borderId="6" xfId="0" applyFill="1" applyBorder="1"/>
    <xf numFmtId="0" fontId="0" fillId="5" borderId="6" xfId="1" applyNumberFormat="1" applyFont="1" applyFill="1" applyBorder="1"/>
    <xf numFmtId="1" fontId="0" fillId="5" borderId="1" xfId="1" applyNumberFormat="1" applyFont="1" applyFill="1" applyBorder="1"/>
    <xf numFmtId="164" fontId="0" fillId="5" borderId="1" xfId="1" applyNumberFormat="1" applyFont="1" applyFill="1" applyBorder="1"/>
    <xf numFmtId="1" fontId="0" fillId="5" borderId="1" xfId="0" applyNumberFormat="1" applyFill="1" applyBorder="1" applyAlignment="1">
      <alignment horizontal="center"/>
    </xf>
    <xf numFmtId="14" fontId="0" fillId="5" borderId="1" xfId="0" applyNumberFormat="1" applyFill="1" applyBorder="1"/>
    <xf numFmtId="0" fontId="0" fillId="5" borderId="7" xfId="0" applyFill="1" applyBorder="1"/>
    <xf numFmtId="1" fontId="0" fillId="0" borderId="6" xfId="0" applyNumberFormat="1" applyBorder="1"/>
    <xf numFmtId="1" fontId="3" fillId="0" borderId="6" xfId="0" applyNumberFormat="1" applyFont="1" applyBorder="1"/>
    <xf numFmtId="1" fontId="3" fillId="0" borderId="6" xfId="1" applyNumberFormat="1" applyFont="1" applyBorder="1"/>
    <xf numFmtId="164" fontId="5" fillId="5" borderId="6" xfId="1" applyNumberFormat="1" applyFont="1" applyFill="1" applyBorder="1"/>
    <xf numFmtId="165" fontId="0" fillId="0" borderId="0" xfId="0" applyNumberFormat="1"/>
    <xf numFmtId="0" fontId="0" fillId="0" borderId="6" xfId="0" quotePrefix="1" applyBorder="1" applyAlignment="1">
      <alignment horizontal="right"/>
    </xf>
    <xf numFmtId="0" fontId="3" fillId="0" borderId="6" xfId="0" quotePrefix="1" applyFont="1" applyBorder="1"/>
    <xf numFmtId="0" fontId="0" fillId="0" borderId="10" xfId="0" applyBorder="1"/>
    <xf numFmtId="0" fontId="6" fillId="0" borderId="6" xfId="0" applyNumberFormat="1" applyFont="1" applyBorder="1"/>
    <xf numFmtId="0" fontId="0" fillId="0" borderId="1" xfId="0" applyNumberFormat="1" applyBorder="1"/>
    <xf numFmtId="0" fontId="0" fillId="0" borderId="6" xfId="0" applyNumberFormat="1" applyBorder="1"/>
    <xf numFmtId="1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9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fill>
        <patternFill patternType="solid">
          <fgColor indexed="64"/>
          <bgColor theme="4" tint="0.3999755851924192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\ 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\ 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\ 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00\ 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auto="1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6" formatCode="[$-409]d\-mmm\-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numFmt numFmtId="35" formatCode="_(* #,##0.00_);_(* \(#,##0.00\);_(* &quot;-&quot;??_);_(@_)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FFICE%20WORK\IVORY%20COAST%20CASHEW%202026\CONSOLIDATED%20CASHEW%20REPORT%20IVORY%20COAST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AppData/Local/Microsoft/Olk/Attachments/ooa-066771bb-c52c-4db1-9e1c-882fe1e03102/f967990e2afdb14ff344e76cd85507f88e1976d24618d4e312ebf7e5a4fd20fd/SUPPLIER%20OFFLOADING%20-FACTOR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User/Downloads/BOUAKE%20Stock%20transf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ELP"/>
      <sheetName val="DASHBOARD"/>
      <sheetName val="AGING"/>
      <sheetName val="FUND STATUS"/>
      <sheetName val="BANK ACCOUNT"/>
      <sheetName val="DAILY ACTIVITIES-BOUAKE"/>
      <sheetName val="DAILY ACTIVITIES-YAKRO"/>
      <sheetName val="OFFLOADINGS"/>
      <sheetName val="BOUAKE TRF"/>
      <sheetName val="FACTORY UNLOADING - BOUAKE"/>
      <sheetName val="JUTE BAGS ISSUED"/>
      <sheetName val="Sheet1"/>
      <sheetName val="ANALIZYING"/>
      <sheetName val="Drying &amp; Sorting Report-BOUAKE"/>
      <sheetName val="FINAL DRY RCN-YAKRO-2026"/>
      <sheetName val="DRYING"/>
    </sheetNames>
    <sheetDataSet>
      <sheetData sheetId="0"/>
      <sheetData sheetId="1"/>
      <sheetData sheetId="2">
        <row r="3">
          <cell r="X3" t="str">
            <v>RCN SCOOPS-SOCOSIDJI</v>
          </cell>
          <cell r="Y3" t="str">
            <v>LBA-001-SOC</v>
          </cell>
          <cell r="Z3">
            <v>275217</v>
          </cell>
          <cell r="AA3">
            <v>274597</v>
          </cell>
          <cell r="AB3">
            <v>620</v>
          </cell>
          <cell r="AC3">
            <v>43.249320000000004</v>
          </cell>
          <cell r="AD3">
            <v>133046795</v>
          </cell>
          <cell r="AE3">
            <v>133046795</v>
          </cell>
        </row>
        <row r="4">
          <cell r="X4" t="str">
            <v>RCN COP JAVA SCOOPS</v>
          </cell>
          <cell r="Y4" t="str">
            <v>LBA-005-JAV</v>
          </cell>
          <cell r="Z4">
            <v>1072693</v>
          </cell>
          <cell r="AA4">
            <v>1070189</v>
          </cell>
          <cell r="AB4">
            <v>2504</v>
          </cell>
          <cell r="AC4">
            <v>44.584166666666654</v>
          </cell>
          <cell r="AD4">
            <v>529033895</v>
          </cell>
          <cell r="AE4">
            <v>529033900</v>
          </cell>
        </row>
        <row r="5">
          <cell r="X5" t="str">
            <v>RCN SCOOPS WEBE</v>
          </cell>
          <cell r="Y5" t="str">
            <v>LBA-004-WEB</v>
          </cell>
          <cell r="Z5">
            <v>1547900</v>
          </cell>
          <cell r="AA5">
            <v>1542696</v>
          </cell>
          <cell r="AB5">
            <v>5204</v>
          </cell>
          <cell r="AC5">
            <v>45.153265348837216</v>
          </cell>
          <cell r="AD5">
            <v>753308980</v>
          </cell>
          <cell r="AE5">
            <v>753308980</v>
          </cell>
        </row>
        <row r="6">
          <cell r="X6" t="str">
            <v>RCN SCOOPS HERE B</v>
          </cell>
          <cell r="Y6" t="str">
            <v>LBA-003-HER</v>
          </cell>
          <cell r="Z6">
            <v>1372108</v>
          </cell>
          <cell r="AA6">
            <v>1368624</v>
          </cell>
          <cell r="AB6">
            <v>3484</v>
          </cell>
          <cell r="AC6">
            <v>44.327452926829274</v>
          </cell>
          <cell r="AD6">
            <v>661990260</v>
          </cell>
          <cell r="AE6">
            <v>661990260</v>
          </cell>
        </row>
        <row r="7">
          <cell r="X7" t="str">
            <v>RCN SCAAMT COOP CA</v>
          </cell>
          <cell r="Y7" t="str">
            <v>LBA-002-SCA</v>
          </cell>
          <cell r="Z7">
            <v>4471421</v>
          </cell>
          <cell r="AA7">
            <v>4459733</v>
          </cell>
          <cell r="AB7">
            <v>11688</v>
          </cell>
          <cell r="AC7">
            <v>44.616938775510214</v>
          </cell>
          <cell r="AD7">
            <v>2221948968</v>
          </cell>
          <cell r="AE7">
            <v>2221948968</v>
          </cell>
        </row>
        <row r="8">
          <cell r="X8" t="str">
            <v>RCN SCOOP IMANE</v>
          </cell>
          <cell r="Y8" t="str">
            <v>LBA-006-IMA</v>
          </cell>
          <cell r="Z8">
            <v>584903</v>
          </cell>
          <cell r="AA8">
            <v>584255</v>
          </cell>
          <cell r="AB8">
            <v>648</v>
          </cell>
          <cell r="AC8">
            <v>43.438958148148139</v>
          </cell>
          <cell r="AD8">
            <v>281053475</v>
          </cell>
          <cell r="AE8">
            <v>281053475</v>
          </cell>
        </row>
        <row r="9">
          <cell r="X9" t="str">
            <v>RCN CASP-S SCOOPS</v>
          </cell>
          <cell r="Y9" t="str">
            <v>LBA-007-CAS</v>
          </cell>
          <cell r="Z9">
            <v>619222</v>
          </cell>
          <cell r="AA9">
            <v>617642</v>
          </cell>
          <cell r="AB9">
            <v>1580</v>
          </cell>
          <cell r="AC9">
            <v>44.810400000000001</v>
          </cell>
          <cell r="AD9">
            <v>303343000</v>
          </cell>
          <cell r="AE9">
            <v>303343000</v>
          </cell>
        </row>
        <row r="10">
          <cell r="X10" t="str">
            <v>RCN SCOOP-CA/COBAN</v>
          </cell>
          <cell r="Y10" t="str">
            <v>LBA-008-COB</v>
          </cell>
          <cell r="Z10">
            <v>451341</v>
          </cell>
          <cell r="AA10">
            <v>450633</v>
          </cell>
          <cell r="AB10">
            <v>708</v>
          </cell>
          <cell r="AC10">
            <v>43.829114090909094</v>
          </cell>
          <cell r="AD10">
            <v>221661580</v>
          </cell>
          <cell r="AE10">
            <v>221661580</v>
          </cell>
        </row>
        <row r="11">
          <cell r="X11" t="str">
            <v>RCN SCOPPAS SCOOPS</v>
          </cell>
          <cell r="Y11" t="str">
            <v>LBA-009-SCO</v>
          </cell>
          <cell r="Z11">
            <v>740569</v>
          </cell>
          <cell r="AA11">
            <v>739553</v>
          </cell>
          <cell r="AB11">
            <v>1016</v>
          </cell>
          <cell r="AC11">
            <v>43.013596129032273</v>
          </cell>
          <cell r="AD11">
            <v>358597830</v>
          </cell>
          <cell r="AE11">
            <v>358597830</v>
          </cell>
        </row>
        <row r="12">
          <cell r="X12" t="str">
            <v>RCN CAPCD-SCOOPS</v>
          </cell>
          <cell r="Y12" t="str">
            <v>LBA-010-CAP</v>
          </cell>
          <cell r="Z12">
            <v>1365752</v>
          </cell>
          <cell r="AA12">
            <v>1362308</v>
          </cell>
          <cell r="AB12">
            <v>3444</v>
          </cell>
          <cell r="AC12">
            <v>42.589968947368412</v>
          </cell>
          <cell r="AD12">
            <v>667358080</v>
          </cell>
          <cell r="AE12">
            <v>667358080</v>
          </cell>
        </row>
        <row r="13">
          <cell r="X13" t="str">
            <v>RCN SCOOP ASER</v>
          </cell>
          <cell r="Y13" t="str">
            <v>LBA-011-ASR</v>
          </cell>
          <cell r="Z13">
            <v>3409508</v>
          </cell>
          <cell r="AA13">
            <v>3404018</v>
          </cell>
          <cell r="AB13">
            <v>5490</v>
          </cell>
          <cell r="AC13">
            <v>43.236075084745814</v>
          </cell>
          <cell r="AD13">
            <v>1666998210</v>
          </cell>
          <cell r="AE13">
            <v>1666998210</v>
          </cell>
        </row>
        <row r="14">
          <cell r="X14" t="str">
            <v>RCN SCOOPS KPESSO</v>
          </cell>
          <cell r="Y14" t="str">
            <v>LBA-012-KPE</v>
          </cell>
          <cell r="Z14">
            <v>512178</v>
          </cell>
          <cell r="AA14">
            <v>511486</v>
          </cell>
          <cell r="AB14">
            <v>692</v>
          </cell>
          <cell r="AC14">
            <v>43.855620000000009</v>
          </cell>
          <cell r="AD14">
            <v>248241070</v>
          </cell>
          <cell r="AE14">
            <v>248241070</v>
          </cell>
        </row>
        <row r="15">
          <cell r="X15" t="str">
            <v>RCN DAGNOGO KARIM</v>
          </cell>
          <cell r="Y15" t="str">
            <v>LBA-013-DAG</v>
          </cell>
          <cell r="Z15">
            <v>581441</v>
          </cell>
          <cell r="AA15">
            <v>579869</v>
          </cell>
          <cell r="AB15">
            <v>1572</v>
          </cell>
          <cell r="AC15">
            <v>44.243558</v>
          </cell>
          <cell r="AD15">
            <v>281862325</v>
          </cell>
          <cell r="AE15">
            <v>281862325</v>
          </cell>
        </row>
        <row r="16">
          <cell r="X16" t="str">
            <v>RCN SCOOPS BAY SCOOPS</v>
          </cell>
          <cell r="Y16" t="str">
            <v>LBA-014-BAY</v>
          </cell>
          <cell r="Z16">
            <v>510697</v>
          </cell>
          <cell r="AA16">
            <v>508169</v>
          </cell>
          <cell r="AB16">
            <v>2528</v>
          </cell>
          <cell r="AC16">
            <v>44.075477777777778</v>
          </cell>
          <cell r="AD16">
            <v>246344285</v>
          </cell>
          <cell r="AE16">
            <v>246344285</v>
          </cell>
        </row>
        <row r="17">
          <cell r="X17" t="str">
            <v>RCN SCOOPS-OUMI/KONE SIDY</v>
          </cell>
          <cell r="Y17" t="str">
            <v>LBA-015-OUM</v>
          </cell>
          <cell r="Z17">
            <v>1217382</v>
          </cell>
          <cell r="AA17">
            <v>1215934</v>
          </cell>
          <cell r="AB17">
            <v>1448</v>
          </cell>
          <cell r="AC17">
            <v>43.425040000000003</v>
          </cell>
          <cell r="AD17">
            <v>589127050</v>
          </cell>
          <cell r="AE17">
            <v>589127050</v>
          </cell>
        </row>
        <row r="18">
          <cell r="X18" t="str">
            <v>RCN SCOOPS AH AL NOUR</v>
          </cell>
          <cell r="Y18" t="str">
            <v>LBA-016-NOU</v>
          </cell>
          <cell r="Z18">
            <v>1017609</v>
          </cell>
          <cell r="AA18">
            <v>1016041</v>
          </cell>
          <cell r="AB18">
            <v>1568</v>
          </cell>
          <cell r="AC18">
            <v>43.823055666666683</v>
          </cell>
          <cell r="AD18">
            <v>494074210</v>
          </cell>
          <cell r="AE18">
            <v>494074210</v>
          </cell>
        </row>
        <row r="19">
          <cell r="X19" t="str">
            <v>RCN SCOOPS DPVICA</v>
          </cell>
          <cell r="Y19" t="str">
            <v>LBA-017-DPV</v>
          </cell>
          <cell r="Z19">
            <v>836042</v>
          </cell>
          <cell r="AA19">
            <v>833490</v>
          </cell>
          <cell r="AB19">
            <v>2552</v>
          </cell>
          <cell r="AC19">
            <v>43.916909523809537</v>
          </cell>
          <cell r="AD19">
            <v>407852290</v>
          </cell>
          <cell r="AE19">
            <v>407852290</v>
          </cell>
        </row>
        <row r="20">
          <cell r="X20" t="str">
            <v>RCN SCOOPS FRA PRO</v>
          </cell>
          <cell r="Y20" t="str">
            <v>LBA-019-FRA</v>
          </cell>
          <cell r="Z20">
            <v>125492</v>
          </cell>
          <cell r="AA20">
            <v>125352</v>
          </cell>
          <cell r="AB20">
            <v>140</v>
          </cell>
          <cell r="AC20">
            <v>44.612572499999999</v>
          </cell>
          <cell r="AD20">
            <v>61052065</v>
          </cell>
          <cell r="AE20">
            <v>61052065</v>
          </cell>
        </row>
        <row r="21">
          <cell r="X21" t="str">
            <v>RCN SCOOPS COOPRAKA</v>
          </cell>
          <cell r="Y21" t="str">
            <v>LBA-018-COP</v>
          </cell>
          <cell r="Z21">
            <v>1735398</v>
          </cell>
          <cell r="AA21">
            <v>1730838</v>
          </cell>
          <cell r="AB21">
            <v>4560</v>
          </cell>
          <cell r="AC21">
            <v>42.478928888888895</v>
          </cell>
          <cell r="AD21">
            <v>856400290</v>
          </cell>
          <cell r="AE21">
            <v>856400290</v>
          </cell>
        </row>
        <row r="22">
          <cell r="X22" t="str">
            <v>RCN SCOOPS SKS</v>
          </cell>
          <cell r="Y22" t="str">
            <v>LBA-020-SKS</v>
          </cell>
          <cell r="Z22">
            <v>235488</v>
          </cell>
          <cell r="AA22">
            <v>235244</v>
          </cell>
          <cell r="AB22">
            <v>244</v>
          </cell>
          <cell r="AC22">
            <v>44.479265555555557</v>
          </cell>
          <cell r="AD22">
            <v>116092570</v>
          </cell>
          <cell r="AE22">
            <v>116092570</v>
          </cell>
        </row>
        <row r="23">
          <cell r="X23" t="str">
            <v>RCN SCOOPS AGRO NEGOCE</v>
          </cell>
          <cell r="Y23" t="str">
            <v>LBA-022-NEG</v>
          </cell>
          <cell r="Z23">
            <v>132708</v>
          </cell>
          <cell r="AA23">
            <v>132412</v>
          </cell>
          <cell r="AB23">
            <v>296</v>
          </cell>
          <cell r="AC23">
            <v>44.26</v>
          </cell>
          <cell r="AD23">
            <v>67760375</v>
          </cell>
          <cell r="AE23">
            <v>67760375</v>
          </cell>
        </row>
        <row r="24">
          <cell r="X24" t="str">
            <v>RCN SANOGO SINDOU</v>
          </cell>
          <cell r="Y24" t="str">
            <v>LBA-021-SAN</v>
          </cell>
          <cell r="Z24">
            <v>1612474</v>
          </cell>
          <cell r="AA24">
            <v>1606230</v>
          </cell>
          <cell r="AB24">
            <v>6244</v>
          </cell>
          <cell r="AC24">
            <v>42.781395348837208</v>
          </cell>
          <cell r="AD24">
            <v>811159910</v>
          </cell>
          <cell r="AE24">
            <v>811159910</v>
          </cell>
        </row>
        <row r="25">
          <cell r="X25" t="str">
            <v>RCN AGRICAS IVOIRE</v>
          </cell>
          <cell r="Y25" t="str">
            <v>LBA-023-AGR</v>
          </cell>
          <cell r="Z25">
            <v>114950</v>
          </cell>
          <cell r="AA25">
            <v>114950</v>
          </cell>
          <cell r="AB25">
            <v>0</v>
          </cell>
          <cell r="AC25">
            <v>45</v>
          </cell>
          <cell r="AD25">
            <v>60348750</v>
          </cell>
          <cell r="AE25">
            <v>61950000</v>
          </cell>
        </row>
        <row r="26">
          <cell r="X26" t="str">
            <v>Grand Total</v>
          </cell>
          <cell r="Z26">
            <v>24542493</v>
          </cell>
          <cell r="AA26">
            <v>24484263</v>
          </cell>
          <cell r="AB26">
            <v>58230</v>
          </cell>
          <cell r="AC26">
            <v>43.904394755634037</v>
          </cell>
          <cell r="AD26">
            <v>12038656263</v>
          </cell>
          <cell r="AE26">
            <v>12040257518</v>
          </cell>
        </row>
        <row r="28">
          <cell r="AA28">
            <v>1649568</v>
          </cell>
        </row>
        <row r="31">
          <cell r="X31" t="str">
            <v>SUPPLIERS NAME (DIS)</v>
          </cell>
          <cell r="Y31" t="str">
            <v>SUPPLIERS (DIS) CODE</v>
          </cell>
        </row>
        <row r="32">
          <cell r="X32" t="str">
            <v>RCN SCOOPS CORISPORT</v>
          </cell>
          <cell r="Y32" t="str">
            <v>DIS-002-COR</v>
          </cell>
        </row>
        <row r="33">
          <cell r="X33" t="str">
            <v>RCN SCOOPS DEMBOL</v>
          </cell>
          <cell r="Y33" t="str">
            <v>DIS-003-DEM</v>
          </cell>
        </row>
        <row r="34">
          <cell r="X34" t="str">
            <v>RCN SOVA SCOOPS</v>
          </cell>
          <cell r="Y34" t="str">
            <v>DIS-005-SOV</v>
          </cell>
        </row>
        <row r="35">
          <cell r="X35" t="str">
            <v>RCN SCOOPS DIENE</v>
          </cell>
          <cell r="Y35" t="str">
            <v>DIS-006-DIE</v>
          </cell>
        </row>
        <row r="36">
          <cell r="X36" t="str">
            <v>RCN SCOOPS FOUNDARA</v>
          </cell>
          <cell r="Y36" t="str">
            <v>DIS-008-FOU</v>
          </cell>
        </row>
        <row r="37">
          <cell r="X37" t="str">
            <v>RCN SCOOPADA SCOOPS</v>
          </cell>
          <cell r="Y37" t="str">
            <v>DIS-001-SCO</v>
          </cell>
        </row>
        <row r="38">
          <cell r="X38" t="str">
            <v>RCN SCOOPASS</v>
          </cell>
          <cell r="Y38" t="str">
            <v>DIS-007-SPA</v>
          </cell>
        </row>
        <row r="39">
          <cell r="X39" t="str">
            <v>RCN SOCOSAM</v>
          </cell>
          <cell r="Y39" t="str">
            <v>DIS-011-SAM</v>
          </cell>
        </row>
        <row r="40">
          <cell r="X40" t="str">
            <v>RCN SCOOPS MASSATIGUI</v>
          </cell>
          <cell r="Y40" t="str">
            <v>DIS-017-MAS</v>
          </cell>
        </row>
        <row r="41">
          <cell r="X41" t="str">
            <v>RCN SCOOPS IB</v>
          </cell>
          <cell r="Y41" t="str">
            <v>DIS-016-SIB</v>
          </cell>
        </row>
        <row r="42">
          <cell r="X42" t="str">
            <v>RCN SCOOPS PAPN</v>
          </cell>
          <cell r="Y42" t="str">
            <v>DIS-018-PAP</v>
          </cell>
        </row>
        <row r="43">
          <cell r="X43" t="str">
            <v>RCN DECARRE DAVID &amp;DJOUMAN</v>
          </cell>
          <cell r="Y43" t="str">
            <v>DIS-019-DEC</v>
          </cell>
        </row>
        <row r="44">
          <cell r="X44" t="str">
            <v>RCN SCOOPS KOB S</v>
          </cell>
          <cell r="Y44" t="str">
            <v>DIS-021-KOB</v>
          </cell>
        </row>
        <row r="45">
          <cell r="X45" t="str">
            <v>RCN SCOOPS COOPRES</v>
          </cell>
          <cell r="Y45" t="str">
            <v>DIS-022-RES</v>
          </cell>
        </row>
        <row r="46">
          <cell r="X46" t="str">
            <v>RCN ICFB</v>
          </cell>
          <cell r="Y46" t="str">
            <v>DIS-023-ICF</v>
          </cell>
        </row>
        <row r="47">
          <cell r="X47" t="str">
            <v>RCN CADEPO COOP CA</v>
          </cell>
          <cell r="Y47" t="str">
            <v>DIS-024-CAD</v>
          </cell>
        </row>
        <row r="48">
          <cell r="X48" t="str">
            <v>RCN SIMAYAT COOP CA</v>
          </cell>
          <cell r="Y48" t="str">
            <v>DIS-025-SIM</v>
          </cell>
        </row>
        <row r="49">
          <cell r="X49" t="str">
            <v>RCN SCOOPS MOAYE BKE</v>
          </cell>
          <cell r="Y49" t="str">
            <v>DIS-026-MOA</v>
          </cell>
        </row>
        <row r="50">
          <cell r="X50" t="str">
            <v>RCN SCOOPS BAOBAB</v>
          </cell>
          <cell r="Y50" t="str">
            <v>DIS-027-BAO</v>
          </cell>
        </row>
        <row r="51">
          <cell r="X51" t="str">
            <v>RCN ALFCOUL GROUP</v>
          </cell>
          <cell r="Y51" t="str">
            <v>DIS-028-ALF</v>
          </cell>
        </row>
        <row r="52">
          <cell r="X52" t="str">
            <v>RCN SCOOPS AC SOURCING</v>
          </cell>
          <cell r="Y52" t="str">
            <v>DIS-020-SOU</v>
          </cell>
        </row>
        <row r="53">
          <cell r="X53" t="str">
            <v>RCN CPAS SCOOPS</v>
          </cell>
          <cell r="Y53" t="str">
            <v>DIS-029-CPA</v>
          </cell>
        </row>
        <row r="54">
          <cell r="X54" t="str">
            <v>RCN SCOOPS JPPAGG</v>
          </cell>
          <cell r="Y54" t="str">
            <v>DIS-030-JPP</v>
          </cell>
        </row>
        <row r="55">
          <cell r="X55" t="str">
            <v>RCN ADAM IVOIRE</v>
          </cell>
          <cell r="Y55" t="str">
            <v>DIS-031-ADA</v>
          </cell>
        </row>
        <row r="56">
          <cell r="X56" t="str">
            <v>RCN SCMB COOP CA</v>
          </cell>
          <cell r="Y56" t="str">
            <v>DIS-032-SCM</v>
          </cell>
        </row>
        <row r="57">
          <cell r="X57" t="str">
            <v>RCN SCOOPS AJCB</v>
          </cell>
          <cell r="Y57" t="str">
            <v>DIS-033-AJC</v>
          </cell>
        </row>
        <row r="58">
          <cell r="X58" t="str">
            <v>RCN SCOOP SAHS</v>
          </cell>
          <cell r="Y58" t="str">
            <v>DIS-010-SAH</v>
          </cell>
        </row>
        <row r="59">
          <cell r="X59" t="str">
            <v>RCN OCEAN NEGOSE</v>
          </cell>
          <cell r="Y59" t="str">
            <v>DIS-034-OCE</v>
          </cell>
        </row>
        <row r="60">
          <cell r="X60" t="str">
            <v>RCN SCOOPS SCNB</v>
          </cell>
          <cell r="Y60" t="str">
            <v>DIS-035-SNC</v>
          </cell>
        </row>
        <row r="61">
          <cell r="X61" t="str">
            <v>RCN COOPCA TOE SEYDOU</v>
          </cell>
          <cell r="Y61" t="str">
            <v>DIS-036-SEY</v>
          </cell>
        </row>
        <row r="62">
          <cell r="X62" t="str">
            <v>RCN SCOOPS AKF</v>
          </cell>
          <cell r="Y62" t="str">
            <v>DIS-038-AKF</v>
          </cell>
        </row>
        <row r="63">
          <cell r="X63" t="str">
            <v>RCN SCOOPS PAP</v>
          </cell>
          <cell r="Y63" t="str">
            <v>DIS-037-PAP</v>
          </cell>
        </row>
        <row r="64">
          <cell r="X64" t="str">
            <v>RCN SOCOOP ADD COOP CA</v>
          </cell>
          <cell r="Y64" t="str">
            <v>DIS-039-ADD</v>
          </cell>
        </row>
        <row r="65">
          <cell r="X65" t="str">
            <v>RCN BROUMA SARL</v>
          </cell>
          <cell r="Y65" t="str">
            <v>DIS-041-BRO</v>
          </cell>
        </row>
        <row r="66">
          <cell r="X66" t="str">
            <v>RCN SOLANDA-CI</v>
          </cell>
          <cell r="Y66" t="str">
            <v>DIS-040-SOL</v>
          </cell>
        </row>
        <row r="67">
          <cell r="X67" t="str">
            <v>RCN ANAGROCI UT-CCA</v>
          </cell>
          <cell r="Y67" t="str">
            <v>DIS-004-ANA</v>
          </cell>
        </row>
        <row r="68">
          <cell r="X68" t="str">
            <v>Grand Total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BA-2026"/>
      <sheetName val="RCN INWARD FACTORY YAKRO 2026"/>
      <sheetName val="JUte Bag Record (2)"/>
      <sheetName val="JUte Bag Record"/>
    </sheetNames>
    <sheetDataSet>
      <sheetData sheetId="0"/>
      <sheetData sheetId="1">
        <row r="4">
          <cell r="F4" t="str">
            <v>Bordereau De Livraison)</v>
          </cell>
          <cell r="G4" t="str">
            <v>W/H Receipt No. (F.De DISCHARGMENT)</v>
          </cell>
          <cell r="H4" t="str">
            <v>FITCH DATE</v>
          </cell>
          <cell r="I4" t="str">
            <v>Date</v>
          </cell>
          <cell r="J4" t="str">
            <v>ACTIVITY</v>
          </cell>
          <cell r="K4" t="str">
            <v>CCAK VALIDATED</v>
          </cell>
          <cell r="L4" t="str">
            <v>Storage Area</v>
          </cell>
          <cell r="M4" t="str">
            <v xml:space="preserve"> No. Fiche CCA</v>
          </cell>
        </row>
        <row r="5">
          <cell r="F5">
            <v>851</v>
          </cell>
          <cell r="H5" t="str">
            <v>25/02/2026</v>
          </cell>
          <cell r="K5" t="str">
            <v>OK</v>
          </cell>
          <cell r="L5" t="str">
            <v>B3</v>
          </cell>
          <cell r="M5">
            <v>68687</v>
          </cell>
        </row>
        <row r="6">
          <cell r="F6">
            <v>852</v>
          </cell>
          <cell r="H6" t="str">
            <v>25/02/2026</v>
          </cell>
          <cell r="K6" t="str">
            <v>OK</v>
          </cell>
          <cell r="L6" t="str">
            <v>B3</v>
          </cell>
          <cell r="M6">
            <v>68684</v>
          </cell>
        </row>
        <row r="7">
          <cell r="F7">
            <v>853</v>
          </cell>
          <cell r="H7" t="str">
            <v>25/02/2026</v>
          </cell>
          <cell r="L7" t="str">
            <v>B3</v>
          </cell>
          <cell r="M7">
            <v>77593</v>
          </cell>
        </row>
        <row r="8">
          <cell r="F8">
            <v>854</v>
          </cell>
          <cell r="H8" t="str">
            <v>26/02/2026</v>
          </cell>
          <cell r="K8" t="str">
            <v>OK</v>
          </cell>
          <cell r="L8" t="str">
            <v>B3</v>
          </cell>
          <cell r="M8">
            <v>77584</v>
          </cell>
        </row>
        <row r="9">
          <cell r="F9">
            <v>855</v>
          </cell>
          <cell r="H9" t="str">
            <v>26/02/2026</v>
          </cell>
          <cell r="K9" t="str">
            <v>OK</v>
          </cell>
          <cell r="L9" t="str">
            <v>B3</v>
          </cell>
          <cell r="M9">
            <v>77585</v>
          </cell>
        </row>
        <row r="10">
          <cell r="F10">
            <v>856</v>
          </cell>
          <cell r="H10" t="str">
            <v>25/02/2026</v>
          </cell>
          <cell r="K10" t="str">
            <v>OK</v>
          </cell>
          <cell r="L10" t="str">
            <v>B3</v>
          </cell>
          <cell r="M10">
            <v>77591</v>
          </cell>
        </row>
        <row r="11">
          <cell r="F11">
            <v>857</v>
          </cell>
          <cell r="H11" t="str">
            <v>26/02/2026</v>
          </cell>
          <cell r="K11" t="str">
            <v>OK</v>
          </cell>
          <cell r="L11" t="str">
            <v>B3</v>
          </cell>
          <cell r="M11">
            <v>72555</v>
          </cell>
        </row>
        <row r="12">
          <cell r="F12">
            <v>858</v>
          </cell>
          <cell r="H12">
            <v>46084</v>
          </cell>
          <cell r="K12" t="str">
            <v>OK</v>
          </cell>
          <cell r="L12" t="str">
            <v>B3</v>
          </cell>
          <cell r="M12">
            <v>77583</v>
          </cell>
        </row>
        <row r="13">
          <cell r="F13">
            <v>859</v>
          </cell>
          <cell r="H13">
            <v>46084</v>
          </cell>
          <cell r="K13" t="str">
            <v>OK</v>
          </cell>
          <cell r="L13" t="str">
            <v>B3</v>
          </cell>
          <cell r="M13">
            <v>77665</v>
          </cell>
        </row>
        <row r="14">
          <cell r="F14">
            <v>860</v>
          </cell>
          <cell r="H14">
            <v>46115</v>
          </cell>
          <cell r="K14" t="str">
            <v>OK</v>
          </cell>
          <cell r="L14" t="str">
            <v>B3</v>
          </cell>
          <cell r="M14">
            <v>77667</v>
          </cell>
        </row>
        <row r="15">
          <cell r="F15">
            <v>861</v>
          </cell>
          <cell r="H15">
            <v>46115</v>
          </cell>
          <cell r="K15" t="str">
            <v>OK</v>
          </cell>
          <cell r="L15" t="str">
            <v>B3</v>
          </cell>
          <cell r="M15">
            <v>77669</v>
          </cell>
        </row>
        <row r="16">
          <cell r="F16">
            <v>862</v>
          </cell>
          <cell r="H16">
            <v>46145</v>
          </cell>
          <cell r="K16" t="str">
            <v>OK</v>
          </cell>
          <cell r="L16" t="str">
            <v>B3</v>
          </cell>
          <cell r="M16">
            <v>77582</v>
          </cell>
        </row>
        <row r="17">
          <cell r="F17">
            <v>863</v>
          </cell>
          <cell r="H17" t="str">
            <v>27/02/2026</v>
          </cell>
          <cell r="K17" t="str">
            <v>OK</v>
          </cell>
          <cell r="L17" t="str">
            <v>B3</v>
          </cell>
          <cell r="M17">
            <v>77588</v>
          </cell>
        </row>
        <row r="18">
          <cell r="F18">
            <v>864</v>
          </cell>
          <cell r="H18">
            <v>46115</v>
          </cell>
          <cell r="K18" t="str">
            <v>OK</v>
          </cell>
          <cell r="L18" t="str">
            <v>B3</v>
          </cell>
          <cell r="M18">
            <v>77666</v>
          </cell>
        </row>
        <row r="19">
          <cell r="F19">
            <v>865</v>
          </cell>
          <cell r="H19" t="str">
            <v>23/02/2026</v>
          </cell>
          <cell r="K19" t="str">
            <v>OK</v>
          </cell>
          <cell r="L19" t="str">
            <v>B3</v>
          </cell>
          <cell r="M19">
            <v>68686</v>
          </cell>
        </row>
        <row r="20">
          <cell r="F20">
            <v>866</v>
          </cell>
          <cell r="H20">
            <v>46206</v>
          </cell>
          <cell r="K20" t="str">
            <v>OK</v>
          </cell>
          <cell r="L20" t="str">
            <v>B3</v>
          </cell>
          <cell r="M20">
            <v>77678</v>
          </cell>
        </row>
        <row r="21">
          <cell r="F21">
            <v>867</v>
          </cell>
          <cell r="H21">
            <v>46237</v>
          </cell>
          <cell r="K21" t="str">
            <v>OK</v>
          </cell>
          <cell r="L21" t="str">
            <v>B3</v>
          </cell>
          <cell r="M21">
            <v>77581</v>
          </cell>
        </row>
        <row r="22">
          <cell r="F22">
            <v>868</v>
          </cell>
          <cell r="H22">
            <v>46237</v>
          </cell>
          <cell r="K22" t="str">
            <v>OK</v>
          </cell>
          <cell r="L22" t="str">
            <v>B3</v>
          </cell>
          <cell r="M22">
            <v>68685</v>
          </cell>
        </row>
        <row r="23">
          <cell r="F23">
            <v>869</v>
          </cell>
          <cell r="H23">
            <v>46237</v>
          </cell>
          <cell r="K23" t="str">
            <v>OK</v>
          </cell>
          <cell r="L23" t="str">
            <v>B3</v>
          </cell>
          <cell r="M23">
            <v>66643</v>
          </cell>
        </row>
        <row r="24">
          <cell r="F24">
            <v>870</v>
          </cell>
          <cell r="H24">
            <v>46237</v>
          </cell>
          <cell r="K24" t="str">
            <v>OK</v>
          </cell>
          <cell r="L24" t="str">
            <v>B3</v>
          </cell>
          <cell r="M24">
            <v>77630</v>
          </cell>
        </row>
        <row r="25">
          <cell r="F25">
            <v>871</v>
          </cell>
          <cell r="H25">
            <v>46206</v>
          </cell>
          <cell r="K25" t="str">
            <v>OK</v>
          </cell>
          <cell r="L25" t="str">
            <v>B3</v>
          </cell>
          <cell r="M25">
            <v>77677</v>
          </cell>
        </row>
        <row r="26">
          <cell r="F26">
            <v>872</v>
          </cell>
          <cell r="H26">
            <v>46298</v>
          </cell>
          <cell r="K26" t="str">
            <v>OK</v>
          </cell>
          <cell r="L26" t="str">
            <v>B3</v>
          </cell>
          <cell r="M26">
            <v>82102</v>
          </cell>
        </row>
        <row r="27">
          <cell r="F27">
            <v>873</v>
          </cell>
          <cell r="H27">
            <v>46298</v>
          </cell>
          <cell r="K27" t="str">
            <v>OK</v>
          </cell>
          <cell r="L27" t="str">
            <v>B3</v>
          </cell>
          <cell r="M27">
            <v>77676</v>
          </cell>
        </row>
        <row r="28">
          <cell r="F28">
            <v>874</v>
          </cell>
          <cell r="K28" t="str">
            <v>OK</v>
          </cell>
          <cell r="L28" t="str">
            <v>B3</v>
          </cell>
          <cell r="M28">
            <v>82161</v>
          </cell>
        </row>
        <row r="29">
          <cell r="F29">
            <v>876</v>
          </cell>
          <cell r="K29" t="str">
            <v>OK</v>
          </cell>
          <cell r="L29" t="str">
            <v>B3</v>
          </cell>
          <cell r="M29">
            <v>82103</v>
          </cell>
        </row>
        <row r="30">
          <cell r="F30">
            <v>875</v>
          </cell>
          <cell r="K30" t="str">
            <v>OK</v>
          </cell>
          <cell r="L30" t="str">
            <v>B3</v>
          </cell>
          <cell r="M30">
            <v>82105</v>
          </cell>
        </row>
        <row r="31">
          <cell r="F31">
            <v>877</v>
          </cell>
          <cell r="K31" t="str">
            <v>OK</v>
          </cell>
          <cell r="L31" t="str">
            <v>B3</v>
          </cell>
          <cell r="M31">
            <v>82104</v>
          </cell>
        </row>
        <row r="32">
          <cell r="F32">
            <v>878</v>
          </cell>
          <cell r="K32" t="str">
            <v>OK</v>
          </cell>
          <cell r="L32" t="str">
            <v>B3</v>
          </cell>
          <cell r="M32">
            <v>82108</v>
          </cell>
        </row>
        <row r="33">
          <cell r="F33">
            <v>879</v>
          </cell>
          <cell r="K33" t="str">
            <v>OK</v>
          </cell>
          <cell r="L33" t="str">
            <v>B3</v>
          </cell>
          <cell r="M33">
            <v>82146</v>
          </cell>
        </row>
        <row r="34">
          <cell r="F34">
            <v>880</v>
          </cell>
          <cell r="K34" t="str">
            <v>OK</v>
          </cell>
          <cell r="L34" t="str">
            <v>B3</v>
          </cell>
          <cell r="M34">
            <v>82109</v>
          </cell>
        </row>
        <row r="35">
          <cell r="F35">
            <v>881</v>
          </cell>
          <cell r="K35" t="str">
            <v>OK</v>
          </cell>
          <cell r="L35" t="str">
            <v>B3</v>
          </cell>
          <cell r="M35">
            <v>82163</v>
          </cell>
        </row>
        <row r="36">
          <cell r="F36">
            <v>882</v>
          </cell>
          <cell r="K36" t="str">
            <v>OK</v>
          </cell>
          <cell r="L36" t="str">
            <v>B3</v>
          </cell>
          <cell r="M36">
            <v>70328</v>
          </cell>
        </row>
        <row r="37">
          <cell r="F37">
            <v>884</v>
          </cell>
          <cell r="G37">
            <v>534</v>
          </cell>
          <cell r="H37">
            <v>46096</v>
          </cell>
          <cell r="K37" t="str">
            <v>OK</v>
          </cell>
          <cell r="L37" t="str">
            <v>B3</v>
          </cell>
          <cell r="M37">
            <v>82115</v>
          </cell>
        </row>
        <row r="38">
          <cell r="F38">
            <v>886</v>
          </cell>
          <cell r="G38">
            <v>536</v>
          </cell>
          <cell r="H38">
            <v>46097</v>
          </cell>
          <cell r="K38" t="str">
            <v>OK</v>
          </cell>
          <cell r="L38" t="str">
            <v>B3</v>
          </cell>
          <cell r="M38">
            <v>82486</v>
          </cell>
        </row>
        <row r="39">
          <cell r="F39">
            <v>885</v>
          </cell>
          <cell r="G39">
            <v>535</v>
          </cell>
          <cell r="H39">
            <v>46096</v>
          </cell>
          <cell r="K39" t="str">
            <v>OK</v>
          </cell>
          <cell r="L39" t="str">
            <v>B3</v>
          </cell>
          <cell r="M39">
            <v>70329</v>
          </cell>
        </row>
        <row r="40">
          <cell r="F40">
            <v>883</v>
          </cell>
          <cell r="G40">
            <v>533</v>
          </cell>
          <cell r="H40">
            <v>46093</v>
          </cell>
          <cell r="K40" t="str">
            <v>OK</v>
          </cell>
          <cell r="L40" t="str">
            <v>B3</v>
          </cell>
          <cell r="M40">
            <v>72634</v>
          </cell>
        </row>
        <row r="41">
          <cell r="F41">
            <v>887</v>
          </cell>
          <cell r="G41">
            <v>537</v>
          </cell>
          <cell r="H41">
            <v>46098</v>
          </cell>
          <cell r="L41" t="str">
            <v>B3</v>
          </cell>
          <cell r="M41">
            <v>83396</v>
          </cell>
        </row>
        <row r="42">
          <cell r="F42">
            <v>888</v>
          </cell>
          <cell r="G42">
            <v>538</v>
          </cell>
          <cell r="H42">
            <v>46098</v>
          </cell>
          <cell r="K42" t="str">
            <v>OK</v>
          </cell>
          <cell r="L42" t="str">
            <v>B3</v>
          </cell>
          <cell r="M42">
            <v>82487</v>
          </cell>
        </row>
        <row r="43">
          <cell r="F43">
            <v>889</v>
          </cell>
          <cell r="G43">
            <v>539</v>
          </cell>
          <cell r="H43">
            <v>46096</v>
          </cell>
          <cell r="K43" t="str">
            <v>OK</v>
          </cell>
          <cell r="L43" t="str">
            <v>B3</v>
          </cell>
          <cell r="M43">
            <v>77595</v>
          </cell>
        </row>
        <row r="44">
          <cell r="F44">
            <v>890</v>
          </cell>
          <cell r="G44">
            <v>540</v>
          </cell>
          <cell r="H44">
            <v>46098</v>
          </cell>
          <cell r="K44" t="str">
            <v>OK</v>
          </cell>
          <cell r="L44" t="str">
            <v>B3</v>
          </cell>
          <cell r="M44">
            <v>83395</v>
          </cell>
        </row>
        <row r="45">
          <cell r="F45">
            <v>891</v>
          </cell>
          <cell r="G45">
            <v>541</v>
          </cell>
          <cell r="H45">
            <v>46098</v>
          </cell>
          <cell r="K45" t="str">
            <v>OK</v>
          </cell>
          <cell r="L45" t="str">
            <v>B3</v>
          </cell>
          <cell r="M45">
            <v>83394</v>
          </cell>
        </row>
        <row r="46">
          <cell r="F46">
            <v>892</v>
          </cell>
          <cell r="G46">
            <v>542</v>
          </cell>
          <cell r="H46">
            <v>46100</v>
          </cell>
          <cell r="K46" t="str">
            <v>OK</v>
          </cell>
          <cell r="L46" t="str">
            <v>B3</v>
          </cell>
          <cell r="M46">
            <v>82476</v>
          </cell>
        </row>
        <row r="47">
          <cell r="F47">
            <v>893</v>
          </cell>
          <cell r="G47">
            <v>543</v>
          </cell>
          <cell r="H47">
            <v>46100</v>
          </cell>
          <cell r="K47" t="str">
            <v>OK</v>
          </cell>
          <cell r="L47" t="str">
            <v>B3</v>
          </cell>
          <cell r="M47">
            <v>82480</v>
          </cell>
        </row>
        <row r="48">
          <cell r="F48">
            <v>894</v>
          </cell>
          <cell r="G48">
            <v>544</v>
          </cell>
          <cell r="H48">
            <v>46099</v>
          </cell>
          <cell r="K48" t="str">
            <v>OK</v>
          </cell>
          <cell r="L48" t="str">
            <v>B3</v>
          </cell>
          <cell r="M48">
            <v>72609</v>
          </cell>
        </row>
        <row r="49">
          <cell r="F49">
            <v>895</v>
          </cell>
          <cell r="G49">
            <v>545</v>
          </cell>
          <cell r="H49">
            <v>46100</v>
          </cell>
          <cell r="K49" t="str">
            <v>OK</v>
          </cell>
          <cell r="L49" t="str">
            <v>B3</v>
          </cell>
          <cell r="M49">
            <v>83398</v>
          </cell>
        </row>
        <row r="50">
          <cell r="F50">
            <v>896</v>
          </cell>
          <cell r="G50">
            <v>546</v>
          </cell>
          <cell r="H50">
            <v>46103</v>
          </cell>
          <cell r="K50" t="str">
            <v>OK</v>
          </cell>
          <cell r="L50" t="str">
            <v>B3</v>
          </cell>
          <cell r="M50">
            <v>82162</v>
          </cell>
        </row>
        <row r="51">
          <cell r="F51">
            <v>897</v>
          </cell>
          <cell r="G51">
            <v>547</v>
          </cell>
          <cell r="H51">
            <v>46103</v>
          </cell>
          <cell r="K51" t="str">
            <v>OK</v>
          </cell>
          <cell r="L51" t="str">
            <v>B3</v>
          </cell>
          <cell r="M51">
            <v>82477</v>
          </cell>
        </row>
        <row r="52">
          <cell r="F52">
            <v>898</v>
          </cell>
          <cell r="G52">
            <v>548</v>
          </cell>
          <cell r="H52">
            <v>46096</v>
          </cell>
          <cell r="K52" t="str">
            <v>OK</v>
          </cell>
          <cell r="L52" t="str">
            <v>B3</v>
          </cell>
          <cell r="M52">
            <v>82110</v>
          </cell>
        </row>
        <row r="53">
          <cell r="F53">
            <v>899</v>
          </cell>
          <cell r="G53">
            <v>549</v>
          </cell>
          <cell r="H53">
            <v>46104</v>
          </cell>
          <cell r="K53" t="str">
            <v>OK</v>
          </cell>
          <cell r="L53" t="str">
            <v>B3</v>
          </cell>
          <cell r="M53">
            <v>82478</v>
          </cell>
        </row>
        <row r="54">
          <cell r="F54">
            <v>900</v>
          </cell>
          <cell r="G54">
            <v>550</v>
          </cell>
          <cell r="H54">
            <v>46104</v>
          </cell>
          <cell r="K54" t="str">
            <v>OK</v>
          </cell>
          <cell r="L54" t="str">
            <v>B3</v>
          </cell>
          <cell r="M54">
            <v>82479</v>
          </cell>
        </row>
        <row r="55">
          <cell r="F55">
            <v>655</v>
          </cell>
          <cell r="G55">
            <v>405</v>
          </cell>
          <cell r="H55">
            <v>46107</v>
          </cell>
          <cell r="K55" t="str">
            <v>OK</v>
          </cell>
          <cell r="L55" t="str">
            <v>B3</v>
          </cell>
          <cell r="M55">
            <v>83407</v>
          </cell>
        </row>
        <row r="56">
          <cell r="F56">
            <v>654</v>
          </cell>
          <cell r="G56">
            <v>404</v>
          </cell>
          <cell r="H56">
            <v>46106</v>
          </cell>
          <cell r="K56" t="str">
            <v>OK</v>
          </cell>
          <cell r="L56" t="str">
            <v>B3</v>
          </cell>
          <cell r="M56">
            <v>83406</v>
          </cell>
        </row>
        <row r="57">
          <cell r="F57">
            <v>653</v>
          </cell>
          <cell r="G57">
            <v>403</v>
          </cell>
          <cell r="H57">
            <v>46104</v>
          </cell>
          <cell r="K57" t="str">
            <v>OK</v>
          </cell>
          <cell r="L57" t="str">
            <v>B3</v>
          </cell>
          <cell r="M57">
            <v>82015</v>
          </cell>
        </row>
        <row r="58">
          <cell r="F58">
            <v>652</v>
          </cell>
          <cell r="G58">
            <v>402</v>
          </cell>
          <cell r="H58">
            <v>46104</v>
          </cell>
          <cell r="K58" t="str">
            <v>OK</v>
          </cell>
          <cell r="L58" t="str">
            <v>B3</v>
          </cell>
          <cell r="M58">
            <v>84376</v>
          </cell>
        </row>
        <row r="59">
          <cell r="F59">
            <v>651</v>
          </cell>
          <cell r="G59">
            <v>401</v>
          </cell>
          <cell r="H59">
            <v>46103</v>
          </cell>
          <cell r="K59" t="str">
            <v>OK</v>
          </cell>
          <cell r="L59" t="str">
            <v>B3</v>
          </cell>
          <cell r="M59">
            <v>82296</v>
          </cell>
        </row>
        <row r="60">
          <cell r="F60">
            <v>656</v>
          </cell>
          <cell r="G60">
            <v>406</v>
          </cell>
          <cell r="H60">
            <v>46108</v>
          </cell>
          <cell r="K60" t="str">
            <v>ok</v>
          </cell>
          <cell r="L60" t="str">
            <v>B3</v>
          </cell>
          <cell r="M60">
            <v>82495</v>
          </cell>
        </row>
        <row r="61">
          <cell r="F61">
            <v>657</v>
          </cell>
          <cell r="G61">
            <v>407</v>
          </cell>
          <cell r="H61">
            <v>46110</v>
          </cell>
          <cell r="K61" t="str">
            <v>OK</v>
          </cell>
          <cell r="L61" t="str">
            <v>B3</v>
          </cell>
          <cell r="M61">
            <v>83408</v>
          </cell>
        </row>
        <row r="62">
          <cell r="F62">
            <v>658</v>
          </cell>
          <cell r="G62">
            <v>408</v>
          </cell>
          <cell r="H62">
            <v>46110</v>
          </cell>
          <cell r="K62" t="str">
            <v>OK</v>
          </cell>
          <cell r="L62" t="str">
            <v>B3</v>
          </cell>
          <cell r="M62">
            <v>83409</v>
          </cell>
        </row>
        <row r="63">
          <cell r="F63">
            <v>659</v>
          </cell>
          <cell r="G63">
            <v>409</v>
          </cell>
          <cell r="H63">
            <v>46110</v>
          </cell>
          <cell r="K63" t="str">
            <v>OK</v>
          </cell>
          <cell r="L63" t="str">
            <v>B3</v>
          </cell>
          <cell r="M63">
            <v>84377</v>
          </cell>
        </row>
        <row r="64">
          <cell r="F64">
            <v>660</v>
          </cell>
          <cell r="G64">
            <v>410</v>
          </cell>
          <cell r="H64">
            <v>46112</v>
          </cell>
          <cell r="K64" t="str">
            <v>OK</v>
          </cell>
          <cell r="L64" t="str">
            <v>B3</v>
          </cell>
          <cell r="M64">
            <v>83410</v>
          </cell>
        </row>
        <row r="65">
          <cell r="F65">
            <v>661</v>
          </cell>
          <cell r="G65">
            <v>411</v>
          </cell>
          <cell r="H65">
            <v>46112</v>
          </cell>
          <cell r="K65" t="str">
            <v>OK</v>
          </cell>
          <cell r="L65" t="str">
            <v>B3</v>
          </cell>
          <cell r="M65">
            <v>83411</v>
          </cell>
        </row>
        <row r="66">
          <cell r="F66">
            <v>662</v>
          </cell>
          <cell r="G66">
            <v>412</v>
          </cell>
          <cell r="H66">
            <v>46111</v>
          </cell>
          <cell r="K66" t="str">
            <v>OK</v>
          </cell>
          <cell r="L66" t="str">
            <v>B3</v>
          </cell>
          <cell r="M66">
            <v>82173</v>
          </cell>
        </row>
        <row r="67">
          <cell r="F67">
            <v>663</v>
          </cell>
          <cell r="G67">
            <v>413</v>
          </cell>
          <cell r="H67">
            <v>46112</v>
          </cell>
          <cell r="K67" t="str">
            <v>OK</v>
          </cell>
          <cell r="L67" t="str">
            <v>B3</v>
          </cell>
          <cell r="M67">
            <v>83404</v>
          </cell>
        </row>
        <row r="68">
          <cell r="F68">
            <v>664</v>
          </cell>
          <cell r="G68">
            <v>414</v>
          </cell>
          <cell r="H68">
            <v>46116</v>
          </cell>
          <cell r="K68" t="str">
            <v>OK</v>
          </cell>
          <cell r="L68" t="str">
            <v>B3</v>
          </cell>
          <cell r="M68">
            <v>82496</v>
          </cell>
        </row>
        <row r="69">
          <cell r="F69">
            <v>665</v>
          </cell>
          <cell r="G69">
            <v>415</v>
          </cell>
          <cell r="H69">
            <v>46113</v>
          </cell>
          <cell r="K69" t="str">
            <v>OK</v>
          </cell>
          <cell r="L69" t="str">
            <v>B3</v>
          </cell>
          <cell r="M69">
            <v>78893</v>
          </cell>
        </row>
        <row r="70">
          <cell r="F70">
            <v>666</v>
          </cell>
          <cell r="G70">
            <v>416</v>
          </cell>
          <cell r="H70">
            <v>46113</v>
          </cell>
          <cell r="K70" t="str">
            <v>OK</v>
          </cell>
          <cell r="L70" t="str">
            <v>B3</v>
          </cell>
          <cell r="M70">
            <v>78892</v>
          </cell>
        </row>
        <row r="71">
          <cell r="F71">
            <v>667</v>
          </cell>
          <cell r="G71">
            <v>417</v>
          </cell>
          <cell r="H71">
            <v>46113</v>
          </cell>
          <cell r="K71" t="str">
            <v>OK</v>
          </cell>
          <cell r="L71" t="str">
            <v>B3</v>
          </cell>
          <cell r="M71">
            <v>87134</v>
          </cell>
        </row>
        <row r="72">
          <cell r="F72">
            <v>668</v>
          </cell>
          <cell r="G72">
            <v>418</v>
          </cell>
          <cell r="H72">
            <v>46085</v>
          </cell>
          <cell r="K72" t="str">
            <v>OK</v>
          </cell>
          <cell r="L72" t="str">
            <v>B3</v>
          </cell>
          <cell r="M72">
            <v>87137</v>
          </cell>
        </row>
        <row r="73">
          <cell r="F73">
            <v>669</v>
          </cell>
          <cell r="G73">
            <v>419</v>
          </cell>
          <cell r="H73">
            <v>46085</v>
          </cell>
          <cell r="K73" t="str">
            <v>OK</v>
          </cell>
          <cell r="L73" t="str">
            <v>B3</v>
          </cell>
          <cell r="M73">
            <v>82297</v>
          </cell>
        </row>
        <row r="74">
          <cell r="F74">
            <v>671</v>
          </cell>
          <cell r="G74">
            <v>421</v>
          </cell>
          <cell r="H74">
            <v>46085</v>
          </cell>
          <cell r="K74" t="str">
            <v>OK</v>
          </cell>
          <cell r="L74" t="str">
            <v>B3</v>
          </cell>
          <cell r="M74">
            <v>87136</v>
          </cell>
        </row>
        <row r="75">
          <cell r="F75">
            <v>670</v>
          </cell>
          <cell r="G75">
            <v>420</v>
          </cell>
          <cell r="H75">
            <v>46085</v>
          </cell>
          <cell r="K75" t="str">
            <v>OK</v>
          </cell>
          <cell r="L75" t="str">
            <v>B3</v>
          </cell>
          <cell r="M75">
            <v>87135</v>
          </cell>
        </row>
        <row r="76">
          <cell r="F76">
            <v>674</v>
          </cell>
          <cell r="G76">
            <v>424</v>
          </cell>
          <cell r="H76">
            <v>46177</v>
          </cell>
          <cell r="K76" t="str">
            <v>OK</v>
          </cell>
          <cell r="L76" t="str">
            <v>B3</v>
          </cell>
          <cell r="M76">
            <v>87139</v>
          </cell>
        </row>
        <row r="77">
          <cell r="F77">
            <v>672</v>
          </cell>
          <cell r="G77">
            <v>422</v>
          </cell>
          <cell r="H77">
            <v>46146</v>
          </cell>
          <cell r="K77" t="str">
            <v>OK</v>
          </cell>
          <cell r="L77" t="str">
            <v>B3</v>
          </cell>
          <cell r="M77">
            <v>83405</v>
          </cell>
        </row>
        <row r="78">
          <cell r="F78">
            <v>673</v>
          </cell>
          <cell r="G78">
            <v>423</v>
          </cell>
          <cell r="H78">
            <v>46146</v>
          </cell>
          <cell r="K78" t="str">
            <v>OK</v>
          </cell>
          <cell r="L78" t="str">
            <v>B3</v>
          </cell>
          <cell r="M78">
            <v>87138</v>
          </cell>
        </row>
        <row r="79">
          <cell r="F79">
            <v>675</v>
          </cell>
          <cell r="G79">
            <v>425</v>
          </cell>
          <cell r="H79">
            <v>46238</v>
          </cell>
          <cell r="K79" t="str">
            <v>OK</v>
          </cell>
          <cell r="L79" t="str">
            <v>B3</v>
          </cell>
          <cell r="M79">
            <v>78912</v>
          </cell>
        </row>
        <row r="80">
          <cell r="F80">
            <v>676</v>
          </cell>
          <cell r="G80">
            <v>426</v>
          </cell>
          <cell r="H80">
            <v>46238</v>
          </cell>
          <cell r="K80" t="str">
            <v>OK</v>
          </cell>
          <cell r="L80" t="str">
            <v>B3</v>
          </cell>
          <cell r="M80">
            <v>78911</v>
          </cell>
        </row>
        <row r="81">
          <cell r="F81">
            <v>678</v>
          </cell>
          <cell r="G81">
            <v>428</v>
          </cell>
          <cell r="H81">
            <v>46269</v>
          </cell>
          <cell r="K81" t="str">
            <v>OK</v>
          </cell>
          <cell r="L81" t="str">
            <v>B3</v>
          </cell>
          <cell r="M81">
            <v>87140</v>
          </cell>
        </row>
        <row r="82">
          <cell r="F82">
            <v>677</v>
          </cell>
          <cell r="G82">
            <v>427</v>
          </cell>
          <cell r="H82">
            <v>46269</v>
          </cell>
          <cell r="K82" t="str">
            <v>OK</v>
          </cell>
          <cell r="L82" t="str">
            <v>B3</v>
          </cell>
          <cell r="M82">
            <v>87142</v>
          </cell>
        </row>
        <row r="83">
          <cell r="F83">
            <v>679</v>
          </cell>
          <cell r="G83">
            <v>429</v>
          </cell>
          <cell r="H83">
            <v>46207</v>
          </cell>
          <cell r="K83" t="str">
            <v>OK</v>
          </cell>
          <cell r="L83" t="str">
            <v>B3</v>
          </cell>
          <cell r="M83">
            <v>37970</v>
          </cell>
        </row>
        <row r="84">
          <cell r="F84">
            <v>680</v>
          </cell>
          <cell r="G84">
            <v>430</v>
          </cell>
          <cell r="H84">
            <v>46269</v>
          </cell>
          <cell r="K84" t="str">
            <v>OK</v>
          </cell>
          <cell r="L84" t="str">
            <v>B3</v>
          </cell>
          <cell r="M84">
            <v>33286</v>
          </cell>
        </row>
        <row r="85">
          <cell r="F85">
            <v>681</v>
          </cell>
          <cell r="G85">
            <v>431</v>
          </cell>
          <cell r="H85">
            <v>46269</v>
          </cell>
          <cell r="K85" t="str">
            <v>OK</v>
          </cell>
          <cell r="L85" t="str">
            <v>B3</v>
          </cell>
          <cell r="M85">
            <v>23302</v>
          </cell>
        </row>
        <row r="86">
          <cell r="F86">
            <v>682</v>
          </cell>
          <cell r="K86" t="str">
            <v>OK</v>
          </cell>
          <cell r="L86" t="str">
            <v>B3</v>
          </cell>
          <cell r="M86">
            <v>37636</v>
          </cell>
        </row>
        <row r="87">
          <cell r="F87">
            <v>684</v>
          </cell>
          <cell r="K87" t="str">
            <v>OK</v>
          </cell>
          <cell r="L87" t="str">
            <v>B3</v>
          </cell>
          <cell r="M87">
            <v>87144</v>
          </cell>
        </row>
        <row r="88">
          <cell r="F88">
            <v>686</v>
          </cell>
          <cell r="K88" t="str">
            <v>OK</v>
          </cell>
          <cell r="L88" t="str">
            <v>B3</v>
          </cell>
          <cell r="M88">
            <v>87143</v>
          </cell>
        </row>
        <row r="89">
          <cell r="F89">
            <v>687</v>
          </cell>
          <cell r="K89" t="str">
            <v>OK</v>
          </cell>
          <cell r="L89" t="str">
            <v>B3</v>
          </cell>
          <cell r="M89">
            <v>31538</v>
          </cell>
        </row>
        <row r="90">
          <cell r="F90">
            <v>690</v>
          </cell>
          <cell r="K90" t="str">
            <v>OK</v>
          </cell>
          <cell r="L90" t="str">
            <v>B3</v>
          </cell>
          <cell r="M90">
            <v>31541</v>
          </cell>
        </row>
        <row r="91">
          <cell r="F91">
            <v>689</v>
          </cell>
          <cell r="K91" t="str">
            <v>OK</v>
          </cell>
          <cell r="L91" t="str">
            <v>B3</v>
          </cell>
          <cell r="M91">
            <v>78865</v>
          </cell>
        </row>
        <row r="92">
          <cell r="F92">
            <v>688</v>
          </cell>
          <cell r="L92" t="str">
            <v>B3</v>
          </cell>
          <cell r="M92">
            <v>78864</v>
          </cell>
        </row>
        <row r="93">
          <cell r="F93">
            <v>683</v>
          </cell>
          <cell r="K93" t="str">
            <v>OK</v>
          </cell>
          <cell r="L93" t="str">
            <v>B3</v>
          </cell>
          <cell r="M93">
            <v>78867</v>
          </cell>
        </row>
        <row r="94">
          <cell r="F94">
            <v>697</v>
          </cell>
          <cell r="K94" t="str">
            <v>OK</v>
          </cell>
          <cell r="L94" t="str">
            <v>B3</v>
          </cell>
          <cell r="M94">
            <v>23293</v>
          </cell>
        </row>
        <row r="95">
          <cell r="F95">
            <v>690</v>
          </cell>
          <cell r="K95" t="str">
            <v>OK</v>
          </cell>
          <cell r="L95" t="str">
            <v>B3</v>
          </cell>
          <cell r="M95">
            <v>30266</v>
          </cell>
        </row>
        <row r="96">
          <cell r="F96">
            <v>695</v>
          </cell>
          <cell r="K96" t="str">
            <v>OK</v>
          </cell>
          <cell r="L96" t="str">
            <v>B3</v>
          </cell>
          <cell r="M96">
            <v>78868</v>
          </cell>
        </row>
        <row r="97">
          <cell r="F97">
            <v>693</v>
          </cell>
          <cell r="K97" t="str">
            <v>NAME ISSUE</v>
          </cell>
          <cell r="L97" t="str">
            <v>B3</v>
          </cell>
          <cell r="M97">
            <v>37759</v>
          </cell>
        </row>
        <row r="98">
          <cell r="F98">
            <v>694</v>
          </cell>
          <cell r="K98" t="str">
            <v>OK</v>
          </cell>
          <cell r="L98" t="str">
            <v>B3</v>
          </cell>
          <cell r="M98">
            <v>78913</v>
          </cell>
        </row>
        <row r="99">
          <cell r="F99">
            <v>692</v>
          </cell>
          <cell r="K99" t="str">
            <v>OK</v>
          </cell>
          <cell r="L99" t="str">
            <v>B3</v>
          </cell>
          <cell r="M99">
            <v>89781</v>
          </cell>
        </row>
        <row r="100">
          <cell r="F100">
            <v>691</v>
          </cell>
          <cell r="K100" t="str">
            <v>NAME ISSUE</v>
          </cell>
          <cell r="L100" t="str">
            <v>B3</v>
          </cell>
          <cell r="M100">
            <v>89770</v>
          </cell>
        </row>
        <row r="101">
          <cell r="F101">
            <v>603</v>
          </cell>
          <cell r="K101" t="str">
            <v>OK</v>
          </cell>
          <cell r="M101">
            <v>78874</v>
          </cell>
        </row>
        <row r="102">
          <cell r="F102">
            <v>699</v>
          </cell>
          <cell r="M102">
            <v>78870</v>
          </cell>
        </row>
        <row r="103">
          <cell r="F103">
            <v>601</v>
          </cell>
          <cell r="K103" t="str">
            <v>OK</v>
          </cell>
          <cell r="M103">
            <v>60071</v>
          </cell>
        </row>
        <row r="104">
          <cell r="F104">
            <v>602</v>
          </cell>
          <cell r="K104" t="str">
            <v>OK</v>
          </cell>
          <cell r="M104">
            <v>86148</v>
          </cell>
        </row>
        <row r="105">
          <cell r="F105">
            <v>700</v>
          </cell>
          <cell r="K105" t="str">
            <v>OK</v>
          </cell>
          <cell r="M105">
            <v>89777</v>
          </cell>
        </row>
        <row r="106">
          <cell r="F106">
            <v>698</v>
          </cell>
          <cell r="K106" t="str">
            <v>OK</v>
          </cell>
          <cell r="M106">
            <v>78869</v>
          </cell>
        </row>
        <row r="107">
          <cell r="F107">
            <v>609</v>
          </cell>
          <cell r="K107" t="str">
            <v>OK</v>
          </cell>
          <cell r="M107">
            <v>78873</v>
          </cell>
        </row>
        <row r="108">
          <cell r="F108">
            <v>606</v>
          </cell>
          <cell r="K108" t="str">
            <v>OK</v>
          </cell>
          <cell r="M108">
            <v>78875</v>
          </cell>
        </row>
        <row r="109">
          <cell r="F109">
            <v>608</v>
          </cell>
          <cell r="K109" t="str">
            <v>OK</v>
          </cell>
          <cell r="M109">
            <v>87141</v>
          </cell>
        </row>
        <row r="110">
          <cell r="F110">
            <v>607</v>
          </cell>
          <cell r="K110" t="str">
            <v>ok</v>
          </cell>
          <cell r="M110">
            <v>87150</v>
          </cell>
        </row>
        <row r="111">
          <cell r="F111">
            <v>605</v>
          </cell>
          <cell r="K111" t="str">
            <v>OK</v>
          </cell>
          <cell r="M111">
            <v>37581</v>
          </cell>
        </row>
        <row r="112">
          <cell r="F112">
            <v>604</v>
          </cell>
          <cell r="K112" t="str">
            <v>OK</v>
          </cell>
          <cell r="M112">
            <v>77597</v>
          </cell>
        </row>
        <row r="113">
          <cell r="F113">
            <v>610</v>
          </cell>
          <cell r="K113" t="str">
            <v>OK</v>
          </cell>
          <cell r="M113">
            <v>78866</v>
          </cell>
        </row>
        <row r="114">
          <cell r="F114">
            <v>612</v>
          </cell>
          <cell r="K114" t="str">
            <v>OK</v>
          </cell>
          <cell r="M114">
            <v>3198</v>
          </cell>
        </row>
        <row r="115">
          <cell r="K115" t="str">
            <v>OK</v>
          </cell>
          <cell r="M115">
            <v>3197</v>
          </cell>
        </row>
        <row r="116">
          <cell r="K116" t="str">
            <v>OK</v>
          </cell>
          <cell r="M116">
            <v>78876</v>
          </cell>
        </row>
        <row r="117">
          <cell r="K117" t="str">
            <v>OK</v>
          </cell>
          <cell r="M117">
            <v>87146</v>
          </cell>
        </row>
        <row r="118">
          <cell r="K118" t="str">
            <v>OK</v>
          </cell>
          <cell r="M118">
            <v>30274</v>
          </cell>
        </row>
        <row r="119">
          <cell r="K119" t="str">
            <v>OK</v>
          </cell>
          <cell r="M119">
            <v>78872</v>
          </cell>
        </row>
        <row r="120">
          <cell r="K120" t="str">
            <v>OK</v>
          </cell>
          <cell r="M120">
            <v>31888</v>
          </cell>
        </row>
        <row r="121">
          <cell r="K121" t="str">
            <v>OK</v>
          </cell>
          <cell r="M121">
            <v>78907</v>
          </cell>
        </row>
        <row r="122">
          <cell r="K122" t="str">
            <v>OK</v>
          </cell>
          <cell r="M122">
            <v>78908</v>
          </cell>
        </row>
        <row r="123">
          <cell r="K123" t="str">
            <v>OK</v>
          </cell>
          <cell r="M123">
            <v>78871</v>
          </cell>
        </row>
        <row r="124">
          <cell r="F124">
            <v>621</v>
          </cell>
          <cell r="K124" t="str">
            <v>OK</v>
          </cell>
          <cell r="M124">
            <v>78910</v>
          </cell>
        </row>
        <row r="125">
          <cell r="F125">
            <v>622</v>
          </cell>
          <cell r="K125" t="str">
            <v>OK</v>
          </cell>
          <cell r="M125">
            <v>78906</v>
          </cell>
        </row>
        <row r="126">
          <cell r="F126">
            <v>623</v>
          </cell>
          <cell r="K126" t="str">
            <v>OK</v>
          </cell>
          <cell r="M126">
            <v>29107</v>
          </cell>
        </row>
        <row r="127">
          <cell r="F127">
            <v>624</v>
          </cell>
          <cell r="K127" t="str">
            <v>OK</v>
          </cell>
          <cell r="M127">
            <v>19786</v>
          </cell>
        </row>
        <row r="128">
          <cell r="F128">
            <v>625</v>
          </cell>
          <cell r="K128" t="str">
            <v>OK</v>
          </cell>
          <cell r="M128">
            <v>30268</v>
          </cell>
        </row>
        <row r="129">
          <cell r="F129">
            <v>626</v>
          </cell>
          <cell r="K129" t="str">
            <v>OK</v>
          </cell>
          <cell r="M129">
            <v>37582</v>
          </cell>
        </row>
        <row r="130">
          <cell r="F130">
            <v>627</v>
          </cell>
          <cell r="K130" t="str">
            <v>OK</v>
          </cell>
          <cell r="M130">
            <v>3196</v>
          </cell>
        </row>
        <row r="131">
          <cell r="F131">
            <v>628</v>
          </cell>
          <cell r="K131" t="str">
            <v>OK</v>
          </cell>
          <cell r="M131">
            <v>771</v>
          </cell>
        </row>
        <row r="132">
          <cell r="F132">
            <v>629</v>
          </cell>
          <cell r="K132" t="str">
            <v>OK</v>
          </cell>
          <cell r="M132">
            <v>28912</v>
          </cell>
        </row>
        <row r="133">
          <cell r="F133">
            <v>630</v>
          </cell>
          <cell r="K133" t="str">
            <v>OK</v>
          </cell>
          <cell r="M133">
            <v>35970</v>
          </cell>
        </row>
        <row r="134">
          <cell r="F134">
            <v>631</v>
          </cell>
          <cell r="K134" t="str">
            <v>OK</v>
          </cell>
          <cell r="M134">
            <v>84903</v>
          </cell>
        </row>
        <row r="135">
          <cell r="F135">
            <v>632</v>
          </cell>
          <cell r="K135" t="str">
            <v>OK</v>
          </cell>
          <cell r="M135">
            <v>78878</v>
          </cell>
        </row>
        <row r="136">
          <cell r="F136">
            <v>633</v>
          </cell>
          <cell r="K136" t="str">
            <v>OK</v>
          </cell>
          <cell r="M136">
            <v>13213</v>
          </cell>
        </row>
        <row r="137">
          <cell r="F137">
            <v>634</v>
          </cell>
          <cell r="K137" t="str">
            <v>OK</v>
          </cell>
          <cell r="M137">
            <v>30272</v>
          </cell>
        </row>
        <row r="138">
          <cell r="F138">
            <v>635</v>
          </cell>
          <cell r="K138" t="str">
            <v>ok</v>
          </cell>
          <cell r="M138">
            <v>89240</v>
          </cell>
        </row>
        <row r="139">
          <cell r="F139">
            <v>636</v>
          </cell>
          <cell r="K139" t="str">
            <v>OK</v>
          </cell>
          <cell r="M139">
            <v>87109</v>
          </cell>
        </row>
        <row r="140">
          <cell r="F140">
            <v>637</v>
          </cell>
          <cell r="K140" t="str">
            <v>OK</v>
          </cell>
          <cell r="M140">
            <v>37583</v>
          </cell>
        </row>
        <row r="141">
          <cell r="F141">
            <v>638</v>
          </cell>
          <cell r="K141" t="str">
            <v>OK</v>
          </cell>
          <cell r="M141">
            <v>32083</v>
          </cell>
        </row>
        <row r="142">
          <cell r="F142">
            <v>639</v>
          </cell>
          <cell r="K142" t="str">
            <v>0k</v>
          </cell>
          <cell r="M142">
            <v>87110</v>
          </cell>
        </row>
        <row r="143">
          <cell r="F143">
            <v>641</v>
          </cell>
          <cell r="K143" t="str">
            <v>OK</v>
          </cell>
          <cell r="M143">
            <v>35967</v>
          </cell>
        </row>
        <row r="144">
          <cell r="F144">
            <v>640</v>
          </cell>
          <cell r="K144" t="str">
            <v>OK</v>
          </cell>
          <cell r="M144">
            <v>35969</v>
          </cell>
        </row>
        <row r="145">
          <cell r="F145">
            <v>642</v>
          </cell>
          <cell r="K145" t="str">
            <v>OK</v>
          </cell>
          <cell r="M145">
            <v>78880</v>
          </cell>
        </row>
        <row r="146">
          <cell r="F146">
            <v>643</v>
          </cell>
          <cell r="K146" t="str">
            <v>OK</v>
          </cell>
          <cell r="M146">
            <v>78879</v>
          </cell>
        </row>
        <row r="147">
          <cell r="F147">
            <v>644</v>
          </cell>
          <cell r="K147" t="str">
            <v>OK</v>
          </cell>
          <cell r="M147">
            <v>30273</v>
          </cell>
        </row>
        <row r="148">
          <cell r="F148">
            <v>645</v>
          </cell>
          <cell r="K148" t="str">
            <v>OK</v>
          </cell>
          <cell r="M148">
            <v>36086</v>
          </cell>
        </row>
        <row r="149">
          <cell r="F149">
            <v>646</v>
          </cell>
          <cell r="K149" t="str">
            <v>OK</v>
          </cell>
          <cell r="M149">
            <v>78891</v>
          </cell>
        </row>
        <row r="150">
          <cell r="F150">
            <v>647</v>
          </cell>
          <cell r="K150" t="str">
            <v>OK</v>
          </cell>
          <cell r="M150">
            <v>78888</v>
          </cell>
        </row>
        <row r="151">
          <cell r="F151">
            <v>648</v>
          </cell>
          <cell r="K151" t="str">
            <v>OK</v>
          </cell>
          <cell r="M151">
            <v>78877</v>
          </cell>
        </row>
        <row r="152">
          <cell r="F152">
            <v>649</v>
          </cell>
          <cell r="K152" t="str">
            <v>OK</v>
          </cell>
          <cell r="M152">
            <v>82288</v>
          </cell>
        </row>
        <row r="153">
          <cell r="F153">
            <v>650</v>
          </cell>
          <cell r="K153" t="str">
            <v>OK</v>
          </cell>
          <cell r="M153">
            <v>23297</v>
          </cell>
        </row>
        <row r="154">
          <cell r="F154">
            <v>701</v>
          </cell>
          <cell r="K154" t="str">
            <v>OK</v>
          </cell>
          <cell r="M154">
            <v>78890</v>
          </cell>
        </row>
        <row r="155">
          <cell r="F155">
            <v>702</v>
          </cell>
          <cell r="K155" t="str">
            <v>NAME ISSUE</v>
          </cell>
          <cell r="M155">
            <v>77674</v>
          </cell>
        </row>
        <row r="156">
          <cell r="F156">
            <v>703</v>
          </cell>
          <cell r="K156" t="str">
            <v>OK</v>
          </cell>
          <cell r="M156">
            <v>30271</v>
          </cell>
        </row>
        <row r="157">
          <cell r="F157">
            <v>704</v>
          </cell>
          <cell r="K157" t="str">
            <v>OK</v>
          </cell>
          <cell r="M157">
            <v>3191</v>
          </cell>
        </row>
        <row r="158">
          <cell r="F158">
            <v>709</v>
          </cell>
          <cell r="K158" t="str">
            <v>OK</v>
          </cell>
          <cell r="M158">
            <v>78905</v>
          </cell>
        </row>
        <row r="159">
          <cell r="F159">
            <v>710</v>
          </cell>
          <cell r="M159">
            <v>75865</v>
          </cell>
        </row>
        <row r="160">
          <cell r="F160">
            <v>711</v>
          </cell>
          <cell r="K160" t="str">
            <v>ok</v>
          </cell>
          <cell r="M160">
            <v>14</v>
          </cell>
        </row>
        <row r="161">
          <cell r="F161">
            <v>712</v>
          </cell>
          <cell r="K161" t="str">
            <v>OK</v>
          </cell>
          <cell r="M161">
            <v>30269</v>
          </cell>
        </row>
        <row r="162">
          <cell r="F162">
            <v>708</v>
          </cell>
          <cell r="K162" t="str">
            <v>OK</v>
          </cell>
          <cell r="M162">
            <v>35968</v>
          </cell>
        </row>
        <row r="163">
          <cell r="F163">
            <v>707</v>
          </cell>
          <cell r="K163" t="str">
            <v>OK</v>
          </cell>
          <cell r="M163">
            <v>19784</v>
          </cell>
        </row>
        <row r="164">
          <cell r="F164">
            <v>706</v>
          </cell>
          <cell r="K164" t="str">
            <v>OK</v>
          </cell>
          <cell r="M164">
            <v>65511</v>
          </cell>
        </row>
        <row r="165">
          <cell r="F165">
            <v>713</v>
          </cell>
          <cell r="K165" t="str">
            <v>OK</v>
          </cell>
          <cell r="M165">
            <v>30270</v>
          </cell>
        </row>
        <row r="166">
          <cell r="F166">
            <v>705</v>
          </cell>
          <cell r="K166" t="str">
            <v>OK</v>
          </cell>
          <cell r="M166">
            <v>89784</v>
          </cell>
        </row>
        <row r="167">
          <cell r="F167">
            <v>720</v>
          </cell>
          <cell r="K167" t="str">
            <v>OK</v>
          </cell>
          <cell r="M167">
            <v>78889</v>
          </cell>
        </row>
        <row r="168">
          <cell r="F168">
            <v>714</v>
          </cell>
          <cell r="K168" t="str">
            <v>OK</v>
          </cell>
          <cell r="M168">
            <v>37585</v>
          </cell>
        </row>
        <row r="169">
          <cell r="F169">
            <v>715</v>
          </cell>
          <cell r="K169" t="str">
            <v>OK</v>
          </cell>
          <cell r="M169">
            <v>32357</v>
          </cell>
        </row>
        <row r="170">
          <cell r="F170">
            <v>717</v>
          </cell>
          <cell r="K170" t="str">
            <v>OK</v>
          </cell>
          <cell r="M170">
            <v>31981</v>
          </cell>
        </row>
        <row r="171">
          <cell r="F171">
            <v>719</v>
          </cell>
          <cell r="K171" t="str">
            <v>OK</v>
          </cell>
          <cell r="M171">
            <v>18444</v>
          </cell>
        </row>
        <row r="172">
          <cell r="F172">
            <v>723</v>
          </cell>
          <cell r="K172" t="str">
            <v>OK</v>
          </cell>
          <cell r="M172">
            <v>83831</v>
          </cell>
        </row>
        <row r="173">
          <cell r="F173">
            <v>724</v>
          </cell>
          <cell r="K173" t="str">
            <v>OK</v>
          </cell>
          <cell r="M173">
            <v>19783</v>
          </cell>
        </row>
        <row r="174">
          <cell r="F174">
            <v>718</v>
          </cell>
          <cell r="K174" t="str">
            <v>OK</v>
          </cell>
          <cell r="M174">
            <v>78882</v>
          </cell>
        </row>
        <row r="175">
          <cell r="F175" t="str">
            <v>718-01</v>
          </cell>
          <cell r="K175" t="str">
            <v>OK</v>
          </cell>
          <cell r="M175">
            <v>83830</v>
          </cell>
        </row>
        <row r="176">
          <cell r="F176">
            <v>721</v>
          </cell>
          <cell r="K176" t="str">
            <v>ok</v>
          </cell>
          <cell r="M176">
            <v>87093</v>
          </cell>
        </row>
        <row r="177">
          <cell r="F177">
            <v>722</v>
          </cell>
          <cell r="K177" t="str">
            <v>OK</v>
          </cell>
          <cell r="M177">
            <v>32358</v>
          </cell>
        </row>
        <row r="178">
          <cell r="F178">
            <v>725</v>
          </cell>
          <cell r="M178">
            <v>36095</v>
          </cell>
        </row>
        <row r="179">
          <cell r="F179">
            <v>726</v>
          </cell>
          <cell r="M179">
            <v>87648</v>
          </cell>
        </row>
        <row r="180">
          <cell r="F180">
            <v>727</v>
          </cell>
          <cell r="K180" t="str">
            <v>OK</v>
          </cell>
          <cell r="M180">
            <v>78883</v>
          </cell>
        </row>
        <row r="181">
          <cell r="F181">
            <v>728</v>
          </cell>
          <cell r="K181" t="str">
            <v>ok</v>
          </cell>
          <cell r="M181">
            <v>89242</v>
          </cell>
        </row>
        <row r="182">
          <cell r="F182">
            <v>729</v>
          </cell>
          <cell r="K182" t="str">
            <v>OK</v>
          </cell>
          <cell r="M182">
            <v>78884</v>
          </cell>
        </row>
        <row r="183">
          <cell r="F183">
            <v>730</v>
          </cell>
          <cell r="K183" t="str">
            <v>OK</v>
          </cell>
          <cell r="M183">
            <v>28997</v>
          </cell>
        </row>
        <row r="184">
          <cell r="F184">
            <v>731</v>
          </cell>
          <cell r="K184" t="str">
            <v>NAME ISSUE</v>
          </cell>
          <cell r="M184">
            <v>19800</v>
          </cell>
        </row>
        <row r="185">
          <cell r="F185">
            <v>732</v>
          </cell>
          <cell r="K185" t="str">
            <v>OK</v>
          </cell>
          <cell r="M185">
            <v>23295</v>
          </cell>
        </row>
        <row r="186">
          <cell r="F186">
            <v>733</v>
          </cell>
          <cell r="K186" t="str">
            <v>ok</v>
          </cell>
          <cell r="M186">
            <v>78885</v>
          </cell>
        </row>
        <row r="187">
          <cell r="F187">
            <v>734</v>
          </cell>
          <cell r="K187" t="str">
            <v>ok</v>
          </cell>
          <cell r="M187">
            <v>78896</v>
          </cell>
        </row>
        <row r="188">
          <cell r="F188">
            <v>735</v>
          </cell>
          <cell r="K188" t="str">
            <v>ok</v>
          </cell>
          <cell r="M188">
            <v>35051</v>
          </cell>
        </row>
        <row r="189">
          <cell r="F189">
            <v>741</v>
          </cell>
          <cell r="K189" t="str">
            <v>OK</v>
          </cell>
          <cell r="M189">
            <v>78904</v>
          </cell>
        </row>
        <row r="190">
          <cell r="F190">
            <v>736</v>
          </cell>
          <cell r="K190" t="str">
            <v>OK</v>
          </cell>
          <cell r="M190">
            <v>32360</v>
          </cell>
        </row>
        <row r="191">
          <cell r="F191">
            <v>737</v>
          </cell>
          <cell r="K191" t="str">
            <v>OK</v>
          </cell>
          <cell r="M191">
            <v>39822</v>
          </cell>
        </row>
        <row r="192">
          <cell r="F192">
            <v>738</v>
          </cell>
          <cell r="K192" t="str">
            <v>OK</v>
          </cell>
          <cell r="M192">
            <v>37589</v>
          </cell>
        </row>
        <row r="193">
          <cell r="F193">
            <v>739</v>
          </cell>
          <cell r="K193" t="str">
            <v>OK</v>
          </cell>
          <cell r="M193">
            <v>78895</v>
          </cell>
        </row>
        <row r="194">
          <cell r="F194">
            <v>740</v>
          </cell>
          <cell r="K194" t="str">
            <v>OK</v>
          </cell>
          <cell r="M194">
            <v>78894</v>
          </cell>
        </row>
        <row r="195">
          <cell r="F195">
            <v>742</v>
          </cell>
          <cell r="K195" t="str">
            <v>OK</v>
          </cell>
          <cell r="M195">
            <v>37965</v>
          </cell>
        </row>
        <row r="196">
          <cell r="F196">
            <v>747</v>
          </cell>
          <cell r="K196" t="str">
            <v>OK</v>
          </cell>
          <cell r="M196">
            <v>37577</v>
          </cell>
        </row>
        <row r="197">
          <cell r="F197">
            <v>743</v>
          </cell>
          <cell r="G197" t="str">
            <v xml:space="preserve"> </v>
          </cell>
          <cell r="K197" t="str">
            <v>OK</v>
          </cell>
          <cell r="M197">
            <v>773</v>
          </cell>
        </row>
        <row r="198">
          <cell r="F198">
            <v>744</v>
          </cell>
          <cell r="K198" t="str">
            <v>ok</v>
          </cell>
          <cell r="M198">
            <v>89248</v>
          </cell>
        </row>
        <row r="199">
          <cell r="F199">
            <v>745</v>
          </cell>
          <cell r="K199" t="str">
            <v>OK</v>
          </cell>
          <cell r="M199">
            <v>28914</v>
          </cell>
        </row>
        <row r="200">
          <cell r="F200">
            <v>740</v>
          </cell>
          <cell r="K200" t="str">
            <v>OK</v>
          </cell>
          <cell r="M200">
            <v>78897</v>
          </cell>
        </row>
        <row r="201">
          <cell r="F201">
            <v>748</v>
          </cell>
          <cell r="K201" t="str">
            <v>OK</v>
          </cell>
          <cell r="M201">
            <v>37813</v>
          </cell>
        </row>
        <row r="202">
          <cell r="F202">
            <v>749</v>
          </cell>
          <cell r="K202" t="str">
            <v>OK</v>
          </cell>
          <cell r="M202">
            <v>2582</v>
          </cell>
        </row>
        <row r="203">
          <cell r="F203">
            <v>750</v>
          </cell>
          <cell r="K203" t="str">
            <v>OK</v>
          </cell>
          <cell r="M203">
            <v>14643</v>
          </cell>
        </row>
        <row r="204">
          <cell r="F204">
            <v>401</v>
          </cell>
          <cell r="K204" t="str">
            <v>OK</v>
          </cell>
          <cell r="M204">
            <v>28996</v>
          </cell>
        </row>
        <row r="205">
          <cell r="F205">
            <v>402</v>
          </cell>
          <cell r="I205">
            <v>46058</v>
          </cell>
          <cell r="J205" t="str">
            <v>STAKED</v>
          </cell>
          <cell r="K205" t="str">
            <v>OK</v>
          </cell>
          <cell r="M205">
            <v>39825</v>
          </cell>
        </row>
        <row r="206">
          <cell r="F206">
            <v>403</v>
          </cell>
          <cell r="I206">
            <v>46058</v>
          </cell>
          <cell r="J206" t="str">
            <v>STAKED</v>
          </cell>
          <cell r="K206" t="str">
            <v>OK</v>
          </cell>
          <cell r="M206">
            <v>35052</v>
          </cell>
        </row>
        <row r="207">
          <cell r="F207">
            <v>404</v>
          </cell>
          <cell r="I207">
            <v>46058</v>
          </cell>
          <cell r="J207" t="str">
            <v>STAKED</v>
          </cell>
          <cell r="K207" t="str">
            <v>OK</v>
          </cell>
          <cell r="M207">
            <v>62874</v>
          </cell>
        </row>
        <row r="208">
          <cell r="F208">
            <v>405</v>
          </cell>
          <cell r="K208" t="str">
            <v>OK</v>
          </cell>
          <cell r="M208">
            <v>83413</v>
          </cell>
        </row>
        <row r="209">
          <cell r="F209">
            <v>407</v>
          </cell>
          <cell r="K209" t="str">
            <v>OK</v>
          </cell>
          <cell r="M209">
            <v>78900</v>
          </cell>
        </row>
        <row r="210">
          <cell r="F210">
            <v>408</v>
          </cell>
          <cell r="K210" t="str">
            <v>OK</v>
          </cell>
          <cell r="M210">
            <v>78899</v>
          </cell>
        </row>
        <row r="211">
          <cell r="F211">
            <v>406</v>
          </cell>
          <cell r="K211" t="str">
            <v>OK</v>
          </cell>
          <cell r="M211">
            <v>37964</v>
          </cell>
        </row>
        <row r="212">
          <cell r="F212">
            <v>409</v>
          </cell>
          <cell r="I212">
            <v>46058</v>
          </cell>
          <cell r="J212" t="str">
            <v>STAKED</v>
          </cell>
          <cell r="K212" t="str">
            <v>OK</v>
          </cell>
          <cell r="M212">
            <v>39786</v>
          </cell>
        </row>
        <row r="213">
          <cell r="F213">
            <v>410</v>
          </cell>
          <cell r="I213">
            <v>46058</v>
          </cell>
          <cell r="J213" t="str">
            <v>STAKED</v>
          </cell>
          <cell r="K213" t="str">
            <v>ok</v>
          </cell>
          <cell r="M213">
            <v>87107</v>
          </cell>
        </row>
        <row r="214">
          <cell r="F214">
            <v>411</v>
          </cell>
          <cell r="I214">
            <v>46058</v>
          </cell>
          <cell r="J214" t="str">
            <v>STAKED</v>
          </cell>
          <cell r="K214" t="str">
            <v>ok</v>
          </cell>
          <cell r="M214">
            <v>89243</v>
          </cell>
        </row>
        <row r="215">
          <cell r="F215">
            <v>412</v>
          </cell>
          <cell r="I215">
            <v>46058</v>
          </cell>
          <cell r="J215" t="str">
            <v>STAKED</v>
          </cell>
          <cell r="K215" t="str">
            <v>ok</v>
          </cell>
          <cell r="M215">
            <v>83832</v>
          </cell>
        </row>
        <row r="216">
          <cell r="F216">
            <v>413</v>
          </cell>
          <cell r="I216">
            <v>46086</v>
          </cell>
          <cell r="J216" t="str">
            <v>STAKED</v>
          </cell>
          <cell r="M216">
            <v>13554</v>
          </cell>
        </row>
        <row r="217">
          <cell r="F217">
            <v>414</v>
          </cell>
          <cell r="I217">
            <v>46086</v>
          </cell>
          <cell r="J217" t="str">
            <v>STAKED</v>
          </cell>
          <cell r="M217">
            <v>14644</v>
          </cell>
        </row>
        <row r="218">
          <cell r="F218">
            <v>415</v>
          </cell>
          <cell r="I218">
            <v>46086</v>
          </cell>
          <cell r="J218" t="str">
            <v>STAKED</v>
          </cell>
          <cell r="K218" t="str">
            <v>OK</v>
          </cell>
          <cell r="M218">
            <v>28995</v>
          </cell>
        </row>
        <row r="219">
          <cell r="F219">
            <v>416</v>
          </cell>
          <cell r="I219">
            <v>46086</v>
          </cell>
          <cell r="J219" t="str">
            <v>STAKED</v>
          </cell>
          <cell r="K219" t="str">
            <v>OK</v>
          </cell>
          <cell r="M219">
            <v>36087</v>
          </cell>
        </row>
        <row r="220">
          <cell r="F220">
            <v>417</v>
          </cell>
          <cell r="I220">
            <v>46086</v>
          </cell>
          <cell r="J220" t="str">
            <v>ON PALLET</v>
          </cell>
          <cell r="K220" t="str">
            <v>OK</v>
          </cell>
          <cell r="M220">
            <v>78902</v>
          </cell>
        </row>
        <row r="221">
          <cell r="F221">
            <v>418</v>
          </cell>
          <cell r="I221">
            <v>46086</v>
          </cell>
          <cell r="J221" t="str">
            <v>ON PALLET</v>
          </cell>
          <cell r="K221" t="str">
            <v>ok</v>
          </cell>
          <cell r="M221">
            <v>87106</v>
          </cell>
        </row>
        <row r="222">
          <cell r="F222">
            <v>419</v>
          </cell>
          <cell r="K222" t="str">
            <v>OK</v>
          </cell>
          <cell r="M222">
            <v>78901</v>
          </cell>
        </row>
        <row r="223">
          <cell r="F223">
            <v>420</v>
          </cell>
          <cell r="K223" t="str">
            <v>ok</v>
          </cell>
          <cell r="M223">
            <v>89244</v>
          </cell>
        </row>
        <row r="224">
          <cell r="F224">
            <v>421</v>
          </cell>
          <cell r="K224" t="str">
            <v>ok</v>
          </cell>
          <cell r="M224">
            <v>89245</v>
          </cell>
        </row>
        <row r="225">
          <cell r="F225">
            <v>422</v>
          </cell>
          <cell r="K225" t="str">
            <v>NAME ISSUE</v>
          </cell>
          <cell r="M225">
            <v>9053</v>
          </cell>
        </row>
        <row r="226">
          <cell r="F226">
            <v>423</v>
          </cell>
          <cell r="K226" t="str">
            <v>ok</v>
          </cell>
          <cell r="M226">
            <v>36093</v>
          </cell>
        </row>
        <row r="227">
          <cell r="F227">
            <v>424</v>
          </cell>
          <cell r="K227" t="str">
            <v>ok</v>
          </cell>
          <cell r="M227">
            <v>83399</v>
          </cell>
        </row>
        <row r="228">
          <cell r="F228">
            <v>427</v>
          </cell>
          <cell r="K228" t="str">
            <v>OK</v>
          </cell>
          <cell r="M228">
            <v>16</v>
          </cell>
        </row>
        <row r="229">
          <cell r="F229">
            <v>428</v>
          </cell>
          <cell r="K229" t="str">
            <v>ok</v>
          </cell>
          <cell r="M229">
            <v>78909</v>
          </cell>
        </row>
        <row r="230">
          <cell r="F230">
            <v>430</v>
          </cell>
          <cell r="K230" t="str">
            <v>OK</v>
          </cell>
          <cell r="M230">
            <v>39835</v>
          </cell>
        </row>
        <row r="231">
          <cell r="F231">
            <v>426</v>
          </cell>
          <cell r="K231" t="str">
            <v>ok</v>
          </cell>
          <cell r="M231">
            <v>87037</v>
          </cell>
        </row>
        <row r="232">
          <cell r="F232">
            <v>425</v>
          </cell>
          <cell r="K232" t="str">
            <v>OK</v>
          </cell>
          <cell r="M232">
            <v>37590</v>
          </cell>
        </row>
        <row r="233">
          <cell r="F233">
            <v>429</v>
          </cell>
          <cell r="K233" t="str">
            <v>OK</v>
          </cell>
          <cell r="M233">
            <v>18946</v>
          </cell>
        </row>
        <row r="234">
          <cell r="F234">
            <v>431</v>
          </cell>
          <cell r="K234" t="str">
            <v>OK</v>
          </cell>
          <cell r="M234">
            <v>78903</v>
          </cell>
        </row>
        <row r="235">
          <cell r="F235">
            <v>432</v>
          </cell>
          <cell r="K235" t="str">
            <v>ok</v>
          </cell>
          <cell r="M235">
            <v>66427</v>
          </cell>
        </row>
        <row r="236">
          <cell r="F236">
            <v>433</v>
          </cell>
          <cell r="K236" t="str">
            <v>ok</v>
          </cell>
          <cell r="M236">
            <v>36092</v>
          </cell>
        </row>
        <row r="237">
          <cell r="F237">
            <v>434</v>
          </cell>
          <cell r="K237" t="str">
            <v>ok</v>
          </cell>
          <cell r="M237">
            <v>87145</v>
          </cell>
        </row>
        <row r="238">
          <cell r="F238">
            <v>436</v>
          </cell>
          <cell r="K238" t="str">
            <v>ok</v>
          </cell>
          <cell r="M238">
            <v>31508</v>
          </cell>
        </row>
        <row r="239">
          <cell r="F239">
            <v>435</v>
          </cell>
          <cell r="K239" t="str">
            <v>ok</v>
          </cell>
          <cell r="M239">
            <v>30275</v>
          </cell>
        </row>
        <row r="240">
          <cell r="F240">
            <v>437</v>
          </cell>
          <cell r="M240">
            <v>70332</v>
          </cell>
        </row>
        <row r="241">
          <cell r="F241">
            <v>438</v>
          </cell>
          <cell r="M241">
            <v>87081</v>
          </cell>
        </row>
        <row r="242">
          <cell r="F242">
            <v>439</v>
          </cell>
          <cell r="M242">
            <v>77598</v>
          </cell>
        </row>
        <row r="243">
          <cell r="F243">
            <v>440</v>
          </cell>
          <cell r="K243" t="str">
            <v>ok</v>
          </cell>
          <cell r="M243">
            <v>39833</v>
          </cell>
        </row>
        <row r="244">
          <cell r="F244">
            <v>441</v>
          </cell>
          <cell r="M244">
            <v>89077</v>
          </cell>
        </row>
        <row r="245">
          <cell r="F245">
            <v>442</v>
          </cell>
          <cell r="K245" t="str">
            <v>OK</v>
          </cell>
          <cell r="M245">
            <v>78898</v>
          </cell>
        </row>
        <row r="246">
          <cell r="F246">
            <v>443</v>
          </cell>
          <cell r="K246" t="str">
            <v>ok</v>
          </cell>
          <cell r="M246">
            <v>31509</v>
          </cell>
        </row>
        <row r="247">
          <cell r="F247">
            <v>444</v>
          </cell>
          <cell r="K247" t="str">
            <v>ok</v>
          </cell>
          <cell r="M247">
            <v>31510</v>
          </cell>
        </row>
        <row r="248">
          <cell r="F248">
            <v>445</v>
          </cell>
          <cell r="K248" t="str">
            <v>ok</v>
          </cell>
          <cell r="M248">
            <v>31512</v>
          </cell>
        </row>
        <row r="249">
          <cell r="F249">
            <v>446</v>
          </cell>
          <cell r="K249" t="str">
            <v>ok</v>
          </cell>
          <cell r="M249">
            <v>31511</v>
          </cell>
        </row>
        <row r="250">
          <cell r="F250">
            <v>447</v>
          </cell>
          <cell r="K250" t="str">
            <v>ok</v>
          </cell>
          <cell r="M250">
            <v>35056</v>
          </cell>
        </row>
        <row r="251">
          <cell r="F251">
            <v>448</v>
          </cell>
          <cell r="K251" t="str">
            <v>OK</v>
          </cell>
          <cell r="M251">
            <v>87036</v>
          </cell>
        </row>
        <row r="252">
          <cell r="F252">
            <v>449</v>
          </cell>
          <cell r="K252" t="str">
            <v>NOT ENTERD BY CCAK</v>
          </cell>
          <cell r="M252">
            <v>87130</v>
          </cell>
        </row>
        <row r="253">
          <cell r="F253">
            <v>952</v>
          </cell>
          <cell r="M253">
            <v>30581</v>
          </cell>
        </row>
        <row r="254">
          <cell r="F254">
            <v>953</v>
          </cell>
          <cell r="M254">
            <v>87102</v>
          </cell>
        </row>
        <row r="255">
          <cell r="F255">
            <v>954</v>
          </cell>
          <cell r="M255">
            <v>28967</v>
          </cell>
        </row>
        <row r="256">
          <cell r="F256">
            <v>955</v>
          </cell>
          <cell r="M256">
            <v>87080</v>
          </cell>
        </row>
        <row r="257">
          <cell r="F257">
            <v>956</v>
          </cell>
          <cell r="M257">
            <v>87090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_emploi"/>
      <sheetName val="Parametres"/>
      <sheetName val="Listes"/>
      <sheetName val=" Transfer Tracking"/>
    </sheetNames>
    <sheetDataSet>
      <sheetData sheetId="0"/>
      <sheetData sheetId="1"/>
      <sheetData sheetId="2">
        <row r="2">
          <cell r="A2" t="str">
            <v>CAMARA MAGAH</v>
          </cell>
          <cell r="B2" t="str">
            <v>BKE-001</v>
          </cell>
        </row>
        <row r="3">
          <cell r="A3" t="str">
            <v>SONELTRANS</v>
          </cell>
          <cell r="B3" t="str">
            <v>BKE-002</v>
          </cell>
        </row>
        <row r="4">
          <cell r="B4" t="str">
            <v>BKE-003</v>
          </cell>
        </row>
        <row r="5">
          <cell r="B5" t="str">
            <v>ANAGROCI 1</v>
          </cell>
        </row>
        <row r="6">
          <cell r="B6" t="str">
            <v>ANAGROCI 2</v>
          </cell>
        </row>
      </sheetData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OFFICE%20WORK\IVORY%20COAST%20CASHEW%202026\CONSOLIDATED%20CASHEW%20REPORT%20IVORY%20COAST%202026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82.533668518518" createdVersion="6" refreshedVersion="6" minRefreshableVersion="3" recordCount="978" xr:uid="{4EA747D6-A033-4BEA-8C93-31D1BEF0B75B}">
  <cacheSource type="worksheet">
    <worksheetSource name="Table46" r:id="rId2"/>
  </cacheSource>
  <cacheFields count="31">
    <cacheField name="S N" numFmtId="0">
      <sharedItems containsSemiMixedTypes="0" containsString="0" containsNumber="1" containsInteger="1" minValue="1" maxValue="978"/>
    </cacheField>
    <cacheField name="DATE OF ARRIVAL" numFmtId="166">
      <sharedItems containsSemiMixedTypes="0" containsNonDate="0" containsDate="1" containsString="0" minDate="2026-02-16T00:00:00" maxDate="2026-05-31T00:00:00"/>
    </cacheField>
    <cacheField name="DATE OF OFFLOADING" numFmtId="166">
      <sharedItems containsSemiMixedTypes="0" containsNonDate="0" containsDate="1" containsString="0" minDate="2026-02-16T00:00:00" maxDate="2026-06-01T00:00:00" count="84"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15T00:00:00"/>
        <d v="2026-05-20T00:00:00"/>
        <d v="2026-05-21T00:00:00"/>
        <d v="2026-05-26T00:00:00"/>
        <d v="2026-05-31T00:00:00"/>
      </sharedItems>
      <fieldGroup par="30" base="2">
        <rangePr groupBy="days" startDate="2026-02-16T00:00:00" endDate="2026-06-01T00:00:00"/>
        <groupItems count="368">
          <s v="&lt;16-02-26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6-26"/>
        </groupItems>
      </fieldGroup>
    </cacheField>
    <cacheField name="RM/FG" numFmtId="0">
      <sharedItems containsBlank="1"/>
    </cacheField>
    <cacheField name="CREDIT/CASH" numFmtId="0">
      <sharedItems containsBlank="1"/>
    </cacheField>
    <cacheField name="WH LOCATION" numFmtId="0">
      <sharedItems count="3">
        <s v="BOUAKE"/>
        <s v="YAKRO FACTORY"/>
        <s v="AGRICAS WH"/>
      </sharedItems>
    </cacheField>
    <cacheField name="WH NO." numFmtId="0">
      <sharedItems containsBlank="1"/>
    </cacheField>
    <cacheField name="SUPPLIERS NAME" numFmtId="0">
      <sharedItems count="82">
        <s v="RCN SCOOP IMANE"/>
        <s v="RCN CASP-S SCOOPS"/>
        <s v="RCN SCOOPS HERE B"/>
        <s v="RCN SCOPPAS SCOOPS"/>
        <s v="RCN DAGNOGO KARIM"/>
        <s v="RCN SCOOPS BAY SCOOPS"/>
        <s v="RCN SCOOPS-OUMI/KONE SIDY"/>
        <s v="RCN SCOOPS-SOCOSIDJI"/>
        <s v="RCN SCOOP ASER"/>
        <s v="RCN SCAAMT COOP CA"/>
        <s v="RCN SCOOPS WEBE"/>
        <s v="RCN CAPCD-SCOOPS"/>
        <s v="RCN COP JAVA SCOOPS"/>
        <s v="RCN SCOOPS KPESSO"/>
        <s v="RCN SCOOPS FRA PRO"/>
        <s v="RCN SCOOP-CA/COBAN"/>
        <s v="RCN SCOOPS CORISPORT"/>
        <s v="RCN SCOOPS AH AL NOUR"/>
        <s v="RCN SCOOPS DPVICA"/>
        <s v="RCN SCOOPS DEMBOL"/>
        <s v="RCN SCOOPS COOPRAKA"/>
        <s v="RCN SCOOPADA SCOOPS"/>
        <s v="RCN SOVA SCOOPS"/>
        <s v="RCN SCOOP SAHS"/>
        <s v="RCN SCOOPS DIENE"/>
        <s v="RCN SCOOPASS"/>
        <s v="RCN SCOOPS FOUNDARA"/>
        <s v="RCN YAO OUMIAN LAMBERT"/>
        <s v="RCN SCOOPS SKS"/>
        <s v="RCN SOCOSAM"/>
        <s v="RCN GOLDY AGRI MARKET"/>
        <s v="RCN SCOOPS BAOBAB"/>
        <s v="RCN DCARRE DAVID D JOUMAN"/>
        <s v="RCN  ESPI SCOOPS"/>
        <s v="RCN SCOOPS IB"/>
        <s v="RCN SCOOPS MASSATIGUI"/>
        <s v="RCN DECARRE DAVID &amp;DJOUMAN"/>
        <s v="RCN SCOOPS PAPN"/>
        <s v="RCN SCOOPS AGRO NEGOCE"/>
        <s v="RCN SCOOPS KOB S"/>
        <s v="RCN SCOOPS OUANIAGNACHION"/>
        <s v="RCN SCOOPS COOPRES"/>
        <s v="RCN ICFB"/>
        <s v="RCN SCOOPS MANANA"/>
        <s v="RCN CADEPO COOP CA"/>
        <s v="RCN SANOGO SINDOU"/>
        <s v="RCN SIMAYAT COOP CA"/>
        <s v="RCN ALFCOUL GROUP"/>
        <s v="RCN SCOOPS MOAYE BKE"/>
        <s v="RCN SCOOPS PAP"/>
        <s v="RCN SCOOPS AC SOURCING"/>
        <s v="RCN CPAS SCOOPS"/>
        <s v="RCN SCOPA"/>
        <s v="RCN SCOOPS JPPAGG"/>
        <s v="RCN ADAM IVOIRE"/>
        <s v="RCN SCMB COOP CA"/>
        <s v="RCN SCOOPS AJCB"/>
        <s v="RCN OCEAN NEGOSE"/>
        <s v="RCN SCOOPS SCNB"/>
        <s v="RCN SCOOPS PSP"/>
        <s v="RCN COOPCA TOE SEYDOU"/>
        <s v="RCN SCOOPS AKF"/>
        <s v="RCN SCOOPS ESPOIR"/>
        <s v="RCN KONE KOLOGO"/>
        <s v="RCN SCOOPS YIRIWA"/>
        <s v="RCN SCAAB"/>
        <s v="RCN BENI BUSINESS CENTER"/>
        <s v="RCN SOCOOP ADD COOP CA"/>
        <s v="RCN AGRICAS IVOIRE"/>
        <s v="RCN BROUMA SARL"/>
        <s v="RCN SOLANDA-CI"/>
        <s v="RCN SCOOP SHAS" u="1"/>
        <s v="SCOOPS FRA PRO" u="1"/>
        <s v="RCN SCOOS PAP" u="1"/>
        <s v="RCN SCOOPS DJIGUISSEME" u="1"/>
        <e v="#N/A" u="1"/>
        <s v="RCN SCDN COOP CA" u="1"/>
        <s v="RCN SCOOPS SNCB" u="1"/>
        <s v="RCN SCOPASS" u="1"/>
        <s v="RCN SCOOPS COPRAKA" u="1"/>
        <s v="RCN SCOOPS LAGANFIA" u="1"/>
        <s v="RCN SCOOPADE SCOOPS" u="1"/>
      </sharedItems>
    </cacheField>
    <cacheField name="LBA CODE" numFmtId="0">
      <sharedItems count="79">
        <s v="LBA-006-IMA"/>
        <s v="LBA-007-CAS"/>
        <s v="LBA-003-HER"/>
        <s v="LBA-009-SCO"/>
        <s v="LBA-013-DAG"/>
        <s v="LBA-014-BAY"/>
        <s v="LBA-015-OUM"/>
        <s v="LBA-001-SOC"/>
        <s v="LBA-011-ASR"/>
        <s v="LBA-002-SCA"/>
        <s v="LBA-004-WEB"/>
        <s v="LBA-010-CAP"/>
        <s v="LBA-005-JAV"/>
        <s v="LBA-012-KPE"/>
        <s v="LBA-019-FRA"/>
        <s v="LBA-008-COB"/>
        <s v="DIS-002-COR"/>
        <s v="LBA-016-NOU"/>
        <s v="LBA-017-DPV"/>
        <s v="DIS-003-DEM"/>
        <s v="LBA-018-COP"/>
        <s v="DIS-001-SCO"/>
        <s v="DIS-005-SOV"/>
        <s v="DIS-010-SAH"/>
        <s v="DIS-006-DIE"/>
        <s v="DIS-007-SPA"/>
        <s v="DIS-008-FOU"/>
        <s v="DIS-009-YAO"/>
        <s v="LBA-020-SKS"/>
        <s v="DIS-011-SAM"/>
        <s v="DIS-012-GOL"/>
        <s v="DIS-013-BAB"/>
        <s v="DIS-014-DAV"/>
        <s v="DIS-015-ESP"/>
        <s v="DIS-016-SIB"/>
        <s v="DIS-017-MAS"/>
        <s v="DIS-019-DEC"/>
        <s v="DIS-018-PAP"/>
        <s v="DIS-027-BAO"/>
        <s v="LBA-022-NEG"/>
        <s v="DIS-021-KOB"/>
        <s v="DIS-CASH-001"/>
        <s v="DIS-022-RES"/>
        <s v="DIS-023-ICF"/>
        <s v="DIS-CASH-002"/>
        <s v="DIS-024-CAD"/>
        <s v="LBA-021-SAN"/>
        <s v="DIS-025-SIM"/>
        <s v="DIS-028-ALF"/>
        <s v="DIS-026-MOA"/>
        <s v="DIS-037-PAP"/>
        <s v="DIS-020-SOU"/>
        <s v="DIS-029-CPA"/>
        <s v="DIS-CASH-005"/>
        <s v="DIS-030-JPP"/>
        <s v="DIS-031-ADA"/>
        <s v="DIS-032-SCM"/>
        <s v="DIS-033-AJC"/>
        <s v="DIS-034-OCE"/>
        <s v="DIS-035-SNC"/>
        <s v="DIS-CASH-003"/>
        <s v="DIS-036-SEY"/>
        <s v="DIS-038-AKF"/>
        <s v="DIS-CASH-006"/>
        <s v="DIS-CASH-007"/>
        <s v="DIS-CASH-008"/>
        <s v="DIS-CASH-009"/>
        <s v="DIS-CASH-004"/>
        <s v="DIS-039-ADD"/>
        <s v="LBA-023-AGR"/>
        <s v="DIS-041-BRO"/>
        <s v="DIS-040-SOL"/>
        <s v="LBA-012-CPE"/>
        <s v="DIS-020-NEG" u="1"/>
        <s v="DIS-040-SCD" u="1"/>
        <s v="LBA-O18-COP" u="1"/>
        <e v="#N/A" u="1"/>
        <s v="DIS-039-FIA" u="1"/>
        <s v="DIS-CASH-" u="1"/>
      </sharedItems>
    </cacheField>
    <cacheField name="VEHICLE NO." numFmtId="0">
      <sharedItems containsBlank="1"/>
    </cacheField>
    <cacheField name="FICHE CODE" numFmtId="0">
      <sharedItems containsBlank="1"/>
    </cacheField>
    <cacheField name="REF." numFmtId="0">
      <sharedItems containsBlank="1" containsMixedTypes="1" containsNumber="1" containsInteger="1" minValue="0" maxValue="1250"/>
    </cacheField>
    <cacheField name="FICHE" numFmtId="0">
      <sharedItems containsBlank="1" containsMixedTypes="1" containsNumber="1" containsInteger="1" minValue="14" maxValue="89248"/>
    </cacheField>
    <cacheField name="SACS" numFmtId="0">
      <sharedItems containsString="0" containsBlank="1" containsNumber="1" containsInteger="1" minValue="0" maxValue="785"/>
    </cacheField>
    <cacheField name="GROSS WT KGS" numFmtId="165">
      <sharedItems containsString="0" containsBlank="1" containsNumber="1" containsInteger="1" minValue="0" maxValue="118000"/>
    </cacheField>
    <cacheField name="NET WT KGS" numFmtId="0">
      <sharedItems containsString="0" containsBlank="1" containsNumber="1" containsInteger="1" minValue="0" maxValue="118000"/>
    </cacheField>
    <cacheField name="BON SACS" numFmtId="0">
      <sharedItems containsString="0" containsBlank="1" containsNumber="1" containsInteger="1" minValue="90" maxValue="762"/>
    </cacheField>
    <cacheField name="HUMID SACS" numFmtId="0">
      <sharedItems containsString="0" containsBlank="1" containsNumber="1" containsInteger="1" minValue="0" maxValue="80"/>
    </cacheField>
    <cacheField name="Sacs déchirés" numFmtId="0">
      <sharedItems containsString="0" containsBlank="1" containsNumber="1" containsInteger="1" minValue="0" maxValue="150"/>
    </cacheField>
    <cacheField name="Refraction" numFmtId="0">
      <sharedItems containsString="0" containsBlank="1" containsNumber="1" containsInteger="1" minValue="0" maxValue="640"/>
    </cacheField>
    <cacheField name="PAID WT" numFmtId="0">
      <sharedItems containsString="0" containsBlank="1" containsNumber="1" containsInteger="1" minValue="0" maxValue="118000"/>
    </cacheField>
    <cacheField name="PRICE" numFmtId="164">
      <sharedItems containsString="0" containsBlank="1" containsNumber="1" containsInteger="1" minValue="0" maxValue="530"/>
    </cacheField>
    <cacheField name="AMOUNT" numFmtId="164">
      <sharedItems containsString="0" containsBlank="1" containsNumber="1" containsInteger="1" minValue="0" maxValue="61950000"/>
    </cacheField>
    <cacheField name="MOIS." numFmtId="2">
      <sharedItems containsSemiMixedTypes="0" containsString="0" containsNumber="1" minValue="6.2" maxValue="17.8"/>
    </cacheField>
    <cacheField name="NUT COUNT" numFmtId="1">
      <sharedItems containsSemiMixedTypes="0" containsString="0" containsNumber="1" containsInteger="1" minValue="82" maxValue="202"/>
    </cacheField>
    <cacheField name="KOR" numFmtId="2">
      <sharedItems containsSemiMixedTypes="0" containsString="0" containsNumber="1" minValue="34.215780000000002" maxValue="48.92"/>
    </cacheField>
    <cacheField name="FINAL KOR" numFmtId="2">
      <sharedItems containsString="0" containsBlank="1" containsNumber="1" minValue="45.93" maxValue="48.4"/>
    </cacheField>
    <cacheField name="ORIGIN" numFmtId="0">
      <sharedItems containsBlank="1"/>
    </cacheField>
    <cacheField name="REMARKS" numFmtId="14">
      <sharedItems containsBlank="1"/>
    </cacheField>
    <cacheField name="WEEKS" numFmtId="0">
      <sharedItems containsBlank="1"/>
    </cacheField>
    <cacheField name="Months" numFmtId="0" databaseField="0">
      <fieldGroup base="2">
        <rangePr groupBy="months" startDate="2026-02-16T00:00:00" endDate="2026-06-01T00:00:00"/>
        <groupItems count="14">
          <s v="&lt;16-02-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6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">
  <r>
    <n v="1"/>
    <d v="2026-02-16T00:00:00"/>
    <x v="0"/>
    <s v="RM"/>
    <s v="CREDIT"/>
    <x v="0"/>
    <s v="BKE-002"/>
    <x v="0"/>
    <x v="0"/>
    <s v="827KT01"/>
    <s v="0401-0007"/>
    <n v="801"/>
    <n v="72515"/>
    <n v="478"/>
    <n v="41300"/>
    <n v="40822"/>
    <n v="463"/>
    <n v="0"/>
    <n v="15"/>
    <n v="60"/>
    <n v="40762"/>
    <n v="470"/>
    <n v="19158140"/>
    <n v="10.199999999999999"/>
    <n v="172"/>
    <n v="47.69"/>
    <n v="48.4"/>
    <s v="DIANRA"/>
    <m/>
    <s v="W-8 Feb"/>
  </r>
  <r>
    <n v="2"/>
    <d v="2026-02-16T00:00:00"/>
    <x v="0"/>
    <s v="RM"/>
    <s v="CREDIT"/>
    <x v="0"/>
    <s v="BKE-002"/>
    <x v="1"/>
    <x v="1"/>
    <s v="793LT03"/>
    <s v="0429-0040"/>
    <n v="802"/>
    <n v="72533"/>
    <n v="628"/>
    <n v="50880"/>
    <n v="50252"/>
    <n v="559"/>
    <n v="0"/>
    <n v="69"/>
    <n v="276"/>
    <n v="49976"/>
    <n v="490"/>
    <n v="24488240"/>
    <n v="9"/>
    <n v="165"/>
    <n v="48.41"/>
    <n v="48.22"/>
    <s v="MANKONO"/>
    <m/>
    <s v="W-8 Feb"/>
  </r>
  <r>
    <n v="3"/>
    <d v="2026-02-16T00:00:00"/>
    <x v="0"/>
    <s v="RM"/>
    <s v="CREDIT"/>
    <x v="0"/>
    <s v="BKE-002"/>
    <x v="1"/>
    <x v="1"/>
    <s v="7716FP01"/>
    <s v="0429-0040"/>
    <n v="803"/>
    <n v="72534"/>
    <n v="494"/>
    <n v="41640"/>
    <n v="41146"/>
    <n v="463"/>
    <n v="0"/>
    <n v="31"/>
    <n v="124"/>
    <n v="41022"/>
    <n v="490"/>
    <n v="20100780"/>
    <n v="8.5"/>
    <n v="164"/>
    <n v="47"/>
    <n v="47"/>
    <s v="MANKONO"/>
    <m/>
    <s v="W-8 Feb"/>
  </r>
  <r>
    <n v="4"/>
    <d v="2026-02-16T00:00:00"/>
    <x v="0"/>
    <s v="RM"/>
    <s v="CREDIT"/>
    <x v="0"/>
    <m/>
    <x v="1"/>
    <x v="1"/>
    <s v="524LS01"/>
    <m/>
    <m/>
    <m/>
    <n v="0"/>
    <n v="0"/>
    <n v="0"/>
    <m/>
    <m/>
    <m/>
    <m/>
    <n v="0"/>
    <n v="0"/>
    <n v="0"/>
    <n v="8.6999999999999993"/>
    <n v="164"/>
    <n v="44.35"/>
    <m/>
    <s v="MANKONO"/>
    <s v="REJECT"/>
    <m/>
  </r>
  <r>
    <n v="5"/>
    <d v="2026-02-17T00:00:00"/>
    <x v="1"/>
    <s v="RM"/>
    <s v="CREDIT"/>
    <x v="0"/>
    <s v="BKE-002"/>
    <x v="2"/>
    <x v="2"/>
    <s v="8287GH03"/>
    <s v="0426-0187"/>
    <n v="809"/>
    <n v="72615"/>
    <n v="512"/>
    <n v="45420"/>
    <n v="44908"/>
    <n v="504"/>
    <n v="0"/>
    <n v="8"/>
    <n v="32"/>
    <n v="44876"/>
    <n v="470"/>
    <n v="21091720"/>
    <n v="11.4"/>
    <n v="162"/>
    <n v="46.11"/>
    <m/>
    <s v="NIAKARA"/>
    <m/>
    <s v="W-8 Feb"/>
  </r>
  <r>
    <n v="6"/>
    <d v="2026-02-17T00:00:00"/>
    <x v="1"/>
    <s v="RM"/>
    <s v="CREDIT"/>
    <x v="0"/>
    <s v="BKE-002"/>
    <x v="1"/>
    <x v="1"/>
    <s v="4731CR04"/>
    <s v="0429-0040"/>
    <n v="806"/>
    <n v="72536"/>
    <n v="482"/>
    <n v="40620"/>
    <n v="40138"/>
    <n v="421"/>
    <n v="0"/>
    <n v="61"/>
    <n v="244"/>
    <n v="39894"/>
    <n v="485"/>
    <n v="19348590"/>
    <n v="9.5"/>
    <n v="161"/>
    <n v="46.11"/>
    <n v="45.93"/>
    <s v="MANKONO"/>
    <m/>
    <s v="W-8 Feb"/>
  </r>
  <r>
    <n v="7"/>
    <d v="2026-02-17T00:00:00"/>
    <x v="1"/>
    <s v="RM"/>
    <s v="CREDIT"/>
    <x v="0"/>
    <s v="BKE-003"/>
    <x v="3"/>
    <x v="3"/>
    <s v="338KX01"/>
    <s v="0426-0203"/>
    <n v="811"/>
    <n v="72540"/>
    <n v="425"/>
    <n v="35320"/>
    <n v="34895"/>
    <n v="400"/>
    <n v="0"/>
    <n v="25"/>
    <n v="100"/>
    <n v="34795"/>
    <n v="470"/>
    <n v="16353650"/>
    <n v="9.5"/>
    <n v="166"/>
    <n v="48.57"/>
    <n v="48.04"/>
    <s v="BOUAKE"/>
    <m/>
    <s v="W-8 Feb"/>
  </r>
  <r>
    <n v="8"/>
    <d v="2026-02-17T00:00:00"/>
    <x v="1"/>
    <s v="RM"/>
    <s v="CREDIT"/>
    <x v="0"/>
    <s v="BKE-002"/>
    <x v="4"/>
    <x v="4"/>
    <s v="3633LZ04"/>
    <s v="0425-0068"/>
    <n v="805"/>
    <n v="72569"/>
    <n v="586"/>
    <n v="50760"/>
    <n v="50174"/>
    <n v="556"/>
    <n v="12"/>
    <n v="18"/>
    <n v="552"/>
    <n v="49622"/>
    <n v="470"/>
    <n v="23322340"/>
    <n v="11.5"/>
    <n v="161"/>
    <n v="47.87"/>
    <m/>
    <s v="NIAKARA"/>
    <m/>
    <s v="W-8 Feb"/>
  </r>
  <r>
    <n v="9"/>
    <d v="2026-02-17T00:00:00"/>
    <x v="1"/>
    <s v="RM"/>
    <s v="CREDIT"/>
    <x v="0"/>
    <s v="BKE-002"/>
    <x v="4"/>
    <x v="4"/>
    <s v="753HA01"/>
    <s v="0425-0068"/>
    <n v="807"/>
    <n v="72570"/>
    <n v="469"/>
    <n v="41140"/>
    <n v="40671"/>
    <n v="449"/>
    <n v="0"/>
    <n v="20"/>
    <n v="80"/>
    <n v="40591"/>
    <n v="470"/>
    <n v="19077770"/>
    <n v="11.3"/>
    <n v="160"/>
    <n v="46.46"/>
    <m/>
    <s v="NIAKARA"/>
    <m/>
    <s v="W-8 Feb"/>
  </r>
  <r>
    <n v="10"/>
    <d v="2026-02-17T00:00:00"/>
    <x v="1"/>
    <s v="RM"/>
    <s v="CREDIT"/>
    <x v="0"/>
    <s v="BKE-002"/>
    <x v="5"/>
    <x v="5"/>
    <s v="3509KJ01"/>
    <s v="0426-0194"/>
    <n v="804"/>
    <n v="72607"/>
    <n v="442"/>
    <n v="39460"/>
    <n v="39018"/>
    <n v="437"/>
    <n v="0"/>
    <n v="5"/>
    <n v="20"/>
    <n v="38998"/>
    <n v="470"/>
    <n v="18329060"/>
    <n v="9.1"/>
    <n v="163"/>
    <n v="47.08"/>
    <n v="47.16"/>
    <s v="MANKONO"/>
    <m/>
    <s v="W-8 Feb"/>
  </r>
  <r>
    <n v="11"/>
    <d v="2026-02-17T00:00:00"/>
    <x v="1"/>
    <s v="RM"/>
    <s v="CREDIT"/>
    <x v="0"/>
    <s v="BKE-002"/>
    <x v="6"/>
    <x v="6"/>
    <s v="28JZ01"/>
    <s v="0426-0347"/>
    <n v="808"/>
    <n v="72564"/>
    <n v="570"/>
    <n v="49020"/>
    <n v="48450"/>
    <n v="555"/>
    <n v="0"/>
    <n v="15"/>
    <n v="60"/>
    <n v="48390"/>
    <n v="470"/>
    <n v="22743300"/>
    <n v="9.1999999999999993"/>
    <n v="172"/>
    <n v="48.04"/>
    <n v="48.4"/>
    <s v="BOUAKE"/>
    <m/>
    <s v="W-8 Feb"/>
  </r>
  <r>
    <n v="12"/>
    <d v="2026-02-17T00:00:00"/>
    <x v="1"/>
    <s v="RM"/>
    <s v="CREDIT"/>
    <x v="0"/>
    <m/>
    <x v="7"/>
    <x v="7"/>
    <s v="7695EF01"/>
    <m/>
    <m/>
    <m/>
    <n v="0"/>
    <n v="0"/>
    <n v="0"/>
    <m/>
    <m/>
    <m/>
    <m/>
    <n v="0"/>
    <n v="0"/>
    <n v="0"/>
    <n v="9.4"/>
    <n v="166"/>
    <n v="45.32"/>
    <m/>
    <s v="DIANRA"/>
    <s v="REJECT"/>
    <m/>
  </r>
  <r>
    <n v="13"/>
    <d v="2026-02-17T00:00:00"/>
    <x v="1"/>
    <s v="RM"/>
    <s v="CREDIT"/>
    <x v="0"/>
    <m/>
    <x v="8"/>
    <x v="8"/>
    <s v="AA398TS04"/>
    <m/>
    <m/>
    <m/>
    <n v="0"/>
    <n v="0"/>
    <n v="0"/>
    <m/>
    <m/>
    <m/>
    <m/>
    <n v="0"/>
    <n v="0"/>
    <n v="0"/>
    <n v="9.3000000000000007"/>
    <n v="185"/>
    <n v="45.4"/>
    <m/>
    <s v="BOUAKE"/>
    <s v="REJECT"/>
    <m/>
  </r>
  <r>
    <n v="14"/>
    <d v="2026-02-18T00:00:00"/>
    <x v="2"/>
    <s v="RM"/>
    <s v="CREDIT"/>
    <x v="0"/>
    <s v="BKE-003"/>
    <x v="9"/>
    <x v="9"/>
    <s v="AA864JL01"/>
    <s v="0419-0180"/>
    <n v="815"/>
    <n v="72517"/>
    <n v="614"/>
    <n v="52060"/>
    <n v="51446"/>
    <n v="578"/>
    <n v="0"/>
    <n v="36"/>
    <n v="144"/>
    <n v="51302"/>
    <n v="470"/>
    <n v="24111940"/>
    <n v="9.5"/>
    <n v="178"/>
    <n v="46.81"/>
    <n v="47.16"/>
    <s v="VAVOUA"/>
    <m/>
    <s v="W-8 Feb"/>
  </r>
  <r>
    <n v="15"/>
    <d v="2026-02-18T00:00:00"/>
    <x v="2"/>
    <s v="RM"/>
    <s v="CREDIT"/>
    <x v="0"/>
    <s v="BKE-003"/>
    <x v="10"/>
    <x v="10"/>
    <s v="5176LG04"/>
    <s v="0425-0212"/>
    <n v="817"/>
    <n v="72568"/>
    <n v="453"/>
    <n v="41540"/>
    <n v="41087"/>
    <n v="410"/>
    <n v="0"/>
    <n v="43"/>
    <n v="172"/>
    <n v="40915"/>
    <n v="475"/>
    <n v="19434625"/>
    <n v="9.6"/>
    <n v="182"/>
    <n v="48.22"/>
    <n v="48.4"/>
    <s v="DABAKALA"/>
    <m/>
    <s v="W-8 Feb"/>
  </r>
  <r>
    <n v="16"/>
    <d v="2026-02-18T00:00:00"/>
    <x v="2"/>
    <s v="RM"/>
    <s v="CREDIT"/>
    <x v="0"/>
    <s v="BKE-002"/>
    <x v="0"/>
    <x v="0"/>
    <s v="852KH03"/>
    <s v="0401-0007"/>
    <n v="816"/>
    <n v="72506"/>
    <n v="475"/>
    <n v="41260"/>
    <n v="40785"/>
    <n v="466"/>
    <n v="0"/>
    <n v="9"/>
    <n v="36"/>
    <n v="40749"/>
    <n v="475"/>
    <n v="19355775"/>
    <n v="9.9"/>
    <n v="174"/>
    <n v="48.04"/>
    <n v="48.22"/>
    <s v="DIANRA"/>
    <m/>
    <s v="W-8 Feb"/>
  </r>
  <r>
    <n v="17"/>
    <d v="2026-02-18T00:00:00"/>
    <x v="2"/>
    <s v="RM"/>
    <s v="CREDIT"/>
    <x v="0"/>
    <s v="BKE-002"/>
    <x v="3"/>
    <x v="3"/>
    <s v="6939EQ01"/>
    <s v="0426-0203"/>
    <n v="813"/>
    <n v="72538"/>
    <n v="602"/>
    <n v="49758"/>
    <n v="49156"/>
    <n v="599"/>
    <n v="0"/>
    <n v="3"/>
    <n v="12"/>
    <n v="49144"/>
    <n v="470"/>
    <n v="23097680"/>
    <n v="10.9"/>
    <n v="180"/>
    <n v="47.52"/>
    <m/>
    <s v="KOUNAHIRI"/>
    <m/>
    <s v="W-8 Feb"/>
  </r>
  <r>
    <n v="18"/>
    <d v="2026-02-18T00:00:00"/>
    <x v="2"/>
    <s v="RM"/>
    <s v="CREDIT"/>
    <x v="0"/>
    <s v="BKE-002"/>
    <x v="11"/>
    <x v="11"/>
    <s v="AA562YL04"/>
    <s v="0431-0277"/>
    <n v="812"/>
    <n v="72523"/>
    <n v="463"/>
    <n v="40560"/>
    <n v="40097"/>
    <n v="453"/>
    <n v="0"/>
    <n v="10"/>
    <n v="40"/>
    <n v="40057"/>
    <n v="475"/>
    <n v="19027075"/>
    <n v="11.2"/>
    <n v="168"/>
    <n v="48.04"/>
    <m/>
    <s v="DIANRA"/>
    <m/>
    <s v="W-8 Feb"/>
  </r>
  <r>
    <n v="19"/>
    <d v="2026-02-18T00:00:00"/>
    <x v="2"/>
    <s v="RM"/>
    <s v="CREDIT"/>
    <x v="0"/>
    <s v="BKE-003"/>
    <x v="8"/>
    <x v="8"/>
    <s v="2138HC01"/>
    <s v="0426-0340"/>
    <n v="814"/>
    <n v="72501"/>
    <n v="562"/>
    <n v="46680"/>
    <n v="46118"/>
    <n v="524"/>
    <n v="0"/>
    <n v="38"/>
    <n v="152"/>
    <n v="45966"/>
    <n v="470"/>
    <n v="21604020"/>
    <n v="8.6"/>
    <n v="171"/>
    <n v="47.6"/>
    <n v="47.87"/>
    <s v="MANKONO"/>
    <m/>
    <s v="W-8 Feb"/>
  </r>
  <r>
    <n v="20"/>
    <d v="2026-02-18T00:00:00"/>
    <x v="2"/>
    <s v="RM"/>
    <s v="CREDIT"/>
    <x v="0"/>
    <s v="BKE-003"/>
    <x v="5"/>
    <x v="5"/>
    <s v="9462GX04"/>
    <s v="0426-0194"/>
    <n v="820"/>
    <n v="72605"/>
    <n v="240"/>
    <n v="20440"/>
    <n v="20200"/>
    <n v="207"/>
    <n v="0"/>
    <n v="33"/>
    <n v="132"/>
    <n v="20068"/>
    <n v="470"/>
    <n v="9431960"/>
    <n v="8.6"/>
    <n v="163"/>
    <n v="46.11"/>
    <n v="46.28"/>
    <s v="MANKONO"/>
    <m/>
    <s v="W-8 Feb"/>
  </r>
  <r>
    <n v="21"/>
    <d v="2026-02-18T00:00:00"/>
    <x v="2"/>
    <s v="RM"/>
    <s v="CREDIT"/>
    <x v="0"/>
    <s v="BKE-003"/>
    <x v="5"/>
    <x v="5"/>
    <s v="2023HF01"/>
    <s v="0426-0194"/>
    <n v="819"/>
    <n v="72606"/>
    <n v="223"/>
    <n v="19380"/>
    <n v="19157"/>
    <n v="177"/>
    <n v="0"/>
    <n v="46"/>
    <n v="184"/>
    <n v="18973"/>
    <n v="470"/>
    <n v="8917310"/>
    <n v="9.4"/>
    <n v="185"/>
    <n v="47.34"/>
    <n v="47.69"/>
    <s v="DABAKALA"/>
    <m/>
    <s v="W-8 Feb"/>
  </r>
  <r>
    <n v="22"/>
    <d v="2026-02-18T00:00:00"/>
    <x v="2"/>
    <s v="RM"/>
    <s v="CREDIT"/>
    <x v="0"/>
    <m/>
    <x v="10"/>
    <x v="10"/>
    <s v="AA533NN"/>
    <m/>
    <m/>
    <m/>
    <n v="0"/>
    <n v="0"/>
    <m/>
    <m/>
    <m/>
    <m/>
    <m/>
    <n v="0"/>
    <m/>
    <n v="0"/>
    <n v="8.1"/>
    <n v="178"/>
    <n v="44.35"/>
    <m/>
    <s v="KOROGHO"/>
    <s v="REJECT"/>
    <m/>
  </r>
  <r>
    <n v="23"/>
    <d v="2026-02-18T00:00:00"/>
    <x v="2"/>
    <s v="RM"/>
    <s v="CREDIT"/>
    <x v="0"/>
    <m/>
    <x v="1"/>
    <x v="1"/>
    <s v="9817KN04"/>
    <m/>
    <m/>
    <m/>
    <n v="0"/>
    <n v="0"/>
    <m/>
    <m/>
    <m/>
    <m/>
    <m/>
    <n v="0"/>
    <m/>
    <n v="0"/>
    <n v="12"/>
    <n v="162"/>
    <n v="45.23"/>
    <m/>
    <s v="KOUNAHIRI"/>
    <s v="REJECT"/>
    <m/>
  </r>
  <r>
    <n v="24"/>
    <d v="2026-02-18T00:00:00"/>
    <x v="2"/>
    <s v="RM"/>
    <s v="CREDIT"/>
    <x v="0"/>
    <m/>
    <x v="3"/>
    <x v="3"/>
    <s v="913HB04"/>
    <m/>
    <m/>
    <m/>
    <n v="0"/>
    <n v="0"/>
    <m/>
    <m/>
    <m/>
    <m/>
    <m/>
    <n v="0"/>
    <m/>
    <n v="0"/>
    <n v="7.5"/>
    <n v="170"/>
    <n v="44.7"/>
    <m/>
    <s v="KOUTO"/>
    <s v="REJECT"/>
    <m/>
  </r>
  <r>
    <n v="25"/>
    <d v="2026-02-19T00:00:00"/>
    <x v="3"/>
    <s v="RM"/>
    <s v="CREDIT"/>
    <x v="0"/>
    <s v="BKE-002"/>
    <x v="9"/>
    <x v="9"/>
    <s v="1367LH02"/>
    <s v="0419-0180"/>
    <n v="822"/>
    <n v="72520"/>
    <n v="624"/>
    <n v="48660"/>
    <n v="48036"/>
    <n v="571"/>
    <n v="0"/>
    <n v="53"/>
    <n v="212"/>
    <n v="47824"/>
    <n v="475"/>
    <n v="22716400"/>
    <n v="8.6"/>
    <n v="180"/>
    <n v="46.28"/>
    <n v="46.81"/>
    <s v="KANI"/>
    <m/>
    <s v="W-8 Feb"/>
  </r>
  <r>
    <n v="26"/>
    <d v="2026-02-19T00:00:00"/>
    <x v="3"/>
    <s v="RM"/>
    <s v="CREDIT"/>
    <x v="0"/>
    <s v="BKE-003"/>
    <x v="2"/>
    <x v="2"/>
    <s v="8287GH03"/>
    <s v="0426-0187"/>
    <n v="824"/>
    <n v="72614"/>
    <n v="541"/>
    <n v="47800"/>
    <n v="47259"/>
    <n v="504"/>
    <n v="0"/>
    <n v="37"/>
    <n v="148"/>
    <n v="47111"/>
    <n v="475"/>
    <n v="22377725"/>
    <n v="9.4"/>
    <n v="163"/>
    <n v="46.46"/>
    <n v="46.11"/>
    <s v="NIAKARA"/>
    <m/>
    <s v="W-8 Feb"/>
  </r>
  <r>
    <n v="27"/>
    <d v="2026-02-19T00:00:00"/>
    <x v="3"/>
    <s v="RM"/>
    <s v="CREDIT"/>
    <x v="0"/>
    <s v="BKE-002"/>
    <x v="2"/>
    <x v="2"/>
    <s v="6085HR03"/>
    <s v="0426-0187"/>
    <n v="831"/>
    <n v="72613"/>
    <n v="521"/>
    <n v="45160"/>
    <n v="44639"/>
    <n v="497"/>
    <n v="0"/>
    <n v="24"/>
    <n v="96"/>
    <n v="44543"/>
    <n v="475"/>
    <n v="21157925"/>
    <n v="9.8000000000000007"/>
    <n v="164"/>
    <n v="46.46"/>
    <n v="46.64"/>
    <s v="NIAKARA"/>
    <m/>
    <s v="W-8 Feb"/>
  </r>
  <r>
    <n v="28"/>
    <d v="2026-02-19T00:00:00"/>
    <x v="3"/>
    <s v="RM"/>
    <s v="CREDIT"/>
    <x v="0"/>
    <s v="BKE-002"/>
    <x v="10"/>
    <x v="10"/>
    <s v="653KX01"/>
    <s v="0425-0212"/>
    <n v="818"/>
    <n v="72566"/>
    <n v="457"/>
    <n v="40820"/>
    <n v="40363"/>
    <n v="454"/>
    <n v="0"/>
    <n v="3"/>
    <n v="12"/>
    <n v="40351"/>
    <n v="470"/>
    <n v="18964970"/>
    <n v="9.4"/>
    <n v="178"/>
    <n v="47.69"/>
    <n v="47.16"/>
    <s v="DABAKALA"/>
    <m/>
    <s v="W-8 Feb"/>
  </r>
  <r>
    <n v="29"/>
    <d v="2026-02-19T00:00:00"/>
    <x v="3"/>
    <s v="RM"/>
    <s v="CREDIT"/>
    <x v="0"/>
    <s v="BKE-003"/>
    <x v="12"/>
    <x v="12"/>
    <s v="285LA01"/>
    <s v="0429-0005"/>
    <n v="823"/>
    <n v="72553"/>
    <n v="562"/>
    <n v="44040"/>
    <n v="43478"/>
    <n v="543"/>
    <n v="0"/>
    <n v="19"/>
    <n v="76"/>
    <n v="43402"/>
    <n v="475"/>
    <n v="20615950"/>
    <n v="8.1999999999999993"/>
    <n v="178"/>
    <n v="47.52"/>
    <n v="48.04"/>
    <s v="VAVOUA"/>
    <m/>
    <s v="W-8 Feb"/>
  </r>
  <r>
    <n v="30"/>
    <d v="2026-02-19T00:00:00"/>
    <x v="3"/>
    <s v="RM"/>
    <s v="CREDIT"/>
    <x v="0"/>
    <s v="BKE-002"/>
    <x v="1"/>
    <x v="1"/>
    <s v="1447JT01"/>
    <s v="0429-0040"/>
    <n v="833"/>
    <n v="72537"/>
    <n v="494"/>
    <n v="40340"/>
    <n v="39846"/>
    <n v="481"/>
    <n v="0"/>
    <n v="13"/>
    <n v="52"/>
    <n v="39794"/>
    <n v="490"/>
    <n v="19499060"/>
    <n v="9.4"/>
    <n v="166"/>
    <n v="46.81"/>
    <n v="47.16"/>
    <s v="MANKONO"/>
    <m/>
    <s v="W-8 Feb"/>
  </r>
  <r>
    <n v="31"/>
    <d v="2026-02-19T00:00:00"/>
    <x v="3"/>
    <s v="RM"/>
    <s v="CREDIT"/>
    <x v="0"/>
    <s v="BKE-003"/>
    <x v="13"/>
    <x v="13"/>
    <s v="AA057ER03"/>
    <s v="0426-0365"/>
    <n v="825"/>
    <n v="72549"/>
    <n v="510"/>
    <n v="43860"/>
    <n v="43350"/>
    <n v="498"/>
    <n v="0"/>
    <n v="12"/>
    <n v="48"/>
    <n v="43302"/>
    <n v="470"/>
    <n v="20351940"/>
    <n v="8.6999999999999993"/>
    <n v="178"/>
    <n v="46.99"/>
    <n v="47.34"/>
    <s v="DIANRA"/>
    <m/>
    <s v="W-8 Feb"/>
  </r>
  <r>
    <n v="32"/>
    <d v="2026-02-19T00:00:00"/>
    <x v="3"/>
    <s v="RM"/>
    <s v="CREDIT"/>
    <x v="0"/>
    <s v="BKE-002"/>
    <x v="4"/>
    <x v="4"/>
    <s v="9149EL04"/>
    <s v="0425-0068"/>
    <n v="828"/>
    <n v="72546"/>
    <n v="479"/>
    <n v="41161"/>
    <n v="40682"/>
    <n v="463"/>
    <n v="0"/>
    <n v="16"/>
    <n v="64"/>
    <n v="40618"/>
    <n v="470"/>
    <n v="19090460"/>
    <n v="10.6"/>
    <n v="162"/>
    <n v="46.46"/>
    <m/>
    <s v="NIAKARA"/>
    <m/>
    <s v="W-8 Feb"/>
  </r>
  <r>
    <n v="33"/>
    <d v="2026-02-19T00:00:00"/>
    <x v="3"/>
    <s v="RM"/>
    <s v="CREDIT"/>
    <x v="0"/>
    <s v="BKE-003"/>
    <x v="6"/>
    <x v="6"/>
    <s v="5500FL02"/>
    <s v="0426-0347"/>
    <n v="834"/>
    <n v="72563"/>
    <n v="490"/>
    <n v="41140"/>
    <n v="40650"/>
    <n v="472"/>
    <n v="0"/>
    <n v="18"/>
    <n v="72"/>
    <n v="40578"/>
    <n v="470"/>
    <n v="19071660"/>
    <n v="9.6"/>
    <n v="173"/>
    <n v="47.34"/>
    <n v="47.87"/>
    <s v="BEOUMI"/>
    <m/>
    <s v="W-8 Feb"/>
  </r>
  <r>
    <n v="34"/>
    <d v="2026-02-19T00:00:00"/>
    <x v="3"/>
    <s v="RM"/>
    <s v="CREDIT"/>
    <x v="0"/>
    <s v="BKE-003"/>
    <x v="14"/>
    <x v="14"/>
    <s v="7065GB01"/>
    <s v="0426-0379"/>
    <n v="826"/>
    <n v="72604"/>
    <n v="469"/>
    <n v="40420"/>
    <n v="39951"/>
    <n v="453"/>
    <n v="0"/>
    <n v="16"/>
    <n v="64"/>
    <n v="39887"/>
    <n v="470"/>
    <n v="18746890"/>
    <n v="8.3000000000000007"/>
    <n v="176"/>
    <n v="47.16"/>
    <n v="47.08"/>
    <s v="BOUAKE"/>
    <m/>
    <s v="W-8 Feb"/>
  </r>
  <r>
    <n v="35"/>
    <d v="2026-02-19T00:00:00"/>
    <x v="3"/>
    <s v="RM"/>
    <s v="CREDIT"/>
    <x v="0"/>
    <m/>
    <x v="8"/>
    <x v="8"/>
    <s v="AA044CA"/>
    <m/>
    <m/>
    <m/>
    <n v="0"/>
    <n v="0"/>
    <m/>
    <m/>
    <m/>
    <m/>
    <m/>
    <n v="0"/>
    <m/>
    <n v="0"/>
    <n v="8.5"/>
    <n v="181"/>
    <n v="45.4"/>
    <m/>
    <s v="BOUAKE"/>
    <s v="REJECT"/>
    <m/>
  </r>
  <r>
    <n v="36"/>
    <d v="2026-02-20T00:00:00"/>
    <x v="4"/>
    <s v="RM"/>
    <s v="CREDIT"/>
    <x v="0"/>
    <s v="BKE-003"/>
    <x v="9"/>
    <x v="9"/>
    <s v="1367LH01"/>
    <s v="0419-0180"/>
    <n v="830"/>
    <n v="72516"/>
    <n v="649"/>
    <n v="50940"/>
    <n v="50291"/>
    <n v="615"/>
    <m/>
    <n v="34"/>
    <n v="136"/>
    <n v="50155"/>
    <n v="475"/>
    <n v="23823625"/>
    <n v="9.1999999999999993"/>
    <n v="182"/>
    <n v="48.02"/>
    <n v="48.22"/>
    <s v="VAVOUA"/>
    <m/>
    <s v="W-8 Feb"/>
  </r>
  <r>
    <n v="37"/>
    <d v="2026-02-20T00:00:00"/>
    <x v="4"/>
    <s v="RM"/>
    <s v="CREDIT"/>
    <x v="0"/>
    <s v="BKE-002"/>
    <x v="2"/>
    <x v="2"/>
    <s v="AA918RX03"/>
    <s v="0426-0187"/>
    <n v="829"/>
    <n v="72616"/>
    <n v="588"/>
    <n v="47660"/>
    <n v="47072"/>
    <n v="526"/>
    <n v="5"/>
    <n v="57"/>
    <n v="428"/>
    <n v="46644"/>
    <n v="475"/>
    <n v="22155900"/>
    <n v="10.6"/>
    <n v="161"/>
    <n v="47.87"/>
    <m/>
    <s v="NIAKARA"/>
    <m/>
    <s v="W-8 Feb"/>
  </r>
  <r>
    <n v="38"/>
    <d v="2026-02-20T00:00:00"/>
    <x v="4"/>
    <s v="RM"/>
    <s v="CREDIT"/>
    <x v="0"/>
    <s v="BKE-003"/>
    <x v="10"/>
    <x v="10"/>
    <s v="2033FJ03"/>
    <s v="0425-0212"/>
    <n v="810"/>
    <n v="72567"/>
    <n v="502"/>
    <n v="42180"/>
    <n v="41678"/>
    <n v="455"/>
    <m/>
    <n v="47"/>
    <n v="188"/>
    <n v="41490"/>
    <n v="480"/>
    <n v="19915200"/>
    <n v="9"/>
    <n v="185"/>
    <n v="48.31"/>
    <n v="48.13"/>
    <s v="DABAKALA"/>
    <m/>
    <s v="W-8 Feb"/>
  </r>
  <r>
    <n v="39"/>
    <d v="2026-02-20T00:00:00"/>
    <x v="4"/>
    <s v="RM"/>
    <s v="CREDIT"/>
    <x v="0"/>
    <s v="BKE-002"/>
    <x v="10"/>
    <x v="10"/>
    <s v="5176LG04"/>
    <s v="0425-0212"/>
    <n v="837"/>
    <n v="72583"/>
    <n v="465"/>
    <n v="41580"/>
    <n v="41115"/>
    <n v="441"/>
    <m/>
    <n v="24"/>
    <n v="96"/>
    <n v="41019"/>
    <n v="480"/>
    <n v="19689120"/>
    <n v="8.6"/>
    <n v="177"/>
    <n v="48.57"/>
    <n v="48.22"/>
    <s v="DABAKALA"/>
    <m/>
    <s v="W-8 Feb"/>
  </r>
  <r>
    <n v="40"/>
    <d v="2026-02-20T00:00:00"/>
    <x v="4"/>
    <s v="RM"/>
    <s v="CREDIT"/>
    <x v="0"/>
    <s v="BKE-002"/>
    <x v="15"/>
    <x v="15"/>
    <s v="2415CV03"/>
    <s v="0420-0149"/>
    <n v="836"/>
    <n v="72529"/>
    <n v="607"/>
    <n v="51300"/>
    <n v="50693"/>
    <n v="544"/>
    <m/>
    <n v="63"/>
    <n v="252"/>
    <n v="50441"/>
    <n v="480"/>
    <n v="24211680"/>
    <n v="8.5"/>
    <n v="167"/>
    <n v="46.64"/>
    <n v="46.72"/>
    <s v="DIANRA"/>
    <m/>
    <s v="W-8 Feb"/>
  </r>
  <r>
    <n v="41"/>
    <d v="2026-02-20T00:00:00"/>
    <x v="4"/>
    <s v="RM"/>
    <s v="CREDIT"/>
    <x v="0"/>
    <s v="BKE-003"/>
    <x v="3"/>
    <x v="3"/>
    <s v="6034JE03"/>
    <s v="0426-0203"/>
    <n v="832"/>
    <n v="72541"/>
    <n v="529"/>
    <n v="44660"/>
    <n v="44131"/>
    <n v="523"/>
    <m/>
    <n v="6"/>
    <n v="24"/>
    <n v="44107"/>
    <n v="475"/>
    <n v="20950825"/>
    <n v="9.6999999999999993"/>
    <n v="186"/>
    <n v="47.87"/>
    <n v="48.4"/>
    <s v="BANGOLO"/>
    <m/>
    <s v="W-8 Feb"/>
  </r>
  <r>
    <n v="42"/>
    <d v="2026-02-20T00:00:00"/>
    <x v="4"/>
    <s v="RM"/>
    <s v="CREDIT"/>
    <x v="0"/>
    <s v="BKE-003"/>
    <x v="8"/>
    <x v="8"/>
    <s v="627GZ04"/>
    <s v="0426-0340"/>
    <n v="835"/>
    <n v="68200"/>
    <n v="511"/>
    <n v="41780"/>
    <n v="41269"/>
    <n v="481"/>
    <m/>
    <n v="30"/>
    <n v="120"/>
    <n v="41149"/>
    <n v="475"/>
    <n v="19545775"/>
    <n v="9.5"/>
    <n v="177"/>
    <n v="47.17"/>
    <n v="47.52"/>
    <s v="BOUAKE"/>
    <m/>
    <s v="W-8 Feb"/>
  </r>
  <r>
    <n v="43"/>
    <d v="2026-02-20T00:00:00"/>
    <x v="4"/>
    <s v="RM"/>
    <s v="CREDIT"/>
    <x v="0"/>
    <m/>
    <x v="1"/>
    <x v="1"/>
    <s v="6089HA01"/>
    <m/>
    <m/>
    <m/>
    <n v="0"/>
    <n v="0"/>
    <m/>
    <m/>
    <m/>
    <m/>
    <m/>
    <n v="0"/>
    <m/>
    <n v="0"/>
    <n v="8.1999999999999993"/>
    <n v="176"/>
    <n v="44.52"/>
    <m/>
    <s v="MANKONO"/>
    <s v="REJECT"/>
    <m/>
  </r>
  <r>
    <n v="44"/>
    <d v="2026-02-20T00:00:00"/>
    <x v="4"/>
    <s v="RM"/>
    <s v="CREDIT"/>
    <x v="0"/>
    <m/>
    <x v="1"/>
    <x v="1"/>
    <s v="524LS01"/>
    <m/>
    <m/>
    <m/>
    <n v="0"/>
    <n v="0"/>
    <m/>
    <m/>
    <m/>
    <m/>
    <m/>
    <n v="0"/>
    <m/>
    <n v="0"/>
    <n v="8.1999999999999993"/>
    <n v="167"/>
    <n v="45.05"/>
    <m/>
    <s v="MANKONO"/>
    <s v="REJECT"/>
    <m/>
  </r>
  <r>
    <n v="45"/>
    <d v="2026-02-20T00:00:00"/>
    <x v="4"/>
    <s v="RM"/>
    <s v="CREDIT"/>
    <x v="0"/>
    <m/>
    <x v="15"/>
    <x v="15"/>
    <s v="9719FC01"/>
    <m/>
    <m/>
    <m/>
    <n v="0"/>
    <n v="0"/>
    <m/>
    <m/>
    <m/>
    <m/>
    <m/>
    <n v="0"/>
    <m/>
    <n v="0"/>
    <n v="9.3000000000000007"/>
    <n v="165"/>
    <n v="45.23"/>
    <m/>
    <s v="DIANRA"/>
    <s v="REJECT"/>
    <m/>
  </r>
  <r>
    <n v="46"/>
    <d v="2026-02-21T00:00:00"/>
    <x v="5"/>
    <s v="RM"/>
    <s v="CASH"/>
    <x v="0"/>
    <s v="BKE-002"/>
    <x v="16"/>
    <x v="16"/>
    <s v="2945GX01"/>
    <s v="0427-0133"/>
    <n v="839"/>
    <n v="73501"/>
    <n v="484"/>
    <n v="40780"/>
    <n v="40296"/>
    <n v="434"/>
    <n v="0"/>
    <n v="50"/>
    <n v="200"/>
    <n v="40096"/>
    <n v="475"/>
    <n v="19045600"/>
    <n v="8.1"/>
    <n v="164"/>
    <n v="46.28"/>
    <m/>
    <s v="DIANRA"/>
    <m/>
    <s v="W-8 Feb"/>
  </r>
  <r>
    <n v="47"/>
    <d v="2026-02-21T00:00:00"/>
    <x v="5"/>
    <s v="RM"/>
    <s v="CREDIT"/>
    <x v="0"/>
    <s v="BKE-002"/>
    <x v="7"/>
    <x v="7"/>
    <s v="2637FH01"/>
    <s v="0427-0007"/>
    <n v="841"/>
    <n v="72612"/>
    <n v="597"/>
    <n v="51440"/>
    <n v="50843"/>
    <n v="521"/>
    <n v="0"/>
    <n v="76"/>
    <n v="304"/>
    <n v="50539"/>
    <n v="465"/>
    <n v="23500635"/>
    <n v="8.5"/>
    <n v="178"/>
    <n v="45.67"/>
    <m/>
    <s v="DIANRA"/>
    <m/>
    <s v="W-8 Feb"/>
  </r>
  <r>
    <n v="48"/>
    <d v="2026-02-21T00:00:00"/>
    <x v="5"/>
    <s v="RM"/>
    <s v="CREDIT"/>
    <x v="0"/>
    <s v="BKE-002"/>
    <x v="2"/>
    <x v="2"/>
    <s v="9900KU03"/>
    <s v="0426-0187"/>
    <n v="838"/>
    <n v="64710"/>
    <n v="550"/>
    <n v="47460"/>
    <n v="46910"/>
    <n v="488"/>
    <n v="0"/>
    <n v="62"/>
    <n v="248"/>
    <n v="46662"/>
    <n v="475"/>
    <n v="22164450"/>
    <n v="9.6999999999999993"/>
    <n v="163"/>
    <n v="46.72"/>
    <n v="46.9"/>
    <s v="NIAKARA"/>
    <m/>
    <s v="W-8 Feb"/>
  </r>
  <r>
    <n v="49"/>
    <d v="2026-02-21T00:00:00"/>
    <x v="5"/>
    <s v="RM"/>
    <s v="CREDIT"/>
    <x v="0"/>
    <s v="BKE-003"/>
    <x v="2"/>
    <x v="2"/>
    <s v="AA459KL03"/>
    <s v="0426-0187"/>
    <n v="843"/>
    <n v="72597"/>
    <n v="552"/>
    <n v="48000"/>
    <n v="47448"/>
    <n v="518"/>
    <n v="0"/>
    <n v="34"/>
    <n v="136"/>
    <n v="47312"/>
    <n v="480"/>
    <n v="22709760"/>
    <n v="9.8000000000000007"/>
    <n v="166"/>
    <n v="48.04"/>
    <m/>
    <s v="NIAKARA"/>
    <m/>
    <s v="W-8 Feb"/>
  </r>
  <r>
    <n v="50"/>
    <d v="2026-02-21T00:00:00"/>
    <x v="5"/>
    <s v="RM"/>
    <s v="CREDIT"/>
    <x v="0"/>
    <s v="BKE-002"/>
    <x v="1"/>
    <x v="1"/>
    <s v="5038JG06"/>
    <s v="0429-0040"/>
    <n v="845"/>
    <n v="72559"/>
    <n v="599"/>
    <n v="50840"/>
    <n v="50241"/>
    <n v="544"/>
    <n v="0"/>
    <n v="55"/>
    <n v="220"/>
    <n v="50021"/>
    <n v="490"/>
    <n v="24510290"/>
    <n v="8.1"/>
    <n v="170"/>
    <n v="46.11"/>
    <m/>
    <s v="MANKONO"/>
    <m/>
    <s v="W-8 Feb"/>
  </r>
  <r>
    <n v="51"/>
    <d v="2026-02-21T00:00:00"/>
    <x v="5"/>
    <s v="RM"/>
    <s v="CREDIT"/>
    <x v="0"/>
    <s v="BKE-002"/>
    <x v="8"/>
    <x v="8"/>
    <s v="9488FC01"/>
    <s v="0426-0340"/>
    <n v="840"/>
    <n v="72505"/>
    <n v="568"/>
    <n v="47760"/>
    <n v="47192"/>
    <n v="535"/>
    <n v="0"/>
    <n v="33"/>
    <n v="132"/>
    <n v="47060"/>
    <n v="475"/>
    <n v="22353500"/>
    <n v="8.6999999999999993"/>
    <n v="166"/>
    <n v="46.64"/>
    <m/>
    <s v="MANKONO"/>
    <m/>
    <s v="W-8 Feb"/>
  </r>
  <r>
    <n v="52"/>
    <d v="2026-02-21T00:00:00"/>
    <x v="5"/>
    <s v="RM"/>
    <s v="CREDIT"/>
    <x v="0"/>
    <s v="BKE-003"/>
    <x v="17"/>
    <x v="17"/>
    <s v="838LX01"/>
    <s v="0425-0055"/>
    <n v="842"/>
    <n v="72593"/>
    <n v="537"/>
    <n v="46380"/>
    <n v="45843"/>
    <n v="516"/>
    <n v="0"/>
    <n v="21"/>
    <n v="84"/>
    <n v="45759"/>
    <n v="475"/>
    <n v="21735525"/>
    <n v="9"/>
    <n v="165"/>
    <n v="48.92"/>
    <m/>
    <s v="KATIOLA"/>
    <m/>
    <s v="W-8 Feb"/>
  </r>
  <r>
    <n v="53"/>
    <d v="2026-02-21T00:00:00"/>
    <x v="5"/>
    <s v="RM"/>
    <s v="CREDIT"/>
    <x v="0"/>
    <s v="BKE-002"/>
    <x v="18"/>
    <x v="18"/>
    <s v="32LA01"/>
    <s v="0420-0251"/>
    <n v="844"/>
    <n v="68145"/>
    <n v="520"/>
    <n v="40740"/>
    <n v="40220"/>
    <n v="493"/>
    <n v="0"/>
    <n v="27"/>
    <n v="108"/>
    <n v="40112"/>
    <n v="475"/>
    <n v="19053200"/>
    <n v="9.3000000000000007"/>
    <n v="166"/>
    <n v="46.11"/>
    <m/>
    <s v="DIANRA"/>
    <m/>
    <s v="W-8 Feb"/>
  </r>
  <r>
    <n v="54"/>
    <d v="2026-02-21T00:00:00"/>
    <x v="5"/>
    <s v="RM"/>
    <s v="CASH"/>
    <x v="0"/>
    <m/>
    <x v="16"/>
    <x v="16"/>
    <s v="175GY01"/>
    <m/>
    <m/>
    <m/>
    <n v="0"/>
    <n v="0"/>
    <m/>
    <m/>
    <m/>
    <m/>
    <m/>
    <n v="0"/>
    <m/>
    <n v="0"/>
    <n v="7.4"/>
    <n v="183"/>
    <n v="42.5"/>
    <m/>
    <s v="DIANRA"/>
    <s v="REJECT"/>
    <m/>
  </r>
  <r>
    <n v="55"/>
    <d v="2026-02-21T00:00:00"/>
    <x v="5"/>
    <s v="RM"/>
    <s v="CREDIT"/>
    <x v="0"/>
    <m/>
    <x v="10"/>
    <x v="10"/>
    <s v="5176LH04"/>
    <m/>
    <m/>
    <m/>
    <n v="0"/>
    <n v="0"/>
    <m/>
    <m/>
    <m/>
    <m/>
    <m/>
    <n v="0"/>
    <m/>
    <n v="0"/>
    <n v="8.5"/>
    <n v="173"/>
    <n v="45.05"/>
    <m/>
    <s v="DABAKALA"/>
    <s v="REJECT"/>
    <m/>
  </r>
  <r>
    <n v="56"/>
    <d v="2026-02-21T00:00:00"/>
    <x v="5"/>
    <s v="RM"/>
    <s v="CREDIT"/>
    <x v="0"/>
    <m/>
    <x v="15"/>
    <x v="15"/>
    <s v="4814KF01"/>
    <m/>
    <m/>
    <m/>
    <n v="0"/>
    <n v="0"/>
    <m/>
    <m/>
    <m/>
    <m/>
    <m/>
    <n v="0"/>
    <m/>
    <n v="0"/>
    <n v="8.5"/>
    <n v="164"/>
    <n v="44.35"/>
    <m/>
    <s v="KANI"/>
    <s v="REJECT"/>
    <m/>
  </r>
  <r>
    <n v="57"/>
    <d v="2026-02-21T00:00:00"/>
    <x v="6"/>
    <s v="RM"/>
    <s v="CREDIT"/>
    <x v="0"/>
    <s v="BKE-003"/>
    <x v="12"/>
    <x v="12"/>
    <s v="285LA01"/>
    <s v="0429-0005"/>
    <n v="848"/>
    <n v="72554"/>
    <n v="573"/>
    <n v="46100"/>
    <n v="45527"/>
    <n v="521"/>
    <n v="0"/>
    <n v="52"/>
    <n v="208"/>
    <n v="45319"/>
    <n v="475"/>
    <n v="21526525"/>
    <n v="8.1"/>
    <n v="186"/>
    <n v="47.52"/>
    <m/>
    <s v="VAVOUA"/>
    <m/>
    <s v="W-8 Feb"/>
  </r>
  <r>
    <n v="58"/>
    <d v="2026-02-21T00:00:00"/>
    <x v="6"/>
    <s v="RM"/>
    <s v="CREDIT"/>
    <x v="0"/>
    <s v="BKE-002"/>
    <x v="5"/>
    <x v="5"/>
    <s v="2023HF01"/>
    <s v="0426-0194"/>
    <n v="847"/>
    <n v="66911"/>
    <n v="244"/>
    <n v="20500"/>
    <n v="20256"/>
    <n v="206"/>
    <n v="0"/>
    <n v="38"/>
    <n v="152"/>
    <n v="20104"/>
    <n v="475"/>
    <n v="9549400"/>
    <n v="8.5"/>
    <n v="172"/>
    <n v="46.11"/>
    <m/>
    <s v="SAKASSAU"/>
    <m/>
    <s v="W-8 Feb"/>
  </r>
  <r>
    <n v="59"/>
    <d v="2026-02-22T00:00:00"/>
    <x v="6"/>
    <s v="RM"/>
    <s v="CREDIT"/>
    <x v="0"/>
    <s v="BKE-002"/>
    <x v="9"/>
    <x v="9"/>
    <s v="1367LH01"/>
    <s v="0419-0180"/>
    <n v="850"/>
    <n v="72519"/>
    <n v="682"/>
    <n v="52020"/>
    <n v="51338"/>
    <n v="564"/>
    <n v="0"/>
    <n v="118"/>
    <n v="472"/>
    <n v="50866"/>
    <n v="475"/>
    <n v="24161350"/>
    <n v="8.5"/>
    <n v="183"/>
    <n v="46.11"/>
    <m/>
    <s v="VAVOUA"/>
    <m/>
    <s v="W-8 Feb"/>
  </r>
  <r>
    <n v="60"/>
    <d v="2026-02-22T00:00:00"/>
    <x v="6"/>
    <s v="RM"/>
    <s v="CREDIT"/>
    <x v="0"/>
    <s v="BKE-003"/>
    <x v="9"/>
    <x v="9"/>
    <s v="AA944AR"/>
    <s v="0419-0180"/>
    <n v="849"/>
    <n v="72518"/>
    <n v="656"/>
    <n v="52120"/>
    <n v="51464"/>
    <n v="587"/>
    <n v="0"/>
    <n v="69"/>
    <n v="276"/>
    <n v="51188"/>
    <n v="475"/>
    <n v="24314300"/>
    <n v="9.8000000000000007"/>
    <n v="183"/>
    <n v="47.69"/>
    <m/>
    <s v="VAVOUA"/>
    <m/>
    <s v="W-8 Feb"/>
  </r>
  <r>
    <n v="61"/>
    <d v="2026-02-22T00:00:00"/>
    <x v="6"/>
    <s v="RM"/>
    <s v="CREDIT"/>
    <x v="0"/>
    <s v="BKE-003"/>
    <x v="4"/>
    <x v="4"/>
    <s v="374LK01"/>
    <s v="0425-0068"/>
    <n v="846"/>
    <n v="72589"/>
    <n v="537"/>
    <n v="47480"/>
    <n v="46943"/>
    <n v="507"/>
    <n v="0"/>
    <n v="30"/>
    <n v="120"/>
    <n v="46823"/>
    <n v="475"/>
    <n v="22240925"/>
    <n v="9.6999999999999993"/>
    <n v="173"/>
    <n v="47.52"/>
    <m/>
    <s v="NIAKARA"/>
    <m/>
    <s v="W-8 Feb"/>
  </r>
  <r>
    <n v="62"/>
    <d v="2026-02-22T00:00:00"/>
    <x v="6"/>
    <s v="RM"/>
    <s v="CREDIT"/>
    <x v="0"/>
    <m/>
    <x v="2"/>
    <x v="2"/>
    <s v="6103GZ03"/>
    <m/>
    <m/>
    <m/>
    <n v="0"/>
    <n v="0"/>
    <m/>
    <m/>
    <m/>
    <m/>
    <m/>
    <n v="0"/>
    <m/>
    <n v="0"/>
    <n v="9.6"/>
    <n v="170"/>
    <n v="45.4"/>
    <m/>
    <s v="DIKODOUGOU"/>
    <s v="REJECT"/>
    <m/>
  </r>
  <r>
    <n v="63"/>
    <d v="2026-02-22T00:00:00"/>
    <x v="6"/>
    <s v="RM"/>
    <s v="CREDIT"/>
    <x v="0"/>
    <m/>
    <x v="2"/>
    <x v="2"/>
    <s v="6103GZ03"/>
    <m/>
    <m/>
    <m/>
    <n v="0"/>
    <n v="0"/>
    <m/>
    <m/>
    <m/>
    <m/>
    <m/>
    <n v="0"/>
    <m/>
    <n v="0"/>
    <n v="9.6"/>
    <n v="169"/>
    <n v="45.76"/>
    <m/>
    <s v="DIKODOUGOU"/>
    <s v="REJECT"/>
    <m/>
  </r>
  <r>
    <n v="64"/>
    <d v="2026-02-22T00:00:00"/>
    <x v="7"/>
    <s v="RM"/>
    <s v="CREDIT"/>
    <x v="0"/>
    <s v="BKE-003"/>
    <x v="11"/>
    <x v="11"/>
    <s v="6305EP01"/>
    <s v="0431-0277"/>
    <n v="1104"/>
    <n v="72522"/>
    <n v="378"/>
    <n v="32740"/>
    <n v="32362"/>
    <n v="373"/>
    <n v="0"/>
    <n v="5"/>
    <n v="20"/>
    <n v="32342"/>
    <n v="480"/>
    <n v="15524160"/>
    <n v="9.6"/>
    <n v="170"/>
    <n v="48.4"/>
    <m/>
    <s v="KOUNAHIRI"/>
    <m/>
    <s v="W-9 Feb"/>
  </r>
  <r>
    <n v="65"/>
    <d v="2026-02-22T00:00:00"/>
    <x v="7"/>
    <s v="RM"/>
    <s v="CREDIT"/>
    <x v="0"/>
    <s v="BKE-003"/>
    <x v="13"/>
    <x v="13"/>
    <s v="AA057ER03"/>
    <s v="0426-0365"/>
    <n v="758"/>
    <n v="72551"/>
    <n v="509"/>
    <n v="43480"/>
    <n v="42971"/>
    <n v="490"/>
    <n v="0"/>
    <n v="19"/>
    <n v="76"/>
    <n v="42895"/>
    <n v="475"/>
    <n v="20375125"/>
    <n v="8.6"/>
    <n v="176"/>
    <n v="47.16"/>
    <m/>
    <s v="DIANRA"/>
    <m/>
    <s v="W-9 Feb"/>
  </r>
  <r>
    <n v="66"/>
    <d v="2026-02-23T00:00:00"/>
    <x v="7"/>
    <s v="RM"/>
    <s v="CREDIT"/>
    <x v="0"/>
    <s v="BKE-003"/>
    <x v="2"/>
    <x v="2"/>
    <s v="9900KU03"/>
    <s v="0426-0187"/>
    <n v="755"/>
    <n v="68663"/>
    <n v="539"/>
    <n v="47760"/>
    <n v="47221"/>
    <n v="533"/>
    <n v="0"/>
    <n v="6"/>
    <n v="24"/>
    <n v="47197"/>
    <n v="480"/>
    <n v="22654560"/>
    <n v="9.8000000000000007"/>
    <n v="172"/>
    <n v="47.52"/>
    <m/>
    <s v="NIAKARA"/>
    <m/>
    <s v="W-9 Feb"/>
  </r>
  <r>
    <n v="67"/>
    <d v="2026-02-23T00:00:00"/>
    <x v="7"/>
    <s v="RM"/>
    <s v="CREDIT"/>
    <x v="0"/>
    <s v="BKE-003"/>
    <x v="10"/>
    <x v="10"/>
    <s v="3633LZ04"/>
    <s v="0425-0212"/>
    <n v="752"/>
    <n v="72581"/>
    <n v="601"/>
    <n v="54600"/>
    <n v="53999"/>
    <n v="599"/>
    <n v="0"/>
    <n v="2"/>
    <n v="8"/>
    <n v="53991"/>
    <n v="480"/>
    <n v="25915680"/>
    <n v="9.6999999999999993"/>
    <n v="181"/>
    <n v="48.75"/>
    <m/>
    <s v="DABAKALA"/>
    <m/>
    <s v="W-9 Feb"/>
  </r>
  <r>
    <n v="68"/>
    <d v="2026-02-23T00:00:00"/>
    <x v="7"/>
    <s v="RM"/>
    <s v="CREDIT"/>
    <x v="0"/>
    <s v="BKE-003"/>
    <x v="15"/>
    <x v="15"/>
    <s v="338KX01"/>
    <s v="0420-0149"/>
    <n v="751"/>
    <n v="72531"/>
    <n v="493"/>
    <n v="40920"/>
    <n v="40427"/>
    <n v="483"/>
    <n v="0"/>
    <n v="10"/>
    <n v="40"/>
    <n v="40387"/>
    <n v="480"/>
    <n v="19385760"/>
    <n v="8.8000000000000007"/>
    <n v="174"/>
    <n v="47.34"/>
    <m/>
    <s v="DIANRA"/>
    <m/>
    <s v="W-9 Feb"/>
  </r>
  <r>
    <n v="69"/>
    <d v="2026-02-23T00:00:00"/>
    <x v="7"/>
    <s v="RM"/>
    <s v="CREDIT"/>
    <x v="0"/>
    <s v="BKE-003"/>
    <x v="11"/>
    <x v="11"/>
    <s v="7650HB07"/>
    <s v="0431-0277"/>
    <n v="757"/>
    <n v="72524"/>
    <n v="465"/>
    <n v="40680"/>
    <n v="40215"/>
    <n v="458"/>
    <n v="0"/>
    <n v="7"/>
    <n v="28"/>
    <n v="40187"/>
    <n v="475"/>
    <n v="19088825"/>
    <n v="9.6999999999999993"/>
    <n v="172"/>
    <n v="47.52"/>
    <m/>
    <s v="DIANRA"/>
    <m/>
    <s v="W-9 Feb"/>
  </r>
  <r>
    <n v="70"/>
    <d v="2026-02-23T00:00:00"/>
    <x v="7"/>
    <s v="RM"/>
    <s v="CREDIT"/>
    <x v="0"/>
    <s v="BKE-003"/>
    <x v="8"/>
    <x v="8"/>
    <s v="4974FC01"/>
    <s v="0426-0340"/>
    <n v="753"/>
    <n v="72601"/>
    <n v="478"/>
    <n v="39820"/>
    <n v="39342"/>
    <n v="472"/>
    <n v="0"/>
    <n v="6"/>
    <n v="24"/>
    <n v="39318"/>
    <n v="475"/>
    <n v="18676050"/>
    <n v="8.9"/>
    <n v="176"/>
    <n v="47.16"/>
    <m/>
    <s v="MANKONO"/>
    <m/>
    <s v="W-9 Feb"/>
  </r>
  <r>
    <n v="71"/>
    <d v="2026-02-23T00:00:00"/>
    <x v="7"/>
    <s v="RM"/>
    <s v="CREDIT"/>
    <x v="0"/>
    <s v="BKE-002"/>
    <x v="5"/>
    <x v="5"/>
    <s v="2023HF01"/>
    <s v="0426-0194"/>
    <n v="756"/>
    <n v="70992"/>
    <n v="250"/>
    <n v="20360"/>
    <n v="20110"/>
    <n v="250"/>
    <n v="0"/>
    <n v="0"/>
    <n v="0"/>
    <n v="20110"/>
    <n v="475"/>
    <n v="9552250"/>
    <n v="9.4"/>
    <n v="170"/>
    <n v="46.81"/>
    <m/>
    <s v="DIDIEVI"/>
    <m/>
    <s v="W-9 Feb"/>
  </r>
  <r>
    <n v="72"/>
    <d v="2026-02-23T00:00:00"/>
    <x v="7"/>
    <s v="RM"/>
    <s v="CREDIT"/>
    <x v="0"/>
    <m/>
    <x v="8"/>
    <x v="8"/>
    <s v="4830GN01"/>
    <m/>
    <m/>
    <m/>
    <n v="0"/>
    <n v="0"/>
    <m/>
    <m/>
    <m/>
    <m/>
    <n v="0"/>
    <n v="0"/>
    <m/>
    <n v="0"/>
    <n v="8"/>
    <n v="178"/>
    <n v="44.7"/>
    <m/>
    <s v="FERKE"/>
    <s v="REJECT"/>
    <m/>
  </r>
  <r>
    <n v="73"/>
    <d v="2026-02-23T00:00:00"/>
    <x v="7"/>
    <s v="RM"/>
    <s v="CREDIT"/>
    <x v="0"/>
    <m/>
    <x v="6"/>
    <x v="6"/>
    <s v="28JZ01"/>
    <m/>
    <m/>
    <m/>
    <n v="0"/>
    <n v="0"/>
    <m/>
    <m/>
    <m/>
    <m/>
    <n v="0"/>
    <n v="0"/>
    <m/>
    <n v="0"/>
    <n v="8.1999999999999993"/>
    <n v="174"/>
    <n v="45.05"/>
    <m/>
    <s v="MANKONO"/>
    <s v="REJECT"/>
    <m/>
  </r>
  <r>
    <n v="74"/>
    <d v="2026-02-23T00:00:00"/>
    <x v="8"/>
    <s v="RM"/>
    <s v="CREDIT"/>
    <x v="0"/>
    <s v="BKE-003"/>
    <x v="1"/>
    <x v="1"/>
    <s v="2423KC03"/>
    <s v="0429-0040"/>
    <n v="761"/>
    <n v="68655"/>
    <n v="521"/>
    <n v="40620"/>
    <n v="40099"/>
    <n v="520"/>
    <n v="0"/>
    <n v="1"/>
    <n v="4"/>
    <n v="40095"/>
    <n v="490"/>
    <n v="19646550"/>
    <n v="9.5"/>
    <n v="178"/>
    <n v="46.28"/>
    <m/>
    <s v="MANKONO"/>
    <m/>
    <s v="W-9 Feb"/>
  </r>
  <r>
    <n v="75"/>
    <d v="2026-02-23T00:00:00"/>
    <x v="8"/>
    <s v="RM"/>
    <s v="CREDIT"/>
    <x v="0"/>
    <s v="BKE-002"/>
    <x v="11"/>
    <x v="11"/>
    <s v="1649LE01"/>
    <s v="0431-0277"/>
    <n v="760"/>
    <n v="72600"/>
    <n v="479"/>
    <n v="42180"/>
    <n v="41701"/>
    <n v="474"/>
    <n v="0"/>
    <n v="5"/>
    <n v="20"/>
    <n v="41681"/>
    <n v="480"/>
    <n v="20006880"/>
    <n v="10.3"/>
    <n v="183"/>
    <n v="48.04"/>
    <m/>
    <s v="PRIKRO"/>
    <m/>
    <s v="W-9 Feb"/>
  </r>
  <r>
    <n v="76"/>
    <d v="2026-02-23T00:00:00"/>
    <x v="8"/>
    <s v="RM"/>
    <s v="CREDIT"/>
    <x v="0"/>
    <s v="BKE-002"/>
    <x v="1"/>
    <x v="1"/>
    <s v="793LT03"/>
    <s v="0429-0040"/>
    <n v="759"/>
    <n v="68656"/>
    <n v="586"/>
    <n v="48520"/>
    <n v="47934"/>
    <n v="526"/>
    <n v="0"/>
    <n v="60"/>
    <n v="80"/>
    <n v="47854"/>
    <n v="490"/>
    <n v="23448460"/>
    <n v="9"/>
    <n v="164"/>
    <n v="46.64"/>
    <m/>
    <s v="MANKONO"/>
    <m/>
    <s v="W-9 Feb"/>
  </r>
  <r>
    <n v="77"/>
    <d v="2026-02-24T00:00:00"/>
    <x v="8"/>
    <s v="RM"/>
    <s v="CREDIT"/>
    <x v="0"/>
    <s v="BKE-003"/>
    <x v="12"/>
    <x v="12"/>
    <s v="285LA01"/>
    <s v="0429-0005"/>
    <n v="762"/>
    <n v="72552"/>
    <n v="620"/>
    <n v="46240"/>
    <n v="45620"/>
    <n v="619"/>
    <n v="0"/>
    <n v="1"/>
    <n v="0"/>
    <n v="45620"/>
    <n v="475"/>
    <n v="21669500"/>
    <n v="10"/>
    <n v="183"/>
    <n v="46.11"/>
    <m/>
    <s v="VAVOUA"/>
    <m/>
    <s v="W-9 Feb"/>
  </r>
  <r>
    <n v="78"/>
    <d v="2026-02-24T00:00:00"/>
    <x v="8"/>
    <s v="RM"/>
    <s v="CASH"/>
    <x v="0"/>
    <s v="BKE-003"/>
    <x v="19"/>
    <x v="19"/>
    <s v="2960JH01"/>
    <s v="0426-0440"/>
    <n v="767"/>
    <n v="68669"/>
    <n v="393"/>
    <n v="34120"/>
    <n v="33727"/>
    <n v="383"/>
    <n v="0"/>
    <n v="10"/>
    <n v="40"/>
    <n v="33687"/>
    <n v="480"/>
    <n v="16169760"/>
    <n v="8"/>
    <n v="176"/>
    <n v="47.69"/>
    <m/>
    <s v="DIANRA"/>
    <m/>
    <s v="W-9 Feb"/>
  </r>
  <r>
    <n v="79"/>
    <d v="2026-02-24T00:00:00"/>
    <x v="8"/>
    <s v="RM"/>
    <s v="CREDIT"/>
    <x v="0"/>
    <s v="BKE-003"/>
    <x v="20"/>
    <x v="20"/>
    <s v="2766HC01"/>
    <s v="0425-0001"/>
    <n v="768"/>
    <n v="72620"/>
    <n v="451"/>
    <n v="39020"/>
    <n v="38569"/>
    <n v="441"/>
    <n v="0"/>
    <n v="10"/>
    <n v="40"/>
    <n v="38529"/>
    <n v="475"/>
    <n v="18301275"/>
    <n v="9.4"/>
    <n v="174"/>
    <n v="47.87"/>
    <m/>
    <s v="KATIOLA"/>
    <m/>
    <s v="W-9 Feb"/>
  </r>
  <r>
    <n v="80"/>
    <d v="2026-02-24T00:00:00"/>
    <x v="8"/>
    <s v="RM"/>
    <s v="CREDIT"/>
    <x v="0"/>
    <s v="BKE-003"/>
    <x v="8"/>
    <x v="8"/>
    <s v="2952CE01"/>
    <s v="0426-0340"/>
    <n v="765"/>
    <n v="72584"/>
    <n v="586"/>
    <n v="51260"/>
    <n v="50674"/>
    <n v="570"/>
    <n v="0"/>
    <n v="16"/>
    <n v="50"/>
    <n v="50624"/>
    <n v="475"/>
    <n v="24046400"/>
    <n v="9.1"/>
    <n v="175"/>
    <n v="46.64"/>
    <m/>
    <s v="KOUASSI"/>
    <m/>
    <s v="W-9 Feb"/>
  </r>
  <r>
    <n v="81"/>
    <d v="2026-02-24T00:00:00"/>
    <x v="8"/>
    <s v="RM"/>
    <s v="CREDIT"/>
    <x v="0"/>
    <s v="BKE-002"/>
    <x v="10"/>
    <x v="10"/>
    <s v="1298HU01"/>
    <s v="0425-0212"/>
    <n v="764"/>
    <n v="72579"/>
    <n v="591"/>
    <n v="51200"/>
    <n v="50609"/>
    <n v="578"/>
    <n v="0"/>
    <n v="13"/>
    <n v="52"/>
    <n v="50557"/>
    <n v="475"/>
    <n v="24014575"/>
    <n v="9.8000000000000007"/>
    <n v="172"/>
    <n v="46.28"/>
    <m/>
    <s v="DABAKALA"/>
    <m/>
    <s v="W-9 Feb"/>
  </r>
  <r>
    <n v="82"/>
    <d v="2026-02-24T00:00:00"/>
    <x v="8"/>
    <s v="RM"/>
    <s v="CREDIT"/>
    <x v="0"/>
    <s v="BKE-002"/>
    <x v="2"/>
    <x v="2"/>
    <s v="AA918RX03"/>
    <s v="0426-0187"/>
    <n v="763"/>
    <n v="66901"/>
    <n v="554"/>
    <n v="50540"/>
    <n v="49986"/>
    <n v="550"/>
    <n v="0"/>
    <n v="5"/>
    <n v="100"/>
    <n v="49886"/>
    <n v="475"/>
    <n v="23695850"/>
    <n v="10.8"/>
    <n v="168"/>
    <n v="46.11"/>
    <m/>
    <s v="DIKODOUGOU"/>
    <m/>
    <s v="W-9 Feb"/>
  </r>
  <r>
    <n v="83"/>
    <d v="2026-02-24T00:00:00"/>
    <x v="8"/>
    <s v="RM"/>
    <s v="CREDIT"/>
    <x v="0"/>
    <s v="BKE-002"/>
    <x v="0"/>
    <x v="0"/>
    <s v="852KH03"/>
    <s v="0401-0007"/>
    <n v="769"/>
    <n v="72618"/>
    <n v="499"/>
    <n v="40440"/>
    <n v="39941"/>
    <n v="486"/>
    <n v="0"/>
    <n v="13"/>
    <n v="52"/>
    <n v="39889"/>
    <n v="470"/>
    <n v="18747830"/>
    <n v="9.3000000000000007"/>
    <n v="175"/>
    <n v="45.76"/>
    <m/>
    <s v="KANI"/>
    <m/>
    <s v="W-9 Feb"/>
  </r>
  <r>
    <n v="84"/>
    <d v="2026-02-24T00:00:00"/>
    <x v="8"/>
    <s v="RM"/>
    <s v="CREDIT"/>
    <x v="0"/>
    <s v="BKE-003"/>
    <x v="10"/>
    <x v="10"/>
    <s v="3633LZ04"/>
    <s v="0425-0212"/>
    <n v="766"/>
    <n v="72580"/>
    <n v="582"/>
    <n v="51900"/>
    <n v="51318"/>
    <n v="572"/>
    <n v="0"/>
    <n v="10"/>
    <n v="40"/>
    <n v="51278"/>
    <n v="475"/>
    <n v="24357050"/>
    <n v="10.199999999999999"/>
    <n v="174"/>
    <n v="47.69"/>
    <m/>
    <s v="DABAKALA"/>
    <m/>
    <s v="W-9 Feb"/>
  </r>
  <r>
    <n v="85"/>
    <d v="2026-02-24T00:00:00"/>
    <x v="8"/>
    <s v="RM"/>
    <s v="CREDIT"/>
    <x v="0"/>
    <m/>
    <x v="4"/>
    <x v="4"/>
    <s v="9149EL04"/>
    <m/>
    <n v="0"/>
    <m/>
    <n v="0"/>
    <n v="0"/>
    <n v="0"/>
    <m/>
    <m/>
    <m/>
    <m/>
    <n v="0"/>
    <m/>
    <n v="0"/>
    <n v="11.7"/>
    <n v="161"/>
    <n v="45.05"/>
    <m/>
    <s v="NIAKARA"/>
    <s v="REJECT"/>
    <m/>
  </r>
  <r>
    <n v="86"/>
    <d v="2026-02-24T00:00:00"/>
    <x v="8"/>
    <s v="RM"/>
    <s v="CASH"/>
    <x v="0"/>
    <m/>
    <x v="16"/>
    <x v="16"/>
    <s v="175GY01"/>
    <m/>
    <n v="0"/>
    <m/>
    <n v="0"/>
    <n v="0"/>
    <n v="0"/>
    <m/>
    <m/>
    <m/>
    <m/>
    <n v="0"/>
    <m/>
    <n v="0"/>
    <n v="7"/>
    <n v="175"/>
    <n v="42.76"/>
    <m/>
    <s v="DIANRA"/>
    <s v="REJECT"/>
    <m/>
  </r>
  <r>
    <n v="87"/>
    <d v="2026-02-24T00:00:00"/>
    <x v="8"/>
    <s v="RM"/>
    <s v="CREDIT"/>
    <x v="0"/>
    <m/>
    <x v="17"/>
    <x v="17"/>
    <s v="AA518FY01"/>
    <m/>
    <n v="0"/>
    <m/>
    <n v="0"/>
    <n v="0"/>
    <n v="0"/>
    <m/>
    <m/>
    <m/>
    <m/>
    <n v="0"/>
    <m/>
    <n v="0"/>
    <n v="10.9"/>
    <n v="174"/>
    <n v="44.88"/>
    <m/>
    <s v="KATIOLA"/>
    <s v="REJECT"/>
    <m/>
  </r>
  <r>
    <n v="88"/>
    <d v="2026-02-24T00:00:00"/>
    <x v="8"/>
    <s v="RM"/>
    <s v="CREDIT"/>
    <x v="0"/>
    <m/>
    <x v="4"/>
    <x v="4"/>
    <s v="AA430LC"/>
    <m/>
    <n v="0"/>
    <m/>
    <n v="0"/>
    <n v="0"/>
    <n v="0"/>
    <m/>
    <m/>
    <m/>
    <m/>
    <n v="0"/>
    <m/>
    <n v="0"/>
    <n v="10.6"/>
    <n v="165"/>
    <n v="45.05"/>
    <m/>
    <s v="NIAKARA"/>
    <s v="REJECT"/>
    <m/>
  </r>
  <r>
    <n v="89"/>
    <d v="2026-02-24T00:00:00"/>
    <x v="8"/>
    <s v="RM"/>
    <s v="CREDIT"/>
    <x v="0"/>
    <m/>
    <x v="1"/>
    <x v="1"/>
    <s v="2844JS04"/>
    <m/>
    <n v="0"/>
    <m/>
    <n v="0"/>
    <n v="0"/>
    <n v="0"/>
    <m/>
    <m/>
    <m/>
    <m/>
    <n v="0"/>
    <m/>
    <n v="0"/>
    <n v="8.1999999999999993"/>
    <n v="166"/>
    <n v="44.88"/>
    <m/>
    <s v="MANKONO"/>
    <s v="REJECT"/>
    <m/>
  </r>
  <r>
    <n v="90"/>
    <d v="2026-02-24T00:00:00"/>
    <x v="9"/>
    <s v="RM"/>
    <s v="CREDIT"/>
    <x v="0"/>
    <s v="BKE-002"/>
    <x v="2"/>
    <x v="2"/>
    <s v="AA459KL03"/>
    <s v="0426-0187"/>
    <n v="770"/>
    <n v="68664"/>
    <n v="571"/>
    <n v="51320"/>
    <n v="50749"/>
    <n v="561"/>
    <n v="0"/>
    <n v="10"/>
    <n v="40"/>
    <n v="50709"/>
    <n v="475"/>
    <n v="24086775"/>
    <n v="10"/>
    <n v="168"/>
    <n v="46.28"/>
    <m/>
    <s v="NIAKARA"/>
    <m/>
    <s v="W-9 Feb"/>
  </r>
  <r>
    <n v="91"/>
    <d v="2026-02-24T00:00:00"/>
    <x v="9"/>
    <s v="RM"/>
    <s v="CREDIT"/>
    <x v="0"/>
    <s v="BKE-003"/>
    <x v="11"/>
    <x v="11"/>
    <s v="AA465KK01"/>
    <s v="0431-0277"/>
    <n v="771"/>
    <n v="72571"/>
    <n v="534"/>
    <n v="46900"/>
    <n v="46366"/>
    <n v="524"/>
    <n v="0"/>
    <n v="10"/>
    <n v="40"/>
    <n v="46326"/>
    <n v="475"/>
    <n v="22004850"/>
    <n v="9.9"/>
    <n v="165"/>
    <n v="46.81"/>
    <m/>
    <s v="PRIKRO"/>
    <m/>
    <s v="W-9 Feb"/>
  </r>
  <r>
    <n v="92"/>
    <d v="2026-02-24T00:00:00"/>
    <x v="9"/>
    <s v="RM"/>
    <s v="CREDIT"/>
    <x v="0"/>
    <s v="BKE-003"/>
    <x v="11"/>
    <x v="11"/>
    <s v="6305EP01"/>
    <s v="0431-0277"/>
    <n v="772"/>
    <n v="68689"/>
    <n v="397"/>
    <n v="33320"/>
    <n v="32923"/>
    <n v="393"/>
    <n v="0"/>
    <n v="4"/>
    <n v="16"/>
    <n v="32907"/>
    <n v="475"/>
    <n v="15630825"/>
    <n v="8.6"/>
    <n v="178"/>
    <n v="47.34"/>
    <m/>
    <s v="BOUAKE"/>
    <m/>
    <s v="W-9 Feb"/>
  </r>
  <r>
    <n v="93"/>
    <d v="2026-02-24T00:00:00"/>
    <x v="9"/>
    <s v="RM"/>
    <s v="CREDIT"/>
    <x v="0"/>
    <s v="BKE-001"/>
    <x v="8"/>
    <x v="8"/>
    <s v="4974FC01"/>
    <s v="0426-0340"/>
    <n v="773"/>
    <n v="72502"/>
    <n v="557"/>
    <n v="45780"/>
    <n v="45223"/>
    <n v="549"/>
    <n v="0"/>
    <n v="8"/>
    <n v="32"/>
    <n v="45191"/>
    <n v="475"/>
    <n v="21465725"/>
    <n v="8.3000000000000007"/>
    <n v="178"/>
    <n v="46.81"/>
    <m/>
    <s v="BOUAFLE"/>
    <m/>
    <s v="W-9 Feb"/>
  </r>
  <r>
    <n v="94"/>
    <d v="2026-02-25T00:00:00"/>
    <x v="9"/>
    <s v="RM"/>
    <s v="CREDIT"/>
    <x v="0"/>
    <s v="BKE-002"/>
    <x v="3"/>
    <x v="3"/>
    <s v="AA 953 AD"/>
    <s v="0426-0203"/>
    <n v="775"/>
    <n v="72539"/>
    <n v="504"/>
    <n v="43020"/>
    <n v="42516"/>
    <n v="494"/>
    <n v="0"/>
    <n v="10"/>
    <n v="40"/>
    <n v="42476"/>
    <n v="475"/>
    <n v="20176100"/>
    <n v="8.8000000000000007"/>
    <n v="174"/>
    <n v="47.52"/>
    <m/>
    <s v="KOUTO"/>
    <m/>
    <s v="W-9 Feb"/>
  </r>
  <r>
    <n v="95"/>
    <d v="2026-02-25T00:00:00"/>
    <x v="9"/>
    <s v="RM"/>
    <s v="CREDIT"/>
    <x v="0"/>
    <s v="BKE-003"/>
    <x v="5"/>
    <x v="5"/>
    <s v="2023 HF 01"/>
    <s v="0426-0194"/>
    <n v="774"/>
    <n v="69771"/>
    <n v="238"/>
    <n v="21600"/>
    <n v="21362"/>
    <n v="223"/>
    <n v="0"/>
    <n v="15"/>
    <n v="60"/>
    <n v="21302"/>
    <n v="475"/>
    <n v="10118450"/>
    <n v="8.6"/>
    <n v="183"/>
    <n v="47.69"/>
    <m/>
    <s v="NIAKARA"/>
    <m/>
    <s v="W-9 Feb"/>
  </r>
  <r>
    <n v="96"/>
    <d v="2026-02-25T00:00:00"/>
    <x v="9"/>
    <s v="RM"/>
    <s v="CREDIT"/>
    <x v="0"/>
    <s v="BKE-002"/>
    <x v="8"/>
    <x v="8"/>
    <s v="6253KV04"/>
    <s v="0426-0340"/>
    <n v="776"/>
    <n v="68671"/>
    <n v="512"/>
    <n v="39480"/>
    <n v="38968"/>
    <n v="504"/>
    <n v="0"/>
    <n v="8"/>
    <n v="32"/>
    <n v="38936"/>
    <n v="480"/>
    <n v="18689280"/>
    <n v="8.6999999999999993"/>
    <n v="165"/>
    <n v="48.04"/>
    <m/>
    <s v="ZOUKOUGBEU"/>
    <m/>
    <s v="W-9 Feb"/>
  </r>
  <r>
    <n v="97"/>
    <d v="2026-02-25T00:00:00"/>
    <x v="9"/>
    <s v="RM"/>
    <s v="CREDIT"/>
    <x v="0"/>
    <s v="BKE-003"/>
    <x v="1"/>
    <x v="1"/>
    <s v="3619 EJ 03"/>
    <s v="0429-0040"/>
    <n v="778"/>
    <n v="68659"/>
    <n v="636"/>
    <n v="51380"/>
    <n v="50744"/>
    <n v="606"/>
    <n v="0"/>
    <n v="30"/>
    <n v="120"/>
    <n v="50624"/>
    <n v="490"/>
    <n v="24805760"/>
    <n v="8"/>
    <n v="175"/>
    <n v="46.11"/>
    <m/>
    <s v="BOUNDIALI"/>
    <m/>
    <s v="W-9 Feb"/>
  </r>
  <r>
    <n v="98"/>
    <d v="2026-02-25T00:00:00"/>
    <x v="9"/>
    <s v="RM"/>
    <s v="CREDIT"/>
    <x v="0"/>
    <s v="BKE-001"/>
    <x v="7"/>
    <x v="7"/>
    <s v="4179 KF 04"/>
    <s v="0427-0007"/>
    <n v="777"/>
    <n v="72619"/>
    <n v="619"/>
    <n v="51220"/>
    <n v="50601"/>
    <n v="606"/>
    <n v="0"/>
    <n v="13"/>
    <n v="52"/>
    <n v="50549"/>
    <n v="475"/>
    <n v="24010775"/>
    <n v="8.4"/>
    <n v="175"/>
    <n v="46.64"/>
    <m/>
    <s v="DIANRA"/>
    <m/>
    <s v="W-9 Feb"/>
  </r>
  <r>
    <n v="99"/>
    <d v="2026-02-25T00:00:00"/>
    <x v="9"/>
    <s v="RM"/>
    <s v="CREDIT"/>
    <x v="0"/>
    <m/>
    <x v="2"/>
    <x v="2"/>
    <s v="6555 CS 03"/>
    <m/>
    <m/>
    <m/>
    <m/>
    <n v="0"/>
    <m/>
    <m/>
    <m/>
    <m/>
    <n v="0"/>
    <n v="0"/>
    <m/>
    <n v="0"/>
    <n v="9.5"/>
    <n v="170"/>
    <n v="44.7"/>
    <m/>
    <s v="NIAKARA"/>
    <s v="REJECT"/>
    <m/>
  </r>
  <r>
    <n v="100"/>
    <d v="2026-02-25T00:00:00"/>
    <x v="9"/>
    <s v="RM"/>
    <s v="CREDIT"/>
    <x v="0"/>
    <m/>
    <x v="8"/>
    <x v="8"/>
    <s v="3978 LC 01"/>
    <m/>
    <m/>
    <m/>
    <m/>
    <n v="0"/>
    <m/>
    <m/>
    <m/>
    <m/>
    <n v="0"/>
    <n v="0"/>
    <m/>
    <n v="0"/>
    <n v="8.8000000000000007"/>
    <n v="163"/>
    <n v="44.17"/>
    <m/>
    <s v="DIANRA"/>
    <s v="REJECT"/>
    <m/>
  </r>
  <r>
    <n v="101"/>
    <d v="2026-02-25T00:00:00"/>
    <x v="9"/>
    <s v="RM"/>
    <s v="CREDIT"/>
    <x v="0"/>
    <m/>
    <x v="14"/>
    <x v="14"/>
    <s v="8631 EF 01"/>
    <m/>
    <m/>
    <m/>
    <m/>
    <n v="0"/>
    <m/>
    <m/>
    <m/>
    <m/>
    <n v="0"/>
    <n v="0"/>
    <m/>
    <n v="0"/>
    <n v="9.3000000000000007"/>
    <n v="182"/>
    <n v="44.35"/>
    <m/>
    <s v="KOUNAHIRI"/>
    <s v="REJECT"/>
    <m/>
  </r>
  <r>
    <n v="102"/>
    <d v="2026-02-25T00:00:00"/>
    <x v="10"/>
    <s v="RM"/>
    <s v="CREDIT"/>
    <x v="0"/>
    <s v="BKE-003"/>
    <x v="20"/>
    <x v="20"/>
    <s v="4669CP03"/>
    <s v="0425-0001"/>
    <n v="780"/>
    <n v="68694"/>
    <n v="423"/>
    <n v="39240"/>
    <n v="38817"/>
    <n v="413"/>
    <n v="0"/>
    <n v="10"/>
    <n v="40"/>
    <n v="38777"/>
    <n v="475"/>
    <n v="18419075"/>
    <n v="8.8000000000000007"/>
    <n v="175"/>
    <n v="46.64"/>
    <m/>
    <s v="KATIOLA"/>
    <m/>
    <s v="W-9 Feb"/>
  </r>
  <r>
    <n v="103"/>
    <d v="2026-02-25T00:00:00"/>
    <x v="10"/>
    <s v="RM"/>
    <s v="CREDIT"/>
    <x v="0"/>
    <s v="BKE-002"/>
    <x v="0"/>
    <x v="0"/>
    <s v="1026FL01"/>
    <s v="0401-0007"/>
    <n v="781"/>
    <n v="72556"/>
    <n v="405"/>
    <n v="35540"/>
    <n v="35135"/>
    <n v="395"/>
    <n v="0"/>
    <n v="10"/>
    <n v="40"/>
    <n v="35095"/>
    <n v="475"/>
    <n v="16670125"/>
    <n v="10.199999999999999"/>
    <n v="174"/>
    <n v="47.34"/>
    <m/>
    <s v="BOTRO"/>
    <m/>
    <s v="W-9 Feb"/>
  </r>
  <r>
    <n v="104"/>
    <d v="2026-02-25T00:00:00"/>
    <x v="10"/>
    <s v="RM"/>
    <s v="CREDIT"/>
    <x v="0"/>
    <s v="BKE-001"/>
    <x v="0"/>
    <x v="0"/>
    <s v="7558EJ03"/>
    <s v="0401-0007"/>
    <n v="779"/>
    <n v="72617"/>
    <n v="475"/>
    <n v="41060"/>
    <n v="40585"/>
    <n v="465"/>
    <n v="0"/>
    <n v="10"/>
    <n v="40"/>
    <n v="40545"/>
    <n v="475"/>
    <n v="19258875"/>
    <n v="8.6999999999999993"/>
    <n v="164"/>
    <n v="46.11"/>
    <m/>
    <s v="DIANRA"/>
    <m/>
    <s v="W-9 Feb"/>
  </r>
  <r>
    <n v="105"/>
    <d v="2026-02-26T00:00:00"/>
    <x v="10"/>
    <s v="RM"/>
    <s v="CASH"/>
    <x v="0"/>
    <s v="BKE-002"/>
    <x v="21"/>
    <x v="21"/>
    <s v="4139GV01"/>
    <s v="0426-0424"/>
    <n v="782"/>
    <n v="72599"/>
    <n v="124"/>
    <n v="11220"/>
    <n v="11096"/>
    <n v="124"/>
    <n v="0"/>
    <n v="0"/>
    <n v="0"/>
    <n v="11096"/>
    <n v="475"/>
    <n v="5270600"/>
    <n v="8.3000000000000007"/>
    <n v="172"/>
    <n v="46.46"/>
    <m/>
    <s v="BOUAKE"/>
    <m/>
    <s v="W-9 Feb"/>
  </r>
  <r>
    <n v="106"/>
    <d v="2026-02-26T00:00:00"/>
    <x v="10"/>
    <s v="RM"/>
    <s v="CREDIT"/>
    <x v="0"/>
    <s v="BKE-003"/>
    <x v="18"/>
    <x v="18"/>
    <s v="32LA01"/>
    <s v="0420-0251"/>
    <n v="783"/>
    <n v="72577"/>
    <n v="465"/>
    <n v="40760"/>
    <n v="40295"/>
    <n v="455"/>
    <n v="0"/>
    <n v="10"/>
    <n v="40"/>
    <n v="40255"/>
    <n v="475"/>
    <n v="19121125"/>
    <n v="9.6999999999999993"/>
    <n v="165"/>
    <n v="47.16"/>
    <m/>
    <s v="DIANRA"/>
    <m/>
    <s v="W-9 Feb"/>
  </r>
  <r>
    <n v="107"/>
    <d v="2026-02-26T00:00:00"/>
    <x v="10"/>
    <s v="RM"/>
    <s v="CREDIT"/>
    <x v="0"/>
    <s v="BKE-003"/>
    <x v="8"/>
    <x v="8"/>
    <s v="AA398TS04"/>
    <s v="0426-0340"/>
    <n v="785"/>
    <n v="72602"/>
    <n v="581"/>
    <n v="50440"/>
    <n v="49859"/>
    <n v="566"/>
    <n v="0"/>
    <n v="15"/>
    <n v="60"/>
    <n v="49799"/>
    <n v="475"/>
    <n v="23654525"/>
    <n v="9.6"/>
    <n v="166"/>
    <n v="47.34"/>
    <m/>
    <s v="NIAKARA"/>
    <m/>
    <s v="W-9 Feb"/>
  </r>
  <r>
    <n v="108"/>
    <d v="2026-02-26T00:00:00"/>
    <x v="10"/>
    <s v="RM"/>
    <s v="CREDIT"/>
    <x v="0"/>
    <s v="BKE-003"/>
    <x v="1"/>
    <x v="1"/>
    <s v="6010GB03"/>
    <s v="0429-0040"/>
    <n v="784"/>
    <n v="76763"/>
    <n v="450"/>
    <n v="37980"/>
    <n v="37530"/>
    <n v="434"/>
    <n v="0"/>
    <n v="16"/>
    <n v="64"/>
    <n v="37466"/>
    <n v="490"/>
    <n v="18358340"/>
    <n v="7.5"/>
    <n v="183"/>
    <n v="46.11"/>
    <m/>
    <s v="KANI"/>
    <m/>
    <s v="W-9 Feb"/>
  </r>
  <r>
    <n v="109"/>
    <d v="2026-02-26T00:00:00"/>
    <x v="10"/>
    <s v="RM"/>
    <s v="CREDIT"/>
    <x v="0"/>
    <s v="BKE-003"/>
    <x v="17"/>
    <x v="17"/>
    <s v="AA518FY01"/>
    <s v="0425-0055"/>
    <n v="786"/>
    <n v="72594"/>
    <n v="495"/>
    <n v="41960"/>
    <n v="41465"/>
    <n v="485"/>
    <n v="0"/>
    <n v="10"/>
    <n v="40"/>
    <n v="41425"/>
    <n v="475"/>
    <n v="19676875"/>
    <n v="9.3000000000000007"/>
    <n v="176"/>
    <n v="47.69"/>
    <m/>
    <s v="KATIOLA"/>
    <m/>
    <s v="W-9 Feb"/>
  </r>
  <r>
    <n v="110"/>
    <d v="2026-02-26T00:00:00"/>
    <x v="10"/>
    <s v="RM"/>
    <s v="CREDIT"/>
    <x v="0"/>
    <s v="BKE-001"/>
    <x v="8"/>
    <x v="8"/>
    <s v="AA044CA"/>
    <s v="0426-0340"/>
    <n v="787"/>
    <n v="72588"/>
    <n v="542"/>
    <n v="45260"/>
    <n v="44718"/>
    <n v="537"/>
    <n v="0"/>
    <n v="5"/>
    <n v="20"/>
    <n v="44698"/>
    <n v="475"/>
    <n v="21231550"/>
    <n v="9.6999999999999993"/>
    <n v="164"/>
    <n v="46.81"/>
    <m/>
    <s v="BEOUMI"/>
    <m/>
    <s v="W-9 Feb"/>
  </r>
  <r>
    <n v="111"/>
    <d v="2026-02-26T00:00:00"/>
    <x v="10"/>
    <s v="RM"/>
    <s v="CREDIT"/>
    <x v="0"/>
    <s v="BKE-003"/>
    <x v="6"/>
    <x v="6"/>
    <s v="1026FL01"/>
    <s v="0426-0347"/>
    <n v="788"/>
    <n v="68695"/>
    <n v="366"/>
    <n v="31020"/>
    <n v="30654"/>
    <n v="351"/>
    <n v="0"/>
    <n v="5"/>
    <n v="20"/>
    <n v="30634"/>
    <n v="475"/>
    <n v="14551150"/>
    <n v="9.4"/>
    <n v="174"/>
    <n v="47.34"/>
    <m/>
    <s v="BOTRO"/>
    <m/>
    <s v="W-9 Feb"/>
  </r>
  <r>
    <n v="112"/>
    <d v="2026-02-26T00:00:00"/>
    <x v="10"/>
    <s v="RM"/>
    <s v="CREDIT"/>
    <x v="0"/>
    <m/>
    <x v="0"/>
    <x v="0"/>
    <s v="1148CV03"/>
    <m/>
    <m/>
    <m/>
    <m/>
    <n v="0"/>
    <m/>
    <m/>
    <m/>
    <m/>
    <m/>
    <n v="0"/>
    <n v="0"/>
    <n v="0"/>
    <n v="8.3000000000000007"/>
    <n v="180"/>
    <n v="41"/>
    <m/>
    <s v="KANI"/>
    <s v="REJECT"/>
    <m/>
  </r>
  <r>
    <n v="113"/>
    <d v="2026-02-26T00:00:00"/>
    <x v="10"/>
    <s v="RM"/>
    <s v="CREDIT"/>
    <x v="1"/>
    <m/>
    <x v="9"/>
    <x v="9"/>
    <s v="4379LL02"/>
    <s v="0419-0180"/>
    <n v="851"/>
    <n v="68687"/>
    <n v="696"/>
    <n v="53380"/>
    <n v="52684"/>
    <m/>
    <m/>
    <m/>
    <n v="100"/>
    <n v="52584"/>
    <n v="485"/>
    <n v="25503240"/>
    <n v="8"/>
    <n v="187"/>
    <n v="47.16"/>
    <n v="46.81"/>
    <s v="VAVOUA"/>
    <m/>
    <s v="W-9 Feb"/>
  </r>
  <r>
    <n v="114"/>
    <d v="2026-02-26T00:00:00"/>
    <x v="10"/>
    <s v="RM"/>
    <s v="CREDIT"/>
    <x v="1"/>
    <m/>
    <x v="9"/>
    <x v="9"/>
    <s v="1367LH01"/>
    <s v="0419-0180"/>
    <n v="852"/>
    <n v="68684"/>
    <n v="669"/>
    <n v="49700"/>
    <n v="49031"/>
    <m/>
    <m/>
    <m/>
    <n v="100"/>
    <n v="48931"/>
    <n v="490"/>
    <n v="23976190"/>
    <n v="7.9"/>
    <n v="197"/>
    <n v="48.75"/>
    <n v="48.04"/>
    <s v="VAVOUA"/>
    <m/>
    <s v="W-9 Feb"/>
  </r>
  <r>
    <n v="115"/>
    <d v="2026-02-27T00:00:00"/>
    <x v="11"/>
    <s v="RM"/>
    <s v="CASH"/>
    <x v="1"/>
    <m/>
    <x v="22"/>
    <x v="22"/>
    <s v="AA114NQ02"/>
    <s v="0429-0361"/>
    <n v="855"/>
    <n v="77585"/>
    <n v="658"/>
    <n v="48800"/>
    <n v="48142"/>
    <n v="633"/>
    <n v="0"/>
    <n v="25"/>
    <n v="80"/>
    <n v="48062"/>
    <n v="490"/>
    <n v="23550380"/>
    <n v="8"/>
    <n v="185"/>
    <n v="47.87"/>
    <n v="47.34"/>
    <s v="VAVOUA"/>
    <m/>
    <s v="W-9 Feb"/>
  </r>
  <r>
    <n v="116"/>
    <d v="2026-02-27T00:00:00"/>
    <x v="11"/>
    <s v="RM"/>
    <s v="CREDIT"/>
    <x v="1"/>
    <m/>
    <x v="12"/>
    <x v="12"/>
    <s v="AA335NH01"/>
    <s v="0429-0005"/>
    <n v="854"/>
    <n v="77584"/>
    <n v="624"/>
    <n v="46440"/>
    <n v="45816"/>
    <n v="589"/>
    <n v="0"/>
    <n v="35"/>
    <n v="80"/>
    <n v="45736"/>
    <n v="485"/>
    <n v="22181960"/>
    <n v="9.1999999999999993"/>
    <n v="191"/>
    <n v="46.81"/>
    <n v="47.16"/>
    <s v="VAVOUA"/>
    <m/>
    <s v="W-9 Feb"/>
  </r>
  <r>
    <n v="117"/>
    <d v="2026-02-27T00:00:00"/>
    <x v="11"/>
    <s v="RM"/>
    <s v="CREDIT"/>
    <x v="1"/>
    <m/>
    <x v="9"/>
    <x v="9"/>
    <s v="2744KK02"/>
    <s v="0419-0180"/>
    <n v="853"/>
    <n v="77593"/>
    <n v="499"/>
    <n v="39180"/>
    <n v="38681"/>
    <n v="488"/>
    <n v="0"/>
    <n v="11"/>
    <n v="40"/>
    <n v="38641"/>
    <n v="490"/>
    <n v="18934090"/>
    <n v="8.5"/>
    <n v="188"/>
    <n v="48.92"/>
    <n v="48.22"/>
    <s v="VAVOUA"/>
    <m/>
    <s v="W-9 Feb"/>
  </r>
  <r>
    <n v="118"/>
    <d v="2026-02-27T00:00:00"/>
    <x v="11"/>
    <s v="RM"/>
    <s v="CREDIT"/>
    <x v="1"/>
    <m/>
    <x v="9"/>
    <x v="9"/>
    <s v="2319LR01"/>
    <s v="0419-0180"/>
    <n v="856"/>
    <n v="77591"/>
    <n v="546"/>
    <n v="39560"/>
    <n v="39014"/>
    <n v="511"/>
    <n v="0"/>
    <n v="35"/>
    <n v="60"/>
    <n v="38954"/>
    <n v="485"/>
    <n v="18892690"/>
    <n v="8.3000000000000007"/>
    <n v="181"/>
    <n v="46.11"/>
    <n v="46.28"/>
    <s v="VAVOUA"/>
    <m/>
    <s v="W-9 Feb"/>
  </r>
  <r>
    <n v="119"/>
    <d v="2026-02-27T00:00:00"/>
    <x v="11"/>
    <s v="RM"/>
    <s v="CREDIT"/>
    <x v="0"/>
    <s v="BKE-003"/>
    <x v="8"/>
    <x v="8"/>
    <s v="CH3646"/>
    <s v="0426-0340"/>
    <n v="795"/>
    <n v="72587"/>
    <n v="614"/>
    <n v="49920"/>
    <n v="49306"/>
    <n v="601"/>
    <n v="0"/>
    <n v="13"/>
    <n v="60"/>
    <n v="49246"/>
    <n v="475"/>
    <n v="23391850"/>
    <n v="7.1"/>
    <n v="185"/>
    <n v="46.55"/>
    <m/>
    <s v="KOUASSI"/>
    <m/>
    <s v="W-9 Feb"/>
  </r>
  <r>
    <n v="120"/>
    <d v="2026-02-27T00:00:00"/>
    <x v="11"/>
    <s v="RM"/>
    <s v="CREDIT"/>
    <x v="0"/>
    <s v="BKE-001"/>
    <x v="5"/>
    <x v="5"/>
    <s v="2496HJ04"/>
    <s v="0426-0194"/>
    <n v="794"/>
    <n v="68673"/>
    <n v="498"/>
    <n v="42220"/>
    <n v="41722"/>
    <n v="458"/>
    <n v="0"/>
    <n v="40"/>
    <n v="100"/>
    <n v="41622"/>
    <n v="475"/>
    <n v="19770450"/>
    <n v="8.6"/>
    <n v="172"/>
    <n v="46.11"/>
    <m/>
    <s v="MANKONO"/>
    <m/>
    <s v="W-9 Feb"/>
  </r>
  <r>
    <n v="121"/>
    <d v="2026-02-27T00:00:00"/>
    <x v="11"/>
    <s v="RM"/>
    <s v="CREDIT"/>
    <x v="0"/>
    <s v="BKE-001"/>
    <x v="3"/>
    <x v="3"/>
    <s v="9828JC03"/>
    <s v="0426-0203"/>
    <n v="793"/>
    <n v="68651"/>
    <n v="472"/>
    <n v="40420"/>
    <n v="39948"/>
    <n v="467"/>
    <n v="0"/>
    <n v="5"/>
    <n v="20"/>
    <n v="39928"/>
    <n v="475"/>
    <n v="18965800"/>
    <n v="8.1999999999999993"/>
    <n v="180"/>
    <n v="46.46"/>
    <m/>
    <s v="DIDIEVI"/>
    <m/>
    <s v="W-9 Feb"/>
  </r>
  <r>
    <n v="122"/>
    <d v="2026-02-27T00:00:00"/>
    <x v="11"/>
    <s v="RM"/>
    <s v="CREDIT"/>
    <x v="0"/>
    <s v="BKE-003"/>
    <x v="13"/>
    <x v="13"/>
    <s v="AA057ER03"/>
    <s v="0426-0365"/>
    <n v="791"/>
    <n v="72548"/>
    <n v="473"/>
    <n v="41640"/>
    <n v="41167"/>
    <n v="462"/>
    <n v="0"/>
    <n v="11"/>
    <n v="44"/>
    <n v="41123"/>
    <n v="475"/>
    <n v="19533425"/>
    <n v="8.9"/>
    <n v="183"/>
    <n v="46.37"/>
    <m/>
    <s v="DIANRA"/>
    <m/>
    <s v="W-9 Feb"/>
  </r>
  <r>
    <n v="123"/>
    <d v="2026-02-27T00:00:00"/>
    <x v="11"/>
    <s v="RM"/>
    <s v="CREDIT"/>
    <x v="0"/>
    <s v="BKE-001"/>
    <x v="10"/>
    <x v="10"/>
    <s v="2616GX04"/>
    <s v="0425-0212"/>
    <n v="792"/>
    <n v="72624"/>
    <n v="475"/>
    <n v="41440"/>
    <n v="40965"/>
    <n v="470"/>
    <n v="0"/>
    <n v="5"/>
    <n v="20"/>
    <n v="40945"/>
    <n v="475"/>
    <n v="19448875"/>
    <n v="8.6999999999999993"/>
    <n v="170"/>
    <n v="46.37"/>
    <m/>
    <s v="DABAKALA"/>
    <m/>
    <s v="W-9 Feb"/>
  </r>
  <r>
    <n v="124"/>
    <d v="2026-02-27T00:00:00"/>
    <x v="11"/>
    <s v="RM"/>
    <s v="CREDIT"/>
    <x v="0"/>
    <s v="BKE-002"/>
    <x v="2"/>
    <x v="2"/>
    <s v="AA918RX03"/>
    <s v="0426-0187"/>
    <n v="790"/>
    <n v="68698"/>
    <n v="544"/>
    <n v="48260"/>
    <n v="47716"/>
    <n v="536"/>
    <n v="0"/>
    <n v="8"/>
    <n v="32"/>
    <n v="47684"/>
    <n v="480"/>
    <n v="22888320"/>
    <n v="10.4"/>
    <n v="161"/>
    <n v="48.22"/>
    <m/>
    <s v="NIAKARA"/>
    <m/>
    <s v="W-9 Feb"/>
  </r>
  <r>
    <n v="125"/>
    <d v="2026-02-27T00:00:00"/>
    <x v="11"/>
    <s v="RM"/>
    <s v="CREDIT"/>
    <x v="0"/>
    <s v="BKE-001"/>
    <x v="20"/>
    <x v="20"/>
    <s v="2766HC01"/>
    <s v="0425-0001"/>
    <n v="789"/>
    <n v="68693"/>
    <n v="443"/>
    <n v="39060"/>
    <n v="38617"/>
    <n v="433"/>
    <n v="0"/>
    <n v="10"/>
    <n v="40"/>
    <n v="38577"/>
    <n v="475"/>
    <n v="18324075"/>
    <n v="9.8000000000000007"/>
    <n v="162"/>
    <n v="46.02"/>
    <m/>
    <s v="KATIOLA"/>
    <m/>
    <s v="W-9 Feb"/>
  </r>
  <r>
    <n v="126"/>
    <d v="2026-02-27T00:00:00"/>
    <x v="11"/>
    <s v="RM"/>
    <s v="CREDIT"/>
    <x v="1"/>
    <m/>
    <x v="1"/>
    <x v="1"/>
    <s v="6089HAO1"/>
    <m/>
    <m/>
    <m/>
    <m/>
    <n v="0"/>
    <m/>
    <m/>
    <m/>
    <m/>
    <m/>
    <n v="0"/>
    <m/>
    <n v="0"/>
    <n v="8.6"/>
    <n v="171"/>
    <n v="44.7"/>
    <m/>
    <s v="MANKONO"/>
    <s v="REJECT"/>
    <m/>
  </r>
  <r>
    <n v="127"/>
    <d v="2026-02-27T00:00:00"/>
    <x v="11"/>
    <s v="RM"/>
    <s v="CREDIT"/>
    <x v="1"/>
    <m/>
    <x v="7"/>
    <x v="7"/>
    <s v="979HZO"/>
    <m/>
    <m/>
    <m/>
    <m/>
    <n v="0"/>
    <m/>
    <m/>
    <m/>
    <m/>
    <m/>
    <n v="0"/>
    <m/>
    <n v="0"/>
    <n v="8.4"/>
    <n v="181"/>
    <n v="44.35"/>
    <m/>
    <s v="DIANRA"/>
    <s v="REJECT"/>
    <m/>
  </r>
  <r>
    <n v="128"/>
    <d v="2026-02-28T00:00:00"/>
    <x v="12"/>
    <s v="RM"/>
    <s v="CREDIT"/>
    <x v="0"/>
    <s v="BKE-003"/>
    <x v="8"/>
    <x v="8"/>
    <s v="AA398TS04"/>
    <s v="0426-0340"/>
    <n v="797"/>
    <n v="68683"/>
    <n v="589"/>
    <n v="42860"/>
    <n v="42271"/>
    <n v="573"/>
    <n v="0"/>
    <n v="16"/>
    <n v="60"/>
    <n v="42211"/>
    <n v="475"/>
    <n v="20050225"/>
    <n v="9.6999999999999993"/>
    <n v="177"/>
    <n v="47.08"/>
    <m/>
    <s v="ZOUKOUGBEU"/>
    <m/>
    <s v="W-9 Feb"/>
  </r>
  <r>
    <n v="129"/>
    <d v="2026-02-28T00:00:00"/>
    <x v="12"/>
    <s v="RM"/>
    <s v="CREDIT"/>
    <x v="0"/>
    <s v="BKE-001"/>
    <x v="8"/>
    <x v="8"/>
    <s v="6253KV04"/>
    <s v="0426-0340"/>
    <n v="1202"/>
    <n v="68681"/>
    <n v="518"/>
    <n v="39240"/>
    <n v="38722"/>
    <n v="505"/>
    <n v="0"/>
    <n v="13"/>
    <n v="40"/>
    <n v="38682"/>
    <n v="480"/>
    <n v="18567360"/>
    <n v="10"/>
    <n v="178"/>
    <n v="47.6"/>
    <m/>
    <s v="DUEKOUE"/>
    <m/>
    <s v="W-9 Feb"/>
  </r>
  <r>
    <n v="130"/>
    <d v="2026-02-28T00:00:00"/>
    <x v="12"/>
    <s v="RM"/>
    <s v="CREDIT"/>
    <x v="0"/>
    <s v="BKE-003"/>
    <x v="15"/>
    <x v="15"/>
    <s v="AA087XL03"/>
    <s v="0420-0149"/>
    <n v="800"/>
    <n v="68665"/>
    <n v="470"/>
    <n v="35140"/>
    <n v="34670"/>
    <n v="447"/>
    <n v="0"/>
    <n v="23"/>
    <n v="60"/>
    <n v="34610"/>
    <n v="475"/>
    <n v="16439750"/>
    <n v="7.7"/>
    <n v="166"/>
    <n v="46.11"/>
    <m/>
    <s v="MANKONO"/>
    <m/>
    <s v="W-9 Feb"/>
  </r>
  <r>
    <n v="131"/>
    <d v="2026-02-28T00:00:00"/>
    <x v="12"/>
    <s v="RM"/>
    <s v="CREDIT"/>
    <x v="0"/>
    <s v="BKE-003"/>
    <x v="17"/>
    <x v="17"/>
    <s v="838LX01"/>
    <s v="0425-0055"/>
    <n v="798"/>
    <n v="72596"/>
    <n v="643"/>
    <n v="44220"/>
    <n v="43577"/>
    <n v="634"/>
    <n v="0"/>
    <n v="9"/>
    <n v="36"/>
    <n v="43541"/>
    <n v="480"/>
    <n v="20899680"/>
    <n v="8.6"/>
    <n v="172"/>
    <n v="48.57"/>
    <m/>
    <s v="KATIOLA"/>
    <m/>
    <s v="W-9 Feb"/>
  </r>
  <r>
    <n v="132"/>
    <d v="2026-02-28T00:00:00"/>
    <x v="12"/>
    <s v="RM"/>
    <s v="CREDIT"/>
    <x v="0"/>
    <s v="BKE-001"/>
    <x v="3"/>
    <x v="3"/>
    <s v="6939EQ01"/>
    <s v="0426-0203"/>
    <n v="1201"/>
    <n v="68654"/>
    <n v="506"/>
    <n v="40980"/>
    <n v="40474"/>
    <n v="501"/>
    <n v="0"/>
    <n v="5"/>
    <n v="20"/>
    <n v="40454"/>
    <n v="475"/>
    <n v="19215650"/>
    <n v="9.3000000000000007"/>
    <n v="180"/>
    <n v="46.28"/>
    <m/>
    <s v="VAVOUA"/>
    <m/>
    <s v="W-9 Feb"/>
  </r>
  <r>
    <n v="133"/>
    <d v="2026-02-28T00:00:00"/>
    <x v="12"/>
    <s v="RM"/>
    <s v="CREDIT"/>
    <x v="0"/>
    <s v="BKE-003"/>
    <x v="8"/>
    <x v="8"/>
    <s v="4974FC01"/>
    <s v="0426-0340"/>
    <n v="799"/>
    <n v="72626"/>
    <n v="551"/>
    <n v="46260"/>
    <n v="45709"/>
    <n v="535"/>
    <n v="0"/>
    <n v="16"/>
    <n v="60"/>
    <n v="45649"/>
    <n v="475"/>
    <n v="21683275"/>
    <n v="8.6"/>
    <n v="182"/>
    <n v="46.81"/>
    <m/>
    <s v="MANKONO"/>
    <m/>
    <s v="W-9 Feb"/>
  </r>
  <r>
    <n v="134"/>
    <d v="2026-02-28T00:00:00"/>
    <x v="12"/>
    <s v="RM"/>
    <s v="CREDIT"/>
    <x v="0"/>
    <s v="BKE-002"/>
    <x v="2"/>
    <x v="2"/>
    <s v="8287GH03"/>
    <s v="0426-0187"/>
    <n v="790"/>
    <n v="68661"/>
    <n v="486"/>
    <n v="42100"/>
    <n v="41614"/>
    <n v="465"/>
    <n v="0"/>
    <n v="21"/>
    <n v="60"/>
    <n v="41554"/>
    <n v="475"/>
    <n v="19738150"/>
    <n v="8.6"/>
    <n v="186"/>
    <n v="47.6"/>
    <m/>
    <s v="NIAKARA"/>
    <m/>
    <s v="W-9 Feb"/>
  </r>
  <r>
    <n v="135"/>
    <d v="2026-02-28T00:00:00"/>
    <x v="12"/>
    <s v="RM"/>
    <s v="CREDIT"/>
    <x v="1"/>
    <m/>
    <x v="12"/>
    <x v="12"/>
    <s v="285LA01"/>
    <s v="0429-0005"/>
    <n v="857"/>
    <n v="72555"/>
    <n v="583"/>
    <n v="42640"/>
    <n v="42057"/>
    <n v="573"/>
    <n v="0"/>
    <n v="10"/>
    <n v="40"/>
    <n v="42017"/>
    <n v="485"/>
    <n v="20378245"/>
    <n v="8.8000000000000007"/>
    <n v="176"/>
    <n v="47.25"/>
    <n v="47.34"/>
    <s v="VAVOUA"/>
    <m/>
    <s v="W-9 Feb"/>
  </r>
  <r>
    <n v="136"/>
    <d v="2026-02-28T00:00:00"/>
    <x v="12"/>
    <s v="RM"/>
    <s v="CREDIT"/>
    <x v="0"/>
    <m/>
    <x v="1"/>
    <x v="1"/>
    <s v="1569KR01"/>
    <m/>
    <m/>
    <m/>
    <m/>
    <n v="0"/>
    <m/>
    <m/>
    <m/>
    <m/>
    <m/>
    <n v="0"/>
    <m/>
    <n v="0"/>
    <n v="8.9"/>
    <n v="162"/>
    <n v="44.96"/>
    <m/>
    <s v="MANKONO"/>
    <s v="REJECT"/>
    <m/>
  </r>
  <r>
    <n v="137"/>
    <d v="2026-02-28T00:00:00"/>
    <x v="12"/>
    <s v="RM"/>
    <s v="CREDIT"/>
    <x v="0"/>
    <m/>
    <x v="0"/>
    <x v="0"/>
    <s v="7195 HU 03"/>
    <m/>
    <m/>
    <m/>
    <m/>
    <n v="0"/>
    <m/>
    <m/>
    <m/>
    <m/>
    <m/>
    <n v="0"/>
    <m/>
    <n v="0"/>
    <n v="8.6999999999999993"/>
    <n v="183"/>
    <n v="45.14"/>
    <m/>
    <s v="KANI"/>
    <s v="REJECT"/>
    <m/>
  </r>
  <r>
    <n v="138"/>
    <d v="2026-02-28T00:00:00"/>
    <x v="12"/>
    <s v="RM"/>
    <s v="CREDIT"/>
    <x v="1"/>
    <m/>
    <x v="9"/>
    <x v="9"/>
    <s v="AV2744KK0R "/>
    <m/>
    <m/>
    <m/>
    <m/>
    <n v="0"/>
    <m/>
    <m/>
    <m/>
    <m/>
    <m/>
    <n v="0"/>
    <m/>
    <n v="0"/>
    <n v="7.9"/>
    <n v="183"/>
    <n v="45.23"/>
    <m/>
    <s v="VAVOUA"/>
    <s v="REJECT"/>
    <m/>
  </r>
  <r>
    <n v="139"/>
    <d v="2026-02-28T00:00:00"/>
    <x v="12"/>
    <s v="RM"/>
    <s v="CASH"/>
    <x v="1"/>
    <m/>
    <x v="23"/>
    <x v="23"/>
    <s v="AV3916LLO2"/>
    <m/>
    <m/>
    <m/>
    <m/>
    <n v="0"/>
    <m/>
    <m/>
    <m/>
    <m/>
    <m/>
    <n v="0"/>
    <m/>
    <n v="0"/>
    <n v="8.9"/>
    <n v="182"/>
    <n v="45.05"/>
    <m/>
    <s v="DALOA"/>
    <s v="REJECT"/>
    <m/>
  </r>
  <r>
    <n v="140"/>
    <d v="2026-03-01T00:00:00"/>
    <x v="13"/>
    <s v="RM"/>
    <s v="CREDIT"/>
    <x v="0"/>
    <s v="BKE-001"/>
    <x v="10"/>
    <x v="10"/>
    <s v="7695HJ01"/>
    <s v="0425-0212"/>
    <n v="1203"/>
    <n v="72625"/>
    <n v="478"/>
    <n v="40840"/>
    <n v="40362"/>
    <n v="453"/>
    <n v="0"/>
    <n v="25"/>
    <n v="80"/>
    <n v="40282"/>
    <n v="480"/>
    <n v="19335360"/>
    <n v="9"/>
    <n v="184"/>
    <n v="47.25"/>
    <m/>
    <s v="DABAKALA"/>
    <m/>
    <s v="W-9 Mar"/>
  </r>
  <r>
    <n v="141"/>
    <d v="2026-03-01T00:00:00"/>
    <x v="13"/>
    <s v="RM"/>
    <s v="CREDIT"/>
    <x v="0"/>
    <s v="BKE-001"/>
    <x v="6"/>
    <x v="6"/>
    <s v="5500FL02"/>
    <s v="0426-0347"/>
    <n v="1204"/>
    <n v="72645"/>
    <n v="471"/>
    <n v="39920"/>
    <n v="39449"/>
    <n v="461"/>
    <n v="0"/>
    <n v="10"/>
    <n v="40"/>
    <n v="39409"/>
    <n v="475"/>
    <n v="18719275"/>
    <n v="8.4"/>
    <n v="175"/>
    <n v="46.11"/>
    <m/>
    <s v="BOTRO"/>
    <m/>
    <s v="W-9 Mar"/>
  </r>
  <r>
    <n v="142"/>
    <d v="2026-03-01T00:00:00"/>
    <x v="13"/>
    <s v="RM"/>
    <s v="CASH"/>
    <x v="0"/>
    <s v="BKE-003"/>
    <x v="24"/>
    <x v="24"/>
    <s v="9545FN04"/>
    <s v="0401-0187"/>
    <n v="1205"/>
    <n v="68282"/>
    <n v="207"/>
    <n v="17280"/>
    <n v="17073"/>
    <n v="199"/>
    <n v="0"/>
    <n v="8"/>
    <n v="32"/>
    <n v="17041"/>
    <n v="480"/>
    <n v="8179680"/>
    <n v="8.6999999999999993"/>
    <n v="179"/>
    <n v="46.02"/>
    <m/>
    <s v="MANKONO"/>
    <m/>
    <s v="W-9 Mar"/>
  </r>
  <r>
    <n v="143"/>
    <d v="2026-03-02T00:00:00"/>
    <x v="14"/>
    <s v="RM"/>
    <s v="CREDIT"/>
    <x v="0"/>
    <s v="BKE-001"/>
    <x v="0"/>
    <x v="0"/>
    <s v="7558EJ03"/>
    <s v="0401-0007"/>
    <n v="1206"/>
    <n v="72509"/>
    <n v="462"/>
    <n v="39940"/>
    <n v="39478"/>
    <n v="441"/>
    <n v="0"/>
    <n v="21"/>
    <n v="80"/>
    <n v="39398"/>
    <n v="485"/>
    <n v="19108030"/>
    <n v="8.9"/>
    <n v="175"/>
    <n v="46.11"/>
    <m/>
    <s v="DIANRA"/>
    <m/>
    <s v="W-10 Mar"/>
  </r>
  <r>
    <n v="144"/>
    <d v="2026-03-02T00:00:00"/>
    <x v="14"/>
    <s v="RM"/>
    <s v="CREDIT"/>
    <x v="0"/>
    <s v="BKE-001"/>
    <x v="20"/>
    <x v="20"/>
    <s v="6008FE04"/>
    <s v="0425-0001"/>
    <n v="1209"/>
    <n v="69856"/>
    <n v="475"/>
    <n v="40480"/>
    <n v="40005"/>
    <n v="464"/>
    <n v="0"/>
    <n v="11"/>
    <n v="44"/>
    <n v="39961"/>
    <n v="475"/>
    <n v="18981475"/>
    <n v="8.1999999999999993"/>
    <n v="170"/>
    <n v="45.14"/>
    <m/>
    <s v="KATIOLA"/>
    <m/>
    <s v="W-10 Mar"/>
  </r>
  <r>
    <n v="145"/>
    <d v="2026-03-02T00:00:00"/>
    <x v="14"/>
    <s v="RM"/>
    <s v="CREDIT"/>
    <x v="0"/>
    <s v="BKE-001"/>
    <x v="17"/>
    <x v="17"/>
    <s v="4794HN01"/>
    <s v="0425-0055"/>
    <n v="1207"/>
    <n v="72595"/>
    <n v="607"/>
    <n v="50060"/>
    <n v="49453"/>
    <n v="572"/>
    <n v="0"/>
    <n v="35"/>
    <n v="80"/>
    <n v="49373"/>
    <n v="480"/>
    <n v="23699040"/>
    <n v="8.6999999999999993"/>
    <n v="177"/>
    <n v="46.37"/>
    <m/>
    <s v="FERKE"/>
    <m/>
    <s v="W-10 Mar"/>
  </r>
  <r>
    <n v="146"/>
    <d v="2026-03-02T00:00:00"/>
    <x v="14"/>
    <s v="RM"/>
    <s v="CREDIT"/>
    <x v="0"/>
    <s v="BKE-001"/>
    <x v="2"/>
    <x v="2"/>
    <s v="6085HR03"/>
    <s v="0426-0187"/>
    <n v="1210"/>
    <n v="68697"/>
    <n v="552"/>
    <n v="47600"/>
    <n v="47048"/>
    <n v="542"/>
    <n v="0"/>
    <n v="10"/>
    <n v="40"/>
    <n v="47008"/>
    <n v="485"/>
    <n v="22798880"/>
    <n v="9.8000000000000007"/>
    <n v="160"/>
    <n v="46.28"/>
    <m/>
    <s v="NIAKARA"/>
    <m/>
    <s v="W-10 Mar"/>
  </r>
  <r>
    <n v="147"/>
    <d v="2026-03-02T00:00:00"/>
    <x v="14"/>
    <s v="RM"/>
    <s v="CREDIT"/>
    <x v="0"/>
    <s v="BKE-003"/>
    <x v="8"/>
    <x v="8"/>
    <s v="4974FC01"/>
    <s v="0426-0340"/>
    <n v="1208"/>
    <n v="72603"/>
    <n v="596"/>
    <n v="48680"/>
    <n v="48084"/>
    <n v="582"/>
    <n v="0"/>
    <n v="14"/>
    <n v="48"/>
    <n v="48036"/>
    <n v="485"/>
    <n v="23297460"/>
    <n v="9.6"/>
    <n v="180"/>
    <n v="46.64"/>
    <m/>
    <s v="FERKE"/>
    <m/>
    <s v="W-10 Mar"/>
  </r>
  <r>
    <n v="148"/>
    <d v="2026-03-02T00:00:00"/>
    <x v="14"/>
    <s v="RM"/>
    <s v="CREDIT"/>
    <x v="0"/>
    <s v="BKE-002"/>
    <x v="10"/>
    <x v="10"/>
    <s v="3633LZ04"/>
    <s v="0425-0212"/>
    <n v="1211"/>
    <n v="72638"/>
    <n v="599"/>
    <n v="51020"/>
    <n v="50421"/>
    <n v="588"/>
    <n v="0"/>
    <n v="11"/>
    <n v="44"/>
    <n v="50377"/>
    <n v="485"/>
    <n v="24432845"/>
    <n v="10"/>
    <n v="169"/>
    <n v="47.17"/>
    <m/>
    <s v="DABAKALA"/>
    <m/>
    <s v="W-10 Mar"/>
  </r>
  <r>
    <n v="149"/>
    <d v="2026-03-02T00:00:00"/>
    <x v="14"/>
    <s v="RM"/>
    <s v="CREDIT"/>
    <x v="0"/>
    <s v="BKE-003"/>
    <x v="4"/>
    <x v="4"/>
    <s v="9149EL04"/>
    <s v="0425-0068"/>
    <n v="1212"/>
    <n v="72590"/>
    <n v="471"/>
    <n v="41680"/>
    <n v="41209"/>
    <n v="456"/>
    <n v="0"/>
    <n v="11"/>
    <n v="60"/>
    <n v="41149"/>
    <n v="485"/>
    <n v="19957265"/>
    <n v="9.6"/>
    <n v="162"/>
    <n v="46.2"/>
    <m/>
    <s v="NIAKARA"/>
    <m/>
    <s v="W-10 Mar"/>
  </r>
  <r>
    <n v="150"/>
    <d v="2026-03-02T00:00:00"/>
    <x v="14"/>
    <s v="RM"/>
    <s v="CASH"/>
    <x v="0"/>
    <s v="BKE-002"/>
    <x v="25"/>
    <x v="25"/>
    <s v="3337KC01"/>
    <s v="0426-0399"/>
    <n v="1215"/>
    <n v="67277"/>
    <n v="257"/>
    <n v="22660"/>
    <n v="22403"/>
    <n v="249"/>
    <n v="0"/>
    <n v="8"/>
    <n v="32"/>
    <n v="22371"/>
    <n v="490"/>
    <n v="10961790"/>
    <n v="10.5"/>
    <n v="177"/>
    <n v="47.16"/>
    <m/>
    <s v="BOTRO"/>
    <m/>
    <s v="W-10 Mar"/>
  </r>
  <r>
    <n v="151"/>
    <d v="2026-03-02T00:00:00"/>
    <x v="14"/>
    <s v="RM"/>
    <s v="CREDIT"/>
    <x v="0"/>
    <s v="BKE-001"/>
    <x v="8"/>
    <x v="8"/>
    <s v="338KX01"/>
    <s v="0426-0340"/>
    <n v="1214"/>
    <n v="72503"/>
    <n v="564"/>
    <n v="43300"/>
    <n v="42736"/>
    <n v="545"/>
    <n v="0"/>
    <n v="19"/>
    <n v="76"/>
    <n v="42660"/>
    <n v="485"/>
    <n v="20690100"/>
    <n v="11.7"/>
    <n v="170"/>
    <n v="47.16"/>
    <m/>
    <s v="FERKE"/>
    <m/>
    <s v="W-10 Mar"/>
  </r>
  <r>
    <n v="152"/>
    <d v="2026-03-02T00:00:00"/>
    <x v="14"/>
    <s v="RM"/>
    <s v="CREDIT"/>
    <x v="0"/>
    <s v="BKE-001"/>
    <x v="18"/>
    <x v="18"/>
    <s v="32LA01"/>
    <s v="0420-0251"/>
    <n v="1213"/>
    <n v="72578"/>
    <n v="477"/>
    <n v="40640"/>
    <n v="40163"/>
    <n v="464"/>
    <n v="0"/>
    <n v="13"/>
    <n v="52"/>
    <n v="40111"/>
    <n v="475"/>
    <n v="19052725"/>
    <n v="9.5"/>
    <n v="160"/>
    <n v="45.84"/>
    <m/>
    <s v="DIANRA"/>
    <m/>
    <s v="W-10 Mar"/>
  </r>
  <r>
    <n v="153"/>
    <d v="2026-03-02T00:00:00"/>
    <x v="14"/>
    <s v="RM"/>
    <s v="CREDIT"/>
    <x v="0"/>
    <m/>
    <x v="6"/>
    <x v="6"/>
    <s v="1026FL01"/>
    <m/>
    <m/>
    <m/>
    <m/>
    <n v="0"/>
    <m/>
    <m/>
    <m/>
    <m/>
    <m/>
    <n v="0"/>
    <m/>
    <n v="0"/>
    <n v="9.8000000000000007"/>
    <n v="180"/>
    <n v="44.7"/>
    <m/>
    <s v="SETIFLA"/>
    <s v="REJECT"/>
    <m/>
  </r>
  <r>
    <n v="154"/>
    <d v="2026-03-02T00:00:00"/>
    <x v="14"/>
    <s v="RM"/>
    <s v="CREDIT"/>
    <x v="0"/>
    <m/>
    <x v="15"/>
    <x v="15"/>
    <s v="7367GV01"/>
    <m/>
    <m/>
    <m/>
    <m/>
    <n v="0"/>
    <m/>
    <m/>
    <m/>
    <m/>
    <m/>
    <n v="0"/>
    <m/>
    <n v="0"/>
    <n v="7.6"/>
    <n v="160"/>
    <n v="44.79"/>
    <m/>
    <s v="SEGUELA"/>
    <s v="REJECT"/>
    <m/>
  </r>
  <r>
    <n v="155"/>
    <d v="2026-03-02T00:00:00"/>
    <x v="15"/>
    <s v="RM"/>
    <s v="CREDIT"/>
    <x v="0"/>
    <s v="BKE-003"/>
    <x v="15"/>
    <x v="15"/>
    <s v="AA084AG01"/>
    <s v="0420-0149"/>
    <n v="1216"/>
    <n v="68700"/>
    <n v="504"/>
    <n v="41520"/>
    <n v="41016"/>
    <n v="495"/>
    <n v="0"/>
    <n v="9"/>
    <n v="36"/>
    <n v="40980"/>
    <n v="485"/>
    <n v="19875300"/>
    <n v="8.3000000000000007"/>
    <n v="173"/>
    <n v="46.02"/>
    <m/>
    <s v="DIANRA"/>
    <m/>
    <s v="W-10 Mar"/>
  </r>
  <r>
    <n v="156"/>
    <d v="2026-03-03T00:00:00"/>
    <x v="15"/>
    <s v="RM"/>
    <s v="CREDIT"/>
    <x v="0"/>
    <s v="BKE-001"/>
    <x v="20"/>
    <x v="20"/>
    <s v="2766HC01"/>
    <s v="0425-0001"/>
    <n v="1217"/>
    <n v="68692"/>
    <n v="448"/>
    <n v="39120"/>
    <n v="38672"/>
    <n v="443"/>
    <n v="0"/>
    <n v="5"/>
    <n v="20"/>
    <n v="38652"/>
    <n v="485"/>
    <n v="18746220"/>
    <n v="9"/>
    <n v="170"/>
    <n v="46.11"/>
    <m/>
    <s v="KATIOLA"/>
    <m/>
    <s v="W-10 Mar"/>
  </r>
  <r>
    <n v="157"/>
    <d v="2026-03-03T00:00:00"/>
    <x v="15"/>
    <s v="RM"/>
    <s v="CREDIT"/>
    <x v="0"/>
    <s v="BKE-003"/>
    <x v="5"/>
    <x v="5"/>
    <s v="2023HF01"/>
    <s v="0426-0194"/>
    <n v="1219"/>
    <n v="69772"/>
    <n v="215"/>
    <n v="19180"/>
    <n v="18965"/>
    <n v="209"/>
    <n v="0"/>
    <n v="6"/>
    <n v="24"/>
    <n v="18941"/>
    <n v="485"/>
    <n v="9186385"/>
    <n v="9.9"/>
    <n v="160"/>
    <n v="46.11"/>
    <m/>
    <s v="BEOUMI"/>
    <m/>
    <s v="W-10 Mar"/>
  </r>
  <r>
    <n v="158"/>
    <d v="2026-03-03T00:00:00"/>
    <x v="15"/>
    <s v="RM"/>
    <s v="CREDIT"/>
    <x v="0"/>
    <s v="BKE-001"/>
    <x v="10"/>
    <x v="10"/>
    <s v="7784GV04"/>
    <s v="0425-0212"/>
    <n v="1218"/>
    <n v="72639"/>
    <n v="500"/>
    <n v="42080"/>
    <n v="41580"/>
    <n v="485"/>
    <n v="0"/>
    <n v="15"/>
    <n v="60"/>
    <n v="41520"/>
    <n v="485"/>
    <n v="20137200"/>
    <n v="10"/>
    <n v="177"/>
    <n v="46.02"/>
    <m/>
    <s v="DABAKALA"/>
    <m/>
    <s v="W-10 Mar"/>
  </r>
  <r>
    <n v="159"/>
    <d v="2026-03-03T00:00:00"/>
    <x v="15"/>
    <s v="RM"/>
    <s v="CREDIT"/>
    <x v="0"/>
    <s v="BKE-001"/>
    <x v="15"/>
    <x v="15"/>
    <s v="3376FL03"/>
    <s v="0420-0149"/>
    <n v="1220"/>
    <n v="68666"/>
    <n v="463"/>
    <n v="40300"/>
    <n v="39837"/>
    <n v="450"/>
    <n v="0"/>
    <n v="13"/>
    <n v="52"/>
    <n v="39785"/>
    <n v="485"/>
    <n v="19295725"/>
    <n v="8"/>
    <n v="172"/>
    <n v="46.02"/>
    <m/>
    <s v="MANKONO"/>
    <m/>
    <s v="W-10 Mar"/>
  </r>
  <r>
    <n v="160"/>
    <d v="2026-03-03T00:00:00"/>
    <x v="15"/>
    <s v="RM"/>
    <s v="CREDIT"/>
    <x v="0"/>
    <s v="BKE-001"/>
    <x v="3"/>
    <x v="3"/>
    <s v="7692GB04"/>
    <s v="0426-0203"/>
    <n v="1222"/>
    <n v="68653"/>
    <n v="517"/>
    <n v="40200"/>
    <n v="39683"/>
    <n v="507"/>
    <n v="0"/>
    <n v="10"/>
    <n v="40"/>
    <n v="39643"/>
    <n v="480"/>
    <n v="19028640"/>
    <n v="9.9"/>
    <n v="180"/>
    <n v="45.4"/>
    <m/>
    <s v="VAVOUA"/>
    <m/>
    <s v="W-10 Mar"/>
  </r>
  <r>
    <n v="161"/>
    <d v="2026-03-03T00:00:00"/>
    <x v="15"/>
    <s v="RM"/>
    <s v="CASH"/>
    <x v="0"/>
    <s v="BKE-003"/>
    <x v="26"/>
    <x v="26"/>
    <s v="4972KB01"/>
    <s v="0429-0606"/>
    <n v="1224"/>
    <n v="76020"/>
    <n v="471"/>
    <n v="40360"/>
    <n v="39889"/>
    <n v="466"/>
    <n v="0"/>
    <n v="5"/>
    <n v="20"/>
    <n v="39869"/>
    <n v="495"/>
    <n v="19735155"/>
    <n v="8.6999999999999993"/>
    <n v="179"/>
    <n v="46.11"/>
    <m/>
    <s v="DIKODOUGOU"/>
    <m/>
    <s v="W-10 Mar"/>
  </r>
  <r>
    <n v="162"/>
    <d v="2026-03-03T00:00:00"/>
    <x v="15"/>
    <s v="RM"/>
    <s v="CREDIT"/>
    <x v="0"/>
    <s v="BKE-003"/>
    <x v="17"/>
    <x v="17"/>
    <s v="2788HZ04"/>
    <s v="0425-0055"/>
    <n v="1221"/>
    <n v="77608"/>
    <n v="531"/>
    <n v="42740"/>
    <n v="42209"/>
    <n v="521"/>
    <n v="0"/>
    <n v="10"/>
    <n v="40"/>
    <n v="42169"/>
    <n v="485"/>
    <n v="20451965"/>
    <n v="9.1"/>
    <n v="173"/>
    <n v="46.37"/>
    <m/>
    <s v="KATIOLA"/>
    <m/>
    <s v="W-10 Mar"/>
  </r>
  <r>
    <n v="163"/>
    <d v="2026-03-03T00:00:00"/>
    <x v="15"/>
    <s v="RM"/>
    <s v="CREDIT"/>
    <x v="0"/>
    <s v="BKE-003"/>
    <x v="2"/>
    <x v="2"/>
    <s v="9900KU03"/>
    <s v="0426-0187"/>
    <n v="1223"/>
    <n v="72640"/>
    <n v="507"/>
    <n v="45800"/>
    <n v="45293"/>
    <n v="492"/>
    <n v="0"/>
    <n v="15"/>
    <n v="60"/>
    <n v="45233"/>
    <n v="485"/>
    <n v="21938005"/>
    <n v="9.4"/>
    <n v="173"/>
    <n v="46.11"/>
    <m/>
    <s v="NIAKARA"/>
    <m/>
    <s v="W-10 Mar"/>
  </r>
  <r>
    <n v="164"/>
    <d v="2026-03-03T00:00:00"/>
    <x v="15"/>
    <s v="RM"/>
    <s v="CREDIT"/>
    <x v="0"/>
    <s v="BKE-001"/>
    <x v="11"/>
    <x v="11"/>
    <s v="6305EP01"/>
    <s v="0431-0277"/>
    <n v="1225"/>
    <s v="69883/69881"/>
    <n v="402"/>
    <n v="33040"/>
    <n v="32638"/>
    <n v="387"/>
    <n v="0"/>
    <n v="15"/>
    <n v="60"/>
    <n v="32578"/>
    <n v="480"/>
    <n v="15637440"/>
    <n v="9.6"/>
    <n v="179"/>
    <n v="45.58"/>
    <m/>
    <s v="NIAKARA"/>
    <m/>
    <s v="W-10 Mar"/>
  </r>
  <r>
    <n v="165"/>
    <d v="2026-03-03T00:00:00"/>
    <x v="15"/>
    <s v="RM"/>
    <s v="CREDIT"/>
    <x v="0"/>
    <m/>
    <x v="9"/>
    <x v="9"/>
    <s v="AA727PZ07"/>
    <m/>
    <m/>
    <m/>
    <m/>
    <n v="0"/>
    <m/>
    <m/>
    <m/>
    <m/>
    <m/>
    <n v="0"/>
    <m/>
    <n v="0"/>
    <n v="8.1999999999999993"/>
    <n v="182"/>
    <n v="43.64"/>
    <m/>
    <s v="VAVOUA"/>
    <s v="REJECT"/>
    <m/>
  </r>
  <r>
    <n v="166"/>
    <d v="2026-03-03T00:00:00"/>
    <x v="15"/>
    <s v="RM"/>
    <s v="CREDIT"/>
    <x v="0"/>
    <m/>
    <x v="8"/>
    <x v="8"/>
    <s v="AA398TS04"/>
    <m/>
    <m/>
    <m/>
    <m/>
    <n v="0"/>
    <m/>
    <m/>
    <m/>
    <m/>
    <m/>
    <n v="0"/>
    <m/>
    <n v="0"/>
    <n v="11.8"/>
    <n v="175"/>
    <n v="44.44"/>
    <m/>
    <s v="DUEKOUE"/>
    <s v="REJECT"/>
    <m/>
  </r>
  <r>
    <n v="167"/>
    <d v="2026-03-03T00:00:00"/>
    <x v="15"/>
    <s v="RM"/>
    <s v="CREDIT"/>
    <x v="0"/>
    <m/>
    <x v="2"/>
    <x v="2"/>
    <s v="AA918RX03"/>
    <m/>
    <m/>
    <m/>
    <m/>
    <n v="0"/>
    <m/>
    <m/>
    <m/>
    <m/>
    <m/>
    <n v="0"/>
    <m/>
    <n v="0"/>
    <n v="12"/>
    <n v="160"/>
    <n v="44.17"/>
    <m/>
    <s v="NIAKARA"/>
    <s v="REJECT"/>
    <m/>
  </r>
  <r>
    <n v="168"/>
    <d v="2026-03-03T00:00:00"/>
    <x v="15"/>
    <s v="RM"/>
    <s v="CREDIT"/>
    <x v="0"/>
    <m/>
    <x v="0"/>
    <x v="0"/>
    <s v="4313AS03"/>
    <m/>
    <m/>
    <m/>
    <m/>
    <n v="0"/>
    <m/>
    <m/>
    <m/>
    <m/>
    <m/>
    <n v="0"/>
    <m/>
    <n v="0"/>
    <n v="8"/>
    <n v="184"/>
    <n v="44.35"/>
    <m/>
    <s v="KANI"/>
    <s v="REJECT"/>
    <m/>
  </r>
  <r>
    <n v="169"/>
    <d v="2026-03-03T00:00:00"/>
    <x v="15"/>
    <s v="RM"/>
    <s v="CREDIT"/>
    <x v="0"/>
    <m/>
    <x v="14"/>
    <x v="14"/>
    <s v="7013HX04"/>
    <m/>
    <m/>
    <m/>
    <m/>
    <n v="0"/>
    <m/>
    <m/>
    <m/>
    <m/>
    <m/>
    <n v="0"/>
    <m/>
    <n v="0"/>
    <n v="9.1"/>
    <n v="171"/>
    <n v="44.26"/>
    <m/>
    <s v="KOUNAHIRI"/>
    <s v="REJECT"/>
    <m/>
  </r>
  <r>
    <n v="170"/>
    <d v="2026-03-03T00:00:00"/>
    <x v="15"/>
    <s v="RM"/>
    <s v="CASH"/>
    <x v="0"/>
    <m/>
    <x v="27"/>
    <x v="27"/>
    <s v="2798JR04"/>
    <m/>
    <m/>
    <m/>
    <m/>
    <n v="0"/>
    <m/>
    <m/>
    <m/>
    <m/>
    <m/>
    <n v="0"/>
    <m/>
    <n v="0"/>
    <n v="7.1"/>
    <n v="202"/>
    <n v="42.94"/>
    <m/>
    <s v="DALOA"/>
    <s v="REJECT"/>
    <m/>
  </r>
  <r>
    <n v="171"/>
    <d v="2026-03-04T00:00:00"/>
    <x v="16"/>
    <s v="RM"/>
    <s v="CREDIT"/>
    <x v="0"/>
    <s v="BKE-002"/>
    <x v="10"/>
    <x v="10"/>
    <s v="3633LZ04"/>
    <s v="0425-0212"/>
    <n v="1226"/>
    <n v="68680"/>
    <n v="613"/>
    <n v="51560"/>
    <n v="50947"/>
    <n v="602"/>
    <n v="0"/>
    <n v="11"/>
    <n v="44"/>
    <n v="50903"/>
    <n v="485"/>
    <n v="24687955"/>
    <n v="9.3000000000000007"/>
    <n v="172"/>
    <n v="47.16"/>
    <m/>
    <s v="DABAKALA"/>
    <m/>
    <s v="W-10 Mar"/>
  </r>
  <r>
    <n v="172"/>
    <d v="2026-03-04T00:00:00"/>
    <x v="16"/>
    <s v="RM"/>
    <s v="CREDIT"/>
    <x v="0"/>
    <s v="BKE-003"/>
    <x v="20"/>
    <x v="20"/>
    <s v="5453GN01"/>
    <s v="0425-0001"/>
    <n v="1228"/>
    <n v="72622"/>
    <n v="459"/>
    <n v="39100"/>
    <n v="38641"/>
    <n v="454"/>
    <n v="0"/>
    <n v="5"/>
    <n v="20"/>
    <n v="38621"/>
    <n v="485"/>
    <n v="18731185"/>
    <n v="9.1"/>
    <n v="170"/>
    <n v="47.16"/>
    <m/>
    <s v="KATIOLA"/>
    <m/>
    <s v="W-10 Mar"/>
  </r>
  <r>
    <n v="173"/>
    <d v="2026-03-04T00:00:00"/>
    <x v="16"/>
    <s v="RM"/>
    <s v="CREDIT"/>
    <x v="0"/>
    <s v="BKE-001"/>
    <x v="11"/>
    <x v="11"/>
    <s v="AA092NE"/>
    <s v="0431-0277"/>
    <n v="1227"/>
    <n v="69882"/>
    <n v="655"/>
    <n v="52360"/>
    <n v="51705"/>
    <n v="645"/>
    <n v="0"/>
    <n v="10"/>
    <n v="40"/>
    <n v="51665"/>
    <n v="480"/>
    <n v="24799200"/>
    <n v="9.5"/>
    <n v="173"/>
    <n v="45.58"/>
    <m/>
    <s v="KONGASSOU"/>
    <m/>
    <s v="W-10 Mar"/>
  </r>
  <r>
    <n v="174"/>
    <d v="2026-03-04T00:00:00"/>
    <x v="16"/>
    <s v="RM"/>
    <s v="CREDIT"/>
    <x v="0"/>
    <s v="BKE-001"/>
    <x v="4"/>
    <x v="4"/>
    <s v="9149EL04"/>
    <s v="0425-0068"/>
    <n v="1232"/>
    <n v="72591"/>
    <n v="454"/>
    <n v="41840"/>
    <n v="41386"/>
    <n v="444"/>
    <n v="0"/>
    <n v="10"/>
    <n v="40"/>
    <n v="41346"/>
    <n v="480"/>
    <n v="19846080"/>
    <n v="9.1999999999999993"/>
    <n v="165"/>
    <n v="45.05"/>
    <m/>
    <s v="NIAKARA"/>
    <m/>
    <s v="W-10 Mar"/>
  </r>
  <r>
    <n v="175"/>
    <d v="2026-03-04T00:00:00"/>
    <x v="16"/>
    <s v="RM"/>
    <s v="CASH"/>
    <x v="0"/>
    <s v="BKE-003"/>
    <x v="25"/>
    <x v="25"/>
    <s v="7569GH01"/>
    <s v="0426-0399"/>
    <n v="1230"/>
    <n v="77618"/>
    <n v="262"/>
    <n v="23840"/>
    <n v="23578"/>
    <n v="257"/>
    <n v="0"/>
    <n v="5"/>
    <n v="20"/>
    <n v="23558"/>
    <n v="490"/>
    <n v="11543420"/>
    <n v="7.6"/>
    <n v="172"/>
    <n v="46.46"/>
    <m/>
    <s v="BOTRO"/>
    <m/>
    <s v="W-10 Mar"/>
  </r>
  <r>
    <n v="176"/>
    <d v="2026-03-04T00:00:00"/>
    <x v="16"/>
    <s v="RM"/>
    <s v="CREDIT"/>
    <x v="0"/>
    <s v="BKE-003"/>
    <x v="8"/>
    <x v="8"/>
    <s v="197KL01"/>
    <s v="0426-0340"/>
    <n v="1231"/>
    <n v="68670"/>
    <n v="603"/>
    <n v="51280"/>
    <n v="50677"/>
    <n v="598"/>
    <n v="0"/>
    <n v="20"/>
    <n v="80"/>
    <n v="50597"/>
    <n v="485"/>
    <n v="24539545"/>
    <n v="10"/>
    <n v="168"/>
    <n v="46.81"/>
    <m/>
    <s v="DIANRA"/>
    <m/>
    <s v="W-10 Mar"/>
  </r>
  <r>
    <n v="177"/>
    <d v="2026-03-04T00:00:00"/>
    <x v="16"/>
    <s v="RM"/>
    <s v="CASH"/>
    <x v="0"/>
    <s v="BKE-001"/>
    <x v="21"/>
    <x v="21"/>
    <s v="9538FK04"/>
    <s v="0426-0424"/>
    <n v="1233"/>
    <n v="72398"/>
    <n v="230"/>
    <n v="18660"/>
    <n v="18430"/>
    <n v="220"/>
    <n v="0"/>
    <n v="10"/>
    <n v="40"/>
    <n v="18390"/>
    <n v="480"/>
    <n v="8827200"/>
    <n v="6.2"/>
    <n v="187"/>
    <n v="45.23"/>
    <m/>
    <s v="KOUASSI"/>
    <m/>
    <s v="W-10 Mar"/>
  </r>
  <r>
    <n v="178"/>
    <d v="2026-03-04T00:00:00"/>
    <x v="16"/>
    <s v="RM"/>
    <s v="CREDIT"/>
    <x v="0"/>
    <s v="BKE-001"/>
    <x v="2"/>
    <x v="2"/>
    <s v="6085HR03"/>
    <s v="0426-0187"/>
    <n v="1229"/>
    <n v="72643"/>
    <n v="552"/>
    <n v="46860"/>
    <n v="46308"/>
    <n v="540"/>
    <n v="0"/>
    <n v="12"/>
    <n v="48"/>
    <n v="46260"/>
    <n v="480"/>
    <n v="22204800"/>
    <n v="9.9"/>
    <n v="168"/>
    <n v="45.4"/>
    <m/>
    <s v="NIAKARA"/>
    <m/>
    <s v="W-10 Mar"/>
  </r>
  <r>
    <n v="179"/>
    <d v="2026-03-04T00:00:00"/>
    <x v="16"/>
    <s v="RM"/>
    <s v="CREDIT"/>
    <x v="1"/>
    <m/>
    <x v="9"/>
    <x v="9"/>
    <s v="2744KK02"/>
    <s v="0419-0180"/>
    <n v="859"/>
    <n v="77665"/>
    <n v="488"/>
    <n v="42080"/>
    <n v="41592"/>
    <n v="473"/>
    <n v="0"/>
    <n v="15"/>
    <n v="60"/>
    <n v="41532"/>
    <n v="490"/>
    <n v="20350680"/>
    <n v="8.6999999999999993"/>
    <n v="181"/>
    <n v="45.76"/>
    <m/>
    <s v="VAVOUA"/>
    <m/>
    <s v="W-10 Mar"/>
  </r>
  <r>
    <n v="180"/>
    <d v="2026-03-04T00:00:00"/>
    <x v="16"/>
    <s v="RM"/>
    <s v="CREDIT"/>
    <x v="1"/>
    <m/>
    <x v="12"/>
    <x v="12"/>
    <s v="285LA01"/>
    <s v="0429-0005"/>
    <n v="858"/>
    <n v="77583"/>
    <n v="584"/>
    <n v="45760"/>
    <n v="45176"/>
    <n v="564"/>
    <n v="0"/>
    <n v="20"/>
    <n v="80"/>
    <n v="45096"/>
    <n v="485"/>
    <n v="21871560"/>
    <n v="9"/>
    <n v="180"/>
    <n v="45.58"/>
    <m/>
    <s v="VAVOUA"/>
    <m/>
    <s v="W-10 Mar"/>
  </r>
  <r>
    <n v="181"/>
    <d v="2026-03-04T00:00:00"/>
    <x v="16"/>
    <s v="RM"/>
    <s v="CREDIT"/>
    <x v="0"/>
    <m/>
    <x v="14"/>
    <x v="14"/>
    <s v="7013 HX 04"/>
    <m/>
    <m/>
    <m/>
    <m/>
    <n v="0"/>
    <m/>
    <m/>
    <m/>
    <m/>
    <m/>
    <n v="0"/>
    <m/>
    <n v="0"/>
    <n v="9"/>
    <n v="172"/>
    <n v="43.64"/>
    <m/>
    <s v="KOUNAHIRI"/>
    <s v="REJECT"/>
    <m/>
  </r>
  <r>
    <n v="182"/>
    <d v="2026-03-04T00:00:00"/>
    <x v="16"/>
    <s v="RM"/>
    <s v="CREDIT"/>
    <x v="0"/>
    <m/>
    <x v="5"/>
    <x v="5"/>
    <s v="2023 HF 01"/>
    <m/>
    <m/>
    <m/>
    <m/>
    <n v="0"/>
    <m/>
    <m/>
    <m/>
    <m/>
    <m/>
    <n v="0"/>
    <m/>
    <n v="0"/>
    <n v="10"/>
    <n v="170"/>
    <n v="44.26"/>
    <m/>
    <s v="BOTRO"/>
    <s v="REJECT"/>
    <m/>
  </r>
  <r>
    <n v="183"/>
    <d v="2026-03-04T00:00:00"/>
    <x v="16"/>
    <s v="RM"/>
    <s v="CREDIT"/>
    <x v="0"/>
    <m/>
    <x v="11"/>
    <x v="11"/>
    <s v="AA 465 KK 01"/>
    <m/>
    <m/>
    <m/>
    <m/>
    <n v="0"/>
    <m/>
    <m/>
    <m/>
    <m/>
    <m/>
    <n v="0"/>
    <m/>
    <n v="0"/>
    <n v="7.9"/>
    <n v="178"/>
    <n v="42.06"/>
    <m/>
    <s v="SEGUELA"/>
    <s v="REJECT"/>
    <m/>
  </r>
  <r>
    <n v="184"/>
    <d v="2026-03-04T00:00:00"/>
    <x v="16"/>
    <s v="RM"/>
    <s v="CREDIT"/>
    <x v="0"/>
    <m/>
    <x v="8"/>
    <x v="8"/>
    <s v="6253 KV 04"/>
    <m/>
    <m/>
    <m/>
    <m/>
    <n v="0"/>
    <m/>
    <m/>
    <m/>
    <m/>
    <m/>
    <n v="0"/>
    <m/>
    <n v="0"/>
    <n v="9.1999999999999993"/>
    <n v="173"/>
    <n v="41.53"/>
    <m/>
    <s v="DUEKOUE"/>
    <s v="REJECT"/>
    <m/>
  </r>
  <r>
    <n v="185"/>
    <d v="2026-03-04T00:00:00"/>
    <x v="16"/>
    <s v="RM"/>
    <s v="CASH"/>
    <x v="1"/>
    <m/>
    <x v="23"/>
    <x v="23"/>
    <s v="3916LLO2"/>
    <m/>
    <m/>
    <m/>
    <m/>
    <n v="0"/>
    <m/>
    <m/>
    <m/>
    <m/>
    <m/>
    <n v="0"/>
    <m/>
    <n v="0"/>
    <n v="7.9"/>
    <n v="177"/>
    <n v="44.17"/>
    <m/>
    <s v="DALOA "/>
    <s v="REJECT"/>
    <m/>
  </r>
  <r>
    <n v="186"/>
    <d v="2026-03-04T00:00:00"/>
    <x v="17"/>
    <s v="RM"/>
    <s v="CREDIT"/>
    <x v="0"/>
    <s v="BKE-001"/>
    <x v="28"/>
    <x v="28"/>
    <s v="334HT04"/>
    <s v="0401-0154"/>
    <n v="1235"/>
    <n v="69977"/>
    <n v="560"/>
    <n v="50320"/>
    <n v="49760"/>
    <n v="553"/>
    <n v="0"/>
    <n v="7"/>
    <n v="28"/>
    <n v="49732"/>
    <n v="485"/>
    <n v="24120020"/>
    <n v="10.4"/>
    <n v="170"/>
    <n v="45.58"/>
    <m/>
    <s v="BEOUMI"/>
    <m/>
    <s v="W-10 Mar"/>
  </r>
  <r>
    <n v="187"/>
    <d v="2026-03-04T00:00:00"/>
    <x v="17"/>
    <s v="RM"/>
    <s v="CREDIT"/>
    <x v="0"/>
    <s v="BKE-001"/>
    <x v="13"/>
    <x v="13"/>
    <s v="AA057ER03"/>
    <s v="0426-0365"/>
    <n v="1234"/>
    <n v="72542"/>
    <n v="505"/>
    <n v="41700"/>
    <n v="41195"/>
    <n v="490"/>
    <n v="0"/>
    <n v="15"/>
    <n v="60"/>
    <n v="41135"/>
    <n v="480"/>
    <n v="19744800"/>
    <n v="8.5"/>
    <n v="160"/>
    <n v="45.05"/>
    <m/>
    <s v="MANKONO"/>
    <m/>
    <s v="W-10 Mar"/>
  </r>
  <r>
    <n v="188"/>
    <d v="2026-03-04T00:00:00"/>
    <x v="17"/>
    <s v="RM"/>
    <s v="CREDIT"/>
    <x v="0"/>
    <s v="BKE-001"/>
    <x v="18"/>
    <x v="18"/>
    <s v="AA562YL04"/>
    <s v="0420-0251"/>
    <n v="1236"/>
    <n v="69770"/>
    <n v="479"/>
    <n v="40640"/>
    <n v="40161"/>
    <n v="469"/>
    <n v="0"/>
    <n v="10"/>
    <n v="40"/>
    <n v="40121"/>
    <n v="480"/>
    <n v="19258080"/>
    <n v="9.6999999999999993"/>
    <n v="167"/>
    <n v="45.05"/>
    <m/>
    <s v="DIANRA"/>
    <m/>
    <s v="W-10 Mar"/>
  </r>
  <r>
    <n v="189"/>
    <d v="2026-03-05T00:00:00"/>
    <x v="17"/>
    <s v="RM"/>
    <s v="CREDIT"/>
    <x v="0"/>
    <s v="BKE-003"/>
    <x v="11"/>
    <x v="11"/>
    <s v="932GY01"/>
    <s v="0431-0277"/>
    <n v="1237"/>
    <n v="68690"/>
    <n v="339"/>
    <n v="25580"/>
    <n v="25241"/>
    <n v="329"/>
    <n v="0"/>
    <n v="10"/>
    <n v="40"/>
    <n v="25201"/>
    <n v="485"/>
    <n v="12222485"/>
    <n v="9.1999999999999993"/>
    <n v="177"/>
    <n v="46.11"/>
    <m/>
    <s v="BOUAKE"/>
    <m/>
    <s v="W-10 Mar"/>
  </r>
  <r>
    <n v="190"/>
    <d v="2026-03-05T00:00:00"/>
    <x v="17"/>
    <s v="RM"/>
    <s v="CREDIT"/>
    <x v="0"/>
    <s v="BKE-001"/>
    <x v="17"/>
    <x v="17"/>
    <s v="838LX01"/>
    <s v="0425-0055"/>
    <n v="1240"/>
    <n v="77610"/>
    <n v="557"/>
    <n v="46220"/>
    <n v="45663"/>
    <n v="546"/>
    <n v="0"/>
    <n v="11"/>
    <n v="44"/>
    <n v="45619"/>
    <n v="485"/>
    <n v="22125215"/>
    <n v="9.5"/>
    <n v="183"/>
    <n v="45.76"/>
    <m/>
    <s v="KATIOLA"/>
    <m/>
    <s v="W-10 Mar"/>
  </r>
  <r>
    <n v="191"/>
    <d v="2026-03-05T00:00:00"/>
    <x v="17"/>
    <s v="RM"/>
    <s v="CREDIT"/>
    <x v="0"/>
    <s v="BKE-003"/>
    <x v="8"/>
    <x v="8"/>
    <s v="735KV01"/>
    <s v="0426-0340"/>
    <n v="1239"/>
    <n v="77607"/>
    <n v="574"/>
    <n v="49940"/>
    <n v="49366"/>
    <n v="564"/>
    <n v="0"/>
    <n v="10"/>
    <n v="40"/>
    <n v="49326"/>
    <n v="485"/>
    <n v="23923110"/>
    <n v="9.8000000000000007"/>
    <n v="162"/>
    <n v="46.11"/>
    <m/>
    <s v="NIAKARA"/>
    <m/>
    <s v="W-10 Mar"/>
  </r>
  <r>
    <n v="192"/>
    <d v="2026-03-05T00:00:00"/>
    <x v="17"/>
    <s v="RM"/>
    <s v="CREDIT"/>
    <x v="0"/>
    <s v="BKE-003"/>
    <x v="4"/>
    <x v="4"/>
    <s v="374LK01"/>
    <s v="0425-0068"/>
    <n v="1238"/>
    <n v="77662"/>
    <n v="504"/>
    <n v="46760"/>
    <n v="46256"/>
    <n v="494"/>
    <n v="0"/>
    <n v="10"/>
    <n v="40"/>
    <n v="46216"/>
    <n v="485"/>
    <n v="22414760"/>
    <n v="9.6999999999999993"/>
    <n v="160"/>
    <n v="46.02"/>
    <m/>
    <s v="NIAKARA"/>
    <m/>
    <s v="W-10 Mar"/>
  </r>
  <r>
    <n v="193"/>
    <d v="2026-03-05T00:00:00"/>
    <x v="17"/>
    <s v="RM"/>
    <s v="CREDIT"/>
    <x v="0"/>
    <s v="BKE-001"/>
    <x v="6"/>
    <x v="6"/>
    <s v="28JZ01"/>
    <s v="0426-0347"/>
    <n v="1241"/>
    <n v="72561"/>
    <n v="550"/>
    <n v="49940"/>
    <n v="49390"/>
    <n v="544"/>
    <n v="0"/>
    <n v="6"/>
    <n v="24"/>
    <n v="49366"/>
    <n v="480"/>
    <n v="23695680"/>
    <n v="9.1"/>
    <n v="160"/>
    <n v="45.76"/>
    <m/>
    <s v="MANKONO"/>
    <m/>
    <s v="W-10 Mar"/>
  </r>
  <r>
    <n v="194"/>
    <d v="2026-03-05T00:00:00"/>
    <x v="17"/>
    <s v="RM"/>
    <s v="CREDIT"/>
    <x v="0"/>
    <m/>
    <x v="8"/>
    <x v="8"/>
    <s v="AA044CA"/>
    <m/>
    <m/>
    <m/>
    <m/>
    <n v="0"/>
    <m/>
    <m/>
    <m/>
    <m/>
    <m/>
    <n v="0"/>
    <m/>
    <n v="0"/>
    <n v="9.8000000000000007"/>
    <n v="183"/>
    <n v="42.41"/>
    <m/>
    <s v="DUEKOUE"/>
    <s v="REJECT"/>
    <m/>
  </r>
  <r>
    <n v="195"/>
    <d v="2026-03-05T00:00:00"/>
    <x v="17"/>
    <s v="RM"/>
    <s v="CREDIT"/>
    <x v="1"/>
    <m/>
    <x v="15"/>
    <x v="15"/>
    <s v="9816HYO12"/>
    <m/>
    <m/>
    <m/>
    <m/>
    <n v="0"/>
    <m/>
    <m/>
    <m/>
    <m/>
    <m/>
    <n v="0"/>
    <m/>
    <n v="0"/>
    <n v="8.9"/>
    <n v="177"/>
    <n v="44.35"/>
    <m/>
    <s v="KONGASSOU"/>
    <s v="REJECT"/>
    <m/>
  </r>
  <r>
    <n v="196"/>
    <d v="2026-03-05T00:00:00"/>
    <x v="18"/>
    <s v="RM"/>
    <s v="CREDIT"/>
    <x v="0"/>
    <s v="BKE-001"/>
    <x v="18"/>
    <x v="18"/>
    <s v="32LA01"/>
    <s v="0420-0251"/>
    <n v="1246"/>
    <n v="77620"/>
    <n v="488"/>
    <n v="40760"/>
    <n v="40272"/>
    <n v="468"/>
    <n v="0"/>
    <n v="20"/>
    <n v="80"/>
    <n v="40192"/>
    <n v="480"/>
    <n v="19292160"/>
    <n v="10.3"/>
    <n v="168"/>
    <n v="45.05"/>
    <m/>
    <s v="DIANRA"/>
    <m/>
    <s v="W-10 Mar"/>
  </r>
  <r>
    <n v="197"/>
    <d v="2026-03-05T00:00:00"/>
    <x v="18"/>
    <s v="RM"/>
    <s v="CREDIT"/>
    <x v="0"/>
    <s v="BKE-001"/>
    <x v="5"/>
    <x v="5"/>
    <s v="2496HJ04"/>
    <s v="0426-0194"/>
    <n v="1247"/>
    <n v="77661"/>
    <n v="456"/>
    <n v="38160"/>
    <n v="37704"/>
    <n v="439"/>
    <n v="0"/>
    <n v="17"/>
    <n v="68"/>
    <n v="37636"/>
    <n v="480"/>
    <n v="18065280"/>
    <n v="9.8000000000000007"/>
    <n v="188"/>
    <n v="45.4"/>
    <m/>
    <s v="TIEBISSOU"/>
    <m/>
    <s v="W-10 Mar"/>
  </r>
  <r>
    <n v="198"/>
    <d v="2026-03-05T00:00:00"/>
    <x v="18"/>
    <s v="RM"/>
    <s v="CREDIT"/>
    <x v="0"/>
    <s v="BKE-001"/>
    <x v="1"/>
    <x v="1"/>
    <s v="6010GB03"/>
    <s v="0429-0040"/>
    <n v="1242"/>
    <n v="65455"/>
    <n v="489"/>
    <n v="40760"/>
    <n v="40271"/>
    <n v="473"/>
    <n v="0"/>
    <n v="16"/>
    <n v="64"/>
    <n v="40207"/>
    <n v="490"/>
    <n v="19701430"/>
    <n v="8.5"/>
    <n v="173"/>
    <n v="45.23"/>
    <m/>
    <s v="MANKONO"/>
    <m/>
    <s v="W-10 Mar"/>
  </r>
  <r>
    <n v="199"/>
    <d v="2026-03-05T00:00:00"/>
    <x v="18"/>
    <s v="RM"/>
    <s v="CREDIT"/>
    <x v="0"/>
    <s v="BKE-001"/>
    <x v="8"/>
    <x v="8"/>
    <s v="1760GZ03"/>
    <s v="0426-0340"/>
    <n v="1248"/>
    <n v="77616"/>
    <n v="662"/>
    <n v="54700"/>
    <n v="54038"/>
    <n v="652"/>
    <n v="0"/>
    <n v="10"/>
    <n v="40"/>
    <n v="53998"/>
    <n v="485"/>
    <n v="26189030"/>
    <n v="9.6"/>
    <n v="170"/>
    <n v="45.05"/>
    <m/>
    <s v="BEOUMI"/>
    <m/>
    <s v="W-10 Mar"/>
  </r>
  <r>
    <n v="200"/>
    <d v="2026-03-06T00:00:00"/>
    <x v="18"/>
    <s v="RM"/>
    <s v="CREDIT"/>
    <x v="0"/>
    <s v="BKE-002"/>
    <x v="8"/>
    <x v="8"/>
    <s v="338KX01"/>
    <s v="0426-0340"/>
    <n v="1245"/>
    <n v="60442"/>
    <n v="550"/>
    <n v="45580"/>
    <n v="45030"/>
    <n v="542"/>
    <n v="0"/>
    <n v="8"/>
    <n v="32"/>
    <n v="44998"/>
    <n v="485"/>
    <n v="21824030"/>
    <n v="9.6"/>
    <n v="170"/>
    <n v="47.52"/>
    <m/>
    <s v="DUEKOUE"/>
    <m/>
    <s v="W-10 Mar"/>
  </r>
  <r>
    <n v="201"/>
    <d v="2026-03-06T00:00:00"/>
    <x v="18"/>
    <s v="RM"/>
    <s v="CREDIT"/>
    <x v="0"/>
    <s v="BKE-003"/>
    <x v="3"/>
    <x v="3"/>
    <s v="6690GB01"/>
    <s v="0426-0203"/>
    <n v="1244"/>
    <s v="68652/75592"/>
    <n v="523"/>
    <n v="46620"/>
    <n v="46097"/>
    <n v="518"/>
    <n v="0"/>
    <n v="5"/>
    <n v="20"/>
    <n v="46077"/>
    <n v="480"/>
    <n v="22116960"/>
    <n v="8.6999999999999993"/>
    <n v="179"/>
    <n v="45.58"/>
    <m/>
    <s v="BOUAKE"/>
    <m/>
    <s v="W-10 Mar"/>
  </r>
  <r>
    <n v="202"/>
    <d v="2026-03-06T00:00:00"/>
    <x v="18"/>
    <s v="RM"/>
    <s v="CREDIT"/>
    <x v="0"/>
    <s v="BKE-001"/>
    <x v="2"/>
    <x v="2"/>
    <s v="8287GH03"/>
    <s v="0426-0187"/>
    <n v="1243"/>
    <n v="72641"/>
    <n v="571"/>
    <n v="45520"/>
    <n v="44949"/>
    <n v="456"/>
    <n v="0"/>
    <n v="15"/>
    <n v="60"/>
    <n v="44889"/>
    <n v="485"/>
    <n v="21771165"/>
    <n v="8.5"/>
    <n v="161"/>
    <n v="45.32"/>
    <m/>
    <s v="NIAKARA"/>
    <m/>
    <s v="W-10 Mar"/>
  </r>
  <r>
    <n v="203"/>
    <d v="2026-03-06T00:00:00"/>
    <x v="18"/>
    <s v="RM"/>
    <s v="CASH"/>
    <x v="0"/>
    <s v="BKE-001"/>
    <x v="19"/>
    <x v="19"/>
    <s v="9545FN04"/>
    <s v="0426-0440"/>
    <n v="1249"/>
    <n v="68677"/>
    <n v="246"/>
    <n v="20380"/>
    <n v="20134"/>
    <n v="240"/>
    <n v="0"/>
    <n v="6"/>
    <n v="24"/>
    <n v="20110"/>
    <n v="485"/>
    <n v="9753350"/>
    <n v="9.6"/>
    <n v="165"/>
    <n v="45.05"/>
    <m/>
    <s v="DIANRA"/>
    <m/>
    <s v="W-10 Mar"/>
  </r>
  <r>
    <n v="204"/>
    <d v="2026-03-06T00:00:00"/>
    <x v="18"/>
    <s v="RM"/>
    <s v="CREDIT"/>
    <x v="0"/>
    <s v="BKE-003"/>
    <x v="10"/>
    <x v="10"/>
    <s v="4981JR04"/>
    <s v="0425-0212"/>
    <n v="1250"/>
    <n v="77623"/>
    <n v="479"/>
    <n v="41780"/>
    <n v="41301"/>
    <n v="472"/>
    <n v="0"/>
    <n v="7"/>
    <n v="28"/>
    <n v="41273"/>
    <n v="485"/>
    <n v="20017405"/>
    <n v="9.6"/>
    <n v="167"/>
    <n v="46.11"/>
    <m/>
    <s v="DABAKALA"/>
    <m/>
    <s v="W-10 Mar"/>
  </r>
  <r>
    <n v="205"/>
    <d v="2026-03-06T00:00:00"/>
    <x v="18"/>
    <s v="RM"/>
    <s v="CASH"/>
    <x v="0"/>
    <s v="BKE-001"/>
    <x v="21"/>
    <x v="21"/>
    <s v="6557FK01"/>
    <s v="0426-0424"/>
    <n v="201"/>
    <n v="72644"/>
    <n v="92"/>
    <n v="8260"/>
    <n v="8168"/>
    <n v="90"/>
    <n v="0"/>
    <n v="2"/>
    <n v="8"/>
    <n v="8160"/>
    <n v="485"/>
    <n v="3957600"/>
    <n v="9.4"/>
    <n v="192"/>
    <n v="45.14"/>
    <m/>
    <s v="BOUAKE"/>
    <m/>
    <s v="W-10 Mar"/>
  </r>
  <r>
    <n v="206"/>
    <d v="2026-03-06T00:00:00"/>
    <x v="18"/>
    <s v="RM"/>
    <s v="CREDIT"/>
    <x v="1"/>
    <m/>
    <x v="9"/>
    <x v="9"/>
    <s v="2744KK02"/>
    <s v="0419-0180"/>
    <n v="860"/>
    <n v="77667"/>
    <n v="551"/>
    <n v="42220"/>
    <n v="41669"/>
    <n v="512"/>
    <n v="0"/>
    <n v="39"/>
    <n v="60"/>
    <n v="41609"/>
    <n v="490"/>
    <n v="20388410"/>
    <n v="8.9"/>
    <n v="179"/>
    <n v="45.76"/>
    <m/>
    <s v="VAVOUA"/>
    <m/>
    <s v="W-10 Mar"/>
  </r>
  <r>
    <n v="207"/>
    <d v="2026-03-06T00:00:00"/>
    <x v="18"/>
    <s v="RM"/>
    <s v="CASH"/>
    <x v="1"/>
    <m/>
    <x v="29"/>
    <x v="29"/>
    <s v="7727GR01"/>
    <s v="0401-0145"/>
    <n v="861"/>
    <n v="77669"/>
    <n v="366"/>
    <n v="33020"/>
    <n v="32654"/>
    <n v="354"/>
    <n v="0"/>
    <n v="12"/>
    <n v="48"/>
    <n v="32606"/>
    <n v="490"/>
    <n v="15976940"/>
    <n v="9.3000000000000007"/>
    <n v="174"/>
    <n v="45.58"/>
    <m/>
    <s v="KOUNAHIRI"/>
    <m/>
    <s v="W-10 Mar"/>
  </r>
  <r>
    <n v="208"/>
    <d v="2026-03-06T00:00:00"/>
    <x v="18"/>
    <s v="RM"/>
    <s v="CREDIT"/>
    <x v="1"/>
    <m/>
    <x v="12"/>
    <x v="12"/>
    <s v="285LA01"/>
    <s v="0429-0005"/>
    <n v="862"/>
    <n v="77582"/>
    <n v="558"/>
    <n v="45960"/>
    <n v="45402"/>
    <n v="557"/>
    <n v="0"/>
    <n v="1"/>
    <n v="4"/>
    <n v="45398"/>
    <n v="490"/>
    <n v="22245020"/>
    <n v="9"/>
    <n v="181"/>
    <n v="46.11"/>
    <m/>
    <s v="VAVOUA"/>
    <m/>
    <s v="W-10 Mar"/>
  </r>
  <r>
    <n v="209"/>
    <d v="2026-03-06T00:00:00"/>
    <x v="18"/>
    <s v="RM"/>
    <s v="CREDIT"/>
    <x v="1"/>
    <m/>
    <x v="9"/>
    <x v="9"/>
    <s v="2319LR01"/>
    <s v="0419-0180"/>
    <n v="863"/>
    <n v="77588"/>
    <n v="557"/>
    <n v="40960"/>
    <n v="40403"/>
    <n v="450"/>
    <n v="0"/>
    <n v="107"/>
    <n v="60"/>
    <n v="40343"/>
    <n v="490"/>
    <n v="19768070"/>
    <n v="10.1"/>
    <n v="187"/>
    <n v="45.58"/>
    <m/>
    <s v="VAVOUA"/>
    <m/>
    <s v="W-10 Mar"/>
  </r>
  <r>
    <n v="210"/>
    <d v="2026-03-06T00:00:00"/>
    <x v="18"/>
    <s v="RM"/>
    <s v="CREDIT"/>
    <x v="1"/>
    <m/>
    <x v="9"/>
    <x v="9"/>
    <s v="AA721PZ01"/>
    <s v="0419-0180"/>
    <n v="864"/>
    <n v="77666"/>
    <n v="500"/>
    <n v="52400"/>
    <n v="51900"/>
    <n v="488"/>
    <n v="0"/>
    <n v="150"/>
    <n v="48"/>
    <n v="51852"/>
    <n v="490"/>
    <n v="25407480"/>
    <n v="8.5"/>
    <n v="189"/>
    <n v="45.4"/>
    <m/>
    <s v="VAVOUA"/>
    <m/>
    <s v="W-10 Mar"/>
  </r>
  <r>
    <n v="211"/>
    <d v="2026-03-06T00:00:00"/>
    <x v="18"/>
    <s v="RM"/>
    <s v="CREDIT"/>
    <x v="0"/>
    <m/>
    <x v="20"/>
    <x v="20"/>
    <s v="2766 HC 01"/>
    <m/>
    <m/>
    <m/>
    <m/>
    <n v="0"/>
    <m/>
    <m/>
    <m/>
    <m/>
    <m/>
    <n v="0"/>
    <m/>
    <n v="0"/>
    <n v="9.6"/>
    <n v="168"/>
    <n v="44.44"/>
    <m/>
    <s v="KATIOLA"/>
    <s v="REJECT"/>
    <m/>
  </r>
  <r>
    <n v="212"/>
    <d v="2026-03-06T00:00:00"/>
    <x v="18"/>
    <s v="RM"/>
    <s v="CREDIT"/>
    <x v="0"/>
    <m/>
    <x v="11"/>
    <x v="11"/>
    <s v="6305 EP 01"/>
    <m/>
    <m/>
    <m/>
    <m/>
    <n v="0"/>
    <m/>
    <m/>
    <m/>
    <m/>
    <m/>
    <n v="0"/>
    <m/>
    <n v="0"/>
    <n v="9.9"/>
    <n v="180"/>
    <n v="43.91"/>
    <m/>
    <s v="KOUNAHIRI"/>
    <s v="REJECT"/>
    <m/>
  </r>
  <r>
    <n v="213"/>
    <d v="2026-03-06T00:00:00"/>
    <x v="18"/>
    <s v="RM"/>
    <s v="CREDIT"/>
    <x v="0"/>
    <m/>
    <x v="20"/>
    <x v="20"/>
    <s v="6008 FE 04"/>
    <m/>
    <m/>
    <m/>
    <m/>
    <n v="0"/>
    <m/>
    <m/>
    <m/>
    <m/>
    <m/>
    <n v="0"/>
    <m/>
    <n v="0"/>
    <n v="7.8"/>
    <n v="172"/>
    <n v="42.06"/>
    <m/>
    <s v="KATIOLA"/>
    <s v="REJECT"/>
    <m/>
  </r>
  <r>
    <n v="214"/>
    <d v="2026-03-07T00:00:00"/>
    <x v="19"/>
    <s v="RM"/>
    <s v="CREDIT"/>
    <x v="0"/>
    <m/>
    <x v="4"/>
    <x v="4"/>
    <s v="9149EL04"/>
    <m/>
    <m/>
    <m/>
    <m/>
    <n v="0"/>
    <m/>
    <m/>
    <m/>
    <m/>
    <m/>
    <n v="0"/>
    <m/>
    <n v="0"/>
    <n v="10.199999999999999"/>
    <n v="167"/>
    <n v="44.17"/>
    <m/>
    <s v="NIAKARA"/>
    <s v="REJECT"/>
    <m/>
  </r>
  <r>
    <n v="215"/>
    <d v="2026-03-07T00:00:00"/>
    <x v="19"/>
    <s v="RM"/>
    <s v="CASH"/>
    <x v="0"/>
    <m/>
    <x v="30"/>
    <x v="30"/>
    <s v="7796HY01"/>
    <m/>
    <m/>
    <m/>
    <m/>
    <n v="0"/>
    <m/>
    <m/>
    <m/>
    <m/>
    <m/>
    <n v="0"/>
    <m/>
    <n v="0"/>
    <n v="11.2"/>
    <n v="186"/>
    <n v="43.82"/>
    <m/>
    <s v="BEOUMI"/>
    <s v="REJECT"/>
    <m/>
  </r>
  <r>
    <n v="216"/>
    <d v="2026-03-07T00:00:00"/>
    <x v="19"/>
    <s v="RM"/>
    <s v="CREDIT"/>
    <x v="0"/>
    <m/>
    <x v="8"/>
    <x v="8"/>
    <s v="AA398TS04"/>
    <m/>
    <m/>
    <m/>
    <m/>
    <n v="0"/>
    <m/>
    <m/>
    <m/>
    <m/>
    <m/>
    <n v="0"/>
    <m/>
    <n v="0"/>
    <n v="9.9"/>
    <n v="185"/>
    <n v="44.17"/>
    <m/>
    <s v="BOUAKE"/>
    <s v="REJECT"/>
    <m/>
  </r>
  <r>
    <n v="217"/>
    <d v="2026-03-07T00:00:00"/>
    <x v="19"/>
    <s v="RM"/>
    <s v="CREDIT"/>
    <x v="0"/>
    <m/>
    <x v="28"/>
    <x v="28"/>
    <s v="AA248LC01"/>
    <m/>
    <m/>
    <m/>
    <m/>
    <n v="0"/>
    <m/>
    <m/>
    <m/>
    <m/>
    <m/>
    <n v="0"/>
    <m/>
    <n v="0"/>
    <n v="8"/>
    <n v="168"/>
    <n v="44"/>
    <m/>
    <s v="KANI"/>
    <s v="REJECT"/>
    <m/>
  </r>
  <r>
    <n v="218"/>
    <d v="2026-03-07T00:00:00"/>
    <x v="19"/>
    <s v="RM"/>
    <s v="CREDIT"/>
    <x v="1"/>
    <m/>
    <x v="7"/>
    <x v="7"/>
    <s v="1060JO4AR"/>
    <m/>
    <m/>
    <m/>
    <m/>
    <n v="0"/>
    <m/>
    <m/>
    <m/>
    <m/>
    <m/>
    <n v="0"/>
    <m/>
    <n v="0"/>
    <n v="8.9"/>
    <n v="170"/>
    <n v="43.03"/>
    <m/>
    <s v="DIANRA"/>
    <s v="REJECT"/>
    <m/>
  </r>
  <r>
    <n v="219"/>
    <d v="2026-03-07T00:00:00"/>
    <x v="19"/>
    <s v="RM"/>
    <s v="CREDIT"/>
    <x v="1"/>
    <m/>
    <x v="15"/>
    <x v="15"/>
    <s v="AV9816HYO2"/>
    <m/>
    <m/>
    <m/>
    <m/>
    <n v="0"/>
    <m/>
    <m/>
    <m/>
    <m/>
    <m/>
    <n v="0"/>
    <m/>
    <n v="0"/>
    <n v="8.8000000000000007"/>
    <n v="178"/>
    <n v="43.82"/>
    <m/>
    <s v="KONGASSOU"/>
    <s v="REJECT"/>
    <m/>
  </r>
  <r>
    <n v="220"/>
    <d v="2026-03-07T00:00:00"/>
    <x v="19"/>
    <s v="RM"/>
    <s v="CREDIT"/>
    <x v="0"/>
    <s v="BKE-001"/>
    <x v="2"/>
    <x v="2"/>
    <s v="6085HR03"/>
    <s v="0426-0187"/>
    <n v="202"/>
    <n v="77633"/>
    <n v="548"/>
    <n v="46040"/>
    <n v="45492"/>
    <n v="540"/>
    <n v="0"/>
    <n v="8"/>
    <n v="32"/>
    <n v="45460"/>
    <n v="485"/>
    <n v="22048100"/>
    <n v="9.8000000000000007"/>
    <n v="168"/>
    <n v="46.11"/>
    <m/>
    <s v="NIAKARA"/>
    <m/>
    <s v="W-10 Mar"/>
  </r>
  <r>
    <n v="221"/>
    <d v="2026-03-07T00:00:00"/>
    <x v="19"/>
    <s v="RM"/>
    <s v="CASH"/>
    <x v="0"/>
    <s v="BKE-002"/>
    <x v="19"/>
    <x v="19"/>
    <s v="120GL01"/>
    <s v="0426-0440"/>
    <n v="204"/>
    <n v="68678"/>
    <n v="247"/>
    <n v="21200"/>
    <n v="20953"/>
    <n v="240"/>
    <n v="0"/>
    <n v="7"/>
    <n v="28"/>
    <n v="20925"/>
    <n v="485"/>
    <n v="10148625"/>
    <n v="9.5"/>
    <n v="165"/>
    <n v="45.58"/>
    <m/>
    <s v="MANKONO"/>
    <m/>
    <s v="W-10 Mar"/>
  </r>
  <r>
    <n v="222"/>
    <d v="2026-03-07T00:00:00"/>
    <x v="19"/>
    <s v="RM"/>
    <s v="CREDIT"/>
    <x v="0"/>
    <s v="BKE-001"/>
    <x v="8"/>
    <x v="8"/>
    <s v="7210HG01"/>
    <s v="0426-0340"/>
    <n v="203"/>
    <n v="77639"/>
    <n v="666"/>
    <n v="54820"/>
    <n v="54154"/>
    <n v="646"/>
    <n v="0"/>
    <n v="20"/>
    <n v="80"/>
    <n v="54074"/>
    <n v="480"/>
    <n v="25955520"/>
    <n v="10.6"/>
    <n v="170"/>
    <n v="45.14"/>
    <m/>
    <s v="BOTRO"/>
    <m/>
    <s v="W-10 Mar"/>
  </r>
  <r>
    <n v="223"/>
    <d v="2026-03-07T00:00:00"/>
    <x v="19"/>
    <s v="RM"/>
    <s v="CREDIT"/>
    <x v="0"/>
    <s v="BKE-001"/>
    <x v="10"/>
    <x v="10"/>
    <s v="5176LG04"/>
    <s v="0425-0212"/>
    <n v="205"/>
    <n v="77625"/>
    <n v="434"/>
    <n v="41160"/>
    <n v="40726"/>
    <n v="414"/>
    <n v="0"/>
    <n v="20"/>
    <n v="80"/>
    <n v="40646"/>
    <n v="485"/>
    <n v="19713310"/>
    <n v="9.4"/>
    <n v="181"/>
    <n v="45.93"/>
    <m/>
    <s v="DABAKALA"/>
    <m/>
    <s v="W-10 Mar"/>
  </r>
  <r>
    <n v="224"/>
    <d v="2026-03-07T00:00:00"/>
    <x v="19"/>
    <s v="RM"/>
    <s v="CREDIT"/>
    <x v="1"/>
    <m/>
    <x v="9"/>
    <x v="9"/>
    <s v="AA944AR02"/>
    <s v="0419-0180"/>
    <n v="865"/>
    <n v="68686"/>
    <n v="598"/>
    <n v="49620"/>
    <n v="49022"/>
    <n v="583"/>
    <n v="0"/>
    <n v="15"/>
    <n v="60"/>
    <n v="48962"/>
    <n v="490"/>
    <n v="23991380"/>
    <n v="9.4"/>
    <n v="187"/>
    <n v="45.76"/>
    <m/>
    <s v="VAVOUA"/>
    <m/>
    <s v="W-10 Mar"/>
  </r>
  <r>
    <n v="225"/>
    <d v="2026-03-08T00:00:00"/>
    <x v="20"/>
    <s v="RM"/>
    <s v="CREDIT"/>
    <x v="0"/>
    <s v="BKE-001"/>
    <x v="18"/>
    <x v="18"/>
    <s v="32LA01"/>
    <s v="0420-0251"/>
    <n v="206"/>
    <n v="77619"/>
    <n v="461"/>
    <n v="40780"/>
    <n v="40319"/>
    <n v="455"/>
    <n v="0"/>
    <n v="6"/>
    <n v="24"/>
    <n v="40295"/>
    <n v="480"/>
    <n v="19341600"/>
    <n v="9.6999999999999993"/>
    <n v="171"/>
    <n v="45.05"/>
    <m/>
    <s v="DIANRA"/>
    <m/>
    <s v="W-10 Mar"/>
  </r>
  <r>
    <n v="226"/>
    <d v="2026-03-08T00:00:00"/>
    <x v="20"/>
    <s v="RM"/>
    <s v="CREDIT"/>
    <x v="0"/>
    <s v="BKE-002"/>
    <x v="8"/>
    <x v="8"/>
    <s v="1652JE01"/>
    <s v="0426-0340"/>
    <n v="207"/>
    <n v="77617"/>
    <n v="665"/>
    <n v="56780"/>
    <n v="56115"/>
    <n v="653"/>
    <n v="0"/>
    <n v="7"/>
    <n v="28"/>
    <n v="56087"/>
    <n v="480"/>
    <n v="26921760"/>
    <n v="8.9"/>
    <n v="185"/>
    <n v="45.14"/>
    <m/>
    <s v="BOTRO"/>
    <m/>
    <s v="W-10 Mar"/>
  </r>
  <r>
    <n v="227"/>
    <d v="2026-03-08T00:00:00"/>
    <x v="20"/>
    <s v="RM"/>
    <s v="CREDIT"/>
    <x v="0"/>
    <s v="BKE-001"/>
    <x v="8"/>
    <x v="8"/>
    <s v="4974FC01"/>
    <s v="0426-0340"/>
    <n v="208"/>
    <n v="77606"/>
    <n v="437"/>
    <n v="46140"/>
    <n v="45703"/>
    <n v="422"/>
    <n v="0"/>
    <n v="15"/>
    <n v="60"/>
    <n v="45643"/>
    <n v="480"/>
    <n v="21908640"/>
    <n v="10"/>
    <n v="161"/>
    <n v="45.23"/>
    <m/>
    <s v="DIKODOUGOU"/>
    <m/>
    <s v="W-10 Mar"/>
  </r>
  <r>
    <n v="228"/>
    <d v="2026-03-08T00:00:00"/>
    <x v="20"/>
    <s v="RM"/>
    <s v="CREDIT"/>
    <x v="1"/>
    <m/>
    <x v="9"/>
    <x v="9"/>
    <s v="2744KK02"/>
    <s v="0419-0180"/>
    <n v="866"/>
    <n v="77678"/>
    <n v="521"/>
    <n v="41800"/>
    <n v="41279"/>
    <n v="501"/>
    <n v="0"/>
    <n v="20"/>
    <n v="80"/>
    <n v="41199"/>
    <n v="495"/>
    <n v="20393505"/>
    <n v="9.6999999999999993"/>
    <n v="182"/>
    <n v="46.81"/>
    <m/>
    <s v="VAVOUA"/>
    <m/>
    <s v="W-10 Mar"/>
  </r>
  <r>
    <n v="229"/>
    <d v="2026-03-08T00:00:00"/>
    <x v="20"/>
    <s v="RM"/>
    <s v="CREDIT"/>
    <x v="0"/>
    <m/>
    <x v="17"/>
    <x v="17"/>
    <s v="3998HF01"/>
    <m/>
    <m/>
    <m/>
    <m/>
    <n v="0"/>
    <m/>
    <m/>
    <m/>
    <m/>
    <m/>
    <n v="0"/>
    <m/>
    <n v="0"/>
    <n v="9.6999999999999993"/>
    <n v="165"/>
    <n v="43.2"/>
    <m/>
    <s v="KATIOLA"/>
    <s v="REJECT"/>
    <m/>
  </r>
  <r>
    <n v="230"/>
    <d v="2026-03-08T00:00:00"/>
    <x v="20"/>
    <s v="RM"/>
    <s v="CREDIT"/>
    <x v="0"/>
    <m/>
    <x v="8"/>
    <x v="8"/>
    <s v="5545JE01"/>
    <m/>
    <m/>
    <m/>
    <m/>
    <n v="0"/>
    <m/>
    <m/>
    <m/>
    <m/>
    <m/>
    <n v="0"/>
    <m/>
    <n v="0"/>
    <n v="8.5"/>
    <n v="167"/>
    <n v="43.47"/>
    <m/>
    <s v="DIANRA"/>
    <s v="REJECT"/>
    <m/>
  </r>
  <r>
    <n v="231"/>
    <d v="2026-03-08T00:00:00"/>
    <x v="20"/>
    <s v="RM"/>
    <s v="CREDIT"/>
    <x v="0"/>
    <m/>
    <x v="8"/>
    <x v="8"/>
    <s v="4639CT01"/>
    <m/>
    <m/>
    <m/>
    <m/>
    <n v="0"/>
    <m/>
    <m/>
    <m/>
    <m/>
    <m/>
    <n v="0"/>
    <m/>
    <n v="0"/>
    <n v="8.1999999999999993"/>
    <n v="184"/>
    <n v="43.64"/>
    <m/>
    <s v="KONGASSOU"/>
    <s v="REJECT"/>
    <m/>
  </r>
  <r>
    <n v="232"/>
    <d v="2026-03-08T00:00:00"/>
    <x v="20"/>
    <s v="RM"/>
    <s v="CREDIT"/>
    <x v="0"/>
    <m/>
    <x v="8"/>
    <x v="8"/>
    <s v="338KX01"/>
    <m/>
    <m/>
    <m/>
    <m/>
    <n v="0"/>
    <m/>
    <m/>
    <m/>
    <m/>
    <m/>
    <n v="0"/>
    <m/>
    <n v="0"/>
    <n v="10.7"/>
    <n v="167"/>
    <n v="43.73"/>
    <m/>
    <s v="BOUAKE"/>
    <s v="REJECT"/>
    <m/>
  </r>
  <r>
    <n v="233"/>
    <d v="2026-03-09T00:00:00"/>
    <x v="21"/>
    <s v="RM"/>
    <s v="CREDIT"/>
    <x v="0"/>
    <s v="BKE-001"/>
    <x v="20"/>
    <x v="20"/>
    <s v="7576HC01"/>
    <s v="0425-0001"/>
    <n v="209"/>
    <n v="77622"/>
    <n v="461"/>
    <n v="38880"/>
    <n v="38419"/>
    <n v="449"/>
    <n v="0"/>
    <n v="12"/>
    <n v="48"/>
    <n v="38371"/>
    <n v="485"/>
    <n v="18609935"/>
    <n v="9"/>
    <n v="172"/>
    <n v="45.76"/>
    <m/>
    <s v="KATIOLA"/>
    <m/>
    <s v="W-11 Mar"/>
  </r>
  <r>
    <n v="234"/>
    <d v="2026-03-09T00:00:00"/>
    <x v="21"/>
    <s v="RM"/>
    <s v="CREDIT"/>
    <x v="0"/>
    <s v="BKE-001"/>
    <x v="2"/>
    <x v="2"/>
    <s v="9900KU03"/>
    <s v="0426-0187"/>
    <n v="211"/>
    <n v="77632"/>
    <n v="514"/>
    <n v="45640"/>
    <n v="45126"/>
    <n v="504"/>
    <n v="0"/>
    <n v="10"/>
    <n v="40"/>
    <n v="45086"/>
    <n v="485"/>
    <n v="21866710"/>
    <n v="10.1"/>
    <n v="163"/>
    <n v="45.58"/>
    <m/>
    <s v="NIAKARA"/>
    <m/>
    <s v="W-11 Mar"/>
  </r>
  <r>
    <n v="235"/>
    <d v="2026-03-09T00:00:00"/>
    <x v="21"/>
    <s v="RM"/>
    <s v="CREDIT"/>
    <x v="0"/>
    <s v="BKE-003"/>
    <x v="6"/>
    <x v="6"/>
    <s v="1026FL01"/>
    <s v="0426-0347"/>
    <n v="210"/>
    <n v="77653"/>
    <n v="418"/>
    <n v="32000"/>
    <n v="31582"/>
    <n v="413"/>
    <n v="0"/>
    <n v="5"/>
    <n v="20"/>
    <n v="31562"/>
    <n v="490"/>
    <n v="15465380"/>
    <n v="8.1"/>
    <n v="162"/>
    <n v="46.02"/>
    <m/>
    <s v="BOUAKE"/>
    <m/>
    <s v="W-11 Mar"/>
  </r>
  <r>
    <n v="236"/>
    <d v="2026-03-09T00:00:00"/>
    <x v="21"/>
    <s v="RM"/>
    <s v="CASH"/>
    <x v="0"/>
    <s v="BKE-001"/>
    <x v="25"/>
    <x v="25"/>
    <s v="809BA04"/>
    <s v="0426-0399"/>
    <n v="212"/>
    <n v="77648"/>
    <n v="479"/>
    <n v="42780"/>
    <n v="42301"/>
    <n v="470"/>
    <n v="0"/>
    <n v="9"/>
    <n v="36"/>
    <n v="42265"/>
    <n v="490"/>
    <n v="20709850"/>
    <n v="10.9"/>
    <n v="185"/>
    <n v="45.05"/>
    <m/>
    <s v="BOTRO"/>
    <m/>
    <s v="W-11 Mar"/>
  </r>
  <r>
    <n v="237"/>
    <d v="2026-03-09T00:00:00"/>
    <x v="21"/>
    <s v="RM"/>
    <s v="CREDIT"/>
    <x v="0"/>
    <s v="BKE-001"/>
    <x v="8"/>
    <x v="8"/>
    <s v="6253KV04"/>
    <s v="0426-0340"/>
    <n v="215"/>
    <n v="77657"/>
    <n v="540"/>
    <n v="46040"/>
    <n v="45500"/>
    <n v="520"/>
    <n v="0"/>
    <n v="20"/>
    <n v="80"/>
    <n v="45420"/>
    <n v="490"/>
    <n v="22255800"/>
    <n v="8.9"/>
    <n v="174"/>
    <n v="46.28"/>
    <m/>
    <s v="MANKONO"/>
    <m/>
    <s v="W-11 Mar"/>
  </r>
  <r>
    <n v="238"/>
    <d v="2026-03-09T00:00:00"/>
    <x v="21"/>
    <s v="RM"/>
    <s v="CREDIT"/>
    <x v="0"/>
    <s v="BKE-001"/>
    <x v="10"/>
    <x v="10"/>
    <s v="5176FR03"/>
    <s v="0425-0212"/>
    <n v="214"/>
    <n v="72582"/>
    <n v="488"/>
    <n v="42100"/>
    <n v="41612"/>
    <n v="478"/>
    <n v="0"/>
    <n v="10"/>
    <n v="40"/>
    <n v="41572"/>
    <n v="490"/>
    <n v="20370280"/>
    <n v="9.9"/>
    <n v="178"/>
    <n v="45.76"/>
    <m/>
    <s v="DABAKALA"/>
    <m/>
    <s v="W-11 Mar"/>
  </r>
  <r>
    <n v="239"/>
    <d v="2026-03-09T00:00:00"/>
    <x v="21"/>
    <s v="RM"/>
    <s v="CREDIT"/>
    <x v="1"/>
    <m/>
    <x v="12"/>
    <x v="12"/>
    <s v="285LA01"/>
    <s v="0429-0005"/>
    <n v="867"/>
    <n v="77581"/>
    <n v="604"/>
    <n v="45400"/>
    <n v="44796"/>
    <n v="584"/>
    <n v="0"/>
    <n v="20"/>
    <n v="80"/>
    <n v="44716"/>
    <n v="490"/>
    <n v="21910840"/>
    <n v="11.3"/>
    <n v="178"/>
    <n v="45.4"/>
    <m/>
    <s v="VAVOUA"/>
    <m/>
    <s v="W-11 Mar"/>
  </r>
  <r>
    <n v="240"/>
    <d v="2026-03-09T00:00:00"/>
    <x v="21"/>
    <s v="RM"/>
    <s v="CREDIT"/>
    <x v="1"/>
    <m/>
    <x v="9"/>
    <x v="9"/>
    <s v="AA721PZ01"/>
    <s v="0419-0180"/>
    <n v="868"/>
    <n v="68685"/>
    <n v="614"/>
    <n v="51260"/>
    <n v="50646"/>
    <n v="596"/>
    <n v="0"/>
    <n v="18"/>
    <n v="72"/>
    <n v="50574"/>
    <n v="495"/>
    <n v="25034130"/>
    <n v="10.4"/>
    <n v="185"/>
    <n v="45.93"/>
    <m/>
    <s v="VAVOUA"/>
    <m/>
    <s v="W-11 Mar"/>
  </r>
  <r>
    <n v="241"/>
    <d v="2026-03-09T00:00:00"/>
    <x v="21"/>
    <s v="RM"/>
    <s v="CREDIT"/>
    <x v="1"/>
    <m/>
    <x v="9"/>
    <x v="9"/>
    <s v="AA944AR"/>
    <s v="0419-0180"/>
    <n v="869"/>
    <n v="66643"/>
    <n v="765"/>
    <n v="52860"/>
    <n v="52095"/>
    <n v="747"/>
    <n v="0"/>
    <n v="18"/>
    <n v="72"/>
    <n v="52023"/>
    <n v="495"/>
    <n v="25751385"/>
    <n v="10.8"/>
    <n v="186"/>
    <n v="45.58"/>
    <m/>
    <s v="VAVOUA"/>
    <m/>
    <s v="W-11 Mar"/>
  </r>
  <r>
    <n v="242"/>
    <d v="2026-03-09T00:00:00"/>
    <x v="21"/>
    <s v="RM"/>
    <s v="CREDIT"/>
    <x v="0"/>
    <m/>
    <x v="6"/>
    <x v="6"/>
    <s v="2060HR01"/>
    <m/>
    <m/>
    <m/>
    <m/>
    <n v="0"/>
    <m/>
    <m/>
    <m/>
    <m/>
    <m/>
    <n v="0"/>
    <m/>
    <n v="0"/>
    <n v="6.6"/>
    <n v="185"/>
    <n v="43.29"/>
    <m/>
    <s v="BOTRO"/>
    <s v="REJECT"/>
    <m/>
  </r>
  <r>
    <n v="243"/>
    <d v="2026-03-09T00:00:00"/>
    <x v="21"/>
    <s v="RM"/>
    <s v="CREDIT"/>
    <x v="0"/>
    <m/>
    <x v="10"/>
    <x v="10"/>
    <s v="7695HJ01"/>
    <m/>
    <m/>
    <m/>
    <m/>
    <n v="0"/>
    <m/>
    <m/>
    <m/>
    <m/>
    <m/>
    <n v="0"/>
    <m/>
    <n v="0"/>
    <n v="11.4"/>
    <n v="180"/>
    <n v="44.52"/>
    <m/>
    <s v="DABAKALA"/>
    <s v="REJECT"/>
    <m/>
  </r>
  <r>
    <n v="244"/>
    <d v="2026-03-09T00:00:00"/>
    <x v="21"/>
    <s v="RM"/>
    <s v="CREDIT"/>
    <x v="0"/>
    <m/>
    <x v="13"/>
    <x v="13"/>
    <s v="AA653PE03"/>
    <m/>
    <m/>
    <m/>
    <m/>
    <n v="0"/>
    <m/>
    <m/>
    <m/>
    <m/>
    <m/>
    <n v="0"/>
    <m/>
    <n v="0"/>
    <n v="9.1"/>
    <n v="170"/>
    <n v="44.35"/>
    <m/>
    <s v="DIANRA"/>
    <s v="REJECT"/>
    <m/>
  </r>
  <r>
    <n v="245"/>
    <d v="2026-03-09T00:00:00"/>
    <x v="22"/>
    <s v="RM"/>
    <s v="CREDIT"/>
    <x v="0"/>
    <s v="BKE-001"/>
    <x v="8"/>
    <x v="8"/>
    <s v="1652JE01"/>
    <s v="0426-0340"/>
    <n v="213"/>
    <n v="60441"/>
    <n v="528"/>
    <n v="43960"/>
    <n v="43432"/>
    <n v="514"/>
    <n v="0"/>
    <n v="14"/>
    <n v="56"/>
    <n v="43376"/>
    <n v="485"/>
    <n v="21037360"/>
    <n v="9.4"/>
    <n v="173"/>
    <n v="45.05"/>
    <m/>
    <s v="DUEKOUE"/>
    <m/>
    <s v="W-11 Mar"/>
  </r>
  <r>
    <n v="246"/>
    <d v="2026-03-10T00:00:00"/>
    <x v="22"/>
    <s v="RM"/>
    <s v="CREDIT"/>
    <x v="0"/>
    <s v="BKE-002"/>
    <x v="20"/>
    <x v="20"/>
    <s v="7576HC01"/>
    <s v="0425-0001"/>
    <n v="216"/>
    <n v="77621"/>
    <n v="454"/>
    <n v="39060"/>
    <n v="38606"/>
    <n v="444"/>
    <n v="0"/>
    <n v="10"/>
    <n v="40"/>
    <n v="38566"/>
    <n v="485"/>
    <n v="18704510"/>
    <n v="10.8"/>
    <n v="173"/>
    <n v="45.58"/>
    <m/>
    <s v="KATIOLA"/>
    <m/>
    <s v="W-11 Mar"/>
  </r>
  <r>
    <n v="247"/>
    <d v="2026-03-10T00:00:00"/>
    <x v="22"/>
    <s v="RM"/>
    <s v="CREDIT"/>
    <x v="0"/>
    <s v="BKE-001"/>
    <x v="10"/>
    <x v="10"/>
    <s v="9868JA01"/>
    <s v="0425-0212"/>
    <n v="218"/>
    <n v="82125"/>
    <n v="504"/>
    <n v="41520"/>
    <n v="41016"/>
    <n v="495"/>
    <n v="0"/>
    <n v="9"/>
    <n v="36"/>
    <n v="40980"/>
    <n v="485"/>
    <n v="19875300"/>
    <n v="9.6"/>
    <n v="178"/>
    <n v="45.23"/>
    <m/>
    <s v="DABAKALA"/>
    <m/>
    <s v="W-11 Mar"/>
  </r>
  <r>
    <n v="248"/>
    <d v="2026-03-10T00:00:00"/>
    <x v="22"/>
    <s v="RM"/>
    <s v="CREDIT"/>
    <x v="0"/>
    <s v="BKE-001"/>
    <x v="17"/>
    <x v="17"/>
    <s v="3998HF01"/>
    <s v="0425-0055"/>
    <n v="217"/>
    <n v="77609"/>
    <n v="447"/>
    <n v="40100"/>
    <n v="39653"/>
    <n v="440"/>
    <n v="0"/>
    <n v="7"/>
    <n v="28"/>
    <n v="39625"/>
    <n v="490"/>
    <n v="19416250"/>
    <n v="8.8000000000000007"/>
    <n v="178"/>
    <n v="46.28"/>
    <m/>
    <s v="KATIOLA"/>
    <m/>
    <s v="W-11 Mar"/>
  </r>
  <r>
    <n v="249"/>
    <d v="2026-03-10T00:00:00"/>
    <x v="22"/>
    <s v="RM"/>
    <s v="CREDIT"/>
    <x v="0"/>
    <s v="BKE-002"/>
    <x v="11"/>
    <x v="11"/>
    <s v="59642WWC101"/>
    <s v="0431-0277"/>
    <n v="219"/>
    <n v="77637"/>
    <n v="616"/>
    <n v="54360"/>
    <n v="53744"/>
    <n v="611"/>
    <n v="0"/>
    <n v="5"/>
    <n v="20"/>
    <n v="53724"/>
    <n v="490"/>
    <n v="26324760"/>
    <n v="10.4"/>
    <n v="171"/>
    <n v="46.64"/>
    <m/>
    <s v="KATIOLA"/>
    <m/>
    <s v="W-11 Mar"/>
  </r>
  <r>
    <n v="250"/>
    <d v="2026-03-10T00:00:00"/>
    <x v="22"/>
    <s v="RM"/>
    <s v="CREDIT"/>
    <x v="0"/>
    <s v="BKE-003"/>
    <x v="10"/>
    <x v="10"/>
    <s v="4981JR04"/>
    <s v="0425-0212"/>
    <n v="222"/>
    <n v="82123"/>
    <n v="486"/>
    <n v="41440"/>
    <n v="40954"/>
    <n v="475"/>
    <n v="0"/>
    <n v="11"/>
    <n v="44"/>
    <n v="40910"/>
    <n v="490"/>
    <n v="20045900"/>
    <n v="9.1"/>
    <n v="172"/>
    <n v="46.02"/>
    <m/>
    <s v="DABAKALA"/>
    <m/>
    <s v="W-11 Mar"/>
  </r>
  <r>
    <n v="251"/>
    <d v="2026-03-10T00:00:00"/>
    <x v="22"/>
    <s v="RM"/>
    <s v="CREDIT"/>
    <x v="0"/>
    <s v="BKE-002"/>
    <x v="4"/>
    <x v="4"/>
    <s v="9149EL04"/>
    <s v="0425-0068"/>
    <n v="220"/>
    <n v="77663"/>
    <n v="468"/>
    <n v="41040"/>
    <n v="40572"/>
    <n v="453"/>
    <n v="0"/>
    <n v="15"/>
    <n v="60"/>
    <n v="40512"/>
    <n v="485"/>
    <n v="19648320"/>
    <n v="10.8"/>
    <n v="160"/>
    <n v="45.05"/>
    <m/>
    <s v="NIAKARA"/>
    <m/>
    <s v="W-11 Mar"/>
  </r>
  <r>
    <n v="252"/>
    <d v="2026-03-10T00:00:00"/>
    <x v="22"/>
    <s v="RM"/>
    <s v="CREDIT"/>
    <x v="0"/>
    <s v="BKE-003"/>
    <x v="17"/>
    <x v="17"/>
    <s v="629KS01"/>
    <s v="0425-0055"/>
    <n v="221"/>
    <n v="64886"/>
    <n v="606"/>
    <n v="49020"/>
    <n v="48414"/>
    <n v="597"/>
    <n v="0"/>
    <n v="9"/>
    <n v="36"/>
    <n v="48378"/>
    <n v="490"/>
    <n v="23705220"/>
    <n v="8.9"/>
    <n v="177"/>
    <n v="46.28"/>
    <m/>
    <s v="KATIOLA"/>
    <m/>
    <s v="W-11 Mar"/>
  </r>
  <r>
    <n v="253"/>
    <d v="2026-03-10T00:00:00"/>
    <x v="22"/>
    <s v="RM"/>
    <s v="CREDIT"/>
    <x v="0"/>
    <s v="BKE-001"/>
    <x v="8"/>
    <x v="8"/>
    <s v="AA398TS04"/>
    <s v="0426-0340"/>
    <n v="223"/>
    <n v="77641"/>
    <n v="668"/>
    <n v="54720"/>
    <n v="54052"/>
    <n v="653"/>
    <n v="0"/>
    <n v="15"/>
    <n v="60"/>
    <n v="53992"/>
    <n v="485"/>
    <n v="26186120"/>
    <n v="10"/>
    <n v="180"/>
    <n v="45.4"/>
    <m/>
    <s v="BOUAKE"/>
    <m/>
    <s v="W-11 Mar"/>
  </r>
  <r>
    <n v="254"/>
    <d v="2026-03-10T00:00:00"/>
    <x v="22"/>
    <s v="RM"/>
    <s v="CREDIT"/>
    <x v="1"/>
    <m/>
    <x v="28"/>
    <x v="28"/>
    <s v="8867GY03"/>
    <s v="0401-0154"/>
    <n v="870"/>
    <n v="77630"/>
    <n v="427"/>
    <n v="40040"/>
    <n v="39613"/>
    <n v="407"/>
    <n v="0"/>
    <n v="20"/>
    <n v="80"/>
    <n v="39533"/>
    <n v="490"/>
    <n v="19371170"/>
    <n v="9.9"/>
    <n v="170"/>
    <n v="44.88"/>
    <m/>
    <s v="KOROGHO"/>
    <m/>
    <s v="W-11 Mar"/>
  </r>
  <r>
    <n v="255"/>
    <d v="2026-03-10T00:00:00"/>
    <x v="22"/>
    <s v="RM"/>
    <s v="CREDIT"/>
    <x v="0"/>
    <m/>
    <x v="9"/>
    <x v="9"/>
    <s v="1367LH01"/>
    <m/>
    <m/>
    <m/>
    <m/>
    <n v="0"/>
    <m/>
    <m/>
    <m/>
    <m/>
    <m/>
    <n v="0"/>
    <m/>
    <n v="0"/>
    <n v="6.9"/>
    <n v="182"/>
    <n v="42.59"/>
    <m/>
    <s v="KANI"/>
    <s v="REJECT"/>
    <m/>
  </r>
  <r>
    <n v="256"/>
    <d v="2026-03-10T00:00:00"/>
    <x v="22"/>
    <s v="RM"/>
    <s v="CREDIT"/>
    <x v="0"/>
    <m/>
    <x v="13"/>
    <x v="13"/>
    <s v="6358JU04"/>
    <m/>
    <m/>
    <m/>
    <m/>
    <n v="0"/>
    <m/>
    <m/>
    <m/>
    <m/>
    <m/>
    <n v="0"/>
    <m/>
    <n v="0"/>
    <n v="7.3"/>
    <n v="183"/>
    <n v="42.76"/>
    <m/>
    <s v="M'BENGUE"/>
    <s v="REJECT"/>
    <m/>
  </r>
  <r>
    <n v="257"/>
    <d v="2026-03-06T00:00:00"/>
    <x v="23"/>
    <s v="RM"/>
    <s v="CREDIT"/>
    <x v="1"/>
    <m/>
    <x v="9"/>
    <x v="9"/>
    <s v="2319LR01"/>
    <s v="0419-0180"/>
    <n v="872"/>
    <n v="82102"/>
    <n v="536"/>
    <n v="41160"/>
    <n v="40624"/>
    <n v="516"/>
    <n v="0"/>
    <n v="20"/>
    <n v="80"/>
    <n v="40544"/>
    <n v="490"/>
    <n v="19866560"/>
    <n v="10.1"/>
    <n v="187"/>
    <n v="45.58"/>
    <m/>
    <s v="VAVOUA"/>
    <m/>
    <s v="W-11 Mar"/>
  </r>
  <r>
    <n v="258"/>
    <d v="2026-03-08T00:00:00"/>
    <x v="23"/>
    <s v="RM"/>
    <s v="CREDIT"/>
    <x v="1"/>
    <m/>
    <x v="9"/>
    <x v="9"/>
    <s v="5739GH01"/>
    <s v="0419-0180"/>
    <n v="871"/>
    <n v="77677"/>
    <n v="667"/>
    <n v="52040"/>
    <n v="51373"/>
    <n v="647"/>
    <n v="0"/>
    <n v="20"/>
    <n v="80"/>
    <n v="51293"/>
    <n v="490"/>
    <n v="25133570"/>
    <n v="9.8000000000000007"/>
    <n v="181"/>
    <n v="45.58"/>
    <m/>
    <s v="VAVOUA"/>
    <m/>
    <s v="W-11 Mar"/>
  </r>
  <r>
    <n v="259"/>
    <d v="2026-03-11T00:00:00"/>
    <x v="23"/>
    <s v="RM"/>
    <s v="CREDIT"/>
    <x v="0"/>
    <s v="BKE-001"/>
    <x v="6"/>
    <x v="6"/>
    <s v="28JZ01"/>
    <s v="0426-0347"/>
    <n v="224"/>
    <n v="72646"/>
    <n v="537"/>
    <n v="44400"/>
    <n v="43863"/>
    <n v="527"/>
    <n v="0"/>
    <n v="10"/>
    <n v="40"/>
    <n v="43823"/>
    <n v="490"/>
    <n v="21473270"/>
    <n v="9.6999999999999993"/>
    <n v="176"/>
    <n v="46.28"/>
    <m/>
    <s v="BOTRO"/>
    <m/>
    <s v="W-11 Mar"/>
  </r>
  <r>
    <n v="260"/>
    <d v="2026-03-11T00:00:00"/>
    <x v="23"/>
    <s v="RM"/>
    <s v="CREDIT"/>
    <x v="0"/>
    <s v="BKE-001"/>
    <x v="3"/>
    <x v="3"/>
    <s v="6690GB01"/>
    <s v="0426-0203"/>
    <n v="225"/>
    <n v="75589"/>
    <n v="613"/>
    <n v="48580"/>
    <n v="47967"/>
    <n v="605"/>
    <n v="0"/>
    <n v="8"/>
    <n v="32"/>
    <n v="47935"/>
    <n v="485"/>
    <n v="23248475"/>
    <n v="9.9"/>
    <n v="185"/>
    <n v="45.23"/>
    <m/>
    <s v="VAVOUA"/>
    <m/>
    <s v="W-11 Mar"/>
  </r>
  <r>
    <n v="261"/>
    <d v="2026-03-11T00:00:00"/>
    <x v="23"/>
    <s v="RM"/>
    <s v="CREDIT"/>
    <x v="0"/>
    <s v="BKE-001"/>
    <x v="1"/>
    <x v="1"/>
    <s v="793LT03"/>
    <s v="0429-0040"/>
    <n v="226"/>
    <n v="65457"/>
    <n v="605"/>
    <n v="50980"/>
    <n v="50375"/>
    <n v="599"/>
    <n v="0"/>
    <n v="6"/>
    <n v="24"/>
    <n v="50351"/>
    <n v="490"/>
    <n v="24671990"/>
    <n v="9.9"/>
    <n v="164"/>
    <n v="45.05"/>
    <m/>
    <s v="MANKONO"/>
    <m/>
    <s v="W-11 Mar"/>
  </r>
  <r>
    <n v="262"/>
    <d v="2026-03-11T00:00:00"/>
    <x v="23"/>
    <s v="RM"/>
    <s v="CREDIT"/>
    <x v="0"/>
    <s v="BKE-002"/>
    <x v="20"/>
    <x v="20"/>
    <s v="2766HC01"/>
    <s v="0425-0001"/>
    <n v="227"/>
    <n v="77628"/>
    <n v="432"/>
    <n v="39000"/>
    <n v="38568"/>
    <n v="422"/>
    <n v="0"/>
    <n v="10"/>
    <n v="40"/>
    <n v="38528"/>
    <n v="490"/>
    <n v="18878720"/>
    <n v="8.5"/>
    <n v="167"/>
    <n v="46.46"/>
    <m/>
    <s v="KATIOLA"/>
    <m/>
    <s v="W-11 Mar"/>
  </r>
  <r>
    <n v="263"/>
    <d v="2026-03-11T00:00:00"/>
    <x v="23"/>
    <s v="RM"/>
    <s v="CREDIT"/>
    <x v="0"/>
    <s v="BKE-002"/>
    <x v="8"/>
    <x v="8"/>
    <s v="338KX01"/>
    <s v="0426-0340"/>
    <n v="228"/>
    <n v="77643"/>
    <n v="562"/>
    <n v="47360"/>
    <n v="46798"/>
    <n v="552"/>
    <n v="0"/>
    <n v="10"/>
    <n v="40"/>
    <n v="46758"/>
    <n v="495"/>
    <n v="23145210"/>
    <n v="8.8000000000000007"/>
    <n v="170"/>
    <n v="47.16"/>
    <m/>
    <s v="MANKONO"/>
    <m/>
    <s v="W-11 Mar"/>
  </r>
  <r>
    <n v="264"/>
    <d v="2026-03-11T00:00:00"/>
    <x v="23"/>
    <s v="RM"/>
    <s v="CREDIT"/>
    <x v="0"/>
    <s v="BKE-001"/>
    <x v="7"/>
    <x v="7"/>
    <s v="2337HV01"/>
    <s v="0427-0007"/>
    <n v="229"/>
    <n v="72610"/>
    <n v="471"/>
    <n v="41100"/>
    <n v="40629"/>
    <n v="466"/>
    <n v="0"/>
    <n v="5"/>
    <n v="20"/>
    <n v="40609"/>
    <n v="490"/>
    <n v="19898410"/>
    <n v="9.6"/>
    <n v="165"/>
    <n v="46.11"/>
    <m/>
    <s v="KOROGHO"/>
    <m/>
    <s v="W-11 Mar"/>
  </r>
  <r>
    <n v="265"/>
    <d v="2026-03-11T00:00:00"/>
    <x v="23"/>
    <s v="RM"/>
    <s v="CREDIT"/>
    <x v="0"/>
    <s v="BKE-002"/>
    <x v="11"/>
    <x v="11"/>
    <s v="59642WWC101"/>
    <s v="0431-0277"/>
    <n v="231"/>
    <n v="72630"/>
    <n v="578"/>
    <n v="52160"/>
    <n v="51582"/>
    <n v="571"/>
    <n v="0"/>
    <n v="7"/>
    <n v="28"/>
    <n v="51554"/>
    <n v="490"/>
    <n v="25261460"/>
    <n v="9.9"/>
    <n v="177"/>
    <n v="46.11"/>
    <m/>
    <s v="BOUAKE"/>
    <m/>
    <s v="W-11 Mar"/>
  </r>
  <r>
    <n v="266"/>
    <d v="2026-03-11T00:00:00"/>
    <x v="23"/>
    <s v="RM"/>
    <s v="CASH"/>
    <x v="0"/>
    <s v="BKE-001"/>
    <x v="16"/>
    <x v="16"/>
    <s v="3139GR03"/>
    <s v="0427-0133"/>
    <n v="230"/>
    <n v="82111"/>
    <n v="664"/>
    <n v="50660"/>
    <n v="49996"/>
    <n v="644"/>
    <n v="0"/>
    <n v="20"/>
    <n v="80"/>
    <n v="49916"/>
    <n v="490"/>
    <n v="24458840"/>
    <n v="8.5"/>
    <n v="171"/>
    <n v="45.4"/>
    <m/>
    <s v="DIANRA"/>
    <m/>
    <s v="W-11 Mar"/>
  </r>
  <r>
    <n v="267"/>
    <d v="2026-03-11T00:00:00"/>
    <x v="23"/>
    <s v="RM"/>
    <s v="CREDIT"/>
    <x v="0"/>
    <m/>
    <x v="2"/>
    <x v="2"/>
    <s v="9900KU03"/>
    <m/>
    <m/>
    <m/>
    <m/>
    <n v="0"/>
    <m/>
    <m/>
    <m/>
    <m/>
    <m/>
    <n v="0"/>
    <m/>
    <n v="0"/>
    <n v="9.6"/>
    <n v="166"/>
    <n v="43.47"/>
    <m/>
    <s v="NIAKARA"/>
    <s v="REJECT"/>
    <m/>
  </r>
  <r>
    <n v="268"/>
    <d v="2026-03-11T00:00:00"/>
    <x v="23"/>
    <s v="RM"/>
    <s v="CREDIT"/>
    <x v="0"/>
    <m/>
    <x v="0"/>
    <x v="0"/>
    <s v="616KY03"/>
    <m/>
    <m/>
    <m/>
    <m/>
    <n v="0"/>
    <m/>
    <m/>
    <m/>
    <m/>
    <m/>
    <n v="0"/>
    <m/>
    <n v="0"/>
    <n v="7.5"/>
    <n v="182"/>
    <n v="43.64"/>
    <m/>
    <s v="KANI"/>
    <s v="REJECT"/>
    <m/>
  </r>
  <r>
    <n v="269"/>
    <d v="2026-03-11T00:00:00"/>
    <x v="23"/>
    <s v="RM"/>
    <s v="CREDIT"/>
    <x v="0"/>
    <m/>
    <x v="3"/>
    <x v="3"/>
    <s v="130HA04"/>
    <m/>
    <m/>
    <m/>
    <m/>
    <n v="0"/>
    <m/>
    <m/>
    <m/>
    <m/>
    <m/>
    <n v="0"/>
    <m/>
    <n v="0"/>
    <n v="8.9"/>
    <n v="172"/>
    <n v="42.24"/>
    <m/>
    <s v="KONG"/>
    <s v="REJECT"/>
    <m/>
  </r>
  <r>
    <n v="270"/>
    <d v="2026-03-11T00:00:00"/>
    <x v="23"/>
    <s v="RM"/>
    <s v="CASH"/>
    <x v="1"/>
    <m/>
    <x v="22"/>
    <x v="22"/>
    <s v="2664GZ"/>
    <m/>
    <m/>
    <m/>
    <m/>
    <n v="0"/>
    <m/>
    <m/>
    <m/>
    <m/>
    <m/>
    <n v="0"/>
    <m/>
    <n v="0"/>
    <n v="9.9"/>
    <n v="179"/>
    <n v="43.47"/>
    <m/>
    <s v="SEMEIN"/>
    <s v="REJECT"/>
    <m/>
  </r>
  <r>
    <n v="271"/>
    <d v="2026-03-11T00:00:00"/>
    <x v="23"/>
    <s v="RM"/>
    <s v="CASH"/>
    <x v="1"/>
    <m/>
    <x v="31"/>
    <x v="31"/>
    <s v="AA379AD"/>
    <m/>
    <m/>
    <m/>
    <m/>
    <n v="0"/>
    <m/>
    <m/>
    <m/>
    <m/>
    <m/>
    <n v="0"/>
    <m/>
    <n v="0"/>
    <n v="10.7"/>
    <n v="198"/>
    <n v="43.29"/>
    <m/>
    <s v="MANKONO"/>
    <s v="REJECT"/>
    <m/>
  </r>
  <r>
    <n v="272"/>
    <d v="2026-03-11T00:00:00"/>
    <x v="23"/>
    <s v="RM"/>
    <s v="CREDIT"/>
    <x v="1"/>
    <m/>
    <x v="0"/>
    <x v="0"/>
    <s v="6867HH03"/>
    <m/>
    <m/>
    <m/>
    <m/>
    <n v="0"/>
    <m/>
    <m/>
    <m/>
    <m/>
    <m/>
    <n v="0"/>
    <m/>
    <n v="0"/>
    <n v="10.8"/>
    <n v="179"/>
    <n v="43.82"/>
    <m/>
    <s v="KANI"/>
    <s v="REJECT"/>
    <m/>
  </r>
  <r>
    <n v="273"/>
    <d v="2026-03-11T00:00:00"/>
    <x v="23"/>
    <s v="RM"/>
    <s v="CASH"/>
    <x v="1"/>
    <m/>
    <x v="32"/>
    <x v="32"/>
    <s v="AV2506HKO1AR"/>
    <m/>
    <m/>
    <m/>
    <m/>
    <n v="0"/>
    <m/>
    <m/>
    <m/>
    <m/>
    <m/>
    <n v="0"/>
    <m/>
    <n v="0"/>
    <n v="10.6"/>
    <n v="163"/>
    <n v="44.35"/>
    <m/>
    <s v="KOROGHO"/>
    <s v="REJECT"/>
    <m/>
  </r>
  <r>
    <n v="274"/>
    <d v="2026-03-11T00:00:00"/>
    <x v="23"/>
    <s v="RM"/>
    <s v="CASH"/>
    <x v="1"/>
    <m/>
    <x v="33"/>
    <x v="33"/>
    <s v="AA604BY01"/>
    <m/>
    <m/>
    <m/>
    <m/>
    <n v="0"/>
    <m/>
    <m/>
    <m/>
    <m/>
    <m/>
    <n v="0"/>
    <m/>
    <n v="0"/>
    <n v="11.3"/>
    <n v="183"/>
    <n v="42.94"/>
    <m/>
    <s v="SEGUELA"/>
    <s v="REJECT"/>
    <m/>
  </r>
  <r>
    <n v="275"/>
    <d v="2026-03-11T00:00:00"/>
    <x v="24"/>
    <s v="RM"/>
    <s v="CREDIT"/>
    <x v="1"/>
    <m/>
    <x v="9"/>
    <x v="9"/>
    <s v="4379LL02"/>
    <s v="0419-0180"/>
    <n v="873"/>
    <n v="77676"/>
    <n v="596"/>
    <n v="49460"/>
    <n v="48864"/>
    <n v="576"/>
    <n v="0"/>
    <n v="20"/>
    <n v="80"/>
    <n v="48784"/>
    <n v="495"/>
    <n v="24148080"/>
    <n v="11"/>
    <n v="177"/>
    <n v="45.23"/>
    <m/>
    <s v="DJIBROSSO"/>
    <m/>
    <s v="W-11 Mar"/>
  </r>
  <r>
    <n v="276"/>
    <d v="2026-03-11T00:00:00"/>
    <x v="24"/>
    <s v="RM"/>
    <s v="CREDIT"/>
    <x v="0"/>
    <s v="BKE-001"/>
    <x v="2"/>
    <x v="2"/>
    <s v="6085HR03"/>
    <s v="0426-0187"/>
    <n v="233"/>
    <n v="70436"/>
    <n v="527"/>
    <n v="45900"/>
    <n v="45373"/>
    <n v="507"/>
    <n v="0"/>
    <n v="20"/>
    <n v="80"/>
    <n v="45293"/>
    <n v="485"/>
    <n v="21967105"/>
    <n v="9.9"/>
    <n v="162"/>
    <n v="45.23"/>
    <m/>
    <s v="NIAKARA"/>
    <m/>
    <s v="W-11 Mar"/>
  </r>
  <r>
    <n v="277"/>
    <d v="2026-03-11T00:00:00"/>
    <x v="24"/>
    <s v="RM"/>
    <s v="CREDIT"/>
    <x v="0"/>
    <s v="BKE-002"/>
    <x v="10"/>
    <x v="10"/>
    <s v="5176LG04"/>
    <s v="0425-0212"/>
    <n v="234"/>
    <n v="82124"/>
    <n v="504"/>
    <n v="41820"/>
    <n v="41316"/>
    <n v="489"/>
    <n v="0"/>
    <n v="15"/>
    <n v="60"/>
    <n v="41256"/>
    <n v="485"/>
    <n v="20009160"/>
    <n v="7.8"/>
    <n v="180"/>
    <n v="45.58"/>
    <m/>
    <s v="DABAKALA"/>
    <m/>
    <s v="W-11 Mar"/>
  </r>
  <r>
    <n v="278"/>
    <d v="2026-03-11T00:00:00"/>
    <x v="24"/>
    <s v="RM"/>
    <s v="CREDIT"/>
    <x v="0"/>
    <s v="BKE-001"/>
    <x v="5"/>
    <x v="5"/>
    <s v="2494HJ04"/>
    <s v="0426-0194"/>
    <n v="232"/>
    <n v="77659"/>
    <n v="482"/>
    <n v="40180"/>
    <n v="39698"/>
    <n v="474"/>
    <n v="0"/>
    <n v="8"/>
    <n v="32"/>
    <n v="39666"/>
    <n v="490"/>
    <n v="19436340"/>
    <n v="9"/>
    <n v="182"/>
    <n v="46.11"/>
    <m/>
    <s v="DABAKALA"/>
    <m/>
    <s v="W-11 Mar"/>
  </r>
  <r>
    <n v="279"/>
    <d v="2026-03-11T00:00:00"/>
    <x v="24"/>
    <s v="RM"/>
    <s v="CREDIT"/>
    <x v="0"/>
    <s v="BKE-002"/>
    <x v="14"/>
    <x v="14"/>
    <s v="AA402GH01"/>
    <s v="0426-0379"/>
    <n v="235"/>
    <n v="82149"/>
    <n v="477"/>
    <n v="41080"/>
    <n v="40603"/>
    <n v="470"/>
    <n v="0"/>
    <n v="7"/>
    <n v="28"/>
    <n v="40575"/>
    <n v="495"/>
    <n v="20084625"/>
    <n v="9.4"/>
    <n v="186"/>
    <n v="46.11"/>
    <m/>
    <s v="BOTRO"/>
    <m/>
    <s v="W-11 Mar"/>
  </r>
  <r>
    <n v="280"/>
    <d v="2026-03-12T00:00:00"/>
    <x v="24"/>
    <s v="RM"/>
    <s v="CREDIT"/>
    <x v="0"/>
    <s v="BKE-001"/>
    <x v="15"/>
    <x v="15"/>
    <s v="8573GA01"/>
    <s v="0420-0149"/>
    <n v="237"/>
    <n v="72647"/>
    <n v="516"/>
    <n v="40300"/>
    <n v="39784"/>
    <n v="506"/>
    <n v="0"/>
    <n v="10"/>
    <n v="40"/>
    <n v="39744"/>
    <n v="485"/>
    <n v="19275840"/>
    <n v="7.5"/>
    <n v="166"/>
    <n v="45.4"/>
    <m/>
    <s v="SEGUELA"/>
    <m/>
    <s v="W-11 Mar"/>
  </r>
  <r>
    <n v="281"/>
    <d v="2026-03-12T00:00:00"/>
    <x v="24"/>
    <s v="RM"/>
    <s v="CREDIT"/>
    <x v="0"/>
    <s v="BKE-002"/>
    <x v="8"/>
    <x v="8"/>
    <s v="653KX01"/>
    <s v="0426-0340"/>
    <n v="236"/>
    <n v="72635"/>
    <n v="502"/>
    <n v="37800"/>
    <n v="37298"/>
    <n v="487"/>
    <n v="0"/>
    <n v="15"/>
    <n v="60"/>
    <n v="37238"/>
    <n v="485"/>
    <n v="18060430"/>
    <n v="11.6"/>
    <n v="182"/>
    <n v="45.4"/>
    <m/>
    <s v="ZUENOULA"/>
    <m/>
    <s v="W-11 Mar"/>
  </r>
  <r>
    <n v="282"/>
    <d v="2026-03-12T00:00:00"/>
    <x v="24"/>
    <s v="RM"/>
    <s v="CREDIT"/>
    <x v="0"/>
    <s v="BKE-001"/>
    <x v="17"/>
    <x v="17"/>
    <s v="4137LG04"/>
    <s v="0425-0055"/>
    <n v="239"/>
    <n v="64887"/>
    <n v="517"/>
    <n v="43420"/>
    <n v="42903"/>
    <n v="502"/>
    <n v="0"/>
    <n v="15"/>
    <n v="60"/>
    <n v="42843"/>
    <n v="485"/>
    <n v="20778855"/>
    <n v="10.3"/>
    <n v="182"/>
    <n v="45.4"/>
    <m/>
    <s v="DABAKALA"/>
    <m/>
    <s v="W-11 Mar"/>
  </r>
  <r>
    <n v="283"/>
    <d v="2026-03-12T00:00:00"/>
    <x v="24"/>
    <s v="RM"/>
    <s v="CREDIT"/>
    <x v="0"/>
    <s v="BKE-001"/>
    <x v="18"/>
    <x v="18"/>
    <s v="32LA01"/>
    <s v="0420-0251"/>
    <n v="238"/>
    <n v="82114"/>
    <n v="466"/>
    <n v="40420"/>
    <n v="39954"/>
    <n v="460"/>
    <n v="0"/>
    <n v="6"/>
    <n v="24"/>
    <n v="39930"/>
    <n v="485"/>
    <n v="19366050"/>
    <n v="7.8"/>
    <n v="165"/>
    <n v="45.58"/>
    <m/>
    <s v="DIANRA"/>
    <m/>
    <s v="W-11 Mar"/>
  </r>
  <r>
    <n v="284"/>
    <d v="2026-03-12T00:00:00"/>
    <x v="24"/>
    <s v="RM"/>
    <s v="CREDIT"/>
    <x v="0"/>
    <s v="BKE-003"/>
    <x v="14"/>
    <x v="14"/>
    <s v="4668LE02"/>
    <s v="0426-0379"/>
    <n v="240"/>
    <n v="68668"/>
    <n v="522"/>
    <n v="45460"/>
    <n v="44938"/>
    <n v="510"/>
    <n v="0"/>
    <n v="12"/>
    <n v="48"/>
    <n v="44890"/>
    <n v="495"/>
    <n v="22220550"/>
    <n v="9.4"/>
    <n v="183"/>
    <n v="47.08"/>
    <m/>
    <s v="DIDIEVI"/>
    <m/>
    <s v="W-11 Mar"/>
  </r>
  <r>
    <n v="285"/>
    <d v="2026-03-12T00:00:00"/>
    <x v="24"/>
    <s v="RM"/>
    <s v="CREDIT"/>
    <x v="0"/>
    <m/>
    <x v="8"/>
    <x v="8"/>
    <s v="197KC01"/>
    <m/>
    <m/>
    <m/>
    <m/>
    <n v="0"/>
    <m/>
    <m/>
    <m/>
    <m/>
    <n v="0"/>
    <n v="0"/>
    <m/>
    <n v="0"/>
    <n v="13"/>
    <n v="177"/>
    <n v="43.29"/>
    <m/>
    <s v="MANKONO"/>
    <s v="REJECT"/>
    <m/>
  </r>
  <r>
    <n v="286"/>
    <d v="2026-03-12T00:00:00"/>
    <x v="24"/>
    <s v="RM"/>
    <s v="CREDIT"/>
    <x v="0"/>
    <m/>
    <x v="20"/>
    <x v="20"/>
    <s v="2766HC01"/>
    <m/>
    <m/>
    <m/>
    <m/>
    <n v="0"/>
    <m/>
    <m/>
    <m/>
    <m/>
    <m/>
    <n v="0"/>
    <m/>
    <n v="0"/>
    <n v="11"/>
    <n v="174"/>
    <n v="43.82"/>
    <m/>
    <s v="KATIOLA"/>
    <s v="REJECT"/>
    <m/>
  </r>
  <r>
    <n v="287"/>
    <d v="2026-03-12T00:00:00"/>
    <x v="24"/>
    <s v="RM"/>
    <s v="CASH"/>
    <x v="0"/>
    <m/>
    <x v="19"/>
    <x v="19"/>
    <s v="255GZ04"/>
    <m/>
    <m/>
    <m/>
    <m/>
    <n v="0"/>
    <m/>
    <m/>
    <m/>
    <m/>
    <m/>
    <n v="0"/>
    <m/>
    <n v="0"/>
    <n v="9.5"/>
    <n v="171"/>
    <n v="43.64"/>
    <m/>
    <s v="MANKONO"/>
    <s v="REJECT"/>
    <m/>
  </r>
  <r>
    <n v="288"/>
    <d v="2026-03-12T00:00:00"/>
    <x v="24"/>
    <s v="RM"/>
    <s v="CREDIT"/>
    <x v="0"/>
    <m/>
    <x v="13"/>
    <x v="13"/>
    <s v="AA057ER03"/>
    <m/>
    <m/>
    <m/>
    <m/>
    <n v="0"/>
    <m/>
    <m/>
    <m/>
    <m/>
    <m/>
    <n v="0"/>
    <m/>
    <n v="0"/>
    <n v="7.6"/>
    <n v="177"/>
    <n v="44.17"/>
    <m/>
    <s v="DIANRA"/>
    <s v="REJECT"/>
    <m/>
  </r>
  <r>
    <n v="289"/>
    <d v="2026-03-12T00:00:00"/>
    <x v="24"/>
    <s v="RM"/>
    <s v="CREDIT"/>
    <x v="0"/>
    <m/>
    <x v="1"/>
    <x v="1"/>
    <s v="2038LL06"/>
    <m/>
    <m/>
    <m/>
    <m/>
    <n v="0"/>
    <m/>
    <m/>
    <m/>
    <m/>
    <m/>
    <n v="0"/>
    <m/>
    <n v="0"/>
    <n v="11.7"/>
    <n v="167"/>
    <n v="43.47"/>
    <m/>
    <s v="MANKONO"/>
    <s v="REJECT"/>
    <m/>
  </r>
  <r>
    <n v="290"/>
    <d v="2026-03-12T00:00:00"/>
    <x v="24"/>
    <s v="RM"/>
    <s v="CASH"/>
    <x v="0"/>
    <m/>
    <x v="34"/>
    <x v="34"/>
    <s v="3591LR01"/>
    <m/>
    <m/>
    <m/>
    <m/>
    <n v="0"/>
    <m/>
    <m/>
    <m/>
    <m/>
    <m/>
    <n v="0"/>
    <m/>
    <n v="0"/>
    <n v="11.6"/>
    <n v="183"/>
    <n v="43.82"/>
    <m/>
    <s v="SEGUELA"/>
    <s v="REJECT"/>
    <m/>
  </r>
  <r>
    <n v="291"/>
    <d v="2026-03-12T00:00:00"/>
    <x v="24"/>
    <s v="RM"/>
    <s v="CASH"/>
    <x v="0"/>
    <m/>
    <x v="16"/>
    <x v="16"/>
    <s v="2505KE01"/>
    <m/>
    <m/>
    <m/>
    <m/>
    <n v="0"/>
    <m/>
    <m/>
    <m/>
    <m/>
    <m/>
    <n v="0"/>
    <m/>
    <n v="0"/>
    <n v="7.8"/>
    <n v="172"/>
    <n v="43.64"/>
    <m/>
    <s v="DIANRA"/>
    <s v="REJECT"/>
    <m/>
  </r>
  <r>
    <n v="292"/>
    <d v="2026-03-12T00:00:00"/>
    <x v="25"/>
    <s v="RM"/>
    <s v="CREDIT"/>
    <x v="0"/>
    <s v="BKE-001"/>
    <x v="8"/>
    <x v="8"/>
    <s v="6339HA01"/>
    <s v="0426-0340"/>
    <n v="243"/>
    <n v="72586"/>
    <n v="516"/>
    <n v="46140"/>
    <n v="45624"/>
    <n v="506"/>
    <n v="0"/>
    <n v="10"/>
    <n v="40"/>
    <n v="45584"/>
    <n v="485"/>
    <n v="22108240"/>
    <n v="9.6"/>
    <n v="172"/>
    <n v="45.05"/>
    <m/>
    <s v="DABAKALA"/>
    <m/>
    <s v="W-11 Mar"/>
  </r>
  <r>
    <n v="293"/>
    <d v="2026-03-12T00:00:00"/>
    <x v="25"/>
    <s v="RM"/>
    <s v="CREDIT"/>
    <x v="0"/>
    <s v="BKE-001"/>
    <x v="6"/>
    <x v="6"/>
    <s v="5012HJ01"/>
    <s v="0426-0347"/>
    <n v="241"/>
    <n v="82150"/>
    <n v="516"/>
    <n v="46880"/>
    <n v="46364"/>
    <n v="506"/>
    <n v="0"/>
    <n v="10"/>
    <n v="40"/>
    <n v="46324"/>
    <n v="485"/>
    <n v="22467140"/>
    <n v="9.8000000000000007"/>
    <n v="180"/>
    <n v="45.93"/>
    <m/>
    <s v="BOTRO"/>
    <m/>
    <s v="W-11 Mar"/>
  </r>
  <r>
    <n v="294"/>
    <d v="2026-03-12T00:00:00"/>
    <x v="25"/>
    <s v="RM"/>
    <s v="CASH"/>
    <x v="0"/>
    <s v="BKE-003"/>
    <x v="35"/>
    <x v="35"/>
    <s v="9418LG03"/>
    <s v="0401-0191"/>
    <n v="242"/>
    <n v="82914"/>
    <n v="516"/>
    <n v="43280"/>
    <n v="42764"/>
    <n v="508"/>
    <n v="0"/>
    <n v="8"/>
    <n v="32"/>
    <n v="42732"/>
    <n v="495"/>
    <n v="21152340"/>
    <n v="9.3000000000000007"/>
    <n v="82"/>
    <n v="46.46"/>
    <m/>
    <s v="KOUTO"/>
    <m/>
    <s v="W-11 Mar"/>
  </r>
  <r>
    <n v="295"/>
    <d v="2026-03-12T00:00:00"/>
    <x v="25"/>
    <s v="RM"/>
    <s v="CASH"/>
    <x v="0"/>
    <s v="BKE-002"/>
    <x v="19"/>
    <x v="19"/>
    <s v="1218JF01"/>
    <s v="0426-0440"/>
    <n v="245"/>
    <n v="82116"/>
    <n v="684"/>
    <n v="53640"/>
    <n v="52956"/>
    <n v="675"/>
    <n v="0"/>
    <n v="9"/>
    <n v="36"/>
    <n v="52920"/>
    <n v="490"/>
    <n v="25930800"/>
    <n v="9.1"/>
    <n v="170"/>
    <n v="45.05"/>
    <m/>
    <s v="BOUAKE"/>
    <m/>
    <s v="W-11 Mar"/>
  </r>
  <r>
    <n v="296"/>
    <d v="2026-03-13T00:00:00"/>
    <x v="25"/>
    <s v="RM"/>
    <s v="CREDIT"/>
    <x v="0"/>
    <s v="BKE-001"/>
    <x v="8"/>
    <x v="8"/>
    <s v="4895FV01"/>
    <s v="0426-0340"/>
    <n v="244"/>
    <n v="77640"/>
    <n v="582"/>
    <n v="46880"/>
    <n v="46298"/>
    <n v="567"/>
    <n v="0"/>
    <n v="15"/>
    <n v="60"/>
    <n v="46238"/>
    <n v="485"/>
    <n v="22425430"/>
    <n v="9.9"/>
    <n v="168"/>
    <n v="45.15"/>
    <m/>
    <s v="MANKONO"/>
    <m/>
    <s v="W-11 Mar"/>
  </r>
  <r>
    <n v="297"/>
    <d v="2026-03-13T00:00:00"/>
    <x v="25"/>
    <s v="RM"/>
    <s v="CASH"/>
    <x v="0"/>
    <s v="BKE-001"/>
    <x v="34"/>
    <x v="34"/>
    <s v="3452HA01"/>
    <s v="0426-0432"/>
    <n v="246"/>
    <n v="82137"/>
    <n v="541"/>
    <n v="40780"/>
    <n v="40239"/>
    <n v="531"/>
    <n v="0"/>
    <n v="10"/>
    <n v="40"/>
    <n v="40199"/>
    <n v="490"/>
    <n v="19697510"/>
    <n v="9.4"/>
    <n v="184"/>
    <n v="45.15"/>
    <m/>
    <s v="DABAKALA"/>
    <m/>
    <s v="W-11 Mar"/>
  </r>
  <r>
    <n v="298"/>
    <d v="2026-03-13T00:00:00"/>
    <x v="25"/>
    <s v="RM"/>
    <s v="CREDIT"/>
    <x v="1"/>
    <m/>
    <x v="12"/>
    <x v="12"/>
    <s v="285LA01"/>
    <s v="0429-0005"/>
    <n v="874"/>
    <n v="82161"/>
    <n v="589"/>
    <n v="46220"/>
    <n v="45631"/>
    <n v="569"/>
    <n v="0"/>
    <n v="20"/>
    <n v="80"/>
    <n v="45551"/>
    <n v="495"/>
    <n v="22547745"/>
    <n v="10.1"/>
    <n v="182"/>
    <n v="45.4"/>
    <m/>
    <s v="VAVOUA"/>
    <m/>
    <s v="W-11 Mar"/>
  </r>
  <r>
    <n v="299"/>
    <d v="2026-03-13T00:00:00"/>
    <x v="25"/>
    <s v="RM"/>
    <s v="CREDIT"/>
    <x v="1"/>
    <m/>
    <x v="9"/>
    <x v="9"/>
    <s v="5533KT01"/>
    <s v="0419-0180"/>
    <n v="875"/>
    <n v="82105"/>
    <n v="691"/>
    <n v="54420"/>
    <n v="53729"/>
    <n v="671"/>
    <n v="0"/>
    <n v="20"/>
    <n v="80"/>
    <n v="53649"/>
    <n v="495"/>
    <n v="26556255"/>
    <n v="10.199999999999999"/>
    <n v="174"/>
    <n v="46.11"/>
    <m/>
    <s v="VAVOUA"/>
    <m/>
    <s v="W-11 Mar"/>
  </r>
  <r>
    <n v="300"/>
    <d v="2026-03-13T00:00:00"/>
    <x v="25"/>
    <s v="RM"/>
    <s v="CREDIT"/>
    <x v="1"/>
    <m/>
    <x v="9"/>
    <x v="9"/>
    <s v="5739GN01"/>
    <s v="0419-0180"/>
    <n v="876"/>
    <n v="82103"/>
    <n v="587"/>
    <n v="49740"/>
    <n v="49153"/>
    <n v="567"/>
    <n v="0"/>
    <n v="20"/>
    <n v="80"/>
    <n v="49073"/>
    <n v="495"/>
    <n v="24291135"/>
    <n v="10"/>
    <n v="175"/>
    <n v="45.93"/>
    <m/>
    <s v="VAVOUA"/>
    <m/>
    <s v="W-11 Mar"/>
  </r>
  <r>
    <n v="301"/>
    <d v="2026-03-13T00:00:00"/>
    <x v="25"/>
    <s v="RM"/>
    <s v="CREDIT"/>
    <x v="1"/>
    <m/>
    <x v="9"/>
    <x v="9"/>
    <s v="8751EZ01"/>
    <s v="0419-0180"/>
    <n v="877"/>
    <n v="82104"/>
    <n v="660"/>
    <n v="52940"/>
    <n v="52280"/>
    <n v="640"/>
    <n v="0"/>
    <n v="20"/>
    <n v="80"/>
    <n v="52200"/>
    <n v="490"/>
    <n v="25578000"/>
    <n v="11"/>
    <n v="186"/>
    <n v="45.46"/>
    <m/>
    <s v="VAVOUA"/>
    <m/>
    <s v="W-11 Mar"/>
  </r>
  <r>
    <n v="302"/>
    <d v="2026-03-13T00:00:00"/>
    <x v="25"/>
    <s v="RM"/>
    <s v="CREDIT"/>
    <x v="0"/>
    <m/>
    <x v="6"/>
    <x v="6"/>
    <s v="1026FL01"/>
    <m/>
    <m/>
    <m/>
    <m/>
    <n v="0"/>
    <m/>
    <m/>
    <m/>
    <m/>
    <m/>
    <n v="0"/>
    <m/>
    <n v="0"/>
    <n v="10.9"/>
    <n v="188"/>
    <n v="44.26"/>
    <m/>
    <s v="BOTRO"/>
    <s v="REJECT"/>
    <m/>
  </r>
  <r>
    <n v="303"/>
    <d v="2026-03-13T00:00:00"/>
    <x v="25"/>
    <s v="RM"/>
    <s v="CREDIT"/>
    <x v="0"/>
    <m/>
    <x v="10"/>
    <x v="10"/>
    <s v="4981JR01"/>
    <m/>
    <m/>
    <m/>
    <m/>
    <n v="0"/>
    <m/>
    <m/>
    <m/>
    <m/>
    <m/>
    <n v="0"/>
    <m/>
    <n v="0"/>
    <n v="11.8"/>
    <n v="163"/>
    <n v="44.44"/>
    <m/>
    <s v="DABAKALA"/>
    <s v="REJECT"/>
    <m/>
  </r>
  <r>
    <n v="304"/>
    <d v="2026-03-13T00:00:00"/>
    <x v="25"/>
    <s v="RM"/>
    <s v="CREDIT"/>
    <x v="0"/>
    <m/>
    <x v="11"/>
    <x v="11"/>
    <s v="6305EP01"/>
    <m/>
    <m/>
    <m/>
    <m/>
    <n v="0"/>
    <m/>
    <m/>
    <m/>
    <m/>
    <m/>
    <n v="0"/>
    <m/>
    <n v="0"/>
    <n v="8.4"/>
    <n v="187"/>
    <n v="43.73"/>
    <m/>
    <s v="BOUAKE"/>
    <s v="REJECT"/>
    <m/>
  </r>
  <r>
    <n v="305"/>
    <d v="2026-03-13T00:00:00"/>
    <x v="25"/>
    <s v="RM"/>
    <s v="CREDIT"/>
    <x v="0"/>
    <m/>
    <x v="8"/>
    <x v="8"/>
    <s v="6621KS03"/>
    <m/>
    <m/>
    <m/>
    <m/>
    <n v="0"/>
    <m/>
    <m/>
    <m/>
    <m/>
    <m/>
    <n v="0"/>
    <m/>
    <n v="0"/>
    <n v="7.7"/>
    <n v="178"/>
    <n v="42.32"/>
    <m/>
    <s v="SAKASSAU"/>
    <s v="REJECT"/>
    <m/>
  </r>
  <r>
    <n v="306"/>
    <d v="2026-03-13T00:00:00"/>
    <x v="25"/>
    <s v="RM"/>
    <s v="CREDIT"/>
    <x v="0"/>
    <m/>
    <x v="8"/>
    <x v="8"/>
    <s v="AA398TS04"/>
    <m/>
    <m/>
    <m/>
    <m/>
    <n v="0"/>
    <m/>
    <m/>
    <m/>
    <m/>
    <m/>
    <n v="0"/>
    <m/>
    <n v="0"/>
    <n v="12.8"/>
    <n v="185"/>
    <n v="44.44"/>
    <m/>
    <s v="DUEKOUE"/>
    <s v="REJECT"/>
    <m/>
  </r>
  <r>
    <n v="307"/>
    <d v="2026-03-13T00:00:00"/>
    <x v="25"/>
    <s v="RM"/>
    <s v="CREDIT"/>
    <x v="0"/>
    <m/>
    <x v="7"/>
    <x v="7"/>
    <s v="7342GS04"/>
    <m/>
    <m/>
    <m/>
    <m/>
    <n v="0"/>
    <m/>
    <m/>
    <m/>
    <m/>
    <m/>
    <n v="0"/>
    <m/>
    <n v="0"/>
    <n v="9.5"/>
    <n v="180"/>
    <n v="44.09"/>
    <m/>
    <s v="KOROGHO"/>
    <s v="REJECT"/>
    <m/>
  </r>
  <r>
    <n v="308"/>
    <d v="2026-03-13T00:00:00"/>
    <x v="25"/>
    <s v="RM"/>
    <s v="CREDIT"/>
    <x v="0"/>
    <m/>
    <x v="8"/>
    <x v="8"/>
    <s v="6253KU01"/>
    <m/>
    <m/>
    <m/>
    <m/>
    <n v="0"/>
    <m/>
    <m/>
    <m/>
    <m/>
    <m/>
    <n v="0"/>
    <m/>
    <n v="0"/>
    <n v="13.8"/>
    <n v="165"/>
    <n v="44.26"/>
    <m/>
    <s v="VAVOUA"/>
    <s v="REJECT"/>
    <m/>
  </r>
  <r>
    <n v="309"/>
    <d v="2026-03-13T00:00:00"/>
    <x v="25"/>
    <s v="RM"/>
    <s v="CASH"/>
    <x v="1"/>
    <m/>
    <x v="34"/>
    <x v="34"/>
    <s v="AA784AQOI"/>
    <m/>
    <m/>
    <m/>
    <m/>
    <n v="0"/>
    <m/>
    <m/>
    <m/>
    <m/>
    <m/>
    <n v="0"/>
    <m/>
    <n v="0"/>
    <n v="10.199999999999999"/>
    <n v="186"/>
    <n v="42.24"/>
    <m/>
    <s v="NIDROU"/>
    <s v="REJECT"/>
    <m/>
  </r>
  <r>
    <n v="310"/>
    <d v="2026-03-13T00:00:00"/>
    <x v="26"/>
    <s v="RM"/>
    <s v="CASH"/>
    <x v="0"/>
    <s v="BKE-001"/>
    <x v="25"/>
    <x v="25"/>
    <s v="2019GN01"/>
    <s v="0426-0399"/>
    <n v="248"/>
    <n v="82121"/>
    <n v="381"/>
    <n v="32760"/>
    <n v="32379"/>
    <n v="366"/>
    <n v="0"/>
    <n v="15"/>
    <n v="60"/>
    <n v="32319"/>
    <n v="490"/>
    <n v="15836310"/>
    <n v="9.9"/>
    <n v="170"/>
    <n v="45.32"/>
    <m/>
    <s v="BOTRO"/>
    <m/>
    <s v="W-11 Mar"/>
  </r>
  <r>
    <n v="311"/>
    <d v="2026-03-14T00:00:00"/>
    <x v="26"/>
    <s v="RM"/>
    <s v="CREDIT"/>
    <x v="1"/>
    <m/>
    <x v="4"/>
    <x v="4"/>
    <s v="374LK01"/>
    <m/>
    <m/>
    <m/>
    <m/>
    <n v="0"/>
    <m/>
    <m/>
    <m/>
    <m/>
    <m/>
    <n v="0"/>
    <m/>
    <n v="0"/>
    <n v="14.2"/>
    <n v="154"/>
    <n v="43.84"/>
    <m/>
    <s v="TORTIYA"/>
    <s v="REJECT"/>
    <m/>
  </r>
  <r>
    <n v="312"/>
    <d v="2026-03-14T00:00:00"/>
    <x v="26"/>
    <s v="RM"/>
    <s v="CREDIT"/>
    <x v="1"/>
    <m/>
    <x v="9"/>
    <x v="9"/>
    <s v="2744KK02"/>
    <s v="0419-0180"/>
    <n v="878"/>
    <n v="82108"/>
    <n v="506"/>
    <n v="39300"/>
    <n v="38794"/>
    <n v="486"/>
    <n v="0"/>
    <n v="20"/>
    <n v="80"/>
    <n v="38714"/>
    <n v="495"/>
    <n v="19163430"/>
    <n v="10.9"/>
    <n v="187"/>
    <n v="46.11"/>
    <m/>
    <s v="VAVOUA"/>
    <m/>
    <s v="W-11 Mar"/>
  </r>
  <r>
    <n v="313"/>
    <d v="2026-03-14T00:00:00"/>
    <x v="26"/>
    <s v="RM"/>
    <s v="CREDIT"/>
    <x v="0"/>
    <s v="BKE-002"/>
    <x v="10"/>
    <x v="10"/>
    <s v="AA869FY01"/>
    <s v="0425-0212"/>
    <n v="246"/>
    <n v="82147"/>
    <n v="540"/>
    <n v="44880"/>
    <n v="44340"/>
    <n v="532"/>
    <n v="0"/>
    <n v="8"/>
    <n v="32"/>
    <n v="44308"/>
    <n v="495"/>
    <n v="21932460"/>
    <n v="8.6"/>
    <n v="166"/>
    <n v="47.26"/>
    <m/>
    <s v="DABAKALA"/>
    <m/>
    <s v="W-11 Mar"/>
  </r>
  <r>
    <n v="314"/>
    <d v="2026-03-14T00:00:00"/>
    <x v="26"/>
    <s v="RM"/>
    <s v="CREDIT"/>
    <x v="0"/>
    <s v="BKE-003"/>
    <x v="20"/>
    <x v="20"/>
    <s v="2698JR03"/>
    <s v="0425-0001"/>
    <n v="247"/>
    <n v="82154"/>
    <n v="444"/>
    <n v="38960"/>
    <n v="38516"/>
    <n v="439"/>
    <n v="0"/>
    <n v="5"/>
    <n v="20"/>
    <n v="38496"/>
    <n v="490"/>
    <n v="18863040"/>
    <n v="8"/>
    <n v="161"/>
    <n v="46.2"/>
    <m/>
    <s v="KATIOLA"/>
    <m/>
    <s v="W-11 Mar"/>
  </r>
  <r>
    <n v="315"/>
    <d v="2026-03-14T00:00:00"/>
    <x v="26"/>
    <s v="RM"/>
    <s v="CREDIT"/>
    <x v="0"/>
    <s v="BKE-002"/>
    <x v="0"/>
    <x v="0"/>
    <s v="3272JE01"/>
    <s v="0401-0007"/>
    <n v="102"/>
    <n v="82126"/>
    <n v="563"/>
    <n v="46780"/>
    <n v="46217"/>
    <n v="553"/>
    <n v="0"/>
    <n v="10"/>
    <n v="40"/>
    <n v="46177"/>
    <n v="480"/>
    <n v="22164960"/>
    <n v="10.5"/>
    <n v="166"/>
    <n v="44.26"/>
    <m/>
    <s v="BOTRO"/>
    <m/>
    <s v="W-11 Mar"/>
  </r>
  <r>
    <n v="316"/>
    <d v="2026-03-14T00:00:00"/>
    <x v="26"/>
    <s v="RM"/>
    <s v="CREDIT"/>
    <x v="0"/>
    <s v="BKE-001"/>
    <x v="8"/>
    <x v="8"/>
    <s v="1760GZ03"/>
    <s v="0426-0340"/>
    <n v="101"/>
    <n v="77646"/>
    <n v="668"/>
    <n v="51140"/>
    <n v="50472"/>
    <n v="646"/>
    <n v="0"/>
    <n v="22"/>
    <n v="88"/>
    <n v="50384"/>
    <n v="485"/>
    <n v="24436240"/>
    <n v="11.5"/>
    <n v="178"/>
    <n v="45.06"/>
    <m/>
    <s v="DUEKOUE"/>
    <m/>
    <s v="W-11 Mar"/>
  </r>
  <r>
    <n v="317"/>
    <d v="2026-03-14T00:00:00"/>
    <x v="26"/>
    <s v="RM"/>
    <s v="CREDIT"/>
    <x v="0"/>
    <s v="BKE-003"/>
    <x v="13"/>
    <x v="13"/>
    <s v="2384JV01"/>
    <s v="0426-0365"/>
    <n v="250"/>
    <n v="66919"/>
    <n v="454"/>
    <n v="40560"/>
    <n v="40106"/>
    <n v="447"/>
    <n v="0"/>
    <n v="7"/>
    <n v="28"/>
    <n v="40078"/>
    <n v="485"/>
    <n v="19437830"/>
    <n v="9.6999999999999993"/>
    <n v="181"/>
    <n v="45.5"/>
    <m/>
    <s v="DIANRA"/>
    <m/>
    <s v="W-11 Mar"/>
  </r>
  <r>
    <n v="318"/>
    <d v="2026-03-14T00:00:00"/>
    <x v="26"/>
    <s v="RM"/>
    <s v="CREDIT"/>
    <x v="0"/>
    <m/>
    <x v="8"/>
    <x v="8"/>
    <s v="338KX01"/>
    <m/>
    <m/>
    <m/>
    <m/>
    <n v="0"/>
    <m/>
    <m/>
    <m/>
    <m/>
    <m/>
    <n v="0"/>
    <m/>
    <n v="0"/>
    <n v="10.9"/>
    <n v="177"/>
    <n v="44.26"/>
    <m/>
    <s v="DUEKOUE"/>
    <s v="REJECT"/>
    <m/>
  </r>
  <r>
    <n v="319"/>
    <d v="2026-03-14T00:00:00"/>
    <x v="27"/>
    <s v="RM"/>
    <s v="CREDIT"/>
    <x v="0"/>
    <s v="BKE-003"/>
    <x v="8"/>
    <x v="8"/>
    <s v="4539CT01"/>
    <s v="0426-0340"/>
    <n v="103"/>
    <n v="77645"/>
    <n v="449"/>
    <n v="45100"/>
    <n v="44651"/>
    <n v="433"/>
    <n v="0"/>
    <n v="11"/>
    <n v="44"/>
    <n v="44607"/>
    <n v="485"/>
    <n v="21634395"/>
    <n v="8.9"/>
    <n v="182"/>
    <n v="45.32"/>
    <m/>
    <s v="DUEKOUE"/>
    <m/>
    <s v="W-11 Mar"/>
  </r>
  <r>
    <n v="320"/>
    <d v="2026-03-14T00:00:00"/>
    <x v="27"/>
    <s v="RM"/>
    <s v="CREDIT"/>
    <x v="0"/>
    <s v="BKE-001"/>
    <x v="13"/>
    <x v="13"/>
    <s v="AA057ER03"/>
    <s v="0426-0365"/>
    <n v="104"/>
    <n v="72543"/>
    <n v="509"/>
    <n v="38040"/>
    <n v="37531"/>
    <n v="494"/>
    <n v="0"/>
    <n v="15"/>
    <n v="60"/>
    <n v="37471"/>
    <n v="485"/>
    <n v="18173435"/>
    <n v="7.1"/>
    <n v="170"/>
    <n v="45.06"/>
    <m/>
    <s v="DIANRA"/>
    <m/>
    <s v="W-11 Mar"/>
  </r>
  <r>
    <n v="321"/>
    <d v="2026-03-14T00:00:00"/>
    <x v="27"/>
    <s v="RM"/>
    <s v="CASH"/>
    <x v="0"/>
    <s v="BKE-001"/>
    <x v="16"/>
    <x v="16"/>
    <s v="2505KE01"/>
    <s v="0427-0133"/>
    <n v="105"/>
    <n v="82157"/>
    <n v="477"/>
    <n v="40260"/>
    <n v="39783"/>
    <n v="471"/>
    <n v="0"/>
    <n v="6"/>
    <n v="24"/>
    <n v="39759"/>
    <n v="490"/>
    <n v="19481910"/>
    <n v="9.1"/>
    <n v="179"/>
    <n v="45.5"/>
    <m/>
    <s v="DIANRA"/>
    <m/>
    <s v="W-11 Mar"/>
  </r>
  <r>
    <n v="322"/>
    <d v="2026-03-14T00:00:00"/>
    <x v="27"/>
    <s v="RM"/>
    <s v="CREDIT"/>
    <x v="0"/>
    <s v="BKE-002"/>
    <x v="8"/>
    <x v="8"/>
    <s v="5545JE01"/>
    <s v="0426-0340"/>
    <n v="106"/>
    <n v="82127"/>
    <n v="477"/>
    <n v="39540"/>
    <n v="39063"/>
    <n v="462"/>
    <n v="0"/>
    <n v="15"/>
    <n v="60"/>
    <n v="39003"/>
    <n v="485"/>
    <n v="18916455"/>
    <n v="10.8"/>
    <n v="169"/>
    <n v="45.15"/>
    <m/>
    <s v="MANKONO"/>
    <m/>
    <s v="W-11 Mar"/>
  </r>
  <r>
    <n v="323"/>
    <d v="2026-03-15T00:00:00"/>
    <x v="27"/>
    <s v="RM"/>
    <s v="CREDIT"/>
    <x v="0"/>
    <s v="BKE-003"/>
    <x v="6"/>
    <x v="6"/>
    <s v="28JZ01"/>
    <s v="0426-0347"/>
    <n v="107"/>
    <n v="77635"/>
    <n v="507"/>
    <n v="41860"/>
    <n v="41353"/>
    <n v="496"/>
    <n v="0"/>
    <n v="11"/>
    <n v="44"/>
    <n v="41309"/>
    <n v="490"/>
    <n v="20241410"/>
    <n v="9.6999999999999993"/>
    <n v="174"/>
    <n v="46.23"/>
    <m/>
    <s v="VAVOUA"/>
    <m/>
    <s v="W-11 Mar"/>
  </r>
  <r>
    <n v="324"/>
    <d v="2026-03-15T00:00:00"/>
    <x v="27"/>
    <s v="RM"/>
    <s v="CREDIT"/>
    <x v="0"/>
    <m/>
    <x v="6"/>
    <x v="6"/>
    <s v="3272JE01"/>
    <m/>
    <m/>
    <m/>
    <m/>
    <n v="0"/>
    <m/>
    <m/>
    <m/>
    <m/>
    <m/>
    <n v="0"/>
    <m/>
    <n v="0"/>
    <n v="11.8"/>
    <n v="173"/>
    <n v="43.38"/>
    <m/>
    <s v="BOTRO"/>
    <s v="REJECT"/>
    <m/>
  </r>
  <r>
    <n v="325"/>
    <d v="2026-03-15T00:00:00"/>
    <x v="27"/>
    <s v="RM"/>
    <s v="CASH"/>
    <x v="0"/>
    <m/>
    <x v="25"/>
    <x v="25"/>
    <s v="5544FU01"/>
    <m/>
    <m/>
    <m/>
    <m/>
    <n v="0"/>
    <m/>
    <m/>
    <m/>
    <m/>
    <m/>
    <n v="0"/>
    <m/>
    <n v="0"/>
    <n v="8.4"/>
    <n v="177"/>
    <n v="41.62"/>
    <m/>
    <s v="TENGRELA"/>
    <s v="REJECT"/>
    <m/>
  </r>
  <r>
    <n v="326"/>
    <d v="2026-03-15T00:00:00"/>
    <x v="27"/>
    <s v="RM"/>
    <s v="CREDIT"/>
    <x v="1"/>
    <m/>
    <x v="3"/>
    <x v="3"/>
    <s v="AV6034JEO3"/>
    <m/>
    <m/>
    <m/>
    <m/>
    <n v="0"/>
    <m/>
    <m/>
    <m/>
    <m/>
    <m/>
    <n v="0"/>
    <m/>
    <n v="0"/>
    <n v="10"/>
    <n v="181"/>
    <n v="42.76"/>
    <m/>
    <s v="DUEKOUE"/>
    <s v="REJECT"/>
    <m/>
  </r>
  <r>
    <n v="327"/>
    <d v="2026-03-15T00:00:00"/>
    <x v="27"/>
    <s v="RM"/>
    <s v="CREDIT"/>
    <x v="1"/>
    <m/>
    <x v="11"/>
    <x v="11"/>
    <s v="AV2319LR01"/>
    <m/>
    <m/>
    <m/>
    <m/>
    <n v="0"/>
    <m/>
    <m/>
    <m/>
    <m/>
    <m/>
    <n v="0"/>
    <m/>
    <n v="0"/>
    <n v="13.8"/>
    <n v="189"/>
    <n v="39.6"/>
    <m/>
    <s v="VAVOUA"/>
    <s v="REJECT"/>
    <m/>
  </r>
  <r>
    <n v="328"/>
    <d v="2026-03-15T00:00:00"/>
    <x v="28"/>
    <s v="RM"/>
    <s v="CREDIT"/>
    <x v="0"/>
    <s v="BKE-001"/>
    <x v="2"/>
    <x v="2"/>
    <s v="8287GH03"/>
    <s v="0426-0187"/>
    <n v="108"/>
    <n v="82869"/>
    <n v="475"/>
    <n v="39880"/>
    <n v="39405"/>
    <n v="455"/>
    <n v="0"/>
    <n v="20"/>
    <n v="80"/>
    <n v="39325"/>
    <n v="485"/>
    <n v="19072625"/>
    <n v="12.2"/>
    <n v="189"/>
    <n v="45.15"/>
    <m/>
    <s v="DABAKALA"/>
    <m/>
    <s v="W-12 Mar"/>
  </r>
  <r>
    <n v="329"/>
    <d v="2026-03-15T00:00:00"/>
    <x v="28"/>
    <s v="RM"/>
    <s v="CREDIT"/>
    <x v="0"/>
    <s v="BKE-003"/>
    <x v="5"/>
    <x v="5"/>
    <s v="3337KC01"/>
    <s v="0426-0194"/>
    <n v="111"/>
    <n v="82600"/>
    <n v="242"/>
    <n v="21120"/>
    <n v="20878"/>
    <n v="236"/>
    <n v="0"/>
    <n v="6"/>
    <n v="24"/>
    <n v="20854"/>
    <n v="485"/>
    <n v="10114190"/>
    <n v="7.7"/>
    <n v="172"/>
    <n v="45.5"/>
    <m/>
    <s v="MANKONO"/>
    <m/>
    <s v="W-12 Mar"/>
  </r>
  <r>
    <n v="330"/>
    <d v="2026-03-15T00:00:00"/>
    <x v="28"/>
    <s v="RM"/>
    <s v="CREDIT"/>
    <x v="0"/>
    <s v="BKE-001"/>
    <x v="17"/>
    <x v="17"/>
    <s v="4137LG04"/>
    <s v="0425-0055"/>
    <n v="109"/>
    <n v="82143"/>
    <n v="512"/>
    <n v="43640"/>
    <n v="43128"/>
    <n v="502"/>
    <n v="0"/>
    <n v="10"/>
    <n v="40"/>
    <n v="43088"/>
    <n v="490"/>
    <n v="21113120"/>
    <n v="11"/>
    <n v="164"/>
    <n v="46.03"/>
    <m/>
    <s v="KATIOLA"/>
    <m/>
    <s v="W-12 Mar"/>
  </r>
  <r>
    <n v="331"/>
    <d v="2026-03-16T00:00:00"/>
    <x v="28"/>
    <s v="RM"/>
    <s v="CREDIT"/>
    <x v="0"/>
    <s v="BKE-003"/>
    <x v="20"/>
    <x v="20"/>
    <s v="5453GN01"/>
    <s v="0425-0001"/>
    <n v="110"/>
    <n v="82153"/>
    <n v="443"/>
    <n v="38920"/>
    <n v="38477"/>
    <n v="438"/>
    <n v="0"/>
    <n v="5"/>
    <n v="20"/>
    <n v="38457"/>
    <n v="490"/>
    <n v="18843930"/>
    <n v="9.1"/>
    <n v="160"/>
    <n v="46.03"/>
    <m/>
    <s v="KATIOLA"/>
    <m/>
    <s v="W-12 Mar"/>
  </r>
  <r>
    <n v="332"/>
    <d v="2026-03-16T00:00:00"/>
    <x v="28"/>
    <s v="RM"/>
    <s v="CREDIT"/>
    <x v="0"/>
    <s v="BKE-001"/>
    <x v="6"/>
    <x v="6"/>
    <s v="1026FL01"/>
    <s v="0426-0347"/>
    <n v="112"/>
    <n v="82481"/>
    <n v="407"/>
    <n v="36680"/>
    <n v="36273"/>
    <n v="401"/>
    <n v="0"/>
    <n v="6"/>
    <n v="24"/>
    <n v="36249"/>
    <n v="485"/>
    <n v="17580765"/>
    <n v="10.3"/>
    <n v="166"/>
    <n v="45.06"/>
    <m/>
    <s v="BOUAKE"/>
    <m/>
    <s v="W-12 Mar"/>
  </r>
  <r>
    <n v="333"/>
    <d v="2026-03-16T00:00:00"/>
    <x v="28"/>
    <s v="RM"/>
    <s v="CREDIT"/>
    <x v="0"/>
    <s v="BKE-003"/>
    <x v="8"/>
    <x v="8"/>
    <s v="AA301XS"/>
    <s v="0426-0340"/>
    <n v="113"/>
    <n v="77644"/>
    <n v="529"/>
    <n v="44100"/>
    <n v="43571"/>
    <n v="517"/>
    <n v="0"/>
    <n v="12"/>
    <n v="48"/>
    <n v="43523"/>
    <n v="490"/>
    <n v="21326270"/>
    <n v="8.8000000000000007"/>
    <n v="182"/>
    <n v="45.15"/>
    <m/>
    <s v="KONG"/>
    <m/>
    <s v="W-12 Mar"/>
  </r>
  <r>
    <n v="334"/>
    <d v="2026-03-16T00:00:00"/>
    <x v="28"/>
    <s v="RM"/>
    <s v="CREDIT"/>
    <x v="1"/>
    <m/>
    <x v="10"/>
    <x v="10"/>
    <s v="5176LG04"/>
    <s v="0425-0212"/>
    <n v="879"/>
    <n v="82146"/>
    <n v="466"/>
    <n v="39700"/>
    <n v="39234"/>
    <n v="453"/>
    <n v="0"/>
    <n v="14"/>
    <n v="56"/>
    <n v="39178"/>
    <n v="495"/>
    <n v="19393110"/>
    <n v="12.6"/>
    <n v="174"/>
    <n v="45.23"/>
    <m/>
    <s v="BONIEREDOUGOU"/>
    <m/>
    <s v="W-12 Mar"/>
  </r>
  <r>
    <n v="335"/>
    <d v="2026-03-16T00:00:00"/>
    <x v="28"/>
    <s v="RM"/>
    <s v="CREDIT"/>
    <x v="1"/>
    <m/>
    <x v="9"/>
    <x v="9"/>
    <s v="8751EZ01"/>
    <s v="0419-0180"/>
    <n v="880"/>
    <n v="82109"/>
    <n v="713"/>
    <n v="53060"/>
    <n v="52347"/>
    <n v="691"/>
    <n v="0"/>
    <n v="22"/>
    <n v="88"/>
    <n v="52259"/>
    <n v="490"/>
    <n v="25606910"/>
    <n v="10.8"/>
    <n v="193"/>
    <n v="45.05"/>
    <m/>
    <s v="VAVOUA"/>
    <m/>
    <s v="W-12 Mar"/>
  </r>
  <r>
    <n v="336"/>
    <d v="2026-03-16T00:00:00"/>
    <x v="28"/>
    <s v="RM"/>
    <s v="CREDIT"/>
    <x v="1"/>
    <m/>
    <x v="12"/>
    <x v="12"/>
    <s v="285LA01"/>
    <s v="0429-0005"/>
    <n v="881"/>
    <n v="82163"/>
    <n v="577"/>
    <n v="46240"/>
    <n v="45663"/>
    <n v="572"/>
    <n v="0"/>
    <n v="5"/>
    <n v="20"/>
    <n v="45643"/>
    <n v="490"/>
    <n v="22365070"/>
    <n v="10.6"/>
    <n v="180"/>
    <n v="45.15"/>
    <m/>
    <s v="VAVOUA"/>
    <m/>
    <s v="W-12 Mar"/>
  </r>
  <r>
    <n v="337"/>
    <d v="2026-03-16T00:00:00"/>
    <x v="28"/>
    <s v="RM"/>
    <s v="CREDIT"/>
    <x v="1"/>
    <m/>
    <x v="9"/>
    <x v="9"/>
    <s v="AV2744KK02"/>
    <s v="0419-0180"/>
    <n v="882"/>
    <n v="70328"/>
    <n v="534"/>
    <n v="42360"/>
    <n v="41826"/>
    <n v="513"/>
    <n v="0"/>
    <n v="21"/>
    <n v="84"/>
    <n v="41742"/>
    <n v="495"/>
    <n v="20662290"/>
    <n v="10.7"/>
    <n v="175"/>
    <n v="46.46"/>
    <m/>
    <s v="VAVOUA"/>
    <m/>
    <s v="W-12 Mar"/>
  </r>
  <r>
    <n v="338"/>
    <d v="2026-03-16T00:00:00"/>
    <x v="28"/>
    <s v="RM"/>
    <s v="CREDIT"/>
    <x v="0"/>
    <m/>
    <x v="1"/>
    <x v="1"/>
    <s v="120GZ01"/>
    <m/>
    <m/>
    <m/>
    <m/>
    <n v="0"/>
    <m/>
    <m/>
    <m/>
    <m/>
    <m/>
    <n v="0"/>
    <m/>
    <n v="0"/>
    <n v="8.4"/>
    <n v="172"/>
    <n v="43.38"/>
    <m/>
    <s v="MANKONO"/>
    <s v="REJECT"/>
    <m/>
  </r>
  <r>
    <n v="339"/>
    <d v="2026-03-16T00:00:00"/>
    <x v="28"/>
    <s v="RM"/>
    <s v="CREDIT"/>
    <x v="0"/>
    <m/>
    <x v="1"/>
    <x v="1"/>
    <s v="2276KL04"/>
    <m/>
    <m/>
    <m/>
    <m/>
    <n v="0"/>
    <m/>
    <m/>
    <m/>
    <m/>
    <m/>
    <n v="0"/>
    <m/>
    <n v="0"/>
    <n v="9.4"/>
    <n v="168"/>
    <n v="43.03"/>
    <m/>
    <s v="MANKONO"/>
    <s v="REJECT"/>
    <m/>
  </r>
  <r>
    <n v="340"/>
    <d v="2026-03-16T00:00:00"/>
    <x v="28"/>
    <s v="RM"/>
    <s v="CREDIT"/>
    <x v="0"/>
    <m/>
    <x v="15"/>
    <x v="15"/>
    <s v="6336GP03"/>
    <m/>
    <m/>
    <m/>
    <m/>
    <n v="0"/>
    <m/>
    <m/>
    <m/>
    <m/>
    <m/>
    <n v="0"/>
    <m/>
    <n v="0"/>
    <n v="9.6"/>
    <n v="172"/>
    <n v="43.91"/>
    <m/>
    <s v="DIANRA"/>
    <s v="REJECT"/>
    <m/>
  </r>
  <r>
    <n v="341"/>
    <d v="2026-03-16T00:00:00"/>
    <x v="28"/>
    <s v="RM"/>
    <s v="CREDIT"/>
    <x v="0"/>
    <m/>
    <x v="8"/>
    <x v="8"/>
    <s v="33HK01"/>
    <m/>
    <m/>
    <m/>
    <m/>
    <n v="0"/>
    <m/>
    <m/>
    <m/>
    <m/>
    <m/>
    <n v="0"/>
    <m/>
    <n v="0"/>
    <n v="11.7"/>
    <n v="185"/>
    <n v="43.91"/>
    <m/>
    <s v="SAKASSAU"/>
    <s v="REJECT"/>
    <m/>
  </r>
  <r>
    <n v="342"/>
    <d v="2026-03-16T00:00:00"/>
    <x v="28"/>
    <s v="RM"/>
    <s v="CREDIT"/>
    <x v="0"/>
    <m/>
    <x v="15"/>
    <x v="15"/>
    <s v="1028FN03"/>
    <m/>
    <m/>
    <m/>
    <m/>
    <n v="0"/>
    <m/>
    <m/>
    <m/>
    <m/>
    <m/>
    <n v="0"/>
    <m/>
    <n v="0"/>
    <n v="10.4"/>
    <n v="168"/>
    <n v="41.62"/>
    <m/>
    <s v="KOROGHO"/>
    <s v="REJECT"/>
    <m/>
  </r>
  <r>
    <n v="343"/>
    <d v="2026-03-16T00:00:00"/>
    <x v="29"/>
    <s v="RM"/>
    <s v="CASH"/>
    <x v="1"/>
    <m/>
    <x v="36"/>
    <x v="36"/>
    <s v="AA680YJ03"/>
    <s v="0321-0019"/>
    <n v="883"/>
    <n v="72634"/>
    <n v="364"/>
    <n v="33740"/>
    <n v="33376"/>
    <n v="350"/>
    <n v="0"/>
    <n v="14"/>
    <n v="56"/>
    <n v="33320"/>
    <n v="475"/>
    <n v="15827000"/>
    <n v="9.9"/>
    <n v="199"/>
    <n v="44.35"/>
    <m/>
    <s v="BONDUKOU"/>
    <m/>
    <s v="W-12 Mar"/>
  </r>
  <r>
    <n v="344"/>
    <d v="2026-03-16T00:00:00"/>
    <x v="29"/>
    <s v="RM"/>
    <s v="CREDIT"/>
    <x v="1"/>
    <m/>
    <x v="18"/>
    <x v="18"/>
    <s v="32LA01"/>
    <s v="0420-0251"/>
    <n v="884"/>
    <n v="82115"/>
    <n v="465"/>
    <n v="40520"/>
    <n v="40055"/>
    <n v="440"/>
    <n v="0"/>
    <n v="25"/>
    <n v="100"/>
    <n v="39955"/>
    <n v="475"/>
    <n v="18978625"/>
    <n v="11.2"/>
    <n v="166"/>
    <n v="44.17"/>
    <m/>
    <s v="DIANRA"/>
    <m/>
    <s v="W-12 Mar"/>
  </r>
  <r>
    <n v="345"/>
    <d v="2026-03-17T00:00:00"/>
    <x v="29"/>
    <s v="RM"/>
    <s v="CASH"/>
    <x v="0"/>
    <m/>
    <x v="26"/>
    <x v="26"/>
    <s v="4972KB01"/>
    <m/>
    <m/>
    <m/>
    <m/>
    <n v="0"/>
    <m/>
    <m/>
    <m/>
    <m/>
    <m/>
    <n v="0"/>
    <m/>
    <n v="0"/>
    <n v="8.4"/>
    <n v="168"/>
    <n v="41.44"/>
    <m/>
    <s v="DIKODOUGOU"/>
    <s v="REJECT"/>
    <m/>
  </r>
  <r>
    <n v="346"/>
    <d v="2026-03-17T00:00:00"/>
    <x v="29"/>
    <s v="RM"/>
    <s v="CREDIT"/>
    <x v="0"/>
    <s v="BKE-003"/>
    <x v="6"/>
    <x v="6"/>
    <s v="3272JE01"/>
    <s v="0426-0347"/>
    <n v="114"/>
    <n v="82155"/>
    <n v="545"/>
    <n v="44480"/>
    <n v="43935"/>
    <n v="533"/>
    <n v="0"/>
    <n v="12"/>
    <n v="48"/>
    <n v="43887"/>
    <n v="490"/>
    <n v="21504630"/>
    <n v="10"/>
    <n v="171"/>
    <n v="46.03"/>
    <m/>
    <s v="BOTRO"/>
    <m/>
    <s v="W-12 Mar"/>
  </r>
  <r>
    <n v="347"/>
    <d v="2026-03-17T00:00:00"/>
    <x v="29"/>
    <s v="RM"/>
    <s v="CASH"/>
    <x v="0"/>
    <s v="BKE-003"/>
    <x v="25"/>
    <x v="25"/>
    <s v="6978EQ01"/>
    <s v="0426-0399"/>
    <n v="115"/>
    <n v="82485"/>
    <n v="352"/>
    <n v="31720"/>
    <n v="31368"/>
    <n v="337"/>
    <n v="0"/>
    <n v="15"/>
    <n v="60"/>
    <n v="31308"/>
    <n v="495"/>
    <n v="15497460"/>
    <n v="7.4"/>
    <n v="175"/>
    <n v="46.56"/>
    <m/>
    <s v="BOTRO"/>
    <m/>
    <s v="W-12 Mar"/>
  </r>
  <r>
    <n v="348"/>
    <d v="2026-03-17T00:00:00"/>
    <x v="29"/>
    <s v="RM"/>
    <s v="CREDIT"/>
    <x v="0"/>
    <s v="BKE-003"/>
    <x v="13"/>
    <x v="13"/>
    <s v="AA057ER03"/>
    <s v="0426-0365"/>
    <n v="117"/>
    <n v="82164"/>
    <n v="479"/>
    <n v="39920"/>
    <n v="39441"/>
    <n v="469"/>
    <n v="0"/>
    <n v="10"/>
    <n v="40"/>
    <n v="39401"/>
    <n v="490"/>
    <n v="19306490"/>
    <n v="9.4"/>
    <n v="162"/>
    <n v="46.03"/>
    <m/>
    <s v="DIANRA"/>
    <m/>
    <s v="W-12 Mar"/>
  </r>
  <r>
    <n v="349"/>
    <d v="2026-03-17T00:00:00"/>
    <x v="29"/>
    <s v="RM"/>
    <s v="CASH"/>
    <x v="0"/>
    <s v="BKE-001"/>
    <x v="37"/>
    <x v="37"/>
    <s v="3591LR01"/>
    <s v="0426-0285"/>
    <n v="118"/>
    <n v="78709"/>
    <n v="472"/>
    <n v="40160"/>
    <n v="39688"/>
    <n v="457"/>
    <n v="0"/>
    <n v="15"/>
    <n v="60"/>
    <n v="39628"/>
    <n v="490"/>
    <n v="19417720"/>
    <n v="10.199999999999999"/>
    <n v="192"/>
    <n v="45.05"/>
    <m/>
    <s v="DABAKALA"/>
    <m/>
    <s v="W-12 Mar"/>
  </r>
  <r>
    <n v="350"/>
    <d v="2026-03-17T00:00:00"/>
    <x v="29"/>
    <s v="RM"/>
    <s v="CREDIT"/>
    <x v="1"/>
    <m/>
    <x v="9"/>
    <x v="9"/>
    <s v="AA944AR"/>
    <s v="0419-0180"/>
    <n v="885"/>
    <n v="70329"/>
    <n v="632"/>
    <n v="51320"/>
    <n v="50688"/>
    <n v="610"/>
    <n v="0"/>
    <n v="22"/>
    <n v="88"/>
    <n v="50600"/>
    <n v="490"/>
    <n v="24794000"/>
    <n v="10.8"/>
    <n v="189"/>
    <n v="45.23"/>
    <m/>
    <s v="VAVOUA"/>
    <m/>
    <s v="W-12 Mar"/>
  </r>
  <r>
    <n v="351"/>
    <d v="2026-03-17T00:00:00"/>
    <x v="29"/>
    <s v="RM"/>
    <s v="CREDIT"/>
    <x v="1"/>
    <m/>
    <x v="10"/>
    <x v="10"/>
    <s v="4981JR04"/>
    <s v="0425-0212"/>
    <n v="886"/>
    <n v="82486"/>
    <n v="467"/>
    <n v="41540"/>
    <n v="41073"/>
    <n v="446"/>
    <n v="0"/>
    <n v="21"/>
    <n v="84"/>
    <n v="40989"/>
    <n v="495"/>
    <n v="20289555"/>
    <n v="11.4"/>
    <n v="168"/>
    <n v="45.4"/>
    <m/>
    <s v="BONIEREDOUGOU"/>
    <m/>
    <s v="W-12 Mar"/>
  </r>
  <r>
    <n v="352"/>
    <d v="2026-03-17T00:00:00"/>
    <x v="29"/>
    <s v="RM"/>
    <s v="CREDIT"/>
    <x v="0"/>
    <m/>
    <x v="11"/>
    <x v="11"/>
    <s v="9082GC01"/>
    <m/>
    <m/>
    <m/>
    <m/>
    <n v="0"/>
    <m/>
    <m/>
    <m/>
    <m/>
    <m/>
    <n v="0"/>
    <m/>
    <n v="0"/>
    <n v="11.2"/>
    <n v="165"/>
    <n v="43.56"/>
    <m/>
    <s v="DIKODOUGOU"/>
    <s v="REJECT"/>
    <m/>
  </r>
  <r>
    <n v="353"/>
    <d v="2026-03-17T00:00:00"/>
    <x v="29"/>
    <s v="RM"/>
    <s v="CREDIT"/>
    <x v="0"/>
    <m/>
    <x v="11"/>
    <x v="11"/>
    <s v="334HT04"/>
    <m/>
    <m/>
    <m/>
    <m/>
    <n v="0"/>
    <m/>
    <m/>
    <m/>
    <m/>
    <m/>
    <n v="0"/>
    <m/>
    <n v="0"/>
    <n v="12.9"/>
    <n v="160"/>
    <n v="43.73"/>
    <m/>
    <s v="KATIOLA"/>
    <s v="REJECT"/>
    <m/>
  </r>
  <r>
    <n v="354"/>
    <d v="2026-03-17T00:00:00"/>
    <x v="29"/>
    <s v="RM"/>
    <s v="CREDIT"/>
    <x v="0"/>
    <m/>
    <x v="5"/>
    <x v="5"/>
    <s v="2023HF01"/>
    <m/>
    <m/>
    <m/>
    <m/>
    <n v="0"/>
    <m/>
    <m/>
    <m/>
    <m/>
    <m/>
    <n v="0"/>
    <m/>
    <n v="0"/>
    <n v="12.8"/>
    <n v="152"/>
    <n v="43.03"/>
    <m/>
    <s v="BEOUMI"/>
    <s v="REJECT"/>
    <m/>
  </r>
  <r>
    <n v="355"/>
    <d v="2026-03-17T00:00:00"/>
    <x v="29"/>
    <m/>
    <m/>
    <x v="1"/>
    <m/>
    <x v="31"/>
    <x v="38"/>
    <s v="AA286TBO1/1046HYO1"/>
    <m/>
    <m/>
    <m/>
    <m/>
    <n v="0"/>
    <m/>
    <m/>
    <m/>
    <m/>
    <m/>
    <n v="0"/>
    <m/>
    <n v="0"/>
    <n v="10"/>
    <n v="182"/>
    <n v="43.29"/>
    <m/>
    <s v="TOCIBA"/>
    <s v="REJECT"/>
    <m/>
  </r>
  <r>
    <n v="356"/>
    <d v="2026-03-17T00:00:00"/>
    <x v="29"/>
    <m/>
    <m/>
    <x v="1"/>
    <m/>
    <x v="31"/>
    <x v="38"/>
    <s v="AA937LNAR7363ELO1"/>
    <m/>
    <m/>
    <m/>
    <m/>
    <n v="0"/>
    <m/>
    <m/>
    <m/>
    <m/>
    <m/>
    <n v="0"/>
    <m/>
    <n v="0"/>
    <n v="9.8000000000000007"/>
    <n v="171"/>
    <n v="41.62"/>
    <m/>
    <s v="DIANRA "/>
    <s v="REJECT"/>
    <m/>
  </r>
  <r>
    <n v="357"/>
    <d v="2026-03-17T00:00:00"/>
    <x v="30"/>
    <s v="RM"/>
    <s v="CREDIT"/>
    <x v="0"/>
    <s v="BKE-002"/>
    <x v="2"/>
    <x v="2"/>
    <s v="6085HR"/>
    <s v="0426-0187"/>
    <n v="119"/>
    <n v="82120"/>
    <n v="543"/>
    <n v="45980"/>
    <n v="45437"/>
    <n v="533"/>
    <n v="0"/>
    <n v="10"/>
    <n v="40"/>
    <n v="45397"/>
    <n v="485"/>
    <n v="22017545"/>
    <n v="11.4"/>
    <n v="167"/>
    <n v="45.15"/>
    <m/>
    <s v="NIAKARA"/>
    <m/>
    <s v="W-12 Mar"/>
  </r>
  <r>
    <n v="358"/>
    <d v="2026-03-17T00:00:00"/>
    <x v="30"/>
    <s v="RM"/>
    <s v="CREDIT"/>
    <x v="0"/>
    <s v="BKE-003"/>
    <x v="8"/>
    <x v="8"/>
    <s v="AA402GH01"/>
    <s v="0426-0340"/>
    <n v="120"/>
    <n v="82582"/>
    <n v="565"/>
    <n v="48400"/>
    <n v="47835"/>
    <n v="552"/>
    <n v="0"/>
    <n v="13"/>
    <n v="52"/>
    <n v="47783"/>
    <n v="490"/>
    <n v="23413670"/>
    <n v="10.4"/>
    <n v="167"/>
    <n v="45.32"/>
    <m/>
    <s v="BOUAKE"/>
    <m/>
    <s v="W-12 Mar"/>
  </r>
  <r>
    <n v="359"/>
    <d v="2026-03-17T00:00:00"/>
    <x v="30"/>
    <s v="RM"/>
    <s v="CASH"/>
    <x v="0"/>
    <s v="BKE-001"/>
    <x v="19"/>
    <x v="19"/>
    <s v="627GZ04"/>
    <s v="0426-0440"/>
    <s v="118A"/>
    <n v="82133"/>
    <n v="410"/>
    <n v="32700"/>
    <n v="32290"/>
    <n v="400"/>
    <n v="0"/>
    <n v="10"/>
    <n v="40"/>
    <n v="32250"/>
    <n v="475"/>
    <n v="15318750"/>
    <n v="11.6"/>
    <n v="175"/>
    <n v="44.44"/>
    <m/>
    <s v="DIANRA"/>
    <m/>
    <s v="W-12 Mar"/>
  </r>
  <r>
    <n v="360"/>
    <d v="2026-03-17T00:00:00"/>
    <x v="30"/>
    <s v="RM"/>
    <s v="CREDIT"/>
    <x v="0"/>
    <s v="BKE-001"/>
    <x v="28"/>
    <x v="28"/>
    <s v="AA039CS003"/>
    <s v="0401-0154"/>
    <n v="123"/>
    <n v="77650"/>
    <n v="592"/>
    <n v="52320"/>
    <n v="51728"/>
    <n v="577"/>
    <n v="0"/>
    <n v="15"/>
    <n v="60"/>
    <n v="51668"/>
    <n v="495"/>
    <n v="25575660"/>
    <n v="11.8"/>
    <n v="151"/>
    <n v="46.2"/>
    <m/>
    <s v="BEOUMI"/>
    <m/>
    <s v="W-12 Mar"/>
  </r>
  <r>
    <n v="361"/>
    <d v="2026-03-18T00:00:00"/>
    <x v="30"/>
    <s v="RM"/>
    <s v="CREDIT"/>
    <x v="1"/>
    <m/>
    <x v="9"/>
    <x v="9"/>
    <s v="8751EZ01"/>
    <s v="0419-0180"/>
    <n v="887"/>
    <n v="83396"/>
    <n v="626"/>
    <n v="51800"/>
    <n v="51174"/>
    <n v="604"/>
    <n v="0"/>
    <n v="22"/>
    <n v="88"/>
    <n v="51086"/>
    <n v="495"/>
    <n v="25287570"/>
    <n v="10.3"/>
    <n v="176"/>
    <n v="46.29"/>
    <m/>
    <s v="VAVOUA"/>
    <m/>
    <s v="W-12 Mar"/>
  </r>
  <r>
    <n v="362"/>
    <d v="2026-03-18T00:00:00"/>
    <x v="30"/>
    <s v="RM"/>
    <s v="CREDIT"/>
    <x v="1"/>
    <m/>
    <x v="10"/>
    <x v="10"/>
    <s v="7695HJ01"/>
    <s v="0425-0212"/>
    <n v="888"/>
    <n v="82487"/>
    <n v="486"/>
    <n v="41340"/>
    <n v="40854"/>
    <n v="480"/>
    <n v="0"/>
    <n v="6"/>
    <n v="24"/>
    <n v="40830"/>
    <n v="485"/>
    <n v="19802550"/>
    <n v="12.8"/>
    <n v="182"/>
    <n v="44.88"/>
    <m/>
    <s v="BONIEREDOUGOU "/>
    <m/>
    <s v="W-12 Mar"/>
  </r>
  <r>
    <n v="363"/>
    <d v="2026-03-18T00:00:00"/>
    <x v="30"/>
    <s v="RM"/>
    <s v="CASH"/>
    <x v="0"/>
    <s v="BKE-001"/>
    <x v="25"/>
    <x v="25"/>
    <s v="2019GN01"/>
    <s v="0426-0399"/>
    <n v="121"/>
    <n v="82484"/>
    <n v="393"/>
    <n v="34600"/>
    <n v="34207"/>
    <n v="384"/>
    <n v="0"/>
    <n v="9"/>
    <n v="36"/>
    <n v="34171"/>
    <n v="480"/>
    <n v="16402080"/>
    <n v="10.7"/>
    <n v="171"/>
    <n v="44.26"/>
    <m/>
    <s v="BOTRO"/>
    <m/>
    <s v="W-12 Mar"/>
  </r>
  <r>
    <n v="364"/>
    <d v="2026-03-18T00:00:00"/>
    <x v="30"/>
    <s v="RM"/>
    <s v="CREDIT"/>
    <x v="0"/>
    <s v="BKE-003"/>
    <x v="20"/>
    <x v="20"/>
    <s v="2766HC01"/>
    <s v="0425-0001"/>
    <n v="122"/>
    <n v="64970"/>
    <n v="416"/>
    <n v="38940"/>
    <n v="38524"/>
    <n v="410"/>
    <n v="0"/>
    <n v="6"/>
    <n v="24"/>
    <n v="38500"/>
    <n v="490"/>
    <n v="18865000"/>
    <n v="10.1"/>
    <n v="188"/>
    <n v="46.2"/>
    <m/>
    <s v="KATIOLA"/>
    <m/>
    <s v="W-12 Mar"/>
  </r>
  <r>
    <n v="365"/>
    <d v="2026-03-18T00:00:00"/>
    <x v="30"/>
    <s v="RM"/>
    <s v="CREDIT"/>
    <x v="0"/>
    <s v="BKE-001"/>
    <x v="8"/>
    <x v="8"/>
    <s v="338KX01"/>
    <s v="0426-0340"/>
    <n v="124"/>
    <n v="72636"/>
    <n v="574"/>
    <n v="45800"/>
    <n v="45226"/>
    <n v="559"/>
    <n v="0"/>
    <n v="15"/>
    <n v="60"/>
    <n v="45166"/>
    <n v="490"/>
    <n v="22131340"/>
    <n v="10.3"/>
    <n v="165"/>
    <n v="45.15"/>
    <m/>
    <s v="DUEKOUE"/>
    <m/>
    <s v="W-12 Mar"/>
  </r>
  <r>
    <n v="366"/>
    <d v="2026-03-18T00:00:00"/>
    <x v="30"/>
    <s v="RM"/>
    <s v="CREDIT"/>
    <x v="0"/>
    <m/>
    <x v="15"/>
    <x v="15"/>
    <s v="2106BA04"/>
    <m/>
    <m/>
    <m/>
    <m/>
    <n v="0"/>
    <m/>
    <m/>
    <m/>
    <m/>
    <m/>
    <n v="0"/>
    <m/>
    <n v="0"/>
    <n v="8"/>
    <n v="177"/>
    <n v="42.15"/>
    <m/>
    <s v="MANKONO"/>
    <s v="REJECT"/>
    <m/>
  </r>
  <r>
    <n v="367"/>
    <d v="2026-03-18T00:00:00"/>
    <x v="30"/>
    <s v="RM"/>
    <s v="CREDIT"/>
    <x v="0"/>
    <m/>
    <x v="8"/>
    <x v="8"/>
    <s v="1649CE01"/>
    <m/>
    <m/>
    <m/>
    <m/>
    <n v="0"/>
    <m/>
    <m/>
    <m/>
    <m/>
    <m/>
    <n v="0"/>
    <m/>
    <n v="0"/>
    <n v="9.3000000000000007"/>
    <n v="180"/>
    <n v="42.32"/>
    <m/>
    <s v="DUEKOUE"/>
    <s v="REJECT"/>
    <m/>
  </r>
  <r>
    <n v="368"/>
    <d v="2026-03-18T00:00:00"/>
    <x v="31"/>
    <s v="RM"/>
    <s v="CREDIT"/>
    <x v="1"/>
    <m/>
    <x v="38"/>
    <x v="39"/>
    <s v="1480LY01"/>
    <s v="0408-0287"/>
    <n v="889"/>
    <n v="77595"/>
    <n v="585"/>
    <n v="40920"/>
    <n v="40335"/>
    <n v="575"/>
    <n v="0"/>
    <n v="10"/>
    <n v="40"/>
    <n v="40295"/>
    <n v="485"/>
    <n v="19543075"/>
    <n v="9.1999999999999993"/>
    <n v="201"/>
    <n v="44.08"/>
    <m/>
    <s v="VAVOUA"/>
    <m/>
    <s v="W-12 Mar"/>
  </r>
  <r>
    <n v="369"/>
    <d v="2026-03-18T00:00:00"/>
    <x v="31"/>
    <s v="RM"/>
    <s v="CREDIT"/>
    <x v="1"/>
    <m/>
    <x v="9"/>
    <x v="9"/>
    <s v="2319LK02"/>
    <s v="0419-0180"/>
    <n v="890"/>
    <n v="83395"/>
    <n v="493"/>
    <n v="40720"/>
    <n v="40227"/>
    <n v="472"/>
    <n v="0"/>
    <n v="21"/>
    <n v="84"/>
    <n v="40143"/>
    <n v="495"/>
    <n v="19870785"/>
    <n v="11"/>
    <n v="189"/>
    <n v="46.11"/>
    <m/>
    <s v="VAVOUA"/>
    <m/>
    <s v="W-12 Mar"/>
  </r>
  <r>
    <n v="370"/>
    <d v="2026-03-18T00:00:00"/>
    <x v="31"/>
    <s v="RM"/>
    <s v="CREDIT"/>
    <x v="1"/>
    <m/>
    <x v="9"/>
    <x v="9"/>
    <s v="5533KT01"/>
    <s v="0419-0180"/>
    <n v="891"/>
    <n v="83394"/>
    <n v="669"/>
    <n v="54080"/>
    <n v="53411"/>
    <n v="648"/>
    <n v="0"/>
    <n v="21"/>
    <n v="84"/>
    <n v="53327"/>
    <n v="495"/>
    <n v="26396865"/>
    <n v="10.199999999999999"/>
    <n v="193"/>
    <n v="45.93"/>
    <m/>
    <s v="VAVOUA"/>
    <m/>
    <s v="W-12 Mar"/>
  </r>
  <r>
    <n v="371"/>
    <d v="2026-03-19T00:00:00"/>
    <x v="31"/>
    <s v="RM"/>
    <s v="CASH"/>
    <x v="0"/>
    <m/>
    <x v="34"/>
    <x v="34"/>
    <s v="3591LR01"/>
    <m/>
    <m/>
    <m/>
    <m/>
    <n v="0"/>
    <m/>
    <m/>
    <m/>
    <m/>
    <m/>
    <n v="0"/>
    <m/>
    <n v="0"/>
    <n v="9.6999999999999993"/>
    <n v="189"/>
    <n v="42.85"/>
    <m/>
    <s v="DABAKALA"/>
    <s v="REJECT"/>
    <m/>
  </r>
  <r>
    <n v="372"/>
    <d v="2026-03-19T00:00:00"/>
    <x v="31"/>
    <s v="RM"/>
    <s v="CREDIT"/>
    <x v="0"/>
    <s v="BKE-003"/>
    <x v="8"/>
    <x v="8"/>
    <s v="6253KV04"/>
    <s v="0426-0340"/>
    <n v="128"/>
    <n v="82132"/>
    <n v="613"/>
    <n v="49160"/>
    <n v="48547"/>
    <n v="603"/>
    <n v="0"/>
    <n v="10"/>
    <n v="40"/>
    <n v="48507"/>
    <n v="495"/>
    <n v="24010965"/>
    <n v="8.6"/>
    <n v="167"/>
    <n v="46.56"/>
    <m/>
    <s v="MANKONO"/>
    <m/>
    <s v="W-12 Mar"/>
  </r>
  <r>
    <n v="373"/>
    <d v="2026-03-19T00:00:00"/>
    <x v="31"/>
    <s v="RM"/>
    <s v="CREDIT"/>
    <x v="0"/>
    <s v="BKE-001"/>
    <x v="11"/>
    <x v="11"/>
    <s v="9082GC01"/>
    <s v="0431-0277"/>
    <n v="126"/>
    <n v="82769"/>
    <n v="449"/>
    <n v="40400"/>
    <n v="39951"/>
    <n v="439"/>
    <n v="0"/>
    <n v="10"/>
    <n v="40"/>
    <n v="39911"/>
    <n v="485"/>
    <n v="19356835"/>
    <n v="9.5"/>
    <n v="160"/>
    <n v="45.15"/>
    <m/>
    <s v="BOUAKE"/>
    <m/>
    <s v="W-12 Mar"/>
  </r>
  <r>
    <n v="374"/>
    <d v="2026-03-19T00:00:00"/>
    <x v="31"/>
    <s v="RM"/>
    <s v="CREDIT"/>
    <x v="0"/>
    <s v="BKE-003"/>
    <x v="6"/>
    <x v="6"/>
    <s v="1026FL01"/>
    <s v="0426-0347"/>
    <n v="127"/>
    <n v="82482"/>
    <n v="398"/>
    <n v="33240"/>
    <n v="32842"/>
    <n v="392"/>
    <n v="0"/>
    <n v="6"/>
    <n v="24"/>
    <n v="32818"/>
    <n v="490"/>
    <n v="16080820"/>
    <n v="7.5"/>
    <n v="174"/>
    <n v="46.38"/>
    <m/>
    <s v="VAVOUA"/>
    <m/>
    <s v="W-12 Mar"/>
  </r>
  <r>
    <n v="375"/>
    <d v="2026-03-19T00:00:00"/>
    <x v="31"/>
    <s v="RM"/>
    <s v="CREDIT"/>
    <x v="0"/>
    <s v="BKE-003"/>
    <x v="6"/>
    <x v="6"/>
    <s v="3272JE01"/>
    <s v="0426-0347"/>
    <n v="125"/>
    <n v="82488"/>
    <n v="565"/>
    <n v="45180"/>
    <n v="44615"/>
    <n v="555"/>
    <n v="0"/>
    <n v="10"/>
    <n v="40"/>
    <n v="44575"/>
    <n v="490"/>
    <n v="21841750"/>
    <n v="9.6999999999999993"/>
    <n v="177"/>
    <n v="46.2"/>
    <m/>
    <s v="BOTRO"/>
    <m/>
    <s v="W-12 Mar"/>
  </r>
  <r>
    <n v="376"/>
    <d v="2026-03-19T00:00:00"/>
    <x v="32"/>
    <s v="RM"/>
    <s v="CASH"/>
    <x v="1"/>
    <m/>
    <x v="29"/>
    <x v="29"/>
    <s v="7115GU01"/>
    <s v="0401-0145"/>
    <n v="892"/>
    <n v="82476"/>
    <n v="327"/>
    <n v="28780"/>
    <n v="28453"/>
    <n v="319"/>
    <n v="0"/>
    <n v="8"/>
    <n v="32"/>
    <n v="28421"/>
    <n v="480"/>
    <n v="13642080"/>
    <n v="9.8000000000000007"/>
    <n v="183"/>
    <n v="44.08"/>
    <m/>
    <s v="KOUNAHIRI"/>
    <m/>
    <s v="W-12 Mar"/>
  </r>
  <r>
    <n v="377"/>
    <d v="2026-03-19T00:00:00"/>
    <x v="32"/>
    <s v="RM"/>
    <s v="CREDIT"/>
    <x v="1"/>
    <m/>
    <x v="9"/>
    <x v="9"/>
    <s v="AA944AR"/>
    <s v="0419-0180"/>
    <n v="893"/>
    <n v="82480"/>
    <n v="685"/>
    <n v="52740"/>
    <n v="52055"/>
    <n v="664"/>
    <n v="0"/>
    <n v="21"/>
    <n v="84"/>
    <n v="51971"/>
    <n v="495"/>
    <n v="25725645"/>
    <n v="10.4"/>
    <n v="180"/>
    <n v="46.11"/>
    <m/>
    <s v="VAVOUA"/>
    <m/>
    <s v="W-12 Mar"/>
  </r>
  <r>
    <n v="378"/>
    <d v="2026-03-21T00:00:00"/>
    <x v="32"/>
    <s v="RM"/>
    <s v="CREDIT"/>
    <x v="0"/>
    <m/>
    <x v="28"/>
    <x v="28"/>
    <s v="8466GY03"/>
    <m/>
    <m/>
    <m/>
    <m/>
    <n v="0"/>
    <m/>
    <m/>
    <m/>
    <m/>
    <m/>
    <n v="0"/>
    <m/>
    <n v="0"/>
    <n v="7.5"/>
    <n v="181"/>
    <n v="42.85"/>
    <m/>
    <s v="ODIENNE"/>
    <s v="REJECT"/>
    <m/>
  </r>
  <r>
    <n v="379"/>
    <d v="2026-03-21T00:00:00"/>
    <x v="32"/>
    <s v="RM"/>
    <s v="CREDIT"/>
    <x v="0"/>
    <m/>
    <x v="3"/>
    <x v="3"/>
    <s v="4457KE01"/>
    <m/>
    <m/>
    <m/>
    <m/>
    <n v="0"/>
    <m/>
    <m/>
    <m/>
    <m/>
    <m/>
    <n v="0"/>
    <m/>
    <n v="0"/>
    <n v="12.1"/>
    <n v="169"/>
    <n v="43.73"/>
    <m/>
    <s v="VAVOUA"/>
    <s v="REJECT"/>
    <m/>
  </r>
  <r>
    <n v="380"/>
    <d v="2026-03-19T00:00:00"/>
    <x v="33"/>
    <s v="RM"/>
    <s v="CREDIT"/>
    <x v="0"/>
    <s v="BKE-001"/>
    <x v="0"/>
    <x v="0"/>
    <s v="616KY03"/>
    <s v="0401-0007"/>
    <n v="130"/>
    <n v="82151"/>
    <n v="464"/>
    <n v="40740"/>
    <n v="40276"/>
    <n v="454"/>
    <n v="0"/>
    <n v="10"/>
    <n v="40"/>
    <n v="40236"/>
    <n v="485"/>
    <n v="19514460"/>
    <n v="10.3"/>
    <n v="163"/>
    <n v="44.44"/>
    <m/>
    <s v="BOTRO"/>
    <m/>
    <s v="W-12 Mar"/>
  </r>
  <r>
    <n v="381"/>
    <d v="2026-03-21T00:00:00"/>
    <x v="33"/>
    <s v="RM"/>
    <s v="CREDIT"/>
    <x v="1"/>
    <m/>
    <x v="7"/>
    <x v="7"/>
    <s v="1060KT04"/>
    <s v="0427-0007"/>
    <n v="894"/>
    <n v="72609"/>
    <n v="493"/>
    <n v="41400"/>
    <n v="40907"/>
    <n v="475"/>
    <n v="0"/>
    <n v="18"/>
    <n v="72"/>
    <n v="40835"/>
    <n v="485"/>
    <n v="19804975"/>
    <n v="8.1"/>
    <n v="187"/>
    <n v="44.88"/>
    <m/>
    <s v="KANIASSO"/>
    <m/>
    <s v="W-12 Mar"/>
  </r>
  <r>
    <n v="382"/>
    <d v="2026-03-21T00:00:00"/>
    <x v="33"/>
    <s v="RM"/>
    <s v="CREDIT"/>
    <x v="0"/>
    <s v="BKE-001"/>
    <x v="6"/>
    <x v="6"/>
    <s v="28JZ01"/>
    <s v="0426-0347"/>
    <n v="129"/>
    <n v="82489"/>
    <n v="590"/>
    <n v="47440"/>
    <n v="46850"/>
    <n v="579"/>
    <n v="0"/>
    <n v="11"/>
    <n v="44"/>
    <n v="46806"/>
    <n v="485"/>
    <n v="22700910"/>
    <n v="9.6999999999999993"/>
    <n v="181"/>
    <n v="45.06"/>
    <m/>
    <s v="BOUAKE"/>
    <m/>
    <s v="W-12 Mar"/>
  </r>
  <r>
    <n v="383"/>
    <d v="2026-03-19T00:00:00"/>
    <x v="34"/>
    <s v="RM"/>
    <s v="CASH"/>
    <x v="1"/>
    <m/>
    <x v="39"/>
    <x v="40"/>
    <s v="1714LE01"/>
    <s v="0401-0173"/>
    <n v="895"/>
    <n v="83398"/>
    <n v="409"/>
    <n v="31920"/>
    <n v="31511"/>
    <n v="408"/>
    <n v="0"/>
    <n v="1"/>
    <n v="4"/>
    <n v="31507"/>
    <n v="485"/>
    <n v="15280895"/>
    <n v="9.9"/>
    <n v="186"/>
    <n v="44.17"/>
    <m/>
    <s v="BOUAFLE"/>
    <m/>
    <s v="W-13 Mar"/>
  </r>
  <r>
    <n v="384"/>
    <d v="2026-03-21T00:00:00"/>
    <x v="34"/>
    <s v="RM"/>
    <s v="CREDIT"/>
    <x v="0"/>
    <s v="BKE-001"/>
    <x v="8"/>
    <x v="8"/>
    <s v="4539CT01"/>
    <s v="0426-0340"/>
    <n v="134"/>
    <n v="77658"/>
    <n v="526"/>
    <n v="38820"/>
    <n v="38294"/>
    <n v="511"/>
    <n v="0"/>
    <n v="15"/>
    <n v="60"/>
    <n v="38234"/>
    <n v="485"/>
    <n v="18543490"/>
    <n v="11.3"/>
    <n v="172"/>
    <n v="44.79"/>
    <m/>
    <s v="BOUAKE"/>
    <m/>
    <s v="W-13 Mar"/>
  </r>
  <r>
    <n v="385"/>
    <d v="2026-03-21T00:00:00"/>
    <x v="34"/>
    <s v="RM"/>
    <s v="CREDIT"/>
    <x v="0"/>
    <s v="BKE-001"/>
    <x v="28"/>
    <x v="28"/>
    <s v="5JH01"/>
    <s v="0401-0154"/>
    <n v="132"/>
    <n v="82765"/>
    <n v="511"/>
    <n v="40640"/>
    <n v="40129"/>
    <n v="501"/>
    <n v="0"/>
    <n v="10"/>
    <n v="40"/>
    <n v="40089"/>
    <n v="490"/>
    <n v="19643610"/>
    <n v="9.3000000000000007"/>
    <n v="177"/>
    <n v="46.03"/>
    <m/>
    <s v="ODIENNE"/>
    <m/>
    <s v="W-13 Mar"/>
  </r>
  <r>
    <n v="386"/>
    <d v="2026-03-21T00:00:00"/>
    <x v="34"/>
    <s v="RM"/>
    <s v="CREDIT"/>
    <x v="0"/>
    <s v="BKE-001"/>
    <x v="8"/>
    <x v="8"/>
    <s v="AA398TS04"/>
    <s v="0426-0340"/>
    <n v="131"/>
    <n v="82130"/>
    <n v="678"/>
    <n v="55220"/>
    <n v="54542"/>
    <n v="662"/>
    <n v="0"/>
    <n v="16"/>
    <n v="64"/>
    <n v="54478"/>
    <n v="490"/>
    <n v="26694220"/>
    <n v="10.7"/>
    <n v="181"/>
    <n v="46.2"/>
    <m/>
    <s v="DUEKOUE"/>
    <m/>
    <s v="W-13 Mar"/>
  </r>
  <r>
    <n v="387"/>
    <d v="2026-03-23T00:00:00"/>
    <x v="34"/>
    <s v="RM"/>
    <s v="CREDIT"/>
    <x v="1"/>
    <m/>
    <x v="12"/>
    <x v="12"/>
    <s v="285LA01"/>
    <s v="0429-0005"/>
    <n v="896"/>
    <n v="82162"/>
    <n v="560"/>
    <n v="45020"/>
    <n v="44460"/>
    <n v="536"/>
    <n v="0"/>
    <n v="24"/>
    <n v="96"/>
    <n v="44364"/>
    <n v="480"/>
    <n v="21294720"/>
    <n v="10"/>
    <n v="185"/>
    <n v="44.17"/>
    <m/>
    <s v="VAVOUA"/>
    <m/>
    <s v="W-13 Mar"/>
  </r>
  <r>
    <n v="388"/>
    <d v="2026-03-23T00:00:00"/>
    <x v="34"/>
    <s v="RM"/>
    <s v="CREDIT"/>
    <x v="0"/>
    <s v="BKE-003"/>
    <x v="5"/>
    <x v="5"/>
    <s v="2023HF01"/>
    <s v="0426-0194"/>
    <n v="133"/>
    <n v="78072"/>
    <n v="196"/>
    <n v="18140"/>
    <n v="17944"/>
    <n v="191"/>
    <n v="0"/>
    <n v="5"/>
    <n v="20"/>
    <n v="17924"/>
    <n v="490"/>
    <n v="8782760"/>
    <n v="10.1"/>
    <n v="163"/>
    <n v="46.56"/>
    <m/>
    <s v="BOTRO"/>
    <m/>
    <s v="W-13 Mar"/>
  </r>
  <r>
    <n v="389"/>
    <d v="2026-03-23T00:00:00"/>
    <x v="34"/>
    <s v="RM"/>
    <s v="CASH"/>
    <x v="0"/>
    <s v="BKE-001"/>
    <x v="25"/>
    <x v="25"/>
    <s v="5740EH03"/>
    <s v="0426-0399"/>
    <n v="135"/>
    <n v="84373"/>
    <n v="457"/>
    <n v="40400"/>
    <n v="39943"/>
    <n v="446"/>
    <n v="0"/>
    <n v="11"/>
    <n v="44"/>
    <n v="39899"/>
    <n v="490"/>
    <n v="19550510"/>
    <n v="9.6"/>
    <n v="165"/>
    <n v="45.06"/>
    <m/>
    <s v="BOTRO"/>
    <m/>
    <s v="W-13 Mar"/>
  </r>
  <r>
    <n v="390"/>
    <d v="2026-03-23T00:00:00"/>
    <x v="34"/>
    <s v="RM"/>
    <s v="CREDIT"/>
    <x v="0"/>
    <m/>
    <x v="0"/>
    <x v="0"/>
    <s v="28JZ01"/>
    <m/>
    <m/>
    <m/>
    <m/>
    <n v="0"/>
    <m/>
    <m/>
    <m/>
    <m/>
    <m/>
    <n v="0"/>
    <m/>
    <n v="0"/>
    <n v="13"/>
    <n v="155"/>
    <n v="42.68"/>
    <m/>
    <s v="BOTRO"/>
    <s v="REJECT"/>
    <m/>
  </r>
  <r>
    <n v="391"/>
    <d v="2026-03-23T00:00:00"/>
    <x v="34"/>
    <s v="RM"/>
    <s v="CREDIT"/>
    <x v="0"/>
    <m/>
    <x v="15"/>
    <x v="15"/>
    <s v="4496KV03"/>
    <m/>
    <m/>
    <m/>
    <m/>
    <n v="0"/>
    <m/>
    <m/>
    <m/>
    <m/>
    <m/>
    <n v="0"/>
    <m/>
    <n v="0"/>
    <n v="7"/>
    <n v="178"/>
    <n v="43.21"/>
    <m/>
    <s v="ODIENNE"/>
    <s v="REJECT"/>
    <m/>
  </r>
  <r>
    <n v="392"/>
    <d v="2026-03-23T00:00:00"/>
    <x v="34"/>
    <s v="RM"/>
    <s v="CREDIT"/>
    <x v="0"/>
    <m/>
    <x v="4"/>
    <x v="4"/>
    <s v="374LK01"/>
    <m/>
    <m/>
    <m/>
    <m/>
    <n v="0"/>
    <m/>
    <m/>
    <m/>
    <m/>
    <m/>
    <n v="0"/>
    <m/>
    <n v="0"/>
    <n v="10.1"/>
    <n v="164"/>
    <n v="41.62"/>
    <m/>
    <s v="NIAKARA"/>
    <s v="REJECT"/>
    <m/>
  </r>
  <r>
    <n v="393"/>
    <d v="2026-03-23T00:00:00"/>
    <x v="34"/>
    <s v="RM"/>
    <s v="CREDIT"/>
    <x v="0"/>
    <m/>
    <x v="14"/>
    <x v="14"/>
    <s v="7203CL04"/>
    <m/>
    <m/>
    <m/>
    <m/>
    <n v="0"/>
    <m/>
    <m/>
    <m/>
    <m/>
    <m/>
    <n v="0"/>
    <m/>
    <n v="0"/>
    <n v="11.5"/>
    <n v="151"/>
    <n v="43.03"/>
    <m/>
    <s v="BOUAKE"/>
    <s v="REJECT"/>
    <m/>
  </r>
  <r>
    <n v="394"/>
    <d v="2026-03-21T00:00:00"/>
    <x v="35"/>
    <s v="RM"/>
    <s v="CREDIT"/>
    <x v="0"/>
    <s v="BKE-002"/>
    <x v="11"/>
    <x v="11"/>
    <s v="4327LG04"/>
    <s v="0431-0277"/>
    <n v="136"/>
    <n v="82767"/>
    <n v="661"/>
    <n v="50360"/>
    <n v="49699"/>
    <n v="651"/>
    <n v="0"/>
    <n v="10"/>
    <n v="40"/>
    <n v="49659"/>
    <n v="485"/>
    <n v="24084615"/>
    <n v="9.3000000000000007"/>
    <n v="179"/>
    <n v="45.15"/>
    <m/>
    <s v="BOUAKE"/>
    <m/>
    <s v="W-13 Mar"/>
  </r>
  <r>
    <n v="395"/>
    <d v="2026-03-23T00:00:00"/>
    <x v="35"/>
    <s v="RM"/>
    <s v="CREDIT"/>
    <x v="1"/>
    <m/>
    <x v="9"/>
    <x v="9"/>
    <s v="4379LL07"/>
    <s v="0419-0180"/>
    <n v="898"/>
    <n v="82110"/>
    <n v="785"/>
    <n v="53940"/>
    <n v="53155"/>
    <n v="762"/>
    <n v="0"/>
    <n v="23"/>
    <n v="92"/>
    <n v="53063"/>
    <n v="485"/>
    <n v="25735555"/>
    <n v="9.3000000000000007"/>
    <n v="185"/>
    <n v="44.52"/>
    <m/>
    <s v="VAVOUA"/>
    <m/>
    <s v="W-13 Mar"/>
  </r>
  <r>
    <n v="396"/>
    <d v="2026-03-24T00:00:00"/>
    <x v="35"/>
    <s v="RM"/>
    <s v="CASH"/>
    <x v="0"/>
    <s v="BKE-002"/>
    <x v="21"/>
    <x v="21"/>
    <s v="6557FK01"/>
    <s v="0426-0424"/>
    <n v="137"/>
    <n v="87009"/>
    <n v="194"/>
    <n v="17220"/>
    <n v="17026"/>
    <n v="189"/>
    <n v="0"/>
    <n v="5"/>
    <n v="20"/>
    <n v="17006"/>
    <n v="490"/>
    <n v="8332940"/>
    <n v="9.3000000000000007"/>
    <n v="170"/>
    <n v="45.15"/>
    <m/>
    <s v="BOTRO"/>
    <m/>
    <s v="W-13 Mar"/>
  </r>
  <r>
    <n v="397"/>
    <d v="2026-03-24T00:00:00"/>
    <x v="35"/>
    <s v="RM"/>
    <s v="CREDIT"/>
    <x v="0"/>
    <s v="BKE-002"/>
    <x v="11"/>
    <x v="11"/>
    <s v="334HT04"/>
    <s v="0431-0277"/>
    <n v="138"/>
    <n v="82770"/>
    <n v="601"/>
    <n v="47560"/>
    <n v="46959"/>
    <n v="601"/>
    <n v="0"/>
    <n v="0"/>
    <n v="0"/>
    <n v="46959"/>
    <n v="485"/>
    <n v="22775115"/>
    <n v="9.3000000000000007"/>
    <n v="172"/>
    <n v="45.5"/>
    <m/>
    <s v="KATIOLA"/>
    <m/>
    <s v="W-13 Mar"/>
  </r>
  <r>
    <n v="398"/>
    <d v="2026-03-24T00:00:00"/>
    <x v="35"/>
    <s v="RM"/>
    <s v="CREDIT"/>
    <x v="1"/>
    <m/>
    <x v="9"/>
    <x v="9"/>
    <s v="5533KT01"/>
    <s v="0419-0180"/>
    <n v="897"/>
    <n v="82477"/>
    <n v="650"/>
    <n v="52520"/>
    <n v="51870"/>
    <n v="627"/>
    <n v="0"/>
    <n v="23"/>
    <n v="92"/>
    <n v="51778"/>
    <n v="485"/>
    <n v="25112330"/>
    <n v="9.8000000000000007"/>
    <n v="184"/>
    <n v="44.08"/>
    <m/>
    <s v="VAVOUA"/>
    <m/>
    <s v="W-13 Mar"/>
  </r>
  <r>
    <n v="399"/>
    <d v="2026-03-24T00:00:00"/>
    <x v="35"/>
    <s v="RM"/>
    <s v="CREDIT"/>
    <x v="0"/>
    <m/>
    <x v="15"/>
    <x v="15"/>
    <s v="8246HA03"/>
    <m/>
    <m/>
    <m/>
    <m/>
    <n v="0"/>
    <m/>
    <m/>
    <m/>
    <m/>
    <m/>
    <n v="0"/>
    <m/>
    <n v="0"/>
    <n v="8.6"/>
    <n v="165"/>
    <n v="41.97"/>
    <m/>
    <s v="DIANRA"/>
    <s v="REJECT"/>
    <m/>
  </r>
  <r>
    <n v="400"/>
    <d v="2026-03-24T00:00:00"/>
    <x v="35"/>
    <s v="RM"/>
    <s v="CREDIT"/>
    <x v="0"/>
    <m/>
    <x v="2"/>
    <x v="2"/>
    <s v="8287GH03"/>
    <m/>
    <m/>
    <m/>
    <m/>
    <n v="0"/>
    <m/>
    <m/>
    <m/>
    <m/>
    <m/>
    <n v="0"/>
    <m/>
    <n v="0"/>
    <n v="9.5"/>
    <n v="169"/>
    <n v="42.68"/>
    <m/>
    <s v="NIAKARA"/>
    <s v="REJECT"/>
    <m/>
  </r>
  <r>
    <n v="401"/>
    <d v="2026-03-24T00:00:00"/>
    <x v="35"/>
    <s v="RM"/>
    <s v="CREDIT"/>
    <x v="0"/>
    <m/>
    <x v="8"/>
    <x v="8"/>
    <s v="4834HT03"/>
    <m/>
    <m/>
    <m/>
    <m/>
    <n v="0"/>
    <m/>
    <m/>
    <m/>
    <m/>
    <m/>
    <n v="0"/>
    <m/>
    <n v="0"/>
    <n v="9.3000000000000007"/>
    <n v="175"/>
    <n v="41.97"/>
    <m/>
    <s v="KONG"/>
    <s v="REJECT"/>
    <m/>
  </r>
  <r>
    <n v="402"/>
    <d v="2026-03-24T00:00:00"/>
    <x v="35"/>
    <s v="RM"/>
    <s v="CREDIT"/>
    <x v="0"/>
    <m/>
    <x v="1"/>
    <x v="1"/>
    <s v="6089HA01"/>
    <m/>
    <m/>
    <m/>
    <m/>
    <n v="0"/>
    <m/>
    <m/>
    <m/>
    <m/>
    <m/>
    <n v="0"/>
    <m/>
    <n v="0"/>
    <n v="9.9"/>
    <n v="181"/>
    <n v="42.5"/>
    <m/>
    <s v="MANKONO"/>
    <s v="REJECT"/>
    <m/>
  </r>
  <r>
    <n v="403"/>
    <d v="2026-03-24T00:00:00"/>
    <x v="36"/>
    <s v="RM"/>
    <s v="CREDIT"/>
    <x v="1"/>
    <m/>
    <x v="9"/>
    <x v="9"/>
    <s v="2319LR01"/>
    <s v="0419-0180"/>
    <n v="899"/>
    <n v="82478"/>
    <n v="525"/>
    <n v="42380"/>
    <n v="41855"/>
    <n v="502"/>
    <n v="0"/>
    <n v="23"/>
    <n v="92"/>
    <n v="41763"/>
    <n v="490"/>
    <n v="20463870"/>
    <n v="9.6999999999999993"/>
    <n v="184"/>
    <n v="45.4"/>
    <m/>
    <s v="VAVOUA"/>
    <m/>
    <s v="W-13 Mar"/>
  </r>
  <r>
    <n v="404"/>
    <d v="2026-03-24T00:00:00"/>
    <x v="36"/>
    <s v="RM"/>
    <s v="CREDIT"/>
    <x v="1"/>
    <m/>
    <x v="9"/>
    <x v="9"/>
    <s v="2744KK02"/>
    <s v="0419-0180"/>
    <n v="900"/>
    <n v="82479"/>
    <n v="558"/>
    <n v="41680"/>
    <n v="41122"/>
    <n v="540"/>
    <n v="0"/>
    <n v="18"/>
    <n v="72"/>
    <n v="41050"/>
    <n v="490"/>
    <n v="20114500"/>
    <n v="9.9"/>
    <n v="187"/>
    <n v="45.23"/>
    <m/>
    <s v="VAVOUA"/>
    <m/>
    <s v="W-13 Mar"/>
  </r>
  <r>
    <n v="405"/>
    <d v="2026-03-25T00:00:00"/>
    <x v="36"/>
    <s v="RM"/>
    <s v="CREDIT"/>
    <x v="0"/>
    <m/>
    <x v="0"/>
    <x v="0"/>
    <s v="28JZ01"/>
    <m/>
    <m/>
    <m/>
    <m/>
    <n v="0"/>
    <m/>
    <m/>
    <m/>
    <m/>
    <m/>
    <n v="0"/>
    <m/>
    <n v="0"/>
    <n v="10.6"/>
    <n v="160"/>
    <n v="42.5"/>
    <m/>
    <s v="BOTRO"/>
    <s v="REJECT"/>
    <m/>
  </r>
  <r>
    <n v="406"/>
    <d v="2026-03-25T00:00:00"/>
    <x v="36"/>
    <m/>
    <m/>
    <x v="1"/>
    <m/>
    <x v="40"/>
    <x v="41"/>
    <s v="1421KC01/6090BA01"/>
    <m/>
    <m/>
    <m/>
    <m/>
    <n v="0"/>
    <m/>
    <m/>
    <m/>
    <m/>
    <m/>
    <n v="0"/>
    <m/>
    <n v="0"/>
    <n v="8.9"/>
    <n v="189"/>
    <n v="37.479999999999997"/>
    <m/>
    <s v="GOGNOO"/>
    <s v="REJECT"/>
    <m/>
  </r>
  <r>
    <n v="407"/>
    <d v="2026-03-25T00:00:00"/>
    <x v="36"/>
    <m/>
    <m/>
    <x v="1"/>
    <m/>
    <x v="28"/>
    <x v="28"/>
    <s v="8348EC03/603HU03"/>
    <m/>
    <m/>
    <m/>
    <m/>
    <n v="0"/>
    <m/>
    <m/>
    <m/>
    <m/>
    <m/>
    <n v="0"/>
    <m/>
    <n v="0"/>
    <n v="8.9"/>
    <n v="164"/>
    <n v="42.06"/>
    <m/>
    <s v="DIANRA"/>
    <s v="REJECT"/>
    <m/>
  </r>
  <r>
    <n v="408"/>
    <d v="2026-03-25T00:00:00"/>
    <x v="37"/>
    <s v="RM"/>
    <s v="CASH"/>
    <x v="1"/>
    <m/>
    <x v="41"/>
    <x v="42"/>
    <s v="3452HA01"/>
    <s v="0429-0611"/>
    <n v="653"/>
    <n v="82015"/>
    <n v="593"/>
    <n v="45720"/>
    <n v="45127"/>
    <n v="570"/>
    <n v="0"/>
    <n v="23"/>
    <n v="92"/>
    <n v="45035"/>
    <n v="480"/>
    <n v="21616800"/>
    <n v="9.1"/>
    <n v="180"/>
    <n v="44.08"/>
    <m/>
    <s v="KORO"/>
    <m/>
    <s v="W-13 Mar"/>
  </r>
  <r>
    <n v="409"/>
    <d v="2026-03-25T00:00:00"/>
    <x v="37"/>
    <s v="RM"/>
    <s v="CASH"/>
    <x v="1"/>
    <m/>
    <x v="42"/>
    <x v="43"/>
    <s v="3725JE01"/>
    <s v="0401-0177"/>
    <n v="651"/>
    <n v="82296"/>
    <n v="507"/>
    <n v="40740"/>
    <n v="40233"/>
    <n v="483"/>
    <n v="0"/>
    <n v="24"/>
    <n v="96"/>
    <n v="40137"/>
    <n v="480"/>
    <n v="19265760"/>
    <n v="9.8000000000000007"/>
    <n v="172"/>
    <n v="44.17"/>
    <m/>
    <s v="DESINFRA"/>
    <m/>
    <s v="W-13 Mar"/>
  </r>
  <r>
    <n v="410"/>
    <d v="2026-03-25T00:00:00"/>
    <x v="37"/>
    <s v="RM"/>
    <s v="CREDIT"/>
    <x v="0"/>
    <s v="BKE-002"/>
    <x v="8"/>
    <x v="8"/>
    <s v="4539CT01"/>
    <s v="0426-0340"/>
    <n v="145"/>
    <n v="82583"/>
    <n v="407"/>
    <n v="45480"/>
    <n v="45073"/>
    <n v="392"/>
    <n v="0"/>
    <n v="15"/>
    <n v="60"/>
    <n v="45013"/>
    <n v="485"/>
    <n v="21831305"/>
    <n v="9.6999999999999993"/>
    <n v="161"/>
    <n v="44.44"/>
    <m/>
    <s v="KOUIFLY"/>
    <m/>
    <s v="W-13 Mar"/>
  </r>
  <r>
    <n v="411"/>
    <d v="2026-03-25T00:00:00"/>
    <x v="37"/>
    <s v="RM"/>
    <s v="CREDIT"/>
    <x v="0"/>
    <s v="BKE-001"/>
    <x v="0"/>
    <x v="0"/>
    <s v="2941FE03"/>
    <s v="0401-0007"/>
    <n v="144"/>
    <n v="88462"/>
    <n v="468"/>
    <n v="40420"/>
    <n v="39952"/>
    <n v="460"/>
    <n v="0"/>
    <n v="8"/>
    <n v="32"/>
    <n v="39920"/>
    <n v="485"/>
    <n v="19361200"/>
    <n v="9.3000000000000007"/>
    <n v="171"/>
    <n v="44.26"/>
    <m/>
    <s v="BOUNDIALI"/>
    <m/>
    <s v="W-13 Mar"/>
  </r>
  <r>
    <n v="412"/>
    <d v="2026-03-25T00:00:00"/>
    <x v="37"/>
    <s v="RM"/>
    <s v="CREDIT"/>
    <x v="0"/>
    <s v="BKE-001"/>
    <x v="5"/>
    <x v="5"/>
    <s v="2023HF01"/>
    <s v="0426-0194"/>
    <n v="143"/>
    <n v="85115"/>
    <n v="250"/>
    <n v="21900"/>
    <n v="21650"/>
    <n v="244"/>
    <n v="0"/>
    <n v="6"/>
    <n v="24"/>
    <n v="21626"/>
    <n v="485"/>
    <n v="10488610"/>
    <n v="9.4"/>
    <n v="176"/>
    <n v="44.09"/>
    <m/>
    <s v="SAKASSOU"/>
    <m/>
    <s v="W-13 Mar"/>
  </r>
  <r>
    <n v="413"/>
    <d v="2026-03-25T00:00:00"/>
    <x v="37"/>
    <s v="RM"/>
    <s v="CASH"/>
    <x v="0"/>
    <s v="BKE-002"/>
    <x v="16"/>
    <x v="16"/>
    <s v="9003KV03"/>
    <s v="0427-0133"/>
    <n v="141"/>
    <n v="82156"/>
    <n v="480"/>
    <n v="42780"/>
    <n v="42300"/>
    <n v="472"/>
    <n v="0"/>
    <n v="8"/>
    <n v="32"/>
    <n v="42268"/>
    <n v="480"/>
    <n v="20288640"/>
    <n v="8.4"/>
    <n v="170"/>
    <n v="44.26"/>
    <m/>
    <s v="MADINANI"/>
    <m/>
    <s v="W-13 Mar"/>
  </r>
  <r>
    <n v="414"/>
    <d v="2026-03-25T00:00:00"/>
    <x v="37"/>
    <s v="RM"/>
    <s v="CREDIT"/>
    <x v="0"/>
    <s v="BKE-001"/>
    <x v="0"/>
    <x v="0"/>
    <s v="AA162RF01"/>
    <s v="0401-0007"/>
    <n v="139"/>
    <n v="62863"/>
    <n v="612"/>
    <n v="55940"/>
    <n v="55328"/>
    <n v="602"/>
    <n v="0"/>
    <n v="10"/>
    <n v="40"/>
    <n v="55288"/>
    <n v="490"/>
    <n v="27091120"/>
    <n v="9.9"/>
    <n v="162"/>
    <n v="44.09"/>
    <m/>
    <s v="NIAKARA"/>
    <m/>
    <s v="W-13 Mar"/>
  </r>
  <r>
    <n v="415"/>
    <d v="2026-03-25T00:00:00"/>
    <x v="37"/>
    <s v="RM"/>
    <s v="CREDIT"/>
    <x v="0"/>
    <s v="BKE-001"/>
    <x v="2"/>
    <x v="2"/>
    <s v="6085HR03"/>
    <s v="0426-0187"/>
    <n v="140"/>
    <n v="82837"/>
    <n v="551"/>
    <n v="47840"/>
    <n v="47289"/>
    <n v="536"/>
    <n v="0"/>
    <n v="15"/>
    <n v="60"/>
    <n v="47229"/>
    <n v="485"/>
    <n v="22906065"/>
    <n v="9.1"/>
    <n v="162"/>
    <n v="44.09"/>
    <m/>
    <s v="NIAKARA"/>
    <m/>
    <s v="W-13 Mar"/>
  </r>
  <r>
    <n v="416"/>
    <d v="2026-03-25T00:00:00"/>
    <x v="37"/>
    <s v="RM"/>
    <s v="CREDIT"/>
    <x v="0"/>
    <s v="BKE-002"/>
    <x v="10"/>
    <x v="10"/>
    <s v="4981JR04"/>
    <s v="0425-0212"/>
    <n v="142"/>
    <n v="83401"/>
    <n v="487"/>
    <n v="43480"/>
    <n v="42993"/>
    <n v="480"/>
    <n v="0"/>
    <n v="7"/>
    <n v="28"/>
    <n v="42965"/>
    <n v="485"/>
    <n v="20838025"/>
    <n v="9.5"/>
    <n v="162"/>
    <n v="44.09"/>
    <m/>
    <s v="DABAKALA"/>
    <m/>
    <s v="W-13 Mar"/>
  </r>
  <r>
    <n v="417"/>
    <d v="2026-03-26T00:00:00"/>
    <x v="37"/>
    <s v="RM"/>
    <s v="CREDIT"/>
    <x v="0"/>
    <m/>
    <x v="8"/>
    <x v="8"/>
    <s v="AA398TS04"/>
    <m/>
    <m/>
    <m/>
    <m/>
    <n v="0"/>
    <m/>
    <m/>
    <m/>
    <m/>
    <m/>
    <n v="0"/>
    <m/>
    <n v="0"/>
    <n v="10.9"/>
    <n v="175"/>
    <n v="43.38"/>
    <m/>
    <s v="NIAKARA"/>
    <s v="REJECT"/>
    <m/>
  </r>
  <r>
    <n v="418"/>
    <d v="2026-03-26T00:00:00"/>
    <x v="37"/>
    <s v="RM"/>
    <s v="CREDIT"/>
    <x v="1"/>
    <m/>
    <x v="12"/>
    <x v="12"/>
    <s v="285LA01"/>
    <s v="0429-0005"/>
    <n v="654"/>
    <n v="83406"/>
    <n v="572"/>
    <n v="46300"/>
    <n v="45728"/>
    <n v="563"/>
    <n v="0"/>
    <n v="9"/>
    <n v="36"/>
    <n v="45692"/>
    <n v="485"/>
    <n v="22160620"/>
    <n v="9.6"/>
    <n v="187"/>
    <n v="44.17"/>
    <m/>
    <s v="VAVOUA"/>
    <m/>
    <s v="W-13 Mar"/>
  </r>
  <r>
    <n v="419"/>
    <d v="2026-03-26T00:00:00"/>
    <x v="37"/>
    <s v="RM"/>
    <s v="CREDIT"/>
    <x v="1"/>
    <m/>
    <x v="18"/>
    <x v="18"/>
    <s v="32AL01"/>
    <s v="0420-0251"/>
    <n v="652"/>
    <n v="84376"/>
    <n v="459"/>
    <n v="40700"/>
    <n v="40241"/>
    <n v="435"/>
    <n v="0"/>
    <n v="24"/>
    <n v="96"/>
    <n v="40145"/>
    <n v="485"/>
    <n v="19470325"/>
    <n v="9.9"/>
    <n v="170"/>
    <n v="44.35"/>
    <m/>
    <s v="BOUNDIALI"/>
    <m/>
    <s v="W-13 Mar"/>
  </r>
  <r>
    <n v="420"/>
    <d v="2026-03-26T00:00:00"/>
    <x v="37"/>
    <s v="RM"/>
    <s v="CREDIT"/>
    <x v="0"/>
    <s v="BKE-001"/>
    <x v="6"/>
    <x v="6"/>
    <s v="5012HJ01"/>
    <s v="0426-0347"/>
    <n v="147"/>
    <n v="88279"/>
    <n v="545"/>
    <n v="45480"/>
    <n v="44935"/>
    <n v="536"/>
    <n v="0"/>
    <n v="9"/>
    <n v="36"/>
    <n v="44899"/>
    <n v="485"/>
    <n v="21776015"/>
    <n v="8.1999999999999993"/>
    <n v="178"/>
    <n v="44.18"/>
    <m/>
    <s v="MANKONO"/>
    <m/>
    <s v="W-13 Mar"/>
  </r>
  <r>
    <n v="421"/>
    <d v="2026-03-26T00:00:00"/>
    <x v="37"/>
    <s v="RM"/>
    <s v="CREDIT"/>
    <x v="0"/>
    <s v="BKE-002"/>
    <x v="6"/>
    <x v="6"/>
    <s v="3272JE01"/>
    <s v="0426-0347"/>
    <n v="146"/>
    <n v="68696"/>
    <n v="644"/>
    <n v="48520"/>
    <n v="47876"/>
    <n v="634"/>
    <n v="0"/>
    <n v="10"/>
    <n v="40"/>
    <n v="47836"/>
    <n v="485"/>
    <n v="23200460"/>
    <n v="8.9"/>
    <n v="177"/>
    <n v="44.09"/>
    <m/>
    <s v="DABAKALA"/>
    <m/>
    <s v="W-13 Mar"/>
  </r>
  <r>
    <n v="422"/>
    <d v="2026-03-26T00:00:00"/>
    <x v="38"/>
    <s v="RM"/>
    <s v="CREDIT"/>
    <x v="0"/>
    <s v="BKE-001"/>
    <x v="8"/>
    <x v="8"/>
    <s v="7936LF03"/>
    <s v="0426-0340"/>
    <n v="149"/>
    <n v="82491"/>
    <n v="490"/>
    <n v="42060"/>
    <n v="41570"/>
    <n v="484"/>
    <n v="0"/>
    <n v="6"/>
    <n v="24"/>
    <n v="41546"/>
    <n v="490"/>
    <n v="20357540"/>
    <n v="7"/>
    <n v="186"/>
    <n v="44.09"/>
    <m/>
    <s v="KONG"/>
    <m/>
    <s v="W-13 Mar"/>
  </r>
  <r>
    <n v="423"/>
    <d v="2026-03-26T00:00:00"/>
    <x v="38"/>
    <s v="RM"/>
    <s v="CREDIT"/>
    <x v="0"/>
    <s v="BKE-001"/>
    <x v="8"/>
    <x v="8"/>
    <s v="AA044CA"/>
    <s v="0426-0340"/>
    <n v="148"/>
    <n v="84380"/>
    <n v="686"/>
    <n v="56360"/>
    <n v="55674"/>
    <n v="672"/>
    <n v="0"/>
    <n v="14"/>
    <n v="56"/>
    <n v="55618"/>
    <n v="490"/>
    <n v="27252820"/>
    <n v="10.7"/>
    <n v="173"/>
    <n v="44.09"/>
    <m/>
    <s v="DUEKOUE"/>
    <m/>
    <s v="W-13 Mar"/>
  </r>
  <r>
    <n v="424"/>
    <d v="2026-03-27T00:00:00"/>
    <x v="38"/>
    <s v="RM"/>
    <s v="CREDIT"/>
    <x v="0"/>
    <s v="BKE-001"/>
    <x v="11"/>
    <x v="11"/>
    <s v="6305EP01"/>
    <s v="0431-0277"/>
    <n v="1151"/>
    <n v="82673"/>
    <n v="398"/>
    <n v="33480"/>
    <n v="33082"/>
    <n v="393"/>
    <n v="0"/>
    <n v="5"/>
    <n v="20"/>
    <n v="33062"/>
    <n v="485"/>
    <n v="16035070"/>
    <n v="9"/>
    <n v="164"/>
    <n v="44.44"/>
    <m/>
    <s v="BOUAKE"/>
    <m/>
    <s v="W-13 Mar"/>
  </r>
  <r>
    <n v="425"/>
    <d v="2026-03-27T00:00:00"/>
    <x v="38"/>
    <s v="RM"/>
    <s v="CREDIT"/>
    <x v="0"/>
    <s v="BKE-001"/>
    <x v="17"/>
    <x v="17"/>
    <s v="4794HN01"/>
    <s v="0425-0055"/>
    <n v="150"/>
    <n v="82144"/>
    <n v="460"/>
    <n v="42680"/>
    <n v="42220"/>
    <n v="450"/>
    <n v="0"/>
    <n v="10"/>
    <n v="40"/>
    <n v="42180"/>
    <n v="485"/>
    <n v="20457300"/>
    <n v="10"/>
    <n v="180"/>
    <n v="44.09"/>
    <m/>
    <s v="NIAKARA"/>
    <m/>
    <s v="W-13 Mar"/>
  </r>
  <r>
    <n v="426"/>
    <d v="2026-03-27T00:00:00"/>
    <x v="38"/>
    <s v="RM"/>
    <s v="CREDIT"/>
    <x v="0"/>
    <s v="BKE-001"/>
    <x v="3"/>
    <x v="3"/>
    <s v="6690GB01"/>
    <s v="0426-0203"/>
    <n v="1152"/>
    <n v="88414"/>
    <n v="587"/>
    <n v="51360"/>
    <n v="50773"/>
    <n v="582"/>
    <n v="0"/>
    <n v="5"/>
    <n v="20"/>
    <n v="50753"/>
    <n v="485"/>
    <n v="24615205"/>
    <n v="9.4"/>
    <n v="171"/>
    <n v="44.09"/>
    <m/>
    <s v="ODIENNE"/>
    <m/>
    <s v="W-13 Mar"/>
  </r>
  <r>
    <n v="427"/>
    <d v="2026-03-27T00:00:00"/>
    <x v="38"/>
    <s v="RM"/>
    <s v="CREDIT"/>
    <x v="1"/>
    <m/>
    <x v="9"/>
    <x v="9"/>
    <s v="2319LR02"/>
    <s v="0419-0180"/>
    <n v="655"/>
    <n v="83407"/>
    <n v="575"/>
    <n v="42860"/>
    <n v="42285"/>
    <n v="551"/>
    <n v="0"/>
    <n v="24"/>
    <n v="96"/>
    <n v="42189"/>
    <n v="490"/>
    <n v="20672610"/>
    <n v="9.5"/>
    <n v="178"/>
    <n v="44.35"/>
    <m/>
    <s v="VAVOUA"/>
    <m/>
    <s v="W-13 Mar"/>
  </r>
  <r>
    <n v="428"/>
    <d v="2026-03-27T00:00:00"/>
    <x v="39"/>
    <s v="RM"/>
    <s v="CREDIT"/>
    <x v="0"/>
    <s v="BKE-002"/>
    <x v="3"/>
    <x v="3"/>
    <s v="8697HZ01"/>
    <s v="0426-0203"/>
    <n v="1153"/>
    <n v="83918"/>
    <n v="380"/>
    <n v="30700"/>
    <n v="30320"/>
    <n v="368"/>
    <n v="0"/>
    <n v="12"/>
    <n v="48"/>
    <n v="30272"/>
    <n v="485"/>
    <n v="14681920"/>
    <n v="7.9"/>
    <n v="186"/>
    <n v="44.09"/>
    <m/>
    <s v="KANIASSO"/>
    <m/>
    <s v="W-13 Mar"/>
  </r>
  <r>
    <n v="429"/>
    <d v="2026-03-28T00:00:00"/>
    <x v="39"/>
    <s v="RM"/>
    <s v="CREDIT"/>
    <x v="0"/>
    <s v="BKE-002"/>
    <x v="10"/>
    <x v="10"/>
    <s v="4981JR04"/>
    <s v="0425-0212"/>
    <n v="1154"/>
    <n v="83400"/>
    <n v="533"/>
    <n v="43820"/>
    <n v="43287"/>
    <n v="524"/>
    <n v="0"/>
    <n v="9"/>
    <n v="36"/>
    <n v="43251"/>
    <n v="495"/>
    <n v="21409245"/>
    <n v="8.5"/>
    <n v="179"/>
    <n v="45.503459999999997"/>
    <m/>
    <s v="DABAKALA"/>
    <m/>
    <s v="W-13 Mar"/>
  </r>
  <r>
    <n v="430"/>
    <d v="2026-03-28T00:00:00"/>
    <x v="40"/>
    <s v="RM"/>
    <s v="CREDIT"/>
    <x v="1"/>
    <m/>
    <x v="10"/>
    <x v="10"/>
    <s v="3937KT01"/>
    <s v="0425-0212"/>
    <n v="656"/>
    <n v="82495"/>
    <n v="530"/>
    <n v="46120"/>
    <n v="45590"/>
    <n v="510"/>
    <n v="0"/>
    <n v="20"/>
    <n v="80"/>
    <n v="45510"/>
    <n v="490"/>
    <n v="22299900"/>
    <n v="11.9"/>
    <n v="179"/>
    <n v="44.17"/>
    <m/>
    <s v="ABENGOUROU"/>
    <m/>
    <s v="W-13 Mar"/>
  </r>
  <r>
    <n v="431"/>
    <d v="2026-03-29T00:00:00"/>
    <x v="40"/>
    <s v="RM"/>
    <s v="CREDIT"/>
    <x v="0"/>
    <s v="BKE-001"/>
    <x v="15"/>
    <x v="15"/>
    <s v="4346FN03"/>
    <s v="0420-0149"/>
    <n v="1155"/>
    <n v="82136"/>
    <n v="472"/>
    <n v="41720"/>
    <n v="41248"/>
    <n v="463"/>
    <n v="0"/>
    <n v="9"/>
    <n v="36"/>
    <n v="41212"/>
    <n v="500"/>
    <n v="20606000"/>
    <n v="11.1"/>
    <n v="163"/>
    <n v="44.09"/>
    <m/>
    <s v="KOUNAHIRI"/>
    <m/>
    <s v="W-13 Mar"/>
  </r>
  <r>
    <n v="432"/>
    <d v="2026-03-29T00:00:00"/>
    <x v="40"/>
    <s v="RM"/>
    <s v="CREDIT"/>
    <x v="0"/>
    <m/>
    <x v="0"/>
    <x v="0"/>
    <s v="1026FL01"/>
    <m/>
    <m/>
    <m/>
    <m/>
    <n v="0"/>
    <m/>
    <m/>
    <m/>
    <m/>
    <m/>
    <n v="0"/>
    <m/>
    <n v="0"/>
    <n v="12.5"/>
    <n v="151"/>
    <n v="41.97"/>
    <m/>
    <s v="BOUAKE"/>
    <s v="REJECT"/>
    <m/>
  </r>
  <r>
    <n v="433"/>
    <d v="2026-03-29T00:00:00"/>
    <x v="40"/>
    <s v="RM"/>
    <s v="CREDIT"/>
    <x v="0"/>
    <m/>
    <x v="3"/>
    <x v="3"/>
    <s v="7692GB04"/>
    <m/>
    <m/>
    <m/>
    <m/>
    <n v="0"/>
    <m/>
    <m/>
    <m/>
    <m/>
    <m/>
    <n v="0"/>
    <m/>
    <n v="0"/>
    <n v="9.3000000000000007"/>
    <n v="182"/>
    <n v="40.21"/>
    <m/>
    <s v="VAVOUA"/>
    <s v="REJECT"/>
    <m/>
  </r>
  <r>
    <n v="434"/>
    <d v="2026-03-29T00:00:00"/>
    <x v="40"/>
    <s v="RM"/>
    <s v="CREDIT"/>
    <x v="0"/>
    <m/>
    <x v="17"/>
    <x v="17"/>
    <s v="953LU01"/>
    <m/>
    <m/>
    <m/>
    <m/>
    <n v="0"/>
    <m/>
    <m/>
    <m/>
    <m/>
    <m/>
    <n v="0"/>
    <m/>
    <n v="0"/>
    <n v="9.8000000000000007"/>
    <n v="178"/>
    <n v="43.56"/>
    <m/>
    <s v="DABAKALA"/>
    <s v="REJECT"/>
    <m/>
  </r>
  <r>
    <n v="435"/>
    <d v="2026-03-30T00:00:00"/>
    <x v="41"/>
    <s v="RM"/>
    <s v="CREDIT"/>
    <x v="0"/>
    <s v="BKE-001"/>
    <x v="13"/>
    <x v="13"/>
    <s v="AA057ER03"/>
    <s v="0426-0365"/>
    <n v="1157"/>
    <n v="32751"/>
    <n v="496"/>
    <n v="44700"/>
    <n v="44204"/>
    <n v="486"/>
    <n v="0"/>
    <n v="10"/>
    <n v="40"/>
    <n v="44164"/>
    <n v="495"/>
    <n v="21861180"/>
    <n v="10.199999999999999"/>
    <n v="174"/>
    <n v="44.09"/>
    <m/>
    <s v="DIANRA"/>
    <m/>
    <s v="W-14 Mar"/>
  </r>
  <r>
    <n v="436"/>
    <d v="2026-03-30T00:00:00"/>
    <x v="41"/>
    <s v="RM"/>
    <s v="CREDIT"/>
    <x v="0"/>
    <s v="BKE-001"/>
    <x v="28"/>
    <x v="28"/>
    <s v="5964WWCI01"/>
    <s v="0401-0154"/>
    <n v="1156"/>
    <n v="34442"/>
    <n v="582"/>
    <n v="54840"/>
    <n v="54258"/>
    <n v="573"/>
    <n v="0"/>
    <n v="9"/>
    <n v="36"/>
    <n v="54222"/>
    <n v="505"/>
    <n v="27382110"/>
    <n v="10"/>
    <n v="163"/>
    <n v="45.15"/>
    <m/>
    <s v="BEOUMI"/>
    <m/>
    <s v="W-14 Mar"/>
  </r>
  <r>
    <n v="437"/>
    <d v="2026-03-30T00:00:00"/>
    <x v="41"/>
    <s v="RM"/>
    <s v="CREDIT"/>
    <x v="0"/>
    <s v="BKE-001"/>
    <x v="4"/>
    <x v="4"/>
    <s v="374LK01"/>
    <s v="0425-0068"/>
    <n v="1158"/>
    <n v="19681"/>
    <n v="535"/>
    <n v="47740"/>
    <n v="47205"/>
    <n v="520"/>
    <n v="0"/>
    <n v="15"/>
    <n v="60"/>
    <n v="47145"/>
    <n v="495"/>
    <n v="23336775"/>
    <n v="9.8000000000000007"/>
    <n v="164"/>
    <n v="44.26"/>
    <m/>
    <s v="NIAKARA"/>
    <m/>
    <s v="W-14 Mar"/>
  </r>
  <r>
    <n v="438"/>
    <d v="2026-03-30T00:00:00"/>
    <x v="41"/>
    <s v="RM"/>
    <s v="CREDIT"/>
    <x v="1"/>
    <m/>
    <x v="9"/>
    <x v="9"/>
    <s v="2319LR01"/>
    <s v="0419-0180"/>
    <n v="657"/>
    <n v="83408"/>
    <n v="597"/>
    <n v="42920"/>
    <n v="42323"/>
    <n v="573"/>
    <n v="0"/>
    <n v="24"/>
    <n v="96"/>
    <n v="42227"/>
    <n v="500"/>
    <n v="21113500"/>
    <n v="10"/>
    <n v="186"/>
    <n v="44.09"/>
    <m/>
    <s v="VAVOUA"/>
    <m/>
    <s v="W-14 Mar"/>
  </r>
  <r>
    <n v="439"/>
    <d v="2026-03-30T00:00:00"/>
    <x v="41"/>
    <s v="RM"/>
    <s v="CREDIT"/>
    <x v="1"/>
    <m/>
    <x v="9"/>
    <x v="9"/>
    <s v="AA721PZ01"/>
    <s v="0419-0180"/>
    <n v="658"/>
    <n v="83409"/>
    <n v="691"/>
    <n v="51720"/>
    <n v="51029"/>
    <n v="667"/>
    <n v="0"/>
    <n v="24"/>
    <n v="96"/>
    <n v="50933"/>
    <n v="500"/>
    <n v="25466500"/>
    <n v="9.1"/>
    <n v="188"/>
    <n v="44.62"/>
    <m/>
    <s v="VAVOUA"/>
    <m/>
    <s v="W-14 Mar"/>
  </r>
  <r>
    <n v="440"/>
    <d v="2026-03-30T00:00:00"/>
    <x v="41"/>
    <m/>
    <m/>
    <x v="0"/>
    <m/>
    <x v="6"/>
    <x v="6"/>
    <s v="5500FL02/8832CP02"/>
    <m/>
    <m/>
    <m/>
    <m/>
    <m/>
    <m/>
    <m/>
    <m/>
    <m/>
    <m/>
    <n v="0"/>
    <m/>
    <m/>
    <n v="10.8"/>
    <n v="172"/>
    <n v="42.857909999999997"/>
    <m/>
    <s v="BOUAKE"/>
    <s v="REJECT"/>
    <m/>
  </r>
  <r>
    <n v="441"/>
    <d v="2026-03-30T00:00:00"/>
    <x v="41"/>
    <m/>
    <m/>
    <x v="0"/>
    <m/>
    <x v="8"/>
    <x v="8"/>
    <s v="5545JE01/2743EJ03"/>
    <m/>
    <m/>
    <m/>
    <m/>
    <m/>
    <m/>
    <m/>
    <m/>
    <m/>
    <m/>
    <n v="0"/>
    <m/>
    <m/>
    <n v="10.199999999999999"/>
    <n v="178"/>
    <n v="41.711505000000002"/>
    <m/>
    <s v="BOUNDIALI"/>
    <s v="REJECT"/>
    <m/>
  </r>
  <r>
    <n v="442"/>
    <d v="2026-03-30T00:00:00"/>
    <x v="41"/>
    <m/>
    <m/>
    <x v="0"/>
    <m/>
    <x v="8"/>
    <x v="8"/>
    <s v="6253KU04/9488FC01"/>
    <m/>
    <m/>
    <m/>
    <m/>
    <m/>
    <m/>
    <m/>
    <m/>
    <m/>
    <m/>
    <n v="0"/>
    <m/>
    <m/>
    <n v="7.9"/>
    <n v="189"/>
    <n v="38.272289999999998"/>
    <m/>
    <s v="SEGUELA"/>
    <s v="REJECT"/>
    <m/>
  </r>
  <r>
    <n v="443"/>
    <d v="2026-03-30T00:00:00"/>
    <x v="42"/>
    <s v="RM"/>
    <s v="CASH"/>
    <x v="0"/>
    <s v="BKE-001"/>
    <x v="19"/>
    <x v="19"/>
    <s v="2801FS01"/>
    <s v="0426-0440"/>
    <n v="1159"/>
    <n v="34032"/>
    <n v="443"/>
    <n v="36940"/>
    <n v="36497"/>
    <n v="434"/>
    <n v="0"/>
    <n v="9"/>
    <n v="36"/>
    <n v="36461"/>
    <n v="500"/>
    <n v="18230500"/>
    <n v="10.7"/>
    <n v="173"/>
    <n v="44.26"/>
    <m/>
    <s v="MANKONO"/>
    <m/>
    <s v="W-14 Mar"/>
  </r>
  <r>
    <n v="444"/>
    <d v="2026-03-30T00:00:00"/>
    <x v="42"/>
    <s v="RM"/>
    <s v="CREDIT"/>
    <x v="0"/>
    <s v="BKE-001"/>
    <x v="8"/>
    <x v="8"/>
    <s v="AA044CA01"/>
    <s v="0426-0340"/>
    <n v="1160"/>
    <n v="88498"/>
    <n v="582"/>
    <n v="52480"/>
    <n v="51898"/>
    <n v="577"/>
    <n v="0"/>
    <n v="5"/>
    <n v="20"/>
    <n v="51878"/>
    <n v="500"/>
    <n v="25939000"/>
    <n v="11"/>
    <n v="181"/>
    <n v="44.26"/>
    <m/>
    <s v="KOUNAHIRI"/>
    <m/>
    <s v="W-14 Mar"/>
  </r>
  <r>
    <n v="445"/>
    <d v="2026-03-31T00:00:00"/>
    <x v="42"/>
    <m/>
    <m/>
    <x v="0"/>
    <m/>
    <x v="20"/>
    <x v="20"/>
    <s v="6008FE04/6895AZ03"/>
    <m/>
    <m/>
    <m/>
    <m/>
    <m/>
    <m/>
    <m/>
    <m/>
    <m/>
    <m/>
    <n v="0"/>
    <m/>
    <m/>
    <n v="12.9"/>
    <n v="164"/>
    <n v="42.152430000000003"/>
    <m/>
    <s v="KATIOLA"/>
    <s v="REJECT"/>
    <m/>
  </r>
  <r>
    <n v="446"/>
    <d v="2026-03-31T00:00:00"/>
    <x v="42"/>
    <m/>
    <m/>
    <x v="0"/>
    <m/>
    <x v="2"/>
    <x v="2"/>
    <s v="8287GH03/6555CS03"/>
    <m/>
    <m/>
    <m/>
    <m/>
    <m/>
    <m/>
    <m/>
    <m/>
    <m/>
    <m/>
    <n v="0"/>
    <m/>
    <m/>
    <n v="11.6"/>
    <n v="159"/>
    <n v="42.50517"/>
    <m/>
    <s v="NIAKARA"/>
    <s v="REJECT"/>
    <m/>
  </r>
  <r>
    <n v="447"/>
    <d v="2026-03-31T00:00:00"/>
    <x v="42"/>
    <s v="RM"/>
    <s v="CREDIT"/>
    <x v="0"/>
    <s v="BKE-001"/>
    <x v="20"/>
    <x v="20"/>
    <s v="7576HC01"/>
    <s v="0425-0001"/>
    <n v="1161"/>
    <n v="82497"/>
    <n v="446"/>
    <n v="40620"/>
    <n v="40174"/>
    <n v="439"/>
    <n v="0"/>
    <n v="7"/>
    <n v="28"/>
    <n v="40146"/>
    <n v="500"/>
    <n v="20073000"/>
    <n v="10.4"/>
    <n v="173"/>
    <n v="44.44"/>
    <m/>
    <s v="KATIOLA"/>
    <m/>
    <s v="W-14 Mar"/>
  </r>
  <r>
    <n v="448"/>
    <d v="2026-03-31T00:00:00"/>
    <x v="42"/>
    <s v="RM"/>
    <s v="CASH"/>
    <x v="0"/>
    <s v="BKE-001"/>
    <x v="16"/>
    <x v="16"/>
    <s v="4240HA04"/>
    <s v="0427-0133"/>
    <n v="1162"/>
    <n v="87013"/>
    <n v="505"/>
    <n v="43320"/>
    <n v="42815"/>
    <n v="495"/>
    <n v="0"/>
    <n v="10"/>
    <n v="40"/>
    <n v="42775"/>
    <n v="500"/>
    <n v="21387500"/>
    <n v="9.6"/>
    <n v="172"/>
    <n v="44.97"/>
    <m/>
    <s v="DIANRA"/>
    <m/>
    <s v="W-14 Mar"/>
  </r>
  <r>
    <n v="449"/>
    <d v="2026-03-31T00:00:00"/>
    <x v="42"/>
    <s v="RM"/>
    <s v="CREDIT"/>
    <x v="1"/>
    <m/>
    <x v="18"/>
    <x v="18"/>
    <s v="7287JT01"/>
    <s v="0420-0251"/>
    <n v="669"/>
    <m/>
    <n v="528"/>
    <n v="45700"/>
    <n v="45172"/>
    <n v="510"/>
    <n v="0"/>
    <n v="18"/>
    <n v="72"/>
    <n v="45100"/>
    <n v="500"/>
    <n v="22550000"/>
    <n v="9.3000000000000007"/>
    <n v="167"/>
    <n v="44.62"/>
    <m/>
    <s v="DIANRA"/>
    <m/>
    <s v="W-14 Mar"/>
  </r>
  <r>
    <n v="450"/>
    <d v="2026-03-31T00:00:00"/>
    <x v="43"/>
    <s v="RM"/>
    <s v="CREDIT"/>
    <x v="0"/>
    <s v="BKE-001"/>
    <x v="15"/>
    <x v="15"/>
    <s v="293HV03"/>
    <s v="0420-0149"/>
    <n v="1163"/>
    <n v="84192"/>
    <n v="485"/>
    <n v="41820"/>
    <n v="41335"/>
    <n v="475"/>
    <n v="0"/>
    <n v="10"/>
    <n v="40"/>
    <n v="41295"/>
    <n v="500"/>
    <n v="20647500"/>
    <n v="9.5"/>
    <n v="170"/>
    <n v="44.09"/>
    <m/>
    <s v="DIANRA"/>
    <m/>
    <s v="W-14 Mar"/>
  </r>
  <r>
    <n v="451"/>
    <d v="2026-04-01T00:00:00"/>
    <x v="43"/>
    <s v="RM"/>
    <s v="CREDIT"/>
    <x v="0"/>
    <s v="BKE-001"/>
    <x v="8"/>
    <x v="8"/>
    <s v="4539CT01"/>
    <s v="0426-0340"/>
    <n v="1164"/>
    <n v="77656"/>
    <n v="480"/>
    <n v="48160"/>
    <n v="47680"/>
    <n v="460"/>
    <n v="0"/>
    <n v="20"/>
    <n v="80"/>
    <n v="47600"/>
    <n v="500"/>
    <n v="23800000"/>
    <n v="11.6"/>
    <n v="168"/>
    <n v="44.97"/>
    <m/>
    <s v="DUEKOUE"/>
    <m/>
    <s v="W-14 Mar"/>
  </r>
  <r>
    <n v="452"/>
    <d v="2026-04-01T00:00:00"/>
    <x v="43"/>
    <s v="RM"/>
    <s v="CREDIT"/>
    <x v="1"/>
    <m/>
    <x v="9"/>
    <x v="9"/>
    <s v="2319LR01"/>
    <s v="0419-0180"/>
    <n v="660"/>
    <n v="83410"/>
    <n v="578"/>
    <n v="41760"/>
    <n v="41182"/>
    <n v="554"/>
    <n v="0"/>
    <n v="24"/>
    <n v="96"/>
    <n v="41086"/>
    <n v="505"/>
    <n v="20748430"/>
    <n v="10.7"/>
    <n v="187"/>
    <n v="45.85"/>
    <m/>
    <s v="VAVOUA"/>
    <m/>
    <s v="W-14 Mar"/>
  </r>
  <r>
    <n v="453"/>
    <d v="2026-04-01T00:00:00"/>
    <x v="43"/>
    <s v="RM"/>
    <s v="CREDIT"/>
    <x v="1"/>
    <m/>
    <x v="9"/>
    <x v="9"/>
    <s v="1847KS01"/>
    <s v="0419-0180"/>
    <n v="661"/>
    <n v="83411"/>
    <n v="560"/>
    <n v="41780"/>
    <n v="41220"/>
    <n v="536"/>
    <n v="0"/>
    <n v="24"/>
    <n v="96"/>
    <n v="41124"/>
    <n v="505"/>
    <n v="20767620"/>
    <n v="10.199999999999999"/>
    <n v="185"/>
    <n v="46.03"/>
    <m/>
    <s v="VAVOUA"/>
    <m/>
    <s v="W-14 Mar"/>
  </r>
  <r>
    <n v="454"/>
    <d v="2026-04-01T00:00:00"/>
    <x v="43"/>
    <m/>
    <m/>
    <x v="0"/>
    <m/>
    <x v="3"/>
    <x v="3"/>
    <s v="7212FU01/6940EQ01"/>
    <m/>
    <m/>
    <m/>
    <m/>
    <n v="0"/>
    <m/>
    <m/>
    <m/>
    <m/>
    <m/>
    <n v="0"/>
    <m/>
    <n v="0"/>
    <n v="9"/>
    <n v="184"/>
    <n v="42.152430000000003"/>
    <m/>
    <s v="BOUAKE"/>
    <s v="REJECT"/>
    <m/>
  </r>
  <r>
    <n v="455"/>
    <d v="2026-04-01T00:00:00"/>
    <x v="43"/>
    <m/>
    <m/>
    <x v="0"/>
    <m/>
    <x v="16"/>
    <x v="16"/>
    <s v="9090KV03/9003KV03"/>
    <m/>
    <m/>
    <m/>
    <m/>
    <n v="0"/>
    <m/>
    <m/>
    <m/>
    <m/>
    <m/>
    <n v="0"/>
    <m/>
    <n v="0"/>
    <n v="10.6"/>
    <n v="184"/>
    <n v="39.85962"/>
    <m/>
    <s v="DIANRA"/>
    <s v="REJECT"/>
    <m/>
  </r>
  <r>
    <n v="456"/>
    <d v="2026-04-01T00:00:00"/>
    <x v="44"/>
    <s v="RM"/>
    <s v="CREDIT"/>
    <x v="1"/>
    <m/>
    <x v="18"/>
    <x v="18"/>
    <s v="AA562YC04"/>
    <s v="0420-0251"/>
    <n v="662"/>
    <n v="82173"/>
    <n v="490"/>
    <n v="40440"/>
    <n v="39950"/>
    <n v="470"/>
    <n v="0"/>
    <n v="20"/>
    <n v="80"/>
    <n v="39870"/>
    <n v="480"/>
    <n v="19137600"/>
    <n v="8.5"/>
    <n v="168"/>
    <n v="42.24"/>
    <m/>
    <s v="DIANRA"/>
    <m/>
    <s v="W-14 Mar"/>
  </r>
  <r>
    <n v="457"/>
    <d v="2026-04-01T00:00:00"/>
    <x v="44"/>
    <s v="RM"/>
    <s v="CREDIT"/>
    <x v="1"/>
    <m/>
    <x v="12"/>
    <x v="12"/>
    <s v="285LA01"/>
    <s v="0429-0005"/>
    <n v="663"/>
    <n v="83404"/>
    <n v="585"/>
    <n v="46420"/>
    <n v="45835"/>
    <n v="557"/>
    <n v="0"/>
    <n v="28"/>
    <n v="112"/>
    <n v="45723"/>
    <n v="485"/>
    <n v="22175655"/>
    <n v="10.5"/>
    <n v="183"/>
    <n v="42.68"/>
    <m/>
    <s v="VAVOUA"/>
    <m/>
    <s v="W-14 Mar"/>
  </r>
  <r>
    <n v="458"/>
    <d v="2026-04-02T00:00:00"/>
    <x v="44"/>
    <s v="RM"/>
    <s v="CREDIT"/>
    <x v="1"/>
    <m/>
    <x v="9"/>
    <x v="9"/>
    <s v="AA721PZ01"/>
    <s v="0419-0180"/>
    <n v="666"/>
    <n v="78892"/>
    <n v="669"/>
    <n v="51320"/>
    <n v="50651"/>
    <n v="647"/>
    <n v="0"/>
    <n v="22"/>
    <n v="88"/>
    <n v="50563"/>
    <n v="510"/>
    <n v="25787130"/>
    <n v="9.1"/>
    <n v="181"/>
    <n v="45.06"/>
    <m/>
    <s v="VAVOUA"/>
    <m/>
    <s v="W-14 Mar"/>
  </r>
  <r>
    <n v="459"/>
    <d v="2026-04-02T00:00:00"/>
    <x v="44"/>
    <s v="RM"/>
    <s v="CREDIT"/>
    <x v="1"/>
    <m/>
    <x v="10"/>
    <x v="10"/>
    <s v="138GL01"/>
    <s v="0425-0212"/>
    <n v="664"/>
    <n v="82496"/>
    <n v="500"/>
    <n v="43880"/>
    <n v="43380"/>
    <n v="440"/>
    <n v="0"/>
    <n v="60"/>
    <n v="240"/>
    <n v="43140"/>
    <n v="510"/>
    <n v="22001400"/>
    <n v="11.8"/>
    <n v="172"/>
    <n v="44.26"/>
    <m/>
    <s v="AGNIBILEKRO"/>
    <m/>
    <s v="W-14 Mar"/>
  </r>
  <r>
    <n v="460"/>
    <d v="2026-04-02T00:00:00"/>
    <x v="44"/>
    <s v="RM"/>
    <s v="CREDIT"/>
    <x v="1"/>
    <m/>
    <x v="9"/>
    <x v="9"/>
    <s v="3620KT01"/>
    <s v="0419-0180"/>
    <n v="665"/>
    <n v="78893"/>
    <n v="580"/>
    <n v="40480"/>
    <n v="39900"/>
    <n v="558"/>
    <n v="0"/>
    <n v="22"/>
    <n v="88"/>
    <n v="39812"/>
    <n v="505"/>
    <n v="20105060"/>
    <n v="9.4"/>
    <n v="183"/>
    <n v="44.88"/>
    <m/>
    <s v="VAVOUA"/>
    <m/>
    <s v="W-14 Mar"/>
  </r>
  <r>
    <n v="461"/>
    <d v="2026-04-02T00:00:00"/>
    <x v="44"/>
    <s v="RM"/>
    <s v="CASH"/>
    <x v="0"/>
    <s v="BKE-002"/>
    <x v="19"/>
    <x v="19"/>
    <s v="9640GEE04"/>
    <s v="0426-0440"/>
    <n v="1165"/>
    <n v="34033"/>
    <n v="424"/>
    <n v="35700"/>
    <n v="35276"/>
    <n v="404"/>
    <n v="0"/>
    <n v="20"/>
    <n v="80"/>
    <n v="35196"/>
    <n v="500"/>
    <n v="17598000"/>
    <n v="10"/>
    <n v="171"/>
    <n v="44.09"/>
    <m/>
    <s v="MANKONO"/>
    <m/>
    <s v="W-14 Mar"/>
  </r>
  <r>
    <n v="462"/>
    <d v="2026-04-02T00:00:00"/>
    <x v="44"/>
    <s v="RM"/>
    <s v="CREDIT"/>
    <x v="0"/>
    <s v="BKE-002"/>
    <x v="11"/>
    <x v="11"/>
    <s v="334HT04"/>
    <s v="0431-0277"/>
    <n v="1166"/>
    <n v="84390"/>
    <n v="579"/>
    <n v="50740"/>
    <n v="50161"/>
    <n v="570"/>
    <n v="0"/>
    <n v="9"/>
    <n v="36"/>
    <n v="50125"/>
    <n v="500"/>
    <n v="25062500"/>
    <n v="11.2"/>
    <n v="172"/>
    <n v="44.09"/>
    <m/>
    <s v="KATIOLA"/>
    <m/>
    <s v="W-14 Mar"/>
  </r>
  <r>
    <n v="463"/>
    <d v="2026-04-02T00:00:00"/>
    <x v="44"/>
    <m/>
    <m/>
    <x v="0"/>
    <m/>
    <x v="28"/>
    <x v="28"/>
    <s v="9082GC01/4544CR01"/>
    <m/>
    <m/>
    <m/>
    <m/>
    <n v="0"/>
    <m/>
    <m/>
    <m/>
    <m/>
    <m/>
    <n v="0"/>
    <m/>
    <n v="0"/>
    <n v="12.2"/>
    <n v="163"/>
    <n v="43.563389999999998"/>
    <m/>
    <s v="BOTRO"/>
    <s v="REJECT"/>
    <m/>
  </r>
  <r>
    <n v="464"/>
    <d v="2026-04-02T00:00:00"/>
    <x v="44"/>
    <m/>
    <m/>
    <x v="0"/>
    <m/>
    <x v="0"/>
    <x v="0"/>
    <s v="7344CL03/2208GF01"/>
    <m/>
    <m/>
    <m/>
    <m/>
    <n v="0"/>
    <m/>
    <m/>
    <m/>
    <m/>
    <m/>
    <n v="0"/>
    <m/>
    <n v="0"/>
    <n v="9.4"/>
    <n v="176"/>
    <n v="41.799689999999998"/>
    <m/>
    <s v="KORHOGO"/>
    <s v="REJECT"/>
    <m/>
  </r>
  <r>
    <n v="465"/>
    <d v="2026-04-02T00:00:00"/>
    <x v="44"/>
    <m/>
    <m/>
    <x v="0"/>
    <m/>
    <x v="16"/>
    <x v="16"/>
    <s v="9090KV03/9003KV03"/>
    <m/>
    <m/>
    <m/>
    <m/>
    <n v="0"/>
    <m/>
    <m/>
    <m/>
    <m/>
    <m/>
    <n v="0"/>
    <m/>
    <n v="0"/>
    <n v="10.5"/>
    <n v="165"/>
    <n v="38.625030000000002"/>
    <m/>
    <s v="DIANRA"/>
    <s v="REJECT"/>
    <m/>
  </r>
  <r>
    <n v="466"/>
    <d v="2026-04-02T00:00:00"/>
    <x v="44"/>
    <m/>
    <m/>
    <x v="0"/>
    <m/>
    <x v="6"/>
    <x v="6"/>
    <s v="1026FL01"/>
    <m/>
    <m/>
    <m/>
    <m/>
    <n v="0"/>
    <m/>
    <m/>
    <m/>
    <m/>
    <m/>
    <n v="0"/>
    <m/>
    <n v="0"/>
    <n v="10.3"/>
    <n v="188"/>
    <n v="40.212359999999997"/>
    <m/>
    <s v="MANKONO"/>
    <s v="REJECT"/>
    <m/>
  </r>
  <r>
    <n v="467"/>
    <d v="2026-04-02T00:00:00"/>
    <x v="44"/>
    <m/>
    <m/>
    <x v="1"/>
    <m/>
    <x v="43"/>
    <x v="44"/>
    <s v="2818CY01/AA822NG01"/>
    <m/>
    <m/>
    <m/>
    <m/>
    <n v="0"/>
    <m/>
    <m/>
    <m/>
    <m/>
    <m/>
    <n v="0"/>
    <m/>
    <n v="0"/>
    <n v="11"/>
    <n v="181"/>
    <n v="41.62"/>
    <m/>
    <s v="OUANINOU"/>
    <s v="REJECT"/>
    <m/>
  </r>
  <r>
    <n v="468"/>
    <d v="2026-04-02T00:00:00"/>
    <x v="45"/>
    <s v="RM"/>
    <s v="CREDIT"/>
    <x v="0"/>
    <s v="BKE-002"/>
    <x v="8"/>
    <x v="8"/>
    <s v="9462GX04"/>
    <s v="0426-0340"/>
    <n v="1168"/>
    <n v="87006"/>
    <n v="235"/>
    <n v="20820"/>
    <n v="20585"/>
    <n v="230"/>
    <n v="0"/>
    <n v="5"/>
    <n v="20"/>
    <n v="20565"/>
    <n v="510"/>
    <n v="10488150"/>
    <n v="7.9"/>
    <n v="173"/>
    <n v="44.44"/>
    <m/>
    <s v="MANKONO"/>
    <m/>
    <s v="W-14 Mar"/>
  </r>
  <r>
    <n v="469"/>
    <d v="2026-04-02T00:00:00"/>
    <x v="45"/>
    <s v="RM"/>
    <s v="CREDIT"/>
    <x v="0"/>
    <s v="BKE-001"/>
    <x v="3"/>
    <x v="3"/>
    <s v="6690GB01"/>
    <s v="0426-0203"/>
    <n v="1171"/>
    <n v="34344"/>
    <n v="510"/>
    <n v="42360"/>
    <n v="41850"/>
    <n v="500"/>
    <n v="0"/>
    <n v="10"/>
    <n v="40"/>
    <n v="41810"/>
    <n v="500"/>
    <n v="20905000"/>
    <n v="12.2"/>
    <n v="174"/>
    <n v="43.56"/>
    <m/>
    <s v="VAVOUA"/>
    <m/>
    <s v="W-14 Mar"/>
  </r>
  <r>
    <n v="470"/>
    <d v="2026-04-02T00:00:00"/>
    <x v="45"/>
    <s v="RM"/>
    <s v="CREDIT"/>
    <x v="0"/>
    <s v="BKE-001"/>
    <x v="8"/>
    <x v="8"/>
    <s v="9126KK04"/>
    <s v="0426-0340"/>
    <n v="1167"/>
    <n v="82490"/>
    <n v="563"/>
    <n v="48160"/>
    <n v="47597"/>
    <n v="536"/>
    <n v="0"/>
    <n v="27"/>
    <n v="108"/>
    <n v="47489"/>
    <n v="510"/>
    <n v="24219390"/>
    <n v="11.2"/>
    <n v="175"/>
    <n v="44.09"/>
    <m/>
    <s v="KOUNAHIRI"/>
    <m/>
    <s v="W-14 Mar"/>
  </r>
  <r>
    <n v="471"/>
    <d v="2026-04-03T00:00:00"/>
    <x v="45"/>
    <s v="RM"/>
    <s v="CREDIT"/>
    <x v="0"/>
    <s v="BKE-001"/>
    <x v="0"/>
    <x v="0"/>
    <s v="X7212FU01"/>
    <s v="0401-0007"/>
    <n v="1169"/>
    <n v="72406"/>
    <n v="556"/>
    <n v="45820"/>
    <n v="45264"/>
    <n v="536"/>
    <n v="0"/>
    <n v="20"/>
    <n v="80"/>
    <n v="45184"/>
    <n v="485"/>
    <n v="21914240"/>
    <n v="9.6999999999999993"/>
    <n v="170"/>
    <n v="42.15"/>
    <m/>
    <s v="KANI"/>
    <m/>
    <s v="W-14 Mar"/>
  </r>
  <r>
    <n v="472"/>
    <d v="2026-04-03T00:00:00"/>
    <x v="45"/>
    <s v="RM"/>
    <s v="CREDIT"/>
    <x v="0"/>
    <s v="BKE-001"/>
    <x v="6"/>
    <x v="6"/>
    <s v="28JZ01"/>
    <s v="0426-0347"/>
    <n v="1170"/>
    <n v="60464"/>
    <n v="571"/>
    <n v="46260"/>
    <n v="45689"/>
    <n v="561"/>
    <n v="0"/>
    <n v="10"/>
    <n v="40"/>
    <n v="45649"/>
    <n v="505"/>
    <n v="23052745"/>
    <n v="10"/>
    <n v="176"/>
    <n v="44.09"/>
    <m/>
    <s v="DIKODOUGOU"/>
    <m/>
    <s v="W-14 Mar"/>
  </r>
  <r>
    <n v="473"/>
    <d v="2026-04-03T00:00:00"/>
    <x v="45"/>
    <s v="RM"/>
    <s v="CASH"/>
    <x v="1"/>
    <m/>
    <x v="39"/>
    <x v="40"/>
    <s v="1714LE01"/>
    <s v="0401-0173"/>
    <n v="667"/>
    <n v="87134"/>
    <n v="454"/>
    <n v="37160"/>
    <n v="36706"/>
    <n v="433"/>
    <n v="0"/>
    <n v="21"/>
    <n v="84"/>
    <n v="36622"/>
    <n v="510"/>
    <n v="18677220"/>
    <n v="11"/>
    <n v="165"/>
    <n v="45.06"/>
    <m/>
    <s v="BOUAFLE"/>
    <m/>
    <s v="W-14 Mar"/>
  </r>
  <r>
    <n v="474"/>
    <d v="2026-04-03T00:00:00"/>
    <x v="45"/>
    <m/>
    <m/>
    <x v="0"/>
    <m/>
    <x v="0"/>
    <x v="0"/>
    <s v="7558EJ03/9932EK03"/>
    <m/>
    <m/>
    <m/>
    <m/>
    <n v="0"/>
    <m/>
    <m/>
    <m/>
    <m/>
    <m/>
    <n v="0"/>
    <m/>
    <n v="0"/>
    <n v="9"/>
    <n v="184"/>
    <n v="41.446950000000001"/>
    <m/>
    <s v="DIANRA"/>
    <s v="REJECT"/>
    <m/>
  </r>
  <r>
    <n v="475"/>
    <d v="2026-04-03T00:00:00"/>
    <x v="45"/>
    <m/>
    <m/>
    <x v="0"/>
    <m/>
    <x v="11"/>
    <x v="11"/>
    <s v="6305EP01"/>
    <m/>
    <m/>
    <m/>
    <m/>
    <n v="0"/>
    <m/>
    <m/>
    <m/>
    <m/>
    <m/>
    <n v="0"/>
    <m/>
    <n v="0"/>
    <n v="10.3"/>
    <n v="177"/>
    <n v="40.035989999999998"/>
    <m/>
    <s v="BOUAKE"/>
    <s v="REJECT"/>
    <m/>
  </r>
  <r>
    <n v="476"/>
    <d v="2026-04-03T00:00:00"/>
    <x v="45"/>
    <m/>
    <m/>
    <x v="0"/>
    <m/>
    <x v="10"/>
    <x v="10"/>
    <s v="4981JR04/7378CB01"/>
    <m/>
    <m/>
    <m/>
    <m/>
    <n v="0"/>
    <m/>
    <m/>
    <m/>
    <m/>
    <m/>
    <n v="0"/>
    <m/>
    <n v="0"/>
    <n v="12.3"/>
    <n v="170"/>
    <n v="41.446950000000001"/>
    <m/>
    <s v="DABAKALA"/>
    <s v="REJECT"/>
    <m/>
  </r>
  <r>
    <n v="477"/>
    <d v="2026-04-03T00:00:00"/>
    <x v="45"/>
    <m/>
    <m/>
    <x v="0"/>
    <m/>
    <x v="0"/>
    <x v="0"/>
    <s v="3605HT01/7104CS03"/>
    <m/>
    <m/>
    <m/>
    <m/>
    <n v="0"/>
    <m/>
    <m/>
    <m/>
    <m/>
    <m/>
    <n v="0"/>
    <m/>
    <n v="0"/>
    <n v="9.5"/>
    <n v="171"/>
    <n v="40.212359999999997"/>
    <m/>
    <s v="KORHOGO"/>
    <s v="REJECT"/>
    <m/>
  </r>
  <r>
    <n v="478"/>
    <d v="2026-04-03T00:00:00"/>
    <x v="46"/>
    <s v="RM"/>
    <s v="CREDIT"/>
    <x v="0"/>
    <s v="BKE-001"/>
    <x v="5"/>
    <x v="5"/>
    <s v="2023HF01"/>
    <s v="0426-0194"/>
    <n v="1173"/>
    <n v="32833"/>
    <n v="210"/>
    <n v="17480"/>
    <n v="17270"/>
    <n v="170"/>
    <n v="0"/>
    <n v="40"/>
    <n v="160"/>
    <n v="17110"/>
    <n v="505"/>
    <n v="8640550"/>
    <n v="12.3"/>
    <n v="167"/>
    <n v="44.09"/>
    <m/>
    <s v="TIEBISSOU"/>
    <m/>
    <s v="W-14 Mar"/>
  </r>
  <r>
    <n v="479"/>
    <d v="2026-04-03T00:00:00"/>
    <x v="46"/>
    <s v="RM"/>
    <s v="CREDIT"/>
    <x v="0"/>
    <s v="BKE-001"/>
    <x v="8"/>
    <x v="8"/>
    <s v="4539CT01"/>
    <s v="0426-0340"/>
    <n v="1172"/>
    <n v="84384"/>
    <n v="528"/>
    <n v="44100"/>
    <n v="43572"/>
    <n v="493"/>
    <n v="0"/>
    <n v="35"/>
    <n v="140"/>
    <n v="43432"/>
    <n v="510"/>
    <n v="22150320"/>
    <n v="11.1"/>
    <n v="175"/>
    <n v="43.73"/>
    <m/>
    <s v="BEOUMI"/>
    <m/>
    <s v="W-14 Mar"/>
  </r>
  <r>
    <n v="480"/>
    <d v="2026-04-04T00:00:00"/>
    <x v="46"/>
    <s v="RM"/>
    <s v="CREDIT"/>
    <x v="0"/>
    <s v="BKE-002"/>
    <x v="17"/>
    <x v="17"/>
    <s v="4794HN01"/>
    <s v="0425-0055"/>
    <n v="1174"/>
    <n v="18450"/>
    <n v="469"/>
    <n v="41140"/>
    <n v="40671"/>
    <n v="449"/>
    <n v="0"/>
    <n v="20"/>
    <n v="80"/>
    <n v="40591"/>
    <n v="510"/>
    <n v="20701410"/>
    <n v="10"/>
    <n v="161"/>
    <n v="45.23"/>
    <m/>
    <s v="DIKODOUGOU"/>
    <m/>
    <s v="W-14 Mar"/>
  </r>
  <r>
    <n v="481"/>
    <d v="2026-04-04T00:00:00"/>
    <x v="46"/>
    <s v="RM"/>
    <s v="CREDIT"/>
    <x v="0"/>
    <s v="BKE-001"/>
    <x v="8"/>
    <x v="8"/>
    <s v="6464LU03"/>
    <s v="0426-0340"/>
    <n v="1175"/>
    <n v="84379"/>
    <n v="407"/>
    <n v="35620"/>
    <n v="35213"/>
    <n v="376"/>
    <n v="0"/>
    <n v="31"/>
    <n v="124"/>
    <n v="35089"/>
    <n v="500"/>
    <n v="17544500"/>
    <n v="10.8"/>
    <n v="168"/>
    <n v="42.5"/>
    <m/>
    <s v="FERKE"/>
    <m/>
    <s v="W-14 Mar"/>
  </r>
  <r>
    <n v="482"/>
    <d v="2026-04-04T00:00:00"/>
    <x v="46"/>
    <s v="RM"/>
    <s v="CREDIT"/>
    <x v="0"/>
    <s v="BKE-002"/>
    <x v="8"/>
    <x v="8"/>
    <s v="K5545JE04"/>
    <s v="0426-0340"/>
    <n v="1177"/>
    <n v="34064"/>
    <n v="463"/>
    <n v="37700"/>
    <n v="37237"/>
    <n v="443"/>
    <n v="0"/>
    <n v="20"/>
    <n v="80"/>
    <n v="37157"/>
    <n v="510"/>
    <n v="18950070"/>
    <n v="9.4"/>
    <n v="161"/>
    <n v="44.62"/>
    <m/>
    <s v="DIKODOUGOU"/>
    <m/>
    <s v="W-14 Mar"/>
  </r>
  <r>
    <n v="483"/>
    <d v="2026-04-04T00:00:00"/>
    <x v="46"/>
    <s v="RM"/>
    <s v="CREDIT"/>
    <x v="0"/>
    <s v="BKE-002"/>
    <x v="8"/>
    <x v="8"/>
    <s v="A044CA"/>
    <s v="0426-0340"/>
    <n v="1176"/>
    <n v="34063"/>
    <n v="591"/>
    <n v="50000"/>
    <n v="49409"/>
    <n v="557"/>
    <n v="0"/>
    <n v="34"/>
    <n v="136"/>
    <n v="49273"/>
    <n v="505"/>
    <n v="24882865"/>
    <n v="11.7"/>
    <n v="160"/>
    <n v="43.03"/>
    <m/>
    <s v="MANKONO"/>
    <m/>
    <s v="W-14 Mar"/>
  </r>
  <r>
    <n v="484"/>
    <d v="2026-04-04T00:00:00"/>
    <x v="46"/>
    <s v="RM"/>
    <s v="CREDIT"/>
    <x v="1"/>
    <m/>
    <x v="9"/>
    <x v="9"/>
    <s v="2744KK02"/>
    <s v="0419-0180"/>
    <n v="668"/>
    <n v="87137"/>
    <n v="603"/>
    <n v="40820"/>
    <n v="40217"/>
    <n v="572"/>
    <n v="0"/>
    <n v="31"/>
    <n v="124"/>
    <n v="40093"/>
    <n v="510"/>
    <n v="20447430"/>
    <n v="9.1999999999999993"/>
    <n v="188"/>
    <n v="44.7"/>
    <m/>
    <s v="VAVOUA"/>
    <m/>
    <s v="W-14 Mar"/>
  </r>
  <r>
    <n v="485"/>
    <d v="2026-04-04T00:00:00"/>
    <x v="46"/>
    <s v="RM"/>
    <s v="CASH"/>
    <x v="1"/>
    <m/>
    <x v="42"/>
    <x v="43"/>
    <s v="6139KV01"/>
    <s v="0401-0177"/>
    <n v="669"/>
    <m/>
    <n v="467"/>
    <n v="36420"/>
    <n v="35953"/>
    <n v="443"/>
    <n v="0"/>
    <n v="24"/>
    <n v="96"/>
    <n v="35857"/>
    <n v="510"/>
    <n v="18287070"/>
    <n v="9.6"/>
    <n v="168"/>
    <n v="46.2"/>
    <m/>
    <s v="KONONFLA"/>
    <m/>
    <s v="W-14 Mar"/>
  </r>
  <r>
    <n v="486"/>
    <d v="2026-04-04T00:00:00"/>
    <x v="46"/>
    <m/>
    <m/>
    <x v="0"/>
    <m/>
    <x v="19"/>
    <x v="19"/>
    <s v="4089HK01/2223HF01"/>
    <m/>
    <m/>
    <m/>
    <m/>
    <n v="0"/>
    <m/>
    <m/>
    <m/>
    <m/>
    <m/>
    <n v="0"/>
    <m/>
    <n v="0"/>
    <n v="10.199999999999999"/>
    <n v="187"/>
    <n v="41.094209999999997"/>
    <m/>
    <s v="SEGUELA"/>
    <s v="REJECT"/>
    <m/>
  </r>
  <r>
    <n v="487"/>
    <d v="2026-04-04T00:00:00"/>
    <x v="46"/>
    <m/>
    <m/>
    <x v="0"/>
    <m/>
    <x v="4"/>
    <x v="4"/>
    <s v="374LK01/572KA01"/>
    <m/>
    <m/>
    <m/>
    <m/>
    <n v="0"/>
    <m/>
    <m/>
    <m/>
    <m/>
    <m/>
    <n v="0"/>
    <m/>
    <n v="0"/>
    <n v="10.9"/>
    <n v="159"/>
    <n v="41.446950000000001"/>
    <m/>
    <s v="NIAKARA"/>
    <s v="REJECT"/>
    <m/>
  </r>
  <r>
    <n v="488"/>
    <d v="2026-04-04T00:00:00"/>
    <x v="46"/>
    <m/>
    <m/>
    <x v="0"/>
    <m/>
    <x v="20"/>
    <x v="20"/>
    <s v="3921CN03/3922CN03"/>
    <m/>
    <m/>
    <m/>
    <m/>
    <n v="0"/>
    <m/>
    <m/>
    <m/>
    <m/>
    <m/>
    <n v="0"/>
    <m/>
    <n v="0"/>
    <n v="13"/>
    <n v="151"/>
    <n v="42.857909999999997"/>
    <m/>
    <s v="KATIOLA"/>
    <s v="REJECT"/>
    <m/>
  </r>
  <r>
    <n v="489"/>
    <d v="2026-04-04T00:00:00"/>
    <x v="46"/>
    <m/>
    <m/>
    <x v="0"/>
    <m/>
    <x v="2"/>
    <x v="2"/>
    <s v="8287GH03/6555CS03"/>
    <m/>
    <m/>
    <m/>
    <m/>
    <n v="0"/>
    <m/>
    <m/>
    <m/>
    <m/>
    <m/>
    <n v="0"/>
    <m/>
    <n v="0"/>
    <n v="11.6"/>
    <n v="165"/>
    <n v="42.328800000000001"/>
    <m/>
    <s v="NIAKARA"/>
    <s v="REJECT"/>
    <m/>
  </r>
  <r>
    <n v="490"/>
    <d v="2026-04-04T00:00:00"/>
    <x v="46"/>
    <m/>
    <m/>
    <x v="0"/>
    <m/>
    <x v="6"/>
    <x v="6"/>
    <s v="28JZ01/3717CN01"/>
    <m/>
    <m/>
    <m/>
    <m/>
    <n v="0"/>
    <m/>
    <m/>
    <m/>
    <m/>
    <m/>
    <n v="0"/>
    <m/>
    <n v="0"/>
    <n v="10.1"/>
    <n v="171"/>
    <n v="41.62332"/>
    <m/>
    <s v="VAVOUA"/>
    <s v="REJECT"/>
    <m/>
  </r>
  <r>
    <n v="491"/>
    <d v="2026-04-04T00:00:00"/>
    <x v="47"/>
    <s v="RM"/>
    <s v="CREDIT"/>
    <x v="1"/>
    <m/>
    <x v="9"/>
    <x v="9"/>
    <s v="AA721PZ01"/>
    <s v="0419-0180"/>
    <n v="670"/>
    <n v="87135"/>
    <n v="659"/>
    <n v="51300"/>
    <n v="50641"/>
    <n v="635"/>
    <n v="0"/>
    <n v="24"/>
    <n v="96"/>
    <n v="50545"/>
    <n v="510"/>
    <n v="25777950"/>
    <n v="9.1999999999999993"/>
    <n v="183"/>
    <n v="46.03"/>
    <m/>
    <s v="VAVOUA"/>
    <m/>
    <s v="W-15 Mar"/>
  </r>
  <r>
    <n v="492"/>
    <d v="2026-04-04T00:00:00"/>
    <x v="47"/>
    <s v="RM"/>
    <s v="CREDIT"/>
    <x v="1"/>
    <m/>
    <x v="9"/>
    <x v="9"/>
    <s v="5739GH01"/>
    <s v="0419-0180"/>
    <n v="671"/>
    <n v="87136"/>
    <n v="655"/>
    <n v="49870"/>
    <n v="49215"/>
    <n v="631"/>
    <n v="0"/>
    <n v="24"/>
    <n v="96"/>
    <n v="49119"/>
    <n v="510"/>
    <n v="25050690"/>
    <n v="10"/>
    <n v="180"/>
    <n v="45.15"/>
    <m/>
    <s v="VAVOUA"/>
    <m/>
    <s v="W-15 Mar"/>
  </r>
  <r>
    <n v="493"/>
    <d v="2026-04-06T00:00:00"/>
    <x v="47"/>
    <s v="RM"/>
    <s v="CREDIT"/>
    <x v="0"/>
    <s v="BKE-002"/>
    <x v="20"/>
    <x v="20"/>
    <s v="7576HC01"/>
    <s v="0425-0001"/>
    <n v="1178"/>
    <n v="84375"/>
    <n v="451"/>
    <n v="38920"/>
    <n v="38469"/>
    <n v="406"/>
    <n v="0"/>
    <n v="45"/>
    <n v="180"/>
    <n v="38289"/>
    <n v="510"/>
    <n v="19527390"/>
    <n v="11.4"/>
    <n v="160"/>
    <n v="43.03"/>
    <m/>
    <s v="KATIOLA"/>
    <m/>
    <s v="W-15 Mar"/>
  </r>
  <r>
    <n v="494"/>
    <d v="2026-04-06T00:00:00"/>
    <x v="47"/>
    <s v="RM"/>
    <s v="CREDIT"/>
    <x v="0"/>
    <s v="BKE-002"/>
    <x v="8"/>
    <x v="8"/>
    <s v="9126KK04"/>
    <s v="0426-0340"/>
    <n v="1179"/>
    <n v="88499"/>
    <n v="626"/>
    <n v="50720"/>
    <n v="50094"/>
    <n v="599"/>
    <n v="0"/>
    <n v="27"/>
    <n v="108"/>
    <n v="49986"/>
    <n v="505"/>
    <n v="25242930"/>
    <n v="9.6999999999999993"/>
    <n v="187"/>
    <n v="42.15"/>
    <m/>
    <s v="BOUAKE"/>
    <m/>
    <s v="W-15 Mar"/>
  </r>
  <r>
    <n v="495"/>
    <d v="2026-04-06T00:00:00"/>
    <x v="47"/>
    <s v="RM"/>
    <s v="CREDIT"/>
    <x v="0"/>
    <s v="BKE-002"/>
    <x v="2"/>
    <x v="2"/>
    <s v="6085HR03"/>
    <s v="0426-0187"/>
    <n v="1181"/>
    <n v="18129"/>
    <n v="533"/>
    <n v="45860"/>
    <n v="45327"/>
    <n v="489"/>
    <n v="0"/>
    <n v="44"/>
    <n v="176"/>
    <n v="45151"/>
    <n v="500"/>
    <n v="22575500"/>
    <n v="11.3"/>
    <n v="162"/>
    <n v="42.24"/>
    <m/>
    <s v="NIAKARA"/>
    <m/>
    <s v="W-15 Mar"/>
  </r>
  <r>
    <n v="496"/>
    <d v="2026-04-06T00:00:00"/>
    <x v="47"/>
    <s v="RM"/>
    <s v="CREDIT"/>
    <x v="0"/>
    <s v="BKE-002"/>
    <x v="5"/>
    <x v="5"/>
    <s v="2496HJ04"/>
    <s v="0426-0194"/>
    <n v="1180"/>
    <n v="88435"/>
    <n v="473"/>
    <n v="38800"/>
    <n v="38327"/>
    <n v="383"/>
    <n v="0"/>
    <n v="90"/>
    <n v="360"/>
    <n v="37967"/>
    <n v="500"/>
    <n v="18983500"/>
    <n v="12.6"/>
    <n v="170"/>
    <n v="43.21"/>
    <m/>
    <s v="M'BAHIAKRO"/>
    <m/>
    <s v="W-15 Mar"/>
  </r>
  <r>
    <n v="497"/>
    <d v="2026-04-06T00:00:00"/>
    <x v="47"/>
    <m/>
    <m/>
    <x v="0"/>
    <m/>
    <x v="11"/>
    <x v="11"/>
    <s v="6010GB03/5201GB03"/>
    <m/>
    <m/>
    <m/>
    <m/>
    <n v="0"/>
    <m/>
    <m/>
    <m/>
    <m/>
    <m/>
    <n v="0"/>
    <m/>
    <n v="0"/>
    <n v="6.9"/>
    <n v="187"/>
    <n v="37.743180000000002"/>
    <m/>
    <s v="MANKONO"/>
    <s v="REJECT"/>
    <m/>
  </r>
  <r>
    <n v="498"/>
    <d v="2026-04-06T00:00:00"/>
    <x v="47"/>
    <m/>
    <m/>
    <x v="0"/>
    <m/>
    <x v="8"/>
    <x v="8"/>
    <s v="4539CT01/2857AU01"/>
    <m/>
    <m/>
    <m/>
    <m/>
    <n v="0"/>
    <m/>
    <m/>
    <m/>
    <m/>
    <m/>
    <n v="0"/>
    <m/>
    <n v="0"/>
    <n v="13.7"/>
    <n v="160"/>
    <n v="41.446950000000001"/>
    <m/>
    <s v="DALOA"/>
    <s v="REJECT"/>
    <m/>
  </r>
  <r>
    <n v="499"/>
    <d v="2026-04-06T00:00:00"/>
    <x v="47"/>
    <m/>
    <m/>
    <x v="0"/>
    <m/>
    <x v="15"/>
    <x v="15"/>
    <s v="151HY03/7733FS01"/>
    <m/>
    <m/>
    <m/>
    <m/>
    <n v="0"/>
    <m/>
    <m/>
    <m/>
    <m/>
    <m/>
    <n v="0"/>
    <m/>
    <n v="0"/>
    <n v="8.4"/>
    <n v="172"/>
    <n v="39.330509999999997"/>
    <m/>
    <s v="DIANRA"/>
    <s v="REJECT"/>
    <m/>
  </r>
  <r>
    <n v="500"/>
    <d v="2026-04-06T00:00:00"/>
    <x v="47"/>
    <m/>
    <m/>
    <x v="0"/>
    <m/>
    <x v="3"/>
    <x v="3"/>
    <s v="2318JK01/2843CG01"/>
    <m/>
    <m/>
    <m/>
    <m/>
    <n v="0"/>
    <m/>
    <m/>
    <m/>
    <m/>
    <m/>
    <n v="0"/>
    <m/>
    <n v="0"/>
    <n v="10.6"/>
    <n v="167"/>
    <n v="40.74147"/>
    <m/>
    <s v="BOTRO"/>
    <s v="REJECT"/>
    <m/>
  </r>
  <r>
    <n v="501"/>
    <d v="2026-04-06T00:00:00"/>
    <x v="48"/>
    <s v="RM"/>
    <s v="CREDIT"/>
    <x v="0"/>
    <s v="BKE-001"/>
    <x v="11"/>
    <x v="11"/>
    <s v="A9082GC01"/>
    <s v="0431-0277"/>
    <n v="1182"/>
    <n v="82675"/>
    <n v="517"/>
    <n v="43100"/>
    <n v="42583"/>
    <n v="501"/>
    <n v="0"/>
    <n v="16"/>
    <n v="64"/>
    <n v="42519"/>
    <n v="505"/>
    <n v="21472095"/>
    <n v="9.6999999999999993"/>
    <n v="162"/>
    <n v="44.26"/>
    <m/>
    <s v="BOUAKE"/>
    <m/>
    <s v="W-15 Mar"/>
  </r>
  <r>
    <n v="502"/>
    <d v="2026-04-06T00:00:00"/>
    <x v="48"/>
    <s v="RM"/>
    <s v="CREDIT"/>
    <x v="0"/>
    <s v="BKE-002"/>
    <x v="11"/>
    <x v="11"/>
    <s v="AA343VP04"/>
    <s v="0431-0277"/>
    <n v="1184"/>
    <n v="80522"/>
    <n v="149"/>
    <n v="12240"/>
    <n v="12091"/>
    <n v="130"/>
    <n v="0"/>
    <n v="19"/>
    <n v="76"/>
    <n v="12015"/>
    <n v="485"/>
    <n v="5827275"/>
    <n v="11.7"/>
    <n v="160"/>
    <n v="41.79"/>
    <m/>
    <s v="BOUAKE"/>
    <m/>
    <s v="W-15 Mar"/>
  </r>
  <r>
    <n v="503"/>
    <d v="2026-04-06T00:00:00"/>
    <x v="48"/>
    <s v="RM"/>
    <s v="CREDIT"/>
    <x v="0"/>
    <s v="BKE-002"/>
    <x v="11"/>
    <x v="11"/>
    <s v="6305BP01"/>
    <s v="0431-0277"/>
    <n v="1185"/>
    <n v="87005"/>
    <n v="387"/>
    <n v="31280"/>
    <n v="30893"/>
    <n v="378"/>
    <n v="0"/>
    <n v="9"/>
    <n v="36"/>
    <n v="30857"/>
    <n v="485"/>
    <n v="14965645"/>
    <n v="9.1"/>
    <n v="176"/>
    <n v="41.27"/>
    <m/>
    <s v="BOUAKE"/>
    <m/>
    <s v="W-15 Mar"/>
  </r>
  <r>
    <n v="504"/>
    <d v="2026-04-06T00:00:00"/>
    <x v="48"/>
    <s v="RM"/>
    <s v="CASH"/>
    <x v="0"/>
    <s v="BKE-001"/>
    <x v="26"/>
    <x v="26"/>
    <s v="4972KB01"/>
    <s v="0429-0606"/>
    <n v="1183"/>
    <n v="23660"/>
    <n v="478"/>
    <n v="40240"/>
    <n v="39762"/>
    <n v="461"/>
    <n v="0"/>
    <n v="17"/>
    <n v="68"/>
    <n v="39694"/>
    <n v="490"/>
    <n v="19450060"/>
    <n v="8.4"/>
    <n v="170"/>
    <n v="42.06"/>
    <m/>
    <s v="DIKODOUGOU"/>
    <m/>
    <s v="W-15 Mar"/>
  </r>
  <r>
    <n v="505"/>
    <d v="2026-04-06T00:00:00"/>
    <x v="48"/>
    <s v="RM"/>
    <s v="CREDIT"/>
    <x v="0"/>
    <s v="BKE-002"/>
    <x v="1"/>
    <x v="1"/>
    <s v="524LS01"/>
    <s v="0429-0040"/>
    <n v="1186"/>
    <n v="67178"/>
    <n v="487"/>
    <n v="40580"/>
    <n v="40093"/>
    <n v="477"/>
    <n v="0"/>
    <n v="10"/>
    <n v="40"/>
    <n v="40053"/>
    <n v="500"/>
    <n v="20026500"/>
    <n v="9"/>
    <n v="174"/>
    <n v="42.15"/>
    <m/>
    <s v="MANKONO"/>
    <m/>
    <s v="W-15 Mar"/>
  </r>
  <r>
    <n v="506"/>
    <d v="2026-04-06T00:00:00"/>
    <x v="48"/>
    <s v="RM"/>
    <s v="CREDIT"/>
    <x v="0"/>
    <s v="BKE-002"/>
    <x v="8"/>
    <x v="8"/>
    <s v="AA0044CA"/>
    <s v="0426-0340"/>
    <n v="1187"/>
    <n v="34069"/>
    <n v="630"/>
    <n v="53480"/>
    <n v="52850"/>
    <n v="610"/>
    <n v="0"/>
    <n v="20"/>
    <n v="80"/>
    <n v="52770"/>
    <n v="510"/>
    <n v="26912700"/>
    <n v="8.9"/>
    <n v="171"/>
    <n v="44.09"/>
    <m/>
    <s v="BOUAKE"/>
    <m/>
    <s v="W-15 Mar"/>
  </r>
  <r>
    <n v="507"/>
    <d v="2026-04-06T00:00:00"/>
    <x v="48"/>
    <s v="RM"/>
    <s v="CASH"/>
    <x v="0"/>
    <s v="BKE-002"/>
    <x v="25"/>
    <x v="25"/>
    <s v="1569KR01"/>
    <s v="0426-0399"/>
    <n v="1188"/>
    <n v="82623"/>
    <n v="471"/>
    <n v="40740"/>
    <n v="40269"/>
    <n v="455"/>
    <n v="0"/>
    <n v="16"/>
    <n v="64"/>
    <n v="40205"/>
    <n v="500"/>
    <n v="20102500"/>
    <n v="8.1999999999999993"/>
    <n v="180"/>
    <n v="43.73"/>
    <m/>
    <s v="KOUTO"/>
    <m/>
    <s v="W-15 Mar"/>
  </r>
  <r>
    <n v="508"/>
    <d v="2026-04-07T00:00:00"/>
    <x v="48"/>
    <m/>
    <m/>
    <x v="0"/>
    <m/>
    <x v="19"/>
    <x v="19"/>
    <s v="2801FS01/9890HJ04"/>
    <m/>
    <m/>
    <m/>
    <m/>
    <n v="0"/>
    <m/>
    <m/>
    <m/>
    <m/>
    <m/>
    <n v="0"/>
    <m/>
    <n v="0"/>
    <n v="11.2"/>
    <n v="178"/>
    <n v="40.388730000000002"/>
    <m/>
    <s v="MANKONO"/>
    <s v="REJECT"/>
    <m/>
  </r>
  <r>
    <n v="509"/>
    <d v="2026-04-07T00:00:00"/>
    <x v="48"/>
    <m/>
    <m/>
    <x v="0"/>
    <m/>
    <x v="6"/>
    <x v="6"/>
    <s v="1026FL01"/>
    <m/>
    <m/>
    <m/>
    <m/>
    <n v="0"/>
    <m/>
    <m/>
    <m/>
    <m/>
    <m/>
    <n v="0"/>
    <m/>
    <n v="0"/>
    <n v="10.199999999999999"/>
    <n v="169"/>
    <n v="40.565100000000001"/>
    <m/>
    <s v="BOTRO"/>
    <s v="REJECT"/>
    <m/>
  </r>
  <r>
    <n v="510"/>
    <d v="2026-04-07T00:00:00"/>
    <x v="48"/>
    <m/>
    <m/>
    <x v="0"/>
    <m/>
    <x v="3"/>
    <x v="3"/>
    <s v="3577JK04/AA301XS01"/>
    <m/>
    <m/>
    <m/>
    <m/>
    <n v="0"/>
    <m/>
    <m/>
    <m/>
    <m/>
    <m/>
    <n v="0"/>
    <m/>
    <n v="0"/>
    <n v="12.1"/>
    <n v="160"/>
    <n v="39.683250000000001"/>
    <m/>
    <s v="BOTRO"/>
    <s v="REJECT"/>
    <m/>
  </r>
  <r>
    <n v="511"/>
    <d v="2026-04-07T00:00:00"/>
    <x v="49"/>
    <s v="RM"/>
    <s v="CREDIT"/>
    <x v="0"/>
    <s v="BKE-002"/>
    <x v="5"/>
    <x v="5"/>
    <s v="2023HF01"/>
    <s v="0426-0194"/>
    <n v="1189"/>
    <n v="32838"/>
    <n v="238"/>
    <n v="18940"/>
    <n v="18702"/>
    <n v="212"/>
    <n v="0"/>
    <n v="26"/>
    <n v="104"/>
    <n v="18598"/>
    <n v="500"/>
    <n v="9299000"/>
    <n v="10.4"/>
    <n v="158"/>
    <n v="43.73"/>
    <m/>
    <s v="BEOUMI"/>
    <m/>
    <s v="W-15 Mar"/>
  </r>
  <r>
    <n v="512"/>
    <d v="2026-04-07T00:00:00"/>
    <x v="49"/>
    <s v="RM"/>
    <s v="CREDIT"/>
    <x v="0"/>
    <s v="BKE-002"/>
    <x v="3"/>
    <x v="3"/>
    <s v="6034JE03"/>
    <s v="0426-0203"/>
    <n v="1190"/>
    <n v="34339"/>
    <n v="654"/>
    <n v="50260"/>
    <n v="49606"/>
    <n v="608"/>
    <n v="0"/>
    <n v="46"/>
    <n v="184"/>
    <n v="49422"/>
    <n v="495"/>
    <n v="24463890"/>
    <n v="11.4"/>
    <n v="175"/>
    <n v="42.32"/>
    <m/>
    <s v="VAVOUA"/>
    <m/>
    <s v="W-15 Mar"/>
  </r>
  <r>
    <n v="513"/>
    <d v="2026-04-07T00:00:00"/>
    <x v="49"/>
    <s v="RM"/>
    <s v="CREDIT"/>
    <x v="0"/>
    <s v="BKE-001"/>
    <x v="3"/>
    <x v="3"/>
    <s v="X7212FU01"/>
    <s v="0426-0203"/>
    <n v="1191"/>
    <n v="34342"/>
    <n v="592"/>
    <n v="47020"/>
    <n v="46428"/>
    <n v="580"/>
    <n v="0"/>
    <n v="12"/>
    <n v="48"/>
    <n v="46380"/>
    <n v="500"/>
    <n v="23190000"/>
    <n v="8.6999999999999993"/>
    <n v="172"/>
    <n v="43.38"/>
    <m/>
    <s v="ODIENNE"/>
    <m/>
    <s v="W-15 Mar"/>
  </r>
  <r>
    <n v="514"/>
    <d v="2026-04-07T00:00:00"/>
    <x v="49"/>
    <s v="RM"/>
    <s v="CREDIT"/>
    <x v="1"/>
    <m/>
    <x v="12"/>
    <x v="12"/>
    <s v="2852A01"/>
    <s v="0429-0005"/>
    <n v="672"/>
    <n v="83405"/>
    <n v="582"/>
    <n v="46250"/>
    <n v="45668"/>
    <n v="572"/>
    <n v="0"/>
    <n v="10"/>
    <n v="40"/>
    <n v="45628"/>
    <n v="510"/>
    <n v="23270280"/>
    <n v="9.6"/>
    <n v="175"/>
    <n v="45.15"/>
    <m/>
    <s v="VAVOUA"/>
    <m/>
    <s v="W-15 Mar"/>
  </r>
  <r>
    <n v="515"/>
    <d v="2026-04-08T00:00:00"/>
    <x v="49"/>
    <s v="RM"/>
    <s v="CREDIT"/>
    <x v="0"/>
    <s v="BKE-002"/>
    <x v="11"/>
    <x v="11"/>
    <s v="9082GC01"/>
    <s v="0431-0277"/>
    <n v="1192"/>
    <n v="84020"/>
    <n v="498"/>
    <n v="41700"/>
    <n v="41202"/>
    <n v="484"/>
    <n v="0"/>
    <n v="14"/>
    <n v="56"/>
    <n v="41146"/>
    <n v="500"/>
    <n v="20573000"/>
    <n v="10.4"/>
    <n v="160"/>
    <n v="43.73"/>
    <m/>
    <s v="KOUASSI "/>
    <m/>
    <s v="W-15 Mar"/>
  </r>
  <r>
    <n v="516"/>
    <d v="2026-04-08T00:00:00"/>
    <x v="49"/>
    <s v="RM"/>
    <s v="CREDIT"/>
    <x v="0"/>
    <s v="BKE-002"/>
    <x v="18"/>
    <x v="18"/>
    <s v="AA141VT01"/>
    <s v="0420-0251"/>
    <n v="1195"/>
    <n v="82174"/>
    <n v="546"/>
    <n v="45280"/>
    <n v="44734"/>
    <n v="529"/>
    <n v="0"/>
    <n v="17"/>
    <n v="68"/>
    <n v="44666"/>
    <n v="480"/>
    <n v="21439680"/>
    <n v="8.5"/>
    <n v="178"/>
    <n v="41.27"/>
    <m/>
    <s v="DIANRA"/>
    <m/>
    <s v="W-15 Mar"/>
  </r>
  <r>
    <n v="517"/>
    <d v="2026-04-08T00:00:00"/>
    <x v="49"/>
    <s v="RM"/>
    <s v="CASH"/>
    <x v="0"/>
    <s v="BKE-002"/>
    <x v="19"/>
    <x v="19"/>
    <s v="7210HG01"/>
    <s v="0426-0440"/>
    <n v="1193"/>
    <n v="34035"/>
    <n v="489"/>
    <n v="36800"/>
    <n v="36311"/>
    <n v="474"/>
    <n v="0"/>
    <n v="15"/>
    <n v="60"/>
    <n v="36251"/>
    <n v="500"/>
    <n v="18125500"/>
    <n v="10.7"/>
    <n v="164"/>
    <n v="42.15"/>
    <m/>
    <s v="BOUAKE"/>
    <m/>
    <s v="W-15 Mar"/>
  </r>
  <r>
    <n v="518"/>
    <d v="2026-04-08T00:00:00"/>
    <x v="49"/>
    <s v="RM"/>
    <s v="CREDIT"/>
    <x v="0"/>
    <s v="BKE-002"/>
    <x v="11"/>
    <x v="11"/>
    <s v="6305EP01"/>
    <s v="0431-0277"/>
    <n v="1194"/>
    <n v="87017"/>
    <n v="397"/>
    <n v="34100"/>
    <n v="33703"/>
    <n v="384"/>
    <n v="0"/>
    <n v="13"/>
    <n v="52"/>
    <n v="33651"/>
    <n v="495"/>
    <n v="16657245"/>
    <n v="12.2"/>
    <n v="168"/>
    <n v="42.32"/>
    <m/>
    <s v="SAKKASSOU"/>
    <m/>
    <s v="W-15 Mar"/>
  </r>
  <r>
    <n v="519"/>
    <d v="2026-04-08T00:00:00"/>
    <x v="49"/>
    <s v="RM"/>
    <s v="CREDIT"/>
    <x v="1"/>
    <m/>
    <x v="9"/>
    <x v="9"/>
    <s v="2744KK02"/>
    <s v="0419-0180"/>
    <n v="673"/>
    <n v="87138"/>
    <n v="632"/>
    <n v="43680"/>
    <n v="43048"/>
    <n v="608"/>
    <n v="0"/>
    <n v="24"/>
    <n v="96"/>
    <n v="42952"/>
    <n v="510"/>
    <n v="21905520"/>
    <n v="9.4"/>
    <n v="177"/>
    <n v="44.18"/>
    <m/>
    <s v="VAVOUA"/>
    <m/>
    <s v="W-15 Mar"/>
  </r>
  <r>
    <n v="520"/>
    <d v="2026-04-08T00:00:00"/>
    <x v="49"/>
    <s v="RM"/>
    <s v="CREDIT"/>
    <x v="1"/>
    <m/>
    <x v="9"/>
    <x v="9"/>
    <s v="8751EZ01"/>
    <s v="0419-0180"/>
    <n v="674"/>
    <n v="87139"/>
    <n v="706"/>
    <n v="54260"/>
    <n v="53554"/>
    <n v="676"/>
    <n v="0"/>
    <n v="30"/>
    <n v="120"/>
    <n v="53434"/>
    <n v="510"/>
    <n v="27251340"/>
    <n v="10.5"/>
    <n v="178"/>
    <n v="44"/>
    <m/>
    <s v="VAVOUA"/>
    <m/>
    <s v="W-15 Mar"/>
  </r>
  <r>
    <n v="521"/>
    <d v="2026-04-08T00:00:00"/>
    <x v="49"/>
    <m/>
    <m/>
    <x v="0"/>
    <m/>
    <x v="18"/>
    <x v="18"/>
    <s v="AA562YL04/354LH01"/>
    <m/>
    <m/>
    <m/>
    <m/>
    <n v="0"/>
    <m/>
    <m/>
    <m/>
    <m/>
    <m/>
    <n v="0"/>
    <m/>
    <n v="0"/>
    <n v="12.4"/>
    <n v="160"/>
    <n v="40.565100000000001"/>
    <m/>
    <s v="DIANRA"/>
    <s v="REJECT"/>
    <m/>
  </r>
  <r>
    <n v="522"/>
    <d v="2026-04-08T00:00:00"/>
    <x v="49"/>
    <m/>
    <m/>
    <x v="0"/>
    <m/>
    <x v="16"/>
    <x v="16"/>
    <s v="9090KV03/9003KV03"/>
    <m/>
    <m/>
    <m/>
    <m/>
    <n v="0"/>
    <m/>
    <m/>
    <m/>
    <m/>
    <m/>
    <n v="0"/>
    <m/>
    <n v="0"/>
    <n v="9"/>
    <n v="165"/>
    <n v="40.212359999999997"/>
    <m/>
    <s v="DIANRA"/>
    <s v="REJECT"/>
    <m/>
  </r>
  <r>
    <n v="523"/>
    <d v="2026-04-08T00:00:00"/>
    <x v="49"/>
    <m/>
    <m/>
    <x v="0"/>
    <m/>
    <x v="2"/>
    <x v="2"/>
    <s v="6085HR03/6633HR03"/>
    <m/>
    <m/>
    <m/>
    <m/>
    <n v="0"/>
    <m/>
    <m/>
    <m/>
    <m/>
    <m/>
    <n v="0"/>
    <m/>
    <n v="0"/>
    <n v="14.5"/>
    <n v="151"/>
    <n v="38.801400000000001"/>
    <m/>
    <s v="NIAKARA"/>
    <s v="REJECT"/>
    <m/>
  </r>
  <r>
    <n v="524"/>
    <d v="2026-04-08T00:00:00"/>
    <x v="50"/>
    <s v="RM"/>
    <s v="CREDIT"/>
    <x v="0"/>
    <s v="BKE-002"/>
    <x v="8"/>
    <x v="8"/>
    <s v="9126KK04"/>
    <s v="0426-0340"/>
    <n v="1196"/>
    <n v="33491"/>
    <n v="542"/>
    <n v="46140"/>
    <n v="45598"/>
    <n v="510"/>
    <n v="0"/>
    <n v="32"/>
    <n v="128"/>
    <n v="45470"/>
    <n v="500"/>
    <n v="22735000"/>
    <n v="11.7"/>
    <n v="172"/>
    <n v="41.44"/>
    <m/>
    <s v="BOUAKE"/>
    <m/>
    <s v="W-15 Mar"/>
  </r>
  <r>
    <n v="525"/>
    <d v="2026-04-09T00:00:00"/>
    <x v="50"/>
    <s v="RM"/>
    <s v="CREDIT"/>
    <x v="0"/>
    <s v="BKE-002"/>
    <x v="20"/>
    <x v="20"/>
    <s v="7576HC01"/>
    <s v="0425-0001"/>
    <n v="1197"/>
    <n v="18460"/>
    <n v="462"/>
    <n v="39040"/>
    <n v="38578"/>
    <n v="419"/>
    <n v="0"/>
    <n v="43"/>
    <n v="172"/>
    <n v="38406"/>
    <n v="510"/>
    <n v="19587060"/>
    <n v="11.8"/>
    <n v="169"/>
    <n v="41.09"/>
    <m/>
    <s v="KATIOLA"/>
    <m/>
    <s v="W-15 Mar"/>
  </r>
  <r>
    <n v="526"/>
    <d v="2026-04-09T00:00:00"/>
    <x v="50"/>
    <s v="RM"/>
    <s v="CREDIT"/>
    <x v="0"/>
    <s v="BKE-002"/>
    <x v="11"/>
    <x v="11"/>
    <s v="9082GC01"/>
    <s v="0431-0277"/>
    <n v="1198"/>
    <n v="61066"/>
    <n v="528"/>
    <n v="43540"/>
    <n v="43012"/>
    <n v="516"/>
    <n v="0"/>
    <n v="12"/>
    <n v="48"/>
    <n v="42964"/>
    <n v="495"/>
    <n v="21267180"/>
    <n v="9.6"/>
    <n v="165"/>
    <n v="42.15"/>
    <m/>
    <s v="BONON"/>
    <m/>
    <s v="W-15 Mar"/>
  </r>
  <r>
    <n v="527"/>
    <d v="2026-04-09T00:00:00"/>
    <x v="50"/>
    <m/>
    <m/>
    <x v="0"/>
    <m/>
    <x v="21"/>
    <x v="21"/>
    <s v="4139GV01"/>
    <m/>
    <m/>
    <m/>
    <m/>
    <n v="0"/>
    <m/>
    <m/>
    <m/>
    <m/>
    <m/>
    <n v="0"/>
    <m/>
    <n v="0"/>
    <n v="12.7"/>
    <n v="156"/>
    <n v="40.035989999999998"/>
    <m/>
    <s v="BOUAKE"/>
    <s v="REJECT"/>
    <m/>
  </r>
  <r>
    <n v="528"/>
    <d v="2026-04-09T00:00:00"/>
    <x v="50"/>
    <m/>
    <m/>
    <x v="0"/>
    <m/>
    <x v="6"/>
    <x v="6"/>
    <s v="28JZ01/3717CN01"/>
    <m/>
    <m/>
    <m/>
    <m/>
    <n v="0"/>
    <m/>
    <m/>
    <m/>
    <m/>
    <m/>
    <n v="0"/>
    <m/>
    <n v="0"/>
    <n v="8.8000000000000007"/>
    <n v="171"/>
    <n v="40.565100000000001"/>
    <m/>
    <s v="VAVOUA"/>
    <s v="REJECT"/>
    <m/>
  </r>
  <r>
    <n v="529"/>
    <d v="2026-04-09T00:00:00"/>
    <x v="50"/>
    <m/>
    <m/>
    <x v="0"/>
    <m/>
    <x v="3"/>
    <x v="3"/>
    <s v="6978EQ01"/>
    <m/>
    <m/>
    <m/>
    <m/>
    <n v="0"/>
    <m/>
    <m/>
    <m/>
    <m/>
    <m/>
    <n v="0"/>
    <m/>
    <n v="0"/>
    <n v="11.3"/>
    <n v="160"/>
    <n v="38.801400000000001"/>
    <m/>
    <s v="BOTRO"/>
    <s v="REJECT"/>
    <m/>
  </r>
  <r>
    <n v="530"/>
    <d v="2026-04-09T00:00:00"/>
    <x v="50"/>
    <m/>
    <m/>
    <x v="0"/>
    <m/>
    <x v="20"/>
    <x v="20"/>
    <s v="2552GY03/4018ER03"/>
    <m/>
    <m/>
    <m/>
    <m/>
    <n v="0"/>
    <m/>
    <m/>
    <m/>
    <m/>
    <m/>
    <n v="0"/>
    <m/>
    <n v="0"/>
    <n v="13.5"/>
    <n v="158"/>
    <n v="40.212359999999997"/>
    <m/>
    <s v="KATIOLA"/>
    <s v="REJECT"/>
    <m/>
  </r>
  <r>
    <n v="531"/>
    <d v="2026-04-09T00:00:00"/>
    <x v="51"/>
    <s v="RM"/>
    <s v="CREDIT"/>
    <x v="0"/>
    <s v="BKE-001"/>
    <x v="8"/>
    <x v="8"/>
    <s v="1760GZ03"/>
    <s v="0426-0340"/>
    <n v="1199"/>
    <n v="33493"/>
    <n v="533"/>
    <n v="44000"/>
    <n v="43467"/>
    <n v="511"/>
    <n v="0"/>
    <n v="22"/>
    <n v="88"/>
    <n v="43379"/>
    <n v="510"/>
    <n v="22123290"/>
    <n v="8.1999999999999993"/>
    <n v="176"/>
    <n v="43.03"/>
    <m/>
    <s v="BROBO"/>
    <m/>
    <s v="W-15 Mar"/>
  </r>
  <r>
    <n v="532"/>
    <d v="2026-04-09T00:00:00"/>
    <x v="51"/>
    <s v="RM"/>
    <s v="CREDIT"/>
    <x v="0"/>
    <s v="BKE-001"/>
    <x v="8"/>
    <x v="8"/>
    <s v="AA0044CA"/>
    <s v="0426-0340"/>
    <n v="1200"/>
    <n v="33492"/>
    <n v="618"/>
    <n v="52780"/>
    <n v="52162"/>
    <n v="597"/>
    <n v="0"/>
    <n v="21"/>
    <n v="84"/>
    <n v="52078"/>
    <n v="505"/>
    <n v="26299390"/>
    <n v="10.1"/>
    <n v="165"/>
    <n v="42.32"/>
    <m/>
    <s v="BOUAKE"/>
    <m/>
    <s v="W-15 Mar"/>
  </r>
  <r>
    <n v="533"/>
    <d v="2026-04-09T00:00:00"/>
    <x v="51"/>
    <s v="RM"/>
    <s v="CREDIT"/>
    <x v="0"/>
    <s v="BKE-001"/>
    <x v="4"/>
    <x v="4"/>
    <s v="374LK01"/>
    <s v="0425-0068"/>
    <n v="1101"/>
    <n v="19690"/>
    <n v="546"/>
    <n v="46220"/>
    <n v="45674"/>
    <n v="534"/>
    <n v="0"/>
    <n v="12"/>
    <n v="48"/>
    <n v="45626"/>
    <n v="495"/>
    <n v="22584870"/>
    <n v="10.3"/>
    <n v="165"/>
    <n v="41.62"/>
    <m/>
    <s v="NIAKARA"/>
    <m/>
    <s v="W-15 Mar"/>
  </r>
  <r>
    <n v="534"/>
    <d v="2026-04-09T00:00:00"/>
    <x v="51"/>
    <s v="RM"/>
    <s v="CASH"/>
    <x v="0"/>
    <s v="BKE-002"/>
    <x v="44"/>
    <x v="45"/>
    <s v="5524JN4"/>
    <s v="0420-0288"/>
    <n v="1102"/>
    <n v="14566"/>
    <n v="603"/>
    <n v="50540"/>
    <n v="49937"/>
    <n v="603"/>
    <n v="0"/>
    <n v="0"/>
    <n v="0"/>
    <n v="49937"/>
    <n v="500"/>
    <n v="24968500"/>
    <n v="8.8000000000000007"/>
    <n v="179"/>
    <n v="42.32"/>
    <m/>
    <s v="KANI"/>
    <m/>
    <s v="W-15 Mar"/>
  </r>
  <r>
    <n v="535"/>
    <d v="2026-04-10T00:00:00"/>
    <x v="51"/>
    <s v="RM"/>
    <s v="CREDIT"/>
    <x v="0"/>
    <s v="BKE-001"/>
    <x v="2"/>
    <x v="2"/>
    <s v="9900KU03"/>
    <s v="0426-0187"/>
    <n v="1103"/>
    <n v="18121"/>
    <n v="518"/>
    <n v="42360"/>
    <n v="41842"/>
    <n v="495"/>
    <n v="23"/>
    <n v="0"/>
    <n v="184"/>
    <n v="41658"/>
    <n v="505"/>
    <n v="21037290"/>
    <n v="10.7"/>
    <n v="167"/>
    <n v="42.68"/>
    <m/>
    <s v="SIRASSO"/>
    <m/>
    <s v="W-15 Mar"/>
  </r>
  <r>
    <n v="536"/>
    <d v="2026-04-10T00:00:00"/>
    <x v="51"/>
    <s v="RM"/>
    <s v="CREDIT"/>
    <x v="0"/>
    <s v="BKE-001"/>
    <x v="20"/>
    <x v="20"/>
    <s v="307JE01"/>
    <s v="0425-0001"/>
    <n v="1104"/>
    <n v="18459"/>
    <n v="459"/>
    <n v="38880"/>
    <n v="38421"/>
    <n v="436"/>
    <n v="23"/>
    <n v="0"/>
    <n v="184"/>
    <n v="38237"/>
    <n v="510"/>
    <n v="19500870"/>
    <n v="11.2"/>
    <n v="162"/>
    <n v="43.03"/>
    <m/>
    <s v="KATIOLA"/>
    <m/>
    <s v="W-15 Mar"/>
  </r>
  <r>
    <n v="537"/>
    <d v="2026-04-10T00:00:00"/>
    <x v="51"/>
    <s v="RM"/>
    <s v="CREDIT"/>
    <x v="0"/>
    <s v="BKE-002"/>
    <x v="18"/>
    <x v="18"/>
    <s v="AA562YL04"/>
    <s v="0420-0251"/>
    <n v="1105"/>
    <n v="37579"/>
    <n v="477"/>
    <n v="39440"/>
    <n v="38963"/>
    <n v="455"/>
    <n v="22"/>
    <n v="0"/>
    <n v="176"/>
    <n v="38787"/>
    <n v="500"/>
    <n v="19393500"/>
    <n v="10.9"/>
    <n v="161"/>
    <n v="43.38"/>
    <m/>
    <s v="DIANRA"/>
    <m/>
    <s v="W-15 Mar"/>
  </r>
  <r>
    <n v="538"/>
    <d v="2026-04-10T00:00:00"/>
    <x v="51"/>
    <s v="RM"/>
    <s v="CREDIT"/>
    <x v="0"/>
    <s v="BKE-001"/>
    <x v="8"/>
    <x v="8"/>
    <s v="9126KK04"/>
    <s v="0426-0340"/>
    <n v="1106"/>
    <n v="33494"/>
    <n v="538"/>
    <n v="49520"/>
    <n v="48982"/>
    <n v="530"/>
    <n v="8"/>
    <n v="0"/>
    <n v="64"/>
    <n v="48918"/>
    <n v="515"/>
    <n v="25192770"/>
    <n v="9.8000000000000007"/>
    <n v="174"/>
    <n v="45.15"/>
    <m/>
    <s v="BOUAKE"/>
    <m/>
    <s v="W-15 Mar"/>
  </r>
  <r>
    <n v="539"/>
    <d v="2026-04-10T00:00:00"/>
    <x v="51"/>
    <s v="RM"/>
    <s v="CREDIT"/>
    <x v="1"/>
    <m/>
    <x v="9"/>
    <x v="9"/>
    <s v="AA721PZ01"/>
    <s v="0419-0180"/>
    <n v="675"/>
    <n v="78912"/>
    <n v="658"/>
    <n v="51020"/>
    <n v="50362"/>
    <n v="612"/>
    <n v="0"/>
    <n v="46"/>
    <n v="184"/>
    <n v="50178"/>
    <n v="515"/>
    <n v="25841670"/>
    <n v="10.8"/>
    <n v="189"/>
    <n v="44.26"/>
    <m/>
    <s v="VAVOUA"/>
    <m/>
    <s v="W-15 Mar"/>
  </r>
  <r>
    <n v="540"/>
    <d v="2026-04-10T00:00:00"/>
    <x v="51"/>
    <s v="RM"/>
    <s v="CREDIT"/>
    <x v="1"/>
    <m/>
    <x v="9"/>
    <x v="9"/>
    <s v="4919KV01"/>
    <s v="0419-0180"/>
    <n v="676"/>
    <n v="78911"/>
    <n v="658"/>
    <n v="47640"/>
    <n v="46982"/>
    <n v="617"/>
    <n v="0"/>
    <n v="41"/>
    <n v="164"/>
    <n v="46818"/>
    <n v="515"/>
    <n v="24111270"/>
    <n v="10.4"/>
    <n v="176"/>
    <n v="44.18"/>
    <m/>
    <s v="VAVOUA"/>
    <m/>
    <s v="W-15 Mar"/>
  </r>
  <r>
    <n v="541"/>
    <d v="2026-04-10T00:00:00"/>
    <x v="51"/>
    <s v="RM"/>
    <s v="CREDIT"/>
    <x v="1"/>
    <m/>
    <x v="9"/>
    <x v="9"/>
    <s v="8751EZ01"/>
    <s v="0419-0180"/>
    <n v="678"/>
    <n v="87140"/>
    <n v="714"/>
    <n v="54190"/>
    <n v="53476"/>
    <n v="677"/>
    <n v="0"/>
    <n v="27"/>
    <n v="108"/>
    <n v="53368"/>
    <n v="515"/>
    <n v="27484520"/>
    <n v="10"/>
    <n v="182"/>
    <n v="44.35"/>
    <m/>
    <s v="VAVOUA"/>
    <m/>
    <s v="W-15 Mar"/>
  </r>
  <r>
    <n v="542"/>
    <d v="2026-04-10T00:00:00"/>
    <x v="51"/>
    <s v="RM"/>
    <s v="CREDIT"/>
    <x v="1"/>
    <m/>
    <x v="12"/>
    <x v="12"/>
    <s v="285LA01"/>
    <s v="0429-0005"/>
    <n v="677"/>
    <n v="87142"/>
    <n v="581"/>
    <n v="46770"/>
    <n v="46189"/>
    <n v="534"/>
    <n v="0"/>
    <n v="47"/>
    <n v="188"/>
    <n v="46001"/>
    <n v="515"/>
    <n v="23690515"/>
    <n v="10.9"/>
    <n v="188"/>
    <n v="44"/>
    <m/>
    <s v="VAVOUA"/>
    <m/>
    <s v="W-15 Mar"/>
  </r>
  <r>
    <n v="543"/>
    <d v="2026-04-10T00:00:00"/>
    <x v="51"/>
    <s v="RM"/>
    <s v="CREDIT"/>
    <x v="1"/>
    <m/>
    <x v="45"/>
    <x v="46"/>
    <s v="8454CF04"/>
    <m/>
    <n v="679"/>
    <m/>
    <n v="488"/>
    <n v="42110"/>
    <n v="41622"/>
    <n v="464"/>
    <n v="0"/>
    <n v="24"/>
    <n v="96"/>
    <n v="41526"/>
    <n v="500"/>
    <n v="20763000"/>
    <n v="13.7"/>
    <n v="166"/>
    <n v="43.38"/>
    <m/>
    <s v="MANKONO"/>
    <s v="SCOOP BENKADY_CDAG"/>
    <s v="W-15 Mar"/>
  </r>
  <r>
    <n v="544"/>
    <d v="2026-04-10T00:00:00"/>
    <x v="51"/>
    <s v="RM"/>
    <s v="CASH"/>
    <x v="1"/>
    <m/>
    <x v="46"/>
    <x v="47"/>
    <s v="3452HA01 "/>
    <s v="0425-0122"/>
    <n v="680"/>
    <n v="33286"/>
    <n v="728"/>
    <n v="51920"/>
    <n v="51192"/>
    <n v="705"/>
    <n v="0"/>
    <n v="23"/>
    <n v="92"/>
    <n v="51100"/>
    <n v="505"/>
    <n v="25805500"/>
    <n v="12.3"/>
    <n v="180"/>
    <n v="43.56"/>
    <m/>
    <s v="KOUIBLY"/>
    <m/>
    <s v="W-15 Mar"/>
  </r>
  <r>
    <n v="545"/>
    <d v="2026-04-10T00:00:00"/>
    <x v="51"/>
    <m/>
    <m/>
    <x v="0"/>
    <m/>
    <x v="11"/>
    <x v="11"/>
    <s v="6305EP01"/>
    <m/>
    <m/>
    <m/>
    <m/>
    <n v="0"/>
    <m/>
    <m/>
    <m/>
    <m/>
    <m/>
    <n v="0"/>
    <m/>
    <n v="0"/>
    <n v="11.4"/>
    <n v="172"/>
    <n v="40.388730000000002"/>
    <m/>
    <s v="MANKONO"/>
    <s v="REJECT"/>
    <m/>
  </r>
  <r>
    <n v="546"/>
    <d v="2026-04-10T00:00:00"/>
    <x v="52"/>
    <s v="RM"/>
    <s v="CASH"/>
    <x v="0"/>
    <s v="BKE-002"/>
    <x v="19"/>
    <x v="19"/>
    <s v="2050FZ01"/>
    <s v="0426-0440"/>
    <n v="1107"/>
    <n v="34038"/>
    <n v="254"/>
    <n v="20940"/>
    <n v="20686"/>
    <n v="237"/>
    <n v="0"/>
    <n v="17"/>
    <n v="68"/>
    <n v="20618"/>
    <n v="500"/>
    <n v="10309000"/>
    <n v="9.1999999999999993"/>
    <n v="169"/>
    <n v="42.85"/>
    <m/>
    <s v="BOUAKE"/>
    <m/>
    <s v="W-15 Mar"/>
  </r>
  <r>
    <n v="547"/>
    <d v="2026-04-10T00:00:00"/>
    <x v="52"/>
    <s v="RM"/>
    <s v="CASH"/>
    <x v="0"/>
    <s v="BKE-001"/>
    <x v="47"/>
    <x v="48"/>
    <s v="1622FS01"/>
    <s v="0325-0065"/>
    <n v="1108"/>
    <n v="33852"/>
    <n v="506"/>
    <n v="40400"/>
    <n v="39894"/>
    <n v="486"/>
    <n v="0"/>
    <n v="20"/>
    <n v="80"/>
    <n v="39814"/>
    <n v="495"/>
    <n v="19707930"/>
    <n v="10.8"/>
    <n v="172"/>
    <n v="41.44"/>
    <m/>
    <s v="BOUAKE"/>
    <m/>
    <s v="W-15 Mar"/>
  </r>
  <r>
    <n v="548"/>
    <d v="2026-04-10T00:00:00"/>
    <x v="52"/>
    <s v="RM"/>
    <s v="CREDIT"/>
    <x v="0"/>
    <s v="BKE-001"/>
    <x v="17"/>
    <x v="17"/>
    <s v="953LU01"/>
    <s v="0425-0055"/>
    <n v="1109"/>
    <n v="18448"/>
    <n v="446"/>
    <n v="41680"/>
    <n v="41234"/>
    <n v="427"/>
    <n v="19"/>
    <n v="0"/>
    <n v="152"/>
    <n v="41082"/>
    <n v="490"/>
    <n v="20130180"/>
    <n v="12.1"/>
    <n v="159"/>
    <n v="41.53"/>
    <m/>
    <s v="NIAKARA"/>
    <m/>
    <s v="W-15 Mar"/>
  </r>
  <r>
    <n v="549"/>
    <d v="2026-04-10T00:00:00"/>
    <x v="52"/>
    <s v="RM"/>
    <s v="CASH"/>
    <x v="0"/>
    <s v="BKE-001"/>
    <x v="48"/>
    <x v="49"/>
    <s v="2610GX04"/>
    <s v="0426-0386"/>
    <n v="1113"/>
    <n v="31506"/>
    <n v="588"/>
    <n v="50460"/>
    <n v="49872"/>
    <n v="578"/>
    <n v="0"/>
    <n v="10"/>
    <n v="40"/>
    <n v="49832"/>
    <n v="510"/>
    <n v="25414320"/>
    <n v="11.6"/>
    <n v="171"/>
    <n v="43.56"/>
    <m/>
    <s v="DIDIEVI"/>
    <m/>
    <s v="W-15 Mar"/>
  </r>
  <r>
    <n v="550"/>
    <d v="2026-04-10T00:00:00"/>
    <x v="52"/>
    <s v="RM"/>
    <s v="CREDIT"/>
    <x v="0"/>
    <s v="BKE-001"/>
    <x v="2"/>
    <x v="2"/>
    <s v="6085HR03"/>
    <s v="0426-0187"/>
    <n v="1111"/>
    <n v="19131"/>
    <n v="529"/>
    <n v="45660"/>
    <n v="45131"/>
    <n v="506"/>
    <n v="23"/>
    <n v="0"/>
    <n v="184"/>
    <n v="44947"/>
    <n v="500"/>
    <n v="22473500"/>
    <n v="11"/>
    <n v="161"/>
    <n v="42.5"/>
    <m/>
    <s v="NIAKARA"/>
    <m/>
    <s v="W-15 Mar"/>
  </r>
  <r>
    <n v="551"/>
    <d v="2026-04-10T00:00:00"/>
    <x v="52"/>
    <s v="RM"/>
    <s v="CREDIT"/>
    <x v="0"/>
    <s v="BKE-001"/>
    <x v="20"/>
    <x v="20"/>
    <s v="7576HC01"/>
    <s v="0425-0001"/>
    <n v="1110"/>
    <n v="19861"/>
    <n v="463"/>
    <n v="38860"/>
    <n v="38397"/>
    <n v="443"/>
    <n v="0"/>
    <n v="20"/>
    <n v="80"/>
    <n v="38317"/>
    <n v="510"/>
    <n v="19541670"/>
    <n v="10.8"/>
    <n v="158"/>
    <n v="43.58"/>
    <m/>
    <s v="KATIOLA"/>
    <m/>
    <s v="W-15 Mar"/>
  </r>
  <r>
    <n v="552"/>
    <d v="2026-04-10T00:00:00"/>
    <x v="52"/>
    <s v="RM"/>
    <s v="CREDIT"/>
    <x v="0"/>
    <s v="BKE-002"/>
    <x v="6"/>
    <x v="6"/>
    <s v="28JZ01"/>
    <s v="0426-0347"/>
    <n v="1112"/>
    <n v="88277"/>
    <n v="583"/>
    <n v="49400"/>
    <n v="48817"/>
    <n v="578"/>
    <n v="0"/>
    <n v="5"/>
    <n v="20"/>
    <n v="48797"/>
    <n v="500"/>
    <n v="24398500"/>
    <n v="8.1"/>
    <n v="176"/>
    <n v="42.15"/>
    <m/>
    <s v="VAVOUA"/>
    <m/>
    <s v="W-15 Mar"/>
  </r>
  <r>
    <n v="553"/>
    <d v="2026-04-10T00:00:00"/>
    <x v="52"/>
    <s v="RM"/>
    <s v="CREDIT"/>
    <x v="0"/>
    <s v="BKE-001"/>
    <x v="20"/>
    <x v="20"/>
    <s v="2552GY03"/>
    <s v="0425-0001"/>
    <n v="1114"/>
    <n v="18461"/>
    <n v="459"/>
    <n v="39840"/>
    <n v="39381"/>
    <n v="447"/>
    <n v="0"/>
    <n v="12"/>
    <n v="48"/>
    <n v="39333"/>
    <n v="510"/>
    <n v="20059830"/>
    <n v="10.9"/>
    <n v="160"/>
    <n v="43.73"/>
    <m/>
    <s v="KATIOLA"/>
    <m/>
    <s v="W-15 Mar"/>
  </r>
  <r>
    <n v="554"/>
    <d v="2026-04-11T00:00:00"/>
    <x v="52"/>
    <s v="RM"/>
    <s v="CASH"/>
    <x v="1"/>
    <m/>
    <x v="31"/>
    <x v="38"/>
    <s v="621FK01 "/>
    <s v="0427-0091"/>
    <n v="681"/>
    <n v="23302"/>
    <n v="489"/>
    <n v="40430"/>
    <n v="39941"/>
    <n v="465"/>
    <n v="0"/>
    <n v="24"/>
    <n v="96"/>
    <n v="39845"/>
    <n v="515"/>
    <n v="20520175"/>
    <n v="9.1"/>
    <n v="178"/>
    <n v="44.44"/>
    <m/>
    <s v="TENGRELA"/>
    <m/>
    <s v="W-15 Mar"/>
  </r>
  <r>
    <n v="555"/>
    <d v="2026-04-11T00:00:00"/>
    <x v="52"/>
    <m/>
    <m/>
    <x v="0"/>
    <m/>
    <x v="14"/>
    <x v="14"/>
    <s v="4238HY04/8502BG04"/>
    <m/>
    <m/>
    <m/>
    <m/>
    <n v="0"/>
    <m/>
    <m/>
    <m/>
    <m/>
    <m/>
    <n v="0"/>
    <m/>
    <n v="0"/>
    <n v="12.5"/>
    <n v="160"/>
    <n v="41.270580000000002"/>
    <m/>
    <s v="DIKODOUGOU"/>
    <s v="REJECT"/>
    <m/>
  </r>
  <r>
    <n v="556"/>
    <d v="2026-04-11T00:00:00"/>
    <x v="52"/>
    <m/>
    <m/>
    <x v="0"/>
    <m/>
    <x v="3"/>
    <x v="3"/>
    <s v="7695EF01/3890AS01"/>
    <m/>
    <m/>
    <m/>
    <m/>
    <n v="0"/>
    <m/>
    <m/>
    <m/>
    <m/>
    <m/>
    <n v="0"/>
    <m/>
    <n v="0"/>
    <n v="14.5"/>
    <n v="151"/>
    <n v="39.85962"/>
    <m/>
    <s v="DIKODOUGOU"/>
    <s v="REJECT"/>
    <m/>
  </r>
  <r>
    <n v="557"/>
    <d v="2026-04-11T00:00:00"/>
    <x v="52"/>
    <m/>
    <m/>
    <x v="0"/>
    <m/>
    <x v="49"/>
    <x v="50"/>
    <s v="7065GB01/6974AX01"/>
    <m/>
    <m/>
    <m/>
    <m/>
    <n v="0"/>
    <m/>
    <m/>
    <m/>
    <m/>
    <m/>
    <n v="0"/>
    <m/>
    <n v="0"/>
    <n v="11.8"/>
    <n v="164"/>
    <n v="41.094209999999997"/>
    <m/>
    <s v="MANKONO"/>
    <s v="REJECT"/>
    <m/>
  </r>
  <r>
    <n v="558"/>
    <d v="2026-04-11T00:00:00"/>
    <x v="52"/>
    <m/>
    <m/>
    <x v="1"/>
    <m/>
    <x v="3"/>
    <x v="3"/>
    <s v="6690GB01/7531EQ01"/>
    <m/>
    <m/>
    <m/>
    <m/>
    <n v="0"/>
    <m/>
    <m/>
    <m/>
    <m/>
    <m/>
    <n v="0"/>
    <m/>
    <n v="0"/>
    <n v="12.3"/>
    <n v="156"/>
    <n v="38.71"/>
    <m/>
    <s v="DIKODOUGOU"/>
    <s v="REJECT"/>
    <m/>
  </r>
  <r>
    <n v="559"/>
    <d v="2026-04-11T00:00:00"/>
    <x v="52"/>
    <m/>
    <m/>
    <x v="1"/>
    <m/>
    <x v="31"/>
    <x v="38"/>
    <s v="AA379AD01/268WWCI01"/>
    <m/>
    <m/>
    <m/>
    <m/>
    <n v="0"/>
    <m/>
    <m/>
    <m/>
    <m/>
    <m/>
    <n v="0"/>
    <m/>
    <n v="0"/>
    <n v="11.3"/>
    <n v="181"/>
    <n v="40.119999999999997"/>
    <m/>
    <s v="MAN "/>
    <s v="REJECT"/>
    <m/>
  </r>
  <r>
    <n v="560"/>
    <d v="2026-04-11T00:00:00"/>
    <x v="53"/>
    <s v="RM"/>
    <s v="CREDIT"/>
    <x v="1"/>
    <m/>
    <x v="7"/>
    <x v="7"/>
    <s v="794JL01"/>
    <s v="0427-0007"/>
    <n v="682"/>
    <n v="37636"/>
    <n v="671"/>
    <n v="52760"/>
    <n v="52089"/>
    <n v="640"/>
    <n v="0"/>
    <n v="31"/>
    <n v="124"/>
    <n v="51965"/>
    <n v="500"/>
    <n v="25982500"/>
    <n v="12.2"/>
    <n v="184"/>
    <n v="41.44"/>
    <m/>
    <s v="DUEKOUE"/>
    <m/>
    <s v="W-15 Mar"/>
  </r>
  <r>
    <n v="561"/>
    <d v="2026-04-11T00:00:00"/>
    <x v="53"/>
    <s v="RM"/>
    <s v="CASH"/>
    <x v="0"/>
    <s v="BKE-001"/>
    <x v="26"/>
    <x v="26"/>
    <s v="1303KJ01"/>
    <s v="0429-0606"/>
    <n v="1115"/>
    <n v="63870"/>
    <n v="540"/>
    <n v="41500"/>
    <n v="40960"/>
    <n v="533"/>
    <n v="0"/>
    <n v="7"/>
    <n v="28"/>
    <n v="40932"/>
    <n v="510"/>
    <n v="20875320"/>
    <n v="10.8"/>
    <n v="170"/>
    <n v="42.06"/>
    <m/>
    <s v="BOUNDIALI"/>
    <m/>
    <s v="W-15 Mar"/>
  </r>
  <r>
    <n v="562"/>
    <d v="2026-04-11T00:00:00"/>
    <x v="53"/>
    <s v="RM"/>
    <s v="CREDIT"/>
    <x v="0"/>
    <s v="BKE-001"/>
    <x v="8"/>
    <x v="8"/>
    <s v="AA044CA01"/>
    <s v="0426-0340"/>
    <n v="1116"/>
    <n v="33496"/>
    <n v="639"/>
    <n v="52880"/>
    <n v="52241"/>
    <n v="622"/>
    <n v="0"/>
    <n v="17"/>
    <n v="68"/>
    <n v="52173"/>
    <n v="510"/>
    <n v="26608230"/>
    <n v="10"/>
    <n v="170"/>
    <n v="42.32"/>
    <m/>
    <s v="BOUAKE"/>
    <m/>
    <s v="W-15 Mar"/>
  </r>
  <r>
    <n v="563"/>
    <d v="2026-04-11T00:00:00"/>
    <x v="53"/>
    <s v="RM"/>
    <s v="CREDIT"/>
    <x v="0"/>
    <s v="BKE-002"/>
    <x v="5"/>
    <x v="5"/>
    <s v="2023HF01"/>
    <s v="0426-0194"/>
    <n v="1117"/>
    <n v="32831"/>
    <n v="232"/>
    <n v="19820"/>
    <n v="19588"/>
    <n v="171"/>
    <n v="61"/>
    <n v="0"/>
    <n v="488"/>
    <n v="19100"/>
    <n v="500"/>
    <n v="9550000"/>
    <n v="13.3"/>
    <n v="161"/>
    <n v="42.5"/>
    <m/>
    <s v="TIEBISSEU"/>
    <m/>
    <s v="W-15 Mar"/>
  </r>
  <r>
    <n v="564"/>
    <d v="2026-04-11T00:00:00"/>
    <x v="53"/>
    <s v="RM"/>
    <s v="CREDIT"/>
    <x v="0"/>
    <s v="BKE-001"/>
    <x v="20"/>
    <x v="20"/>
    <s v="307JE01"/>
    <s v="0425-0001"/>
    <n v="1118"/>
    <n v="19867"/>
    <n v="446"/>
    <n v="38900"/>
    <n v="38454"/>
    <n v="435"/>
    <n v="0"/>
    <n v="11"/>
    <n v="44"/>
    <n v="38410"/>
    <n v="510"/>
    <n v="19589100"/>
    <n v="10.4"/>
    <n v="172"/>
    <n v="42.15"/>
    <m/>
    <s v="KATIOLA"/>
    <m/>
    <s v="W-15 Mar"/>
  </r>
  <r>
    <n v="565"/>
    <d v="2026-04-12T00:00:00"/>
    <x v="53"/>
    <m/>
    <m/>
    <x v="0"/>
    <m/>
    <x v="8"/>
    <x v="8"/>
    <s v="5545JE01/2743EJ03"/>
    <m/>
    <m/>
    <m/>
    <m/>
    <n v="0"/>
    <m/>
    <m/>
    <m/>
    <m/>
    <m/>
    <n v="0"/>
    <m/>
    <n v="0"/>
    <n v="9.8000000000000007"/>
    <n v="173"/>
    <n v="40.653284999999997"/>
    <m/>
    <s v="BOUAKE"/>
    <s v="REJECT"/>
    <m/>
  </r>
  <r>
    <n v="566"/>
    <d v="2026-04-12T00:00:00"/>
    <x v="53"/>
    <m/>
    <m/>
    <x v="0"/>
    <m/>
    <x v="11"/>
    <x v="11"/>
    <s v="9082CG01/4544CR01"/>
    <m/>
    <m/>
    <m/>
    <m/>
    <n v="0"/>
    <m/>
    <m/>
    <m/>
    <m/>
    <m/>
    <n v="0"/>
    <m/>
    <n v="0"/>
    <n v="11.4"/>
    <n v="172"/>
    <n v="40.212359999999997"/>
    <m/>
    <s v="BOUAKE"/>
    <s v="REJECT"/>
    <m/>
  </r>
  <r>
    <n v="567"/>
    <d v="2026-04-12T00:00:00"/>
    <x v="54"/>
    <s v="RM"/>
    <s v="CREDIT"/>
    <x v="0"/>
    <s v="BKE-001"/>
    <x v="4"/>
    <x v="4"/>
    <s v="8539GS01"/>
    <s v="0425-0068"/>
    <n v="1121"/>
    <n v="19684"/>
    <n v="614"/>
    <n v="48900"/>
    <n v="48286"/>
    <n v="602"/>
    <n v="0"/>
    <n v="12"/>
    <n v="48"/>
    <n v="48238"/>
    <n v="500"/>
    <n v="24119000"/>
    <n v="10.1"/>
    <n v="152"/>
    <n v="41.79"/>
    <m/>
    <s v="NIAKARA"/>
    <m/>
    <s v="W-16 Mar"/>
  </r>
  <r>
    <n v="568"/>
    <d v="2026-04-12T00:00:00"/>
    <x v="54"/>
    <s v="RM"/>
    <s v="CREDIT"/>
    <x v="0"/>
    <s v="BKE-001"/>
    <x v="0"/>
    <x v="0"/>
    <s v="1026FL01"/>
    <s v="0401-0007"/>
    <n v="1119"/>
    <n v="13116"/>
    <n v="442"/>
    <n v="37700"/>
    <n v="37258"/>
    <n v="433"/>
    <n v="0"/>
    <n v="9"/>
    <n v="36"/>
    <n v="37222"/>
    <n v="500"/>
    <n v="18611000"/>
    <n v="7.7"/>
    <n v="164"/>
    <n v="41.79"/>
    <m/>
    <s v="BOUAKE"/>
    <m/>
    <s v="W-16 Mar"/>
  </r>
  <r>
    <n v="569"/>
    <d v="2026-04-12T00:00:00"/>
    <x v="54"/>
    <s v="RM"/>
    <s v="CREDIT"/>
    <x v="0"/>
    <s v="BKE-001"/>
    <x v="6"/>
    <x v="6"/>
    <s v="3272JE01"/>
    <s v="0426-0347"/>
    <n v="1120"/>
    <n v="34013"/>
    <n v="646"/>
    <n v="49960"/>
    <n v="49314"/>
    <n v="632"/>
    <n v="0"/>
    <n v="14"/>
    <n v="56"/>
    <n v="49258"/>
    <n v="500"/>
    <n v="24629000"/>
    <n v="7.7"/>
    <n v="164"/>
    <n v="41.62"/>
    <m/>
    <s v="BOUAKE"/>
    <m/>
    <s v="W-16 Mar"/>
  </r>
  <r>
    <n v="570"/>
    <d v="2026-04-12T00:00:00"/>
    <x v="54"/>
    <s v="RM"/>
    <s v="CREDIT"/>
    <x v="1"/>
    <m/>
    <x v="9"/>
    <x v="9"/>
    <s v="3620KT01 "/>
    <s v="0419-0180"/>
    <n v="683"/>
    <n v="78867"/>
    <n v="540"/>
    <n v="41180"/>
    <n v="40640"/>
    <n v="508"/>
    <n v="0"/>
    <n v="32"/>
    <n v="128"/>
    <n v="40512"/>
    <n v="515"/>
    <n v="20863680"/>
    <n v="10.4"/>
    <n v="186"/>
    <n v="44.18"/>
    <m/>
    <s v="VAVOUA"/>
    <m/>
    <s v="W-16 Mar"/>
  </r>
  <r>
    <n v="571"/>
    <d v="2026-04-12T00:00:00"/>
    <x v="54"/>
    <s v="RM"/>
    <s v="CREDIT"/>
    <x v="1"/>
    <m/>
    <x v="12"/>
    <x v="12"/>
    <s v="AA335NH01 "/>
    <s v="0429-0005"/>
    <n v="684"/>
    <n v="87144"/>
    <n v="619"/>
    <n v="49330"/>
    <n v="48711"/>
    <n v="578"/>
    <n v="0"/>
    <n v="41"/>
    <n v="164"/>
    <n v="48547"/>
    <n v="515"/>
    <n v="25001705"/>
    <n v="11.6"/>
    <n v="186"/>
    <n v="44.62"/>
    <m/>
    <s v="VAVOUA"/>
    <m/>
    <s v="W-16 Mar"/>
  </r>
  <r>
    <n v="572"/>
    <d v="2026-04-12T00:00:00"/>
    <x v="54"/>
    <s v="RM"/>
    <s v="CREDIT"/>
    <x v="1"/>
    <m/>
    <x v="12"/>
    <x v="12"/>
    <s v="285LA01 "/>
    <s v="0429-0005"/>
    <n v="686"/>
    <n v="87143"/>
    <n v="569"/>
    <n v="45580"/>
    <n v="45011"/>
    <n v="545"/>
    <n v="24"/>
    <n v="0"/>
    <n v="192"/>
    <n v="44819"/>
    <n v="515"/>
    <n v="23081785"/>
    <n v="11.7"/>
    <n v="178"/>
    <n v="44.35"/>
    <m/>
    <s v="VAVOUA"/>
    <m/>
    <s v="W-16 Mar"/>
  </r>
  <r>
    <n v="573"/>
    <d v="2026-04-12T00:00:00"/>
    <x v="54"/>
    <s v="RM"/>
    <s v="CREDIT"/>
    <x v="1"/>
    <m/>
    <x v="45"/>
    <x v="46"/>
    <s v="938HT03 "/>
    <m/>
    <n v="687"/>
    <m/>
    <n v="518"/>
    <n v="40980"/>
    <n v="40462"/>
    <n v="478"/>
    <n v="0"/>
    <n v="40"/>
    <n v="160"/>
    <n v="40302"/>
    <n v="505"/>
    <n v="20352510"/>
    <n v="13.4"/>
    <n v="162"/>
    <n v="44.18"/>
    <m/>
    <s v="BOUAKE"/>
    <s v="SCOOPS CDAG"/>
    <s v="W-16 Mar"/>
  </r>
  <r>
    <n v="574"/>
    <d v="2026-04-13T00:00:00"/>
    <x v="54"/>
    <s v="RM"/>
    <s v="CREDIT"/>
    <x v="0"/>
    <s v="BKE-002"/>
    <x v="1"/>
    <x v="1"/>
    <s v="AA207CS04"/>
    <s v="0429-0040"/>
    <n v="1126"/>
    <n v="37925"/>
    <n v="556"/>
    <n v="50360"/>
    <n v="49804"/>
    <n v="539"/>
    <n v="0"/>
    <n v="17"/>
    <n v="68"/>
    <n v="49736"/>
    <n v="500"/>
    <n v="24868000"/>
    <n v="11.8"/>
    <n v="160"/>
    <n v="41.09"/>
    <m/>
    <s v="MANKONO"/>
    <m/>
    <s v="W-16 Mar"/>
  </r>
  <r>
    <n v="575"/>
    <d v="2026-04-13T00:00:00"/>
    <x v="54"/>
    <s v="RM"/>
    <s v="CASH"/>
    <x v="0"/>
    <s v="BKE-002"/>
    <x v="50"/>
    <x v="51"/>
    <s v="6166FT04"/>
    <s v="0401-0106"/>
    <n v="1125"/>
    <n v="33853"/>
    <n v="475"/>
    <n v="38780"/>
    <n v="38305"/>
    <n v="463"/>
    <n v="0"/>
    <n v="12"/>
    <n v="48"/>
    <n v="38257"/>
    <n v="510"/>
    <n v="19511070"/>
    <n v="11"/>
    <n v="166"/>
    <n v="43.38"/>
    <m/>
    <s v="DABAKALA"/>
    <m/>
    <s v="W-16 Mar"/>
  </r>
  <r>
    <n v="576"/>
    <d v="2026-04-13T00:00:00"/>
    <x v="54"/>
    <s v="RM"/>
    <s v="CREDIT"/>
    <x v="0"/>
    <s v="BKE-001"/>
    <x v="13"/>
    <x v="13"/>
    <s v="AA057ER03"/>
    <s v="0426-0365"/>
    <n v="1123"/>
    <n v="32754"/>
    <n v="472"/>
    <n v="41200"/>
    <n v="40728"/>
    <n v="459"/>
    <n v="0"/>
    <n v="13"/>
    <n v="52"/>
    <n v="40676"/>
    <n v="505"/>
    <n v="20541380"/>
    <n v="8.6"/>
    <n v="162"/>
    <n v="42.32"/>
    <m/>
    <s v="DIANRA"/>
    <m/>
    <s v="W-16 Mar"/>
  </r>
  <r>
    <n v="577"/>
    <d v="2026-04-13T00:00:00"/>
    <x v="54"/>
    <s v="RM"/>
    <s v="CREDIT"/>
    <x v="0"/>
    <s v="BKE-001"/>
    <x v="3"/>
    <x v="3"/>
    <s v="7692GB04"/>
    <s v="0426-0203"/>
    <n v="1122"/>
    <n v="34341"/>
    <n v="626"/>
    <n v="49620"/>
    <n v="48994"/>
    <n v="593"/>
    <n v="0"/>
    <n v="33"/>
    <n v="132"/>
    <n v="48862"/>
    <n v="505"/>
    <n v="24675310"/>
    <n v="10"/>
    <n v="172"/>
    <n v="42.15"/>
    <m/>
    <s v="VAVOUA"/>
    <m/>
    <s v="W-16 Mar"/>
  </r>
  <r>
    <n v="578"/>
    <d v="2026-04-13T00:00:00"/>
    <x v="54"/>
    <s v="RM"/>
    <s v="CREDIT"/>
    <x v="0"/>
    <s v="BKE-001"/>
    <x v="2"/>
    <x v="2"/>
    <s v="9900KU03"/>
    <s v="0426-0187"/>
    <n v="1124"/>
    <n v="18133"/>
    <n v="519"/>
    <n v="45140"/>
    <n v="44621"/>
    <n v="502"/>
    <n v="0"/>
    <n v="17"/>
    <n v="68"/>
    <n v="44553"/>
    <n v="495"/>
    <n v="22053735"/>
    <n v="11.8"/>
    <n v="167"/>
    <n v="41.09"/>
    <m/>
    <s v="NIAKARA"/>
    <m/>
    <s v="W-16 Mar"/>
  </r>
  <r>
    <n v="579"/>
    <d v="2026-04-13T00:00:00"/>
    <x v="54"/>
    <s v="RM"/>
    <s v="CREDIT"/>
    <x v="1"/>
    <m/>
    <x v="9"/>
    <x v="9"/>
    <s v="AA721PZ01"/>
    <s v="0419-0180"/>
    <n v="688"/>
    <n v="78864"/>
    <n v="714"/>
    <n v="51880"/>
    <n v="51166"/>
    <n v="666"/>
    <n v="0"/>
    <n v="48"/>
    <n v="192"/>
    <n v="50974"/>
    <n v="515"/>
    <n v="26251610"/>
    <n v="10.8"/>
    <n v="174"/>
    <n v="44.53"/>
    <m/>
    <s v="VAVOUA"/>
    <m/>
    <s v="W-16 Mar"/>
  </r>
  <r>
    <n v="580"/>
    <d v="2026-04-13T00:00:00"/>
    <x v="54"/>
    <s v="RM"/>
    <s v="CREDIT"/>
    <x v="1"/>
    <m/>
    <x v="45"/>
    <x v="46"/>
    <s v="5365GX01"/>
    <m/>
    <n v="690"/>
    <m/>
    <n v="516"/>
    <n v="41000"/>
    <n v="40484"/>
    <n v="502"/>
    <n v="0"/>
    <n v="14"/>
    <n v="56"/>
    <n v="40428"/>
    <n v="510"/>
    <n v="20618280"/>
    <n v="10.4"/>
    <n v="177"/>
    <n v="44.09"/>
    <m/>
    <s v="BOUAKE"/>
    <s v="SCOOPS CDAG"/>
    <s v="W-16 Mar"/>
  </r>
  <r>
    <n v="581"/>
    <d v="2026-04-13T00:00:00"/>
    <x v="54"/>
    <s v="RM"/>
    <s v="CREDIT"/>
    <x v="1"/>
    <m/>
    <x v="9"/>
    <x v="9"/>
    <s v="2744KK02"/>
    <s v="0419-0180"/>
    <n v="689"/>
    <n v="78865"/>
    <n v="549"/>
    <n v="43520"/>
    <n v="42971"/>
    <n v="512"/>
    <n v="0"/>
    <n v="28"/>
    <n v="112"/>
    <n v="42859"/>
    <n v="515"/>
    <n v="22072385"/>
    <n v="10.8"/>
    <n v="180"/>
    <n v="44.09"/>
    <m/>
    <s v="VAVOUA"/>
    <m/>
    <s v="W-16 Mar"/>
  </r>
  <r>
    <n v="582"/>
    <d v="2026-04-13T00:00:00"/>
    <x v="54"/>
    <m/>
    <m/>
    <x v="0"/>
    <m/>
    <x v="44"/>
    <x v="45"/>
    <s v="814KT02/770KT02"/>
    <m/>
    <m/>
    <m/>
    <m/>
    <n v="0"/>
    <m/>
    <m/>
    <m/>
    <m/>
    <m/>
    <n v="0"/>
    <m/>
    <n v="0"/>
    <n v="10"/>
    <n v="176"/>
    <n v="40.388730000000002"/>
    <m/>
    <s v="KANI"/>
    <s v="REJECT"/>
    <m/>
  </r>
  <r>
    <n v="583"/>
    <d v="2026-04-13T00:00:00"/>
    <x v="54"/>
    <m/>
    <m/>
    <x v="0"/>
    <m/>
    <x v="20"/>
    <x v="20"/>
    <s v="6008FE04/6895AZ03"/>
    <m/>
    <m/>
    <m/>
    <m/>
    <n v="0"/>
    <m/>
    <m/>
    <m/>
    <m/>
    <m/>
    <n v="0"/>
    <m/>
    <n v="0"/>
    <n v="10"/>
    <n v="172"/>
    <n v="38.801400000000001"/>
    <m/>
    <s v="KORHOGO"/>
    <s v="REJECT"/>
    <m/>
  </r>
  <r>
    <n v="584"/>
    <d v="2026-04-13T00:00:00"/>
    <x v="55"/>
    <s v="RM"/>
    <s v="CREDIT"/>
    <x v="0"/>
    <s v="BKE-002"/>
    <x v="8"/>
    <x v="8"/>
    <s v="9126KK04"/>
    <s v="0426-0340"/>
    <n v="1127"/>
    <n v="33497"/>
    <n v="499"/>
    <n v="43480"/>
    <n v="42981"/>
    <n v="494"/>
    <n v="0"/>
    <n v="5"/>
    <n v="20"/>
    <n v="42961"/>
    <n v="510"/>
    <n v="21910110"/>
    <n v="10.5"/>
    <n v="169"/>
    <n v="42.5"/>
    <m/>
    <s v="ZUENOULA"/>
    <m/>
    <s v="W-16 Mar"/>
  </r>
  <r>
    <n v="585"/>
    <d v="2026-04-13T00:00:00"/>
    <x v="55"/>
    <s v="RM"/>
    <s v="CREDIT"/>
    <x v="1"/>
    <m/>
    <x v="45"/>
    <x v="46"/>
    <s v="AA783NC03 "/>
    <m/>
    <n v="691"/>
    <m/>
    <n v="598"/>
    <n v="50530"/>
    <n v="49932"/>
    <n v="583"/>
    <n v="0"/>
    <n v="15"/>
    <n v="60"/>
    <n v="49872"/>
    <n v="510"/>
    <n v="25434720"/>
    <n v="11.4"/>
    <n v="165"/>
    <n v="42.32"/>
    <m/>
    <s v="DIKODOUGOU"/>
    <s v="KONE ADAMA"/>
    <s v="W-16 Mar"/>
  </r>
  <r>
    <n v="586"/>
    <d v="2026-04-13T00:00:00"/>
    <x v="55"/>
    <s v="RM"/>
    <s v="CREDIT"/>
    <x v="1"/>
    <m/>
    <x v="45"/>
    <x v="46"/>
    <s v="270LC03"/>
    <m/>
    <n v="692"/>
    <m/>
    <n v="604"/>
    <n v="50350"/>
    <n v="49746"/>
    <n v="589"/>
    <n v="0"/>
    <n v="15"/>
    <n v="60"/>
    <n v="49686"/>
    <n v="510"/>
    <n v="25339860"/>
    <n v="12.4"/>
    <n v="171"/>
    <n v="42.68"/>
    <m/>
    <s v="KORHOGO"/>
    <s v="KONE ADAMA"/>
    <s v="W-16 Mar"/>
  </r>
  <r>
    <n v="587"/>
    <d v="2026-04-13T00:00:00"/>
    <x v="55"/>
    <s v="RM"/>
    <s v="CREDIT"/>
    <x v="1"/>
    <m/>
    <x v="20"/>
    <x v="20"/>
    <s v="8773JC03"/>
    <s v="0425-0001"/>
    <n v="693"/>
    <n v="37759"/>
    <n v="445"/>
    <n v="36950"/>
    <n v="36505"/>
    <n v="417"/>
    <n v="0"/>
    <n v="28"/>
    <n v="112"/>
    <n v="36393"/>
    <n v="515"/>
    <n v="18742395"/>
    <n v="9.6999999999999993"/>
    <n v="168"/>
    <n v="44.44"/>
    <m/>
    <s v="MANKONO"/>
    <m/>
    <s v="W-16 Mar"/>
  </r>
  <r>
    <n v="588"/>
    <d v="2026-04-13T00:00:00"/>
    <x v="55"/>
    <s v="RM"/>
    <s v="CREDIT"/>
    <x v="1"/>
    <m/>
    <x v="9"/>
    <x v="9"/>
    <s v="4919KN01 "/>
    <s v="0419-0180"/>
    <n v="695"/>
    <n v="78868"/>
    <n v="642"/>
    <n v="46570"/>
    <n v="45928"/>
    <n v="597"/>
    <n v="0"/>
    <n v="45"/>
    <n v="180"/>
    <n v="45748"/>
    <n v="515"/>
    <n v="23560220"/>
    <n v="11"/>
    <n v="175"/>
    <n v="44.53"/>
    <m/>
    <s v="VAVOUA"/>
    <m/>
    <s v="W-16 Mar"/>
  </r>
  <r>
    <n v="589"/>
    <d v="2026-04-13T00:00:00"/>
    <x v="55"/>
    <s v="RM"/>
    <s v="CASH"/>
    <x v="1"/>
    <m/>
    <x v="51"/>
    <x v="52"/>
    <s v="AA576QV02 "/>
    <s v="0429-0462"/>
    <n v="696"/>
    <n v="30266"/>
    <n v="732"/>
    <n v="58050"/>
    <n v="57318"/>
    <n v="711"/>
    <n v="0"/>
    <n v="21"/>
    <n v="84"/>
    <n v="57234"/>
    <n v="515"/>
    <n v="29475510"/>
    <n v="9.9"/>
    <n v="186"/>
    <n v="43.91"/>
    <m/>
    <s v="TOUMODI"/>
    <m/>
    <s v="W-16 Mar"/>
  </r>
  <r>
    <n v="590"/>
    <d v="2026-04-13T00:00:00"/>
    <x v="55"/>
    <s v="RM"/>
    <s v="CASH"/>
    <x v="1"/>
    <m/>
    <x v="31"/>
    <x v="38"/>
    <s v="2114LP01"/>
    <s v="0427-0091"/>
    <n v="697"/>
    <n v="23293"/>
    <n v="458"/>
    <n v="39620"/>
    <n v="39162"/>
    <n v="427"/>
    <n v="0"/>
    <n v="31"/>
    <n v="124"/>
    <n v="39038"/>
    <n v="515"/>
    <n v="20104570"/>
    <n v="11.4"/>
    <n v="179"/>
    <n v="43.56"/>
    <m/>
    <s v="BOUNDIALI"/>
    <m/>
    <s v="W-16 Mar"/>
  </r>
  <r>
    <n v="591"/>
    <d v="2026-04-13T00:00:00"/>
    <x v="55"/>
    <s v="RM"/>
    <s v="CREDIT"/>
    <x v="1"/>
    <m/>
    <x v="9"/>
    <x v="9"/>
    <s v="5261JV01"/>
    <s v="0419-0180"/>
    <n v="694"/>
    <n v="78913"/>
    <n v="537"/>
    <n v="45530"/>
    <n v="44993"/>
    <n v="493"/>
    <n v="0"/>
    <n v="44"/>
    <n v="176"/>
    <n v="44817"/>
    <n v="515"/>
    <n v="23080755"/>
    <n v="11"/>
    <n v="176"/>
    <n v="44.44"/>
    <m/>
    <s v="VAVOUA"/>
    <m/>
    <s v="W-16 Mar"/>
  </r>
  <r>
    <n v="592"/>
    <d v="2026-04-14T00:00:00"/>
    <x v="55"/>
    <s v="RM"/>
    <s v="CREDIT"/>
    <x v="0"/>
    <s v="BKE-002"/>
    <x v="2"/>
    <x v="2"/>
    <s v="6085HR03"/>
    <s v="0426-0187"/>
    <n v="1128"/>
    <n v="18134"/>
    <n v="523"/>
    <n v="45660"/>
    <n v="45137"/>
    <n v="479"/>
    <n v="0"/>
    <n v="44"/>
    <n v="176"/>
    <n v="44961"/>
    <n v="505"/>
    <n v="22705305"/>
    <n v="11.5"/>
    <n v="165"/>
    <n v="42.15"/>
    <m/>
    <s v="NIAKARA"/>
    <m/>
    <s v="W-16 Mar"/>
  </r>
  <r>
    <n v="593"/>
    <d v="2026-04-14T00:00:00"/>
    <x v="55"/>
    <m/>
    <m/>
    <x v="0"/>
    <m/>
    <x v="11"/>
    <x v="11"/>
    <s v="6305RP01"/>
    <m/>
    <m/>
    <m/>
    <m/>
    <n v="0"/>
    <m/>
    <m/>
    <m/>
    <m/>
    <m/>
    <n v="0"/>
    <m/>
    <n v="0"/>
    <n v="13"/>
    <n v="172"/>
    <n v="39.85962"/>
    <m/>
    <s v="BOUAKE"/>
    <s v="REJECT"/>
    <m/>
  </r>
  <r>
    <n v="594"/>
    <d v="2026-04-14T00:00:00"/>
    <x v="55"/>
    <m/>
    <m/>
    <x v="0"/>
    <m/>
    <x v="52"/>
    <x v="53"/>
    <s v="464LJ04/1451LC04"/>
    <m/>
    <m/>
    <m/>
    <m/>
    <n v="0"/>
    <m/>
    <m/>
    <m/>
    <m/>
    <m/>
    <n v="0"/>
    <m/>
    <n v="0"/>
    <n v="12"/>
    <n v="176"/>
    <n v="39.683250000000001"/>
    <m/>
    <s v="NIAKARA"/>
    <s v="REJECT"/>
    <m/>
  </r>
  <r>
    <n v="595"/>
    <d v="2026-04-14T00:00:00"/>
    <x v="56"/>
    <s v="RM"/>
    <s v="CASH"/>
    <x v="0"/>
    <s v="BKE-001"/>
    <x v="26"/>
    <x v="26"/>
    <s v="4972KB01"/>
    <s v="0429-0606"/>
    <n v="1129"/>
    <n v="23652"/>
    <n v="490"/>
    <n v="40600"/>
    <n v="40110"/>
    <n v="479"/>
    <n v="0"/>
    <n v="11"/>
    <n v="44"/>
    <n v="40066"/>
    <n v="510"/>
    <n v="20433660"/>
    <n v="9"/>
    <n v="159"/>
    <n v="43.38"/>
    <m/>
    <s v="DIKODOUGOU"/>
    <m/>
    <s v="W-16 Mar"/>
  </r>
  <r>
    <n v="596"/>
    <d v="2026-04-14T00:00:00"/>
    <x v="56"/>
    <s v="RM"/>
    <s v="CREDIT"/>
    <x v="0"/>
    <s v="BKE-002"/>
    <x v="6"/>
    <x v="6"/>
    <s v="1026FL01"/>
    <s v="0426-0347"/>
    <n v="1130"/>
    <n v="34012"/>
    <n v="446"/>
    <n v="37280"/>
    <n v="36834"/>
    <n v="433"/>
    <n v="0"/>
    <n v="13"/>
    <n v="52"/>
    <n v="36782"/>
    <n v="500"/>
    <n v="18391000"/>
    <n v="8.6999999999999993"/>
    <n v="157"/>
    <n v="42.85"/>
    <m/>
    <s v="BOUAKE"/>
    <m/>
    <s v="W-16 Mar"/>
  </r>
  <r>
    <n v="597"/>
    <d v="2026-04-14T00:00:00"/>
    <x v="56"/>
    <s v="RM"/>
    <s v="CREDIT"/>
    <x v="0"/>
    <s v="BKE-001"/>
    <x v="11"/>
    <x v="11"/>
    <s v="9082GC01"/>
    <s v="0431-0277"/>
    <n v="1131"/>
    <n v="87018"/>
    <n v="547"/>
    <n v="46060"/>
    <n v="45513"/>
    <n v="510"/>
    <n v="37"/>
    <n v="0"/>
    <n v="296"/>
    <n v="45217"/>
    <n v="505"/>
    <n v="22834585"/>
    <n v="11.6"/>
    <n v="160"/>
    <n v="42.85"/>
    <m/>
    <s v="BOUAKE"/>
    <m/>
    <s v="W-16 Mar"/>
  </r>
  <r>
    <n v="598"/>
    <d v="2026-04-14T00:00:00"/>
    <x v="56"/>
    <s v="RM"/>
    <s v="CREDIT"/>
    <x v="0"/>
    <s v="BKE-002"/>
    <x v="8"/>
    <x v="8"/>
    <s v="5545JE01"/>
    <s v="0426-0340"/>
    <n v="1133"/>
    <n v="33498"/>
    <n v="548"/>
    <n v="45980"/>
    <n v="45432"/>
    <n v="538"/>
    <n v="0"/>
    <n v="10"/>
    <n v="40"/>
    <n v="45392"/>
    <n v="510"/>
    <n v="23149920"/>
    <n v="8.9"/>
    <n v="156"/>
    <n v="42.5"/>
    <m/>
    <s v="BOUAKE"/>
    <m/>
    <s v="W-16 Mar"/>
  </r>
  <r>
    <n v="599"/>
    <d v="2026-04-14T00:00:00"/>
    <x v="56"/>
    <s v="RM"/>
    <s v="CREDIT"/>
    <x v="0"/>
    <s v="BKE-001"/>
    <x v="17"/>
    <x v="17"/>
    <s v="4794HN01"/>
    <s v="0425-0055"/>
    <n v="1132"/>
    <n v="18449"/>
    <n v="508"/>
    <n v="42380"/>
    <n v="41872"/>
    <n v="495"/>
    <n v="0"/>
    <n v="13"/>
    <n v="52"/>
    <n v="41820"/>
    <n v="510"/>
    <n v="21328200"/>
    <n v="10.3"/>
    <n v="160"/>
    <n v="43.21"/>
    <m/>
    <s v="KATIOLA"/>
    <m/>
    <s v="W-16 Mar"/>
  </r>
  <r>
    <n v="600"/>
    <d v="2026-04-14T00:00:00"/>
    <x v="56"/>
    <s v="RM"/>
    <s v="CREDIT"/>
    <x v="0"/>
    <s v="BKE-001"/>
    <x v="20"/>
    <x v="20"/>
    <s v="2766HC01"/>
    <s v="0425-0001"/>
    <n v="1136"/>
    <n v="19866"/>
    <n v="454"/>
    <n v="39000"/>
    <n v="38546"/>
    <n v="430"/>
    <n v="24"/>
    <n v="0"/>
    <n v="192"/>
    <n v="38354"/>
    <n v="515"/>
    <n v="19752310"/>
    <n v="11.2"/>
    <n v="162"/>
    <n v="42.15"/>
    <m/>
    <s v="KATIOLA"/>
    <m/>
    <s v="W-16 Mar"/>
  </r>
  <r>
    <n v="601"/>
    <d v="2026-04-14T00:00:00"/>
    <x v="56"/>
    <s v="RM"/>
    <s v="CREDIT"/>
    <x v="1"/>
    <m/>
    <x v="45"/>
    <x v="46"/>
    <s v="1464KJ01 "/>
    <m/>
    <n v="700"/>
    <m/>
    <n v="555"/>
    <n v="48710"/>
    <n v="48155"/>
    <n v="542"/>
    <n v="0"/>
    <n v="13"/>
    <n v="52"/>
    <n v="48103"/>
    <n v="510"/>
    <n v="24532530"/>
    <n v="11.4"/>
    <n v="179"/>
    <n v="44.09"/>
    <m/>
    <s v="KOUNAHIRI"/>
    <s v="KONE ADAMA"/>
    <s v="W-16 Mar"/>
  </r>
  <r>
    <n v="602"/>
    <d v="2026-04-14T00:00:00"/>
    <x v="56"/>
    <s v="RM"/>
    <s v="CREDIT"/>
    <x v="1"/>
    <m/>
    <x v="9"/>
    <x v="9"/>
    <s v="1361KL01 "/>
    <s v="0419-0180"/>
    <n v="699"/>
    <n v="78870"/>
    <n v="672"/>
    <n v="50320"/>
    <n v="49648"/>
    <n v="632"/>
    <n v="0"/>
    <n v="40"/>
    <n v="160"/>
    <n v="49488"/>
    <n v="515"/>
    <n v="25486320"/>
    <n v="9.3000000000000007"/>
    <n v="186"/>
    <n v="43.65"/>
    <m/>
    <s v="VAVOUA"/>
    <m/>
    <s v="W-16 Mar"/>
  </r>
  <r>
    <n v="603"/>
    <d v="2026-04-14T00:00:00"/>
    <x v="56"/>
    <s v="RM"/>
    <s v="CREDIT"/>
    <x v="1"/>
    <m/>
    <x v="9"/>
    <x v="9"/>
    <s v="2542LG01 "/>
    <s v="0419-0180"/>
    <n v="698"/>
    <n v="78869"/>
    <n v="684"/>
    <n v="49690"/>
    <n v="49006"/>
    <n v="644"/>
    <n v="0"/>
    <n v="40"/>
    <n v="160"/>
    <n v="48846"/>
    <n v="515"/>
    <n v="25155690"/>
    <n v="11.2"/>
    <n v="181"/>
    <n v="43.56"/>
    <m/>
    <s v="VAVOUA"/>
    <m/>
    <s v="W-16 Mar"/>
  </r>
  <r>
    <n v="604"/>
    <d v="2026-04-14T00:00:00"/>
    <x v="56"/>
    <s v="RM"/>
    <s v="CREDIT"/>
    <x v="1"/>
    <m/>
    <x v="10"/>
    <x v="10"/>
    <s v="138GL01"/>
    <s v="0425-0212"/>
    <n v="601"/>
    <n v="60071"/>
    <n v="497"/>
    <n v="43200"/>
    <n v="42703"/>
    <n v="457"/>
    <n v="0"/>
    <n v="40"/>
    <n v="160"/>
    <n v="42543"/>
    <n v="515"/>
    <n v="21909645"/>
    <n v="11.3"/>
    <n v="182"/>
    <n v="44"/>
    <m/>
    <s v="AGNIBILEKRO"/>
    <m/>
    <s v="W-16 Mar"/>
  </r>
  <r>
    <n v="605"/>
    <d v="2026-04-14T00:00:00"/>
    <x v="56"/>
    <s v="RM"/>
    <s v="CASH"/>
    <x v="1"/>
    <m/>
    <x v="46"/>
    <x v="47"/>
    <s v="4434EZ01"/>
    <s v="0425-0122"/>
    <n v="602"/>
    <n v="86148"/>
    <n v="337"/>
    <n v="28660"/>
    <n v="28323"/>
    <n v="292"/>
    <n v="0"/>
    <n v="45"/>
    <n v="180"/>
    <n v="28143"/>
    <n v="515"/>
    <n v="14493645"/>
    <n v="12.2"/>
    <n v="183"/>
    <n v="43.38"/>
    <m/>
    <s v="ZOUKOUGBEU"/>
    <m/>
    <s v="W-16 Mar"/>
  </r>
  <r>
    <n v="606"/>
    <d v="2026-04-15T00:00:00"/>
    <x v="56"/>
    <s v="RM"/>
    <s v="CASH"/>
    <x v="0"/>
    <s v="BKE-002"/>
    <x v="16"/>
    <x v="16"/>
    <s v="9090KV03"/>
    <s v="0427-0133"/>
    <n v="1135"/>
    <n v="87040"/>
    <n v="488"/>
    <n v="40840"/>
    <n v="40352"/>
    <n v="471"/>
    <n v="0"/>
    <n v="17"/>
    <n v="68"/>
    <n v="40284"/>
    <n v="495"/>
    <n v="19940580"/>
    <n v="9.6"/>
    <n v="162"/>
    <n v="41.09"/>
    <m/>
    <s v="MADINANI"/>
    <m/>
    <s v="W-16 Mar"/>
  </r>
  <r>
    <n v="607"/>
    <d v="2026-04-15T00:00:00"/>
    <x v="56"/>
    <s v="RM"/>
    <s v="CREDIT"/>
    <x v="0"/>
    <s v="BKE-002"/>
    <x v="15"/>
    <x v="15"/>
    <s v="3651CY03"/>
    <s v="0420-0149"/>
    <n v="1134"/>
    <n v="82499"/>
    <n v="501"/>
    <n v="43480"/>
    <n v="42979"/>
    <n v="490"/>
    <n v="0"/>
    <n v="11"/>
    <n v="44"/>
    <n v="42935"/>
    <n v="515"/>
    <n v="22111525"/>
    <n v="9.5"/>
    <n v="162"/>
    <n v="41.27"/>
    <m/>
    <s v="DIANRA"/>
    <m/>
    <s v="W-16 Mar"/>
  </r>
  <r>
    <n v="608"/>
    <d v="2026-04-15T00:00:00"/>
    <x v="56"/>
    <s v="RM"/>
    <s v="CASH"/>
    <x v="0"/>
    <s v="BKE-002"/>
    <x v="19"/>
    <x v="19"/>
    <s v="X2801FS01"/>
    <s v="0426-0440"/>
    <n v="1137"/>
    <n v="34039"/>
    <n v="457"/>
    <n v="40520"/>
    <n v="40063"/>
    <n v="437"/>
    <n v="0"/>
    <n v="20"/>
    <n v="80"/>
    <n v="39983"/>
    <n v="495"/>
    <n v="19791585"/>
    <n v="10.9"/>
    <n v="162"/>
    <n v="41.62"/>
    <m/>
    <s v="MANKONO"/>
    <m/>
    <s v="W-16 Mar"/>
  </r>
  <r>
    <n v="609"/>
    <d v="2026-04-15T00:00:00"/>
    <x v="56"/>
    <s v="RM"/>
    <s v="CREDIT"/>
    <x v="1"/>
    <m/>
    <x v="9"/>
    <x v="9"/>
    <s v="AA721PZ01"/>
    <s v="0419-0180"/>
    <n v="603"/>
    <n v="78874"/>
    <n v="729"/>
    <n v="52820"/>
    <n v="52091"/>
    <n v="660"/>
    <n v="0"/>
    <n v="69"/>
    <n v="276"/>
    <n v="51815"/>
    <n v="515"/>
    <n v="26684725"/>
    <n v="11.3"/>
    <n v="182"/>
    <n v="44.18"/>
    <m/>
    <s v="VAVOUA"/>
    <m/>
    <s v="W-16 Mar"/>
  </r>
  <r>
    <n v="610"/>
    <d v="2026-04-15T00:00:00"/>
    <x v="56"/>
    <m/>
    <m/>
    <x v="0"/>
    <m/>
    <x v="0"/>
    <x v="0"/>
    <s v="8304JG03/8925CS03"/>
    <m/>
    <m/>
    <m/>
    <m/>
    <n v="0"/>
    <m/>
    <m/>
    <m/>
    <m/>
    <m/>
    <n v="0"/>
    <m/>
    <n v="0"/>
    <n v="12"/>
    <n v="161"/>
    <n v="39.330509999999997"/>
    <m/>
    <s v="KANI"/>
    <s v="REJECT"/>
    <m/>
  </r>
  <r>
    <n v="611"/>
    <d v="2026-04-15T00:00:00"/>
    <x v="56"/>
    <m/>
    <m/>
    <x v="0"/>
    <m/>
    <x v="8"/>
    <x v="8"/>
    <s v="1114KZ01/1700KZ01"/>
    <m/>
    <m/>
    <m/>
    <m/>
    <n v="0"/>
    <m/>
    <m/>
    <m/>
    <m/>
    <m/>
    <n v="0"/>
    <m/>
    <n v="0"/>
    <n v="14"/>
    <n v="159"/>
    <n v="41.094209999999997"/>
    <m/>
    <s v="BOUAKE"/>
    <s v="REJECT"/>
    <m/>
  </r>
  <r>
    <n v="612"/>
    <d v="2026-04-15T00:00:00"/>
    <x v="56"/>
    <m/>
    <m/>
    <x v="0"/>
    <m/>
    <x v="3"/>
    <x v="3"/>
    <s v="7212FU01/6940EQ01"/>
    <m/>
    <m/>
    <m/>
    <m/>
    <n v="0"/>
    <m/>
    <m/>
    <m/>
    <m/>
    <m/>
    <n v="0"/>
    <m/>
    <n v="0"/>
    <n v="16"/>
    <n v="150"/>
    <n v="38.625030000000002"/>
    <m/>
    <s v="KANI"/>
    <s v="REJECT"/>
    <m/>
  </r>
  <r>
    <n v="613"/>
    <d v="2026-04-15T00:00:00"/>
    <x v="56"/>
    <m/>
    <m/>
    <x v="0"/>
    <m/>
    <x v="5"/>
    <x v="5"/>
    <s v="2023HF01"/>
    <m/>
    <m/>
    <m/>
    <m/>
    <n v="0"/>
    <m/>
    <m/>
    <m/>
    <m/>
    <m/>
    <n v="0"/>
    <m/>
    <n v="0"/>
    <n v="11.7"/>
    <n v="160"/>
    <n v="40.035989999999998"/>
    <m/>
    <s v="MANKONO"/>
    <s v="REJECT"/>
    <m/>
  </r>
  <r>
    <n v="614"/>
    <d v="2026-04-15T00:00:00"/>
    <x v="56"/>
    <m/>
    <m/>
    <x v="1"/>
    <m/>
    <x v="45"/>
    <x v="46"/>
    <s v="6238JL01/4363HU01"/>
    <m/>
    <m/>
    <m/>
    <m/>
    <n v="0"/>
    <m/>
    <m/>
    <m/>
    <m/>
    <m/>
    <n v="0"/>
    <m/>
    <n v="0"/>
    <n v="13.2"/>
    <n v="161"/>
    <n v="40.03"/>
    <m/>
    <s v="BOUAKE"/>
    <s v="REJECT"/>
    <m/>
  </r>
  <r>
    <n v="615"/>
    <d v="2026-04-15T00:00:00"/>
    <x v="56"/>
    <m/>
    <m/>
    <x v="1"/>
    <m/>
    <x v="51"/>
    <x v="4"/>
    <s v="3143LH03/954FS01"/>
    <m/>
    <m/>
    <m/>
    <m/>
    <n v="0"/>
    <m/>
    <m/>
    <m/>
    <m/>
    <m/>
    <n v="0"/>
    <m/>
    <n v="0"/>
    <n v="11.7"/>
    <n v="185"/>
    <n v="38.18"/>
    <m/>
    <s v="VAVOUA"/>
    <s v="REJECT"/>
    <m/>
  </r>
  <r>
    <n v="616"/>
    <d v="2026-04-15T00:00:00"/>
    <x v="57"/>
    <s v="RM"/>
    <s v="CREDIT"/>
    <x v="0"/>
    <s v="BKE-001"/>
    <x v="2"/>
    <x v="2"/>
    <s v="9900KU03"/>
    <s v="0426-0187"/>
    <n v="1138"/>
    <n v="18140"/>
    <n v="530"/>
    <n v="46120"/>
    <n v="45590"/>
    <n v="507"/>
    <n v="0"/>
    <n v="23"/>
    <n v="92"/>
    <n v="45498"/>
    <n v="495"/>
    <n v="22521510"/>
    <n v="10.9"/>
    <n v="178"/>
    <n v="41.27"/>
    <m/>
    <s v="NIAKARA"/>
    <m/>
    <s v="W-16 Mar"/>
  </r>
  <r>
    <n v="617"/>
    <d v="2026-04-15T00:00:00"/>
    <x v="57"/>
    <s v="RM"/>
    <s v="CASH"/>
    <x v="0"/>
    <s v="BKE-001"/>
    <x v="53"/>
    <x v="54"/>
    <s v="2706GN01"/>
    <s v="0426-0321"/>
    <n v="1139"/>
    <n v="33034"/>
    <n v="452"/>
    <n v="38780"/>
    <n v="38328"/>
    <n v="408"/>
    <n v="0"/>
    <n v="44"/>
    <n v="176"/>
    <n v="38152"/>
    <n v="495"/>
    <n v="18885240"/>
    <n v="11.3"/>
    <n v="160"/>
    <n v="41.62"/>
    <m/>
    <s v="BEOUMI"/>
    <m/>
    <s v="W-16 Mar"/>
  </r>
  <r>
    <n v="618"/>
    <d v="2026-04-15T00:00:00"/>
    <x v="57"/>
    <s v="RM"/>
    <s v="CASH"/>
    <x v="0"/>
    <s v="BKE-002"/>
    <x v="54"/>
    <x v="55"/>
    <s v="3253LE01"/>
    <s v="0326-0159"/>
    <n v="1140"/>
    <n v="33621"/>
    <n v="535"/>
    <n v="40740"/>
    <n v="40205"/>
    <n v="520"/>
    <n v="0"/>
    <n v="15"/>
    <n v="60"/>
    <n v="40145"/>
    <n v="505"/>
    <n v="20273225"/>
    <n v="9.1999999999999993"/>
    <n v="189"/>
    <n v="42.32"/>
    <m/>
    <s v="BEOUMI"/>
    <m/>
    <s v="W-16 Mar"/>
  </r>
  <r>
    <n v="619"/>
    <d v="2026-04-15T00:00:00"/>
    <x v="57"/>
    <s v="RM"/>
    <s v="CREDIT"/>
    <x v="1"/>
    <m/>
    <x v="38"/>
    <x v="39"/>
    <s v="AA359EJ01"/>
    <s v="0408-0287"/>
    <n v="604"/>
    <n v="77597"/>
    <n v="520"/>
    <n v="40930"/>
    <n v="40410"/>
    <n v="496"/>
    <n v="0"/>
    <n v="24"/>
    <n v="96"/>
    <n v="40314"/>
    <n v="515"/>
    <n v="20761710"/>
    <n v="8.4"/>
    <n v="173"/>
    <n v="44.44"/>
    <m/>
    <s v="MINIGNAN"/>
    <m/>
    <s v="W-16 Mar"/>
  </r>
  <r>
    <n v="620"/>
    <d v="2026-04-15T00:00:00"/>
    <x v="57"/>
    <s v="RM"/>
    <s v="CREDIT"/>
    <x v="1"/>
    <m/>
    <x v="18"/>
    <x v="18"/>
    <s v="AA141VT01"/>
    <s v="0420-0251"/>
    <n v="605"/>
    <n v="37581"/>
    <n v="531"/>
    <n v="45490"/>
    <n v="44959"/>
    <n v="500"/>
    <n v="0"/>
    <n v="31"/>
    <n v="124"/>
    <n v="44835"/>
    <n v="510"/>
    <n v="22865850"/>
    <n v="10.1"/>
    <n v="159"/>
    <n v="42.32"/>
    <m/>
    <s v="DIANRA"/>
    <m/>
    <s v="W-16 Mar"/>
  </r>
  <r>
    <n v="621"/>
    <d v="2026-04-15T00:00:00"/>
    <x v="57"/>
    <s v="RM"/>
    <s v="CREDIT"/>
    <x v="1"/>
    <m/>
    <x v="9"/>
    <x v="9"/>
    <s v="1847KS01"/>
    <s v="0419-0180"/>
    <n v="606"/>
    <n v="78875"/>
    <n v="549"/>
    <n v="43850"/>
    <n v="43301"/>
    <n v="534"/>
    <n v="0"/>
    <n v="15"/>
    <n v="60"/>
    <n v="43241"/>
    <n v="515"/>
    <n v="22269115"/>
    <n v="9.5"/>
    <n v="180"/>
    <n v="44.35"/>
    <m/>
    <s v="VAVOUA"/>
    <m/>
    <s v="W-16 Mar"/>
  </r>
  <r>
    <n v="622"/>
    <d v="2026-04-15T00:00:00"/>
    <x v="57"/>
    <s v="RM"/>
    <s v="CREDIT"/>
    <x v="1"/>
    <m/>
    <x v="9"/>
    <x v="9"/>
    <s v="1635LR01"/>
    <s v="0419-0180"/>
    <n v="609"/>
    <n v="78873"/>
    <n v="683"/>
    <n v="51880"/>
    <n v="51197"/>
    <n v="659"/>
    <n v="0"/>
    <n v="24"/>
    <n v="96"/>
    <n v="51101"/>
    <n v="515"/>
    <n v="26317015"/>
    <n v="10.4"/>
    <n v="196"/>
    <n v="44.53"/>
    <m/>
    <s v="VAVOUA"/>
    <m/>
    <s v="W-16 Mar"/>
  </r>
  <r>
    <n v="623"/>
    <d v="2026-04-16T00:00:00"/>
    <x v="57"/>
    <s v="RM"/>
    <s v="CREDIT"/>
    <x v="0"/>
    <s v="BKE-001"/>
    <x v="11"/>
    <x v="11"/>
    <s v="9082GC01"/>
    <s v="0431-0277"/>
    <n v="1141"/>
    <n v="87044"/>
    <n v="435"/>
    <n v="36680"/>
    <n v="36245"/>
    <n v="422"/>
    <n v="0"/>
    <n v="13"/>
    <n v="52"/>
    <n v="36193"/>
    <n v="500"/>
    <n v="18096500"/>
    <n v="9.6"/>
    <n v="171"/>
    <n v="41.44"/>
    <m/>
    <s v="BOUAKE"/>
    <m/>
    <s v="W-16 Mar"/>
  </r>
  <r>
    <n v="624"/>
    <d v="2026-04-16T00:00:00"/>
    <x v="57"/>
    <s v="RM"/>
    <s v="CREDIT"/>
    <x v="0"/>
    <s v="BKE-001"/>
    <x v="20"/>
    <x v="20"/>
    <s v="2387JE01"/>
    <s v="0425-0001"/>
    <n v="1142"/>
    <n v="37758"/>
    <n v="452"/>
    <n v="36260"/>
    <n v="35808"/>
    <n v="425"/>
    <n v="0"/>
    <n v="26"/>
    <n v="104"/>
    <n v="35704"/>
    <n v="510"/>
    <n v="18209040"/>
    <n v="10"/>
    <n v="167"/>
    <n v="41.97"/>
    <m/>
    <s v="MANKONO"/>
    <m/>
    <s v="W-16 Mar"/>
  </r>
  <r>
    <n v="625"/>
    <d v="2026-04-16T00:00:00"/>
    <x v="57"/>
    <s v="RM"/>
    <s v="CASH"/>
    <x v="0"/>
    <s v="BKE-001"/>
    <x v="25"/>
    <x v="25"/>
    <s v="5821GH01"/>
    <s v="0426-0399"/>
    <n v="1143"/>
    <n v="33683"/>
    <n v="469"/>
    <n v="40340"/>
    <n v="39871"/>
    <n v="455"/>
    <n v="0"/>
    <n v="14"/>
    <n v="56"/>
    <n v="39815"/>
    <n v="505"/>
    <n v="20106575"/>
    <n v="9.3000000000000007"/>
    <n v="156"/>
    <n v="43.38"/>
    <m/>
    <s v="BOTRO"/>
    <m/>
    <s v="W-16 Mar"/>
  </r>
  <r>
    <n v="626"/>
    <d v="2026-04-16T00:00:00"/>
    <x v="57"/>
    <s v="RM"/>
    <s v="CREDIT"/>
    <x v="0"/>
    <s v="BKE-002"/>
    <x v="20"/>
    <x v="20"/>
    <s v="4669CP03"/>
    <s v="0425-0001"/>
    <n v="1144"/>
    <n v="19865"/>
    <n v="468"/>
    <n v="39680"/>
    <n v="39212"/>
    <n v="451"/>
    <n v="0"/>
    <n v="17"/>
    <n v="68"/>
    <n v="39144"/>
    <n v="510"/>
    <n v="19963440"/>
    <n v="9.4"/>
    <n v="160"/>
    <n v="42.32"/>
    <m/>
    <s v="KATIOLA"/>
    <m/>
    <s v="W-16 Mar"/>
  </r>
  <r>
    <n v="627"/>
    <d v="2026-04-16T00:00:00"/>
    <x v="57"/>
    <s v="RM"/>
    <s v="CREDIT"/>
    <x v="1"/>
    <m/>
    <x v="12"/>
    <x v="12"/>
    <s v="696FV02"/>
    <s v="0429-0005"/>
    <n v="607"/>
    <n v="87150"/>
    <n v="629"/>
    <n v="52920"/>
    <n v="52291"/>
    <n v="584"/>
    <n v="0"/>
    <n v="45"/>
    <n v="180"/>
    <n v="52111"/>
    <n v="515"/>
    <n v="26837165"/>
    <n v="11.5"/>
    <n v="189"/>
    <n v="44.44"/>
    <m/>
    <s v="VAVOUA"/>
    <m/>
    <s v="W-16 Mar"/>
  </r>
  <r>
    <n v="628"/>
    <d v="2026-04-16T00:00:00"/>
    <x v="57"/>
    <s v="RM"/>
    <s v="CASH"/>
    <x v="1"/>
    <m/>
    <x v="39"/>
    <x v="40"/>
    <s v="AB026AH"/>
    <s v="0401-0173"/>
    <n v="608"/>
    <n v="87141"/>
    <n v="483"/>
    <n v="38000"/>
    <n v="37517"/>
    <n v="423"/>
    <n v="60"/>
    <n v="0"/>
    <n v="480"/>
    <n v="37037"/>
    <n v="515"/>
    <n v="19074055"/>
    <n v="12.2"/>
    <n v="176"/>
    <n v="44"/>
    <m/>
    <s v="BOUAFLE"/>
    <m/>
    <s v="W-16 Mar"/>
  </r>
  <r>
    <n v="629"/>
    <d v="2026-04-16T00:00:00"/>
    <x v="57"/>
    <m/>
    <m/>
    <x v="0"/>
    <m/>
    <x v="8"/>
    <x v="8"/>
    <s v="6253KU04/9488FC01"/>
    <m/>
    <m/>
    <m/>
    <m/>
    <n v="0"/>
    <m/>
    <m/>
    <m/>
    <m/>
    <m/>
    <n v="0"/>
    <m/>
    <n v="0"/>
    <n v="9.8000000000000007"/>
    <n v="181"/>
    <n v="40.212359999999997"/>
    <m/>
    <s v="DUEKOUE"/>
    <s v="REJECT"/>
    <m/>
  </r>
  <r>
    <n v="630"/>
    <d v="2026-04-16T00:00:00"/>
    <x v="58"/>
    <s v="RM"/>
    <s v="CREDIT"/>
    <x v="0"/>
    <s v="BKE-001"/>
    <x v="20"/>
    <x v="20"/>
    <s v="2766HC01"/>
    <s v="0425-0001"/>
    <n v="1145"/>
    <n v="19862"/>
    <n v="467"/>
    <n v="39360"/>
    <n v="38893"/>
    <n v="449"/>
    <n v="0"/>
    <n v="18"/>
    <n v="72"/>
    <n v="38821"/>
    <n v="500"/>
    <n v="19410500"/>
    <n v="10"/>
    <n v="164"/>
    <n v="41.44"/>
    <m/>
    <s v="KATIOLA"/>
    <m/>
    <s v="W-16 Mar"/>
  </r>
  <r>
    <n v="631"/>
    <d v="2026-04-16T00:00:00"/>
    <x v="58"/>
    <s v="RM"/>
    <s v="CASH"/>
    <x v="0"/>
    <s v="BKE-001"/>
    <x v="25"/>
    <x v="25"/>
    <s v="1528LP01"/>
    <s v="0426-0399"/>
    <n v="1146"/>
    <n v="34486"/>
    <n v="487"/>
    <n v="40520"/>
    <n v="40033"/>
    <n v="457"/>
    <n v="30"/>
    <n v="0"/>
    <n v="240"/>
    <n v="39793"/>
    <n v="505"/>
    <n v="20095465"/>
    <n v="11.1"/>
    <n v="179"/>
    <n v="43.03"/>
    <m/>
    <s v="BOUNDIALI"/>
    <m/>
    <s v="W-16 Mar"/>
  </r>
  <r>
    <n v="632"/>
    <d v="2026-04-16T00:00:00"/>
    <x v="58"/>
    <s v="RM"/>
    <s v="CREDIT"/>
    <x v="0"/>
    <s v="BKE-001"/>
    <x v="3"/>
    <x v="3"/>
    <s v="7695EF01"/>
    <s v="0426-0203"/>
    <n v="1150"/>
    <n v="34348"/>
    <n v="639"/>
    <n v="48480"/>
    <n v="47841"/>
    <n v="620"/>
    <n v="0"/>
    <n v="19"/>
    <n v="76"/>
    <n v="47765"/>
    <n v="495"/>
    <n v="23643675"/>
    <n v="10.8"/>
    <n v="160"/>
    <n v="41.09"/>
    <m/>
    <s v="DIKODOUGOU"/>
    <m/>
    <s v="W-16 Mar"/>
  </r>
  <r>
    <n v="633"/>
    <d v="2026-04-16T00:00:00"/>
    <x v="58"/>
    <s v="RM"/>
    <s v="CREDIT"/>
    <x v="0"/>
    <s v="BKE-001"/>
    <x v="8"/>
    <x v="8"/>
    <s v="9126KK04"/>
    <s v="0426-0340"/>
    <n v="1147"/>
    <n v="31626"/>
    <n v="590"/>
    <n v="51520"/>
    <n v="50930"/>
    <n v="570"/>
    <n v="20"/>
    <n v="0"/>
    <n v="160"/>
    <n v="50770"/>
    <n v="500"/>
    <n v="25385000"/>
    <n v="11.8"/>
    <n v="163"/>
    <n v="41.27"/>
    <m/>
    <s v="BOUAKE"/>
    <m/>
    <s v="W-16 Mar"/>
  </r>
  <r>
    <n v="634"/>
    <d v="2026-04-16T00:00:00"/>
    <x v="58"/>
    <s v="RM"/>
    <s v="CASH"/>
    <x v="0"/>
    <s v="BKE-001"/>
    <x v="55"/>
    <x v="56"/>
    <s v="AA456BZZ"/>
    <s v="0426-0123"/>
    <n v="1148"/>
    <n v="34463"/>
    <n v="531"/>
    <n v="40980"/>
    <n v="40449"/>
    <n v="524"/>
    <n v="0"/>
    <n v="7"/>
    <n v="28"/>
    <n v="40421"/>
    <n v="500"/>
    <n v="20210500"/>
    <n v="10.3"/>
    <n v="168"/>
    <n v="41.97"/>
    <m/>
    <s v="KATIOLA"/>
    <m/>
    <s v="W-16 Mar"/>
  </r>
  <r>
    <n v="635"/>
    <d v="2026-04-16T00:00:00"/>
    <x v="58"/>
    <s v="RM"/>
    <s v="CREDIT"/>
    <x v="0"/>
    <s v="BKE-001"/>
    <x v="11"/>
    <x v="11"/>
    <s v="5911KT04"/>
    <s v="0431-0277"/>
    <n v="1149"/>
    <n v="87091"/>
    <n v="668"/>
    <n v="50820"/>
    <n v="50152"/>
    <n v="642"/>
    <n v="26"/>
    <n v="0"/>
    <n v="208"/>
    <n v="49944"/>
    <n v="500"/>
    <n v="24972000"/>
    <n v="11.4"/>
    <n v="174"/>
    <n v="41.62"/>
    <m/>
    <s v="BOUAKE"/>
    <m/>
    <s v="W-16 Mar"/>
  </r>
  <r>
    <n v="636"/>
    <d v="2026-04-16T00:00:00"/>
    <x v="58"/>
    <s v="RM"/>
    <s v="CREDIT"/>
    <x v="1"/>
    <m/>
    <x v="45"/>
    <x v="46"/>
    <s v="7650GJ04 "/>
    <m/>
    <n v="611"/>
    <m/>
    <n v="456"/>
    <n v="35570"/>
    <n v="35114"/>
    <n v="446"/>
    <n v="0"/>
    <n v="10"/>
    <n v="40"/>
    <n v="35074"/>
    <n v="505"/>
    <n v="17712370"/>
    <n v="8"/>
    <n v="172"/>
    <n v="44.09"/>
    <m/>
    <s v="DJEBONOUA"/>
    <s v="SCOOPS PS"/>
    <s v="W-16 Mar"/>
  </r>
  <r>
    <n v="637"/>
    <d v="2026-04-16T00:00:00"/>
    <x v="58"/>
    <s v="RM"/>
    <s v="CREDIT"/>
    <x v="1"/>
    <m/>
    <x v="45"/>
    <x v="46"/>
    <s v="8567FF03"/>
    <m/>
    <n v="612"/>
    <m/>
    <n v="426"/>
    <n v="37970"/>
    <n v="37544"/>
    <n v="406"/>
    <n v="0"/>
    <n v="20"/>
    <n v="80"/>
    <n v="37464"/>
    <n v="510"/>
    <n v="19106640"/>
    <n v="13"/>
    <n v="157"/>
    <n v="42.94"/>
    <m/>
    <s v="BOUAKE"/>
    <s v="SCOOPS PS"/>
    <s v="W-16 Mar"/>
  </r>
  <r>
    <n v="638"/>
    <d v="2026-04-16T00:00:00"/>
    <x v="58"/>
    <s v="RM"/>
    <s v="CREDIT"/>
    <x v="1"/>
    <m/>
    <x v="9"/>
    <x v="9"/>
    <s v="2028GY01 "/>
    <s v="0419-0180"/>
    <n v="610"/>
    <n v="78866"/>
    <n v="560"/>
    <n v="46840"/>
    <n v="46280"/>
    <n v="540"/>
    <n v="0"/>
    <n v="20"/>
    <n v="80"/>
    <n v="46200"/>
    <n v="515"/>
    <n v="23793000"/>
    <n v="10.8"/>
    <n v="174"/>
    <n v="44.18"/>
    <m/>
    <s v="VAVOUA"/>
    <m/>
    <s v="W-16 Mar"/>
  </r>
  <r>
    <n v="639"/>
    <d v="2026-04-16T00:00:00"/>
    <x v="58"/>
    <s v="RM"/>
    <s v="CREDIT"/>
    <x v="1"/>
    <m/>
    <x v="9"/>
    <x v="9"/>
    <s v="AA822NQ01"/>
    <s v="0419-0180"/>
    <n v="613"/>
    <n v="78872"/>
    <n v="583"/>
    <n v="51800"/>
    <n v="51217"/>
    <n v="558"/>
    <n v="0"/>
    <n v="25"/>
    <n v="100"/>
    <n v="51117"/>
    <n v="515"/>
    <n v="26325255"/>
    <n v="10.1"/>
    <n v="175"/>
    <n v="44.18"/>
    <m/>
    <s v="VAVOUA"/>
    <m/>
    <s v="W-16 Mar"/>
  </r>
  <r>
    <n v="640"/>
    <d v="2026-04-16T00:00:00"/>
    <x v="58"/>
    <s v="RM"/>
    <s v="CREDIT"/>
    <x v="1"/>
    <m/>
    <x v="9"/>
    <x v="9"/>
    <s v="2744KK02"/>
    <s v="0419-0180"/>
    <n v="614"/>
    <n v="78876"/>
    <n v="532"/>
    <n v="41120"/>
    <n v="40588"/>
    <n v="512"/>
    <n v="0"/>
    <n v="20"/>
    <n v="80"/>
    <n v="40508"/>
    <n v="515"/>
    <n v="20861620"/>
    <n v="10.3"/>
    <n v="183"/>
    <n v="44.35"/>
    <m/>
    <s v="VAVOUA"/>
    <m/>
    <s v="W-16 Mar"/>
  </r>
  <r>
    <n v="641"/>
    <d v="2026-04-17T00:00:00"/>
    <x v="58"/>
    <s v="RM"/>
    <s v="CASH"/>
    <x v="1"/>
    <m/>
    <x v="51"/>
    <x v="52"/>
    <s v="AA576QV02"/>
    <s v="0429-0462"/>
    <n v="615"/>
    <n v="30274"/>
    <n v="694"/>
    <n v="55700"/>
    <n v="55006"/>
    <n v="674"/>
    <n v="0"/>
    <n v="20"/>
    <n v="80"/>
    <n v="54926"/>
    <n v="510"/>
    <n v="28012260"/>
    <n v="10.199999999999999"/>
    <n v="185"/>
    <n v="42.59"/>
    <m/>
    <s v="VAVOUA"/>
    <m/>
    <s v="W-16 Mar"/>
  </r>
  <r>
    <n v="642"/>
    <d v="2026-04-17T00:00:00"/>
    <x v="58"/>
    <s v="RM"/>
    <s v="CASH"/>
    <x v="1"/>
    <m/>
    <x v="42"/>
    <x v="43"/>
    <s v="6139KV01"/>
    <s v="0401-0177"/>
    <n v="616"/>
    <n v="87146"/>
    <n v="430"/>
    <n v="34010"/>
    <n v="33580"/>
    <n v="408"/>
    <n v="0"/>
    <n v="22"/>
    <n v="88"/>
    <n v="33492"/>
    <n v="510"/>
    <n v="17080920"/>
    <n v="10.4"/>
    <n v="170"/>
    <n v="42.32"/>
    <m/>
    <s v="DESINFRA"/>
    <m/>
    <s v="W-16 Mar"/>
  </r>
  <r>
    <n v="643"/>
    <d v="2026-04-17T00:00:00"/>
    <x v="58"/>
    <m/>
    <m/>
    <x v="0"/>
    <m/>
    <x v="49"/>
    <x v="50"/>
    <s v="AA187AQ01/6368EF01"/>
    <m/>
    <m/>
    <m/>
    <m/>
    <n v="0"/>
    <m/>
    <m/>
    <m/>
    <m/>
    <m/>
    <n v="0"/>
    <m/>
    <n v="0"/>
    <n v="11.2"/>
    <n v="158"/>
    <n v="38.801400000000001"/>
    <m/>
    <s v="BOUAKE"/>
    <s v="REJECT"/>
    <m/>
  </r>
  <r>
    <n v="644"/>
    <d v="2026-04-17T00:00:00"/>
    <x v="58"/>
    <m/>
    <m/>
    <x v="0"/>
    <m/>
    <x v="2"/>
    <x v="2"/>
    <s v="8287GH03/6555CS03"/>
    <m/>
    <m/>
    <m/>
    <m/>
    <n v="0"/>
    <m/>
    <m/>
    <m/>
    <m/>
    <m/>
    <n v="0"/>
    <m/>
    <n v="0"/>
    <n v="10.8"/>
    <n v="176"/>
    <n v="40.565100000000001"/>
    <m/>
    <s v="NIAKARA"/>
    <s v="REJECT"/>
    <m/>
  </r>
  <r>
    <n v="645"/>
    <d v="2026-04-17T00:00:00"/>
    <x v="58"/>
    <m/>
    <m/>
    <x v="0"/>
    <m/>
    <x v="11"/>
    <x v="11"/>
    <s v="AA343VP04"/>
    <m/>
    <m/>
    <m/>
    <m/>
    <n v="0"/>
    <m/>
    <m/>
    <m/>
    <m/>
    <m/>
    <n v="0"/>
    <m/>
    <n v="0"/>
    <n v="15.1"/>
    <n v="154"/>
    <n v="39.683250000000001"/>
    <m/>
    <s v="MANKONO"/>
    <s v="REJECT"/>
    <m/>
  </r>
  <r>
    <n v="646"/>
    <d v="2026-04-17T00:00:00"/>
    <x v="58"/>
    <m/>
    <m/>
    <x v="0"/>
    <m/>
    <x v="54"/>
    <x v="55"/>
    <s v="8545FJ01/786GH01"/>
    <m/>
    <m/>
    <m/>
    <m/>
    <n v="0"/>
    <m/>
    <m/>
    <m/>
    <m/>
    <m/>
    <n v="0"/>
    <m/>
    <n v="0"/>
    <n v="10.6"/>
    <n v="177"/>
    <n v="40.035989999999998"/>
    <m/>
    <s v="DIKODOUGOU"/>
    <s v="REJECT"/>
    <m/>
  </r>
  <r>
    <n v="647"/>
    <d v="2026-04-17T00:00:00"/>
    <x v="58"/>
    <m/>
    <m/>
    <x v="0"/>
    <m/>
    <x v="8"/>
    <x v="8"/>
    <s v="7981EQ03/6907AZ03"/>
    <m/>
    <m/>
    <m/>
    <m/>
    <n v="0"/>
    <m/>
    <m/>
    <m/>
    <m/>
    <m/>
    <n v="0"/>
    <m/>
    <n v="0"/>
    <n v="9.1"/>
    <n v="176"/>
    <n v="40.212359999999997"/>
    <m/>
    <s v="BOUAKE"/>
    <s v="REJECT"/>
    <m/>
  </r>
  <r>
    <n v="648"/>
    <d v="2026-04-16T00:00:00"/>
    <x v="59"/>
    <s v="RM"/>
    <s v="CREDIT"/>
    <x v="0"/>
    <s v="BKE-001"/>
    <x v="5"/>
    <x v="5"/>
    <s v="460CH05"/>
    <s v="0426-0194"/>
    <n v="255"/>
    <n v="31861"/>
    <n v="226"/>
    <n v="19500"/>
    <n v="19274"/>
    <n v="204"/>
    <n v="0"/>
    <n v="22"/>
    <n v="88"/>
    <n v="19186"/>
    <n v="505"/>
    <n v="9688930"/>
    <n v="10.5"/>
    <n v="165"/>
    <n v="42.68"/>
    <m/>
    <s v="SAKASSOU"/>
    <m/>
    <s v="W-16 Mar"/>
  </r>
  <r>
    <n v="649"/>
    <d v="2026-04-17T00:00:00"/>
    <x v="59"/>
    <s v="RM"/>
    <s v="CREDIT"/>
    <x v="0"/>
    <s v="BKE-001"/>
    <x v="11"/>
    <x v="11"/>
    <s v="8584KG04"/>
    <s v="0431-0277"/>
    <n v="253"/>
    <n v="82768"/>
    <n v="527"/>
    <n v="47180"/>
    <n v="46653"/>
    <n v="497"/>
    <n v="30"/>
    <n v="0"/>
    <n v="240"/>
    <n v="46413"/>
    <n v="495"/>
    <n v="22974435"/>
    <n v="11.5"/>
    <n v="158"/>
    <n v="41.09"/>
    <m/>
    <s v="KATIOLA"/>
    <m/>
    <s v="W-16 Mar"/>
  </r>
  <r>
    <n v="650"/>
    <d v="2026-04-17T00:00:00"/>
    <x v="59"/>
    <s v="RM"/>
    <s v="CREDIT"/>
    <x v="0"/>
    <s v="BKE-001"/>
    <x v="20"/>
    <x v="20"/>
    <s v="4669CP03"/>
    <s v="0425-0001"/>
    <n v="251"/>
    <n v="19870"/>
    <n v="444"/>
    <n v="39180"/>
    <n v="38736"/>
    <n v="419"/>
    <n v="25"/>
    <n v="0"/>
    <n v="200"/>
    <n v="38536"/>
    <n v="510"/>
    <n v="19653360"/>
    <n v="11.1"/>
    <n v="164"/>
    <n v="42.68"/>
    <m/>
    <s v="KATIOLA"/>
    <m/>
    <s v="W-16 Mar"/>
  </r>
  <r>
    <n v="651"/>
    <d v="2026-04-17T00:00:00"/>
    <x v="59"/>
    <s v="RM"/>
    <s v="CREDIT"/>
    <x v="0"/>
    <s v="BKE-001"/>
    <x v="8"/>
    <x v="8"/>
    <s v="AA044CA"/>
    <s v="0426-0340"/>
    <n v="257"/>
    <n v="33499"/>
    <n v="645"/>
    <n v="53680"/>
    <n v="53035"/>
    <n v="629"/>
    <n v="0"/>
    <n v="16"/>
    <n v="64"/>
    <n v="52971"/>
    <n v="510"/>
    <n v="27015210"/>
    <n v="9.6"/>
    <n v="166"/>
    <n v="42.32"/>
    <m/>
    <s v="KOUNAHIRI"/>
    <m/>
    <s v="W-16 Mar"/>
  </r>
  <r>
    <n v="652"/>
    <d v="2026-04-18T00:00:00"/>
    <x v="59"/>
    <s v="RM"/>
    <s v="CREDIT"/>
    <x v="0"/>
    <s v="BKE-001"/>
    <x v="6"/>
    <x v="6"/>
    <s v="28JZ01"/>
    <s v="0426-0347"/>
    <n v="253"/>
    <n v="34017"/>
    <n v="624"/>
    <n v="51160"/>
    <n v="50536"/>
    <n v="615"/>
    <n v="0"/>
    <n v="9"/>
    <n v="36"/>
    <n v="50500"/>
    <n v="505"/>
    <n v="25502500"/>
    <n v="8.9"/>
    <n v="172"/>
    <n v="42.68"/>
    <m/>
    <s v="VAVOUA"/>
    <m/>
    <s v="W-16 Mar"/>
  </r>
  <r>
    <n v="653"/>
    <d v="2026-04-18T00:00:00"/>
    <x v="59"/>
    <s v="RM"/>
    <s v="CASH"/>
    <x v="0"/>
    <s v="BKE-001"/>
    <x v="19"/>
    <x v="19"/>
    <s v="9450GX01"/>
    <s v="0426-0440"/>
    <n v="254"/>
    <n v="31753"/>
    <n v="252"/>
    <n v="21880"/>
    <n v="21628"/>
    <n v="244"/>
    <n v="0"/>
    <n v="8"/>
    <n v="32"/>
    <n v="21596"/>
    <n v="500"/>
    <n v="10798000"/>
    <n v="9.6999999999999993"/>
    <n v="162"/>
    <n v="41.27"/>
    <m/>
    <s v="MANKONO"/>
    <m/>
    <s v="W-16 Mar"/>
  </r>
  <r>
    <n v="654"/>
    <d v="2026-04-18T00:00:00"/>
    <x v="59"/>
    <s v="RM"/>
    <s v="CASH"/>
    <x v="0"/>
    <s v="BKE-002"/>
    <x v="56"/>
    <x v="57"/>
    <s v="2318JK01"/>
    <s v="0426-0429"/>
    <n v="256"/>
    <n v="32861"/>
    <n v="493"/>
    <n v="42080"/>
    <n v="41587"/>
    <n v="480"/>
    <n v="0"/>
    <n v="13"/>
    <n v="52"/>
    <n v="41535"/>
    <n v="510"/>
    <n v="21182850"/>
    <n v="10.6"/>
    <n v="160"/>
    <n v="42.5"/>
    <m/>
    <s v="BOUAKE"/>
    <m/>
    <s v="W-16 Mar"/>
  </r>
  <r>
    <n v="655"/>
    <d v="2026-04-18T00:00:00"/>
    <x v="59"/>
    <s v="RM"/>
    <s v="CREDIT"/>
    <x v="0"/>
    <s v="BKE-001"/>
    <x v="20"/>
    <x v="20"/>
    <s v="2766HC01"/>
    <s v="0425-0001"/>
    <n v="258"/>
    <n v="18631"/>
    <n v="441"/>
    <n v="39040"/>
    <n v="38599"/>
    <n v="425"/>
    <n v="0"/>
    <n v="16"/>
    <n v="64"/>
    <n v="38535"/>
    <n v="500"/>
    <n v="19267500"/>
    <n v="11.3"/>
    <n v="165"/>
    <n v="41.09"/>
    <m/>
    <s v="KATIOLA"/>
    <m/>
    <s v="W-16 Mar"/>
  </r>
  <r>
    <n v="656"/>
    <d v="2026-04-18T00:00:00"/>
    <x v="59"/>
    <s v="RM"/>
    <s v="CREDIT"/>
    <x v="0"/>
    <s v="BKE-001"/>
    <x v="8"/>
    <x v="8"/>
    <s v="1114KZ01"/>
    <s v="0426-0340"/>
    <n v="259"/>
    <n v="31905"/>
    <n v="631"/>
    <n v="53060"/>
    <n v="52429"/>
    <n v="619"/>
    <n v="0"/>
    <n v="12"/>
    <n v="48"/>
    <n v="52381"/>
    <n v="500"/>
    <n v="26190500"/>
    <n v="9.1"/>
    <n v="186"/>
    <n v="41.44"/>
    <m/>
    <s v="BOUAKE"/>
    <m/>
    <s v="W-16 Mar"/>
  </r>
  <r>
    <n v="657"/>
    <d v="2026-04-18T00:00:00"/>
    <x v="59"/>
    <s v="RM"/>
    <s v="CASH"/>
    <x v="0"/>
    <s v="BKE-002"/>
    <x v="26"/>
    <x v="26"/>
    <s v="8113GA01"/>
    <s v="0429-0606"/>
    <n v="260"/>
    <n v="23658"/>
    <n v="251"/>
    <n v="20160"/>
    <n v="19909"/>
    <n v="233"/>
    <n v="0"/>
    <n v="18"/>
    <n v="72"/>
    <n v="19837"/>
    <n v="495"/>
    <n v="9819315"/>
    <n v="9.6999999999999993"/>
    <n v="160"/>
    <n v="41.79"/>
    <m/>
    <s v="BOUNDIALI"/>
    <m/>
    <s v="W-16 Mar"/>
  </r>
  <r>
    <n v="658"/>
    <d v="2026-04-18T00:00:00"/>
    <x v="59"/>
    <s v="RM"/>
    <s v="CREDIT"/>
    <x v="1"/>
    <m/>
    <x v="9"/>
    <x v="9"/>
    <s v="4919KN01"/>
    <s v="0419-0180"/>
    <n v="618"/>
    <n v="78907"/>
    <n v="590"/>
    <n v="48380"/>
    <n v="47790"/>
    <n v="570"/>
    <n v="0"/>
    <n v="20"/>
    <n v="80"/>
    <n v="47710"/>
    <n v="515"/>
    <n v="24570650"/>
    <n v="10.6"/>
    <n v="185"/>
    <n v="44.26"/>
    <m/>
    <s v="VAVOUA"/>
    <m/>
    <s v="W-16 Mar"/>
  </r>
  <r>
    <n v="659"/>
    <d v="2026-04-18T00:00:00"/>
    <x v="59"/>
    <s v="RM"/>
    <s v="CREDIT"/>
    <x v="1"/>
    <m/>
    <x v="45"/>
    <x v="46"/>
    <s v="AA095EV01 "/>
    <m/>
    <n v="617"/>
    <m/>
    <n v="489"/>
    <n v="40690"/>
    <n v="40201"/>
    <n v="469"/>
    <n v="20"/>
    <n v="0"/>
    <n v="160"/>
    <n v="40041"/>
    <n v="515"/>
    <n v="20621115"/>
    <n v="14.2"/>
    <n v="160"/>
    <n v="44.18"/>
    <m/>
    <s v="BOUAKE"/>
    <s v="SCOOPS CDAG"/>
    <s v="W-16 Mar"/>
  </r>
  <r>
    <n v="660"/>
    <d v="2026-04-18T00:00:00"/>
    <x v="59"/>
    <s v="RM"/>
    <s v="CREDIT"/>
    <x v="1"/>
    <m/>
    <x v="9"/>
    <x v="9"/>
    <s v="2319LR02"/>
    <s v="0419-0180"/>
    <n v="619"/>
    <n v="78908"/>
    <n v="597"/>
    <n v="45860"/>
    <n v="45263"/>
    <n v="573"/>
    <n v="24"/>
    <n v="0"/>
    <n v="192"/>
    <n v="45071"/>
    <n v="515"/>
    <n v="23211565"/>
    <n v="11.3"/>
    <n v="183"/>
    <n v="44.35"/>
    <m/>
    <s v="VAVOUA"/>
    <m/>
    <s v="W-16 Mar"/>
  </r>
  <r>
    <n v="661"/>
    <d v="2026-04-18T00:00:00"/>
    <x v="59"/>
    <s v="RM"/>
    <s v="CREDIT"/>
    <x v="1"/>
    <m/>
    <x v="9"/>
    <x v="9"/>
    <s v="AA721PZ01 "/>
    <s v="0419-0180"/>
    <n v="620"/>
    <n v="78871"/>
    <n v="566"/>
    <n v="48250"/>
    <n v="47684"/>
    <n v="560"/>
    <n v="0"/>
    <n v="6"/>
    <n v="24"/>
    <n v="47660"/>
    <n v="515"/>
    <n v="24544900"/>
    <n v="10.1"/>
    <n v="179"/>
    <n v="44.53"/>
    <m/>
    <s v="VAVOUA"/>
    <m/>
    <s v="W-16 Mar"/>
  </r>
  <r>
    <n v="662"/>
    <d v="2026-04-18T00:00:00"/>
    <x v="59"/>
    <m/>
    <m/>
    <x v="0"/>
    <m/>
    <x v="26"/>
    <x v="26"/>
    <s v="4972KB01/9901KD01"/>
    <m/>
    <m/>
    <m/>
    <m/>
    <n v="0"/>
    <m/>
    <m/>
    <m/>
    <m/>
    <m/>
    <n v="0"/>
    <m/>
    <n v="0"/>
    <n v="9.6"/>
    <n v="159"/>
    <n v="38.625030000000002"/>
    <m/>
    <s v="DIKODOUGOU"/>
    <s v="REJECT"/>
    <m/>
  </r>
  <r>
    <n v="663"/>
    <d v="2026-04-18T00:00:00"/>
    <x v="59"/>
    <m/>
    <m/>
    <x v="0"/>
    <m/>
    <x v="3"/>
    <x v="3"/>
    <s v="6939EQ01/8653EG01"/>
    <m/>
    <m/>
    <m/>
    <m/>
    <n v="0"/>
    <m/>
    <m/>
    <m/>
    <m/>
    <m/>
    <n v="0"/>
    <m/>
    <n v="0"/>
    <n v="10.4"/>
    <n v="180"/>
    <n v="39.154139999999998"/>
    <m/>
    <s v="VAVOUA"/>
    <s v="REJECT"/>
    <m/>
  </r>
  <r>
    <n v="664"/>
    <d v="2026-04-18T00:00:00"/>
    <x v="59"/>
    <m/>
    <m/>
    <x v="0"/>
    <m/>
    <x v="3"/>
    <x v="3"/>
    <s v="7212PU01/6940EQ01"/>
    <m/>
    <m/>
    <m/>
    <m/>
    <n v="0"/>
    <m/>
    <m/>
    <m/>
    <m/>
    <m/>
    <n v="0"/>
    <m/>
    <n v="0"/>
    <n v="10"/>
    <n v="180"/>
    <n v="39.154139999999998"/>
    <m/>
    <s v="KANI"/>
    <s v="REJECT"/>
    <m/>
  </r>
  <r>
    <n v="665"/>
    <d v="2026-04-18T00:00:00"/>
    <x v="59"/>
    <m/>
    <m/>
    <x v="1"/>
    <m/>
    <x v="57"/>
    <x v="58"/>
    <s v="AA929ZT01/AA679JQ01"/>
    <m/>
    <m/>
    <m/>
    <m/>
    <n v="0"/>
    <m/>
    <m/>
    <m/>
    <m/>
    <m/>
    <n v="0"/>
    <m/>
    <n v="0"/>
    <n v="10.199999999999999"/>
    <n v="189"/>
    <n v="40.299999999999997"/>
    <m/>
    <s v="VAVOUA"/>
    <s v="REJECT"/>
    <m/>
  </r>
  <r>
    <n v="666"/>
    <d v="2026-04-18T00:00:00"/>
    <x v="60"/>
    <s v="RM"/>
    <s v="CREDIT"/>
    <x v="0"/>
    <s v="BKE-002"/>
    <x v="8"/>
    <x v="8"/>
    <s v="AA398TS04"/>
    <s v="0426-0340"/>
    <n v="261"/>
    <n v="31906"/>
    <n v="676"/>
    <n v="53060"/>
    <n v="52384"/>
    <n v="663"/>
    <n v="0"/>
    <n v="13"/>
    <n v="52"/>
    <n v="52332"/>
    <n v="500"/>
    <n v="26166000"/>
    <n v="7.8"/>
    <n v="179"/>
    <n v="41.09"/>
    <m/>
    <s v="BOUAKE"/>
    <m/>
    <s v="W-17 Mar"/>
  </r>
  <r>
    <n v="667"/>
    <d v="2026-04-18T00:00:00"/>
    <x v="60"/>
    <s v="RM"/>
    <s v="CASH"/>
    <x v="0"/>
    <s v="BKE-001"/>
    <x v="26"/>
    <x v="26"/>
    <s v="AA324PK03"/>
    <s v="0429-0606"/>
    <n v="262"/>
    <n v="23656"/>
    <n v="504"/>
    <n v="41360"/>
    <n v="40856"/>
    <n v="495"/>
    <n v="0"/>
    <n v="9"/>
    <n v="36"/>
    <n v="40820"/>
    <n v="495"/>
    <n v="20205900"/>
    <n v="9.1"/>
    <n v="163"/>
    <n v="41.44"/>
    <m/>
    <s v="DIKODOUGOU"/>
    <m/>
    <s v="W-17 Mar"/>
  </r>
  <r>
    <n v="668"/>
    <d v="2026-04-18T00:00:00"/>
    <x v="60"/>
    <s v="RM"/>
    <s v="CREDIT"/>
    <x v="0"/>
    <s v="BKE-002"/>
    <x v="11"/>
    <x v="11"/>
    <s v="6305EP01"/>
    <s v="0431-0277"/>
    <n v="263"/>
    <n v="87092"/>
    <n v="347"/>
    <n v="25360"/>
    <n v="25013"/>
    <n v="336"/>
    <n v="0"/>
    <n v="11"/>
    <n v="44"/>
    <n v="24969"/>
    <n v="500"/>
    <n v="12484500"/>
    <n v="9.6999999999999993"/>
    <n v="160"/>
    <n v="41.27"/>
    <m/>
    <s v="KOUASSI "/>
    <m/>
    <s v="W-17 Mar"/>
  </r>
  <r>
    <n v="669"/>
    <d v="2026-04-18T00:00:00"/>
    <x v="60"/>
    <s v="RM"/>
    <s v="CREDIT"/>
    <x v="1"/>
    <m/>
    <x v="12"/>
    <x v="12"/>
    <s v="285LA01"/>
    <s v="0429-0005"/>
    <n v="623"/>
    <n v="29107"/>
    <n v="604"/>
    <n v="45980"/>
    <n v="45376"/>
    <n v="564"/>
    <n v="40"/>
    <n v="0"/>
    <n v="320"/>
    <n v="45056"/>
    <n v="515"/>
    <n v="23203840"/>
    <n v="12.3"/>
    <n v="179"/>
    <n v="42.85"/>
    <m/>
    <s v="BOUAKE"/>
    <m/>
    <s v="W-17 Mar"/>
  </r>
  <r>
    <n v="670"/>
    <d v="2026-04-18T00:00:00"/>
    <x v="60"/>
    <s v="RM"/>
    <s v="CREDIT"/>
    <x v="1"/>
    <m/>
    <x v="9"/>
    <x v="9"/>
    <s v="AA439NX06  "/>
    <s v="0419-0180"/>
    <n v="622"/>
    <n v="78906"/>
    <n v="604"/>
    <n v="50070"/>
    <n v="49466"/>
    <n v="580"/>
    <n v="0"/>
    <n v="24"/>
    <n v="96"/>
    <n v="49370"/>
    <n v="515"/>
    <n v="25425550"/>
    <n v="10.4"/>
    <n v="183"/>
    <n v="44.35"/>
    <m/>
    <s v="VAVOUA"/>
    <m/>
    <s v="W-17 Mar"/>
  </r>
  <r>
    <n v="671"/>
    <d v="2026-04-18T00:00:00"/>
    <x v="60"/>
    <s v="RM"/>
    <s v="CREDIT"/>
    <x v="1"/>
    <m/>
    <x v="9"/>
    <x v="9"/>
    <s v="1361KL01 "/>
    <s v="0419-0180"/>
    <n v="621"/>
    <n v="78910"/>
    <n v="659"/>
    <n v="50390"/>
    <n v="49731"/>
    <n v="639"/>
    <n v="0"/>
    <n v="20"/>
    <n v="80"/>
    <n v="49651"/>
    <n v="515"/>
    <n v="25570265"/>
    <n v="9.3000000000000007"/>
    <n v="185"/>
    <n v="43.65"/>
    <m/>
    <s v="VAVOUA"/>
    <m/>
    <s v="W-17 Mar"/>
  </r>
  <r>
    <n v="672"/>
    <d v="2026-04-18T00:00:00"/>
    <x v="60"/>
    <s v="RM"/>
    <s v="CASH"/>
    <x v="1"/>
    <m/>
    <x v="51"/>
    <x v="52"/>
    <s v="3143LH03 "/>
    <s v="0429-0462"/>
    <n v="625"/>
    <n v="30268"/>
    <n v="505"/>
    <n v="40200"/>
    <n v="39695"/>
    <n v="487"/>
    <n v="0"/>
    <n v="18"/>
    <n v="72"/>
    <n v="39623"/>
    <n v="515"/>
    <n v="20405845"/>
    <n v="9.1"/>
    <n v="178"/>
    <n v="42.24"/>
    <m/>
    <s v="VAVOUA"/>
    <m/>
    <s v="W-17 Mar"/>
  </r>
  <r>
    <n v="673"/>
    <d v="2026-04-18T00:00:00"/>
    <x v="60"/>
    <s v="RM"/>
    <s v="CREDIT"/>
    <x v="1"/>
    <m/>
    <x v="10"/>
    <x v="10"/>
    <s v="5176LG04 "/>
    <s v="0425-0212"/>
    <n v="624"/>
    <n v="19786"/>
    <n v="462"/>
    <n v="38250"/>
    <n v="37788"/>
    <n v="432"/>
    <n v="30"/>
    <n v="0"/>
    <n v="240"/>
    <n v="37548"/>
    <n v="515"/>
    <n v="19337220"/>
    <n v="11.3"/>
    <n v="169"/>
    <n v="42.76"/>
    <m/>
    <s v="BONIERDOUGOU"/>
    <m/>
    <s v="W-17 Mar"/>
  </r>
  <r>
    <n v="674"/>
    <d v="2026-04-18T00:00:00"/>
    <x v="60"/>
    <s v="RM"/>
    <s v="CASH"/>
    <x v="1"/>
    <m/>
    <x v="31"/>
    <x v="38"/>
    <s v="9086GX03 "/>
    <s v="0427-0091"/>
    <n v="631"/>
    <n v="84903"/>
    <n v="520"/>
    <n v="40460"/>
    <n v="39940"/>
    <n v="500"/>
    <n v="20"/>
    <n v="0"/>
    <n v="160"/>
    <n v="39780"/>
    <n v="515"/>
    <n v="20486700"/>
    <n v="11.4"/>
    <n v="171"/>
    <n v="42.24"/>
    <m/>
    <s v="KOUTO"/>
    <m/>
    <s v="W-17 Mar"/>
  </r>
  <r>
    <n v="675"/>
    <d v="2026-04-18T00:00:00"/>
    <x v="60"/>
    <s v="RM"/>
    <s v="CREDIT"/>
    <x v="1"/>
    <m/>
    <x v="45"/>
    <x v="46"/>
    <s v="AA161JA03 "/>
    <m/>
    <n v="627"/>
    <m/>
    <n v="475"/>
    <n v="41780"/>
    <n v="41305"/>
    <n v="435"/>
    <n v="0"/>
    <n v="40"/>
    <n v="160"/>
    <n v="41145"/>
    <n v="515"/>
    <n v="21189675"/>
    <n v="13.8"/>
    <n v="165"/>
    <n v="43.38"/>
    <m/>
    <s v="BOUAKE"/>
    <s v="SCOOPS PS"/>
    <s v="W-17 Mar"/>
  </r>
  <r>
    <n v="676"/>
    <d v="2026-04-18T00:00:00"/>
    <x v="60"/>
    <s v="RM"/>
    <s v="CASH"/>
    <x v="1"/>
    <m/>
    <x v="23"/>
    <x v="23"/>
    <s v="5261JV01"/>
    <s v="0429-0202"/>
    <n v="629"/>
    <n v="28912"/>
    <n v="489"/>
    <n v="42240"/>
    <n v="41751"/>
    <n v="454"/>
    <n v="35"/>
    <n v="0"/>
    <n v="280"/>
    <n v="41471"/>
    <n v="515"/>
    <n v="21357565"/>
    <n v="12.1"/>
    <n v="181"/>
    <n v="42.5"/>
    <m/>
    <s v="GBOGUHE"/>
    <m/>
    <s v="W-17 Mar"/>
  </r>
  <r>
    <n v="677"/>
    <d v="2026-04-18T00:00:00"/>
    <x v="60"/>
    <s v="RM"/>
    <s v="CREDIT"/>
    <x v="1"/>
    <m/>
    <x v="18"/>
    <x v="18"/>
    <s v="AA141VT01 "/>
    <s v="0420-0251"/>
    <n v="626"/>
    <n v="37582"/>
    <n v="444"/>
    <n v="45520"/>
    <n v="45076"/>
    <n v="418"/>
    <n v="26"/>
    <n v="0"/>
    <n v="208"/>
    <n v="44868"/>
    <n v="515"/>
    <n v="23107020"/>
    <n v="11.2"/>
    <n v="165"/>
    <n v="42.68"/>
    <m/>
    <s v="DIANRA"/>
    <m/>
    <s v="W-17 Mar"/>
  </r>
  <r>
    <n v="678"/>
    <d v="2026-04-18T00:00:00"/>
    <x v="60"/>
    <s v="RM"/>
    <s v="CREDIT"/>
    <x v="1"/>
    <m/>
    <x v="10"/>
    <x v="10"/>
    <s v="138GL01 "/>
    <s v="0425-0212"/>
    <n v="628"/>
    <n v="771"/>
    <n v="525"/>
    <n v="43990"/>
    <n v="43465"/>
    <n v="500"/>
    <n v="25"/>
    <n v="0"/>
    <n v="200"/>
    <n v="43265"/>
    <n v="515"/>
    <n v="22281475"/>
    <n v="11.2"/>
    <n v="182"/>
    <n v="42.15"/>
    <m/>
    <s v="ABENGOUKOU"/>
    <m/>
    <s v="W-17 Mar"/>
  </r>
  <r>
    <n v="679"/>
    <d v="2026-04-19T00:00:00"/>
    <x v="60"/>
    <s v="RM"/>
    <s v="CREDIT"/>
    <x v="1"/>
    <m/>
    <x v="57"/>
    <x v="58"/>
    <s v="319KV01 "/>
    <s v="0301-0064"/>
    <n v="630"/>
    <n v="35970"/>
    <n v="570"/>
    <n v="43970"/>
    <n v="43400"/>
    <n v="558"/>
    <n v="0"/>
    <n v="12"/>
    <n v="48"/>
    <n v="43352"/>
    <n v="510"/>
    <n v="22109520"/>
    <n v="10.6"/>
    <n v="189"/>
    <n v="41.88"/>
    <m/>
    <s v="ZOUGOUGBEU"/>
    <m/>
    <s v="W-17 Mar"/>
  </r>
  <r>
    <n v="680"/>
    <d v="2026-04-19T00:00:00"/>
    <x v="60"/>
    <m/>
    <m/>
    <x v="0"/>
    <m/>
    <x v="11"/>
    <x v="11"/>
    <s v="4238HY04/8502BG04"/>
    <m/>
    <m/>
    <m/>
    <m/>
    <n v="0"/>
    <m/>
    <m/>
    <m/>
    <m/>
    <m/>
    <n v="0"/>
    <m/>
    <n v="0"/>
    <n v="9.8000000000000007"/>
    <n v="193"/>
    <n v="38.625030000000002"/>
    <m/>
    <s v="PRIKRO"/>
    <s v="REJECT"/>
    <m/>
  </r>
  <r>
    <n v="681"/>
    <d v="2026-04-19T00:00:00"/>
    <x v="60"/>
    <m/>
    <m/>
    <x v="0"/>
    <m/>
    <x v="20"/>
    <x v="20"/>
    <s v="8773JC01/3277CX04"/>
    <m/>
    <m/>
    <m/>
    <m/>
    <n v="0"/>
    <m/>
    <m/>
    <m/>
    <m/>
    <m/>
    <n v="0"/>
    <m/>
    <n v="0"/>
    <n v="10.199999999999999"/>
    <n v="189"/>
    <n v="39.85962"/>
    <m/>
    <s v="TRANSUA"/>
    <s v="REJECT"/>
    <m/>
  </r>
  <r>
    <n v="682"/>
    <d v="2026-04-19T00:00:00"/>
    <x v="60"/>
    <m/>
    <m/>
    <x v="1"/>
    <m/>
    <x v="31"/>
    <x v="38"/>
    <s v="2123LH01/1007HH04"/>
    <m/>
    <m/>
    <m/>
    <m/>
    <n v="0"/>
    <m/>
    <m/>
    <m/>
    <m/>
    <m/>
    <n v="0"/>
    <m/>
    <n v="0"/>
    <n v="12.3"/>
    <n v="163"/>
    <n v="39.770000000000003"/>
    <m/>
    <s v="BOUNDIALI"/>
    <s v="REJECT"/>
    <m/>
  </r>
  <r>
    <n v="683"/>
    <d v="2026-04-19T00:00:00"/>
    <x v="61"/>
    <s v="RM"/>
    <s v="CREDIT"/>
    <x v="0"/>
    <s v="BKE-001"/>
    <x v="11"/>
    <x v="11"/>
    <s v="AA343VP04"/>
    <s v="0431-0277"/>
    <n v="264"/>
    <n v="87043"/>
    <n v="194"/>
    <n v="15560"/>
    <n v="15366"/>
    <n v="182"/>
    <n v="12"/>
    <m/>
    <n v="96"/>
    <n v="15270"/>
    <n v="495"/>
    <n v="7558650"/>
    <n v="11.7"/>
    <n v="162"/>
    <n v="41.09"/>
    <m/>
    <s v="MANKONO"/>
    <m/>
    <s v="W-17 Mar"/>
  </r>
  <r>
    <n v="684"/>
    <d v="2026-04-19T00:00:00"/>
    <x v="61"/>
    <s v="RM"/>
    <s v="CREDIT"/>
    <x v="0"/>
    <s v="BKE-001"/>
    <x v="0"/>
    <x v="0"/>
    <s v="8925CS03"/>
    <s v="0401-0007"/>
    <n v="265"/>
    <n v="13121"/>
    <n v="522"/>
    <n v="39420"/>
    <n v="38898"/>
    <n v="512"/>
    <m/>
    <n v="10"/>
    <n v="40"/>
    <n v="38858"/>
    <n v="500"/>
    <n v="19429000"/>
    <n v="8.8000000000000007"/>
    <n v="165"/>
    <n v="41.09"/>
    <m/>
    <s v="KANI"/>
    <m/>
    <s v="W-17 Mar"/>
  </r>
  <r>
    <n v="685"/>
    <d v="2026-04-19T00:00:00"/>
    <x v="61"/>
    <s v="RM"/>
    <s v="CREDIT"/>
    <x v="0"/>
    <s v="BKE-001"/>
    <x v="13"/>
    <x v="13"/>
    <s v="AA057ER03"/>
    <s v="0426-0365"/>
    <n v="266"/>
    <n v="32753"/>
    <n v="472"/>
    <n v="40380"/>
    <n v="39908"/>
    <n v="461"/>
    <m/>
    <n v="11"/>
    <n v="44"/>
    <n v="39864"/>
    <n v="495"/>
    <n v="19732680"/>
    <n v="9.8000000000000007"/>
    <n v="170"/>
    <n v="41.27"/>
    <m/>
    <s v="DIANRA"/>
    <m/>
    <s v="W-17 Mar"/>
  </r>
  <r>
    <n v="686"/>
    <d v="2026-04-19T00:00:00"/>
    <x v="61"/>
    <s v="RM"/>
    <s v="CREDIT"/>
    <x v="0"/>
    <s v="BKE-002"/>
    <x v="2"/>
    <x v="2"/>
    <s v="6085HR03"/>
    <s v="0426-0187"/>
    <n v="267"/>
    <n v="18137"/>
    <n v="545"/>
    <n v="46700"/>
    <n v="46155"/>
    <n v="530"/>
    <n v="15"/>
    <m/>
    <n v="120"/>
    <n v="46035"/>
    <n v="495"/>
    <n v="22787325"/>
    <n v="10.9"/>
    <n v="161"/>
    <n v="41.27"/>
    <m/>
    <s v="NIAKARA"/>
    <m/>
    <s v="W-17 Mar"/>
  </r>
  <r>
    <n v="687"/>
    <d v="2026-04-19T00:00:00"/>
    <x v="61"/>
    <s v="RM"/>
    <s v="CREDIT"/>
    <x v="0"/>
    <s v="BKE-001"/>
    <x v="8"/>
    <x v="8"/>
    <s v="6253KJ04"/>
    <s v="0426-0340"/>
    <n v="268"/>
    <n v="33495"/>
    <n v="684"/>
    <n v="54780"/>
    <n v="54096"/>
    <n v="658"/>
    <m/>
    <n v="26"/>
    <n v="104"/>
    <n v="53992"/>
    <n v="490"/>
    <n v="26456080"/>
    <n v="10.8"/>
    <n v="172"/>
    <n v="40.56"/>
    <m/>
    <s v="DUEKOUE"/>
    <m/>
    <s v="W-17 Mar"/>
  </r>
  <r>
    <n v="688"/>
    <d v="2026-04-19T00:00:00"/>
    <x v="61"/>
    <s v="RM"/>
    <s v="CREDIT"/>
    <x v="0"/>
    <s v="BKE-002"/>
    <x v="17"/>
    <x v="17"/>
    <s v="4731CR04"/>
    <s v="0425-0055"/>
    <n v="269"/>
    <n v="18446"/>
    <n v="517"/>
    <n v="40880"/>
    <n v="40363"/>
    <n v="505"/>
    <m/>
    <n v="12"/>
    <n v="48"/>
    <n v="40315"/>
    <n v="500"/>
    <n v="20157500"/>
    <n v="9.3000000000000007"/>
    <n v="161"/>
    <n v="42.5"/>
    <m/>
    <s v="KATIOLA"/>
    <m/>
    <s v="W-17 Mar"/>
  </r>
  <r>
    <n v="689"/>
    <d v="2026-04-19T00:00:00"/>
    <x v="61"/>
    <s v="RM"/>
    <s v="CREDIT"/>
    <x v="1"/>
    <m/>
    <x v="9"/>
    <x v="9"/>
    <s v="5116HF01 "/>
    <s v="0419-0180"/>
    <n v="632"/>
    <n v="78878"/>
    <n v="478"/>
    <n v="42180"/>
    <n v="41702"/>
    <n v="452"/>
    <n v="26"/>
    <n v="0"/>
    <n v="208"/>
    <n v="41494"/>
    <n v="515"/>
    <n v="21369410"/>
    <n v="12"/>
    <n v="188"/>
    <n v="42.94"/>
    <m/>
    <s v="VAVOUA"/>
    <m/>
    <s v="W-17 Mar"/>
  </r>
  <r>
    <n v="690"/>
    <d v="2026-04-19T00:00:00"/>
    <x v="61"/>
    <s v="RM"/>
    <s v="CREDIT"/>
    <x v="1"/>
    <m/>
    <x v="45"/>
    <x v="46"/>
    <s v="2743CU03 "/>
    <m/>
    <n v="633"/>
    <m/>
    <n v="493"/>
    <n v="40850"/>
    <n v="40357"/>
    <n v="470"/>
    <n v="20"/>
    <n v="0"/>
    <n v="160"/>
    <n v="40197"/>
    <n v="515"/>
    <n v="20701455"/>
    <n v="13.4"/>
    <n v="177"/>
    <n v="41.88"/>
    <m/>
    <s v="KORHOGO"/>
    <s v="SCOOPS CDAG"/>
    <s v="W-17 Mar"/>
  </r>
  <r>
    <n v="691"/>
    <d v="2026-04-19T00:00:00"/>
    <x v="61"/>
    <s v="RM"/>
    <s v="CASH"/>
    <x v="1"/>
    <m/>
    <x v="51"/>
    <x v="52"/>
    <s v="3143LH03"/>
    <s v="0429-0462"/>
    <n v="634"/>
    <n v="30272"/>
    <n v="518"/>
    <n v="45460"/>
    <n v="44942"/>
    <n v="508"/>
    <m/>
    <n v="10"/>
    <n v="40"/>
    <n v="44902"/>
    <n v="515"/>
    <n v="23124530"/>
    <n v="9.1"/>
    <n v="178"/>
    <n v="42.24"/>
    <m/>
    <s v="VAVOUA"/>
    <m/>
    <s v="W-17 Mar"/>
  </r>
  <r>
    <n v="692"/>
    <d v="2026-04-20T00:00:00"/>
    <x v="61"/>
    <s v="RM"/>
    <s v="CREDIT"/>
    <x v="0"/>
    <s v="BKE-001"/>
    <x v="20"/>
    <x v="20"/>
    <s v="4078KS03"/>
    <s v="0425-0001"/>
    <n v="272"/>
    <n v="19996"/>
    <n v="464"/>
    <n v="40100"/>
    <n v="39636"/>
    <n v="450"/>
    <m/>
    <n v="14"/>
    <n v="56"/>
    <n v="39580"/>
    <n v="500"/>
    <n v="19790000"/>
    <n v="10.5"/>
    <n v="172"/>
    <n v="41.79"/>
    <m/>
    <s v="KORHOGO"/>
    <m/>
    <s v="W-17 Mar"/>
  </r>
  <r>
    <n v="693"/>
    <d v="2026-04-20T00:00:00"/>
    <x v="61"/>
    <s v="RM"/>
    <s v="CASH"/>
    <x v="0"/>
    <s v="BKE-001"/>
    <x v="48"/>
    <x v="49"/>
    <s v="9406HV01"/>
    <s v="0426-0386"/>
    <n v="270"/>
    <n v="31507"/>
    <n v="526"/>
    <n v="45360"/>
    <n v="44834"/>
    <n v="516"/>
    <m/>
    <n v="10"/>
    <n v="40"/>
    <n v="44794"/>
    <n v="510"/>
    <n v="22844940"/>
    <n v="10.9"/>
    <n v="180"/>
    <n v="42.32"/>
    <m/>
    <s v="DIDIEVI"/>
    <m/>
    <s v="W-17 Mar"/>
  </r>
  <r>
    <n v="694"/>
    <d v="2026-04-20T00:00:00"/>
    <x v="61"/>
    <s v="RM"/>
    <s v="CASH"/>
    <x v="0"/>
    <s v="BKE-002"/>
    <x v="26"/>
    <x v="26"/>
    <s v="6742FG04"/>
    <s v="0429-0606"/>
    <n v="271"/>
    <n v="23654"/>
    <n v="474"/>
    <n v="41380"/>
    <n v="40906"/>
    <n v="470"/>
    <m/>
    <n v="4"/>
    <n v="16"/>
    <n v="40890"/>
    <n v="510"/>
    <n v="20853900"/>
    <n v="10.4"/>
    <n v="160"/>
    <n v="42.15"/>
    <m/>
    <s v="DIKODOUGOU"/>
    <m/>
    <s v="W-17 Mar"/>
  </r>
  <r>
    <n v="695"/>
    <d v="2026-04-20T00:00:00"/>
    <x v="61"/>
    <s v="RM"/>
    <s v="CREDIT"/>
    <x v="1"/>
    <m/>
    <x v="45"/>
    <x v="46"/>
    <s v="AA115LF01 "/>
    <m/>
    <n v="635"/>
    <m/>
    <n v="488"/>
    <n v="42350"/>
    <n v="41862"/>
    <n v="458"/>
    <n v="0"/>
    <n v="30"/>
    <n v="120"/>
    <n v="41742"/>
    <n v="515"/>
    <n v="21497130"/>
    <n v="11.2"/>
    <n v="155"/>
    <n v="42.41"/>
    <m/>
    <s v="DIKODOUGOU"/>
    <s v="KONE ADAMA"/>
    <s v="W-17 Mar"/>
  </r>
  <r>
    <n v="696"/>
    <d v="2026-04-20T00:00:00"/>
    <x v="61"/>
    <s v="RM"/>
    <s v="CREDIT"/>
    <x v="1"/>
    <m/>
    <x v="12"/>
    <x v="12"/>
    <s v="285LA01 "/>
    <s v="0429-0005"/>
    <n v="636"/>
    <n v="87109"/>
    <n v="587"/>
    <n v="47060"/>
    <n v="46473"/>
    <n v="562"/>
    <n v="0"/>
    <n v="25"/>
    <n v="100"/>
    <n v="46373"/>
    <n v="515"/>
    <n v="23882095"/>
    <n v="10.8"/>
    <n v="181"/>
    <n v="42.15"/>
    <m/>
    <s v="VAVOUA"/>
    <m/>
    <s v="W-17 Mar"/>
  </r>
  <r>
    <n v="697"/>
    <d v="2026-04-20T00:00:00"/>
    <x v="61"/>
    <s v="RM"/>
    <s v="CREDIT"/>
    <x v="1"/>
    <m/>
    <x v="18"/>
    <x v="18"/>
    <s v="5740EH03"/>
    <s v="0420-0251"/>
    <n v="637"/>
    <n v="37583"/>
    <n v="471"/>
    <n v="41510"/>
    <n v="41039"/>
    <n v="456"/>
    <m/>
    <n v="15"/>
    <n v="60"/>
    <n v="40979"/>
    <n v="515"/>
    <n v="21104185"/>
    <n v="10.1"/>
    <n v="174"/>
    <n v="43.38"/>
    <m/>
    <s v="DIANRA"/>
    <m/>
    <s v="W-17 Mar"/>
  </r>
  <r>
    <n v="698"/>
    <d v="2026-04-20T00:00:00"/>
    <x v="61"/>
    <s v="RM"/>
    <s v="CREDIT"/>
    <x v="1"/>
    <m/>
    <x v="45"/>
    <x v="46"/>
    <s v="938HF03"/>
    <m/>
    <n v="638"/>
    <m/>
    <n v="471"/>
    <n v="39800"/>
    <n v="39329"/>
    <n v="431"/>
    <n v="0"/>
    <n v="40"/>
    <n v="160"/>
    <n v="39169"/>
    <n v="515"/>
    <n v="20172035"/>
    <n v="12.2"/>
    <n v="174"/>
    <n v="43.65"/>
    <m/>
    <s v="BOUAKE"/>
    <s v="SCOOPS CDAG"/>
    <s v="W-17 Mar"/>
  </r>
  <r>
    <n v="699"/>
    <d v="2026-04-20T00:00:00"/>
    <x v="61"/>
    <s v="RM"/>
    <s v="CREDIT"/>
    <x v="1"/>
    <m/>
    <x v="12"/>
    <x v="12"/>
    <s v="2596FZ03 "/>
    <s v="0429-0005"/>
    <n v="639"/>
    <n v="87110"/>
    <n v="655"/>
    <n v="53560"/>
    <n v="52905"/>
    <n v="629"/>
    <n v="26"/>
    <n v="0"/>
    <n v="208"/>
    <n v="52697"/>
    <n v="510"/>
    <n v="26875470"/>
    <n v="11.8"/>
    <n v="174"/>
    <n v="41.97"/>
    <m/>
    <s v="VAVOUA"/>
    <m/>
    <s v="W-17 Mar"/>
  </r>
  <r>
    <n v="700"/>
    <d v="2026-04-20T00:00:00"/>
    <x v="61"/>
    <s v="RM"/>
    <s v="CASH"/>
    <x v="1"/>
    <m/>
    <x v="57"/>
    <x v="58"/>
    <s v="4520KR01"/>
    <s v="0301-0064"/>
    <n v="641"/>
    <n v="35967"/>
    <n v="523"/>
    <n v="42400"/>
    <n v="41877"/>
    <n v="493"/>
    <n v="0"/>
    <n v="30"/>
    <n v="120"/>
    <n v="41757"/>
    <n v="510"/>
    <n v="21296070"/>
    <n v="11.7"/>
    <n v="178"/>
    <n v="41.97"/>
    <m/>
    <s v="DALOA"/>
    <m/>
    <s v="W-17 Mar"/>
  </r>
  <r>
    <n v="701"/>
    <d v="2026-04-20T00:00:00"/>
    <x v="61"/>
    <s v="RM"/>
    <s v="CASH"/>
    <x v="1"/>
    <m/>
    <x v="57"/>
    <x v="58"/>
    <s v="AA929ZT01"/>
    <s v="0301-0064"/>
    <n v="640"/>
    <n v="35969"/>
    <n v="531"/>
    <n v="44220"/>
    <n v="43689"/>
    <n v="511"/>
    <n v="0"/>
    <n v="20"/>
    <n v="80"/>
    <n v="43609"/>
    <n v="510"/>
    <n v="22240590"/>
    <n v="9.3000000000000007"/>
    <n v="175"/>
    <n v="41.62"/>
    <m/>
    <s v="VAVOUA"/>
    <m/>
    <s v="W-17 Mar"/>
  </r>
  <r>
    <n v="702"/>
    <d v="2026-04-20T00:00:00"/>
    <x v="61"/>
    <m/>
    <m/>
    <x v="0"/>
    <m/>
    <x v="11"/>
    <x v="11"/>
    <s v="4434EZ01/"/>
    <m/>
    <m/>
    <m/>
    <m/>
    <n v="0"/>
    <m/>
    <m/>
    <m/>
    <m/>
    <m/>
    <n v="0"/>
    <m/>
    <n v="0"/>
    <n v="10.7"/>
    <n v="186"/>
    <n v="40.212359999999997"/>
    <m/>
    <s v="ZOUKOUGBEU"/>
    <s v="REJECT"/>
    <m/>
  </r>
  <r>
    <n v="703"/>
    <d v="2026-04-20T00:00:00"/>
    <x v="61"/>
    <m/>
    <m/>
    <x v="0"/>
    <m/>
    <x v="20"/>
    <x v="20"/>
    <s v="2552GY03/4018ER03"/>
    <m/>
    <m/>
    <m/>
    <m/>
    <n v="0"/>
    <m/>
    <m/>
    <m/>
    <m/>
    <m/>
    <n v="0"/>
    <m/>
    <n v="0"/>
    <n v="11.9"/>
    <n v="164"/>
    <n v="40.035989999999998"/>
    <m/>
    <s v="KORHOGO"/>
    <s v="REJECT"/>
    <m/>
  </r>
  <r>
    <n v="704"/>
    <d v="2026-04-20T00:00:00"/>
    <x v="62"/>
    <s v="RM"/>
    <s v="CASH"/>
    <x v="0"/>
    <s v="BKE-001"/>
    <x v="25"/>
    <x v="25"/>
    <s v="7882GH01"/>
    <s v="0426-0399"/>
    <n v="281"/>
    <n v="33688"/>
    <n v="485"/>
    <n v="41440"/>
    <n v="40955"/>
    <n v="465"/>
    <n v="0"/>
    <n v="20"/>
    <n v="80"/>
    <n v="40875"/>
    <n v="500"/>
    <n v="20437500"/>
    <n v="11.1"/>
    <n v="160"/>
    <n v="41.62"/>
    <m/>
    <s v="BOUAKE"/>
    <m/>
    <s v="W-17 Mar"/>
  </r>
  <r>
    <n v="705"/>
    <d v="2026-04-20T00:00:00"/>
    <x v="62"/>
    <s v="RM"/>
    <s v="CREDIT"/>
    <x v="0"/>
    <s v="BKE-001"/>
    <x v="13"/>
    <x v="13"/>
    <s v="1569KR01"/>
    <s v="0426-0365"/>
    <n v="280"/>
    <n v="82165"/>
    <n v="537"/>
    <n v="42380"/>
    <n v="41843"/>
    <n v="529"/>
    <n v="0"/>
    <n v="8"/>
    <n v="32"/>
    <n v="41811"/>
    <n v="505"/>
    <n v="21114555"/>
    <n v="8.5"/>
    <n v="179"/>
    <n v="42.15"/>
    <m/>
    <s v="KANI"/>
    <m/>
    <s v="W-17 Mar"/>
  </r>
  <r>
    <n v="706"/>
    <d v="2026-04-20T00:00:00"/>
    <x v="62"/>
    <s v="RM"/>
    <s v="CASH"/>
    <x v="0"/>
    <s v="BKE-002"/>
    <x v="54"/>
    <x v="55"/>
    <s v="1450HH04"/>
    <s v="0326-0159"/>
    <n v="279"/>
    <n v="21772"/>
    <n v="249"/>
    <n v="22000"/>
    <n v="21751"/>
    <n v="244"/>
    <n v="0"/>
    <n v="5"/>
    <n v="20"/>
    <n v="21731"/>
    <n v="500"/>
    <n v="10865500"/>
    <n v="8.5"/>
    <n v="192"/>
    <n v="41.44"/>
    <m/>
    <s v="KONG"/>
    <m/>
    <s v="W-17 Mar"/>
  </r>
  <r>
    <n v="707"/>
    <d v="2026-04-20T00:00:00"/>
    <x v="62"/>
    <s v="RM"/>
    <s v="CASH"/>
    <x v="0"/>
    <s v="BKE-001"/>
    <x v="26"/>
    <x v="26"/>
    <s v="4972KB01"/>
    <s v="0429-0606"/>
    <n v="276"/>
    <n v="23657"/>
    <n v="495"/>
    <n v="40820"/>
    <n v="40325"/>
    <n v="488"/>
    <n v="0"/>
    <n v="7"/>
    <n v="28"/>
    <n v="40297"/>
    <n v="495"/>
    <n v="19947015"/>
    <n v="10.199999999999999"/>
    <n v="169"/>
    <n v="41.27"/>
    <m/>
    <s v="DIKODOUGOU"/>
    <m/>
    <s v="W-17 Mar"/>
  </r>
  <r>
    <n v="708"/>
    <d v="2026-04-20T00:00:00"/>
    <x v="62"/>
    <s v="RM"/>
    <s v="CASH"/>
    <x v="0"/>
    <s v="BKE-001"/>
    <x v="26"/>
    <x v="26"/>
    <s v="8156EF03"/>
    <s v="0429-0606"/>
    <n v="277"/>
    <n v="23655"/>
    <n v="444"/>
    <n v="39360"/>
    <n v="38916"/>
    <n v="420"/>
    <n v="24"/>
    <n v="0"/>
    <n v="192"/>
    <n v="38724"/>
    <n v="495"/>
    <n v="19168380"/>
    <n v="11.3"/>
    <n v="159"/>
    <n v="41.44"/>
    <m/>
    <s v="DIKODOUGOU"/>
    <m/>
    <s v="W-17 Mar"/>
  </r>
  <r>
    <n v="709"/>
    <d v="2026-04-20T00:00:00"/>
    <x v="62"/>
    <s v="RM"/>
    <s v="CREDIT"/>
    <x v="0"/>
    <s v="BKE-001"/>
    <x v="6"/>
    <x v="6"/>
    <s v="5500FL02"/>
    <s v="0426-0347"/>
    <n v="278"/>
    <n v="31993"/>
    <n v="524"/>
    <n v="43640"/>
    <n v="43116"/>
    <n v="494"/>
    <n v="30"/>
    <n v="0"/>
    <n v="240"/>
    <n v="42876"/>
    <n v="495"/>
    <n v="21223620"/>
    <n v="11.7"/>
    <n v="169"/>
    <n v="41.44"/>
    <m/>
    <s v="BOUAKE"/>
    <m/>
    <s v="W-17 Mar"/>
  </r>
  <r>
    <n v="710"/>
    <d v="2026-04-20T00:00:00"/>
    <x v="62"/>
    <s v="RM"/>
    <s v="CREDIT"/>
    <x v="0"/>
    <s v="BKE-001"/>
    <x v="4"/>
    <x v="4"/>
    <s v="374LK01"/>
    <s v="0425-0068"/>
    <n v="275"/>
    <n v="19687"/>
    <n v="542"/>
    <n v="46620"/>
    <n v="46078"/>
    <n v="512"/>
    <n v="30"/>
    <n v="0"/>
    <n v="240"/>
    <n v="45838"/>
    <n v="495"/>
    <n v="22689810"/>
    <n v="12"/>
    <n v="160"/>
    <n v="40.21"/>
    <m/>
    <s v="NIAKARA"/>
    <m/>
    <s v="W-17 Mar"/>
  </r>
  <r>
    <n v="711"/>
    <d v="2026-04-20T00:00:00"/>
    <x v="62"/>
    <s v="RM"/>
    <s v="CREDIT"/>
    <x v="0"/>
    <s v="BKE-001"/>
    <x v="17"/>
    <x v="17"/>
    <s v="4794HN01"/>
    <s v="0425-0055"/>
    <n v="274"/>
    <n v="18445"/>
    <n v="453"/>
    <n v="37900"/>
    <n v="37447"/>
    <n v="435"/>
    <n v="0"/>
    <n v="18"/>
    <n v="72"/>
    <n v="37375"/>
    <n v="505"/>
    <n v="18874375"/>
    <n v="10.4"/>
    <n v="164"/>
    <n v="42.5"/>
    <m/>
    <s v="BOTRO"/>
    <m/>
    <s v="W-17 Mar"/>
  </r>
  <r>
    <n v="712"/>
    <d v="2026-04-20T00:00:00"/>
    <x v="62"/>
    <s v="RM"/>
    <s v="CREDIT"/>
    <x v="0"/>
    <s v="BKE-001"/>
    <x v="15"/>
    <x v="15"/>
    <s v="65GP01"/>
    <s v="0420-0149"/>
    <n v="273"/>
    <n v="82500"/>
    <n v="464"/>
    <n v="38620"/>
    <n v="38156"/>
    <n v="450"/>
    <n v="0"/>
    <n v="14"/>
    <n v="56"/>
    <n v="38100"/>
    <n v="505"/>
    <n v="19240500"/>
    <n v="10"/>
    <n v="166"/>
    <n v="41.09"/>
    <m/>
    <s v="MANKONO"/>
    <m/>
    <s v="W-17 Mar"/>
  </r>
  <r>
    <n v="713"/>
    <d v="2026-04-20T00:00:00"/>
    <x v="62"/>
    <s v="RM"/>
    <s v="CREDIT"/>
    <x v="1"/>
    <m/>
    <x v="9"/>
    <x v="9"/>
    <s v="AA944AR01 "/>
    <s v="0419-0180"/>
    <n v="642"/>
    <n v="78880"/>
    <n v="605"/>
    <n v="52560"/>
    <n v="51955"/>
    <n v="581"/>
    <n v="24"/>
    <n v="0"/>
    <n v="192"/>
    <n v="51763"/>
    <n v="515"/>
    <n v="26657945"/>
    <n v="11.4"/>
    <n v="183"/>
    <n v="42.24"/>
    <m/>
    <s v="VAVOUA"/>
    <m/>
    <s v="W-17 Mar"/>
  </r>
  <r>
    <n v="714"/>
    <d v="2026-04-20T00:00:00"/>
    <x v="62"/>
    <s v="RM"/>
    <s v="CREDIT"/>
    <x v="1"/>
    <m/>
    <x v="9"/>
    <x v="9"/>
    <s v="2028GY01"/>
    <s v="0419-0180"/>
    <n v="643"/>
    <n v="78879"/>
    <n v="637"/>
    <n v="52790"/>
    <n v="52153"/>
    <n v="613"/>
    <n v="24"/>
    <n v="0"/>
    <n v="192"/>
    <n v="51961"/>
    <n v="515"/>
    <n v="26759915"/>
    <n v="11.2"/>
    <n v="186"/>
    <n v="43.21"/>
    <m/>
    <s v="VAVOUA"/>
    <m/>
    <s v="W-17 Mar"/>
  </r>
  <r>
    <n v="715"/>
    <d v="2026-04-21T00:00:00"/>
    <x v="62"/>
    <s v="RM"/>
    <s v="CASH"/>
    <x v="1"/>
    <m/>
    <x v="58"/>
    <x v="59"/>
    <s v="4214JH03 "/>
    <s v="0401-0057"/>
    <n v="645"/>
    <n v="36086"/>
    <n v="413"/>
    <n v="39220"/>
    <n v="38807"/>
    <n v="387"/>
    <n v="26"/>
    <n v="0"/>
    <n v="208"/>
    <n v="38599"/>
    <n v="515"/>
    <n v="19878485"/>
    <n v="11.8"/>
    <n v="168"/>
    <n v="42.59"/>
    <m/>
    <s v="TIEBISSOU"/>
    <m/>
    <s v="W-17 Mar"/>
  </r>
  <r>
    <n v="716"/>
    <d v="2026-04-21T00:00:00"/>
    <x v="62"/>
    <s v="RM"/>
    <s v="CASH"/>
    <x v="1"/>
    <m/>
    <x v="51"/>
    <x v="52"/>
    <s v="1861KY01 "/>
    <s v="0429-0462"/>
    <n v="644"/>
    <n v="30273"/>
    <n v="692"/>
    <n v="54410"/>
    <n v="53718"/>
    <n v="672"/>
    <n v="0"/>
    <n v="20"/>
    <n v="80"/>
    <n v="53638"/>
    <n v="515"/>
    <n v="27623570"/>
    <n v="10.199999999999999"/>
    <n v="185"/>
    <n v="43.29"/>
    <m/>
    <s v="VAVOUA"/>
    <m/>
    <s v="W-17 Mar"/>
  </r>
  <r>
    <n v="717"/>
    <d v="2026-04-21T00:00:00"/>
    <x v="62"/>
    <m/>
    <m/>
    <x v="0"/>
    <m/>
    <x v="25"/>
    <x v="25"/>
    <s v="9584GX03/4742BB04"/>
    <m/>
    <m/>
    <m/>
    <m/>
    <n v="0"/>
    <m/>
    <m/>
    <m/>
    <m/>
    <m/>
    <n v="0"/>
    <m/>
    <n v="0"/>
    <n v="9"/>
    <n v="176"/>
    <n v="40.388730000000002"/>
    <m/>
    <s v="TENGRELLA"/>
    <s v="REJECT"/>
    <m/>
  </r>
  <r>
    <n v="718"/>
    <d v="2026-04-21T00:00:00"/>
    <x v="62"/>
    <m/>
    <m/>
    <x v="0"/>
    <m/>
    <x v="19"/>
    <x v="19"/>
    <s v="627GZ04/3887JA04"/>
    <m/>
    <m/>
    <m/>
    <m/>
    <n v="0"/>
    <m/>
    <m/>
    <m/>
    <m/>
    <m/>
    <n v="0"/>
    <m/>
    <n v="0"/>
    <n v="12.2"/>
    <n v="163"/>
    <n v="40.212359999999997"/>
    <m/>
    <s v="BOUAKE"/>
    <s v="REJECT"/>
    <m/>
  </r>
  <r>
    <n v="719"/>
    <d v="2026-04-21T00:00:00"/>
    <x v="62"/>
    <m/>
    <m/>
    <x v="0"/>
    <m/>
    <x v="11"/>
    <x v="11"/>
    <s v="4238HY04/8502BG04"/>
    <m/>
    <m/>
    <m/>
    <m/>
    <n v="0"/>
    <m/>
    <m/>
    <m/>
    <m/>
    <m/>
    <n v="0"/>
    <m/>
    <n v="0"/>
    <n v="10.5"/>
    <n v="178"/>
    <n v="39.85962"/>
    <m/>
    <s v="PRIKRO"/>
    <s v="REJECT"/>
    <m/>
  </r>
  <r>
    <n v="720"/>
    <d v="2026-04-21T00:00:00"/>
    <x v="62"/>
    <m/>
    <m/>
    <x v="0"/>
    <m/>
    <x v="19"/>
    <x v="19"/>
    <s v="7569GH01"/>
    <m/>
    <m/>
    <m/>
    <m/>
    <n v="0"/>
    <m/>
    <m/>
    <m/>
    <m/>
    <m/>
    <n v="0"/>
    <m/>
    <n v="0"/>
    <n v="13.5"/>
    <n v="154"/>
    <n v="41.446950000000001"/>
    <m/>
    <s v="BOTRO"/>
    <s v="REJECT"/>
    <m/>
  </r>
  <r>
    <n v="721"/>
    <d v="2026-04-21T00:00:00"/>
    <x v="62"/>
    <m/>
    <m/>
    <x v="0"/>
    <m/>
    <x v="19"/>
    <x v="19"/>
    <s v="2801FS01/9890HJ04"/>
    <m/>
    <m/>
    <m/>
    <m/>
    <n v="0"/>
    <m/>
    <m/>
    <m/>
    <m/>
    <m/>
    <n v="0"/>
    <m/>
    <n v="0"/>
    <n v="15.5"/>
    <n v="166"/>
    <n v="38.625030000000002"/>
    <m/>
    <s v="MANKONO"/>
    <s v="REJECT"/>
    <m/>
  </r>
  <r>
    <n v="722"/>
    <d v="2026-04-21T00:00:00"/>
    <x v="62"/>
    <m/>
    <m/>
    <x v="1"/>
    <m/>
    <x v="12"/>
    <x v="12"/>
    <s v="8229FV02/9908BG01"/>
    <m/>
    <m/>
    <m/>
    <m/>
    <n v="0"/>
    <m/>
    <m/>
    <m/>
    <m/>
    <m/>
    <n v="0"/>
    <m/>
    <n v="0"/>
    <n v="12.7"/>
    <n v="184"/>
    <n v="39.85"/>
    <m/>
    <s v="VAVOUA"/>
    <s v="REJECT"/>
    <m/>
  </r>
  <r>
    <n v="723"/>
    <d v="2026-04-21T00:00:00"/>
    <x v="63"/>
    <s v="RM"/>
    <s v="CREDIT"/>
    <x v="0"/>
    <s v="BKE-002"/>
    <x v="15"/>
    <x v="15"/>
    <s v="4852HV03"/>
    <s v="0420-0149"/>
    <n v="286"/>
    <n v="67796"/>
    <n v="464"/>
    <n v="41660"/>
    <n v="41196"/>
    <n v="451"/>
    <n v="0"/>
    <n v="13"/>
    <n v="52"/>
    <n v="41144"/>
    <n v="500"/>
    <n v="20572000"/>
    <n v="9.1999999999999993"/>
    <n v="159"/>
    <n v="41.44"/>
    <m/>
    <s v="DIANRA"/>
    <m/>
    <s v="W-17 Mar"/>
  </r>
  <r>
    <n v="724"/>
    <d v="2026-04-21T00:00:00"/>
    <x v="63"/>
    <s v="RM"/>
    <s v="CREDIT"/>
    <x v="0"/>
    <s v="BKE-001"/>
    <x v="17"/>
    <x v="17"/>
    <s v="7796HY01"/>
    <s v="0425-0055"/>
    <n v="284"/>
    <n v="18443"/>
    <n v="462"/>
    <n v="39180"/>
    <n v="38718"/>
    <n v="442"/>
    <n v="0"/>
    <n v="20"/>
    <n v="80"/>
    <n v="38638"/>
    <n v="490"/>
    <n v="18932620"/>
    <n v="10.4"/>
    <n v="160"/>
    <n v="41.62"/>
    <m/>
    <s v="KATIOLA"/>
    <m/>
    <s v="W-17 Mar"/>
  </r>
  <r>
    <n v="725"/>
    <d v="2026-04-21T00:00:00"/>
    <x v="63"/>
    <s v="RM"/>
    <s v="CREDIT"/>
    <x v="1"/>
    <m/>
    <x v="9"/>
    <x v="9"/>
    <s v="9333WCI01"/>
    <s v="0419-0180"/>
    <n v="646"/>
    <n v="78891"/>
    <n v="592"/>
    <n v="48900"/>
    <n v="48308"/>
    <n v="572"/>
    <n v="0"/>
    <n v="20"/>
    <n v="80"/>
    <n v="48228"/>
    <n v="515"/>
    <n v="24837420"/>
    <n v="10.5"/>
    <n v="183"/>
    <n v="42.76"/>
    <m/>
    <s v="VAVOUA"/>
    <m/>
    <s v="W-17 Mar"/>
  </r>
  <r>
    <n v="726"/>
    <d v="2026-04-21T00:00:00"/>
    <x v="63"/>
    <s v="RM"/>
    <s v="CREDIT"/>
    <x v="1"/>
    <m/>
    <x v="9"/>
    <x v="9"/>
    <s v="AA721PZ01"/>
    <s v="0419-0180"/>
    <n v="647"/>
    <n v="78888"/>
    <n v="587"/>
    <n v="51770"/>
    <n v="51183"/>
    <n v="552"/>
    <n v="35"/>
    <n v="0"/>
    <n v="280"/>
    <n v="50903"/>
    <n v="515"/>
    <n v="26215045"/>
    <n v="12.1"/>
    <n v="186"/>
    <n v="44.09"/>
    <m/>
    <s v="VAVOUA"/>
    <m/>
    <s v="W-17 Mar"/>
  </r>
  <r>
    <n v="727"/>
    <d v="2026-04-22T00:00:00"/>
    <x v="63"/>
    <s v="RM"/>
    <s v="CREDIT"/>
    <x v="0"/>
    <s v="BKE-002"/>
    <x v="20"/>
    <x v="20"/>
    <s v="2552GY03"/>
    <s v="0425-0001"/>
    <n v="288"/>
    <n v="19995"/>
    <n v="454"/>
    <n v="37920"/>
    <n v="37466"/>
    <n v="439"/>
    <n v="0"/>
    <n v="15"/>
    <n v="60"/>
    <n v="37406"/>
    <n v="505"/>
    <n v="18890030"/>
    <n v="9.9"/>
    <n v="176"/>
    <n v="41.27"/>
    <m/>
    <s v="KORHOGO"/>
    <m/>
    <s v="W-17 Mar"/>
  </r>
  <r>
    <n v="728"/>
    <d v="2026-04-22T00:00:00"/>
    <x v="63"/>
    <s v="RM"/>
    <s v="CREDIT"/>
    <x v="0"/>
    <s v="BKE-001"/>
    <x v="11"/>
    <x v="11"/>
    <s v="5741GY04"/>
    <s v="0431-0277"/>
    <n v="287"/>
    <n v="87094"/>
    <n v="284"/>
    <n v="20860"/>
    <n v="20576"/>
    <n v="252"/>
    <n v="32"/>
    <n v="0"/>
    <n v="256"/>
    <n v="20320"/>
    <n v="490"/>
    <n v="9956800"/>
    <n v="12.4"/>
    <n v="164"/>
    <n v="41.44"/>
    <m/>
    <s v="MANKONO"/>
    <m/>
    <s v="W-17 Mar"/>
  </r>
  <r>
    <n v="729"/>
    <d v="2026-04-22T00:00:00"/>
    <x v="63"/>
    <s v="RM"/>
    <s v="CREDIT"/>
    <x v="0"/>
    <s v="BKE-002"/>
    <x v="20"/>
    <x v="20"/>
    <s v="AA245YN03"/>
    <s v="0425-0001"/>
    <n v="285"/>
    <n v="19859"/>
    <n v="461"/>
    <n v="39560"/>
    <n v="39099"/>
    <n v="449"/>
    <n v="0"/>
    <n v="12"/>
    <n v="48"/>
    <n v="39051"/>
    <n v="500"/>
    <n v="19525500"/>
    <n v="9.1"/>
    <n v="168"/>
    <n v="41.09"/>
    <m/>
    <s v="KORHOGO"/>
    <m/>
    <s v="W-17 Mar"/>
  </r>
  <r>
    <n v="730"/>
    <d v="2026-04-22T00:00:00"/>
    <x v="63"/>
    <s v="RM"/>
    <s v="CREDIT"/>
    <x v="0"/>
    <s v="BKE-001"/>
    <x v="20"/>
    <x v="20"/>
    <s v="6872HB01"/>
    <s v="0425-0001"/>
    <n v="283"/>
    <n v="18633"/>
    <n v="456"/>
    <n v="38880"/>
    <n v="38424"/>
    <n v="432"/>
    <n v="24"/>
    <n v="0"/>
    <n v="192"/>
    <n v="38232"/>
    <n v="505"/>
    <n v="19307160"/>
    <n v="11.2"/>
    <n v="152"/>
    <n v="41.09"/>
    <m/>
    <s v="KATIOLA"/>
    <m/>
    <s v="W-17 Mar"/>
  </r>
  <r>
    <n v="731"/>
    <d v="2026-04-22T00:00:00"/>
    <x v="63"/>
    <s v="RM"/>
    <s v="CREDIT"/>
    <x v="0"/>
    <s v="BKE-001"/>
    <x v="8"/>
    <x v="8"/>
    <s v="460CH05"/>
    <s v="0426-0340"/>
    <n v="282"/>
    <n v="31627"/>
    <n v="243"/>
    <n v="20660"/>
    <n v="20417"/>
    <n v="228"/>
    <n v="15"/>
    <n v="0"/>
    <n v="120"/>
    <n v="20297"/>
    <n v="495"/>
    <n v="10047015"/>
    <n v="12.6"/>
    <n v="172"/>
    <n v="41.79"/>
    <m/>
    <s v="MANKONO"/>
    <m/>
    <s v="W-17 Mar"/>
  </r>
  <r>
    <n v="732"/>
    <d v="2026-04-22T00:00:00"/>
    <x v="63"/>
    <m/>
    <m/>
    <x v="0"/>
    <m/>
    <x v="56"/>
    <x v="57"/>
    <s v="5740EH03/5742EH03"/>
    <m/>
    <m/>
    <m/>
    <m/>
    <n v="0"/>
    <m/>
    <m/>
    <m/>
    <m/>
    <m/>
    <n v="0"/>
    <m/>
    <n v="0"/>
    <n v="12.7"/>
    <n v="161"/>
    <n v="37.743180000000002"/>
    <m/>
    <s v="BOTRO"/>
    <s v="REJECT"/>
    <m/>
  </r>
  <r>
    <n v="733"/>
    <d v="2026-04-22T00:00:00"/>
    <x v="63"/>
    <m/>
    <m/>
    <x v="0"/>
    <m/>
    <x v="20"/>
    <x v="20"/>
    <s v="2289FS04/2294FP04"/>
    <m/>
    <m/>
    <m/>
    <m/>
    <n v="0"/>
    <m/>
    <m/>
    <m/>
    <m/>
    <m/>
    <n v="0"/>
    <m/>
    <n v="0"/>
    <n v="10.3"/>
    <n v="160"/>
    <n v="38.09592"/>
    <m/>
    <s v="KATIOLA"/>
    <s v="REJECT"/>
    <m/>
  </r>
  <r>
    <n v="734"/>
    <d v="2026-04-22T00:00:00"/>
    <x v="63"/>
    <m/>
    <m/>
    <x v="0"/>
    <m/>
    <x v="8"/>
    <x v="8"/>
    <s v="7191CL03/3433HC01"/>
    <m/>
    <m/>
    <m/>
    <m/>
    <n v="0"/>
    <m/>
    <m/>
    <m/>
    <m/>
    <m/>
    <n v="0"/>
    <m/>
    <n v="0"/>
    <n v="12.5"/>
    <n v="161"/>
    <n v="37.037700000000001"/>
    <m/>
    <s v="BOUAKE"/>
    <s v="REJECT"/>
    <m/>
  </r>
  <r>
    <n v="735"/>
    <d v="2026-04-22T00:00:00"/>
    <x v="63"/>
    <m/>
    <m/>
    <x v="0"/>
    <m/>
    <x v="11"/>
    <x v="11"/>
    <s v="6305EP01"/>
    <m/>
    <m/>
    <m/>
    <m/>
    <n v="0"/>
    <m/>
    <m/>
    <m/>
    <m/>
    <m/>
    <n v="0"/>
    <m/>
    <n v="0"/>
    <n v="10"/>
    <n v="179"/>
    <n v="40.388730000000002"/>
    <m/>
    <s v="BOUAKE"/>
    <s v="REJECT"/>
    <m/>
  </r>
  <r>
    <n v="736"/>
    <d v="2026-04-22T00:00:00"/>
    <x v="63"/>
    <m/>
    <m/>
    <x v="0"/>
    <m/>
    <x v="5"/>
    <x v="5"/>
    <s v="2023HF01"/>
    <m/>
    <m/>
    <m/>
    <m/>
    <n v="0"/>
    <m/>
    <m/>
    <m/>
    <m/>
    <m/>
    <n v="0"/>
    <m/>
    <n v="0"/>
    <n v="10.6"/>
    <n v="197"/>
    <n v="37.919550000000001"/>
    <m/>
    <s v="M BAHIAKRO"/>
    <s v="REJECT"/>
    <m/>
  </r>
  <r>
    <n v="737"/>
    <d v="2026-04-22T00:00:00"/>
    <x v="63"/>
    <m/>
    <m/>
    <x v="0"/>
    <m/>
    <x v="2"/>
    <x v="2"/>
    <s v="6161JZ03/6103JZ03"/>
    <m/>
    <m/>
    <m/>
    <m/>
    <n v="0"/>
    <m/>
    <m/>
    <m/>
    <m/>
    <m/>
    <n v="0"/>
    <m/>
    <n v="0"/>
    <n v="11.1"/>
    <n v="159"/>
    <n v="40.565100000000001"/>
    <m/>
    <s v="KORHOGO"/>
    <s v="REJECT"/>
    <m/>
  </r>
  <r>
    <n v="738"/>
    <d v="2026-04-22T00:00:00"/>
    <x v="63"/>
    <m/>
    <m/>
    <x v="1"/>
    <m/>
    <x v="10"/>
    <x v="10"/>
    <s v="6866JG04/5245GL04"/>
    <m/>
    <m/>
    <m/>
    <m/>
    <n v="0"/>
    <m/>
    <m/>
    <m/>
    <m/>
    <m/>
    <n v="0"/>
    <m/>
    <n v="0"/>
    <n v="13.5"/>
    <n v="170"/>
    <n v="41.97"/>
    <m/>
    <s v="DABAKALA"/>
    <s v="REJECT"/>
    <m/>
  </r>
  <r>
    <n v="739"/>
    <d v="2026-04-22T00:00:00"/>
    <x v="63"/>
    <m/>
    <m/>
    <x v="1"/>
    <m/>
    <x v="59"/>
    <x v="60"/>
    <s v="AA226CP/AA316CE01"/>
    <m/>
    <m/>
    <m/>
    <m/>
    <n v="0"/>
    <m/>
    <m/>
    <m/>
    <m/>
    <m/>
    <n v="0"/>
    <m/>
    <n v="0"/>
    <n v="9.9"/>
    <n v="187"/>
    <n v="39.590000000000003"/>
    <m/>
    <s v="KONG"/>
    <s v="REJECT"/>
    <m/>
  </r>
  <r>
    <n v="740"/>
    <d v="2026-04-17T00:00:00"/>
    <x v="64"/>
    <s v="RM"/>
    <s v="CREDIT"/>
    <x v="0"/>
    <s v="BKE-002"/>
    <x v="20"/>
    <x v="20"/>
    <s v="4669CP03"/>
    <s v="0425-0001"/>
    <n v="291"/>
    <n v="15481"/>
    <n v="467"/>
    <n v="40760"/>
    <n v="40293"/>
    <n v="441"/>
    <n v="26"/>
    <n v="0"/>
    <n v="208"/>
    <n v="40085"/>
    <n v="510"/>
    <n v="20443350"/>
    <n v="11.1"/>
    <n v="164"/>
    <n v="42.68"/>
    <m/>
    <s v="KATIOLA"/>
    <m/>
    <s v="W-17 Mar"/>
  </r>
  <r>
    <n v="741"/>
    <d v="2026-04-21T00:00:00"/>
    <x v="64"/>
    <s v="RM"/>
    <s v="CREDIT"/>
    <x v="1"/>
    <m/>
    <x v="9"/>
    <x v="9"/>
    <s v="1361KL01 "/>
    <s v="0419-0180"/>
    <n v="701"/>
    <n v="78890"/>
    <n v="628"/>
    <n v="51070"/>
    <n v="50442"/>
    <n v="605"/>
    <n v="0"/>
    <n v="23"/>
    <n v="92"/>
    <n v="50350"/>
    <n v="515"/>
    <n v="25930250"/>
    <n v="13.6"/>
    <n v="183"/>
    <n v="43.38"/>
    <m/>
    <s v="ANIANOU"/>
    <m/>
    <s v="W-17 Mar"/>
  </r>
  <r>
    <n v="742"/>
    <d v="2026-04-21T00:00:00"/>
    <x v="64"/>
    <s v="RM"/>
    <s v="CASH"/>
    <x v="1"/>
    <m/>
    <x v="51"/>
    <x v="52"/>
    <s v="AA798AV01  "/>
    <s v="0429-0462"/>
    <n v="703"/>
    <n v="30271"/>
    <n v="580"/>
    <n v="45550"/>
    <n v="44970"/>
    <n v="560"/>
    <n v="0"/>
    <n v="20"/>
    <n v="80"/>
    <n v="44890"/>
    <n v="515"/>
    <n v="23118350"/>
    <n v="10.3"/>
    <n v="178"/>
    <n v="42.41"/>
    <m/>
    <s v="VAVOUA"/>
    <m/>
    <s v="W-17 Mar"/>
  </r>
  <r>
    <n v="743"/>
    <d v="2026-04-21T00:00:00"/>
    <x v="64"/>
    <s v="RM"/>
    <s v="CASH"/>
    <x v="1"/>
    <m/>
    <x v="45"/>
    <x v="46"/>
    <s v="AA161JA03 "/>
    <m/>
    <n v="704"/>
    <m/>
    <n v="443"/>
    <n v="39120"/>
    <n v="38677"/>
    <n v="420"/>
    <n v="25"/>
    <n v="0"/>
    <n v="200"/>
    <n v="38477"/>
    <n v="515"/>
    <n v="19815655"/>
    <n v="12.8"/>
    <n v="163"/>
    <n v="43.21"/>
    <m/>
    <s v="BOUAKE"/>
    <s v="SCOOPS PS"/>
    <s v="W-17 Mar"/>
  </r>
  <r>
    <n v="744"/>
    <d v="2026-04-21T00:00:00"/>
    <x v="64"/>
    <s v="RM"/>
    <s v="CASH"/>
    <x v="1"/>
    <m/>
    <x v="42"/>
    <x v="43"/>
    <s v="1889KH01"/>
    <s v="0401-0177"/>
    <n v="649"/>
    <n v="82288"/>
    <n v="258"/>
    <n v="20490"/>
    <n v="20232"/>
    <n v="247"/>
    <n v="0"/>
    <n v="11"/>
    <n v="44"/>
    <n v="20188"/>
    <n v="510"/>
    <n v="10295880"/>
    <n v="9"/>
    <n v="181"/>
    <n v="41.97"/>
    <m/>
    <s v="BOUAFLE"/>
    <m/>
    <s v="W-17 Mar"/>
  </r>
  <r>
    <n v="745"/>
    <d v="2026-04-21T00:00:00"/>
    <x v="64"/>
    <s v="RM"/>
    <s v="CREDIT"/>
    <x v="1"/>
    <m/>
    <x v="9"/>
    <x v="9"/>
    <s v="2319LR02 "/>
    <s v="0419-0180"/>
    <n v="648"/>
    <n v="78877"/>
    <n v="517"/>
    <n v="41670"/>
    <n v="41153"/>
    <n v="513"/>
    <n v="24"/>
    <n v="0"/>
    <n v="192"/>
    <n v="40961"/>
    <n v="515"/>
    <n v="21094915"/>
    <n v="11"/>
    <n v="187"/>
    <n v="42.32"/>
    <m/>
    <s v="VAVOUA"/>
    <m/>
    <s v="W-17 Mar"/>
  </r>
  <r>
    <n v="746"/>
    <d v="2026-04-21T00:00:00"/>
    <x v="64"/>
    <s v="RM"/>
    <s v="CASH"/>
    <x v="1"/>
    <m/>
    <x v="31"/>
    <x v="38"/>
    <s v="621KF01"/>
    <s v="0427-0091"/>
    <n v="650"/>
    <n v="23297"/>
    <n v="488"/>
    <n v="40820"/>
    <n v="40332"/>
    <n v="458"/>
    <n v="0"/>
    <n v="30"/>
    <n v="120"/>
    <n v="40212"/>
    <n v="515"/>
    <n v="20709180"/>
    <n v="9.9"/>
    <n v="177"/>
    <n v="43.47"/>
    <m/>
    <s v="TENGRELA"/>
    <m/>
    <s v="W-17 Mar"/>
  </r>
  <r>
    <n v="747"/>
    <d v="2026-04-21T00:00:00"/>
    <x v="64"/>
    <s v="RM"/>
    <s v="CASH"/>
    <x v="1"/>
    <m/>
    <x v="60"/>
    <x v="61"/>
    <s v="8774KS04 "/>
    <s v="0331-0083"/>
    <n v="702"/>
    <n v="77674"/>
    <n v="562"/>
    <n v="50000"/>
    <n v="49438"/>
    <n v="534"/>
    <n v="30"/>
    <n v="0"/>
    <n v="240"/>
    <n v="49198"/>
    <n v="515"/>
    <n v="25336970"/>
    <n v="12.7"/>
    <n v="157"/>
    <n v="43.12"/>
    <m/>
    <m/>
    <m/>
    <s v="W-17 Mar"/>
  </r>
  <r>
    <n v="748"/>
    <d v="2026-04-22T00:00:00"/>
    <x v="64"/>
    <s v="RM"/>
    <s v="CREDIT"/>
    <x v="0"/>
    <s v="BKE-001"/>
    <x v="1"/>
    <x v="1"/>
    <s v="AA231VP04"/>
    <s v="0429-0040"/>
    <n v="289"/>
    <n v="38397"/>
    <n v="471"/>
    <n v="41220"/>
    <n v="40749"/>
    <n v="446"/>
    <n v="25"/>
    <n v="0"/>
    <n v="200"/>
    <n v="40549"/>
    <n v="490"/>
    <n v="19869010"/>
    <n v="11.9"/>
    <n v="166"/>
    <n v="41.09"/>
    <m/>
    <s v="MANKONO"/>
    <m/>
    <s v="W-17 Mar"/>
  </r>
  <r>
    <n v="749"/>
    <d v="2026-04-22T00:00:00"/>
    <x v="64"/>
    <s v="RM"/>
    <s v="CREDIT"/>
    <x v="0"/>
    <s v="BKE-002"/>
    <x v="11"/>
    <x v="11"/>
    <s v="7006HV01"/>
    <s v="0431-0277"/>
    <n v="290"/>
    <n v="80567"/>
    <n v="562"/>
    <n v="51980"/>
    <n v="51418"/>
    <n v="549"/>
    <n v="0"/>
    <n v="13"/>
    <n v="52"/>
    <n v="51366"/>
    <n v="490"/>
    <n v="25169340"/>
    <n v="9.6"/>
    <n v="188"/>
    <n v="41.62"/>
    <m/>
    <s v="SANDEGUE"/>
    <m/>
    <s v="W-17 Mar"/>
  </r>
  <r>
    <n v="750"/>
    <d v="2026-04-23T00:00:00"/>
    <x v="64"/>
    <s v="RM"/>
    <s v="CASH"/>
    <x v="0"/>
    <s v="BKE-001"/>
    <x v="25"/>
    <x v="25"/>
    <s v="5821GH01"/>
    <s v="0426-0399"/>
    <n v="292"/>
    <n v="33687"/>
    <n v="566"/>
    <n v="46220"/>
    <n v="45654"/>
    <n v="554"/>
    <n v="0"/>
    <n v="12"/>
    <n v="48"/>
    <n v="45606"/>
    <n v="505"/>
    <n v="23031030"/>
    <n v="7.6"/>
    <n v="161"/>
    <n v="43.21"/>
    <m/>
    <s v="BOTRO"/>
    <m/>
    <s v="W-17 Mar"/>
  </r>
  <r>
    <n v="751"/>
    <d v="2026-04-23T00:00:00"/>
    <x v="64"/>
    <s v="RM"/>
    <s v="CASH"/>
    <x v="0"/>
    <s v="BKE-001"/>
    <x v="25"/>
    <x v="25"/>
    <s v="T9584GX03"/>
    <s v="0426-0399"/>
    <n v="293"/>
    <n v="87010"/>
    <n v="509"/>
    <n v="42880"/>
    <n v="42371"/>
    <n v="498"/>
    <n v="0"/>
    <n v="11"/>
    <n v="44"/>
    <n v="42327"/>
    <n v="490"/>
    <n v="20740230"/>
    <n v="9.9"/>
    <n v="161"/>
    <n v="41.44"/>
    <m/>
    <s v="NIAKARA"/>
    <m/>
    <s v="W-17 Mar"/>
  </r>
  <r>
    <n v="752"/>
    <d v="2026-04-23T00:00:00"/>
    <x v="64"/>
    <m/>
    <m/>
    <x v="0"/>
    <m/>
    <x v="54"/>
    <x v="55"/>
    <s v="792LS04/875HB04"/>
    <m/>
    <m/>
    <m/>
    <m/>
    <n v="0"/>
    <m/>
    <m/>
    <m/>
    <m/>
    <m/>
    <n v="0"/>
    <m/>
    <n v="0"/>
    <n v="12.1"/>
    <n v="167"/>
    <n v="41.094209999999997"/>
    <m/>
    <s v="MANKONO"/>
    <s v="REJECT"/>
    <m/>
  </r>
  <r>
    <n v="753"/>
    <d v="2026-04-23T00:00:00"/>
    <x v="64"/>
    <m/>
    <m/>
    <x v="0"/>
    <m/>
    <x v="11"/>
    <x v="11"/>
    <s v="4434EZ01/"/>
    <m/>
    <m/>
    <m/>
    <m/>
    <n v="0"/>
    <m/>
    <m/>
    <m/>
    <m/>
    <m/>
    <n v="0"/>
    <m/>
    <n v="0"/>
    <n v="10.1"/>
    <n v="179"/>
    <n v="38.09592"/>
    <m/>
    <s v="ZOUKOUGBEU"/>
    <s v="REJECT"/>
    <m/>
  </r>
  <r>
    <n v="754"/>
    <d v="2026-04-23T00:00:00"/>
    <x v="64"/>
    <m/>
    <m/>
    <x v="0"/>
    <m/>
    <x v="11"/>
    <x v="11"/>
    <s v="9082GC01/4544CR01"/>
    <m/>
    <m/>
    <m/>
    <m/>
    <n v="0"/>
    <m/>
    <m/>
    <m/>
    <m/>
    <m/>
    <n v="0"/>
    <m/>
    <n v="0"/>
    <n v="10.3"/>
    <n v="183"/>
    <n v="39.85962"/>
    <m/>
    <s v="BOUAKE"/>
    <s v="REJECT"/>
    <m/>
  </r>
  <r>
    <n v="755"/>
    <d v="2026-04-22T00:00:00"/>
    <x v="65"/>
    <s v="RM"/>
    <s v="CREDIT"/>
    <x v="1"/>
    <m/>
    <x v="45"/>
    <x v="46"/>
    <s v="AA717FV03 "/>
    <m/>
    <n v="705"/>
    <m/>
    <n v="477"/>
    <n v="39460"/>
    <n v="38983"/>
    <n v="470"/>
    <n v="30"/>
    <n v="0"/>
    <n v="240"/>
    <n v="38743"/>
    <n v="515"/>
    <n v="19952645"/>
    <n v="12.5"/>
    <n v="164"/>
    <n v="43.03"/>
    <m/>
    <s v="MANKONO"/>
    <s v="KONE ADAMA"/>
    <m/>
  </r>
  <r>
    <n v="756"/>
    <d v="2026-04-22T00:00:00"/>
    <x v="65"/>
    <s v="RM"/>
    <s v="CASH"/>
    <x v="1"/>
    <m/>
    <x v="45"/>
    <x v="46"/>
    <s v="7650GJ04 "/>
    <m/>
    <n v="706"/>
    <m/>
    <n v="540"/>
    <n v="43950"/>
    <n v="43410"/>
    <n v="527"/>
    <n v="30"/>
    <n v="0"/>
    <n v="240"/>
    <n v="43170"/>
    <n v="515"/>
    <n v="22232550"/>
    <n v="14.7"/>
    <n v="166"/>
    <n v="43.91"/>
    <m/>
    <s v="KOUNAHIRI"/>
    <s v="SCOOPS LAGANFIA"/>
    <m/>
  </r>
  <r>
    <n v="757"/>
    <d v="2026-04-22T00:00:00"/>
    <x v="65"/>
    <s v="RM"/>
    <s v="CREDIT"/>
    <x v="1"/>
    <m/>
    <x v="10"/>
    <x v="10"/>
    <s v="5176LG04 "/>
    <s v="0425-0212"/>
    <n v="707"/>
    <n v="19784"/>
    <n v="516"/>
    <n v="43020"/>
    <n v="42504"/>
    <n v="508"/>
    <n v="30"/>
    <n v="0"/>
    <n v="240"/>
    <n v="42264"/>
    <n v="515"/>
    <n v="21765960"/>
    <n v="11.2"/>
    <n v="162"/>
    <n v="43.65"/>
    <m/>
    <s v="DABAKALA"/>
    <m/>
    <m/>
  </r>
  <r>
    <n v="758"/>
    <d v="2026-04-22T00:00:00"/>
    <x v="65"/>
    <s v="RM"/>
    <s v="CREDIT"/>
    <x v="1"/>
    <m/>
    <x v="9"/>
    <x v="9"/>
    <s v="AA439NX06"/>
    <s v="0419-0180"/>
    <n v="709"/>
    <n v="78905"/>
    <n v="573"/>
    <n v="47925"/>
    <n v="47352"/>
    <n v="569"/>
    <n v="35"/>
    <n v="0"/>
    <n v="280"/>
    <n v="47072"/>
    <n v="515"/>
    <n v="24242080"/>
    <n v="12.1"/>
    <n v="189"/>
    <n v="44.09"/>
    <m/>
    <s v="VAVOUA"/>
    <m/>
    <m/>
  </r>
  <r>
    <n v="759"/>
    <d v="2026-04-23T00:00:00"/>
    <x v="65"/>
    <s v="RM"/>
    <s v="CASH"/>
    <x v="0"/>
    <s v="BKE-001"/>
    <x v="19"/>
    <x v="19"/>
    <s v="7650GS07"/>
    <s v="0426-0440"/>
    <n v="294"/>
    <n v="31754"/>
    <n v="527"/>
    <n v="40440"/>
    <n v="39913"/>
    <n v="502"/>
    <n v="25"/>
    <n v="0"/>
    <n v="200"/>
    <n v="39713"/>
    <n v="490"/>
    <n v="19459370"/>
    <n v="11"/>
    <n v="154"/>
    <n v="41.09"/>
    <m/>
    <s v="BOUAKE"/>
    <m/>
    <m/>
  </r>
  <r>
    <n v="760"/>
    <d v="2026-04-23T00:00:00"/>
    <x v="65"/>
    <s v="RM"/>
    <s v="CASH"/>
    <x v="0"/>
    <s v="BKE-001"/>
    <x v="49"/>
    <x v="50"/>
    <s v="AA187AQ01"/>
    <s v="0426-0352"/>
    <n v="295"/>
    <n v="22027"/>
    <n v="536"/>
    <n v="44220"/>
    <n v="43684"/>
    <n v="516"/>
    <n v="20"/>
    <n v="0"/>
    <n v="160"/>
    <n v="43524"/>
    <n v="490"/>
    <n v="21326760"/>
    <n v="9.9"/>
    <n v="158"/>
    <n v="41.97"/>
    <m/>
    <s v="NIAKARA"/>
    <m/>
    <m/>
  </r>
  <r>
    <n v="761"/>
    <d v="2026-04-23T00:00:00"/>
    <x v="65"/>
    <s v="RM"/>
    <s v="CREDIT"/>
    <x v="0"/>
    <s v="BKE-001"/>
    <x v="3"/>
    <x v="3"/>
    <s v="2563GY01"/>
    <s v="0426-0203"/>
    <n v="296"/>
    <n v="31708"/>
    <n v="510"/>
    <n v="40400"/>
    <n v="39890"/>
    <n v="490"/>
    <n v="20"/>
    <n v="0"/>
    <n v="160"/>
    <n v="39730"/>
    <n v="485"/>
    <n v="19269050"/>
    <n v="11.7"/>
    <n v="184"/>
    <n v="41.79"/>
    <m/>
    <s v="DABAKALA"/>
    <m/>
    <m/>
  </r>
  <r>
    <n v="762"/>
    <d v="2026-04-23T00:00:00"/>
    <x v="65"/>
    <s v="RM"/>
    <s v="CREDIT"/>
    <x v="0"/>
    <s v="BKE-002"/>
    <x v="8"/>
    <x v="8"/>
    <s v="211HA01"/>
    <s v="0426-0340"/>
    <n v="297"/>
    <n v="32061"/>
    <n v="225"/>
    <n v="19740"/>
    <n v="19515"/>
    <n v="215"/>
    <n v="10"/>
    <n v="0"/>
    <n v="80"/>
    <n v="19435"/>
    <n v="510"/>
    <n v="9911850"/>
    <n v="11.2"/>
    <n v="154"/>
    <n v="42.32"/>
    <m/>
    <s v="BOUAKE"/>
    <m/>
    <m/>
  </r>
  <r>
    <n v="763"/>
    <d v="2026-04-23T00:00:00"/>
    <x v="65"/>
    <s v="RM"/>
    <s v="CASH"/>
    <x v="0"/>
    <s v="BKE-001"/>
    <x v="25"/>
    <x v="25"/>
    <s v="7569GH01"/>
    <s v="0426-0399"/>
    <n v="298"/>
    <n v="33684"/>
    <n v="248"/>
    <n v="20840"/>
    <n v="20592"/>
    <n v="218"/>
    <n v="30"/>
    <n v="0"/>
    <n v="240"/>
    <n v="20352"/>
    <n v="495"/>
    <n v="10074240"/>
    <n v="12.5"/>
    <n v="158"/>
    <n v="41.97"/>
    <m/>
    <s v="BOTRO"/>
    <m/>
    <m/>
  </r>
  <r>
    <n v="764"/>
    <d v="2026-04-23T00:00:00"/>
    <x v="65"/>
    <s v="RM"/>
    <s v="CASH"/>
    <x v="0"/>
    <s v="BKE-001"/>
    <x v="16"/>
    <x v="16"/>
    <s v="6007GP03"/>
    <s v="0427-0133"/>
    <n v="299"/>
    <n v="37812"/>
    <n v="497"/>
    <n v="42160"/>
    <n v="41663"/>
    <n v="485"/>
    <n v="0"/>
    <n v="12"/>
    <n v="48"/>
    <n v="41615"/>
    <n v="495"/>
    <n v="20599425"/>
    <n v="9.4"/>
    <n v="167"/>
    <n v="42.15"/>
    <m/>
    <s v="DIANRA"/>
    <m/>
    <m/>
  </r>
  <r>
    <n v="765"/>
    <d v="2026-04-23T00:00:00"/>
    <x v="65"/>
    <s v="RM"/>
    <s v="CASH"/>
    <x v="0"/>
    <s v="BKE-001"/>
    <x v="61"/>
    <x v="62"/>
    <s v="360LU01"/>
    <s v="0408-0440"/>
    <n v="300"/>
    <n v="5141"/>
    <n v="630"/>
    <n v="48340"/>
    <n v="47710"/>
    <n v="623"/>
    <n v="0"/>
    <n v="7"/>
    <n v="28"/>
    <n v="47682"/>
    <n v="490"/>
    <n v="23364180"/>
    <n v="9.1999999999999993"/>
    <n v="173"/>
    <n v="41.79"/>
    <m/>
    <s v="TOUBA"/>
    <m/>
    <m/>
  </r>
  <r>
    <n v="766"/>
    <d v="2026-04-23T00:00:00"/>
    <x v="65"/>
    <s v="RM"/>
    <s v="CASH"/>
    <x v="0"/>
    <s v="BKE-002"/>
    <x v="61"/>
    <x v="62"/>
    <s v="3284KP01"/>
    <s v="0408-0440"/>
    <n v="351"/>
    <n v="5878"/>
    <n v="502"/>
    <n v="42640"/>
    <n v="42138"/>
    <n v="482"/>
    <n v="20"/>
    <n v="0"/>
    <n v="160"/>
    <n v="41978"/>
    <n v="490"/>
    <n v="20569220"/>
    <n v="10.1"/>
    <n v="177"/>
    <n v="41.44"/>
    <m/>
    <s v="OUANINOU"/>
    <m/>
    <m/>
  </r>
  <r>
    <n v="767"/>
    <d v="2026-04-23T00:00:00"/>
    <x v="65"/>
    <s v="RM"/>
    <s v="CREDIT"/>
    <x v="0"/>
    <s v="BKE-001"/>
    <x v="20"/>
    <x v="20"/>
    <s v="5151CK03"/>
    <s v="0425-0001"/>
    <n v="352"/>
    <n v="15490"/>
    <n v="468"/>
    <n v="40220"/>
    <n v="39752"/>
    <n v="454"/>
    <n v="0"/>
    <n v="14"/>
    <n v="56"/>
    <n v="39696"/>
    <n v="510"/>
    <n v="20244960"/>
    <n v="9.4"/>
    <n v="169"/>
    <n v="42.85"/>
    <m/>
    <s v="KORHOGO"/>
    <m/>
    <m/>
  </r>
  <r>
    <n v="768"/>
    <d v="2026-04-23T00:00:00"/>
    <x v="65"/>
    <s v="RM"/>
    <s v="CASH"/>
    <x v="1"/>
    <m/>
    <x v="57"/>
    <x v="58"/>
    <s v="2767HC01 "/>
    <s v="0301-0064"/>
    <n v="708"/>
    <n v="35968"/>
    <n v="584"/>
    <n v="41550"/>
    <n v="40966"/>
    <n v="577"/>
    <n v="29"/>
    <n v="0"/>
    <n v="232"/>
    <n v="40734"/>
    <n v="510"/>
    <n v="20774340"/>
    <n v="12.5"/>
    <n v="179"/>
    <n v="42.41"/>
    <m/>
    <s v="NANOUFLA"/>
    <m/>
    <m/>
  </r>
  <r>
    <n v="769"/>
    <d v="2026-04-23T00:00:00"/>
    <x v="65"/>
    <s v="RM"/>
    <s v="CASH"/>
    <x v="1"/>
    <m/>
    <x v="45"/>
    <x v="46"/>
    <s v="5500FL02 "/>
    <m/>
    <n v="710"/>
    <m/>
    <n v="474"/>
    <n v="40160"/>
    <n v="39686"/>
    <n v="453"/>
    <n v="20"/>
    <n v="0"/>
    <n v="160"/>
    <n v="39526"/>
    <n v="515"/>
    <n v="20355890"/>
    <n v="11.2"/>
    <n v="167"/>
    <n v="42.41"/>
    <m/>
    <s v="DJEBONOUA"/>
    <s v="SCOOPS LAGANFIA"/>
    <m/>
  </r>
  <r>
    <n v="770"/>
    <d v="2026-04-23T00:00:00"/>
    <x v="65"/>
    <s v="RM"/>
    <s v="CREDIT"/>
    <x v="1"/>
    <m/>
    <x v="10"/>
    <x v="10"/>
    <s v="138GL01 "/>
    <s v="0425-0212"/>
    <n v="711"/>
    <n v="14"/>
    <n v="443"/>
    <n v="39740"/>
    <n v="39297"/>
    <n v="440"/>
    <n v="70"/>
    <n v="0"/>
    <n v="560"/>
    <n v="38737"/>
    <n v="515"/>
    <n v="19949555"/>
    <n v="13.6"/>
    <n v="183"/>
    <n v="43.38"/>
    <m/>
    <s v="ANIANOU"/>
    <m/>
    <m/>
  </r>
  <r>
    <n v="771"/>
    <d v="2026-04-23T00:00:00"/>
    <x v="65"/>
    <s v="RM"/>
    <s v="CASH"/>
    <x v="1"/>
    <m/>
    <x v="51"/>
    <x v="52"/>
    <s v="929ZT01 "/>
    <s v="0429-0462"/>
    <n v="712"/>
    <n v="30269"/>
    <n v="586"/>
    <n v="44140"/>
    <n v="43554"/>
    <n v="566"/>
    <n v="0"/>
    <n v="20"/>
    <n v="80"/>
    <n v="43474"/>
    <n v="515"/>
    <n v="22389110"/>
    <n v="9.6"/>
    <n v="177"/>
    <n v="43.38"/>
    <m/>
    <s v="VAVOUA"/>
    <m/>
    <m/>
  </r>
  <r>
    <n v="772"/>
    <d v="2026-04-23T00:00:00"/>
    <x v="65"/>
    <s v="RM"/>
    <s v="CASH"/>
    <x v="1"/>
    <m/>
    <x v="51"/>
    <x v="52"/>
    <s v="3143LH03 "/>
    <s v="0429-0462"/>
    <n v="713"/>
    <n v="30270"/>
    <n v="510"/>
    <n v="42570"/>
    <n v="42060"/>
    <n v="485"/>
    <n v="0"/>
    <n v="25"/>
    <n v="100"/>
    <n v="41960"/>
    <n v="515"/>
    <n v="21609400"/>
    <n v="10.6"/>
    <n v="184"/>
    <n v="43.29"/>
    <m/>
    <s v="VAVOUA"/>
    <m/>
    <m/>
  </r>
  <r>
    <n v="773"/>
    <d v="2026-04-24T00:00:00"/>
    <x v="65"/>
    <m/>
    <m/>
    <x v="0"/>
    <m/>
    <x v="62"/>
    <x v="63"/>
    <s v="AA14PB01/5533GH01"/>
    <m/>
    <m/>
    <m/>
    <m/>
    <n v="0"/>
    <m/>
    <m/>
    <m/>
    <m/>
    <m/>
    <n v="0"/>
    <m/>
    <n v="0"/>
    <n v="11.8"/>
    <n v="184"/>
    <n v="41.094209999999997"/>
    <m/>
    <s v="BOUAKE"/>
    <s v="REJECT"/>
    <m/>
  </r>
  <r>
    <n v="774"/>
    <d v="2026-04-24T00:00:00"/>
    <x v="65"/>
    <m/>
    <m/>
    <x v="0"/>
    <m/>
    <x v="19"/>
    <x v="19"/>
    <s v="7468GJ04"/>
    <m/>
    <m/>
    <m/>
    <m/>
    <n v="0"/>
    <m/>
    <m/>
    <m/>
    <m/>
    <m/>
    <n v="0"/>
    <m/>
    <n v="0"/>
    <n v="10.7"/>
    <n v="159"/>
    <n v="41.094209999999997"/>
    <m/>
    <s v="MANKONO"/>
    <s v="REJECT"/>
    <m/>
  </r>
  <r>
    <n v="775"/>
    <d v="2026-04-24T00:00:00"/>
    <x v="65"/>
    <m/>
    <m/>
    <x v="0"/>
    <m/>
    <x v="35"/>
    <x v="35"/>
    <s v="2318JK01/2843CG01"/>
    <m/>
    <m/>
    <m/>
    <m/>
    <n v="0"/>
    <m/>
    <m/>
    <m/>
    <m/>
    <m/>
    <n v="0"/>
    <m/>
    <n v="0"/>
    <n v="10.9"/>
    <n v="157"/>
    <n v="41.094209999999997"/>
    <m/>
    <s v="BOTRO"/>
    <s v="REJECT"/>
    <m/>
  </r>
  <r>
    <n v="776"/>
    <d v="2026-04-24T00:00:00"/>
    <x v="65"/>
    <m/>
    <m/>
    <x v="0"/>
    <m/>
    <x v="4"/>
    <x v="4"/>
    <s v="9149LE021/6786EF05"/>
    <m/>
    <m/>
    <m/>
    <m/>
    <n v="0"/>
    <m/>
    <m/>
    <m/>
    <m/>
    <m/>
    <n v="0"/>
    <m/>
    <n v="0"/>
    <n v="10.8"/>
    <n v="168"/>
    <n v="41.094209999999997"/>
    <m/>
    <s v="NIAKARA"/>
    <s v="REJECT"/>
    <m/>
  </r>
  <r>
    <n v="777"/>
    <d v="2026-04-24T00:00:00"/>
    <x v="65"/>
    <m/>
    <m/>
    <x v="0"/>
    <m/>
    <x v="8"/>
    <x v="8"/>
    <s v="7936LF03/7938LF03"/>
    <m/>
    <m/>
    <m/>
    <m/>
    <n v="0"/>
    <m/>
    <m/>
    <m/>
    <m/>
    <m/>
    <n v="0"/>
    <m/>
    <n v="0"/>
    <n v="11.4"/>
    <n v="187"/>
    <n v="37.566809999999997"/>
    <m/>
    <s v="OUANGOLODOUGOU"/>
    <s v="REJECT"/>
    <m/>
  </r>
  <r>
    <n v="778"/>
    <d v="2026-04-24T00:00:00"/>
    <x v="65"/>
    <m/>
    <m/>
    <x v="1"/>
    <m/>
    <x v="59"/>
    <x v="60"/>
    <s v="AA547FT01/4022LU03"/>
    <m/>
    <m/>
    <m/>
    <m/>
    <n v="0"/>
    <m/>
    <m/>
    <m/>
    <m/>
    <m/>
    <n v="0"/>
    <m/>
    <n v="0"/>
    <n v="10.3"/>
    <n v="161"/>
    <n v="41.35"/>
    <m/>
    <s v="BROBO"/>
    <s v="REJECT"/>
    <m/>
  </r>
  <r>
    <n v="779"/>
    <d v="2026-04-23T00:00:00"/>
    <x v="66"/>
    <s v="RM"/>
    <s v="CREDIT"/>
    <x v="1"/>
    <m/>
    <x v="9"/>
    <x v="9"/>
    <s v="4919KN01 "/>
    <s v="0419-0180"/>
    <n v="716"/>
    <n v="78882"/>
    <n v="573"/>
    <n v="47840"/>
    <n v="47267"/>
    <n v="570"/>
    <n v="15"/>
    <n v="0"/>
    <n v="120"/>
    <n v="47147"/>
    <n v="515"/>
    <n v="24280705"/>
    <n v="10.4"/>
    <n v="175"/>
    <n v="43.65"/>
    <m/>
    <s v="VAVOUA"/>
    <m/>
    <m/>
  </r>
  <r>
    <n v="780"/>
    <d v="2026-04-23T00:00:00"/>
    <x v="66"/>
    <s v="RM"/>
    <s v="CASH"/>
    <x v="1"/>
    <m/>
    <x v="45"/>
    <x v="46"/>
    <s v="6526HZ04 "/>
    <m/>
    <n v="717"/>
    <m/>
    <n v="552"/>
    <n v="37050"/>
    <n v="36498"/>
    <n v="546"/>
    <n v="30"/>
    <n v="0"/>
    <n v="240"/>
    <n v="36258"/>
    <n v="510"/>
    <n v="18491580"/>
    <n v="13.3"/>
    <n v="164"/>
    <n v="42.32"/>
    <m/>
    <m/>
    <s v="SCOOPS LAGANFIA"/>
    <m/>
  </r>
  <r>
    <n v="781"/>
    <d v="2026-04-23T00:00:00"/>
    <x v="66"/>
    <s v="RM"/>
    <s v="CREDIT"/>
    <x v="1"/>
    <m/>
    <x v="17"/>
    <x v="17"/>
    <s v="4794HN01"/>
    <s v="0425-0055"/>
    <n v="719"/>
    <n v="18444"/>
    <n v="502"/>
    <n v="38820"/>
    <n v="38318"/>
    <n v="499"/>
    <n v="20"/>
    <n v="0"/>
    <n v="160"/>
    <n v="38158"/>
    <n v="500"/>
    <n v="19079000"/>
    <n v="10.7"/>
    <n v="185"/>
    <n v="41.71"/>
    <m/>
    <s v="VAVOUA"/>
    <m/>
    <m/>
  </r>
  <r>
    <n v="782"/>
    <d v="2026-04-23T00:00:00"/>
    <x v="66"/>
    <s v="RM"/>
    <s v="CREDIT"/>
    <x v="1"/>
    <m/>
    <x v="9"/>
    <x v="9"/>
    <s v="3620KT01 "/>
    <s v="0419-0180"/>
    <n v="720"/>
    <n v="78889"/>
    <n v="512"/>
    <n v="42050"/>
    <n v="41538"/>
    <n v="509"/>
    <n v="20"/>
    <n v="0"/>
    <n v="160"/>
    <n v="41378"/>
    <n v="515"/>
    <n v="21309670"/>
    <n v="11.6"/>
    <n v="186"/>
    <n v="44.44"/>
    <m/>
    <s v="VAVOUA"/>
    <m/>
    <m/>
  </r>
  <r>
    <n v="783"/>
    <d v="2026-04-23T00:00:00"/>
    <x v="66"/>
    <s v="RM"/>
    <s v="CREDIT"/>
    <x v="1"/>
    <m/>
    <x v="11"/>
    <x v="11"/>
    <s v="5446KV07 "/>
    <s v="0431-0277"/>
    <n v="721"/>
    <n v="87093"/>
    <n v="496"/>
    <n v="40130"/>
    <n v="39634"/>
    <n v="456"/>
    <n v="40"/>
    <n v="0"/>
    <n v="320"/>
    <n v="39314"/>
    <n v="495"/>
    <n v="19460430"/>
    <n v="12.1"/>
    <n v="182"/>
    <n v="41.71"/>
    <m/>
    <s v="SINFRA"/>
    <m/>
    <m/>
  </r>
  <r>
    <n v="784"/>
    <d v="2026-04-23T00:00:00"/>
    <x v="66"/>
    <s v="RM"/>
    <s v="CASH"/>
    <x v="1"/>
    <m/>
    <x v="31"/>
    <x v="38"/>
    <s v="AA560LJ01 "/>
    <s v="0427-0091"/>
    <n v="723"/>
    <n v="83831"/>
    <n v="485"/>
    <n v="39570"/>
    <n v="39085"/>
    <n v="440"/>
    <n v="45"/>
    <n v="0"/>
    <n v="360"/>
    <n v="38725"/>
    <n v="515"/>
    <n v="19943375"/>
    <n v="12.9"/>
    <n v="167"/>
    <n v="44.18"/>
    <m/>
    <s v="KOUTO"/>
    <m/>
    <m/>
  </r>
  <r>
    <n v="785"/>
    <d v="2026-04-24T00:00:00"/>
    <x v="66"/>
    <s v="RM"/>
    <s v="CASH"/>
    <x v="0"/>
    <s v="BKE-001"/>
    <x v="24"/>
    <x v="24"/>
    <s v="AA738PN01"/>
    <s v="0401-0187"/>
    <n v="353"/>
    <n v="29764"/>
    <n v="241"/>
    <n v="21140"/>
    <n v="20899"/>
    <n v="231"/>
    <n v="10"/>
    <n v="0"/>
    <n v="80"/>
    <n v="20819"/>
    <n v="490"/>
    <n v="10201310"/>
    <n v="10.199999999999999"/>
    <n v="159"/>
    <n v="41.44"/>
    <m/>
    <s v="DIANRA"/>
    <m/>
    <m/>
  </r>
  <r>
    <n v="786"/>
    <d v="2026-04-24T00:00:00"/>
    <x v="66"/>
    <s v="RM"/>
    <s v="CREDIT"/>
    <x v="0"/>
    <s v="BKE-001"/>
    <x v="5"/>
    <x v="5"/>
    <s v="4098BB04"/>
    <s v="0426-0194"/>
    <n v="354"/>
    <n v="32839"/>
    <n v="227"/>
    <n v="18580"/>
    <n v="18353"/>
    <n v="215"/>
    <n v="12"/>
    <n v="0"/>
    <n v="96"/>
    <n v="18257"/>
    <n v="490"/>
    <n v="8945930"/>
    <n v="11.3"/>
    <n v="184"/>
    <n v="41.44"/>
    <m/>
    <s v="DABAKALA"/>
    <m/>
    <m/>
  </r>
  <r>
    <n v="787"/>
    <d v="2026-04-24T00:00:00"/>
    <x v="66"/>
    <s v="RM"/>
    <s v="CASH"/>
    <x v="0"/>
    <s v="BKE-001"/>
    <x v="26"/>
    <x v="26"/>
    <s v="4972KB01"/>
    <s v="0429-0606"/>
    <n v="355"/>
    <n v="23653"/>
    <n v="477"/>
    <n v="41120"/>
    <n v="40643"/>
    <n v="472"/>
    <n v="0"/>
    <n v="5"/>
    <n v="20"/>
    <n v="40623"/>
    <n v="500"/>
    <n v="20311500"/>
    <n v="9.1"/>
    <n v="163"/>
    <n v="42.15"/>
    <m/>
    <s v="DIKODOUGOU"/>
    <m/>
    <m/>
  </r>
  <r>
    <n v="788"/>
    <d v="2026-04-24T00:00:00"/>
    <x v="66"/>
    <s v="RM"/>
    <s v="CREDIT"/>
    <x v="0"/>
    <s v="BKE-001"/>
    <x v="4"/>
    <x v="4"/>
    <s v="7242JS01"/>
    <s v="0425-0068"/>
    <n v="356"/>
    <n v="18679"/>
    <n v="535"/>
    <n v="46840"/>
    <n v="46305"/>
    <n v="515"/>
    <n v="20"/>
    <n v="0"/>
    <n v="160"/>
    <n v="46145"/>
    <n v="510"/>
    <n v="23533950"/>
    <n v="11"/>
    <n v="160"/>
    <n v="44.09"/>
    <m/>
    <s v="NIAKARA"/>
    <m/>
    <m/>
  </r>
  <r>
    <n v="789"/>
    <d v="2026-04-24T00:00:00"/>
    <x v="66"/>
    <s v="RM"/>
    <s v="CREDIT"/>
    <x v="0"/>
    <s v="BKE-001"/>
    <x v="20"/>
    <x v="20"/>
    <s v="2289FS04"/>
    <s v="0425-0001"/>
    <n v="357"/>
    <n v="18635"/>
    <n v="479"/>
    <n v="38780"/>
    <n v="38301"/>
    <n v="454"/>
    <n v="0"/>
    <n v="25"/>
    <n v="100"/>
    <n v="38201"/>
    <n v="510"/>
    <n v="19482510"/>
    <n v="10.8"/>
    <n v="168"/>
    <n v="43.56"/>
    <m/>
    <s v="KATIOLA"/>
    <m/>
    <m/>
  </r>
  <r>
    <n v="790"/>
    <d v="2026-04-24T00:00:00"/>
    <x v="66"/>
    <s v="RM"/>
    <s v="CREDIT"/>
    <x v="0"/>
    <s v="BKE-002"/>
    <x v="20"/>
    <x v="20"/>
    <s v="8773JC01"/>
    <s v="0425-0001"/>
    <n v="358"/>
    <n v="38500"/>
    <n v="444"/>
    <n v="36180"/>
    <n v="35736"/>
    <n v="432"/>
    <n v="0"/>
    <n v="12"/>
    <n v="48"/>
    <n v="35688"/>
    <n v="510"/>
    <n v="18200880"/>
    <n v="9.6"/>
    <n v="160"/>
    <n v="42.79"/>
    <m/>
    <s v="MANKONO"/>
    <m/>
    <m/>
  </r>
  <r>
    <n v="791"/>
    <d v="2026-04-24T00:00:00"/>
    <x v="66"/>
    <s v="RM"/>
    <s v="CREDIT"/>
    <x v="1"/>
    <m/>
    <x v="18"/>
    <x v="18"/>
    <s v="AA141VT01 "/>
    <s v="0420-0251"/>
    <n v="714"/>
    <n v="37585"/>
    <n v="532"/>
    <n v="45520"/>
    <n v="44988"/>
    <n v="497"/>
    <n v="20"/>
    <n v="0"/>
    <n v="160"/>
    <n v="44828"/>
    <n v="515"/>
    <n v="23086420"/>
    <n v="10.5"/>
    <n v="167"/>
    <n v="43.21"/>
    <m/>
    <m/>
    <m/>
    <m/>
  </r>
  <r>
    <n v="792"/>
    <d v="2026-04-24T00:00:00"/>
    <x v="66"/>
    <s v="RM"/>
    <s v="CREDIT"/>
    <x v="1"/>
    <m/>
    <x v="45"/>
    <x v="46"/>
    <s v="AA547FT01"/>
    <m/>
    <n v="715"/>
    <m/>
    <n v="506"/>
    <n v="49120"/>
    <n v="48614"/>
    <n v="491"/>
    <n v="20"/>
    <n v="0"/>
    <n v="160"/>
    <n v="48454"/>
    <n v="515"/>
    <n v="24953810"/>
    <n v="10.3"/>
    <n v="161"/>
    <n v="41.35"/>
    <m/>
    <m/>
    <s v="SCOOPS PS"/>
    <m/>
  </r>
  <r>
    <n v="793"/>
    <d v="2026-04-24T00:00:00"/>
    <x v="66"/>
    <s v="RM"/>
    <s v="CASH"/>
    <x v="1"/>
    <m/>
    <x v="31"/>
    <x v="38"/>
    <s v="3257KE01"/>
    <s v="0427-0091"/>
    <n v="718"/>
    <n v="83830"/>
    <n v="474"/>
    <n v="40220"/>
    <n v="39746"/>
    <n v="452"/>
    <n v="80"/>
    <n v="0"/>
    <n v="640"/>
    <n v="39106"/>
    <n v="515"/>
    <n v="20139590"/>
    <n v="13.1"/>
    <n v="179"/>
    <n v="43.65"/>
    <m/>
    <s v="KOLIA"/>
    <m/>
    <m/>
  </r>
  <r>
    <n v="794"/>
    <d v="2026-04-24T00:00:00"/>
    <x v="66"/>
    <s v="RM"/>
    <s v="CREDIT"/>
    <x v="1"/>
    <m/>
    <x v="45"/>
    <x v="46"/>
    <s v="9970HE07 "/>
    <m/>
    <n v="722"/>
    <m/>
    <n v="533"/>
    <n v="46090"/>
    <n v="45557"/>
    <n v="503"/>
    <n v="30"/>
    <n v="0"/>
    <n v="240"/>
    <n v="45317"/>
    <n v="515"/>
    <n v="23338255"/>
    <n v="14.2"/>
    <n v="160"/>
    <n v="42.76"/>
    <m/>
    <s v="BROBO"/>
    <s v="SCOOPS PS"/>
    <m/>
  </r>
  <r>
    <n v="795"/>
    <d v="2026-04-24T00:00:00"/>
    <x v="66"/>
    <s v="RM"/>
    <s v="CREDIT"/>
    <x v="1"/>
    <m/>
    <x v="10"/>
    <x v="10"/>
    <s v="4981JR04 "/>
    <s v="0425-0212"/>
    <n v="724"/>
    <n v="19783"/>
    <n v="501"/>
    <n v="40790"/>
    <n v="40289"/>
    <n v="431"/>
    <n v="70"/>
    <n v="0"/>
    <n v="560"/>
    <n v="39729"/>
    <n v="515"/>
    <n v="20460435"/>
    <n v="13.5"/>
    <n v="171"/>
    <n v="44.62"/>
    <m/>
    <s v="BONIEREDOUGOU"/>
    <m/>
    <m/>
  </r>
  <r>
    <n v="796"/>
    <d v="2026-04-25T00:00:00"/>
    <x v="66"/>
    <s v="RM"/>
    <s v="CREDIT"/>
    <x v="0"/>
    <s v="BKE-002"/>
    <x v="5"/>
    <x v="5"/>
    <s v="2023HF01"/>
    <s v="0426-0194"/>
    <n v="359"/>
    <n v="31662"/>
    <n v="235"/>
    <n v="18580"/>
    <n v="18345"/>
    <n v="210"/>
    <n v="25"/>
    <n v="0"/>
    <n v="200"/>
    <n v="18145"/>
    <n v="500"/>
    <n v="9072500"/>
    <n v="11.9"/>
    <n v="175"/>
    <n v="42.15"/>
    <m/>
    <s v="MBAHIAKRO"/>
    <m/>
    <m/>
  </r>
  <r>
    <n v="797"/>
    <d v="2026-04-25T00:00:00"/>
    <x v="66"/>
    <s v="RM"/>
    <s v="CREDIT"/>
    <x v="0"/>
    <s v="BKE-002"/>
    <x v="20"/>
    <x v="20"/>
    <s v="8868EK03"/>
    <s v="0425-0001"/>
    <n v="360"/>
    <n v="15483"/>
    <n v="490"/>
    <n v="40620"/>
    <n v="40130"/>
    <n v="475"/>
    <n v="15"/>
    <n v="0"/>
    <n v="120"/>
    <n v="40010"/>
    <n v="500"/>
    <n v="20005000"/>
    <n v="11"/>
    <n v="175"/>
    <n v="41.09"/>
    <m/>
    <s v="KORHOGO"/>
    <m/>
    <m/>
  </r>
  <r>
    <n v="798"/>
    <d v="2026-04-25T00:00:00"/>
    <x v="66"/>
    <m/>
    <m/>
    <x v="0"/>
    <m/>
    <x v="63"/>
    <x v="64"/>
    <s v="2396KY01/6870GV01"/>
    <m/>
    <n v="0"/>
    <m/>
    <n v="0"/>
    <n v="0"/>
    <n v="0"/>
    <m/>
    <m/>
    <m/>
    <m/>
    <m/>
    <m/>
    <m/>
    <n v="10.7"/>
    <n v="182"/>
    <n v="39.683250000000001"/>
    <m/>
    <s v="DALOA"/>
    <s v="REJECT"/>
    <m/>
  </r>
  <r>
    <n v="799"/>
    <d v="2026-04-25T00:00:00"/>
    <x v="66"/>
    <m/>
    <m/>
    <x v="0"/>
    <m/>
    <x v="64"/>
    <x v="65"/>
    <s v="750EH01/3742GR01"/>
    <m/>
    <n v="0"/>
    <m/>
    <n v="0"/>
    <n v="0"/>
    <n v="0"/>
    <m/>
    <m/>
    <m/>
    <m/>
    <m/>
    <m/>
    <m/>
    <n v="11.4"/>
    <n v="157"/>
    <n v="41.446950000000001"/>
    <m/>
    <s v="DIANRA"/>
    <s v="REJECT"/>
    <m/>
  </r>
  <r>
    <n v="800"/>
    <d v="2026-04-25T00:00:00"/>
    <x v="66"/>
    <m/>
    <m/>
    <x v="0"/>
    <m/>
    <x v="26"/>
    <x v="26"/>
    <s v="8113GA04"/>
    <m/>
    <n v="0"/>
    <m/>
    <n v="0"/>
    <n v="0"/>
    <n v="0"/>
    <m/>
    <m/>
    <m/>
    <m/>
    <m/>
    <m/>
    <m/>
    <n v="12.3"/>
    <n v="159"/>
    <n v="40.212359999999997"/>
    <m/>
    <s v="KORHOGO"/>
    <s v="REJECT"/>
    <m/>
  </r>
  <r>
    <n v="801"/>
    <d v="2026-04-25T00:00:00"/>
    <x v="66"/>
    <m/>
    <m/>
    <x v="0"/>
    <m/>
    <x v="48"/>
    <x v="49"/>
    <s v="3039KT01/7442CL02"/>
    <m/>
    <n v="0"/>
    <m/>
    <n v="0"/>
    <n v="0"/>
    <n v="0"/>
    <m/>
    <m/>
    <m/>
    <m/>
    <m/>
    <m/>
    <m/>
    <n v="10.8"/>
    <n v="179"/>
    <n v="37.919550000000001"/>
    <m/>
    <s v="KOUIBLY"/>
    <s v="REJECT"/>
    <m/>
  </r>
  <r>
    <n v="802"/>
    <d v="2026-04-25T00:00:00"/>
    <x v="66"/>
    <m/>
    <m/>
    <x v="0"/>
    <m/>
    <x v="7"/>
    <x v="7"/>
    <s v="1437FK03/821BG03"/>
    <m/>
    <n v="0"/>
    <m/>
    <n v="0"/>
    <n v="0"/>
    <n v="0"/>
    <m/>
    <m/>
    <m/>
    <m/>
    <m/>
    <m/>
    <m/>
    <n v="8.4"/>
    <n v="162"/>
    <n v="38.272289999999998"/>
    <m/>
    <s v="MADINANI"/>
    <s v="REJECT"/>
    <m/>
  </r>
  <r>
    <n v="803"/>
    <d v="2026-04-25T00:00:00"/>
    <x v="66"/>
    <m/>
    <m/>
    <x v="0"/>
    <m/>
    <x v="7"/>
    <x v="7"/>
    <s v="5563GX03/5195CF03"/>
    <m/>
    <n v="0"/>
    <m/>
    <n v="0"/>
    <n v="0"/>
    <n v="0"/>
    <m/>
    <m/>
    <m/>
    <m/>
    <m/>
    <m/>
    <m/>
    <n v="8.4"/>
    <n v="160"/>
    <n v="37.919550000000001"/>
    <m/>
    <s v="MADINANI"/>
    <s v="REJECT"/>
    <m/>
  </r>
  <r>
    <n v="804"/>
    <d v="2026-04-25T00:00:00"/>
    <x v="66"/>
    <m/>
    <m/>
    <x v="0"/>
    <m/>
    <x v="49"/>
    <x v="50"/>
    <s v="9064HV01/3245RY01"/>
    <m/>
    <n v="0"/>
    <m/>
    <n v="0"/>
    <n v="0"/>
    <n v="0"/>
    <m/>
    <m/>
    <m/>
    <m/>
    <m/>
    <m/>
    <m/>
    <n v="10"/>
    <n v="164"/>
    <n v="41.094209999999997"/>
    <m/>
    <s v="BOUAKE"/>
    <s v="REJECT"/>
    <m/>
  </r>
  <r>
    <n v="805"/>
    <d v="2026-04-25T00:00:00"/>
    <x v="66"/>
    <m/>
    <m/>
    <x v="0"/>
    <m/>
    <x v="54"/>
    <x v="55"/>
    <s v="792LS04/875HB04"/>
    <m/>
    <n v="0"/>
    <m/>
    <n v="0"/>
    <n v="0"/>
    <n v="0"/>
    <m/>
    <m/>
    <m/>
    <m/>
    <m/>
    <m/>
    <m/>
    <n v="10.9"/>
    <n v="164"/>
    <n v="41.446950000000001"/>
    <m/>
    <s v="MANKONO"/>
    <s v="REJECT"/>
    <m/>
  </r>
  <r>
    <n v="806"/>
    <d v="2026-04-25T00:00:00"/>
    <x v="66"/>
    <m/>
    <m/>
    <x v="0"/>
    <m/>
    <x v="65"/>
    <x v="66"/>
    <s v="AA215CV03/AA228CV03"/>
    <m/>
    <n v="0"/>
    <m/>
    <n v="0"/>
    <n v="0"/>
    <n v="0"/>
    <m/>
    <m/>
    <m/>
    <m/>
    <m/>
    <m/>
    <m/>
    <n v="9.9"/>
    <n v="158"/>
    <n v="40.212359999999997"/>
    <m/>
    <s v="BEOUMI"/>
    <s v="REJECT"/>
    <m/>
  </r>
  <r>
    <n v="807"/>
    <d v="2026-04-25T00:00:00"/>
    <x v="66"/>
    <m/>
    <m/>
    <x v="1"/>
    <m/>
    <x v="66"/>
    <x v="67"/>
    <s v="2022LL03/AA497CF"/>
    <m/>
    <m/>
    <m/>
    <m/>
    <n v="0"/>
    <n v="0"/>
    <m/>
    <n v="0"/>
    <m/>
    <n v="0"/>
    <n v="0"/>
    <m/>
    <n v="0"/>
    <n v="13.3"/>
    <n v="175"/>
    <n v="39.33"/>
    <m/>
    <s v="TIEBISSOU"/>
    <s v="REJECT"/>
    <m/>
  </r>
  <r>
    <n v="808"/>
    <d v="2026-04-25T00:00:00"/>
    <x v="66"/>
    <m/>
    <m/>
    <x v="1"/>
    <m/>
    <x v="23"/>
    <x v="23"/>
    <s v="412EJ02/1930K01"/>
    <m/>
    <m/>
    <m/>
    <m/>
    <n v="0"/>
    <n v="0"/>
    <m/>
    <n v="0"/>
    <m/>
    <n v="0"/>
    <n v="0"/>
    <m/>
    <n v="0"/>
    <n v="11.1"/>
    <n v="185"/>
    <n v="41.53"/>
    <m/>
    <s v="DALOA"/>
    <s v="REJECT"/>
    <m/>
  </r>
  <r>
    <n v="809"/>
    <d v="2026-04-25T00:00:00"/>
    <x v="66"/>
    <m/>
    <m/>
    <x v="1"/>
    <m/>
    <x v="10"/>
    <x v="10"/>
    <s v="621KF01/8421GH01"/>
    <m/>
    <m/>
    <m/>
    <m/>
    <n v="0"/>
    <n v="0"/>
    <m/>
    <n v="0"/>
    <m/>
    <n v="0"/>
    <n v="0"/>
    <m/>
    <n v="0"/>
    <n v="11.1"/>
    <n v="190"/>
    <n v="40.380000000000003"/>
    <m/>
    <s v="MAN "/>
    <s v="REJECT"/>
    <m/>
  </r>
  <r>
    <n v="810"/>
    <d v="2026-04-25T00:00:00"/>
    <x v="66"/>
    <m/>
    <m/>
    <x v="1"/>
    <m/>
    <x v="45"/>
    <x v="46"/>
    <s v="9133JK01/2099LY01"/>
    <m/>
    <m/>
    <m/>
    <m/>
    <n v="0"/>
    <n v="0"/>
    <m/>
    <n v="0"/>
    <m/>
    <n v="0"/>
    <n v="0"/>
    <m/>
    <n v="0"/>
    <n v="12.6"/>
    <n v="152"/>
    <n v="41.44"/>
    <m/>
    <s v="BOUAKE"/>
    <s v="REJECT"/>
    <m/>
  </r>
  <r>
    <n v="811"/>
    <d v="2026-04-25T00:00:00"/>
    <x v="66"/>
    <m/>
    <m/>
    <x v="1"/>
    <m/>
    <x v="45"/>
    <x v="46"/>
    <s v="7153KB04/4807HE03"/>
    <m/>
    <m/>
    <m/>
    <m/>
    <n v="0"/>
    <n v="0"/>
    <m/>
    <n v="0"/>
    <m/>
    <n v="0"/>
    <n v="0"/>
    <m/>
    <n v="0"/>
    <n v="17.8"/>
    <n v="163"/>
    <n v="41.53"/>
    <m/>
    <s v="BOUAKE"/>
    <s v="REJECT"/>
    <m/>
  </r>
  <r>
    <n v="812"/>
    <d v="2026-04-26T00:00:00"/>
    <x v="67"/>
    <m/>
    <m/>
    <x v="0"/>
    <m/>
    <x v="20"/>
    <x v="20"/>
    <s v="307JE01/8922JC04"/>
    <m/>
    <m/>
    <m/>
    <m/>
    <m/>
    <m/>
    <m/>
    <m/>
    <m/>
    <m/>
    <m/>
    <m/>
    <m/>
    <n v="12.9"/>
    <n v="167"/>
    <n v="40.212359999999997"/>
    <m/>
    <s v="KATIOLA"/>
    <s v="REJECT"/>
    <m/>
  </r>
  <r>
    <n v="813"/>
    <d v="2026-04-21T00:00:00"/>
    <x v="67"/>
    <s v="RM"/>
    <s v="CASH"/>
    <x v="1"/>
    <m/>
    <x v="58"/>
    <x v="59"/>
    <s v="4214JH03 "/>
    <s v="0401-0057"/>
    <n v="727"/>
    <m/>
    <n v="481"/>
    <n v="40250"/>
    <n v="39769"/>
    <n v="273"/>
    <n v="26"/>
    <n v="0"/>
    <n v="208"/>
    <n v="39561"/>
    <n v="515"/>
    <n v="20373915"/>
    <n v="11.8"/>
    <n v="168"/>
    <n v="42.59"/>
    <m/>
    <s v="TIEBISSOU"/>
    <m/>
    <m/>
  </r>
  <r>
    <n v="814"/>
    <d v="2026-04-24T00:00:00"/>
    <x v="67"/>
    <s v="RM"/>
    <s v="CREDIT"/>
    <x v="1"/>
    <m/>
    <x v="45"/>
    <x v="46"/>
    <s v="7444FK03 "/>
    <m/>
    <n v="726"/>
    <m/>
    <n v="497"/>
    <n v="41880"/>
    <n v="41383"/>
    <n v="487"/>
    <n v="10"/>
    <n v="0"/>
    <n v="80"/>
    <n v="41303"/>
    <n v="510"/>
    <n v="21064530"/>
    <n v="10.8"/>
    <n v="175"/>
    <n v="43.65"/>
    <m/>
    <s v="BOUNDIALI"/>
    <s v="KONE ADAMA"/>
    <m/>
  </r>
  <r>
    <n v="815"/>
    <d v="2026-04-25T00:00:00"/>
    <x v="67"/>
    <s v="RM"/>
    <s v="CASH"/>
    <x v="0"/>
    <s v="BKE-001"/>
    <x v="35"/>
    <x v="35"/>
    <s v="838LX01"/>
    <s v="0401-0191"/>
    <n v="361"/>
    <n v="34489"/>
    <n v="496"/>
    <n v="40600"/>
    <n v="40104"/>
    <n v="471"/>
    <n v="0"/>
    <n v="25"/>
    <n v="100"/>
    <n v="40004"/>
    <n v="495"/>
    <n v="19801980"/>
    <n v="10.5"/>
    <n v="162"/>
    <n v="42.15"/>
    <m/>
    <s v="KOUTO"/>
    <m/>
    <m/>
  </r>
  <r>
    <n v="816"/>
    <d v="2026-04-25T00:00:00"/>
    <x v="67"/>
    <s v="RM"/>
    <s v="CREDIT"/>
    <x v="0"/>
    <s v="BKE-001"/>
    <x v="17"/>
    <x v="17"/>
    <s v="6872HB01"/>
    <s v="0425-0055"/>
    <n v="362"/>
    <n v="18441"/>
    <n v="529"/>
    <n v="42520"/>
    <n v="41991"/>
    <n v="516"/>
    <n v="0"/>
    <n v="13"/>
    <n v="52"/>
    <n v="41939"/>
    <n v="495"/>
    <n v="20759805"/>
    <n v="10.199999999999999"/>
    <n v="160"/>
    <n v="41.09"/>
    <m/>
    <s v="KATIOLA"/>
    <m/>
    <m/>
  </r>
  <r>
    <n v="817"/>
    <d v="2026-04-25T00:00:00"/>
    <x v="67"/>
    <s v="RM"/>
    <s v="CREDIT"/>
    <x v="0"/>
    <s v="BKE-001"/>
    <x v="13"/>
    <x v="13"/>
    <s v="8874FS04"/>
    <s v="0426-0365"/>
    <n v="364"/>
    <n v="32758"/>
    <n v="218"/>
    <n v="19420"/>
    <n v="19202"/>
    <n v="203"/>
    <n v="15"/>
    <n v="0"/>
    <n v="120"/>
    <n v="19082"/>
    <n v="495"/>
    <n v="9445590"/>
    <n v="11.9"/>
    <n v="164"/>
    <n v="41.97"/>
    <m/>
    <s v="BOUAKE"/>
    <m/>
    <m/>
  </r>
  <r>
    <n v="818"/>
    <d v="2026-04-25T00:00:00"/>
    <x v="67"/>
    <s v="RM"/>
    <s v="CREDIT"/>
    <x v="0"/>
    <s v="BKE-001"/>
    <x v="11"/>
    <x v="11"/>
    <s v="6305EP01"/>
    <s v="0431-0277"/>
    <n v="363"/>
    <n v="87096"/>
    <n v="405"/>
    <n v="33960"/>
    <n v="33555"/>
    <n v="393"/>
    <n v="0"/>
    <n v="12"/>
    <n v="48"/>
    <n v="33507"/>
    <n v="495"/>
    <n v="16585965"/>
    <n v="10.3"/>
    <n v="165"/>
    <n v="41.79"/>
    <m/>
    <s v="MANKONO"/>
    <m/>
    <m/>
  </r>
  <r>
    <n v="819"/>
    <d v="2026-04-26T00:00:00"/>
    <x v="67"/>
    <m/>
    <m/>
    <x v="1"/>
    <m/>
    <x v="39"/>
    <x v="40"/>
    <s v="3709LF01/3048SE02"/>
    <m/>
    <m/>
    <m/>
    <m/>
    <n v="0"/>
    <m/>
    <m/>
    <n v="0"/>
    <m/>
    <n v="0"/>
    <n v="0"/>
    <m/>
    <n v="0"/>
    <n v="12.4"/>
    <n v="179"/>
    <n v="40.119999999999997"/>
    <m/>
    <s v="BOUAFLE"/>
    <s v="REJECT"/>
    <m/>
  </r>
  <r>
    <n v="820"/>
    <d v="2026-04-27T00:00:00"/>
    <x v="68"/>
    <m/>
    <m/>
    <x v="1"/>
    <m/>
    <x v="46"/>
    <x v="47"/>
    <s v="3452HA01"/>
    <m/>
    <m/>
    <m/>
    <m/>
    <n v="0"/>
    <m/>
    <m/>
    <m/>
    <m/>
    <m/>
    <n v="0"/>
    <m/>
    <n v="0"/>
    <n v="14"/>
    <n v="182"/>
    <n v="40.56"/>
    <m/>
    <s v="DUEKOUE"/>
    <s v="REJECT"/>
    <m/>
  </r>
  <r>
    <n v="821"/>
    <d v="2026-04-27T00:00:00"/>
    <x v="68"/>
    <m/>
    <m/>
    <x v="1"/>
    <m/>
    <x v="57"/>
    <x v="58"/>
    <s v="4747JL03"/>
    <m/>
    <m/>
    <m/>
    <m/>
    <n v="0"/>
    <m/>
    <m/>
    <m/>
    <m/>
    <m/>
    <n v="0"/>
    <m/>
    <n v="0"/>
    <n v="12.5"/>
    <n v="169"/>
    <n v="40.909999999999997"/>
    <m/>
    <s v="DALOA"/>
    <s v="REJECT"/>
    <m/>
  </r>
  <r>
    <n v="822"/>
    <d v="2026-04-27T00:00:00"/>
    <x v="68"/>
    <m/>
    <m/>
    <x v="1"/>
    <m/>
    <x v="51"/>
    <x v="52"/>
    <s v="AA576QV02"/>
    <m/>
    <m/>
    <m/>
    <m/>
    <n v="0"/>
    <m/>
    <m/>
    <m/>
    <m/>
    <m/>
    <n v="0"/>
    <m/>
    <n v="0"/>
    <n v="11.6"/>
    <n v="186"/>
    <n v="41.09"/>
    <m/>
    <s v="VAVOUA"/>
    <s v="REJECT"/>
    <m/>
  </r>
  <r>
    <n v="823"/>
    <d v="2026-04-27T00:00:00"/>
    <x v="68"/>
    <m/>
    <m/>
    <x v="0"/>
    <m/>
    <x v="11"/>
    <x v="11"/>
    <s v="8014CL01"/>
    <m/>
    <m/>
    <m/>
    <m/>
    <m/>
    <m/>
    <m/>
    <m/>
    <m/>
    <m/>
    <m/>
    <m/>
    <m/>
    <n v="12.6"/>
    <n v="151"/>
    <n v="38.801400000000001"/>
    <m/>
    <s v="KOUNAHIRI"/>
    <s v="REJECT"/>
    <m/>
  </r>
  <r>
    <n v="824"/>
    <d v="2026-04-27T00:00:00"/>
    <x v="68"/>
    <m/>
    <m/>
    <x v="0"/>
    <m/>
    <x v="0"/>
    <x v="0"/>
    <s v="5012HJ01/3822CF01"/>
    <m/>
    <m/>
    <m/>
    <m/>
    <m/>
    <m/>
    <m/>
    <m/>
    <m/>
    <m/>
    <m/>
    <m/>
    <m/>
    <n v="10.7"/>
    <n v="180"/>
    <n v="40.212359999999997"/>
    <m/>
    <s v="BOUAKE"/>
    <s v="REJECT"/>
    <m/>
  </r>
  <r>
    <n v="825"/>
    <d v="2026-04-27T00:00:00"/>
    <x v="68"/>
    <m/>
    <m/>
    <x v="0"/>
    <m/>
    <x v="8"/>
    <x v="8"/>
    <s v="1114KZ01/1700KZ01"/>
    <m/>
    <m/>
    <m/>
    <m/>
    <m/>
    <m/>
    <m/>
    <m/>
    <m/>
    <m/>
    <m/>
    <m/>
    <m/>
    <n v="16"/>
    <n v="154"/>
    <n v="39.154139999999998"/>
    <m/>
    <s v="BOUAKE"/>
    <s v="REJECT"/>
    <m/>
  </r>
  <r>
    <n v="826"/>
    <d v="2026-04-26T00:00:00"/>
    <x v="68"/>
    <s v="RM"/>
    <s v="CREDIT"/>
    <x v="0"/>
    <s v="BKE-001"/>
    <x v="11"/>
    <x v="11"/>
    <s v="5947KJ04"/>
    <s v="0431-0277"/>
    <n v="365"/>
    <n v="87097"/>
    <n v="689"/>
    <n v="57120"/>
    <n v="56431"/>
    <n v="609"/>
    <n v="80"/>
    <n v="0"/>
    <n v="640"/>
    <n v="55791"/>
    <n v="510"/>
    <n v="28453410"/>
    <n v="13.1"/>
    <n v="161"/>
    <n v="43.05"/>
    <m/>
    <s v="BOUAKE"/>
    <m/>
    <m/>
  </r>
  <r>
    <n v="827"/>
    <d v="2026-04-26T00:00:00"/>
    <x v="68"/>
    <s v="RM"/>
    <s v="CREDIT"/>
    <x v="0"/>
    <s v="BKE-001"/>
    <x v="7"/>
    <x v="7"/>
    <s v="1070GG01"/>
    <s v="0427-0007"/>
    <n v="366"/>
    <n v="37643"/>
    <n v="472"/>
    <n v="40620"/>
    <n v="40148"/>
    <n v="460"/>
    <n v="0"/>
    <n v="12"/>
    <n v="48"/>
    <n v="40100"/>
    <n v="495"/>
    <n v="19849500"/>
    <n v="8.6"/>
    <n v="176"/>
    <n v="41.27"/>
    <m/>
    <s v="DIANRA"/>
    <m/>
    <m/>
  </r>
  <r>
    <n v="828"/>
    <d v="2026-04-26T00:00:00"/>
    <x v="68"/>
    <s v="RM"/>
    <s v="CREDIT"/>
    <x v="0"/>
    <s v="BKE-001"/>
    <x v="11"/>
    <x v="11"/>
    <s v="4434EZ01"/>
    <s v="0431-0277"/>
    <n v="367"/>
    <n v="60725"/>
    <n v="432"/>
    <n v="33300"/>
    <n v="32868"/>
    <n v="392"/>
    <n v="40"/>
    <n v="0"/>
    <n v="320"/>
    <n v="32548"/>
    <n v="505"/>
    <n v="16436740"/>
    <n v="12.3"/>
    <n v="163"/>
    <n v="42.5"/>
    <m/>
    <s v="ZOUKOUGBEU"/>
    <m/>
    <m/>
  </r>
  <r>
    <n v="829"/>
    <d v="2026-04-27T00:00:00"/>
    <x v="68"/>
    <s v="RM"/>
    <s v="CREDIT"/>
    <x v="0"/>
    <s v="BKE-001"/>
    <x v="20"/>
    <x v="20"/>
    <s v="2387JE01"/>
    <s v="0425-0001"/>
    <n v="368"/>
    <n v="37026"/>
    <n v="406"/>
    <n v="32160"/>
    <n v="31754"/>
    <n v="406"/>
    <n v="0"/>
    <n v="0"/>
    <n v="0"/>
    <n v="31754"/>
    <n v="500"/>
    <n v="15877000"/>
    <n v="12"/>
    <n v="162"/>
    <n v="41.97"/>
    <m/>
    <s v="SEGUELA"/>
    <m/>
    <m/>
  </r>
  <r>
    <n v="830"/>
    <d v="2026-04-27T00:00:00"/>
    <x v="68"/>
    <s v="RM"/>
    <s v="CREDIT"/>
    <x v="0"/>
    <s v="BKE-002"/>
    <x v="8"/>
    <x v="8"/>
    <s v="1760GZ03"/>
    <s v="0426-0340"/>
    <n v="369"/>
    <n v="32068"/>
    <n v="668"/>
    <n v="53240"/>
    <n v="52572"/>
    <n v="638"/>
    <n v="30"/>
    <n v="0"/>
    <n v="240"/>
    <n v="52332"/>
    <n v="495"/>
    <n v="25904340"/>
    <n v="11.4"/>
    <n v="183"/>
    <n v="41.09"/>
    <m/>
    <s v="BOUAKE"/>
    <m/>
    <m/>
  </r>
  <r>
    <n v="831"/>
    <d v="2026-04-27T00:00:00"/>
    <x v="68"/>
    <s v="RM"/>
    <s v="CREDIT"/>
    <x v="0"/>
    <s v="BKE-002"/>
    <x v="6"/>
    <x v="6"/>
    <s v="1026FL01"/>
    <s v="0426-0347"/>
    <n v="370"/>
    <n v="31992"/>
    <n v="398"/>
    <n v="31760"/>
    <n v="31362"/>
    <n v="385"/>
    <n v="0"/>
    <n v="13"/>
    <n v="52"/>
    <n v="31310"/>
    <n v="495"/>
    <n v="15498450"/>
    <n v="9.4"/>
    <n v="179"/>
    <n v="41.27"/>
    <m/>
    <s v="VAVOUA"/>
    <m/>
    <m/>
  </r>
  <r>
    <n v="832"/>
    <d v="2026-04-25T00:00:00"/>
    <x v="68"/>
    <s v="RM"/>
    <s v="CREDIT"/>
    <x v="1"/>
    <m/>
    <x v="9"/>
    <x v="9"/>
    <s v="2319LR02 "/>
    <s v="0419-0180"/>
    <n v="727"/>
    <m/>
    <n v="492"/>
    <n v="39790"/>
    <n v="39298"/>
    <n v="483"/>
    <n v="20"/>
    <n v="0"/>
    <n v="160"/>
    <n v="39138"/>
    <n v="515"/>
    <n v="20156070"/>
    <n v="11.5"/>
    <n v="178"/>
    <n v="43.73"/>
    <m/>
    <s v="VAVOUA"/>
    <m/>
    <m/>
  </r>
  <r>
    <n v="833"/>
    <d v="2026-04-25T00:00:00"/>
    <x v="68"/>
    <s v="RM"/>
    <s v="CREDIT"/>
    <x v="1"/>
    <m/>
    <x v="45"/>
    <x v="46"/>
    <s v="9791HS03 "/>
    <m/>
    <n v="728"/>
    <m/>
    <n v="591"/>
    <n v="50570"/>
    <n v="49979"/>
    <n v="576"/>
    <n v="20"/>
    <n v="0"/>
    <n v="160"/>
    <n v="49819"/>
    <n v="505"/>
    <n v="25158595"/>
    <n v="11.7"/>
    <n v="160"/>
    <n v="44.18"/>
    <m/>
    <s v="MANKONO"/>
    <s v="KONE ADAMA"/>
    <m/>
  </r>
  <r>
    <n v="834"/>
    <d v="2026-04-25T00:00:00"/>
    <x v="68"/>
    <s v="RM"/>
    <s v="CREDIT"/>
    <x v="1"/>
    <m/>
    <x v="9"/>
    <x v="9"/>
    <s v="9333WWCI01 "/>
    <s v="0419-0180"/>
    <n v="729"/>
    <n v="78884"/>
    <n v="601"/>
    <n v="51800"/>
    <n v="51199"/>
    <n v="592"/>
    <n v="30"/>
    <n v="0"/>
    <n v="240"/>
    <n v="50959"/>
    <n v="490"/>
    <n v="24969910"/>
    <n v="12.1"/>
    <n v="173"/>
    <n v="41.62"/>
    <m/>
    <s v="VAVOUA"/>
    <m/>
    <m/>
  </r>
  <r>
    <n v="835"/>
    <d v="2026-04-26T00:00:00"/>
    <x v="68"/>
    <s v="RM"/>
    <s v="CASH"/>
    <x v="1"/>
    <m/>
    <x v="51"/>
    <x v="52"/>
    <s v="1861KY01 "/>
    <s v="0429-0462"/>
    <n v="730"/>
    <n v="28997"/>
    <n v="660"/>
    <n v="54860"/>
    <n v="54200"/>
    <n v="647"/>
    <n v="0"/>
    <n v="15"/>
    <n v="60"/>
    <n v="54140"/>
    <n v="515"/>
    <n v="27882100"/>
    <n v="9.5"/>
    <n v="190"/>
    <n v="42.59"/>
    <m/>
    <s v="VAVOUA"/>
    <m/>
    <m/>
  </r>
  <r>
    <n v="836"/>
    <d v="2026-04-25T00:00:00"/>
    <x v="68"/>
    <s v="RM"/>
    <s v="CREDIT"/>
    <x v="1"/>
    <m/>
    <x v="45"/>
    <x v="46"/>
    <s v="AA518FY01 "/>
    <m/>
    <n v="731"/>
    <m/>
    <n v="426"/>
    <n v="38110"/>
    <n v="37684"/>
    <n v="420"/>
    <n v="30"/>
    <n v="0"/>
    <n v="240"/>
    <n v="37444"/>
    <n v="505"/>
    <n v="18909220"/>
    <n v="12.9"/>
    <n v="158"/>
    <n v="43.58"/>
    <m/>
    <s v="KATIOLA"/>
    <s v="SCOOPS PAGNELE (CDAG)"/>
    <m/>
  </r>
  <r>
    <n v="837"/>
    <d v="2026-04-25T00:00:00"/>
    <x v="68"/>
    <s v="RM"/>
    <s v="CREDIT"/>
    <x v="1"/>
    <m/>
    <x v="9"/>
    <x v="9"/>
    <s v="2744KK02 "/>
    <s v="0419-0180"/>
    <n v="733"/>
    <n v="78885"/>
    <n v="507"/>
    <n v="42050"/>
    <n v="41543"/>
    <n v="495"/>
    <n v="15"/>
    <n v="0"/>
    <n v="120"/>
    <n v="41423"/>
    <n v="515"/>
    <n v="21332845"/>
    <n v="10.5"/>
    <n v="184"/>
    <n v="42.94"/>
    <m/>
    <s v="VAVOUA"/>
    <m/>
    <m/>
  </r>
  <r>
    <n v="838"/>
    <d v="2026-04-26T00:00:00"/>
    <x v="68"/>
    <s v="RM"/>
    <s v="CASH"/>
    <x v="1"/>
    <m/>
    <x v="31"/>
    <x v="38"/>
    <s v="2605LP03 "/>
    <s v="0427-0091"/>
    <n v="732"/>
    <n v="23295"/>
    <n v="450"/>
    <n v="42060"/>
    <n v="41610"/>
    <n v="440"/>
    <n v="0"/>
    <n v="10"/>
    <n v="40"/>
    <n v="41570"/>
    <n v="515"/>
    <n v="21408550"/>
    <n v="10.1"/>
    <n v="176"/>
    <n v="42.85"/>
    <m/>
    <s v="TENGRELA"/>
    <m/>
    <m/>
  </r>
  <r>
    <n v="839"/>
    <d v="2026-04-26T00:00:00"/>
    <x v="68"/>
    <s v="RM"/>
    <s v="CREDIT"/>
    <x v="1"/>
    <m/>
    <x v="9"/>
    <x v="9"/>
    <s v="1361KL01 "/>
    <s v="0419-0180"/>
    <n v="734"/>
    <n v="78896"/>
    <n v="565"/>
    <n v="52000"/>
    <n v="51435"/>
    <n v="558"/>
    <n v="20"/>
    <n v="0"/>
    <n v="160"/>
    <n v="51275"/>
    <n v="515"/>
    <n v="26406625"/>
    <n v="11.1"/>
    <n v="181"/>
    <n v="43.82"/>
    <m/>
    <s v="VAVOUA"/>
    <m/>
    <m/>
  </r>
  <r>
    <n v="840"/>
    <d v="2026-04-27T00:00:00"/>
    <x v="68"/>
    <s v="RM"/>
    <s v="CASH"/>
    <x v="1"/>
    <m/>
    <x v="67"/>
    <x v="68"/>
    <s v="560GS01 "/>
    <s v="0426-0063"/>
    <n v="735"/>
    <n v="35051"/>
    <n v="564"/>
    <n v="48740"/>
    <n v="48176"/>
    <n v="556"/>
    <n v="10"/>
    <n v="0"/>
    <n v="80"/>
    <n v="48096"/>
    <n v="505"/>
    <n v="24288480"/>
    <n v="10.6"/>
    <n v="179"/>
    <n v="44.25"/>
    <m/>
    <s v="DAIUKRO"/>
    <m/>
    <m/>
  </r>
  <r>
    <n v="841"/>
    <d v="2026-04-27T00:00:00"/>
    <x v="69"/>
    <s v="RM"/>
    <s v="CREDIT"/>
    <x v="0"/>
    <s v="BKE-001"/>
    <x v="8"/>
    <x v="8"/>
    <s v="2396KY01"/>
    <s v="0426-0340"/>
    <n v="373"/>
    <n v="88495"/>
    <n v="489"/>
    <n v="40820"/>
    <n v="40331"/>
    <n v="479"/>
    <n v="10"/>
    <n v="0"/>
    <n v="80"/>
    <n v="40251"/>
    <n v="500"/>
    <n v="20125500"/>
    <n v="10.199999999999999"/>
    <n v="166"/>
    <n v="41.27"/>
    <m/>
    <s v="BEOUMI"/>
    <m/>
    <m/>
  </r>
  <r>
    <n v="842"/>
    <d v="2026-04-27T00:00:00"/>
    <x v="69"/>
    <s v="RM"/>
    <s v="CREDIT"/>
    <x v="0"/>
    <s v="BKE-001"/>
    <x v="8"/>
    <x v="8"/>
    <s v="9126KK04"/>
    <s v="0426-0340"/>
    <n v="372"/>
    <n v="31907"/>
    <n v="556"/>
    <n v="48160"/>
    <n v="47604"/>
    <n v="526"/>
    <n v="30"/>
    <n v="0"/>
    <n v="240"/>
    <n v="47364"/>
    <n v="495"/>
    <n v="23445180"/>
    <n v="11.3"/>
    <n v="160"/>
    <n v="41.09"/>
    <m/>
    <s v="KANIASSO"/>
    <m/>
    <m/>
  </r>
  <r>
    <n v="843"/>
    <d v="2026-04-27T00:00:00"/>
    <x v="69"/>
    <s v="RM"/>
    <s v="CREDIT"/>
    <x v="0"/>
    <s v="BKE-001"/>
    <x v="8"/>
    <x v="8"/>
    <s v="7936LF03"/>
    <s v="0426-0340"/>
    <n v="371"/>
    <n v="34068"/>
    <n v="519"/>
    <n v="40740"/>
    <n v="40221"/>
    <n v="505"/>
    <m/>
    <n v="14"/>
    <n v="56"/>
    <n v="40165"/>
    <n v="500"/>
    <n v="20082500"/>
    <n v="10.3"/>
    <n v="184"/>
    <n v="41.79"/>
    <m/>
    <s v="OUANGOLODOUGOU"/>
    <m/>
    <m/>
  </r>
  <r>
    <n v="844"/>
    <d v="2026-04-28T00:00:00"/>
    <x v="69"/>
    <s v="RM"/>
    <s v="CREDIT"/>
    <x v="0"/>
    <s v="BKE-001"/>
    <x v="20"/>
    <x v="20"/>
    <s v="3015CN03"/>
    <s v="0425-0001"/>
    <n v="374"/>
    <n v="15485"/>
    <n v="481"/>
    <n v="40180"/>
    <n v="39699"/>
    <n v="451"/>
    <n v="30"/>
    <n v="0"/>
    <n v="240"/>
    <n v="39459"/>
    <n v="490"/>
    <n v="19334910"/>
    <n v="12.4"/>
    <n v="167"/>
    <n v="41.27"/>
    <m/>
    <s v="KORHOGO"/>
    <m/>
    <m/>
  </r>
  <r>
    <n v="845"/>
    <d v="2026-04-28T00:00:00"/>
    <x v="69"/>
    <s v="RM"/>
    <s v="CREDIT"/>
    <x v="0"/>
    <s v="BKE-001"/>
    <x v="6"/>
    <x v="6"/>
    <s v="1026FL01"/>
    <s v="0426-0347"/>
    <n v="375"/>
    <n v="34020"/>
    <n v="399"/>
    <n v="33040"/>
    <n v="32641"/>
    <n v="391"/>
    <m/>
    <n v="8"/>
    <n v="32"/>
    <n v="32609"/>
    <n v="490"/>
    <n v="15978410"/>
    <n v="8.3000000000000007"/>
    <n v="153"/>
    <n v="41.09"/>
    <m/>
    <s v="VAVOUA"/>
    <m/>
    <m/>
  </r>
  <r>
    <n v="846"/>
    <d v="2026-04-28T00:00:00"/>
    <x v="69"/>
    <s v="RM"/>
    <s v="CREDIT"/>
    <x v="0"/>
    <s v="BKE-002"/>
    <x v="17"/>
    <x v="17"/>
    <s v="8981FU01"/>
    <s v="0425-0055"/>
    <n v="376"/>
    <n v="18442"/>
    <n v="458"/>
    <n v="36420"/>
    <n v="35962"/>
    <n v="443"/>
    <n v="15"/>
    <n v="0"/>
    <n v="120"/>
    <n v="35842"/>
    <n v="480"/>
    <n v="17204160"/>
    <n v="11.3"/>
    <n v="160"/>
    <n v="41.79"/>
    <m/>
    <s v="MANKONO"/>
    <m/>
    <m/>
  </r>
  <r>
    <n v="847"/>
    <d v="2026-04-25T00:00:00"/>
    <x v="69"/>
    <s v="RM"/>
    <s v="CREDIT"/>
    <x v="1"/>
    <m/>
    <x v="45"/>
    <x v="46"/>
    <s v="6557HY07/2886JH07"/>
    <m/>
    <n v="736"/>
    <n v="32360"/>
    <n v="525"/>
    <n v="46420"/>
    <n v="45895"/>
    <n v="506"/>
    <n v="20"/>
    <n v="0"/>
    <n v="160"/>
    <n v="45735"/>
    <n v="510"/>
    <n v="23324850"/>
    <n v="11.4"/>
    <n v="180"/>
    <n v="43.38"/>
    <m/>
    <s v="BOUAKE"/>
    <s v="SCOOPS PS"/>
    <m/>
  </r>
  <r>
    <n v="848"/>
    <d v="2026-04-27T00:00:00"/>
    <x v="69"/>
    <s v="RM"/>
    <s v="CREDIT"/>
    <x v="1"/>
    <m/>
    <x v="9"/>
    <x v="9"/>
    <s v="3543KB01/2768EE02"/>
    <s v="0419-0180"/>
    <n v="739"/>
    <n v="78895"/>
    <n v="494"/>
    <n v="41910"/>
    <n v="41416"/>
    <n v="469"/>
    <n v="25"/>
    <n v="0"/>
    <n v="200"/>
    <n v="41216"/>
    <n v="485"/>
    <n v="19989760"/>
    <n v="11.1"/>
    <n v="192"/>
    <n v="42.59"/>
    <m/>
    <s v="VAVOUA"/>
    <m/>
    <m/>
  </r>
  <r>
    <n v="849"/>
    <d v="2026-04-27T00:00:00"/>
    <x v="69"/>
    <s v="RM"/>
    <s v="CREDIT"/>
    <x v="1"/>
    <m/>
    <x v="9"/>
    <x v="9"/>
    <s v="5261JV01/5136JV02"/>
    <s v="0419-0180"/>
    <n v="740"/>
    <n v="78894"/>
    <n v="531"/>
    <n v="45790"/>
    <n v="45259"/>
    <n v="491"/>
    <n v="40"/>
    <n v="0"/>
    <n v="320"/>
    <n v="44939"/>
    <n v="490"/>
    <n v="22020110"/>
    <n v="12.4"/>
    <n v="175"/>
    <n v="43.73"/>
    <m/>
    <s v="VAVOUA"/>
    <m/>
    <m/>
  </r>
  <r>
    <n v="850"/>
    <d v="2026-04-27T00:00:00"/>
    <x v="69"/>
    <s v="RM"/>
    <s v="CREDIT"/>
    <x v="1"/>
    <m/>
    <x v="45"/>
    <x v="46"/>
    <s v="3679LF07/8304FH07"/>
    <m/>
    <n v="737"/>
    <n v="39822"/>
    <n v="558"/>
    <n v="44470"/>
    <n v="43912"/>
    <n v="536"/>
    <n v="20"/>
    <n v="0"/>
    <n v="160"/>
    <n v="43752"/>
    <n v="505"/>
    <n v="22094760"/>
    <n v="11.9"/>
    <n v="168"/>
    <n v="42.06"/>
    <m/>
    <s v="BOUAKE"/>
    <s v="SCOOPS PS"/>
    <m/>
  </r>
  <r>
    <n v="851"/>
    <d v="2026-04-27T00:00:00"/>
    <x v="69"/>
    <s v="RM"/>
    <s v="CREDIT"/>
    <x v="1"/>
    <m/>
    <x v="18"/>
    <x v="18"/>
    <s v="4817JE04/8370JR04"/>
    <s v="0420-0251"/>
    <n v="738"/>
    <n v="37589"/>
    <n v="563"/>
    <n v="39970"/>
    <n v="39407"/>
    <n v="513"/>
    <n v="50"/>
    <n v="0"/>
    <n v="400"/>
    <n v="39007"/>
    <n v="495"/>
    <n v="19308465"/>
    <n v="13.7"/>
    <n v="164"/>
    <n v="43.91"/>
    <m/>
    <s v="DIANRA"/>
    <m/>
    <m/>
  </r>
  <r>
    <n v="852"/>
    <d v="2026-04-27T00:00:00"/>
    <x v="69"/>
    <s v="RM"/>
    <s v="CREDIT"/>
    <x v="1"/>
    <m/>
    <x v="9"/>
    <x v="9"/>
    <s v="6589GN01/3779CN01"/>
    <s v="0419-0180"/>
    <n v="741"/>
    <n v="78904"/>
    <n v="474"/>
    <n v="39900"/>
    <n v="39426"/>
    <n v="464"/>
    <n v="10"/>
    <n v="0"/>
    <n v="80"/>
    <n v="39346"/>
    <n v="485"/>
    <n v="19082810"/>
    <n v="10.5"/>
    <n v="167"/>
    <n v="42.94"/>
    <m/>
    <s v="VAVOUA"/>
    <m/>
    <m/>
  </r>
  <r>
    <n v="853"/>
    <d v="2026-04-26T00:00:00"/>
    <x v="69"/>
    <s v="RM"/>
    <s v="CREDIT"/>
    <x v="1"/>
    <m/>
    <x v="45"/>
    <x v="46"/>
    <s v="AA465KK01/AA013KL01"/>
    <m/>
    <n v="742"/>
    <n v="37965"/>
    <n v="515"/>
    <n v="43880"/>
    <n v="43365"/>
    <n v="485"/>
    <n v="30"/>
    <n v="0"/>
    <n v="240"/>
    <n v="43125"/>
    <n v="505"/>
    <n v="21778125"/>
    <n v="12.6"/>
    <n v="175"/>
    <n v="42.06"/>
    <m/>
    <s v="MANKONO"/>
    <s v="SCOOP BENKADY_CDAG"/>
    <m/>
  </r>
  <r>
    <n v="854"/>
    <d v="2026-04-28T00:00:00"/>
    <x v="69"/>
    <s v="RM"/>
    <s v="CREDIT"/>
    <x v="2"/>
    <m/>
    <x v="68"/>
    <x v="69"/>
    <m/>
    <m/>
    <m/>
    <m/>
    <m/>
    <n v="118000"/>
    <n v="118000"/>
    <m/>
    <m/>
    <n v="0"/>
    <n v="0"/>
    <n v="118000"/>
    <n v="525"/>
    <n v="61950000"/>
    <n v="8"/>
    <n v="175"/>
    <n v="45"/>
    <m/>
    <s v="YAMOUSSOUKRO"/>
    <m/>
    <m/>
  </r>
  <r>
    <n v="855"/>
    <d v="2026-04-28T00:00:00"/>
    <x v="69"/>
    <m/>
    <m/>
    <x v="0"/>
    <m/>
    <x v="20"/>
    <x v="20"/>
    <s v="1010HL04/1884CJ01"/>
    <m/>
    <m/>
    <m/>
    <m/>
    <m/>
    <m/>
    <m/>
    <m/>
    <m/>
    <m/>
    <m/>
    <m/>
    <m/>
    <n v="8.8000000000000007"/>
    <n v="168"/>
    <n v="39.506880000000002"/>
    <m/>
    <s v="KATIOLA"/>
    <s v="REJECT"/>
    <m/>
  </r>
  <r>
    <n v="856"/>
    <d v="2026-04-28T00:00:00"/>
    <x v="69"/>
    <m/>
    <m/>
    <x v="0"/>
    <m/>
    <x v="6"/>
    <x v="6"/>
    <s v="1437FK03/821BG03"/>
    <m/>
    <m/>
    <m/>
    <m/>
    <m/>
    <m/>
    <m/>
    <m/>
    <m/>
    <m/>
    <m/>
    <m/>
    <m/>
    <n v="7.9"/>
    <n v="168"/>
    <n v="38.448659999999997"/>
    <m/>
    <s v="MANKONO"/>
    <s v="REJECT"/>
    <m/>
  </r>
  <r>
    <n v="857"/>
    <d v="2026-04-28T00:00:00"/>
    <x v="69"/>
    <m/>
    <m/>
    <x v="0"/>
    <m/>
    <x v="13"/>
    <x v="13"/>
    <s v="8981FU01/3748CK04"/>
    <m/>
    <m/>
    <m/>
    <m/>
    <m/>
    <m/>
    <m/>
    <m/>
    <m/>
    <m/>
    <m/>
    <m/>
    <m/>
    <n v="11.6"/>
    <n v="161"/>
    <n v="41.094209999999997"/>
    <m/>
    <s v="BOUAKE"/>
    <s v="REJECT"/>
    <m/>
  </r>
  <r>
    <n v="858"/>
    <d v="2026-04-28T00:00:00"/>
    <x v="69"/>
    <m/>
    <m/>
    <x v="0"/>
    <m/>
    <x v="6"/>
    <x v="6"/>
    <s v="5563GX03/5195CF03"/>
    <m/>
    <m/>
    <m/>
    <m/>
    <m/>
    <m/>
    <m/>
    <m/>
    <m/>
    <m/>
    <m/>
    <m/>
    <m/>
    <n v="8.3000000000000007"/>
    <n v="151"/>
    <n v="38.97777"/>
    <m/>
    <s v="TOUBA"/>
    <s v="REJECT"/>
    <m/>
  </r>
  <r>
    <n v="859"/>
    <d v="2026-04-28T00:00:00"/>
    <x v="69"/>
    <m/>
    <m/>
    <x v="0"/>
    <m/>
    <x v="17"/>
    <x v="17"/>
    <s v="953LU01/1113CV01"/>
    <m/>
    <m/>
    <m/>
    <m/>
    <m/>
    <m/>
    <m/>
    <m/>
    <m/>
    <m/>
    <m/>
    <m/>
    <m/>
    <n v="13.2"/>
    <n v="158"/>
    <n v="40.565100000000001"/>
    <m/>
    <s v="KATIOLA"/>
    <s v="REJECT"/>
    <m/>
  </r>
  <r>
    <n v="860"/>
    <d v="2026-04-28T00:00:00"/>
    <x v="69"/>
    <m/>
    <m/>
    <x v="0"/>
    <m/>
    <x v="5"/>
    <x v="5"/>
    <s v="1562JS01"/>
    <m/>
    <m/>
    <m/>
    <m/>
    <m/>
    <m/>
    <m/>
    <m/>
    <m/>
    <m/>
    <m/>
    <m/>
    <m/>
    <n v="12.2"/>
    <n v="174"/>
    <n v="40.212359999999997"/>
    <m/>
    <s v="TIEBISSEU"/>
    <s v="REJECT"/>
    <m/>
  </r>
  <r>
    <n v="861"/>
    <d v="2026-04-28T00:00:00"/>
    <x v="69"/>
    <m/>
    <m/>
    <x v="1"/>
    <m/>
    <x v="45"/>
    <x v="46"/>
    <s v="7063JA01"/>
    <m/>
    <m/>
    <m/>
    <m/>
    <n v="0"/>
    <m/>
    <m/>
    <m/>
    <m/>
    <m/>
    <n v="0"/>
    <m/>
    <n v="0"/>
    <n v="8.6"/>
    <n v="166"/>
    <n v="40.299999999999997"/>
    <m/>
    <s v="DABAKALA"/>
    <s v="REJECT"/>
    <s v="SCOOPS LAGANFIA"/>
  </r>
  <r>
    <n v="862"/>
    <d v="2026-04-29T00:00:00"/>
    <x v="70"/>
    <m/>
    <m/>
    <x v="1"/>
    <m/>
    <x v="16"/>
    <x v="16"/>
    <s v="5088ER03"/>
    <m/>
    <m/>
    <m/>
    <m/>
    <n v="0"/>
    <m/>
    <m/>
    <m/>
    <m/>
    <m/>
    <n v="0"/>
    <m/>
    <n v="0"/>
    <n v="15.1"/>
    <n v="160"/>
    <n v="42.94"/>
    <m/>
    <s v="DIANRA"/>
    <s v="REJECT"/>
    <m/>
  </r>
  <r>
    <n v="863"/>
    <d v="2026-04-29T00:00:00"/>
    <x v="70"/>
    <m/>
    <m/>
    <x v="0"/>
    <m/>
    <x v="8"/>
    <x v="8"/>
    <s v="997JY01/3599KV01"/>
    <m/>
    <m/>
    <m/>
    <m/>
    <m/>
    <m/>
    <m/>
    <m/>
    <m/>
    <m/>
    <m/>
    <m/>
    <m/>
    <n v="10.9"/>
    <n v="183"/>
    <n v="38.625030000000002"/>
    <m/>
    <s v="SEGUELA"/>
    <s v="REJECT"/>
    <m/>
  </r>
  <r>
    <n v="864"/>
    <d v="2026-04-29T00:00:00"/>
    <x v="70"/>
    <m/>
    <m/>
    <x v="0"/>
    <m/>
    <x v="20"/>
    <x v="20"/>
    <s v="5328KZ03/3332LB03"/>
    <m/>
    <m/>
    <m/>
    <m/>
    <m/>
    <m/>
    <m/>
    <m/>
    <m/>
    <m/>
    <m/>
    <m/>
    <m/>
    <n v="14"/>
    <n v="172"/>
    <n v="39.85962"/>
    <m/>
    <s v="KATIOLA"/>
    <s v="REJECT"/>
    <m/>
  </r>
  <r>
    <n v="865"/>
    <d v="2026-04-29T00:00:00"/>
    <x v="70"/>
    <s v="RM"/>
    <s v="CREDIT"/>
    <x v="0"/>
    <s v="BKE-001"/>
    <x v="20"/>
    <x v="20"/>
    <s v="7576HC01"/>
    <s v="0425-0001"/>
    <n v="378"/>
    <n v="18810"/>
    <n v="471"/>
    <n v="39100"/>
    <n v="38629"/>
    <n v="431"/>
    <n v="40"/>
    <n v="0"/>
    <n v="320"/>
    <n v="38309"/>
    <n v="485"/>
    <n v="18579865"/>
    <n v="11.7"/>
    <n v="163"/>
    <n v="41.62"/>
    <m/>
    <s v="KATIOLA"/>
    <m/>
    <m/>
  </r>
  <r>
    <n v="866"/>
    <d v="2026-04-28T00:00:00"/>
    <x v="70"/>
    <s v="RM"/>
    <s v="CREDIT"/>
    <x v="0"/>
    <s v="BKE-001"/>
    <x v="17"/>
    <x v="17"/>
    <s v="6150FL04"/>
    <s v="0425-0055"/>
    <n v="377"/>
    <n v="18781"/>
    <n v="549"/>
    <n v="45040"/>
    <n v="44491"/>
    <n v="529"/>
    <n v="0"/>
    <n v="20"/>
    <n v="80"/>
    <n v="44411"/>
    <n v="480"/>
    <n v="21317280"/>
    <n v="9.9"/>
    <n v="158"/>
    <n v="42.15"/>
    <m/>
    <s v="KATIOLA"/>
    <m/>
    <m/>
  </r>
  <r>
    <n v="867"/>
    <d v="2026-04-29T00:00:00"/>
    <x v="70"/>
    <s v="RM"/>
    <s v="CREDIT"/>
    <x v="0"/>
    <s v="BKE-002"/>
    <x v="5"/>
    <x v="5"/>
    <s v="1562GS01"/>
    <s v="0426-0194"/>
    <n v="379"/>
    <n v="85114"/>
    <n v="111"/>
    <n v="9260"/>
    <n v="9149"/>
    <n v="91"/>
    <n v="20"/>
    <n v="0"/>
    <n v="160"/>
    <n v="8989"/>
    <n v="480"/>
    <n v="4314720"/>
    <n v="11.1"/>
    <n v="176"/>
    <n v="41.44"/>
    <m/>
    <s v="SEGUELA"/>
    <m/>
    <m/>
  </r>
  <r>
    <n v="868"/>
    <d v="2026-04-29T00:00:00"/>
    <x v="70"/>
    <s v="RM"/>
    <s v="CREDIT"/>
    <x v="0"/>
    <s v="BKE-002"/>
    <x v="2"/>
    <x v="2"/>
    <s v="6161GZ03"/>
    <s v="0426-0187"/>
    <n v="380"/>
    <n v="18624"/>
    <n v="551"/>
    <n v="46420"/>
    <n v="45869"/>
    <n v="511"/>
    <n v="40"/>
    <n v="0"/>
    <n v="320"/>
    <n v="45549"/>
    <n v="480"/>
    <n v="21863520"/>
    <n v="12.4"/>
    <n v="157"/>
    <n v="41.09"/>
    <m/>
    <s v="NIAKARA"/>
    <m/>
    <m/>
  </r>
  <r>
    <n v="869"/>
    <d v="2026-04-29T00:00:00"/>
    <x v="70"/>
    <s v="RM"/>
    <s v="CREDIT"/>
    <x v="0"/>
    <s v="BKE-001"/>
    <x v="20"/>
    <x v="20"/>
    <s v="7257CL03"/>
    <s v="0425-0001"/>
    <n v="381"/>
    <n v="15486"/>
    <n v="461"/>
    <n v="41640"/>
    <n v="41179"/>
    <n v="426"/>
    <n v="35"/>
    <n v="0"/>
    <n v="280"/>
    <n v="40899"/>
    <n v="485"/>
    <n v="19836015"/>
    <n v="11.6"/>
    <n v="162"/>
    <n v="41.27"/>
    <m/>
    <s v="KORHOGO"/>
    <m/>
    <m/>
  </r>
  <r>
    <n v="870"/>
    <d v="2026-04-27T00:00:00"/>
    <x v="70"/>
    <s v="RM"/>
    <s v="CREDIT"/>
    <x v="1"/>
    <m/>
    <x v="10"/>
    <x v="10"/>
    <s v="AA539FT01 "/>
    <s v="0425-0212"/>
    <n v="743"/>
    <n v="773"/>
    <n v="531"/>
    <n v="43680"/>
    <n v="43149"/>
    <n v="516"/>
    <n v="30"/>
    <n v="0"/>
    <n v="240"/>
    <n v="42909"/>
    <n v="490"/>
    <n v="21025410"/>
    <n v="11.2"/>
    <n v="185"/>
    <n v="43.65"/>
    <m/>
    <s v="AGNIBILEKRO"/>
    <m/>
    <m/>
  </r>
  <r>
    <n v="871"/>
    <d v="2026-04-26T00:00:00"/>
    <x v="70"/>
    <s v="RM"/>
    <s v="CREDIT"/>
    <x v="1"/>
    <m/>
    <x v="45"/>
    <x v="46"/>
    <s v="3294KV01 "/>
    <m/>
    <n v="744"/>
    <n v="89248"/>
    <n v="604"/>
    <n v="50190"/>
    <n v="49586"/>
    <n v="583"/>
    <n v="20"/>
    <n v="0"/>
    <n v="160"/>
    <n v="49426"/>
    <n v="505"/>
    <n v="24960130"/>
    <n v="11.6"/>
    <n v="177"/>
    <n v="43.21"/>
    <m/>
    <s v="MANKONO"/>
    <s v="KONE ADAMA"/>
    <m/>
  </r>
  <r>
    <n v="872"/>
    <d v="2026-04-26T00:00:00"/>
    <x v="70"/>
    <s v="RM"/>
    <s v="CASH"/>
    <x v="1"/>
    <m/>
    <x v="23"/>
    <x v="23"/>
    <s v="3916LL02 "/>
    <s v="0429-0202"/>
    <n v="745"/>
    <n v="28914"/>
    <n v="482"/>
    <n v="41060"/>
    <n v="40578"/>
    <n v="452"/>
    <n v="30"/>
    <n v="0"/>
    <n v="240"/>
    <n v="40338"/>
    <n v="495"/>
    <n v="19967310"/>
    <n v="11.1"/>
    <n v="186"/>
    <n v="44.62"/>
    <m/>
    <s v="GBOGUHE"/>
    <m/>
    <m/>
  </r>
  <r>
    <n v="873"/>
    <d v="2026-04-26T00:00:00"/>
    <x v="70"/>
    <s v="RM"/>
    <s v="CREDIT"/>
    <x v="1"/>
    <m/>
    <x v="9"/>
    <x v="9"/>
    <s v="SJ459687 "/>
    <s v="0419-0180"/>
    <n v="746"/>
    <n v="78897"/>
    <n v="651"/>
    <n v="53760"/>
    <n v="53109"/>
    <n v="616"/>
    <n v="35"/>
    <n v="0"/>
    <n v="280"/>
    <n v="52829"/>
    <n v="495"/>
    <n v="26150355"/>
    <n v="11.9"/>
    <n v="172"/>
    <n v="43.12"/>
    <m/>
    <s v="VAVOUA"/>
    <m/>
    <m/>
  </r>
  <r>
    <n v="874"/>
    <d v="2026-04-28T00:00:00"/>
    <x v="70"/>
    <s v="RM"/>
    <s v="CREDIT"/>
    <x v="1"/>
    <m/>
    <x v="18"/>
    <x v="18"/>
    <s v="AA141VT01"/>
    <s v="0420-0251"/>
    <n v="747"/>
    <n v="37577"/>
    <n v="501"/>
    <n v="45450"/>
    <n v="44949"/>
    <n v="461"/>
    <n v="40"/>
    <n v="0"/>
    <n v="320"/>
    <n v="44629"/>
    <n v="495"/>
    <n v="22091355"/>
    <n v="12.5"/>
    <n v="165"/>
    <n v="43.47"/>
    <m/>
    <s v="DIANRA"/>
    <m/>
    <m/>
  </r>
  <r>
    <n v="875"/>
    <d v="2026-04-28T00:00:00"/>
    <x v="70"/>
    <s v="RM"/>
    <s v="CASH"/>
    <x v="1"/>
    <m/>
    <x v="16"/>
    <x v="16"/>
    <s v="4139EP01 "/>
    <s v="0427-0133"/>
    <n v="748"/>
    <n v="37813"/>
    <n v="463"/>
    <n v="40440"/>
    <n v="39977"/>
    <n v="413"/>
    <n v="50"/>
    <n v="0"/>
    <n v="400"/>
    <n v="39577"/>
    <n v="490"/>
    <n v="19392730"/>
    <n v="12.7"/>
    <n v="163"/>
    <n v="42.85"/>
    <m/>
    <s v="DIANRA"/>
    <m/>
    <m/>
  </r>
  <r>
    <n v="876"/>
    <d v="2026-04-30T00:00:00"/>
    <x v="71"/>
    <s v="RM"/>
    <s v="CREDIT"/>
    <x v="0"/>
    <s v="BKE-001"/>
    <x v="20"/>
    <x v="20"/>
    <s v="1010HL04"/>
    <s v="0425-0001"/>
    <n v="382"/>
    <n v="18735"/>
    <n v="467"/>
    <n v="40380"/>
    <n v="39913"/>
    <n v="457"/>
    <n v="0"/>
    <n v="10"/>
    <n v="40"/>
    <n v="39873"/>
    <n v="480"/>
    <n v="19139040"/>
    <n v="9.3000000000000007"/>
    <n v="171"/>
    <n v="41.09"/>
    <m/>
    <s v="KATIOLA"/>
    <m/>
    <m/>
  </r>
  <r>
    <n v="877"/>
    <d v="2026-04-30T00:00:00"/>
    <x v="71"/>
    <s v="RM"/>
    <s v="CREDIT"/>
    <x v="0"/>
    <s v="BKE-001"/>
    <x v="17"/>
    <x v="17"/>
    <s v="838LY01"/>
    <s v="0425-0055"/>
    <n v="383"/>
    <n v="18761"/>
    <n v="512"/>
    <n v="44840"/>
    <n v="44328"/>
    <n v="496"/>
    <n v="0"/>
    <n v="16"/>
    <n v="64"/>
    <n v="44264"/>
    <n v="475"/>
    <n v="21025400"/>
    <n v="10.199999999999999"/>
    <n v="161"/>
    <n v="42.15"/>
    <m/>
    <s v="NIAKARA"/>
    <m/>
    <m/>
  </r>
  <r>
    <n v="878"/>
    <d v="2026-04-30T00:00:00"/>
    <x v="71"/>
    <s v="RM"/>
    <s v="CREDIT"/>
    <x v="0"/>
    <s v="BKE-001"/>
    <x v="6"/>
    <x v="6"/>
    <s v="5012HJ01"/>
    <s v="0426-0347"/>
    <n v="384"/>
    <n v="31996"/>
    <n v="537"/>
    <n v="43300"/>
    <n v="42763"/>
    <n v="529"/>
    <n v="0"/>
    <n v="8"/>
    <n v="32"/>
    <n v="42731"/>
    <n v="475"/>
    <n v="20297225"/>
    <n v="7.9"/>
    <n v="172"/>
    <n v="42.15"/>
    <m/>
    <s v="MANKONO"/>
    <m/>
    <m/>
  </r>
  <r>
    <n v="879"/>
    <d v="2026-04-30T00:00:00"/>
    <x v="71"/>
    <s v="RM"/>
    <s v="CREDIT"/>
    <x v="0"/>
    <s v="BKE-002"/>
    <x v="8"/>
    <x v="8"/>
    <s v="9126KK04"/>
    <s v="0426-0340"/>
    <n v="385"/>
    <n v="32070"/>
    <n v="568"/>
    <n v="47480"/>
    <n v="46912"/>
    <n v="556"/>
    <n v="0"/>
    <n v="12"/>
    <n v="48"/>
    <n v="46864"/>
    <n v="480"/>
    <n v="22494720"/>
    <n v="9"/>
    <n v="174"/>
    <n v="41.27"/>
    <m/>
    <s v="M'BAHIAKRO"/>
    <m/>
    <m/>
  </r>
  <r>
    <n v="880"/>
    <d v="2026-04-29T00:00:00"/>
    <x v="71"/>
    <s v="RM"/>
    <s v="CASH"/>
    <x v="1"/>
    <m/>
    <x v="45"/>
    <x v="46"/>
    <s v="2641CV03 "/>
    <m/>
    <n v="750"/>
    <n v="14643"/>
    <n v="453"/>
    <n v="40480"/>
    <n v="40027"/>
    <n v="423"/>
    <n v="30"/>
    <n v="0"/>
    <n v="240"/>
    <n v="39787"/>
    <n v="475"/>
    <n v="18898825"/>
    <n v="12.6"/>
    <n v="163"/>
    <n v="42.32"/>
    <m/>
    <s v="BORON"/>
    <s v="SCAN COOP CA"/>
    <m/>
  </r>
  <r>
    <n v="881"/>
    <d v="2026-04-29T00:00:00"/>
    <x v="71"/>
    <s v="RM"/>
    <s v="CASH"/>
    <x v="1"/>
    <m/>
    <x v="69"/>
    <x v="70"/>
    <s v="8087JB01"/>
    <s v="0331-0057"/>
    <n v="749"/>
    <n v="2582"/>
    <n v="234"/>
    <n v="19580"/>
    <n v="19346"/>
    <n v="224"/>
    <n v="10"/>
    <n v="0"/>
    <n v="80"/>
    <n v="19266"/>
    <n v="485"/>
    <n v="9344010"/>
    <n v="10.1"/>
    <n v="179"/>
    <n v="42.59"/>
    <m/>
    <s v="GOHITAFLA"/>
    <m/>
    <m/>
  </r>
  <r>
    <n v="882"/>
    <d v="2026-04-27T00:00:00"/>
    <x v="71"/>
    <s v="RM"/>
    <s v="CASH"/>
    <x v="1"/>
    <m/>
    <x v="51"/>
    <x v="52"/>
    <s v="AA576QV02 "/>
    <s v="0429-0462"/>
    <n v="401"/>
    <n v="28996"/>
    <n v="591"/>
    <n v="47530"/>
    <n v="46939"/>
    <n v="561"/>
    <n v="30"/>
    <n v="0"/>
    <n v="240"/>
    <n v="46699"/>
    <n v="485"/>
    <n v="22649015"/>
    <n v="11.6"/>
    <n v="186"/>
    <n v="41.09"/>
    <m/>
    <s v="VAVOUA"/>
    <m/>
    <m/>
  </r>
  <r>
    <n v="883"/>
    <d v="2026-04-29T00:00:00"/>
    <x v="71"/>
    <s v="RM"/>
    <s v="CREDIT"/>
    <x v="1"/>
    <m/>
    <x v="9"/>
    <x v="9"/>
    <s v="7636HZ05"/>
    <s v="0419-0180"/>
    <n v="408"/>
    <n v="78899"/>
    <n v="555"/>
    <n v="51620"/>
    <n v="51065"/>
    <n v="535"/>
    <n v="20"/>
    <n v="0"/>
    <n v="160"/>
    <n v="50905"/>
    <n v="485"/>
    <n v="24688925"/>
    <n v="10.9"/>
    <n v="171"/>
    <n v="41.88"/>
    <m/>
    <s v="VAVOUA"/>
    <m/>
    <m/>
  </r>
  <r>
    <n v="884"/>
    <d v="2026-04-29T00:00:00"/>
    <x v="71"/>
    <s v="RM"/>
    <s v="CREDIT"/>
    <x v="1"/>
    <m/>
    <x v="45"/>
    <x v="46"/>
    <s v="2060HC01 "/>
    <m/>
    <n v="402"/>
    <n v="39825"/>
    <n v="463"/>
    <n v="37190"/>
    <n v="36727"/>
    <n v="433"/>
    <n v="30"/>
    <n v="0"/>
    <n v="240"/>
    <n v="36487"/>
    <n v="500"/>
    <n v="18243500"/>
    <n v="13.7"/>
    <n v="170"/>
    <n v="42.85"/>
    <m/>
    <s v="BOUAKE"/>
    <s v="SCOOPS PS"/>
    <m/>
  </r>
  <r>
    <n v="885"/>
    <d v="2026-04-29T00:00:00"/>
    <x v="71"/>
    <s v="RM"/>
    <s v="CREDIT"/>
    <x v="1"/>
    <m/>
    <x v="9"/>
    <x v="9"/>
    <s v="2744KK02 "/>
    <s v="0419-0180"/>
    <n v="407"/>
    <n v="78900"/>
    <n v="479"/>
    <n v="39980"/>
    <n v="39501"/>
    <n v="459"/>
    <n v="20"/>
    <n v="0"/>
    <n v="160"/>
    <n v="39341"/>
    <n v="490"/>
    <n v="19277090"/>
    <n v="10.8"/>
    <n v="180"/>
    <n v="44"/>
    <m/>
    <s v="VAVOUA"/>
    <m/>
    <m/>
  </r>
  <r>
    <n v="886"/>
    <d v="2026-04-29T00:00:00"/>
    <x v="71"/>
    <s v="RM"/>
    <s v="CREDIT"/>
    <x v="1"/>
    <m/>
    <x v="67"/>
    <x v="68"/>
    <s v="933KC01 "/>
    <s v="0426-0063"/>
    <n v="403"/>
    <n v="35052"/>
    <n v="455"/>
    <n v="39150"/>
    <n v="38695"/>
    <n v="425"/>
    <n v="30"/>
    <n v="0"/>
    <n v="240"/>
    <n v="38455"/>
    <n v="500"/>
    <n v="19227500"/>
    <n v="11.7"/>
    <n v="180"/>
    <n v="44.18"/>
    <m/>
    <s v="DAOUKRO"/>
    <m/>
    <m/>
  </r>
  <r>
    <n v="887"/>
    <d v="2026-04-30T00:00:00"/>
    <x v="71"/>
    <s v="RM"/>
    <s v="CASH"/>
    <x v="1"/>
    <m/>
    <x v="31"/>
    <x v="38"/>
    <s v="9551HL01 "/>
    <s v="0427-0091"/>
    <n v="404"/>
    <n v="62874"/>
    <n v="469"/>
    <n v="40420"/>
    <n v="39951"/>
    <n v="459"/>
    <n v="0"/>
    <n v="10"/>
    <n v="40"/>
    <n v="39911"/>
    <n v="485"/>
    <n v="19356835"/>
    <n v="9.4"/>
    <n v="183"/>
    <n v="44"/>
    <m/>
    <s v="TENGRELA"/>
    <m/>
    <m/>
  </r>
  <r>
    <n v="888"/>
    <d v="2026-04-28T00:00:00"/>
    <x v="71"/>
    <s v="RM"/>
    <s v="CREDIT"/>
    <x v="1"/>
    <m/>
    <x v="45"/>
    <x v="46"/>
    <s v="1504LB01 "/>
    <m/>
    <n v="406"/>
    <n v="37964"/>
    <n v="499"/>
    <n v="40090"/>
    <n v="39591"/>
    <n v="489"/>
    <n v="10"/>
    <n v="0"/>
    <n v="80"/>
    <n v="39511"/>
    <n v="505"/>
    <n v="19953055"/>
    <n v="10.7"/>
    <n v="175"/>
    <n v="42.76"/>
    <m/>
    <s v="MANKONO"/>
    <s v="SCOOP BENKADY_CDAG"/>
    <m/>
  </r>
  <r>
    <n v="889"/>
    <d v="2026-04-29T00:00:00"/>
    <x v="71"/>
    <s v="RM"/>
    <s v="CASH"/>
    <x v="1"/>
    <m/>
    <x v="42"/>
    <x v="43"/>
    <s v="3725JE01 "/>
    <s v="0401-0177"/>
    <n v="405"/>
    <n v="83413"/>
    <n v="595"/>
    <n v="40850"/>
    <n v="40255"/>
    <n v="565"/>
    <n v="30"/>
    <n v="0"/>
    <n v="240"/>
    <n v="40015"/>
    <n v="485"/>
    <n v="19407275"/>
    <n v="12"/>
    <n v="192"/>
    <n v="41.97"/>
    <m/>
    <s v="DALOA"/>
    <m/>
    <m/>
  </r>
  <r>
    <n v="890"/>
    <d v="2026-04-30T00:00:00"/>
    <x v="71"/>
    <m/>
    <m/>
    <x v="1"/>
    <m/>
    <x v="31"/>
    <x v="38"/>
    <s v="2114LP01"/>
    <m/>
    <m/>
    <m/>
    <m/>
    <n v="0"/>
    <m/>
    <m/>
    <m/>
    <m/>
    <m/>
    <n v="0"/>
    <m/>
    <n v="0"/>
    <n v="14.6"/>
    <n v="171"/>
    <n v="39.770000000000003"/>
    <m/>
    <s v="BOUNDIALI"/>
    <s v="REJECT"/>
    <m/>
  </r>
  <r>
    <n v="891"/>
    <d v="2026-04-30T00:00:00"/>
    <x v="71"/>
    <m/>
    <m/>
    <x v="1"/>
    <m/>
    <x v="45"/>
    <x v="46"/>
    <s v="7063JA01"/>
    <m/>
    <m/>
    <m/>
    <m/>
    <n v="0"/>
    <m/>
    <m/>
    <m/>
    <m/>
    <m/>
    <n v="0"/>
    <m/>
    <n v="0"/>
    <n v="8.6999999999999993"/>
    <n v="163"/>
    <n v="40.82"/>
    <m/>
    <s v="DABAKALA"/>
    <s v="REJECT"/>
    <m/>
  </r>
  <r>
    <n v="892"/>
    <d v="2026-04-30T00:00:00"/>
    <x v="71"/>
    <m/>
    <m/>
    <x v="0"/>
    <m/>
    <x v="11"/>
    <x v="11"/>
    <s v="4434EZ01/"/>
    <m/>
    <m/>
    <m/>
    <m/>
    <m/>
    <m/>
    <m/>
    <m/>
    <m/>
    <m/>
    <m/>
    <m/>
    <m/>
    <n v="11.2"/>
    <n v="172"/>
    <n v="37.390439999999998"/>
    <m/>
    <s v="ZOUKOUGBEU"/>
    <s v="REJECT"/>
    <m/>
  </r>
  <r>
    <n v="893"/>
    <d v="2026-04-30T00:00:00"/>
    <x v="71"/>
    <m/>
    <m/>
    <x v="0"/>
    <m/>
    <x v="8"/>
    <x v="8"/>
    <s v="AA674XF03/6358CL01"/>
    <m/>
    <m/>
    <m/>
    <m/>
    <m/>
    <m/>
    <m/>
    <m/>
    <m/>
    <m/>
    <m/>
    <m/>
    <m/>
    <n v="12.5"/>
    <n v="163"/>
    <n v="40.212359999999997"/>
    <m/>
    <s v="BOTRO"/>
    <s v="REJECT"/>
    <m/>
  </r>
  <r>
    <n v="894"/>
    <d v="2026-04-30T00:00:00"/>
    <x v="71"/>
    <m/>
    <m/>
    <x v="0"/>
    <m/>
    <x v="6"/>
    <x v="6"/>
    <s v="6421JC01/2467GN01"/>
    <m/>
    <m/>
    <m/>
    <m/>
    <m/>
    <m/>
    <m/>
    <m/>
    <m/>
    <m/>
    <m/>
    <m/>
    <m/>
    <n v="11.3"/>
    <n v="176"/>
    <n v="38.272289999999998"/>
    <m/>
    <s v="BOUAKE"/>
    <s v="REJECT"/>
    <m/>
  </r>
  <r>
    <n v="895"/>
    <d v="2026-04-30T00:00:00"/>
    <x v="71"/>
    <m/>
    <m/>
    <x v="0"/>
    <m/>
    <x v="8"/>
    <x v="8"/>
    <s v="AA044CA/4068BG04"/>
    <m/>
    <m/>
    <m/>
    <m/>
    <m/>
    <m/>
    <m/>
    <m/>
    <m/>
    <m/>
    <m/>
    <m/>
    <m/>
    <n v="12.7"/>
    <n v="166"/>
    <n v="40.565100000000001"/>
    <m/>
    <s v="BOUNDIALI"/>
    <s v="REJECT"/>
    <m/>
  </r>
  <r>
    <n v="896"/>
    <d v="2026-05-02T00:00:00"/>
    <x v="72"/>
    <s v="RM"/>
    <s v="CREDIT"/>
    <x v="0"/>
    <s v="BKE-001"/>
    <x v="2"/>
    <x v="2"/>
    <s v="9900KU03"/>
    <s v="0426-0187"/>
    <n v="386"/>
    <n v="18615"/>
    <n v="546"/>
    <n v="45740"/>
    <n v="45194"/>
    <n v="511"/>
    <n v="35"/>
    <n v="0"/>
    <n v="280"/>
    <n v="44914"/>
    <n v="460"/>
    <n v="20660440"/>
    <n v="11.4"/>
    <n v="169"/>
    <n v="40.380000000000003"/>
    <m/>
    <s v="NIAKARA"/>
    <m/>
    <m/>
  </r>
  <r>
    <n v="897"/>
    <d v="2026-05-02T00:00:00"/>
    <x v="72"/>
    <s v="RM"/>
    <s v="CREDIT"/>
    <x v="0"/>
    <s v="BKE-001"/>
    <x v="20"/>
    <x v="20"/>
    <s v="5328KZ03"/>
    <s v="0425-0001"/>
    <n v="387"/>
    <n v="18736"/>
    <n v="462"/>
    <n v="38260"/>
    <n v="37798"/>
    <n v="442"/>
    <n v="20"/>
    <n v="0"/>
    <n v="160"/>
    <n v="37638"/>
    <n v="470"/>
    <n v="17689860"/>
    <n v="10.7"/>
    <n v="163"/>
    <n v="41.27"/>
    <m/>
    <s v="KATIOLA"/>
    <m/>
    <m/>
  </r>
  <r>
    <n v="898"/>
    <d v="2026-05-02T00:00:00"/>
    <x v="72"/>
    <s v="RM"/>
    <s v="CREDIT"/>
    <x v="0"/>
    <s v="BKE-001"/>
    <x v="8"/>
    <x v="8"/>
    <s v="2458HT04"/>
    <s v="0426-0340"/>
    <n v="388"/>
    <n v="32066"/>
    <n v="530"/>
    <n v="45800"/>
    <n v="45270"/>
    <n v="520"/>
    <n v="0"/>
    <n v="10"/>
    <n v="40"/>
    <n v="45230"/>
    <n v="470"/>
    <n v="21258100"/>
    <n v="9.4"/>
    <n v="185"/>
    <n v="41.44"/>
    <m/>
    <s v="ZUENOULA"/>
    <m/>
    <m/>
  </r>
  <r>
    <n v="899"/>
    <d v="2026-04-29T00:00:00"/>
    <x v="72"/>
    <s v="RM"/>
    <s v="CASH"/>
    <x v="1"/>
    <m/>
    <x v="70"/>
    <x v="71"/>
    <s v="AB714BE04 "/>
    <s v="0331-0092"/>
    <n v="409"/>
    <n v="39786"/>
    <n v="572"/>
    <n v="50930"/>
    <n v="50358"/>
    <n v="552"/>
    <n v="20"/>
    <n v="0"/>
    <n v="160"/>
    <n v="50198"/>
    <n v="485"/>
    <n v="24346030"/>
    <n v="11.9"/>
    <n v="170"/>
    <n v="44.35"/>
    <m/>
    <s v="BERE"/>
    <m/>
    <m/>
  </r>
  <r>
    <n v="900"/>
    <d v="2026-04-30T00:00:00"/>
    <x v="72"/>
    <s v="RM"/>
    <s v="CREDIT"/>
    <x v="1"/>
    <m/>
    <x v="12"/>
    <x v="12"/>
    <s v="AA335NH "/>
    <s v="0429-0005"/>
    <n v="410"/>
    <n v="87107"/>
    <n v="667"/>
    <n v="53170"/>
    <n v="52503"/>
    <n v="657"/>
    <n v="0"/>
    <n v="10"/>
    <n v="40"/>
    <n v="52463"/>
    <n v="485"/>
    <n v="25444555"/>
    <n v="10.1"/>
    <n v="183"/>
    <n v="44.18"/>
    <m/>
    <s v="VAVOUA"/>
    <m/>
    <m/>
  </r>
  <r>
    <n v="901"/>
    <d v="2026-04-30T00:00:00"/>
    <x v="72"/>
    <s v="RM"/>
    <s v="CREDIT"/>
    <x v="1"/>
    <m/>
    <x v="45"/>
    <x v="46"/>
    <s v="9173JA01 "/>
    <m/>
    <n v="411"/>
    <n v="89243"/>
    <n v="428"/>
    <n v="35780"/>
    <n v="35352"/>
    <n v="408"/>
    <n v="20"/>
    <n v="0"/>
    <n v="160"/>
    <n v="35192"/>
    <n v="500"/>
    <n v="17596000"/>
    <n v="11.8"/>
    <n v="163"/>
    <n v="42.5"/>
    <m/>
    <s v="KOUNAHIRI"/>
    <s v="KONE ADAMA"/>
    <m/>
  </r>
  <r>
    <n v="902"/>
    <d v="2026-04-30T00:00:00"/>
    <x v="72"/>
    <s v="RM"/>
    <s v="CASH"/>
    <x v="1"/>
    <m/>
    <x v="31"/>
    <x v="38"/>
    <s v="2123LH0 "/>
    <s v="0427-0091"/>
    <n v="412"/>
    <n v="83832"/>
    <n v="523"/>
    <n v="40570"/>
    <n v="40047"/>
    <n v="483"/>
    <n v="40"/>
    <n v="0"/>
    <n v="320"/>
    <n v="39727"/>
    <n v="475"/>
    <n v="18870325"/>
    <n v="12.6"/>
    <n v="169"/>
    <n v="43.21"/>
    <m/>
    <s v="KOUTO"/>
    <m/>
    <m/>
  </r>
  <r>
    <n v="903"/>
    <d v="2026-04-30T00:00:00"/>
    <x v="72"/>
    <s v="RM"/>
    <s v="CREDIT"/>
    <x v="1"/>
    <m/>
    <x v="45"/>
    <x v="46"/>
    <s v="4557KE01 "/>
    <m/>
    <n v="413"/>
    <n v="13554"/>
    <n v="494"/>
    <n v="39680"/>
    <n v="39186"/>
    <n v="464"/>
    <n v="30"/>
    <n v="0"/>
    <n v="240"/>
    <n v="38946"/>
    <n v="495"/>
    <n v="19278270"/>
    <n v="11.7"/>
    <n v="182"/>
    <n v="43.29"/>
    <m/>
    <s v="MINIGNAN"/>
    <s v="CODJISA"/>
    <m/>
  </r>
  <r>
    <n v="904"/>
    <d v="2026-05-02T00:00:00"/>
    <x v="72"/>
    <s v="RM"/>
    <s v="CREDIT"/>
    <x v="1"/>
    <m/>
    <x v="45"/>
    <x v="46"/>
    <s v="2429CV03 "/>
    <m/>
    <n v="414"/>
    <n v="14644"/>
    <n v="489"/>
    <n v="41420"/>
    <n v="40931"/>
    <n v="439"/>
    <n v="50"/>
    <n v="0"/>
    <n v="400"/>
    <n v="40531"/>
    <n v="475"/>
    <n v="19252225"/>
    <n v="11.2"/>
    <n v="174"/>
    <n v="44.26"/>
    <m/>
    <s v="KORHOGO"/>
    <s v="SCAN COOP CA"/>
    <m/>
  </r>
  <r>
    <n v="905"/>
    <d v="2026-05-02T00:00:00"/>
    <x v="72"/>
    <m/>
    <m/>
    <x v="0"/>
    <m/>
    <x v="20"/>
    <x v="20"/>
    <s v="2387JE01/6617FY01"/>
    <m/>
    <m/>
    <m/>
    <m/>
    <m/>
    <m/>
    <m/>
    <m/>
    <m/>
    <m/>
    <m/>
    <m/>
    <m/>
    <n v="11"/>
    <n v="157"/>
    <n v="40.035989999999998"/>
    <m/>
    <s v="MANKONO"/>
    <s v="REJECT"/>
    <m/>
  </r>
  <r>
    <n v="906"/>
    <d v="2026-05-02T00:00:00"/>
    <x v="72"/>
    <m/>
    <m/>
    <x v="0"/>
    <m/>
    <x v="20"/>
    <x v="20"/>
    <s v="7576HC01/5818FX01"/>
    <m/>
    <m/>
    <m/>
    <m/>
    <m/>
    <m/>
    <m/>
    <m/>
    <m/>
    <m/>
    <m/>
    <m/>
    <m/>
    <n v="9.9"/>
    <n v="160"/>
    <n v="39.154139999999998"/>
    <m/>
    <s v="KATIOLA"/>
    <s v="REJECT"/>
    <m/>
  </r>
  <r>
    <n v="907"/>
    <d v="2026-05-02T00:00:00"/>
    <x v="73"/>
    <s v="RM"/>
    <s v="CREDIT"/>
    <x v="0"/>
    <s v="BKE-002"/>
    <x v="8"/>
    <x v="8"/>
    <s v="9253CX03"/>
    <s v="0426-0340"/>
    <n v="395"/>
    <n v="32067"/>
    <n v="344"/>
    <n v="29980"/>
    <n v="29636"/>
    <n v="333"/>
    <n v="0"/>
    <n v="11"/>
    <n v="44"/>
    <n v="29592"/>
    <n v="465"/>
    <n v="13760280"/>
    <n v="10"/>
    <n v="164"/>
    <n v="42.85"/>
    <m/>
    <s v="BOTRO"/>
    <m/>
    <m/>
  </r>
  <r>
    <n v="908"/>
    <d v="2026-04-30T00:00:00"/>
    <x v="73"/>
    <s v="RM"/>
    <s v="CREDIT"/>
    <x v="0"/>
    <s v="BKE-001"/>
    <x v="17"/>
    <x v="17"/>
    <s v="838LX01"/>
    <s v="0425-0055"/>
    <n v="394"/>
    <n v="18782"/>
    <n v="569"/>
    <n v="46920"/>
    <n v="46351"/>
    <n v="559"/>
    <n v="0"/>
    <n v="10"/>
    <n v="40"/>
    <n v="46311"/>
    <n v="460"/>
    <n v="21303060"/>
    <n v="10.199999999999999"/>
    <n v="161"/>
    <n v="42.15"/>
    <m/>
    <s v="NIAKARA"/>
    <m/>
    <m/>
  </r>
  <r>
    <n v="909"/>
    <d v="2026-05-02T00:00:00"/>
    <x v="73"/>
    <s v="RM"/>
    <s v="CREDIT"/>
    <x v="0"/>
    <s v="BKE-001"/>
    <x v="8"/>
    <x v="8"/>
    <s v="AA187AQ01"/>
    <s v="0426-0340"/>
    <n v="393"/>
    <n v="22035"/>
    <n v="582"/>
    <n v="47880"/>
    <n v="47298"/>
    <n v="570"/>
    <n v="0"/>
    <n v="12"/>
    <n v="48"/>
    <n v="47250"/>
    <n v="465"/>
    <n v="21971250"/>
    <n v="9.5"/>
    <n v="177"/>
    <n v="41.27"/>
    <m/>
    <s v="MANKONO"/>
    <m/>
    <m/>
  </r>
  <r>
    <n v="910"/>
    <d v="2026-05-02T00:00:00"/>
    <x v="73"/>
    <s v="RM"/>
    <s v="CREDIT"/>
    <x v="0"/>
    <s v="BKE-002"/>
    <x v="6"/>
    <x v="6"/>
    <s v="28JZ01"/>
    <s v="0426-0347"/>
    <n v="392"/>
    <n v="31995"/>
    <n v="632"/>
    <n v="52200"/>
    <n v="51568"/>
    <n v="622"/>
    <n v="0"/>
    <n v="10"/>
    <n v="40"/>
    <n v="51528"/>
    <n v="460"/>
    <n v="23702880"/>
    <n v="8.9"/>
    <n v="177"/>
    <n v="42.5"/>
    <m/>
    <s v="VAVOUA"/>
    <m/>
    <m/>
  </r>
  <r>
    <n v="911"/>
    <d v="2026-05-02T00:00:00"/>
    <x v="73"/>
    <s v="RM"/>
    <s v="CREDIT"/>
    <x v="0"/>
    <s v="BKE-001"/>
    <x v="20"/>
    <x v="20"/>
    <s v="2766HC01"/>
    <s v="0425-0001"/>
    <n v="391"/>
    <n v="18732"/>
    <n v="477"/>
    <n v="39260"/>
    <n v="38783"/>
    <n v="447"/>
    <n v="30"/>
    <n v="0"/>
    <n v="240"/>
    <n v="38543"/>
    <n v="475"/>
    <n v="18307925"/>
    <n v="11"/>
    <n v="159"/>
    <n v="42.15"/>
    <m/>
    <s v="KATIOLA"/>
    <m/>
    <m/>
  </r>
  <r>
    <n v="912"/>
    <d v="2026-05-02T00:00:00"/>
    <x v="73"/>
    <s v="RM"/>
    <s v="CREDIT"/>
    <x v="0"/>
    <s v="BKE-001"/>
    <x v="20"/>
    <x v="20"/>
    <s v="5151CK03"/>
    <s v="0425-0001"/>
    <n v="390"/>
    <n v="19882"/>
    <n v="460"/>
    <n v="39820"/>
    <n v="39360"/>
    <n v="440"/>
    <n v="20"/>
    <n v="0"/>
    <n v="160"/>
    <n v="39200"/>
    <n v="475"/>
    <n v="18620000"/>
    <n v="10.8"/>
    <n v="168"/>
    <n v="41.27"/>
    <m/>
    <s v="KORHOGO"/>
    <m/>
    <m/>
  </r>
  <r>
    <n v="913"/>
    <d v="2026-05-02T00:00:00"/>
    <x v="73"/>
    <s v="RM"/>
    <s v="CREDIT"/>
    <x v="0"/>
    <s v="BKE-001"/>
    <x v="8"/>
    <x v="8"/>
    <s v="9126KK04"/>
    <s v="0426-0340"/>
    <n v="389"/>
    <n v="84378"/>
    <n v="490"/>
    <n v="43180"/>
    <n v="42690"/>
    <n v="460"/>
    <n v="30"/>
    <n v="0"/>
    <n v="240"/>
    <n v="42450"/>
    <n v="470"/>
    <n v="19951500"/>
    <n v="11.2"/>
    <n v="170"/>
    <n v="43.21"/>
    <m/>
    <s v="BOUAKE"/>
    <m/>
    <m/>
  </r>
  <r>
    <n v="914"/>
    <d v="2026-05-02T00:00:00"/>
    <x v="73"/>
    <s v="RM"/>
    <s v="CREDIT"/>
    <x v="0"/>
    <s v="BKE-002"/>
    <x v="6"/>
    <x v="6"/>
    <s v="1026FL01"/>
    <s v="0426-0347"/>
    <n v="396"/>
    <n v="34015"/>
    <n v="415"/>
    <n v="34320"/>
    <n v="33905"/>
    <n v="405"/>
    <n v="0"/>
    <n v="10"/>
    <n v="40"/>
    <n v="33865"/>
    <n v="460"/>
    <n v="15577900"/>
    <n v="8.4"/>
    <n v="176"/>
    <n v="41.97"/>
    <m/>
    <s v="MANKONO"/>
    <m/>
    <m/>
  </r>
  <r>
    <n v="915"/>
    <d v="2026-05-02T00:00:00"/>
    <x v="73"/>
    <s v="RM"/>
    <s v="CASH"/>
    <x v="1"/>
    <m/>
    <x v="51"/>
    <x v="52"/>
    <s v="AA576QV02 "/>
    <s v="0429-0462"/>
    <n v="415"/>
    <n v="28995"/>
    <n v="564"/>
    <n v="52190"/>
    <n v="51626"/>
    <n v="514"/>
    <n v="50"/>
    <n v="0"/>
    <n v="400"/>
    <n v="51226"/>
    <n v="465"/>
    <n v="23820090"/>
    <n v="12.1"/>
    <n v="166"/>
    <n v="43.12"/>
    <m/>
    <s v="VAVOUA"/>
    <m/>
    <m/>
  </r>
  <r>
    <n v="916"/>
    <d v="2026-05-02T00:00:00"/>
    <x v="73"/>
    <s v="RM"/>
    <s v="CREDIT"/>
    <x v="1"/>
    <m/>
    <x v="12"/>
    <x v="12"/>
    <s v="2596FZ03 "/>
    <s v="0429-0005"/>
    <n v="418"/>
    <n v="87106"/>
    <n v="643"/>
    <n v="53020"/>
    <n v="52377"/>
    <n v="623"/>
    <n v="20"/>
    <n v="0"/>
    <n v="160"/>
    <n v="52217"/>
    <n v="475"/>
    <n v="24803075"/>
    <n v="10.6"/>
    <n v="176"/>
    <n v="42.59"/>
    <m/>
    <s v="VAVOUA"/>
    <m/>
    <m/>
  </r>
  <r>
    <n v="917"/>
    <d v="2026-05-02T00:00:00"/>
    <x v="73"/>
    <s v="RM"/>
    <s v="CREDIT"/>
    <x v="1"/>
    <m/>
    <x v="9"/>
    <x v="9"/>
    <s v="1361KL01 "/>
    <s v="0419-0180"/>
    <n v="417"/>
    <n v="78902"/>
    <n v="607"/>
    <n v="52470"/>
    <n v="51863"/>
    <n v="602"/>
    <n v="5"/>
    <n v="0"/>
    <n v="40"/>
    <n v="51823"/>
    <n v="465"/>
    <n v="24097695"/>
    <n v="10.4"/>
    <n v="183"/>
    <n v="43.38"/>
    <m/>
    <s v="VAVOUA"/>
    <m/>
    <m/>
  </r>
  <r>
    <n v="918"/>
    <d v="2026-05-02T00:00:00"/>
    <x v="73"/>
    <s v="RM"/>
    <s v="CASH"/>
    <x v="1"/>
    <m/>
    <x v="58"/>
    <x v="59"/>
    <s v="3725JE01"/>
    <s v="0401-0057"/>
    <n v="414"/>
    <m/>
    <n v="496"/>
    <n v="41420"/>
    <n v="40924"/>
    <n v="446"/>
    <n v="50"/>
    <n v="0"/>
    <n v="400"/>
    <n v="40524"/>
    <n v="470"/>
    <n v="19046280"/>
    <n v="12.1"/>
    <n v="172"/>
    <n v="44.09"/>
    <m/>
    <s v="TIEBISSOU"/>
    <m/>
    <m/>
  </r>
  <r>
    <n v="919"/>
    <d v="2026-05-03T00:00:00"/>
    <x v="73"/>
    <m/>
    <m/>
    <x v="0"/>
    <m/>
    <x v="17"/>
    <x v="17"/>
    <s v="953LU01/1113CV01"/>
    <m/>
    <m/>
    <m/>
    <m/>
    <m/>
    <m/>
    <m/>
    <m/>
    <m/>
    <m/>
    <m/>
    <m/>
    <m/>
    <n v="8.4"/>
    <n v="160"/>
    <n v="41.270580000000002"/>
    <m/>
    <s v="KATIOLA"/>
    <s v="REJECT"/>
    <m/>
  </r>
  <r>
    <n v="920"/>
    <d v="2026-05-03T00:00:00"/>
    <x v="73"/>
    <m/>
    <m/>
    <x v="0"/>
    <m/>
    <x v="13"/>
    <x v="72"/>
    <s v="9903AX01"/>
    <m/>
    <m/>
    <m/>
    <m/>
    <m/>
    <m/>
    <m/>
    <m/>
    <m/>
    <m/>
    <m/>
    <m/>
    <m/>
    <n v="9"/>
    <n v="179"/>
    <n v="41.446950000000001"/>
    <m/>
    <s v="DIDIEVI"/>
    <s v="REJECT"/>
    <m/>
  </r>
  <r>
    <n v="921"/>
    <d v="2026-05-03T00:00:00"/>
    <x v="73"/>
    <m/>
    <m/>
    <x v="0"/>
    <m/>
    <x v="8"/>
    <x v="8"/>
    <s v="10FK03/6498BC04"/>
    <m/>
    <m/>
    <m/>
    <m/>
    <m/>
    <m/>
    <m/>
    <m/>
    <m/>
    <m/>
    <m/>
    <m/>
    <m/>
    <n v="9.4"/>
    <n v="173"/>
    <n v="39.330509999999997"/>
    <m/>
    <s v="MANKONO"/>
    <s v="REJECT"/>
    <m/>
  </r>
  <r>
    <n v="922"/>
    <d v="2026-05-03T00:00:00"/>
    <x v="73"/>
    <m/>
    <m/>
    <x v="0"/>
    <m/>
    <x v="6"/>
    <x v="6"/>
    <s v="5012HJ01/3822CF01"/>
    <m/>
    <m/>
    <m/>
    <m/>
    <m/>
    <m/>
    <m/>
    <m/>
    <m/>
    <m/>
    <m/>
    <m/>
    <m/>
    <n v="8.6999999999999993"/>
    <n v="180"/>
    <n v="41.094209999999997"/>
    <m/>
    <s v="BOUAKE"/>
    <s v="REJECT"/>
    <m/>
  </r>
  <r>
    <n v="923"/>
    <d v="2026-05-03T00:00:00"/>
    <x v="73"/>
    <m/>
    <m/>
    <x v="0"/>
    <m/>
    <x v="8"/>
    <x v="8"/>
    <s v="9335EF01"/>
    <m/>
    <m/>
    <m/>
    <m/>
    <m/>
    <m/>
    <m/>
    <m/>
    <m/>
    <m/>
    <m/>
    <m/>
    <m/>
    <n v="11"/>
    <n v="167"/>
    <n v="38.09592"/>
    <m/>
    <s v="BOTRO"/>
    <s v="REJECT"/>
    <m/>
  </r>
  <r>
    <n v="924"/>
    <d v="2026-05-03T00:00:00"/>
    <x v="73"/>
    <m/>
    <m/>
    <x v="0"/>
    <m/>
    <x v="8"/>
    <x v="8"/>
    <s v="AA127YR03/9272FG01"/>
    <m/>
    <m/>
    <m/>
    <m/>
    <m/>
    <m/>
    <m/>
    <m/>
    <m/>
    <m/>
    <m/>
    <m/>
    <m/>
    <n v="8.4"/>
    <n v="187"/>
    <n v="34.921259999999997"/>
    <m/>
    <s v="VAVOUA"/>
    <s v="REJECT"/>
    <m/>
  </r>
  <r>
    <n v="925"/>
    <d v="2026-05-03T00:00:00"/>
    <x v="73"/>
    <m/>
    <m/>
    <x v="0"/>
    <m/>
    <x v="8"/>
    <x v="8"/>
    <s v="6142HZ01/3812KK04"/>
    <m/>
    <m/>
    <m/>
    <m/>
    <m/>
    <m/>
    <m/>
    <m/>
    <m/>
    <m/>
    <m/>
    <m/>
    <m/>
    <n v="10.7"/>
    <n v="178"/>
    <n v="38.625030000000002"/>
    <m/>
    <s v="KOUTO"/>
    <s v="REJECT"/>
    <m/>
  </r>
  <r>
    <n v="926"/>
    <d v="2026-05-03T00:00:00"/>
    <x v="73"/>
    <m/>
    <m/>
    <x v="0"/>
    <m/>
    <x v="8"/>
    <x v="8"/>
    <s v="4848HR01/6100HU01"/>
    <m/>
    <m/>
    <m/>
    <m/>
    <m/>
    <m/>
    <m/>
    <m/>
    <m/>
    <m/>
    <m/>
    <m/>
    <m/>
    <n v="12.7"/>
    <n v="158"/>
    <n v="39.85962"/>
    <m/>
    <s v="DIANRA"/>
    <s v="REJECT"/>
    <m/>
  </r>
  <r>
    <n v="927"/>
    <d v="2026-05-03T00:00:00"/>
    <x v="74"/>
    <s v="RM"/>
    <s v="CREDIT"/>
    <x v="0"/>
    <s v="BKE-001"/>
    <x v="11"/>
    <x v="11"/>
    <s v="9640GEE04"/>
    <s v="0431-0277"/>
    <n v="398"/>
    <n v="87046"/>
    <n v="482"/>
    <n v="40900"/>
    <n v="40418"/>
    <n v="469"/>
    <n v="0"/>
    <n v="13"/>
    <n v="52"/>
    <n v="40366"/>
    <n v="465"/>
    <n v="18770190"/>
    <n v="9.3000000000000007"/>
    <n v="158"/>
    <n v="42.32"/>
    <m/>
    <s v="BOUAKE"/>
    <m/>
    <m/>
  </r>
  <r>
    <n v="928"/>
    <d v="2026-05-03T00:00:00"/>
    <x v="74"/>
    <s v="RM"/>
    <s v="CREDIT"/>
    <x v="0"/>
    <s v="BKE-001"/>
    <x v="13"/>
    <x v="13"/>
    <s v="2318JK01"/>
    <s v="0426-0365"/>
    <n v="397"/>
    <n v="32757"/>
    <n v="488"/>
    <n v="41020"/>
    <n v="40532"/>
    <n v="476"/>
    <n v="0"/>
    <n v="12"/>
    <n v="48"/>
    <n v="40484"/>
    <n v="460"/>
    <n v="18622640"/>
    <n v="9.8000000000000007"/>
    <n v="158"/>
    <n v="41.62"/>
    <m/>
    <s v="BOTRO"/>
    <m/>
    <m/>
  </r>
  <r>
    <n v="929"/>
    <d v="2026-05-04T00:00:00"/>
    <x v="74"/>
    <s v="RM"/>
    <s v="CREDIT"/>
    <x v="0"/>
    <s v="BKE-001"/>
    <x v="6"/>
    <x v="6"/>
    <s v="1026FL01"/>
    <s v="0426-0347"/>
    <n v="399"/>
    <n v="31999"/>
    <n v="417"/>
    <n v="33660"/>
    <n v="33243"/>
    <n v="409"/>
    <n v="0"/>
    <n v="8"/>
    <n v="32"/>
    <n v="33211"/>
    <n v="460"/>
    <n v="15277060"/>
    <n v="8.3000000000000007"/>
    <n v="185"/>
    <n v="41.97"/>
    <m/>
    <s v="BOUAKE"/>
    <m/>
    <m/>
  </r>
  <r>
    <n v="930"/>
    <d v="2026-05-04T00:00:00"/>
    <x v="74"/>
    <s v="RM"/>
    <s v="CREDIT"/>
    <x v="0"/>
    <s v="BKE-001"/>
    <x v="20"/>
    <x v="20"/>
    <s v="5151CK03"/>
    <s v="0425-0001"/>
    <n v="400"/>
    <n v="18796"/>
    <n v="443"/>
    <n v="38960"/>
    <n v="38517"/>
    <n v="413"/>
    <n v="30"/>
    <n v="0"/>
    <n v="240"/>
    <n v="38277"/>
    <n v="470"/>
    <n v="17990190"/>
    <n v="11.8"/>
    <n v="160"/>
    <n v="42.15"/>
    <m/>
    <s v="KATIOLA"/>
    <m/>
    <m/>
  </r>
  <r>
    <n v="931"/>
    <d v="2026-05-04T00:00:00"/>
    <x v="74"/>
    <s v="RM"/>
    <s v="CREDIT"/>
    <x v="0"/>
    <s v="BKE-001"/>
    <x v="5"/>
    <x v="5"/>
    <s v="2023HF01"/>
    <s v="0426-0194"/>
    <n v="301"/>
    <n v="32834"/>
    <n v="155"/>
    <n v="13180"/>
    <n v="13025"/>
    <n v="147"/>
    <n v="0"/>
    <n v="8"/>
    <n v="32"/>
    <n v="12993"/>
    <n v="470"/>
    <n v="6106710"/>
    <n v="10.4"/>
    <n v="157"/>
    <n v="42.32"/>
    <m/>
    <s v="BEOUMI"/>
    <m/>
    <m/>
  </r>
  <r>
    <n v="932"/>
    <d v="2026-05-04T00:00:00"/>
    <x v="74"/>
    <s v="RM"/>
    <s v="CREDIT"/>
    <x v="0"/>
    <s v="BKE-001"/>
    <x v="20"/>
    <x v="20"/>
    <s v="2766HC01"/>
    <s v="0425-0001"/>
    <n v="302"/>
    <n v="18794"/>
    <n v="475"/>
    <n v="38800"/>
    <n v="38325"/>
    <n v="463"/>
    <n v="0"/>
    <n v="12"/>
    <n v="48"/>
    <n v="38277"/>
    <n v="470"/>
    <n v="17990190"/>
    <n v="8"/>
    <n v="167"/>
    <n v="42.32"/>
    <m/>
    <s v="KATIOLA"/>
    <m/>
    <m/>
  </r>
  <r>
    <n v="933"/>
    <d v="2026-05-02T00:00:00"/>
    <x v="74"/>
    <s v="RM"/>
    <s v="CREDIT"/>
    <x v="1"/>
    <m/>
    <x v="9"/>
    <x v="9"/>
    <s v="9333WWCI01 "/>
    <s v="0419-0180"/>
    <n v="419"/>
    <n v="78901"/>
    <n v="693"/>
    <n v="57010"/>
    <n v="56317"/>
    <n v="673"/>
    <n v="20"/>
    <n v="0"/>
    <n v="160"/>
    <n v="56157"/>
    <n v="465"/>
    <n v="26113005"/>
    <n v="10.5"/>
    <n v="172"/>
    <n v="44.35"/>
    <m/>
    <s v="VAVOUA"/>
    <m/>
    <m/>
  </r>
  <r>
    <n v="934"/>
    <d v="2026-04-30T00:00:00"/>
    <x v="74"/>
    <s v="RM"/>
    <s v="CREDIT"/>
    <x v="1"/>
    <m/>
    <x v="45"/>
    <x v="46"/>
    <s v="9783JH04 "/>
    <s v="0520-0024"/>
    <n v="420"/>
    <n v="89244"/>
    <n v="593"/>
    <n v="46470"/>
    <n v="45877"/>
    <n v="563"/>
    <n v="30"/>
    <n v="0"/>
    <n v="240"/>
    <n v="45637"/>
    <n v="495"/>
    <n v="22590315"/>
    <n v="13.2"/>
    <n v="159"/>
    <n v="43.29"/>
    <m/>
    <s v="MANKONO"/>
    <s v="KONE ADAMA"/>
    <m/>
  </r>
  <r>
    <n v="935"/>
    <d v="2026-04-30T00:00:00"/>
    <x v="74"/>
    <s v="RM"/>
    <s v="CREDIT"/>
    <x v="1"/>
    <m/>
    <x v="45"/>
    <x v="46"/>
    <s v="AA783NC03 "/>
    <s v="0520-0024"/>
    <n v="421"/>
    <n v="89245"/>
    <n v="616"/>
    <n v="49160"/>
    <n v="48544"/>
    <n v="606"/>
    <n v="10"/>
    <n v="0"/>
    <n v="80"/>
    <n v="48464"/>
    <n v="495"/>
    <n v="23989680"/>
    <n v="11.4"/>
    <n v="162"/>
    <n v="42.06"/>
    <m/>
    <s v="DIANRA"/>
    <s v="KONE ADAMA"/>
    <m/>
  </r>
  <r>
    <n v="936"/>
    <d v="2026-05-02T00:00:00"/>
    <x v="74"/>
    <s v="RM"/>
    <s v="CASH"/>
    <x v="1"/>
    <m/>
    <x v="48"/>
    <x v="49"/>
    <s v="3039KT01"/>
    <s v="0426-0386"/>
    <n v="422"/>
    <s v="09053"/>
    <n v="487"/>
    <n v="40230"/>
    <n v="39743"/>
    <n v="462"/>
    <n v="0"/>
    <n v="25"/>
    <n v="100"/>
    <n v="39643"/>
    <n v="485"/>
    <n v="19226855"/>
    <n v="8.5"/>
    <n v="191"/>
    <n v="42.5"/>
    <m/>
    <s v="KOUIBLY"/>
    <m/>
    <m/>
  </r>
  <r>
    <n v="937"/>
    <d v="2026-05-02T00:00:00"/>
    <x v="74"/>
    <s v="RM"/>
    <s v="CASH"/>
    <x v="1"/>
    <m/>
    <x v="58"/>
    <x v="59"/>
    <s v="54GH04 "/>
    <s v="0401-0057"/>
    <n v="423"/>
    <n v="36093"/>
    <n v="579"/>
    <n v="50440"/>
    <n v="49861"/>
    <n v="529"/>
    <n v="50"/>
    <n v="0"/>
    <n v="400"/>
    <n v="49461"/>
    <n v="465"/>
    <n v="22999365"/>
    <n v="14.1"/>
    <n v="172"/>
    <n v="44.7"/>
    <m/>
    <s v="KONG"/>
    <m/>
    <m/>
  </r>
  <r>
    <n v="938"/>
    <d v="2026-05-03T00:00:00"/>
    <x v="74"/>
    <s v="RM"/>
    <s v="CREDIT"/>
    <x v="1"/>
    <m/>
    <x v="10"/>
    <x v="10"/>
    <s v="AA343ET01"/>
    <s v="0425-0212"/>
    <n v="424"/>
    <n v="83399"/>
    <n v="500"/>
    <n v="42260"/>
    <n v="41760"/>
    <n v="450"/>
    <n v="50"/>
    <n v="0"/>
    <n v="400"/>
    <n v="41360"/>
    <n v="465"/>
    <n v="19232400"/>
    <n v="12.2"/>
    <n v="174"/>
    <n v="43.82"/>
    <m/>
    <s v="DABAKALA"/>
    <m/>
    <m/>
  </r>
  <r>
    <n v="939"/>
    <d v="2026-05-04T00:00:00"/>
    <x v="74"/>
    <m/>
    <m/>
    <x v="0"/>
    <m/>
    <x v="8"/>
    <x v="8"/>
    <s v="2977KT03/AA38YB03"/>
    <m/>
    <m/>
    <m/>
    <m/>
    <m/>
    <m/>
    <m/>
    <m/>
    <m/>
    <m/>
    <m/>
    <m/>
    <m/>
    <n v="7.1"/>
    <n v="194"/>
    <n v="38.09592"/>
    <m/>
    <s v="OUONINOU"/>
    <s v="REJECT"/>
    <m/>
  </r>
  <r>
    <n v="940"/>
    <d v="2026-05-04T00:00:00"/>
    <x v="74"/>
    <m/>
    <m/>
    <x v="0"/>
    <m/>
    <x v="8"/>
    <x v="8"/>
    <s v="AA235SC04/524CT04"/>
    <m/>
    <m/>
    <m/>
    <m/>
    <m/>
    <m/>
    <m/>
    <m/>
    <m/>
    <m/>
    <m/>
    <m/>
    <m/>
    <n v="9.1999999999999993"/>
    <n v="175"/>
    <n v="40.212359999999997"/>
    <m/>
    <s v="KATIOLA"/>
    <s v="REJECT"/>
    <m/>
  </r>
  <r>
    <n v="941"/>
    <d v="2026-05-04T00:00:00"/>
    <x v="74"/>
    <m/>
    <m/>
    <x v="0"/>
    <m/>
    <x v="20"/>
    <x v="20"/>
    <s v="4669CP03/7164AX03"/>
    <m/>
    <m/>
    <m/>
    <m/>
    <m/>
    <m/>
    <m/>
    <m/>
    <m/>
    <m/>
    <m/>
    <m/>
    <m/>
    <n v="17.8"/>
    <n v="157"/>
    <n v="38.97777"/>
    <m/>
    <s v="KORHOGO"/>
    <s v="REJECT"/>
    <m/>
  </r>
  <r>
    <n v="942"/>
    <d v="2026-05-04T00:00:00"/>
    <x v="74"/>
    <m/>
    <m/>
    <x v="0"/>
    <m/>
    <x v="11"/>
    <x v="11"/>
    <s v="5382GG01"/>
    <m/>
    <m/>
    <m/>
    <m/>
    <m/>
    <m/>
    <m/>
    <m/>
    <m/>
    <m/>
    <m/>
    <m/>
    <m/>
    <n v="12.1"/>
    <n v="167"/>
    <n v="40.035989999999998"/>
    <m/>
    <s v="BOUAKE"/>
    <s v="REJECT"/>
    <m/>
  </r>
  <r>
    <n v="943"/>
    <d v="2026-05-04T00:00:00"/>
    <x v="74"/>
    <m/>
    <m/>
    <x v="0"/>
    <m/>
    <x v="17"/>
    <x v="17"/>
    <s v="838LY01/6297BH01"/>
    <m/>
    <m/>
    <m/>
    <m/>
    <m/>
    <m/>
    <m/>
    <m/>
    <m/>
    <m/>
    <m/>
    <m/>
    <m/>
    <n v="11.5"/>
    <n v="170"/>
    <n v="40.035989999999998"/>
    <m/>
    <s v="KATIOLA"/>
    <s v="REJECT"/>
    <m/>
  </r>
  <r>
    <n v="944"/>
    <d v="2026-05-04T00:00:00"/>
    <x v="75"/>
    <s v="RM"/>
    <s v="CREDIT"/>
    <x v="0"/>
    <s v="BKE-001"/>
    <x v="8"/>
    <x v="8"/>
    <s v="A044CA"/>
    <s v="0426-0340"/>
    <n v="303"/>
    <n v="32069"/>
    <n v="584"/>
    <n v="48960"/>
    <n v="48376"/>
    <n v="569"/>
    <n v="0"/>
    <n v="15"/>
    <n v="60"/>
    <n v="48316"/>
    <n v="470"/>
    <n v="22708520"/>
    <n v="10.6"/>
    <n v="173"/>
    <n v="41.97"/>
    <m/>
    <s v="BOUNDIALI"/>
    <m/>
    <m/>
  </r>
  <r>
    <n v="945"/>
    <d v="2026-05-04T00:00:00"/>
    <x v="75"/>
    <s v="RM"/>
    <s v="CREDIT"/>
    <x v="0"/>
    <s v="BKE-001"/>
    <x v="17"/>
    <x v="17"/>
    <s v="953LU01"/>
    <s v="0425-0055"/>
    <n v="304"/>
    <n v="18783"/>
    <n v="485"/>
    <n v="41820"/>
    <n v="41335"/>
    <n v="475"/>
    <n v="0"/>
    <n v="10"/>
    <n v="40"/>
    <n v="41295"/>
    <n v="465"/>
    <n v="19202175"/>
    <n v="9.6"/>
    <n v="162"/>
    <n v="41.79"/>
    <m/>
    <s v="KATIOLA"/>
    <m/>
    <m/>
  </r>
  <r>
    <n v="946"/>
    <d v="2026-05-04T00:00:00"/>
    <x v="75"/>
    <s v="RM"/>
    <s v="CREDIT"/>
    <x v="0"/>
    <s v="BKE-001"/>
    <x v="6"/>
    <x v="6"/>
    <s v="9611CV03"/>
    <s v="0426-0347"/>
    <n v="305"/>
    <n v="31994"/>
    <n v="587"/>
    <n v="49100"/>
    <n v="48513"/>
    <n v="567"/>
    <n v="20"/>
    <n v="0"/>
    <n v="160"/>
    <n v="48353"/>
    <n v="465"/>
    <n v="22484145"/>
    <n v="11"/>
    <n v="181"/>
    <n v="42.15"/>
    <m/>
    <s v="KORHOGO"/>
    <m/>
    <m/>
  </r>
  <r>
    <n v="947"/>
    <d v="2026-05-04T00:00:00"/>
    <x v="75"/>
    <s v="RM"/>
    <s v="CREDIT"/>
    <x v="0"/>
    <s v="BKE-001"/>
    <x v="0"/>
    <x v="0"/>
    <s v="5012HJ01"/>
    <s v="0401-0007"/>
    <n v="306"/>
    <n v="13117"/>
    <n v="576"/>
    <n v="45540"/>
    <n v="44964"/>
    <n v="568"/>
    <n v="0"/>
    <n v="8"/>
    <n v="32"/>
    <n v="44932"/>
    <n v="460"/>
    <n v="20668720"/>
    <n v="8"/>
    <n v="177"/>
    <n v="41.62"/>
    <m/>
    <s v="BOUAKE"/>
    <m/>
    <m/>
  </r>
  <r>
    <n v="948"/>
    <d v="2026-05-03T00:00:00"/>
    <x v="75"/>
    <s v="RM"/>
    <s v="CREDIT"/>
    <x v="1"/>
    <m/>
    <x v="10"/>
    <x v="10"/>
    <s v="AA539FT01 "/>
    <s v="0431-0018"/>
    <n v="427"/>
    <m/>
    <n v="522"/>
    <n v="44340"/>
    <n v="43818"/>
    <n v="462"/>
    <n v="60"/>
    <n v="0"/>
    <n v="480"/>
    <n v="43338"/>
    <n v="465"/>
    <n v="20152170"/>
    <n v="12.1"/>
    <n v="178"/>
    <n v="42.59"/>
    <m/>
    <s v="KOUBIRRO"/>
    <s v="SCOOP CA BENKADI"/>
    <m/>
  </r>
  <r>
    <n v="949"/>
    <d v="2026-05-02T00:00:00"/>
    <x v="75"/>
    <s v="RM"/>
    <s v="CREDIT"/>
    <x v="1"/>
    <m/>
    <x v="18"/>
    <x v="18"/>
    <s v="AA141VT01 "/>
    <s v="0420-0251"/>
    <n v="425"/>
    <n v="37590"/>
    <n v="485"/>
    <n v="45610"/>
    <n v="45125"/>
    <n v="445"/>
    <n v="40"/>
    <n v="0"/>
    <n v="320"/>
    <n v="44805"/>
    <n v="465"/>
    <n v="20834325"/>
    <n v="12.7"/>
    <n v="162"/>
    <n v="42.85"/>
    <m/>
    <s v="DIANRA"/>
    <m/>
    <m/>
  </r>
  <r>
    <n v="950"/>
    <d v="2026-05-02T00:00:00"/>
    <x v="75"/>
    <s v="RM"/>
    <s v="CREDIT"/>
    <x v="1"/>
    <m/>
    <x v="9"/>
    <x v="9"/>
    <s v="8751EZ01 "/>
    <s v="0429-0180"/>
    <n v="428"/>
    <n v="78909"/>
    <n v="642"/>
    <n v="52430"/>
    <n v="51788"/>
    <n v="632"/>
    <n v="10"/>
    <n v="0"/>
    <n v="80"/>
    <n v="51708"/>
    <n v="465"/>
    <n v="24044220"/>
    <n v="10.4"/>
    <n v="188"/>
    <n v="41.09"/>
    <m/>
    <s v="VAVOUA"/>
    <m/>
    <m/>
  </r>
  <r>
    <n v="951"/>
    <d v="2026-05-04T00:00:00"/>
    <x v="75"/>
    <s v="RM"/>
    <s v="CASH"/>
    <x v="1"/>
    <m/>
    <x v="51"/>
    <x v="52"/>
    <s v="AA576QV02 "/>
    <s v="0429-0462"/>
    <n v="426"/>
    <n v="87037"/>
    <n v="643"/>
    <n v="59530"/>
    <n v="58887"/>
    <n v="613"/>
    <n v="30"/>
    <n v="0"/>
    <n v="240"/>
    <n v="58647"/>
    <n v="465"/>
    <n v="27270855"/>
    <n v="11.5"/>
    <n v="181"/>
    <n v="42.68"/>
    <m/>
    <s v="VAVOUA"/>
    <m/>
    <m/>
  </r>
  <r>
    <n v="952"/>
    <d v="2026-05-04T00:00:00"/>
    <x v="75"/>
    <s v="RM"/>
    <s v="CREDIT"/>
    <x v="1"/>
    <m/>
    <x v="10"/>
    <x v="10"/>
    <s v="4981JR04 "/>
    <s v="0425-0212"/>
    <n v="429"/>
    <n v="18946"/>
    <n v="503"/>
    <n v="41510"/>
    <n v="41007"/>
    <n v="448"/>
    <n v="55"/>
    <n v="0"/>
    <n v="440"/>
    <n v="40567"/>
    <n v="465"/>
    <n v="18863655"/>
    <n v="12.6"/>
    <n v="173"/>
    <n v="43.91"/>
    <m/>
    <s v="DABAKALA"/>
    <m/>
    <m/>
  </r>
  <r>
    <n v="953"/>
    <d v="2026-05-03T00:00:00"/>
    <x v="75"/>
    <s v="RM"/>
    <s v="CREDIT"/>
    <x v="1"/>
    <m/>
    <x v="45"/>
    <x v="46"/>
    <s v="4050LE07 "/>
    <s v="0401-0094"/>
    <n v="430"/>
    <n v="39835"/>
    <n v="554"/>
    <n v="47340"/>
    <n v="46786"/>
    <n v="524"/>
    <n v="30"/>
    <n v="0"/>
    <n v="240"/>
    <n v="46546"/>
    <n v="500"/>
    <n v="23273000"/>
    <n v="12.4"/>
    <n v="168"/>
    <n v="42.41"/>
    <m/>
    <s v="BOUAKE"/>
    <s v="SCOOPS PS"/>
    <m/>
  </r>
  <r>
    <n v="954"/>
    <d v="2026-05-05T00:00:00"/>
    <x v="75"/>
    <m/>
    <m/>
    <x v="0"/>
    <m/>
    <x v="8"/>
    <x v="8"/>
    <s v="1386KX04/1028KT04"/>
    <m/>
    <m/>
    <m/>
    <m/>
    <m/>
    <m/>
    <m/>
    <m/>
    <m/>
    <m/>
    <m/>
    <m/>
    <m/>
    <n v="8.1"/>
    <n v="163"/>
    <n v="40.212359999999997"/>
    <m/>
    <s v="BEOUMI"/>
    <s v="REJECT"/>
    <m/>
  </r>
  <r>
    <n v="955"/>
    <d v="2026-05-05T00:00:00"/>
    <x v="75"/>
    <m/>
    <m/>
    <x v="0"/>
    <m/>
    <x v="8"/>
    <x v="8"/>
    <s v="9126KK04/2743EJ03"/>
    <m/>
    <m/>
    <m/>
    <m/>
    <m/>
    <m/>
    <m/>
    <m/>
    <m/>
    <m/>
    <m/>
    <m/>
    <m/>
    <n v="10.4"/>
    <n v="176"/>
    <n v="35.274000000000001"/>
    <m/>
    <s v="BOUAKE"/>
    <s v="REJECT"/>
    <m/>
  </r>
  <r>
    <n v="956"/>
    <d v="2026-05-05T00:00:00"/>
    <x v="75"/>
    <m/>
    <m/>
    <x v="0"/>
    <m/>
    <x v="8"/>
    <x v="8"/>
    <s v="1760JZ03/33HK01"/>
    <m/>
    <m/>
    <m/>
    <m/>
    <m/>
    <m/>
    <m/>
    <m/>
    <m/>
    <m/>
    <m/>
    <m/>
    <m/>
    <n v="10.4"/>
    <n v="186"/>
    <n v="34.215780000000002"/>
    <m/>
    <s v="KONG"/>
    <s v="REJECT"/>
    <m/>
  </r>
  <r>
    <n v="957"/>
    <d v="2026-05-05T00:00:00"/>
    <x v="75"/>
    <m/>
    <m/>
    <x v="0"/>
    <m/>
    <x v="20"/>
    <x v="20"/>
    <s v="9640GE04/4196CF03"/>
    <m/>
    <m/>
    <m/>
    <m/>
    <m/>
    <m/>
    <m/>
    <m/>
    <m/>
    <m/>
    <m/>
    <m/>
    <m/>
    <n v="8.9"/>
    <n v="152"/>
    <n v="39.85962"/>
    <m/>
    <s v="KATIOLA"/>
    <s v="REJECT"/>
    <m/>
  </r>
  <r>
    <n v="958"/>
    <d v="2026-05-05T00:00:00"/>
    <x v="75"/>
    <m/>
    <m/>
    <x v="0"/>
    <m/>
    <x v="20"/>
    <x v="20"/>
    <s v="3487FZ02/5507JA01"/>
    <m/>
    <m/>
    <m/>
    <m/>
    <m/>
    <m/>
    <m/>
    <m/>
    <m/>
    <m/>
    <m/>
    <m/>
    <m/>
    <n v="9.8000000000000007"/>
    <n v="158"/>
    <n v="39.330509999999997"/>
    <m/>
    <s v="KATIOLA"/>
    <s v="REJECT"/>
    <m/>
  </r>
  <r>
    <n v="959"/>
    <d v="2026-05-06T00:00:00"/>
    <x v="76"/>
    <m/>
    <m/>
    <x v="0"/>
    <m/>
    <x v="11"/>
    <x v="11"/>
    <s v="6305EP01"/>
    <m/>
    <m/>
    <m/>
    <m/>
    <m/>
    <m/>
    <m/>
    <m/>
    <m/>
    <m/>
    <m/>
    <m/>
    <m/>
    <n v="10.3"/>
    <n v="165"/>
    <n v="40.035989999999998"/>
    <m/>
    <s v="BOUAKE"/>
    <s v="REJECT"/>
    <m/>
  </r>
  <r>
    <n v="960"/>
    <d v="2026-05-03T00:00:00"/>
    <x v="76"/>
    <s v="RM"/>
    <s v="CREDIT"/>
    <x v="1"/>
    <m/>
    <x v="9"/>
    <x v="9"/>
    <s v="AA721PZ01 "/>
    <s v="0429-0180"/>
    <n v="431"/>
    <n v="78903"/>
    <n v="655"/>
    <n v="51050"/>
    <n v="50395"/>
    <n v="640"/>
    <n v="0"/>
    <n v="15"/>
    <n v="60"/>
    <n v="50335"/>
    <n v="465"/>
    <n v="23405775"/>
    <n v="9.6999999999999993"/>
    <n v="185"/>
    <n v="41.44"/>
    <m/>
    <s v="VAVOUA"/>
    <m/>
    <m/>
  </r>
  <r>
    <n v="961"/>
    <d v="2026-05-04T00:00:00"/>
    <x v="76"/>
    <s v="RM"/>
    <s v="CREDIT"/>
    <x v="1"/>
    <m/>
    <x v="9"/>
    <x v="9"/>
    <s v="2744KK02 "/>
    <s v="0429-0180"/>
    <n v="432"/>
    <n v="66427"/>
    <n v="507"/>
    <n v="41350"/>
    <n v="40843"/>
    <n v="487"/>
    <n v="0"/>
    <n v="20"/>
    <n v="80"/>
    <n v="40763"/>
    <n v="465"/>
    <n v="18954795"/>
    <n v="10.3"/>
    <n v="185"/>
    <n v="41.79"/>
    <m/>
    <s v="VAVOUA"/>
    <m/>
    <m/>
  </r>
  <r>
    <n v="962"/>
    <d v="2026-05-04T00:00:00"/>
    <x v="76"/>
    <s v="RM"/>
    <s v="CASH"/>
    <x v="1"/>
    <m/>
    <x v="42"/>
    <x v="43"/>
    <s v="6139KV01 "/>
    <s v="0401-0177"/>
    <n v="434"/>
    <n v="87145"/>
    <n v="431"/>
    <n v="36510"/>
    <n v="36079"/>
    <n v="421"/>
    <n v="0"/>
    <n v="10"/>
    <n v="40"/>
    <n v="36039"/>
    <n v="465"/>
    <n v="16758135"/>
    <n v="9.8000000000000007"/>
    <n v="179"/>
    <n v="42.06"/>
    <m/>
    <s v="SINFRA"/>
    <m/>
    <m/>
  </r>
  <r>
    <n v="963"/>
    <d v="2026-05-04T00:00:00"/>
    <x v="76"/>
    <s v="RM"/>
    <s v="CASH"/>
    <x v="1"/>
    <m/>
    <x v="58"/>
    <x v="59"/>
    <s v="3725JE01 "/>
    <s v="0401-0057"/>
    <n v="433"/>
    <n v="36092"/>
    <n v="438"/>
    <n v="36360"/>
    <n v="35922"/>
    <n v="398"/>
    <n v="40"/>
    <n v="0"/>
    <n v="320"/>
    <n v="35602"/>
    <n v="465"/>
    <n v="16554930"/>
    <n v="12.3"/>
    <n v="170"/>
    <n v="43.12"/>
    <m/>
    <s v="TIEBISSOU"/>
    <m/>
    <m/>
  </r>
  <r>
    <n v="964"/>
    <d v="2026-05-04T00:00:00"/>
    <x v="76"/>
    <s v="RM"/>
    <s v="CASH"/>
    <x v="1"/>
    <m/>
    <x v="48"/>
    <x v="49"/>
    <s v="AA184AV"/>
    <s v="0426-0386"/>
    <n v="436"/>
    <n v="31508"/>
    <n v="576"/>
    <n v="47370"/>
    <n v="46794"/>
    <n v="566"/>
    <n v="0"/>
    <n v="10"/>
    <n v="40"/>
    <n v="46754"/>
    <n v="465"/>
    <n v="21740610"/>
    <n v="9.8000000000000007"/>
    <n v="188"/>
    <n v="43.03"/>
    <m/>
    <s v="DIDIEVI"/>
    <m/>
    <m/>
  </r>
  <r>
    <n v="965"/>
    <d v="2026-05-04T00:00:00"/>
    <x v="76"/>
    <s v="RM"/>
    <s v="CASH"/>
    <x v="1"/>
    <m/>
    <x v="51"/>
    <x v="52"/>
    <s v="1861KY01 "/>
    <s v="0429-0462"/>
    <n v="435"/>
    <n v="30275"/>
    <n v="667"/>
    <n v="54250"/>
    <n v="53583"/>
    <n v="647"/>
    <n v="20"/>
    <n v="0"/>
    <n v="160"/>
    <n v="53423"/>
    <n v="465"/>
    <n v="24841695"/>
    <n v="11.3"/>
    <n v="190"/>
    <n v="41.62"/>
    <m/>
    <s v="VAVOUA"/>
    <m/>
    <m/>
  </r>
  <r>
    <n v="966"/>
    <d v="2026-05-04T00:00:00"/>
    <x v="77"/>
    <s v="RM"/>
    <s v="CREDIT"/>
    <x v="1"/>
    <m/>
    <x v="9"/>
    <x v="9"/>
    <s v="4668LR04 "/>
    <s v="0429-0180"/>
    <n v="437"/>
    <n v="70332"/>
    <n v="538"/>
    <n v="43650"/>
    <n v="43112"/>
    <n v="523"/>
    <n v="0"/>
    <n v="15"/>
    <n v="60"/>
    <n v="43052"/>
    <n v="454"/>
    <n v="19545608"/>
    <n v="8.4"/>
    <n v="190"/>
    <n v="42.85"/>
    <m/>
    <s v="VAVOUA"/>
    <m/>
    <m/>
  </r>
  <r>
    <n v="967"/>
    <d v="2026-05-04T00:00:00"/>
    <x v="77"/>
    <s v="RM"/>
    <s v="CASH"/>
    <x v="1"/>
    <m/>
    <x v="60"/>
    <x v="61"/>
    <s v="7987JL03 "/>
    <s v="0331-0083"/>
    <n v="438"/>
    <n v="87081"/>
    <n v="436"/>
    <n v="36850"/>
    <n v="36414"/>
    <n v="396"/>
    <n v="40"/>
    <n v="0"/>
    <n v="320"/>
    <n v="36094"/>
    <n v="460"/>
    <n v="16603240"/>
    <n v="11.8"/>
    <n v="163"/>
    <n v="42.85"/>
    <m/>
    <s v="BOUAKE"/>
    <m/>
    <m/>
  </r>
  <r>
    <n v="968"/>
    <d v="2026-05-06T00:00:00"/>
    <x v="77"/>
    <s v="RM"/>
    <s v="CREDIT"/>
    <x v="1"/>
    <m/>
    <x v="38"/>
    <x v="39"/>
    <s v="AA359EJ01 "/>
    <s v="0408-0287"/>
    <n v="439"/>
    <n v="77598"/>
    <n v="677"/>
    <n v="52640"/>
    <n v="51963"/>
    <n v="657"/>
    <n v="20"/>
    <n v="0"/>
    <n v="160"/>
    <n v="51803"/>
    <n v="530"/>
    <n v="27455590"/>
    <n v="10.5"/>
    <n v="168"/>
    <n v="44.26"/>
    <m/>
    <s v="MINIGNAN"/>
    <m/>
    <m/>
  </r>
  <r>
    <n v="969"/>
    <d v="2026-05-02T00:00:00"/>
    <x v="78"/>
    <s v="RM"/>
    <s v="CREDIT"/>
    <x v="1"/>
    <m/>
    <x v="45"/>
    <x v="46"/>
    <s v="3008FT01 "/>
    <m/>
    <n v="440"/>
    <n v="39833"/>
    <n v="479"/>
    <n v="43380"/>
    <n v="42901"/>
    <n v="449"/>
    <n v="30"/>
    <n v="0"/>
    <n v="240"/>
    <n v="42661"/>
    <n v="475"/>
    <n v="20263975"/>
    <n v="12.2"/>
    <n v="165"/>
    <n v="41.71"/>
    <m/>
    <s v="BOUAKE"/>
    <s v="SCOOPS PS"/>
    <m/>
  </r>
  <r>
    <n v="970"/>
    <d v="2026-05-04T00:00:00"/>
    <x v="78"/>
    <s v="RM"/>
    <s v="CREDIT"/>
    <x v="1"/>
    <m/>
    <x v="45"/>
    <x v="46"/>
    <s v="8188KU03 "/>
    <m/>
    <n v="441"/>
    <n v="89077"/>
    <n v="590"/>
    <n v="47800"/>
    <n v="47210"/>
    <n v="580"/>
    <n v="0"/>
    <n v="10"/>
    <n v="40"/>
    <n v="47170"/>
    <n v="495"/>
    <n v="23349150"/>
    <n v="8.5"/>
    <n v="183"/>
    <n v="43.65"/>
    <m/>
    <s v="SAMATIGUILA"/>
    <s v="KONE ADAMA"/>
    <m/>
  </r>
  <r>
    <n v="971"/>
    <d v="2026-05-07T00:00:00"/>
    <x v="78"/>
    <s v="RM"/>
    <s v="CREDIT"/>
    <x v="1"/>
    <m/>
    <x v="9"/>
    <x v="9"/>
    <s v="5116HF01 "/>
    <s v="0429-0180"/>
    <n v="442"/>
    <n v="78898"/>
    <n v="524"/>
    <n v="41140"/>
    <n v="40616"/>
    <n v="514"/>
    <n v="0"/>
    <n v="14"/>
    <n v="56"/>
    <n v="40560"/>
    <n v="454"/>
    <n v="18414240"/>
    <n v="9.8000000000000007"/>
    <n v="180"/>
    <n v="42.15"/>
    <m/>
    <s v="VAVOUA"/>
    <m/>
    <m/>
  </r>
  <r>
    <n v="972"/>
    <d v="2026-05-08T00:00:00"/>
    <x v="78"/>
    <s v="RM"/>
    <s v="CASH"/>
    <x v="1"/>
    <m/>
    <x v="48"/>
    <x v="49"/>
    <s v="3680FK04 "/>
    <s v="0426-0386"/>
    <n v="443"/>
    <n v="31509"/>
    <n v="588"/>
    <n v="49150"/>
    <n v="48562"/>
    <n v="548"/>
    <n v="40"/>
    <n v="0"/>
    <n v="320"/>
    <n v="48242"/>
    <n v="454"/>
    <n v="21901868"/>
    <n v="11.2"/>
    <n v="178"/>
    <n v="43.21"/>
    <m/>
    <s v="DIDIEVI"/>
    <m/>
    <m/>
  </r>
  <r>
    <n v="973"/>
    <d v="2026-05-15T00:00:00"/>
    <x v="79"/>
    <s v="RM"/>
    <s v="CASH"/>
    <x v="1"/>
    <m/>
    <x v="48"/>
    <x v="49"/>
    <s v="9155HP04 "/>
    <s v="0426-0386"/>
    <n v="444"/>
    <n v="31510"/>
    <n v="536"/>
    <n v="43350"/>
    <n v="42814"/>
    <n v="536"/>
    <n v="0"/>
    <n v="0"/>
    <n v="0"/>
    <n v="42814"/>
    <n v="420"/>
    <n v="17981880"/>
    <n v="9.8000000000000007"/>
    <n v="168"/>
    <n v="43.12"/>
    <m/>
    <s v="DIDIEVI"/>
    <m/>
    <m/>
  </r>
  <r>
    <n v="974"/>
    <d v="2026-05-20T00:00:00"/>
    <x v="80"/>
    <s v="RM"/>
    <s v="CASH"/>
    <x v="1"/>
    <m/>
    <x v="48"/>
    <x v="49"/>
    <s v="694KA03"/>
    <s v="0426-0386"/>
    <n v="445"/>
    <n v="31512"/>
    <n v="551"/>
    <n v="39750"/>
    <n v="39199"/>
    <n v="526"/>
    <n v="0"/>
    <n v="25"/>
    <n v="100"/>
    <n v="39099"/>
    <n v="420"/>
    <n v="16421580"/>
    <n v="10.8"/>
    <n v="181"/>
    <n v="41.97"/>
    <m/>
    <s v="KOUASSI KOUASSIKRO"/>
    <m/>
    <m/>
  </r>
  <r>
    <n v="975"/>
    <d v="2026-05-20T00:00:00"/>
    <x v="81"/>
    <s v="RM"/>
    <s v="CASH"/>
    <x v="1"/>
    <m/>
    <x v="48"/>
    <x v="49"/>
    <s v="8549CE03"/>
    <s v="0426-0386"/>
    <n v="446"/>
    <n v="31511"/>
    <n v="467"/>
    <n v="37920"/>
    <n v="37453"/>
    <n v="417"/>
    <n v="0"/>
    <n v="50"/>
    <n v="200"/>
    <n v="37253"/>
    <n v="415"/>
    <n v="15459995"/>
    <n v="11.2"/>
    <n v="173"/>
    <n v="41.35"/>
    <m/>
    <s v="KOUASSI KOUASSIKRO"/>
    <m/>
    <m/>
  </r>
  <r>
    <n v="976"/>
    <d v="2026-05-21T00:00:00"/>
    <x v="81"/>
    <s v="RM"/>
    <s v="CASH"/>
    <x v="1"/>
    <m/>
    <x v="67"/>
    <x v="68"/>
    <s v="2310JC03 "/>
    <s v="0426-0063"/>
    <n v="447"/>
    <n v="35056"/>
    <n v="516"/>
    <n v="45840"/>
    <n v="45324"/>
    <n v="476"/>
    <n v="0"/>
    <n v="40"/>
    <n v="160"/>
    <n v="45164"/>
    <n v="420"/>
    <n v="18968880"/>
    <n v="9.8000000000000007"/>
    <n v="178"/>
    <n v="42.41"/>
    <m/>
    <s v="DAOUKRO"/>
    <m/>
    <m/>
  </r>
  <r>
    <n v="977"/>
    <d v="2026-05-26T00:00:00"/>
    <x v="82"/>
    <s v="RM"/>
    <s v="CASH"/>
    <x v="1"/>
    <m/>
    <x v="51"/>
    <x v="52"/>
    <s v="AA576QV02 "/>
    <s v="0429-0462"/>
    <n v="448"/>
    <n v="87036"/>
    <n v="710"/>
    <n v="55860"/>
    <n v="55150"/>
    <n v="690"/>
    <n v="0"/>
    <n v="20"/>
    <n v="80"/>
    <n v="55070"/>
    <n v="420"/>
    <n v="23129400"/>
    <n v="9.1"/>
    <n v="180"/>
    <n v="42.15"/>
    <m/>
    <s v="VAVOUA"/>
    <m/>
    <m/>
  </r>
  <r>
    <n v="978"/>
    <d v="2026-05-30T00:00:00"/>
    <x v="83"/>
    <s v="RM"/>
    <s v="CASH"/>
    <x v="1"/>
    <m/>
    <x v="51"/>
    <x v="52"/>
    <s v="AA576QV02 "/>
    <s v="0429-0462"/>
    <n v="449"/>
    <n v="87130"/>
    <n v="734"/>
    <n v="56200"/>
    <n v="55466"/>
    <n v="724"/>
    <n v="0"/>
    <n v="10"/>
    <n v="40"/>
    <n v="55426"/>
    <n v="420"/>
    <n v="23278920"/>
    <n v="10.1"/>
    <n v="164"/>
    <n v="41.88"/>
    <m/>
    <s v="VAVOU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5EF4CB-73E5-4FCF-873E-884785DDD56E}" name="PivotTable5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I92:AL141" firstHeaderRow="2" firstDataRow="2" firstDataCol="3"/>
  <pivotFields count="31">
    <pivotField compact="0" outline="0" showAll="0"/>
    <pivotField compact="0" numFmtId="14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/>
    <pivotField compact="0" outline="0" showAll="0"/>
    <pivotField axis="axisRow" compact="0" outline="0" showAll="0">
      <items count="4">
        <item h="1" x="2"/>
        <item x="0"/>
        <item h="1" x="1"/>
        <item t="default"/>
      </items>
    </pivotField>
    <pivotField compact="0" outline="0" showAll="0"/>
    <pivotField axis="axisRow" compact="0" outline="0" showAll="0" defaultSubtotal="0">
      <items count="82">
        <item x="33"/>
        <item x="11"/>
        <item x="1"/>
        <item x="12"/>
        <item x="4"/>
        <item x="32"/>
        <item x="36"/>
        <item x="30"/>
        <item x="42"/>
        <item x="9"/>
        <item x="8"/>
        <item x="0"/>
        <item x="23"/>
        <item m="1" x="71"/>
        <item x="21"/>
        <item m="1" x="81"/>
        <item x="25"/>
        <item x="15"/>
        <item x="38"/>
        <item x="17"/>
        <item x="31"/>
        <item x="5"/>
        <item x="20"/>
        <item x="41"/>
        <item m="1" x="79"/>
        <item x="16"/>
        <item x="19"/>
        <item x="24"/>
        <item m="1" x="74"/>
        <item x="18"/>
        <item x="26"/>
        <item x="14"/>
        <item x="2"/>
        <item x="34"/>
        <item x="39"/>
        <item x="13"/>
        <item x="35"/>
        <item x="37"/>
        <item x="28"/>
        <item x="10"/>
        <item x="6"/>
        <item x="7"/>
        <item m="1" x="78"/>
        <item x="3"/>
        <item x="29"/>
        <item x="22"/>
        <item x="27"/>
        <item m="1" x="72"/>
        <item x="44"/>
        <item x="45"/>
        <item x="46"/>
        <item x="48"/>
        <item x="47"/>
        <item x="50"/>
        <item x="51"/>
        <item x="53"/>
        <item x="54"/>
        <item x="55"/>
        <item x="56"/>
        <item x="57"/>
        <item m="1" x="77"/>
        <item x="58"/>
        <item x="60"/>
        <item m="1" x="73"/>
        <item x="61"/>
        <item m="1" x="80"/>
        <item x="40"/>
        <item x="43"/>
        <item m="1" x="75"/>
        <item x="59"/>
        <item x="49"/>
        <item x="66"/>
        <item x="67"/>
        <item x="52"/>
        <item x="62"/>
        <item x="68"/>
        <item m="1" x="76"/>
        <item x="69"/>
        <item x="70"/>
        <item x="63"/>
        <item x="64"/>
        <item x="65"/>
      </items>
    </pivotField>
    <pivotField axis="axisRow" compact="0" outline="0" showAll="0" defaultSubtotal="0">
      <items count="79">
        <item x="21"/>
        <item x="16"/>
        <item x="19"/>
        <item x="22"/>
        <item x="24"/>
        <item x="25"/>
        <item x="26"/>
        <item x="27"/>
        <item x="23"/>
        <item x="29"/>
        <item x="30"/>
        <item x="31"/>
        <item x="32"/>
        <item x="33"/>
        <item x="34"/>
        <item x="35"/>
        <item x="37"/>
        <item x="36"/>
        <item m="1" x="73"/>
        <item x="40"/>
        <item x="42"/>
        <item x="43"/>
        <item x="7"/>
        <item x="9"/>
        <item x="2"/>
        <item x="10"/>
        <item x="12"/>
        <item x="0"/>
        <item x="1"/>
        <item x="15"/>
        <item x="3"/>
        <item x="11"/>
        <item x="8"/>
        <item x="13"/>
        <item x="4"/>
        <item x="5"/>
        <item x="6"/>
        <item x="17"/>
        <item x="18"/>
        <item x="20"/>
        <item x="14"/>
        <item x="28"/>
        <item x="45"/>
        <item x="46"/>
        <item x="47"/>
        <item x="49"/>
        <item x="38"/>
        <item x="39"/>
        <item x="48"/>
        <item x="51"/>
        <item x="52"/>
        <item m="1" x="76"/>
        <item x="54"/>
        <item x="55"/>
        <item x="56"/>
        <item x="57"/>
        <item x="58"/>
        <item x="59"/>
        <item x="61"/>
        <item x="50"/>
        <item x="62"/>
        <item m="1" x="77"/>
        <item x="41"/>
        <item x="44"/>
        <item m="1" x="75"/>
        <item m="1" x="78"/>
        <item x="60"/>
        <item x="67"/>
        <item x="68"/>
        <item x="69"/>
        <item m="1" x="74"/>
        <item x="70"/>
        <item x="71"/>
        <item x="53"/>
        <item x="63"/>
        <item x="64"/>
        <item x="65"/>
        <item x="66"/>
        <item x="72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numFmtId="164" outline="0" showAll="0"/>
    <pivotField compact="0" numFmtId="2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7"/>
    <field x="8"/>
    <field x="5"/>
  </rowFields>
  <rowItems count="48">
    <i>
      <x v="1"/>
      <x v="31"/>
      <x v="1"/>
    </i>
    <i>
      <x v="2"/>
      <x v="28"/>
      <x v="1"/>
    </i>
    <i>
      <x v="3"/>
      <x v="26"/>
      <x v="1"/>
    </i>
    <i>
      <x v="4"/>
      <x v="34"/>
      <x v="1"/>
    </i>
    <i>
      <x v="7"/>
      <x v="10"/>
      <x v="1"/>
    </i>
    <i>
      <x v="9"/>
      <x v="23"/>
      <x v="1"/>
    </i>
    <i>
      <x v="10"/>
      <x v="32"/>
      <x v="1"/>
    </i>
    <i>
      <x v="11"/>
      <x v="27"/>
      <x v="1"/>
    </i>
    <i>
      <x v="14"/>
      <x/>
      <x v="1"/>
    </i>
    <i>
      <x v="16"/>
      <x v="5"/>
      <x v="1"/>
    </i>
    <i>
      <x v="17"/>
      <x v="29"/>
      <x v="1"/>
    </i>
    <i>
      <x v="19"/>
      <x v="37"/>
      <x v="1"/>
    </i>
    <i>
      <x v="21"/>
      <x v="35"/>
      <x v="1"/>
    </i>
    <i>
      <x v="22"/>
      <x v="39"/>
      <x v="1"/>
    </i>
    <i>
      <x v="25"/>
      <x v="1"/>
      <x v="1"/>
    </i>
    <i>
      <x v="26"/>
      <x v="2"/>
      <x v="1"/>
    </i>
    <i>
      <x v="27"/>
      <x v="4"/>
      <x v="1"/>
    </i>
    <i>
      <x v="29"/>
      <x v="38"/>
      <x v="1"/>
    </i>
    <i>
      <x v="30"/>
      <x v="6"/>
      <x v="1"/>
    </i>
    <i>
      <x v="31"/>
      <x v="40"/>
      <x v="1"/>
    </i>
    <i>
      <x v="32"/>
      <x v="24"/>
      <x v="1"/>
    </i>
    <i>
      <x v="33"/>
      <x v="14"/>
      <x v="1"/>
    </i>
    <i>
      <x v="35"/>
      <x v="33"/>
      <x v="1"/>
    </i>
    <i r="1">
      <x v="78"/>
      <x v="1"/>
    </i>
    <i>
      <x v="36"/>
      <x v="15"/>
      <x v="1"/>
    </i>
    <i>
      <x v="37"/>
      <x v="16"/>
      <x v="1"/>
    </i>
    <i>
      <x v="38"/>
      <x v="41"/>
      <x v="1"/>
    </i>
    <i>
      <x v="39"/>
      <x v="25"/>
      <x v="1"/>
    </i>
    <i>
      <x v="40"/>
      <x v="36"/>
      <x v="1"/>
    </i>
    <i>
      <x v="41"/>
      <x v="22"/>
      <x v="1"/>
    </i>
    <i>
      <x v="43"/>
      <x v="30"/>
      <x v="1"/>
    </i>
    <i>
      <x v="46"/>
      <x v="7"/>
      <x v="1"/>
    </i>
    <i>
      <x v="48"/>
      <x v="42"/>
      <x v="1"/>
    </i>
    <i>
      <x v="51"/>
      <x v="45"/>
      <x v="1"/>
    </i>
    <i>
      <x v="52"/>
      <x v="48"/>
      <x v="1"/>
    </i>
    <i>
      <x v="53"/>
      <x v="49"/>
      <x v="1"/>
    </i>
    <i>
      <x v="55"/>
      <x v="52"/>
      <x v="1"/>
    </i>
    <i>
      <x v="56"/>
      <x v="53"/>
      <x v="1"/>
    </i>
    <i>
      <x v="57"/>
      <x v="54"/>
      <x v="1"/>
    </i>
    <i>
      <x v="58"/>
      <x v="55"/>
      <x v="1"/>
    </i>
    <i>
      <x v="64"/>
      <x v="60"/>
      <x v="1"/>
    </i>
    <i>
      <x v="70"/>
      <x v="59"/>
      <x v="1"/>
    </i>
    <i>
      <x v="73"/>
      <x v="73"/>
      <x v="1"/>
    </i>
    <i>
      <x v="74"/>
      <x v="74"/>
      <x v="1"/>
    </i>
    <i>
      <x v="79"/>
      <x v="75"/>
      <x v="1"/>
    </i>
    <i>
      <x v="80"/>
      <x v="76"/>
      <x v="1"/>
    </i>
    <i>
      <x v="81"/>
      <x v="77"/>
      <x v="1"/>
    </i>
    <i t="grand">
      <x/>
    </i>
  </rowItems>
  <colItems count="1">
    <i/>
  </colItems>
  <dataFields count="1">
    <dataField name="Sum of PAID WT" fld="20" baseField="0" baseItem="0" numFmtId="43"/>
  </dataFields>
  <formats count="52">
    <format dxfId="3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5">
      <pivotArea collapsedLevelsAreSubtotals="1" fieldPosition="0">
        <references count="1">
          <reference field="7" count="1">
            <x v="0"/>
          </reference>
        </references>
      </pivotArea>
    </format>
    <format dxfId="36">
      <pivotArea dataOnly="0" labelOnly="1" fieldPosition="0">
        <references count="1">
          <reference field="7" count="1">
            <x v="0"/>
          </reference>
        </references>
      </pivotArea>
    </format>
    <format dxfId="37">
      <pivotArea collapsedLevelsAreSubtotals="1" fieldPosition="0">
        <references count="1">
          <reference field="7" count="1">
            <x v="5"/>
          </reference>
        </references>
      </pivotArea>
    </format>
    <format dxfId="38">
      <pivotArea dataOnly="0" labelOnly="1" fieldPosition="0">
        <references count="1">
          <reference field="7" count="1">
            <x v="5"/>
          </reference>
        </references>
      </pivotArea>
    </format>
    <format dxfId="39">
      <pivotArea collapsedLevelsAreSubtotals="1" fieldPosition="0">
        <references count="1">
          <reference field="7" count="1">
            <x v="7"/>
          </reference>
        </references>
      </pivotArea>
    </format>
    <format dxfId="40">
      <pivotArea dataOnly="0" labelOnly="1" fieldPosition="0">
        <references count="1">
          <reference field="7" count="1">
            <x v="7"/>
          </reference>
        </references>
      </pivotArea>
    </format>
    <format dxfId="41">
      <pivotArea collapsedLevelsAreSubtotals="1" fieldPosition="0">
        <references count="1">
          <reference field="7" count="1">
            <x v="12"/>
          </reference>
        </references>
      </pivotArea>
    </format>
    <format dxfId="42">
      <pivotArea dataOnly="0" labelOnly="1" fieldPosition="0">
        <references count="1">
          <reference field="7" count="1">
            <x v="12"/>
          </reference>
        </references>
      </pivotArea>
    </format>
    <format dxfId="43">
      <pivotArea collapsedLevelsAreSubtotals="1" fieldPosition="0">
        <references count="1">
          <reference field="7" count="1">
            <x v="20"/>
          </reference>
        </references>
      </pivotArea>
    </format>
    <format dxfId="44">
      <pivotArea dataOnly="0" labelOnly="1" fieldPosition="0">
        <references count="1">
          <reference field="7" count="1">
            <x v="20"/>
          </reference>
        </references>
      </pivotArea>
    </format>
    <format dxfId="45">
      <pivotArea collapsedLevelsAreSubtotals="1" fieldPosition="0">
        <references count="1">
          <reference field="7" count="1">
            <x v="46"/>
          </reference>
        </references>
      </pivotArea>
    </format>
    <format dxfId="46">
      <pivotArea dataOnly="0" labelOnly="1" fieldPosition="0">
        <references count="1">
          <reference field="7" count="1">
            <x v="46"/>
          </reference>
        </references>
      </pivotArea>
    </format>
    <format dxfId="47">
      <pivotArea outline="0" fieldPosition="0">
        <references count="3">
          <reference field="5" count="0" selected="0"/>
          <reference field="7" count="1" selected="0">
            <x v="56"/>
          </reference>
          <reference field="8" count="1" selected="0">
            <x v="53"/>
          </reference>
        </references>
      </pivotArea>
    </format>
    <format dxfId="48">
      <pivotArea outline="0" fieldPosition="0">
        <references count="3">
          <reference field="5" count="0" selected="0"/>
          <reference field="7" count="1" selected="0">
            <x v="48"/>
          </reference>
          <reference field="8" count="1" selected="0">
            <x v="42"/>
          </reference>
        </references>
      </pivotArea>
    </format>
    <format dxfId="49">
      <pivotArea outline="0" fieldPosition="0">
        <references count="3">
          <reference field="5" count="0" selected="0"/>
          <reference field="7" count="1" selected="0">
            <x v="1"/>
          </reference>
          <reference field="8" count="1" selected="0">
            <x v="31"/>
          </reference>
        </references>
      </pivotArea>
    </format>
    <format dxfId="50">
      <pivotArea outline="0" fieldPosition="0">
        <references count="3">
          <reference field="5" count="0" selected="0"/>
          <reference field="7" count="1" selected="0">
            <x v="2"/>
          </reference>
          <reference field="8" count="1" selected="0">
            <x v="28"/>
          </reference>
        </references>
      </pivotArea>
    </format>
    <format dxfId="51">
      <pivotArea outline="0" fieldPosition="0">
        <references count="3">
          <reference field="5" count="0" selected="0"/>
          <reference field="7" count="1" selected="0">
            <x v="3"/>
          </reference>
          <reference field="8" count="1" selected="0">
            <x v="26"/>
          </reference>
        </references>
      </pivotArea>
    </format>
    <format dxfId="52">
      <pivotArea outline="0" fieldPosition="0">
        <references count="3">
          <reference field="5" count="0" selected="0"/>
          <reference field="7" count="1" selected="0">
            <x v="4"/>
          </reference>
          <reference field="8" count="1" selected="0">
            <x v="34"/>
          </reference>
        </references>
      </pivotArea>
    </format>
    <format dxfId="53">
      <pivotArea outline="0" fieldPosition="0">
        <references count="3">
          <reference field="5" count="0" selected="0"/>
          <reference field="7" count="1" selected="0">
            <x v="9"/>
          </reference>
          <reference field="8" count="1" selected="0">
            <x v="23"/>
          </reference>
        </references>
      </pivotArea>
    </format>
    <format dxfId="54">
      <pivotArea outline="0" fieldPosition="0">
        <references count="3">
          <reference field="5" count="0" selected="0"/>
          <reference field="7" count="0" selected="0"/>
          <reference field="8" count="1" selected="0">
            <x v="54"/>
          </reference>
        </references>
      </pivotArea>
    </format>
    <format dxfId="55">
      <pivotArea outline="0" fieldPosition="0">
        <references count="3">
          <reference field="5" count="0" selected="0"/>
          <reference field="7" count="1" selected="0">
            <x v="16"/>
          </reference>
          <reference field="8" count="1" selected="0">
            <x v="5"/>
          </reference>
        </references>
      </pivotArea>
    </format>
    <format dxfId="56">
      <pivotArea outline="0" fieldPosition="0">
        <references count="3">
          <reference field="5" count="0" selected="0"/>
          <reference field="7" count="1" selected="0">
            <x v="36"/>
          </reference>
          <reference field="8" count="1" selected="0">
            <x v="15"/>
          </reference>
        </references>
      </pivotArea>
    </format>
    <format dxfId="57">
      <pivotArea outline="0" fieldPosition="0">
        <references count="3">
          <reference field="5" count="0" selected="0"/>
          <reference field="7" count="1" selected="0">
            <x v="17"/>
          </reference>
          <reference field="8" count="1" selected="0">
            <x v="29"/>
          </reference>
        </references>
      </pivotArea>
    </format>
    <format dxfId="58">
      <pivotArea outline="0" fieldPosition="0">
        <references count="3">
          <reference field="5" count="0" selected="0"/>
          <reference field="7" count="1" selected="0">
            <x v="53"/>
          </reference>
          <reference field="8" count="1" selected="0">
            <x v="49"/>
          </reference>
        </references>
      </pivotArea>
    </format>
    <format dxfId="59">
      <pivotArea outline="0" fieldPosition="0">
        <references count="3">
          <reference field="5" count="0" selected="0"/>
          <reference field="7" count="1" selected="0">
            <x v="19"/>
          </reference>
          <reference field="8" count="1" selected="0">
            <x v="37"/>
          </reference>
        </references>
      </pivotArea>
    </format>
    <format dxfId="60">
      <pivotArea outline="0" fieldPosition="0">
        <references count="3">
          <reference field="5" count="0" selected="0"/>
          <reference field="7" count="1" selected="0">
            <x v="58"/>
          </reference>
          <reference field="8" count="1" selected="0">
            <x v="55"/>
          </reference>
        </references>
      </pivotArea>
    </format>
    <format dxfId="61">
      <pivotArea outline="0" fieldPosition="0">
        <references count="3">
          <reference field="5" count="0" selected="0"/>
          <reference field="7" count="1" selected="0">
            <x v="64"/>
          </reference>
          <reference field="8" count="1" selected="0">
            <x v="60"/>
          </reference>
        </references>
      </pivotArea>
    </format>
    <format dxfId="62">
      <pivotArea outline="0" fieldPosition="0">
        <references count="3">
          <reference field="5" count="0" selected="0"/>
          <reference field="7" count="1" selected="0">
            <x v="10"/>
          </reference>
          <reference field="8" count="1" selected="0">
            <x v="32"/>
          </reference>
        </references>
      </pivotArea>
    </format>
    <format dxfId="63">
      <pivotArea outline="0" fieldPosition="0">
        <references count="3">
          <reference field="5" count="0" selected="0"/>
          <reference field="7" count="1" selected="0">
            <x v="21"/>
          </reference>
          <reference field="8" count="1" selected="0">
            <x v="35"/>
          </reference>
        </references>
      </pivotArea>
    </format>
    <format dxfId="64">
      <pivotArea outline="0" fieldPosition="0">
        <references count="3">
          <reference field="5" count="0" selected="0"/>
          <reference field="7" count="1" selected="0">
            <x v="22"/>
          </reference>
          <reference field="8" count="1" selected="0">
            <x v="39"/>
          </reference>
        </references>
      </pivotArea>
    </format>
    <format dxfId="65">
      <pivotArea outline="0" fieldPosition="0">
        <references count="3">
          <reference field="5" count="0" selected="0"/>
          <reference field="7" count="1" selected="0">
            <x v="25"/>
          </reference>
          <reference field="8" count="1" selected="0">
            <x v="1"/>
          </reference>
        </references>
      </pivotArea>
    </format>
    <format dxfId="66">
      <pivotArea outline="0" fieldPosition="0">
        <references count="3">
          <reference field="5" count="0" selected="0"/>
          <reference field="7" count="1" selected="0">
            <x v="35"/>
          </reference>
          <reference field="8" count="1" selected="0">
            <x v="33"/>
          </reference>
        </references>
      </pivotArea>
    </format>
    <format dxfId="67">
      <pivotArea outline="0" fieldPosition="0">
        <references count="3">
          <reference field="5" count="0" selected="0"/>
          <reference field="7" count="1" selected="0">
            <x v="26"/>
          </reference>
          <reference field="8" count="1" selected="0">
            <x v="2"/>
          </reference>
        </references>
      </pivotArea>
    </format>
    <format dxfId="68">
      <pivotArea outline="0" fieldPosition="0">
        <references count="3">
          <reference field="5" count="0" selected="0"/>
          <reference field="7" count="1" selected="0">
            <x v="27"/>
          </reference>
          <reference field="8" count="1" selected="0">
            <x v="4"/>
          </reference>
        </references>
      </pivotArea>
    </format>
    <format dxfId="69">
      <pivotArea outline="0" fieldPosition="0">
        <references count="3">
          <reference field="5" count="0" selected="0"/>
          <reference field="7" count="1" selected="0">
            <x v="29"/>
          </reference>
          <reference field="8" count="1" selected="0">
            <x v="38"/>
          </reference>
        </references>
      </pivotArea>
    </format>
    <format dxfId="70">
      <pivotArea outline="0" fieldPosition="0">
        <references count="3">
          <reference field="5" count="0" selected="0"/>
          <reference field="7" count="1" selected="0">
            <x v="31"/>
          </reference>
          <reference field="8" count="1" selected="0">
            <x v="40"/>
          </reference>
        </references>
      </pivotArea>
    </format>
    <format dxfId="71">
      <pivotArea outline="0" fieldPosition="0">
        <references count="3">
          <reference field="5" count="0" selected="0"/>
          <reference field="7" count="1" selected="0">
            <x v="32"/>
          </reference>
          <reference field="8" count="1" selected="0">
            <x v="24"/>
          </reference>
        </references>
      </pivotArea>
    </format>
    <format dxfId="72">
      <pivotArea outline="0" fieldPosition="0">
        <references count="3">
          <reference field="5" count="0" selected="0"/>
          <reference field="7" count="1" selected="0">
            <x v="33"/>
          </reference>
          <reference field="8" count="1" selected="0">
            <x v="14"/>
          </reference>
        </references>
      </pivotArea>
    </format>
    <format dxfId="73">
      <pivotArea outline="0" fieldPosition="0">
        <references count="3">
          <reference field="5" count="0" selected="0"/>
          <reference field="7" count="1" selected="0">
            <x v="11"/>
          </reference>
          <reference field="8" count="1" selected="0">
            <x v="27"/>
          </reference>
        </references>
      </pivotArea>
    </format>
    <format dxfId="74">
      <pivotArea outline="0" fieldPosition="0">
        <references count="3">
          <reference field="5" count="0" selected="0"/>
          <reference field="7" count="1" selected="0">
            <x v="55"/>
          </reference>
          <reference field="8" count="1" selected="0">
            <x v="52"/>
          </reference>
        </references>
      </pivotArea>
    </format>
    <format dxfId="75">
      <pivotArea outline="0" fieldPosition="0">
        <references count="3">
          <reference field="5" count="0" selected="0"/>
          <reference field="7" count="1" selected="0">
            <x v="51"/>
          </reference>
          <reference field="8" count="1" selected="0">
            <x v="45"/>
          </reference>
        </references>
      </pivotArea>
    </format>
    <format dxfId="76">
      <pivotArea outline="0" fieldPosition="0">
        <references count="3">
          <reference field="5" count="0" selected="0"/>
          <reference field="7" count="1" selected="0">
            <x v="40"/>
          </reference>
          <reference field="8" count="1" selected="0">
            <x v="36"/>
          </reference>
        </references>
      </pivotArea>
    </format>
    <format dxfId="77">
      <pivotArea outline="0" fieldPosition="0">
        <references count="3">
          <reference field="5" count="0" selected="0"/>
          <reference field="7" count="1" selected="0">
            <x v="70"/>
          </reference>
          <reference field="8" count="1" selected="0">
            <x v="59"/>
          </reference>
        </references>
      </pivotArea>
    </format>
    <format dxfId="78">
      <pivotArea outline="0" fieldPosition="0">
        <references count="3">
          <reference field="5" count="0" selected="0"/>
          <reference field="7" count="1" selected="0">
            <x v="37"/>
          </reference>
          <reference field="8" count="1" selected="0">
            <x v="16"/>
          </reference>
        </references>
      </pivotArea>
    </format>
    <format dxfId="79">
      <pivotArea outline="0" fieldPosition="0">
        <references count="3">
          <reference field="5" count="0" selected="0"/>
          <reference field="7" count="1" selected="0">
            <x v="38"/>
          </reference>
          <reference field="8" count="1" selected="0">
            <x v="41"/>
          </reference>
        </references>
      </pivotArea>
    </format>
    <format dxfId="80">
      <pivotArea outline="0" fieldPosition="0">
        <references count="3">
          <reference field="5" count="0" selected="0"/>
          <reference field="7" count="1" selected="0">
            <x v="41"/>
          </reference>
          <reference field="8" count="1" selected="0">
            <x v="22"/>
          </reference>
        </references>
      </pivotArea>
    </format>
    <format dxfId="81">
      <pivotArea outline="0" fieldPosition="0">
        <references count="3">
          <reference field="5" count="0" selected="0"/>
          <reference field="7" count="1" selected="0">
            <x v="39"/>
          </reference>
          <reference field="8" count="1" selected="0">
            <x v="25"/>
          </reference>
        </references>
      </pivotArea>
    </format>
    <format dxfId="82">
      <pivotArea outline="0" fieldPosition="0">
        <references count="3">
          <reference field="5" count="0" selected="0"/>
          <reference field="7" count="1" selected="0">
            <x v="43"/>
          </reference>
          <reference field="8" count="1" selected="0">
            <x v="30"/>
          </reference>
        </references>
      </pivotArea>
    </format>
    <format dxfId="83">
      <pivotArea outline="0" fieldPosition="0">
        <references count="3">
          <reference field="5" count="0" selected="0"/>
          <reference field="7" count="1" selected="0">
            <x v="14"/>
          </reference>
          <reference field="8" count="1" selected="0">
            <x v="0"/>
          </reference>
        </references>
      </pivotArea>
    </format>
    <format dxfId="84">
      <pivotArea outline="0" fieldPosition="0">
        <references count="3">
          <reference field="5" count="0" selected="0"/>
          <reference field="7" count="1" selected="0">
            <x v="52"/>
          </reference>
          <reference field="8" count="1" selected="0">
            <x v="48"/>
          </reference>
        </references>
      </pivotArea>
    </format>
    <format dxfId="85">
      <pivotArea outline="0" fieldPosition="0">
        <references count="3">
          <reference field="5" count="0" selected="0"/>
          <reference field="7" count="1" selected="0">
            <x v="30"/>
          </reference>
          <reference field="8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7C376E-1D26-4D58-80F8-78AF04AB395A}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S2:AV72" firstHeaderRow="1" firstDataRow="2" firstDataCol="2"/>
  <pivotFields count="31">
    <pivotField compact="0" outline="0" showAll="0"/>
    <pivotField compact="0" numFmtId="166" outline="0" showAll="0"/>
    <pivotField axis="axisRow" compact="0" numFmtId="166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/>
    <pivotField compact="0" outline="0" showAll="0"/>
    <pivotField axis="axisRow" compact="0" outline="0" showAll="0" defaultSubtotal="0">
      <items count="3">
        <item h="1" x="2"/>
        <item h="1" x="0"/>
        <item x="1"/>
      </items>
    </pivotField>
    <pivotField compact="0" outline="0" showAll="0"/>
    <pivotField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1" outline="0" showAll="0"/>
    <pivotField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2"/>
    <field x="5"/>
  </rowFields>
  <rowItems count="69">
    <i>
      <x v="57"/>
      <x v="2"/>
    </i>
    <i>
      <x v="58"/>
      <x v="2"/>
    </i>
    <i>
      <x v="59"/>
      <x v="2"/>
    </i>
    <i>
      <x v="64"/>
      <x v="2"/>
    </i>
    <i>
      <x v="65"/>
      <x v="2"/>
    </i>
    <i>
      <x v="66"/>
      <x v="2"/>
    </i>
    <i>
      <x v="67"/>
      <x v="2"/>
    </i>
    <i>
      <x v="68"/>
      <x v="2"/>
    </i>
    <i>
      <x v="69"/>
      <x v="2"/>
    </i>
    <i>
      <x v="70"/>
      <x v="2"/>
    </i>
    <i>
      <x v="71"/>
      <x v="2"/>
    </i>
    <i>
      <x v="72"/>
      <x v="2"/>
    </i>
    <i>
      <x v="73"/>
      <x v="2"/>
    </i>
    <i>
      <x v="74"/>
      <x v="2"/>
    </i>
    <i>
      <x v="75"/>
      <x v="2"/>
    </i>
    <i>
      <x v="76"/>
      <x v="2"/>
    </i>
    <i>
      <x v="77"/>
      <x v="2"/>
    </i>
    <i>
      <x v="78"/>
      <x v="2"/>
    </i>
    <i>
      <x v="79"/>
      <x v="2"/>
    </i>
    <i>
      <x v="81"/>
      <x v="2"/>
    </i>
    <i>
      <x v="82"/>
      <x v="2"/>
    </i>
    <i>
      <x v="83"/>
      <x v="2"/>
    </i>
    <i>
      <x v="84"/>
      <x v="2"/>
    </i>
    <i>
      <x v="85"/>
      <x v="2"/>
    </i>
    <i>
      <x v="86"/>
      <x v="2"/>
    </i>
    <i>
      <x v="87"/>
      <x v="2"/>
    </i>
    <i>
      <x v="89"/>
      <x v="2"/>
    </i>
    <i>
      <x v="90"/>
      <x v="2"/>
    </i>
    <i>
      <x v="91"/>
      <x v="2"/>
    </i>
    <i>
      <x v="92"/>
      <x v="2"/>
    </i>
    <i>
      <x v="93"/>
      <x v="2"/>
    </i>
    <i>
      <x v="94"/>
      <x v="2"/>
    </i>
    <i>
      <x v="95"/>
      <x v="2"/>
    </i>
    <i>
      <x v="97"/>
      <x v="2"/>
    </i>
    <i>
      <x v="99"/>
      <x v="2"/>
    </i>
    <i>
      <x v="101"/>
      <x v="2"/>
    </i>
    <i>
      <x v="102"/>
      <x v="2"/>
    </i>
    <i>
      <x v="103"/>
      <x v="2"/>
    </i>
    <i>
      <x v="104"/>
      <x v="2"/>
    </i>
    <i>
      <x v="105"/>
      <x v="2"/>
    </i>
    <i>
      <x v="106"/>
      <x v="2"/>
    </i>
    <i>
      <x v="107"/>
      <x v="2"/>
    </i>
    <i>
      <x v="108"/>
      <x v="2"/>
    </i>
    <i>
      <x v="109"/>
      <x v="2"/>
    </i>
    <i>
      <x v="110"/>
      <x v="2"/>
    </i>
    <i>
      <x v="111"/>
      <x v="2"/>
    </i>
    <i>
      <x v="112"/>
      <x v="2"/>
    </i>
    <i>
      <x v="113"/>
      <x v="2"/>
    </i>
    <i>
      <x v="114"/>
      <x v="2"/>
    </i>
    <i>
      <x v="115"/>
      <x v="2"/>
    </i>
    <i>
      <x v="116"/>
      <x v="2"/>
    </i>
    <i>
      <x v="117"/>
      <x v="2"/>
    </i>
    <i>
      <x v="118"/>
      <x v="2"/>
    </i>
    <i>
      <x v="119"/>
      <x v="2"/>
    </i>
    <i>
      <x v="120"/>
      <x v="2"/>
    </i>
    <i>
      <x v="121"/>
      <x v="2"/>
    </i>
    <i>
      <x v="123"/>
      <x v="2"/>
    </i>
    <i>
      <x v="124"/>
      <x v="2"/>
    </i>
    <i>
      <x v="125"/>
      <x v="2"/>
    </i>
    <i>
      <x v="126"/>
      <x v="2"/>
    </i>
    <i>
      <x v="127"/>
      <x v="2"/>
    </i>
    <i>
      <x v="128"/>
      <x v="2"/>
    </i>
    <i>
      <x v="129"/>
      <x v="2"/>
    </i>
    <i>
      <x v="136"/>
      <x v="2"/>
    </i>
    <i>
      <x v="141"/>
      <x v="2"/>
    </i>
    <i>
      <x v="142"/>
      <x v="2"/>
    </i>
    <i>
      <x v="147"/>
      <x v="2"/>
    </i>
    <i>
      <x v="152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GROSS WT KGS" fld="14" baseField="0" baseItem="0"/>
    <dataField name="Sum of NET WT KGS" fld="15" baseField="0" baseItem="0"/>
  </dataFields>
  <formats count="1">
    <format dxfId="8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C71286-2771-4F16-AD1D-710F27947524}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P2:AP76" firstHeaderRow="1" firstDataRow="1" firstDataCol="1"/>
  <pivotFields count="31">
    <pivotField showAll="0"/>
    <pivotField numFmtId="166" showAll="0"/>
    <pivotField numFmtId="166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axis="axisRow" showAll="0">
      <items count="80">
        <item x="21"/>
        <item x="16"/>
        <item x="19"/>
        <item x="22"/>
        <item x="24"/>
        <item x="25"/>
        <item x="26"/>
        <item x="27"/>
        <item x="23"/>
        <item x="29"/>
        <item x="30"/>
        <item x="31"/>
        <item x="32"/>
        <item x="33"/>
        <item x="34"/>
        <item x="35"/>
        <item x="37"/>
        <item x="36"/>
        <item m="1" x="73"/>
        <item x="51"/>
        <item x="40"/>
        <item x="42"/>
        <item x="43"/>
        <item x="45"/>
        <item x="47"/>
        <item x="49"/>
        <item x="38"/>
        <item x="48"/>
        <item x="52"/>
        <item x="54"/>
        <item x="55"/>
        <item x="56"/>
        <item x="57"/>
        <item x="58"/>
        <item x="59"/>
        <item x="61"/>
        <item x="50"/>
        <item x="62"/>
        <item x="68"/>
        <item m="1" x="77"/>
        <item m="1" x="74"/>
        <item x="71"/>
        <item x="70"/>
        <item m="1" x="78"/>
        <item x="41"/>
        <item x="44"/>
        <item x="60"/>
        <item x="67"/>
        <item x="53"/>
        <item x="63"/>
        <item x="64"/>
        <item x="65"/>
        <item x="66"/>
        <item x="7"/>
        <item x="9"/>
        <item x="2"/>
        <item x="10"/>
        <item x="12"/>
        <item x="0"/>
        <item x="1"/>
        <item x="15"/>
        <item x="3"/>
        <item x="11"/>
        <item x="8"/>
        <item x="72"/>
        <item x="13"/>
        <item x="4"/>
        <item x="5"/>
        <item x="6"/>
        <item x="17"/>
        <item x="18"/>
        <item x="20"/>
        <item x="14"/>
        <item x="28"/>
        <item x="46"/>
        <item x="39"/>
        <item x="69"/>
        <item m="1" x="75"/>
        <item m="1" x="7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1" showAll="0"/>
    <pivotField numFmtId="2"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7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41"/>
    </i>
    <i>
      <x v="42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CA544-4B84-4CF9-B254-B4F0F19A989F}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gridDropZones="1" multipleFieldFilters="0">
  <location ref="AI1:AO91" firstHeaderRow="1" firstDataRow="2" firstDataCol="2"/>
  <pivotFields count="31">
    <pivotField compact="0" outline="0" showAll="0"/>
    <pivotField compact="0" numFmtId="14" outline="0" showAll="0"/>
    <pivotField axis="axisRow" compact="0" outline="0" showAll="0" defaultSubtotal="0">
      <items count="3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83">
        <item x="11"/>
        <item x="1"/>
        <item x="12"/>
        <item x="4"/>
        <item x="9"/>
        <item x="8"/>
        <item x="0"/>
        <item x="15"/>
        <item x="17"/>
        <item x="5"/>
        <item x="16"/>
        <item x="18"/>
        <item x="2"/>
        <item x="13"/>
        <item x="10"/>
        <item x="6"/>
        <item x="7"/>
        <item x="3"/>
        <item m="1" x="72"/>
        <item x="19"/>
        <item m="1" x="79"/>
        <item x="14"/>
        <item m="1" x="81"/>
        <item x="22"/>
        <item m="1" x="71"/>
        <item x="24"/>
        <item m="1" x="78"/>
        <item x="20"/>
        <item x="26"/>
        <item x="27"/>
        <item x="21"/>
        <item x="23"/>
        <item x="25"/>
        <item x="28"/>
        <item x="29"/>
        <item x="30"/>
        <item x="31"/>
        <item x="32"/>
        <item x="33"/>
        <item x="34"/>
        <item x="35"/>
        <item x="37"/>
        <item x="36"/>
        <item x="38"/>
        <item m="1" x="74"/>
        <item x="39"/>
        <item x="41"/>
        <item x="42"/>
        <item x="44"/>
        <item x="45"/>
        <item x="46"/>
        <item x="48"/>
        <item x="47"/>
        <item x="50"/>
        <item x="51"/>
        <item x="53"/>
        <item x="54"/>
        <item x="55"/>
        <item x="56"/>
        <item x="57"/>
        <item m="1" x="77"/>
        <item x="58"/>
        <item x="60"/>
        <item m="1" x="73"/>
        <item x="61"/>
        <item m="1" x="80"/>
        <item x="40"/>
        <item x="43"/>
        <item m="1" x="75"/>
        <item x="59"/>
        <item x="49"/>
        <item x="66"/>
        <item x="67"/>
        <item x="52"/>
        <item x="62"/>
        <item x="68"/>
        <item m="1" x="76"/>
        <item x="69"/>
        <item x="70"/>
        <item x="63"/>
        <item x="64"/>
        <item x="6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dataField="1" compact="0" outline="0" showAll="0"/>
    <pivotField compact="0" numFmtId="164" outline="0" showAll="0"/>
    <pivotField dataField="1" compact="0" numFmtId="2" outline="0" showAll="0"/>
    <pivotField dataField="1" compact="0" numFmtId="1" outline="0" showAll="0"/>
    <pivotField dataField="1" compact="0" numFmtId="2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30"/>
    <field x="2"/>
  </rowFields>
  <rowItems count="89">
    <i>
      <x v="2"/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t="default">
      <x v="2"/>
    </i>
    <i>
      <x v="3"/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t="default">
      <x v="3"/>
    </i>
    <i>
      <x v="4"/>
      <x v="92"/>
    </i>
    <i r="1">
      <x v="93"/>
    </i>
    <i r="1">
      <x v="94"/>
    </i>
    <i r="1">
      <x v="95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t="default">
      <x v="4"/>
    </i>
    <i>
      <x v="5"/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6"/>
    </i>
    <i r="1">
      <x v="141"/>
    </i>
    <i r="1">
      <x v="142"/>
    </i>
    <i r="1">
      <x v="147"/>
    </i>
    <i r="1">
      <x v="152"/>
    </i>
    <i t="default"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AID WT" fld="20" baseField="0" baseItem="0"/>
    <dataField name="Average of PRICE" fld="21" subtotal="average" baseField="2" baseItem="70" numFmtId="43"/>
    <dataField name="Average of MOIS." fld="23" subtotal="average" baseField="2" baseItem="30" numFmtId="43"/>
    <dataField name="Average of NUT COUNT" fld="24" subtotal="average" baseField="2" baseItem="30" numFmtId="43"/>
    <dataField name="Average of KOR" fld="25" subtotal="average" baseField="2" baseItem="30" numFmtId="43"/>
  </dataFields>
  <formats count="8">
    <format dxfId="87">
      <pivotArea type="origin" dataOnly="0" labelOnly="1" outline="0" fieldPosition="0"/>
    </format>
    <format dxfId="88">
      <pivotArea field="-2" type="button" dataOnly="0" labelOnly="1" outline="0" axis="axisCol" fieldPosition="0"/>
    </format>
    <format dxfId="89">
      <pivotArea type="topRight" dataOnly="0" labelOnly="1" outline="0" fieldPosition="0"/>
    </format>
    <format dxfId="90">
      <pivotArea field="7" type="button" dataOnly="0" labelOnly="1" outline="0"/>
    </format>
    <format dxfId="91">
      <pivotArea outline="0" fieldPosition="0">
        <references count="1">
          <reference field="4294967294" count="1" selected="0">
            <x v="4"/>
          </reference>
        </references>
      </pivotArea>
    </format>
    <format dxfId="92">
      <pivotArea outline="0" fieldPosition="0">
        <references count="1">
          <reference field="4294967294" count="1" selected="0">
            <x v="3"/>
          </reference>
        </references>
      </pivotArea>
    </format>
    <format dxfId="93">
      <pivotArea outline="0" fieldPosition="0">
        <references count="1">
          <reference field="4294967294" count="1" selected="0">
            <x v="2"/>
          </reference>
        </references>
      </pivotArea>
    </format>
    <format dxfId="94">
      <pivotArea outline="0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FDD85A-12F7-40EC-8BC2-FBF14EC3E8B0}" name="Table46" displayName="Table46" ref="A2:AD988" totalsRowShown="0" headerRowDxfId="33" headerRowBorderDxfId="31" tableBorderDxfId="32" totalsRowBorderDxfId="30">
  <autoFilter ref="A2:AD988" xr:uid="{A1D6D368-2A42-434D-A956-590B27F930D6}"/>
  <sortState ref="A3:AD896">
    <sortCondition ref="C2:C855"/>
  </sortState>
  <tableColumns count="30">
    <tableColumn id="1" xr3:uid="{7BA5FF65-BB54-4B71-BFE8-C8C7E93024F2}" name="S N" dataDxfId="29">
      <calculatedColumnFormula>A2+1</calculatedColumnFormula>
    </tableColumn>
    <tableColumn id="25" xr3:uid="{B433E126-4E78-44C1-B1E7-2D2F9DA8782A}" name="DATE OF ARRIVAL" dataDxfId="28"/>
    <tableColumn id="2" xr3:uid="{C905241E-58E7-4B60-BA41-6AD222AE21BF}" name="DATE OF OFFLOADING" dataDxfId="27"/>
    <tableColumn id="3" xr3:uid="{99A29B38-D348-4743-B591-006C88458951}" name="RM/FG" dataDxfId="26"/>
    <tableColumn id="4" xr3:uid="{AD36E15D-C790-44BD-B463-BD13C45A41EF}" name="CREDIT/CASH" dataDxfId="25"/>
    <tableColumn id="26" xr3:uid="{42A0642A-616F-49A1-B558-1322CB8BF647}" name="WH LOCATION" dataDxfId="24"/>
    <tableColumn id="32" xr3:uid="{1E94CC6A-ECA1-4661-9634-CB6A3AC917D2}" name="WH NO." dataDxfId="23"/>
    <tableColumn id="5" xr3:uid="{6E661AA2-4AE3-4FB7-A50D-A9AA7505B0DF}" name="SUPPLIERS NAME" dataDxfId="22"/>
    <tableColumn id="6" xr3:uid="{B4F39587-4F39-4B82-A971-327F70ADC889}" name="LBA CODE" dataDxfId="21"/>
    <tableColumn id="7" xr3:uid="{85AF00D9-F610-4C6F-B48A-61822BE9CEBF}" name="VEHICLE NO." dataDxfId="20"/>
    <tableColumn id="30" xr3:uid="{73C810C3-7156-46C3-BC42-BDB3A2ECE550}" name="FICHE CODE" dataDxfId="19"/>
    <tableColumn id="8" xr3:uid="{E4EC93F0-A5AF-430F-B129-61EEE2500316}" name="REF." dataDxfId="18"/>
    <tableColumn id="29" xr3:uid="{9BBC8D5F-057C-47B2-8B09-6A7B4E0F054A}" name="FICHE" dataDxfId="17"/>
    <tableColumn id="9" xr3:uid="{320FD145-30F5-47E8-A5F4-132A8C3E6F44}" name="SACS" dataDxfId="16"/>
    <tableColumn id="10" xr3:uid="{68FB1661-5863-4063-92D2-3A16A890F34E}" name="GROSS WT KGS" dataDxfId="15">
      <calculatedColumnFormula>P3+N3</calculatedColumnFormula>
    </tableColumn>
    <tableColumn id="11" xr3:uid="{0A3E1C42-FB52-48CC-8A7D-1467E793BD08}" name="NET WT KGS" dataDxfId="14"/>
    <tableColumn id="23" xr3:uid="{19FB3541-0B8C-42B3-9BE6-0C1D5AFAEBCA}" name="BON SACS" dataDxfId="13"/>
    <tableColumn id="24" xr3:uid="{D2D19609-A634-40F3-BB8B-C99706507677}" name="HUMID SACS" dataDxfId="12"/>
    <tableColumn id="12" xr3:uid="{7BAD1B97-BC7B-4F52-8BC2-F8EA7AAEBD2A}" name="Sacs déchirés" dataDxfId="11"/>
    <tableColumn id="14" xr3:uid="{90DD1688-EDCF-43BD-86AD-A0F6142A5FC2}" name="Refraction" dataDxfId="10"/>
    <tableColumn id="15" xr3:uid="{BD65F679-38C4-4771-940A-A330A4AA5A23}" name="PAID WT" dataDxfId="9">
      <calculatedColumnFormula>Table46[[#This Row],[NET WT KGS]]-Table46[[#This Row],[Refraction]]</calculatedColumnFormula>
    </tableColumn>
    <tableColumn id="16" xr3:uid="{6256D58F-C1FB-4138-B2BE-8E4E394AF1E5}" name="PRICE" dataDxfId="8" dataCellStyle="Comma"/>
    <tableColumn id="17" xr3:uid="{711881AC-E5D3-4AF5-A78B-83293B081BEC}" name="AMOUNT" dataDxfId="7" dataCellStyle="Comma">
      <calculatedColumnFormula>Table46[[#This Row],[PRICE]]*Table46[[#This Row],[PAID WT]]</calculatedColumnFormula>
    </tableColumn>
    <tableColumn id="18" xr3:uid="{C00B2673-5297-482E-9479-5B87075281E9}" name="MOIS." dataDxfId="6"/>
    <tableColumn id="19" xr3:uid="{AC386E79-D57C-4EDC-A142-CF9E71852082}" name="NUT COUNT" dataDxfId="5"/>
    <tableColumn id="20" xr3:uid="{91E7ADDF-F7CE-4605-86FA-8FE3699EA0B2}" name="KOR" dataDxfId="4"/>
    <tableColumn id="22" xr3:uid="{047B7B15-B2CB-4AEB-A709-126140DF98C8}" name="FINAL KOR" dataDxfId="3"/>
    <tableColumn id="21" xr3:uid="{6E108D64-8A21-426D-8E7E-05628AA3EAA0}" name="ORIGIN" dataDxfId="2"/>
    <tableColumn id="27" xr3:uid="{5FE21476-048E-42AD-9CA0-35A41ABE5FCA}" name="REMARKS" dataDxfId="1"/>
    <tableColumn id="13" xr3:uid="{314BC4E0-475C-4415-B331-4E08A05E902C}" name="WEEK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4D608-FBC6-433C-8F3B-DCAFF5CE3197}">
  <dimension ref="A1:BI989"/>
  <sheetViews>
    <sheetView tabSelected="1" zoomScaleNormal="100"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A2" sqref="A2"/>
    </sheetView>
  </sheetViews>
  <sheetFormatPr defaultRowHeight="14.5" x14ac:dyDescent="0.35"/>
  <cols>
    <col min="1" max="1" width="5.7265625" bestFit="1" customWidth="1"/>
    <col min="2" max="2" width="10.26953125" bestFit="1" customWidth="1"/>
    <col min="3" max="3" width="11.81640625" customWidth="1"/>
    <col min="4" max="4" width="4.7265625" customWidth="1"/>
    <col min="5" max="5" width="8.1796875" customWidth="1"/>
    <col min="6" max="6" width="9.453125" customWidth="1"/>
    <col min="7" max="7" width="9.81640625" bestFit="1" customWidth="1"/>
    <col min="8" max="8" width="29.26953125" customWidth="1"/>
    <col min="9" max="9" width="12.1796875" customWidth="1"/>
    <col min="10" max="10" width="10.7265625" customWidth="1"/>
    <col min="11" max="11" width="13.26953125" customWidth="1"/>
    <col min="12" max="12" width="6.54296875" customWidth="1"/>
    <col min="13" max="13" width="7.81640625" customWidth="1"/>
    <col min="15" max="15" width="11.1796875" bestFit="1" customWidth="1"/>
    <col min="16" max="17" width="11.54296875" bestFit="1" customWidth="1"/>
    <col min="18" max="18" width="6" customWidth="1"/>
    <col min="19" max="19" width="7.1796875" customWidth="1"/>
    <col min="20" max="20" width="9.1796875" style="152" customWidth="1"/>
    <col min="21" max="21" width="11.54296875" bestFit="1" customWidth="1"/>
    <col min="22" max="22" width="6.36328125" bestFit="1" customWidth="1"/>
    <col min="23" max="23" width="14.81640625" bestFit="1" customWidth="1"/>
    <col min="24" max="25" width="5.81640625" bestFit="1" customWidth="1"/>
    <col min="26" max="26" width="6.453125" customWidth="1"/>
    <col min="27" max="27" width="5.453125" hidden="1" customWidth="1"/>
    <col min="28" max="28" width="18.7265625" bestFit="1" customWidth="1"/>
    <col min="29" max="29" width="10.54296875" customWidth="1"/>
    <col min="30" max="30" width="16.54296875" bestFit="1" customWidth="1"/>
    <col min="31" max="31" width="12" bestFit="1" customWidth="1"/>
    <col min="32" max="34" width="13.54296875" bestFit="1" customWidth="1"/>
    <col min="35" max="36" width="21.81640625" bestFit="1" customWidth="1"/>
    <col min="37" max="37" width="14.54296875" bestFit="1" customWidth="1"/>
    <col min="38" max="38" width="15.08984375" bestFit="1" customWidth="1"/>
    <col min="39" max="39" width="15.36328125" bestFit="1" customWidth="1"/>
    <col min="40" max="40" width="20.36328125" bestFit="1" customWidth="1"/>
    <col min="41" max="41" width="13.81640625" bestFit="1" customWidth="1"/>
    <col min="42" max="42" width="12.54296875" bestFit="1" customWidth="1"/>
    <col min="43" max="43" width="16.54296875" bestFit="1" customWidth="1"/>
    <col min="44" max="44" width="13.81640625" bestFit="1" customWidth="1"/>
    <col min="45" max="45" width="21.81640625" bestFit="1" customWidth="1"/>
    <col min="46" max="46" width="15.36328125" bestFit="1" customWidth="1"/>
    <col min="47" max="47" width="19.81640625" bestFit="1" customWidth="1"/>
    <col min="48" max="48" width="17.54296875" bestFit="1" customWidth="1"/>
    <col min="49" max="52" width="14.54296875" bestFit="1" customWidth="1"/>
    <col min="53" max="53" width="12.81640625" bestFit="1" customWidth="1"/>
    <col min="54" max="54" width="15.1796875" bestFit="1" customWidth="1"/>
    <col min="55" max="55" width="9.7265625" bestFit="1" customWidth="1"/>
    <col min="56" max="56" width="13.81640625" bestFit="1" customWidth="1"/>
    <col min="59" max="59" width="14.36328125" bestFit="1" customWidth="1"/>
    <col min="60" max="60" width="9.26953125" bestFit="1" customWidth="1"/>
  </cols>
  <sheetData>
    <row r="1" spans="1:60" x14ac:dyDescent="0.35">
      <c r="I1" s="1">
        <f>P1/N1</f>
        <v>82.037669344729494</v>
      </c>
      <c r="J1" s="1"/>
      <c r="K1" s="1">
        <f>W1/O1</f>
        <v>483.61812394984088</v>
      </c>
      <c r="N1" s="2">
        <f>SUBTOTAL(9,Table46[[#All],[SACS]])</f>
        <v>364567</v>
      </c>
      <c r="O1" s="3">
        <f>SUBTOTAL(9,Table46[[#All],[GROSS WT KGS]])</f>
        <v>30272794</v>
      </c>
      <c r="P1" s="3">
        <f>SUBTOTAL(9,Table46[[#All],[NET WT KGS]])</f>
        <v>29908227</v>
      </c>
      <c r="Q1" s="2"/>
      <c r="R1" s="4">
        <f>T1/P1</f>
        <v>2.436587096921526E-3</v>
      </c>
      <c r="S1" s="5"/>
      <c r="T1" s="6">
        <f>SUBTOTAL(9,Table46[[#All],[Refraction]])</f>
        <v>72874</v>
      </c>
      <c r="U1" s="6">
        <f>SUBTOTAL(9,Table46[[#All],[PAID WT]])</f>
        <v>29835353</v>
      </c>
      <c r="V1" s="7">
        <f>W1/U1</f>
        <v>490.70885271576975</v>
      </c>
      <c r="W1" s="3">
        <f>SUBTOTAL(9,Table46[AMOUNT])</f>
        <v>14640471841</v>
      </c>
      <c r="AB1" s="8"/>
      <c r="AE1" s="9">
        <f>AE2/$P$1</f>
        <v>10.058797283436432</v>
      </c>
      <c r="AF1" s="9">
        <f>AF2/$P$1</f>
        <v>44.205271995328275</v>
      </c>
      <c r="AG1" s="9">
        <f>AG2/P1</f>
        <v>173.09236361620501</v>
      </c>
      <c r="AI1" s="10"/>
      <c r="AJ1" s="10"/>
      <c r="AK1" s="10" t="s">
        <v>0</v>
      </c>
      <c r="AL1" s="10"/>
      <c r="AM1" s="10"/>
      <c r="AN1" s="10"/>
      <c r="AO1" s="10"/>
    </row>
    <row r="2" spans="1:60" ht="43.5" x14ac:dyDescent="0.35">
      <c r="A2" s="11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2" t="s">
        <v>14</v>
      </c>
      <c r="O2" s="12" t="s">
        <v>15</v>
      </c>
      <c r="P2" s="12" t="s">
        <v>16</v>
      </c>
      <c r="Q2" s="12" t="s">
        <v>17</v>
      </c>
      <c r="R2" s="12" t="s">
        <v>18</v>
      </c>
      <c r="S2" s="12" t="s">
        <v>19</v>
      </c>
      <c r="T2" s="12" t="s">
        <v>20</v>
      </c>
      <c r="U2" s="14" t="s">
        <v>21</v>
      </c>
      <c r="V2" s="15" t="s">
        <v>22</v>
      </c>
      <c r="W2" s="15" t="s">
        <v>23</v>
      </c>
      <c r="X2" s="15" t="s">
        <v>24</v>
      </c>
      <c r="Y2" s="16" t="s">
        <v>25</v>
      </c>
      <c r="Z2" s="15" t="s">
        <v>26</v>
      </c>
      <c r="AA2" s="12" t="s">
        <v>27</v>
      </c>
      <c r="AB2" s="13" t="s">
        <v>28</v>
      </c>
      <c r="AC2" s="13" t="s">
        <v>29</v>
      </c>
      <c r="AD2" s="17" t="s">
        <v>30</v>
      </c>
      <c r="AE2" s="18">
        <f>SUBTOTAL(9,AE3:AE979)</f>
        <v>300840792.50000012</v>
      </c>
      <c r="AF2" s="18">
        <f>SUBTOTAL(9,AF3:AF1074)</f>
        <v>1322101309.4330211</v>
      </c>
      <c r="AG2" s="18">
        <f>SUBTOTAL(9,AG3:AG1074)</f>
        <v>5176885703</v>
      </c>
      <c r="AI2" t="s">
        <v>31</v>
      </c>
      <c r="AJ2" t="s">
        <v>3</v>
      </c>
      <c r="AK2" t="s">
        <v>32</v>
      </c>
      <c r="AL2" t="s">
        <v>33</v>
      </c>
      <c r="AM2" t="s">
        <v>34</v>
      </c>
      <c r="AN2" t="s">
        <v>35</v>
      </c>
      <c r="AO2" t="s">
        <v>36</v>
      </c>
      <c r="AP2" t="s">
        <v>37</v>
      </c>
      <c r="AQ2" t="s">
        <v>11</v>
      </c>
      <c r="AU2" t="s">
        <v>0</v>
      </c>
    </row>
    <row r="3" spans="1:60" x14ac:dyDescent="0.35">
      <c r="A3" s="19">
        <f>1</f>
        <v>1</v>
      </c>
      <c r="B3" s="20">
        <v>46069</v>
      </c>
      <c r="C3" s="20">
        <v>46069</v>
      </c>
      <c r="D3" s="10" t="s">
        <v>38</v>
      </c>
      <c r="E3" s="10" t="s">
        <v>39</v>
      </c>
      <c r="F3" s="10" t="s">
        <v>40</v>
      </c>
      <c r="G3" s="10" t="s">
        <v>41</v>
      </c>
      <c r="H3" s="10" t="s">
        <v>42</v>
      </c>
      <c r="I3" s="10" t="s">
        <v>43</v>
      </c>
      <c r="J3" s="10" t="s">
        <v>44</v>
      </c>
      <c r="K3" s="21" t="s">
        <v>45</v>
      </c>
      <c r="L3" s="10">
        <v>801</v>
      </c>
      <c r="M3" s="10">
        <v>72515</v>
      </c>
      <c r="N3" s="10">
        <v>478</v>
      </c>
      <c r="O3" s="22">
        <f t="shared" ref="O3:O29" si="0">P3+N3</f>
        <v>41300</v>
      </c>
      <c r="P3" s="22">
        <v>40822</v>
      </c>
      <c r="Q3" s="10">
        <v>463</v>
      </c>
      <c r="R3" s="10">
        <v>0</v>
      </c>
      <c r="S3" s="10">
        <v>15</v>
      </c>
      <c r="T3" s="10">
        <f>S3*4+R3*8</f>
        <v>60</v>
      </c>
      <c r="U3" s="22">
        <f>Table46[[#This Row],[NET WT KGS]]-Table46[[#This Row],[Refraction]]</f>
        <v>40762</v>
      </c>
      <c r="V3" s="23">
        <v>470</v>
      </c>
      <c r="W3" s="23">
        <f>Table46[[#This Row],[PRICE]]*Table46[[#This Row],[PAID WT]]</f>
        <v>19158140</v>
      </c>
      <c r="X3" s="24">
        <v>10.199999999999999</v>
      </c>
      <c r="Y3" s="25">
        <v>172</v>
      </c>
      <c r="Z3" s="24">
        <v>47.69</v>
      </c>
      <c r="AA3" s="26">
        <v>48.4</v>
      </c>
      <c r="AB3" s="10" t="s">
        <v>46</v>
      </c>
      <c r="AC3" s="27"/>
      <c r="AD3" s="28" t="s">
        <v>47</v>
      </c>
      <c r="AE3" s="18">
        <f>Table46[[#This Row],[MOIS.]]*Table46[[#This Row],[NET WT KGS]]</f>
        <v>416384.39999999997</v>
      </c>
      <c r="AF3" s="18">
        <f>Table46[[#This Row],[KOR]]*Table46[[#This Row],[NET WT KGS]]</f>
        <v>1946801.18</v>
      </c>
      <c r="AG3">
        <f>Table46[[#This Row],[NET WT KGS]]*Table46[[#This Row],[NUT COUNT]]</f>
        <v>7021384</v>
      </c>
      <c r="AI3" t="s">
        <v>48</v>
      </c>
      <c r="AJ3" t="s">
        <v>49</v>
      </c>
      <c r="AK3" s="29">
        <v>131760</v>
      </c>
      <c r="AL3" s="1">
        <v>362.5</v>
      </c>
      <c r="AM3" s="1">
        <v>9.1</v>
      </c>
      <c r="AN3" s="1">
        <v>166.25</v>
      </c>
      <c r="AO3" s="1">
        <v>46.862499999999997</v>
      </c>
      <c r="AP3" s="30" t="s">
        <v>50</v>
      </c>
      <c r="AQ3" t="str">
        <f>VLOOKUP(AP3,Table46[[#All],[LBA CODE]:[FICHE CODE]],3,0)</f>
        <v>0426-0424</v>
      </c>
      <c r="AS3" t="s">
        <v>3</v>
      </c>
      <c r="AT3" t="s">
        <v>6</v>
      </c>
      <c r="AU3" t="s">
        <v>51</v>
      </c>
      <c r="AV3" t="s">
        <v>52</v>
      </c>
      <c r="BG3" t="s">
        <v>53</v>
      </c>
      <c r="BH3" s="31">
        <f>P1</f>
        <v>29908227</v>
      </c>
    </row>
    <row r="4" spans="1:60" x14ac:dyDescent="0.35">
      <c r="A4" s="32">
        <f t="shared" ref="A4:A67" si="1">A3+1</f>
        <v>2</v>
      </c>
      <c r="B4" s="20">
        <v>46069</v>
      </c>
      <c r="C4" s="20">
        <v>46069</v>
      </c>
      <c r="D4" s="10" t="s">
        <v>38</v>
      </c>
      <c r="E4" s="10" t="s">
        <v>39</v>
      </c>
      <c r="F4" s="10" t="s">
        <v>40</v>
      </c>
      <c r="G4" s="10" t="s">
        <v>41</v>
      </c>
      <c r="H4" s="10" t="s">
        <v>54</v>
      </c>
      <c r="I4" s="10" t="s">
        <v>55</v>
      </c>
      <c r="J4" s="10" t="s">
        <v>56</v>
      </c>
      <c r="K4" s="33" t="s">
        <v>57</v>
      </c>
      <c r="L4" s="10">
        <v>802</v>
      </c>
      <c r="M4" s="10">
        <v>72533</v>
      </c>
      <c r="N4" s="10">
        <v>628</v>
      </c>
      <c r="O4" s="22">
        <f t="shared" si="0"/>
        <v>50880</v>
      </c>
      <c r="P4" s="22">
        <v>50252</v>
      </c>
      <c r="Q4" s="10">
        <v>559</v>
      </c>
      <c r="R4" s="10">
        <v>0</v>
      </c>
      <c r="S4" s="10">
        <v>69</v>
      </c>
      <c r="T4" s="10">
        <f>S4*4+R4*8</f>
        <v>276</v>
      </c>
      <c r="U4" s="22">
        <f>Table46[[#This Row],[NET WT KGS]]-Table46[[#This Row],[Refraction]]</f>
        <v>49976</v>
      </c>
      <c r="V4" s="23">
        <v>490</v>
      </c>
      <c r="W4" s="23">
        <f>Table46[[#This Row],[PRICE]]*Table46[[#This Row],[PAID WT]]</f>
        <v>24488240</v>
      </c>
      <c r="X4" s="24">
        <v>9</v>
      </c>
      <c r="Y4" s="25">
        <v>165</v>
      </c>
      <c r="Z4" s="24">
        <v>48.41</v>
      </c>
      <c r="AA4" s="26">
        <v>48.22</v>
      </c>
      <c r="AB4" s="10" t="s">
        <v>58</v>
      </c>
      <c r="AC4" s="27"/>
      <c r="AD4" s="28" t="s">
        <v>47</v>
      </c>
      <c r="AE4" s="18">
        <f>Table46[[#This Row],[MOIS.]]*Table46[[#This Row],[NET WT KGS]]</f>
        <v>452268</v>
      </c>
      <c r="AF4" s="18">
        <f>Table46[[#This Row],[KOR]]*Table46[[#This Row],[NET WT KGS]]</f>
        <v>2432699.3199999998</v>
      </c>
      <c r="AG4">
        <f>Table46[[#This Row],[NET WT KGS]]*Table46[[#This Row],[NUT COUNT]]</f>
        <v>8291580</v>
      </c>
      <c r="AJ4" t="s">
        <v>59</v>
      </c>
      <c r="AK4" s="29">
        <v>297166</v>
      </c>
      <c r="AL4" s="1">
        <v>367.22222222222223</v>
      </c>
      <c r="AM4" s="1">
        <v>10.022222222222222</v>
      </c>
      <c r="AN4" s="1">
        <v>166.22222222222223</v>
      </c>
      <c r="AO4" s="1">
        <v>46.773333333333333</v>
      </c>
      <c r="AP4" s="30" t="s">
        <v>60</v>
      </c>
      <c r="AQ4" t="str">
        <f>VLOOKUP(AP4,Table46[[#All],[LBA CODE]:[FICHE CODE]],3,0)</f>
        <v>0427-0133</v>
      </c>
      <c r="AS4" s="34" t="s">
        <v>61</v>
      </c>
      <c r="AT4" t="s">
        <v>62</v>
      </c>
      <c r="AU4" s="1">
        <v>103080</v>
      </c>
      <c r="AV4" s="1">
        <v>101715</v>
      </c>
      <c r="BB4" s="1"/>
      <c r="BG4" t="s">
        <v>63</v>
      </c>
      <c r="BH4" s="1">
        <f>AF1</f>
        <v>44.205271995328275</v>
      </c>
    </row>
    <row r="5" spans="1:60" x14ac:dyDescent="0.35">
      <c r="A5" s="32">
        <f t="shared" si="1"/>
        <v>3</v>
      </c>
      <c r="B5" s="20">
        <v>46069</v>
      </c>
      <c r="C5" s="20">
        <v>46069</v>
      </c>
      <c r="D5" s="10" t="s">
        <v>38</v>
      </c>
      <c r="E5" s="10" t="s">
        <v>39</v>
      </c>
      <c r="F5" s="10" t="s">
        <v>40</v>
      </c>
      <c r="G5" s="10" t="s">
        <v>41</v>
      </c>
      <c r="H5" s="10" t="s">
        <v>54</v>
      </c>
      <c r="I5" s="10" t="s">
        <v>55</v>
      </c>
      <c r="J5" s="10" t="s">
        <v>64</v>
      </c>
      <c r="K5" s="33" t="s">
        <v>57</v>
      </c>
      <c r="L5" s="10">
        <v>803</v>
      </c>
      <c r="M5" s="10">
        <v>72534</v>
      </c>
      <c r="N5" s="10">
        <v>494</v>
      </c>
      <c r="O5" s="22">
        <f t="shared" si="0"/>
        <v>41640</v>
      </c>
      <c r="P5" s="22">
        <v>41146</v>
      </c>
      <c r="Q5" s="10">
        <v>463</v>
      </c>
      <c r="R5" s="10">
        <v>0</v>
      </c>
      <c r="S5" s="10">
        <v>31</v>
      </c>
      <c r="T5" s="10">
        <f>S5*4+R5*8</f>
        <v>124</v>
      </c>
      <c r="U5" s="22">
        <f>Table46[[#This Row],[NET WT KGS]]-Table46[[#This Row],[Refraction]]</f>
        <v>41022</v>
      </c>
      <c r="V5" s="23">
        <v>490</v>
      </c>
      <c r="W5" s="23">
        <f>Table46[[#This Row],[PRICE]]*Table46[[#This Row],[PAID WT]]</f>
        <v>20100780</v>
      </c>
      <c r="X5" s="24">
        <v>8.5</v>
      </c>
      <c r="Y5" s="25">
        <v>164</v>
      </c>
      <c r="Z5" s="24">
        <v>47</v>
      </c>
      <c r="AA5" s="26">
        <v>47</v>
      </c>
      <c r="AB5" s="10" t="s">
        <v>58</v>
      </c>
      <c r="AC5" s="27"/>
      <c r="AD5" s="28" t="s">
        <v>47</v>
      </c>
      <c r="AE5" s="18">
        <f>Table46[[#This Row],[MOIS.]]*Table46[[#This Row],[NET WT KGS]]</f>
        <v>349741</v>
      </c>
      <c r="AF5" s="18">
        <f>Table46[[#This Row],[KOR]]*Table46[[#This Row],[NET WT KGS]]</f>
        <v>1933862</v>
      </c>
      <c r="AG5">
        <f>Table46[[#This Row],[NET WT KGS]]*Table46[[#This Row],[NUT COUNT]]</f>
        <v>6747944</v>
      </c>
      <c r="AJ5" t="s">
        <v>65</v>
      </c>
      <c r="AK5" s="29">
        <v>307174</v>
      </c>
      <c r="AL5" s="1">
        <v>471.875</v>
      </c>
      <c r="AM5" s="1">
        <v>9.5727272727272723</v>
      </c>
      <c r="AN5" s="1">
        <v>173.72727272727272</v>
      </c>
      <c r="AO5" s="1">
        <v>46.723636363636381</v>
      </c>
      <c r="AP5" s="30" t="s">
        <v>66</v>
      </c>
      <c r="AQ5" t="str">
        <f>VLOOKUP(AP5,Table46[[#All],[LBA CODE]:[FICHE CODE]],3,0)</f>
        <v>0426-0440</v>
      </c>
      <c r="AS5" s="34" t="s">
        <v>67</v>
      </c>
      <c r="AT5" t="s">
        <v>62</v>
      </c>
      <c r="AU5" s="1">
        <v>173980</v>
      </c>
      <c r="AV5" s="1">
        <v>171653</v>
      </c>
      <c r="BB5" s="1"/>
      <c r="BG5" t="s">
        <v>68</v>
      </c>
      <c r="BH5" s="1">
        <f>AG1</f>
        <v>173.09236361620501</v>
      </c>
    </row>
    <row r="6" spans="1:60" x14ac:dyDescent="0.35">
      <c r="A6" s="32">
        <f t="shared" si="1"/>
        <v>4</v>
      </c>
      <c r="B6" s="35">
        <v>46069</v>
      </c>
      <c r="C6" s="35">
        <f>Table46[[#This Row],[DATE OF ARRIVAL]]</f>
        <v>46069</v>
      </c>
      <c r="D6" s="36" t="s">
        <v>38</v>
      </c>
      <c r="E6" s="36" t="s">
        <v>39</v>
      </c>
      <c r="F6" s="36" t="s">
        <v>40</v>
      </c>
      <c r="G6" s="36"/>
      <c r="H6" s="36" t="s">
        <v>54</v>
      </c>
      <c r="I6" s="36" t="s">
        <v>55</v>
      </c>
      <c r="J6" s="36" t="s">
        <v>69</v>
      </c>
      <c r="K6" s="36"/>
      <c r="L6" s="36"/>
      <c r="M6" s="36"/>
      <c r="N6" s="36">
        <v>0</v>
      </c>
      <c r="O6" s="37">
        <f t="shared" si="0"/>
        <v>0</v>
      </c>
      <c r="P6" s="37">
        <v>0</v>
      </c>
      <c r="Q6" s="36"/>
      <c r="R6" s="36"/>
      <c r="S6" s="36"/>
      <c r="T6" s="36"/>
      <c r="U6" s="37">
        <f>Table46[[#This Row],[NET WT KGS]]-Table46[[#This Row],[Refraction]]</f>
        <v>0</v>
      </c>
      <c r="V6" s="38">
        <v>0</v>
      </c>
      <c r="W6" s="38">
        <f>Table46[[#This Row],[PRICE]]*Table46[[#This Row],[PAID WT]]</f>
        <v>0</v>
      </c>
      <c r="X6" s="39">
        <v>8.6999999999999993</v>
      </c>
      <c r="Y6" s="40">
        <v>164</v>
      </c>
      <c r="Z6" s="39">
        <v>44.35</v>
      </c>
      <c r="AA6" s="41"/>
      <c r="AB6" s="36" t="s">
        <v>58</v>
      </c>
      <c r="AC6" s="42" t="s">
        <v>70</v>
      </c>
      <c r="AD6" s="28"/>
      <c r="AE6" s="18">
        <f>Table46[[#This Row],[MOIS.]]*Table46[[#This Row],[NET WT KGS]]</f>
        <v>0</v>
      </c>
      <c r="AF6" s="18">
        <f>Table46[[#This Row],[KOR]]*Table46[[#This Row],[NET WT KGS]]</f>
        <v>0</v>
      </c>
      <c r="AG6">
        <f>Table46[[#This Row],[NET WT KGS]]*Table46[[#This Row],[NUT COUNT]]</f>
        <v>0</v>
      </c>
      <c r="AJ6" t="s">
        <v>71</v>
      </c>
      <c r="AK6" s="29">
        <v>427410</v>
      </c>
      <c r="AL6" s="1">
        <v>474</v>
      </c>
      <c r="AM6" s="1">
        <v>9.1363636363636349</v>
      </c>
      <c r="AN6" s="1">
        <v>172.63636363636363</v>
      </c>
      <c r="AO6" s="1">
        <v>46.779090909090904</v>
      </c>
      <c r="AP6" s="30" t="s">
        <v>72</v>
      </c>
      <c r="AQ6" t="str">
        <f>VLOOKUP(AP6,Table46[[#All],[LBA CODE]:[FICHE CODE]],3,0)</f>
        <v>0429-0361</v>
      </c>
      <c r="AS6" s="34" t="s">
        <v>73</v>
      </c>
      <c r="AT6" t="s">
        <v>62</v>
      </c>
      <c r="AU6" s="1">
        <v>42640</v>
      </c>
      <c r="AV6" s="1">
        <v>42057</v>
      </c>
      <c r="BB6" s="1"/>
    </row>
    <row r="7" spans="1:60" x14ac:dyDescent="0.35">
      <c r="A7" s="32">
        <f t="shared" si="1"/>
        <v>5</v>
      </c>
      <c r="B7" s="20">
        <v>46070</v>
      </c>
      <c r="C7" s="20">
        <v>46070</v>
      </c>
      <c r="D7" s="10" t="s">
        <v>38</v>
      </c>
      <c r="E7" s="10" t="s">
        <v>39</v>
      </c>
      <c r="F7" s="10" t="s">
        <v>40</v>
      </c>
      <c r="G7" s="10" t="s">
        <v>41</v>
      </c>
      <c r="H7" s="10" t="s">
        <v>74</v>
      </c>
      <c r="I7" s="10" t="s">
        <v>75</v>
      </c>
      <c r="J7" s="10" t="s">
        <v>76</v>
      </c>
      <c r="K7" s="33" t="s">
        <v>77</v>
      </c>
      <c r="L7" s="10">
        <v>809</v>
      </c>
      <c r="M7" s="10">
        <v>72615</v>
      </c>
      <c r="N7" s="10">
        <v>512</v>
      </c>
      <c r="O7" s="22">
        <f t="shared" si="0"/>
        <v>45420</v>
      </c>
      <c r="P7" s="22">
        <v>44908</v>
      </c>
      <c r="Q7" s="10">
        <v>504</v>
      </c>
      <c r="R7" s="10">
        <v>0</v>
      </c>
      <c r="S7" s="10">
        <v>8</v>
      </c>
      <c r="T7" s="10">
        <f t="shared" ref="T7:T13" si="2">S7*4+R7*40</f>
        <v>32</v>
      </c>
      <c r="U7" s="22">
        <f>Table46[[#This Row],[NET WT KGS]]-Table46[[#This Row],[Refraction]]</f>
        <v>44876</v>
      </c>
      <c r="V7" s="23">
        <v>470</v>
      </c>
      <c r="W7" s="23">
        <f>Table46[[#This Row],[PRICE]]*Table46[[#This Row],[PAID WT]]</f>
        <v>21091720</v>
      </c>
      <c r="X7" s="24">
        <v>11.4</v>
      </c>
      <c r="Y7" s="25">
        <v>162</v>
      </c>
      <c r="Z7" s="24">
        <v>46.11</v>
      </c>
      <c r="AA7" s="43"/>
      <c r="AB7" s="10" t="s">
        <v>78</v>
      </c>
      <c r="AC7" s="27"/>
      <c r="AD7" s="28" t="s">
        <v>47</v>
      </c>
      <c r="AE7" s="18">
        <f>Table46[[#This Row],[MOIS.]]*Table46[[#This Row],[NET WT KGS]]</f>
        <v>511951.2</v>
      </c>
      <c r="AF7" s="18">
        <f>Table46[[#This Row],[KOR]]*Table46[[#This Row],[NET WT KGS]]</f>
        <v>2070707.88</v>
      </c>
      <c r="AG7">
        <f>Table46[[#This Row],[NET WT KGS]]*Table46[[#This Row],[NUT COUNT]]</f>
        <v>7275096</v>
      </c>
      <c r="AJ7" t="s">
        <v>79</v>
      </c>
      <c r="AK7" s="29">
        <v>315005</v>
      </c>
      <c r="AL7" s="1">
        <v>477.14285714285717</v>
      </c>
      <c r="AM7" s="1">
        <v>9.08</v>
      </c>
      <c r="AN7" s="1">
        <v>174.3</v>
      </c>
      <c r="AO7" s="1">
        <v>46.924999999999997</v>
      </c>
      <c r="AP7" s="30" t="s">
        <v>80</v>
      </c>
      <c r="AQ7" t="str">
        <f>VLOOKUP(AP7,Table46[[#All],[LBA CODE]:[FICHE CODE]],3,0)</f>
        <v>0401-0187</v>
      </c>
      <c r="AS7" s="34" t="s">
        <v>81</v>
      </c>
      <c r="AT7" t="s">
        <v>62</v>
      </c>
      <c r="AU7" s="1">
        <v>87840</v>
      </c>
      <c r="AV7" s="1">
        <v>86768</v>
      </c>
      <c r="BB7" s="1"/>
    </row>
    <row r="8" spans="1:60" x14ac:dyDescent="0.35">
      <c r="A8" s="32">
        <f t="shared" si="1"/>
        <v>6</v>
      </c>
      <c r="B8" s="20">
        <v>46070</v>
      </c>
      <c r="C8" s="20">
        <v>46070</v>
      </c>
      <c r="D8" s="10" t="s">
        <v>38</v>
      </c>
      <c r="E8" s="10" t="s">
        <v>39</v>
      </c>
      <c r="F8" s="10" t="s">
        <v>40</v>
      </c>
      <c r="G8" s="10" t="s">
        <v>41</v>
      </c>
      <c r="H8" s="10" t="s">
        <v>54</v>
      </c>
      <c r="I8" s="10" t="s">
        <v>55</v>
      </c>
      <c r="J8" s="10" t="s">
        <v>82</v>
      </c>
      <c r="K8" s="33" t="s">
        <v>57</v>
      </c>
      <c r="L8" s="10">
        <v>806</v>
      </c>
      <c r="M8" s="10">
        <v>72536</v>
      </c>
      <c r="N8" s="10">
        <v>482</v>
      </c>
      <c r="O8" s="22">
        <f t="shared" si="0"/>
        <v>40620</v>
      </c>
      <c r="P8" s="22">
        <v>40138</v>
      </c>
      <c r="Q8" s="10">
        <v>421</v>
      </c>
      <c r="R8" s="10">
        <v>0</v>
      </c>
      <c r="S8" s="10">
        <v>61</v>
      </c>
      <c r="T8" s="10">
        <f t="shared" si="2"/>
        <v>244</v>
      </c>
      <c r="U8" s="22">
        <f>Table46[[#This Row],[NET WT KGS]]-Table46[[#This Row],[Refraction]]</f>
        <v>39894</v>
      </c>
      <c r="V8" s="23">
        <v>485</v>
      </c>
      <c r="W8" s="23">
        <f>Table46[[#This Row],[PRICE]]*Table46[[#This Row],[PAID WT]]</f>
        <v>19348590</v>
      </c>
      <c r="X8" s="24">
        <v>9.5</v>
      </c>
      <c r="Y8" s="25">
        <v>161</v>
      </c>
      <c r="Z8" s="24">
        <v>46.11</v>
      </c>
      <c r="AA8" s="26">
        <v>45.93</v>
      </c>
      <c r="AB8" s="10" t="s">
        <v>58</v>
      </c>
      <c r="AC8" s="27"/>
      <c r="AD8" s="28" t="s">
        <v>47</v>
      </c>
      <c r="AE8" s="18">
        <f>Table46[[#This Row],[MOIS.]]*Table46[[#This Row],[NET WT KGS]]</f>
        <v>381311</v>
      </c>
      <c r="AF8" s="18">
        <f>Table46[[#This Row],[KOR]]*Table46[[#This Row],[NET WT KGS]]</f>
        <v>1850763.18</v>
      </c>
      <c r="AG8">
        <f>Table46[[#This Row],[NET WT KGS]]*Table46[[#This Row],[NUT COUNT]]</f>
        <v>6462218</v>
      </c>
      <c r="AJ8" t="s">
        <v>83</v>
      </c>
      <c r="AK8" s="29">
        <v>367561</v>
      </c>
      <c r="AL8" s="1">
        <v>476.25</v>
      </c>
      <c r="AM8" s="1">
        <v>8.6909090909090914</v>
      </c>
      <c r="AN8" s="1">
        <v>168.90909090909091</v>
      </c>
      <c r="AO8" s="1">
        <v>46.035454545454549</v>
      </c>
      <c r="AP8" s="30" t="s">
        <v>84</v>
      </c>
      <c r="AQ8" t="str">
        <f>VLOOKUP(AP8,Table46[[#All],[LBA CODE]:[FICHE CODE]],3,0)</f>
        <v>0426-0399</v>
      </c>
      <c r="AS8" s="34" t="s">
        <v>85</v>
      </c>
      <c r="AT8" t="s">
        <v>62</v>
      </c>
      <c r="AU8" s="1">
        <v>0</v>
      </c>
      <c r="AV8" s="1"/>
      <c r="BB8" s="1"/>
    </row>
    <row r="9" spans="1:60" x14ac:dyDescent="0.35">
      <c r="A9" s="32">
        <f t="shared" si="1"/>
        <v>7</v>
      </c>
      <c r="B9" s="20">
        <v>46070</v>
      </c>
      <c r="C9" s="20">
        <v>46070</v>
      </c>
      <c r="D9" s="10" t="s">
        <v>38</v>
      </c>
      <c r="E9" s="10" t="s">
        <v>39</v>
      </c>
      <c r="F9" s="10" t="s">
        <v>40</v>
      </c>
      <c r="G9" s="10" t="s">
        <v>86</v>
      </c>
      <c r="H9" s="10" t="s">
        <v>87</v>
      </c>
      <c r="I9" s="10" t="s">
        <v>88</v>
      </c>
      <c r="J9" s="10" t="s">
        <v>89</v>
      </c>
      <c r="K9" s="33" t="s">
        <v>90</v>
      </c>
      <c r="L9" s="10">
        <v>811</v>
      </c>
      <c r="M9" s="10">
        <v>72540</v>
      </c>
      <c r="N9" s="10">
        <v>425</v>
      </c>
      <c r="O9" s="22">
        <f t="shared" si="0"/>
        <v>35320</v>
      </c>
      <c r="P9" s="22">
        <v>34895</v>
      </c>
      <c r="Q9" s="10">
        <v>400</v>
      </c>
      <c r="R9" s="10">
        <v>0</v>
      </c>
      <c r="S9" s="10">
        <v>25</v>
      </c>
      <c r="T9" s="10">
        <f t="shared" si="2"/>
        <v>100</v>
      </c>
      <c r="U9" s="22">
        <f>Table46[[#This Row],[NET WT KGS]]-Table46[[#This Row],[Refraction]]</f>
        <v>34795</v>
      </c>
      <c r="V9" s="23">
        <v>470</v>
      </c>
      <c r="W9" s="23">
        <f>Table46[[#This Row],[PRICE]]*Table46[[#This Row],[PAID WT]]</f>
        <v>16353650</v>
      </c>
      <c r="X9" s="24">
        <v>9.5</v>
      </c>
      <c r="Y9" s="25">
        <v>166</v>
      </c>
      <c r="Z9" s="24">
        <v>48.57</v>
      </c>
      <c r="AA9" s="26">
        <v>48.04</v>
      </c>
      <c r="AB9" s="10" t="s">
        <v>40</v>
      </c>
      <c r="AC9" s="27"/>
      <c r="AD9" s="28" t="s">
        <v>47</v>
      </c>
      <c r="AE9" s="18">
        <f>Table46[[#This Row],[MOIS.]]*Table46[[#This Row],[NET WT KGS]]</f>
        <v>331502.5</v>
      </c>
      <c r="AF9" s="18">
        <f>Table46[[#This Row],[KOR]]*Table46[[#This Row],[NET WT KGS]]</f>
        <v>1694850.15</v>
      </c>
      <c r="AG9">
        <f>Table46[[#This Row],[NET WT KGS]]*Table46[[#This Row],[NUT COUNT]]</f>
        <v>5792570</v>
      </c>
      <c r="AJ9" t="s">
        <v>91</v>
      </c>
      <c r="AK9" s="29">
        <v>214300</v>
      </c>
      <c r="AL9" s="1">
        <v>475</v>
      </c>
      <c r="AM9" s="1">
        <v>9.1142857142857157</v>
      </c>
      <c r="AN9" s="1">
        <v>176.57142857142858</v>
      </c>
      <c r="AO9" s="1">
        <v>46.587142857142858</v>
      </c>
      <c r="AP9" s="30" t="s">
        <v>92</v>
      </c>
      <c r="AQ9" t="str">
        <f>VLOOKUP(AP9,Table46[[#All],[LBA CODE]:[FICHE CODE]],3,0)</f>
        <v>0429-0606</v>
      </c>
      <c r="AS9" s="34" t="s">
        <v>93</v>
      </c>
      <c r="AT9" t="s">
        <v>62</v>
      </c>
      <c r="AU9" s="1">
        <v>214560</v>
      </c>
      <c r="AV9" s="1">
        <v>212028</v>
      </c>
      <c r="BB9" s="1"/>
    </row>
    <row r="10" spans="1:60" x14ac:dyDescent="0.35">
      <c r="A10" s="32">
        <f t="shared" si="1"/>
        <v>8</v>
      </c>
      <c r="B10" s="20">
        <v>46070</v>
      </c>
      <c r="C10" s="20">
        <v>46070</v>
      </c>
      <c r="D10" s="10" t="s">
        <v>38</v>
      </c>
      <c r="E10" s="10" t="s">
        <v>39</v>
      </c>
      <c r="F10" s="10" t="s">
        <v>40</v>
      </c>
      <c r="G10" s="10" t="s">
        <v>41</v>
      </c>
      <c r="H10" s="10" t="s">
        <v>94</v>
      </c>
      <c r="I10" s="10" t="s">
        <v>95</v>
      </c>
      <c r="J10" s="10" t="s">
        <v>96</v>
      </c>
      <c r="K10" s="33" t="s">
        <v>97</v>
      </c>
      <c r="L10" s="10">
        <v>805</v>
      </c>
      <c r="M10" s="10">
        <v>72569</v>
      </c>
      <c r="N10" s="10">
        <v>586</v>
      </c>
      <c r="O10" s="22">
        <f t="shared" si="0"/>
        <v>50760</v>
      </c>
      <c r="P10" s="22">
        <f>50186-12</f>
        <v>50174</v>
      </c>
      <c r="Q10" s="10">
        <v>556</v>
      </c>
      <c r="R10" s="10">
        <v>12</v>
      </c>
      <c r="S10" s="10">
        <v>18</v>
      </c>
      <c r="T10" s="10">
        <f t="shared" si="2"/>
        <v>552</v>
      </c>
      <c r="U10" s="22">
        <f>Table46[[#This Row],[NET WT KGS]]-Table46[[#This Row],[Refraction]]</f>
        <v>49622</v>
      </c>
      <c r="V10" s="23">
        <v>470</v>
      </c>
      <c r="W10" s="23">
        <f>Table46[[#This Row],[PRICE]]*Table46[[#This Row],[PAID WT]]</f>
        <v>23322340</v>
      </c>
      <c r="X10" s="24">
        <v>11.5</v>
      </c>
      <c r="Y10" s="25">
        <v>161</v>
      </c>
      <c r="Z10" s="24">
        <v>47.87</v>
      </c>
      <c r="AA10" s="26"/>
      <c r="AB10" s="10" t="s">
        <v>78</v>
      </c>
      <c r="AC10" s="27"/>
      <c r="AD10" s="28" t="s">
        <v>47</v>
      </c>
      <c r="AE10" s="18">
        <f>Table46[[#This Row],[MOIS.]]*Table46[[#This Row],[NET WT KGS]]</f>
        <v>577001</v>
      </c>
      <c r="AF10" s="18">
        <f>Table46[[#This Row],[KOR]]*Table46[[#This Row],[NET WT KGS]]</f>
        <v>2401829.38</v>
      </c>
      <c r="AG10">
        <f>Table46[[#This Row],[NET WT KGS]]*Table46[[#This Row],[NUT COUNT]]</f>
        <v>8078014</v>
      </c>
      <c r="AJ10" t="s">
        <v>98</v>
      </c>
      <c r="AK10" s="29">
        <v>316427</v>
      </c>
      <c r="AL10" s="1">
        <v>477.5</v>
      </c>
      <c r="AM10" s="1">
        <v>9.0700000000000021</v>
      </c>
      <c r="AN10" s="1">
        <v>174.3</v>
      </c>
      <c r="AO10" s="1">
        <v>47.041000000000004</v>
      </c>
      <c r="AP10" s="30" t="s">
        <v>99</v>
      </c>
      <c r="AQ10">
        <f>VLOOKUP(AP10,Table46[[#All],[LBA CODE]:[FICHE CODE]],3,0)</f>
        <v>0</v>
      </c>
      <c r="AS10" s="34" t="s">
        <v>100</v>
      </c>
      <c r="AT10" t="s">
        <v>62</v>
      </c>
      <c r="AU10" s="1">
        <v>49620</v>
      </c>
      <c r="AV10" s="1">
        <v>49022</v>
      </c>
      <c r="BB10" s="1"/>
    </row>
    <row r="11" spans="1:60" x14ac:dyDescent="0.35">
      <c r="A11" s="32">
        <f t="shared" si="1"/>
        <v>9</v>
      </c>
      <c r="B11" s="20">
        <v>46070</v>
      </c>
      <c r="C11" s="20">
        <v>46070</v>
      </c>
      <c r="D11" s="10" t="s">
        <v>38</v>
      </c>
      <c r="E11" s="10" t="s">
        <v>39</v>
      </c>
      <c r="F11" s="10" t="s">
        <v>40</v>
      </c>
      <c r="G11" s="10" t="s">
        <v>41</v>
      </c>
      <c r="H11" s="10" t="s">
        <v>94</v>
      </c>
      <c r="I11" s="10" t="s">
        <v>95</v>
      </c>
      <c r="J11" s="10" t="s">
        <v>101</v>
      </c>
      <c r="K11" s="33" t="s">
        <v>97</v>
      </c>
      <c r="L11" s="10">
        <v>807</v>
      </c>
      <c r="M11" s="10">
        <v>72570</v>
      </c>
      <c r="N11" s="10">
        <v>469</v>
      </c>
      <c r="O11" s="22">
        <f t="shared" si="0"/>
        <v>41140</v>
      </c>
      <c r="P11" s="22">
        <v>40671</v>
      </c>
      <c r="Q11" s="10">
        <v>449</v>
      </c>
      <c r="R11" s="10">
        <v>0</v>
      </c>
      <c r="S11" s="10">
        <v>20</v>
      </c>
      <c r="T11" s="10">
        <f t="shared" si="2"/>
        <v>80</v>
      </c>
      <c r="U11" s="22">
        <f>Table46[[#This Row],[NET WT KGS]]-Table46[[#This Row],[Refraction]]</f>
        <v>40591</v>
      </c>
      <c r="V11" s="23">
        <v>470</v>
      </c>
      <c r="W11" s="23">
        <f>Table46[[#This Row],[PRICE]]*Table46[[#This Row],[PAID WT]]</f>
        <v>19077770</v>
      </c>
      <c r="X11" s="24">
        <v>11.3</v>
      </c>
      <c r="Y11" s="25">
        <v>160</v>
      </c>
      <c r="Z11" s="24">
        <v>46.46</v>
      </c>
      <c r="AA11" s="26"/>
      <c r="AB11" s="10" t="s">
        <v>78</v>
      </c>
      <c r="AC11" s="27"/>
      <c r="AD11" s="28" t="s">
        <v>47</v>
      </c>
      <c r="AE11" s="18">
        <f>Table46[[#This Row],[MOIS.]]*Table46[[#This Row],[NET WT KGS]]</f>
        <v>459582.30000000005</v>
      </c>
      <c r="AF11" s="18">
        <f>Table46[[#This Row],[KOR]]*Table46[[#This Row],[NET WT KGS]]</f>
        <v>1889574.6600000001</v>
      </c>
      <c r="AG11">
        <f>Table46[[#This Row],[NET WT KGS]]*Table46[[#This Row],[NUT COUNT]]</f>
        <v>6507360</v>
      </c>
      <c r="AJ11" t="s">
        <v>102</v>
      </c>
      <c r="AK11" s="29">
        <v>489700</v>
      </c>
      <c r="AL11" s="1">
        <v>478.18181818181819</v>
      </c>
      <c r="AM11" s="1">
        <v>9.6124999999999989</v>
      </c>
      <c r="AN11" s="1">
        <v>172.6875</v>
      </c>
      <c r="AO11" s="1">
        <v>46.108124999999987</v>
      </c>
      <c r="AP11" s="30" t="s">
        <v>103</v>
      </c>
      <c r="AQ11">
        <f>VLOOKUP(AP11,Table46[[#All],[LBA CODE]:[FICHE CODE]],3,0)</f>
        <v>0</v>
      </c>
      <c r="AS11" s="34" t="s">
        <v>104</v>
      </c>
      <c r="AT11" t="s">
        <v>62</v>
      </c>
      <c r="AU11" s="1">
        <v>41800</v>
      </c>
      <c r="AV11" s="1">
        <v>41279</v>
      </c>
      <c r="BB11" s="1"/>
    </row>
    <row r="12" spans="1:60" x14ac:dyDescent="0.35">
      <c r="A12" s="32">
        <f t="shared" si="1"/>
        <v>10</v>
      </c>
      <c r="B12" s="20">
        <v>46070</v>
      </c>
      <c r="C12" s="20">
        <v>46070</v>
      </c>
      <c r="D12" s="10" t="s">
        <v>38</v>
      </c>
      <c r="E12" s="10" t="s">
        <v>39</v>
      </c>
      <c r="F12" s="10" t="s">
        <v>40</v>
      </c>
      <c r="G12" s="10" t="s">
        <v>41</v>
      </c>
      <c r="H12" s="10" t="s">
        <v>105</v>
      </c>
      <c r="I12" s="10" t="s">
        <v>106</v>
      </c>
      <c r="J12" s="10" t="s">
        <v>107</v>
      </c>
      <c r="K12" s="33" t="s">
        <v>108</v>
      </c>
      <c r="L12" s="10">
        <v>804</v>
      </c>
      <c r="M12" s="10">
        <v>72607</v>
      </c>
      <c r="N12" s="10">
        <v>442</v>
      </c>
      <c r="O12" s="22">
        <f t="shared" si="0"/>
        <v>39460</v>
      </c>
      <c r="P12" s="22">
        <v>39018</v>
      </c>
      <c r="Q12" s="10">
        <v>437</v>
      </c>
      <c r="R12" s="10">
        <v>0</v>
      </c>
      <c r="S12" s="10">
        <v>5</v>
      </c>
      <c r="T12" s="10">
        <f t="shared" si="2"/>
        <v>20</v>
      </c>
      <c r="U12" s="22">
        <f>Table46[[#This Row],[NET WT KGS]]-Table46[[#This Row],[Refraction]]</f>
        <v>38998</v>
      </c>
      <c r="V12" s="23">
        <v>470</v>
      </c>
      <c r="W12" s="23">
        <f>Table46[[#This Row],[PRICE]]*Table46[[#This Row],[PAID WT]]</f>
        <v>18329060</v>
      </c>
      <c r="X12" s="24">
        <v>9.1</v>
      </c>
      <c r="Y12" s="25">
        <v>163</v>
      </c>
      <c r="Z12" s="24">
        <v>47.08</v>
      </c>
      <c r="AA12" s="26">
        <v>47.16</v>
      </c>
      <c r="AB12" s="10" t="s">
        <v>58</v>
      </c>
      <c r="AC12" s="27"/>
      <c r="AD12" s="28" t="s">
        <v>47</v>
      </c>
      <c r="AE12" s="18">
        <f>Table46[[#This Row],[MOIS.]]*Table46[[#This Row],[NET WT KGS]]</f>
        <v>355063.8</v>
      </c>
      <c r="AF12" s="18">
        <f>Table46[[#This Row],[KOR]]*Table46[[#This Row],[NET WT KGS]]</f>
        <v>1836967.44</v>
      </c>
      <c r="AG12">
        <f>Table46[[#This Row],[NET WT KGS]]*Table46[[#This Row],[NUT COUNT]]</f>
        <v>6359934</v>
      </c>
      <c r="AJ12" t="s">
        <v>109</v>
      </c>
      <c r="AK12" s="29">
        <v>379020</v>
      </c>
      <c r="AL12" s="1">
        <v>477.22222222222223</v>
      </c>
      <c r="AM12" s="1">
        <v>8.9083333333333332</v>
      </c>
      <c r="AN12" s="1">
        <v>173</v>
      </c>
      <c r="AO12" s="1">
        <v>46.37166666666667</v>
      </c>
      <c r="AP12" s="30" t="s">
        <v>110</v>
      </c>
      <c r="AQ12" t="str">
        <f>VLOOKUP(AP12,Table46[[#All],[LBA CODE]:[FICHE CODE]],3,0)</f>
        <v>0401-0145</v>
      </c>
      <c r="AS12" s="34" t="s">
        <v>111</v>
      </c>
      <c r="AT12" t="s">
        <v>62</v>
      </c>
      <c r="AU12" s="1">
        <v>149520</v>
      </c>
      <c r="AV12" s="1">
        <v>147537</v>
      </c>
      <c r="BB12" s="1"/>
    </row>
    <row r="13" spans="1:60" x14ac:dyDescent="0.35">
      <c r="A13" s="32">
        <f t="shared" si="1"/>
        <v>11</v>
      </c>
      <c r="B13" s="20">
        <v>46070</v>
      </c>
      <c r="C13" s="20">
        <v>46070</v>
      </c>
      <c r="D13" s="10" t="s">
        <v>38</v>
      </c>
      <c r="E13" s="10" t="s">
        <v>39</v>
      </c>
      <c r="F13" s="10" t="s">
        <v>40</v>
      </c>
      <c r="G13" s="10" t="s">
        <v>41</v>
      </c>
      <c r="H13" s="10" t="s">
        <v>112</v>
      </c>
      <c r="I13" s="10" t="s">
        <v>113</v>
      </c>
      <c r="J13" s="10" t="s">
        <v>114</v>
      </c>
      <c r="K13" s="21" t="s">
        <v>115</v>
      </c>
      <c r="L13" s="10">
        <v>808</v>
      </c>
      <c r="M13" s="10">
        <v>72564</v>
      </c>
      <c r="N13" s="10">
        <v>570</v>
      </c>
      <c r="O13" s="22">
        <f t="shared" si="0"/>
        <v>49020</v>
      </c>
      <c r="P13" s="22">
        <v>48450</v>
      </c>
      <c r="Q13" s="10">
        <v>555</v>
      </c>
      <c r="R13" s="44">
        <v>0</v>
      </c>
      <c r="S13" s="44">
        <v>15</v>
      </c>
      <c r="T13" s="10">
        <f t="shared" si="2"/>
        <v>60</v>
      </c>
      <c r="U13" s="22">
        <f>Table46[[#This Row],[NET WT KGS]]-Table46[[#This Row],[Refraction]]</f>
        <v>48390</v>
      </c>
      <c r="V13" s="23">
        <v>470</v>
      </c>
      <c r="W13" s="23">
        <f>Table46[[#This Row],[PRICE]]*Table46[[#This Row],[PAID WT]]</f>
        <v>22743300</v>
      </c>
      <c r="X13" s="24">
        <v>9.1999999999999993</v>
      </c>
      <c r="Y13" s="25">
        <v>172</v>
      </c>
      <c r="Z13" s="24">
        <v>48.04</v>
      </c>
      <c r="AA13" s="26">
        <v>48.4</v>
      </c>
      <c r="AB13" s="10" t="s">
        <v>40</v>
      </c>
      <c r="AC13" s="27"/>
      <c r="AD13" s="28" t="s">
        <v>47</v>
      </c>
      <c r="AE13" s="18">
        <f>Table46[[#This Row],[MOIS.]]*Table46[[#This Row],[NET WT KGS]]</f>
        <v>445739.99999999994</v>
      </c>
      <c r="AF13" s="18">
        <f>Table46[[#This Row],[KOR]]*Table46[[#This Row],[NET WT KGS]]</f>
        <v>2327538</v>
      </c>
      <c r="AG13">
        <f>Table46[[#This Row],[NET WT KGS]]*Table46[[#This Row],[NUT COUNT]]</f>
        <v>8333400</v>
      </c>
      <c r="AJ13" t="s">
        <v>61</v>
      </c>
      <c r="AK13" s="29">
        <v>471305</v>
      </c>
      <c r="AL13" s="1">
        <v>441.53846153846155</v>
      </c>
      <c r="AM13" s="1">
        <v>8.8769230769230791</v>
      </c>
      <c r="AN13" s="1">
        <v>175.15384615384616</v>
      </c>
      <c r="AO13" s="1">
        <v>46.608461538461533</v>
      </c>
      <c r="AP13" s="30" t="s">
        <v>116</v>
      </c>
      <c r="AQ13">
        <f>VLOOKUP(AP13,Table46[[#All],[LBA CODE]:[FICHE CODE]],3,0)</f>
        <v>0</v>
      </c>
      <c r="AS13" s="34" t="s">
        <v>117</v>
      </c>
      <c r="AT13" t="s">
        <v>62</v>
      </c>
      <c r="AU13" s="1">
        <v>40040</v>
      </c>
      <c r="AV13" s="1">
        <v>39613</v>
      </c>
      <c r="BB13" s="1"/>
    </row>
    <row r="14" spans="1:60" x14ac:dyDescent="0.35">
      <c r="A14" s="32">
        <f t="shared" si="1"/>
        <v>12</v>
      </c>
      <c r="B14" s="35">
        <v>46070</v>
      </c>
      <c r="C14" s="35">
        <f>Table46[[#This Row],[DATE OF ARRIVAL]]</f>
        <v>46070</v>
      </c>
      <c r="D14" s="36" t="s">
        <v>38</v>
      </c>
      <c r="E14" s="36" t="s">
        <v>39</v>
      </c>
      <c r="F14" s="36" t="s">
        <v>40</v>
      </c>
      <c r="G14" s="36"/>
      <c r="H14" s="36" t="s">
        <v>118</v>
      </c>
      <c r="I14" s="36" t="s">
        <v>119</v>
      </c>
      <c r="J14" s="36" t="s">
        <v>120</v>
      </c>
      <c r="K14" s="36"/>
      <c r="L14" s="36"/>
      <c r="M14" s="36"/>
      <c r="N14" s="36">
        <v>0</v>
      </c>
      <c r="O14" s="37">
        <f t="shared" si="0"/>
        <v>0</v>
      </c>
      <c r="P14" s="37">
        <v>0</v>
      </c>
      <c r="Q14" s="36"/>
      <c r="R14" s="45"/>
      <c r="S14" s="45"/>
      <c r="T14" s="36"/>
      <c r="U14" s="45">
        <f>Table46[[#This Row],[NET WT KGS]]-Table46[[#This Row],[Refraction]]</f>
        <v>0</v>
      </c>
      <c r="V14" s="38">
        <v>0</v>
      </c>
      <c r="W14" s="38">
        <f>Table46[[#This Row],[PRICE]]*Table46[[#This Row],[PAID WT]]</f>
        <v>0</v>
      </c>
      <c r="X14" s="39">
        <v>9.4</v>
      </c>
      <c r="Y14" s="40">
        <v>166</v>
      </c>
      <c r="Z14" s="39">
        <v>45.32</v>
      </c>
      <c r="AA14" s="41"/>
      <c r="AB14" s="36" t="s">
        <v>46</v>
      </c>
      <c r="AC14" s="42" t="s">
        <v>70</v>
      </c>
      <c r="AD14" s="28"/>
      <c r="AE14" s="18">
        <f>Table46[[#This Row],[MOIS.]]*Table46[[#This Row],[NET WT KGS]]</f>
        <v>0</v>
      </c>
      <c r="AF14" s="18">
        <f>Table46[[#This Row],[KOR]]*Table46[[#This Row],[NET WT KGS]]</f>
        <v>0</v>
      </c>
      <c r="AG14">
        <f>Table46[[#This Row],[NET WT KGS]]*Table46[[#This Row],[NUT COUNT]]</f>
        <v>0</v>
      </c>
      <c r="AJ14" t="s">
        <v>67</v>
      </c>
      <c r="AK14" s="29">
        <v>470518</v>
      </c>
      <c r="AL14" s="1">
        <v>480</v>
      </c>
      <c r="AM14" s="1">
        <v>8.6692307692307704</v>
      </c>
      <c r="AN14" s="1">
        <v>177.69230769230768</v>
      </c>
      <c r="AO14" s="1">
        <v>46.52769230769232</v>
      </c>
      <c r="AP14" s="30" t="s">
        <v>121</v>
      </c>
      <c r="AQ14">
        <f>VLOOKUP(AP14,Table46[[#All],[LBA CODE]:[FICHE CODE]],3,0)</f>
        <v>0</v>
      </c>
      <c r="AS14" s="34" t="s">
        <v>122</v>
      </c>
      <c r="AT14" t="s">
        <v>62</v>
      </c>
      <c r="AU14" s="1">
        <v>93200</v>
      </c>
      <c r="AV14" s="1">
        <v>91997</v>
      </c>
      <c r="BB14" s="1"/>
    </row>
    <row r="15" spans="1:60" x14ac:dyDescent="0.35">
      <c r="A15" s="32">
        <f t="shared" si="1"/>
        <v>13</v>
      </c>
      <c r="B15" s="35">
        <v>46070</v>
      </c>
      <c r="C15" s="35">
        <f>Table46[[#This Row],[DATE OF ARRIVAL]]</f>
        <v>46070</v>
      </c>
      <c r="D15" s="36" t="s">
        <v>38</v>
      </c>
      <c r="E15" s="36" t="s">
        <v>39</v>
      </c>
      <c r="F15" s="36" t="s">
        <v>40</v>
      </c>
      <c r="G15" s="36"/>
      <c r="H15" s="36" t="s">
        <v>123</v>
      </c>
      <c r="I15" s="36" t="s">
        <v>124</v>
      </c>
      <c r="J15" s="36" t="s">
        <v>125</v>
      </c>
      <c r="K15" s="36"/>
      <c r="L15" s="36"/>
      <c r="M15" s="36"/>
      <c r="N15" s="36">
        <v>0</v>
      </c>
      <c r="O15" s="37">
        <f t="shared" si="0"/>
        <v>0</v>
      </c>
      <c r="P15" s="37">
        <v>0</v>
      </c>
      <c r="Q15" s="36"/>
      <c r="R15" s="45"/>
      <c r="S15" s="45"/>
      <c r="T15" s="36"/>
      <c r="U15" s="45">
        <f>Table46[[#This Row],[NET WT KGS]]-Table46[[#This Row],[Refraction]]</f>
        <v>0</v>
      </c>
      <c r="V15" s="38">
        <v>0</v>
      </c>
      <c r="W15" s="38">
        <f>Table46[[#This Row],[PRICE]]*Table46[[#This Row],[PAID WT]]</f>
        <v>0</v>
      </c>
      <c r="X15" s="39">
        <v>9.3000000000000007</v>
      </c>
      <c r="Y15" s="40">
        <v>185</v>
      </c>
      <c r="Z15" s="39">
        <v>45.4</v>
      </c>
      <c r="AA15" s="41"/>
      <c r="AB15" s="36" t="s">
        <v>40</v>
      </c>
      <c r="AC15" s="42" t="s">
        <v>70</v>
      </c>
      <c r="AD15" s="28"/>
      <c r="AE15" s="18">
        <f>Table46[[#This Row],[MOIS.]]*Table46[[#This Row],[NET WT KGS]]</f>
        <v>0</v>
      </c>
      <c r="AF15" s="18">
        <f>Table46[[#This Row],[KOR]]*Table46[[#This Row],[NET WT KGS]]</f>
        <v>0</v>
      </c>
      <c r="AG15">
        <f>Table46[[#This Row],[NET WT KGS]]*Table46[[#This Row],[NUT COUNT]]</f>
        <v>0</v>
      </c>
      <c r="AJ15" t="s">
        <v>73</v>
      </c>
      <c r="AK15" s="29">
        <v>328718</v>
      </c>
      <c r="AL15" s="1">
        <v>477.5</v>
      </c>
      <c r="AM15" s="1">
        <v>8.8083333333333353</v>
      </c>
      <c r="AN15" s="1">
        <v>177.25</v>
      </c>
      <c r="AO15" s="1">
        <v>46.473333333333329</v>
      </c>
      <c r="AP15" s="30" t="s">
        <v>126</v>
      </c>
      <c r="AQ15">
        <f>VLOOKUP(AP15,Table46[[#All],[LBA CODE]:[FICHE CODE]],3,0)</f>
        <v>0</v>
      </c>
      <c r="AS15" s="34" t="s">
        <v>127</v>
      </c>
      <c r="AT15" t="s">
        <v>62</v>
      </c>
      <c r="AU15" s="1">
        <v>49460</v>
      </c>
      <c r="AV15" s="1">
        <v>48864</v>
      </c>
      <c r="BB15" s="1"/>
    </row>
    <row r="16" spans="1:60" x14ac:dyDescent="0.35">
      <c r="A16" s="32">
        <f t="shared" si="1"/>
        <v>14</v>
      </c>
      <c r="B16" s="20">
        <v>46071</v>
      </c>
      <c r="C16" s="20">
        <v>46071</v>
      </c>
      <c r="D16" s="10" t="s">
        <v>38</v>
      </c>
      <c r="E16" s="10" t="s">
        <v>39</v>
      </c>
      <c r="F16" s="10" t="s">
        <v>40</v>
      </c>
      <c r="G16" s="10" t="s">
        <v>86</v>
      </c>
      <c r="H16" s="10" t="s">
        <v>128</v>
      </c>
      <c r="I16" s="10" t="s">
        <v>129</v>
      </c>
      <c r="J16" s="10" t="s">
        <v>130</v>
      </c>
      <c r="K16" s="33" t="s">
        <v>131</v>
      </c>
      <c r="L16" s="10">
        <v>815</v>
      </c>
      <c r="M16" s="10">
        <v>72517</v>
      </c>
      <c r="N16" s="10">
        <v>614</v>
      </c>
      <c r="O16" s="22">
        <f t="shared" si="0"/>
        <v>52060</v>
      </c>
      <c r="P16" s="22">
        <v>51446</v>
      </c>
      <c r="Q16" s="10">
        <v>578</v>
      </c>
      <c r="R16" s="10">
        <v>0</v>
      </c>
      <c r="S16" s="10">
        <v>36</v>
      </c>
      <c r="T16" s="10">
        <f t="shared" ref="T16:T23" si="3">S16*4+R16*8</f>
        <v>144</v>
      </c>
      <c r="U16" s="22">
        <f>Table46[[#This Row],[NET WT KGS]]-Table46[[#This Row],[Refraction]]</f>
        <v>51302</v>
      </c>
      <c r="V16" s="23">
        <v>470</v>
      </c>
      <c r="W16" s="23">
        <f>Table46[[#This Row],[PRICE]]*Table46[[#This Row],[PAID WT]]</f>
        <v>24111940</v>
      </c>
      <c r="X16" s="24">
        <v>9.5</v>
      </c>
      <c r="Y16" s="25">
        <v>178</v>
      </c>
      <c r="Z16" s="24">
        <v>46.81</v>
      </c>
      <c r="AA16" s="26">
        <v>47.16</v>
      </c>
      <c r="AB16" s="10" t="s">
        <v>132</v>
      </c>
      <c r="AC16" s="27"/>
      <c r="AD16" s="28" t="s">
        <v>47</v>
      </c>
      <c r="AE16" s="18">
        <f>Table46[[#This Row],[MOIS.]]*Table46[[#This Row],[NET WT KGS]]</f>
        <v>488737</v>
      </c>
      <c r="AF16" s="18">
        <f>Table46[[#This Row],[KOR]]*Table46[[#This Row],[NET WT KGS]]</f>
        <v>2408187.2600000002</v>
      </c>
      <c r="AG16">
        <f>Table46[[#This Row],[NET WT KGS]]*Table46[[#This Row],[NUT COUNT]]</f>
        <v>9157388</v>
      </c>
      <c r="AI16" t="s">
        <v>133</v>
      </c>
      <c r="AK16" s="29">
        <v>4516064</v>
      </c>
      <c r="AL16" s="1">
        <v>459.54954954954957</v>
      </c>
      <c r="AM16" s="1">
        <v>9.1208633093525187</v>
      </c>
      <c r="AN16" s="1">
        <v>173.41007194244605</v>
      </c>
      <c r="AO16" s="1">
        <v>46.559280575539596</v>
      </c>
      <c r="AP16" s="30" t="s">
        <v>134</v>
      </c>
      <c r="AQ16">
        <f>VLOOKUP(AP16,Table46[[#All],[LBA CODE]:[FICHE CODE]],3,0)</f>
        <v>0</v>
      </c>
      <c r="AS16" s="34" t="s">
        <v>135</v>
      </c>
      <c r="AT16" t="s">
        <v>62</v>
      </c>
      <c r="AU16" s="1">
        <v>203320</v>
      </c>
      <c r="AV16" s="1">
        <v>200793</v>
      </c>
      <c r="BB16" s="1"/>
    </row>
    <row r="17" spans="1:54" x14ac:dyDescent="0.35">
      <c r="A17" s="32">
        <f t="shared" si="1"/>
        <v>15</v>
      </c>
      <c r="B17" s="20">
        <v>46071</v>
      </c>
      <c r="C17" s="20">
        <v>46071</v>
      </c>
      <c r="D17" s="10" t="s">
        <v>38</v>
      </c>
      <c r="E17" s="10" t="s">
        <v>39</v>
      </c>
      <c r="F17" s="10" t="s">
        <v>40</v>
      </c>
      <c r="G17" s="10" t="s">
        <v>86</v>
      </c>
      <c r="H17" s="10" t="s">
        <v>136</v>
      </c>
      <c r="I17" s="10" t="s">
        <v>137</v>
      </c>
      <c r="J17" s="10" t="s">
        <v>138</v>
      </c>
      <c r="K17" s="21" t="s">
        <v>139</v>
      </c>
      <c r="L17" s="10">
        <v>817</v>
      </c>
      <c r="M17" s="10">
        <v>72568</v>
      </c>
      <c r="N17" s="10">
        <v>453</v>
      </c>
      <c r="O17" s="22">
        <f t="shared" si="0"/>
        <v>41540</v>
      </c>
      <c r="P17" s="22">
        <v>41087</v>
      </c>
      <c r="Q17" s="10">
        <v>410</v>
      </c>
      <c r="R17" s="10">
        <v>0</v>
      </c>
      <c r="S17" s="10">
        <v>43</v>
      </c>
      <c r="T17" s="10">
        <f t="shared" si="3"/>
        <v>172</v>
      </c>
      <c r="U17" s="22">
        <f>Table46[[#This Row],[NET WT KGS]]-Table46[[#This Row],[Refraction]]</f>
        <v>40915</v>
      </c>
      <c r="V17" s="23">
        <v>475</v>
      </c>
      <c r="W17" s="23">
        <f>Table46[[#This Row],[PRICE]]*Table46[[#This Row],[PAID WT]]</f>
        <v>19434625</v>
      </c>
      <c r="X17" s="24">
        <v>9.6</v>
      </c>
      <c r="Y17" s="25">
        <v>182</v>
      </c>
      <c r="Z17" s="24">
        <v>48.22</v>
      </c>
      <c r="AA17" s="26">
        <v>48.4</v>
      </c>
      <c r="AB17" s="10" t="s">
        <v>140</v>
      </c>
      <c r="AC17" s="27"/>
      <c r="AD17" s="28" t="s">
        <v>47</v>
      </c>
      <c r="AE17" s="18">
        <f>Table46[[#This Row],[MOIS.]]*Table46[[#This Row],[NET WT KGS]]</f>
        <v>394435.2</v>
      </c>
      <c r="AF17" s="18">
        <f>Table46[[#This Row],[KOR]]*Table46[[#This Row],[NET WT KGS]]</f>
        <v>1981215.14</v>
      </c>
      <c r="AG17">
        <f>Table46[[#This Row],[NET WT KGS]]*Table46[[#This Row],[NUT COUNT]]</f>
        <v>7477834</v>
      </c>
      <c r="AI17" t="s">
        <v>141</v>
      </c>
      <c r="AJ17" t="s">
        <v>142</v>
      </c>
      <c r="AK17" s="29">
        <v>96732</v>
      </c>
      <c r="AL17" s="1">
        <v>478.33333333333331</v>
      </c>
      <c r="AM17" s="1">
        <v>8.6999999999999993</v>
      </c>
      <c r="AN17" s="1">
        <v>179.33333333333334</v>
      </c>
      <c r="AO17" s="1">
        <v>46.46</v>
      </c>
      <c r="AP17" s="30" t="s">
        <v>143</v>
      </c>
      <c r="AQ17">
        <f>VLOOKUP(AP17,Table46[[#All],[LBA CODE]:[FICHE CODE]],3,0)</f>
        <v>0</v>
      </c>
      <c r="AS17" s="34" t="s">
        <v>144</v>
      </c>
      <c r="AT17" t="s">
        <v>62</v>
      </c>
      <c r="AU17" s="1">
        <v>39300</v>
      </c>
      <c r="AV17" s="1">
        <v>38794</v>
      </c>
      <c r="BB17" s="1"/>
    </row>
    <row r="18" spans="1:54" x14ac:dyDescent="0.35">
      <c r="A18" s="32">
        <f t="shared" si="1"/>
        <v>16</v>
      </c>
      <c r="B18" s="20">
        <v>46071</v>
      </c>
      <c r="C18" s="20">
        <v>46071</v>
      </c>
      <c r="D18" s="10" t="s">
        <v>38</v>
      </c>
      <c r="E18" s="10" t="s">
        <v>39</v>
      </c>
      <c r="F18" s="10" t="s">
        <v>40</v>
      </c>
      <c r="G18" s="10" t="s">
        <v>41</v>
      </c>
      <c r="H18" s="10" t="s">
        <v>42</v>
      </c>
      <c r="I18" s="10" t="s">
        <v>43</v>
      </c>
      <c r="J18" s="10" t="s">
        <v>145</v>
      </c>
      <c r="K18" s="21" t="s">
        <v>45</v>
      </c>
      <c r="L18" s="10">
        <v>816</v>
      </c>
      <c r="M18" s="10">
        <v>72506</v>
      </c>
      <c r="N18" s="10">
        <v>475</v>
      </c>
      <c r="O18" s="22">
        <f t="shared" si="0"/>
        <v>41260</v>
      </c>
      <c r="P18" s="22">
        <v>40785</v>
      </c>
      <c r="Q18" s="10">
        <v>466</v>
      </c>
      <c r="R18" s="10">
        <v>0</v>
      </c>
      <c r="S18" s="10">
        <v>9</v>
      </c>
      <c r="T18" s="10">
        <f t="shared" si="3"/>
        <v>36</v>
      </c>
      <c r="U18" s="22">
        <f>Table46[[#This Row],[NET WT KGS]]-Table46[[#This Row],[Refraction]]</f>
        <v>40749</v>
      </c>
      <c r="V18" s="23">
        <v>475</v>
      </c>
      <c r="W18" s="23">
        <f>Table46[[#This Row],[PRICE]]*Table46[[#This Row],[PAID WT]]</f>
        <v>19355775</v>
      </c>
      <c r="X18" s="24">
        <v>9.9</v>
      </c>
      <c r="Y18" s="25">
        <v>174</v>
      </c>
      <c r="Z18" s="24">
        <v>48.04</v>
      </c>
      <c r="AA18" s="26">
        <v>48.22</v>
      </c>
      <c r="AB18" s="10" t="s">
        <v>46</v>
      </c>
      <c r="AC18" s="27"/>
      <c r="AD18" s="28" t="s">
        <v>47</v>
      </c>
      <c r="AE18" s="18">
        <f>Table46[[#This Row],[MOIS.]]*Table46[[#This Row],[NET WT KGS]]</f>
        <v>403771.5</v>
      </c>
      <c r="AF18" s="18">
        <f>Table46[[#This Row],[KOR]]*Table46[[#This Row],[NET WT KGS]]</f>
        <v>1959311.4</v>
      </c>
      <c r="AG18">
        <f>Table46[[#This Row],[NET WT KGS]]*Table46[[#This Row],[NUT COUNT]]</f>
        <v>7096590</v>
      </c>
      <c r="AJ18" t="s">
        <v>146</v>
      </c>
      <c r="AK18" s="29">
        <v>420444</v>
      </c>
      <c r="AL18" s="1">
        <v>483</v>
      </c>
      <c r="AM18" s="1">
        <v>9.4916666666666654</v>
      </c>
      <c r="AN18" s="1">
        <v>170</v>
      </c>
      <c r="AO18" s="1">
        <v>46.13</v>
      </c>
      <c r="AP18" s="30" t="s">
        <v>147</v>
      </c>
      <c r="AQ18" t="str">
        <f>VLOOKUP(AP18,Table46[[#All],[LBA CODE]:[FICHE CODE]],3,0)</f>
        <v>0401-0191</v>
      </c>
      <c r="AS18" s="34" t="s">
        <v>148</v>
      </c>
      <c r="AT18" t="s">
        <v>62</v>
      </c>
      <c r="AU18" s="1">
        <v>0</v>
      </c>
      <c r="AV18" s="1"/>
      <c r="BB18" s="1"/>
    </row>
    <row r="19" spans="1:54" x14ac:dyDescent="0.35">
      <c r="A19" s="32">
        <f t="shared" si="1"/>
        <v>17</v>
      </c>
      <c r="B19" s="20">
        <v>46071</v>
      </c>
      <c r="C19" s="20">
        <v>46071</v>
      </c>
      <c r="D19" s="10" t="s">
        <v>38</v>
      </c>
      <c r="E19" s="10" t="s">
        <v>39</v>
      </c>
      <c r="F19" s="10" t="s">
        <v>40</v>
      </c>
      <c r="G19" s="10" t="s">
        <v>41</v>
      </c>
      <c r="H19" s="10" t="s">
        <v>87</v>
      </c>
      <c r="I19" s="10" t="s">
        <v>88</v>
      </c>
      <c r="J19" s="10" t="s">
        <v>149</v>
      </c>
      <c r="K19" s="33" t="s">
        <v>90</v>
      </c>
      <c r="L19" s="10">
        <v>813</v>
      </c>
      <c r="M19" s="10">
        <v>72538</v>
      </c>
      <c r="N19" s="10">
        <v>602</v>
      </c>
      <c r="O19" s="22">
        <f t="shared" si="0"/>
        <v>49758</v>
      </c>
      <c r="P19" s="22">
        <v>49156</v>
      </c>
      <c r="Q19" s="10">
        <v>599</v>
      </c>
      <c r="R19" s="10">
        <v>0</v>
      </c>
      <c r="S19" s="10">
        <v>3</v>
      </c>
      <c r="T19" s="10">
        <f t="shared" si="3"/>
        <v>12</v>
      </c>
      <c r="U19" s="22">
        <f>Table46[[#This Row],[NET WT KGS]]-Table46[[#This Row],[Refraction]]</f>
        <v>49144</v>
      </c>
      <c r="V19" s="23">
        <v>470</v>
      </c>
      <c r="W19" s="23">
        <f>Table46[[#This Row],[PRICE]]*Table46[[#This Row],[PAID WT]]</f>
        <v>23097680</v>
      </c>
      <c r="X19" s="24">
        <v>10.9</v>
      </c>
      <c r="Y19" s="25">
        <v>180</v>
      </c>
      <c r="Z19" s="24">
        <v>47.52</v>
      </c>
      <c r="AA19" s="26"/>
      <c r="AB19" s="10" t="s">
        <v>150</v>
      </c>
      <c r="AC19" s="27"/>
      <c r="AD19" s="28" t="s">
        <v>47</v>
      </c>
      <c r="AE19" s="18">
        <f>Table46[[#This Row],[MOIS.]]*Table46[[#This Row],[NET WT KGS]]</f>
        <v>535800.4</v>
      </c>
      <c r="AF19" s="18">
        <f>Table46[[#This Row],[KOR]]*Table46[[#This Row],[NET WT KGS]]</f>
        <v>2335893.12</v>
      </c>
      <c r="AG19">
        <f>Table46[[#This Row],[NET WT KGS]]*Table46[[#This Row],[NUT COUNT]]</f>
        <v>8848080</v>
      </c>
      <c r="AJ19" t="s">
        <v>151</v>
      </c>
      <c r="AK19" s="29">
        <v>379370</v>
      </c>
      <c r="AL19" s="1">
        <v>485</v>
      </c>
      <c r="AM19" s="1">
        <v>9.2562499999999979</v>
      </c>
      <c r="AN19" s="1">
        <v>175.625</v>
      </c>
      <c r="AO19" s="1">
        <v>45.228125000000006</v>
      </c>
      <c r="AP19" s="30" t="s">
        <v>152</v>
      </c>
      <c r="AQ19" t="str">
        <f>VLOOKUP(AP19,Table46[[#All],[LBA CODE]:[FICHE CODE]],3,0)</f>
        <v>0426-0285</v>
      </c>
      <c r="AS19" s="34" t="s">
        <v>153</v>
      </c>
      <c r="AT19" t="s">
        <v>62</v>
      </c>
      <c r="AU19" s="1">
        <v>181360</v>
      </c>
      <c r="AV19" s="1">
        <v>179070</v>
      </c>
      <c r="BB19" s="1"/>
    </row>
    <row r="20" spans="1:54" x14ac:dyDescent="0.35">
      <c r="A20" s="32">
        <f t="shared" si="1"/>
        <v>18</v>
      </c>
      <c r="B20" s="20">
        <v>46071</v>
      </c>
      <c r="C20" s="20">
        <v>46071</v>
      </c>
      <c r="D20" s="10" t="s">
        <v>38</v>
      </c>
      <c r="E20" s="10" t="s">
        <v>39</v>
      </c>
      <c r="F20" s="10" t="s">
        <v>40</v>
      </c>
      <c r="G20" s="10" t="s">
        <v>41</v>
      </c>
      <c r="H20" s="10" t="s">
        <v>154</v>
      </c>
      <c r="I20" s="10" t="s">
        <v>155</v>
      </c>
      <c r="J20" s="10" t="s">
        <v>156</v>
      </c>
      <c r="K20" s="33" t="s">
        <v>157</v>
      </c>
      <c r="L20" s="10">
        <v>812</v>
      </c>
      <c r="M20" s="10">
        <v>72523</v>
      </c>
      <c r="N20" s="10">
        <v>463</v>
      </c>
      <c r="O20" s="22">
        <f t="shared" si="0"/>
        <v>40560</v>
      </c>
      <c r="P20" s="22">
        <v>40097</v>
      </c>
      <c r="Q20" s="10">
        <v>453</v>
      </c>
      <c r="R20" s="10">
        <v>0</v>
      </c>
      <c r="S20" s="10">
        <v>10</v>
      </c>
      <c r="T20" s="10">
        <f t="shared" si="3"/>
        <v>40</v>
      </c>
      <c r="U20" s="22">
        <f>Table46[[#This Row],[NET WT KGS]]-Table46[[#This Row],[Refraction]]</f>
        <v>40057</v>
      </c>
      <c r="V20" s="23">
        <v>475</v>
      </c>
      <c r="W20" s="23">
        <f>Table46[[#This Row],[PRICE]]*Table46[[#This Row],[PAID WT]]</f>
        <v>19027075</v>
      </c>
      <c r="X20" s="24">
        <v>11.2</v>
      </c>
      <c r="Y20" s="25">
        <v>168</v>
      </c>
      <c r="Z20" s="24">
        <v>48.04</v>
      </c>
      <c r="AA20" s="26"/>
      <c r="AB20" s="10" t="s">
        <v>46</v>
      </c>
      <c r="AC20" s="27"/>
      <c r="AD20" s="28" t="s">
        <v>47</v>
      </c>
      <c r="AE20" s="18">
        <f>Table46[[#This Row],[MOIS.]]*Table46[[#This Row],[NET WT KGS]]</f>
        <v>449086.39999999997</v>
      </c>
      <c r="AF20" s="18">
        <f>Table46[[#This Row],[KOR]]*Table46[[#This Row],[NET WT KGS]]</f>
        <v>1926259.88</v>
      </c>
      <c r="AG20">
        <f>Table46[[#This Row],[NET WT KGS]]*Table46[[#This Row],[NUT COUNT]]</f>
        <v>6736296</v>
      </c>
      <c r="AJ20" t="s">
        <v>81</v>
      </c>
      <c r="AK20" s="29">
        <v>407968</v>
      </c>
      <c r="AL20" s="1">
        <v>484</v>
      </c>
      <c r="AM20" s="1">
        <v>8.8333333333333339</v>
      </c>
      <c r="AN20" s="1">
        <v>173.73333333333332</v>
      </c>
      <c r="AO20" s="1">
        <v>45.056666666666665</v>
      </c>
      <c r="AP20" s="30" t="s">
        <v>158</v>
      </c>
      <c r="AQ20" t="str">
        <f>VLOOKUP(AP20,Table46[[#All],[LBA CODE]:[FICHE CODE]],3,0)</f>
        <v>0321-0019</v>
      </c>
      <c r="AS20" s="34" t="s">
        <v>159</v>
      </c>
      <c r="AT20" t="s">
        <v>62</v>
      </c>
      <c r="AU20" s="1">
        <v>167120</v>
      </c>
      <c r="AV20" s="1">
        <v>165192</v>
      </c>
      <c r="BB20" s="1"/>
    </row>
    <row r="21" spans="1:54" x14ac:dyDescent="0.35">
      <c r="A21" s="32">
        <f t="shared" si="1"/>
        <v>19</v>
      </c>
      <c r="B21" s="20">
        <v>46071</v>
      </c>
      <c r="C21" s="20">
        <v>46071</v>
      </c>
      <c r="D21" s="10" t="s">
        <v>38</v>
      </c>
      <c r="E21" s="10" t="s">
        <v>39</v>
      </c>
      <c r="F21" s="10" t="s">
        <v>40</v>
      </c>
      <c r="G21" s="10" t="s">
        <v>86</v>
      </c>
      <c r="H21" s="10" t="s">
        <v>123</v>
      </c>
      <c r="I21" s="10" t="s">
        <v>124</v>
      </c>
      <c r="J21" s="10" t="s">
        <v>160</v>
      </c>
      <c r="K21" s="21" t="s">
        <v>161</v>
      </c>
      <c r="L21" s="10">
        <v>814</v>
      </c>
      <c r="M21" s="10">
        <v>72501</v>
      </c>
      <c r="N21" s="10">
        <v>562</v>
      </c>
      <c r="O21" s="22">
        <f t="shared" si="0"/>
        <v>46680</v>
      </c>
      <c r="P21" s="22">
        <v>46118</v>
      </c>
      <c r="Q21" s="10">
        <v>524</v>
      </c>
      <c r="R21" s="10">
        <v>0</v>
      </c>
      <c r="S21" s="10">
        <v>38</v>
      </c>
      <c r="T21" s="10">
        <f t="shared" si="3"/>
        <v>152</v>
      </c>
      <c r="U21" s="22">
        <f>Table46[[#This Row],[NET WT KGS]]-Table46[[#This Row],[Refraction]]</f>
        <v>45966</v>
      </c>
      <c r="V21" s="23">
        <v>470</v>
      </c>
      <c r="W21" s="23">
        <f>Table46[[#This Row],[PRICE]]*Table46[[#This Row],[PAID WT]]</f>
        <v>21604020</v>
      </c>
      <c r="X21" s="24">
        <v>8.6</v>
      </c>
      <c r="Y21" s="25">
        <v>171</v>
      </c>
      <c r="Z21" s="24">
        <v>47.6</v>
      </c>
      <c r="AA21" s="26">
        <v>47.87</v>
      </c>
      <c r="AB21" s="10" t="s">
        <v>58</v>
      </c>
      <c r="AC21" s="27"/>
      <c r="AD21" s="28" t="s">
        <v>47</v>
      </c>
      <c r="AE21" s="18">
        <f>Table46[[#This Row],[MOIS.]]*Table46[[#This Row],[NET WT KGS]]</f>
        <v>396614.8</v>
      </c>
      <c r="AF21" s="18">
        <f>Table46[[#This Row],[KOR]]*Table46[[#This Row],[NET WT KGS]]</f>
        <v>2195216.8000000003</v>
      </c>
      <c r="AG21">
        <f>Table46[[#This Row],[NET WT KGS]]*Table46[[#This Row],[NUT COUNT]]</f>
        <v>7886178</v>
      </c>
      <c r="AJ21" t="s">
        <v>85</v>
      </c>
      <c r="AK21" s="29">
        <v>346716</v>
      </c>
      <c r="AL21" s="1">
        <v>483.125</v>
      </c>
      <c r="AM21" s="1">
        <v>9.4599999999999991</v>
      </c>
      <c r="AN21" s="1">
        <v>169.9</v>
      </c>
      <c r="AO21" s="1">
        <v>45.220000000000006</v>
      </c>
      <c r="AP21" s="30" t="s">
        <v>162</v>
      </c>
      <c r="AQ21" t="str">
        <f>VLOOKUP(AP21,Table46[[#All],[LBA CODE]:[FICHE CODE]],3,0)</f>
        <v>0401-0106</v>
      </c>
      <c r="AS21" s="34" t="s">
        <v>163</v>
      </c>
      <c r="AT21" t="s">
        <v>62</v>
      </c>
      <c r="AU21" s="1">
        <v>93140</v>
      </c>
      <c r="AV21" s="1">
        <v>92028</v>
      </c>
      <c r="BB21" s="1"/>
    </row>
    <row r="22" spans="1:54" x14ac:dyDescent="0.35">
      <c r="A22" s="32">
        <f t="shared" si="1"/>
        <v>20</v>
      </c>
      <c r="B22" s="20">
        <v>46071</v>
      </c>
      <c r="C22" s="20">
        <v>46071</v>
      </c>
      <c r="D22" s="10" t="s">
        <v>38</v>
      </c>
      <c r="E22" s="10" t="s">
        <v>39</v>
      </c>
      <c r="F22" s="10" t="s">
        <v>40</v>
      </c>
      <c r="G22" s="10" t="s">
        <v>86</v>
      </c>
      <c r="H22" s="10" t="s">
        <v>105</v>
      </c>
      <c r="I22" s="10" t="s">
        <v>106</v>
      </c>
      <c r="J22" s="10" t="s">
        <v>164</v>
      </c>
      <c r="K22" s="33" t="s">
        <v>108</v>
      </c>
      <c r="L22" s="10">
        <v>820</v>
      </c>
      <c r="M22" s="10">
        <v>72605</v>
      </c>
      <c r="N22" s="10">
        <v>240</v>
      </c>
      <c r="O22" s="22">
        <f t="shared" si="0"/>
        <v>20440</v>
      </c>
      <c r="P22" s="22">
        <v>20200</v>
      </c>
      <c r="Q22" s="10">
        <v>207</v>
      </c>
      <c r="R22" s="10">
        <v>0</v>
      </c>
      <c r="S22" s="44">
        <v>33</v>
      </c>
      <c r="T22" s="10">
        <f t="shared" si="3"/>
        <v>132</v>
      </c>
      <c r="U22" s="22">
        <f>Table46[[#This Row],[NET WT KGS]]-Table46[[#This Row],[Refraction]]</f>
        <v>20068</v>
      </c>
      <c r="V22" s="23">
        <v>470</v>
      </c>
      <c r="W22" s="23">
        <f>Table46[[#This Row],[PRICE]]*Table46[[#This Row],[PAID WT]]</f>
        <v>9431960</v>
      </c>
      <c r="X22" s="24">
        <v>8.6</v>
      </c>
      <c r="Y22" s="25">
        <v>163</v>
      </c>
      <c r="Z22" s="24">
        <v>46.11</v>
      </c>
      <c r="AA22" s="26">
        <v>46.28</v>
      </c>
      <c r="AB22" s="10" t="s">
        <v>58</v>
      </c>
      <c r="AC22" s="27"/>
      <c r="AD22" s="28" t="s">
        <v>47</v>
      </c>
      <c r="AE22" s="18">
        <f>Table46[[#This Row],[MOIS.]]*Table46[[#This Row],[NET WT KGS]]</f>
        <v>173720</v>
      </c>
      <c r="AF22" s="18">
        <f>Table46[[#This Row],[KOR]]*Table46[[#This Row],[NET WT KGS]]</f>
        <v>931422</v>
      </c>
      <c r="AG22">
        <f>Table46[[#This Row],[NET WT KGS]]*Table46[[#This Row],[NUT COUNT]]</f>
        <v>3292600</v>
      </c>
      <c r="AJ22" t="s">
        <v>93</v>
      </c>
      <c r="AK22" s="29">
        <v>589348</v>
      </c>
      <c r="AL22" s="1">
        <v>486</v>
      </c>
      <c r="AM22" s="1">
        <v>9.2611111111111128</v>
      </c>
      <c r="AN22" s="1">
        <v>175.72222222222223</v>
      </c>
      <c r="AO22" s="1">
        <v>45.23833333333333</v>
      </c>
      <c r="AP22" s="30" t="s">
        <v>165</v>
      </c>
      <c r="AQ22" t="str">
        <f>VLOOKUP(AP22,Table46[[#All],[LBA CODE]:[FICHE CODE]],3,0)</f>
        <v>0401-0173</v>
      </c>
      <c r="AS22" s="34" t="s">
        <v>166</v>
      </c>
      <c r="AT22" t="s">
        <v>62</v>
      </c>
      <c r="AU22" s="1">
        <v>135720</v>
      </c>
      <c r="AV22" s="1">
        <v>133973</v>
      </c>
      <c r="BB22" s="1"/>
    </row>
    <row r="23" spans="1:54" x14ac:dyDescent="0.35">
      <c r="A23" s="32">
        <f t="shared" si="1"/>
        <v>21</v>
      </c>
      <c r="B23" s="20">
        <v>46071</v>
      </c>
      <c r="C23" s="20">
        <v>46071</v>
      </c>
      <c r="D23" s="10" t="s">
        <v>38</v>
      </c>
      <c r="E23" s="10" t="s">
        <v>39</v>
      </c>
      <c r="F23" s="10" t="s">
        <v>40</v>
      </c>
      <c r="G23" s="10" t="s">
        <v>86</v>
      </c>
      <c r="H23" s="10" t="s">
        <v>105</v>
      </c>
      <c r="I23" s="10" t="s">
        <v>106</v>
      </c>
      <c r="J23" s="10" t="s">
        <v>167</v>
      </c>
      <c r="K23" s="33" t="s">
        <v>108</v>
      </c>
      <c r="L23" s="10">
        <v>819</v>
      </c>
      <c r="M23" s="10">
        <v>72606</v>
      </c>
      <c r="N23" s="10">
        <v>223</v>
      </c>
      <c r="O23" s="22">
        <f t="shared" si="0"/>
        <v>19380</v>
      </c>
      <c r="P23" s="22">
        <v>19157</v>
      </c>
      <c r="Q23" s="10">
        <v>177</v>
      </c>
      <c r="R23" s="10">
        <v>0</v>
      </c>
      <c r="S23" s="10">
        <v>46</v>
      </c>
      <c r="T23" s="10">
        <f t="shared" si="3"/>
        <v>184</v>
      </c>
      <c r="U23" s="22">
        <f>Table46[[#This Row],[NET WT KGS]]-Table46[[#This Row],[Refraction]]</f>
        <v>18973</v>
      </c>
      <c r="V23" s="23">
        <v>470</v>
      </c>
      <c r="W23" s="23">
        <f>Table46[[#This Row],[PRICE]]*Table46[[#This Row],[PAID WT]]</f>
        <v>8917310</v>
      </c>
      <c r="X23" s="24">
        <v>9.4</v>
      </c>
      <c r="Y23" s="25">
        <v>185</v>
      </c>
      <c r="Z23" s="24">
        <v>47.34</v>
      </c>
      <c r="AA23" s="26">
        <v>47.69</v>
      </c>
      <c r="AB23" s="10" t="s">
        <v>140</v>
      </c>
      <c r="AC23" s="27"/>
      <c r="AD23" s="28" t="s">
        <v>47</v>
      </c>
      <c r="AE23" s="18">
        <f>Table46[[#This Row],[MOIS.]]*Table46[[#This Row],[NET WT KGS]]</f>
        <v>180075.80000000002</v>
      </c>
      <c r="AF23" s="18">
        <f>Table46[[#This Row],[KOR]]*Table46[[#This Row],[NET WT KGS]]</f>
        <v>906892.38000000012</v>
      </c>
      <c r="AG23">
        <f>Table46[[#This Row],[NET WT KGS]]*Table46[[#This Row],[NUT COUNT]]</f>
        <v>3544045</v>
      </c>
      <c r="AJ23" t="s">
        <v>100</v>
      </c>
      <c r="AK23" s="29">
        <v>210067</v>
      </c>
      <c r="AL23" s="1">
        <v>485</v>
      </c>
      <c r="AM23" s="1">
        <v>9.6090909090909093</v>
      </c>
      <c r="AN23" s="1">
        <v>175</v>
      </c>
      <c r="AO23" s="1">
        <v>44.684545454545457</v>
      </c>
      <c r="AP23" s="30" t="s">
        <v>168</v>
      </c>
      <c r="AQ23" t="str">
        <f>VLOOKUP(AP23,Table46[[#All],[LBA CODE]:[FICHE CODE]],3,0)</f>
        <v>0429-0611</v>
      </c>
      <c r="AS23" s="34" t="s">
        <v>169</v>
      </c>
      <c r="AT23" t="s">
        <v>62</v>
      </c>
      <c r="AU23" s="1">
        <v>81520</v>
      </c>
      <c r="AV23" s="1">
        <v>80508</v>
      </c>
      <c r="BB23" s="1"/>
    </row>
    <row r="24" spans="1:54" x14ac:dyDescent="0.35">
      <c r="A24" s="32">
        <f t="shared" si="1"/>
        <v>22</v>
      </c>
      <c r="B24" s="35">
        <v>46071</v>
      </c>
      <c r="C24" s="35">
        <f>Table46[[#This Row],[DATE OF ARRIVAL]]</f>
        <v>46071</v>
      </c>
      <c r="D24" s="36" t="s">
        <v>38</v>
      </c>
      <c r="E24" s="36" t="s">
        <v>39</v>
      </c>
      <c r="F24" s="36" t="s">
        <v>40</v>
      </c>
      <c r="G24" s="36"/>
      <c r="H24" s="36" t="s">
        <v>136</v>
      </c>
      <c r="I24" s="36" t="s">
        <v>137</v>
      </c>
      <c r="J24" s="36" t="s">
        <v>170</v>
      </c>
      <c r="K24" s="36"/>
      <c r="L24" s="36"/>
      <c r="M24" s="36"/>
      <c r="N24" s="36">
        <v>0</v>
      </c>
      <c r="O24" s="37">
        <f t="shared" si="0"/>
        <v>0</v>
      </c>
      <c r="P24" s="37"/>
      <c r="Q24" s="36"/>
      <c r="R24" s="36"/>
      <c r="S24" s="36"/>
      <c r="T24" s="36"/>
      <c r="U24" s="37">
        <f>Table46[[#This Row],[NET WT KGS]]-Table46[[#This Row],[Refraction]]</f>
        <v>0</v>
      </c>
      <c r="V24" s="38"/>
      <c r="W24" s="38">
        <f>Table46[[#This Row],[PRICE]]*Table46[[#This Row],[PAID WT]]</f>
        <v>0</v>
      </c>
      <c r="X24" s="39">
        <v>8.1</v>
      </c>
      <c r="Y24" s="40">
        <v>178</v>
      </c>
      <c r="Z24" s="39">
        <v>44.35</v>
      </c>
      <c r="AA24" s="41"/>
      <c r="AB24" s="36" t="s">
        <v>171</v>
      </c>
      <c r="AC24" s="42" t="s">
        <v>70</v>
      </c>
      <c r="AD24" s="28"/>
      <c r="AE24" s="18">
        <f>Table46[[#This Row],[MOIS.]]*Table46[[#This Row],[NET WT KGS]]</f>
        <v>0</v>
      </c>
      <c r="AF24" s="18">
        <f>Table46[[#This Row],[KOR]]*Table46[[#This Row],[NET WT KGS]]</f>
        <v>0</v>
      </c>
      <c r="AG24">
        <f>Table46[[#This Row],[NET WT KGS]]*Table46[[#This Row],[NUT COUNT]]</f>
        <v>0</v>
      </c>
      <c r="AJ24" t="s">
        <v>104</v>
      </c>
      <c r="AK24" s="29">
        <v>183224</v>
      </c>
      <c r="AL24" s="1">
        <v>483.75</v>
      </c>
      <c r="AM24" s="1">
        <v>9.4250000000000007</v>
      </c>
      <c r="AN24" s="1">
        <v>172.75</v>
      </c>
      <c r="AO24" s="1">
        <v>44.533749999999998</v>
      </c>
      <c r="AP24" s="30" t="s">
        <v>172</v>
      </c>
      <c r="AQ24" t="str">
        <f>VLOOKUP(AP24,Table46[[#All],[LBA CODE]:[FICHE CODE]],3,0)</f>
        <v>0401-0177</v>
      </c>
      <c r="AS24" s="34" t="s">
        <v>173</v>
      </c>
      <c r="AT24" t="s">
        <v>62</v>
      </c>
      <c r="AU24" s="1">
        <v>41400</v>
      </c>
      <c r="AV24" s="1">
        <v>40907</v>
      </c>
      <c r="BB24" s="1"/>
    </row>
    <row r="25" spans="1:54" x14ac:dyDescent="0.35">
      <c r="A25" s="32">
        <f t="shared" si="1"/>
        <v>23</v>
      </c>
      <c r="B25" s="35">
        <v>46071</v>
      </c>
      <c r="C25" s="35">
        <f>Table46[[#This Row],[DATE OF ARRIVAL]]</f>
        <v>46071</v>
      </c>
      <c r="D25" s="36" t="s">
        <v>38</v>
      </c>
      <c r="E25" s="36" t="s">
        <v>39</v>
      </c>
      <c r="F25" s="36" t="s">
        <v>40</v>
      </c>
      <c r="G25" s="36"/>
      <c r="H25" s="36" t="s">
        <v>54</v>
      </c>
      <c r="I25" s="36" t="s">
        <v>55</v>
      </c>
      <c r="J25" s="36" t="s">
        <v>174</v>
      </c>
      <c r="K25" s="36"/>
      <c r="L25" s="36"/>
      <c r="M25" s="36"/>
      <c r="N25" s="36">
        <v>0</v>
      </c>
      <c r="O25" s="37">
        <f t="shared" si="0"/>
        <v>0</v>
      </c>
      <c r="P25" s="37"/>
      <c r="Q25" s="36"/>
      <c r="R25" s="36"/>
      <c r="S25" s="36"/>
      <c r="T25" s="36"/>
      <c r="U25" s="37">
        <f>Table46[[#This Row],[NET WT KGS]]-Table46[[#This Row],[Refraction]]</f>
        <v>0</v>
      </c>
      <c r="V25" s="38"/>
      <c r="W25" s="38">
        <f>Table46[[#This Row],[PRICE]]*Table46[[#This Row],[PAID WT]]</f>
        <v>0</v>
      </c>
      <c r="X25" s="39">
        <v>12</v>
      </c>
      <c r="Y25" s="40">
        <v>162</v>
      </c>
      <c r="Z25" s="39">
        <v>45.23</v>
      </c>
      <c r="AA25" s="41"/>
      <c r="AB25" s="36" t="s">
        <v>150</v>
      </c>
      <c r="AC25" s="42" t="s">
        <v>70</v>
      </c>
      <c r="AD25" s="28"/>
      <c r="AE25" s="18">
        <f>Table46[[#This Row],[MOIS.]]*Table46[[#This Row],[NET WT KGS]]</f>
        <v>0</v>
      </c>
      <c r="AF25" s="18">
        <f>Table46[[#This Row],[KOR]]*Table46[[#This Row],[NET WT KGS]]</f>
        <v>0</v>
      </c>
      <c r="AG25">
        <f>Table46[[#This Row],[NET WT KGS]]*Table46[[#This Row],[NUT COUNT]]</f>
        <v>0</v>
      </c>
      <c r="AJ25" t="s">
        <v>111</v>
      </c>
      <c r="AK25" s="29">
        <v>391589</v>
      </c>
      <c r="AL25" s="1">
        <v>490</v>
      </c>
      <c r="AM25" s="1">
        <v>9.7083333333333339</v>
      </c>
      <c r="AN25" s="1">
        <v>176.5</v>
      </c>
      <c r="AO25" s="1">
        <v>45.293333333333329</v>
      </c>
      <c r="AP25" s="30" t="s">
        <v>175</v>
      </c>
      <c r="AQ25" t="str">
        <f>VLOOKUP(AP25,Table46[[#All],[LBA CODE]:[FICHE CODE]],3,0)</f>
        <v>0420-0288</v>
      </c>
      <c r="AS25" s="34" t="s">
        <v>176</v>
      </c>
      <c r="AT25" t="s">
        <v>62</v>
      </c>
      <c r="AU25" s="1">
        <v>76940</v>
      </c>
      <c r="AV25" s="1">
        <v>75971</v>
      </c>
      <c r="BB25" s="1"/>
    </row>
    <row r="26" spans="1:54" x14ac:dyDescent="0.35">
      <c r="A26" s="32">
        <f t="shared" si="1"/>
        <v>24</v>
      </c>
      <c r="B26" s="35">
        <v>46071</v>
      </c>
      <c r="C26" s="35">
        <f>Table46[[#This Row],[DATE OF ARRIVAL]]</f>
        <v>46071</v>
      </c>
      <c r="D26" s="36" t="s">
        <v>38</v>
      </c>
      <c r="E26" s="36" t="s">
        <v>39</v>
      </c>
      <c r="F26" s="36" t="s">
        <v>40</v>
      </c>
      <c r="G26" s="36"/>
      <c r="H26" s="36" t="s">
        <v>87</v>
      </c>
      <c r="I26" s="36" t="s">
        <v>88</v>
      </c>
      <c r="J26" s="36" t="s">
        <v>177</v>
      </c>
      <c r="K26" s="36"/>
      <c r="L26" s="36"/>
      <c r="M26" s="36"/>
      <c r="N26" s="36">
        <v>0</v>
      </c>
      <c r="O26" s="37">
        <f t="shared" si="0"/>
        <v>0</v>
      </c>
      <c r="P26" s="37"/>
      <c r="Q26" s="36"/>
      <c r="R26" s="36"/>
      <c r="S26" s="36"/>
      <c r="T26" s="36"/>
      <c r="U26" s="37">
        <f>Table46[[#This Row],[NET WT KGS]]-Table46[[#This Row],[Refraction]]</f>
        <v>0</v>
      </c>
      <c r="V26" s="38"/>
      <c r="W26" s="38">
        <f>Table46[[#This Row],[PRICE]]*Table46[[#This Row],[PAID WT]]</f>
        <v>0</v>
      </c>
      <c r="X26" s="39">
        <v>7.5</v>
      </c>
      <c r="Y26" s="40">
        <v>170</v>
      </c>
      <c r="Z26" s="39">
        <v>44.7</v>
      </c>
      <c r="AA26" s="41"/>
      <c r="AB26" s="36" t="s">
        <v>178</v>
      </c>
      <c r="AC26" s="42" t="s">
        <v>70</v>
      </c>
      <c r="AD26" s="28"/>
      <c r="AE26" s="18">
        <f>Table46[[#This Row],[MOIS.]]*Table46[[#This Row],[NET WT KGS]]</f>
        <v>0</v>
      </c>
      <c r="AF26" s="18">
        <f>Table46[[#This Row],[KOR]]*Table46[[#This Row],[NET WT KGS]]</f>
        <v>0</v>
      </c>
      <c r="AG26">
        <f>Table46[[#This Row],[NET WT KGS]]*Table46[[#This Row],[NUT COUNT]]</f>
        <v>0</v>
      </c>
      <c r="AJ26" t="s">
        <v>117</v>
      </c>
      <c r="AK26" s="29">
        <v>439596</v>
      </c>
      <c r="AL26" s="1">
        <v>487.5</v>
      </c>
      <c r="AM26" s="1">
        <v>9.3250000000000011</v>
      </c>
      <c r="AN26" s="1">
        <v>174.75</v>
      </c>
      <c r="AO26" s="1">
        <v>45.146666666666668</v>
      </c>
      <c r="AP26" s="30" t="s">
        <v>179</v>
      </c>
      <c r="AQ26" t="str">
        <f>VLOOKUP(AP26,Table46[[#All],[LBA CODE]:[FICHE CODE]],3,0)</f>
        <v>0425-0122</v>
      </c>
      <c r="AS26" s="34" t="s">
        <v>180</v>
      </c>
      <c r="AT26" t="s">
        <v>62</v>
      </c>
      <c r="AU26" s="1">
        <v>106460</v>
      </c>
      <c r="AV26" s="1">
        <v>105025</v>
      </c>
      <c r="BB26" s="1"/>
    </row>
    <row r="27" spans="1:54" x14ac:dyDescent="0.35">
      <c r="A27" s="32">
        <f t="shared" si="1"/>
        <v>25</v>
      </c>
      <c r="B27" s="20">
        <v>46072</v>
      </c>
      <c r="C27" s="20">
        <v>46072</v>
      </c>
      <c r="D27" s="10" t="s">
        <v>38</v>
      </c>
      <c r="E27" s="10" t="s">
        <v>39</v>
      </c>
      <c r="F27" s="10" t="s">
        <v>40</v>
      </c>
      <c r="G27" s="10" t="s">
        <v>41</v>
      </c>
      <c r="H27" s="10" t="s">
        <v>128</v>
      </c>
      <c r="I27" s="10" t="s">
        <v>129</v>
      </c>
      <c r="J27" s="10" t="s">
        <v>181</v>
      </c>
      <c r="K27" s="33" t="s">
        <v>131</v>
      </c>
      <c r="L27" s="10">
        <v>822</v>
      </c>
      <c r="M27" s="10">
        <v>72520</v>
      </c>
      <c r="N27" s="10">
        <v>624</v>
      </c>
      <c r="O27" s="22">
        <f t="shared" si="0"/>
        <v>48660</v>
      </c>
      <c r="P27" s="22">
        <v>48036</v>
      </c>
      <c r="Q27" s="10">
        <v>571</v>
      </c>
      <c r="R27" s="10">
        <v>0</v>
      </c>
      <c r="S27" s="10">
        <v>53</v>
      </c>
      <c r="T27" s="10">
        <f t="shared" ref="T27:T36" si="4">S27*4+R27*8</f>
        <v>212</v>
      </c>
      <c r="U27" s="22">
        <f>Table46[[#This Row],[NET WT KGS]]-Table46[[#This Row],[Refraction]]</f>
        <v>47824</v>
      </c>
      <c r="V27" s="23">
        <v>475</v>
      </c>
      <c r="W27" s="23">
        <f>Table46[[#This Row],[PRICE]]*Table46[[#This Row],[PAID WT]]</f>
        <v>22716400</v>
      </c>
      <c r="X27" s="24">
        <v>8.6</v>
      </c>
      <c r="Y27" s="25">
        <v>180</v>
      </c>
      <c r="Z27" s="24">
        <v>46.28</v>
      </c>
      <c r="AA27" s="26">
        <v>46.81</v>
      </c>
      <c r="AB27" s="10" t="s">
        <v>182</v>
      </c>
      <c r="AC27" s="27"/>
      <c r="AD27" s="28" t="s">
        <v>47</v>
      </c>
      <c r="AE27" s="18">
        <f>Table46[[#This Row],[MOIS.]]*Table46[[#This Row],[NET WT KGS]]</f>
        <v>413109.6</v>
      </c>
      <c r="AF27" s="18">
        <f>Table46[[#This Row],[KOR]]*Table46[[#This Row],[NET WT KGS]]</f>
        <v>2223106.08</v>
      </c>
      <c r="AG27">
        <f>Table46[[#This Row],[NET WT KGS]]*Table46[[#This Row],[NUT COUNT]]</f>
        <v>8646480</v>
      </c>
      <c r="AJ27" t="s">
        <v>122</v>
      </c>
      <c r="AK27" s="29">
        <v>461311</v>
      </c>
      <c r="AL27" s="1">
        <v>490</v>
      </c>
      <c r="AM27" s="1">
        <v>9.6666666666666661</v>
      </c>
      <c r="AN27" s="1">
        <v>175.83333333333334</v>
      </c>
      <c r="AO27" s="1">
        <v>44.787777777777784</v>
      </c>
      <c r="AP27" s="30" t="s">
        <v>183</v>
      </c>
      <c r="AQ27" t="str">
        <f>VLOOKUP(AP27,Table46[[#All],[LBA CODE]:[FICHE CODE]],3,0)</f>
        <v>0426-0386</v>
      </c>
      <c r="AS27" s="34" t="s">
        <v>184</v>
      </c>
      <c r="AT27" t="s">
        <v>62</v>
      </c>
      <c r="AU27" s="1">
        <v>84060</v>
      </c>
      <c r="AV27" s="1">
        <v>82977</v>
      </c>
      <c r="BB27" s="1"/>
    </row>
    <row r="28" spans="1:54" x14ac:dyDescent="0.35">
      <c r="A28" s="32">
        <f t="shared" si="1"/>
        <v>26</v>
      </c>
      <c r="B28" s="20">
        <v>46072</v>
      </c>
      <c r="C28" s="20">
        <v>46072</v>
      </c>
      <c r="D28" s="10" t="s">
        <v>38</v>
      </c>
      <c r="E28" s="10" t="s">
        <v>39</v>
      </c>
      <c r="F28" s="10" t="s">
        <v>40</v>
      </c>
      <c r="G28" s="10" t="s">
        <v>86</v>
      </c>
      <c r="H28" s="10" t="s">
        <v>74</v>
      </c>
      <c r="I28" s="10" t="s">
        <v>75</v>
      </c>
      <c r="J28" s="10" t="s">
        <v>76</v>
      </c>
      <c r="K28" s="33" t="s">
        <v>77</v>
      </c>
      <c r="L28" s="10">
        <v>824</v>
      </c>
      <c r="M28" s="10">
        <v>72614</v>
      </c>
      <c r="N28" s="10">
        <v>541</v>
      </c>
      <c r="O28" s="22">
        <f t="shared" si="0"/>
        <v>47800</v>
      </c>
      <c r="P28" s="22">
        <v>47259</v>
      </c>
      <c r="Q28" s="10">
        <v>504</v>
      </c>
      <c r="R28" s="10">
        <v>0</v>
      </c>
      <c r="S28" s="10">
        <v>37</v>
      </c>
      <c r="T28" s="10">
        <f t="shared" si="4"/>
        <v>148</v>
      </c>
      <c r="U28" s="22">
        <f>Table46[[#This Row],[NET WT KGS]]-Table46[[#This Row],[Refraction]]</f>
        <v>47111</v>
      </c>
      <c r="V28" s="23">
        <v>475</v>
      </c>
      <c r="W28" s="23">
        <f>Table46[[#This Row],[PRICE]]*Table46[[#This Row],[PAID WT]]</f>
        <v>22377725</v>
      </c>
      <c r="X28" s="24">
        <v>9.4</v>
      </c>
      <c r="Y28" s="25">
        <v>163</v>
      </c>
      <c r="Z28" s="24">
        <v>46.46</v>
      </c>
      <c r="AA28" s="26">
        <v>46.11</v>
      </c>
      <c r="AB28" s="10" t="s">
        <v>78</v>
      </c>
      <c r="AC28" s="27"/>
      <c r="AD28" s="28" t="s">
        <v>47</v>
      </c>
      <c r="AE28" s="18">
        <f>Table46[[#This Row],[MOIS.]]*Table46[[#This Row],[NET WT KGS]]</f>
        <v>444234.60000000003</v>
      </c>
      <c r="AF28" s="18">
        <f>Table46[[#This Row],[KOR]]*Table46[[#This Row],[NET WT KGS]]</f>
        <v>2195653.14</v>
      </c>
      <c r="AG28">
        <f>Table46[[#This Row],[NET WT KGS]]*Table46[[#This Row],[NUT COUNT]]</f>
        <v>7703217</v>
      </c>
      <c r="AJ28" t="s">
        <v>127</v>
      </c>
      <c r="AK28" s="29">
        <v>420219</v>
      </c>
      <c r="AL28" s="1">
        <v>488.5</v>
      </c>
      <c r="AM28" s="1">
        <v>9.7588235294117656</v>
      </c>
      <c r="AN28" s="1">
        <v>175.64705882352942</v>
      </c>
      <c r="AO28" s="1">
        <v>44.880588235294113</v>
      </c>
      <c r="AP28" s="30" t="s">
        <v>185</v>
      </c>
      <c r="AQ28">
        <f>VLOOKUP(AP28,Table46[[#All],[LBA CODE]:[FICHE CODE]],3,0)</f>
        <v>0</v>
      </c>
      <c r="AS28" s="34" t="s">
        <v>186</v>
      </c>
      <c r="AT28" t="s">
        <v>62</v>
      </c>
      <c r="AU28" s="1">
        <v>173460</v>
      </c>
      <c r="AV28" s="1">
        <v>171329</v>
      </c>
      <c r="BB28" s="1"/>
    </row>
    <row r="29" spans="1:54" x14ac:dyDescent="0.35">
      <c r="A29" s="32">
        <f t="shared" si="1"/>
        <v>27</v>
      </c>
      <c r="B29" s="20">
        <v>46072</v>
      </c>
      <c r="C29" s="20">
        <v>46072</v>
      </c>
      <c r="D29" s="10" t="s">
        <v>38</v>
      </c>
      <c r="E29" s="10" t="s">
        <v>39</v>
      </c>
      <c r="F29" s="10" t="s">
        <v>40</v>
      </c>
      <c r="G29" s="10" t="s">
        <v>41</v>
      </c>
      <c r="H29" s="10" t="s">
        <v>74</v>
      </c>
      <c r="I29" s="10" t="s">
        <v>75</v>
      </c>
      <c r="J29" s="10" t="s">
        <v>187</v>
      </c>
      <c r="K29" s="33" t="s">
        <v>77</v>
      </c>
      <c r="L29" s="10">
        <v>831</v>
      </c>
      <c r="M29" s="10">
        <v>72613</v>
      </c>
      <c r="N29" s="10">
        <v>521</v>
      </c>
      <c r="O29" s="22">
        <f t="shared" si="0"/>
        <v>45160</v>
      </c>
      <c r="P29" s="22">
        <v>44639</v>
      </c>
      <c r="Q29" s="10">
        <v>497</v>
      </c>
      <c r="R29" s="10">
        <v>0</v>
      </c>
      <c r="S29" s="10">
        <v>24</v>
      </c>
      <c r="T29" s="10">
        <f t="shared" si="4"/>
        <v>96</v>
      </c>
      <c r="U29" s="22">
        <f>Table46[[#This Row],[NET WT KGS]]-Table46[[#This Row],[Refraction]]</f>
        <v>44543</v>
      </c>
      <c r="V29" s="23">
        <v>475</v>
      </c>
      <c r="W29" s="23">
        <f>Table46[[#This Row],[PRICE]]*Table46[[#This Row],[PAID WT]]</f>
        <v>21157925</v>
      </c>
      <c r="X29" s="24">
        <v>9.8000000000000007</v>
      </c>
      <c r="Y29" s="25">
        <v>164</v>
      </c>
      <c r="Z29" s="24">
        <v>46.46</v>
      </c>
      <c r="AA29" s="26">
        <v>46.64</v>
      </c>
      <c r="AB29" s="10" t="s">
        <v>78</v>
      </c>
      <c r="AC29" s="27"/>
      <c r="AD29" s="28" t="s">
        <v>47</v>
      </c>
      <c r="AE29" s="18">
        <f>Table46[[#This Row],[MOIS.]]*Table46[[#This Row],[NET WT KGS]]</f>
        <v>437462.2</v>
      </c>
      <c r="AF29" s="18">
        <f>Table46[[#This Row],[KOR]]*Table46[[#This Row],[NET WT KGS]]</f>
        <v>2073927.94</v>
      </c>
      <c r="AG29">
        <f>Table46[[#This Row],[NET WT KGS]]*Table46[[#This Row],[NUT COUNT]]</f>
        <v>7320796</v>
      </c>
      <c r="AJ29" t="s">
        <v>135</v>
      </c>
      <c r="AK29" s="29">
        <v>474470</v>
      </c>
      <c r="AL29" s="1">
        <v>490.5</v>
      </c>
      <c r="AM29" s="1">
        <v>10.194444444444445</v>
      </c>
      <c r="AN29" s="1">
        <v>172.5</v>
      </c>
      <c r="AO29" s="1">
        <v>44.748333333333342</v>
      </c>
      <c r="AP29" s="30" t="s">
        <v>188</v>
      </c>
      <c r="AQ29" t="str">
        <f>VLOOKUP(AP29,Table46[[#All],[LBA CODE]:[FICHE CODE]],3,0)</f>
        <v>0325-0065</v>
      </c>
      <c r="AS29" s="34" t="s">
        <v>189</v>
      </c>
      <c r="AT29" t="s">
        <v>62</v>
      </c>
      <c r="AU29" s="1">
        <v>42860</v>
      </c>
      <c r="AV29" s="1">
        <v>42285</v>
      </c>
    </row>
    <row r="30" spans="1:54" x14ac:dyDescent="0.35">
      <c r="A30" s="32">
        <f t="shared" si="1"/>
        <v>28</v>
      </c>
      <c r="B30" s="20">
        <v>46072</v>
      </c>
      <c r="C30" s="20">
        <v>46072</v>
      </c>
      <c r="D30" s="10" t="s">
        <v>38</v>
      </c>
      <c r="E30" s="10" t="s">
        <v>39</v>
      </c>
      <c r="F30" s="10" t="s">
        <v>40</v>
      </c>
      <c r="G30" s="10" t="s">
        <v>41</v>
      </c>
      <c r="H30" s="10" t="s">
        <v>136</v>
      </c>
      <c r="I30" s="10" t="s">
        <v>137</v>
      </c>
      <c r="J30" s="10" t="s">
        <v>190</v>
      </c>
      <c r="K30" s="21" t="s">
        <v>139</v>
      </c>
      <c r="L30" s="10">
        <v>818</v>
      </c>
      <c r="M30" s="10">
        <v>72566</v>
      </c>
      <c r="N30" s="10">
        <v>457</v>
      </c>
      <c r="O30" s="22">
        <v>40820</v>
      </c>
      <c r="P30" s="22">
        <v>40363</v>
      </c>
      <c r="Q30" s="10">
        <v>454</v>
      </c>
      <c r="R30" s="10">
        <v>0</v>
      </c>
      <c r="S30" s="10">
        <v>3</v>
      </c>
      <c r="T30" s="10">
        <f t="shared" si="4"/>
        <v>12</v>
      </c>
      <c r="U30" s="22">
        <f>Table46[[#This Row],[NET WT KGS]]-Table46[[#This Row],[Refraction]]</f>
        <v>40351</v>
      </c>
      <c r="V30" s="23">
        <v>470</v>
      </c>
      <c r="W30" s="23">
        <f>Table46[[#This Row],[PRICE]]*Table46[[#This Row],[PAID WT]]</f>
        <v>18964970</v>
      </c>
      <c r="X30" s="24">
        <v>9.4</v>
      </c>
      <c r="Y30" s="25">
        <v>178</v>
      </c>
      <c r="Z30" s="24">
        <v>47.69</v>
      </c>
      <c r="AA30" s="26">
        <v>47.16</v>
      </c>
      <c r="AB30" s="10" t="s">
        <v>140</v>
      </c>
      <c r="AC30" s="27"/>
      <c r="AD30" s="28" t="s">
        <v>47</v>
      </c>
      <c r="AE30" s="18">
        <f>Table46[[#This Row],[MOIS.]]*Table46[[#This Row],[NET WT KGS]]</f>
        <v>379412.2</v>
      </c>
      <c r="AF30" s="18">
        <f>Table46[[#This Row],[KOR]]*Table46[[#This Row],[NET WT KGS]]</f>
        <v>1924911.47</v>
      </c>
      <c r="AG30">
        <f>Table46[[#This Row],[NET WT KGS]]*Table46[[#This Row],[NUT COUNT]]</f>
        <v>7184614</v>
      </c>
      <c r="AJ30" t="s">
        <v>144</v>
      </c>
      <c r="AK30" s="29">
        <v>290476</v>
      </c>
      <c r="AL30" s="1">
        <v>488.57142857142856</v>
      </c>
      <c r="AM30" s="1">
        <v>10.466666666666667</v>
      </c>
      <c r="AN30" s="1">
        <v>171.11111111111111</v>
      </c>
      <c r="AO30" s="1">
        <v>45.312222222222218</v>
      </c>
      <c r="AP30" s="30" t="s">
        <v>191</v>
      </c>
      <c r="AQ30" t="str">
        <f>VLOOKUP(AP30,Table46[[#All],[LBA CODE]:[FICHE CODE]],3,0)</f>
        <v>0429-0462</v>
      </c>
      <c r="AS30" s="34" t="s">
        <v>192</v>
      </c>
      <c r="AT30" t="s">
        <v>62</v>
      </c>
      <c r="AU30" s="1">
        <v>46120</v>
      </c>
      <c r="AV30" s="1">
        <v>45590</v>
      </c>
    </row>
    <row r="31" spans="1:54" x14ac:dyDescent="0.35">
      <c r="A31" s="32">
        <f t="shared" si="1"/>
        <v>29</v>
      </c>
      <c r="B31" s="20">
        <v>46072</v>
      </c>
      <c r="C31" s="20">
        <v>46072</v>
      </c>
      <c r="D31" s="10" t="s">
        <v>38</v>
      </c>
      <c r="E31" s="10" t="s">
        <v>39</v>
      </c>
      <c r="F31" s="10" t="s">
        <v>40</v>
      </c>
      <c r="G31" s="10" t="s">
        <v>86</v>
      </c>
      <c r="H31" s="10" t="s">
        <v>193</v>
      </c>
      <c r="I31" s="10" t="s">
        <v>194</v>
      </c>
      <c r="J31" s="10" t="s">
        <v>195</v>
      </c>
      <c r="K31" s="33" t="s">
        <v>196</v>
      </c>
      <c r="L31" s="10">
        <v>823</v>
      </c>
      <c r="M31" s="10">
        <v>72553</v>
      </c>
      <c r="N31" s="10">
        <v>562</v>
      </c>
      <c r="O31" s="22">
        <f t="shared" ref="O31:O94" si="5">P31+N31</f>
        <v>44040</v>
      </c>
      <c r="P31" s="22">
        <v>43478</v>
      </c>
      <c r="Q31" s="10">
        <v>543</v>
      </c>
      <c r="R31" s="10">
        <v>0</v>
      </c>
      <c r="S31" s="10">
        <v>19</v>
      </c>
      <c r="T31" s="10">
        <f t="shared" si="4"/>
        <v>76</v>
      </c>
      <c r="U31" s="22">
        <f>Table46[[#This Row],[NET WT KGS]]-Table46[[#This Row],[Refraction]]</f>
        <v>43402</v>
      </c>
      <c r="V31" s="23">
        <v>475</v>
      </c>
      <c r="W31" s="23">
        <f>Table46[[#This Row],[PRICE]]*Table46[[#This Row],[PAID WT]]</f>
        <v>20615950</v>
      </c>
      <c r="X31" s="24">
        <v>8.1999999999999993</v>
      </c>
      <c r="Y31" s="25">
        <v>178</v>
      </c>
      <c r="Z31" s="24">
        <v>47.52</v>
      </c>
      <c r="AA31" s="26">
        <v>48.04</v>
      </c>
      <c r="AB31" s="10" t="s">
        <v>132</v>
      </c>
      <c r="AC31" s="27"/>
      <c r="AD31" s="28" t="s">
        <v>47</v>
      </c>
      <c r="AE31" s="18">
        <f>Table46[[#This Row],[MOIS.]]*Table46[[#This Row],[NET WT KGS]]</f>
        <v>356519.6</v>
      </c>
      <c r="AF31" s="18">
        <f>Table46[[#This Row],[KOR]]*Table46[[#This Row],[NET WT KGS]]</f>
        <v>2066074.56</v>
      </c>
      <c r="AG31">
        <f>Table46[[#This Row],[NET WT KGS]]*Table46[[#This Row],[NUT COUNT]]</f>
        <v>7739084</v>
      </c>
      <c r="AJ31" t="s">
        <v>148</v>
      </c>
      <c r="AK31" s="29">
        <v>202149</v>
      </c>
      <c r="AL31" s="1">
        <v>487</v>
      </c>
      <c r="AM31" s="1">
        <v>9.9555555555555557</v>
      </c>
      <c r="AN31" s="1">
        <v>177.11111111111111</v>
      </c>
      <c r="AO31" s="1">
        <v>43.846666666666664</v>
      </c>
      <c r="AP31" s="30" t="s">
        <v>197</v>
      </c>
      <c r="AQ31" t="str">
        <f>VLOOKUP(AP31,Table46[[#All],[LBA CODE]:[FICHE CODE]],3,0)</f>
        <v>0426-0321</v>
      </c>
      <c r="AS31" s="34" t="s">
        <v>198</v>
      </c>
      <c r="AT31" t="s">
        <v>62</v>
      </c>
      <c r="AU31" s="1">
        <v>94640</v>
      </c>
      <c r="AV31" s="1">
        <v>93352</v>
      </c>
    </row>
    <row r="32" spans="1:54" x14ac:dyDescent="0.35">
      <c r="A32" s="32">
        <f t="shared" si="1"/>
        <v>30</v>
      </c>
      <c r="B32" s="20">
        <v>46072</v>
      </c>
      <c r="C32" s="20">
        <v>46072</v>
      </c>
      <c r="D32" s="10" t="s">
        <v>38</v>
      </c>
      <c r="E32" s="10" t="s">
        <v>39</v>
      </c>
      <c r="F32" s="10" t="s">
        <v>40</v>
      </c>
      <c r="G32" s="10" t="s">
        <v>41</v>
      </c>
      <c r="H32" s="10" t="s">
        <v>54</v>
      </c>
      <c r="I32" s="10" t="s">
        <v>55</v>
      </c>
      <c r="J32" s="10" t="s">
        <v>199</v>
      </c>
      <c r="K32" s="33" t="s">
        <v>57</v>
      </c>
      <c r="L32" s="10">
        <v>833</v>
      </c>
      <c r="M32" s="10">
        <v>72537</v>
      </c>
      <c r="N32" s="10">
        <v>494</v>
      </c>
      <c r="O32" s="22">
        <f t="shared" si="5"/>
        <v>40340</v>
      </c>
      <c r="P32" s="22">
        <v>39846</v>
      </c>
      <c r="Q32" s="10">
        <v>481</v>
      </c>
      <c r="R32" s="10">
        <v>0</v>
      </c>
      <c r="S32" s="10">
        <v>13</v>
      </c>
      <c r="T32" s="10">
        <f t="shared" si="4"/>
        <v>52</v>
      </c>
      <c r="U32" s="22">
        <f>Table46[[#This Row],[NET WT KGS]]-Table46[[#This Row],[Refraction]]</f>
        <v>39794</v>
      </c>
      <c r="V32" s="23">
        <v>490</v>
      </c>
      <c r="W32" s="23">
        <f>Table46[[#This Row],[PRICE]]*Table46[[#This Row],[PAID WT]]</f>
        <v>19499060</v>
      </c>
      <c r="X32" s="24">
        <v>9.4</v>
      </c>
      <c r="Y32" s="25">
        <v>166</v>
      </c>
      <c r="Z32" s="24">
        <v>46.81</v>
      </c>
      <c r="AA32" s="26">
        <v>47.16</v>
      </c>
      <c r="AB32" s="10" t="s">
        <v>58</v>
      </c>
      <c r="AC32" s="27"/>
      <c r="AD32" s="28" t="s">
        <v>47</v>
      </c>
      <c r="AE32" s="18">
        <f>Table46[[#This Row],[MOIS.]]*Table46[[#This Row],[NET WT KGS]]</f>
        <v>374552.4</v>
      </c>
      <c r="AF32" s="18">
        <f>Table46[[#This Row],[KOR]]*Table46[[#This Row],[NET WT KGS]]</f>
        <v>1865191.26</v>
      </c>
      <c r="AG32">
        <f>Table46[[#This Row],[NET WT KGS]]*Table46[[#This Row],[NUT COUNT]]</f>
        <v>6614436</v>
      </c>
      <c r="AJ32" t="s">
        <v>153</v>
      </c>
      <c r="AK32" s="29">
        <v>400318</v>
      </c>
      <c r="AL32" s="1">
        <v>489.5</v>
      </c>
      <c r="AM32" s="1">
        <v>10.219999999999999</v>
      </c>
      <c r="AN32" s="1">
        <v>174.66666666666666</v>
      </c>
      <c r="AO32" s="1">
        <v>44.710666666666661</v>
      </c>
      <c r="AP32" s="30" t="s">
        <v>200</v>
      </c>
      <c r="AQ32" t="str">
        <f>VLOOKUP(AP32,Table46[[#All],[LBA CODE]:[FICHE CODE]],3,0)</f>
        <v>0326-0159</v>
      </c>
      <c r="AS32" s="34" t="s">
        <v>201</v>
      </c>
      <c r="AT32" t="s">
        <v>62</v>
      </c>
      <c r="AU32" s="1">
        <v>45700</v>
      </c>
      <c r="AV32" s="1">
        <v>45172</v>
      </c>
    </row>
    <row r="33" spans="1:48" x14ac:dyDescent="0.35">
      <c r="A33" s="32">
        <f t="shared" si="1"/>
        <v>31</v>
      </c>
      <c r="B33" s="20">
        <v>46072</v>
      </c>
      <c r="C33" s="20">
        <v>46072</v>
      </c>
      <c r="D33" s="10" t="s">
        <v>38</v>
      </c>
      <c r="E33" s="10" t="s">
        <v>39</v>
      </c>
      <c r="F33" s="10" t="s">
        <v>40</v>
      </c>
      <c r="G33" s="10" t="s">
        <v>86</v>
      </c>
      <c r="H33" s="10" t="s">
        <v>202</v>
      </c>
      <c r="I33" s="10" t="s">
        <v>203</v>
      </c>
      <c r="J33" s="10" t="s">
        <v>204</v>
      </c>
      <c r="K33" s="33" t="s">
        <v>205</v>
      </c>
      <c r="L33" s="10">
        <v>825</v>
      </c>
      <c r="M33" s="10">
        <v>72549</v>
      </c>
      <c r="N33" s="10">
        <v>510</v>
      </c>
      <c r="O33" s="22">
        <f t="shared" si="5"/>
        <v>43860</v>
      </c>
      <c r="P33" s="22">
        <v>43350</v>
      </c>
      <c r="Q33" s="10">
        <v>498</v>
      </c>
      <c r="R33" s="10">
        <v>0</v>
      </c>
      <c r="S33" s="10">
        <v>12</v>
      </c>
      <c r="T33" s="10">
        <f t="shared" si="4"/>
        <v>48</v>
      </c>
      <c r="U33" s="22">
        <f>Table46[[#This Row],[NET WT KGS]]-Table46[[#This Row],[Refraction]]</f>
        <v>43302</v>
      </c>
      <c r="V33" s="23">
        <v>470</v>
      </c>
      <c r="W33" s="23">
        <f>Table46[[#This Row],[PRICE]]*Table46[[#This Row],[PAID WT]]</f>
        <v>20351940</v>
      </c>
      <c r="X33" s="24">
        <v>8.6999999999999993</v>
      </c>
      <c r="Y33" s="25">
        <v>178</v>
      </c>
      <c r="Z33" s="24">
        <v>46.99</v>
      </c>
      <c r="AA33" s="26">
        <v>47.34</v>
      </c>
      <c r="AB33" s="10" t="s">
        <v>46</v>
      </c>
      <c r="AC33" s="27"/>
      <c r="AD33" s="28" t="s">
        <v>47</v>
      </c>
      <c r="AE33" s="18">
        <f>Table46[[#This Row],[MOIS.]]*Table46[[#This Row],[NET WT KGS]]</f>
        <v>377144.99999999994</v>
      </c>
      <c r="AF33" s="18">
        <f>Table46[[#This Row],[KOR]]*Table46[[#This Row],[NET WT KGS]]</f>
        <v>2037016.5</v>
      </c>
      <c r="AG33">
        <f>Table46[[#This Row],[NET WT KGS]]*Table46[[#This Row],[NUT COUNT]]</f>
        <v>7716300</v>
      </c>
      <c r="AJ33" t="s">
        <v>159</v>
      </c>
      <c r="AK33" s="29">
        <v>319088</v>
      </c>
      <c r="AL33" s="1">
        <v>487.5</v>
      </c>
      <c r="AM33" s="1">
        <v>10.385714285714288</v>
      </c>
      <c r="AN33" s="1">
        <v>172.85714285714286</v>
      </c>
      <c r="AO33" s="1">
        <v>44.249285714285712</v>
      </c>
      <c r="AP33" s="30" t="s">
        <v>206</v>
      </c>
      <c r="AQ33" t="str">
        <f>VLOOKUP(AP33,Table46[[#All],[LBA CODE]:[FICHE CODE]],3,0)</f>
        <v>0426-0123</v>
      </c>
      <c r="AS33" s="34" t="s">
        <v>207</v>
      </c>
      <c r="AT33" t="s">
        <v>62</v>
      </c>
      <c r="AU33" s="1">
        <v>83540</v>
      </c>
      <c r="AV33" s="1">
        <v>82402</v>
      </c>
    </row>
    <row r="34" spans="1:48" x14ac:dyDescent="0.35">
      <c r="A34" s="32">
        <f t="shared" si="1"/>
        <v>32</v>
      </c>
      <c r="B34" s="20">
        <v>46072</v>
      </c>
      <c r="C34" s="20">
        <v>46072</v>
      </c>
      <c r="D34" s="10" t="s">
        <v>38</v>
      </c>
      <c r="E34" s="10" t="s">
        <v>39</v>
      </c>
      <c r="F34" s="10" t="s">
        <v>40</v>
      </c>
      <c r="G34" s="10" t="s">
        <v>41</v>
      </c>
      <c r="H34" s="10" t="s">
        <v>94</v>
      </c>
      <c r="I34" s="10" t="s">
        <v>95</v>
      </c>
      <c r="J34" s="10" t="s">
        <v>208</v>
      </c>
      <c r="K34" s="33" t="s">
        <v>97</v>
      </c>
      <c r="L34" s="10">
        <v>828</v>
      </c>
      <c r="M34" s="10">
        <v>72546</v>
      </c>
      <c r="N34" s="10">
        <v>479</v>
      </c>
      <c r="O34" s="22">
        <f t="shared" si="5"/>
        <v>41161</v>
      </c>
      <c r="P34" s="22">
        <v>40682</v>
      </c>
      <c r="Q34" s="10">
        <v>463</v>
      </c>
      <c r="R34" s="10">
        <v>0</v>
      </c>
      <c r="S34" s="10">
        <v>16</v>
      </c>
      <c r="T34" s="10">
        <f t="shared" si="4"/>
        <v>64</v>
      </c>
      <c r="U34" s="22">
        <f>Table46[[#This Row],[NET WT KGS]]-Table46[[#This Row],[Refraction]]</f>
        <v>40618</v>
      </c>
      <c r="V34" s="23">
        <v>470</v>
      </c>
      <c r="W34" s="23">
        <f>Table46[[#This Row],[PRICE]]*Table46[[#This Row],[PAID WT]]</f>
        <v>19090460</v>
      </c>
      <c r="X34" s="24">
        <v>10.6</v>
      </c>
      <c r="Y34" s="25">
        <v>162</v>
      </c>
      <c r="Z34" s="24">
        <v>46.46</v>
      </c>
      <c r="AA34" s="26"/>
      <c r="AB34" s="10" t="s">
        <v>78</v>
      </c>
      <c r="AC34" s="27"/>
      <c r="AD34" s="28" t="s">
        <v>47</v>
      </c>
      <c r="AE34" s="18">
        <f>Table46[[#This Row],[MOIS.]]*Table46[[#This Row],[NET WT KGS]]</f>
        <v>431229.2</v>
      </c>
      <c r="AF34" s="18">
        <f>Table46[[#This Row],[KOR]]*Table46[[#This Row],[NET WT KGS]]</f>
        <v>1890085.72</v>
      </c>
      <c r="AG34">
        <f>Table46[[#This Row],[NET WT KGS]]*Table46[[#This Row],[NUT COUNT]]</f>
        <v>6590484</v>
      </c>
      <c r="AJ34" t="s">
        <v>163</v>
      </c>
      <c r="AK34" s="29">
        <v>386851</v>
      </c>
      <c r="AL34" s="1">
        <v>487.22222222222223</v>
      </c>
      <c r="AM34" s="1">
        <v>10.609090909090908</v>
      </c>
      <c r="AN34" s="1">
        <v>172.63636363636363</v>
      </c>
      <c r="AO34" s="1">
        <v>44.76</v>
      </c>
      <c r="AP34" s="30" t="s">
        <v>209</v>
      </c>
      <c r="AQ34" t="str">
        <f>VLOOKUP(AP34,Table46[[#All],[LBA CODE]:[FICHE CODE]],3,0)</f>
        <v>0426-0429</v>
      </c>
      <c r="AS34" s="34" t="s">
        <v>210</v>
      </c>
      <c r="AT34" t="s">
        <v>62</v>
      </c>
      <c r="AU34" s="1">
        <v>222540</v>
      </c>
      <c r="AV34" s="1">
        <v>219716</v>
      </c>
    </row>
    <row r="35" spans="1:48" x14ac:dyDescent="0.35">
      <c r="A35" s="32">
        <f t="shared" si="1"/>
        <v>33</v>
      </c>
      <c r="B35" s="20">
        <v>46072</v>
      </c>
      <c r="C35" s="20">
        <v>46072</v>
      </c>
      <c r="D35" s="10" t="s">
        <v>38</v>
      </c>
      <c r="E35" s="10" t="s">
        <v>39</v>
      </c>
      <c r="F35" s="10" t="s">
        <v>40</v>
      </c>
      <c r="G35" s="10" t="s">
        <v>86</v>
      </c>
      <c r="H35" s="10" t="s">
        <v>112</v>
      </c>
      <c r="I35" s="10" t="s">
        <v>113</v>
      </c>
      <c r="J35" s="10" t="s">
        <v>211</v>
      </c>
      <c r="K35" s="21" t="s">
        <v>115</v>
      </c>
      <c r="L35" s="10">
        <v>834</v>
      </c>
      <c r="M35" s="10">
        <v>72563</v>
      </c>
      <c r="N35" s="10">
        <v>490</v>
      </c>
      <c r="O35" s="22">
        <f t="shared" si="5"/>
        <v>41140</v>
      </c>
      <c r="P35" s="22">
        <v>40650</v>
      </c>
      <c r="Q35" s="10">
        <v>472</v>
      </c>
      <c r="R35" s="10">
        <v>0</v>
      </c>
      <c r="S35" s="10">
        <v>18</v>
      </c>
      <c r="T35" s="10">
        <f t="shared" si="4"/>
        <v>72</v>
      </c>
      <c r="U35" s="22">
        <f>Table46[[#This Row],[NET WT KGS]]-Table46[[#This Row],[Refraction]]</f>
        <v>40578</v>
      </c>
      <c r="V35" s="23">
        <v>470</v>
      </c>
      <c r="W35" s="23">
        <f>Table46[[#This Row],[PRICE]]*Table46[[#This Row],[PAID WT]]</f>
        <v>19071660</v>
      </c>
      <c r="X35" s="24">
        <v>9.6</v>
      </c>
      <c r="Y35" s="25">
        <v>173</v>
      </c>
      <c r="Z35" s="24">
        <v>47.34</v>
      </c>
      <c r="AA35" s="26">
        <v>47.87</v>
      </c>
      <c r="AB35" s="10" t="s">
        <v>212</v>
      </c>
      <c r="AC35" s="27"/>
      <c r="AD35" s="28" t="s">
        <v>47</v>
      </c>
      <c r="AE35" s="18">
        <f>Table46[[#This Row],[MOIS.]]*Table46[[#This Row],[NET WT KGS]]</f>
        <v>390240</v>
      </c>
      <c r="AF35" s="18">
        <f>Table46[[#This Row],[KOR]]*Table46[[#This Row],[NET WT KGS]]</f>
        <v>1924371.0000000002</v>
      </c>
      <c r="AG35">
        <f>Table46[[#This Row],[NET WT KGS]]*Table46[[#This Row],[NUT COUNT]]</f>
        <v>7032450</v>
      </c>
      <c r="AJ35" t="s">
        <v>166</v>
      </c>
      <c r="AK35" s="29">
        <v>299576</v>
      </c>
      <c r="AL35" s="1">
        <v>490.71428571428572</v>
      </c>
      <c r="AM35" s="1">
        <v>9.4249999999999989</v>
      </c>
      <c r="AN35" s="1">
        <v>181.25</v>
      </c>
      <c r="AO35" s="1">
        <v>45.407499999999999</v>
      </c>
      <c r="AP35" s="30" t="s">
        <v>213</v>
      </c>
      <c r="AQ35">
        <f>VLOOKUP(AP35,Table46[[#All],[LBA CODE]:[FICHE CODE]],3,0)</f>
        <v>0</v>
      </c>
      <c r="AS35" s="34" t="s">
        <v>214</v>
      </c>
      <c r="AT35" t="s">
        <v>62</v>
      </c>
      <c r="AU35" s="1">
        <v>37160</v>
      </c>
      <c r="AV35" s="1">
        <v>36706</v>
      </c>
    </row>
    <row r="36" spans="1:48" x14ac:dyDescent="0.35">
      <c r="A36" s="32">
        <f t="shared" si="1"/>
        <v>34</v>
      </c>
      <c r="B36" s="20">
        <v>46072</v>
      </c>
      <c r="C36" s="20">
        <v>46072</v>
      </c>
      <c r="D36" s="10" t="s">
        <v>38</v>
      </c>
      <c r="E36" s="10" t="s">
        <v>39</v>
      </c>
      <c r="F36" s="10" t="s">
        <v>40</v>
      </c>
      <c r="G36" s="10" t="s">
        <v>86</v>
      </c>
      <c r="H36" s="10" t="s">
        <v>215</v>
      </c>
      <c r="I36" s="10" t="s">
        <v>216</v>
      </c>
      <c r="J36" s="10" t="s">
        <v>217</v>
      </c>
      <c r="K36" s="33" t="s">
        <v>218</v>
      </c>
      <c r="L36" s="10">
        <v>826</v>
      </c>
      <c r="M36" s="10">
        <v>72604</v>
      </c>
      <c r="N36" s="10">
        <v>469</v>
      </c>
      <c r="O36" s="22">
        <f t="shared" si="5"/>
        <v>40420</v>
      </c>
      <c r="P36" s="22">
        <v>39951</v>
      </c>
      <c r="Q36" s="10">
        <v>453</v>
      </c>
      <c r="R36" s="10">
        <v>0</v>
      </c>
      <c r="S36" s="10">
        <v>16</v>
      </c>
      <c r="T36" s="10">
        <f t="shared" si="4"/>
        <v>64</v>
      </c>
      <c r="U36" s="22">
        <f>Table46[[#This Row],[NET WT KGS]]-Table46[[#This Row],[Refraction]]</f>
        <v>39887</v>
      </c>
      <c r="V36" s="23">
        <v>470</v>
      </c>
      <c r="W36" s="23">
        <f>Table46[[#This Row],[PRICE]]*Table46[[#This Row],[PAID WT]]</f>
        <v>18746890</v>
      </c>
      <c r="X36" s="24">
        <v>8.3000000000000007</v>
      </c>
      <c r="Y36" s="25">
        <v>176</v>
      </c>
      <c r="Z36" s="24">
        <v>47.16</v>
      </c>
      <c r="AA36" s="26">
        <v>47.08</v>
      </c>
      <c r="AB36" s="10" t="s">
        <v>40</v>
      </c>
      <c r="AC36" s="27"/>
      <c r="AD36" s="28" t="s">
        <v>47</v>
      </c>
      <c r="AE36" s="18">
        <f>Table46[[#This Row],[MOIS.]]*Table46[[#This Row],[NET WT KGS]]</f>
        <v>331593.30000000005</v>
      </c>
      <c r="AF36" s="18">
        <f>Table46[[#This Row],[KOR]]*Table46[[#This Row],[NET WT KGS]]</f>
        <v>1884089.16</v>
      </c>
      <c r="AG36">
        <f>Table46[[#This Row],[NET WT KGS]]*Table46[[#This Row],[NUT COUNT]]</f>
        <v>7031376</v>
      </c>
      <c r="AJ36" t="s">
        <v>169</v>
      </c>
      <c r="AK36" s="29">
        <v>80392</v>
      </c>
      <c r="AL36" s="1">
        <v>487.5</v>
      </c>
      <c r="AM36" s="1">
        <v>9.9500000000000011</v>
      </c>
      <c r="AN36" s="1">
        <v>178.25</v>
      </c>
      <c r="AO36" s="1">
        <v>44.192499999999995</v>
      </c>
      <c r="AP36" s="30" t="s">
        <v>219</v>
      </c>
      <c r="AQ36" t="str">
        <f>VLOOKUP(AP36,Table46[[#All],[LBA CODE]:[FICHE CODE]],3,0)</f>
        <v>0401-0057</v>
      </c>
      <c r="AS36" s="34" t="s">
        <v>220</v>
      </c>
      <c r="AT36" t="s">
        <v>62</v>
      </c>
      <c r="AU36" s="1">
        <v>77240</v>
      </c>
      <c r="AV36" s="1">
        <v>76170</v>
      </c>
    </row>
    <row r="37" spans="1:48" x14ac:dyDescent="0.35">
      <c r="A37" s="32">
        <f t="shared" si="1"/>
        <v>35</v>
      </c>
      <c r="B37" s="35">
        <v>46072</v>
      </c>
      <c r="C37" s="35">
        <f>Table46[[#This Row],[DATE OF ARRIVAL]]</f>
        <v>46072</v>
      </c>
      <c r="D37" s="36" t="s">
        <v>38</v>
      </c>
      <c r="E37" s="36" t="s">
        <v>39</v>
      </c>
      <c r="F37" s="36" t="s">
        <v>40</v>
      </c>
      <c r="G37" s="36"/>
      <c r="H37" s="36" t="s">
        <v>123</v>
      </c>
      <c r="I37" s="36" t="s">
        <v>124</v>
      </c>
      <c r="J37" s="36" t="s">
        <v>221</v>
      </c>
      <c r="K37" s="36"/>
      <c r="L37" s="36"/>
      <c r="M37" s="36"/>
      <c r="N37" s="36">
        <v>0</v>
      </c>
      <c r="O37" s="37">
        <f t="shared" si="5"/>
        <v>0</v>
      </c>
      <c r="P37" s="37"/>
      <c r="Q37" s="36"/>
      <c r="R37" s="36"/>
      <c r="S37" s="36"/>
      <c r="T37" s="36"/>
      <c r="U37" s="37">
        <f>Table46[[#This Row],[NET WT KGS]]-Table46[[#This Row],[Refraction]]</f>
        <v>0</v>
      </c>
      <c r="V37" s="38"/>
      <c r="W37" s="38">
        <f>Table46[[#This Row],[PRICE]]*Table46[[#This Row],[PAID WT]]</f>
        <v>0</v>
      </c>
      <c r="X37" s="39">
        <v>8.5</v>
      </c>
      <c r="Y37" s="40">
        <v>181</v>
      </c>
      <c r="Z37" s="39">
        <v>45.4</v>
      </c>
      <c r="AA37" s="41"/>
      <c r="AB37" s="36" t="s">
        <v>40</v>
      </c>
      <c r="AC37" s="42" t="s">
        <v>70</v>
      </c>
      <c r="AD37" s="28"/>
      <c r="AE37" s="18">
        <f>Table46[[#This Row],[MOIS.]]*Table46[[#This Row],[NET WT KGS]]</f>
        <v>0</v>
      </c>
      <c r="AF37" s="18">
        <f>Table46[[#This Row],[KOR]]*Table46[[#This Row],[NET WT KGS]]</f>
        <v>0</v>
      </c>
      <c r="AG37">
        <f>Table46[[#This Row],[NET WT KGS]]*Table46[[#This Row],[NUT COUNT]]</f>
        <v>0</v>
      </c>
      <c r="AJ37" t="s">
        <v>173</v>
      </c>
      <c r="AK37" s="29">
        <v>127877</v>
      </c>
      <c r="AL37" s="1">
        <v>485</v>
      </c>
      <c r="AM37" s="1">
        <v>9.3666666666666654</v>
      </c>
      <c r="AN37" s="1">
        <v>177</v>
      </c>
      <c r="AO37" s="1">
        <v>44.793333333333329</v>
      </c>
      <c r="AP37" s="30" t="s">
        <v>222</v>
      </c>
      <c r="AQ37" t="str">
        <f>VLOOKUP(AP37,Table46[[#All],[LBA CODE]:[FICHE CODE]],3,0)</f>
        <v>0331-0083</v>
      </c>
      <c r="AS37" s="34" t="s">
        <v>223</v>
      </c>
      <c r="AT37" t="s">
        <v>62</v>
      </c>
      <c r="AU37" s="1">
        <v>101170</v>
      </c>
      <c r="AV37" s="1">
        <v>99856</v>
      </c>
    </row>
    <row r="38" spans="1:48" x14ac:dyDescent="0.35">
      <c r="A38" s="32">
        <f t="shared" si="1"/>
        <v>36</v>
      </c>
      <c r="B38" s="20">
        <v>46073</v>
      </c>
      <c r="C38" s="20">
        <v>46073</v>
      </c>
      <c r="D38" s="10" t="s">
        <v>38</v>
      </c>
      <c r="E38" s="10" t="s">
        <v>39</v>
      </c>
      <c r="F38" s="10" t="s">
        <v>40</v>
      </c>
      <c r="G38" s="10" t="s">
        <v>86</v>
      </c>
      <c r="H38" s="10" t="s">
        <v>128</v>
      </c>
      <c r="I38" s="10" t="s">
        <v>129</v>
      </c>
      <c r="J38" s="10" t="s">
        <v>224</v>
      </c>
      <c r="K38" s="33" t="s">
        <v>131</v>
      </c>
      <c r="L38" s="10">
        <v>830</v>
      </c>
      <c r="M38" s="10">
        <v>72516</v>
      </c>
      <c r="N38" s="10">
        <v>649</v>
      </c>
      <c r="O38" s="22">
        <f t="shared" si="5"/>
        <v>50940</v>
      </c>
      <c r="P38" s="22">
        <v>50291</v>
      </c>
      <c r="Q38" s="10">
        <v>615</v>
      </c>
      <c r="R38" s="10"/>
      <c r="S38" s="10">
        <v>34</v>
      </c>
      <c r="T38" s="10">
        <f t="shared" ref="T38:T44" si="6">S38*4+R38*40</f>
        <v>136</v>
      </c>
      <c r="U38" s="22">
        <f>Table46[[#This Row],[NET WT KGS]]-Table46[[#This Row],[Refraction]]</f>
        <v>50155</v>
      </c>
      <c r="V38" s="46">
        <v>475</v>
      </c>
      <c r="W38" s="23">
        <f>Table46[[#This Row],[PRICE]]*Table46[[#This Row],[PAID WT]]</f>
        <v>23823625</v>
      </c>
      <c r="X38" s="24">
        <v>9.1999999999999993</v>
      </c>
      <c r="Y38" s="25">
        <v>182</v>
      </c>
      <c r="Z38" s="24">
        <v>48.02</v>
      </c>
      <c r="AA38" s="26">
        <v>48.22</v>
      </c>
      <c r="AB38" s="10" t="s">
        <v>132</v>
      </c>
      <c r="AC38" s="27"/>
      <c r="AD38" s="28" t="s">
        <v>47</v>
      </c>
      <c r="AE38" s="18">
        <f>Table46[[#This Row],[MOIS.]]*Table46[[#This Row],[NET WT KGS]]</f>
        <v>462677.19999999995</v>
      </c>
      <c r="AF38" s="18">
        <f>Table46[[#This Row],[KOR]]*Table46[[#This Row],[NET WT KGS]]</f>
        <v>2414973.8200000003</v>
      </c>
      <c r="AG38">
        <f>Table46[[#This Row],[NET WT KGS]]*Table46[[#This Row],[NUT COUNT]]</f>
        <v>9152962</v>
      </c>
      <c r="AJ38" t="s">
        <v>176</v>
      </c>
      <c r="AK38" s="29">
        <v>266495</v>
      </c>
      <c r="AL38" s="1">
        <v>487.14285714285717</v>
      </c>
      <c r="AM38" s="1">
        <v>10.227272727272727</v>
      </c>
      <c r="AN38" s="1">
        <v>170.63636363636363</v>
      </c>
      <c r="AO38" s="1">
        <v>44.32</v>
      </c>
      <c r="AP38" s="30" t="s">
        <v>225</v>
      </c>
      <c r="AQ38">
        <f>VLOOKUP(AP38,Table46[[#All],[LBA CODE]:[FICHE CODE]],3,0)</f>
        <v>0</v>
      </c>
      <c r="AS38" s="34" t="s">
        <v>226</v>
      </c>
      <c r="AT38" t="s">
        <v>62</v>
      </c>
      <c r="AU38" s="1">
        <v>144190</v>
      </c>
      <c r="AV38" s="1">
        <v>142270</v>
      </c>
    </row>
    <row r="39" spans="1:48" x14ac:dyDescent="0.35">
      <c r="A39" s="32">
        <f t="shared" si="1"/>
        <v>37</v>
      </c>
      <c r="B39" s="20">
        <v>46073</v>
      </c>
      <c r="C39" s="20">
        <v>46073</v>
      </c>
      <c r="D39" s="10" t="s">
        <v>38</v>
      </c>
      <c r="E39" s="10" t="s">
        <v>39</v>
      </c>
      <c r="F39" s="10" t="s">
        <v>40</v>
      </c>
      <c r="G39" s="10" t="s">
        <v>41</v>
      </c>
      <c r="H39" s="10" t="s">
        <v>74</v>
      </c>
      <c r="I39" s="10" t="s">
        <v>75</v>
      </c>
      <c r="J39" s="10" t="s">
        <v>227</v>
      </c>
      <c r="K39" s="33" t="s">
        <v>77</v>
      </c>
      <c r="L39" s="10">
        <v>829</v>
      </c>
      <c r="M39" s="10">
        <v>72616</v>
      </c>
      <c r="N39" s="10">
        <v>588</v>
      </c>
      <c r="O39" s="22">
        <f t="shared" si="5"/>
        <v>47660</v>
      </c>
      <c r="P39" s="22">
        <v>47072</v>
      </c>
      <c r="Q39" s="10">
        <v>526</v>
      </c>
      <c r="R39" s="10">
        <v>5</v>
      </c>
      <c r="S39" s="10">
        <v>57</v>
      </c>
      <c r="T39" s="10">
        <f t="shared" si="6"/>
        <v>428</v>
      </c>
      <c r="U39" s="22">
        <f>Table46[[#This Row],[NET WT KGS]]-Table46[[#This Row],[Refraction]]</f>
        <v>46644</v>
      </c>
      <c r="V39" s="46">
        <v>475</v>
      </c>
      <c r="W39" s="23">
        <f>Table46[[#This Row],[PRICE]]*Table46[[#This Row],[PAID WT]]</f>
        <v>22155900</v>
      </c>
      <c r="X39" s="24">
        <v>10.6</v>
      </c>
      <c r="Y39" s="25">
        <v>161</v>
      </c>
      <c r="Z39" s="24">
        <v>47.87</v>
      </c>
      <c r="AA39" s="26"/>
      <c r="AB39" s="10" t="s">
        <v>78</v>
      </c>
      <c r="AC39" s="27"/>
      <c r="AD39" s="28" t="s">
        <v>47</v>
      </c>
      <c r="AE39" s="18">
        <f>Table46[[#This Row],[MOIS.]]*Table46[[#This Row],[NET WT KGS]]</f>
        <v>498963.20000000001</v>
      </c>
      <c r="AF39" s="18">
        <f>Table46[[#This Row],[KOR]]*Table46[[#This Row],[NET WT KGS]]</f>
        <v>2253336.6399999997</v>
      </c>
      <c r="AG39">
        <f>Table46[[#This Row],[NET WT KGS]]*Table46[[#This Row],[NUT COUNT]]</f>
        <v>7578592</v>
      </c>
      <c r="AJ39" t="s">
        <v>180</v>
      </c>
      <c r="AK39" s="29">
        <v>218465</v>
      </c>
      <c r="AL39" s="1">
        <v>486</v>
      </c>
      <c r="AM39" s="1">
        <v>9.3666666666666671</v>
      </c>
      <c r="AN39" s="1">
        <v>175.55555555555554</v>
      </c>
      <c r="AO39" s="1">
        <v>43.724444444444444</v>
      </c>
      <c r="AP39" s="30" t="s">
        <v>228</v>
      </c>
      <c r="AQ39" t="str">
        <f>VLOOKUP(AP39,Table46[[#All],[LBA CODE]:[FICHE CODE]],3,0)</f>
        <v>0408-0440</v>
      </c>
      <c r="AS39" s="34" t="s">
        <v>229</v>
      </c>
      <c r="AT39" t="s">
        <v>62</v>
      </c>
      <c r="AU39" s="1">
        <v>293650</v>
      </c>
      <c r="AV39" s="1">
        <v>289823</v>
      </c>
    </row>
    <row r="40" spans="1:48" x14ac:dyDescent="0.35">
      <c r="A40" s="32">
        <f t="shared" si="1"/>
        <v>38</v>
      </c>
      <c r="B40" s="20">
        <v>46073</v>
      </c>
      <c r="C40" s="20">
        <v>46073</v>
      </c>
      <c r="D40" s="10" t="s">
        <v>38</v>
      </c>
      <c r="E40" s="10" t="s">
        <v>39</v>
      </c>
      <c r="F40" s="10" t="s">
        <v>40</v>
      </c>
      <c r="G40" s="10" t="s">
        <v>86</v>
      </c>
      <c r="H40" s="10" t="s">
        <v>136</v>
      </c>
      <c r="I40" s="10" t="s">
        <v>137</v>
      </c>
      <c r="J40" s="10" t="s">
        <v>230</v>
      </c>
      <c r="K40" s="21" t="s">
        <v>139</v>
      </c>
      <c r="L40" s="10">
        <v>810</v>
      </c>
      <c r="M40" s="10">
        <v>72567</v>
      </c>
      <c r="N40" s="10">
        <v>502</v>
      </c>
      <c r="O40" s="22">
        <f t="shared" si="5"/>
        <v>42180</v>
      </c>
      <c r="P40" s="22">
        <v>41678</v>
      </c>
      <c r="Q40" s="10">
        <v>455</v>
      </c>
      <c r="R40" s="10"/>
      <c r="S40" s="10">
        <v>47</v>
      </c>
      <c r="T40" s="10">
        <f t="shared" si="6"/>
        <v>188</v>
      </c>
      <c r="U40" s="22">
        <f>Table46[[#This Row],[NET WT KGS]]-Table46[[#This Row],[Refraction]]</f>
        <v>41490</v>
      </c>
      <c r="V40" s="46">
        <v>480</v>
      </c>
      <c r="W40" s="23">
        <f>Table46[[#This Row],[PRICE]]*Table46[[#This Row],[PAID WT]]</f>
        <v>19915200</v>
      </c>
      <c r="X40" s="24">
        <v>9</v>
      </c>
      <c r="Y40" s="25">
        <v>185</v>
      </c>
      <c r="Z40" s="24">
        <v>48.31</v>
      </c>
      <c r="AA40" s="26">
        <v>48.13</v>
      </c>
      <c r="AB40" s="10" t="s">
        <v>140</v>
      </c>
      <c r="AC40" s="27"/>
      <c r="AD40" s="28" t="s">
        <v>47</v>
      </c>
      <c r="AE40" s="18">
        <f>Table46[[#This Row],[MOIS.]]*Table46[[#This Row],[NET WT KGS]]</f>
        <v>375102</v>
      </c>
      <c r="AF40" s="18">
        <f>Table46[[#This Row],[KOR]]*Table46[[#This Row],[NET WT KGS]]</f>
        <v>2013464.1800000002</v>
      </c>
      <c r="AG40">
        <f>Table46[[#This Row],[NET WT KGS]]*Table46[[#This Row],[NUT COUNT]]</f>
        <v>7710430</v>
      </c>
      <c r="AJ40" t="s">
        <v>184</v>
      </c>
      <c r="AK40" s="29">
        <v>82813</v>
      </c>
      <c r="AL40" s="1">
        <v>490</v>
      </c>
      <c r="AM40" s="1">
        <v>9.6</v>
      </c>
      <c r="AN40" s="1">
        <v>176.8</v>
      </c>
      <c r="AO40" s="1">
        <v>42.533999999999999</v>
      </c>
      <c r="AP40" s="30" t="s">
        <v>231</v>
      </c>
      <c r="AQ40" t="str">
        <f>VLOOKUP(AP40,Table46[[#All],[LBA CODE]:[FICHE CODE]],3,0)</f>
        <v>0426-0063</v>
      </c>
      <c r="AS40" s="34" t="s">
        <v>232</v>
      </c>
      <c r="AT40" t="s">
        <v>62</v>
      </c>
      <c r="AU40" s="1">
        <v>40430</v>
      </c>
      <c r="AV40" s="1">
        <v>39941</v>
      </c>
    </row>
    <row r="41" spans="1:48" x14ac:dyDescent="0.35">
      <c r="A41" s="32">
        <f t="shared" si="1"/>
        <v>39</v>
      </c>
      <c r="B41" s="20">
        <v>46073</v>
      </c>
      <c r="C41" s="20">
        <v>46073</v>
      </c>
      <c r="D41" s="10" t="s">
        <v>38</v>
      </c>
      <c r="E41" s="10" t="s">
        <v>39</v>
      </c>
      <c r="F41" s="10" t="s">
        <v>40</v>
      </c>
      <c r="G41" s="10" t="s">
        <v>41</v>
      </c>
      <c r="H41" s="10" t="s">
        <v>136</v>
      </c>
      <c r="I41" s="10" t="s">
        <v>137</v>
      </c>
      <c r="J41" s="10" t="s">
        <v>138</v>
      </c>
      <c r="K41" s="21" t="s">
        <v>139</v>
      </c>
      <c r="L41" s="10">
        <v>837</v>
      </c>
      <c r="M41" s="10">
        <v>72583</v>
      </c>
      <c r="N41" s="10">
        <v>465</v>
      </c>
      <c r="O41" s="22">
        <f t="shared" si="5"/>
        <v>41580</v>
      </c>
      <c r="P41" s="22">
        <v>41115</v>
      </c>
      <c r="Q41" s="10">
        <v>441</v>
      </c>
      <c r="R41" s="10"/>
      <c r="S41" s="10">
        <v>24</v>
      </c>
      <c r="T41" s="10">
        <f t="shared" si="6"/>
        <v>96</v>
      </c>
      <c r="U41" s="22">
        <f>Table46[[#This Row],[NET WT KGS]]-Table46[[#This Row],[Refraction]]</f>
        <v>41019</v>
      </c>
      <c r="V41" s="46">
        <v>480</v>
      </c>
      <c r="W41" s="23">
        <f>Table46[[#This Row],[PRICE]]*Table46[[#This Row],[PAID WT]]</f>
        <v>19689120</v>
      </c>
      <c r="X41" s="24">
        <v>8.6</v>
      </c>
      <c r="Y41" s="25">
        <v>177</v>
      </c>
      <c r="Z41" s="24">
        <v>48.57</v>
      </c>
      <c r="AA41" s="26">
        <v>48.22</v>
      </c>
      <c r="AB41" s="10" t="s">
        <v>140</v>
      </c>
      <c r="AC41" s="27"/>
      <c r="AD41" s="28" t="s">
        <v>47</v>
      </c>
      <c r="AE41" s="18">
        <f>Table46[[#This Row],[MOIS.]]*Table46[[#This Row],[NET WT KGS]]</f>
        <v>353589</v>
      </c>
      <c r="AF41" s="18">
        <f>Table46[[#This Row],[KOR]]*Table46[[#This Row],[NET WT KGS]]</f>
        <v>1996955.55</v>
      </c>
      <c r="AG41">
        <f>Table46[[#This Row],[NET WT KGS]]*Table46[[#This Row],[NUT COUNT]]</f>
        <v>7277355</v>
      </c>
      <c r="AJ41" t="s">
        <v>186</v>
      </c>
      <c r="AK41" s="29">
        <v>558053</v>
      </c>
      <c r="AL41" s="1">
        <v>484.23076923076923</v>
      </c>
      <c r="AM41" s="1">
        <v>9.4071428571428566</v>
      </c>
      <c r="AN41" s="1">
        <v>171.64285714285714</v>
      </c>
      <c r="AO41" s="1">
        <v>44.124285714285712</v>
      </c>
      <c r="AP41" s="30" t="s">
        <v>233</v>
      </c>
      <c r="AQ41" t="str">
        <f>VLOOKUP(AP41,Table46[[#All],[LBA CODE]:[FICHE CODE]],3,0)</f>
        <v>0331-0092</v>
      </c>
      <c r="AS41" s="34" t="s">
        <v>234</v>
      </c>
      <c r="AT41" t="s">
        <v>62</v>
      </c>
      <c r="AU41" s="1">
        <v>52760</v>
      </c>
      <c r="AV41" s="1">
        <v>52089</v>
      </c>
    </row>
    <row r="42" spans="1:48" x14ac:dyDescent="0.35">
      <c r="A42" s="32">
        <f t="shared" si="1"/>
        <v>40</v>
      </c>
      <c r="B42" s="20">
        <v>46073</v>
      </c>
      <c r="C42" s="20">
        <v>46073</v>
      </c>
      <c r="D42" s="10" t="s">
        <v>38</v>
      </c>
      <c r="E42" s="10" t="s">
        <v>39</v>
      </c>
      <c r="F42" s="10" t="s">
        <v>40</v>
      </c>
      <c r="G42" s="10" t="s">
        <v>41</v>
      </c>
      <c r="H42" s="10" t="s">
        <v>235</v>
      </c>
      <c r="I42" s="10" t="s">
        <v>236</v>
      </c>
      <c r="J42" s="10" t="s">
        <v>237</v>
      </c>
      <c r="K42" s="33" t="s">
        <v>238</v>
      </c>
      <c r="L42" s="10">
        <v>836</v>
      </c>
      <c r="M42" s="10">
        <v>72529</v>
      </c>
      <c r="N42" s="10">
        <v>607</v>
      </c>
      <c r="O42" s="22">
        <f t="shared" si="5"/>
        <v>51300</v>
      </c>
      <c r="P42" s="22">
        <v>50693</v>
      </c>
      <c r="Q42" s="10">
        <v>544</v>
      </c>
      <c r="R42" s="10"/>
      <c r="S42" s="10">
        <v>63</v>
      </c>
      <c r="T42" s="10">
        <f t="shared" si="6"/>
        <v>252</v>
      </c>
      <c r="U42" s="22">
        <f>Table46[[#This Row],[NET WT KGS]]-Table46[[#This Row],[Refraction]]</f>
        <v>50441</v>
      </c>
      <c r="V42" s="46">
        <v>480</v>
      </c>
      <c r="W42" s="23">
        <f>Table46[[#This Row],[PRICE]]*Table46[[#This Row],[PAID WT]]</f>
        <v>24211680</v>
      </c>
      <c r="X42" s="24">
        <v>8.5</v>
      </c>
      <c r="Y42" s="25">
        <v>167</v>
      </c>
      <c r="Z42" s="24">
        <v>46.64</v>
      </c>
      <c r="AA42" s="26">
        <v>46.72</v>
      </c>
      <c r="AB42" s="10" t="s">
        <v>46</v>
      </c>
      <c r="AC42" s="27"/>
      <c r="AD42" s="28" t="s">
        <v>47</v>
      </c>
      <c r="AE42" s="18">
        <f>Table46[[#This Row],[MOIS.]]*Table46[[#This Row],[NET WT KGS]]</f>
        <v>430890.5</v>
      </c>
      <c r="AF42" s="18">
        <f>Table46[[#This Row],[KOR]]*Table46[[#This Row],[NET WT KGS]]</f>
        <v>2364321.52</v>
      </c>
      <c r="AG42">
        <f>Table46[[#This Row],[NET WT KGS]]*Table46[[#This Row],[NUT COUNT]]</f>
        <v>8465731</v>
      </c>
      <c r="AJ42" t="s">
        <v>189</v>
      </c>
      <c r="AK42" s="29">
        <v>265348</v>
      </c>
      <c r="AL42" s="1">
        <v>487.5</v>
      </c>
      <c r="AM42" s="1">
        <v>9.2666666666666675</v>
      </c>
      <c r="AN42" s="1">
        <v>175.33333333333334</v>
      </c>
      <c r="AO42" s="1">
        <v>44.19166666666667</v>
      </c>
      <c r="AP42" s="30" t="s">
        <v>239</v>
      </c>
      <c r="AQ42" t="str">
        <f>VLOOKUP(AP42,Table46[[#All],[LBA CODE]:[FICHE CODE]],3,0)</f>
        <v>0331-0057</v>
      </c>
      <c r="AS42" s="34" t="s">
        <v>240</v>
      </c>
      <c r="AT42" t="s">
        <v>62</v>
      </c>
      <c r="AU42" s="1">
        <v>313470</v>
      </c>
      <c r="AV42" s="1">
        <v>309445</v>
      </c>
    </row>
    <row r="43" spans="1:48" x14ac:dyDescent="0.35">
      <c r="A43" s="32">
        <f t="shared" si="1"/>
        <v>41</v>
      </c>
      <c r="B43" s="20">
        <v>46073</v>
      </c>
      <c r="C43" s="20">
        <v>46073</v>
      </c>
      <c r="D43" s="10" t="s">
        <v>38</v>
      </c>
      <c r="E43" s="10" t="s">
        <v>39</v>
      </c>
      <c r="F43" s="10" t="s">
        <v>40</v>
      </c>
      <c r="G43" s="10" t="s">
        <v>86</v>
      </c>
      <c r="H43" s="10" t="s">
        <v>87</v>
      </c>
      <c r="I43" s="10" t="s">
        <v>88</v>
      </c>
      <c r="J43" s="10" t="s">
        <v>241</v>
      </c>
      <c r="K43" s="33" t="s">
        <v>90</v>
      </c>
      <c r="L43" s="10">
        <v>832</v>
      </c>
      <c r="M43" s="10">
        <v>72541</v>
      </c>
      <c r="N43" s="10">
        <v>529</v>
      </c>
      <c r="O43" s="22">
        <f t="shared" si="5"/>
        <v>44660</v>
      </c>
      <c r="P43" s="22">
        <v>44131</v>
      </c>
      <c r="Q43" s="10">
        <v>523</v>
      </c>
      <c r="R43" s="10"/>
      <c r="S43" s="10">
        <v>6</v>
      </c>
      <c r="T43" s="10">
        <f t="shared" si="6"/>
        <v>24</v>
      </c>
      <c r="U43" s="22">
        <f>Table46[[#This Row],[NET WT KGS]]-Table46[[#This Row],[Refraction]]</f>
        <v>44107</v>
      </c>
      <c r="V43" s="46">
        <v>475</v>
      </c>
      <c r="W43" s="23">
        <f>Table46[[#This Row],[PRICE]]*Table46[[#This Row],[PAID WT]]</f>
        <v>20950825</v>
      </c>
      <c r="X43" s="24">
        <v>9.6999999999999993</v>
      </c>
      <c r="Y43" s="25">
        <v>186</v>
      </c>
      <c r="Z43" s="24">
        <v>47.87</v>
      </c>
      <c r="AA43" s="26">
        <v>48.4</v>
      </c>
      <c r="AB43" s="10" t="s">
        <v>242</v>
      </c>
      <c r="AC43" s="27"/>
      <c r="AD43" s="28" t="s">
        <v>47</v>
      </c>
      <c r="AE43" s="18">
        <f>Table46[[#This Row],[MOIS.]]*Table46[[#This Row],[NET WT KGS]]</f>
        <v>428070.69999999995</v>
      </c>
      <c r="AF43" s="18">
        <f>Table46[[#This Row],[KOR]]*Table46[[#This Row],[NET WT KGS]]</f>
        <v>2112550.9699999997</v>
      </c>
      <c r="AG43">
        <f>Table46[[#This Row],[NET WT KGS]]*Table46[[#This Row],[NUT COUNT]]</f>
        <v>8208366</v>
      </c>
      <c r="AJ43" t="s">
        <v>243</v>
      </c>
      <c r="AK43" s="29">
        <v>73523</v>
      </c>
      <c r="AL43" s="1">
        <v>490</v>
      </c>
      <c r="AM43" s="1">
        <v>8.1999999999999993</v>
      </c>
      <c r="AN43" s="1">
        <v>182.5</v>
      </c>
      <c r="AO43" s="1">
        <v>44.796729999999997</v>
      </c>
      <c r="AP43" s="30" t="s">
        <v>244</v>
      </c>
      <c r="AQ43">
        <f>VLOOKUP(AP43,Table46[[#All],[LBA CODE]:[FICHE CODE]],3,0)</f>
        <v>0</v>
      </c>
      <c r="AS43" s="34" t="s">
        <v>245</v>
      </c>
      <c r="AT43" t="s">
        <v>62</v>
      </c>
      <c r="AU43" s="1">
        <v>327600</v>
      </c>
      <c r="AV43" s="1">
        <v>323584</v>
      </c>
    </row>
    <row r="44" spans="1:48" x14ac:dyDescent="0.35">
      <c r="A44" s="32">
        <f t="shared" si="1"/>
        <v>42</v>
      </c>
      <c r="B44" s="20">
        <v>46073</v>
      </c>
      <c r="C44" s="20">
        <v>46073</v>
      </c>
      <c r="D44" s="10" t="s">
        <v>38</v>
      </c>
      <c r="E44" s="10" t="s">
        <v>39</v>
      </c>
      <c r="F44" s="10" t="s">
        <v>40</v>
      </c>
      <c r="G44" s="10" t="s">
        <v>86</v>
      </c>
      <c r="H44" s="10" t="s">
        <v>123</v>
      </c>
      <c r="I44" s="10" t="s">
        <v>124</v>
      </c>
      <c r="J44" s="10" t="s">
        <v>246</v>
      </c>
      <c r="K44" s="21" t="s">
        <v>161</v>
      </c>
      <c r="L44" s="10">
        <v>835</v>
      </c>
      <c r="M44" s="10">
        <v>68200</v>
      </c>
      <c r="N44" s="10">
        <v>511</v>
      </c>
      <c r="O44" s="22">
        <f t="shared" si="5"/>
        <v>41780</v>
      </c>
      <c r="P44" s="22">
        <v>41269</v>
      </c>
      <c r="Q44" s="10">
        <v>481</v>
      </c>
      <c r="R44" s="10"/>
      <c r="S44" s="10">
        <v>30</v>
      </c>
      <c r="T44" s="10">
        <f t="shared" si="6"/>
        <v>120</v>
      </c>
      <c r="U44" s="22">
        <f>Table46[[#This Row],[NET WT KGS]]-Table46[[#This Row],[Refraction]]</f>
        <v>41149</v>
      </c>
      <c r="V44" s="46">
        <v>475</v>
      </c>
      <c r="W44" s="23">
        <f>Table46[[#This Row],[PRICE]]*Table46[[#This Row],[PAID WT]]</f>
        <v>19545775</v>
      </c>
      <c r="X44" s="24">
        <v>9.5</v>
      </c>
      <c r="Y44" s="25">
        <v>177</v>
      </c>
      <c r="Z44" s="24">
        <v>47.17</v>
      </c>
      <c r="AA44" s="26">
        <v>47.52</v>
      </c>
      <c r="AB44" s="10" t="s">
        <v>40</v>
      </c>
      <c r="AC44" s="27"/>
      <c r="AD44" s="28" t="s">
        <v>47</v>
      </c>
      <c r="AE44" s="18">
        <f>Table46[[#This Row],[MOIS.]]*Table46[[#This Row],[NET WT KGS]]</f>
        <v>392055.5</v>
      </c>
      <c r="AF44" s="18">
        <f>Table46[[#This Row],[KOR]]*Table46[[#This Row],[NET WT KGS]]</f>
        <v>1946658.73</v>
      </c>
      <c r="AG44">
        <f>Table46[[#This Row],[NET WT KGS]]*Table46[[#This Row],[NUT COUNT]]</f>
        <v>7304613</v>
      </c>
      <c r="AJ44" t="s">
        <v>192</v>
      </c>
      <c r="AK44" s="29">
        <v>86722</v>
      </c>
      <c r="AL44" s="1">
        <v>495</v>
      </c>
      <c r="AM44" s="1">
        <v>10.919999999999998</v>
      </c>
      <c r="AN44" s="1">
        <v>170.6</v>
      </c>
      <c r="AO44" s="1">
        <v>42.800000000000004</v>
      </c>
      <c r="AP44" s="30" t="s">
        <v>247</v>
      </c>
      <c r="AQ44">
        <f>VLOOKUP(AP44,Table46[[#All],[LBA CODE]:[FICHE CODE]],3,0)</f>
        <v>0</v>
      </c>
      <c r="AS44" s="34" t="s">
        <v>248</v>
      </c>
      <c r="AT44" t="s">
        <v>62</v>
      </c>
      <c r="AU44" s="1">
        <v>273400</v>
      </c>
      <c r="AV44" s="1">
        <v>269926</v>
      </c>
    </row>
    <row r="45" spans="1:48" x14ac:dyDescent="0.35">
      <c r="A45" s="32">
        <f t="shared" si="1"/>
        <v>43</v>
      </c>
      <c r="B45" s="35">
        <v>46073</v>
      </c>
      <c r="C45" s="35">
        <f>Table46[[#This Row],[DATE OF ARRIVAL]]</f>
        <v>46073</v>
      </c>
      <c r="D45" s="36" t="s">
        <v>38</v>
      </c>
      <c r="E45" s="36" t="s">
        <v>39</v>
      </c>
      <c r="F45" s="36" t="s">
        <v>40</v>
      </c>
      <c r="G45" s="36"/>
      <c r="H45" s="36" t="s">
        <v>54</v>
      </c>
      <c r="I45" s="36" t="s">
        <v>55</v>
      </c>
      <c r="J45" s="36" t="s">
        <v>249</v>
      </c>
      <c r="K45" s="36"/>
      <c r="L45" s="36"/>
      <c r="M45" s="36"/>
      <c r="N45" s="36">
        <v>0</v>
      </c>
      <c r="O45" s="37">
        <f t="shared" si="5"/>
        <v>0</v>
      </c>
      <c r="P45" s="37"/>
      <c r="Q45" s="36"/>
      <c r="R45" s="36"/>
      <c r="S45" s="36"/>
      <c r="T45" s="36"/>
      <c r="U45" s="37">
        <f>Table46[[#This Row],[NET WT KGS]]-Table46[[#This Row],[Refraction]]</f>
        <v>0</v>
      </c>
      <c r="V45" s="47"/>
      <c r="W45" s="38">
        <f>Table46[[#This Row],[PRICE]]*Table46[[#This Row],[PAID WT]]</f>
        <v>0</v>
      </c>
      <c r="X45" s="39">
        <v>8.1999999999999993</v>
      </c>
      <c r="Y45" s="40">
        <v>176</v>
      </c>
      <c r="Z45" s="39">
        <v>44.52</v>
      </c>
      <c r="AA45" s="41"/>
      <c r="AB45" s="36" t="s">
        <v>58</v>
      </c>
      <c r="AC45" s="42" t="s">
        <v>70</v>
      </c>
      <c r="AD45" s="28"/>
      <c r="AE45" s="18">
        <f>Table46[[#This Row],[MOIS.]]*Table46[[#This Row],[NET WT KGS]]</f>
        <v>0</v>
      </c>
      <c r="AF45" s="18">
        <f>Table46[[#This Row],[KOR]]*Table46[[#This Row],[NET WT KGS]]</f>
        <v>0</v>
      </c>
      <c r="AG45">
        <f>Table46[[#This Row],[NET WT KGS]]*Table46[[#This Row],[NUT COUNT]]</f>
        <v>0</v>
      </c>
      <c r="AJ45" t="s">
        <v>198</v>
      </c>
      <c r="AK45" s="29">
        <v>238691</v>
      </c>
      <c r="AL45" s="1">
        <v>499</v>
      </c>
      <c r="AM45" s="1">
        <v>9.7500000000000018</v>
      </c>
      <c r="AN45" s="1">
        <v>176.75</v>
      </c>
      <c r="AO45" s="1">
        <v>43.131463124999996</v>
      </c>
      <c r="AP45" s="30" t="s">
        <v>250</v>
      </c>
      <c r="AQ45">
        <f>VLOOKUP(AP45,Table46[[#All],[LBA CODE]:[FICHE CODE]],3,0)</f>
        <v>0</v>
      </c>
      <c r="AS45" s="34" t="s">
        <v>251</v>
      </c>
      <c r="AT45" t="s">
        <v>62</v>
      </c>
      <c r="AU45" s="1">
        <v>273070</v>
      </c>
      <c r="AV45" s="1">
        <v>269675</v>
      </c>
    </row>
    <row r="46" spans="1:48" x14ac:dyDescent="0.35">
      <c r="A46" s="32">
        <f t="shared" si="1"/>
        <v>44</v>
      </c>
      <c r="B46" s="35">
        <v>46073</v>
      </c>
      <c r="C46" s="35">
        <f>Table46[[#This Row],[DATE OF ARRIVAL]]</f>
        <v>46073</v>
      </c>
      <c r="D46" s="36" t="s">
        <v>38</v>
      </c>
      <c r="E46" s="36" t="s">
        <v>39</v>
      </c>
      <c r="F46" s="36" t="s">
        <v>40</v>
      </c>
      <c r="G46" s="36"/>
      <c r="H46" s="36" t="s">
        <v>54</v>
      </c>
      <c r="I46" s="36" t="s">
        <v>55</v>
      </c>
      <c r="J46" s="36" t="s">
        <v>69</v>
      </c>
      <c r="K46" s="36"/>
      <c r="L46" s="36"/>
      <c r="M46" s="36"/>
      <c r="N46" s="36">
        <v>0</v>
      </c>
      <c r="O46" s="37">
        <f t="shared" si="5"/>
        <v>0</v>
      </c>
      <c r="P46" s="37"/>
      <c r="Q46" s="36"/>
      <c r="R46" s="36"/>
      <c r="S46" s="36"/>
      <c r="T46" s="36"/>
      <c r="U46" s="37">
        <f>Table46[[#This Row],[NET WT KGS]]-Table46[[#This Row],[Refraction]]</f>
        <v>0</v>
      </c>
      <c r="V46" s="47"/>
      <c r="W46" s="38">
        <f>Table46[[#This Row],[PRICE]]*Table46[[#This Row],[PAID WT]]</f>
        <v>0</v>
      </c>
      <c r="X46" s="39">
        <v>8.1999999999999993</v>
      </c>
      <c r="Y46" s="40">
        <v>167</v>
      </c>
      <c r="Z46" s="39">
        <v>45.05</v>
      </c>
      <c r="AA46" s="41"/>
      <c r="AB46" s="36" t="s">
        <v>58</v>
      </c>
      <c r="AC46" s="42" t="s">
        <v>70</v>
      </c>
      <c r="AD46" s="28"/>
      <c r="AE46" s="18">
        <f>Table46[[#This Row],[MOIS.]]*Table46[[#This Row],[NET WT KGS]]</f>
        <v>0</v>
      </c>
      <c r="AF46" s="18">
        <f>Table46[[#This Row],[KOR]]*Table46[[#This Row],[NET WT KGS]]</f>
        <v>0</v>
      </c>
      <c r="AG46">
        <f>Table46[[#This Row],[NET WT KGS]]*Table46[[#This Row],[NUT COUNT]]</f>
        <v>0</v>
      </c>
      <c r="AJ46" t="s">
        <v>201</v>
      </c>
      <c r="AK46" s="29">
        <v>216360</v>
      </c>
      <c r="AL46" s="1">
        <v>500</v>
      </c>
      <c r="AM46" s="1">
        <v>10.785714285714286</v>
      </c>
      <c r="AN46" s="1">
        <v>169.85714285714286</v>
      </c>
      <c r="AO46" s="1">
        <v>43.886799999999994</v>
      </c>
      <c r="AP46" s="30" t="s">
        <v>252</v>
      </c>
      <c r="AQ46">
        <f>VLOOKUP(AP46,Table46[[#All],[LBA CODE]:[FICHE CODE]],3,0)</f>
        <v>0</v>
      </c>
      <c r="AS46" s="34" t="s">
        <v>253</v>
      </c>
      <c r="AT46" t="s">
        <v>62</v>
      </c>
      <c r="AU46" s="1">
        <v>303010</v>
      </c>
      <c r="AV46" s="1">
        <v>299329</v>
      </c>
    </row>
    <row r="47" spans="1:48" x14ac:dyDescent="0.35">
      <c r="A47" s="32">
        <f t="shared" si="1"/>
        <v>45</v>
      </c>
      <c r="B47" s="35">
        <v>46073</v>
      </c>
      <c r="C47" s="35">
        <f>Table46[[#This Row],[DATE OF ARRIVAL]]</f>
        <v>46073</v>
      </c>
      <c r="D47" s="36" t="s">
        <v>38</v>
      </c>
      <c r="E47" s="36" t="s">
        <v>39</v>
      </c>
      <c r="F47" s="36" t="s">
        <v>40</v>
      </c>
      <c r="G47" s="36"/>
      <c r="H47" s="36" t="s">
        <v>235</v>
      </c>
      <c r="I47" s="36" t="s">
        <v>236</v>
      </c>
      <c r="J47" s="36" t="s">
        <v>254</v>
      </c>
      <c r="K47" s="36"/>
      <c r="L47" s="36"/>
      <c r="M47" s="36"/>
      <c r="N47" s="36">
        <v>0</v>
      </c>
      <c r="O47" s="37">
        <f t="shared" si="5"/>
        <v>0</v>
      </c>
      <c r="P47" s="37"/>
      <c r="Q47" s="36"/>
      <c r="R47" s="36"/>
      <c r="S47" s="36"/>
      <c r="T47" s="36"/>
      <c r="U47" s="37">
        <f>Table46[[#This Row],[NET WT KGS]]-Table46[[#This Row],[Refraction]]</f>
        <v>0</v>
      </c>
      <c r="V47" s="47"/>
      <c r="W47" s="38">
        <f>Table46[[#This Row],[PRICE]]*Table46[[#This Row],[PAID WT]]</f>
        <v>0</v>
      </c>
      <c r="X47" s="39">
        <v>9.3000000000000007</v>
      </c>
      <c r="Y47" s="40">
        <v>165</v>
      </c>
      <c r="Z47" s="39">
        <v>45.23</v>
      </c>
      <c r="AA47" s="41"/>
      <c r="AB47" s="36" t="s">
        <v>46</v>
      </c>
      <c r="AC47" s="42" t="s">
        <v>70</v>
      </c>
      <c r="AD47" s="28"/>
      <c r="AE47" s="18">
        <f>Table46[[#This Row],[MOIS.]]*Table46[[#This Row],[NET WT KGS]]</f>
        <v>0</v>
      </c>
      <c r="AF47" s="18">
        <f>Table46[[#This Row],[KOR]]*Table46[[#This Row],[NET WT KGS]]</f>
        <v>0</v>
      </c>
      <c r="AG47">
        <f>Table46[[#This Row],[NET WT KGS]]*Table46[[#This Row],[NUT COUNT]]</f>
        <v>0</v>
      </c>
      <c r="AI47" t="s">
        <v>255</v>
      </c>
      <c r="AK47" s="29">
        <v>8934251</v>
      </c>
      <c r="AL47" s="1">
        <v>487.5</v>
      </c>
      <c r="AM47" s="1">
        <v>9.7222580645161365</v>
      </c>
      <c r="AN47" s="1">
        <v>174.2516129032258</v>
      </c>
      <c r="AO47" s="1">
        <v>44.704621822580656</v>
      </c>
      <c r="AP47" s="30" t="s">
        <v>256</v>
      </c>
      <c r="AQ47">
        <f>VLOOKUP(AP47,Table46[[#All],[LBA CODE]:[FICHE CODE]],3,0)</f>
        <v>0</v>
      </c>
      <c r="AS47" s="34" t="s">
        <v>257</v>
      </c>
      <c r="AT47" t="s">
        <v>62</v>
      </c>
      <c r="AU47" s="1">
        <v>183180</v>
      </c>
      <c r="AV47" s="1">
        <v>180938</v>
      </c>
    </row>
    <row r="48" spans="1:48" x14ac:dyDescent="0.35">
      <c r="A48" s="32">
        <f t="shared" si="1"/>
        <v>46</v>
      </c>
      <c r="B48" s="20">
        <v>46074</v>
      </c>
      <c r="C48" s="20">
        <v>46074</v>
      </c>
      <c r="D48" s="10" t="s">
        <v>38</v>
      </c>
      <c r="E48" s="10" t="s">
        <v>258</v>
      </c>
      <c r="F48" s="10" t="s">
        <v>40</v>
      </c>
      <c r="G48" s="10" t="s">
        <v>41</v>
      </c>
      <c r="H48" s="10" t="s">
        <v>259</v>
      </c>
      <c r="I48" s="10" t="s">
        <v>60</v>
      </c>
      <c r="J48" s="10" t="s">
        <v>260</v>
      </c>
      <c r="K48" s="33" t="s">
        <v>261</v>
      </c>
      <c r="L48" s="10">
        <v>839</v>
      </c>
      <c r="M48" s="10">
        <v>73501</v>
      </c>
      <c r="N48" s="10">
        <v>484</v>
      </c>
      <c r="O48" s="22">
        <f t="shared" si="5"/>
        <v>40780</v>
      </c>
      <c r="P48" s="22">
        <v>40296</v>
      </c>
      <c r="Q48" s="10">
        <v>434</v>
      </c>
      <c r="R48" s="10">
        <v>0</v>
      </c>
      <c r="S48" s="10">
        <v>50</v>
      </c>
      <c r="T48" s="10">
        <f t="shared" ref="T48:T53" si="7">S48*4+R48*40</f>
        <v>200</v>
      </c>
      <c r="U48" s="22">
        <f>Table46[[#This Row],[NET WT KGS]]-Table46[[#This Row],[Refraction]]</f>
        <v>40096</v>
      </c>
      <c r="V48" s="23">
        <v>475</v>
      </c>
      <c r="W48" s="23">
        <f>Table46[[#This Row],[PRICE]]*Table46[[#This Row],[PAID WT]]</f>
        <v>19045600</v>
      </c>
      <c r="X48" s="24">
        <v>8.1</v>
      </c>
      <c r="Y48" s="25">
        <v>164</v>
      </c>
      <c r="Z48" s="24">
        <v>46.28</v>
      </c>
      <c r="AA48" s="26"/>
      <c r="AB48" s="10" t="s">
        <v>46</v>
      </c>
      <c r="AC48" s="27"/>
      <c r="AD48" s="28" t="s">
        <v>47</v>
      </c>
      <c r="AE48" s="18">
        <f>Table46[[#This Row],[MOIS.]]*Table46[[#This Row],[NET WT KGS]]</f>
        <v>326397.59999999998</v>
      </c>
      <c r="AF48" s="18">
        <f>Table46[[#This Row],[KOR]]*Table46[[#This Row],[NET WT KGS]]</f>
        <v>1864898.8800000001</v>
      </c>
      <c r="AG48">
        <f>Table46[[#This Row],[NET WT KGS]]*Table46[[#This Row],[NUT COUNT]]</f>
        <v>6608544</v>
      </c>
      <c r="AI48" t="s">
        <v>262</v>
      </c>
      <c r="AJ48" t="s">
        <v>207</v>
      </c>
      <c r="AK48" s="29">
        <v>171105</v>
      </c>
      <c r="AL48" s="1">
        <v>502.5</v>
      </c>
      <c r="AM48" s="1">
        <v>10.266666666666667</v>
      </c>
      <c r="AN48" s="1">
        <v>179.66666666666666</v>
      </c>
      <c r="AO48" s="1">
        <v>43.825341666666667</v>
      </c>
      <c r="AP48" s="30" t="s">
        <v>263</v>
      </c>
      <c r="AQ48">
        <f>VLOOKUP(AP48,Table46[[#All],[LBA CODE]:[FICHE CODE]],3,0)</f>
        <v>0</v>
      </c>
      <c r="AS48" s="34" t="s">
        <v>264</v>
      </c>
      <c r="AT48" t="s">
        <v>62</v>
      </c>
      <c r="AU48" s="1">
        <v>482850</v>
      </c>
      <c r="AV48" s="1">
        <v>476993</v>
      </c>
    </row>
    <row r="49" spans="1:48" x14ac:dyDescent="0.35">
      <c r="A49" s="32">
        <f t="shared" si="1"/>
        <v>47</v>
      </c>
      <c r="B49" s="20">
        <v>46074</v>
      </c>
      <c r="C49" s="20">
        <v>46074</v>
      </c>
      <c r="D49" s="10" t="s">
        <v>38</v>
      </c>
      <c r="E49" s="10" t="s">
        <v>39</v>
      </c>
      <c r="F49" s="10" t="s">
        <v>40</v>
      </c>
      <c r="G49" s="10" t="s">
        <v>41</v>
      </c>
      <c r="H49" s="10" t="s">
        <v>118</v>
      </c>
      <c r="I49" s="10" t="s">
        <v>119</v>
      </c>
      <c r="J49" s="10" t="s">
        <v>265</v>
      </c>
      <c r="K49" s="33" t="s">
        <v>266</v>
      </c>
      <c r="L49" s="10">
        <v>841</v>
      </c>
      <c r="M49" s="10">
        <v>72612</v>
      </c>
      <c r="N49" s="10">
        <v>597</v>
      </c>
      <c r="O49" s="22">
        <f t="shared" si="5"/>
        <v>51440</v>
      </c>
      <c r="P49" s="22">
        <v>50843</v>
      </c>
      <c r="Q49" s="10">
        <v>521</v>
      </c>
      <c r="R49" s="10">
        <v>0</v>
      </c>
      <c r="S49" s="10">
        <v>76</v>
      </c>
      <c r="T49" s="10">
        <f t="shared" si="7"/>
        <v>304</v>
      </c>
      <c r="U49" s="22">
        <f>Table46[[#This Row],[NET WT KGS]]-Table46[[#This Row],[Refraction]]</f>
        <v>50539</v>
      </c>
      <c r="V49" s="23">
        <v>465</v>
      </c>
      <c r="W49" s="23">
        <f>Table46[[#This Row],[PRICE]]*Table46[[#This Row],[PAID WT]]</f>
        <v>23500635</v>
      </c>
      <c r="X49" s="24">
        <v>8.5</v>
      </c>
      <c r="Y49" s="25">
        <v>178</v>
      </c>
      <c r="Z49" s="24">
        <v>45.67</v>
      </c>
      <c r="AA49" s="26"/>
      <c r="AB49" s="10" t="s">
        <v>46</v>
      </c>
      <c r="AC49" s="27"/>
      <c r="AD49" s="28" t="s">
        <v>47</v>
      </c>
      <c r="AE49" s="18">
        <f>Table46[[#This Row],[MOIS.]]*Table46[[#This Row],[NET WT KGS]]</f>
        <v>432165.5</v>
      </c>
      <c r="AF49" s="18">
        <f>Table46[[#This Row],[KOR]]*Table46[[#This Row],[NET WT KGS]]</f>
        <v>2321999.81</v>
      </c>
      <c r="AG49">
        <f>Table46[[#This Row],[NET WT KGS]]*Table46[[#This Row],[NUT COUNT]]</f>
        <v>9050054</v>
      </c>
      <c r="AJ49" t="s">
        <v>210</v>
      </c>
      <c r="AK49" s="29">
        <v>304429</v>
      </c>
      <c r="AL49" s="1">
        <v>498.57142857142856</v>
      </c>
      <c r="AM49" s="1">
        <v>10.325000000000001</v>
      </c>
      <c r="AN49" s="1">
        <v>175.25</v>
      </c>
      <c r="AO49" s="1">
        <v>42.760039166666672</v>
      </c>
      <c r="AP49" s="30" t="s">
        <v>267</v>
      </c>
      <c r="AQ49">
        <f>VLOOKUP(AP49,Table46[[#All],[LBA CODE]:[FICHE CODE]],3,0)</f>
        <v>0</v>
      </c>
      <c r="AS49" s="34" t="s">
        <v>268</v>
      </c>
      <c r="AT49" t="s">
        <v>62</v>
      </c>
      <c r="AU49" s="1">
        <v>439390</v>
      </c>
      <c r="AV49" s="1">
        <v>434175</v>
      </c>
    </row>
    <row r="50" spans="1:48" x14ac:dyDescent="0.35">
      <c r="A50" s="32">
        <f t="shared" si="1"/>
        <v>48</v>
      </c>
      <c r="B50" s="20">
        <v>46074</v>
      </c>
      <c r="C50" s="20">
        <v>46074</v>
      </c>
      <c r="D50" s="10" t="s">
        <v>38</v>
      </c>
      <c r="E50" s="10" t="s">
        <v>39</v>
      </c>
      <c r="F50" s="10" t="s">
        <v>40</v>
      </c>
      <c r="G50" s="10" t="s">
        <v>41</v>
      </c>
      <c r="H50" s="10" t="s">
        <v>74</v>
      </c>
      <c r="I50" s="10" t="s">
        <v>75</v>
      </c>
      <c r="J50" s="10" t="s">
        <v>269</v>
      </c>
      <c r="K50" s="33" t="s">
        <v>77</v>
      </c>
      <c r="L50" s="10">
        <v>838</v>
      </c>
      <c r="M50" s="10">
        <v>64710</v>
      </c>
      <c r="N50" s="10">
        <v>550</v>
      </c>
      <c r="O50" s="22">
        <f t="shared" si="5"/>
        <v>47460</v>
      </c>
      <c r="P50" s="22">
        <v>46910</v>
      </c>
      <c r="Q50" s="10">
        <v>488</v>
      </c>
      <c r="R50" s="10">
        <v>0</v>
      </c>
      <c r="S50" s="10">
        <v>62</v>
      </c>
      <c r="T50" s="10">
        <f t="shared" si="7"/>
        <v>248</v>
      </c>
      <c r="U50" s="22">
        <f>Table46[[#This Row],[NET WT KGS]]-Table46[[#This Row],[Refraction]]</f>
        <v>46662</v>
      </c>
      <c r="V50" s="48">
        <v>475</v>
      </c>
      <c r="W50" s="23">
        <f>Table46[[#This Row],[PRICE]]*Table46[[#This Row],[PAID WT]]</f>
        <v>22164450</v>
      </c>
      <c r="X50" s="24">
        <v>9.6999999999999993</v>
      </c>
      <c r="Y50" s="25">
        <v>163</v>
      </c>
      <c r="Z50" s="24">
        <v>46.72</v>
      </c>
      <c r="AA50" s="26">
        <v>46.9</v>
      </c>
      <c r="AB50" s="10" t="s">
        <v>78</v>
      </c>
      <c r="AC50" s="27"/>
      <c r="AD50" s="28" t="s">
        <v>47</v>
      </c>
      <c r="AE50" s="18">
        <f>Table46[[#This Row],[MOIS.]]*Table46[[#This Row],[NET WT KGS]]</f>
        <v>455026.99999999994</v>
      </c>
      <c r="AF50" s="18">
        <f>Table46[[#This Row],[KOR]]*Table46[[#This Row],[NET WT KGS]]</f>
        <v>2191635.1999999997</v>
      </c>
      <c r="AG50">
        <f>Table46[[#This Row],[NET WT KGS]]*Table46[[#This Row],[NUT COUNT]]</f>
        <v>7646330</v>
      </c>
      <c r="AJ50" t="s">
        <v>214</v>
      </c>
      <c r="AK50" s="29">
        <v>237319</v>
      </c>
      <c r="AL50" s="1">
        <v>503.33333333333331</v>
      </c>
      <c r="AM50" s="1">
        <v>10.309999999999999</v>
      </c>
      <c r="AN50" s="1">
        <v>173.5</v>
      </c>
      <c r="AO50" s="1">
        <v>42.653224999999999</v>
      </c>
      <c r="AP50" s="30" t="s">
        <v>270</v>
      </c>
      <c r="AQ50">
        <f>VLOOKUP(AP50,Table46[[#All],[LBA CODE]:[FICHE CODE]],3,0)</f>
        <v>0</v>
      </c>
      <c r="AS50" s="34" t="s">
        <v>271</v>
      </c>
      <c r="AT50" t="s">
        <v>62</v>
      </c>
      <c r="AU50" s="1">
        <v>198980</v>
      </c>
      <c r="AV50" s="1">
        <v>196633</v>
      </c>
    </row>
    <row r="51" spans="1:48" x14ac:dyDescent="0.35">
      <c r="A51" s="32">
        <f t="shared" si="1"/>
        <v>49</v>
      </c>
      <c r="B51" s="20">
        <v>46074</v>
      </c>
      <c r="C51" s="20">
        <v>46074</v>
      </c>
      <c r="D51" s="10" t="s">
        <v>38</v>
      </c>
      <c r="E51" s="10" t="s">
        <v>39</v>
      </c>
      <c r="F51" s="10" t="s">
        <v>40</v>
      </c>
      <c r="G51" s="10" t="s">
        <v>86</v>
      </c>
      <c r="H51" s="10" t="s">
        <v>74</v>
      </c>
      <c r="I51" s="10" t="s">
        <v>75</v>
      </c>
      <c r="J51" s="10" t="s">
        <v>272</v>
      </c>
      <c r="K51" s="33" t="s">
        <v>77</v>
      </c>
      <c r="L51" s="10">
        <v>843</v>
      </c>
      <c r="M51" s="10">
        <v>72597</v>
      </c>
      <c r="N51" s="10">
        <v>552</v>
      </c>
      <c r="O51" s="22">
        <f t="shared" si="5"/>
        <v>48000</v>
      </c>
      <c r="P51" s="22">
        <v>47448</v>
      </c>
      <c r="Q51" s="10">
        <v>518</v>
      </c>
      <c r="R51" s="10">
        <v>0</v>
      </c>
      <c r="S51" s="10">
        <v>34</v>
      </c>
      <c r="T51" s="10">
        <f t="shared" si="7"/>
        <v>136</v>
      </c>
      <c r="U51" s="22">
        <f>Table46[[#This Row],[NET WT KGS]]-Table46[[#This Row],[Refraction]]</f>
        <v>47312</v>
      </c>
      <c r="V51" s="48">
        <v>480</v>
      </c>
      <c r="W51" s="23">
        <f>Table46[[#This Row],[PRICE]]*Table46[[#This Row],[PAID WT]]</f>
        <v>22709760</v>
      </c>
      <c r="X51" s="24">
        <v>9.8000000000000007</v>
      </c>
      <c r="Y51" s="25">
        <v>166</v>
      </c>
      <c r="Z51" s="24">
        <v>48.04</v>
      </c>
      <c r="AA51" s="26"/>
      <c r="AB51" s="10" t="s">
        <v>78</v>
      </c>
      <c r="AC51" s="27"/>
      <c r="AD51" s="28" t="s">
        <v>47</v>
      </c>
      <c r="AE51" s="18">
        <f>Table46[[#This Row],[MOIS.]]*Table46[[#This Row],[NET WT KGS]]</f>
        <v>464990.4</v>
      </c>
      <c r="AF51" s="18">
        <f>Table46[[#This Row],[KOR]]*Table46[[#This Row],[NET WT KGS]]</f>
        <v>2279401.92</v>
      </c>
      <c r="AG51">
        <f>Table46[[#This Row],[NET WT KGS]]*Table46[[#This Row],[NUT COUNT]]</f>
        <v>7876368</v>
      </c>
      <c r="AJ51" t="s">
        <v>220</v>
      </c>
      <c r="AK51" s="29">
        <v>298602</v>
      </c>
      <c r="AL51" s="1">
        <v>507.5</v>
      </c>
      <c r="AM51" s="1">
        <v>10.761538461538462</v>
      </c>
      <c r="AN51" s="1">
        <v>167.76923076923077</v>
      </c>
      <c r="AO51" s="1">
        <v>43.342399230769232</v>
      </c>
      <c r="AP51" s="30" t="s">
        <v>273</v>
      </c>
      <c r="AQ51">
        <f>VLOOKUP(AP51,Table46[[#All],[LBA CODE]:[FICHE CODE]],3,0)</f>
        <v>0</v>
      </c>
      <c r="AS51" s="34" t="s">
        <v>274</v>
      </c>
      <c r="AT51" t="s">
        <v>62</v>
      </c>
      <c r="AU51" s="1">
        <v>100670</v>
      </c>
      <c r="AV51" s="1">
        <v>99491</v>
      </c>
    </row>
    <row r="52" spans="1:48" x14ac:dyDescent="0.35">
      <c r="A52" s="32">
        <f t="shared" si="1"/>
        <v>50</v>
      </c>
      <c r="B52" s="20">
        <v>46074</v>
      </c>
      <c r="C52" s="20">
        <v>46074</v>
      </c>
      <c r="D52" s="10" t="s">
        <v>38</v>
      </c>
      <c r="E52" s="10" t="s">
        <v>39</v>
      </c>
      <c r="F52" s="10" t="s">
        <v>40</v>
      </c>
      <c r="G52" s="10" t="s">
        <v>41</v>
      </c>
      <c r="H52" s="10" t="s">
        <v>54</v>
      </c>
      <c r="I52" s="10" t="s">
        <v>55</v>
      </c>
      <c r="J52" s="10" t="s">
        <v>275</v>
      </c>
      <c r="K52" s="33" t="s">
        <v>57</v>
      </c>
      <c r="L52" s="10">
        <v>845</v>
      </c>
      <c r="M52" s="10">
        <v>72559</v>
      </c>
      <c r="N52" s="10">
        <v>599</v>
      </c>
      <c r="O52" s="22">
        <f t="shared" si="5"/>
        <v>50840</v>
      </c>
      <c r="P52" s="22">
        <v>50241</v>
      </c>
      <c r="Q52" s="10">
        <v>544</v>
      </c>
      <c r="R52" s="10">
        <v>0</v>
      </c>
      <c r="S52" s="10">
        <v>55</v>
      </c>
      <c r="T52" s="10">
        <f t="shared" si="7"/>
        <v>220</v>
      </c>
      <c r="U52" s="22">
        <f>Table46[[#This Row],[NET WT KGS]]-Table46[[#This Row],[Refraction]]</f>
        <v>50021</v>
      </c>
      <c r="V52" s="48">
        <v>490</v>
      </c>
      <c r="W52" s="48">
        <f>Table46[[#This Row],[PRICE]]*Table46[[#This Row],[PAID WT]]</f>
        <v>24510290</v>
      </c>
      <c r="X52" s="24">
        <v>8.1</v>
      </c>
      <c r="Y52" s="25">
        <v>170</v>
      </c>
      <c r="Z52" s="24">
        <v>46.11</v>
      </c>
      <c r="AA52" s="26"/>
      <c r="AB52" s="10" t="s">
        <v>58</v>
      </c>
      <c r="AC52" s="27"/>
      <c r="AD52" s="28" t="s">
        <v>47</v>
      </c>
      <c r="AE52" s="18">
        <f>Table46[[#This Row],[MOIS.]]*Table46[[#This Row],[NET WT KGS]]</f>
        <v>406952.1</v>
      </c>
      <c r="AF52" s="18">
        <f>Table46[[#This Row],[KOR]]*Table46[[#This Row],[NET WT KGS]]</f>
        <v>2316612.5099999998</v>
      </c>
      <c r="AG52">
        <f>Table46[[#This Row],[NET WT KGS]]*Table46[[#This Row],[NUT COUNT]]</f>
        <v>8540970</v>
      </c>
      <c r="AJ52" t="s">
        <v>223</v>
      </c>
      <c r="AK52" s="29">
        <v>271057</v>
      </c>
      <c r="AL52" s="1">
        <v>505.83333333333331</v>
      </c>
      <c r="AM52" s="1">
        <v>10.379999999999999</v>
      </c>
      <c r="AN52" s="1">
        <v>172.8</v>
      </c>
      <c r="AO52" s="1">
        <v>42.107211</v>
      </c>
      <c r="AP52" s="30" t="s">
        <v>119</v>
      </c>
      <c r="AQ52">
        <f>VLOOKUP(AP52,Table46[[#All],[LBA CODE]:[FICHE CODE]],3,0)</f>
        <v>0</v>
      </c>
      <c r="AS52" s="34" t="s">
        <v>276</v>
      </c>
      <c r="AT52" t="s">
        <v>62</v>
      </c>
      <c r="AU52" s="1">
        <v>288720</v>
      </c>
      <c r="AV52" s="1">
        <v>285244</v>
      </c>
    </row>
    <row r="53" spans="1:48" x14ac:dyDescent="0.35">
      <c r="A53" s="32">
        <f t="shared" si="1"/>
        <v>51</v>
      </c>
      <c r="B53" s="20">
        <v>46074</v>
      </c>
      <c r="C53" s="20">
        <v>46074</v>
      </c>
      <c r="D53" s="10" t="s">
        <v>38</v>
      </c>
      <c r="E53" s="10" t="s">
        <v>39</v>
      </c>
      <c r="F53" s="10" t="s">
        <v>40</v>
      </c>
      <c r="G53" s="10" t="s">
        <v>41</v>
      </c>
      <c r="H53" s="10" t="s">
        <v>123</v>
      </c>
      <c r="I53" s="10" t="s">
        <v>124</v>
      </c>
      <c r="J53" s="10" t="s">
        <v>277</v>
      </c>
      <c r="K53" s="21" t="s">
        <v>161</v>
      </c>
      <c r="L53" s="10">
        <v>840</v>
      </c>
      <c r="M53" s="10">
        <v>72505</v>
      </c>
      <c r="N53" s="10">
        <v>568</v>
      </c>
      <c r="O53" s="22">
        <f t="shared" si="5"/>
        <v>47760</v>
      </c>
      <c r="P53" s="22">
        <v>47192</v>
      </c>
      <c r="Q53" s="10">
        <v>535</v>
      </c>
      <c r="R53" s="10">
        <v>0</v>
      </c>
      <c r="S53" s="10">
        <v>33</v>
      </c>
      <c r="T53" s="10">
        <f t="shared" si="7"/>
        <v>132</v>
      </c>
      <c r="U53" s="22">
        <f>Table46[[#This Row],[NET WT KGS]]-Table46[[#This Row],[Refraction]]</f>
        <v>47060</v>
      </c>
      <c r="V53" s="48">
        <v>475</v>
      </c>
      <c r="W53" s="23">
        <f>Table46[[#This Row],[PRICE]]*Table46[[#This Row],[PAID WT]]</f>
        <v>22353500</v>
      </c>
      <c r="X53" s="24">
        <v>8.6999999999999993</v>
      </c>
      <c r="Y53" s="25">
        <v>166</v>
      </c>
      <c r="Z53" s="24">
        <v>46.64</v>
      </c>
      <c r="AA53" s="26"/>
      <c r="AB53" s="10" t="s">
        <v>58</v>
      </c>
      <c r="AC53" s="27"/>
      <c r="AD53" s="28" t="s">
        <v>47</v>
      </c>
      <c r="AE53" s="18">
        <f>Table46[[#This Row],[MOIS.]]*Table46[[#This Row],[NET WT KGS]]</f>
        <v>410570.39999999997</v>
      </c>
      <c r="AF53" s="18">
        <f>Table46[[#This Row],[KOR]]*Table46[[#This Row],[NET WT KGS]]</f>
        <v>2201034.88</v>
      </c>
      <c r="AG53">
        <f>Table46[[#This Row],[NET WT KGS]]*Table46[[#This Row],[NUT COUNT]]</f>
        <v>7833872</v>
      </c>
      <c r="AJ53" t="s">
        <v>278</v>
      </c>
      <c r="AK53" s="29">
        <v>258113</v>
      </c>
      <c r="AL53" s="1">
        <v>496.42857142857144</v>
      </c>
      <c r="AM53" s="1">
        <v>9.85</v>
      </c>
      <c r="AN53" s="1">
        <v>170</v>
      </c>
      <c r="AO53" s="1">
        <v>41.998708000000008</v>
      </c>
      <c r="AP53" s="30" t="s">
        <v>129</v>
      </c>
      <c r="AQ53" t="str">
        <f>VLOOKUP(AP53,Table46[[#All],[LBA CODE]:[FICHE CODE]],3,0)</f>
        <v>0419-0180</v>
      </c>
      <c r="AS53" s="34" t="s">
        <v>279</v>
      </c>
      <c r="AT53" t="s">
        <v>62</v>
      </c>
      <c r="AU53" s="1">
        <v>382515</v>
      </c>
      <c r="AV53" s="1">
        <v>377812</v>
      </c>
    </row>
    <row r="54" spans="1:48" x14ac:dyDescent="0.35">
      <c r="A54" s="32">
        <f t="shared" si="1"/>
        <v>52</v>
      </c>
      <c r="B54" s="20">
        <v>46074</v>
      </c>
      <c r="C54" s="20">
        <v>46074</v>
      </c>
      <c r="D54" s="10" t="s">
        <v>38</v>
      </c>
      <c r="E54" s="10" t="s">
        <v>39</v>
      </c>
      <c r="F54" s="10" t="s">
        <v>40</v>
      </c>
      <c r="G54" s="10" t="s">
        <v>86</v>
      </c>
      <c r="H54" s="10" t="s">
        <v>280</v>
      </c>
      <c r="I54" s="10" t="s">
        <v>281</v>
      </c>
      <c r="J54" s="10" t="s">
        <v>282</v>
      </c>
      <c r="K54" s="21" t="s">
        <v>283</v>
      </c>
      <c r="L54" s="10">
        <v>842</v>
      </c>
      <c r="M54" s="10">
        <v>72593</v>
      </c>
      <c r="N54" s="10">
        <v>537</v>
      </c>
      <c r="O54" s="22">
        <f t="shared" si="5"/>
        <v>46380</v>
      </c>
      <c r="P54" s="22">
        <v>45843</v>
      </c>
      <c r="Q54" s="10">
        <v>516</v>
      </c>
      <c r="R54" s="10">
        <v>0</v>
      </c>
      <c r="S54" s="10">
        <v>21</v>
      </c>
      <c r="T54" s="10">
        <f>S54*4+R54*40</f>
        <v>84</v>
      </c>
      <c r="U54" s="22">
        <f>Table46[[#This Row],[NET WT KGS]]-Table46[[#This Row],[Refraction]]</f>
        <v>45759</v>
      </c>
      <c r="V54" s="48">
        <v>475</v>
      </c>
      <c r="W54" s="23">
        <f>Table46[[#This Row],[PRICE]]*Table46[[#This Row],[PAID WT]]</f>
        <v>21735525</v>
      </c>
      <c r="X54" s="24">
        <v>9</v>
      </c>
      <c r="Y54" s="25">
        <v>165</v>
      </c>
      <c r="Z54" s="24">
        <v>48.92</v>
      </c>
      <c r="AA54" s="26"/>
      <c r="AB54" s="10" t="s">
        <v>284</v>
      </c>
      <c r="AC54" s="27"/>
      <c r="AD54" s="28" t="s">
        <v>47</v>
      </c>
      <c r="AE54" s="18">
        <f>Table46[[#This Row],[MOIS.]]*Table46[[#This Row],[NET WT KGS]]</f>
        <v>412587</v>
      </c>
      <c r="AF54" s="18">
        <f>Table46[[#This Row],[KOR]]*Table46[[#This Row],[NET WT KGS]]</f>
        <v>2242639.56</v>
      </c>
      <c r="AG54">
        <f>Table46[[#This Row],[NET WT KGS]]*Table46[[#This Row],[NUT COUNT]]</f>
        <v>7564095</v>
      </c>
      <c r="AJ54" t="s">
        <v>226</v>
      </c>
      <c r="AK54" s="29">
        <v>412128</v>
      </c>
      <c r="AL54" s="1">
        <v>500</v>
      </c>
      <c r="AM54" s="1">
        <v>10.592307692307694</v>
      </c>
      <c r="AN54" s="1">
        <v>167.76923076923077</v>
      </c>
      <c r="AO54" s="1">
        <v>42.446835384615376</v>
      </c>
      <c r="AP54" s="30" t="s">
        <v>75</v>
      </c>
      <c r="AQ54" t="str">
        <f>VLOOKUP(AP54,Table46[[#All],[LBA CODE]:[FICHE CODE]],3,0)</f>
        <v>0426-0187</v>
      </c>
      <c r="AS54" s="34" t="s">
        <v>285</v>
      </c>
      <c r="AT54" t="s">
        <v>62</v>
      </c>
      <c r="AU54" s="1">
        <v>467200</v>
      </c>
      <c r="AV54" s="1">
        <v>461534</v>
      </c>
    </row>
    <row r="55" spans="1:48" x14ac:dyDescent="0.35">
      <c r="A55" s="32">
        <f t="shared" si="1"/>
        <v>53</v>
      </c>
      <c r="B55" s="20">
        <v>46074</v>
      </c>
      <c r="C55" s="20">
        <v>46074</v>
      </c>
      <c r="D55" s="10" t="s">
        <v>38</v>
      </c>
      <c r="E55" s="10" t="s">
        <v>39</v>
      </c>
      <c r="F55" s="10" t="s">
        <v>40</v>
      </c>
      <c r="G55" s="10" t="s">
        <v>41</v>
      </c>
      <c r="H55" s="10" t="s">
        <v>286</v>
      </c>
      <c r="I55" s="10" t="s">
        <v>287</v>
      </c>
      <c r="J55" s="10" t="s">
        <v>288</v>
      </c>
      <c r="K55" s="21" t="s">
        <v>289</v>
      </c>
      <c r="L55" s="10">
        <v>844</v>
      </c>
      <c r="M55" s="10">
        <v>68145</v>
      </c>
      <c r="N55" s="10">
        <v>520</v>
      </c>
      <c r="O55" s="22">
        <f t="shared" si="5"/>
        <v>40740</v>
      </c>
      <c r="P55" s="22">
        <v>40220</v>
      </c>
      <c r="Q55" s="10">
        <v>493</v>
      </c>
      <c r="R55" s="10">
        <v>0</v>
      </c>
      <c r="S55" s="10">
        <v>27</v>
      </c>
      <c r="T55" s="10">
        <f>S55*4+R55*40</f>
        <v>108</v>
      </c>
      <c r="U55" s="22">
        <f>Table46[[#This Row],[NET WT KGS]]-Table46[[#This Row],[Refraction]]</f>
        <v>40112</v>
      </c>
      <c r="V55" s="23">
        <v>475</v>
      </c>
      <c r="W55" s="23">
        <f>Table46[[#This Row],[PRICE]]*Table46[[#This Row],[PAID WT]]</f>
        <v>19053200</v>
      </c>
      <c r="X55" s="24">
        <v>9.3000000000000007</v>
      </c>
      <c r="Y55" s="25">
        <v>166</v>
      </c>
      <c r="Z55" s="24">
        <v>46.11</v>
      </c>
      <c r="AA55" s="26"/>
      <c r="AB55" s="10" t="s">
        <v>46</v>
      </c>
      <c r="AC55" s="27"/>
      <c r="AD55" s="28" t="s">
        <v>47</v>
      </c>
      <c r="AE55" s="18">
        <f>Table46[[#This Row],[MOIS.]]*Table46[[#This Row],[NET WT KGS]]</f>
        <v>374046</v>
      </c>
      <c r="AF55" s="18">
        <f>Table46[[#This Row],[KOR]]*Table46[[#This Row],[NET WT KGS]]</f>
        <v>1854544.2</v>
      </c>
      <c r="AG55">
        <f>Table46[[#This Row],[NET WT KGS]]*Table46[[#This Row],[NUT COUNT]]</f>
        <v>6676520</v>
      </c>
      <c r="AJ55" t="s">
        <v>290</v>
      </c>
      <c r="AK55" s="29">
        <v>126840</v>
      </c>
      <c r="AL55" s="1">
        <v>501.66666666666669</v>
      </c>
      <c r="AM55" s="1">
        <v>11.342857142857142</v>
      </c>
      <c r="AN55" s="1">
        <v>164.42857142857142</v>
      </c>
      <c r="AO55" s="1">
        <v>40.613549999999996</v>
      </c>
      <c r="AP55" s="30" t="s">
        <v>137</v>
      </c>
      <c r="AQ55" t="str">
        <f>VLOOKUP(AP55,Table46[[#All],[LBA CODE]:[FICHE CODE]],3,0)</f>
        <v>0425-0212</v>
      </c>
      <c r="AS55" s="34" t="s">
        <v>291</v>
      </c>
      <c r="AT55" t="s">
        <v>62</v>
      </c>
      <c r="AU55" s="1">
        <v>82130</v>
      </c>
      <c r="AV55" s="1">
        <v>81152</v>
      </c>
    </row>
    <row r="56" spans="1:48" x14ac:dyDescent="0.35">
      <c r="A56" s="32">
        <f t="shared" si="1"/>
        <v>54</v>
      </c>
      <c r="B56" s="35">
        <v>46074</v>
      </c>
      <c r="C56" s="35">
        <f>Table46[[#This Row],[DATE OF ARRIVAL]]</f>
        <v>46074</v>
      </c>
      <c r="D56" s="36" t="s">
        <v>38</v>
      </c>
      <c r="E56" s="36" t="s">
        <v>258</v>
      </c>
      <c r="F56" s="36" t="s">
        <v>40</v>
      </c>
      <c r="G56" s="36"/>
      <c r="H56" s="36" t="s">
        <v>259</v>
      </c>
      <c r="I56" s="36" t="s">
        <v>60</v>
      </c>
      <c r="J56" s="36" t="s">
        <v>292</v>
      </c>
      <c r="K56" s="36"/>
      <c r="L56" s="36"/>
      <c r="M56" s="36"/>
      <c r="N56" s="36">
        <v>0</v>
      </c>
      <c r="O56" s="37">
        <f t="shared" si="5"/>
        <v>0</v>
      </c>
      <c r="P56" s="37"/>
      <c r="Q56" s="36"/>
      <c r="R56" s="36"/>
      <c r="S56" s="36"/>
      <c r="T56" s="36"/>
      <c r="U56" s="37">
        <f>Table46[[#This Row],[NET WT KGS]]-Table46[[#This Row],[Refraction]]</f>
        <v>0</v>
      </c>
      <c r="V56" s="38"/>
      <c r="W56" s="38">
        <f>Table46[[#This Row],[PRICE]]*Table46[[#This Row],[PAID WT]]</f>
        <v>0</v>
      </c>
      <c r="X56" s="39">
        <v>7.4</v>
      </c>
      <c r="Y56" s="40">
        <v>183</v>
      </c>
      <c r="Z56" s="39">
        <v>42.5</v>
      </c>
      <c r="AA56" s="41"/>
      <c r="AB56" s="36" t="s">
        <v>46</v>
      </c>
      <c r="AC56" s="42" t="s">
        <v>70</v>
      </c>
      <c r="AD56" s="28"/>
      <c r="AE56" s="18">
        <f>Table46[[#This Row],[MOIS.]]*Table46[[#This Row],[NET WT KGS]]</f>
        <v>0</v>
      </c>
      <c r="AF56" s="18">
        <f>Table46[[#This Row],[KOR]]*Table46[[#This Row],[NET WT KGS]]</f>
        <v>0</v>
      </c>
      <c r="AG56">
        <f>Table46[[#This Row],[NET WT KGS]]*Table46[[#This Row],[NUT COUNT]]</f>
        <v>0</v>
      </c>
      <c r="AJ56" t="s">
        <v>229</v>
      </c>
      <c r="AK56" s="29">
        <v>647611</v>
      </c>
      <c r="AL56" s="1">
        <v>507.5</v>
      </c>
      <c r="AM56" s="1">
        <v>10.633333333333335</v>
      </c>
      <c r="AN56" s="1">
        <v>173.46666666666667</v>
      </c>
      <c r="AO56" s="1">
        <v>43.176582000000003</v>
      </c>
      <c r="AP56" s="30" t="s">
        <v>194</v>
      </c>
      <c r="AQ56" t="str">
        <f>VLOOKUP(AP56,Table46[[#All],[LBA CODE]:[FICHE CODE]],3,0)</f>
        <v>0429-0005</v>
      </c>
      <c r="AS56" s="34" t="s">
        <v>293</v>
      </c>
      <c r="AT56" t="s">
        <v>62</v>
      </c>
      <c r="AU56" s="1">
        <v>419980</v>
      </c>
      <c r="AV56" s="1">
        <v>415124</v>
      </c>
    </row>
    <row r="57" spans="1:48" x14ac:dyDescent="0.35">
      <c r="A57" s="32">
        <f t="shared" si="1"/>
        <v>55</v>
      </c>
      <c r="B57" s="35">
        <v>46074</v>
      </c>
      <c r="C57" s="35">
        <f>Table46[[#This Row],[DATE OF ARRIVAL]]</f>
        <v>46074</v>
      </c>
      <c r="D57" s="36" t="s">
        <v>38</v>
      </c>
      <c r="E57" s="36" t="s">
        <v>39</v>
      </c>
      <c r="F57" s="36" t="s">
        <v>40</v>
      </c>
      <c r="G57" s="36"/>
      <c r="H57" s="36" t="s">
        <v>136</v>
      </c>
      <c r="I57" s="36" t="s">
        <v>137</v>
      </c>
      <c r="J57" s="36" t="s">
        <v>294</v>
      </c>
      <c r="K57" s="36"/>
      <c r="L57" s="36"/>
      <c r="M57" s="36"/>
      <c r="N57" s="36">
        <v>0</v>
      </c>
      <c r="O57" s="37">
        <f t="shared" si="5"/>
        <v>0</v>
      </c>
      <c r="P57" s="37"/>
      <c r="Q57" s="36"/>
      <c r="R57" s="36"/>
      <c r="S57" s="36"/>
      <c r="T57" s="36"/>
      <c r="U57" s="37">
        <f>Table46[[#This Row],[NET WT KGS]]-Table46[[#This Row],[Refraction]]</f>
        <v>0</v>
      </c>
      <c r="V57" s="38"/>
      <c r="W57" s="38">
        <f>Table46[[#This Row],[PRICE]]*Table46[[#This Row],[PAID WT]]</f>
        <v>0</v>
      </c>
      <c r="X57" s="39">
        <v>8.5</v>
      </c>
      <c r="Y57" s="40">
        <v>173</v>
      </c>
      <c r="Z57" s="39">
        <v>45.05</v>
      </c>
      <c r="AA57" s="41"/>
      <c r="AB57" s="36" t="s">
        <v>140</v>
      </c>
      <c r="AC57" s="42" t="s">
        <v>70</v>
      </c>
      <c r="AD57" s="28"/>
      <c r="AE57" s="18">
        <f>Table46[[#This Row],[MOIS.]]*Table46[[#This Row],[NET WT KGS]]</f>
        <v>0</v>
      </c>
      <c r="AF57" s="18">
        <f>Table46[[#This Row],[KOR]]*Table46[[#This Row],[NET WT KGS]]</f>
        <v>0</v>
      </c>
      <c r="AG57">
        <f>Table46[[#This Row],[NET WT KGS]]*Table46[[#This Row],[NUT COUNT]]</f>
        <v>0</v>
      </c>
      <c r="AJ57" t="s">
        <v>232</v>
      </c>
      <c r="AK57" s="29">
        <v>362585</v>
      </c>
      <c r="AL57" s="1">
        <v>503.33333333333331</v>
      </c>
      <c r="AM57" s="1">
        <v>11.142857142857144</v>
      </c>
      <c r="AN57" s="1">
        <v>165.42857142857142</v>
      </c>
      <c r="AO57" s="1">
        <v>41.916743571428569</v>
      </c>
      <c r="AP57" s="30" t="s">
        <v>43</v>
      </c>
      <c r="AQ57" t="str">
        <f>VLOOKUP(AP57,Table46[[#All],[LBA CODE]:[FICHE CODE]],3,0)</f>
        <v>0401-0007</v>
      </c>
      <c r="AS57" s="34" t="s">
        <v>295</v>
      </c>
      <c r="AT57" t="s">
        <v>62</v>
      </c>
      <c r="AU57" s="1">
        <v>302340</v>
      </c>
      <c r="AV57" s="1">
        <v>298680</v>
      </c>
    </row>
    <row r="58" spans="1:48" x14ac:dyDescent="0.35">
      <c r="A58" s="32">
        <f t="shared" si="1"/>
        <v>56</v>
      </c>
      <c r="B58" s="35">
        <v>46074</v>
      </c>
      <c r="C58" s="35">
        <f>Table46[[#This Row],[DATE OF ARRIVAL]]</f>
        <v>46074</v>
      </c>
      <c r="D58" s="36" t="s">
        <v>38</v>
      </c>
      <c r="E58" s="36" t="s">
        <v>39</v>
      </c>
      <c r="F58" s="36" t="s">
        <v>40</v>
      </c>
      <c r="G58" s="36"/>
      <c r="H58" s="36" t="s">
        <v>235</v>
      </c>
      <c r="I58" s="36" t="s">
        <v>236</v>
      </c>
      <c r="J58" s="36" t="s">
        <v>296</v>
      </c>
      <c r="K58" s="36"/>
      <c r="L58" s="36"/>
      <c r="M58" s="36"/>
      <c r="N58" s="36">
        <v>0</v>
      </c>
      <c r="O58" s="37">
        <f t="shared" si="5"/>
        <v>0</v>
      </c>
      <c r="P58" s="37"/>
      <c r="Q58" s="36"/>
      <c r="R58" s="36"/>
      <c r="S58" s="36"/>
      <c r="T58" s="36"/>
      <c r="U58" s="37">
        <f>Table46[[#This Row],[NET WT KGS]]-Table46[[#This Row],[Refraction]]</f>
        <v>0</v>
      </c>
      <c r="V58" s="38"/>
      <c r="W58" s="38">
        <f>Table46[[#This Row],[PRICE]]*Table46[[#This Row],[PAID WT]]</f>
        <v>0</v>
      </c>
      <c r="X58" s="39">
        <v>8.5</v>
      </c>
      <c r="Y58" s="40">
        <v>164</v>
      </c>
      <c r="Z58" s="39">
        <v>44.35</v>
      </c>
      <c r="AA58" s="41"/>
      <c r="AB58" s="36" t="s">
        <v>182</v>
      </c>
      <c r="AC58" s="42" t="s">
        <v>70</v>
      </c>
      <c r="AD58" s="28"/>
      <c r="AE58" s="18">
        <f>Table46[[#This Row],[MOIS.]]*Table46[[#This Row],[NET WT KGS]]</f>
        <v>0</v>
      </c>
      <c r="AF58" s="18">
        <f>Table46[[#This Row],[KOR]]*Table46[[#This Row],[NET WT KGS]]</f>
        <v>0</v>
      </c>
      <c r="AG58">
        <f>Table46[[#This Row],[NET WT KGS]]*Table46[[#This Row],[NUT COUNT]]</f>
        <v>0</v>
      </c>
      <c r="AJ58" t="s">
        <v>234</v>
      </c>
      <c r="AK58" s="29">
        <v>202580</v>
      </c>
      <c r="AL58" s="1">
        <v>506</v>
      </c>
      <c r="AM58" s="1">
        <v>11.12857142857143</v>
      </c>
      <c r="AN58" s="1">
        <v>171.71428571428572</v>
      </c>
      <c r="AO58" s="1">
        <v>41.619377857142858</v>
      </c>
      <c r="AP58" s="30" t="s">
        <v>55</v>
      </c>
      <c r="AQ58" t="str">
        <f>VLOOKUP(AP58,Table46[[#All],[LBA CODE]:[FICHE CODE]],3,0)</f>
        <v>0429-0040</v>
      </c>
      <c r="AS58" s="34" t="s">
        <v>297</v>
      </c>
      <c r="AT58" t="s">
        <v>62</v>
      </c>
      <c r="AU58" s="1">
        <v>274580</v>
      </c>
      <c r="AV58" s="1">
        <v>271348</v>
      </c>
    </row>
    <row r="59" spans="1:48" x14ac:dyDescent="0.35">
      <c r="A59" s="32">
        <f t="shared" si="1"/>
        <v>57</v>
      </c>
      <c r="B59" s="20">
        <v>46074</v>
      </c>
      <c r="C59" s="20">
        <v>46075</v>
      </c>
      <c r="D59" s="10" t="s">
        <v>38</v>
      </c>
      <c r="E59" s="10" t="s">
        <v>39</v>
      </c>
      <c r="F59" s="10" t="s">
        <v>40</v>
      </c>
      <c r="G59" s="10" t="s">
        <v>86</v>
      </c>
      <c r="H59" s="10" t="s">
        <v>193</v>
      </c>
      <c r="I59" s="10" t="s">
        <v>194</v>
      </c>
      <c r="J59" s="10" t="s">
        <v>195</v>
      </c>
      <c r="K59" s="33" t="s">
        <v>196</v>
      </c>
      <c r="L59" s="10">
        <v>848</v>
      </c>
      <c r="M59" s="10">
        <v>72554</v>
      </c>
      <c r="N59" s="10">
        <v>573</v>
      </c>
      <c r="O59" s="22">
        <f t="shared" si="5"/>
        <v>46100</v>
      </c>
      <c r="P59" s="22">
        <v>45527</v>
      </c>
      <c r="Q59" s="10">
        <v>521</v>
      </c>
      <c r="R59" s="10">
        <v>0</v>
      </c>
      <c r="S59" s="10">
        <v>52</v>
      </c>
      <c r="T59" s="10">
        <f>S59*4+R59*40</f>
        <v>208</v>
      </c>
      <c r="U59" s="22">
        <f>Table46[[#This Row],[NET WT KGS]]-Table46[[#This Row],[Refraction]]</f>
        <v>45319</v>
      </c>
      <c r="V59" s="23">
        <v>475</v>
      </c>
      <c r="W59" s="23">
        <f>Table46[[#This Row],[PRICE]]*Table46[[#This Row],[PAID WT]]</f>
        <v>21526525</v>
      </c>
      <c r="X59" s="24">
        <v>8.1</v>
      </c>
      <c r="Y59" s="25">
        <v>186</v>
      </c>
      <c r="Z59" s="24">
        <v>47.52</v>
      </c>
      <c r="AA59" s="26"/>
      <c r="AB59" s="10" t="s">
        <v>132</v>
      </c>
      <c r="AC59" s="27"/>
      <c r="AD59" s="28" t="s">
        <v>47</v>
      </c>
      <c r="AE59" s="18">
        <f>Table46[[#This Row],[MOIS.]]*Table46[[#This Row],[NET WT KGS]]</f>
        <v>368768.7</v>
      </c>
      <c r="AF59" s="18">
        <f>Table46[[#This Row],[KOR]]*Table46[[#This Row],[NET WT KGS]]</f>
        <v>2163443.04</v>
      </c>
      <c r="AG59">
        <f>Table46[[#This Row],[NET WT KGS]]*Table46[[#This Row],[NUT COUNT]]</f>
        <v>8468022</v>
      </c>
      <c r="AJ59" t="s">
        <v>240</v>
      </c>
      <c r="AK59" s="29">
        <v>665243</v>
      </c>
      <c r="AL59" s="1">
        <v>507</v>
      </c>
      <c r="AM59" s="1">
        <v>10.458823529411765</v>
      </c>
      <c r="AN59" s="1">
        <v>170.47058823529412</v>
      </c>
      <c r="AO59" s="1">
        <v>42.615301764705876</v>
      </c>
      <c r="AP59" s="30" t="s">
        <v>236</v>
      </c>
      <c r="AQ59" t="str">
        <f>VLOOKUP(AP59,Table46[[#All],[LBA CODE]:[FICHE CODE]],3,0)</f>
        <v>0420-0149</v>
      </c>
      <c r="AS59" s="34" t="s">
        <v>298</v>
      </c>
      <c r="AT59" t="s">
        <v>62</v>
      </c>
      <c r="AU59" s="1">
        <v>396890</v>
      </c>
      <c r="AV59" s="1">
        <v>392097</v>
      </c>
    </row>
    <row r="60" spans="1:48" x14ac:dyDescent="0.35">
      <c r="A60" s="32">
        <f t="shared" si="1"/>
        <v>58</v>
      </c>
      <c r="B60" s="20">
        <v>46074</v>
      </c>
      <c r="C60" s="20">
        <v>46075</v>
      </c>
      <c r="D60" s="10" t="s">
        <v>38</v>
      </c>
      <c r="E60" s="10" t="s">
        <v>39</v>
      </c>
      <c r="F60" s="10" t="s">
        <v>40</v>
      </c>
      <c r="G60" s="10" t="s">
        <v>41</v>
      </c>
      <c r="H60" s="10" t="s">
        <v>105</v>
      </c>
      <c r="I60" s="10" t="s">
        <v>106</v>
      </c>
      <c r="J60" s="10" t="s">
        <v>167</v>
      </c>
      <c r="K60" s="33" t="s">
        <v>108</v>
      </c>
      <c r="L60" s="10">
        <v>847</v>
      </c>
      <c r="M60" s="10">
        <v>66911</v>
      </c>
      <c r="N60" s="10">
        <v>244</v>
      </c>
      <c r="O60" s="22">
        <f t="shared" si="5"/>
        <v>20500</v>
      </c>
      <c r="P60" s="22">
        <v>20256</v>
      </c>
      <c r="Q60" s="10">
        <v>206</v>
      </c>
      <c r="R60" s="10">
        <v>0</v>
      </c>
      <c r="S60" s="10">
        <v>38</v>
      </c>
      <c r="T60" s="10">
        <f>S60*4+R60*40</f>
        <v>152</v>
      </c>
      <c r="U60" s="22">
        <f>Table46[[#This Row],[NET WT KGS]]-Table46[[#This Row],[Refraction]]</f>
        <v>20104</v>
      </c>
      <c r="V60" s="23">
        <v>475</v>
      </c>
      <c r="W60" s="23">
        <f>Table46[[#This Row],[PRICE]]*Table46[[#This Row],[PAID WT]]</f>
        <v>9549400</v>
      </c>
      <c r="X60" s="24">
        <v>8.5</v>
      </c>
      <c r="Y60" s="25">
        <v>172</v>
      </c>
      <c r="Z60" s="24">
        <v>46.11</v>
      </c>
      <c r="AA60" s="26"/>
      <c r="AB60" s="10" t="s">
        <v>299</v>
      </c>
      <c r="AC60" s="27"/>
      <c r="AD60" s="28" t="s">
        <v>47</v>
      </c>
      <c r="AE60" s="18">
        <f>Table46[[#This Row],[MOIS.]]*Table46[[#This Row],[NET WT KGS]]</f>
        <v>172176</v>
      </c>
      <c r="AF60" s="18">
        <f>Table46[[#This Row],[KOR]]*Table46[[#This Row],[NET WT KGS]]</f>
        <v>934004.16</v>
      </c>
      <c r="AG60">
        <f>Table46[[#This Row],[NET WT KGS]]*Table46[[#This Row],[NUT COUNT]]</f>
        <v>3484032</v>
      </c>
      <c r="AJ60" t="s">
        <v>245</v>
      </c>
      <c r="AK60" s="29">
        <v>410710</v>
      </c>
      <c r="AL60" s="1">
        <v>512.22222222222217</v>
      </c>
      <c r="AM60" s="1">
        <v>11.254545454545456</v>
      </c>
      <c r="AN60" s="1">
        <v>172.90909090909091</v>
      </c>
      <c r="AO60" s="1">
        <v>42.733897272727269</v>
      </c>
      <c r="AP60" s="30" t="s">
        <v>88</v>
      </c>
      <c r="AQ60" t="str">
        <f>VLOOKUP(AP60,Table46[[#All],[LBA CODE]:[FICHE CODE]],3,0)</f>
        <v>0426-0203</v>
      </c>
      <c r="AS60" s="34" t="s">
        <v>300</v>
      </c>
      <c r="AT60" t="s">
        <v>62</v>
      </c>
      <c r="AU60" s="1">
        <v>261550</v>
      </c>
      <c r="AV60" s="1">
        <v>258377</v>
      </c>
    </row>
    <row r="61" spans="1:48" x14ac:dyDescent="0.35">
      <c r="A61" s="32">
        <f t="shared" si="1"/>
        <v>59</v>
      </c>
      <c r="B61" s="20">
        <v>46075</v>
      </c>
      <c r="C61" s="20">
        <v>46075</v>
      </c>
      <c r="D61" s="10" t="s">
        <v>38</v>
      </c>
      <c r="E61" s="10" t="s">
        <v>39</v>
      </c>
      <c r="F61" s="10" t="s">
        <v>40</v>
      </c>
      <c r="G61" s="10" t="s">
        <v>41</v>
      </c>
      <c r="H61" s="10" t="s">
        <v>128</v>
      </c>
      <c r="I61" s="10" t="s">
        <v>129</v>
      </c>
      <c r="J61" s="10" t="s">
        <v>224</v>
      </c>
      <c r="K61" s="33" t="s">
        <v>131</v>
      </c>
      <c r="L61" s="10">
        <v>850</v>
      </c>
      <c r="M61" s="10">
        <v>72519</v>
      </c>
      <c r="N61" s="10">
        <v>682</v>
      </c>
      <c r="O61" s="22">
        <f t="shared" si="5"/>
        <v>52020</v>
      </c>
      <c r="P61" s="22">
        <v>51338</v>
      </c>
      <c r="Q61" s="10">
        <v>564</v>
      </c>
      <c r="R61" s="10">
        <v>0</v>
      </c>
      <c r="S61" s="10">
        <v>118</v>
      </c>
      <c r="T61" s="10">
        <f>S61*4+R61*40</f>
        <v>472</v>
      </c>
      <c r="U61" s="22">
        <f>Table46[[#This Row],[NET WT KGS]]-Table46[[#This Row],[Refraction]]</f>
        <v>50866</v>
      </c>
      <c r="V61" s="23">
        <v>475</v>
      </c>
      <c r="W61" s="23">
        <f>Table46[[#This Row],[PRICE]]*Table46[[#This Row],[PAID WT]]</f>
        <v>24161350</v>
      </c>
      <c r="X61" s="24">
        <v>8.5</v>
      </c>
      <c r="Y61" s="25">
        <v>183</v>
      </c>
      <c r="Z61" s="24">
        <v>46.11</v>
      </c>
      <c r="AA61" s="26"/>
      <c r="AB61" s="10" t="s">
        <v>132</v>
      </c>
      <c r="AC61" s="27"/>
      <c r="AD61" s="28" t="s">
        <v>47</v>
      </c>
      <c r="AE61" s="18">
        <f>Table46[[#This Row],[MOIS.]]*Table46[[#This Row],[NET WT KGS]]</f>
        <v>436373</v>
      </c>
      <c r="AF61" s="18">
        <f>Table46[[#This Row],[KOR]]*Table46[[#This Row],[NET WT KGS]]</f>
        <v>2367195.1800000002</v>
      </c>
      <c r="AG61">
        <f>Table46[[#This Row],[NET WT KGS]]*Table46[[#This Row],[NUT COUNT]]</f>
        <v>9394854</v>
      </c>
      <c r="AJ61" t="s">
        <v>248</v>
      </c>
      <c r="AK61" s="29">
        <v>639771</v>
      </c>
      <c r="AL61" s="1">
        <v>509.33333333333331</v>
      </c>
      <c r="AM61" s="1">
        <v>11.19047619047619</v>
      </c>
      <c r="AN61" s="1">
        <v>167.0952380952381</v>
      </c>
      <c r="AO61" s="1">
        <v>41.955987619047605</v>
      </c>
      <c r="AP61" s="30" t="s">
        <v>155</v>
      </c>
      <c r="AQ61" t="str">
        <f>VLOOKUP(AP61,Table46[[#All],[LBA CODE]:[FICHE CODE]],3,0)</f>
        <v>0431-0277</v>
      </c>
      <c r="AS61" s="34" t="s">
        <v>301</v>
      </c>
      <c r="AT61" t="s">
        <v>62</v>
      </c>
      <c r="AU61" s="1">
        <v>199100</v>
      </c>
      <c r="AV61" s="1">
        <v>196790</v>
      </c>
    </row>
    <row r="62" spans="1:48" x14ac:dyDescent="0.35">
      <c r="A62" s="32">
        <f t="shared" si="1"/>
        <v>60</v>
      </c>
      <c r="B62" s="20">
        <v>46075</v>
      </c>
      <c r="C62" s="20">
        <v>46075</v>
      </c>
      <c r="D62" s="10" t="s">
        <v>38</v>
      </c>
      <c r="E62" s="10" t="s">
        <v>39</v>
      </c>
      <c r="F62" s="10" t="s">
        <v>40</v>
      </c>
      <c r="G62" s="10" t="s">
        <v>86</v>
      </c>
      <c r="H62" s="10" t="s">
        <v>128</v>
      </c>
      <c r="I62" s="10" t="s">
        <v>129</v>
      </c>
      <c r="J62" s="10" t="s">
        <v>302</v>
      </c>
      <c r="K62" s="33" t="s">
        <v>131</v>
      </c>
      <c r="L62" s="10">
        <v>849</v>
      </c>
      <c r="M62" s="10">
        <v>72518</v>
      </c>
      <c r="N62" s="10">
        <v>656</v>
      </c>
      <c r="O62" s="22">
        <f t="shared" si="5"/>
        <v>52120</v>
      </c>
      <c r="P62" s="22">
        <v>51464</v>
      </c>
      <c r="Q62" s="10">
        <v>587</v>
      </c>
      <c r="R62" s="10">
        <v>0</v>
      </c>
      <c r="S62" s="10">
        <v>69</v>
      </c>
      <c r="T62" s="10">
        <f>S62*4+R62*40</f>
        <v>276</v>
      </c>
      <c r="U62" s="22">
        <f>Table46[[#This Row],[NET WT KGS]]-Table46[[#This Row],[Refraction]]</f>
        <v>51188</v>
      </c>
      <c r="V62" s="23">
        <v>475</v>
      </c>
      <c r="W62" s="23">
        <f>Table46[[#This Row],[PRICE]]*Table46[[#This Row],[PAID WT]]</f>
        <v>24314300</v>
      </c>
      <c r="X62" s="24">
        <v>9.8000000000000007</v>
      </c>
      <c r="Y62" s="25">
        <v>183</v>
      </c>
      <c r="Z62" s="24">
        <v>47.69</v>
      </c>
      <c r="AA62" s="26"/>
      <c r="AB62" s="10" t="s">
        <v>132</v>
      </c>
      <c r="AC62" s="27"/>
      <c r="AD62" s="28" t="s">
        <v>47</v>
      </c>
      <c r="AE62" s="18">
        <f>Table46[[#This Row],[MOIS.]]*Table46[[#This Row],[NET WT KGS]]</f>
        <v>504347.2</v>
      </c>
      <c r="AF62" s="18">
        <f>Table46[[#This Row],[KOR]]*Table46[[#This Row],[NET WT KGS]]</f>
        <v>2454318.1599999997</v>
      </c>
      <c r="AG62">
        <f>Table46[[#This Row],[NET WT KGS]]*Table46[[#This Row],[NUT COUNT]]</f>
        <v>9417912</v>
      </c>
      <c r="AJ62" t="s">
        <v>251</v>
      </c>
      <c r="AK62" s="29">
        <v>543290</v>
      </c>
      <c r="AL62" s="1">
        <v>508.07692307692309</v>
      </c>
      <c r="AM62" s="1">
        <v>10.114285714285716</v>
      </c>
      <c r="AN62" s="1">
        <v>173.92857142857142</v>
      </c>
      <c r="AO62" s="1">
        <v>42.758025714285715</v>
      </c>
      <c r="AP62" s="30" t="s">
        <v>124</v>
      </c>
      <c r="AQ62">
        <f>VLOOKUP(AP62,Table46[[#All],[LBA CODE]:[FICHE CODE]],3,0)</f>
        <v>0</v>
      </c>
      <c r="AS62" s="34" t="s">
        <v>303</v>
      </c>
      <c r="AT62" t="s">
        <v>62</v>
      </c>
      <c r="AU62" s="1">
        <v>285570</v>
      </c>
      <c r="AV62" s="1">
        <v>282102</v>
      </c>
    </row>
    <row r="63" spans="1:48" x14ac:dyDescent="0.35">
      <c r="A63" s="32">
        <f t="shared" si="1"/>
        <v>61</v>
      </c>
      <c r="B63" s="20">
        <v>46075</v>
      </c>
      <c r="C63" s="20">
        <v>46075</v>
      </c>
      <c r="D63" s="10" t="s">
        <v>38</v>
      </c>
      <c r="E63" s="10" t="s">
        <v>39</v>
      </c>
      <c r="F63" s="10" t="s">
        <v>40</v>
      </c>
      <c r="G63" s="10" t="s">
        <v>86</v>
      </c>
      <c r="H63" s="10" t="s">
        <v>94</v>
      </c>
      <c r="I63" s="10" t="s">
        <v>95</v>
      </c>
      <c r="J63" s="10" t="s">
        <v>304</v>
      </c>
      <c r="K63" s="33" t="s">
        <v>97</v>
      </c>
      <c r="L63" s="10">
        <v>846</v>
      </c>
      <c r="M63" s="10">
        <v>72589</v>
      </c>
      <c r="N63" s="10">
        <v>537</v>
      </c>
      <c r="O63" s="22">
        <f t="shared" si="5"/>
        <v>47480</v>
      </c>
      <c r="P63" s="22">
        <v>46943</v>
      </c>
      <c r="Q63" s="10">
        <v>507</v>
      </c>
      <c r="R63" s="10">
        <v>0</v>
      </c>
      <c r="S63" s="10">
        <v>30</v>
      </c>
      <c r="T63" s="10">
        <f>S63*4+R63*40</f>
        <v>120</v>
      </c>
      <c r="U63" s="22">
        <f>Table46[[#This Row],[NET WT KGS]]-Table46[[#This Row],[Refraction]]</f>
        <v>46823</v>
      </c>
      <c r="V63" s="23">
        <v>475</v>
      </c>
      <c r="W63" s="23">
        <f>Table46[[#This Row],[PRICE]]*Table46[[#This Row],[PAID WT]]</f>
        <v>22240925</v>
      </c>
      <c r="X63" s="24">
        <v>9.6999999999999993</v>
      </c>
      <c r="Y63" s="25">
        <v>173</v>
      </c>
      <c r="Z63" s="24">
        <v>47.52</v>
      </c>
      <c r="AA63" s="26"/>
      <c r="AB63" s="10" t="s">
        <v>78</v>
      </c>
      <c r="AC63" s="27"/>
      <c r="AD63" s="28" t="s">
        <v>47</v>
      </c>
      <c r="AE63" s="18">
        <f>Table46[[#This Row],[MOIS.]]*Table46[[#This Row],[NET WT KGS]]</f>
        <v>455347.1</v>
      </c>
      <c r="AF63" s="18">
        <f>Table46[[#This Row],[KOR]]*Table46[[#This Row],[NET WT KGS]]</f>
        <v>2230731.3600000003</v>
      </c>
      <c r="AG63">
        <f>Table46[[#This Row],[NET WT KGS]]*Table46[[#This Row],[NUT COUNT]]</f>
        <v>8121139</v>
      </c>
      <c r="AJ63" t="s">
        <v>253</v>
      </c>
      <c r="AK63" s="29">
        <v>566295</v>
      </c>
      <c r="AL63" s="1">
        <v>506.15384615384613</v>
      </c>
      <c r="AM63" s="1">
        <v>10.833333333333332</v>
      </c>
      <c r="AN63" s="1">
        <v>170.27777777777777</v>
      </c>
      <c r="AO63" s="1">
        <v>41.90933888888889</v>
      </c>
      <c r="AP63" s="30" t="s">
        <v>305</v>
      </c>
      <c r="AQ63">
        <f>VLOOKUP(AP63,Table46[[#All],[LBA CODE]:[FICHE CODE]],3,0)</f>
        <v>0</v>
      </c>
      <c r="AS63" s="34" t="s">
        <v>306</v>
      </c>
      <c r="AT63" t="s">
        <v>62</v>
      </c>
      <c r="AU63" s="1">
        <v>290760</v>
      </c>
      <c r="AV63" s="1">
        <v>287411</v>
      </c>
    </row>
    <row r="64" spans="1:48" x14ac:dyDescent="0.35">
      <c r="A64" s="32">
        <f t="shared" si="1"/>
        <v>62</v>
      </c>
      <c r="B64" s="35">
        <v>46075</v>
      </c>
      <c r="C64" s="35">
        <f>Table46[[#This Row],[DATE OF ARRIVAL]]</f>
        <v>46075</v>
      </c>
      <c r="D64" s="36" t="s">
        <v>38</v>
      </c>
      <c r="E64" s="36" t="s">
        <v>39</v>
      </c>
      <c r="F64" s="36" t="s">
        <v>40</v>
      </c>
      <c r="G64" s="36"/>
      <c r="H64" s="36" t="s">
        <v>74</v>
      </c>
      <c r="I64" s="36" t="s">
        <v>75</v>
      </c>
      <c r="J64" s="36" t="s">
        <v>307</v>
      </c>
      <c r="K64" s="36"/>
      <c r="L64" s="36"/>
      <c r="M64" s="36"/>
      <c r="N64" s="36">
        <v>0</v>
      </c>
      <c r="O64" s="37">
        <f t="shared" si="5"/>
        <v>0</v>
      </c>
      <c r="P64" s="37"/>
      <c r="Q64" s="36"/>
      <c r="R64" s="36"/>
      <c r="S64" s="36"/>
      <c r="T64" s="36"/>
      <c r="U64" s="37">
        <f>Table46[[#This Row],[NET WT KGS]]-Table46[[#This Row],[Refraction]]</f>
        <v>0</v>
      </c>
      <c r="V64" s="38"/>
      <c r="W64" s="38">
        <f>Table46[[#This Row],[PRICE]]*Table46[[#This Row],[PAID WT]]</f>
        <v>0</v>
      </c>
      <c r="X64" s="39">
        <v>9.6</v>
      </c>
      <c r="Y64" s="40">
        <v>170</v>
      </c>
      <c r="Z64" s="39">
        <v>45.4</v>
      </c>
      <c r="AA64" s="41"/>
      <c r="AB64" s="36" t="s">
        <v>308</v>
      </c>
      <c r="AC64" s="42" t="s">
        <v>70</v>
      </c>
      <c r="AD64" s="28"/>
      <c r="AE64" s="18">
        <f>Table46[[#This Row],[MOIS.]]*Table46[[#This Row],[NET WT KGS]]</f>
        <v>0</v>
      </c>
      <c r="AF64" s="18">
        <f>Table46[[#This Row],[KOR]]*Table46[[#This Row],[NET WT KGS]]</f>
        <v>0</v>
      </c>
      <c r="AG64">
        <f>Table46[[#This Row],[NET WT KGS]]*Table46[[#This Row],[NUT COUNT]]</f>
        <v>0</v>
      </c>
      <c r="AJ64" t="s">
        <v>257</v>
      </c>
      <c r="AK64" s="29">
        <v>561972</v>
      </c>
      <c r="AL64" s="1">
        <v>506.42857142857144</v>
      </c>
      <c r="AM64" s="1">
        <v>10.466666666666665</v>
      </c>
      <c r="AN64" s="1">
        <v>170.72222222222223</v>
      </c>
      <c r="AO64" s="1">
        <v>41.894072777777779</v>
      </c>
      <c r="AP64" s="30" t="s">
        <v>203</v>
      </c>
      <c r="AQ64" t="str">
        <f>VLOOKUP(AP64,Table46[[#All],[LBA CODE]:[FICHE CODE]],3,0)</f>
        <v>0426-0365</v>
      </c>
      <c r="AS64" s="34" t="s">
        <v>309</v>
      </c>
      <c r="AT64" t="s">
        <v>62</v>
      </c>
      <c r="AU64" s="1">
        <v>266890</v>
      </c>
      <c r="AV64" s="1">
        <v>263616</v>
      </c>
    </row>
    <row r="65" spans="1:48" x14ac:dyDescent="0.35">
      <c r="A65" s="32">
        <f t="shared" si="1"/>
        <v>63</v>
      </c>
      <c r="B65" s="35">
        <v>46075</v>
      </c>
      <c r="C65" s="35">
        <f>Table46[[#This Row],[DATE OF ARRIVAL]]</f>
        <v>46075</v>
      </c>
      <c r="D65" s="36" t="s">
        <v>38</v>
      </c>
      <c r="E65" s="36" t="s">
        <v>39</v>
      </c>
      <c r="F65" s="36" t="s">
        <v>40</v>
      </c>
      <c r="G65" s="36"/>
      <c r="H65" s="36" t="s">
        <v>74</v>
      </c>
      <c r="I65" s="36" t="s">
        <v>75</v>
      </c>
      <c r="J65" s="36" t="s">
        <v>307</v>
      </c>
      <c r="K65" s="36"/>
      <c r="L65" s="36"/>
      <c r="M65" s="36"/>
      <c r="N65" s="36">
        <v>0</v>
      </c>
      <c r="O65" s="37">
        <f t="shared" si="5"/>
        <v>0</v>
      </c>
      <c r="P65" s="37"/>
      <c r="Q65" s="36"/>
      <c r="R65" s="36"/>
      <c r="S65" s="36"/>
      <c r="T65" s="36"/>
      <c r="U65" s="37">
        <f>Table46[[#This Row],[NET WT KGS]]-Table46[[#This Row],[Refraction]]</f>
        <v>0</v>
      </c>
      <c r="V65" s="38"/>
      <c r="W65" s="38">
        <f>Table46[[#This Row],[PRICE]]*Table46[[#This Row],[PAID WT]]</f>
        <v>0</v>
      </c>
      <c r="X65" s="39">
        <v>9.6</v>
      </c>
      <c r="Y65" s="40">
        <v>169</v>
      </c>
      <c r="Z65" s="39">
        <v>45.76</v>
      </c>
      <c r="AA65" s="41"/>
      <c r="AB65" s="36" t="s">
        <v>308</v>
      </c>
      <c r="AC65" s="42" t="s">
        <v>70</v>
      </c>
      <c r="AD65" s="28"/>
      <c r="AE65" s="18">
        <f>Table46[[#This Row],[MOIS.]]*Table46[[#This Row],[NET WT KGS]]</f>
        <v>0</v>
      </c>
      <c r="AF65" s="18">
        <f>Table46[[#This Row],[KOR]]*Table46[[#This Row],[NET WT KGS]]</f>
        <v>0</v>
      </c>
      <c r="AG65">
        <f>Table46[[#This Row],[NET WT KGS]]*Table46[[#This Row],[NUT COUNT]]</f>
        <v>0</v>
      </c>
      <c r="AJ65" t="s">
        <v>264</v>
      </c>
      <c r="AK65" s="29">
        <v>593250</v>
      </c>
      <c r="AL65" s="1">
        <v>511.07142857142856</v>
      </c>
      <c r="AM65" s="1">
        <v>10.68235294117647</v>
      </c>
      <c r="AN65" s="1">
        <v>176.11764705882354</v>
      </c>
      <c r="AO65" s="1">
        <v>41.92556764705882</v>
      </c>
      <c r="AP65" s="30" t="s">
        <v>95</v>
      </c>
      <c r="AQ65" t="str">
        <f>VLOOKUP(AP65,Table46[[#All],[LBA CODE]:[FICHE CODE]],3,0)</f>
        <v>0425-0068</v>
      </c>
      <c r="AS65" s="34" t="s">
        <v>310</v>
      </c>
      <c r="AT65" t="s">
        <v>62</v>
      </c>
      <c r="AU65" s="1">
        <v>133140</v>
      </c>
      <c r="AV65" s="1">
        <v>131489</v>
      </c>
    </row>
    <row r="66" spans="1:48" x14ac:dyDescent="0.35">
      <c r="A66" s="32">
        <f t="shared" si="1"/>
        <v>64</v>
      </c>
      <c r="B66" s="20">
        <v>46075</v>
      </c>
      <c r="C66" s="20">
        <v>46076</v>
      </c>
      <c r="D66" s="10" t="s">
        <v>38</v>
      </c>
      <c r="E66" s="10" t="s">
        <v>39</v>
      </c>
      <c r="F66" s="10" t="s">
        <v>40</v>
      </c>
      <c r="G66" s="10" t="s">
        <v>86</v>
      </c>
      <c r="H66" s="10" t="s">
        <v>154</v>
      </c>
      <c r="I66" s="10" t="s">
        <v>155</v>
      </c>
      <c r="J66" s="10" t="s">
        <v>311</v>
      </c>
      <c r="K66" s="33" t="s">
        <v>157</v>
      </c>
      <c r="L66" s="10">
        <v>1104</v>
      </c>
      <c r="M66" s="10">
        <v>72522</v>
      </c>
      <c r="N66" s="10">
        <v>378</v>
      </c>
      <c r="O66" s="22">
        <f t="shared" si="5"/>
        <v>32740</v>
      </c>
      <c r="P66" s="22">
        <v>32362</v>
      </c>
      <c r="Q66" s="10">
        <v>373</v>
      </c>
      <c r="R66" s="49">
        <v>0</v>
      </c>
      <c r="S66" s="10">
        <v>5</v>
      </c>
      <c r="T66" s="10">
        <f t="shared" ref="T66:T77" si="8">S66*4+R66*40</f>
        <v>20</v>
      </c>
      <c r="U66" s="22">
        <f>Table46[[#This Row],[NET WT KGS]]-Table46[[#This Row],[Refraction]]</f>
        <v>32342</v>
      </c>
      <c r="V66" s="23">
        <v>480</v>
      </c>
      <c r="W66" s="23">
        <f>Table46[[#This Row],[PRICE]]*Table46[[#This Row],[PAID WT]]</f>
        <v>15524160</v>
      </c>
      <c r="X66" s="24">
        <v>9.6</v>
      </c>
      <c r="Y66" s="25">
        <v>170</v>
      </c>
      <c r="Z66" s="24">
        <v>48.4</v>
      </c>
      <c r="AA66" s="26"/>
      <c r="AB66" s="10" t="s">
        <v>150</v>
      </c>
      <c r="AC66" s="27"/>
      <c r="AD66" s="28" t="s">
        <v>312</v>
      </c>
      <c r="AE66" s="18">
        <f>Table46[[#This Row],[MOIS.]]*Table46[[#This Row],[NET WT KGS]]</f>
        <v>310675.20000000001</v>
      </c>
      <c r="AF66" s="18">
        <f>Table46[[#This Row],[KOR]]*Table46[[#This Row],[NET WT KGS]]</f>
        <v>1566320.8</v>
      </c>
      <c r="AG66">
        <f>Table46[[#This Row],[NET WT KGS]]*Table46[[#This Row],[NUT COUNT]]</f>
        <v>5501540</v>
      </c>
      <c r="AJ66" t="s">
        <v>268</v>
      </c>
      <c r="AK66" s="29">
        <v>792517</v>
      </c>
      <c r="AL66" s="1">
        <v>506.84210526315792</v>
      </c>
      <c r="AM66" s="1">
        <v>10.823809523809524</v>
      </c>
      <c r="AN66" s="1">
        <v>171.76190476190476</v>
      </c>
      <c r="AO66" s="1">
        <v>41.833254761904762</v>
      </c>
      <c r="AP66" s="30" t="s">
        <v>106</v>
      </c>
      <c r="AQ66" t="str">
        <f>VLOOKUP(AP66,Table46[[#All],[LBA CODE]:[FICHE CODE]],3,0)</f>
        <v>0426-0194</v>
      </c>
      <c r="AS66" s="34" t="s">
        <v>313</v>
      </c>
      <c r="AT66" t="s">
        <v>62</v>
      </c>
      <c r="AU66" s="1">
        <v>181470</v>
      </c>
      <c r="AV66" s="1">
        <v>179289</v>
      </c>
    </row>
    <row r="67" spans="1:48" x14ac:dyDescent="0.35">
      <c r="A67" s="32">
        <f t="shared" si="1"/>
        <v>65</v>
      </c>
      <c r="B67" s="20">
        <v>46075</v>
      </c>
      <c r="C67" s="20">
        <v>46076</v>
      </c>
      <c r="D67" s="10" t="s">
        <v>38</v>
      </c>
      <c r="E67" s="10" t="s">
        <v>39</v>
      </c>
      <c r="F67" s="10" t="s">
        <v>40</v>
      </c>
      <c r="G67" s="10" t="s">
        <v>86</v>
      </c>
      <c r="H67" s="10" t="s">
        <v>202</v>
      </c>
      <c r="I67" s="10" t="s">
        <v>203</v>
      </c>
      <c r="J67" s="10" t="s">
        <v>204</v>
      </c>
      <c r="K67" s="33" t="s">
        <v>205</v>
      </c>
      <c r="L67" s="10">
        <v>758</v>
      </c>
      <c r="M67" s="10">
        <v>72551</v>
      </c>
      <c r="N67" s="10">
        <v>509</v>
      </c>
      <c r="O67" s="22">
        <f t="shared" si="5"/>
        <v>43480</v>
      </c>
      <c r="P67" s="22">
        <v>42971</v>
      </c>
      <c r="Q67" s="10">
        <v>490</v>
      </c>
      <c r="R67" s="49">
        <v>0</v>
      </c>
      <c r="S67" s="10">
        <v>19</v>
      </c>
      <c r="T67" s="10">
        <f t="shared" si="8"/>
        <v>76</v>
      </c>
      <c r="U67" s="22">
        <f>Table46[[#This Row],[NET WT KGS]]-Table46[[#This Row],[Refraction]]</f>
        <v>42895</v>
      </c>
      <c r="V67" s="23">
        <v>475</v>
      </c>
      <c r="W67" s="23">
        <f>Table46[[#This Row],[PRICE]]*Table46[[#This Row],[PAID WT]]</f>
        <v>20375125</v>
      </c>
      <c r="X67" s="24">
        <v>8.6</v>
      </c>
      <c r="Y67" s="25">
        <v>176</v>
      </c>
      <c r="Z67" s="24">
        <v>47.16</v>
      </c>
      <c r="AA67" s="26"/>
      <c r="AB67" s="10" t="s">
        <v>46</v>
      </c>
      <c r="AC67" s="27"/>
      <c r="AD67" s="28" t="s">
        <v>312</v>
      </c>
      <c r="AE67" s="18">
        <f>Table46[[#This Row],[MOIS.]]*Table46[[#This Row],[NET WT KGS]]</f>
        <v>369550.6</v>
      </c>
      <c r="AF67" s="18">
        <f>Table46[[#This Row],[KOR]]*Table46[[#This Row],[NET WT KGS]]</f>
        <v>2026512.3599999999</v>
      </c>
      <c r="AG67">
        <f>Table46[[#This Row],[NET WT KGS]]*Table46[[#This Row],[NUT COUNT]]</f>
        <v>7562896</v>
      </c>
      <c r="AJ67" t="s">
        <v>271</v>
      </c>
      <c r="AK67" s="29">
        <v>543588</v>
      </c>
      <c r="AL67" s="1">
        <v>504.23076923076923</v>
      </c>
      <c r="AM67" s="1">
        <v>11.142105263157895</v>
      </c>
      <c r="AN67" s="1">
        <v>171.63157894736841</v>
      </c>
      <c r="AO67" s="1">
        <v>41.309088947368416</v>
      </c>
      <c r="AP67" s="30" t="s">
        <v>113</v>
      </c>
      <c r="AQ67" t="str">
        <f>VLOOKUP(AP67,Table46[[#All],[LBA CODE]:[FICHE CODE]],3,0)</f>
        <v>0426-0347</v>
      </c>
      <c r="AS67" s="34" t="s">
        <v>314</v>
      </c>
      <c r="AT67" t="s">
        <v>62</v>
      </c>
      <c r="AU67" s="1">
        <v>43350</v>
      </c>
      <c r="AV67" s="1">
        <v>42814</v>
      </c>
    </row>
    <row r="68" spans="1:48" x14ac:dyDescent="0.35">
      <c r="A68" s="32">
        <f t="shared" ref="A68:A131" si="9">A67+1</f>
        <v>66</v>
      </c>
      <c r="B68" s="20">
        <v>46076</v>
      </c>
      <c r="C68" s="20">
        <v>46076</v>
      </c>
      <c r="D68" s="10" t="s">
        <v>38</v>
      </c>
      <c r="E68" s="10" t="s">
        <v>39</v>
      </c>
      <c r="F68" s="10" t="s">
        <v>40</v>
      </c>
      <c r="G68" s="10" t="s">
        <v>86</v>
      </c>
      <c r="H68" s="10" t="s">
        <v>74</v>
      </c>
      <c r="I68" s="10" t="s">
        <v>75</v>
      </c>
      <c r="J68" s="10" t="s">
        <v>269</v>
      </c>
      <c r="K68" s="33" t="s">
        <v>77</v>
      </c>
      <c r="L68" s="10">
        <v>755</v>
      </c>
      <c r="M68" s="10">
        <v>68663</v>
      </c>
      <c r="N68" s="10">
        <v>539</v>
      </c>
      <c r="O68" s="22">
        <f t="shared" si="5"/>
        <v>47760</v>
      </c>
      <c r="P68" s="22">
        <v>47221</v>
      </c>
      <c r="Q68" s="10">
        <v>533</v>
      </c>
      <c r="R68" s="49">
        <v>0</v>
      </c>
      <c r="S68" s="10">
        <v>6</v>
      </c>
      <c r="T68" s="10">
        <f t="shared" si="8"/>
        <v>24</v>
      </c>
      <c r="U68" s="22">
        <f>Table46[[#This Row],[NET WT KGS]]-Table46[[#This Row],[Refraction]]</f>
        <v>47197</v>
      </c>
      <c r="V68" s="23">
        <v>480</v>
      </c>
      <c r="W68" s="23">
        <f>Table46[[#This Row],[PRICE]]*Table46[[#This Row],[PAID WT]]</f>
        <v>22654560</v>
      </c>
      <c r="X68" s="24">
        <v>9.8000000000000007</v>
      </c>
      <c r="Y68" s="25">
        <v>172</v>
      </c>
      <c r="Z68" s="24">
        <v>47.52</v>
      </c>
      <c r="AA68" s="26"/>
      <c r="AB68" s="10" t="s">
        <v>78</v>
      </c>
      <c r="AC68" s="27"/>
      <c r="AD68" s="28" t="s">
        <v>312</v>
      </c>
      <c r="AE68" s="18">
        <f>Table46[[#This Row],[MOIS.]]*Table46[[#This Row],[NET WT KGS]]</f>
        <v>462765.80000000005</v>
      </c>
      <c r="AF68" s="18">
        <f>Table46[[#This Row],[KOR]]*Table46[[#This Row],[NET WT KGS]]</f>
        <v>2243941.92</v>
      </c>
      <c r="AG68">
        <f>Table46[[#This Row],[NET WT KGS]]*Table46[[#This Row],[NUT COUNT]]</f>
        <v>8122012</v>
      </c>
      <c r="AJ68" t="s">
        <v>274</v>
      </c>
      <c r="AK68" s="29">
        <v>334219</v>
      </c>
      <c r="AL68" s="1">
        <v>501.66666666666669</v>
      </c>
      <c r="AM68" s="1">
        <v>11.058823529411763</v>
      </c>
      <c r="AN68" s="1">
        <v>170.23529411764707</v>
      </c>
      <c r="AO68" s="1">
        <v>40.582363529411772</v>
      </c>
      <c r="AP68" s="30" t="s">
        <v>281</v>
      </c>
      <c r="AQ68" t="str">
        <f>VLOOKUP(AP68,Table46[[#All],[LBA CODE]:[FICHE CODE]],3,0)</f>
        <v>0425-0055</v>
      </c>
      <c r="AS68" s="34" t="s">
        <v>315</v>
      </c>
      <c r="AT68" t="s">
        <v>62</v>
      </c>
      <c r="AU68" s="1">
        <v>39750</v>
      </c>
      <c r="AV68" s="1">
        <v>39199</v>
      </c>
    </row>
    <row r="69" spans="1:48" x14ac:dyDescent="0.35">
      <c r="A69" s="32">
        <f t="shared" si="9"/>
        <v>67</v>
      </c>
      <c r="B69" s="20">
        <v>46076</v>
      </c>
      <c r="C69" s="20">
        <v>46076</v>
      </c>
      <c r="D69" s="10" t="s">
        <v>38</v>
      </c>
      <c r="E69" s="10" t="s">
        <v>39</v>
      </c>
      <c r="F69" s="10" t="s">
        <v>40</v>
      </c>
      <c r="G69" s="10" t="s">
        <v>86</v>
      </c>
      <c r="H69" s="10" t="s">
        <v>136</v>
      </c>
      <c r="I69" s="10" t="s">
        <v>137</v>
      </c>
      <c r="J69" s="10" t="s">
        <v>96</v>
      </c>
      <c r="K69" s="21" t="s">
        <v>139</v>
      </c>
      <c r="L69" s="10">
        <v>752</v>
      </c>
      <c r="M69" s="10">
        <v>72581</v>
      </c>
      <c r="N69" s="10">
        <v>601</v>
      </c>
      <c r="O69" s="22">
        <f t="shared" si="5"/>
        <v>54600</v>
      </c>
      <c r="P69" s="22">
        <v>53999</v>
      </c>
      <c r="Q69" s="10">
        <v>599</v>
      </c>
      <c r="R69" s="49">
        <v>0</v>
      </c>
      <c r="S69" s="10">
        <v>2</v>
      </c>
      <c r="T69" s="10">
        <f t="shared" si="8"/>
        <v>8</v>
      </c>
      <c r="U69" s="22">
        <f>Table46[[#This Row],[NET WT KGS]]-Table46[[#This Row],[Refraction]]</f>
        <v>53991</v>
      </c>
      <c r="V69" s="23">
        <v>480</v>
      </c>
      <c r="W69" s="23">
        <f>Table46[[#This Row],[PRICE]]*Table46[[#This Row],[PAID WT]]</f>
        <v>25915680</v>
      </c>
      <c r="X69" s="24">
        <v>9.6999999999999993</v>
      </c>
      <c r="Y69" s="25">
        <v>181</v>
      </c>
      <c r="Z69" s="24">
        <v>48.75</v>
      </c>
      <c r="AA69" s="26"/>
      <c r="AB69" s="10" t="s">
        <v>140</v>
      </c>
      <c r="AC69" s="27"/>
      <c r="AD69" s="28" t="s">
        <v>312</v>
      </c>
      <c r="AE69" s="18">
        <f>Table46[[#This Row],[MOIS.]]*Table46[[#This Row],[NET WT KGS]]</f>
        <v>523790.3</v>
      </c>
      <c r="AF69" s="18">
        <f>Table46[[#This Row],[KOR]]*Table46[[#This Row],[NET WT KGS]]</f>
        <v>2632451.25</v>
      </c>
      <c r="AG69">
        <f>Table46[[#This Row],[NET WT KGS]]*Table46[[#This Row],[NUT COUNT]]</f>
        <v>9773819</v>
      </c>
      <c r="AJ69" t="s">
        <v>276</v>
      </c>
      <c r="AK69" s="29">
        <v>504209</v>
      </c>
      <c r="AL69" s="1">
        <v>507.08333333333331</v>
      </c>
      <c r="AM69" s="1">
        <v>10.793333333333333</v>
      </c>
      <c r="AN69" s="1">
        <v>173</v>
      </c>
      <c r="AO69" s="1">
        <v>41.93131666666666</v>
      </c>
      <c r="AP69" s="30" t="s">
        <v>287</v>
      </c>
      <c r="AQ69" t="str">
        <f>VLOOKUP(AP69,Table46[[#All],[LBA CODE]:[FICHE CODE]],3,0)</f>
        <v>0420-0251</v>
      </c>
      <c r="AS69" s="34" t="s">
        <v>316</v>
      </c>
      <c r="AT69" t="s">
        <v>62</v>
      </c>
      <c r="AU69" s="1">
        <v>83760</v>
      </c>
      <c r="AV69" s="1">
        <v>82777</v>
      </c>
    </row>
    <row r="70" spans="1:48" x14ac:dyDescent="0.35">
      <c r="A70" s="32">
        <f t="shared" si="9"/>
        <v>68</v>
      </c>
      <c r="B70" s="20">
        <v>46076</v>
      </c>
      <c r="C70" s="20">
        <v>46076</v>
      </c>
      <c r="D70" s="10" t="s">
        <v>38</v>
      </c>
      <c r="E70" s="10" t="s">
        <v>39</v>
      </c>
      <c r="F70" s="10" t="s">
        <v>40</v>
      </c>
      <c r="G70" s="10" t="s">
        <v>86</v>
      </c>
      <c r="H70" s="10" t="s">
        <v>235</v>
      </c>
      <c r="I70" s="10" t="s">
        <v>236</v>
      </c>
      <c r="J70" s="10" t="s">
        <v>89</v>
      </c>
      <c r="K70" s="33" t="s">
        <v>238</v>
      </c>
      <c r="L70" s="10">
        <v>751</v>
      </c>
      <c r="M70" s="10">
        <v>72531</v>
      </c>
      <c r="N70" s="10">
        <v>493</v>
      </c>
      <c r="O70" s="22">
        <f t="shared" si="5"/>
        <v>40920</v>
      </c>
      <c r="P70" s="22">
        <v>40427</v>
      </c>
      <c r="Q70" s="10">
        <v>483</v>
      </c>
      <c r="R70" s="49">
        <v>0</v>
      </c>
      <c r="S70" s="10">
        <v>10</v>
      </c>
      <c r="T70" s="10">
        <f t="shared" si="8"/>
        <v>40</v>
      </c>
      <c r="U70" s="22">
        <f>Table46[[#This Row],[NET WT KGS]]-Table46[[#This Row],[Refraction]]</f>
        <v>40387</v>
      </c>
      <c r="V70" s="23">
        <v>480</v>
      </c>
      <c r="W70" s="23">
        <f>Table46[[#This Row],[PRICE]]*Table46[[#This Row],[PAID WT]]</f>
        <v>19385760</v>
      </c>
      <c r="X70" s="24">
        <v>8.8000000000000007</v>
      </c>
      <c r="Y70" s="25">
        <v>174</v>
      </c>
      <c r="Z70" s="24">
        <v>47.34</v>
      </c>
      <c r="AA70" s="26"/>
      <c r="AB70" s="10" t="s">
        <v>46</v>
      </c>
      <c r="AC70" s="27"/>
      <c r="AD70" s="28" t="s">
        <v>312</v>
      </c>
      <c r="AE70" s="18">
        <f>Table46[[#This Row],[MOIS.]]*Table46[[#This Row],[NET WT KGS]]</f>
        <v>355757.60000000003</v>
      </c>
      <c r="AF70" s="18">
        <f>Table46[[#This Row],[KOR]]*Table46[[#This Row],[NET WT KGS]]</f>
        <v>1913814.1800000002</v>
      </c>
      <c r="AG70">
        <f>Table46[[#This Row],[NET WT KGS]]*Table46[[#This Row],[NUT COUNT]]</f>
        <v>7034298</v>
      </c>
      <c r="AJ70" t="s">
        <v>279</v>
      </c>
      <c r="AK70" s="29">
        <v>709405</v>
      </c>
      <c r="AL70" s="1">
        <v>504.72222222222223</v>
      </c>
      <c r="AM70" s="1">
        <v>11.179166666666667</v>
      </c>
      <c r="AN70" s="1">
        <v>170.04166666666666</v>
      </c>
      <c r="AO70" s="1">
        <v>42.092235416666661</v>
      </c>
      <c r="AP70" s="30" t="s">
        <v>317</v>
      </c>
      <c r="AQ70" t="str">
        <f>VLOOKUP(AP70,Table46[[#All],[LBA CODE]:[FICHE CODE]],3,0)</f>
        <v>0425-0001</v>
      </c>
      <c r="AS70" s="34" t="s">
        <v>318</v>
      </c>
      <c r="AT70" t="s">
        <v>62</v>
      </c>
      <c r="AU70" s="1">
        <v>55860</v>
      </c>
      <c r="AV70" s="1">
        <v>55150</v>
      </c>
    </row>
    <row r="71" spans="1:48" x14ac:dyDescent="0.35">
      <c r="A71" s="32">
        <f t="shared" si="9"/>
        <v>69</v>
      </c>
      <c r="B71" s="20">
        <v>46076</v>
      </c>
      <c r="C71" s="20">
        <v>46076</v>
      </c>
      <c r="D71" s="10" t="s">
        <v>38</v>
      </c>
      <c r="E71" s="10" t="s">
        <v>39</v>
      </c>
      <c r="F71" s="10" t="s">
        <v>40</v>
      </c>
      <c r="G71" s="10" t="s">
        <v>86</v>
      </c>
      <c r="H71" s="10" t="s">
        <v>154</v>
      </c>
      <c r="I71" s="10" t="s">
        <v>155</v>
      </c>
      <c r="J71" s="10" t="s">
        <v>319</v>
      </c>
      <c r="K71" s="33" t="s">
        <v>157</v>
      </c>
      <c r="L71" s="10">
        <v>757</v>
      </c>
      <c r="M71" s="10">
        <v>72524</v>
      </c>
      <c r="N71" s="10">
        <v>465</v>
      </c>
      <c r="O71" s="22">
        <f t="shared" si="5"/>
        <v>40680</v>
      </c>
      <c r="P71" s="22">
        <v>40215</v>
      </c>
      <c r="Q71" s="10">
        <v>458</v>
      </c>
      <c r="R71" s="49">
        <v>0</v>
      </c>
      <c r="S71" s="10">
        <v>7</v>
      </c>
      <c r="T71" s="10">
        <f t="shared" si="8"/>
        <v>28</v>
      </c>
      <c r="U71" s="22">
        <f>Table46[[#This Row],[NET WT KGS]]-Table46[[#This Row],[Refraction]]</f>
        <v>40187</v>
      </c>
      <c r="V71" s="23">
        <v>475</v>
      </c>
      <c r="W71" s="23">
        <f>Table46[[#This Row],[PRICE]]*Table46[[#This Row],[PAID WT]]</f>
        <v>19088825</v>
      </c>
      <c r="X71" s="24">
        <v>9.6999999999999993</v>
      </c>
      <c r="Y71" s="25">
        <v>172</v>
      </c>
      <c r="Z71" s="24">
        <v>47.52</v>
      </c>
      <c r="AA71" s="26"/>
      <c r="AB71" s="10" t="s">
        <v>46</v>
      </c>
      <c r="AC71" s="27"/>
      <c r="AD71" s="28" t="s">
        <v>312</v>
      </c>
      <c r="AE71" s="18">
        <f>Table46[[#This Row],[MOIS.]]*Table46[[#This Row],[NET WT KGS]]</f>
        <v>390085.5</v>
      </c>
      <c r="AF71" s="18">
        <f>Table46[[#This Row],[KOR]]*Table46[[#This Row],[NET WT KGS]]</f>
        <v>1911016.8</v>
      </c>
      <c r="AG71">
        <f>Table46[[#This Row],[NET WT KGS]]*Table46[[#This Row],[NUT COUNT]]</f>
        <v>6916980</v>
      </c>
      <c r="AJ71" t="s">
        <v>285</v>
      </c>
      <c r="AK71" s="29">
        <v>716302</v>
      </c>
      <c r="AL71" s="1">
        <v>507.10526315789474</v>
      </c>
      <c r="AM71" s="1">
        <v>11.4</v>
      </c>
      <c r="AN71" s="1">
        <v>169.42424242424244</v>
      </c>
      <c r="AO71" s="1">
        <v>41.658408181818182</v>
      </c>
      <c r="AP71" s="30" t="s">
        <v>216</v>
      </c>
      <c r="AQ71" t="str">
        <f>VLOOKUP(AP71,Table46[[#All],[LBA CODE]:[FICHE CODE]],3,0)</f>
        <v>0426-0379</v>
      </c>
      <c r="AS71" s="34" t="s">
        <v>320</v>
      </c>
      <c r="AT71" t="s">
        <v>62</v>
      </c>
      <c r="AU71" s="1">
        <v>56200</v>
      </c>
      <c r="AV71" s="1">
        <v>55466</v>
      </c>
    </row>
    <row r="72" spans="1:48" x14ac:dyDescent="0.35">
      <c r="A72" s="32">
        <f t="shared" si="9"/>
        <v>70</v>
      </c>
      <c r="B72" s="20">
        <v>46076</v>
      </c>
      <c r="C72" s="20">
        <v>46076</v>
      </c>
      <c r="D72" s="10" t="s">
        <v>38</v>
      </c>
      <c r="E72" s="10" t="s">
        <v>39</v>
      </c>
      <c r="F72" s="10" t="s">
        <v>40</v>
      </c>
      <c r="G72" s="10" t="s">
        <v>86</v>
      </c>
      <c r="H72" s="10" t="s">
        <v>123</v>
      </c>
      <c r="I72" s="10" t="s">
        <v>124</v>
      </c>
      <c r="J72" s="10" t="s">
        <v>321</v>
      </c>
      <c r="K72" s="21" t="s">
        <v>161</v>
      </c>
      <c r="L72" s="10">
        <v>753</v>
      </c>
      <c r="M72" s="10">
        <v>72601</v>
      </c>
      <c r="N72" s="10">
        <v>478</v>
      </c>
      <c r="O72" s="22">
        <f t="shared" si="5"/>
        <v>39820</v>
      </c>
      <c r="P72" s="22">
        <v>39342</v>
      </c>
      <c r="Q72" s="10">
        <v>472</v>
      </c>
      <c r="R72" s="49">
        <v>0</v>
      </c>
      <c r="S72" s="10">
        <v>6</v>
      </c>
      <c r="T72" s="10">
        <f t="shared" si="8"/>
        <v>24</v>
      </c>
      <c r="U72" s="22">
        <f>Table46[[#This Row],[NET WT KGS]]-Table46[[#This Row],[Refraction]]</f>
        <v>39318</v>
      </c>
      <c r="V72" s="23">
        <v>475</v>
      </c>
      <c r="W72" s="23">
        <f>Table46[[#This Row],[PRICE]]*Table46[[#This Row],[PAID WT]]</f>
        <v>18676050</v>
      </c>
      <c r="X72" s="24">
        <v>8.9</v>
      </c>
      <c r="Y72" s="25">
        <v>176</v>
      </c>
      <c r="Z72" s="24">
        <v>47.16</v>
      </c>
      <c r="AA72" s="26"/>
      <c r="AB72" s="10" t="s">
        <v>58</v>
      </c>
      <c r="AC72" s="27"/>
      <c r="AD72" s="28" t="s">
        <v>312</v>
      </c>
      <c r="AE72" s="18">
        <f>Table46[[#This Row],[MOIS.]]*Table46[[#This Row],[NET WT KGS]]</f>
        <v>350143.8</v>
      </c>
      <c r="AF72" s="18">
        <f>Table46[[#This Row],[KOR]]*Table46[[#This Row],[NET WT KGS]]</f>
        <v>1855368.72</v>
      </c>
      <c r="AG72">
        <f>Table46[[#This Row],[NET WT KGS]]*Table46[[#This Row],[NUT COUNT]]</f>
        <v>6924192</v>
      </c>
      <c r="AJ72" t="s">
        <v>291</v>
      </c>
      <c r="AK72" s="29">
        <v>215396</v>
      </c>
      <c r="AL72" s="1">
        <v>500.83333333333331</v>
      </c>
      <c r="AM72" s="1">
        <v>11.350000000000001</v>
      </c>
      <c r="AN72" s="1">
        <v>167.5</v>
      </c>
      <c r="AO72" s="1">
        <v>41.696545</v>
      </c>
      <c r="AP72" s="30" t="s">
        <v>322</v>
      </c>
      <c r="AQ72" t="str">
        <f>VLOOKUP(AP72,Table46[[#All],[LBA CODE]:[FICHE CODE]],3,0)</f>
        <v>0401-0154</v>
      </c>
      <c r="AS72" s="34" t="s">
        <v>323</v>
      </c>
      <c r="AU72" s="1">
        <v>11118915</v>
      </c>
      <c r="AV72" s="1">
        <v>10982132</v>
      </c>
    </row>
    <row r="73" spans="1:48" x14ac:dyDescent="0.35">
      <c r="A73" s="32">
        <f t="shared" si="9"/>
        <v>71</v>
      </c>
      <c r="B73" s="20">
        <v>46076</v>
      </c>
      <c r="C73" s="20">
        <v>46076</v>
      </c>
      <c r="D73" s="10" t="s">
        <v>38</v>
      </c>
      <c r="E73" s="10" t="s">
        <v>39</v>
      </c>
      <c r="F73" s="10" t="s">
        <v>40</v>
      </c>
      <c r="G73" s="10" t="s">
        <v>41</v>
      </c>
      <c r="H73" s="10" t="s">
        <v>105</v>
      </c>
      <c r="I73" s="10" t="s">
        <v>106</v>
      </c>
      <c r="J73" s="10" t="s">
        <v>167</v>
      </c>
      <c r="K73" s="33" t="s">
        <v>108</v>
      </c>
      <c r="L73" s="10">
        <v>756</v>
      </c>
      <c r="M73" s="10">
        <v>70992</v>
      </c>
      <c r="N73" s="10">
        <v>250</v>
      </c>
      <c r="O73" s="22">
        <f t="shared" si="5"/>
        <v>20360</v>
      </c>
      <c r="P73" s="22">
        <v>20110</v>
      </c>
      <c r="Q73" s="10">
        <v>250</v>
      </c>
      <c r="R73" s="49">
        <v>0</v>
      </c>
      <c r="S73" s="10">
        <v>0</v>
      </c>
      <c r="T73" s="10">
        <f t="shared" si="8"/>
        <v>0</v>
      </c>
      <c r="U73" s="22">
        <f>Table46[[#This Row],[NET WT KGS]]-Table46[[#This Row],[Refraction]]</f>
        <v>20110</v>
      </c>
      <c r="V73" s="23">
        <v>475</v>
      </c>
      <c r="W73" s="23">
        <f>Table46[[#This Row],[PRICE]]*Table46[[#This Row],[PAID WT]]</f>
        <v>9552250</v>
      </c>
      <c r="X73" s="24">
        <v>9.4</v>
      </c>
      <c r="Y73" s="25">
        <v>170</v>
      </c>
      <c r="Z73" s="24">
        <v>46.81</v>
      </c>
      <c r="AA73" s="26"/>
      <c r="AB73" s="10" t="s">
        <v>324</v>
      </c>
      <c r="AC73" s="27"/>
      <c r="AD73" s="28" t="s">
        <v>312</v>
      </c>
      <c r="AE73" s="18">
        <f>Table46[[#This Row],[MOIS.]]*Table46[[#This Row],[NET WT KGS]]</f>
        <v>189034</v>
      </c>
      <c r="AF73" s="18">
        <f>Table46[[#This Row],[KOR]]*Table46[[#This Row],[NET WT KGS]]</f>
        <v>941349.10000000009</v>
      </c>
      <c r="AG73">
        <f>Table46[[#This Row],[NET WT KGS]]*Table46[[#This Row],[NUT COUNT]]</f>
        <v>3418700</v>
      </c>
      <c r="AJ73" t="s">
        <v>293</v>
      </c>
      <c r="AK73" s="29">
        <v>657699</v>
      </c>
      <c r="AL73" s="1">
        <v>505.33333333333331</v>
      </c>
      <c r="AM73" s="1">
        <v>11.628571428571426</v>
      </c>
      <c r="AN73" s="1">
        <v>172.61904761904762</v>
      </c>
      <c r="AO73" s="1">
        <v>41.97323333333334</v>
      </c>
      <c r="AP73" s="30" t="s">
        <v>325</v>
      </c>
      <c r="AQ73">
        <f>VLOOKUP(AP73,Table46[[#All],[LBA CODE]:[FICHE CODE]],3,0)</f>
        <v>0</v>
      </c>
    </row>
    <row r="74" spans="1:48" x14ac:dyDescent="0.35">
      <c r="A74" s="32">
        <f t="shared" si="9"/>
        <v>72</v>
      </c>
      <c r="B74" s="35">
        <v>46076</v>
      </c>
      <c r="C74" s="35">
        <f>Table46[[#This Row],[DATE OF ARRIVAL]]</f>
        <v>46076</v>
      </c>
      <c r="D74" s="36" t="s">
        <v>38</v>
      </c>
      <c r="E74" s="36" t="s">
        <v>39</v>
      </c>
      <c r="F74" s="36" t="s">
        <v>40</v>
      </c>
      <c r="G74" s="36"/>
      <c r="H74" s="36" t="s">
        <v>123</v>
      </c>
      <c r="I74" s="36" t="s">
        <v>124</v>
      </c>
      <c r="J74" s="36" t="s">
        <v>326</v>
      </c>
      <c r="K74" s="36"/>
      <c r="L74" s="36"/>
      <c r="M74" s="36"/>
      <c r="N74" s="36">
        <v>0</v>
      </c>
      <c r="O74" s="37">
        <f t="shared" si="5"/>
        <v>0</v>
      </c>
      <c r="P74" s="37"/>
      <c r="Q74" s="36"/>
      <c r="R74" s="37"/>
      <c r="S74" s="36"/>
      <c r="T74" s="36">
        <f t="shared" si="8"/>
        <v>0</v>
      </c>
      <c r="U74" s="37">
        <f>Table46[[#This Row],[NET WT KGS]]-Table46[[#This Row],[Refraction]]</f>
        <v>0</v>
      </c>
      <c r="V74" s="38"/>
      <c r="W74" s="38">
        <f>Table46[[#This Row],[PRICE]]*Table46[[#This Row],[PAID WT]]</f>
        <v>0</v>
      </c>
      <c r="X74" s="39">
        <v>8</v>
      </c>
      <c r="Y74" s="40">
        <v>178</v>
      </c>
      <c r="Z74" s="39">
        <v>44.7</v>
      </c>
      <c r="AA74" s="41"/>
      <c r="AB74" s="36" t="s">
        <v>327</v>
      </c>
      <c r="AC74" s="42" t="s">
        <v>70</v>
      </c>
      <c r="AD74" s="28"/>
      <c r="AE74" s="18">
        <f>Table46[[#This Row],[MOIS.]]*Table46[[#This Row],[NET WT KGS]]</f>
        <v>0</v>
      </c>
      <c r="AF74" s="18">
        <f>Table46[[#This Row],[KOR]]*Table46[[#This Row],[NET WT KGS]]</f>
        <v>0</v>
      </c>
      <c r="AG74">
        <f>Table46[[#This Row],[NET WT KGS]]*Table46[[#This Row],[NUT COUNT]]</f>
        <v>0</v>
      </c>
      <c r="AJ74" t="s">
        <v>295</v>
      </c>
      <c r="AK74" s="29">
        <v>650810</v>
      </c>
      <c r="AL74" s="1">
        <v>496.78571428571428</v>
      </c>
      <c r="AM74" s="1">
        <v>10.761904761904763</v>
      </c>
      <c r="AN74" s="1">
        <v>168.1904761904762</v>
      </c>
      <c r="AO74" s="1">
        <v>41.574999047619045</v>
      </c>
      <c r="AP74" s="30" t="s">
        <v>328</v>
      </c>
      <c r="AQ74" t="str">
        <f>VLOOKUP(AP74,Table46[[#All],[LBA CODE]:[FICHE CODE]],3,0)</f>
        <v>0408-0287</v>
      </c>
    </row>
    <row r="75" spans="1:48" x14ac:dyDescent="0.35">
      <c r="A75" s="32">
        <f t="shared" si="9"/>
        <v>73</v>
      </c>
      <c r="B75" s="35">
        <v>46076</v>
      </c>
      <c r="C75" s="35">
        <f>Table46[[#This Row],[DATE OF ARRIVAL]]</f>
        <v>46076</v>
      </c>
      <c r="D75" s="36" t="s">
        <v>38</v>
      </c>
      <c r="E75" s="36" t="s">
        <v>39</v>
      </c>
      <c r="F75" s="36" t="s">
        <v>40</v>
      </c>
      <c r="G75" s="36"/>
      <c r="H75" s="36" t="s">
        <v>112</v>
      </c>
      <c r="I75" s="36" t="s">
        <v>113</v>
      </c>
      <c r="J75" s="36" t="s">
        <v>114</v>
      </c>
      <c r="K75" s="36"/>
      <c r="L75" s="36"/>
      <c r="M75" s="36"/>
      <c r="N75" s="36">
        <v>0</v>
      </c>
      <c r="O75" s="37">
        <f t="shared" si="5"/>
        <v>0</v>
      </c>
      <c r="P75" s="37"/>
      <c r="Q75" s="36"/>
      <c r="R75" s="37"/>
      <c r="S75" s="36"/>
      <c r="T75" s="36">
        <f t="shared" si="8"/>
        <v>0</v>
      </c>
      <c r="U75" s="37">
        <f>Table46[[#This Row],[NET WT KGS]]-Table46[[#This Row],[Refraction]]</f>
        <v>0</v>
      </c>
      <c r="V75" s="38"/>
      <c r="W75" s="38">
        <f>Table46[[#This Row],[PRICE]]*Table46[[#This Row],[PAID WT]]</f>
        <v>0</v>
      </c>
      <c r="X75" s="39">
        <v>8.1999999999999993</v>
      </c>
      <c r="Y75" s="40">
        <v>174</v>
      </c>
      <c r="Z75" s="39">
        <v>45.05</v>
      </c>
      <c r="AA75" s="41"/>
      <c r="AB75" s="36" t="s">
        <v>58</v>
      </c>
      <c r="AC75" s="42" t="s">
        <v>70</v>
      </c>
      <c r="AD75" s="28"/>
      <c r="AE75" s="18">
        <f>Table46[[#This Row],[MOIS.]]*Table46[[#This Row],[NET WT KGS]]</f>
        <v>0</v>
      </c>
      <c r="AF75" s="18">
        <f>Table46[[#This Row],[KOR]]*Table46[[#This Row],[NET WT KGS]]</f>
        <v>0</v>
      </c>
      <c r="AG75">
        <f>Table46[[#This Row],[NET WT KGS]]*Table46[[#This Row],[NUT COUNT]]</f>
        <v>0</v>
      </c>
      <c r="AJ75" t="s">
        <v>297</v>
      </c>
      <c r="AK75" s="29">
        <v>447865</v>
      </c>
      <c r="AL75" s="1">
        <v>489.09090909090907</v>
      </c>
      <c r="AM75" s="1">
        <v>11.978571428571428</v>
      </c>
      <c r="AN75" s="1">
        <v>169.92857142857142</v>
      </c>
      <c r="AO75" s="1">
        <v>42.136760714285707</v>
      </c>
      <c r="AP75" s="30" t="s">
        <v>329</v>
      </c>
      <c r="AQ75">
        <f>VLOOKUP(AP75,Table46[[#All],[LBA CODE]:[FICHE CODE]],3,0)</f>
        <v>0</v>
      </c>
    </row>
    <row r="76" spans="1:48" x14ac:dyDescent="0.35">
      <c r="A76" s="32">
        <f t="shared" si="9"/>
        <v>74</v>
      </c>
      <c r="B76" s="20">
        <v>46076</v>
      </c>
      <c r="C76" s="20">
        <v>46077</v>
      </c>
      <c r="D76" s="50" t="s">
        <v>38</v>
      </c>
      <c r="E76" s="50" t="s">
        <v>39</v>
      </c>
      <c r="F76" s="10" t="s">
        <v>40</v>
      </c>
      <c r="G76" s="10" t="s">
        <v>86</v>
      </c>
      <c r="H76" s="10" t="s">
        <v>54</v>
      </c>
      <c r="I76" s="10" t="s">
        <v>55</v>
      </c>
      <c r="J76" s="50" t="s">
        <v>330</v>
      </c>
      <c r="K76" s="33" t="s">
        <v>57</v>
      </c>
      <c r="L76" s="50">
        <v>761</v>
      </c>
      <c r="M76" s="10">
        <v>68655</v>
      </c>
      <c r="N76" s="50">
        <v>521</v>
      </c>
      <c r="O76" s="51">
        <f t="shared" si="5"/>
        <v>40620</v>
      </c>
      <c r="P76" s="51">
        <v>40099</v>
      </c>
      <c r="Q76" s="50">
        <v>520</v>
      </c>
      <c r="R76" s="50">
        <v>0</v>
      </c>
      <c r="S76" s="50">
        <v>1</v>
      </c>
      <c r="T76" s="10">
        <f t="shared" si="8"/>
        <v>4</v>
      </c>
      <c r="U76" s="51">
        <f>Table46[[#This Row],[NET WT KGS]]-Table46[[#This Row],[Refraction]]</f>
        <v>40095</v>
      </c>
      <c r="V76" s="52">
        <v>490</v>
      </c>
      <c r="W76" s="52">
        <f>Table46[[#This Row],[PRICE]]*Table46[[#This Row],[PAID WT]]</f>
        <v>19646550</v>
      </c>
      <c r="X76" s="53">
        <v>9.5</v>
      </c>
      <c r="Y76" s="54">
        <v>178</v>
      </c>
      <c r="Z76" s="53">
        <v>46.28</v>
      </c>
      <c r="AA76" s="55"/>
      <c r="AB76" s="50" t="s">
        <v>58</v>
      </c>
      <c r="AC76" s="56"/>
      <c r="AD76" s="28" t="s">
        <v>312</v>
      </c>
      <c r="AE76" s="18">
        <f>Table46[[#This Row],[MOIS.]]*Table46[[#This Row],[NET WT KGS]]</f>
        <v>380940.5</v>
      </c>
      <c r="AF76" s="18">
        <f>Table46[[#This Row],[KOR]]*Table46[[#This Row],[NET WT KGS]]</f>
        <v>1855781.72</v>
      </c>
      <c r="AG76">
        <f>Table46[[#This Row],[NET WT KGS]]*Table46[[#This Row],[NUT COUNT]]</f>
        <v>7137622</v>
      </c>
      <c r="AJ76" t="s">
        <v>298</v>
      </c>
      <c r="AK76" s="29">
        <v>564109</v>
      </c>
      <c r="AL76" s="1">
        <v>486.07142857142856</v>
      </c>
      <c r="AM76" s="1">
        <v>11.044999999999998</v>
      </c>
      <c r="AN76" s="1">
        <v>173.4</v>
      </c>
      <c r="AO76" s="1">
        <v>41.566509500000009</v>
      </c>
      <c r="AP76" s="30" t="s">
        <v>323</v>
      </c>
    </row>
    <row r="77" spans="1:48" x14ac:dyDescent="0.35">
      <c r="A77" s="32">
        <f t="shared" si="9"/>
        <v>75</v>
      </c>
      <c r="B77" s="20">
        <v>46076</v>
      </c>
      <c r="C77" s="20">
        <v>46077</v>
      </c>
      <c r="D77" s="50" t="s">
        <v>38</v>
      </c>
      <c r="E77" s="50" t="s">
        <v>39</v>
      </c>
      <c r="F77" s="10" t="s">
        <v>40</v>
      </c>
      <c r="G77" s="10" t="s">
        <v>41</v>
      </c>
      <c r="H77" s="10" t="s">
        <v>154</v>
      </c>
      <c r="I77" s="10" t="s">
        <v>155</v>
      </c>
      <c r="J77" s="50" t="s">
        <v>331</v>
      </c>
      <c r="K77" s="33" t="s">
        <v>157</v>
      </c>
      <c r="L77" s="50">
        <v>760</v>
      </c>
      <c r="M77" s="10">
        <v>72600</v>
      </c>
      <c r="N77" s="50">
        <v>479</v>
      </c>
      <c r="O77" s="51">
        <f t="shared" si="5"/>
        <v>42180</v>
      </c>
      <c r="P77" s="51">
        <v>41701</v>
      </c>
      <c r="Q77" s="50">
        <v>474</v>
      </c>
      <c r="R77" s="50">
        <v>0</v>
      </c>
      <c r="S77" s="50">
        <v>5</v>
      </c>
      <c r="T77" s="10">
        <f t="shared" si="8"/>
        <v>20</v>
      </c>
      <c r="U77" s="51">
        <f>Table46[[#This Row],[NET WT KGS]]-Table46[[#This Row],[Refraction]]</f>
        <v>41681</v>
      </c>
      <c r="V77" s="23">
        <v>480</v>
      </c>
      <c r="W77" s="23">
        <f>Table46[[#This Row],[PRICE]]*Table46[[#This Row],[PAID WT]]</f>
        <v>20006880</v>
      </c>
      <c r="X77" s="53">
        <v>10.3</v>
      </c>
      <c r="Y77" s="54">
        <v>183</v>
      </c>
      <c r="Z77" s="53">
        <v>48.04</v>
      </c>
      <c r="AA77" s="55"/>
      <c r="AB77" s="50" t="s">
        <v>332</v>
      </c>
      <c r="AC77" s="56"/>
      <c r="AD77" s="28" t="s">
        <v>312</v>
      </c>
      <c r="AE77" s="18">
        <f>Table46[[#This Row],[MOIS.]]*Table46[[#This Row],[NET WT KGS]]</f>
        <v>429520.30000000005</v>
      </c>
      <c r="AF77" s="18">
        <f>Table46[[#This Row],[KOR]]*Table46[[#This Row],[NET WT KGS]]</f>
        <v>2003316.04</v>
      </c>
      <c r="AG77">
        <f>Table46[[#This Row],[NET WT KGS]]*Table46[[#This Row],[NUT COUNT]]</f>
        <v>7631283</v>
      </c>
      <c r="AI77" t="s">
        <v>333</v>
      </c>
      <c r="AK77" s="29">
        <v>13409019</v>
      </c>
      <c r="AL77" s="1">
        <v>503.95962732919253</v>
      </c>
      <c r="AM77" s="1">
        <v>10.913677130044842</v>
      </c>
      <c r="AN77" s="1">
        <v>170.91031390134529</v>
      </c>
      <c r="AO77" s="1">
        <v>42.020105325112119</v>
      </c>
    </row>
    <row r="78" spans="1:48" x14ac:dyDescent="0.35">
      <c r="A78" s="32">
        <f t="shared" si="9"/>
        <v>76</v>
      </c>
      <c r="B78" s="20">
        <v>46076</v>
      </c>
      <c r="C78" s="20">
        <v>46077</v>
      </c>
      <c r="D78" s="50" t="s">
        <v>38</v>
      </c>
      <c r="E78" s="50" t="s">
        <v>39</v>
      </c>
      <c r="F78" s="10" t="s">
        <v>40</v>
      </c>
      <c r="G78" s="10" t="s">
        <v>41</v>
      </c>
      <c r="H78" s="10" t="s">
        <v>54</v>
      </c>
      <c r="I78" s="10" t="s">
        <v>55</v>
      </c>
      <c r="J78" s="50" t="s">
        <v>56</v>
      </c>
      <c r="K78" s="33" t="s">
        <v>57</v>
      </c>
      <c r="L78" s="50">
        <v>759</v>
      </c>
      <c r="M78" s="10">
        <v>68656</v>
      </c>
      <c r="N78" s="50">
        <v>586</v>
      </c>
      <c r="O78" s="51">
        <f t="shared" si="5"/>
        <v>48520</v>
      </c>
      <c r="P78" s="51">
        <v>47934</v>
      </c>
      <c r="Q78" s="50">
        <v>526</v>
      </c>
      <c r="R78" s="50">
        <v>0</v>
      </c>
      <c r="S78" s="50">
        <v>60</v>
      </c>
      <c r="T78" s="10">
        <v>80</v>
      </c>
      <c r="U78" s="51">
        <f>Table46[[#This Row],[NET WT KGS]]-Table46[[#This Row],[Refraction]]</f>
        <v>47854</v>
      </c>
      <c r="V78" s="23">
        <v>490</v>
      </c>
      <c r="W78" s="23">
        <f>Table46[[#This Row],[PRICE]]*Table46[[#This Row],[PAID WT]]</f>
        <v>23448460</v>
      </c>
      <c r="X78" s="53">
        <v>9</v>
      </c>
      <c r="Y78" s="54">
        <v>164</v>
      </c>
      <c r="Z78" s="53">
        <v>46.64</v>
      </c>
      <c r="AA78" s="55"/>
      <c r="AB78" s="50" t="s">
        <v>58</v>
      </c>
      <c r="AC78" s="56"/>
      <c r="AD78" s="28" t="s">
        <v>312</v>
      </c>
      <c r="AE78" s="18">
        <f>Table46[[#This Row],[MOIS.]]*Table46[[#This Row],[NET WT KGS]]</f>
        <v>431406</v>
      </c>
      <c r="AF78" s="18">
        <f>Table46[[#This Row],[KOR]]*Table46[[#This Row],[NET WT KGS]]</f>
        <v>2235641.7600000002</v>
      </c>
      <c r="AG78">
        <f>Table46[[#This Row],[NET WT KGS]]*Table46[[#This Row],[NUT COUNT]]</f>
        <v>7861176</v>
      </c>
      <c r="AI78" t="s">
        <v>334</v>
      </c>
      <c r="AJ78" t="s">
        <v>300</v>
      </c>
      <c r="AK78" s="29">
        <v>384839</v>
      </c>
      <c r="AL78" s="1">
        <v>479.44444444444446</v>
      </c>
      <c r="AM78" s="1">
        <v>11.063636363636364</v>
      </c>
      <c r="AN78" s="1">
        <v>170.45454545454547</v>
      </c>
      <c r="AO78" s="1">
        <v>42.188193636363629</v>
      </c>
    </row>
    <row r="79" spans="1:48" x14ac:dyDescent="0.35">
      <c r="A79" s="32">
        <f t="shared" si="9"/>
        <v>77</v>
      </c>
      <c r="B79" s="20">
        <v>46077</v>
      </c>
      <c r="C79" s="20">
        <v>46077</v>
      </c>
      <c r="D79" s="50" t="s">
        <v>38</v>
      </c>
      <c r="E79" s="50" t="s">
        <v>39</v>
      </c>
      <c r="F79" s="10" t="s">
        <v>40</v>
      </c>
      <c r="G79" s="10" t="s">
        <v>86</v>
      </c>
      <c r="H79" s="10" t="s">
        <v>193</v>
      </c>
      <c r="I79" s="10" t="s">
        <v>194</v>
      </c>
      <c r="J79" s="50" t="s">
        <v>195</v>
      </c>
      <c r="K79" s="33" t="s">
        <v>196</v>
      </c>
      <c r="L79" s="50">
        <v>762</v>
      </c>
      <c r="M79" s="10">
        <v>72552</v>
      </c>
      <c r="N79" s="50">
        <v>620</v>
      </c>
      <c r="O79" s="51">
        <f t="shared" si="5"/>
        <v>46240</v>
      </c>
      <c r="P79" s="51">
        <v>45620</v>
      </c>
      <c r="Q79" s="50">
        <v>619</v>
      </c>
      <c r="R79" s="50">
        <v>0</v>
      </c>
      <c r="S79" s="50">
        <v>1</v>
      </c>
      <c r="T79" s="10">
        <v>0</v>
      </c>
      <c r="U79" s="51">
        <f>Table46[[#This Row],[NET WT KGS]]-Table46[[#This Row],[Refraction]]</f>
        <v>45620</v>
      </c>
      <c r="V79" s="23">
        <v>475</v>
      </c>
      <c r="W79" s="23">
        <f>Table46[[#This Row],[PRICE]]*Table46[[#This Row],[PAID WT]]</f>
        <v>21669500</v>
      </c>
      <c r="X79" s="53">
        <v>10</v>
      </c>
      <c r="Y79" s="54">
        <v>183</v>
      </c>
      <c r="Z79" s="53">
        <v>46.11</v>
      </c>
      <c r="AA79" s="55"/>
      <c r="AB79" s="50" t="s">
        <v>132</v>
      </c>
      <c r="AC79" s="56"/>
      <c r="AD79" s="28" t="s">
        <v>312</v>
      </c>
      <c r="AE79" s="18">
        <f>Table46[[#This Row],[MOIS.]]*Table46[[#This Row],[NET WT KGS]]</f>
        <v>456200</v>
      </c>
      <c r="AF79" s="18">
        <f>Table46[[#This Row],[KOR]]*Table46[[#This Row],[NET WT KGS]]</f>
        <v>2103538.2000000002</v>
      </c>
      <c r="AG79">
        <f>Table46[[#This Row],[NET WT KGS]]*Table46[[#This Row],[NUT COUNT]]</f>
        <v>8348460</v>
      </c>
      <c r="AJ79" t="s">
        <v>301</v>
      </c>
      <c r="AK79" s="29">
        <v>524529</v>
      </c>
      <c r="AL79" s="1">
        <v>467.08333333333331</v>
      </c>
      <c r="AM79" s="1">
        <v>10.174999999999999</v>
      </c>
      <c r="AN79" s="1">
        <v>171.55</v>
      </c>
      <c r="AO79" s="1">
        <v>41.259703999999999</v>
      </c>
    </row>
    <row r="80" spans="1:48" x14ac:dyDescent="0.35">
      <c r="A80" s="32">
        <f t="shared" si="9"/>
        <v>78</v>
      </c>
      <c r="B80" s="20">
        <v>46077</v>
      </c>
      <c r="C80" s="20">
        <v>46077</v>
      </c>
      <c r="D80" s="50" t="s">
        <v>38</v>
      </c>
      <c r="E80" s="10" t="s">
        <v>258</v>
      </c>
      <c r="F80" s="10" t="s">
        <v>40</v>
      </c>
      <c r="G80" s="10" t="s">
        <v>86</v>
      </c>
      <c r="H80" s="10" t="s">
        <v>335</v>
      </c>
      <c r="I80" s="10" t="s">
        <v>66</v>
      </c>
      <c r="J80" s="50" t="s">
        <v>336</v>
      </c>
      <c r="K80" s="57" t="s">
        <v>337</v>
      </c>
      <c r="L80" s="50">
        <v>767</v>
      </c>
      <c r="M80" s="10">
        <v>68669</v>
      </c>
      <c r="N80" s="50">
        <v>393</v>
      </c>
      <c r="O80" s="51">
        <f t="shared" si="5"/>
        <v>34120</v>
      </c>
      <c r="P80" s="51">
        <v>33727</v>
      </c>
      <c r="Q80" s="50">
        <v>383</v>
      </c>
      <c r="R80" s="50">
        <v>0</v>
      </c>
      <c r="S80" s="50">
        <v>10</v>
      </c>
      <c r="T80" s="10">
        <f>S80*4+R80*40</f>
        <v>40</v>
      </c>
      <c r="U80" s="51">
        <f>Table46[[#This Row],[NET WT KGS]]-Table46[[#This Row],[Refraction]]</f>
        <v>33687</v>
      </c>
      <c r="V80" s="23">
        <v>480</v>
      </c>
      <c r="W80" s="23">
        <f>Table46[[#This Row],[PRICE]]*Table46[[#This Row],[PAID WT]]</f>
        <v>16169760</v>
      </c>
      <c r="X80" s="53">
        <v>8</v>
      </c>
      <c r="Y80" s="54">
        <v>176</v>
      </c>
      <c r="Z80" s="53">
        <v>47.69</v>
      </c>
      <c r="AA80" s="55"/>
      <c r="AB80" s="50" t="s">
        <v>46</v>
      </c>
      <c r="AC80" s="56"/>
      <c r="AD80" s="28" t="s">
        <v>312</v>
      </c>
      <c r="AE80" s="18">
        <f>Table46[[#This Row],[MOIS.]]*Table46[[#This Row],[NET WT KGS]]</f>
        <v>269816</v>
      </c>
      <c r="AF80" s="18">
        <f>Table46[[#This Row],[KOR]]*Table46[[#This Row],[NET WT KGS]]</f>
        <v>1608440.63</v>
      </c>
      <c r="AG80">
        <f>Table46[[#This Row],[NET WT KGS]]*Table46[[#This Row],[NUT COUNT]]</f>
        <v>5935952</v>
      </c>
      <c r="AJ80" t="s">
        <v>303</v>
      </c>
      <c r="AK80" s="29">
        <v>484330</v>
      </c>
      <c r="AL80" s="1">
        <v>472.08333333333331</v>
      </c>
      <c r="AM80" s="1">
        <v>10.894117647058822</v>
      </c>
      <c r="AN80" s="1">
        <v>169.29411764705881</v>
      </c>
      <c r="AO80" s="1">
        <v>41.810472352941176</v>
      </c>
    </row>
    <row r="81" spans="1:41" x14ac:dyDescent="0.35">
      <c r="A81" s="32">
        <f t="shared" si="9"/>
        <v>79</v>
      </c>
      <c r="B81" s="20">
        <v>46077</v>
      </c>
      <c r="C81" s="20">
        <v>46077</v>
      </c>
      <c r="D81" s="50" t="s">
        <v>38</v>
      </c>
      <c r="E81" s="50" t="s">
        <v>39</v>
      </c>
      <c r="F81" s="10" t="s">
        <v>40</v>
      </c>
      <c r="G81" s="10" t="s">
        <v>86</v>
      </c>
      <c r="H81" s="10" t="s">
        <v>338</v>
      </c>
      <c r="I81" s="10" t="s">
        <v>317</v>
      </c>
      <c r="J81" s="50" t="s">
        <v>339</v>
      </c>
      <c r="K81" s="57" t="s">
        <v>340</v>
      </c>
      <c r="L81" s="50">
        <v>768</v>
      </c>
      <c r="M81" s="10">
        <v>72620</v>
      </c>
      <c r="N81" s="50">
        <v>451</v>
      </c>
      <c r="O81" s="51">
        <f t="shared" si="5"/>
        <v>39020</v>
      </c>
      <c r="P81" s="51">
        <v>38569</v>
      </c>
      <c r="Q81" s="50">
        <v>441</v>
      </c>
      <c r="R81" s="50">
        <v>0</v>
      </c>
      <c r="S81" s="50">
        <v>10</v>
      </c>
      <c r="T81" s="10">
        <f>S81*4+R81*40</f>
        <v>40</v>
      </c>
      <c r="U81" s="51">
        <f>Table46[[#This Row],[NET WT KGS]]-Table46[[#This Row],[Refraction]]</f>
        <v>38529</v>
      </c>
      <c r="V81" s="23">
        <v>475</v>
      </c>
      <c r="W81" s="23">
        <f>Table46[[#This Row],[PRICE]]*Table46[[#This Row],[PAID WT]]</f>
        <v>18301275</v>
      </c>
      <c r="X81" s="53">
        <v>9.4</v>
      </c>
      <c r="Y81" s="54">
        <v>174</v>
      </c>
      <c r="Z81" s="53">
        <v>47.87</v>
      </c>
      <c r="AA81" s="55"/>
      <c r="AB81" s="50" t="s">
        <v>284</v>
      </c>
      <c r="AC81" s="56"/>
      <c r="AD81" s="28" t="s">
        <v>312</v>
      </c>
      <c r="AE81" s="18">
        <f>Table46[[#This Row],[MOIS.]]*Table46[[#This Row],[NET WT KGS]]</f>
        <v>362548.60000000003</v>
      </c>
      <c r="AF81" s="18">
        <f>Table46[[#This Row],[KOR]]*Table46[[#This Row],[NET WT KGS]]</f>
        <v>1846298.0299999998</v>
      </c>
      <c r="AG81">
        <f>Table46[[#This Row],[NET WT KGS]]*Table46[[#This Row],[NUT COUNT]]</f>
        <v>6711006</v>
      </c>
      <c r="AJ81" t="s">
        <v>306</v>
      </c>
      <c r="AK81" s="29">
        <v>468507</v>
      </c>
      <c r="AL81" s="1">
        <v>468.5</v>
      </c>
      <c r="AM81" s="1">
        <v>10.566666666666668</v>
      </c>
      <c r="AN81" s="1">
        <v>171.86666666666667</v>
      </c>
      <c r="AO81" s="1">
        <v>40.796817999999995</v>
      </c>
    </row>
    <row r="82" spans="1:41" x14ac:dyDescent="0.35">
      <c r="A82" s="32">
        <f t="shared" si="9"/>
        <v>80</v>
      </c>
      <c r="B82" s="20">
        <v>46077</v>
      </c>
      <c r="C82" s="20">
        <v>46077</v>
      </c>
      <c r="D82" s="50" t="s">
        <v>38</v>
      </c>
      <c r="E82" s="50" t="s">
        <v>39</v>
      </c>
      <c r="F82" s="10" t="s">
        <v>40</v>
      </c>
      <c r="G82" s="10" t="s">
        <v>86</v>
      </c>
      <c r="H82" s="10" t="s">
        <v>123</v>
      </c>
      <c r="I82" s="10" t="s">
        <v>124</v>
      </c>
      <c r="J82" s="50" t="s">
        <v>341</v>
      </c>
      <c r="K82" s="21" t="s">
        <v>161</v>
      </c>
      <c r="L82" s="50">
        <v>765</v>
      </c>
      <c r="M82" s="10">
        <v>72584</v>
      </c>
      <c r="N82" s="50">
        <v>586</v>
      </c>
      <c r="O82" s="51">
        <f t="shared" si="5"/>
        <v>51260</v>
      </c>
      <c r="P82" s="51">
        <v>50674</v>
      </c>
      <c r="Q82" s="50">
        <v>570</v>
      </c>
      <c r="R82" s="50">
        <v>0</v>
      </c>
      <c r="S82" s="50">
        <v>16</v>
      </c>
      <c r="T82" s="10">
        <v>50</v>
      </c>
      <c r="U82" s="51">
        <f>Table46[[#This Row],[NET WT KGS]]-Table46[[#This Row],[Refraction]]</f>
        <v>50624</v>
      </c>
      <c r="V82" s="23">
        <v>475</v>
      </c>
      <c r="W82" s="23">
        <f>Table46[[#This Row],[PRICE]]*Table46[[#This Row],[PAID WT]]</f>
        <v>24046400</v>
      </c>
      <c r="X82" s="53">
        <v>9.1</v>
      </c>
      <c r="Y82" s="54">
        <v>175</v>
      </c>
      <c r="Z82" s="53">
        <v>46.64</v>
      </c>
      <c r="AA82" s="55"/>
      <c r="AB82" s="50" t="s">
        <v>342</v>
      </c>
      <c r="AC82" s="56"/>
      <c r="AD82" s="28" t="s">
        <v>312</v>
      </c>
      <c r="AE82" s="18">
        <f>Table46[[#This Row],[MOIS.]]*Table46[[#This Row],[NET WT KGS]]</f>
        <v>461133.39999999997</v>
      </c>
      <c r="AF82" s="18">
        <f>Table46[[#This Row],[KOR]]*Table46[[#This Row],[NET WT KGS]]</f>
        <v>2363435.36</v>
      </c>
      <c r="AG82">
        <f>Table46[[#This Row],[NET WT KGS]]*Table46[[#This Row],[NUT COUNT]]</f>
        <v>8867950</v>
      </c>
      <c r="AJ82" t="s">
        <v>309</v>
      </c>
      <c r="AK82" s="29">
        <v>262916</v>
      </c>
      <c r="AL82" s="1">
        <v>465</v>
      </c>
      <c r="AM82" s="1">
        <v>10.5</v>
      </c>
      <c r="AN82" s="1">
        <v>180.28571428571428</v>
      </c>
      <c r="AO82" s="1">
        <v>41.87085571428571</v>
      </c>
    </row>
    <row r="83" spans="1:41" x14ac:dyDescent="0.35">
      <c r="A83" s="32">
        <f t="shared" si="9"/>
        <v>81</v>
      </c>
      <c r="B83" s="20">
        <v>46077</v>
      </c>
      <c r="C83" s="20">
        <v>46077</v>
      </c>
      <c r="D83" s="50" t="s">
        <v>38</v>
      </c>
      <c r="E83" s="50" t="s">
        <v>39</v>
      </c>
      <c r="F83" s="10" t="s">
        <v>40</v>
      </c>
      <c r="G83" s="10" t="s">
        <v>41</v>
      </c>
      <c r="H83" s="10" t="s">
        <v>136</v>
      </c>
      <c r="I83" s="10" t="s">
        <v>137</v>
      </c>
      <c r="J83" s="50" t="s">
        <v>343</v>
      </c>
      <c r="K83" s="21" t="s">
        <v>139</v>
      </c>
      <c r="L83" s="50">
        <v>764</v>
      </c>
      <c r="M83" s="10">
        <v>72579</v>
      </c>
      <c r="N83" s="50">
        <v>591</v>
      </c>
      <c r="O83" s="51">
        <f t="shared" si="5"/>
        <v>51200</v>
      </c>
      <c r="P83" s="51">
        <v>50609</v>
      </c>
      <c r="Q83" s="50">
        <v>578</v>
      </c>
      <c r="R83" s="50">
        <v>0</v>
      </c>
      <c r="S83" s="50">
        <v>13</v>
      </c>
      <c r="T83" s="10">
        <f>S83*4+R83*40</f>
        <v>52</v>
      </c>
      <c r="U83" s="51">
        <f>Table46[[#This Row],[NET WT KGS]]-Table46[[#This Row],[Refraction]]</f>
        <v>50557</v>
      </c>
      <c r="V83" s="23">
        <v>475</v>
      </c>
      <c r="W83" s="23">
        <f>Table46[[#This Row],[PRICE]]*Table46[[#This Row],[PAID WT]]</f>
        <v>24014575</v>
      </c>
      <c r="X83" s="53">
        <v>9.8000000000000007</v>
      </c>
      <c r="Y83" s="54">
        <v>172</v>
      </c>
      <c r="Z83" s="53">
        <v>46.28</v>
      </c>
      <c r="AA83" s="55"/>
      <c r="AB83" s="50" t="s">
        <v>140</v>
      </c>
      <c r="AC83" s="56"/>
      <c r="AD83" s="28" t="s">
        <v>312</v>
      </c>
      <c r="AE83" s="18">
        <f>Table46[[#This Row],[MOIS.]]*Table46[[#This Row],[NET WT KGS]]</f>
        <v>495968.2</v>
      </c>
      <c r="AF83" s="18">
        <f>Table46[[#This Row],[KOR]]*Table46[[#This Row],[NET WT KGS]]</f>
        <v>2342184.52</v>
      </c>
      <c r="AG83">
        <f>Table46[[#This Row],[NET WT KGS]]*Table46[[#This Row],[NUT COUNT]]</f>
        <v>8704748</v>
      </c>
      <c r="AJ83" t="s">
        <v>310</v>
      </c>
      <c r="AK83" s="29">
        <v>130949</v>
      </c>
      <c r="AL83" s="1">
        <v>481.33333333333331</v>
      </c>
      <c r="AM83" s="1">
        <v>10.233333333333334</v>
      </c>
      <c r="AN83" s="1">
        <v>173.66666666666666</v>
      </c>
      <c r="AO83" s="1">
        <v>43.32</v>
      </c>
    </row>
    <row r="84" spans="1:41" x14ac:dyDescent="0.35">
      <c r="A84" s="32">
        <f t="shared" si="9"/>
        <v>82</v>
      </c>
      <c r="B84" s="20">
        <v>46077</v>
      </c>
      <c r="C84" s="20">
        <v>46077</v>
      </c>
      <c r="D84" s="50" t="s">
        <v>38</v>
      </c>
      <c r="E84" s="50" t="s">
        <v>39</v>
      </c>
      <c r="F84" s="10" t="s">
        <v>40</v>
      </c>
      <c r="G84" s="10" t="s">
        <v>41</v>
      </c>
      <c r="H84" s="10" t="s">
        <v>74</v>
      </c>
      <c r="I84" s="10" t="s">
        <v>75</v>
      </c>
      <c r="J84" s="50" t="s">
        <v>227</v>
      </c>
      <c r="K84" s="33" t="s">
        <v>77</v>
      </c>
      <c r="L84" s="50">
        <v>763</v>
      </c>
      <c r="M84" s="10">
        <v>66901</v>
      </c>
      <c r="N84" s="50">
        <v>554</v>
      </c>
      <c r="O84" s="51">
        <f t="shared" si="5"/>
        <v>50540</v>
      </c>
      <c r="P84" s="51">
        <v>49986</v>
      </c>
      <c r="Q84" s="50">
        <v>550</v>
      </c>
      <c r="R84" s="50">
        <v>0</v>
      </c>
      <c r="S84" s="50">
        <v>5</v>
      </c>
      <c r="T84" s="10">
        <v>100</v>
      </c>
      <c r="U84" s="37">
        <f>Table46[[#This Row],[NET WT KGS]]-Table46[[#This Row],[Refraction]]</f>
        <v>49886</v>
      </c>
      <c r="V84" s="23">
        <v>475</v>
      </c>
      <c r="W84" s="23">
        <f>Table46[[#This Row],[PRICE]]*Table46[[#This Row],[PAID WT]]</f>
        <v>23695850</v>
      </c>
      <c r="X84" s="53">
        <v>10.8</v>
      </c>
      <c r="Y84" s="54">
        <v>168</v>
      </c>
      <c r="Z84" s="53">
        <v>46.11</v>
      </c>
      <c r="AA84" s="55"/>
      <c r="AB84" s="50" t="s">
        <v>308</v>
      </c>
      <c r="AC84" s="56"/>
      <c r="AD84" s="28" t="s">
        <v>312</v>
      </c>
      <c r="AE84" s="18">
        <f>Table46[[#This Row],[MOIS.]]*Table46[[#This Row],[NET WT KGS]]</f>
        <v>539848.80000000005</v>
      </c>
      <c r="AF84" s="18">
        <f>Table46[[#This Row],[KOR]]*Table46[[#This Row],[NET WT KGS]]</f>
        <v>2304854.46</v>
      </c>
      <c r="AG84">
        <f>Table46[[#This Row],[NET WT KGS]]*Table46[[#This Row],[NUT COUNT]]</f>
        <v>8397648</v>
      </c>
      <c r="AJ84" t="s">
        <v>313</v>
      </c>
      <c r="AK84" s="29">
        <v>178633</v>
      </c>
      <c r="AL84" s="1">
        <v>469.5</v>
      </c>
      <c r="AM84" s="1">
        <v>10.425000000000001</v>
      </c>
      <c r="AN84" s="1">
        <v>176.5</v>
      </c>
      <c r="AO84" s="1">
        <v>42.68</v>
      </c>
    </row>
    <row r="85" spans="1:41" x14ac:dyDescent="0.35">
      <c r="A85" s="32">
        <f t="shared" si="9"/>
        <v>83</v>
      </c>
      <c r="B85" s="20">
        <v>46077</v>
      </c>
      <c r="C85" s="20">
        <v>46077</v>
      </c>
      <c r="D85" s="50" t="s">
        <v>38</v>
      </c>
      <c r="E85" s="50" t="s">
        <v>39</v>
      </c>
      <c r="F85" s="10" t="s">
        <v>40</v>
      </c>
      <c r="G85" s="10" t="s">
        <v>41</v>
      </c>
      <c r="H85" s="10" t="s">
        <v>42</v>
      </c>
      <c r="I85" s="10" t="s">
        <v>43</v>
      </c>
      <c r="J85" s="50" t="s">
        <v>145</v>
      </c>
      <c r="K85" s="21" t="s">
        <v>45</v>
      </c>
      <c r="L85" s="50">
        <v>769</v>
      </c>
      <c r="M85" s="10">
        <v>72618</v>
      </c>
      <c r="N85" s="50">
        <v>499</v>
      </c>
      <c r="O85" s="51">
        <f t="shared" si="5"/>
        <v>40440</v>
      </c>
      <c r="P85" s="51">
        <v>39941</v>
      </c>
      <c r="Q85" s="50">
        <v>486</v>
      </c>
      <c r="R85" s="50">
        <v>0</v>
      </c>
      <c r="S85" s="50">
        <v>13</v>
      </c>
      <c r="T85" s="10">
        <f>S85*4+R85*40</f>
        <v>52</v>
      </c>
      <c r="U85" s="51">
        <f>Table46[[#This Row],[NET WT KGS]]-Table46[[#This Row],[Refraction]]</f>
        <v>39889</v>
      </c>
      <c r="V85" s="23">
        <v>470</v>
      </c>
      <c r="W85" s="23">
        <f>Table46[[#This Row],[PRICE]]*Table46[[#This Row],[PAID WT]]</f>
        <v>18747830</v>
      </c>
      <c r="X85" s="53">
        <v>9.3000000000000007</v>
      </c>
      <c r="Y85" s="54">
        <v>175</v>
      </c>
      <c r="Z85" s="53">
        <v>45.76</v>
      </c>
      <c r="AA85" s="55"/>
      <c r="AB85" s="50" t="s">
        <v>182</v>
      </c>
      <c r="AC85" s="56"/>
      <c r="AD85" s="28" t="s">
        <v>312</v>
      </c>
      <c r="AE85" s="18">
        <f>Table46[[#This Row],[MOIS.]]*Table46[[#This Row],[NET WT KGS]]</f>
        <v>371451.30000000005</v>
      </c>
      <c r="AF85" s="18">
        <f>Table46[[#This Row],[KOR]]*Table46[[#This Row],[NET WT KGS]]</f>
        <v>1827700.16</v>
      </c>
      <c r="AG85">
        <f>Table46[[#This Row],[NET WT KGS]]*Table46[[#This Row],[NUT COUNT]]</f>
        <v>6989675</v>
      </c>
      <c r="AJ85" t="s">
        <v>314</v>
      </c>
      <c r="AK85" s="29">
        <v>42814</v>
      </c>
      <c r="AL85" s="1">
        <v>420</v>
      </c>
      <c r="AM85" s="1">
        <v>9.8000000000000007</v>
      </c>
      <c r="AN85" s="1">
        <v>168</v>
      </c>
      <c r="AO85" s="1">
        <v>43.12</v>
      </c>
    </row>
    <row r="86" spans="1:41" x14ac:dyDescent="0.35">
      <c r="A86" s="32">
        <f t="shared" si="9"/>
        <v>84</v>
      </c>
      <c r="B86" s="20">
        <v>46077</v>
      </c>
      <c r="C86" s="20">
        <v>46077</v>
      </c>
      <c r="D86" s="50" t="s">
        <v>38</v>
      </c>
      <c r="E86" s="50" t="s">
        <v>39</v>
      </c>
      <c r="F86" s="10" t="s">
        <v>40</v>
      </c>
      <c r="G86" s="10" t="s">
        <v>86</v>
      </c>
      <c r="H86" s="10" t="s">
        <v>136</v>
      </c>
      <c r="I86" s="10" t="s">
        <v>137</v>
      </c>
      <c r="J86" s="50" t="s">
        <v>96</v>
      </c>
      <c r="K86" s="21" t="s">
        <v>139</v>
      </c>
      <c r="L86" s="50">
        <v>766</v>
      </c>
      <c r="M86" s="10">
        <v>72580</v>
      </c>
      <c r="N86" s="50">
        <v>582</v>
      </c>
      <c r="O86" s="51">
        <f t="shared" si="5"/>
        <v>51900</v>
      </c>
      <c r="P86" s="51">
        <v>51318</v>
      </c>
      <c r="Q86" s="50">
        <v>572</v>
      </c>
      <c r="R86" s="50">
        <v>0</v>
      </c>
      <c r="S86" s="50">
        <v>10</v>
      </c>
      <c r="T86" s="10">
        <f>S86*4+R86*40</f>
        <v>40</v>
      </c>
      <c r="U86" s="51">
        <f>Table46[[#This Row],[NET WT KGS]]-Table46[[#This Row],[Refraction]]</f>
        <v>51278</v>
      </c>
      <c r="V86" s="23">
        <v>475</v>
      </c>
      <c r="W86" s="23">
        <f>Table46[[#This Row],[PRICE]]*Table46[[#This Row],[PAID WT]]</f>
        <v>24357050</v>
      </c>
      <c r="X86" s="53">
        <v>10.199999999999999</v>
      </c>
      <c r="Y86" s="54">
        <v>174</v>
      </c>
      <c r="Z86" s="53">
        <v>47.69</v>
      </c>
      <c r="AA86" s="55"/>
      <c r="AB86" s="50" t="s">
        <v>140</v>
      </c>
      <c r="AC86" s="56"/>
      <c r="AD86" s="28" t="s">
        <v>312</v>
      </c>
      <c r="AE86" s="18">
        <f>Table46[[#This Row],[MOIS.]]*Table46[[#This Row],[NET WT KGS]]</f>
        <v>523443.6</v>
      </c>
      <c r="AF86" s="18">
        <f>Table46[[#This Row],[KOR]]*Table46[[#This Row],[NET WT KGS]]</f>
        <v>2447355.42</v>
      </c>
      <c r="AG86">
        <f>Table46[[#This Row],[NET WT KGS]]*Table46[[#This Row],[NUT COUNT]]</f>
        <v>8929332</v>
      </c>
      <c r="AJ86" t="s">
        <v>315</v>
      </c>
      <c r="AK86" s="29">
        <v>39099</v>
      </c>
      <c r="AL86" s="1">
        <v>420</v>
      </c>
      <c r="AM86" s="1">
        <v>10.8</v>
      </c>
      <c r="AN86" s="1">
        <v>181</v>
      </c>
      <c r="AO86" s="1">
        <v>41.97</v>
      </c>
    </row>
    <row r="87" spans="1:41" x14ac:dyDescent="0.35">
      <c r="A87" s="32">
        <f t="shared" si="9"/>
        <v>85</v>
      </c>
      <c r="B87" s="35">
        <v>46077</v>
      </c>
      <c r="C87" s="35">
        <f>Table46[[#This Row],[DATE OF ARRIVAL]]</f>
        <v>46077</v>
      </c>
      <c r="D87" s="36" t="s">
        <v>38</v>
      </c>
      <c r="E87" s="36" t="s">
        <v>39</v>
      </c>
      <c r="F87" s="36" t="s">
        <v>40</v>
      </c>
      <c r="G87" s="36"/>
      <c r="H87" s="36" t="s">
        <v>94</v>
      </c>
      <c r="I87" s="36" t="s">
        <v>95</v>
      </c>
      <c r="J87" s="36" t="s">
        <v>208</v>
      </c>
      <c r="K87" s="36"/>
      <c r="L87" s="36">
        <v>0</v>
      </c>
      <c r="M87" s="36"/>
      <c r="N87" s="36">
        <v>0</v>
      </c>
      <c r="O87" s="37">
        <f t="shared" si="5"/>
        <v>0</v>
      </c>
      <c r="P87" s="36">
        <v>0</v>
      </c>
      <c r="Q87" s="36"/>
      <c r="R87" s="36"/>
      <c r="S87" s="36"/>
      <c r="T87" s="36"/>
      <c r="U87" s="37">
        <f>Table46[[#This Row],[NET WT KGS]]-Table46[[#This Row],[Refraction]]</f>
        <v>0</v>
      </c>
      <c r="V87" s="38"/>
      <c r="W87" s="38">
        <f>Table46[[#This Row],[PRICE]]*Table46[[#This Row],[PAID WT]]</f>
        <v>0</v>
      </c>
      <c r="X87" s="39">
        <v>11.7</v>
      </c>
      <c r="Y87" s="40">
        <v>161</v>
      </c>
      <c r="Z87" s="39">
        <v>45.05</v>
      </c>
      <c r="AA87" s="41"/>
      <c r="AB87" s="36" t="s">
        <v>78</v>
      </c>
      <c r="AC87" s="42" t="s">
        <v>70</v>
      </c>
      <c r="AD87" s="28"/>
      <c r="AE87" s="18">
        <f>Table46[[#This Row],[MOIS.]]*Table46[[#This Row],[NET WT KGS]]</f>
        <v>0</v>
      </c>
      <c r="AF87" s="18">
        <f>Table46[[#This Row],[KOR]]*Table46[[#This Row],[NET WT KGS]]</f>
        <v>0</v>
      </c>
      <c r="AG87">
        <f>Table46[[#This Row],[NET WT KGS]]*Table46[[#This Row],[NUT COUNT]]</f>
        <v>0</v>
      </c>
      <c r="AJ87" t="s">
        <v>316</v>
      </c>
      <c r="AK87" s="29">
        <v>82417</v>
      </c>
      <c r="AL87" s="1">
        <v>417.5</v>
      </c>
      <c r="AM87" s="1">
        <v>10.5</v>
      </c>
      <c r="AN87" s="1">
        <v>175.5</v>
      </c>
      <c r="AO87" s="1">
        <v>41.879999999999995</v>
      </c>
    </row>
    <row r="88" spans="1:41" x14ac:dyDescent="0.35">
      <c r="A88" s="32">
        <f t="shared" si="9"/>
        <v>86</v>
      </c>
      <c r="B88" s="35">
        <v>46077</v>
      </c>
      <c r="C88" s="35">
        <f>Table46[[#This Row],[DATE OF ARRIVAL]]</f>
        <v>46077</v>
      </c>
      <c r="D88" s="36" t="s">
        <v>38</v>
      </c>
      <c r="E88" s="36" t="s">
        <v>258</v>
      </c>
      <c r="F88" s="36" t="s">
        <v>40</v>
      </c>
      <c r="G88" s="36"/>
      <c r="H88" s="36" t="s">
        <v>259</v>
      </c>
      <c r="I88" s="36" t="s">
        <v>60</v>
      </c>
      <c r="J88" s="36" t="s">
        <v>292</v>
      </c>
      <c r="K88" s="36"/>
      <c r="L88" s="36">
        <v>0</v>
      </c>
      <c r="M88" s="36"/>
      <c r="N88" s="36">
        <v>0</v>
      </c>
      <c r="O88" s="37">
        <f t="shared" si="5"/>
        <v>0</v>
      </c>
      <c r="P88" s="36">
        <v>0</v>
      </c>
      <c r="Q88" s="36"/>
      <c r="R88" s="36"/>
      <c r="S88" s="36"/>
      <c r="T88" s="36"/>
      <c r="U88" s="37">
        <f>Table46[[#This Row],[NET WT KGS]]-Table46[[#This Row],[Refraction]]</f>
        <v>0</v>
      </c>
      <c r="V88" s="38"/>
      <c r="W88" s="38">
        <f>Table46[[#This Row],[PRICE]]*Table46[[#This Row],[PAID WT]]</f>
        <v>0</v>
      </c>
      <c r="X88" s="39">
        <v>7</v>
      </c>
      <c r="Y88" s="40">
        <v>175</v>
      </c>
      <c r="Z88" s="39">
        <v>42.76</v>
      </c>
      <c r="AA88" s="41"/>
      <c r="AB88" s="36" t="s">
        <v>46</v>
      </c>
      <c r="AC88" s="42" t="s">
        <v>70</v>
      </c>
      <c r="AD88" s="28"/>
      <c r="AE88" s="18">
        <f>Table46[[#This Row],[MOIS.]]*Table46[[#This Row],[NET WT KGS]]</f>
        <v>0</v>
      </c>
      <c r="AF88" s="18">
        <f>Table46[[#This Row],[KOR]]*Table46[[#This Row],[NET WT KGS]]</f>
        <v>0</v>
      </c>
      <c r="AG88">
        <f>Table46[[#This Row],[NET WT KGS]]*Table46[[#This Row],[NUT COUNT]]</f>
        <v>0</v>
      </c>
      <c r="AJ88" t="s">
        <v>318</v>
      </c>
      <c r="AK88" s="29">
        <v>55070</v>
      </c>
      <c r="AL88" s="1">
        <v>420</v>
      </c>
      <c r="AM88" s="1">
        <v>9.1</v>
      </c>
      <c r="AN88" s="1">
        <v>180</v>
      </c>
      <c r="AO88" s="1">
        <v>42.15</v>
      </c>
    </row>
    <row r="89" spans="1:41" x14ac:dyDescent="0.35">
      <c r="A89" s="32">
        <f t="shared" si="9"/>
        <v>87</v>
      </c>
      <c r="B89" s="35">
        <v>46077</v>
      </c>
      <c r="C89" s="35">
        <f>Table46[[#This Row],[DATE OF ARRIVAL]]</f>
        <v>46077</v>
      </c>
      <c r="D89" s="36" t="s">
        <v>38</v>
      </c>
      <c r="E89" s="36" t="s">
        <v>39</v>
      </c>
      <c r="F89" s="36" t="s">
        <v>40</v>
      </c>
      <c r="G89" s="36"/>
      <c r="H89" s="36" t="s">
        <v>280</v>
      </c>
      <c r="I89" s="36" t="s">
        <v>281</v>
      </c>
      <c r="J89" s="36" t="s">
        <v>344</v>
      </c>
      <c r="K89" s="36"/>
      <c r="L89" s="36">
        <v>0</v>
      </c>
      <c r="M89" s="36"/>
      <c r="N89" s="36">
        <v>0</v>
      </c>
      <c r="O89" s="37">
        <f t="shared" si="5"/>
        <v>0</v>
      </c>
      <c r="P89" s="36">
        <v>0</v>
      </c>
      <c r="Q89" s="36"/>
      <c r="R89" s="36"/>
      <c r="S89" s="36"/>
      <c r="T89" s="36"/>
      <c r="U89" s="37">
        <f>Table46[[#This Row],[NET WT KGS]]-Table46[[#This Row],[Refraction]]</f>
        <v>0</v>
      </c>
      <c r="V89" s="38"/>
      <c r="W89" s="38">
        <f>Table46[[#This Row],[PRICE]]*Table46[[#This Row],[PAID WT]]</f>
        <v>0</v>
      </c>
      <c r="X89" s="39">
        <v>10.9</v>
      </c>
      <c r="Y89" s="40">
        <v>174</v>
      </c>
      <c r="Z89" s="39">
        <v>44.88</v>
      </c>
      <c r="AA89" s="41"/>
      <c r="AB89" s="36" t="s">
        <v>284</v>
      </c>
      <c r="AC89" s="42" t="s">
        <v>70</v>
      </c>
      <c r="AD89" s="28"/>
      <c r="AE89" s="18">
        <f>Table46[[#This Row],[MOIS.]]*Table46[[#This Row],[NET WT KGS]]</f>
        <v>0</v>
      </c>
      <c r="AF89" s="18">
        <f>Table46[[#This Row],[KOR]]*Table46[[#This Row],[NET WT KGS]]</f>
        <v>0</v>
      </c>
      <c r="AG89">
        <f>Table46[[#This Row],[NET WT KGS]]*Table46[[#This Row],[NUT COUNT]]</f>
        <v>0</v>
      </c>
      <c r="AJ89" t="s">
        <v>320</v>
      </c>
      <c r="AK89" s="29">
        <v>55426</v>
      </c>
      <c r="AL89" s="1">
        <v>420</v>
      </c>
      <c r="AM89" s="1">
        <v>10.1</v>
      </c>
      <c r="AN89" s="1">
        <v>164</v>
      </c>
      <c r="AO89" s="1">
        <v>41.88</v>
      </c>
    </row>
    <row r="90" spans="1:41" x14ac:dyDescent="0.35">
      <c r="A90" s="32">
        <f t="shared" si="9"/>
        <v>88</v>
      </c>
      <c r="B90" s="35">
        <v>46077</v>
      </c>
      <c r="C90" s="35">
        <f>Table46[[#This Row],[DATE OF ARRIVAL]]</f>
        <v>46077</v>
      </c>
      <c r="D90" s="36" t="s">
        <v>38</v>
      </c>
      <c r="E90" s="36" t="s">
        <v>39</v>
      </c>
      <c r="F90" s="36" t="s">
        <v>40</v>
      </c>
      <c r="G90" s="36"/>
      <c r="H90" s="36" t="s">
        <v>94</v>
      </c>
      <c r="I90" s="36" t="s">
        <v>95</v>
      </c>
      <c r="J90" s="36" t="s">
        <v>345</v>
      </c>
      <c r="K90" s="36"/>
      <c r="L90" s="36">
        <v>0</v>
      </c>
      <c r="M90" s="36"/>
      <c r="N90" s="36">
        <v>0</v>
      </c>
      <c r="O90" s="37">
        <f t="shared" si="5"/>
        <v>0</v>
      </c>
      <c r="P90" s="36">
        <v>0</v>
      </c>
      <c r="Q90" s="36"/>
      <c r="R90" s="36"/>
      <c r="S90" s="36"/>
      <c r="T90" s="36"/>
      <c r="U90" s="37">
        <f>Table46[[#This Row],[NET WT KGS]]-Table46[[#This Row],[Refraction]]</f>
        <v>0</v>
      </c>
      <c r="V90" s="38"/>
      <c r="W90" s="38">
        <f>Table46[[#This Row],[PRICE]]*Table46[[#This Row],[PAID WT]]</f>
        <v>0</v>
      </c>
      <c r="X90" s="39">
        <v>10.6</v>
      </c>
      <c r="Y90" s="40">
        <v>165</v>
      </c>
      <c r="Z90" s="39">
        <v>45.05</v>
      </c>
      <c r="AA90" s="41"/>
      <c r="AB90" s="36" t="s">
        <v>78</v>
      </c>
      <c r="AC90" s="42" t="s">
        <v>70</v>
      </c>
      <c r="AD90" s="28"/>
      <c r="AE90" s="18">
        <f>Table46[[#This Row],[MOIS.]]*Table46[[#This Row],[NET WT KGS]]</f>
        <v>0</v>
      </c>
      <c r="AF90" s="18">
        <f>Table46[[#This Row],[KOR]]*Table46[[#This Row],[NET WT KGS]]</f>
        <v>0</v>
      </c>
      <c r="AG90">
        <f>Table46[[#This Row],[NET WT KGS]]*Table46[[#This Row],[NUT COUNT]]</f>
        <v>0</v>
      </c>
      <c r="AI90" t="s">
        <v>346</v>
      </c>
      <c r="AK90" s="29">
        <v>2709529</v>
      </c>
      <c r="AL90" s="1">
        <v>466.08064516129031</v>
      </c>
      <c r="AM90" s="1">
        <v>10.549397590361441</v>
      </c>
      <c r="AN90" s="1">
        <v>172.22891566265059</v>
      </c>
      <c r="AO90" s="1">
        <v>41.670487951807218</v>
      </c>
    </row>
    <row r="91" spans="1:41" x14ac:dyDescent="0.35">
      <c r="A91" s="32">
        <f t="shared" si="9"/>
        <v>89</v>
      </c>
      <c r="B91" s="35">
        <v>46077</v>
      </c>
      <c r="C91" s="35">
        <f>Table46[[#This Row],[DATE OF ARRIVAL]]</f>
        <v>46077</v>
      </c>
      <c r="D91" s="36" t="s">
        <v>38</v>
      </c>
      <c r="E91" s="36" t="s">
        <v>39</v>
      </c>
      <c r="F91" s="36" t="s">
        <v>40</v>
      </c>
      <c r="G91" s="36"/>
      <c r="H91" s="36" t="s">
        <v>54</v>
      </c>
      <c r="I91" s="36" t="s">
        <v>55</v>
      </c>
      <c r="J91" s="36" t="s">
        <v>347</v>
      </c>
      <c r="K91" s="36"/>
      <c r="L91" s="36">
        <v>0</v>
      </c>
      <c r="M91" s="36"/>
      <c r="N91" s="36">
        <v>0</v>
      </c>
      <c r="O91" s="37">
        <f t="shared" si="5"/>
        <v>0</v>
      </c>
      <c r="P91" s="36">
        <v>0</v>
      </c>
      <c r="Q91" s="36"/>
      <c r="R91" s="36"/>
      <c r="S91" s="36"/>
      <c r="T91" s="36"/>
      <c r="U91" s="37">
        <f>Table46[[#This Row],[NET WT KGS]]-Table46[[#This Row],[Refraction]]</f>
        <v>0</v>
      </c>
      <c r="V91" s="38"/>
      <c r="W91" s="38">
        <f>Table46[[#This Row],[PRICE]]*Table46[[#This Row],[PAID WT]]</f>
        <v>0</v>
      </c>
      <c r="X91" s="39">
        <v>8.1999999999999993</v>
      </c>
      <c r="Y91" s="40">
        <v>166</v>
      </c>
      <c r="Z91" s="39">
        <v>44.88</v>
      </c>
      <c r="AA91" s="41"/>
      <c r="AB91" s="36" t="s">
        <v>58</v>
      </c>
      <c r="AC91" s="42" t="s">
        <v>70</v>
      </c>
      <c r="AD91" s="28"/>
      <c r="AE91" s="18">
        <f>Table46[[#This Row],[MOIS.]]*Table46[[#This Row],[NET WT KGS]]</f>
        <v>0</v>
      </c>
      <c r="AF91" s="18">
        <f>Table46[[#This Row],[KOR]]*Table46[[#This Row],[NET WT KGS]]</f>
        <v>0</v>
      </c>
      <c r="AG91">
        <f>Table46[[#This Row],[NET WT KGS]]*Table46[[#This Row],[NUT COUNT]]</f>
        <v>0</v>
      </c>
      <c r="AI91" t="s">
        <v>323</v>
      </c>
      <c r="AK91" s="29">
        <v>29568863</v>
      </c>
      <c r="AL91" s="1">
        <v>488.72984441301276</v>
      </c>
      <c r="AM91" s="1">
        <v>10.25030674846626</v>
      </c>
      <c r="AN91" s="1">
        <v>172.43660531697341</v>
      </c>
      <c r="AO91" s="1">
        <v>43.486493087934534</v>
      </c>
    </row>
    <row r="92" spans="1:41" x14ac:dyDescent="0.35">
      <c r="A92" s="32">
        <f t="shared" si="9"/>
        <v>90</v>
      </c>
      <c r="B92" s="20">
        <v>46077</v>
      </c>
      <c r="C92" s="20">
        <v>46078</v>
      </c>
      <c r="D92" s="50" t="s">
        <v>38</v>
      </c>
      <c r="E92" s="50" t="s">
        <v>39</v>
      </c>
      <c r="F92" s="10" t="s">
        <v>40</v>
      </c>
      <c r="G92" s="10" t="s">
        <v>41</v>
      </c>
      <c r="H92" s="10" t="s">
        <v>74</v>
      </c>
      <c r="I92" s="10" t="s">
        <v>75</v>
      </c>
      <c r="J92" s="50" t="s">
        <v>272</v>
      </c>
      <c r="K92" s="33" t="s">
        <v>77</v>
      </c>
      <c r="L92" s="50">
        <v>770</v>
      </c>
      <c r="M92" s="10">
        <v>68664</v>
      </c>
      <c r="N92" s="50">
        <v>571</v>
      </c>
      <c r="O92" s="51">
        <f t="shared" si="5"/>
        <v>51320</v>
      </c>
      <c r="P92" s="51">
        <v>50749</v>
      </c>
      <c r="Q92" s="50">
        <v>561</v>
      </c>
      <c r="R92" s="50">
        <v>0</v>
      </c>
      <c r="S92" s="50">
        <v>10</v>
      </c>
      <c r="T92" s="10">
        <f t="shared" ref="T92:T113" si="10">S92*4+R92*40</f>
        <v>40</v>
      </c>
      <c r="U92" s="51">
        <f>Table46[[#This Row],[NET WT KGS]]-Table46[[#This Row],[Refraction]]</f>
        <v>50709</v>
      </c>
      <c r="V92" s="52">
        <v>475</v>
      </c>
      <c r="W92" s="52">
        <f>Table46[[#This Row],[PRICE]]*Table46[[#This Row],[PAID WT]]</f>
        <v>24086775</v>
      </c>
      <c r="X92" s="53">
        <v>10</v>
      </c>
      <c r="Y92" s="54">
        <v>168</v>
      </c>
      <c r="Z92" s="53">
        <v>46.28</v>
      </c>
      <c r="AA92" s="55"/>
      <c r="AB92" s="10" t="s">
        <v>78</v>
      </c>
      <c r="AC92" s="56"/>
      <c r="AD92" s="28" t="s">
        <v>312</v>
      </c>
      <c r="AE92" s="18">
        <f>Table46[[#This Row],[MOIS.]]*Table46[[#This Row],[NET WT KGS]]</f>
        <v>507490</v>
      </c>
      <c r="AF92" s="18">
        <f>Table46[[#This Row],[KOR]]*Table46[[#This Row],[NET WT KGS]]</f>
        <v>2348663.7200000002</v>
      </c>
      <c r="AG92">
        <f>Table46[[#This Row],[NET WT KGS]]*Table46[[#This Row],[NUT COUNT]]</f>
        <v>8525832</v>
      </c>
      <c r="AI92" t="s">
        <v>32</v>
      </c>
    </row>
    <row r="93" spans="1:41" x14ac:dyDescent="0.35">
      <c r="A93" s="32">
        <f t="shared" si="9"/>
        <v>91</v>
      </c>
      <c r="B93" s="20">
        <v>46077</v>
      </c>
      <c r="C93" s="20">
        <v>46078</v>
      </c>
      <c r="D93" s="50" t="s">
        <v>38</v>
      </c>
      <c r="E93" s="50" t="s">
        <v>39</v>
      </c>
      <c r="F93" s="10" t="s">
        <v>40</v>
      </c>
      <c r="G93" s="10" t="s">
        <v>86</v>
      </c>
      <c r="H93" s="10" t="s">
        <v>154</v>
      </c>
      <c r="I93" s="10" t="s">
        <v>155</v>
      </c>
      <c r="J93" s="50" t="s">
        <v>348</v>
      </c>
      <c r="K93" s="33" t="s">
        <v>157</v>
      </c>
      <c r="L93" s="50">
        <v>771</v>
      </c>
      <c r="M93" s="10">
        <v>72571</v>
      </c>
      <c r="N93" s="50">
        <v>534</v>
      </c>
      <c r="O93" s="51">
        <f t="shared" si="5"/>
        <v>46900</v>
      </c>
      <c r="P93" s="51">
        <v>46366</v>
      </c>
      <c r="Q93" s="50">
        <v>524</v>
      </c>
      <c r="R93" s="50">
        <v>0</v>
      </c>
      <c r="S93" s="50">
        <v>10</v>
      </c>
      <c r="T93" s="10">
        <f t="shared" si="10"/>
        <v>40</v>
      </c>
      <c r="U93" s="51">
        <f>Table46[[#This Row],[NET WT KGS]]-Table46[[#This Row],[Refraction]]</f>
        <v>46326</v>
      </c>
      <c r="V93" s="52">
        <v>475</v>
      </c>
      <c r="W93" s="52">
        <f>Table46[[#This Row],[PRICE]]*Table46[[#This Row],[PAID WT]]</f>
        <v>22004850</v>
      </c>
      <c r="X93" s="53">
        <v>9.9</v>
      </c>
      <c r="Y93" s="54">
        <v>165</v>
      </c>
      <c r="Z93" s="53">
        <v>46.81</v>
      </c>
      <c r="AA93" s="55"/>
      <c r="AB93" s="50" t="s">
        <v>332</v>
      </c>
      <c r="AC93" s="56"/>
      <c r="AD93" s="28" t="s">
        <v>312</v>
      </c>
      <c r="AE93" s="18">
        <f>Table46[[#This Row],[MOIS.]]*Table46[[#This Row],[NET WT KGS]]</f>
        <v>459023.4</v>
      </c>
      <c r="AF93" s="18">
        <f>Table46[[#This Row],[KOR]]*Table46[[#This Row],[NET WT KGS]]</f>
        <v>2170392.46</v>
      </c>
      <c r="AG93">
        <f>Table46[[#This Row],[NET WT KGS]]*Table46[[#This Row],[NUT COUNT]]</f>
        <v>7650390</v>
      </c>
      <c r="AI93" t="s">
        <v>8</v>
      </c>
      <c r="AJ93" t="s">
        <v>9</v>
      </c>
      <c r="AK93" t="s">
        <v>6</v>
      </c>
      <c r="AL93" t="s">
        <v>349</v>
      </c>
    </row>
    <row r="94" spans="1:41" x14ac:dyDescent="0.35">
      <c r="A94" s="32">
        <f t="shared" si="9"/>
        <v>92</v>
      </c>
      <c r="B94" s="20">
        <v>46077</v>
      </c>
      <c r="C94" s="20">
        <v>46078</v>
      </c>
      <c r="D94" s="50" t="s">
        <v>38</v>
      </c>
      <c r="E94" s="50" t="s">
        <v>39</v>
      </c>
      <c r="F94" s="10" t="s">
        <v>40</v>
      </c>
      <c r="G94" s="10" t="s">
        <v>86</v>
      </c>
      <c r="H94" s="10" t="s">
        <v>154</v>
      </c>
      <c r="I94" s="10" t="s">
        <v>155</v>
      </c>
      <c r="J94" s="50" t="s">
        <v>311</v>
      </c>
      <c r="K94" s="33" t="s">
        <v>157</v>
      </c>
      <c r="L94" s="50">
        <v>772</v>
      </c>
      <c r="M94" s="10">
        <v>68689</v>
      </c>
      <c r="N94" s="50">
        <v>397</v>
      </c>
      <c r="O94" s="51">
        <f t="shared" si="5"/>
        <v>33320</v>
      </c>
      <c r="P94" s="51">
        <v>32923</v>
      </c>
      <c r="Q94" s="50">
        <v>393</v>
      </c>
      <c r="R94" s="50">
        <v>0</v>
      </c>
      <c r="S94" s="50">
        <v>4</v>
      </c>
      <c r="T94" s="10">
        <f t="shared" si="10"/>
        <v>16</v>
      </c>
      <c r="U94" s="51">
        <f>Table46[[#This Row],[NET WT KGS]]-Table46[[#This Row],[Refraction]]</f>
        <v>32907</v>
      </c>
      <c r="V94" s="52">
        <v>475</v>
      </c>
      <c r="W94" s="52">
        <f>Table46[[#This Row],[PRICE]]*Table46[[#This Row],[PAID WT]]</f>
        <v>15630825</v>
      </c>
      <c r="X94" s="53">
        <v>8.6</v>
      </c>
      <c r="Y94" s="54">
        <v>178</v>
      </c>
      <c r="Z94" s="53">
        <v>47.34</v>
      </c>
      <c r="AA94" s="55"/>
      <c r="AB94" s="50" t="s">
        <v>40</v>
      </c>
      <c r="AC94" s="56"/>
      <c r="AD94" s="28" t="s">
        <v>312</v>
      </c>
      <c r="AE94" s="18">
        <f>Table46[[#This Row],[MOIS.]]*Table46[[#This Row],[NET WT KGS]]</f>
        <v>283137.8</v>
      </c>
      <c r="AF94" s="18">
        <f>Table46[[#This Row],[KOR]]*Table46[[#This Row],[NET WT KGS]]</f>
        <v>1558574.82</v>
      </c>
      <c r="AG94">
        <f>Table46[[#This Row],[NET WT KGS]]*Table46[[#This Row],[NUT COUNT]]</f>
        <v>5860294</v>
      </c>
      <c r="AI94" t="s">
        <v>154</v>
      </c>
      <c r="AJ94" t="s">
        <v>155</v>
      </c>
      <c r="AK94" t="s">
        <v>40</v>
      </c>
      <c r="AL94" s="58">
        <v>1322994</v>
      </c>
      <c r="AM94" s="18"/>
      <c r="AN94" s="18"/>
      <c r="AO94" s="59"/>
    </row>
    <row r="95" spans="1:41" x14ac:dyDescent="0.35">
      <c r="A95" s="32">
        <f t="shared" si="9"/>
        <v>93</v>
      </c>
      <c r="B95" s="20">
        <v>46077</v>
      </c>
      <c r="C95" s="20">
        <v>46078</v>
      </c>
      <c r="D95" s="50" t="s">
        <v>38</v>
      </c>
      <c r="E95" s="50" t="s">
        <v>39</v>
      </c>
      <c r="F95" s="10" t="s">
        <v>40</v>
      </c>
      <c r="G95" s="10" t="s">
        <v>350</v>
      </c>
      <c r="H95" s="10" t="s">
        <v>123</v>
      </c>
      <c r="I95" s="10" t="s">
        <v>124</v>
      </c>
      <c r="J95" s="10" t="s">
        <v>321</v>
      </c>
      <c r="K95" s="21" t="s">
        <v>161</v>
      </c>
      <c r="L95" s="10">
        <v>773</v>
      </c>
      <c r="M95" s="10">
        <v>72502</v>
      </c>
      <c r="N95" s="10">
        <v>557</v>
      </c>
      <c r="O95" s="22">
        <f t="shared" ref="O95:O126" si="11">P95+N95</f>
        <v>45780</v>
      </c>
      <c r="P95" s="22">
        <v>45223</v>
      </c>
      <c r="Q95" s="10">
        <v>549</v>
      </c>
      <c r="R95" s="50">
        <v>0</v>
      </c>
      <c r="S95" s="10">
        <v>8</v>
      </c>
      <c r="T95" s="10">
        <f t="shared" si="10"/>
        <v>32</v>
      </c>
      <c r="U95" s="22">
        <f>Table46[[#This Row],[NET WT KGS]]-Table46[[#This Row],[Refraction]]</f>
        <v>45191</v>
      </c>
      <c r="V95" s="52">
        <v>475</v>
      </c>
      <c r="W95" s="23">
        <f>Table46[[#This Row],[PRICE]]*Table46[[#This Row],[PAID WT]]</f>
        <v>21465725</v>
      </c>
      <c r="X95" s="24">
        <v>8.3000000000000007</v>
      </c>
      <c r="Y95" s="25">
        <v>178</v>
      </c>
      <c r="Z95" s="24">
        <v>46.81</v>
      </c>
      <c r="AA95" s="26"/>
      <c r="AB95" s="10" t="s">
        <v>351</v>
      </c>
      <c r="AC95" s="27"/>
      <c r="AD95" s="28" t="s">
        <v>312</v>
      </c>
      <c r="AE95" s="18">
        <f>Table46[[#This Row],[MOIS.]]*Table46[[#This Row],[NET WT KGS]]</f>
        <v>375350.9</v>
      </c>
      <c r="AF95" s="18">
        <f>Table46[[#This Row],[KOR]]*Table46[[#This Row],[NET WT KGS]]</f>
        <v>2116888.63</v>
      </c>
      <c r="AG95">
        <f>Table46[[#This Row],[NET WT KGS]]*Table46[[#This Row],[NUT COUNT]]</f>
        <v>8049694</v>
      </c>
      <c r="AI95" t="s">
        <v>54</v>
      </c>
      <c r="AJ95" t="s">
        <v>55</v>
      </c>
      <c r="AK95" t="s">
        <v>40</v>
      </c>
      <c r="AL95" s="58">
        <v>617642</v>
      </c>
      <c r="AM95" s="18"/>
      <c r="AN95" s="18"/>
      <c r="AO95" s="59"/>
    </row>
    <row r="96" spans="1:41" x14ac:dyDescent="0.35">
      <c r="A96" s="32">
        <f t="shared" si="9"/>
        <v>94</v>
      </c>
      <c r="B96" s="20">
        <v>46078</v>
      </c>
      <c r="C96" s="20">
        <v>46078</v>
      </c>
      <c r="D96" s="50" t="s">
        <v>38</v>
      </c>
      <c r="E96" s="50" t="s">
        <v>39</v>
      </c>
      <c r="F96" s="10" t="s">
        <v>40</v>
      </c>
      <c r="G96" s="10" t="s">
        <v>41</v>
      </c>
      <c r="H96" s="10" t="s">
        <v>87</v>
      </c>
      <c r="I96" s="10" t="s">
        <v>88</v>
      </c>
      <c r="J96" s="50" t="s">
        <v>352</v>
      </c>
      <c r="K96" s="33" t="s">
        <v>90</v>
      </c>
      <c r="L96" s="50">
        <v>775</v>
      </c>
      <c r="M96" s="10">
        <v>72539</v>
      </c>
      <c r="N96" s="50">
        <v>504</v>
      </c>
      <c r="O96" s="51">
        <f t="shared" si="11"/>
        <v>43020</v>
      </c>
      <c r="P96" s="51">
        <v>42516</v>
      </c>
      <c r="Q96" s="50">
        <v>494</v>
      </c>
      <c r="R96" s="50">
        <v>0</v>
      </c>
      <c r="S96" s="50">
        <v>10</v>
      </c>
      <c r="T96" s="10">
        <f t="shared" si="10"/>
        <v>40</v>
      </c>
      <c r="U96" s="51">
        <f>Table46[[#This Row],[NET WT KGS]]-Table46[[#This Row],[Refraction]]</f>
        <v>42476</v>
      </c>
      <c r="V96" s="52">
        <v>475</v>
      </c>
      <c r="W96" s="52">
        <f>Table46[[#This Row],[PRICE]]*Table46[[#This Row],[PAID WT]]</f>
        <v>20176100</v>
      </c>
      <c r="X96" s="53">
        <v>8.8000000000000007</v>
      </c>
      <c r="Y96" s="54">
        <v>174</v>
      </c>
      <c r="Z96" s="53">
        <v>47.52</v>
      </c>
      <c r="AA96" s="55"/>
      <c r="AB96" s="50" t="s">
        <v>178</v>
      </c>
      <c r="AC96" s="56"/>
      <c r="AD96" s="28" t="s">
        <v>312</v>
      </c>
      <c r="AE96" s="18">
        <f>Table46[[#This Row],[MOIS.]]*Table46[[#This Row],[NET WT KGS]]</f>
        <v>374140.80000000005</v>
      </c>
      <c r="AF96" s="18">
        <f>Table46[[#This Row],[KOR]]*Table46[[#This Row],[NET WT KGS]]</f>
        <v>2020360.32</v>
      </c>
      <c r="AG96">
        <f>Table46[[#This Row],[NET WT KGS]]*Table46[[#This Row],[NUT COUNT]]</f>
        <v>7397784</v>
      </c>
      <c r="AI96" t="s">
        <v>193</v>
      </c>
      <c r="AJ96" t="s">
        <v>194</v>
      </c>
      <c r="AK96" t="s">
        <v>40</v>
      </c>
      <c r="AL96" s="58">
        <v>134341</v>
      </c>
      <c r="AM96" s="18"/>
      <c r="AN96" s="18"/>
      <c r="AO96" s="59"/>
    </row>
    <row r="97" spans="1:41" x14ac:dyDescent="0.35">
      <c r="A97" s="32">
        <f t="shared" si="9"/>
        <v>95</v>
      </c>
      <c r="B97" s="20">
        <v>46078</v>
      </c>
      <c r="C97" s="20">
        <v>46078</v>
      </c>
      <c r="D97" s="50" t="s">
        <v>38</v>
      </c>
      <c r="E97" s="50" t="s">
        <v>39</v>
      </c>
      <c r="F97" s="10" t="s">
        <v>40</v>
      </c>
      <c r="G97" s="10" t="s">
        <v>86</v>
      </c>
      <c r="H97" s="10" t="s">
        <v>105</v>
      </c>
      <c r="I97" s="10" t="s">
        <v>106</v>
      </c>
      <c r="J97" s="50" t="s">
        <v>353</v>
      </c>
      <c r="K97" s="33" t="s">
        <v>108</v>
      </c>
      <c r="L97" s="50">
        <v>774</v>
      </c>
      <c r="M97" s="10">
        <v>69771</v>
      </c>
      <c r="N97" s="50">
        <v>238</v>
      </c>
      <c r="O97" s="51">
        <f t="shared" si="11"/>
        <v>21600</v>
      </c>
      <c r="P97" s="51">
        <v>21362</v>
      </c>
      <c r="Q97" s="50">
        <v>223</v>
      </c>
      <c r="R97" s="50">
        <v>0</v>
      </c>
      <c r="S97" s="50">
        <v>15</v>
      </c>
      <c r="T97" s="10">
        <f t="shared" si="10"/>
        <v>60</v>
      </c>
      <c r="U97" s="51">
        <f>Table46[[#This Row],[NET WT KGS]]-Table46[[#This Row],[Refraction]]</f>
        <v>21302</v>
      </c>
      <c r="V97" s="52">
        <v>475</v>
      </c>
      <c r="W97" s="52">
        <f>Table46[[#This Row],[PRICE]]*Table46[[#This Row],[PAID WT]]</f>
        <v>10118450</v>
      </c>
      <c r="X97" s="53">
        <v>8.6</v>
      </c>
      <c r="Y97" s="54">
        <v>183</v>
      </c>
      <c r="Z97" s="53">
        <v>47.69</v>
      </c>
      <c r="AA97" s="55"/>
      <c r="AB97" s="10" t="s">
        <v>78</v>
      </c>
      <c r="AC97" s="56"/>
      <c r="AD97" s="28" t="s">
        <v>312</v>
      </c>
      <c r="AE97" s="18">
        <f>Table46[[#This Row],[MOIS.]]*Table46[[#This Row],[NET WT KGS]]</f>
        <v>183713.19999999998</v>
      </c>
      <c r="AF97" s="18">
        <f>Table46[[#This Row],[KOR]]*Table46[[#This Row],[NET WT KGS]]</f>
        <v>1018753.7799999999</v>
      </c>
      <c r="AG97">
        <f>Table46[[#This Row],[NET WT KGS]]*Table46[[#This Row],[NUT COUNT]]</f>
        <v>3909246</v>
      </c>
      <c r="AI97" t="s">
        <v>94</v>
      </c>
      <c r="AJ97" t="s">
        <v>95</v>
      </c>
      <c r="AK97" t="s">
        <v>40</v>
      </c>
      <c r="AL97" s="58">
        <v>579869</v>
      </c>
      <c r="AM97" s="18"/>
      <c r="AN97" s="18"/>
      <c r="AO97" s="59"/>
    </row>
    <row r="98" spans="1:41" x14ac:dyDescent="0.35">
      <c r="A98" s="32">
        <f t="shared" si="9"/>
        <v>96</v>
      </c>
      <c r="B98" s="20">
        <v>46078</v>
      </c>
      <c r="C98" s="20">
        <v>46078</v>
      </c>
      <c r="D98" s="50" t="s">
        <v>38</v>
      </c>
      <c r="E98" s="50" t="s">
        <v>39</v>
      </c>
      <c r="F98" s="10" t="s">
        <v>40</v>
      </c>
      <c r="G98" s="10" t="s">
        <v>41</v>
      </c>
      <c r="H98" s="10" t="s">
        <v>123</v>
      </c>
      <c r="I98" s="10" t="s">
        <v>124</v>
      </c>
      <c r="J98" s="50" t="s">
        <v>354</v>
      </c>
      <c r="K98" s="21" t="s">
        <v>161</v>
      </c>
      <c r="L98" s="50">
        <v>776</v>
      </c>
      <c r="M98" s="10">
        <v>68671</v>
      </c>
      <c r="N98" s="50">
        <v>512</v>
      </c>
      <c r="O98" s="51">
        <f t="shared" si="11"/>
        <v>39480</v>
      </c>
      <c r="P98" s="51">
        <v>38968</v>
      </c>
      <c r="Q98" s="50">
        <v>504</v>
      </c>
      <c r="R98" s="50">
        <v>0</v>
      </c>
      <c r="S98" s="50">
        <v>8</v>
      </c>
      <c r="T98" s="10">
        <f t="shared" si="10"/>
        <v>32</v>
      </c>
      <c r="U98" s="51">
        <f>Table46[[#This Row],[NET WT KGS]]-Table46[[#This Row],[Refraction]]</f>
        <v>38936</v>
      </c>
      <c r="V98" s="52">
        <v>480</v>
      </c>
      <c r="W98" s="52">
        <f>Table46[[#This Row],[PRICE]]*Table46[[#This Row],[PAID WT]]</f>
        <v>18689280</v>
      </c>
      <c r="X98" s="53">
        <v>8.6999999999999993</v>
      </c>
      <c r="Y98" s="54">
        <v>165</v>
      </c>
      <c r="Z98" s="53">
        <v>48.04</v>
      </c>
      <c r="AA98" s="55"/>
      <c r="AB98" s="50" t="s">
        <v>355</v>
      </c>
      <c r="AC98" s="56"/>
      <c r="AD98" s="28" t="s">
        <v>312</v>
      </c>
      <c r="AE98" s="18">
        <f>Table46[[#This Row],[MOIS.]]*Table46[[#This Row],[NET WT KGS]]</f>
        <v>339021.6</v>
      </c>
      <c r="AF98" s="18">
        <f>Table46[[#This Row],[KOR]]*Table46[[#This Row],[NET WT KGS]]</f>
        <v>1872022.72</v>
      </c>
      <c r="AG98">
        <f>Table46[[#This Row],[NET WT KGS]]*Table46[[#This Row],[NUT COUNT]]</f>
        <v>6429720</v>
      </c>
      <c r="AI98" s="60" t="s">
        <v>356</v>
      </c>
      <c r="AJ98" t="s">
        <v>116</v>
      </c>
      <c r="AK98" t="s">
        <v>40</v>
      </c>
      <c r="AL98" s="1">
        <v>0</v>
      </c>
      <c r="AM98" s="18"/>
      <c r="AN98" s="18"/>
      <c r="AO98" s="59"/>
    </row>
    <row r="99" spans="1:41" x14ac:dyDescent="0.35">
      <c r="A99" s="32">
        <f t="shared" si="9"/>
        <v>97</v>
      </c>
      <c r="B99" s="20">
        <v>46078</v>
      </c>
      <c r="C99" s="20">
        <v>46078</v>
      </c>
      <c r="D99" s="50" t="s">
        <v>38</v>
      </c>
      <c r="E99" s="50" t="s">
        <v>39</v>
      </c>
      <c r="F99" s="10" t="s">
        <v>40</v>
      </c>
      <c r="G99" s="10" t="s">
        <v>86</v>
      </c>
      <c r="H99" s="50" t="s">
        <v>54</v>
      </c>
      <c r="I99" s="50" t="s">
        <v>55</v>
      </c>
      <c r="J99" s="50" t="s">
        <v>357</v>
      </c>
      <c r="K99" s="33" t="s">
        <v>57</v>
      </c>
      <c r="L99" s="50">
        <v>778</v>
      </c>
      <c r="M99" s="10">
        <v>68659</v>
      </c>
      <c r="N99" s="50">
        <v>636</v>
      </c>
      <c r="O99" s="51">
        <f t="shared" si="11"/>
        <v>51380</v>
      </c>
      <c r="P99" s="51">
        <v>50744</v>
      </c>
      <c r="Q99" s="50">
        <v>606</v>
      </c>
      <c r="R99" s="50">
        <v>0</v>
      </c>
      <c r="S99" s="50">
        <v>30</v>
      </c>
      <c r="T99" s="10">
        <f t="shared" si="10"/>
        <v>120</v>
      </c>
      <c r="U99" s="51">
        <f>Table46[[#This Row],[NET WT KGS]]-Table46[[#This Row],[Refraction]]</f>
        <v>50624</v>
      </c>
      <c r="V99" s="52">
        <v>490</v>
      </c>
      <c r="W99" s="52">
        <f>Table46[[#This Row],[PRICE]]*Table46[[#This Row],[PAID WT]]</f>
        <v>24805760</v>
      </c>
      <c r="X99" s="53">
        <v>8</v>
      </c>
      <c r="Y99" s="54">
        <v>175</v>
      </c>
      <c r="Z99" s="53">
        <v>46.11</v>
      </c>
      <c r="AA99" s="55"/>
      <c r="AB99" s="50" t="s">
        <v>358</v>
      </c>
      <c r="AC99" s="56"/>
      <c r="AD99" s="28" t="s">
        <v>312</v>
      </c>
      <c r="AE99" s="18">
        <f>Table46[[#This Row],[MOIS.]]*Table46[[#This Row],[NET WT KGS]]</f>
        <v>405952</v>
      </c>
      <c r="AF99" s="18">
        <f>Table46[[#This Row],[KOR]]*Table46[[#This Row],[NET WT KGS]]</f>
        <v>2339805.84</v>
      </c>
      <c r="AG99">
        <f>Table46[[#This Row],[NET WT KGS]]*Table46[[#This Row],[NUT COUNT]]</f>
        <v>8880200</v>
      </c>
      <c r="AI99" t="s">
        <v>128</v>
      </c>
      <c r="AJ99" t="s">
        <v>129</v>
      </c>
      <c r="AK99" t="s">
        <v>40</v>
      </c>
      <c r="AL99" s="58">
        <v>251335</v>
      </c>
      <c r="AM99" s="18"/>
      <c r="AN99" s="18"/>
      <c r="AO99" s="59"/>
    </row>
    <row r="100" spans="1:41" x14ac:dyDescent="0.35">
      <c r="A100" s="32">
        <f t="shared" si="9"/>
        <v>98</v>
      </c>
      <c r="B100" s="20">
        <v>46078</v>
      </c>
      <c r="C100" s="20">
        <v>46078</v>
      </c>
      <c r="D100" s="50" t="s">
        <v>38</v>
      </c>
      <c r="E100" s="50" t="s">
        <v>39</v>
      </c>
      <c r="F100" s="10" t="s">
        <v>40</v>
      </c>
      <c r="G100" s="10" t="s">
        <v>350</v>
      </c>
      <c r="H100" s="10" t="s">
        <v>118</v>
      </c>
      <c r="I100" s="10" t="s">
        <v>119</v>
      </c>
      <c r="J100" s="50" t="s">
        <v>359</v>
      </c>
      <c r="K100" s="33" t="s">
        <v>266</v>
      </c>
      <c r="L100" s="50">
        <v>777</v>
      </c>
      <c r="M100" s="10">
        <v>72619</v>
      </c>
      <c r="N100" s="50">
        <v>619</v>
      </c>
      <c r="O100" s="51">
        <f t="shared" si="11"/>
        <v>51220</v>
      </c>
      <c r="P100" s="51">
        <v>50601</v>
      </c>
      <c r="Q100" s="50">
        <v>606</v>
      </c>
      <c r="R100" s="50">
        <v>0</v>
      </c>
      <c r="S100" s="50">
        <v>13</v>
      </c>
      <c r="T100" s="10">
        <f t="shared" si="10"/>
        <v>52</v>
      </c>
      <c r="U100" s="51">
        <f>Table46[[#This Row],[NET WT KGS]]-Table46[[#This Row],[Refraction]]</f>
        <v>50549</v>
      </c>
      <c r="V100" s="52">
        <v>475</v>
      </c>
      <c r="W100" s="52">
        <f>Table46[[#This Row],[PRICE]]*Table46[[#This Row],[PAID WT]]</f>
        <v>24010775</v>
      </c>
      <c r="X100" s="53">
        <v>8.4</v>
      </c>
      <c r="Y100" s="54">
        <v>175</v>
      </c>
      <c r="Z100" s="53">
        <v>46.64</v>
      </c>
      <c r="AA100" s="55"/>
      <c r="AB100" s="50" t="s">
        <v>46</v>
      </c>
      <c r="AC100" s="56"/>
      <c r="AD100" s="28" t="s">
        <v>312</v>
      </c>
      <c r="AE100" s="18">
        <f>Table46[[#This Row],[MOIS.]]*Table46[[#This Row],[NET WT KGS]]</f>
        <v>425048.4</v>
      </c>
      <c r="AF100" s="18">
        <f>Table46[[#This Row],[KOR]]*Table46[[#This Row],[NET WT KGS]]</f>
        <v>2360030.64</v>
      </c>
      <c r="AG100">
        <f>Table46[[#This Row],[NET WT KGS]]*Table46[[#This Row],[NUT COUNT]]</f>
        <v>8855175</v>
      </c>
      <c r="AI100" t="s">
        <v>123</v>
      </c>
      <c r="AJ100" t="s">
        <v>124</v>
      </c>
      <c r="AK100" t="s">
        <v>40</v>
      </c>
      <c r="AL100" s="58">
        <v>3404018</v>
      </c>
      <c r="AM100" s="18"/>
      <c r="AN100" s="18"/>
      <c r="AO100" s="59"/>
    </row>
    <row r="101" spans="1:41" x14ac:dyDescent="0.35">
      <c r="A101" s="32">
        <f t="shared" si="9"/>
        <v>99</v>
      </c>
      <c r="B101" s="35">
        <v>46078</v>
      </c>
      <c r="C101" s="35">
        <f>Table46[[#This Row],[DATE OF ARRIVAL]]</f>
        <v>46078</v>
      </c>
      <c r="D101" s="36" t="s">
        <v>38</v>
      </c>
      <c r="E101" s="36" t="s">
        <v>39</v>
      </c>
      <c r="F101" s="36" t="s">
        <v>40</v>
      </c>
      <c r="G101" s="36"/>
      <c r="H101" s="36" t="s">
        <v>74</v>
      </c>
      <c r="I101" s="36" t="s">
        <v>75</v>
      </c>
      <c r="J101" s="36" t="s">
        <v>360</v>
      </c>
      <c r="K101" s="36"/>
      <c r="L101" s="36"/>
      <c r="M101" s="36"/>
      <c r="N101" s="36"/>
      <c r="O101" s="37">
        <f t="shared" si="11"/>
        <v>0</v>
      </c>
      <c r="P101" s="37"/>
      <c r="Q101" s="36"/>
      <c r="R101" s="36"/>
      <c r="S101" s="36"/>
      <c r="T101" s="36">
        <f t="shared" si="10"/>
        <v>0</v>
      </c>
      <c r="U101" s="37">
        <f>Table46[[#This Row],[NET WT KGS]]-Table46[[#This Row],[Refraction]]</f>
        <v>0</v>
      </c>
      <c r="V101" s="38"/>
      <c r="W101" s="38">
        <f>Table46[[#This Row],[PRICE]]*Table46[[#This Row],[PAID WT]]</f>
        <v>0</v>
      </c>
      <c r="X101" s="39">
        <v>9.5</v>
      </c>
      <c r="Y101" s="40">
        <v>170</v>
      </c>
      <c r="Z101" s="39">
        <v>44.7</v>
      </c>
      <c r="AA101" s="41"/>
      <c r="AB101" s="36" t="s">
        <v>78</v>
      </c>
      <c r="AC101" s="42" t="s">
        <v>70</v>
      </c>
      <c r="AD101" s="28"/>
      <c r="AE101" s="18">
        <f>Table46[[#This Row],[MOIS.]]*Table46[[#This Row],[NET WT KGS]]</f>
        <v>0</v>
      </c>
      <c r="AF101" s="18">
        <f>Table46[[#This Row],[KOR]]*Table46[[#This Row],[NET WT KGS]]</f>
        <v>0</v>
      </c>
      <c r="AG101">
        <f>Table46[[#This Row],[NET WT KGS]]*Table46[[#This Row],[NUT COUNT]]</f>
        <v>0</v>
      </c>
      <c r="AI101" t="s">
        <v>42</v>
      </c>
      <c r="AJ101" t="s">
        <v>43</v>
      </c>
      <c r="AK101" t="s">
        <v>40</v>
      </c>
      <c r="AL101" s="58">
        <v>584255</v>
      </c>
      <c r="AM101" s="18"/>
      <c r="AN101" s="18"/>
      <c r="AO101" s="59"/>
    </row>
    <row r="102" spans="1:41" x14ac:dyDescent="0.35">
      <c r="A102" s="32">
        <f t="shared" si="9"/>
        <v>100</v>
      </c>
      <c r="B102" s="35">
        <v>46078</v>
      </c>
      <c r="C102" s="35">
        <f>Table46[[#This Row],[DATE OF ARRIVAL]]</f>
        <v>46078</v>
      </c>
      <c r="D102" s="36" t="s">
        <v>38</v>
      </c>
      <c r="E102" s="36" t="s">
        <v>39</v>
      </c>
      <c r="F102" s="36" t="s">
        <v>40</v>
      </c>
      <c r="G102" s="36"/>
      <c r="H102" s="36" t="s">
        <v>123</v>
      </c>
      <c r="I102" s="36" t="s">
        <v>124</v>
      </c>
      <c r="J102" s="36" t="s">
        <v>361</v>
      </c>
      <c r="K102" s="36"/>
      <c r="L102" s="36"/>
      <c r="M102" s="36"/>
      <c r="N102" s="36"/>
      <c r="O102" s="37">
        <f t="shared" si="11"/>
        <v>0</v>
      </c>
      <c r="P102" s="37"/>
      <c r="Q102" s="36"/>
      <c r="R102" s="36"/>
      <c r="S102" s="36"/>
      <c r="T102" s="36">
        <f t="shared" si="10"/>
        <v>0</v>
      </c>
      <c r="U102" s="37">
        <f>Table46[[#This Row],[NET WT KGS]]-Table46[[#This Row],[Refraction]]</f>
        <v>0</v>
      </c>
      <c r="V102" s="38"/>
      <c r="W102" s="38">
        <f>Table46[[#This Row],[PRICE]]*Table46[[#This Row],[PAID WT]]</f>
        <v>0</v>
      </c>
      <c r="X102" s="39">
        <v>8.8000000000000007</v>
      </c>
      <c r="Y102" s="40">
        <v>163</v>
      </c>
      <c r="Z102" s="39">
        <v>44.17</v>
      </c>
      <c r="AA102" s="41"/>
      <c r="AB102" s="36" t="s">
        <v>46</v>
      </c>
      <c r="AC102" s="42" t="s">
        <v>70</v>
      </c>
      <c r="AD102" s="28"/>
      <c r="AE102" s="18">
        <f>Table46[[#This Row],[MOIS.]]*Table46[[#This Row],[NET WT KGS]]</f>
        <v>0</v>
      </c>
      <c r="AF102" s="18">
        <f>Table46[[#This Row],[KOR]]*Table46[[#This Row],[NET WT KGS]]</f>
        <v>0</v>
      </c>
      <c r="AG102">
        <f>Table46[[#This Row],[NET WT KGS]]*Table46[[#This Row],[NUT COUNT]]</f>
        <v>0</v>
      </c>
      <c r="AI102" t="s">
        <v>362</v>
      </c>
      <c r="AJ102" t="s">
        <v>50</v>
      </c>
      <c r="AK102" t="s">
        <v>40</v>
      </c>
      <c r="AL102" s="58">
        <v>54652</v>
      </c>
      <c r="AM102" s="18"/>
      <c r="AN102" s="18"/>
      <c r="AO102" s="59"/>
    </row>
    <row r="103" spans="1:41" x14ac:dyDescent="0.35">
      <c r="A103" s="32">
        <f t="shared" si="9"/>
        <v>101</v>
      </c>
      <c r="B103" s="35">
        <v>46078</v>
      </c>
      <c r="C103" s="35">
        <f>Table46[[#This Row],[DATE OF ARRIVAL]]</f>
        <v>46078</v>
      </c>
      <c r="D103" s="36" t="s">
        <v>38</v>
      </c>
      <c r="E103" s="36" t="s">
        <v>39</v>
      </c>
      <c r="F103" s="36" t="s">
        <v>40</v>
      </c>
      <c r="G103" s="36"/>
      <c r="H103" s="36" t="s">
        <v>215</v>
      </c>
      <c r="I103" s="36" t="s">
        <v>216</v>
      </c>
      <c r="J103" s="36" t="s">
        <v>363</v>
      </c>
      <c r="K103" s="36"/>
      <c r="L103" s="36"/>
      <c r="M103" s="36"/>
      <c r="N103" s="36"/>
      <c r="O103" s="37">
        <f t="shared" si="11"/>
        <v>0</v>
      </c>
      <c r="P103" s="37"/>
      <c r="Q103" s="36"/>
      <c r="R103" s="36"/>
      <c r="S103" s="36"/>
      <c r="T103" s="36">
        <f t="shared" si="10"/>
        <v>0</v>
      </c>
      <c r="U103" s="37">
        <f>Table46[[#This Row],[NET WT KGS]]-Table46[[#This Row],[Refraction]]</f>
        <v>0</v>
      </c>
      <c r="V103" s="38"/>
      <c r="W103" s="38">
        <f>Table46[[#This Row],[PRICE]]*Table46[[#This Row],[PAID WT]]</f>
        <v>0</v>
      </c>
      <c r="X103" s="39">
        <v>9.3000000000000007</v>
      </c>
      <c r="Y103" s="40">
        <v>182</v>
      </c>
      <c r="Z103" s="39">
        <v>44.35</v>
      </c>
      <c r="AA103" s="41"/>
      <c r="AB103" s="36" t="s">
        <v>150</v>
      </c>
      <c r="AC103" s="42" t="s">
        <v>70</v>
      </c>
      <c r="AD103" s="28"/>
      <c r="AE103" s="18">
        <f>Table46[[#This Row],[MOIS.]]*Table46[[#This Row],[NET WT KGS]]</f>
        <v>0</v>
      </c>
      <c r="AF103" s="18">
        <f>Table46[[#This Row],[KOR]]*Table46[[#This Row],[NET WT KGS]]</f>
        <v>0</v>
      </c>
      <c r="AG103">
        <f>Table46[[#This Row],[NET WT KGS]]*Table46[[#This Row],[NUT COUNT]]</f>
        <v>0</v>
      </c>
      <c r="AI103" t="s">
        <v>364</v>
      </c>
      <c r="AJ103" t="s">
        <v>84</v>
      </c>
      <c r="AK103" t="s">
        <v>40</v>
      </c>
      <c r="AL103" s="58">
        <v>494864</v>
      </c>
      <c r="AM103" s="18"/>
      <c r="AN103" s="18"/>
      <c r="AO103" s="59"/>
    </row>
    <row r="104" spans="1:41" x14ac:dyDescent="0.35">
      <c r="A104" s="32">
        <f t="shared" si="9"/>
        <v>102</v>
      </c>
      <c r="B104" s="20">
        <v>46078</v>
      </c>
      <c r="C104" s="20">
        <v>46079</v>
      </c>
      <c r="D104" s="50" t="s">
        <v>38</v>
      </c>
      <c r="E104" s="50" t="s">
        <v>39</v>
      </c>
      <c r="F104" s="10" t="s">
        <v>40</v>
      </c>
      <c r="G104" s="10" t="s">
        <v>86</v>
      </c>
      <c r="H104" s="10" t="s">
        <v>338</v>
      </c>
      <c r="I104" s="50" t="s">
        <v>317</v>
      </c>
      <c r="J104" s="50" t="s">
        <v>365</v>
      </c>
      <c r="K104" s="57" t="s">
        <v>340</v>
      </c>
      <c r="L104" s="50">
        <v>780</v>
      </c>
      <c r="M104" s="10">
        <v>68694</v>
      </c>
      <c r="N104" s="50">
        <v>423</v>
      </c>
      <c r="O104" s="51">
        <f t="shared" si="11"/>
        <v>39240</v>
      </c>
      <c r="P104" s="51">
        <v>38817</v>
      </c>
      <c r="Q104" s="50">
        <v>413</v>
      </c>
      <c r="R104" s="50">
        <v>0</v>
      </c>
      <c r="S104" s="50">
        <v>10</v>
      </c>
      <c r="T104" s="10">
        <f t="shared" si="10"/>
        <v>40</v>
      </c>
      <c r="U104" s="51">
        <f>Table46[[#This Row],[NET WT KGS]]-Table46[[#This Row],[Refraction]]</f>
        <v>38777</v>
      </c>
      <c r="V104" s="52">
        <v>475</v>
      </c>
      <c r="W104" s="52">
        <f>Table46[[#This Row],[PRICE]]*Table46[[#This Row],[PAID WT]]</f>
        <v>18419075</v>
      </c>
      <c r="X104" s="53">
        <v>8.8000000000000007</v>
      </c>
      <c r="Y104" s="54">
        <v>175</v>
      </c>
      <c r="Z104" s="53">
        <v>46.64</v>
      </c>
      <c r="AA104" s="55"/>
      <c r="AB104" s="50" t="s">
        <v>284</v>
      </c>
      <c r="AC104" s="56"/>
      <c r="AD104" s="28" t="s">
        <v>312</v>
      </c>
      <c r="AE104" s="18">
        <f>Table46[[#This Row],[MOIS.]]*Table46[[#This Row],[NET WT KGS]]</f>
        <v>341589.60000000003</v>
      </c>
      <c r="AF104" s="18">
        <f>Table46[[#This Row],[KOR]]*Table46[[#This Row],[NET WT KGS]]</f>
        <v>1810424.8800000001</v>
      </c>
      <c r="AG104">
        <f>Table46[[#This Row],[NET WT KGS]]*Table46[[#This Row],[NUT COUNT]]</f>
        <v>6792975</v>
      </c>
      <c r="AI104" t="s">
        <v>235</v>
      </c>
      <c r="AJ104" t="s">
        <v>236</v>
      </c>
      <c r="AK104" t="s">
        <v>40</v>
      </c>
      <c r="AL104" s="58">
        <v>450633</v>
      </c>
      <c r="AM104" s="18"/>
      <c r="AN104" s="18"/>
      <c r="AO104" s="59"/>
    </row>
    <row r="105" spans="1:41" x14ac:dyDescent="0.35">
      <c r="A105" s="32">
        <f t="shared" si="9"/>
        <v>103</v>
      </c>
      <c r="B105" s="20">
        <v>46078</v>
      </c>
      <c r="C105" s="20">
        <v>46079</v>
      </c>
      <c r="D105" s="50" t="s">
        <v>38</v>
      </c>
      <c r="E105" s="50" t="s">
        <v>39</v>
      </c>
      <c r="F105" s="10" t="s">
        <v>40</v>
      </c>
      <c r="G105" s="10" t="s">
        <v>41</v>
      </c>
      <c r="H105" s="10" t="s">
        <v>42</v>
      </c>
      <c r="I105" s="10" t="s">
        <v>43</v>
      </c>
      <c r="J105" s="50" t="s">
        <v>366</v>
      </c>
      <c r="K105" s="21" t="s">
        <v>45</v>
      </c>
      <c r="L105" s="50">
        <v>781</v>
      </c>
      <c r="M105" s="10">
        <v>72556</v>
      </c>
      <c r="N105" s="50">
        <v>405</v>
      </c>
      <c r="O105" s="51">
        <f t="shared" si="11"/>
        <v>35540</v>
      </c>
      <c r="P105" s="51">
        <v>35135</v>
      </c>
      <c r="Q105" s="50">
        <v>395</v>
      </c>
      <c r="R105" s="50">
        <v>0</v>
      </c>
      <c r="S105" s="50">
        <v>10</v>
      </c>
      <c r="T105" s="10">
        <f t="shared" si="10"/>
        <v>40</v>
      </c>
      <c r="U105" s="51">
        <f>Table46[[#This Row],[NET WT KGS]]-Table46[[#This Row],[Refraction]]</f>
        <v>35095</v>
      </c>
      <c r="V105" s="52">
        <v>475</v>
      </c>
      <c r="W105" s="52">
        <f>Table46[[#This Row],[PRICE]]*Table46[[#This Row],[PAID WT]]</f>
        <v>16670125</v>
      </c>
      <c r="X105" s="53">
        <v>10.199999999999999</v>
      </c>
      <c r="Y105" s="54">
        <v>174</v>
      </c>
      <c r="Z105" s="53">
        <v>47.34</v>
      </c>
      <c r="AA105" s="55"/>
      <c r="AB105" s="50" t="s">
        <v>367</v>
      </c>
      <c r="AC105" s="56"/>
      <c r="AD105" s="28" t="s">
        <v>312</v>
      </c>
      <c r="AE105" s="18">
        <f>Table46[[#This Row],[MOIS.]]*Table46[[#This Row],[NET WT KGS]]</f>
        <v>358377</v>
      </c>
      <c r="AF105" s="18">
        <f>Table46[[#This Row],[KOR]]*Table46[[#This Row],[NET WT KGS]]</f>
        <v>1663290.9000000001</v>
      </c>
      <c r="AG105">
        <f>Table46[[#This Row],[NET WT KGS]]*Table46[[#This Row],[NUT COUNT]]</f>
        <v>6113490</v>
      </c>
      <c r="AI105" t="s">
        <v>280</v>
      </c>
      <c r="AJ105" t="s">
        <v>281</v>
      </c>
      <c r="AK105" t="s">
        <v>40</v>
      </c>
      <c r="AL105" s="58">
        <v>977883</v>
      </c>
      <c r="AM105" s="18"/>
      <c r="AN105" s="18"/>
      <c r="AO105" s="59"/>
    </row>
    <row r="106" spans="1:41" x14ac:dyDescent="0.35">
      <c r="A106" s="32">
        <f t="shared" si="9"/>
        <v>104</v>
      </c>
      <c r="B106" s="20">
        <v>46078</v>
      </c>
      <c r="C106" s="20">
        <v>46079</v>
      </c>
      <c r="D106" s="50" t="s">
        <v>38</v>
      </c>
      <c r="E106" s="50" t="s">
        <v>39</v>
      </c>
      <c r="F106" s="10" t="s">
        <v>40</v>
      </c>
      <c r="G106" s="10" t="s">
        <v>350</v>
      </c>
      <c r="H106" s="10" t="s">
        <v>42</v>
      </c>
      <c r="I106" s="10" t="s">
        <v>43</v>
      </c>
      <c r="J106" s="50" t="s">
        <v>368</v>
      </c>
      <c r="K106" s="21" t="s">
        <v>45</v>
      </c>
      <c r="L106" s="50">
        <v>779</v>
      </c>
      <c r="M106" s="10">
        <v>72617</v>
      </c>
      <c r="N106" s="50">
        <v>475</v>
      </c>
      <c r="O106" s="51">
        <f t="shared" si="11"/>
        <v>41060</v>
      </c>
      <c r="P106" s="51">
        <v>40585</v>
      </c>
      <c r="Q106" s="50">
        <v>465</v>
      </c>
      <c r="R106" s="50">
        <v>0</v>
      </c>
      <c r="S106" s="50">
        <v>10</v>
      </c>
      <c r="T106" s="10">
        <f t="shared" si="10"/>
        <v>40</v>
      </c>
      <c r="U106" s="51">
        <f>Table46[[#This Row],[NET WT KGS]]-Table46[[#This Row],[Refraction]]</f>
        <v>40545</v>
      </c>
      <c r="V106" s="52">
        <v>475</v>
      </c>
      <c r="W106" s="52">
        <f>Table46[[#This Row],[PRICE]]*Table46[[#This Row],[PAID WT]]</f>
        <v>19258875</v>
      </c>
      <c r="X106" s="53">
        <v>8.6999999999999993</v>
      </c>
      <c r="Y106" s="54">
        <v>164</v>
      </c>
      <c r="Z106" s="53">
        <v>46.11</v>
      </c>
      <c r="AA106" s="55"/>
      <c r="AB106" s="50" t="s">
        <v>46</v>
      </c>
      <c r="AC106" s="56"/>
      <c r="AD106" s="28" t="s">
        <v>312</v>
      </c>
      <c r="AE106" s="18">
        <f>Table46[[#This Row],[MOIS.]]*Table46[[#This Row],[NET WT KGS]]</f>
        <v>353089.5</v>
      </c>
      <c r="AF106" s="18">
        <f>Table46[[#This Row],[KOR]]*Table46[[#This Row],[NET WT KGS]]</f>
        <v>1871374.35</v>
      </c>
      <c r="AG106">
        <f>Table46[[#This Row],[NET WT KGS]]*Table46[[#This Row],[NUT COUNT]]</f>
        <v>6655940</v>
      </c>
      <c r="AI106" t="s">
        <v>105</v>
      </c>
      <c r="AJ106" t="s">
        <v>106</v>
      </c>
      <c r="AK106" t="s">
        <v>40</v>
      </c>
      <c r="AL106" s="58">
        <v>508169</v>
      </c>
      <c r="AM106" s="18"/>
      <c r="AN106" s="18"/>
      <c r="AO106" s="59"/>
    </row>
    <row r="107" spans="1:41" x14ac:dyDescent="0.35">
      <c r="A107" s="32">
        <f t="shared" si="9"/>
        <v>105</v>
      </c>
      <c r="B107" s="20">
        <v>46079</v>
      </c>
      <c r="C107" s="20">
        <v>46079</v>
      </c>
      <c r="D107" s="50" t="s">
        <v>38</v>
      </c>
      <c r="E107" s="10" t="s">
        <v>258</v>
      </c>
      <c r="F107" s="10" t="s">
        <v>40</v>
      </c>
      <c r="G107" s="10" t="s">
        <v>41</v>
      </c>
      <c r="H107" s="50" t="s">
        <v>362</v>
      </c>
      <c r="I107" s="50" t="s">
        <v>50</v>
      </c>
      <c r="J107" s="50" t="s">
        <v>369</v>
      </c>
      <c r="K107" s="57" t="s">
        <v>370</v>
      </c>
      <c r="L107" s="50">
        <v>782</v>
      </c>
      <c r="M107" s="10">
        <v>72599</v>
      </c>
      <c r="N107" s="50">
        <v>124</v>
      </c>
      <c r="O107" s="51">
        <f t="shared" si="11"/>
        <v>11220</v>
      </c>
      <c r="P107" s="51">
        <v>11096</v>
      </c>
      <c r="Q107" s="50">
        <v>124</v>
      </c>
      <c r="R107" s="50">
        <v>0</v>
      </c>
      <c r="S107" s="50">
        <v>0</v>
      </c>
      <c r="T107" s="10">
        <f t="shared" si="10"/>
        <v>0</v>
      </c>
      <c r="U107" s="51">
        <f>Table46[[#This Row],[NET WT KGS]]-Table46[[#This Row],[Refraction]]</f>
        <v>11096</v>
      </c>
      <c r="V107" s="61">
        <v>475</v>
      </c>
      <c r="W107" s="52">
        <f>Table46[[#This Row],[PRICE]]*Table46[[#This Row],[PAID WT]]</f>
        <v>5270600</v>
      </c>
      <c r="X107" s="53">
        <v>8.3000000000000007</v>
      </c>
      <c r="Y107" s="54">
        <v>172</v>
      </c>
      <c r="Z107" s="53">
        <v>46.46</v>
      </c>
      <c r="AA107" s="55"/>
      <c r="AB107" s="50" t="s">
        <v>40</v>
      </c>
      <c r="AC107" s="56"/>
      <c r="AD107" s="28" t="s">
        <v>312</v>
      </c>
      <c r="AE107" s="18">
        <f>Table46[[#This Row],[MOIS.]]*Table46[[#This Row],[NET WT KGS]]</f>
        <v>92096.8</v>
      </c>
      <c r="AF107" s="18">
        <f>Table46[[#This Row],[KOR]]*Table46[[#This Row],[NET WT KGS]]</f>
        <v>515520.16000000003</v>
      </c>
      <c r="AG107">
        <f>Table46[[#This Row],[NET WT KGS]]*Table46[[#This Row],[NUT COUNT]]</f>
        <v>1908512</v>
      </c>
      <c r="AI107" t="s">
        <v>338</v>
      </c>
      <c r="AJ107" t="s">
        <v>317</v>
      </c>
      <c r="AK107" t="s">
        <v>40</v>
      </c>
      <c r="AL107" s="58">
        <v>1694445</v>
      </c>
      <c r="AM107" s="18"/>
      <c r="AN107" s="18"/>
      <c r="AO107" s="59"/>
    </row>
    <row r="108" spans="1:41" x14ac:dyDescent="0.35">
      <c r="A108" s="32">
        <f t="shared" si="9"/>
        <v>106</v>
      </c>
      <c r="B108" s="20">
        <v>46079</v>
      </c>
      <c r="C108" s="20">
        <v>46079</v>
      </c>
      <c r="D108" s="50" t="s">
        <v>38</v>
      </c>
      <c r="E108" s="50" t="s">
        <v>39</v>
      </c>
      <c r="F108" s="10" t="s">
        <v>40</v>
      </c>
      <c r="G108" s="10" t="s">
        <v>86</v>
      </c>
      <c r="H108" s="50" t="s">
        <v>286</v>
      </c>
      <c r="I108" s="50" t="s">
        <v>287</v>
      </c>
      <c r="J108" s="50" t="s">
        <v>288</v>
      </c>
      <c r="K108" s="21" t="s">
        <v>289</v>
      </c>
      <c r="L108" s="50">
        <v>783</v>
      </c>
      <c r="M108" s="10">
        <v>72577</v>
      </c>
      <c r="N108" s="50">
        <v>465</v>
      </c>
      <c r="O108" s="51">
        <f t="shared" si="11"/>
        <v>40760</v>
      </c>
      <c r="P108" s="51">
        <v>40295</v>
      </c>
      <c r="Q108" s="50">
        <v>455</v>
      </c>
      <c r="R108" s="50">
        <v>0</v>
      </c>
      <c r="S108" s="50">
        <v>10</v>
      </c>
      <c r="T108" s="10">
        <f t="shared" si="10"/>
        <v>40</v>
      </c>
      <c r="U108" s="51">
        <f>Table46[[#This Row],[NET WT KGS]]-Table46[[#This Row],[Refraction]]</f>
        <v>40255</v>
      </c>
      <c r="V108" s="52">
        <v>475</v>
      </c>
      <c r="W108" s="52">
        <f>Table46[[#This Row],[PRICE]]*Table46[[#This Row],[PAID WT]]</f>
        <v>19121125</v>
      </c>
      <c r="X108" s="53">
        <v>9.6999999999999993</v>
      </c>
      <c r="Y108" s="54">
        <v>165</v>
      </c>
      <c r="Z108" s="53">
        <v>47.16</v>
      </c>
      <c r="AA108" s="55"/>
      <c r="AB108" s="50" t="s">
        <v>46</v>
      </c>
      <c r="AC108" s="56"/>
      <c r="AD108" s="28" t="s">
        <v>312</v>
      </c>
      <c r="AE108" s="18">
        <f>Table46[[#This Row],[MOIS.]]*Table46[[#This Row],[NET WT KGS]]</f>
        <v>390861.5</v>
      </c>
      <c r="AF108" s="18">
        <f>Table46[[#This Row],[KOR]]*Table46[[#This Row],[NET WT KGS]]</f>
        <v>1900312.2</v>
      </c>
      <c r="AG108">
        <f>Table46[[#This Row],[NET WT KGS]]*Table46[[#This Row],[NUT COUNT]]</f>
        <v>6648675</v>
      </c>
      <c r="AI108" t="s">
        <v>259</v>
      </c>
      <c r="AJ108" t="s">
        <v>60</v>
      </c>
      <c r="AK108" t="s">
        <v>40</v>
      </c>
      <c r="AL108" s="58">
        <v>296713</v>
      </c>
      <c r="AM108" s="18"/>
      <c r="AN108" s="18"/>
      <c r="AO108" s="59"/>
    </row>
    <row r="109" spans="1:41" x14ac:dyDescent="0.35">
      <c r="A109" s="32">
        <f t="shared" si="9"/>
        <v>107</v>
      </c>
      <c r="B109" s="20">
        <v>46079</v>
      </c>
      <c r="C109" s="20">
        <v>46079</v>
      </c>
      <c r="D109" s="50" t="s">
        <v>38</v>
      </c>
      <c r="E109" s="50" t="s">
        <v>39</v>
      </c>
      <c r="F109" s="10" t="s">
        <v>40</v>
      </c>
      <c r="G109" s="10" t="s">
        <v>86</v>
      </c>
      <c r="H109" s="10" t="s">
        <v>123</v>
      </c>
      <c r="I109" s="10" t="s">
        <v>124</v>
      </c>
      <c r="J109" s="50" t="s">
        <v>125</v>
      </c>
      <c r="K109" s="21" t="s">
        <v>161</v>
      </c>
      <c r="L109" s="50">
        <v>785</v>
      </c>
      <c r="M109" s="10">
        <v>72602</v>
      </c>
      <c r="N109" s="50">
        <v>581</v>
      </c>
      <c r="O109" s="51">
        <f t="shared" si="11"/>
        <v>50440</v>
      </c>
      <c r="P109" s="51">
        <v>49859</v>
      </c>
      <c r="Q109" s="50">
        <v>566</v>
      </c>
      <c r="R109" s="50">
        <v>0</v>
      </c>
      <c r="S109" s="50">
        <v>15</v>
      </c>
      <c r="T109" s="10">
        <f t="shared" si="10"/>
        <v>60</v>
      </c>
      <c r="U109" s="51">
        <f>Table46[[#This Row],[NET WT KGS]]-Table46[[#This Row],[Refraction]]</f>
        <v>49799</v>
      </c>
      <c r="V109" s="52">
        <v>475</v>
      </c>
      <c r="W109" s="52">
        <f>Table46[[#This Row],[PRICE]]*Table46[[#This Row],[PAID WT]]</f>
        <v>23654525</v>
      </c>
      <c r="X109" s="53">
        <v>9.6</v>
      </c>
      <c r="Y109" s="54">
        <v>166</v>
      </c>
      <c r="Z109" s="53">
        <v>47.34</v>
      </c>
      <c r="AA109" s="55"/>
      <c r="AB109" s="10" t="s">
        <v>78</v>
      </c>
      <c r="AC109" s="56"/>
      <c r="AD109" s="28" t="s">
        <v>312</v>
      </c>
      <c r="AE109" s="18">
        <f>Table46[[#This Row],[MOIS.]]*Table46[[#This Row],[NET WT KGS]]</f>
        <v>478646.39999999997</v>
      </c>
      <c r="AF109" s="18">
        <f>Table46[[#This Row],[KOR]]*Table46[[#This Row],[NET WT KGS]]</f>
        <v>2360325.06</v>
      </c>
      <c r="AG109">
        <f>Table46[[#This Row],[NET WT KGS]]*Table46[[#This Row],[NUT COUNT]]</f>
        <v>8276594</v>
      </c>
      <c r="AI109" t="s">
        <v>335</v>
      </c>
      <c r="AJ109" t="s">
        <v>66</v>
      </c>
      <c r="AK109" t="s">
        <v>40</v>
      </c>
      <c r="AL109" s="58">
        <v>389710</v>
      </c>
      <c r="AM109" s="18"/>
      <c r="AN109" s="18"/>
      <c r="AO109" s="59"/>
    </row>
    <row r="110" spans="1:41" x14ac:dyDescent="0.35">
      <c r="A110" s="32">
        <f t="shared" si="9"/>
        <v>108</v>
      </c>
      <c r="B110" s="20">
        <v>46079</v>
      </c>
      <c r="C110" s="20">
        <v>46079</v>
      </c>
      <c r="D110" s="50" t="s">
        <v>38</v>
      </c>
      <c r="E110" s="50" t="s">
        <v>39</v>
      </c>
      <c r="F110" s="10" t="s">
        <v>40</v>
      </c>
      <c r="G110" s="10" t="s">
        <v>86</v>
      </c>
      <c r="H110" s="50" t="s">
        <v>54</v>
      </c>
      <c r="I110" s="50" t="s">
        <v>55</v>
      </c>
      <c r="J110" s="50" t="s">
        <v>371</v>
      </c>
      <c r="K110" s="33" t="s">
        <v>57</v>
      </c>
      <c r="L110" s="50">
        <v>784</v>
      </c>
      <c r="M110" s="10">
        <v>76763</v>
      </c>
      <c r="N110" s="50">
        <v>450</v>
      </c>
      <c r="O110" s="51">
        <f t="shared" si="11"/>
        <v>37980</v>
      </c>
      <c r="P110" s="51">
        <v>37530</v>
      </c>
      <c r="Q110" s="50">
        <v>434</v>
      </c>
      <c r="R110" s="50">
        <v>0</v>
      </c>
      <c r="S110" s="50">
        <v>16</v>
      </c>
      <c r="T110" s="10">
        <f t="shared" si="10"/>
        <v>64</v>
      </c>
      <c r="U110" s="51">
        <f>Table46[[#This Row],[NET WT KGS]]-Table46[[#This Row],[Refraction]]</f>
        <v>37466</v>
      </c>
      <c r="V110" s="61">
        <v>490</v>
      </c>
      <c r="W110" s="52">
        <f>Table46[[#This Row],[PRICE]]*Table46[[#This Row],[PAID WT]]</f>
        <v>18358340</v>
      </c>
      <c r="X110" s="53">
        <v>7.5</v>
      </c>
      <c r="Y110" s="54">
        <v>183</v>
      </c>
      <c r="Z110" s="53">
        <v>46.11</v>
      </c>
      <c r="AA110" s="55"/>
      <c r="AB110" s="50" t="s">
        <v>182</v>
      </c>
      <c r="AC110" s="56"/>
      <c r="AD110" s="28" t="s">
        <v>312</v>
      </c>
      <c r="AE110" s="18">
        <f>Table46[[#This Row],[MOIS.]]*Table46[[#This Row],[NET WT KGS]]</f>
        <v>281475</v>
      </c>
      <c r="AF110" s="18">
        <f>Table46[[#This Row],[KOR]]*Table46[[#This Row],[NET WT KGS]]</f>
        <v>1730508.3</v>
      </c>
      <c r="AG110">
        <f>Table46[[#This Row],[NET WT KGS]]*Table46[[#This Row],[NUT COUNT]]</f>
        <v>6867990</v>
      </c>
      <c r="AI110" t="s">
        <v>372</v>
      </c>
      <c r="AJ110" t="s">
        <v>80</v>
      </c>
      <c r="AK110" t="s">
        <v>40</v>
      </c>
      <c r="AL110" s="58">
        <v>37860</v>
      </c>
      <c r="AM110" s="18"/>
      <c r="AN110" s="18"/>
      <c r="AO110" s="59"/>
    </row>
    <row r="111" spans="1:41" x14ac:dyDescent="0.35">
      <c r="A111" s="32">
        <f t="shared" si="9"/>
        <v>109</v>
      </c>
      <c r="B111" s="20">
        <v>46079</v>
      </c>
      <c r="C111" s="20">
        <v>46079</v>
      </c>
      <c r="D111" s="50" t="s">
        <v>38</v>
      </c>
      <c r="E111" s="50" t="s">
        <v>39</v>
      </c>
      <c r="F111" s="10" t="s">
        <v>40</v>
      </c>
      <c r="G111" s="10" t="s">
        <v>86</v>
      </c>
      <c r="H111" s="10" t="s">
        <v>280</v>
      </c>
      <c r="I111" s="10" t="s">
        <v>281</v>
      </c>
      <c r="J111" s="50" t="s">
        <v>344</v>
      </c>
      <c r="K111" s="21" t="s">
        <v>283</v>
      </c>
      <c r="L111" s="50">
        <v>786</v>
      </c>
      <c r="M111" s="10">
        <v>72594</v>
      </c>
      <c r="N111" s="50">
        <v>495</v>
      </c>
      <c r="O111" s="51">
        <f t="shared" si="11"/>
        <v>41960</v>
      </c>
      <c r="P111" s="51">
        <v>41465</v>
      </c>
      <c r="Q111" s="50">
        <v>485</v>
      </c>
      <c r="R111" s="50">
        <v>0</v>
      </c>
      <c r="S111" s="50">
        <v>10</v>
      </c>
      <c r="T111" s="10">
        <f t="shared" si="10"/>
        <v>40</v>
      </c>
      <c r="U111" s="51">
        <f>Table46[[#This Row],[NET WT KGS]]-Table46[[#This Row],[Refraction]]</f>
        <v>41425</v>
      </c>
      <c r="V111" s="52">
        <v>475</v>
      </c>
      <c r="W111" s="52">
        <f>Table46[[#This Row],[PRICE]]*Table46[[#This Row],[PAID WT]]</f>
        <v>19676875</v>
      </c>
      <c r="X111" s="53">
        <v>9.3000000000000007</v>
      </c>
      <c r="Y111" s="54">
        <v>176</v>
      </c>
      <c r="Z111" s="53">
        <v>47.69</v>
      </c>
      <c r="AA111" s="55"/>
      <c r="AB111" s="50" t="s">
        <v>284</v>
      </c>
      <c r="AC111" s="56"/>
      <c r="AD111" s="28" t="s">
        <v>312</v>
      </c>
      <c r="AE111" s="18">
        <f>Table46[[#This Row],[MOIS.]]*Table46[[#This Row],[NET WT KGS]]</f>
        <v>385624.50000000006</v>
      </c>
      <c r="AF111" s="18">
        <f>Table46[[#This Row],[KOR]]*Table46[[#This Row],[NET WT KGS]]</f>
        <v>1977465.8499999999</v>
      </c>
      <c r="AG111">
        <f>Table46[[#This Row],[NET WT KGS]]*Table46[[#This Row],[NUT COUNT]]</f>
        <v>7297840</v>
      </c>
      <c r="AI111" t="s">
        <v>286</v>
      </c>
      <c r="AJ111" t="s">
        <v>287</v>
      </c>
      <c r="AK111" t="s">
        <v>40</v>
      </c>
      <c r="AL111" s="58">
        <v>364469</v>
      </c>
      <c r="AM111" s="18"/>
      <c r="AN111" s="18"/>
      <c r="AO111" s="59"/>
    </row>
    <row r="112" spans="1:41" x14ac:dyDescent="0.35">
      <c r="A112" s="32">
        <f t="shared" si="9"/>
        <v>110</v>
      </c>
      <c r="B112" s="20">
        <v>46079</v>
      </c>
      <c r="C112" s="20">
        <v>46079</v>
      </c>
      <c r="D112" s="50" t="s">
        <v>38</v>
      </c>
      <c r="E112" s="50" t="s">
        <v>39</v>
      </c>
      <c r="F112" s="10" t="s">
        <v>40</v>
      </c>
      <c r="G112" s="10" t="s">
        <v>350</v>
      </c>
      <c r="H112" s="10" t="s">
        <v>123</v>
      </c>
      <c r="I112" s="10" t="s">
        <v>124</v>
      </c>
      <c r="J112" s="50" t="s">
        <v>221</v>
      </c>
      <c r="K112" s="21" t="s">
        <v>161</v>
      </c>
      <c r="L112" s="50">
        <v>787</v>
      </c>
      <c r="M112" s="10">
        <v>72588</v>
      </c>
      <c r="N112" s="50">
        <v>542</v>
      </c>
      <c r="O112" s="51">
        <f t="shared" si="11"/>
        <v>45260</v>
      </c>
      <c r="P112" s="51">
        <v>44718</v>
      </c>
      <c r="Q112" s="50">
        <v>537</v>
      </c>
      <c r="R112" s="50">
        <v>0</v>
      </c>
      <c r="S112" s="50">
        <v>5</v>
      </c>
      <c r="T112" s="10">
        <f t="shared" si="10"/>
        <v>20</v>
      </c>
      <c r="U112" s="51">
        <f>Table46[[#This Row],[NET WT KGS]]-Table46[[#This Row],[Refraction]]</f>
        <v>44698</v>
      </c>
      <c r="V112" s="52">
        <v>475</v>
      </c>
      <c r="W112" s="52">
        <f>Table46[[#This Row],[PRICE]]*Table46[[#This Row],[PAID WT]]</f>
        <v>21231550</v>
      </c>
      <c r="X112" s="53">
        <v>9.6999999999999993</v>
      </c>
      <c r="Y112" s="54">
        <v>164</v>
      </c>
      <c r="Z112" s="53">
        <v>46.81</v>
      </c>
      <c r="AA112" s="55"/>
      <c r="AB112" s="50" t="s">
        <v>212</v>
      </c>
      <c r="AC112" s="56"/>
      <c r="AD112" s="28" t="s">
        <v>312</v>
      </c>
      <c r="AE112" s="18">
        <f>Table46[[#This Row],[MOIS.]]*Table46[[#This Row],[NET WT KGS]]</f>
        <v>433764.6</v>
      </c>
      <c r="AF112" s="18">
        <f>Table46[[#This Row],[KOR]]*Table46[[#This Row],[NET WT KGS]]</f>
        <v>2093249.58</v>
      </c>
      <c r="AG112">
        <f>Table46[[#This Row],[NET WT KGS]]*Table46[[#This Row],[NUT COUNT]]</f>
        <v>7333752</v>
      </c>
      <c r="AI112" t="s">
        <v>373</v>
      </c>
      <c r="AJ112" t="s">
        <v>92</v>
      </c>
      <c r="AK112" t="s">
        <v>40</v>
      </c>
      <c r="AL112" s="58">
        <v>381752</v>
      </c>
      <c r="AM112" s="18"/>
      <c r="AN112" s="18"/>
      <c r="AO112" s="59"/>
    </row>
    <row r="113" spans="1:41" x14ac:dyDescent="0.35">
      <c r="A113" s="32">
        <f t="shared" si="9"/>
        <v>111</v>
      </c>
      <c r="B113" s="20">
        <v>46079</v>
      </c>
      <c r="C113" s="20">
        <v>46079</v>
      </c>
      <c r="D113" s="50" t="s">
        <v>38</v>
      </c>
      <c r="E113" s="50" t="s">
        <v>39</v>
      </c>
      <c r="F113" s="10" t="s">
        <v>40</v>
      </c>
      <c r="G113" s="10" t="s">
        <v>86</v>
      </c>
      <c r="H113" s="10" t="s">
        <v>112</v>
      </c>
      <c r="I113" s="10" t="s">
        <v>113</v>
      </c>
      <c r="J113" s="50" t="s">
        <v>366</v>
      </c>
      <c r="K113" s="21" t="s">
        <v>115</v>
      </c>
      <c r="L113" s="50">
        <v>788</v>
      </c>
      <c r="M113" s="10">
        <v>68695</v>
      </c>
      <c r="N113" s="50">
        <v>366</v>
      </c>
      <c r="O113" s="51">
        <f t="shared" si="11"/>
        <v>31020</v>
      </c>
      <c r="P113" s="51">
        <v>30654</v>
      </c>
      <c r="Q113" s="50">
        <v>351</v>
      </c>
      <c r="R113" s="50">
        <v>0</v>
      </c>
      <c r="S113" s="50">
        <v>5</v>
      </c>
      <c r="T113" s="10">
        <f t="shared" si="10"/>
        <v>20</v>
      </c>
      <c r="U113" s="51">
        <f>Table46[[#This Row],[NET WT KGS]]-Table46[[#This Row],[Refraction]]</f>
        <v>30634</v>
      </c>
      <c r="V113" s="52">
        <v>475</v>
      </c>
      <c r="W113" s="52">
        <f>Table46[[#This Row],[PRICE]]*Table46[[#This Row],[PAID WT]]</f>
        <v>14551150</v>
      </c>
      <c r="X113" s="53">
        <v>9.4</v>
      </c>
      <c r="Y113" s="54">
        <v>174</v>
      </c>
      <c r="Z113" s="53">
        <v>47.34</v>
      </c>
      <c r="AA113" s="55"/>
      <c r="AB113" s="50" t="s">
        <v>367</v>
      </c>
      <c r="AC113" s="56"/>
      <c r="AD113" s="28" t="s">
        <v>312</v>
      </c>
      <c r="AE113" s="18">
        <f>Table46[[#This Row],[MOIS.]]*Table46[[#This Row],[NET WT KGS]]</f>
        <v>288147.60000000003</v>
      </c>
      <c r="AF113" s="18">
        <f>Table46[[#This Row],[KOR]]*Table46[[#This Row],[NET WT KGS]]</f>
        <v>1451160.36</v>
      </c>
      <c r="AG113">
        <f>Table46[[#This Row],[NET WT KGS]]*Table46[[#This Row],[NUT COUNT]]</f>
        <v>5333796</v>
      </c>
      <c r="AI113" t="s">
        <v>215</v>
      </c>
      <c r="AJ113" t="s">
        <v>216</v>
      </c>
      <c r="AK113" t="s">
        <v>40</v>
      </c>
      <c r="AL113" s="58">
        <v>125352</v>
      </c>
      <c r="AM113" s="18"/>
      <c r="AN113" s="18"/>
      <c r="AO113" s="59"/>
    </row>
    <row r="114" spans="1:41" x14ac:dyDescent="0.35">
      <c r="A114" s="32">
        <f t="shared" si="9"/>
        <v>112</v>
      </c>
      <c r="B114" s="35">
        <v>46079</v>
      </c>
      <c r="C114" s="35">
        <f>Table46[[#This Row],[DATE OF ARRIVAL]]</f>
        <v>46079</v>
      </c>
      <c r="D114" s="36" t="s">
        <v>38</v>
      </c>
      <c r="E114" s="36" t="s">
        <v>39</v>
      </c>
      <c r="F114" s="36" t="s">
        <v>40</v>
      </c>
      <c r="G114" s="36"/>
      <c r="H114" s="36" t="s">
        <v>42</v>
      </c>
      <c r="I114" s="36" t="s">
        <v>43</v>
      </c>
      <c r="J114" s="36" t="s">
        <v>374</v>
      </c>
      <c r="K114" s="36"/>
      <c r="L114" s="36"/>
      <c r="M114" s="36"/>
      <c r="N114" s="36"/>
      <c r="O114" s="37">
        <f t="shared" si="11"/>
        <v>0</v>
      </c>
      <c r="P114" s="37"/>
      <c r="Q114" s="36"/>
      <c r="R114" s="36"/>
      <c r="S114" s="36"/>
      <c r="T114" s="36"/>
      <c r="U114" s="37">
        <f>Table46[[#This Row],[NET WT KGS]]-Table46[[#This Row],[Refraction]]</f>
        <v>0</v>
      </c>
      <c r="V114" s="38">
        <v>0</v>
      </c>
      <c r="W114" s="38">
        <f>Table46[[#This Row],[PRICE]]*Table46[[#This Row],[PAID WT]]</f>
        <v>0</v>
      </c>
      <c r="X114" s="39">
        <v>8.3000000000000007</v>
      </c>
      <c r="Y114" s="40">
        <v>180</v>
      </c>
      <c r="Z114" s="39">
        <v>41</v>
      </c>
      <c r="AA114" s="41"/>
      <c r="AB114" s="36" t="s">
        <v>182</v>
      </c>
      <c r="AC114" s="42" t="s">
        <v>70</v>
      </c>
      <c r="AD114" s="28"/>
      <c r="AE114" s="18">
        <f>Table46[[#This Row],[MOIS.]]*Table46[[#This Row],[NET WT KGS]]</f>
        <v>0</v>
      </c>
      <c r="AF114" s="18">
        <f>Table46[[#This Row],[KOR]]*Table46[[#This Row],[NET WT KGS]]</f>
        <v>0</v>
      </c>
      <c r="AG114">
        <f>Table46[[#This Row],[NET WT KGS]]*Table46[[#This Row],[NUT COUNT]]</f>
        <v>0</v>
      </c>
      <c r="AI114" t="s">
        <v>74</v>
      </c>
      <c r="AJ114" t="s">
        <v>75</v>
      </c>
      <c r="AK114" t="s">
        <v>40</v>
      </c>
      <c r="AL114" s="58">
        <v>1368624</v>
      </c>
      <c r="AM114" s="18"/>
      <c r="AN114" s="18"/>
      <c r="AO114" s="59"/>
    </row>
    <row r="115" spans="1:41" x14ac:dyDescent="0.35">
      <c r="A115" s="32">
        <f t="shared" si="9"/>
        <v>113</v>
      </c>
      <c r="B115" s="20">
        <v>46079</v>
      </c>
      <c r="C115" s="20">
        <v>46079</v>
      </c>
      <c r="D115" s="50" t="s">
        <v>38</v>
      </c>
      <c r="E115" s="50" t="s">
        <v>39</v>
      </c>
      <c r="F115" s="50" t="s">
        <v>62</v>
      </c>
      <c r="G115" s="10"/>
      <c r="H115" s="10" t="s">
        <v>128</v>
      </c>
      <c r="I115" s="10" t="s">
        <v>129</v>
      </c>
      <c r="J115" s="50" t="s">
        <v>375</v>
      </c>
      <c r="K115" s="33" t="s">
        <v>131</v>
      </c>
      <c r="L115" s="50">
        <v>851</v>
      </c>
      <c r="M115" s="10">
        <v>68687</v>
      </c>
      <c r="N115" s="50">
        <v>696</v>
      </c>
      <c r="O115" s="51">
        <f t="shared" si="11"/>
        <v>53380</v>
      </c>
      <c r="P115" s="62">
        <f>53380-Table46[[#This Row],[SACS]]</f>
        <v>52684</v>
      </c>
      <c r="Q115" s="50"/>
      <c r="R115" s="50"/>
      <c r="S115" s="50"/>
      <c r="T115" s="50">
        <v>100</v>
      </c>
      <c r="U115" s="51">
        <f>Table46[[#This Row],[NET WT KGS]]-Table46[[#This Row],[Refraction]]</f>
        <v>52584</v>
      </c>
      <c r="V115" s="52">
        <v>485</v>
      </c>
      <c r="W115" s="52">
        <f>Table46[[#This Row],[PRICE]]*Table46[[#This Row],[PAID WT]]</f>
        <v>25503240</v>
      </c>
      <c r="X115" s="53">
        <v>8</v>
      </c>
      <c r="Y115" s="54">
        <v>187</v>
      </c>
      <c r="Z115" s="53">
        <v>47.16</v>
      </c>
      <c r="AA115" s="55">
        <v>46.81</v>
      </c>
      <c r="AB115" s="50" t="s">
        <v>132</v>
      </c>
      <c r="AC115" s="56"/>
      <c r="AD115" s="63" t="s">
        <v>312</v>
      </c>
      <c r="AE115" s="18">
        <f>Table46[[#This Row],[MOIS.]]*Table46[[#This Row],[NET WT KGS]]</f>
        <v>421472</v>
      </c>
      <c r="AF115" s="18">
        <f>Table46[[#This Row],[KOR]]*Table46[[#This Row],[NET WT KGS]]</f>
        <v>2484577.44</v>
      </c>
      <c r="AG115">
        <f>Table46[[#This Row],[NET WT KGS]]*Table46[[#This Row],[NUT COUNT]]</f>
        <v>9851908</v>
      </c>
      <c r="AI115" t="s">
        <v>376</v>
      </c>
      <c r="AJ115" t="s">
        <v>143</v>
      </c>
      <c r="AK115" t="s">
        <v>40</v>
      </c>
      <c r="AL115" s="58">
        <v>40199</v>
      </c>
      <c r="AM115" s="18"/>
      <c r="AN115" s="18"/>
      <c r="AO115" s="59"/>
    </row>
    <row r="116" spans="1:41" x14ac:dyDescent="0.35">
      <c r="A116" s="32">
        <f t="shared" si="9"/>
        <v>114</v>
      </c>
      <c r="B116" s="20">
        <v>46079</v>
      </c>
      <c r="C116" s="20">
        <v>46079</v>
      </c>
      <c r="D116" s="50" t="s">
        <v>38</v>
      </c>
      <c r="E116" s="50" t="s">
        <v>39</v>
      </c>
      <c r="F116" s="50" t="s">
        <v>62</v>
      </c>
      <c r="G116" s="10"/>
      <c r="H116" s="10" t="s">
        <v>128</v>
      </c>
      <c r="I116" s="10" t="s">
        <v>129</v>
      </c>
      <c r="J116" s="50" t="s">
        <v>224</v>
      </c>
      <c r="K116" s="33" t="s">
        <v>131</v>
      </c>
      <c r="L116" s="50">
        <v>852</v>
      </c>
      <c r="M116" s="10">
        <v>68684</v>
      </c>
      <c r="N116" s="50">
        <v>669</v>
      </c>
      <c r="O116" s="51">
        <f t="shared" si="11"/>
        <v>49700</v>
      </c>
      <c r="P116" s="62">
        <f>49700-Table46[[#This Row],[SACS]]</f>
        <v>49031</v>
      </c>
      <c r="Q116" s="50"/>
      <c r="R116" s="50"/>
      <c r="S116" s="50"/>
      <c r="T116" s="50">
        <v>100</v>
      </c>
      <c r="U116" s="51">
        <f>Table46[[#This Row],[NET WT KGS]]-Table46[[#This Row],[Refraction]]</f>
        <v>48931</v>
      </c>
      <c r="V116" s="52">
        <v>490</v>
      </c>
      <c r="W116" s="52">
        <f>Table46[[#This Row],[PRICE]]*Table46[[#This Row],[PAID WT]]</f>
        <v>23976190</v>
      </c>
      <c r="X116" s="53">
        <v>7.9</v>
      </c>
      <c r="Y116" s="54">
        <v>197</v>
      </c>
      <c r="Z116" s="53">
        <v>48.75</v>
      </c>
      <c r="AA116" s="55">
        <v>48.04</v>
      </c>
      <c r="AB116" s="50" t="s">
        <v>132</v>
      </c>
      <c r="AC116" s="56"/>
      <c r="AD116" s="63" t="s">
        <v>312</v>
      </c>
      <c r="AE116" s="18">
        <f>Table46[[#This Row],[MOIS.]]*Table46[[#This Row],[NET WT KGS]]</f>
        <v>387344.9</v>
      </c>
      <c r="AF116" s="18">
        <f>Table46[[#This Row],[KOR]]*Table46[[#This Row],[NET WT KGS]]</f>
        <v>2390261.25</v>
      </c>
      <c r="AG116">
        <f>Table46[[#This Row],[NET WT KGS]]*Table46[[#This Row],[NUT COUNT]]</f>
        <v>9659107</v>
      </c>
      <c r="AI116" t="s">
        <v>202</v>
      </c>
      <c r="AJ116" t="s">
        <v>203</v>
      </c>
      <c r="AK116" t="s">
        <v>40</v>
      </c>
      <c r="AL116" s="58">
        <v>511486</v>
      </c>
      <c r="AM116" s="18"/>
      <c r="AN116" s="18"/>
      <c r="AO116" s="59"/>
    </row>
    <row r="117" spans="1:41" x14ac:dyDescent="0.35">
      <c r="A117" s="32">
        <f t="shared" si="9"/>
        <v>115</v>
      </c>
      <c r="B117" s="20">
        <v>46080</v>
      </c>
      <c r="C117" s="20">
        <v>46080</v>
      </c>
      <c r="D117" s="50" t="s">
        <v>38</v>
      </c>
      <c r="E117" s="10" t="s">
        <v>258</v>
      </c>
      <c r="F117" s="50" t="s">
        <v>62</v>
      </c>
      <c r="G117" s="10"/>
      <c r="H117" s="10" t="s">
        <v>377</v>
      </c>
      <c r="I117" s="10" t="s">
        <v>72</v>
      </c>
      <c r="J117" s="50" t="s">
        <v>378</v>
      </c>
      <c r="K117" s="57" t="s">
        <v>379</v>
      </c>
      <c r="L117" s="50">
        <v>855</v>
      </c>
      <c r="M117" s="10">
        <v>77585</v>
      </c>
      <c r="N117" s="50">
        <v>658</v>
      </c>
      <c r="O117" s="51">
        <f t="shared" si="11"/>
        <v>48800</v>
      </c>
      <c r="P117" s="51">
        <f>48800-Table46[[#This Row],[SACS]]</f>
        <v>48142</v>
      </c>
      <c r="Q117" s="50">
        <f>Table46[[#This Row],[SACS]]-Table46[[#This Row],[Sacs déchirés]]</f>
        <v>633</v>
      </c>
      <c r="R117" s="50">
        <v>0</v>
      </c>
      <c r="S117" s="50">
        <v>25</v>
      </c>
      <c r="T117" s="50">
        <v>80</v>
      </c>
      <c r="U117" s="51">
        <f>Table46[[#This Row],[NET WT KGS]]-Table46[[#This Row],[Refraction]]</f>
        <v>48062</v>
      </c>
      <c r="V117" s="52">
        <v>490</v>
      </c>
      <c r="W117" s="52">
        <f>Table46[[#This Row],[PRICE]]*Table46[[#This Row],[PAID WT]]</f>
        <v>23550380</v>
      </c>
      <c r="X117" s="53">
        <v>8</v>
      </c>
      <c r="Y117" s="54">
        <v>185</v>
      </c>
      <c r="Z117" s="53">
        <v>47.87</v>
      </c>
      <c r="AA117" s="55">
        <v>47.34</v>
      </c>
      <c r="AB117" s="50" t="s">
        <v>132</v>
      </c>
      <c r="AC117" s="56"/>
      <c r="AD117" s="63" t="s">
        <v>312</v>
      </c>
      <c r="AE117" s="18">
        <f>Table46[[#This Row],[MOIS.]]*Table46[[#This Row],[NET WT KGS]]</f>
        <v>385136</v>
      </c>
      <c r="AF117" s="18">
        <f>Table46[[#This Row],[KOR]]*Table46[[#This Row],[NET WT KGS]]</f>
        <v>2304557.54</v>
      </c>
      <c r="AG117">
        <f>Table46[[#This Row],[NET WT KGS]]*Table46[[#This Row],[NUT COUNT]]</f>
        <v>8906270</v>
      </c>
      <c r="AJ117" t="s">
        <v>305</v>
      </c>
      <c r="AK117" t="s">
        <v>40</v>
      </c>
      <c r="AL117" s="1"/>
      <c r="AM117" s="18"/>
      <c r="AN117" s="18"/>
      <c r="AO117" s="59"/>
    </row>
    <row r="118" spans="1:41" x14ac:dyDescent="0.35">
      <c r="A118" s="32">
        <f t="shared" si="9"/>
        <v>116</v>
      </c>
      <c r="B118" s="20">
        <v>46080</v>
      </c>
      <c r="C118" s="20">
        <v>46080</v>
      </c>
      <c r="D118" s="50" t="s">
        <v>38</v>
      </c>
      <c r="E118" s="50" t="s">
        <v>39</v>
      </c>
      <c r="F118" s="50" t="s">
        <v>62</v>
      </c>
      <c r="G118" s="10"/>
      <c r="H118" s="10" t="s">
        <v>193</v>
      </c>
      <c r="I118" s="10" t="s">
        <v>194</v>
      </c>
      <c r="J118" s="50" t="s">
        <v>380</v>
      </c>
      <c r="K118" s="33" t="s">
        <v>196</v>
      </c>
      <c r="L118" s="50">
        <v>854</v>
      </c>
      <c r="M118" s="10">
        <v>77584</v>
      </c>
      <c r="N118" s="50">
        <v>624</v>
      </c>
      <c r="O118" s="51">
        <v>46440</v>
      </c>
      <c r="P118" s="51">
        <f>Table46[[#This Row],[GROSS WT KGS]]-Table46[[#This Row],[SACS]]</f>
        <v>45816</v>
      </c>
      <c r="Q118" s="50">
        <f>Table46[[#This Row],[SACS]]-Table46[[#This Row],[Sacs déchirés]]</f>
        <v>589</v>
      </c>
      <c r="R118" s="50">
        <v>0</v>
      </c>
      <c r="S118" s="50">
        <v>35</v>
      </c>
      <c r="T118" s="50">
        <v>80</v>
      </c>
      <c r="U118" s="51">
        <f>Table46[[#This Row],[NET WT KGS]]-Table46[[#This Row],[Refraction]]</f>
        <v>45736</v>
      </c>
      <c r="V118" s="64">
        <v>485</v>
      </c>
      <c r="W118" s="52">
        <f>Table46[[#This Row],[PRICE]]*Table46[[#This Row],[PAID WT]]</f>
        <v>22181960</v>
      </c>
      <c r="X118" s="53">
        <v>9.1999999999999993</v>
      </c>
      <c r="Y118" s="54">
        <v>191</v>
      </c>
      <c r="Z118" s="53">
        <v>46.81</v>
      </c>
      <c r="AA118" s="55">
        <v>47.16</v>
      </c>
      <c r="AB118" s="50" t="s">
        <v>132</v>
      </c>
      <c r="AC118" s="56"/>
      <c r="AD118" s="63" t="s">
        <v>312</v>
      </c>
      <c r="AE118" s="18">
        <f>Table46[[#This Row],[MOIS.]]*Table46[[#This Row],[NET WT KGS]]</f>
        <v>421507.19999999995</v>
      </c>
      <c r="AF118" s="18">
        <f>Table46[[#This Row],[KOR]]*Table46[[#This Row],[NET WT KGS]]</f>
        <v>2144646.96</v>
      </c>
      <c r="AG118">
        <f>Table46[[#This Row],[NET WT KGS]]*Table46[[#This Row],[NUT COUNT]]</f>
        <v>8750856</v>
      </c>
      <c r="AI118" t="s">
        <v>381</v>
      </c>
      <c r="AJ118" t="s">
        <v>147</v>
      </c>
      <c r="AK118" t="s">
        <v>40</v>
      </c>
      <c r="AL118" s="58">
        <v>82736</v>
      </c>
      <c r="AM118" s="18"/>
      <c r="AN118" s="18"/>
      <c r="AO118" s="59"/>
    </row>
    <row r="119" spans="1:41" x14ac:dyDescent="0.35">
      <c r="A119" s="32">
        <f t="shared" si="9"/>
        <v>117</v>
      </c>
      <c r="B119" s="20">
        <v>46080</v>
      </c>
      <c r="C119" s="20">
        <v>46080</v>
      </c>
      <c r="D119" s="50" t="s">
        <v>38</v>
      </c>
      <c r="E119" s="50" t="s">
        <v>39</v>
      </c>
      <c r="F119" s="50" t="s">
        <v>62</v>
      </c>
      <c r="G119" s="10"/>
      <c r="H119" s="10" t="s">
        <v>128</v>
      </c>
      <c r="I119" s="10" t="s">
        <v>129</v>
      </c>
      <c r="J119" s="50" t="s">
        <v>382</v>
      </c>
      <c r="K119" s="33" t="s">
        <v>131</v>
      </c>
      <c r="L119" s="50">
        <v>853</v>
      </c>
      <c r="M119" s="10">
        <v>77593</v>
      </c>
      <c r="N119" s="50">
        <v>499</v>
      </c>
      <c r="O119" s="51">
        <f t="shared" ref="O119:O136" si="12">P119+N119</f>
        <v>39180</v>
      </c>
      <c r="P119" s="51">
        <f>39180-Table46[[#This Row],[SACS]]</f>
        <v>38681</v>
      </c>
      <c r="Q119" s="50">
        <f>Table46[[#This Row],[SACS]]-Table46[[#This Row],[Sacs déchirés]]</f>
        <v>488</v>
      </c>
      <c r="R119" s="50">
        <v>0</v>
      </c>
      <c r="S119" s="50">
        <v>11</v>
      </c>
      <c r="T119" s="50">
        <v>40</v>
      </c>
      <c r="U119" s="51">
        <f>Table46[[#This Row],[NET WT KGS]]-Table46[[#This Row],[Refraction]]</f>
        <v>38641</v>
      </c>
      <c r="V119" s="64">
        <v>490</v>
      </c>
      <c r="W119" s="52">
        <f>Table46[[#This Row],[PRICE]]*Table46[[#This Row],[PAID WT]]</f>
        <v>18934090</v>
      </c>
      <c r="X119" s="53">
        <v>8.5</v>
      </c>
      <c r="Y119" s="54">
        <v>188</v>
      </c>
      <c r="Z119" s="53">
        <v>48.92</v>
      </c>
      <c r="AA119" s="55">
        <v>48.22</v>
      </c>
      <c r="AB119" s="50" t="s">
        <v>132</v>
      </c>
      <c r="AC119" s="56"/>
      <c r="AD119" s="63" t="s">
        <v>312</v>
      </c>
      <c r="AE119" s="18">
        <f>Table46[[#This Row],[MOIS.]]*Table46[[#This Row],[NET WT KGS]]</f>
        <v>328788.5</v>
      </c>
      <c r="AF119" s="18">
        <f>Table46[[#This Row],[KOR]]*Table46[[#This Row],[NET WT KGS]]</f>
        <v>1892274.52</v>
      </c>
      <c r="AG119">
        <f>Table46[[#This Row],[NET WT KGS]]*Table46[[#This Row],[NUT COUNT]]</f>
        <v>7272028</v>
      </c>
      <c r="AI119" t="s">
        <v>383</v>
      </c>
      <c r="AJ119" t="s">
        <v>152</v>
      </c>
      <c r="AK119" t="s">
        <v>40</v>
      </c>
      <c r="AL119" s="58">
        <v>39628</v>
      </c>
      <c r="AM119" s="18"/>
      <c r="AN119" s="18"/>
      <c r="AO119" s="59"/>
    </row>
    <row r="120" spans="1:41" x14ac:dyDescent="0.35">
      <c r="A120" s="32">
        <f t="shared" si="9"/>
        <v>118</v>
      </c>
      <c r="B120" s="20">
        <v>46080</v>
      </c>
      <c r="C120" s="20">
        <v>46080</v>
      </c>
      <c r="D120" s="50" t="s">
        <v>38</v>
      </c>
      <c r="E120" s="50" t="s">
        <v>39</v>
      </c>
      <c r="F120" s="50" t="s">
        <v>62</v>
      </c>
      <c r="G120" s="10"/>
      <c r="H120" s="10" t="s">
        <v>128</v>
      </c>
      <c r="I120" s="10" t="s">
        <v>129</v>
      </c>
      <c r="J120" s="50" t="s">
        <v>384</v>
      </c>
      <c r="K120" s="33" t="s">
        <v>131</v>
      </c>
      <c r="L120" s="50">
        <v>856</v>
      </c>
      <c r="M120" s="10">
        <v>77591</v>
      </c>
      <c r="N120" s="50">
        <v>546</v>
      </c>
      <c r="O120" s="51">
        <f t="shared" si="12"/>
        <v>39560</v>
      </c>
      <c r="P120" s="51">
        <f>39560-Table46[[#This Row],[SACS]]</f>
        <v>39014</v>
      </c>
      <c r="Q120" s="50">
        <f>Table46[[#This Row],[SACS]]-Table46[[#This Row],[Sacs déchirés]]</f>
        <v>511</v>
      </c>
      <c r="R120" s="50">
        <v>0</v>
      </c>
      <c r="S120" s="50">
        <v>35</v>
      </c>
      <c r="T120" s="50">
        <v>60</v>
      </c>
      <c r="U120" s="51">
        <f>Table46[[#This Row],[NET WT KGS]]-Table46[[#This Row],[Refraction]]</f>
        <v>38954</v>
      </c>
      <c r="V120" s="64">
        <v>485</v>
      </c>
      <c r="W120" s="52">
        <f>Table46[[#This Row],[PRICE]]*Table46[[#This Row],[PAID WT]]</f>
        <v>18892690</v>
      </c>
      <c r="X120" s="53">
        <v>8.3000000000000007</v>
      </c>
      <c r="Y120" s="54">
        <v>181</v>
      </c>
      <c r="Z120" s="53">
        <v>46.11</v>
      </c>
      <c r="AA120" s="55">
        <v>46.28</v>
      </c>
      <c r="AB120" s="50" t="s">
        <v>132</v>
      </c>
      <c r="AC120" s="56"/>
      <c r="AD120" s="63" t="s">
        <v>312</v>
      </c>
      <c r="AE120" s="18">
        <f>Table46[[#This Row],[MOIS.]]*Table46[[#This Row],[NET WT KGS]]</f>
        <v>323816.2</v>
      </c>
      <c r="AF120" s="18">
        <f>Table46[[#This Row],[KOR]]*Table46[[#This Row],[NET WT KGS]]</f>
        <v>1798935.54</v>
      </c>
      <c r="AG120">
        <f>Table46[[#This Row],[NET WT KGS]]*Table46[[#This Row],[NUT COUNT]]</f>
        <v>7061534</v>
      </c>
      <c r="AI120" t="s">
        <v>385</v>
      </c>
      <c r="AJ120" t="s">
        <v>322</v>
      </c>
      <c r="AK120" t="s">
        <v>40</v>
      </c>
      <c r="AL120" s="58">
        <v>195711</v>
      </c>
      <c r="AM120" s="18"/>
      <c r="AN120" s="18"/>
      <c r="AO120" s="59"/>
    </row>
    <row r="121" spans="1:41" x14ac:dyDescent="0.35">
      <c r="A121" s="32">
        <f t="shared" si="9"/>
        <v>119</v>
      </c>
      <c r="B121" s="20">
        <v>46080</v>
      </c>
      <c r="C121" s="20">
        <v>46080</v>
      </c>
      <c r="D121" s="10" t="s">
        <v>38</v>
      </c>
      <c r="E121" s="10" t="s">
        <v>39</v>
      </c>
      <c r="F121" s="50" t="s">
        <v>40</v>
      </c>
      <c r="G121" s="10" t="s">
        <v>86</v>
      </c>
      <c r="H121" s="10" t="s">
        <v>123</v>
      </c>
      <c r="I121" s="10" t="s">
        <v>124</v>
      </c>
      <c r="J121" s="10" t="s">
        <v>386</v>
      </c>
      <c r="K121" s="21" t="s">
        <v>161</v>
      </c>
      <c r="L121" s="10">
        <v>795</v>
      </c>
      <c r="M121" s="10">
        <v>72587</v>
      </c>
      <c r="N121" s="10">
        <v>614</v>
      </c>
      <c r="O121" s="22">
        <f t="shared" si="12"/>
        <v>49920</v>
      </c>
      <c r="P121" s="22">
        <v>49306</v>
      </c>
      <c r="Q121" s="10">
        <v>601</v>
      </c>
      <c r="R121" s="50">
        <v>0</v>
      </c>
      <c r="S121" s="10">
        <v>13</v>
      </c>
      <c r="T121" s="10">
        <v>60</v>
      </c>
      <c r="U121" s="22">
        <f>Table46[[#This Row],[NET WT KGS]]-Table46[[#This Row],[Refraction]]</f>
        <v>49246</v>
      </c>
      <c r="V121" s="23">
        <v>475</v>
      </c>
      <c r="W121" s="23">
        <f>Table46[[#This Row],[PRICE]]*Table46[[#This Row],[PAID WT]]</f>
        <v>23391850</v>
      </c>
      <c r="X121" s="24">
        <v>7.1</v>
      </c>
      <c r="Y121" s="25">
        <v>185</v>
      </c>
      <c r="Z121" s="24">
        <v>46.55</v>
      </c>
      <c r="AA121" s="26"/>
      <c r="AB121" s="10" t="s">
        <v>342</v>
      </c>
      <c r="AC121" s="27"/>
      <c r="AD121" s="63" t="s">
        <v>312</v>
      </c>
      <c r="AE121" s="18">
        <f>Table46[[#This Row],[MOIS.]]*Table46[[#This Row],[NET WT KGS]]</f>
        <v>350072.6</v>
      </c>
      <c r="AF121" s="18">
        <f>Table46[[#This Row],[KOR]]*Table46[[#This Row],[NET WT KGS]]</f>
        <v>2295194.2999999998</v>
      </c>
      <c r="AG121">
        <f>Table46[[#This Row],[NET WT KGS]]*Table46[[#This Row],[NUT COUNT]]</f>
        <v>9121610</v>
      </c>
      <c r="AI121" t="s">
        <v>136</v>
      </c>
      <c r="AJ121" t="s">
        <v>137</v>
      </c>
      <c r="AK121" t="s">
        <v>40</v>
      </c>
      <c r="AL121" s="58">
        <v>920789</v>
      </c>
      <c r="AM121" s="18"/>
      <c r="AN121" s="18"/>
      <c r="AO121" s="59"/>
    </row>
    <row r="122" spans="1:41" x14ac:dyDescent="0.35">
      <c r="A122" s="32">
        <f t="shared" si="9"/>
        <v>120</v>
      </c>
      <c r="B122" s="20">
        <v>46080</v>
      </c>
      <c r="C122" s="20">
        <v>46080</v>
      </c>
      <c r="D122" s="10" t="s">
        <v>38</v>
      </c>
      <c r="E122" s="10" t="s">
        <v>39</v>
      </c>
      <c r="F122" s="50" t="s">
        <v>40</v>
      </c>
      <c r="G122" s="10" t="s">
        <v>350</v>
      </c>
      <c r="H122" s="10" t="s">
        <v>105</v>
      </c>
      <c r="I122" s="10" t="s">
        <v>106</v>
      </c>
      <c r="J122" s="10" t="s">
        <v>387</v>
      </c>
      <c r="K122" s="33" t="s">
        <v>108</v>
      </c>
      <c r="L122" s="10">
        <v>794</v>
      </c>
      <c r="M122" s="10">
        <v>68673</v>
      </c>
      <c r="N122" s="10">
        <v>498</v>
      </c>
      <c r="O122" s="22">
        <f t="shared" si="12"/>
        <v>42220</v>
      </c>
      <c r="P122" s="22">
        <v>41722</v>
      </c>
      <c r="Q122" s="10">
        <v>458</v>
      </c>
      <c r="R122" s="50">
        <v>0</v>
      </c>
      <c r="S122" s="10">
        <v>40</v>
      </c>
      <c r="T122" s="10">
        <v>100</v>
      </c>
      <c r="U122" s="22">
        <f>Table46[[#This Row],[NET WT KGS]]-Table46[[#This Row],[Refraction]]</f>
        <v>41622</v>
      </c>
      <c r="V122" s="23">
        <v>475</v>
      </c>
      <c r="W122" s="23">
        <f>Table46[[#This Row],[PRICE]]*Table46[[#This Row],[PAID WT]]</f>
        <v>19770450</v>
      </c>
      <c r="X122" s="24">
        <v>8.6</v>
      </c>
      <c r="Y122" s="25">
        <v>172</v>
      </c>
      <c r="Z122" s="24">
        <v>46.11</v>
      </c>
      <c r="AA122" s="26"/>
      <c r="AB122" s="10" t="s">
        <v>58</v>
      </c>
      <c r="AC122" s="27"/>
      <c r="AD122" s="63" t="s">
        <v>312</v>
      </c>
      <c r="AE122" s="18">
        <f>Table46[[#This Row],[MOIS.]]*Table46[[#This Row],[NET WT KGS]]</f>
        <v>358809.2</v>
      </c>
      <c r="AF122" s="18">
        <f>Table46[[#This Row],[KOR]]*Table46[[#This Row],[NET WT KGS]]</f>
        <v>1923801.42</v>
      </c>
      <c r="AG122">
        <f>Table46[[#This Row],[NET WT KGS]]*Table46[[#This Row],[NUT COUNT]]</f>
        <v>7176184</v>
      </c>
      <c r="AI122" t="s">
        <v>112</v>
      </c>
      <c r="AJ122" t="s">
        <v>113</v>
      </c>
      <c r="AK122" t="s">
        <v>40</v>
      </c>
      <c r="AL122" s="58">
        <v>1215934</v>
      </c>
      <c r="AM122" s="18"/>
      <c r="AN122" s="18"/>
      <c r="AO122" s="59"/>
    </row>
    <row r="123" spans="1:41" x14ac:dyDescent="0.35">
      <c r="A123" s="32">
        <f t="shared" si="9"/>
        <v>121</v>
      </c>
      <c r="B123" s="20">
        <v>46080</v>
      </c>
      <c r="C123" s="20">
        <v>46080</v>
      </c>
      <c r="D123" s="10" t="s">
        <v>38</v>
      </c>
      <c r="E123" s="10" t="s">
        <v>39</v>
      </c>
      <c r="F123" s="50" t="s">
        <v>40</v>
      </c>
      <c r="G123" s="10" t="s">
        <v>350</v>
      </c>
      <c r="H123" s="10" t="s">
        <v>87</v>
      </c>
      <c r="I123" s="10" t="s">
        <v>88</v>
      </c>
      <c r="J123" s="10" t="s">
        <v>388</v>
      </c>
      <c r="K123" s="33" t="s">
        <v>90</v>
      </c>
      <c r="L123" s="10">
        <v>793</v>
      </c>
      <c r="M123" s="10">
        <v>68651</v>
      </c>
      <c r="N123" s="10">
        <v>472</v>
      </c>
      <c r="O123" s="22">
        <f t="shared" si="12"/>
        <v>40420</v>
      </c>
      <c r="P123" s="22">
        <v>39948</v>
      </c>
      <c r="Q123" s="10">
        <v>467</v>
      </c>
      <c r="R123" s="50">
        <v>0</v>
      </c>
      <c r="S123" s="10">
        <v>5</v>
      </c>
      <c r="T123" s="10">
        <v>20</v>
      </c>
      <c r="U123" s="22">
        <f>Table46[[#This Row],[NET WT KGS]]-Table46[[#This Row],[Refraction]]</f>
        <v>39928</v>
      </c>
      <c r="V123" s="23">
        <v>475</v>
      </c>
      <c r="W123" s="23">
        <f>Table46[[#This Row],[PRICE]]*Table46[[#This Row],[PAID WT]]</f>
        <v>18965800</v>
      </c>
      <c r="X123" s="24">
        <v>8.1999999999999993</v>
      </c>
      <c r="Y123" s="25">
        <v>180</v>
      </c>
      <c r="Z123" s="24">
        <v>46.46</v>
      </c>
      <c r="AA123" s="26"/>
      <c r="AB123" s="10" t="s">
        <v>324</v>
      </c>
      <c r="AC123" s="27"/>
      <c r="AD123" s="63" t="s">
        <v>312</v>
      </c>
      <c r="AE123" s="18">
        <f>Table46[[#This Row],[MOIS.]]*Table46[[#This Row],[NET WT KGS]]</f>
        <v>327573.59999999998</v>
      </c>
      <c r="AF123" s="18">
        <f>Table46[[#This Row],[KOR]]*Table46[[#This Row],[NET WT KGS]]</f>
        <v>1855984.08</v>
      </c>
      <c r="AG123">
        <f>Table46[[#This Row],[NET WT KGS]]*Table46[[#This Row],[NUT COUNT]]</f>
        <v>7190640</v>
      </c>
      <c r="AI123" t="s">
        <v>118</v>
      </c>
      <c r="AJ123" t="s">
        <v>119</v>
      </c>
      <c r="AK123" t="s">
        <v>40</v>
      </c>
      <c r="AL123" s="58">
        <v>181797</v>
      </c>
      <c r="AM123" s="18"/>
      <c r="AN123" s="18"/>
      <c r="AO123" s="59"/>
    </row>
    <row r="124" spans="1:41" x14ac:dyDescent="0.35">
      <c r="A124" s="32">
        <f t="shared" si="9"/>
        <v>122</v>
      </c>
      <c r="B124" s="20">
        <v>46080</v>
      </c>
      <c r="C124" s="20">
        <v>46080</v>
      </c>
      <c r="D124" s="10" t="s">
        <v>38</v>
      </c>
      <c r="E124" s="10" t="s">
        <v>39</v>
      </c>
      <c r="F124" s="50" t="s">
        <v>40</v>
      </c>
      <c r="G124" s="10" t="s">
        <v>86</v>
      </c>
      <c r="H124" s="10" t="s">
        <v>202</v>
      </c>
      <c r="I124" s="10" t="s">
        <v>203</v>
      </c>
      <c r="J124" s="10" t="s">
        <v>204</v>
      </c>
      <c r="K124" s="33" t="s">
        <v>205</v>
      </c>
      <c r="L124" s="10">
        <v>791</v>
      </c>
      <c r="M124" s="10">
        <v>72548</v>
      </c>
      <c r="N124" s="10">
        <v>473</v>
      </c>
      <c r="O124" s="22">
        <f t="shared" si="12"/>
        <v>41640</v>
      </c>
      <c r="P124" s="22">
        <v>41167</v>
      </c>
      <c r="Q124" s="10">
        <v>462</v>
      </c>
      <c r="R124" s="50">
        <v>0</v>
      </c>
      <c r="S124" s="10">
        <v>11</v>
      </c>
      <c r="T124" s="10">
        <v>44</v>
      </c>
      <c r="U124" s="22">
        <f>Table46[[#This Row],[NET WT KGS]]-Table46[[#This Row],[Refraction]]</f>
        <v>41123</v>
      </c>
      <c r="V124" s="23">
        <v>475</v>
      </c>
      <c r="W124" s="23">
        <f>Table46[[#This Row],[PRICE]]*Table46[[#This Row],[PAID WT]]</f>
        <v>19533425</v>
      </c>
      <c r="X124" s="24">
        <v>8.9</v>
      </c>
      <c r="Y124" s="25">
        <v>183</v>
      </c>
      <c r="Z124" s="24">
        <v>46.37</v>
      </c>
      <c r="AA124" s="26"/>
      <c r="AB124" s="10" t="s">
        <v>46</v>
      </c>
      <c r="AC124" s="27"/>
      <c r="AD124" s="63" t="s">
        <v>312</v>
      </c>
      <c r="AE124" s="18">
        <f>Table46[[#This Row],[MOIS.]]*Table46[[#This Row],[NET WT KGS]]</f>
        <v>366386.3</v>
      </c>
      <c r="AF124" s="18">
        <f>Table46[[#This Row],[KOR]]*Table46[[#This Row],[NET WT KGS]]</f>
        <v>1908913.7899999998</v>
      </c>
      <c r="AG124">
        <f>Table46[[#This Row],[NET WT KGS]]*Table46[[#This Row],[NUT COUNT]]</f>
        <v>7533561</v>
      </c>
      <c r="AI124" t="s">
        <v>87</v>
      </c>
      <c r="AJ124" t="s">
        <v>88</v>
      </c>
      <c r="AK124" t="s">
        <v>40</v>
      </c>
      <c r="AL124" s="58">
        <v>739553</v>
      </c>
      <c r="AM124" s="18"/>
      <c r="AN124" s="18"/>
      <c r="AO124" s="59"/>
    </row>
    <row r="125" spans="1:41" x14ac:dyDescent="0.35">
      <c r="A125" s="32">
        <f t="shared" si="9"/>
        <v>123</v>
      </c>
      <c r="B125" s="20">
        <v>46080</v>
      </c>
      <c r="C125" s="20">
        <v>46080</v>
      </c>
      <c r="D125" s="10" t="s">
        <v>38</v>
      </c>
      <c r="E125" s="10" t="s">
        <v>39</v>
      </c>
      <c r="F125" s="50" t="s">
        <v>40</v>
      </c>
      <c r="G125" s="10" t="s">
        <v>350</v>
      </c>
      <c r="H125" s="10" t="s">
        <v>136</v>
      </c>
      <c r="I125" s="10" t="s">
        <v>137</v>
      </c>
      <c r="J125" s="10" t="s">
        <v>389</v>
      </c>
      <c r="K125" s="21" t="s">
        <v>139</v>
      </c>
      <c r="L125" s="10">
        <v>792</v>
      </c>
      <c r="M125" s="10">
        <v>72624</v>
      </c>
      <c r="N125" s="10">
        <v>475</v>
      </c>
      <c r="O125" s="22">
        <f t="shared" si="12"/>
        <v>41440</v>
      </c>
      <c r="P125" s="22">
        <v>40965</v>
      </c>
      <c r="Q125" s="10">
        <v>470</v>
      </c>
      <c r="R125" s="50">
        <v>0</v>
      </c>
      <c r="S125" s="10">
        <v>5</v>
      </c>
      <c r="T125" s="10">
        <v>20</v>
      </c>
      <c r="U125" s="22">
        <f>Table46[[#This Row],[NET WT KGS]]-Table46[[#This Row],[Refraction]]</f>
        <v>40945</v>
      </c>
      <c r="V125" s="23">
        <v>475</v>
      </c>
      <c r="W125" s="23">
        <f>Table46[[#This Row],[PRICE]]*Table46[[#This Row],[PAID WT]]</f>
        <v>19448875</v>
      </c>
      <c r="X125" s="24">
        <v>8.6999999999999993</v>
      </c>
      <c r="Y125" s="25">
        <v>170</v>
      </c>
      <c r="Z125" s="24">
        <v>46.37</v>
      </c>
      <c r="AA125" s="26"/>
      <c r="AB125" s="10" t="s">
        <v>140</v>
      </c>
      <c r="AC125" s="27"/>
      <c r="AD125" s="63" t="s">
        <v>312</v>
      </c>
      <c r="AE125" s="18">
        <f>Table46[[#This Row],[MOIS.]]*Table46[[#This Row],[NET WT KGS]]</f>
        <v>356395.5</v>
      </c>
      <c r="AF125" s="18">
        <f>Table46[[#This Row],[KOR]]*Table46[[#This Row],[NET WT KGS]]</f>
        <v>1899547.0499999998</v>
      </c>
      <c r="AG125">
        <f>Table46[[#This Row],[NET WT KGS]]*Table46[[#This Row],[NUT COUNT]]</f>
        <v>6964050</v>
      </c>
      <c r="AI125" s="60" t="s">
        <v>390</v>
      </c>
      <c r="AJ125" t="s">
        <v>99</v>
      </c>
      <c r="AK125" t="s">
        <v>40</v>
      </c>
      <c r="AL125" s="1">
        <v>0</v>
      </c>
      <c r="AM125" s="18"/>
      <c r="AN125" s="18"/>
      <c r="AO125" s="59"/>
    </row>
    <row r="126" spans="1:41" x14ac:dyDescent="0.35">
      <c r="A126" s="32">
        <f t="shared" si="9"/>
        <v>124</v>
      </c>
      <c r="B126" s="20">
        <v>46080</v>
      </c>
      <c r="C126" s="20">
        <v>46080</v>
      </c>
      <c r="D126" s="10" t="s">
        <v>38</v>
      </c>
      <c r="E126" s="10" t="s">
        <v>39</v>
      </c>
      <c r="F126" s="50" t="s">
        <v>40</v>
      </c>
      <c r="G126" s="10" t="s">
        <v>41</v>
      </c>
      <c r="H126" s="10" t="s">
        <v>74</v>
      </c>
      <c r="I126" s="10" t="s">
        <v>75</v>
      </c>
      <c r="J126" s="10" t="s">
        <v>227</v>
      </c>
      <c r="K126" s="33" t="s">
        <v>77</v>
      </c>
      <c r="L126" s="10">
        <v>790</v>
      </c>
      <c r="M126" s="10">
        <v>68698</v>
      </c>
      <c r="N126" s="10">
        <v>544</v>
      </c>
      <c r="O126" s="22">
        <f t="shared" si="12"/>
        <v>48260</v>
      </c>
      <c r="P126" s="22">
        <v>47716</v>
      </c>
      <c r="Q126" s="10">
        <v>536</v>
      </c>
      <c r="R126" s="50">
        <v>0</v>
      </c>
      <c r="S126" s="10">
        <v>8</v>
      </c>
      <c r="T126" s="10">
        <v>32</v>
      </c>
      <c r="U126" s="22">
        <f>Table46[[#This Row],[NET WT KGS]]-Table46[[#This Row],[Refraction]]</f>
        <v>47684</v>
      </c>
      <c r="V126" s="23">
        <v>480</v>
      </c>
      <c r="W126" s="23">
        <f>Table46[[#This Row],[PRICE]]*Table46[[#This Row],[PAID WT]]</f>
        <v>22888320</v>
      </c>
      <c r="X126" s="24">
        <v>10.4</v>
      </c>
      <c r="Y126" s="25">
        <v>161</v>
      </c>
      <c r="Z126" s="24">
        <v>48.22</v>
      </c>
      <c r="AA126" s="26"/>
      <c r="AB126" s="10" t="s">
        <v>78</v>
      </c>
      <c r="AC126" s="27"/>
      <c r="AD126" s="63" t="s">
        <v>312</v>
      </c>
      <c r="AE126" s="18">
        <f>Table46[[#This Row],[MOIS.]]*Table46[[#This Row],[NET WT KGS]]</f>
        <v>496246.4</v>
      </c>
      <c r="AF126" s="18">
        <f>Table46[[#This Row],[KOR]]*Table46[[#This Row],[NET WT KGS]]</f>
        <v>2300865.52</v>
      </c>
      <c r="AG126">
        <f>Table46[[#This Row],[NET WT KGS]]*Table46[[#This Row],[NUT COUNT]]</f>
        <v>7682276</v>
      </c>
      <c r="AI126" t="s">
        <v>391</v>
      </c>
      <c r="AJ126" t="s">
        <v>175</v>
      </c>
      <c r="AK126" t="s">
        <v>40</v>
      </c>
      <c r="AL126" s="58">
        <v>49937</v>
      </c>
      <c r="AM126" s="18"/>
      <c r="AN126" s="18"/>
      <c r="AO126" s="59"/>
    </row>
    <row r="127" spans="1:41" x14ac:dyDescent="0.35">
      <c r="A127" s="32">
        <f t="shared" si="9"/>
        <v>125</v>
      </c>
      <c r="B127" s="20">
        <v>46080</v>
      </c>
      <c r="C127" s="20">
        <v>46080</v>
      </c>
      <c r="D127" s="10" t="s">
        <v>38</v>
      </c>
      <c r="E127" s="10" t="s">
        <v>39</v>
      </c>
      <c r="F127" s="50" t="s">
        <v>40</v>
      </c>
      <c r="G127" s="10" t="s">
        <v>350</v>
      </c>
      <c r="H127" s="10" t="s">
        <v>338</v>
      </c>
      <c r="I127" s="50" t="s">
        <v>317</v>
      </c>
      <c r="J127" s="10" t="s">
        <v>339</v>
      </c>
      <c r="K127" s="57" t="s">
        <v>340</v>
      </c>
      <c r="L127" s="10">
        <v>789</v>
      </c>
      <c r="M127" s="10">
        <v>68693</v>
      </c>
      <c r="N127" s="10">
        <v>443</v>
      </c>
      <c r="O127" s="22">
        <f t="shared" si="12"/>
        <v>39060</v>
      </c>
      <c r="P127" s="22">
        <v>38617</v>
      </c>
      <c r="Q127" s="10">
        <v>433</v>
      </c>
      <c r="R127" s="50">
        <v>0</v>
      </c>
      <c r="S127" s="10">
        <v>10</v>
      </c>
      <c r="T127" s="10">
        <v>40</v>
      </c>
      <c r="U127" s="22">
        <f>Table46[[#This Row],[NET WT KGS]]-Table46[[#This Row],[Refraction]]</f>
        <v>38577</v>
      </c>
      <c r="V127" s="23">
        <v>475</v>
      </c>
      <c r="W127" s="23">
        <f>Table46[[#This Row],[PRICE]]*Table46[[#This Row],[PAID WT]]</f>
        <v>18324075</v>
      </c>
      <c r="X127" s="24">
        <v>9.8000000000000007</v>
      </c>
      <c r="Y127" s="25">
        <v>162</v>
      </c>
      <c r="Z127" s="24">
        <v>46.02</v>
      </c>
      <c r="AA127" s="26"/>
      <c r="AB127" s="10" t="s">
        <v>284</v>
      </c>
      <c r="AC127" s="27"/>
      <c r="AD127" s="63" t="s">
        <v>312</v>
      </c>
      <c r="AE127" s="18">
        <f>Table46[[#This Row],[MOIS.]]*Table46[[#This Row],[NET WT KGS]]</f>
        <v>378446.60000000003</v>
      </c>
      <c r="AF127" s="18">
        <f>Table46[[#This Row],[KOR]]*Table46[[#This Row],[NET WT KGS]]</f>
        <v>1777154.34</v>
      </c>
      <c r="AG127">
        <f>Table46[[#This Row],[NET WT KGS]]*Table46[[#This Row],[NUT COUNT]]</f>
        <v>6255954</v>
      </c>
      <c r="AI127" t="s">
        <v>392</v>
      </c>
      <c r="AJ127" t="s">
        <v>183</v>
      </c>
      <c r="AK127" t="s">
        <v>40</v>
      </c>
      <c r="AL127" s="58">
        <v>94626</v>
      </c>
      <c r="AM127" s="18"/>
      <c r="AN127" s="18"/>
      <c r="AO127" s="59"/>
    </row>
    <row r="128" spans="1:41" x14ac:dyDescent="0.35">
      <c r="A128" s="32">
        <f t="shared" si="9"/>
        <v>126</v>
      </c>
      <c r="B128" s="35">
        <v>46080</v>
      </c>
      <c r="C128" s="35">
        <f>Table46[[#This Row],[DATE OF ARRIVAL]]</f>
        <v>46080</v>
      </c>
      <c r="D128" s="36" t="s">
        <v>38</v>
      </c>
      <c r="E128" s="36" t="s">
        <v>39</v>
      </c>
      <c r="F128" s="36" t="s">
        <v>62</v>
      </c>
      <c r="G128" s="36"/>
      <c r="H128" s="36" t="s">
        <v>54</v>
      </c>
      <c r="I128" s="36" t="s">
        <v>55</v>
      </c>
      <c r="J128" s="36" t="s">
        <v>393</v>
      </c>
      <c r="K128" s="36"/>
      <c r="L128" s="36"/>
      <c r="M128" s="36"/>
      <c r="N128" s="36"/>
      <c r="O128" s="37">
        <f t="shared" si="12"/>
        <v>0</v>
      </c>
      <c r="P128" s="37"/>
      <c r="Q128" s="36"/>
      <c r="R128" s="36"/>
      <c r="S128" s="36"/>
      <c r="T128" s="36"/>
      <c r="U128" s="37">
        <f>Table46[[#This Row],[NET WT KGS]]-Table46[[#This Row],[Refraction]]</f>
        <v>0</v>
      </c>
      <c r="V128" s="38"/>
      <c r="W128" s="38">
        <f>Table46[[#This Row],[PRICE]]*Table46[[#This Row],[PAID WT]]</f>
        <v>0</v>
      </c>
      <c r="X128" s="39">
        <v>8.6</v>
      </c>
      <c r="Y128" s="40">
        <v>171</v>
      </c>
      <c r="Z128" s="39">
        <v>44.7</v>
      </c>
      <c r="AA128" s="41"/>
      <c r="AB128" s="36" t="s">
        <v>58</v>
      </c>
      <c r="AC128" s="42" t="s">
        <v>70</v>
      </c>
      <c r="AD128" s="63"/>
      <c r="AE128" s="18">
        <f>Table46[[#This Row],[MOIS.]]*Table46[[#This Row],[NET WT KGS]]</f>
        <v>0</v>
      </c>
      <c r="AF128" s="18">
        <f>Table46[[#This Row],[KOR]]*Table46[[#This Row],[NET WT KGS]]</f>
        <v>0</v>
      </c>
      <c r="AG128">
        <f>Table46[[#This Row],[NET WT KGS]]*Table46[[#This Row],[NUT COUNT]]</f>
        <v>0</v>
      </c>
      <c r="AI128" t="s">
        <v>394</v>
      </c>
      <c r="AJ128" t="s">
        <v>188</v>
      </c>
      <c r="AK128" t="s">
        <v>40</v>
      </c>
      <c r="AL128" s="58">
        <v>39814</v>
      </c>
      <c r="AM128" s="18">
        <v>29619020</v>
      </c>
      <c r="AN128" s="18" t="e">
        <f>VLOOKUP(AJ128,[1]AGING!Y$3:AE$30,4,0)</f>
        <v>#N/A</v>
      </c>
      <c r="AO128" s="59" t="e">
        <f t="shared" ref="AO128:AO129" si="13">AM128-AN128</f>
        <v>#N/A</v>
      </c>
    </row>
    <row r="129" spans="1:61" x14ac:dyDescent="0.35">
      <c r="A129" s="32">
        <f t="shared" si="9"/>
        <v>127</v>
      </c>
      <c r="B129" s="35">
        <v>46080</v>
      </c>
      <c r="C129" s="35">
        <f>Table46[[#This Row],[DATE OF ARRIVAL]]</f>
        <v>46080</v>
      </c>
      <c r="D129" s="36" t="s">
        <v>38</v>
      </c>
      <c r="E129" s="36" t="s">
        <v>39</v>
      </c>
      <c r="F129" s="36" t="s">
        <v>62</v>
      </c>
      <c r="G129" s="36"/>
      <c r="H129" s="36" t="s">
        <v>118</v>
      </c>
      <c r="I129" s="36" t="s">
        <v>119</v>
      </c>
      <c r="J129" s="36" t="s">
        <v>395</v>
      </c>
      <c r="K129" s="36"/>
      <c r="L129" s="36"/>
      <c r="M129" s="36"/>
      <c r="N129" s="36"/>
      <c r="O129" s="37">
        <f t="shared" si="12"/>
        <v>0</v>
      </c>
      <c r="P129" s="37"/>
      <c r="Q129" s="36"/>
      <c r="R129" s="36"/>
      <c r="S129" s="36"/>
      <c r="T129" s="36"/>
      <c r="U129" s="37">
        <f>Table46[[#This Row],[NET WT KGS]]-Table46[[#This Row],[Refraction]]</f>
        <v>0</v>
      </c>
      <c r="V129" s="38"/>
      <c r="W129" s="38">
        <f>Table46[[#This Row],[PRICE]]*Table46[[#This Row],[PAID WT]]</f>
        <v>0</v>
      </c>
      <c r="X129" s="39">
        <v>8.4</v>
      </c>
      <c r="Y129" s="40">
        <v>181</v>
      </c>
      <c r="Z129" s="39">
        <v>44.35</v>
      </c>
      <c r="AA129" s="41"/>
      <c r="AB129" s="36" t="s">
        <v>46</v>
      </c>
      <c r="AC129" s="42" t="s">
        <v>70</v>
      </c>
      <c r="AD129" s="63"/>
      <c r="AE129" s="18">
        <f>Table46[[#This Row],[MOIS.]]*Table46[[#This Row],[NET WT KGS]]</f>
        <v>0</v>
      </c>
      <c r="AF129" s="18">
        <f>Table46[[#This Row],[KOR]]*Table46[[#This Row],[NET WT KGS]]</f>
        <v>0</v>
      </c>
      <c r="AG129">
        <f>Table46[[#This Row],[NET WT KGS]]*Table46[[#This Row],[NUT COUNT]]</f>
        <v>0</v>
      </c>
      <c r="AI129" t="s">
        <v>396</v>
      </c>
      <c r="AJ129" t="s">
        <v>162</v>
      </c>
      <c r="AK129" t="s">
        <v>40</v>
      </c>
      <c r="AL129" s="58">
        <v>38257</v>
      </c>
      <c r="AM129" s="18">
        <v>23550380</v>
      </c>
      <c r="AN129" s="18" t="e">
        <f>VLOOKUP(AJ129,[1]AGING!Y$3:AE$30,4,0)</f>
        <v>#N/A</v>
      </c>
      <c r="AO129" s="59" t="e">
        <f t="shared" si="13"/>
        <v>#N/A</v>
      </c>
    </row>
    <row r="130" spans="1:61" x14ac:dyDescent="0.35">
      <c r="A130" s="32">
        <f t="shared" si="9"/>
        <v>128</v>
      </c>
      <c r="B130" s="20">
        <v>46081</v>
      </c>
      <c r="C130" s="20">
        <v>46081</v>
      </c>
      <c r="D130" s="10" t="s">
        <v>38</v>
      </c>
      <c r="E130" s="10" t="s">
        <v>39</v>
      </c>
      <c r="F130" s="50" t="s">
        <v>40</v>
      </c>
      <c r="G130" s="10" t="s">
        <v>86</v>
      </c>
      <c r="H130" s="10" t="s">
        <v>123</v>
      </c>
      <c r="I130" s="10" t="s">
        <v>124</v>
      </c>
      <c r="J130" s="10" t="s">
        <v>125</v>
      </c>
      <c r="K130" s="21" t="s">
        <v>161</v>
      </c>
      <c r="L130" s="10">
        <v>797</v>
      </c>
      <c r="M130" s="10">
        <v>68683</v>
      </c>
      <c r="N130" s="10">
        <v>589</v>
      </c>
      <c r="O130" s="22">
        <f t="shared" si="12"/>
        <v>42860</v>
      </c>
      <c r="P130" s="22">
        <v>42271</v>
      </c>
      <c r="Q130" s="10">
        <v>573</v>
      </c>
      <c r="R130" s="50">
        <v>0</v>
      </c>
      <c r="S130" s="10">
        <v>16</v>
      </c>
      <c r="T130" s="10">
        <v>60</v>
      </c>
      <c r="U130" s="22">
        <f>Table46[[#This Row],[NET WT KGS]]-Table46[[#This Row],[Refraction]]</f>
        <v>42211</v>
      </c>
      <c r="V130" s="23">
        <v>475</v>
      </c>
      <c r="W130" s="23">
        <f>Table46[[#This Row],[PRICE]]*Table46[[#This Row],[PAID WT]]</f>
        <v>20050225</v>
      </c>
      <c r="X130" s="24">
        <v>9.6999999999999993</v>
      </c>
      <c r="Y130" s="25">
        <v>177</v>
      </c>
      <c r="Z130" s="24">
        <v>47.08</v>
      </c>
      <c r="AA130" s="26"/>
      <c r="AB130" s="10" t="s">
        <v>355</v>
      </c>
      <c r="AC130" s="27"/>
      <c r="AD130" s="63" t="s">
        <v>312</v>
      </c>
      <c r="AE130" s="18">
        <f>Table46[[#This Row],[MOIS.]]*Table46[[#This Row],[NET WT KGS]]</f>
        <v>410028.69999999995</v>
      </c>
      <c r="AF130" s="18">
        <f>Table46[[#This Row],[KOR]]*Table46[[#This Row],[NET WT KGS]]</f>
        <v>1990118.68</v>
      </c>
      <c r="AG130">
        <f>Table46[[#This Row],[NET WT KGS]]*Table46[[#This Row],[NUT COUNT]]</f>
        <v>7481967</v>
      </c>
      <c r="AI130" t="s">
        <v>397</v>
      </c>
      <c r="AJ130" t="s">
        <v>197</v>
      </c>
      <c r="AK130" t="s">
        <v>40</v>
      </c>
      <c r="AL130" s="58">
        <v>38152</v>
      </c>
    </row>
    <row r="131" spans="1:61" x14ac:dyDescent="0.35">
      <c r="A131" s="32">
        <f t="shared" si="9"/>
        <v>129</v>
      </c>
      <c r="B131" s="20">
        <v>46081</v>
      </c>
      <c r="C131" s="20">
        <v>46081</v>
      </c>
      <c r="D131" s="10" t="s">
        <v>38</v>
      </c>
      <c r="E131" s="10" t="s">
        <v>39</v>
      </c>
      <c r="F131" s="50" t="s">
        <v>40</v>
      </c>
      <c r="G131" s="10" t="s">
        <v>350</v>
      </c>
      <c r="H131" s="10" t="s">
        <v>123</v>
      </c>
      <c r="I131" s="10" t="s">
        <v>124</v>
      </c>
      <c r="J131" s="50" t="s">
        <v>354</v>
      </c>
      <c r="K131" s="21" t="s">
        <v>161</v>
      </c>
      <c r="L131" s="10">
        <v>1202</v>
      </c>
      <c r="M131" s="10">
        <v>68681</v>
      </c>
      <c r="N131" s="10">
        <v>518</v>
      </c>
      <c r="O131" s="22">
        <f t="shared" si="12"/>
        <v>39240</v>
      </c>
      <c r="P131" s="22">
        <v>38722</v>
      </c>
      <c r="Q131" s="10">
        <v>505</v>
      </c>
      <c r="R131" s="50">
        <v>0</v>
      </c>
      <c r="S131" s="10">
        <v>13</v>
      </c>
      <c r="T131" s="10">
        <v>40</v>
      </c>
      <c r="U131" s="22">
        <f>Table46[[#This Row],[NET WT KGS]]-Table46[[#This Row],[Refraction]]</f>
        <v>38682</v>
      </c>
      <c r="V131" s="23">
        <v>480</v>
      </c>
      <c r="W131" s="23">
        <f>Table46[[#This Row],[PRICE]]*Table46[[#This Row],[PAID WT]]</f>
        <v>18567360</v>
      </c>
      <c r="X131" s="24">
        <v>10</v>
      </c>
      <c r="Y131" s="25">
        <v>178</v>
      </c>
      <c r="Z131" s="24">
        <v>47.6</v>
      </c>
      <c r="AA131" s="26"/>
      <c r="AB131" s="10" t="s">
        <v>398</v>
      </c>
      <c r="AC131" s="27"/>
      <c r="AD131" s="63" t="s">
        <v>312</v>
      </c>
      <c r="AE131" s="18">
        <f>Table46[[#This Row],[MOIS.]]*Table46[[#This Row],[NET WT KGS]]</f>
        <v>387220</v>
      </c>
      <c r="AF131" s="18">
        <f>Table46[[#This Row],[KOR]]*Table46[[#This Row],[NET WT KGS]]</f>
        <v>1843167.2</v>
      </c>
      <c r="AG131">
        <f>Table46[[#This Row],[NET WT KGS]]*Table46[[#This Row],[NUT COUNT]]</f>
        <v>6892516</v>
      </c>
      <c r="AI131" t="s">
        <v>399</v>
      </c>
      <c r="AJ131" t="s">
        <v>200</v>
      </c>
      <c r="AK131" t="s">
        <v>40</v>
      </c>
      <c r="AL131" s="58">
        <v>61876</v>
      </c>
    </row>
    <row r="132" spans="1:61" x14ac:dyDescent="0.35">
      <c r="A132" s="32">
        <f t="shared" ref="A132:A195" si="14">A131+1</f>
        <v>130</v>
      </c>
      <c r="B132" s="20">
        <v>46081</v>
      </c>
      <c r="C132" s="20">
        <v>46081</v>
      </c>
      <c r="D132" s="10" t="s">
        <v>38</v>
      </c>
      <c r="E132" s="10" t="s">
        <v>39</v>
      </c>
      <c r="F132" s="50" t="s">
        <v>40</v>
      </c>
      <c r="G132" s="10" t="s">
        <v>86</v>
      </c>
      <c r="H132" s="10" t="s">
        <v>235</v>
      </c>
      <c r="I132" s="10" t="s">
        <v>236</v>
      </c>
      <c r="J132" s="10" t="s">
        <v>400</v>
      </c>
      <c r="K132" s="33" t="s">
        <v>238</v>
      </c>
      <c r="L132" s="10">
        <v>800</v>
      </c>
      <c r="M132" s="10">
        <v>68665</v>
      </c>
      <c r="N132" s="10">
        <v>470</v>
      </c>
      <c r="O132" s="22">
        <f t="shared" si="12"/>
        <v>35140</v>
      </c>
      <c r="P132" s="22">
        <v>34670</v>
      </c>
      <c r="Q132" s="10">
        <v>447</v>
      </c>
      <c r="R132" s="50">
        <v>0</v>
      </c>
      <c r="S132" s="10">
        <v>23</v>
      </c>
      <c r="T132" s="10">
        <v>60</v>
      </c>
      <c r="U132" s="22">
        <f>Table46[[#This Row],[NET WT KGS]]-Table46[[#This Row],[Refraction]]</f>
        <v>34610</v>
      </c>
      <c r="V132" s="23">
        <v>475</v>
      </c>
      <c r="W132" s="23">
        <f>Table46[[#This Row],[PRICE]]*Table46[[#This Row],[PAID WT]]</f>
        <v>16439750</v>
      </c>
      <c r="X132" s="24">
        <v>7.7</v>
      </c>
      <c r="Y132" s="25">
        <v>166</v>
      </c>
      <c r="Z132" s="24">
        <v>46.11</v>
      </c>
      <c r="AA132" s="26"/>
      <c r="AB132" s="10" t="s">
        <v>58</v>
      </c>
      <c r="AC132" s="27"/>
      <c r="AD132" s="63" t="s">
        <v>312</v>
      </c>
      <c r="AE132" s="18">
        <f>Table46[[#This Row],[MOIS.]]*Table46[[#This Row],[NET WT KGS]]</f>
        <v>266959</v>
      </c>
      <c r="AF132" s="18">
        <f>Table46[[#This Row],[KOR]]*Table46[[#This Row],[NET WT KGS]]</f>
        <v>1598633.7</v>
      </c>
      <c r="AG132">
        <f>Table46[[#This Row],[NET WT KGS]]*Table46[[#This Row],[NUT COUNT]]</f>
        <v>5755220</v>
      </c>
      <c r="AI132" t="s">
        <v>401</v>
      </c>
      <c r="AJ132" t="s">
        <v>206</v>
      </c>
      <c r="AK132" t="s">
        <v>40</v>
      </c>
      <c r="AL132" s="58">
        <v>40421</v>
      </c>
    </row>
    <row r="133" spans="1:61" x14ac:dyDescent="0.35">
      <c r="A133" s="32">
        <f t="shared" si="14"/>
        <v>131</v>
      </c>
      <c r="B133" s="20">
        <v>46081</v>
      </c>
      <c r="C133" s="20">
        <v>46081</v>
      </c>
      <c r="D133" s="10" t="s">
        <v>38</v>
      </c>
      <c r="E133" s="10" t="s">
        <v>39</v>
      </c>
      <c r="F133" s="50" t="s">
        <v>40</v>
      </c>
      <c r="G133" s="10" t="s">
        <v>86</v>
      </c>
      <c r="H133" s="10" t="s">
        <v>280</v>
      </c>
      <c r="I133" s="10" t="s">
        <v>281</v>
      </c>
      <c r="J133" s="10" t="s">
        <v>282</v>
      </c>
      <c r="K133" s="21" t="s">
        <v>283</v>
      </c>
      <c r="L133" s="10">
        <v>798</v>
      </c>
      <c r="M133" s="10">
        <v>72596</v>
      </c>
      <c r="N133" s="10">
        <v>643</v>
      </c>
      <c r="O133" s="22">
        <f t="shared" si="12"/>
        <v>44220</v>
      </c>
      <c r="P133" s="22">
        <v>43577</v>
      </c>
      <c r="Q133" s="10">
        <v>634</v>
      </c>
      <c r="R133" s="50">
        <v>0</v>
      </c>
      <c r="S133" s="10">
        <v>9</v>
      </c>
      <c r="T133" s="10">
        <v>36</v>
      </c>
      <c r="U133" s="22">
        <f>Table46[[#This Row],[NET WT KGS]]-Table46[[#This Row],[Refraction]]</f>
        <v>43541</v>
      </c>
      <c r="V133" s="23">
        <v>480</v>
      </c>
      <c r="W133" s="23">
        <f>Table46[[#This Row],[PRICE]]*Table46[[#This Row],[PAID WT]]</f>
        <v>20899680</v>
      </c>
      <c r="X133" s="24">
        <v>8.6</v>
      </c>
      <c r="Y133" s="25">
        <v>172</v>
      </c>
      <c r="Z133" s="24">
        <v>48.57</v>
      </c>
      <c r="AA133" s="26"/>
      <c r="AB133" s="10" t="s">
        <v>284</v>
      </c>
      <c r="AC133" s="27"/>
      <c r="AD133" s="63" t="s">
        <v>312</v>
      </c>
      <c r="AE133" s="18">
        <f>Table46[[#This Row],[MOIS.]]*Table46[[#This Row],[NET WT KGS]]</f>
        <v>374762.2</v>
      </c>
      <c r="AF133" s="18">
        <f>Table46[[#This Row],[KOR]]*Table46[[#This Row],[NET WT KGS]]</f>
        <v>2116534.89</v>
      </c>
      <c r="AG133">
        <f>Table46[[#This Row],[NET WT KGS]]*Table46[[#This Row],[NUT COUNT]]</f>
        <v>7495244</v>
      </c>
      <c r="AI133" t="s">
        <v>402</v>
      </c>
      <c r="AJ133" t="s">
        <v>209</v>
      </c>
      <c r="AK133" t="s">
        <v>40</v>
      </c>
      <c r="AL133" s="58">
        <v>41535</v>
      </c>
    </row>
    <row r="134" spans="1:61" x14ac:dyDescent="0.35">
      <c r="A134" s="32">
        <f t="shared" si="14"/>
        <v>132</v>
      </c>
      <c r="B134" s="20">
        <v>46081</v>
      </c>
      <c r="C134" s="20">
        <v>46081</v>
      </c>
      <c r="D134" s="10" t="s">
        <v>38</v>
      </c>
      <c r="E134" s="10" t="s">
        <v>39</v>
      </c>
      <c r="F134" s="50" t="s">
        <v>40</v>
      </c>
      <c r="G134" s="10" t="s">
        <v>350</v>
      </c>
      <c r="H134" s="10" t="s">
        <v>87</v>
      </c>
      <c r="I134" s="10" t="s">
        <v>88</v>
      </c>
      <c r="J134" s="10" t="s">
        <v>149</v>
      </c>
      <c r="K134" s="33" t="s">
        <v>90</v>
      </c>
      <c r="L134" s="10">
        <v>1201</v>
      </c>
      <c r="M134" s="10">
        <v>68654</v>
      </c>
      <c r="N134" s="10">
        <v>506</v>
      </c>
      <c r="O134" s="22">
        <f t="shared" si="12"/>
        <v>40980</v>
      </c>
      <c r="P134" s="22">
        <v>40474</v>
      </c>
      <c r="Q134" s="10">
        <v>501</v>
      </c>
      <c r="R134" s="50">
        <v>0</v>
      </c>
      <c r="S134" s="10">
        <v>5</v>
      </c>
      <c r="T134" s="10">
        <v>20</v>
      </c>
      <c r="U134" s="22">
        <f>Table46[[#This Row],[NET WT KGS]]-Table46[[#This Row],[Refraction]]</f>
        <v>40454</v>
      </c>
      <c r="V134" s="23">
        <v>475</v>
      </c>
      <c r="W134" s="23">
        <f>Table46[[#This Row],[PRICE]]*Table46[[#This Row],[PAID WT]]</f>
        <v>19215650</v>
      </c>
      <c r="X134" s="24">
        <v>9.3000000000000007</v>
      </c>
      <c r="Y134" s="25">
        <v>180</v>
      </c>
      <c r="Z134" s="24">
        <v>46.28</v>
      </c>
      <c r="AA134" s="26"/>
      <c r="AB134" s="10" t="s">
        <v>132</v>
      </c>
      <c r="AC134" s="27"/>
      <c r="AD134" s="63" t="s">
        <v>312</v>
      </c>
      <c r="AE134" s="18">
        <f>Table46[[#This Row],[MOIS.]]*Table46[[#This Row],[NET WT KGS]]</f>
        <v>376408.2</v>
      </c>
      <c r="AF134" s="18">
        <f>Table46[[#This Row],[KOR]]*Table46[[#This Row],[NET WT KGS]]</f>
        <v>1873136.72</v>
      </c>
      <c r="AG134">
        <f>Table46[[#This Row],[NET WT KGS]]*Table46[[#This Row],[NUT COUNT]]</f>
        <v>7285320</v>
      </c>
      <c r="AI134" t="s">
        <v>403</v>
      </c>
      <c r="AJ134" t="s">
        <v>228</v>
      </c>
      <c r="AK134" t="s">
        <v>40</v>
      </c>
      <c r="AL134" s="58">
        <v>89660</v>
      </c>
    </row>
    <row r="135" spans="1:61" x14ac:dyDescent="0.35">
      <c r="A135" s="32">
        <f t="shared" si="14"/>
        <v>133</v>
      </c>
      <c r="B135" s="20">
        <v>46081</v>
      </c>
      <c r="C135" s="20">
        <v>46081</v>
      </c>
      <c r="D135" s="10" t="s">
        <v>38</v>
      </c>
      <c r="E135" s="10" t="s">
        <v>39</v>
      </c>
      <c r="F135" s="50" t="s">
        <v>40</v>
      </c>
      <c r="G135" s="10" t="s">
        <v>86</v>
      </c>
      <c r="H135" s="10" t="s">
        <v>123</v>
      </c>
      <c r="I135" s="10" t="s">
        <v>124</v>
      </c>
      <c r="J135" s="10" t="s">
        <v>321</v>
      </c>
      <c r="K135" s="21" t="s">
        <v>161</v>
      </c>
      <c r="L135" s="10">
        <v>799</v>
      </c>
      <c r="M135" s="10">
        <v>72626</v>
      </c>
      <c r="N135" s="10">
        <v>551</v>
      </c>
      <c r="O135" s="22">
        <f t="shared" si="12"/>
        <v>46260</v>
      </c>
      <c r="P135" s="22">
        <v>45709</v>
      </c>
      <c r="Q135" s="10">
        <v>535</v>
      </c>
      <c r="R135" s="50">
        <v>0</v>
      </c>
      <c r="S135" s="10">
        <v>16</v>
      </c>
      <c r="T135" s="10">
        <v>60</v>
      </c>
      <c r="U135" s="22">
        <f>Table46[[#This Row],[NET WT KGS]]-Table46[[#This Row],[Refraction]]</f>
        <v>45649</v>
      </c>
      <c r="V135" s="23">
        <v>475</v>
      </c>
      <c r="W135" s="23">
        <f>Table46[[#This Row],[PRICE]]*Table46[[#This Row],[PAID WT]]</f>
        <v>21683275</v>
      </c>
      <c r="X135" s="24">
        <v>8.6</v>
      </c>
      <c r="Y135" s="25">
        <v>182</v>
      </c>
      <c r="Z135" s="24">
        <v>46.81</v>
      </c>
      <c r="AA135" s="26"/>
      <c r="AB135" s="10" t="s">
        <v>58</v>
      </c>
      <c r="AC135" s="27"/>
      <c r="AD135" s="63" t="s">
        <v>312</v>
      </c>
      <c r="AE135" s="18">
        <f>Table46[[#This Row],[MOIS.]]*Table46[[#This Row],[NET WT KGS]]</f>
        <v>393097.39999999997</v>
      </c>
      <c r="AF135" s="18">
        <f>Table46[[#This Row],[KOR]]*Table46[[#This Row],[NET WT KGS]]</f>
        <v>2139638.29</v>
      </c>
      <c r="AG135">
        <f>Table46[[#This Row],[NET WT KGS]]*Table46[[#This Row],[NUT COUNT]]</f>
        <v>8319038</v>
      </c>
      <c r="AI135" t="s">
        <v>404</v>
      </c>
      <c r="AJ135" t="s">
        <v>225</v>
      </c>
      <c r="AK135" t="s">
        <v>40</v>
      </c>
      <c r="AL135" s="58">
        <v>43524</v>
      </c>
    </row>
    <row r="136" spans="1:61" x14ac:dyDescent="0.35">
      <c r="A136" s="32">
        <f t="shared" si="14"/>
        <v>134</v>
      </c>
      <c r="B136" s="20">
        <v>46081</v>
      </c>
      <c r="C136" s="20">
        <v>46081</v>
      </c>
      <c r="D136" s="10" t="s">
        <v>38</v>
      </c>
      <c r="E136" s="10" t="s">
        <v>39</v>
      </c>
      <c r="F136" s="50" t="s">
        <v>40</v>
      </c>
      <c r="G136" s="10" t="s">
        <v>41</v>
      </c>
      <c r="H136" s="10" t="s">
        <v>74</v>
      </c>
      <c r="I136" s="10" t="s">
        <v>75</v>
      </c>
      <c r="J136" s="10" t="s">
        <v>76</v>
      </c>
      <c r="K136" s="33" t="s">
        <v>77</v>
      </c>
      <c r="L136" s="10">
        <v>790</v>
      </c>
      <c r="M136" s="10">
        <v>68661</v>
      </c>
      <c r="N136" s="10">
        <v>486</v>
      </c>
      <c r="O136" s="22">
        <f t="shared" si="12"/>
        <v>42100</v>
      </c>
      <c r="P136" s="22">
        <v>41614</v>
      </c>
      <c r="Q136" s="10">
        <v>465</v>
      </c>
      <c r="R136" s="50">
        <v>0</v>
      </c>
      <c r="S136" s="10">
        <v>21</v>
      </c>
      <c r="T136" s="10">
        <v>60</v>
      </c>
      <c r="U136" s="22">
        <f>Table46[[#This Row],[NET WT KGS]]-Table46[[#This Row],[Refraction]]</f>
        <v>41554</v>
      </c>
      <c r="V136" s="23">
        <v>475</v>
      </c>
      <c r="W136" s="23">
        <f>Table46[[#This Row],[PRICE]]*Table46[[#This Row],[PAID WT]]</f>
        <v>19738150</v>
      </c>
      <c r="X136" s="24">
        <v>8.6</v>
      </c>
      <c r="Y136" s="25">
        <v>186</v>
      </c>
      <c r="Z136" s="24">
        <v>47.6</v>
      </c>
      <c r="AA136" s="26"/>
      <c r="AB136" s="10" t="s">
        <v>78</v>
      </c>
      <c r="AC136" s="27"/>
      <c r="AD136" s="63" t="s">
        <v>312</v>
      </c>
      <c r="AE136" s="18">
        <f>Table46[[#This Row],[MOIS.]]*Table46[[#This Row],[NET WT KGS]]</f>
        <v>357880.39999999997</v>
      </c>
      <c r="AF136" s="18">
        <f>Table46[[#This Row],[KOR]]*Table46[[#This Row],[NET WT KGS]]</f>
        <v>1980826.4000000001</v>
      </c>
      <c r="AG136">
        <f>Table46[[#This Row],[NET WT KGS]]*Table46[[#This Row],[NUT COUNT]]</f>
        <v>7740204</v>
      </c>
      <c r="AI136" t="s">
        <v>405</v>
      </c>
      <c r="AJ136" t="s">
        <v>256</v>
      </c>
      <c r="AK136" t="s">
        <v>40</v>
      </c>
      <c r="AL136" s="1">
        <v>0</v>
      </c>
    </row>
    <row r="137" spans="1:61" x14ac:dyDescent="0.35">
      <c r="A137" s="32">
        <f t="shared" si="14"/>
        <v>135</v>
      </c>
      <c r="B137" s="65">
        <v>46081</v>
      </c>
      <c r="C137" s="65">
        <v>46081</v>
      </c>
      <c r="D137" s="66" t="s">
        <v>38</v>
      </c>
      <c r="E137" s="66" t="s">
        <v>39</v>
      </c>
      <c r="F137" s="67" t="s">
        <v>62</v>
      </c>
      <c r="G137" s="66"/>
      <c r="H137" s="66" t="s">
        <v>193</v>
      </c>
      <c r="I137" s="66" t="s">
        <v>194</v>
      </c>
      <c r="J137" s="66" t="s">
        <v>195</v>
      </c>
      <c r="K137" s="33" t="s">
        <v>196</v>
      </c>
      <c r="L137" s="66">
        <v>857</v>
      </c>
      <c r="M137" s="10">
        <v>72555</v>
      </c>
      <c r="N137" s="66">
        <v>583</v>
      </c>
      <c r="O137" s="68">
        <v>42640</v>
      </c>
      <c r="P137" s="68">
        <f>Table46[[#This Row],[GROSS WT KGS]]-Table46[[#This Row],[SACS]]</f>
        <v>42057</v>
      </c>
      <c r="Q137" s="66">
        <f>Table46[[#This Row],[SACS]]-Table46[[#This Row],[Sacs déchirés]]</f>
        <v>573</v>
      </c>
      <c r="R137" s="67">
        <v>0</v>
      </c>
      <c r="S137" s="66">
        <v>10</v>
      </c>
      <c r="T137" s="66">
        <v>40</v>
      </c>
      <c r="U137" s="68">
        <f>Table46[[#This Row],[NET WT KGS]]-Table46[[#This Row],[Refraction]]</f>
        <v>42017</v>
      </c>
      <c r="V137" s="69">
        <v>485</v>
      </c>
      <c r="W137" s="69">
        <f>Table46[[#This Row],[PRICE]]*Table46[[#This Row],[PAID WT]]</f>
        <v>20378245</v>
      </c>
      <c r="X137" s="70">
        <v>8.8000000000000007</v>
      </c>
      <c r="Y137" s="71">
        <v>176</v>
      </c>
      <c r="Z137" s="70">
        <v>47.25</v>
      </c>
      <c r="AA137" s="72">
        <v>47.34</v>
      </c>
      <c r="AB137" s="66" t="s">
        <v>132</v>
      </c>
      <c r="AC137" s="73"/>
      <c r="AD137" s="63" t="s">
        <v>312</v>
      </c>
      <c r="AE137" s="18">
        <f>Table46[[#This Row],[MOIS.]]*Table46[[#This Row],[NET WT KGS]]</f>
        <v>370101.60000000003</v>
      </c>
      <c r="AF137" s="18">
        <f>Table46[[#This Row],[KOR]]*Table46[[#This Row],[NET WT KGS]]</f>
        <v>1987193.25</v>
      </c>
      <c r="AG137">
        <f>Table46[[#This Row],[NET WT KGS]]*Table46[[#This Row],[NUT COUNT]]</f>
        <v>7402032</v>
      </c>
      <c r="AI137" t="s">
        <v>406</v>
      </c>
      <c r="AJ137" t="s">
        <v>263</v>
      </c>
      <c r="AK137" t="s">
        <v>40</v>
      </c>
      <c r="AL137" s="1">
        <v>0</v>
      </c>
    </row>
    <row r="138" spans="1:61" x14ac:dyDescent="0.35">
      <c r="A138" s="32">
        <f t="shared" si="14"/>
        <v>136</v>
      </c>
      <c r="B138" s="35">
        <v>46081</v>
      </c>
      <c r="C138" s="35">
        <f>Table46[[#This Row],[DATE OF ARRIVAL]]</f>
        <v>46081</v>
      </c>
      <c r="D138" s="74" t="s">
        <v>38</v>
      </c>
      <c r="E138" s="74" t="s">
        <v>39</v>
      </c>
      <c r="F138" s="36" t="s">
        <v>40</v>
      </c>
      <c r="G138" s="36"/>
      <c r="H138" s="36" t="s">
        <v>54</v>
      </c>
      <c r="I138" s="36" t="s">
        <v>55</v>
      </c>
      <c r="J138" s="36" t="s">
        <v>407</v>
      </c>
      <c r="K138" s="36"/>
      <c r="L138" s="36"/>
      <c r="M138" s="36"/>
      <c r="N138" s="36"/>
      <c r="O138" s="37">
        <f t="shared" ref="O138:O180" si="15">P138+N138</f>
        <v>0</v>
      </c>
      <c r="P138" s="37"/>
      <c r="Q138" s="36"/>
      <c r="R138" s="37"/>
      <c r="S138" s="36"/>
      <c r="T138" s="36"/>
      <c r="U138" s="37">
        <f>Table46[[#This Row],[NET WT KGS]]-Table46[[#This Row],[Refraction]]</f>
        <v>0</v>
      </c>
      <c r="V138" s="38"/>
      <c r="W138" s="38">
        <f>Table46[[#This Row],[PRICE]]*Table46[[#This Row],[PAID WT]]</f>
        <v>0</v>
      </c>
      <c r="X138" s="39">
        <v>8.9</v>
      </c>
      <c r="Y138" s="40">
        <v>162</v>
      </c>
      <c r="Z138" s="39">
        <v>44.96</v>
      </c>
      <c r="AA138" s="41"/>
      <c r="AB138" s="36" t="s">
        <v>58</v>
      </c>
      <c r="AC138" s="42" t="s">
        <v>70</v>
      </c>
      <c r="AD138" s="63"/>
      <c r="AE138" s="18">
        <f>Table46[[#This Row],[MOIS.]]*Table46[[#This Row],[NET WT KGS]]</f>
        <v>0</v>
      </c>
      <c r="AF138" s="18">
        <f>Table46[[#This Row],[KOR]]*Table46[[#This Row],[NET WT KGS]]</f>
        <v>0</v>
      </c>
      <c r="AG138">
        <f>Table46[[#This Row],[NET WT KGS]]*Table46[[#This Row],[NUT COUNT]]</f>
        <v>0</v>
      </c>
      <c r="AI138" t="s">
        <v>408</v>
      </c>
      <c r="AJ138" t="s">
        <v>267</v>
      </c>
      <c r="AK138" t="s">
        <v>40</v>
      </c>
      <c r="AL138" s="1"/>
    </row>
    <row r="139" spans="1:61" x14ac:dyDescent="0.35">
      <c r="A139" s="32">
        <f t="shared" si="14"/>
        <v>137</v>
      </c>
      <c r="B139" s="35">
        <v>46081</v>
      </c>
      <c r="C139" s="35">
        <f>Table46[[#This Row],[DATE OF ARRIVAL]]</f>
        <v>46081</v>
      </c>
      <c r="D139" s="74" t="s">
        <v>38</v>
      </c>
      <c r="E139" s="74" t="s">
        <v>39</v>
      </c>
      <c r="F139" s="36" t="s">
        <v>40</v>
      </c>
      <c r="G139" s="36"/>
      <c r="H139" s="36" t="s">
        <v>42</v>
      </c>
      <c r="I139" s="36" t="s">
        <v>43</v>
      </c>
      <c r="J139" s="36" t="s">
        <v>409</v>
      </c>
      <c r="K139" s="36"/>
      <c r="L139" s="36"/>
      <c r="M139" s="36"/>
      <c r="N139" s="36"/>
      <c r="O139" s="37">
        <f t="shared" si="15"/>
        <v>0</v>
      </c>
      <c r="P139" s="37"/>
      <c r="Q139" s="36"/>
      <c r="R139" s="37"/>
      <c r="S139" s="36"/>
      <c r="T139" s="36"/>
      <c r="U139" s="37">
        <f>Table46[[#This Row],[NET WT KGS]]-Table46[[#This Row],[Refraction]]</f>
        <v>0</v>
      </c>
      <c r="V139" s="38"/>
      <c r="W139" s="38">
        <f>Table46[[#This Row],[PRICE]]*Table46[[#This Row],[PAID WT]]</f>
        <v>0</v>
      </c>
      <c r="X139" s="39">
        <v>8.6999999999999993</v>
      </c>
      <c r="Y139" s="40">
        <v>183</v>
      </c>
      <c r="Z139" s="39">
        <v>45.14</v>
      </c>
      <c r="AA139" s="41"/>
      <c r="AB139" s="36" t="s">
        <v>182</v>
      </c>
      <c r="AC139" s="42" t="s">
        <v>70</v>
      </c>
      <c r="AD139" s="63"/>
      <c r="AE139" s="18">
        <f>Table46[[#This Row],[MOIS.]]*Table46[[#This Row],[NET WT KGS]]</f>
        <v>0</v>
      </c>
      <c r="AF139" s="18">
        <f>Table46[[#This Row],[KOR]]*Table46[[#This Row],[NET WT KGS]]</f>
        <v>0</v>
      </c>
      <c r="AG139">
        <f>Table46[[#This Row],[NET WT KGS]]*Table46[[#This Row],[NUT COUNT]]</f>
        <v>0</v>
      </c>
      <c r="AI139" t="s">
        <v>410</v>
      </c>
      <c r="AJ139" t="s">
        <v>270</v>
      </c>
      <c r="AK139" t="s">
        <v>40</v>
      </c>
      <c r="AL139" s="1"/>
    </row>
    <row r="140" spans="1:61" x14ac:dyDescent="0.35">
      <c r="A140" s="32">
        <f t="shared" si="14"/>
        <v>138</v>
      </c>
      <c r="B140" s="35">
        <v>46081</v>
      </c>
      <c r="C140" s="35">
        <f>Table46[[#This Row],[DATE OF ARRIVAL]]</f>
        <v>46081</v>
      </c>
      <c r="D140" s="36" t="s">
        <v>38</v>
      </c>
      <c r="E140" s="36" t="s">
        <v>39</v>
      </c>
      <c r="F140" s="36" t="s">
        <v>62</v>
      </c>
      <c r="G140" s="36"/>
      <c r="H140" s="36" t="s">
        <v>128</v>
      </c>
      <c r="I140" s="36" t="s">
        <v>129</v>
      </c>
      <c r="J140" s="36" t="s">
        <v>411</v>
      </c>
      <c r="K140" s="36"/>
      <c r="L140" s="36"/>
      <c r="M140" s="36"/>
      <c r="N140" s="36"/>
      <c r="O140" s="37">
        <f t="shared" si="15"/>
        <v>0</v>
      </c>
      <c r="P140" s="37"/>
      <c r="Q140" s="36"/>
      <c r="R140" s="37"/>
      <c r="S140" s="36"/>
      <c r="T140" s="36"/>
      <c r="U140" s="37">
        <f>Table46[[#This Row],[NET WT KGS]]-Table46[[#This Row],[Refraction]]</f>
        <v>0</v>
      </c>
      <c r="V140" s="38"/>
      <c r="W140" s="38">
        <f>Table46[[#This Row],[PRICE]]*Table46[[#This Row],[PAID WT]]</f>
        <v>0</v>
      </c>
      <c r="X140" s="39">
        <v>7.9</v>
      </c>
      <c r="Y140" s="40">
        <v>183</v>
      </c>
      <c r="Z140" s="39">
        <v>45.23</v>
      </c>
      <c r="AA140" s="41"/>
      <c r="AB140" s="36" t="s">
        <v>132</v>
      </c>
      <c r="AC140" s="42" t="s">
        <v>70</v>
      </c>
      <c r="AD140" s="63"/>
      <c r="AE140" s="18">
        <f>Table46[[#This Row],[MOIS.]]*Table46[[#This Row],[NET WT KGS]]</f>
        <v>0</v>
      </c>
      <c r="AF140" s="18">
        <f>Table46[[#This Row],[KOR]]*Table46[[#This Row],[NET WT KGS]]</f>
        <v>0</v>
      </c>
      <c r="AG140">
        <f>Table46[[#This Row],[NET WT KGS]]*Table46[[#This Row],[NUT COUNT]]</f>
        <v>0</v>
      </c>
      <c r="AI140" t="s">
        <v>412</v>
      </c>
      <c r="AJ140" t="s">
        <v>273</v>
      </c>
      <c r="AK140" t="s">
        <v>40</v>
      </c>
      <c r="AL140" s="1"/>
    </row>
    <row r="141" spans="1:61" x14ac:dyDescent="0.35">
      <c r="A141" s="32">
        <f t="shared" si="14"/>
        <v>139</v>
      </c>
      <c r="B141" s="35">
        <v>46081</v>
      </c>
      <c r="C141" s="35">
        <f>Table46[[#This Row],[DATE OF ARRIVAL]]</f>
        <v>46081</v>
      </c>
      <c r="D141" s="36" t="s">
        <v>38</v>
      </c>
      <c r="E141" s="36" t="s">
        <v>258</v>
      </c>
      <c r="F141" s="36" t="s">
        <v>62</v>
      </c>
      <c r="G141" s="36"/>
      <c r="H141" s="36" t="s">
        <v>413</v>
      </c>
      <c r="I141" s="36" t="s">
        <v>103</v>
      </c>
      <c r="J141" s="36" t="s">
        <v>414</v>
      </c>
      <c r="K141" s="36"/>
      <c r="L141" s="36"/>
      <c r="M141" s="36"/>
      <c r="N141" s="36"/>
      <c r="O141" s="37">
        <f t="shared" si="15"/>
        <v>0</v>
      </c>
      <c r="P141" s="37"/>
      <c r="Q141" s="36"/>
      <c r="R141" s="37"/>
      <c r="S141" s="36"/>
      <c r="T141" s="36"/>
      <c r="U141" s="37">
        <f>Table46[[#This Row],[NET WT KGS]]-Table46[[#This Row],[Refraction]]</f>
        <v>0</v>
      </c>
      <c r="V141" s="38"/>
      <c r="W141" s="38">
        <f>Table46[[#This Row],[PRICE]]*Table46[[#This Row],[PAID WT]]</f>
        <v>0</v>
      </c>
      <c r="X141" s="39">
        <v>8.9</v>
      </c>
      <c r="Y141" s="40">
        <v>182</v>
      </c>
      <c r="Z141" s="39">
        <v>45.05</v>
      </c>
      <c r="AA141" s="41"/>
      <c r="AB141" s="36" t="s">
        <v>415</v>
      </c>
      <c r="AC141" s="42" t="s">
        <v>70</v>
      </c>
      <c r="AD141" s="63"/>
      <c r="AE141" s="18">
        <f>Table46[[#This Row],[MOIS.]]*Table46[[#This Row],[NET WT KGS]]</f>
        <v>0</v>
      </c>
      <c r="AF141" s="18">
        <f>Table46[[#This Row],[KOR]]*Table46[[#This Row],[NET WT KGS]]</f>
        <v>0</v>
      </c>
      <c r="AG141">
        <f>Table46[[#This Row],[NET WT KGS]]*Table46[[#This Row],[NUT COUNT]]</f>
        <v>0</v>
      </c>
      <c r="AI141" t="s">
        <v>323</v>
      </c>
      <c r="AL141" s="1">
        <v>18505215</v>
      </c>
    </row>
    <row r="142" spans="1:61" x14ac:dyDescent="0.35">
      <c r="A142" s="32">
        <f t="shared" si="14"/>
        <v>140</v>
      </c>
      <c r="B142" s="75">
        <v>46082</v>
      </c>
      <c r="C142" s="75">
        <v>46082</v>
      </c>
      <c r="D142" s="50" t="s">
        <v>38</v>
      </c>
      <c r="E142" s="50" t="s">
        <v>39</v>
      </c>
      <c r="F142" s="50" t="s">
        <v>40</v>
      </c>
      <c r="G142" s="10" t="s">
        <v>350</v>
      </c>
      <c r="H142" s="10" t="s">
        <v>136</v>
      </c>
      <c r="I142" s="10" t="s">
        <v>137</v>
      </c>
      <c r="J142" s="76" t="s">
        <v>416</v>
      </c>
      <c r="K142" s="21" t="s">
        <v>139</v>
      </c>
      <c r="L142" s="50">
        <v>1203</v>
      </c>
      <c r="M142" s="10">
        <v>72625</v>
      </c>
      <c r="N142" s="50">
        <v>478</v>
      </c>
      <c r="O142" s="51">
        <f t="shared" si="15"/>
        <v>40840</v>
      </c>
      <c r="P142" s="51">
        <v>40362</v>
      </c>
      <c r="Q142" s="50">
        <v>453</v>
      </c>
      <c r="R142" s="67">
        <v>0</v>
      </c>
      <c r="S142" s="50">
        <v>25</v>
      </c>
      <c r="T142" s="50">
        <v>80</v>
      </c>
      <c r="U142" s="51">
        <f>Table46[[#This Row],[NET WT KGS]]-Table46[[#This Row],[Refraction]]</f>
        <v>40282</v>
      </c>
      <c r="V142" s="52">
        <v>480</v>
      </c>
      <c r="W142" s="52">
        <f>Table46[[#This Row],[PRICE]]*Table46[[#This Row],[PAID WT]]</f>
        <v>19335360</v>
      </c>
      <c r="X142" s="53">
        <v>9</v>
      </c>
      <c r="Y142" s="54">
        <v>184</v>
      </c>
      <c r="Z142" s="53">
        <v>47.25</v>
      </c>
      <c r="AA142" s="55"/>
      <c r="AB142" s="50" t="s">
        <v>140</v>
      </c>
      <c r="AC142" s="56"/>
      <c r="AD142" s="63" t="s">
        <v>417</v>
      </c>
      <c r="AE142" s="18">
        <f>Table46[[#This Row],[MOIS.]]*Table46[[#This Row],[NET WT KGS]]</f>
        <v>363258</v>
      </c>
      <c r="AF142" s="18">
        <f>Table46[[#This Row],[KOR]]*Table46[[#This Row],[NET WT KGS]]</f>
        <v>1907104.5</v>
      </c>
      <c r="AG142">
        <f>Table46[[#This Row],[NET WT KGS]]*Table46[[#This Row],[NUT COUNT]]</f>
        <v>7426608</v>
      </c>
      <c r="BI142" t="s">
        <v>418</v>
      </c>
    </row>
    <row r="143" spans="1:61" x14ac:dyDescent="0.35">
      <c r="A143" s="32">
        <f t="shared" si="14"/>
        <v>141</v>
      </c>
      <c r="B143" s="75">
        <v>46082</v>
      </c>
      <c r="C143" s="75">
        <v>46082</v>
      </c>
      <c r="D143" s="50" t="s">
        <v>38</v>
      </c>
      <c r="E143" s="50" t="s">
        <v>39</v>
      </c>
      <c r="F143" s="50" t="s">
        <v>40</v>
      </c>
      <c r="G143" s="10" t="s">
        <v>350</v>
      </c>
      <c r="H143" s="10" t="s">
        <v>112</v>
      </c>
      <c r="I143" s="10" t="s">
        <v>113</v>
      </c>
      <c r="J143" s="76" t="s">
        <v>211</v>
      </c>
      <c r="K143" s="21" t="s">
        <v>115</v>
      </c>
      <c r="L143" s="50">
        <v>1204</v>
      </c>
      <c r="M143" s="10">
        <v>72645</v>
      </c>
      <c r="N143" s="50">
        <v>471</v>
      </c>
      <c r="O143" s="51">
        <f t="shared" si="15"/>
        <v>39920</v>
      </c>
      <c r="P143" s="51">
        <v>39449</v>
      </c>
      <c r="Q143" s="50">
        <v>461</v>
      </c>
      <c r="R143" s="67">
        <v>0</v>
      </c>
      <c r="S143" s="50">
        <v>10</v>
      </c>
      <c r="T143" s="50">
        <v>40</v>
      </c>
      <c r="U143" s="51">
        <f>Table46[[#This Row],[NET WT KGS]]-Table46[[#This Row],[Refraction]]</f>
        <v>39409</v>
      </c>
      <c r="V143" s="23">
        <v>475</v>
      </c>
      <c r="W143" s="23">
        <f>Table46[[#This Row],[PRICE]]*Table46[[#This Row],[PAID WT]]</f>
        <v>18719275</v>
      </c>
      <c r="X143" s="53">
        <v>8.4</v>
      </c>
      <c r="Y143" s="54">
        <v>175</v>
      </c>
      <c r="Z143" s="53">
        <v>46.11</v>
      </c>
      <c r="AA143" s="55"/>
      <c r="AB143" s="50" t="s">
        <v>367</v>
      </c>
      <c r="AC143" s="56"/>
      <c r="AD143" s="63" t="s">
        <v>417</v>
      </c>
      <c r="AE143" s="18">
        <f>Table46[[#This Row],[MOIS.]]*Table46[[#This Row],[NET WT KGS]]</f>
        <v>331371.60000000003</v>
      </c>
      <c r="AF143" s="18">
        <f>Table46[[#This Row],[KOR]]*Table46[[#This Row],[NET WT KGS]]</f>
        <v>1818993.39</v>
      </c>
      <c r="AG143">
        <f>Table46[[#This Row],[NET WT KGS]]*Table46[[#This Row],[NUT COUNT]]</f>
        <v>6903575</v>
      </c>
      <c r="BI143" t="s">
        <v>419</v>
      </c>
    </row>
    <row r="144" spans="1:61" x14ac:dyDescent="0.35">
      <c r="A144" s="32">
        <f t="shared" si="14"/>
        <v>142</v>
      </c>
      <c r="B144" s="75">
        <v>46082</v>
      </c>
      <c r="C144" s="75">
        <v>46082</v>
      </c>
      <c r="D144" s="50" t="s">
        <v>38</v>
      </c>
      <c r="E144" s="10" t="s">
        <v>258</v>
      </c>
      <c r="F144" s="50" t="s">
        <v>40</v>
      </c>
      <c r="G144" s="10" t="s">
        <v>86</v>
      </c>
      <c r="H144" s="10" t="s">
        <v>372</v>
      </c>
      <c r="I144" s="10" t="s">
        <v>80</v>
      </c>
      <c r="J144" s="76" t="s">
        <v>420</v>
      </c>
      <c r="K144" s="77" t="s">
        <v>421</v>
      </c>
      <c r="L144" s="50">
        <v>1205</v>
      </c>
      <c r="M144" s="10">
        <v>68282</v>
      </c>
      <c r="N144" s="50">
        <v>207</v>
      </c>
      <c r="O144" s="51">
        <f t="shared" si="15"/>
        <v>17280</v>
      </c>
      <c r="P144" s="51">
        <v>17073</v>
      </c>
      <c r="Q144" s="50">
        <v>199</v>
      </c>
      <c r="R144" s="67">
        <v>0</v>
      </c>
      <c r="S144" s="50">
        <v>8</v>
      </c>
      <c r="T144" s="50">
        <v>32</v>
      </c>
      <c r="U144" s="51">
        <f>Table46[[#This Row],[NET WT KGS]]-Table46[[#This Row],[Refraction]]</f>
        <v>17041</v>
      </c>
      <c r="V144" s="23">
        <v>480</v>
      </c>
      <c r="W144" s="23">
        <f>Table46[[#This Row],[PRICE]]*Table46[[#This Row],[PAID WT]]</f>
        <v>8179680</v>
      </c>
      <c r="X144" s="53">
        <v>8.6999999999999993</v>
      </c>
      <c r="Y144" s="54">
        <v>179</v>
      </c>
      <c r="Z144" s="53">
        <v>46.02</v>
      </c>
      <c r="AA144" s="55"/>
      <c r="AB144" s="50" t="s">
        <v>58</v>
      </c>
      <c r="AC144" s="56"/>
      <c r="AD144" s="63" t="s">
        <v>417</v>
      </c>
      <c r="AE144" s="18">
        <f>Table46[[#This Row],[MOIS.]]*Table46[[#This Row],[NET WT KGS]]</f>
        <v>148535.09999999998</v>
      </c>
      <c r="AF144" s="18">
        <f>Table46[[#This Row],[KOR]]*Table46[[#This Row],[NET WT KGS]]</f>
        <v>785699.46000000008</v>
      </c>
      <c r="AG144">
        <f>Table46[[#This Row],[NET WT KGS]]*Table46[[#This Row],[NUT COUNT]]</f>
        <v>3056067</v>
      </c>
    </row>
    <row r="145" spans="1:33" x14ac:dyDescent="0.35">
      <c r="A145" s="32">
        <f t="shared" si="14"/>
        <v>143</v>
      </c>
      <c r="B145" s="75">
        <v>46083</v>
      </c>
      <c r="C145" s="75">
        <v>46083</v>
      </c>
      <c r="D145" s="50" t="s">
        <v>38</v>
      </c>
      <c r="E145" s="50" t="s">
        <v>39</v>
      </c>
      <c r="F145" s="50" t="s">
        <v>40</v>
      </c>
      <c r="G145" s="10" t="s">
        <v>350</v>
      </c>
      <c r="H145" s="10" t="s">
        <v>42</v>
      </c>
      <c r="I145" s="10" t="s">
        <v>43</v>
      </c>
      <c r="J145" s="76" t="s">
        <v>368</v>
      </c>
      <c r="K145" s="21" t="s">
        <v>45</v>
      </c>
      <c r="L145" s="50">
        <v>1206</v>
      </c>
      <c r="M145" s="10">
        <v>72509</v>
      </c>
      <c r="N145" s="50">
        <v>462</v>
      </c>
      <c r="O145" s="51">
        <f t="shared" si="15"/>
        <v>39940</v>
      </c>
      <c r="P145" s="51">
        <v>39478</v>
      </c>
      <c r="Q145" s="50">
        <v>441</v>
      </c>
      <c r="R145" s="67">
        <v>0</v>
      </c>
      <c r="S145" s="50">
        <v>21</v>
      </c>
      <c r="T145" s="50">
        <v>80</v>
      </c>
      <c r="U145" s="51">
        <f>Table46[[#This Row],[NET WT KGS]]-Table46[[#This Row],[Refraction]]</f>
        <v>39398</v>
      </c>
      <c r="V145" s="23">
        <v>485</v>
      </c>
      <c r="W145" s="23">
        <f>Table46[[#This Row],[PRICE]]*Table46[[#This Row],[PAID WT]]</f>
        <v>19108030</v>
      </c>
      <c r="X145" s="53">
        <v>8.9</v>
      </c>
      <c r="Y145" s="54">
        <v>175</v>
      </c>
      <c r="Z145" s="53">
        <v>46.11</v>
      </c>
      <c r="AA145" s="55"/>
      <c r="AB145" s="50" t="s">
        <v>46</v>
      </c>
      <c r="AC145" s="56"/>
      <c r="AD145" s="63" t="s">
        <v>422</v>
      </c>
      <c r="AE145" s="18">
        <f>Table46[[#This Row],[MOIS.]]*Table46[[#This Row],[NET WT KGS]]</f>
        <v>351354.2</v>
      </c>
      <c r="AF145" s="18">
        <f>Table46[[#This Row],[KOR]]*Table46[[#This Row],[NET WT KGS]]</f>
        <v>1820330.58</v>
      </c>
      <c r="AG145">
        <f>Table46[[#This Row],[NET WT KGS]]*Table46[[#This Row],[NUT COUNT]]</f>
        <v>6908650</v>
      </c>
    </row>
    <row r="146" spans="1:33" x14ac:dyDescent="0.35">
      <c r="A146" s="32">
        <f t="shared" si="14"/>
        <v>144</v>
      </c>
      <c r="B146" s="75">
        <v>46083</v>
      </c>
      <c r="C146" s="75">
        <v>46083</v>
      </c>
      <c r="D146" s="50" t="s">
        <v>38</v>
      </c>
      <c r="E146" s="50" t="s">
        <v>39</v>
      </c>
      <c r="F146" s="50" t="s">
        <v>40</v>
      </c>
      <c r="G146" s="10" t="s">
        <v>350</v>
      </c>
      <c r="H146" s="10" t="s">
        <v>338</v>
      </c>
      <c r="I146" s="10" t="s">
        <v>317</v>
      </c>
      <c r="J146" s="76" t="s">
        <v>423</v>
      </c>
      <c r="K146" s="57" t="s">
        <v>340</v>
      </c>
      <c r="L146" s="50">
        <v>1209</v>
      </c>
      <c r="M146" s="10">
        <v>69856</v>
      </c>
      <c r="N146" s="50">
        <v>475</v>
      </c>
      <c r="O146" s="51">
        <f t="shared" si="15"/>
        <v>40480</v>
      </c>
      <c r="P146" s="51">
        <v>40005</v>
      </c>
      <c r="Q146" s="50">
        <v>464</v>
      </c>
      <c r="R146" s="67">
        <v>0</v>
      </c>
      <c r="S146" s="50">
        <v>11</v>
      </c>
      <c r="T146" s="50">
        <v>44</v>
      </c>
      <c r="U146" s="51">
        <f>Table46[[#This Row],[NET WT KGS]]-Table46[[#This Row],[Refraction]]</f>
        <v>39961</v>
      </c>
      <c r="V146" s="23">
        <v>475</v>
      </c>
      <c r="W146" s="23">
        <f>Table46[[#This Row],[PRICE]]*Table46[[#This Row],[PAID WT]]</f>
        <v>18981475</v>
      </c>
      <c r="X146" s="53">
        <v>8.1999999999999993</v>
      </c>
      <c r="Y146" s="54">
        <v>170</v>
      </c>
      <c r="Z146" s="53">
        <v>45.14</v>
      </c>
      <c r="AA146" s="55"/>
      <c r="AB146" s="50" t="s">
        <v>284</v>
      </c>
      <c r="AC146" s="56"/>
      <c r="AD146" s="63" t="s">
        <v>422</v>
      </c>
      <c r="AE146" s="18">
        <f>Table46[[#This Row],[MOIS.]]*Table46[[#This Row],[NET WT KGS]]</f>
        <v>328041</v>
      </c>
      <c r="AF146" s="18">
        <f>Table46[[#This Row],[KOR]]*Table46[[#This Row],[NET WT KGS]]</f>
        <v>1805825.7</v>
      </c>
      <c r="AG146">
        <f>Table46[[#This Row],[NET WT KGS]]*Table46[[#This Row],[NUT COUNT]]</f>
        <v>6800850</v>
      </c>
    </row>
    <row r="147" spans="1:33" x14ac:dyDescent="0.35">
      <c r="A147" s="32">
        <f t="shared" si="14"/>
        <v>145</v>
      </c>
      <c r="B147" s="75">
        <v>46083</v>
      </c>
      <c r="C147" s="75">
        <v>46083</v>
      </c>
      <c r="D147" s="50" t="s">
        <v>38</v>
      </c>
      <c r="E147" s="50" t="s">
        <v>39</v>
      </c>
      <c r="F147" s="50" t="s">
        <v>40</v>
      </c>
      <c r="G147" s="10" t="s">
        <v>350</v>
      </c>
      <c r="H147" s="10" t="s">
        <v>280</v>
      </c>
      <c r="I147" s="10" t="s">
        <v>281</v>
      </c>
      <c r="J147" s="76" t="s">
        <v>424</v>
      </c>
      <c r="K147" s="21" t="s">
        <v>283</v>
      </c>
      <c r="L147" s="50">
        <v>1207</v>
      </c>
      <c r="M147" s="10">
        <v>72595</v>
      </c>
      <c r="N147" s="50">
        <v>607</v>
      </c>
      <c r="O147" s="51">
        <f t="shared" si="15"/>
        <v>50060</v>
      </c>
      <c r="P147" s="51">
        <v>49453</v>
      </c>
      <c r="Q147" s="50">
        <v>572</v>
      </c>
      <c r="R147" s="67">
        <v>0</v>
      </c>
      <c r="S147" s="50">
        <v>35</v>
      </c>
      <c r="T147" s="50">
        <v>80</v>
      </c>
      <c r="U147" s="51">
        <f>Table46[[#This Row],[NET WT KGS]]-Table46[[#This Row],[Refraction]]</f>
        <v>49373</v>
      </c>
      <c r="V147" s="23">
        <v>480</v>
      </c>
      <c r="W147" s="23">
        <f>Table46[[#This Row],[PRICE]]*Table46[[#This Row],[PAID WT]]</f>
        <v>23699040</v>
      </c>
      <c r="X147" s="53">
        <v>8.6999999999999993</v>
      </c>
      <c r="Y147" s="54">
        <v>177</v>
      </c>
      <c r="Z147" s="53">
        <v>46.37</v>
      </c>
      <c r="AA147" s="55"/>
      <c r="AB147" s="50" t="s">
        <v>327</v>
      </c>
      <c r="AC147" s="56"/>
      <c r="AD147" s="63" t="s">
        <v>422</v>
      </c>
      <c r="AE147" s="18">
        <f>Table46[[#This Row],[MOIS.]]*Table46[[#This Row],[NET WT KGS]]</f>
        <v>430241.1</v>
      </c>
      <c r="AF147" s="18">
        <f>Table46[[#This Row],[KOR]]*Table46[[#This Row],[NET WT KGS]]</f>
        <v>2293135.61</v>
      </c>
      <c r="AG147">
        <f>Table46[[#This Row],[NET WT KGS]]*Table46[[#This Row],[NUT COUNT]]</f>
        <v>8753181</v>
      </c>
    </row>
    <row r="148" spans="1:33" x14ac:dyDescent="0.35">
      <c r="A148" s="32">
        <f t="shared" si="14"/>
        <v>146</v>
      </c>
      <c r="B148" s="75">
        <v>46083</v>
      </c>
      <c r="C148" s="75">
        <v>46083</v>
      </c>
      <c r="D148" s="50" t="s">
        <v>38</v>
      </c>
      <c r="E148" s="50" t="s">
        <v>39</v>
      </c>
      <c r="F148" s="50" t="s">
        <v>40</v>
      </c>
      <c r="G148" s="10" t="s">
        <v>350</v>
      </c>
      <c r="H148" s="10" t="s">
        <v>74</v>
      </c>
      <c r="I148" s="10" t="s">
        <v>75</v>
      </c>
      <c r="J148" s="76" t="s">
        <v>187</v>
      </c>
      <c r="K148" s="33" t="s">
        <v>77</v>
      </c>
      <c r="L148" s="50">
        <v>1210</v>
      </c>
      <c r="M148" s="10">
        <v>68697</v>
      </c>
      <c r="N148" s="50">
        <v>552</v>
      </c>
      <c r="O148" s="51">
        <f t="shared" si="15"/>
        <v>47600</v>
      </c>
      <c r="P148" s="51">
        <v>47048</v>
      </c>
      <c r="Q148" s="50">
        <v>542</v>
      </c>
      <c r="R148" s="67">
        <v>0</v>
      </c>
      <c r="S148" s="50">
        <v>10</v>
      </c>
      <c r="T148" s="50">
        <v>40</v>
      </c>
      <c r="U148" s="51">
        <f>Table46[[#This Row],[NET WT KGS]]-Table46[[#This Row],[Refraction]]</f>
        <v>47008</v>
      </c>
      <c r="V148" s="23">
        <v>485</v>
      </c>
      <c r="W148" s="23">
        <f>Table46[[#This Row],[PRICE]]*Table46[[#This Row],[PAID WT]]</f>
        <v>22798880</v>
      </c>
      <c r="X148" s="53">
        <v>9.8000000000000007</v>
      </c>
      <c r="Y148" s="54">
        <v>160</v>
      </c>
      <c r="Z148" s="53">
        <v>46.28</v>
      </c>
      <c r="AA148" s="55"/>
      <c r="AB148" s="10" t="s">
        <v>78</v>
      </c>
      <c r="AC148" s="56"/>
      <c r="AD148" s="63" t="s">
        <v>422</v>
      </c>
      <c r="AE148" s="18">
        <f>Table46[[#This Row],[MOIS.]]*Table46[[#This Row],[NET WT KGS]]</f>
        <v>461070.4</v>
      </c>
      <c r="AF148" s="18">
        <f>Table46[[#This Row],[KOR]]*Table46[[#This Row],[NET WT KGS]]</f>
        <v>2177381.44</v>
      </c>
      <c r="AG148">
        <f>Table46[[#This Row],[NET WT KGS]]*Table46[[#This Row],[NUT COUNT]]</f>
        <v>7527680</v>
      </c>
    </row>
    <row r="149" spans="1:33" x14ac:dyDescent="0.35">
      <c r="A149" s="32">
        <f t="shared" si="14"/>
        <v>147</v>
      </c>
      <c r="B149" s="75">
        <v>46083</v>
      </c>
      <c r="C149" s="75">
        <v>46083</v>
      </c>
      <c r="D149" s="50" t="s">
        <v>38</v>
      </c>
      <c r="E149" s="50" t="s">
        <v>39</v>
      </c>
      <c r="F149" s="50" t="s">
        <v>40</v>
      </c>
      <c r="G149" s="10" t="s">
        <v>86</v>
      </c>
      <c r="H149" s="10" t="s">
        <v>123</v>
      </c>
      <c r="I149" s="10" t="s">
        <v>124</v>
      </c>
      <c r="J149" s="76" t="s">
        <v>321</v>
      </c>
      <c r="K149" s="21" t="s">
        <v>161</v>
      </c>
      <c r="L149" s="50">
        <v>1208</v>
      </c>
      <c r="M149" s="10">
        <v>72603</v>
      </c>
      <c r="N149" s="50">
        <v>596</v>
      </c>
      <c r="O149" s="51">
        <f t="shared" si="15"/>
        <v>48680</v>
      </c>
      <c r="P149" s="51">
        <v>48084</v>
      </c>
      <c r="Q149" s="50">
        <v>582</v>
      </c>
      <c r="R149" s="67">
        <v>0</v>
      </c>
      <c r="S149" s="50">
        <v>14</v>
      </c>
      <c r="T149" s="50">
        <v>48</v>
      </c>
      <c r="U149" s="51">
        <f>Table46[[#This Row],[NET WT KGS]]-Table46[[#This Row],[Refraction]]</f>
        <v>48036</v>
      </c>
      <c r="V149" s="23">
        <v>485</v>
      </c>
      <c r="W149" s="23">
        <f>Table46[[#This Row],[PRICE]]*Table46[[#This Row],[PAID WT]]</f>
        <v>23297460</v>
      </c>
      <c r="X149" s="53">
        <v>9.6</v>
      </c>
      <c r="Y149" s="54">
        <v>180</v>
      </c>
      <c r="Z149" s="53">
        <v>46.64</v>
      </c>
      <c r="AA149" s="55"/>
      <c r="AB149" s="50" t="s">
        <v>327</v>
      </c>
      <c r="AC149" s="56"/>
      <c r="AD149" s="63" t="s">
        <v>422</v>
      </c>
      <c r="AE149" s="18">
        <f>Table46[[#This Row],[MOIS.]]*Table46[[#This Row],[NET WT KGS]]</f>
        <v>461606.39999999997</v>
      </c>
      <c r="AF149" s="18">
        <f>Table46[[#This Row],[KOR]]*Table46[[#This Row],[NET WT KGS]]</f>
        <v>2242637.7600000002</v>
      </c>
      <c r="AG149">
        <f>Table46[[#This Row],[NET WT KGS]]*Table46[[#This Row],[NUT COUNT]]</f>
        <v>8655120</v>
      </c>
    </row>
    <row r="150" spans="1:33" x14ac:dyDescent="0.35">
      <c r="A150" s="32">
        <f t="shared" si="14"/>
        <v>148</v>
      </c>
      <c r="B150" s="75">
        <v>46083</v>
      </c>
      <c r="C150" s="75">
        <v>46083</v>
      </c>
      <c r="D150" s="50" t="s">
        <v>38</v>
      </c>
      <c r="E150" s="50" t="s">
        <v>39</v>
      </c>
      <c r="F150" s="50" t="s">
        <v>40</v>
      </c>
      <c r="G150" s="10" t="s">
        <v>41</v>
      </c>
      <c r="H150" s="10" t="s">
        <v>136</v>
      </c>
      <c r="I150" s="10" t="s">
        <v>137</v>
      </c>
      <c r="J150" s="76" t="s">
        <v>96</v>
      </c>
      <c r="K150" s="21" t="s">
        <v>139</v>
      </c>
      <c r="L150" s="50">
        <v>1211</v>
      </c>
      <c r="M150" s="10">
        <v>72638</v>
      </c>
      <c r="N150" s="50">
        <v>599</v>
      </c>
      <c r="O150" s="51">
        <f t="shared" si="15"/>
        <v>51020</v>
      </c>
      <c r="P150" s="51">
        <v>50421</v>
      </c>
      <c r="Q150" s="50">
        <v>588</v>
      </c>
      <c r="R150" s="67">
        <v>0</v>
      </c>
      <c r="S150" s="50">
        <v>11</v>
      </c>
      <c r="T150" s="50">
        <v>44</v>
      </c>
      <c r="U150" s="51">
        <f>Table46[[#This Row],[NET WT KGS]]-Table46[[#This Row],[Refraction]]</f>
        <v>50377</v>
      </c>
      <c r="V150" s="23">
        <v>485</v>
      </c>
      <c r="W150" s="23">
        <f>Table46[[#This Row],[PRICE]]*Table46[[#This Row],[PAID WT]]</f>
        <v>24432845</v>
      </c>
      <c r="X150" s="53">
        <v>10</v>
      </c>
      <c r="Y150" s="54">
        <v>169</v>
      </c>
      <c r="Z150" s="53">
        <v>47.17</v>
      </c>
      <c r="AA150" s="55"/>
      <c r="AB150" s="50" t="s">
        <v>140</v>
      </c>
      <c r="AC150" s="56"/>
      <c r="AD150" s="63" t="s">
        <v>422</v>
      </c>
      <c r="AE150" s="18">
        <f>Table46[[#This Row],[MOIS.]]*Table46[[#This Row],[NET WT KGS]]</f>
        <v>504210</v>
      </c>
      <c r="AF150" s="18">
        <f>Table46[[#This Row],[KOR]]*Table46[[#This Row],[NET WT KGS]]</f>
        <v>2378358.5700000003</v>
      </c>
      <c r="AG150">
        <f>Table46[[#This Row],[NET WT KGS]]*Table46[[#This Row],[NUT COUNT]]</f>
        <v>8521149</v>
      </c>
    </row>
    <row r="151" spans="1:33" x14ac:dyDescent="0.35">
      <c r="A151" s="32">
        <f t="shared" si="14"/>
        <v>149</v>
      </c>
      <c r="B151" s="75">
        <v>46083</v>
      </c>
      <c r="C151" s="75">
        <v>46083</v>
      </c>
      <c r="D151" s="50" t="s">
        <v>38</v>
      </c>
      <c r="E151" s="50" t="s">
        <v>39</v>
      </c>
      <c r="F151" s="50" t="s">
        <v>40</v>
      </c>
      <c r="G151" s="10" t="s">
        <v>86</v>
      </c>
      <c r="H151" s="10" t="s">
        <v>94</v>
      </c>
      <c r="I151" s="10" t="s">
        <v>95</v>
      </c>
      <c r="J151" s="76" t="s">
        <v>208</v>
      </c>
      <c r="K151" s="33" t="s">
        <v>97</v>
      </c>
      <c r="L151" s="50">
        <v>1212</v>
      </c>
      <c r="M151" s="10">
        <v>72590</v>
      </c>
      <c r="N151" s="50">
        <v>471</v>
      </c>
      <c r="O151" s="51">
        <f t="shared" si="15"/>
        <v>41680</v>
      </c>
      <c r="P151" s="51">
        <v>41209</v>
      </c>
      <c r="Q151" s="50">
        <v>456</v>
      </c>
      <c r="R151" s="67">
        <v>0</v>
      </c>
      <c r="S151" s="50">
        <v>11</v>
      </c>
      <c r="T151" s="50">
        <v>60</v>
      </c>
      <c r="U151" s="51">
        <f>Table46[[#This Row],[NET WT KGS]]-Table46[[#This Row],[Refraction]]</f>
        <v>41149</v>
      </c>
      <c r="V151" s="23">
        <v>485</v>
      </c>
      <c r="W151" s="23">
        <f>Table46[[#This Row],[PRICE]]*Table46[[#This Row],[PAID WT]]</f>
        <v>19957265</v>
      </c>
      <c r="X151" s="53">
        <v>9.6</v>
      </c>
      <c r="Y151" s="54">
        <v>162</v>
      </c>
      <c r="Z151" s="53">
        <v>46.2</v>
      </c>
      <c r="AA151" s="55"/>
      <c r="AB151" s="10" t="s">
        <v>78</v>
      </c>
      <c r="AC151" s="56"/>
      <c r="AD151" s="63" t="s">
        <v>422</v>
      </c>
      <c r="AE151" s="18">
        <f>Table46[[#This Row],[MOIS.]]*Table46[[#This Row],[NET WT KGS]]</f>
        <v>395606.39999999997</v>
      </c>
      <c r="AF151" s="18">
        <f>Table46[[#This Row],[KOR]]*Table46[[#This Row],[NET WT KGS]]</f>
        <v>1903855.8</v>
      </c>
      <c r="AG151">
        <f>Table46[[#This Row],[NET WT KGS]]*Table46[[#This Row],[NUT COUNT]]</f>
        <v>6675858</v>
      </c>
    </row>
    <row r="152" spans="1:33" x14ac:dyDescent="0.35">
      <c r="A152" s="32">
        <f t="shared" si="14"/>
        <v>150</v>
      </c>
      <c r="B152" s="75">
        <v>46083</v>
      </c>
      <c r="C152" s="75">
        <v>46083</v>
      </c>
      <c r="D152" s="50" t="s">
        <v>38</v>
      </c>
      <c r="E152" s="10" t="s">
        <v>258</v>
      </c>
      <c r="F152" s="50" t="s">
        <v>40</v>
      </c>
      <c r="G152" s="10" t="s">
        <v>41</v>
      </c>
      <c r="H152" s="10" t="s">
        <v>364</v>
      </c>
      <c r="I152" s="10" t="s">
        <v>84</v>
      </c>
      <c r="J152" s="76" t="s">
        <v>425</v>
      </c>
      <c r="K152" s="77" t="s">
        <v>426</v>
      </c>
      <c r="L152" s="78">
        <v>1215</v>
      </c>
      <c r="M152" s="10">
        <v>67277</v>
      </c>
      <c r="N152" s="50">
        <v>257</v>
      </c>
      <c r="O152" s="51">
        <f t="shared" si="15"/>
        <v>22660</v>
      </c>
      <c r="P152" s="51">
        <v>22403</v>
      </c>
      <c r="Q152" s="50">
        <v>249</v>
      </c>
      <c r="R152" s="67">
        <v>0</v>
      </c>
      <c r="S152" s="50">
        <v>8</v>
      </c>
      <c r="T152" s="50">
        <v>32</v>
      </c>
      <c r="U152" s="51">
        <f>Table46[[#This Row],[NET WT KGS]]-Table46[[#This Row],[Refraction]]</f>
        <v>22371</v>
      </c>
      <c r="V152" s="48">
        <v>490</v>
      </c>
      <c r="W152" s="23">
        <f>Table46[[#This Row],[PRICE]]*Table46[[#This Row],[PAID WT]]</f>
        <v>10961790</v>
      </c>
      <c r="X152" s="53">
        <v>10.5</v>
      </c>
      <c r="Y152" s="54">
        <v>177</v>
      </c>
      <c r="Z152" s="53">
        <v>47.16</v>
      </c>
      <c r="AA152" s="55"/>
      <c r="AB152" s="50" t="s">
        <v>367</v>
      </c>
      <c r="AC152" s="56"/>
      <c r="AD152" s="63" t="s">
        <v>422</v>
      </c>
      <c r="AE152" s="18">
        <f>Table46[[#This Row],[MOIS.]]*Table46[[#This Row],[NET WT KGS]]</f>
        <v>235231.5</v>
      </c>
      <c r="AF152" s="18">
        <f>Table46[[#This Row],[KOR]]*Table46[[#This Row],[NET WT KGS]]</f>
        <v>1056525.48</v>
      </c>
      <c r="AG152">
        <f>Table46[[#This Row],[NET WT KGS]]*Table46[[#This Row],[NUT COUNT]]</f>
        <v>3965331</v>
      </c>
    </row>
    <row r="153" spans="1:33" x14ac:dyDescent="0.35">
      <c r="A153" s="32">
        <f t="shared" si="14"/>
        <v>151</v>
      </c>
      <c r="B153" s="75">
        <v>46083</v>
      </c>
      <c r="C153" s="75">
        <v>46083</v>
      </c>
      <c r="D153" s="50" t="s">
        <v>38</v>
      </c>
      <c r="E153" s="50" t="s">
        <v>39</v>
      </c>
      <c r="F153" s="50" t="s">
        <v>40</v>
      </c>
      <c r="G153" s="10" t="s">
        <v>350</v>
      </c>
      <c r="H153" s="10" t="s">
        <v>123</v>
      </c>
      <c r="I153" s="10" t="s">
        <v>124</v>
      </c>
      <c r="J153" s="76" t="s">
        <v>89</v>
      </c>
      <c r="K153" s="21" t="s">
        <v>161</v>
      </c>
      <c r="L153" s="50">
        <v>1214</v>
      </c>
      <c r="M153" s="10">
        <v>72503</v>
      </c>
      <c r="N153" s="50">
        <v>564</v>
      </c>
      <c r="O153" s="51">
        <f t="shared" si="15"/>
        <v>43300</v>
      </c>
      <c r="P153" s="51">
        <v>42736</v>
      </c>
      <c r="Q153" s="50">
        <v>545</v>
      </c>
      <c r="R153" s="67">
        <v>0</v>
      </c>
      <c r="S153" s="50">
        <v>19</v>
      </c>
      <c r="T153" s="50">
        <v>76</v>
      </c>
      <c r="U153" s="51">
        <f>Table46[[#This Row],[NET WT KGS]]-Table46[[#This Row],[Refraction]]</f>
        <v>42660</v>
      </c>
      <c r="V153" s="23">
        <v>485</v>
      </c>
      <c r="W153" s="23">
        <f>Table46[[#This Row],[PRICE]]*Table46[[#This Row],[PAID WT]]</f>
        <v>20690100</v>
      </c>
      <c r="X153" s="53">
        <v>11.7</v>
      </c>
      <c r="Y153" s="54">
        <v>170</v>
      </c>
      <c r="Z153" s="53">
        <v>47.16</v>
      </c>
      <c r="AA153" s="55"/>
      <c r="AB153" s="50" t="s">
        <v>327</v>
      </c>
      <c r="AC153" s="56"/>
      <c r="AD153" s="63" t="s">
        <v>422</v>
      </c>
      <c r="AE153" s="18">
        <f>Table46[[#This Row],[MOIS.]]*Table46[[#This Row],[NET WT KGS]]</f>
        <v>500011.19999999995</v>
      </c>
      <c r="AF153" s="18">
        <f>Table46[[#This Row],[KOR]]*Table46[[#This Row],[NET WT KGS]]</f>
        <v>2015429.7599999998</v>
      </c>
      <c r="AG153">
        <f>Table46[[#This Row],[NET WT KGS]]*Table46[[#This Row],[NUT COUNT]]</f>
        <v>7265120</v>
      </c>
    </row>
    <row r="154" spans="1:33" x14ac:dyDescent="0.35">
      <c r="A154" s="32">
        <f t="shared" si="14"/>
        <v>152</v>
      </c>
      <c r="B154" s="75">
        <v>46083</v>
      </c>
      <c r="C154" s="75">
        <v>46083</v>
      </c>
      <c r="D154" s="50" t="s">
        <v>38</v>
      </c>
      <c r="E154" s="50" t="s">
        <v>39</v>
      </c>
      <c r="F154" s="50" t="s">
        <v>40</v>
      </c>
      <c r="G154" s="10" t="s">
        <v>350</v>
      </c>
      <c r="H154" s="50" t="s">
        <v>286</v>
      </c>
      <c r="I154" s="50" t="s">
        <v>287</v>
      </c>
      <c r="J154" s="76" t="s">
        <v>288</v>
      </c>
      <c r="K154" s="21" t="s">
        <v>289</v>
      </c>
      <c r="L154" s="50">
        <v>1213</v>
      </c>
      <c r="M154" s="10">
        <v>72578</v>
      </c>
      <c r="N154" s="50">
        <v>477</v>
      </c>
      <c r="O154" s="51">
        <f t="shared" si="15"/>
        <v>40640</v>
      </c>
      <c r="P154" s="51">
        <v>40163</v>
      </c>
      <c r="Q154" s="50">
        <v>464</v>
      </c>
      <c r="R154" s="67">
        <v>0</v>
      </c>
      <c r="S154" s="50">
        <v>13</v>
      </c>
      <c r="T154" s="50">
        <v>52</v>
      </c>
      <c r="U154" s="51">
        <f>Table46[[#This Row],[NET WT KGS]]-Table46[[#This Row],[Refraction]]</f>
        <v>40111</v>
      </c>
      <c r="V154" s="23">
        <v>475</v>
      </c>
      <c r="W154" s="23">
        <f>Table46[[#This Row],[PRICE]]*Table46[[#This Row],[PAID WT]]</f>
        <v>19052725</v>
      </c>
      <c r="X154" s="53">
        <v>9.5</v>
      </c>
      <c r="Y154" s="54">
        <v>160</v>
      </c>
      <c r="Z154" s="53">
        <v>45.84</v>
      </c>
      <c r="AA154" s="55"/>
      <c r="AB154" s="50" t="s">
        <v>46</v>
      </c>
      <c r="AC154" s="56"/>
      <c r="AD154" s="63" t="s">
        <v>422</v>
      </c>
      <c r="AE154" s="18">
        <f>Table46[[#This Row],[MOIS.]]*Table46[[#This Row],[NET WT KGS]]</f>
        <v>381548.5</v>
      </c>
      <c r="AF154" s="18">
        <f>Table46[[#This Row],[KOR]]*Table46[[#This Row],[NET WT KGS]]</f>
        <v>1841071.9200000002</v>
      </c>
      <c r="AG154">
        <f>Table46[[#This Row],[NET WT KGS]]*Table46[[#This Row],[NUT COUNT]]</f>
        <v>6426080</v>
      </c>
    </row>
    <row r="155" spans="1:33" x14ac:dyDescent="0.35">
      <c r="A155" s="32">
        <f t="shared" si="14"/>
        <v>153</v>
      </c>
      <c r="B155" s="35">
        <v>46083</v>
      </c>
      <c r="C155" s="35">
        <f>Table46[[#This Row],[DATE OF ARRIVAL]]</f>
        <v>46083</v>
      </c>
      <c r="D155" s="36" t="s">
        <v>38</v>
      </c>
      <c r="E155" s="36" t="s">
        <v>39</v>
      </c>
      <c r="F155" s="36" t="s">
        <v>40</v>
      </c>
      <c r="G155" s="74"/>
      <c r="H155" s="36" t="s">
        <v>112</v>
      </c>
      <c r="I155" s="36" t="s">
        <v>113</v>
      </c>
      <c r="J155" s="74" t="s">
        <v>366</v>
      </c>
      <c r="K155" s="74"/>
      <c r="L155" s="74"/>
      <c r="M155" s="36"/>
      <c r="N155" s="74"/>
      <c r="O155" s="79">
        <f t="shared" si="15"/>
        <v>0</v>
      </c>
      <c r="P155" s="79"/>
      <c r="Q155" s="74"/>
      <c r="R155" s="80"/>
      <c r="S155" s="74"/>
      <c r="T155" s="74"/>
      <c r="U155" s="79">
        <f>Table46[[#This Row],[NET WT KGS]]-Table46[[#This Row],[Refraction]]</f>
        <v>0</v>
      </c>
      <c r="V155" s="81"/>
      <c r="W155" s="81">
        <f>Table46[[#This Row],[PRICE]]*Table46[[#This Row],[PAID WT]]</f>
        <v>0</v>
      </c>
      <c r="X155" s="82">
        <v>9.8000000000000007</v>
      </c>
      <c r="Y155" s="83">
        <v>180</v>
      </c>
      <c r="Z155" s="82">
        <v>44.7</v>
      </c>
      <c r="AA155" s="84"/>
      <c r="AB155" s="74" t="s">
        <v>427</v>
      </c>
      <c r="AC155" s="42" t="s">
        <v>70</v>
      </c>
      <c r="AD155" s="85"/>
      <c r="AE155" s="18">
        <f>Table46[[#This Row],[MOIS.]]*Table46[[#This Row],[NET WT KGS]]</f>
        <v>0</v>
      </c>
      <c r="AF155" s="18">
        <f>Table46[[#This Row],[KOR]]*Table46[[#This Row],[NET WT KGS]]</f>
        <v>0</v>
      </c>
      <c r="AG155">
        <f>Table46[[#This Row],[NET WT KGS]]*Table46[[#This Row],[NUT COUNT]]</f>
        <v>0</v>
      </c>
    </row>
    <row r="156" spans="1:33" x14ac:dyDescent="0.35">
      <c r="A156" s="32">
        <f t="shared" si="14"/>
        <v>154</v>
      </c>
      <c r="B156" s="35">
        <v>46083</v>
      </c>
      <c r="C156" s="35">
        <f>Table46[[#This Row],[DATE OF ARRIVAL]]</f>
        <v>46083</v>
      </c>
      <c r="D156" s="36" t="s">
        <v>38</v>
      </c>
      <c r="E156" s="36" t="s">
        <v>39</v>
      </c>
      <c r="F156" s="36" t="s">
        <v>40</v>
      </c>
      <c r="G156" s="36"/>
      <c r="H156" s="36" t="s">
        <v>235</v>
      </c>
      <c r="I156" s="36" t="s">
        <v>236</v>
      </c>
      <c r="J156" s="36" t="s">
        <v>428</v>
      </c>
      <c r="K156" s="36"/>
      <c r="L156" s="36"/>
      <c r="M156" s="36"/>
      <c r="N156" s="36"/>
      <c r="O156" s="37">
        <f t="shared" si="15"/>
        <v>0</v>
      </c>
      <c r="P156" s="37"/>
      <c r="Q156" s="36"/>
      <c r="R156" s="86"/>
      <c r="S156" s="36"/>
      <c r="T156" s="36"/>
      <c r="U156" s="37">
        <f>Table46[[#This Row],[NET WT KGS]]-Table46[[#This Row],[Refraction]]</f>
        <v>0</v>
      </c>
      <c r="V156" s="38"/>
      <c r="W156" s="38">
        <f>Table46[[#This Row],[PRICE]]*Table46[[#This Row],[PAID WT]]</f>
        <v>0</v>
      </c>
      <c r="X156" s="39">
        <v>7.6</v>
      </c>
      <c r="Y156" s="40">
        <v>160</v>
      </c>
      <c r="Z156" s="39">
        <v>44.79</v>
      </c>
      <c r="AA156" s="41"/>
      <c r="AB156" s="36" t="s">
        <v>429</v>
      </c>
      <c r="AC156" s="42" t="s">
        <v>70</v>
      </c>
      <c r="AD156" s="28"/>
      <c r="AE156" s="18">
        <f>Table46[[#This Row],[MOIS.]]*Table46[[#This Row],[NET WT KGS]]</f>
        <v>0</v>
      </c>
      <c r="AF156" s="18">
        <f>Table46[[#This Row],[KOR]]*Table46[[#This Row],[NET WT KGS]]</f>
        <v>0</v>
      </c>
      <c r="AG156">
        <f>Table46[[#This Row],[NET WT KGS]]*Table46[[#This Row],[NUT COUNT]]</f>
        <v>0</v>
      </c>
    </row>
    <row r="157" spans="1:33" x14ac:dyDescent="0.35">
      <c r="A157" s="32">
        <f t="shared" si="14"/>
        <v>155</v>
      </c>
      <c r="B157" s="75">
        <v>46083</v>
      </c>
      <c r="C157" s="75">
        <v>46084</v>
      </c>
      <c r="D157" s="50" t="s">
        <v>38</v>
      </c>
      <c r="E157" s="50" t="s">
        <v>39</v>
      </c>
      <c r="F157" s="50" t="s">
        <v>40</v>
      </c>
      <c r="G157" s="10" t="s">
        <v>86</v>
      </c>
      <c r="H157" s="10" t="s">
        <v>235</v>
      </c>
      <c r="I157" s="10" t="s">
        <v>236</v>
      </c>
      <c r="J157" s="50" t="s">
        <v>430</v>
      </c>
      <c r="K157" s="33" t="s">
        <v>238</v>
      </c>
      <c r="L157" s="50">
        <v>1216</v>
      </c>
      <c r="M157" s="10">
        <v>68700</v>
      </c>
      <c r="N157" s="50">
        <v>504</v>
      </c>
      <c r="O157" s="51">
        <f t="shared" si="15"/>
        <v>41520</v>
      </c>
      <c r="P157" s="51">
        <v>41016</v>
      </c>
      <c r="Q157" s="50">
        <v>495</v>
      </c>
      <c r="R157" s="67">
        <v>0</v>
      </c>
      <c r="S157" s="50">
        <v>9</v>
      </c>
      <c r="T157" s="10">
        <f t="shared" ref="T157:T166" si="16">S157*4+R157*40</f>
        <v>36</v>
      </c>
      <c r="U157" s="51">
        <f>Table46[[#This Row],[NET WT KGS]]-Table46[[#This Row],[Refraction]]</f>
        <v>40980</v>
      </c>
      <c r="V157" s="52">
        <v>485</v>
      </c>
      <c r="W157" s="52">
        <f>Table46[[#This Row],[PRICE]]*Table46[[#This Row],[PAID WT]]</f>
        <v>19875300</v>
      </c>
      <c r="X157" s="53">
        <v>8.3000000000000007</v>
      </c>
      <c r="Y157" s="54">
        <v>173</v>
      </c>
      <c r="Z157" s="53">
        <v>46.02</v>
      </c>
      <c r="AA157" s="55"/>
      <c r="AB157" s="50" t="s">
        <v>46</v>
      </c>
      <c r="AC157" s="56"/>
      <c r="AD157" s="63" t="s">
        <v>422</v>
      </c>
      <c r="AE157" s="18">
        <f>Table46[[#This Row],[MOIS.]]*Table46[[#This Row],[NET WT KGS]]</f>
        <v>340432.80000000005</v>
      </c>
      <c r="AF157" s="18">
        <f>Table46[[#This Row],[KOR]]*Table46[[#This Row],[NET WT KGS]]</f>
        <v>1887556.32</v>
      </c>
      <c r="AG157">
        <f>Table46[[#This Row],[NET WT KGS]]*Table46[[#This Row],[NUT COUNT]]</f>
        <v>7095768</v>
      </c>
    </row>
    <row r="158" spans="1:33" x14ac:dyDescent="0.35">
      <c r="A158" s="32">
        <f t="shared" si="14"/>
        <v>156</v>
      </c>
      <c r="B158" s="75">
        <v>46084</v>
      </c>
      <c r="C158" s="75">
        <v>46084</v>
      </c>
      <c r="D158" s="50" t="s">
        <v>38</v>
      </c>
      <c r="E158" s="50" t="s">
        <v>39</v>
      </c>
      <c r="F158" s="50" t="s">
        <v>40</v>
      </c>
      <c r="G158" s="10" t="s">
        <v>350</v>
      </c>
      <c r="H158" s="10" t="s">
        <v>338</v>
      </c>
      <c r="I158" s="50" t="s">
        <v>317</v>
      </c>
      <c r="J158" s="50" t="s">
        <v>339</v>
      </c>
      <c r="K158" s="57" t="s">
        <v>340</v>
      </c>
      <c r="L158" s="50">
        <v>1217</v>
      </c>
      <c r="M158" s="10">
        <v>68692</v>
      </c>
      <c r="N158" s="50">
        <v>448</v>
      </c>
      <c r="O158" s="51">
        <f t="shared" si="15"/>
        <v>39120</v>
      </c>
      <c r="P158" s="51">
        <v>38672</v>
      </c>
      <c r="Q158" s="50">
        <v>443</v>
      </c>
      <c r="R158" s="67">
        <v>0</v>
      </c>
      <c r="S158" s="50">
        <v>5</v>
      </c>
      <c r="T158" s="10">
        <f t="shared" si="16"/>
        <v>20</v>
      </c>
      <c r="U158" s="51">
        <f>Table46[[#This Row],[NET WT KGS]]-Table46[[#This Row],[Refraction]]</f>
        <v>38652</v>
      </c>
      <c r="V158" s="52">
        <v>485</v>
      </c>
      <c r="W158" s="52">
        <f>Table46[[#This Row],[PRICE]]*Table46[[#This Row],[PAID WT]]</f>
        <v>18746220</v>
      </c>
      <c r="X158" s="53">
        <v>9</v>
      </c>
      <c r="Y158" s="54">
        <v>170</v>
      </c>
      <c r="Z158" s="53">
        <v>46.11</v>
      </c>
      <c r="AA158" s="55"/>
      <c r="AB158" s="50" t="s">
        <v>284</v>
      </c>
      <c r="AC158" s="56"/>
      <c r="AD158" s="63" t="s">
        <v>422</v>
      </c>
      <c r="AE158" s="18">
        <f>Table46[[#This Row],[MOIS.]]*Table46[[#This Row],[NET WT KGS]]</f>
        <v>348048</v>
      </c>
      <c r="AF158" s="18">
        <f>Table46[[#This Row],[KOR]]*Table46[[#This Row],[NET WT KGS]]</f>
        <v>1783165.92</v>
      </c>
      <c r="AG158">
        <f>Table46[[#This Row],[NET WT KGS]]*Table46[[#This Row],[NUT COUNT]]</f>
        <v>6574240</v>
      </c>
    </row>
    <row r="159" spans="1:33" x14ac:dyDescent="0.35">
      <c r="A159" s="32">
        <f t="shared" si="14"/>
        <v>157</v>
      </c>
      <c r="B159" s="75">
        <v>46084</v>
      </c>
      <c r="C159" s="75">
        <v>46084</v>
      </c>
      <c r="D159" s="50" t="s">
        <v>38</v>
      </c>
      <c r="E159" s="50" t="s">
        <v>39</v>
      </c>
      <c r="F159" s="50" t="s">
        <v>40</v>
      </c>
      <c r="G159" s="10" t="s">
        <v>86</v>
      </c>
      <c r="H159" s="10" t="s">
        <v>105</v>
      </c>
      <c r="I159" s="10" t="s">
        <v>106</v>
      </c>
      <c r="J159" s="50" t="s">
        <v>167</v>
      </c>
      <c r="K159" s="33" t="s">
        <v>108</v>
      </c>
      <c r="L159" s="50">
        <v>1219</v>
      </c>
      <c r="M159" s="10">
        <v>69772</v>
      </c>
      <c r="N159" s="50">
        <v>215</v>
      </c>
      <c r="O159" s="51">
        <f t="shared" si="15"/>
        <v>19180</v>
      </c>
      <c r="P159" s="51">
        <v>18965</v>
      </c>
      <c r="Q159" s="50">
        <v>209</v>
      </c>
      <c r="R159" s="67">
        <v>0</v>
      </c>
      <c r="S159" s="50">
        <v>6</v>
      </c>
      <c r="T159" s="10">
        <f t="shared" si="16"/>
        <v>24</v>
      </c>
      <c r="U159" s="51">
        <f>Table46[[#This Row],[NET WT KGS]]-Table46[[#This Row],[Refraction]]</f>
        <v>18941</v>
      </c>
      <c r="V159" s="52">
        <v>485</v>
      </c>
      <c r="W159" s="52">
        <f>Table46[[#This Row],[PRICE]]*Table46[[#This Row],[PAID WT]]</f>
        <v>9186385</v>
      </c>
      <c r="X159" s="53">
        <v>9.9</v>
      </c>
      <c r="Y159" s="54">
        <v>160</v>
      </c>
      <c r="Z159" s="53">
        <v>46.11</v>
      </c>
      <c r="AA159" s="55"/>
      <c r="AB159" s="50" t="s">
        <v>212</v>
      </c>
      <c r="AC159" s="56"/>
      <c r="AD159" s="63" t="s">
        <v>422</v>
      </c>
      <c r="AE159" s="18">
        <f>Table46[[#This Row],[MOIS.]]*Table46[[#This Row],[NET WT KGS]]</f>
        <v>187753.5</v>
      </c>
      <c r="AF159" s="18">
        <f>Table46[[#This Row],[KOR]]*Table46[[#This Row],[NET WT KGS]]</f>
        <v>874476.15</v>
      </c>
      <c r="AG159">
        <f>Table46[[#This Row],[NET WT KGS]]*Table46[[#This Row],[NUT COUNT]]</f>
        <v>3034400</v>
      </c>
    </row>
    <row r="160" spans="1:33" x14ac:dyDescent="0.35">
      <c r="A160" s="32">
        <f t="shared" si="14"/>
        <v>158</v>
      </c>
      <c r="B160" s="75">
        <v>46084</v>
      </c>
      <c r="C160" s="75">
        <v>46084</v>
      </c>
      <c r="D160" s="50" t="s">
        <v>38</v>
      </c>
      <c r="E160" s="50" t="s">
        <v>39</v>
      </c>
      <c r="F160" s="50" t="s">
        <v>40</v>
      </c>
      <c r="G160" s="10" t="s">
        <v>350</v>
      </c>
      <c r="H160" s="10" t="s">
        <v>136</v>
      </c>
      <c r="I160" s="10" t="s">
        <v>137</v>
      </c>
      <c r="J160" s="50" t="s">
        <v>431</v>
      </c>
      <c r="K160" s="21" t="s">
        <v>139</v>
      </c>
      <c r="L160" s="50">
        <v>1218</v>
      </c>
      <c r="M160" s="10">
        <v>72639</v>
      </c>
      <c r="N160" s="50">
        <v>500</v>
      </c>
      <c r="O160" s="51">
        <f t="shared" si="15"/>
        <v>42080</v>
      </c>
      <c r="P160" s="51">
        <v>41580</v>
      </c>
      <c r="Q160" s="50">
        <v>485</v>
      </c>
      <c r="R160" s="67">
        <v>0</v>
      </c>
      <c r="S160" s="50">
        <v>15</v>
      </c>
      <c r="T160" s="10">
        <f t="shared" si="16"/>
        <v>60</v>
      </c>
      <c r="U160" s="51">
        <f>Table46[[#This Row],[NET WT KGS]]-Table46[[#This Row],[Refraction]]</f>
        <v>41520</v>
      </c>
      <c r="V160" s="52">
        <v>485</v>
      </c>
      <c r="W160" s="52">
        <f>Table46[[#This Row],[PRICE]]*Table46[[#This Row],[PAID WT]]</f>
        <v>20137200</v>
      </c>
      <c r="X160" s="53">
        <v>10</v>
      </c>
      <c r="Y160" s="54">
        <v>177</v>
      </c>
      <c r="Z160" s="53">
        <v>46.02</v>
      </c>
      <c r="AA160" s="55"/>
      <c r="AB160" s="50" t="s">
        <v>140</v>
      </c>
      <c r="AC160" s="56"/>
      <c r="AD160" s="63" t="s">
        <v>422</v>
      </c>
      <c r="AE160" s="18">
        <f>Table46[[#This Row],[MOIS.]]*Table46[[#This Row],[NET WT KGS]]</f>
        <v>415800</v>
      </c>
      <c r="AF160" s="18">
        <f>Table46[[#This Row],[KOR]]*Table46[[#This Row],[NET WT KGS]]</f>
        <v>1913511.6</v>
      </c>
      <c r="AG160">
        <f>Table46[[#This Row],[NET WT KGS]]*Table46[[#This Row],[NUT COUNT]]</f>
        <v>7359660</v>
      </c>
    </row>
    <row r="161" spans="1:33" x14ac:dyDescent="0.35">
      <c r="A161" s="32">
        <f t="shared" si="14"/>
        <v>159</v>
      </c>
      <c r="B161" s="75">
        <v>46084</v>
      </c>
      <c r="C161" s="75">
        <v>46084</v>
      </c>
      <c r="D161" s="50" t="s">
        <v>38</v>
      </c>
      <c r="E161" s="50" t="s">
        <v>39</v>
      </c>
      <c r="F161" s="50" t="s">
        <v>40</v>
      </c>
      <c r="G161" s="10" t="s">
        <v>350</v>
      </c>
      <c r="H161" s="10" t="s">
        <v>235</v>
      </c>
      <c r="I161" s="10" t="s">
        <v>236</v>
      </c>
      <c r="J161" s="50" t="s">
        <v>432</v>
      </c>
      <c r="K161" s="33" t="s">
        <v>238</v>
      </c>
      <c r="L161" s="50">
        <v>1220</v>
      </c>
      <c r="M161" s="10">
        <v>68666</v>
      </c>
      <c r="N161" s="50">
        <v>463</v>
      </c>
      <c r="O161" s="51">
        <f t="shared" si="15"/>
        <v>40300</v>
      </c>
      <c r="P161" s="51">
        <v>39837</v>
      </c>
      <c r="Q161" s="50">
        <v>450</v>
      </c>
      <c r="R161" s="67">
        <v>0</v>
      </c>
      <c r="S161" s="50">
        <v>13</v>
      </c>
      <c r="T161" s="10">
        <f t="shared" si="16"/>
        <v>52</v>
      </c>
      <c r="U161" s="51">
        <f>Table46[[#This Row],[NET WT KGS]]-Table46[[#This Row],[Refraction]]</f>
        <v>39785</v>
      </c>
      <c r="V161" s="52">
        <v>485</v>
      </c>
      <c r="W161" s="52">
        <f>Table46[[#This Row],[PRICE]]*Table46[[#This Row],[PAID WT]]</f>
        <v>19295725</v>
      </c>
      <c r="X161" s="53">
        <v>8</v>
      </c>
      <c r="Y161" s="54">
        <v>172</v>
      </c>
      <c r="Z161" s="53">
        <v>46.02</v>
      </c>
      <c r="AA161" s="55"/>
      <c r="AB161" s="50" t="s">
        <v>58</v>
      </c>
      <c r="AC161" s="56"/>
      <c r="AD161" s="63" t="s">
        <v>422</v>
      </c>
      <c r="AE161" s="18">
        <f>Table46[[#This Row],[MOIS.]]*Table46[[#This Row],[NET WT KGS]]</f>
        <v>318696</v>
      </c>
      <c r="AF161" s="18">
        <f>Table46[[#This Row],[KOR]]*Table46[[#This Row],[NET WT KGS]]</f>
        <v>1833298.7400000002</v>
      </c>
      <c r="AG161">
        <f>Table46[[#This Row],[NET WT KGS]]*Table46[[#This Row],[NUT COUNT]]</f>
        <v>6851964</v>
      </c>
    </row>
    <row r="162" spans="1:33" x14ac:dyDescent="0.35">
      <c r="A162" s="32">
        <f t="shared" si="14"/>
        <v>160</v>
      </c>
      <c r="B162" s="75">
        <v>46084</v>
      </c>
      <c r="C162" s="75">
        <v>46084</v>
      </c>
      <c r="D162" s="50" t="s">
        <v>38</v>
      </c>
      <c r="E162" s="50" t="s">
        <v>39</v>
      </c>
      <c r="F162" s="50" t="s">
        <v>40</v>
      </c>
      <c r="G162" s="10" t="s">
        <v>350</v>
      </c>
      <c r="H162" s="10" t="s">
        <v>87</v>
      </c>
      <c r="I162" s="10" t="s">
        <v>88</v>
      </c>
      <c r="J162" s="50" t="s">
        <v>433</v>
      </c>
      <c r="K162" s="33" t="s">
        <v>90</v>
      </c>
      <c r="L162" s="50">
        <v>1222</v>
      </c>
      <c r="M162" s="10">
        <v>68653</v>
      </c>
      <c r="N162" s="50">
        <v>517</v>
      </c>
      <c r="O162" s="51">
        <f t="shared" si="15"/>
        <v>40200</v>
      </c>
      <c r="P162" s="51">
        <v>39683</v>
      </c>
      <c r="Q162" s="50">
        <v>507</v>
      </c>
      <c r="R162" s="67">
        <v>0</v>
      </c>
      <c r="S162" s="50">
        <v>10</v>
      </c>
      <c r="T162" s="10">
        <f t="shared" si="16"/>
        <v>40</v>
      </c>
      <c r="U162" s="51">
        <f>Table46[[#This Row],[NET WT KGS]]-Table46[[#This Row],[Refraction]]</f>
        <v>39643</v>
      </c>
      <c r="V162" s="52">
        <v>480</v>
      </c>
      <c r="W162" s="52">
        <f>Table46[[#This Row],[PRICE]]*Table46[[#This Row],[PAID WT]]</f>
        <v>19028640</v>
      </c>
      <c r="X162" s="53">
        <v>9.9</v>
      </c>
      <c r="Y162" s="54">
        <v>180</v>
      </c>
      <c r="Z162" s="53">
        <v>45.4</v>
      </c>
      <c r="AA162" s="55"/>
      <c r="AB162" s="50" t="s">
        <v>132</v>
      </c>
      <c r="AC162" s="56"/>
      <c r="AD162" s="63" t="s">
        <v>422</v>
      </c>
      <c r="AE162" s="18">
        <f>Table46[[#This Row],[MOIS.]]*Table46[[#This Row],[NET WT KGS]]</f>
        <v>392861.7</v>
      </c>
      <c r="AF162" s="18">
        <f>Table46[[#This Row],[KOR]]*Table46[[#This Row],[NET WT KGS]]</f>
        <v>1801608.2</v>
      </c>
      <c r="AG162">
        <f>Table46[[#This Row],[NET WT KGS]]*Table46[[#This Row],[NUT COUNT]]</f>
        <v>7142940</v>
      </c>
    </row>
    <row r="163" spans="1:33" x14ac:dyDescent="0.35">
      <c r="A163" s="32">
        <f t="shared" si="14"/>
        <v>161</v>
      </c>
      <c r="B163" s="75">
        <v>46084</v>
      </c>
      <c r="C163" s="75">
        <v>46084</v>
      </c>
      <c r="D163" s="50" t="s">
        <v>38</v>
      </c>
      <c r="E163" s="10" t="s">
        <v>258</v>
      </c>
      <c r="F163" s="50" t="s">
        <v>40</v>
      </c>
      <c r="G163" s="10" t="s">
        <v>86</v>
      </c>
      <c r="H163" s="50" t="s">
        <v>373</v>
      </c>
      <c r="I163" s="50" t="s">
        <v>92</v>
      </c>
      <c r="J163" s="50" t="s">
        <v>434</v>
      </c>
      <c r="K163" s="57" t="s">
        <v>435</v>
      </c>
      <c r="L163" s="50">
        <v>1224</v>
      </c>
      <c r="M163" s="10">
        <v>76020</v>
      </c>
      <c r="N163" s="50">
        <v>471</v>
      </c>
      <c r="O163" s="51">
        <f t="shared" si="15"/>
        <v>40360</v>
      </c>
      <c r="P163" s="51">
        <v>39889</v>
      </c>
      <c r="Q163" s="50">
        <v>466</v>
      </c>
      <c r="R163" s="67">
        <v>0</v>
      </c>
      <c r="S163" s="50">
        <v>5</v>
      </c>
      <c r="T163" s="10">
        <f t="shared" si="16"/>
        <v>20</v>
      </c>
      <c r="U163" s="51">
        <f>Table46[[#This Row],[NET WT KGS]]-Table46[[#This Row],[Refraction]]</f>
        <v>39869</v>
      </c>
      <c r="V163" s="61">
        <v>495</v>
      </c>
      <c r="W163" s="52">
        <f>Table46[[#This Row],[PRICE]]*Table46[[#This Row],[PAID WT]]</f>
        <v>19735155</v>
      </c>
      <c r="X163" s="53">
        <v>8.6999999999999993</v>
      </c>
      <c r="Y163" s="54">
        <v>179</v>
      </c>
      <c r="Z163" s="53">
        <v>46.11</v>
      </c>
      <c r="AA163" s="55"/>
      <c r="AB163" s="50" t="s">
        <v>308</v>
      </c>
      <c r="AC163" s="56"/>
      <c r="AD163" s="63" t="s">
        <v>422</v>
      </c>
      <c r="AE163" s="18">
        <f>Table46[[#This Row],[MOIS.]]*Table46[[#This Row],[NET WT KGS]]</f>
        <v>347034.3</v>
      </c>
      <c r="AF163" s="18">
        <f>Table46[[#This Row],[KOR]]*Table46[[#This Row],[NET WT KGS]]</f>
        <v>1839281.79</v>
      </c>
      <c r="AG163">
        <f>Table46[[#This Row],[NET WT KGS]]*Table46[[#This Row],[NUT COUNT]]</f>
        <v>7140131</v>
      </c>
    </row>
    <row r="164" spans="1:33" x14ac:dyDescent="0.35">
      <c r="A164" s="32">
        <f t="shared" si="14"/>
        <v>162</v>
      </c>
      <c r="B164" s="75">
        <v>46084</v>
      </c>
      <c r="C164" s="75">
        <v>46084</v>
      </c>
      <c r="D164" s="50" t="s">
        <v>38</v>
      </c>
      <c r="E164" s="50" t="s">
        <v>39</v>
      </c>
      <c r="F164" s="50" t="s">
        <v>40</v>
      </c>
      <c r="G164" s="10" t="s">
        <v>86</v>
      </c>
      <c r="H164" s="10" t="s">
        <v>280</v>
      </c>
      <c r="I164" s="10" t="s">
        <v>281</v>
      </c>
      <c r="J164" s="50" t="s">
        <v>436</v>
      </c>
      <c r="K164" s="21" t="s">
        <v>283</v>
      </c>
      <c r="L164" s="50">
        <v>1221</v>
      </c>
      <c r="M164" s="10">
        <v>77608</v>
      </c>
      <c r="N164" s="50">
        <v>531</v>
      </c>
      <c r="O164" s="51">
        <f t="shared" si="15"/>
        <v>42740</v>
      </c>
      <c r="P164" s="51">
        <v>42209</v>
      </c>
      <c r="Q164" s="50">
        <v>521</v>
      </c>
      <c r="R164" s="67">
        <v>0</v>
      </c>
      <c r="S164" s="50">
        <v>10</v>
      </c>
      <c r="T164" s="10">
        <f t="shared" si="16"/>
        <v>40</v>
      </c>
      <c r="U164" s="51">
        <f>Table46[[#This Row],[NET WT KGS]]-Table46[[#This Row],[Refraction]]</f>
        <v>42169</v>
      </c>
      <c r="V164" s="52">
        <v>485</v>
      </c>
      <c r="W164" s="52">
        <f>Table46[[#This Row],[PRICE]]*Table46[[#This Row],[PAID WT]]</f>
        <v>20451965</v>
      </c>
      <c r="X164" s="53">
        <v>9.1</v>
      </c>
      <c r="Y164" s="54">
        <v>173</v>
      </c>
      <c r="Z164" s="53">
        <v>46.37</v>
      </c>
      <c r="AA164" s="55"/>
      <c r="AB164" s="50" t="s">
        <v>284</v>
      </c>
      <c r="AC164" s="56"/>
      <c r="AD164" s="63" t="s">
        <v>422</v>
      </c>
      <c r="AE164" s="18">
        <f>Table46[[#This Row],[MOIS.]]*Table46[[#This Row],[NET WT KGS]]</f>
        <v>384101.89999999997</v>
      </c>
      <c r="AF164" s="18">
        <f>Table46[[#This Row],[KOR]]*Table46[[#This Row],[NET WT KGS]]</f>
        <v>1957231.3299999998</v>
      </c>
      <c r="AG164">
        <f>Table46[[#This Row],[NET WT KGS]]*Table46[[#This Row],[NUT COUNT]]</f>
        <v>7302157</v>
      </c>
    </row>
    <row r="165" spans="1:33" x14ac:dyDescent="0.35">
      <c r="A165" s="32">
        <f t="shared" si="14"/>
        <v>163</v>
      </c>
      <c r="B165" s="75">
        <v>46084</v>
      </c>
      <c r="C165" s="75">
        <v>46084</v>
      </c>
      <c r="D165" s="50" t="s">
        <v>38</v>
      </c>
      <c r="E165" s="50" t="s">
        <v>39</v>
      </c>
      <c r="F165" s="50" t="s">
        <v>40</v>
      </c>
      <c r="G165" s="10" t="s">
        <v>86</v>
      </c>
      <c r="H165" s="10" t="s">
        <v>74</v>
      </c>
      <c r="I165" s="10" t="s">
        <v>75</v>
      </c>
      <c r="J165" s="50" t="s">
        <v>269</v>
      </c>
      <c r="K165" s="33" t="s">
        <v>77</v>
      </c>
      <c r="L165" s="50">
        <v>1223</v>
      </c>
      <c r="M165" s="10">
        <v>72640</v>
      </c>
      <c r="N165" s="50">
        <v>507</v>
      </c>
      <c r="O165" s="51">
        <f t="shared" si="15"/>
        <v>45800</v>
      </c>
      <c r="P165" s="51">
        <v>45293</v>
      </c>
      <c r="Q165" s="50">
        <v>492</v>
      </c>
      <c r="R165" s="67">
        <v>0</v>
      </c>
      <c r="S165" s="50">
        <v>15</v>
      </c>
      <c r="T165" s="10">
        <f t="shared" si="16"/>
        <v>60</v>
      </c>
      <c r="U165" s="51">
        <f>Table46[[#This Row],[NET WT KGS]]-Table46[[#This Row],[Refraction]]</f>
        <v>45233</v>
      </c>
      <c r="V165" s="52">
        <v>485</v>
      </c>
      <c r="W165" s="52">
        <f>Table46[[#This Row],[PRICE]]*Table46[[#This Row],[PAID WT]]</f>
        <v>21938005</v>
      </c>
      <c r="X165" s="53">
        <v>9.4</v>
      </c>
      <c r="Y165" s="54">
        <v>173</v>
      </c>
      <c r="Z165" s="53">
        <v>46.11</v>
      </c>
      <c r="AA165" s="55"/>
      <c r="AB165" s="10" t="s">
        <v>78</v>
      </c>
      <c r="AC165" s="56"/>
      <c r="AD165" s="63" t="s">
        <v>422</v>
      </c>
      <c r="AE165" s="18">
        <f>Table46[[#This Row],[MOIS.]]*Table46[[#This Row],[NET WT KGS]]</f>
        <v>425754.2</v>
      </c>
      <c r="AF165" s="18">
        <f>Table46[[#This Row],[KOR]]*Table46[[#This Row],[NET WT KGS]]</f>
        <v>2088460.23</v>
      </c>
      <c r="AG165">
        <f>Table46[[#This Row],[NET WT KGS]]*Table46[[#This Row],[NUT COUNT]]</f>
        <v>7835689</v>
      </c>
    </row>
    <row r="166" spans="1:33" x14ac:dyDescent="0.35">
      <c r="A166" s="32">
        <f t="shared" si="14"/>
        <v>164</v>
      </c>
      <c r="B166" s="75">
        <v>46084</v>
      </c>
      <c r="C166" s="75">
        <v>46084</v>
      </c>
      <c r="D166" s="50" t="s">
        <v>38</v>
      </c>
      <c r="E166" s="50" t="s">
        <v>39</v>
      </c>
      <c r="F166" s="50" t="s">
        <v>40</v>
      </c>
      <c r="G166" s="10" t="s">
        <v>350</v>
      </c>
      <c r="H166" s="10" t="s">
        <v>154</v>
      </c>
      <c r="I166" s="10" t="s">
        <v>155</v>
      </c>
      <c r="J166" s="50" t="s">
        <v>311</v>
      </c>
      <c r="K166" s="33" t="s">
        <v>157</v>
      </c>
      <c r="L166" s="50">
        <v>1225</v>
      </c>
      <c r="M166" s="10" t="s">
        <v>437</v>
      </c>
      <c r="N166" s="50">
        <v>402</v>
      </c>
      <c r="O166" s="51">
        <f t="shared" si="15"/>
        <v>33040</v>
      </c>
      <c r="P166" s="51">
        <v>32638</v>
      </c>
      <c r="Q166" s="50">
        <v>387</v>
      </c>
      <c r="R166" s="67">
        <v>0</v>
      </c>
      <c r="S166" s="50">
        <v>15</v>
      </c>
      <c r="T166" s="10">
        <f t="shared" si="16"/>
        <v>60</v>
      </c>
      <c r="U166" s="51">
        <f>Table46[[#This Row],[NET WT KGS]]-Table46[[#This Row],[Refraction]]</f>
        <v>32578</v>
      </c>
      <c r="V166" s="52">
        <v>480</v>
      </c>
      <c r="W166" s="52">
        <f>Table46[[#This Row],[PRICE]]*Table46[[#This Row],[PAID WT]]</f>
        <v>15637440</v>
      </c>
      <c r="X166" s="53">
        <v>9.6</v>
      </c>
      <c r="Y166" s="54">
        <v>179</v>
      </c>
      <c r="Z166" s="53">
        <v>45.58</v>
      </c>
      <c r="AA166" s="55"/>
      <c r="AB166" s="10" t="s">
        <v>78</v>
      </c>
      <c r="AC166" s="56"/>
      <c r="AD166" s="63" t="s">
        <v>422</v>
      </c>
      <c r="AE166" s="18">
        <f>Table46[[#This Row],[MOIS.]]*Table46[[#This Row],[NET WT KGS]]</f>
        <v>313324.79999999999</v>
      </c>
      <c r="AF166" s="18">
        <f>Table46[[#This Row],[KOR]]*Table46[[#This Row],[NET WT KGS]]</f>
        <v>1487640.04</v>
      </c>
      <c r="AG166">
        <f>Table46[[#This Row],[NET WT KGS]]*Table46[[#This Row],[NUT COUNT]]</f>
        <v>5842202</v>
      </c>
    </row>
    <row r="167" spans="1:33" x14ac:dyDescent="0.35">
      <c r="A167" s="32">
        <f t="shared" si="14"/>
        <v>165</v>
      </c>
      <c r="B167" s="35">
        <v>46084</v>
      </c>
      <c r="C167" s="35">
        <f>Table46[[#This Row],[DATE OF ARRIVAL]]</f>
        <v>46084</v>
      </c>
      <c r="D167" s="36" t="s">
        <v>38</v>
      </c>
      <c r="E167" s="36" t="s">
        <v>39</v>
      </c>
      <c r="F167" s="36" t="s">
        <v>40</v>
      </c>
      <c r="G167" s="36"/>
      <c r="H167" s="36" t="s">
        <v>128</v>
      </c>
      <c r="I167" s="36" t="s">
        <v>129</v>
      </c>
      <c r="J167" s="36" t="s">
        <v>438</v>
      </c>
      <c r="K167" s="36"/>
      <c r="L167" s="36"/>
      <c r="M167" s="36"/>
      <c r="N167" s="36"/>
      <c r="O167" s="37">
        <f t="shared" si="15"/>
        <v>0</v>
      </c>
      <c r="P167" s="37"/>
      <c r="Q167" s="36"/>
      <c r="R167" s="86"/>
      <c r="S167" s="36"/>
      <c r="T167" s="36"/>
      <c r="U167" s="37">
        <f>Table46[[#This Row],[NET WT KGS]]-Table46[[#This Row],[Refraction]]</f>
        <v>0</v>
      </c>
      <c r="V167" s="38"/>
      <c r="W167" s="38">
        <f>Table46[[#This Row],[PRICE]]*Table46[[#This Row],[PAID WT]]</f>
        <v>0</v>
      </c>
      <c r="X167" s="39">
        <v>8.1999999999999993</v>
      </c>
      <c r="Y167" s="40">
        <v>182</v>
      </c>
      <c r="Z167" s="39">
        <v>43.64</v>
      </c>
      <c r="AA167" s="41"/>
      <c r="AB167" s="36" t="s">
        <v>132</v>
      </c>
      <c r="AC167" s="42" t="s">
        <v>70</v>
      </c>
      <c r="AD167" s="63"/>
      <c r="AE167" s="18">
        <f>Table46[[#This Row],[MOIS.]]*Table46[[#This Row],[NET WT KGS]]</f>
        <v>0</v>
      </c>
      <c r="AF167" s="18">
        <f>Table46[[#This Row],[KOR]]*Table46[[#This Row],[NET WT KGS]]</f>
        <v>0</v>
      </c>
      <c r="AG167">
        <f>Table46[[#This Row],[NET WT KGS]]*Table46[[#This Row],[NUT COUNT]]</f>
        <v>0</v>
      </c>
    </row>
    <row r="168" spans="1:33" x14ac:dyDescent="0.35">
      <c r="A168" s="32">
        <f t="shared" si="14"/>
        <v>166</v>
      </c>
      <c r="B168" s="35">
        <v>46084</v>
      </c>
      <c r="C168" s="35">
        <f>Table46[[#This Row],[DATE OF ARRIVAL]]</f>
        <v>46084</v>
      </c>
      <c r="D168" s="36" t="s">
        <v>38</v>
      </c>
      <c r="E168" s="36" t="s">
        <v>39</v>
      </c>
      <c r="F168" s="36" t="s">
        <v>40</v>
      </c>
      <c r="G168" s="36"/>
      <c r="H168" s="36" t="s">
        <v>123</v>
      </c>
      <c r="I168" s="36" t="s">
        <v>124</v>
      </c>
      <c r="J168" s="36" t="s">
        <v>125</v>
      </c>
      <c r="K168" s="36"/>
      <c r="L168" s="36"/>
      <c r="M168" s="36"/>
      <c r="N168" s="36"/>
      <c r="O168" s="37">
        <f t="shared" si="15"/>
        <v>0</v>
      </c>
      <c r="P168" s="37"/>
      <c r="Q168" s="36"/>
      <c r="R168" s="86"/>
      <c r="S168" s="36"/>
      <c r="T168" s="36"/>
      <c r="U168" s="37">
        <f>Table46[[#This Row],[NET WT KGS]]-Table46[[#This Row],[Refraction]]</f>
        <v>0</v>
      </c>
      <c r="V168" s="38"/>
      <c r="W168" s="38">
        <f>Table46[[#This Row],[PRICE]]*Table46[[#This Row],[PAID WT]]</f>
        <v>0</v>
      </c>
      <c r="X168" s="39">
        <v>11.8</v>
      </c>
      <c r="Y168" s="40">
        <v>175</v>
      </c>
      <c r="Z168" s="39">
        <v>44.44</v>
      </c>
      <c r="AA168" s="41"/>
      <c r="AB168" s="36" t="s">
        <v>398</v>
      </c>
      <c r="AC168" s="42" t="s">
        <v>70</v>
      </c>
      <c r="AD168" s="63"/>
      <c r="AE168" s="18">
        <f>Table46[[#This Row],[MOIS.]]*Table46[[#This Row],[NET WT KGS]]</f>
        <v>0</v>
      </c>
      <c r="AF168" s="18">
        <f>Table46[[#This Row],[KOR]]*Table46[[#This Row],[NET WT KGS]]</f>
        <v>0</v>
      </c>
      <c r="AG168">
        <f>Table46[[#This Row],[NET WT KGS]]*Table46[[#This Row],[NUT COUNT]]</f>
        <v>0</v>
      </c>
    </row>
    <row r="169" spans="1:33" x14ac:dyDescent="0.35">
      <c r="A169" s="32">
        <f t="shared" si="14"/>
        <v>167</v>
      </c>
      <c r="B169" s="35">
        <v>46084</v>
      </c>
      <c r="C169" s="35">
        <f>Table46[[#This Row],[DATE OF ARRIVAL]]</f>
        <v>46084</v>
      </c>
      <c r="D169" s="36" t="s">
        <v>38</v>
      </c>
      <c r="E169" s="36" t="s">
        <v>39</v>
      </c>
      <c r="F169" s="36" t="s">
        <v>40</v>
      </c>
      <c r="G169" s="36"/>
      <c r="H169" s="36" t="s">
        <v>74</v>
      </c>
      <c r="I169" s="36" t="s">
        <v>75</v>
      </c>
      <c r="J169" s="36" t="s">
        <v>227</v>
      </c>
      <c r="K169" s="36"/>
      <c r="L169" s="36"/>
      <c r="M169" s="36"/>
      <c r="N169" s="36"/>
      <c r="O169" s="37">
        <f t="shared" si="15"/>
        <v>0</v>
      </c>
      <c r="P169" s="37"/>
      <c r="Q169" s="36"/>
      <c r="R169" s="86"/>
      <c r="S169" s="36"/>
      <c r="T169" s="36"/>
      <c r="U169" s="37">
        <f>Table46[[#This Row],[NET WT KGS]]-Table46[[#This Row],[Refraction]]</f>
        <v>0</v>
      </c>
      <c r="V169" s="38"/>
      <c r="W169" s="38">
        <f>Table46[[#This Row],[PRICE]]*Table46[[#This Row],[PAID WT]]</f>
        <v>0</v>
      </c>
      <c r="X169" s="39">
        <v>12</v>
      </c>
      <c r="Y169" s="40">
        <v>160</v>
      </c>
      <c r="Z169" s="39">
        <v>44.17</v>
      </c>
      <c r="AA169" s="41"/>
      <c r="AB169" s="36" t="s">
        <v>78</v>
      </c>
      <c r="AC169" s="42" t="s">
        <v>70</v>
      </c>
      <c r="AD169" s="63"/>
      <c r="AE169" s="18">
        <f>Table46[[#This Row],[MOIS.]]*Table46[[#This Row],[NET WT KGS]]</f>
        <v>0</v>
      </c>
      <c r="AF169" s="18">
        <f>Table46[[#This Row],[KOR]]*Table46[[#This Row],[NET WT KGS]]</f>
        <v>0</v>
      </c>
      <c r="AG169">
        <f>Table46[[#This Row],[NET WT KGS]]*Table46[[#This Row],[NUT COUNT]]</f>
        <v>0</v>
      </c>
    </row>
    <row r="170" spans="1:33" x14ac:dyDescent="0.35">
      <c r="A170" s="32">
        <f t="shared" si="14"/>
        <v>168</v>
      </c>
      <c r="B170" s="35">
        <v>46084</v>
      </c>
      <c r="C170" s="35">
        <f>Table46[[#This Row],[DATE OF ARRIVAL]]</f>
        <v>46084</v>
      </c>
      <c r="D170" s="36" t="s">
        <v>38</v>
      </c>
      <c r="E170" s="36" t="s">
        <v>39</v>
      </c>
      <c r="F170" s="36" t="s">
        <v>40</v>
      </c>
      <c r="G170" s="36"/>
      <c r="H170" s="36" t="s">
        <v>42</v>
      </c>
      <c r="I170" s="36" t="s">
        <v>43</v>
      </c>
      <c r="J170" s="36" t="s">
        <v>439</v>
      </c>
      <c r="K170" s="36"/>
      <c r="L170" s="36"/>
      <c r="M170" s="36"/>
      <c r="N170" s="36"/>
      <c r="O170" s="37">
        <f t="shared" si="15"/>
        <v>0</v>
      </c>
      <c r="P170" s="37"/>
      <c r="Q170" s="36"/>
      <c r="R170" s="86"/>
      <c r="S170" s="36"/>
      <c r="T170" s="36"/>
      <c r="U170" s="37">
        <f>Table46[[#This Row],[NET WT KGS]]-Table46[[#This Row],[Refraction]]</f>
        <v>0</v>
      </c>
      <c r="V170" s="38"/>
      <c r="W170" s="38">
        <f>Table46[[#This Row],[PRICE]]*Table46[[#This Row],[PAID WT]]</f>
        <v>0</v>
      </c>
      <c r="X170" s="39">
        <v>8</v>
      </c>
      <c r="Y170" s="40">
        <v>184</v>
      </c>
      <c r="Z170" s="39">
        <v>44.35</v>
      </c>
      <c r="AA170" s="41"/>
      <c r="AB170" s="36" t="s">
        <v>182</v>
      </c>
      <c r="AC170" s="42" t="s">
        <v>70</v>
      </c>
      <c r="AD170" s="63"/>
      <c r="AE170" s="18">
        <f>Table46[[#This Row],[MOIS.]]*Table46[[#This Row],[NET WT KGS]]</f>
        <v>0</v>
      </c>
      <c r="AF170" s="18">
        <f>Table46[[#This Row],[KOR]]*Table46[[#This Row],[NET WT KGS]]</f>
        <v>0</v>
      </c>
      <c r="AG170">
        <f>Table46[[#This Row],[NET WT KGS]]*Table46[[#This Row],[NUT COUNT]]</f>
        <v>0</v>
      </c>
    </row>
    <row r="171" spans="1:33" x14ac:dyDescent="0.35">
      <c r="A171" s="32">
        <f t="shared" si="14"/>
        <v>169</v>
      </c>
      <c r="B171" s="35">
        <v>46084</v>
      </c>
      <c r="C171" s="35">
        <f>Table46[[#This Row],[DATE OF ARRIVAL]]</f>
        <v>46084</v>
      </c>
      <c r="D171" s="36" t="s">
        <v>38</v>
      </c>
      <c r="E171" s="36" t="s">
        <v>39</v>
      </c>
      <c r="F171" s="36" t="s">
        <v>40</v>
      </c>
      <c r="G171" s="36"/>
      <c r="H171" s="36" t="s">
        <v>215</v>
      </c>
      <c r="I171" s="36" t="s">
        <v>216</v>
      </c>
      <c r="J171" s="36" t="s">
        <v>440</v>
      </c>
      <c r="K171" s="36"/>
      <c r="L171" s="36"/>
      <c r="M171" s="36"/>
      <c r="N171" s="36"/>
      <c r="O171" s="37">
        <f t="shared" si="15"/>
        <v>0</v>
      </c>
      <c r="P171" s="37"/>
      <c r="Q171" s="36"/>
      <c r="R171" s="86"/>
      <c r="S171" s="36"/>
      <c r="T171" s="36"/>
      <c r="U171" s="37">
        <f>Table46[[#This Row],[NET WT KGS]]-Table46[[#This Row],[Refraction]]</f>
        <v>0</v>
      </c>
      <c r="V171" s="38"/>
      <c r="W171" s="38">
        <f>Table46[[#This Row],[PRICE]]*Table46[[#This Row],[PAID WT]]</f>
        <v>0</v>
      </c>
      <c r="X171" s="39">
        <v>9.1</v>
      </c>
      <c r="Y171" s="40">
        <v>171</v>
      </c>
      <c r="Z171" s="39">
        <v>44.26</v>
      </c>
      <c r="AA171" s="41"/>
      <c r="AB171" s="36" t="s">
        <v>150</v>
      </c>
      <c r="AC171" s="42" t="s">
        <v>70</v>
      </c>
      <c r="AD171" s="63"/>
      <c r="AE171" s="18">
        <f>Table46[[#This Row],[MOIS.]]*Table46[[#This Row],[NET WT KGS]]</f>
        <v>0</v>
      </c>
      <c r="AF171" s="18">
        <f>Table46[[#This Row],[KOR]]*Table46[[#This Row],[NET WT KGS]]</f>
        <v>0</v>
      </c>
      <c r="AG171">
        <f>Table46[[#This Row],[NET WT KGS]]*Table46[[#This Row],[NUT COUNT]]</f>
        <v>0</v>
      </c>
    </row>
    <row r="172" spans="1:33" x14ac:dyDescent="0.35">
      <c r="A172" s="32">
        <f t="shared" si="14"/>
        <v>170</v>
      </c>
      <c r="B172" s="35">
        <v>46084</v>
      </c>
      <c r="C172" s="35">
        <f>Table46[[#This Row],[DATE OF ARRIVAL]]</f>
        <v>46084</v>
      </c>
      <c r="D172" s="36" t="s">
        <v>38</v>
      </c>
      <c r="E172" s="36" t="s">
        <v>258</v>
      </c>
      <c r="F172" s="36" t="s">
        <v>40</v>
      </c>
      <c r="G172" s="36"/>
      <c r="H172" s="36" t="s">
        <v>390</v>
      </c>
      <c r="I172" s="36" t="s">
        <v>99</v>
      </c>
      <c r="J172" s="36" t="s">
        <v>441</v>
      </c>
      <c r="K172" s="36"/>
      <c r="L172" s="36"/>
      <c r="M172" s="36"/>
      <c r="N172" s="36"/>
      <c r="O172" s="37">
        <f t="shared" si="15"/>
        <v>0</v>
      </c>
      <c r="P172" s="37"/>
      <c r="Q172" s="36"/>
      <c r="R172" s="86"/>
      <c r="S172" s="36"/>
      <c r="T172" s="36"/>
      <c r="U172" s="37">
        <f>Table46[[#This Row],[NET WT KGS]]-Table46[[#This Row],[Refraction]]</f>
        <v>0</v>
      </c>
      <c r="V172" s="38"/>
      <c r="W172" s="38">
        <f>Table46[[#This Row],[PRICE]]*Table46[[#This Row],[PAID WT]]</f>
        <v>0</v>
      </c>
      <c r="X172" s="39">
        <v>7.1</v>
      </c>
      <c r="Y172" s="40">
        <v>202</v>
      </c>
      <c r="Z172" s="39">
        <v>42.94</v>
      </c>
      <c r="AA172" s="41"/>
      <c r="AB172" s="36" t="s">
        <v>415</v>
      </c>
      <c r="AC172" s="42" t="s">
        <v>70</v>
      </c>
      <c r="AD172" s="63"/>
      <c r="AE172" s="18">
        <f>Table46[[#This Row],[MOIS.]]*Table46[[#This Row],[NET WT KGS]]</f>
        <v>0</v>
      </c>
      <c r="AF172" s="18">
        <f>Table46[[#This Row],[KOR]]*Table46[[#This Row],[NET WT KGS]]</f>
        <v>0</v>
      </c>
      <c r="AG172">
        <f>Table46[[#This Row],[NET WT KGS]]*Table46[[#This Row],[NUT COUNT]]</f>
        <v>0</v>
      </c>
    </row>
    <row r="173" spans="1:33" x14ac:dyDescent="0.35">
      <c r="A173" s="32">
        <f t="shared" si="14"/>
        <v>171</v>
      </c>
      <c r="B173" s="87">
        <v>46085</v>
      </c>
      <c r="C173" s="87">
        <v>46085</v>
      </c>
      <c r="D173" s="67" t="s">
        <v>38</v>
      </c>
      <c r="E173" s="67" t="s">
        <v>39</v>
      </c>
      <c r="F173" s="67" t="s">
        <v>40</v>
      </c>
      <c r="G173" s="66" t="s">
        <v>41</v>
      </c>
      <c r="H173" s="10" t="s">
        <v>136</v>
      </c>
      <c r="I173" s="10" t="s">
        <v>137</v>
      </c>
      <c r="J173" s="66" t="s">
        <v>96</v>
      </c>
      <c r="K173" s="21" t="s">
        <v>139</v>
      </c>
      <c r="L173" s="66">
        <v>1226</v>
      </c>
      <c r="M173" s="10">
        <v>68680</v>
      </c>
      <c r="N173" s="66">
        <v>613</v>
      </c>
      <c r="O173" s="68">
        <f t="shared" si="15"/>
        <v>51560</v>
      </c>
      <c r="P173" s="68">
        <v>50947</v>
      </c>
      <c r="Q173" s="66">
        <v>602</v>
      </c>
      <c r="R173" s="67">
        <v>0</v>
      </c>
      <c r="S173" s="66">
        <v>11</v>
      </c>
      <c r="T173" s="10">
        <f t="shared" ref="T173:T180" si="17">S173*4+R173*40</f>
        <v>44</v>
      </c>
      <c r="U173" s="88">
        <f>Table46[[#This Row],[NET WT KGS]]-Table46[[#This Row],[Refraction]]</f>
        <v>50903</v>
      </c>
      <c r="V173" s="69">
        <v>485</v>
      </c>
      <c r="W173" s="69">
        <f>Table46[[#This Row],[PRICE]]*Table46[[#This Row],[PAID WT]]</f>
        <v>24687955</v>
      </c>
      <c r="X173" s="70">
        <v>9.3000000000000007</v>
      </c>
      <c r="Y173" s="71">
        <v>172</v>
      </c>
      <c r="Z173" s="70">
        <v>47.16</v>
      </c>
      <c r="AA173" s="72"/>
      <c r="AB173" s="66" t="s">
        <v>140</v>
      </c>
      <c r="AC173" s="73"/>
      <c r="AD173" s="63" t="s">
        <v>422</v>
      </c>
      <c r="AE173" s="18">
        <f>Table46[[#This Row],[MOIS.]]*Table46[[#This Row],[NET WT KGS]]</f>
        <v>473807.10000000003</v>
      </c>
      <c r="AF173" s="18">
        <f>Table46[[#This Row],[KOR]]*Table46[[#This Row],[NET WT KGS]]</f>
        <v>2402660.52</v>
      </c>
      <c r="AG173">
        <f>Table46[[#This Row],[NET WT KGS]]*Table46[[#This Row],[NUT COUNT]]</f>
        <v>8762884</v>
      </c>
    </row>
    <row r="174" spans="1:33" x14ac:dyDescent="0.35">
      <c r="A174" s="32">
        <f t="shared" si="14"/>
        <v>172</v>
      </c>
      <c r="B174" s="87">
        <v>46085</v>
      </c>
      <c r="C174" s="75">
        <v>46085</v>
      </c>
      <c r="D174" s="67" t="s">
        <v>38</v>
      </c>
      <c r="E174" s="67" t="s">
        <v>39</v>
      </c>
      <c r="F174" s="67" t="s">
        <v>40</v>
      </c>
      <c r="G174" s="10" t="s">
        <v>86</v>
      </c>
      <c r="H174" s="10" t="s">
        <v>338</v>
      </c>
      <c r="I174" s="50" t="s">
        <v>317</v>
      </c>
      <c r="J174" s="10" t="s">
        <v>442</v>
      </c>
      <c r="K174" s="57" t="s">
        <v>340</v>
      </c>
      <c r="L174" s="66">
        <v>1228</v>
      </c>
      <c r="M174" s="10">
        <v>72622</v>
      </c>
      <c r="N174" s="10">
        <v>459</v>
      </c>
      <c r="O174" s="22">
        <f t="shared" si="15"/>
        <v>39100</v>
      </c>
      <c r="P174" s="22">
        <v>38641</v>
      </c>
      <c r="Q174" s="10">
        <v>454</v>
      </c>
      <c r="R174" s="67">
        <v>0</v>
      </c>
      <c r="S174" s="10">
        <v>5</v>
      </c>
      <c r="T174" s="10">
        <f t="shared" si="17"/>
        <v>20</v>
      </c>
      <c r="U174" s="89">
        <f>Table46[[#This Row],[NET WT KGS]]-Table46[[#This Row],[Refraction]]</f>
        <v>38621</v>
      </c>
      <c r="V174" s="23">
        <v>485</v>
      </c>
      <c r="W174" s="23">
        <f>Table46[[#This Row],[PRICE]]*Table46[[#This Row],[PAID WT]]</f>
        <v>18731185</v>
      </c>
      <c r="X174" s="24">
        <v>9.1</v>
      </c>
      <c r="Y174" s="25">
        <v>170</v>
      </c>
      <c r="Z174" s="70">
        <v>47.16</v>
      </c>
      <c r="AA174" s="26"/>
      <c r="AB174" s="10" t="s">
        <v>284</v>
      </c>
      <c r="AC174" s="27"/>
      <c r="AD174" s="63" t="s">
        <v>422</v>
      </c>
      <c r="AE174" s="18">
        <f>Table46[[#This Row],[MOIS.]]*Table46[[#This Row],[NET WT KGS]]</f>
        <v>351633.1</v>
      </c>
      <c r="AF174" s="18">
        <f>Table46[[#This Row],[KOR]]*Table46[[#This Row],[NET WT KGS]]</f>
        <v>1822309.5599999998</v>
      </c>
      <c r="AG174">
        <f>Table46[[#This Row],[NET WT KGS]]*Table46[[#This Row],[NUT COUNT]]</f>
        <v>6568970</v>
      </c>
    </row>
    <row r="175" spans="1:33" x14ac:dyDescent="0.35">
      <c r="A175" s="32">
        <f t="shared" si="14"/>
        <v>173</v>
      </c>
      <c r="B175" s="87">
        <v>46085</v>
      </c>
      <c r="C175" s="75">
        <v>46085</v>
      </c>
      <c r="D175" s="67" t="s">
        <v>38</v>
      </c>
      <c r="E175" s="67" t="s">
        <v>39</v>
      </c>
      <c r="F175" s="67" t="s">
        <v>40</v>
      </c>
      <c r="G175" s="10" t="s">
        <v>350</v>
      </c>
      <c r="H175" s="10" t="s">
        <v>154</v>
      </c>
      <c r="I175" s="10" t="s">
        <v>155</v>
      </c>
      <c r="J175" s="10" t="s">
        <v>443</v>
      </c>
      <c r="K175" s="33" t="s">
        <v>157</v>
      </c>
      <c r="L175" s="66">
        <v>1227</v>
      </c>
      <c r="M175" s="10">
        <v>69882</v>
      </c>
      <c r="N175" s="10">
        <v>655</v>
      </c>
      <c r="O175" s="22">
        <f t="shared" si="15"/>
        <v>52360</v>
      </c>
      <c r="P175" s="22">
        <v>51705</v>
      </c>
      <c r="Q175" s="10">
        <v>645</v>
      </c>
      <c r="R175" s="67">
        <v>0</v>
      </c>
      <c r="S175" s="10">
        <v>10</v>
      </c>
      <c r="T175" s="10">
        <f t="shared" si="17"/>
        <v>40</v>
      </c>
      <c r="U175" s="89">
        <f>Table46[[#This Row],[NET WT KGS]]-Table46[[#This Row],[Refraction]]</f>
        <v>51665</v>
      </c>
      <c r="V175" s="23">
        <v>480</v>
      </c>
      <c r="W175" s="23">
        <f>Table46[[#This Row],[PRICE]]*Table46[[#This Row],[PAID WT]]</f>
        <v>24799200</v>
      </c>
      <c r="X175" s="24">
        <v>9.5</v>
      </c>
      <c r="Y175" s="25">
        <v>173</v>
      </c>
      <c r="Z175" s="24">
        <v>45.58</v>
      </c>
      <c r="AA175" s="26"/>
      <c r="AB175" s="10" t="s">
        <v>444</v>
      </c>
      <c r="AC175" s="27"/>
      <c r="AD175" s="63" t="s">
        <v>422</v>
      </c>
      <c r="AE175" s="18">
        <f>Table46[[#This Row],[MOIS.]]*Table46[[#This Row],[NET WT KGS]]</f>
        <v>491197.5</v>
      </c>
      <c r="AF175" s="18">
        <f>Table46[[#This Row],[KOR]]*Table46[[#This Row],[NET WT KGS]]</f>
        <v>2356713.9</v>
      </c>
      <c r="AG175">
        <f>Table46[[#This Row],[NET WT KGS]]*Table46[[#This Row],[NUT COUNT]]</f>
        <v>8944965</v>
      </c>
    </row>
    <row r="176" spans="1:33" x14ac:dyDescent="0.35">
      <c r="A176" s="32">
        <f t="shared" si="14"/>
        <v>174</v>
      </c>
      <c r="B176" s="87">
        <v>46085</v>
      </c>
      <c r="C176" s="75">
        <v>46085</v>
      </c>
      <c r="D176" s="67" t="s">
        <v>38</v>
      </c>
      <c r="E176" s="67" t="s">
        <v>39</v>
      </c>
      <c r="F176" s="67" t="s">
        <v>40</v>
      </c>
      <c r="G176" s="10" t="s">
        <v>350</v>
      </c>
      <c r="H176" s="10" t="s">
        <v>94</v>
      </c>
      <c r="I176" s="10" t="s">
        <v>95</v>
      </c>
      <c r="J176" s="10" t="s">
        <v>208</v>
      </c>
      <c r="K176" s="33" t="s">
        <v>97</v>
      </c>
      <c r="L176" s="66">
        <v>1232</v>
      </c>
      <c r="M176" s="10">
        <v>72591</v>
      </c>
      <c r="N176" s="10">
        <v>454</v>
      </c>
      <c r="O176" s="22">
        <f t="shared" si="15"/>
        <v>41840</v>
      </c>
      <c r="P176" s="22">
        <v>41386</v>
      </c>
      <c r="Q176" s="10">
        <v>444</v>
      </c>
      <c r="R176" s="67">
        <v>0</v>
      </c>
      <c r="S176" s="10">
        <v>10</v>
      </c>
      <c r="T176" s="10">
        <f t="shared" si="17"/>
        <v>40</v>
      </c>
      <c r="U176" s="22">
        <f>Table46[[#This Row],[NET WT KGS]]-Table46[[#This Row],[Refraction]]</f>
        <v>41346</v>
      </c>
      <c r="V176" s="23">
        <v>480</v>
      </c>
      <c r="W176" s="23">
        <f>Table46[[#This Row],[PRICE]]*Table46[[#This Row],[PAID WT]]</f>
        <v>19846080</v>
      </c>
      <c r="X176" s="24">
        <v>9.1999999999999993</v>
      </c>
      <c r="Y176" s="25">
        <v>165</v>
      </c>
      <c r="Z176" s="24">
        <v>45.05</v>
      </c>
      <c r="AA176" s="26"/>
      <c r="AB176" s="10" t="s">
        <v>78</v>
      </c>
      <c r="AC176" s="27"/>
      <c r="AD176" s="63" t="s">
        <v>422</v>
      </c>
      <c r="AE176" s="18">
        <f>Table46[[#This Row],[MOIS.]]*Table46[[#This Row],[NET WT KGS]]</f>
        <v>380751.19999999995</v>
      </c>
      <c r="AF176" s="18">
        <f>Table46[[#This Row],[KOR]]*Table46[[#This Row],[NET WT KGS]]</f>
        <v>1864439.2999999998</v>
      </c>
      <c r="AG176">
        <f>Table46[[#This Row],[NET WT KGS]]*Table46[[#This Row],[NUT COUNT]]</f>
        <v>6828690</v>
      </c>
    </row>
    <row r="177" spans="1:33" x14ac:dyDescent="0.35">
      <c r="A177" s="32">
        <f t="shared" si="14"/>
        <v>175</v>
      </c>
      <c r="B177" s="87">
        <v>46085</v>
      </c>
      <c r="C177" s="75">
        <v>46085</v>
      </c>
      <c r="D177" s="67" t="s">
        <v>38</v>
      </c>
      <c r="E177" s="10" t="s">
        <v>258</v>
      </c>
      <c r="F177" s="67" t="s">
        <v>40</v>
      </c>
      <c r="G177" s="10" t="s">
        <v>86</v>
      </c>
      <c r="H177" s="10" t="s">
        <v>364</v>
      </c>
      <c r="I177" s="10" t="s">
        <v>84</v>
      </c>
      <c r="J177" s="10" t="s">
        <v>445</v>
      </c>
      <c r="K177" s="77" t="s">
        <v>426</v>
      </c>
      <c r="L177" s="90">
        <v>1230</v>
      </c>
      <c r="M177" s="10">
        <v>77618</v>
      </c>
      <c r="N177" s="10">
        <v>262</v>
      </c>
      <c r="O177" s="22">
        <f t="shared" si="15"/>
        <v>23840</v>
      </c>
      <c r="P177" s="22">
        <v>23578</v>
      </c>
      <c r="Q177" s="10">
        <v>257</v>
      </c>
      <c r="R177" s="67">
        <v>0</v>
      </c>
      <c r="S177" s="10">
        <v>5</v>
      </c>
      <c r="T177" s="10">
        <f t="shared" si="17"/>
        <v>20</v>
      </c>
      <c r="U177" s="22">
        <f>Table46[[#This Row],[NET WT KGS]]-Table46[[#This Row],[Refraction]]</f>
        <v>23558</v>
      </c>
      <c r="V177" s="48">
        <v>490</v>
      </c>
      <c r="W177" s="23">
        <f>Table46[[#This Row],[PRICE]]*Table46[[#This Row],[PAID WT]]</f>
        <v>11543420</v>
      </c>
      <c r="X177" s="24">
        <v>7.6</v>
      </c>
      <c r="Y177" s="25">
        <v>172</v>
      </c>
      <c r="Z177" s="24">
        <v>46.46</v>
      </c>
      <c r="AA177" s="26"/>
      <c r="AB177" s="50" t="s">
        <v>367</v>
      </c>
      <c r="AC177" s="27"/>
      <c r="AD177" s="63" t="s">
        <v>422</v>
      </c>
      <c r="AE177" s="18">
        <f>Table46[[#This Row],[MOIS.]]*Table46[[#This Row],[NET WT KGS]]</f>
        <v>179192.8</v>
      </c>
      <c r="AF177" s="18">
        <f>Table46[[#This Row],[KOR]]*Table46[[#This Row],[NET WT KGS]]</f>
        <v>1095433.8800000001</v>
      </c>
      <c r="AG177">
        <f>Table46[[#This Row],[NET WT KGS]]*Table46[[#This Row],[NUT COUNT]]</f>
        <v>4055416</v>
      </c>
    </row>
    <row r="178" spans="1:33" x14ac:dyDescent="0.35">
      <c r="A178" s="32">
        <f t="shared" si="14"/>
        <v>176</v>
      </c>
      <c r="B178" s="87">
        <v>46085</v>
      </c>
      <c r="C178" s="75">
        <v>46085</v>
      </c>
      <c r="D178" s="67" t="s">
        <v>38</v>
      </c>
      <c r="E178" s="67" t="s">
        <v>39</v>
      </c>
      <c r="F178" s="67" t="s">
        <v>40</v>
      </c>
      <c r="G178" s="10" t="s">
        <v>86</v>
      </c>
      <c r="H178" s="10" t="s">
        <v>123</v>
      </c>
      <c r="I178" s="10" t="s">
        <v>124</v>
      </c>
      <c r="J178" s="10" t="s">
        <v>446</v>
      </c>
      <c r="K178" s="21" t="s">
        <v>161</v>
      </c>
      <c r="L178" s="10">
        <v>1231</v>
      </c>
      <c r="M178" s="10">
        <v>68670</v>
      </c>
      <c r="N178" s="10">
        <v>603</v>
      </c>
      <c r="O178" s="22">
        <f t="shared" si="15"/>
        <v>51280</v>
      </c>
      <c r="P178" s="22">
        <v>50677</v>
      </c>
      <c r="Q178" s="10">
        <v>598</v>
      </c>
      <c r="R178" s="67">
        <v>0</v>
      </c>
      <c r="S178" s="10">
        <v>20</v>
      </c>
      <c r="T178" s="10">
        <f t="shared" si="17"/>
        <v>80</v>
      </c>
      <c r="U178" s="22">
        <f>Table46[[#This Row],[NET WT KGS]]-Table46[[#This Row],[Refraction]]</f>
        <v>50597</v>
      </c>
      <c r="V178" s="23">
        <v>485</v>
      </c>
      <c r="W178" s="23">
        <f>Table46[[#This Row],[PRICE]]*Table46[[#This Row],[PAID WT]]</f>
        <v>24539545</v>
      </c>
      <c r="X178" s="24">
        <v>10</v>
      </c>
      <c r="Y178" s="25">
        <v>168</v>
      </c>
      <c r="Z178" s="24">
        <v>46.81</v>
      </c>
      <c r="AA178" s="26"/>
      <c r="AB178" s="10" t="s">
        <v>46</v>
      </c>
      <c r="AC178" s="27"/>
      <c r="AD178" s="63" t="s">
        <v>422</v>
      </c>
      <c r="AE178" s="18">
        <f>Table46[[#This Row],[MOIS.]]*Table46[[#This Row],[NET WT KGS]]</f>
        <v>506770</v>
      </c>
      <c r="AF178" s="18">
        <f>Table46[[#This Row],[KOR]]*Table46[[#This Row],[NET WT KGS]]</f>
        <v>2372190.37</v>
      </c>
      <c r="AG178">
        <f>Table46[[#This Row],[NET WT KGS]]*Table46[[#This Row],[NUT COUNT]]</f>
        <v>8513736</v>
      </c>
    </row>
    <row r="179" spans="1:33" x14ac:dyDescent="0.35">
      <c r="A179" s="32">
        <f t="shared" si="14"/>
        <v>177</v>
      </c>
      <c r="B179" s="87">
        <v>46085</v>
      </c>
      <c r="C179" s="75">
        <v>46085</v>
      </c>
      <c r="D179" s="67" t="s">
        <v>38</v>
      </c>
      <c r="E179" s="10" t="s">
        <v>258</v>
      </c>
      <c r="F179" s="67" t="s">
        <v>40</v>
      </c>
      <c r="G179" s="10" t="s">
        <v>350</v>
      </c>
      <c r="H179" s="50" t="s">
        <v>362</v>
      </c>
      <c r="I179" s="50" t="s">
        <v>50</v>
      </c>
      <c r="J179" s="10" t="s">
        <v>447</v>
      </c>
      <c r="K179" s="57" t="s">
        <v>370</v>
      </c>
      <c r="L179" s="10">
        <v>1233</v>
      </c>
      <c r="M179" s="10">
        <v>72398</v>
      </c>
      <c r="N179" s="10">
        <v>230</v>
      </c>
      <c r="O179" s="22">
        <f t="shared" si="15"/>
        <v>18660</v>
      </c>
      <c r="P179" s="22">
        <v>18430</v>
      </c>
      <c r="Q179" s="10">
        <v>220</v>
      </c>
      <c r="R179" s="67">
        <v>0</v>
      </c>
      <c r="S179" s="10">
        <v>10</v>
      </c>
      <c r="T179" s="10">
        <f t="shared" si="17"/>
        <v>40</v>
      </c>
      <c r="U179" s="22">
        <f>Table46[[#This Row],[NET WT KGS]]-Table46[[#This Row],[Refraction]]</f>
        <v>18390</v>
      </c>
      <c r="V179" s="23">
        <v>480</v>
      </c>
      <c r="W179" s="23">
        <f>Table46[[#This Row],[PRICE]]*Table46[[#This Row],[PAID WT]]</f>
        <v>8827200</v>
      </c>
      <c r="X179" s="24">
        <v>6.2</v>
      </c>
      <c r="Y179" s="25">
        <v>187</v>
      </c>
      <c r="Z179" s="24">
        <v>45.23</v>
      </c>
      <c r="AA179" s="26"/>
      <c r="AB179" s="10" t="s">
        <v>342</v>
      </c>
      <c r="AC179" s="27"/>
      <c r="AD179" s="63" t="s">
        <v>422</v>
      </c>
      <c r="AE179" s="18">
        <f>Table46[[#This Row],[MOIS.]]*Table46[[#This Row],[NET WT KGS]]</f>
        <v>114266</v>
      </c>
      <c r="AF179" s="18">
        <f>Table46[[#This Row],[KOR]]*Table46[[#This Row],[NET WT KGS]]</f>
        <v>833588.89999999991</v>
      </c>
      <c r="AG179">
        <f>Table46[[#This Row],[NET WT KGS]]*Table46[[#This Row],[NUT COUNT]]</f>
        <v>3446410</v>
      </c>
    </row>
    <row r="180" spans="1:33" x14ac:dyDescent="0.35">
      <c r="A180" s="32">
        <f t="shared" si="14"/>
        <v>178</v>
      </c>
      <c r="B180" s="87">
        <v>46085</v>
      </c>
      <c r="C180" s="75">
        <v>46085</v>
      </c>
      <c r="D180" s="67" t="s">
        <v>38</v>
      </c>
      <c r="E180" s="67" t="s">
        <v>39</v>
      </c>
      <c r="F180" s="67" t="s">
        <v>40</v>
      </c>
      <c r="G180" s="10" t="s">
        <v>350</v>
      </c>
      <c r="H180" s="10" t="s">
        <v>74</v>
      </c>
      <c r="I180" s="10" t="s">
        <v>75</v>
      </c>
      <c r="J180" s="10" t="s">
        <v>187</v>
      </c>
      <c r="K180" s="33" t="s">
        <v>77</v>
      </c>
      <c r="L180" s="10">
        <v>1229</v>
      </c>
      <c r="M180" s="10">
        <v>72643</v>
      </c>
      <c r="N180" s="10">
        <v>552</v>
      </c>
      <c r="O180" s="22">
        <f t="shared" si="15"/>
        <v>46860</v>
      </c>
      <c r="P180" s="22">
        <v>46308</v>
      </c>
      <c r="Q180" s="10">
        <v>540</v>
      </c>
      <c r="R180" s="67">
        <v>0</v>
      </c>
      <c r="S180" s="10">
        <v>12</v>
      </c>
      <c r="T180" s="10">
        <f t="shared" si="17"/>
        <v>48</v>
      </c>
      <c r="U180" s="89">
        <f>Table46[[#This Row],[NET WT KGS]]-Table46[[#This Row],[Refraction]]</f>
        <v>46260</v>
      </c>
      <c r="V180" s="23">
        <v>480</v>
      </c>
      <c r="W180" s="23">
        <f>Table46[[#This Row],[PRICE]]*Table46[[#This Row],[PAID WT]]</f>
        <v>22204800</v>
      </c>
      <c r="X180" s="24">
        <v>9.9</v>
      </c>
      <c r="Y180" s="25">
        <v>168</v>
      </c>
      <c r="Z180" s="24">
        <v>45.4</v>
      </c>
      <c r="AA180" s="26"/>
      <c r="AB180" s="10" t="s">
        <v>78</v>
      </c>
      <c r="AC180" s="27"/>
      <c r="AD180" s="63" t="s">
        <v>422</v>
      </c>
      <c r="AE180" s="18">
        <f>Table46[[#This Row],[MOIS.]]*Table46[[#This Row],[NET WT KGS]]</f>
        <v>458449.2</v>
      </c>
      <c r="AF180" s="18">
        <f>Table46[[#This Row],[KOR]]*Table46[[#This Row],[NET WT KGS]]</f>
        <v>2102383.1999999997</v>
      </c>
      <c r="AG180">
        <f>Table46[[#This Row],[NET WT KGS]]*Table46[[#This Row],[NUT COUNT]]</f>
        <v>7779744</v>
      </c>
    </row>
    <row r="181" spans="1:33" x14ac:dyDescent="0.35">
      <c r="A181" s="32">
        <f t="shared" si="14"/>
        <v>179</v>
      </c>
      <c r="B181" s="87">
        <v>46085</v>
      </c>
      <c r="C181" s="75">
        <v>46085</v>
      </c>
      <c r="D181" s="67" t="s">
        <v>38</v>
      </c>
      <c r="E181" s="67" t="s">
        <v>39</v>
      </c>
      <c r="F181" s="50" t="s">
        <v>62</v>
      </c>
      <c r="G181" s="10"/>
      <c r="H181" s="10" t="s">
        <v>128</v>
      </c>
      <c r="I181" s="10" t="s">
        <v>129</v>
      </c>
      <c r="J181" s="10" t="s">
        <v>382</v>
      </c>
      <c r="K181" s="33" t="s">
        <v>131</v>
      </c>
      <c r="L181" s="10">
        <v>859</v>
      </c>
      <c r="M181" s="10">
        <v>77665</v>
      </c>
      <c r="N181" s="10">
        <v>488</v>
      </c>
      <c r="O181" s="22">
        <v>42080</v>
      </c>
      <c r="P181" s="22">
        <f>Table46[[#This Row],[GROSS WT KGS]]-Table46[[#This Row],[SACS]]</f>
        <v>41592</v>
      </c>
      <c r="Q181" s="10">
        <f>Table46[[#This Row],[SACS]]-Table46[[#This Row],[Sacs déchirés]]</f>
        <v>473</v>
      </c>
      <c r="R181" s="67">
        <v>0</v>
      </c>
      <c r="S181" s="10">
        <v>15</v>
      </c>
      <c r="T181" s="10">
        <v>60</v>
      </c>
      <c r="U181" s="22">
        <f>Table46[[#This Row],[NET WT KGS]]-Table46[[#This Row],[Refraction]]</f>
        <v>41532</v>
      </c>
      <c r="V181" s="23">
        <v>490</v>
      </c>
      <c r="W181" s="23">
        <f>Table46[[#This Row],[PRICE]]*Table46[[#This Row],[PAID WT]]</f>
        <v>20350680</v>
      </c>
      <c r="X181" s="24">
        <v>8.6999999999999993</v>
      </c>
      <c r="Y181" s="25">
        <v>181</v>
      </c>
      <c r="Z181" s="24">
        <v>45.76</v>
      </c>
      <c r="AA181" s="26"/>
      <c r="AB181" s="10" t="s">
        <v>132</v>
      </c>
      <c r="AC181" s="27"/>
      <c r="AD181" s="63" t="s">
        <v>422</v>
      </c>
      <c r="AE181" s="18">
        <f>Table46[[#This Row],[MOIS.]]*Table46[[#This Row],[NET WT KGS]]</f>
        <v>361850.39999999997</v>
      </c>
      <c r="AF181" s="18">
        <f>Table46[[#This Row],[KOR]]*Table46[[#This Row],[NET WT KGS]]</f>
        <v>1903249.92</v>
      </c>
      <c r="AG181">
        <f>Table46[[#This Row],[NET WT KGS]]*Table46[[#This Row],[NUT COUNT]]</f>
        <v>7528152</v>
      </c>
    </row>
    <row r="182" spans="1:33" x14ac:dyDescent="0.35">
      <c r="A182" s="32">
        <f t="shared" si="14"/>
        <v>180</v>
      </c>
      <c r="B182" s="87">
        <v>46085</v>
      </c>
      <c r="C182" s="75">
        <v>46085</v>
      </c>
      <c r="D182" s="50" t="s">
        <v>38</v>
      </c>
      <c r="E182" s="50" t="s">
        <v>39</v>
      </c>
      <c r="F182" s="50" t="s">
        <v>62</v>
      </c>
      <c r="G182" s="10"/>
      <c r="H182" s="66" t="s">
        <v>193</v>
      </c>
      <c r="I182" s="66" t="s">
        <v>194</v>
      </c>
      <c r="J182" s="10" t="s">
        <v>195</v>
      </c>
      <c r="K182" s="33" t="s">
        <v>196</v>
      </c>
      <c r="L182" s="10">
        <v>858</v>
      </c>
      <c r="M182" s="10">
        <v>77583</v>
      </c>
      <c r="N182" s="10">
        <v>584</v>
      </c>
      <c r="O182" s="22">
        <v>45760</v>
      </c>
      <c r="P182" s="22">
        <f>Table46[[#This Row],[GROSS WT KGS]]-Table46[[#This Row],[SACS]]</f>
        <v>45176</v>
      </c>
      <c r="Q182" s="10">
        <f>Table46[[#This Row],[SACS]]-Table46[[#This Row],[Sacs déchirés]]</f>
        <v>564</v>
      </c>
      <c r="R182" s="67">
        <v>0</v>
      </c>
      <c r="S182" s="10">
        <v>20</v>
      </c>
      <c r="T182" s="10">
        <v>80</v>
      </c>
      <c r="U182" s="22">
        <f>Table46[[#This Row],[NET WT KGS]]-Table46[[#This Row],[Refraction]]</f>
        <v>45096</v>
      </c>
      <c r="V182" s="23">
        <v>485</v>
      </c>
      <c r="W182" s="23">
        <f>Table46[[#This Row],[PRICE]]*Table46[[#This Row],[PAID WT]]</f>
        <v>21871560</v>
      </c>
      <c r="X182" s="24">
        <v>9</v>
      </c>
      <c r="Y182" s="25">
        <v>180</v>
      </c>
      <c r="Z182" s="24">
        <v>45.58</v>
      </c>
      <c r="AA182" s="26"/>
      <c r="AB182" s="10" t="s">
        <v>132</v>
      </c>
      <c r="AC182" s="27"/>
      <c r="AD182" s="63" t="s">
        <v>422</v>
      </c>
      <c r="AE182" s="18">
        <f>Table46[[#This Row],[MOIS.]]*Table46[[#This Row],[NET WT KGS]]</f>
        <v>406584</v>
      </c>
      <c r="AF182" s="18">
        <f>Table46[[#This Row],[KOR]]*Table46[[#This Row],[NET WT KGS]]</f>
        <v>2059122.0799999998</v>
      </c>
      <c r="AG182">
        <f>Table46[[#This Row],[NET WT KGS]]*Table46[[#This Row],[NUT COUNT]]</f>
        <v>8131680</v>
      </c>
    </row>
    <row r="183" spans="1:33" x14ac:dyDescent="0.35">
      <c r="A183" s="32">
        <f t="shared" si="14"/>
        <v>181</v>
      </c>
      <c r="B183" s="91">
        <v>46085</v>
      </c>
      <c r="C183" s="35">
        <f>Table46[[#This Row],[DATE OF ARRIVAL]]</f>
        <v>46085</v>
      </c>
      <c r="D183" s="36" t="s">
        <v>38</v>
      </c>
      <c r="E183" s="36" t="s">
        <v>39</v>
      </c>
      <c r="F183" s="36" t="s">
        <v>40</v>
      </c>
      <c r="G183" s="74"/>
      <c r="H183" s="36" t="s">
        <v>215</v>
      </c>
      <c r="I183" s="36" t="s">
        <v>216</v>
      </c>
      <c r="J183" s="74" t="s">
        <v>448</v>
      </c>
      <c r="K183" s="74"/>
      <c r="L183" s="74"/>
      <c r="M183" s="36"/>
      <c r="N183" s="74"/>
      <c r="O183" s="79">
        <f t="shared" ref="O183:O207" si="18">P183+N183</f>
        <v>0</v>
      </c>
      <c r="P183" s="79"/>
      <c r="Q183" s="74"/>
      <c r="R183" s="80"/>
      <c r="S183" s="74"/>
      <c r="T183" s="74"/>
      <c r="U183" s="79">
        <f>Table46[[#This Row],[NET WT KGS]]-Table46[[#This Row],[Refraction]]</f>
        <v>0</v>
      </c>
      <c r="V183" s="81"/>
      <c r="W183" s="81">
        <f>Table46[[#This Row],[PRICE]]*Table46[[#This Row],[PAID WT]]</f>
        <v>0</v>
      </c>
      <c r="X183" s="82">
        <v>9</v>
      </c>
      <c r="Y183" s="83">
        <v>172</v>
      </c>
      <c r="Z183" s="82">
        <v>43.64</v>
      </c>
      <c r="AA183" s="84"/>
      <c r="AB183" s="36" t="s">
        <v>150</v>
      </c>
      <c r="AC183" s="42" t="s">
        <v>70</v>
      </c>
      <c r="AD183" s="85"/>
      <c r="AE183" s="18">
        <f>Table46[[#This Row],[MOIS.]]*Table46[[#This Row],[NET WT KGS]]</f>
        <v>0</v>
      </c>
      <c r="AF183" s="18">
        <f>Table46[[#This Row],[KOR]]*Table46[[#This Row],[NET WT KGS]]</f>
        <v>0</v>
      </c>
      <c r="AG183">
        <f>Table46[[#This Row],[NET WT KGS]]*Table46[[#This Row],[NUT COUNT]]</f>
        <v>0</v>
      </c>
    </row>
    <row r="184" spans="1:33" x14ac:dyDescent="0.35">
      <c r="A184" s="32">
        <f t="shared" si="14"/>
        <v>182</v>
      </c>
      <c r="B184" s="91">
        <v>46085</v>
      </c>
      <c r="C184" s="35">
        <f>Table46[[#This Row],[DATE OF ARRIVAL]]</f>
        <v>46085</v>
      </c>
      <c r="D184" s="36" t="s">
        <v>38</v>
      </c>
      <c r="E184" s="36" t="s">
        <v>39</v>
      </c>
      <c r="F184" s="36" t="s">
        <v>40</v>
      </c>
      <c r="G184" s="36"/>
      <c r="H184" s="36" t="s">
        <v>105</v>
      </c>
      <c r="I184" s="36" t="s">
        <v>106</v>
      </c>
      <c r="J184" s="36" t="s">
        <v>353</v>
      </c>
      <c r="K184" s="36"/>
      <c r="L184" s="36"/>
      <c r="M184" s="36"/>
      <c r="N184" s="36"/>
      <c r="O184" s="37">
        <f t="shared" si="18"/>
        <v>0</v>
      </c>
      <c r="P184" s="37"/>
      <c r="Q184" s="36"/>
      <c r="R184" s="86"/>
      <c r="S184" s="36"/>
      <c r="T184" s="36"/>
      <c r="U184" s="37">
        <f>Table46[[#This Row],[NET WT KGS]]-Table46[[#This Row],[Refraction]]</f>
        <v>0</v>
      </c>
      <c r="V184" s="38"/>
      <c r="W184" s="38">
        <f>Table46[[#This Row],[PRICE]]*Table46[[#This Row],[PAID WT]]</f>
        <v>0</v>
      </c>
      <c r="X184" s="39">
        <v>10</v>
      </c>
      <c r="Y184" s="40">
        <v>170</v>
      </c>
      <c r="Z184" s="39">
        <v>44.26</v>
      </c>
      <c r="AA184" s="41"/>
      <c r="AB184" s="36" t="s">
        <v>367</v>
      </c>
      <c r="AC184" s="42" t="s">
        <v>70</v>
      </c>
      <c r="AD184" s="28"/>
      <c r="AE184" s="18">
        <f>Table46[[#This Row],[MOIS.]]*Table46[[#This Row],[NET WT KGS]]</f>
        <v>0</v>
      </c>
      <c r="AF184" s="18">
        <f>Table46[[#This Row],[KOR]]*Table46[[#This Row],[NET WT KGS]]</f>
        <v>0</v>
      </c>
      <c r="AG184">
        <f>Table46[[#This Row],[NET WT KGS]]*Table46[[#This Row],[NUT COUNT]]</f>
        <v>0</v>
      </c>
    </row>
    <row r="185" spans="1:33" x14ac:dyDescent="0.35">
      <c r="A185" s="32">
        <f t="shared" si="14"/>
        <v>183</v>
      </c>
      <c r="B185" s="91">
        <v>46085</v>
      </c>
      <c r="C185" s="35">
        <f>Table46[[#This Row],[DATE OF ARRIVAL]]</f>
        <v>46085</v>
      </c>
      <c r="D185" s="36" t="s">
        <v>38</v>
      </c>
      <c r="E185" s="36" t="s">
        <v>39</v>
      </c>
      <c r="F185" s="36" t="s">
        <v>40</v>
      </c>
      <c r="G185" s="36"/>
      <c r="H185" s="36" t="s">
        <v>154</v>
      </c>
      <c r="I185" s="36" t="s">
        <v>155</v>
      </c>
      <c r="J185" s="36" t="s">
        <v>449</v>
      </c>
      <c r="K185" s="36"/>
      <c r="L185" s="36"/>
      <c r="M185" s="36"/>
      <c r="N185" s="36"/>
      <c r="O185" s="37">
        <f t="shared" si="18"/>
        <v>0</v>
      </c>
      <c r="P185" s="37"/>
      <c r="Q185" s="36"/>
      <c r="R185" s="86"/>
      <c r="S185" s="36"/>
      <c r="T185" s="36"/>
      <c r="U185" s="37">
        <f>Table46[[#This Row],[NET WT KGS]]-Table46[[#This Row],[Refraction]]</f>
        <v>0</v>
      </c>
      <c r="V185" s="38"/>
      <c r="W185" s="38">
        <f>Table46[[#This Row],[PRICE]]*Table46[[#This Row],[PAID WT]]</f>
        <v>0</v>
      </c>
      <c r="X185" s="39">
        <v>7.9</v>
      </c>
      <c r="Y185" s="40">
        <v>178</v>
      </c>
      <c r="Z185" s="39">
        <v>42.06</v>
      </c>
      <c r="AA185" s="41"/>
      <c r="AB185" s="36" t="s">
        <v>429</v>
      </c>
      <c r="AC185" s="42" t="s">
        <v>70</v>
      </c>
      <c r="AD185" s="28"/>
      <c r="AE185" s="18">
        <f>Table46[[#This Row],[MOIS.]]*Table46[[#This Row],[NET WT KGS]]</f>
        <v>0</v>
      </c>
      <c r="AF185" s="18">
        <f>Table46[[#This Row],[KOR]]*Table46[[#This Row],[NET WT KGS]]</f>
        <v>0</v>
      </c>
      <c r="AG185">
        <f>Table46[[#This Row],[NET WT KGS]]*Table46[[#This Row],[NUT COUNT]]</f>
        <v>0</v>
      </c>
    </row>
    <row r="186" spans="1:33" x14ac:dyDescent="0.35">
      <c r="A186" s="32">
        <f t="shared" si="14"/>
        <v>184</v>
      </c>
      <c r="B186" s="91">
        <v>46085</v>
      </c>
      <c r="C186" s="35">
        <f>Table46[[#This Row],[DATE OF ARRIVAL]]</f>
        <v>46085</v>
      </c>
      <c r="D186" s="36" t="s">
        <v>38</v>
      </c>
      <c r="E186" s="36" t="s">
        <v>39</v>
      </c>
      <c r="F186" s="36" t="s">
        <v>40</v>
      </c>
      <c r="G186" s="36"/>
      <c r="H186" s="36" t="s">
        <v>123</v>
      </c>
      <c r="I186" s="36" t="s">
        <v>124</v>
      </c>
      <c r="J186" s="36" t="s">
        <v>450</v>
      </c>
      <c r="K186" s="36"/>
      <c r="L186" s="36"/>
      <c r="M186" s="36"/>
      <c r="N186" s="36"/>
      <c r="O186" s="37">
        <f t="shared" si="18"/>
        <v>0</v>
      </c>
      <c r="P186" s="37"/>
      <c r="Q186" s="36"/>
      <c r="R186" s="86"/>
      <c r="S186" s="36"/>
      <c r="T186" s="36"/>
      <c r="U186" s="37">
        <f>Table46[[#This Row],[NET WT KGS]]-Table46[[#This Row],[Refraction]]</f>
        <v>0</v>
      </c>
      <c r="V186" s="38"/>
      <c r="W186" s="38">
        <f>Table46[[#This Row],[PRICE]]*Table46[[#This Row],[PAID WT]]</f>
        <v>0</v>
      </c>
      <c r="X186" s="39">
        <v>9.1999999999999993</v>
      </c>
      <c r="Y186" s="40">
        <v>173</v>
      </c>
      <c r="Z186" s="39">
        <v>41.53</v>
      </c>
      <c r="AA186" s="41"/>
      <c r="AB186" s="36" t="s">
        <v>398</v>
      </c>
      <c r="AC186" s="42" t="s">
        <v>70</v>
      </c>
      <c r="AD186" s="28"/>
      <c r="AE186" s="18">
        <f>Table46[[#This Row],[MOIS.]]*Table46[[#This Row],[NET WT KGS]]</f>
        <v>0</v>
      </c>
      <c r="AF186" s="18">
        <f>Table46[[#This Row],[KOR]]*Table46[[#This Row],[NET WT KGS]]</f>
        <v>0</v>
      </c>
      <c r="AG186">
        <f>Table46[[#This Row],[NET WT KGS]]*Table46[[#This Row],[NUT COUNT]]</f>
        <v>0</v>
      </c>
    </row>
    <row r="187" spans="1:33" x14ac:dyDescent="0.35">
      <c r="A187" s="32">
        <f t="shared" si="14"/>
        <v>185</v>
      </c>
      <c r="B187" s="91">
        <v>46085</v>
      </c>
      <c r="C187" s="35">
        <f>Table46[[#This Row],[DATE OF ARRIVAL]]</f>
        <v>46085</v>
      </c>
      <c r="D187" s="36" t="s">
        <v>38</v>
      </c>
      <c r="E187" s="36" t="s">
        <v>258</v>
      </c>
      <c r="F187" s="36" t="s">
        <v>62</v>
      </c>
      <c r="G187" s="36"/>
      <c r="H187" s="36" t="s">
        <v>413</v>
      </c>
      <c r="I187" s="36" t="s">
        <v>103</v>
      </c>
      <c r="J187" s="36" t="s">
        <v>451</v>
      </c>
      <c r="K187" s="36"/>
      <c r="L187" s="36"/>
      <c r="M187" s="36"/>
      <c r="N187" s="36"/>
      <c r="O187" s="37">
        <f t="shared" si="18"/>
        <v>0</v>
      </c>
      <c r="P187" s="37"/>
      <c r="Q187" s="36"/>
      <c r="R187" s="86"/>
      <c r="S187" s="36"/>
      <c r="T187" s="36"/>
      <c r="U187" s="37">
        <f>Table46[[#This Row],[NET WT KGS]]-Table46[[#This Row],[Refraction]]</f>
        <v>0</v>
      </c>
      <c r="V187" s="38"/>
      <c r="W187" s="38">
        <f>Table46[[#This Row],[PRICE]]*Table46[[#This Row],[PAID WT]]</f>
        <v>0</v>
      </c>
      <c r="X187" s="39">
        <v>7.9</v>
      </c>
      <c r="Y187" s="40">
        <v>177</v>
      </c>
      <c r="Z187" s="39">
        <v>44.17</v>
      </c>
      <c r="AA187" s="41"/>
      <c r="AB187" s="36" t="s">
        <v>452</v>
      </c>
      <c r="AC187" s="42" t="s">
        <v>70</v>
      </c>
      <c r="AD187" s="28"/>
      <c r="AE187" s="18">
        <f>Table46[[#This Row],[MOIS.]]*Table46[[#This Row],[NET WT KGS]]</f>
        <v>0</v>
      </c>
      <c r="AF187" s="18">
        <f>Table46[[#This Row],[KOR]]*Table46[[#This Row],[NET WT KGS]]</f>
        <v>0</v>
      </c>
      <c r="AG187">
        <f>Table46[[#This Row],[NET WT KGS]]*Table46[[#This Row],[NUT COUNT]]</f>
        <v>0</v>
      </c>
    </row>
    <row r="188" spans="1:33" x14ac:dyDescent="0.35">
      <c r="A188" s="32">
        <f t="shared" si="14"/>
        <v>186</v>
      </c>
      <c r="B188" s="87">
        <v>46085</v>
      </c>
      <c r="C188" s="87">
        <v>46086</v>
      </c>
      <c r="D188" s="66" t="s">
        <v>38</v>
      </c>
      <c r="E188" s="66" t="s">
        <v>39</v>
      </c>
      <c r="F188" s="67" t="s">
        <v>40</v>
      </c>
      <c r="G188" s="66" t="s">
        <v>350</v>
      </c>
      <c r="H188" s="66" t="s">
        <v>385</v>
      </c>
      <c r="I188" s="66" t="s">
        <v>322</v>
      </c>
      <c r="J188" s="66" t="s">
        <v>453</v>
      </c>
      <c r="K188" s="21" t="s">
        <v>454</v>
      </c>
      <c r="L188" s="66">
        <v>1235</v>
      </c>
      <c r="M188" s="10">
        <v>69977</v>
      </c>
      <c r="N188" s="66">
        <v>560</v>
      </c>
      <c r="O188" s="68">
        <f t="shared" si="18"/>
        <v>50320</v>
      </c>
      <c r="P188" s="68">
        <v>49760</v>
      </c>
      <c r="Q188" s="66">
        <v>553</v>
      </c>
      <c r="R188" s="67">
        <v>0</v>
      </c>
      <c r="S188" s="66">
        <v>7</v>
      </c>
      <c r="T188" s="10">
        <f t="shared" ref="T188:T195" si="19">S188*4+R188*40</f>
        <v>28</v>
      </c>
      <c r="U188" s="68">
        <f>Table46[[#This Row],[NET WT KGS]]-Table46[[#This Row],[Refraction]]</f>
        <v>49732</v>
      </c>
      <c r="V188" s="69">
        <v>485</v>
      </c>
      <c r="W188" s="69">
        <f>Table46[[#This Row],[PRICE]]*Table46[[#This Row],[PAID WT]]</f>
        <v>24120020</v>
      </c>
      <c r="X188" s="70">
        <v>10.4</v>
      </c>
      <c r="Y188" s="71">
        <v>170</v>
      </c>
      <c r="Z188" s="70">
        <v>45.58</v>
      </c>
      <c r="AA188" s="72"/>
      <c r="AB188" s="66" t="s">
        <v>212</v>
      </c>
      <c r="AC188" s="73"/>
      <c r="AD188" s="63" t="s">
        <v>422</v>
      </c>
      <c r="AE188" s="18">
        <f>Table46[[#This Row],[MOIS.]]*Table46[[#This Row],[NET WT KGS]]</f>
        <v>517504</v>
      </c>
      <c r="AF188" s="18">
        <f>Table46[[#This Row],[KOR]]*Table46[[#This Row],[NET WT KGS]]</f>
        <v>2268060.7999999998</v>
      </c>
      <c r="AG188">
        <f>Table46[[#This Row],[NET WT KGS]]*Table46[[#This Row],[NUT COUNT]]</f>
        <v>8459200</v>
      </c>
    </row>
    <row r="189" spans="1:33" x14ac:dyDescent="0.35">
      <c r="A189" s="32">
        <f t="shared" si="14"/>
        <v>187</v>
      </c>
      <c r="B189" s="87">
        <v>46085</v>
      </c>
      <c r="C189" s="75">
        <v>46086</v>
      </c>
      <c r="D189" s="66" t="s">
        <v>38</v>
      </c>
      <c r="E189" s="66" t="s">
        <v>39</v>
      </c>
      <c r="F189" s="67" t="s">
        <v>40</v>
      </c>
      <c r="G189" s="10" t="s">
        <v>350</v>
      </c>
      <c r="H189" s="10" t="s">
        <v>202</v>
      </c>
      <c r="I189" s="10" t="s">
        <v>203</v>
      </c>
      <c r="J189" s="10" t="s">
        <v>204</v>
      </c>
      <c r="K189" s="33" t="s">
        <v>205</v>
      </c>
      <c r="L189" s="66">
        <v>1234</v>
      </c>
      <c r="M189" s="10">
        <v>72542</v>
      </c>
      <c r="N189" s="10">
        <v>505</v>
      </c>
      <c r="O189" s="22">
        <f t="shared" si="18"/>
        <v>41700</v>
      </c>
      <c r="P189" s="22">
        <v>41195</v>
      </c>
      <c r="Q189" s="10">
        <v>490</v>
      </c>
      <c r="R189" s="67">
        <v>0</v>
      </c>
      <c r="S189" s="10">
        <v>15</v>
      </c>
      <c r="T189" s="10">
        <f t="shared" si="19"/>
        <v>60</v>
      </c>
      <c r="U189" s="22">
        <f>Table46[[#This Row],[NET WT KGS]]-Table46[[#This Row],[Refraction]]</f>
        <v>41135</v>
      </c>
      <c r="V189" s="23">
        <v>480</v>
      </c>
      <c r="W189" s="23">
        <f>Table46[[#This Row],[PRICE]]*Table46[[#This Row],[PAID WT]]</f>
        <v>19744800</v>
      </c>
      <c r="X189" s="24">
        <v>8.5</v>
      </c>
      <c r="Y189" s="25">
        <v>160</v>
      </c>
      <c r="Z189" s="24">
        <v>45.05</v>
      </c>
      <c r="AA189" s="26"/>
      <c r="AB189" s="10" t="s">
        <v>58</v>
      </c>
      <c r="AC189" s="27"/>
      <c r="AD189" s="63" t="s">
        <v>422</v>
      </c>
      <c r="AE189" s="18">
        <f>Table46[[#This Row],[MOIS.]]*Table46[[#This Row],[NET WT KGS]]</f>
        <v>350157.5</v>
      </c>
      <c r="AF189" s="18">
        <f>Table46[[#This Row],[KOR]]*Table46[[#This Row],[NET WT KGS]]</f>
        <v>1855834.7499999998</v>
      </c>
      <c r="AG189">
        <f>Table46[[#This Row],[NET WT KGS]]*Table46[[#This Row],[NUT COUNT]]</f>
        <v>6591200</v>
      </c>
    </row>
    <row r="190" spans="1:33" x14ac:dyDescent="0.35">
      <c r="A190" s="32">
        <f t="shared" si="14"/>
        <v>188</v>
      </c>
      <c r="B190" s="75">
        <v>46085</v>
      </c>
      <c r="C190" s="75">
        <v>46086</v>
      </c>
      <c r="D190" s="66" t="s">
        <v>38</v>
      </c>
      <c r="E190" s="66" t="s">
        <v>39</v>
      </c>
      <c r="F190" s="67" t="s">
        <v>40</v>
      </c>
      <c r="G190" s="10" t="s">
        <v>350</v>
      </c>
      <c r="H190" s="50" t="s">
        <v>286</v>
      </c>
      <c r="I190" s="50" t="s">
        <v>287</v>
      </c>
      <c r="J190" s="10" t="s">
        <v>156</v>
      </c>
      <c r="K190" s="21" t="s">
        <v>289</v>
      </c>
      <c r="L190" s="10">
        <v>1236</v>
      </c>
      <c r="M190" s="10">
        <v>69770</v>
      </c>
      <c r="N190" s="10">
        <v>479</v>
      </c>
      <c r="O190" s="22">
        <f t="shared" si="18"/>
        <v>40640</v>
      </c>
      <c r="P190" s="22">
        <v>40161</v>
      </c>
      <c r="Q190" s="10">
        <v>469</v>
      </c>
      <c r="R190" s="67">
        <v>0</v>
      </c>
      <c r="S190" s="10">
        <v>10</v>
      </c>
      <c r="T190" s="10">
        <f t="shared" si="19"/>
        <v>40</v>
      </c>
      <c r="U190" s="22">
        <f>Table46[[#This Row],[NET WT KGS]]-Table46[[#This Row],[Refraction]]</f>
        <v>40121</v>
      </c>
      <c r="V190" s="23">
        <v>480</v>
      </c>
      <c r="W190" s="23">
        <f>Table46[[#This Row],[PRICE]]*Table46[[#This Row],[PAID WT]]</f>
        <v>19258080</v>
      </c>
      <c r="X190" s="24">
        <v>9.6999999999999993</v>
      </c>
      <c r="Y190" s="25">
        <v>167</v>
      </c>
      <c r="Z190" s="24">
        <v>45.05</v>
      </c>
      <c r="AA190" s="26"/>
      <c r="AB190" s="10" t="s">
        <v>46</v>
      </c>
      <c r="AC190" s="27"/>
      <c r="AD190" s="63" t="s">
        <v>422</v>
      </c>
      <c r="AE190" s="18">
        <f>Table46[[#This Row],[MOIS.]]*Table46[[#This Row],[NET WT KGS]]</f>
        <v>389561.69999999995</v>
      </c>
      <c r="AF190" s="18">
        <f>Table46[[#This Row],[KOR]]*Table46[[#This Row],[NET WT KGS]]</f>
        <v>1809253.0499999998</v>
      </c>
      <c r="AG190">
        <f>Table46[[#This Row],[NET WT KGS]]*Table46[[#This Row],[NUT COUNT]]</f>
        <v>6706887</v>
      </c>
    </row>
    <row r="191" spans="1:33" x14ac:dyDescent="0.35">
      <c r="A191" s="32">
        <f t="shared" si="14"/>
        <v>189</v>
      </c>
      <c r="B191" s="87">
        <v>46086</v>
      </c>
      <c r="C191" s="75">
        <v>46086</v>
      </c>
      <c r="D191" s="66" t="s">
        <v>38</v>
      </c>
      <c r="E191" s="66" t="s">
        <v>39</v>
      </c>
      <c r="F191" s="67" t="s">
        <v>40</v>
      </c>
      <c r="G191" s="10" t="s">
        <v>86</v>
      </c>
      <c r="H191" s="10" t="s">
        <v>154</v>
      </c>
      <c r="I191" s="10" t="s">
        <v>155</v>
      </c>
      <c r="J191" s="10" t="s">
        <v>455</v>
      </c>
      <c r="K191" s="33" t="s">
        <v>157</v>
      </c>
      <c r="L191" s="10">
        <v>1237</v>
      </c>
      <c r="M191" s="10">
        <v>68690</v>
      </c>
      <c r="N191" s="10">
        <v>339</v>
      </c>
      <c r="O191" s="22">
        <f t="shared" si="18"/>
        <v>25580</v>
      </c>
      <c r="P191" s="22">
        <v>25241</v>
      </c>
      <c r="Q191" s="10">
        <v>329</v>
      </c>
      <c r="R191" s="67">
        <v>0</v>
      </c>
      <c r="S191" s="10">
        <v>10</v>
      </c>
      <c r="T191" s="10">
        <f t="shared" si="19"/>
        <v>40</v>
      </c>
      <c r="U191" s="22">
        <f>Table46[[#This Row],[NET WT KGS]]-Table46[[#This Row],[Refraction]]</f>
        <v>25201</v>
      </c>
      <c r="V191" s="23">
        <v>485</v>
      </c>
      <c r="W191" s="23">
        <f>Table46[[#This Row],[PRICE]]*Table46[[#This Row],[PAID WT]]</f>
        <v>12222485</v>
      </c>
      <c r="X191" s="24">
        <v>9.1999999999999993</v>
      </c>
      <c r="Y191" s="25">
        <v>177</v>
      </c>
      <c r="Z191" s="24">
        <v>46.11</v>
      </c>
      <c r="AA191" s="26"/>
      <c r="AB191" s="10" t="s">
        <v>40</v>
      </c>
      <c r="AC191" s="27"/>
      <c r="AD191" s="63" t="s">
        <v>422</v>
      </c>
      <c r="AE191" s="18">
        <f>Table46[[#This Row],[MOIS.]]*Table46[[#This Row],[NET WT KGS]]</f>
        <v>232217.19999999998</v>
      </c>
      <c r="AF191" s="18">
        <f>Table46[[#This Row],[KOR]]*Table46[[#This Row],[NET WT KGS]]</f>
        <v>1163862.51</v>
      </c>
      <c r="AG191">
        <f>Table46[[#This Row],[NET WT KGS]]*Table46[[#This Row],[NUT COUNT]]</f>
        <v>4467657</v>
      </c>
    </row>
    <row r="192" spans="1:33" x14ac:dyDescent="0.35">
      <c r="A192" s="32">
        <f t="shared" si="14"/>
        <v>190</v>
      </c>
      <c r="B192" s="75">
        <v>46086</v>
      </c>
      <c r="C192" s="75">
        <v>46086</v>
      </c>
      <c r="D192" s="66" t="s">
        <v>38</v>
      </c>
      <c r="E192" s="66" t="s">
        <v>39</v>
      </c>
      <c r="F192" s="67" t="s">
        <v>40</v>
      </c>
      <c r="G192" s="10" t="s">
        <v>350</v>
      </c>
      <c r="H192" s="10" t="s">
        <v>280</v>
      </c>
      <c r="I192" s="10" t="s">
        <v>281</v>
      </c>
      <c r="J192" s="10" t="s">
        <v>282</v>
      </c>
      <c r="K192" s="21" t="s">
        <v>283</v>
      </c>
      <c r="L192" s="10">
        <v>1240</v>
      </c>
      <c r="M192" s="10">
        <v>77610</v>
      </c>
      <c r="N192" s="10">
        <v>557</v>
      </c>
      <c r="O192" s="22">
        <f t="shared" si="18"/>
        <v>46220</v>
      </c>
      <c r="P192" s="22">
        <v>45663</v>
      </c>
      <c r="Q192" s="10">
        <v>546</v>
      </c>
      <c r="R192" s="67">
        <v>0</v>
      </c>
      <c r="S192" s="10">
        <v>11</v>
      </c>
      <c r="T192" s="10">
        <f t="shared" si="19"/>
        <v>44</v>
      </c>
      <c r="U192" s="22">
        <f>Table46[[#This Row],[NET WT KGS]]-Table46[[#This Row],[Refraction]]</f>
        <v>45619</v>
      </c>
      <c r="V192" s="23">
        <v>485</v>
      </c>
      <c r="W192" s="23">
        <f>Table46[[#This Row],[PRICE]]*Table46[[#This Row],[PAID WT]]</f>
        <v>22125215</v>
      </c>
      <c r="X192" s="24">
        <v>9.5</v>
      </c>
      <c r="Y192" s="25">
        <v>183</v>
      </c>
      <c r="Z192" s="24">
        <v>45.76</v>
      </c>
      <c r="AA192" s="26"/>
      <c r="AB192" s="10" t="s">
        <v>284</v>
      </c>
      <c r="AC192" s="27"/>
      <c r="AD192" s="63" t="s">
        <v>422</v>
      </c>
      <c r="AE192" s="18">
        <f>Table46[[#This Row],[MOIS.]]*Table46[[#This Row],[NET WT KGS]]</f>
        <v>433798.5</v>
      </c>
      <c r="AF192" s="18">
        <f>Table46[[#This Row],[KOR]]*Table46[[#This Row],[NET WT KGS]]</f>
        <v>2089538.88</v>
      </c>
      <c r="AG192">
        <f>Table46[[#This Row],[NET WT KGS]]*Table46[[#This Row],[NUT COUNT]]</f>
        <v>8356329</v>
      </c>
    </row>
    <row r="193" spans="1:33" x14ac:dyDescent="0.35">
      <c r="A193" s="32">
        <f t="shared" si="14"/>
        <v>191</v>
      </c>
      <c r="B193" s="75">
        <v>46086</v>
      </c>
      <c r="C193" s="75">
        <v>46086</v>
      </c>
      <c r="D193" s="66" t="s">
        <v>38</v>
      </c>
      <c r="E193" s="66" t="s">
        <v>39</v>
      </c>
      <c r="F193" s="67" t="s">
        <v>40</v>
      </c>
      <c r="G193" s="10" t="s">
        <v>86</v>
      </c>
      <c r="H193" s="10" t="s">
        <v>123</v>
      </c>
      <c r="I193" s="10" t="s">
        <v>124</v>
      </c>
      <c r="J193" s="10" t="s">
        <v>456</v>
      </c>
      <c r="K193" s="21" t="s">
        <v>161</v>
      </c>
      <c r="L193" s="10">
        <v>1239</v>
      </c>
      <c r="M193" s="10">
        <v>77607</v>
      </c>
      <c r="N193" s="10">
        <v>574</v>
      </c>
      <c r="O193" s="22">
        <f t="shared" si="18"/>
        <v>49940</v>
      </c>
      <c r="P193" s="22">
        <v>49366</v>
      </c>
      <c r="Q193" s="10">
        <v>564</v>
      </c>
      <c r="R193" s="67">
        <v>0</v>
      </c>
      <c r="S193" s="10">
        <v>10</v>
      </c>
      <c r="T193" s="10">
        <f t="shared" si="19"/>
        <v>40</v>
      </c>
      <c r="U193" s="22">
        <f>Table46[[#This Row],[NET WT KGS]]-Table46[[#This Row],[Refraction]]</f>
        <v>49326</v>
      </c>
      <c r="V193" s="23">
        <v>485</v>
      </c>
      <c r="W193" s="23">
        <f>Table46[[#This Row],[PRICE]]*Table46[[#This Row],[PAID WT]]</f>
        <v>23923110</v>
      </c>
      <c r="X193" s="24">
        <v>9.8000000000000007</v>
      </c>
      <c r="Y193" s="25">
        <v>162</v>
      </c>
      <c r="Z193" s="24">
        <v>46.11</v>
      </c>
      <c r="AA193" s="26"/>
      <c r="AB193" s="10" t="s">
        <v>78</v>
      </c>
      <c r="AC193" s="27"/>
      <c r="AD193" s="63" t="s">
        <v>422</v>
      </c>
      <c r="AE193" s="18">
        <f>Table46[[#This Row],[MOIS.]]*Table46[[#This Row],[NET WT KGS]]</f>
        <v>483786.80000000005</v>
      </c>
      <c r="AF193" s="18">
        <f>Table46[[#This Row],[KOR]]*Table46[[#This Row],[NET WT KGS]]</f>
        <v>2276266.2599999998</v>
      </c>
      <c r="AG193">
        <f>Table46[[#This Row],[NET WT KGS]]*Table46[[#This Row],[NUT COUNT]]</f>
        <v>7997292</v>
      </c>
    </row>
    <row r="194" spans="1:33" x14ac:dyDescent="0.35">
      <c r="A194" s="32">
        <f t="shared" si="14"/>
        <v>192</v>
      </c>
      <c r="B194" s="75">
        <v>46086</v>
      </c>
      <c r="C194" s="75">
        <v>46086</v>
      </c>
      <c r="D194" s="66" t="s">
        <v>38</v>
      </c>
      <c r="E194" s="66" t="s">
        <v>39</v>
      </c>
      <c r="F194" s="67" t="s">
        <v>40</v>
      </c>
      <c r="G194" s="10" t="s">
        <v>86</v>
      </c>
      <c r="H194" s="10" t="s">
        <v>94</v>
      </c>
      <c r="I194" s="10" t="s">
        <v>95</v>
      </c>
      <c r="J194" s="10" t="s">
        <v>304</v>
      </c>
      <c r="K194" s="33" t="s">
        <v>97</v>
      </c>
      <c r="L194" s="10">
        <v>1238</v>
      </c>
      <c r="M194" s="10">
        <v>77662</v>
      </c>
      <c r="N194" s="10">
        <v>504</v>
      </c>
      <c r="O194" s="22">
        <f t="shared" si="18"/>
        <v>46760</v>
      </c>
      <c r="P194" s="22">
        <v>46256</v>
      </c>
      <c r="Q194" s="10">
        <v>494</v>
      </c>
      <c r="R194" s="67">
        <v>0</v>
      </c>
      <c r="S194" s="10">
        <v>10</v>
      </c>
      <c r="T194" s="10">
        <f t="shared" si="19"/>
        <v>40</v>
      </c>
      <c r="U194" s="22">
        <f>Table46[[#This Row],[NET WT KGS]]-Table46[[#This Row],[Refraction]]</f>
        <v>46216</v>
      </c>
      <c r="V194" s="23">
        <v>485</v>
      </c>
      <c r="W194" s="23">
        <f>Table46[[#This Row],[PRICE]]*Table46[[#This Row],[PAID WT]]</f>
        <v>22414760</v>
      </c>
      <c r="X194" s="24">
        <v>9.6999999999999993</v>
      </c>
      <c r="Y194" s="25">
        <v>160</v>
      </c>
      <c r="Z194" s="24">
        <v>46.02</v>
      </c>
      <c r="AA194" s="26"/>
      <c r="AB194" s="10" t="s">
        <v>78</v>
      </c>
      <c r="AC194" s="27"/>
      <c r="AD194" s="63" t="s">
        <v>422</v>
      </c>
      <c r="AE194" s="18">
        <f>Table46[[#This Row],[MOIS.]]*Table46[[#This Row],[NET WT KGS]]</f>
        <v>448683.19999999995</v>
      </c>
      <c r="AF194" s="18">
        <f>Table46[[#This Row],[KOR]]*Table46[[#This Row],[NET WT KGS]]</f>
        <v>2128701.12</v>
      </c>
      <c r="AG194">
        <f>Table46[[#This Row],[NET WT KGS]]*Table46[[#This Row],[NUT COUNT]]</f>
        <v>7400960</v>
      </c>
    </row>
    <row r="195" spans="1:33" x14ac:dyDescent="0.35">
      <c r="A195" s="32">
        <f t="shared" si="14"/>
        <v>193</v>
      </c>
      <c r="B195" s="75">
        <v>46086</v>
      </c>
      <c r="C195" s="75">
        <v>46086</v>
      </c>
      <c r="D195" s="66" t="s">
        <v>38</v>
      </c>
      <c r="E195" s="66" t="s">
        <v>39</v>
      </c>
      <c r="F195" s="67" t="s">
        <v>40</v>
      </c>
      <c r="G195" s="10" t="s">
        <v>350</v>
      </c>
      <c r="H195" s="10" t="s">
        <v>112</v>
      </c>
      <c r="I195" s="10" t="s">
        <v>113</v>
      </c>
      <c r="J195" s="10" t="s">
        <v>114</v>
      </c>
      <c r="K195" s="21" t="s">
        <v>115</v>
      </c>
      <c r="L195" s="10">
        <v>1241</v>
      </c>
      <c r="M195" s="10">
        <v>72561</v>
      </c>
      <c r="N195" s="10">
        <v>550</v>
      </c>
      <c r="O195" s="22">
        <f t="shared" si="18"/>
        <v>49940</v>
      </c>
      <c r="P195" s="22">
        <v>49390</v>
      </c>
      <c r="Q195" s="10">
        <v>544</v>
      </c>
      <c r="R195" s="67">
        <v>0</v>
      </c>
      <c r="S195" s="10">
        <v>6</v>
      </c>
      <c r="T195" s="10">
        <f t="shared" si="19"/>
        <v>24</v>
      </c>
      <c r="U195" s="22">
        <f>Table46[[#This Row],[NET WT KGS]]-Table46[[#This Row],[Refraction]]</f>
        <v>49366</v>
      </c>
      <c r="V195" s="23">
        <v>480</v>
      </c>
      <c r="W195" s="23">
        <f>Table46[[#This Row],[PRICE]]*Table46[[#This Row],[PAID WT]]</f>
        <v>23695680</v>
      </c>
      <c r="X195" s="24">
        <v>9.1</v>
      </c>
      <c r="Y195" s="25">
        <v>160</v>
      </c>
      <c r="Z195" s="24">
        <v>45.76</v>
      </c>
      <c r="AA195" s="26"/>
      <c r="AB195" s="10" t="s">
        <v>58</v>
      </c>
      <c r="AC195" s="27"/>
      <c r="AD195" s="63" t="s">
        <v>422</v>
      </c>
      <c r="AE195" s="18">
        <f>Table46[[#This Row],[MOIS.]]*Table46[[#This Row],[NET WT KGS]]</f>
        <v>449449</v>
      </c>
      <c r="AF195" s="18">
        <f>Table46[[#This Row],[KOR]]*Table46[[#This Row],[NET WT KGS]]</f>
        <v>2260086.4</v>
      </c>
      <c r="AG195">
        <f>Table46[[#This Row],[NET WT KGS]]*Table46[[#This Row],[NUT COUNT]]</f>
        <v>7902400</v>
      </c>
    </row>
    <row r="196" spans="1:33" x14ac:dyDescent="0.35">
      <c r="A196" s="32">
        <f t="shared" ref="A196:A259" si="20">A195+1</f>
        <v>194</v>
      </c>
      <c r="B196" s="35">
        <v>46086</v>
      </c>
      <c r="C196" s="35">
        <f>Table46[[#This Row],[DATE OF ARRIVAL]]</f>
        <v>46086</v>
      </c>
      <c r="D196" s="74" t="s">
        <v>38</v>
      </c>
      <c r="E196" s="74" t="s">
        <v>39</v>
      </c>
      <c r="F196" s="74" t="s">
        <v>40</v>
      </c>
      <c r="G196" s="36"/>
      <c r="H196" s="36" t="s">
        <v>123</v>
      </c>
      <c r="I196" s="36" t="s">
        <v>124</v>
      </c>
      <c r="J196" s="36" t="s">
        <v>221</v>
      </c>
      <c r="K196" s="36"/>
      <c r="L196" s="36"/>
      <c r="M196" s="36"/>
      <c r="N196" s="36"/>
      <c r="O196" s="37">
        <f t="shared" si="18"/>
        <v>0</v>
      </c>
      <c r="P196" s="37"/>
      <c r="Q196" s="36"/>
      <c r="R196" s="86"/>
      <c r="S196" s="36"/>
      <c r="T196" s="36"/>
      <c r="U196" s="37">
        <f>Table46[[#This Row],[NET WT KGS]]-Table46[[#This Row],[Refraction]]</f>
        <v>0</v>
      </c>
      <c r="V196" s="38"/>
      <c r="W196" s="38">
        <f>Table46[[#This Row],[PRICE]]*Table46[[#This Row],[PAID WT]]</f>
        <v>0</v>
      </c>
      <c r="X196" s="39">
        <v>9.8000000000000007</v>
      </c>
      <c r="Y196" s="40">
        <v>183</v>
      </c>
      <c r="Z196" s="39">
        <v>42.41</v>
      </c>
      <c r="AA196" s="41"/>
      <c r="AB196" s="36" t="s">
        <v>398</v>
      </c>
      <c r="AC196" s="42" t="s">
        <v>70</v>
      </c>
      <c r="AD196" s="28"/>
      <c r="AE196" s="18">
        <f>Table46[[#This Row],[MOIS.]]*Table46[[#This Row],[NET WT KGS]]</f>
        <v>0</v>
      </c>
      <c r="AF196" s="18">
        <f>Table46[[#This Row],[KOR]]*Table46[[#This Row],[NET WT KGS]]</f>
        <v>0</v>
      </c>
      <c r="AG196">
        <f>Table46[[#This Row],[NET WT KGS]]*Table46[[#This Row],[NUT COUNT]]</f>
        <v>0</v>
      </c>
    </row>
    <row r="197" spans="1:33" x14ac:dyDescent="0.35">
      <c r="A197" s="32">
        <f t="shared" si="20"/>
        <v>195</v>
      </c>
      <c r="B197" s="35">
        <v>46086</v>
      </c>
      <c r="C197" s="35">
        <f>Table46[[#This Row],[DATE OF ARRIVAL]]</f>
        <v>46086</v>
      </c>
      <c r="D197" s="74" t="s">
        <v>38</v>
      </c>
      <c r="E197" s="74" t="s">
        <v>39</v>
      </c>
      <c r="F197" s="74" t="s">
        <v>62</v>
      </c>
      <c r="G197" s="36"/>
      <c r="H197" s="36" t="s">
        <v>235</v>
      </c>
      <c r="I197" s="36" t="s">
        <v>236</v>
      </c>
      <c r="J197" s="36" t="s">
        <v>457</v>
      </c>
      <c r="K197" s="36"/>
      <c r="L197" s="36"/>
      <c r="M197" s="36"/>
      <c r="N197" s="36"/>
      <c r="O197" s="37">
        <f t="shared" si="18"/>
        <v>0</v>
      </c>
      <c r="P197" s="37"/>
      <c r="Q197" s="36"/>
      <c r="R197" s="86"/>
      <c r="S197" s="36"/>
      <c r="T197" s="36"/>
      <c r="U197" s="37">
        <f>Table46[[#This Row],[NET WT KGS]]-Table46[[#This Row],[Refraction]]</f>
        <v>0</v>
      </c>
      <c r="V197" s="38"/>
      <c r="W197" s="38">
        <f>Table46[[#This Row],[PRICE]]*Table46[[#This Row],[PAID WT]]</f>
        <v>0</v>
      </c>
      <c r="X197" s="39">
        <v>8.9</v>
      </c>
      <c r="Y197" s="40">
        <v>177</v>
      </c>
      <c r="Z197" s="39">
        <v>44.35</v>
      </c>
      <c r="AA197" s="41"/>
      <c r="AB197" s="36" t="s">
        <v>444</v>
      </c>
      <c r="AC197" s="42" t="s">
        <v>70</v>
      </c>
      <c r="AD197" s="28"/>
      <c r="AE197" s="18">
        <f>Table46[[#This Row],[MOIS.]]*Table46[[#This Row],[NET WT KGS]]</f>
        <v>0</v>
      </c>
      <c r="AF197" s="18">
        <f>Table46[[#This Row],[KOR]]*Table46[[#This Row],[NET WT KGS]]</f>
        <v>0</v>
      </c>
      <c r="AG197">
        <f>Table46[[#This Row],[NET WT KGS]]*Table46[[#This Row],[NUT COUNT]]</f>
        <v>0</v>
      </c>
    </row>
    <row r="198" spans="1:33" x14ac:dyDescent="0.35">
      <c r="A198" s="32">
        <f t="shared" si="20"/>
        <v>196</v>
      </c>
      <c r="B198" s="75">
        <v>46086</v>
      </c>
      <c r="C198" s="75">
        <v>46087</v>
      </c>
      <c r="D198" s="66" t="s">
        <v>38</v>
      </c>
      <c r="E198" s="66" t="s">
        <v>39</v>
      </c>
      <c r="F198" s="67" t="s">
        <v>40</v>
      </c>
      <c r="G198" s="66" t="s">
        <v>350</v>
      </c>
      <c r="H198" s="67" t="s">
        <v>286</v>
      </c>
      <c r="I198" s="67" t="s">
        <v>287</v>
      </c>
      <c r="J198" s="66" t="s">
        <v>288</v>
      </c>
      <c r="K198" s="21" t="s">
        <v>289</v>
      </c>
      <c r="L198" s="10">
        <v>1246</v>
      </c>
      <c r="M198" s="10">
        <v>77620</v>
      </c>
      <c r="N198" s="66">
        <v>488</v>
      </c>
      <c r="O198" s="68">
        <f t="shared" si="18"/>
        <v>40760</v>
      </c>
      <c r="P198" s="68">
        <v>40272</v>
      </c>
      <c r="Q198" s="10">
        <v>468</v>
      </c>
      <c r="R198" s="67">
        <v>0</v>
      </c>
      <c r="S198" s="66">
        <v>20</v>
      </c>
      <c r="T198" s="10">
        <f t="shared" ref="T198:T207" si="21">S198*4+R198*40</f>
        <v>80</v>
      </c>
      <c r="U198" s="68">
        <f>Table46[[#This Row],[NET WT KGS]]-Table46[[#This Row],[Refraction]]</f>
        <v>40192</v>
      </c>
      <c r="V198" s="69">
        <v>480</v>
      </c>
      <c r="W198" s="69">
        <f>Table46[[#This Row],[PRICE]]*Table46[[#This Row],[PAID WT]]</f>
        <v>19292160</v>
      </c>
      <c r="X198" s="70">
        <v>10.3</v>
      </c>
      <c r="Y198" s="71">
        <v>168</v>
      </c>
      <c r="Z198" s="70">
        <v>45.05</v>
      </c>
      <c r="AA198" s="72"/>
      <c r="AB198" s="10" t="s">
        <v>46</v>
      </c>
      <c r="AC198" s="73"/>
      <c r="AD198" s="63" t="s">
        <v>422</v>
      </c>
      <c r="AE198" s="18">
        <f>Table46[[#This Row],[MOIS.]]*Table46[[#This Row],[NET WT KGS]]</f>
        <v>414801.60000000003</v>
      </c>
      <c r="AF198" s="18">
        <f>Table46[[#This Row],[KOR]]*Table46[[#This Row],[NET WT KGS]]</f>
        <v>1814253.5999999999</v>
      </c>
      <c r="AG198">
        <f>Table46[[#This Row],[NET WT KGS]]*Table46[[#This Row],[NUT COUNT]]</f>
        <v>6765696</v>
      </c>
    </row>
    <row r="199" spans="1:33" x14ac:dyDescent="0.35">
      <c r="A199" s="32">
        <f t="shared" si="20"/>
        <v>197</v>
      </c>
      <c r="B199" s="75">
        <v>46086</v>
      </c>
      <c r="C199" s="75">
        <v>46087</v>
      </c>
      <c r="D199" s="66" t="s">
        <v>38</v>
      </c>
      <c r="E199" s="66" t="s">
        <v>39</v>
      </c>
      <c r="F199" s="67" t="s">
        <v>40</v>
      </c>
      <c r="G199" s="66" t="s">
        <v>350</v>
      </c>
      <c r="H199" s="66" t="s">
        <v>105</v>
      </c>
      <c r="I199" s="66" t="s">
        <v>106</v>
      </c>
      <c r="J199" s="66" t="s">
        <v>387</v>
      </c>
      <c r="K199" s="33" t="s">
        <v>108</v>
      </c>
      <c r="L199" s="66">
        <v>1247</v>
      </c>
      <c r="M199" s="10">
        <v>77661</v>
      </c>
      <c r="N199" s="66">
        <v>456</v>
      </c>
      <c r="O199" s="68">
        <f t="shared" si="18"/>
        <v>38160</v>
      </c>
      <c r="P199" s="68">
        <v>37704</v>
      </c>
      <c r="Q199" s="66">
        <v>439</v>
      </c>
      <c r="R199" s="67">
        <v>0</v>
      </c>
      <c r="S199" s="66">
        <v>17</v>
      </c>
      <c r="T199" s="10">
        <f t="shared" si="21"/>
        <v>68</v>
      </c>
      <c r="U199" s="68">
        <f>Table46[[#This Row],[NET WT KGS]]-Table46[[#This Row],[Refraction]]</f>
        <v>37636</v>
      </c>
      <c r="V199" s="69">
        <v>480</v>
      </c>
      <c r="W199" s="69">
        <f>Table46[[#This Row],[PRICE]]*Table46[[#This Row],[PAID WT]]</f>
        <v>18065280</v>
      </c>
      <c r="X199" s="70">
        <v>9.8000000000000007</v>
      </c>
      <c r="Y199" s="71">
        <v>188</v>
      </c>
      <c r="Z199" s="70">
        <v>45.4</v>
      </c>
      <c r="AA199" s="72"/>
      <c r="AB199" s="66" t="s">
        <v>458</v>
      </c>
      <c r="AC199" s="73"/>
      <c r="AD199" s="63" t="s">
        <v>422</v>
      </c>
      <c r="AE199" s="18">
        <f>Table46[[#This Row],[MOIS.]]*Table46[[#This Row],[NET WT KGS]]</f>
        <v>369499.2</v>
      </c>
      <c r="AF199" s="18">
        <f>Table46[[#This Row],[KOR]]*Table46[[#This Row],[NET WT KGS]]</f>
        <v>1711761.5999999999</v>
      </c>
      <c r="AG199">
        <f>Table46[[#This Row],[NET WT KGS]]*Table46[[#This Row],[NUT COUNT]]</f>
        <v>7088352</v>
      </c>
    </row>
    <row r="200" spans="1:33" x14ac:dyDescent="0.35">
      <c r="A200" s="32">
        <f t="shared" si="20"/>
        <v>198</v>
      </c>
      <c r="B200" s="75">
        <v>46086</v>
      </c>
      <c r="C200" s="75">
        <v>46087</v>
      </c>
      <c r="D200" s="66" t="s">
        <v>38</v>
      </c>
      <c r="E200" s="66" t="s">
        <v>39</v>
      </c>
      <c r="F200" s="67" t="s">
        <v>40</v>
      </c>
      <c r="G200" s="66" t="s">
        <v>350</v>
      </c>
      <c r="H200" s="66" t="s">
        <v>54</v>
      </c>
      <c r="I200" s="66" t="s">
        <v>55</v>
      </c>
      <c r="J200" s="66" t="s">
        <v>371</v>
      </c>
      <c r="K200" s="33" t="s">
        <v>57</v>
      </c>
      <c r="L200" s="66">
        <v>1242</v>
      </c>
      <c r="M200" s="10">
        <v>65455</v>
      </c>
      <c r="N200" s="66">
        <v>489</v>
      </c>
      <c r="O200" s="68">
        <f t="shared" si="18"/>
        <v>40760</v>
      </c>
      <c r="P200" s="68">
        <v>40271</v>
      </c>
      <c r="Q200" s="66">
        <v>473</v>
      </c>
      <c r="R200" s="67">
        <v>0</v>
      </c>
      <c r="S200" s="66">
        <v>16</v>
      </c>
      <c r="T200" s="10">
        <f t="shared" si="21"/>
        <v>64</v>
      </c>
      <c r="U200" s="68">
        <f>Table46[[#This Row],[NET WT KGS]]-Table46[[#This Row],[Refraction]]</f>
        <v>40207</v>
      </c>
      <c r="V200" s="69">
        <v>490</v>
      </c>
      <c r="W200" s="69">
        <f>Table46[[#This Row],[PRICE]]*Table46[[#This Row],[PAID WT]]</f>
        <v>19701430</v>
      </c>
      <c r="X200" s="70">
        <v>8.5</v>
      </c>
      <c r="Y200" s="71">
        <v>173</v>
      </c>
      <c r="Z200" s="70">
        <v>45.23</v>
      </c>
      <c r="AA200" s="72"/>
      <c r="AB200" s="66" t="s">
        <v>58</v>
      </c>
      <c r="AC200" s="73"/>
      <c r="AD200" s="63" t="s">
        <v>422</v>
      </c>
      <c r="AE200" s="18">
        <f>Table46[[#This Row],[MOIS.]]*Table46[[#This Row],[NET WT KGS]]</f>
        <v>342303.5</v>
      </c>
      <c r="AF200" s="18">
        <f>Table46[[#This Row],[KOR]]*Table46[[#This Row],[NET WT KGS]]</f>
        <v>1821457.3299999998</v>
      </c>
      <c r="AG200">
        <f>Table46[[#This Row],[NET WT KGS]]*Table46[[#This Row],[NUT COUNT]]</f>
        <v>6966883</v>
      </c>
    </row>
    <row r="201" spans="1:33" x14ac:dyDescent="0.35">
      <c r="A201" s="32">
        <f t="shared" si="20"/>
        <v>199</v>
      </c>
      <c r="B201" s="75">
        <v>46086</v>
      </c>
      <c r="C201" s="75">
        <v>46087</v>
      </c>
      <c r="D201" s="66" t="s">
        <v>38</v>
      </c>
      <c r="E201" s="66" t="s">
        <v>39</v>
      </c>
      <c r="F201" s="67" t="s">
        <v>40</v>
      </c>
      <c r="G201" s="10" t="s">
        <v>350</v>
      </c>
      <c r="H201" s="10" t="s">
        <v>123</v>
      </c>
      <c r="I201" s="10" t="s">
        <v>124</v>
      </c>
      <c r="J201" s="10" t="s">
        <v>459</v>
      </c>
      <c r="K201" s="21" t="s">
        <v>161</v>
      </c>
      <c r="L201" s="10">
        <v>1248</v>
      </c>
      <c r="M201" s="10">
        <v>77616</v>
      </c>
      <c r="N201" s="10">
        <v>662</v>
      </c>
      <c r="O201" s="22">
        <f t="shared" si="18"/>
        <v>54700</v>
      </c>
      <c r="P201" s="22">
        <v>54038</v>
      </c>
      <c r="Q201" s="10">
        <v>652</v>
      </c>
      <c r="R201" s="67">
        <v>0</v>
      </c>
      <c r="S201" s="10">
        <v>10</v>
      </c>
      <c r="T201" s="10">
        <f t="shared" si="21"/>
        <v>40</v>
      </c>
      <c r="U201" s="22">
        <f>Table46[[#This Row],[NET WT KGS]]-Table46[[#This Row],[Refraction]]</f>
        <v>53998</v>
      </c>
      <c r="V201" s="23">
        <v>485</v>
      </c>
      <c r="W201" s="23">
        <f>Table46[[#This Row],[PRICE]]*Table46[[#This Row],[PAID WT]]</f>
        <v>26189030</v>
      </c>
      <c r="X201" s="24">
        <v>9.6</v>
      </c>
      <c r="Y201" s="25">
        <v>170</v>
      </c>
      <c r="Z201" s="24">
        <v>45.05</v>
      </c>
      <c r="AA201" s="26"/>
      <c r="AB201" s="10" t="s">
        <v>212</v>
      </c>
      <c r="AC201" s="27"/>
      <c r="AD201" s="63" t="s">
        <v>422</v>
      </c>
      <c r="AE201" s="18">
        <f>Table46[[#This Row],[MOIS.]]*Table46[[#This Row],[NET WT KGS]]</f>
        <v>518764.79999999999</v>
      </c>
      <c r="AF201" s="18">
        <f>Table46[[#This Row],[KOR]]*Table46[[#This Row],[NET WT KGS]]</f>
        <v>2434411.9</v>
      </c>
      <c r="AG201">
        <f>Table46[[#This Row],[NET WT KGS]]*Table46[[#This Row],[NUT COUNT]]</f>
        <v>9186460</v>
      </c>
    </row>
    <row r="202" spans="1:33" x14ac:dyDescent="0.35">
      <c r="A202" s="32">
        <f t="shared" si="20"/>
        <v>200</v>
      </c>
      <c r="B202" s="75">
        <v>46087</v>
      </c>
      <c r="C202" s="75">
        <v>46087</v>
      </c>
      <c r="D202" s="66" t="s">
        <v>38</v>
      </c>
      <c r="E202" s="66" t="s">
        <v>39</v>
      </c>
      <c r="F202" s="67" t="s">
        <v>40</v>
      </c>
      <c r="G202" s="66" t="s">
        <v>41</v>
      </c>
      <c r="H202" s="66" t="s">
        <v>123</v>
      </c>
      <c r="I202" s="66" t="s">
        <v>124</v>
      </c>
      <c r="J202" s="66" t="s">
        <v>89</v>
      </c>
      <c r="K202" s="21" t="s">
        <v>161</v>
      </c>
      <c r="L202" s="66">
        <v>1245</v>
      </c>
      <c r="M202" s="10">
        <v>60442</v>
      </c>
      <c r="N202" s="66">
        <v>550</v>
      </c>
      <c r="O202" s="68">
        <f t="shared" si="18"/>
        <v>45580</v>
      </c>
      <c r="P202" s="68">
        <v>45030</v>
      </c>
      <c r="Q202" s="66">
        <v>542</v>
      </c>
      <c r="R202" s="67">
        <v>0</v>
      </c>
      <c r="S202" s="66">
        <v>8</v>
      </c>
      <c r="T202" s="10">
        <f t="shared" si="21"/>
        <v>32</v>
      </c>
      <c r="U202" s="68">
        <f>Table46[[#This Row],[NET WT KGS]]-Table46[[#This Row],[Refraction]]</f>
        <v>44998</v>
      </c>
      <c r="V202" s="69">
        <v>485</v>
      </c>
      <c r="W202" s="69">
        <f>Table46[[#This Row],[PRICE]]*Table46[[#This Row],[PAID WT]]</f>
        <v>21824030</v>
      </c>
      <c r="X202" s="70">
        <v>9.6</v>
      </c>
      <c r="Y202" s="71">
        <v>170</v>
      </c>
      <c r="Z202" s="70">
        <v>47.52</v>
      </c>
      <c r="AA202" s="72"/>
      <c r="AB202" s="66" t="s">
        <v>398</v>
      </c>
      <c r="AC202" s="73"/>
      <c r="AD202" s="63" t="s">
        <v>422</v>
      </c>
      <c r="AE202" s="18">
        <f>Table46[[#This Row],[MOIS.]]*Table46[[#This Row],[NET WT KGS]]</f>
        <v>432288</v>
      </c>
      <c r="AF202" s="18">
        <f>Table46[[#This Row],[KOR]]*Table46[[#This Row],[NET WT KGS]]</f>
        <v>2139825.6</v>
      </c>
      <c r="AG202">
        <f>Table46[[#This Row],[NET WT KGS]]*Table46[[#This Row],[NUT COUNT]]</f>
        <v>7655100</v>
      </c>
    </row>
    <row r="203" spans="1:33" x14ac:dyDescent="0.35">
      <c r="A203" s="32">
        <f t="shared" si="20"/>
        <v>201</v>
      </c>
      <c r="B203" s="75">
        <v>46087</v>
      </c>
      <c r="C203" s="75">
        <v>46087</v>
      </c>
      <c r="D203" s="66" t="s">
        <v>38</v>
      </c>
      <c r="E203" s="66" t="s">
        <v>39</v>
      </c>
      <c r="F203" s="67" t="s">
        <v>40</v>
      </c>
      <c r="G203" s="10" t="s">
        <v>86</v>
      </c>
      <c r="H203" s="10" t="s">
        <v>87</v>
      </c>
      <c r="I203" s="10" t="s">
        <v>88</v>
      </c>
      <c r="J203" s="10" t="s">
        <v>460</v>
      </c>
      <c r="K203" s="33" t="s">
        <v>90</v>
      </c>
      <c r="L203" s="10">
        <v>1244</v>
      </c>
      <c r="M203" s="10" t="s">
        <v>461</v>
      </c>
      <c r="N203" s="10">
        <v>523</v>
      </c>
      <c r="O203" s="22">
        <f t="shared" si="18"/>
        <v>46620</v>
      </c>
      <c r="P203" s="22">
        <v>46097</v>
      </c>
      <c r="Q203" s="10">
        <v>518</v>
      </c>
      <c r="R203" s="67">
        <v>0</v>
      </c>
      <c r="S203" s="10">
        <v>5</v>
      </c>
      <c r="T203" s="10">
        <f t="shared" si="21"/>
        <v>20</v>
      </c>
      <c r="U203" s="22">
        <f>Table46[[#This Row],[NET WT KGS]]-Table46[[#This Row],[Refraction]]</f>
        <v>46077</v>
      </c>
      <c r="V203" s="23">
        <v>480</v>
      </c>
      <c r="W203" s="23">
        <f>Table46[[#This Row],[PRICE]]*Table46[[#This Row],[PAID WT]]</f>
        <v>22116960</v>
      </c>
      <c r="X203" s="24">
        <v>8.6999999999999993</v>
      </c>
      <c r="Y203" s="25">
        <v>179</v>
      </c>
      <c r="Z203" s="24">
        <v>45.58</v>
      </c>
      <c r="AA203" s="26"/>
      <c r="AB203" s="10" t="s">
        <v>40</v>
      </c>
      <c r="AC203" s="27"/>
      <c r="AD203" s="63" t="s">
        <v>422</v>
      </c>
      <c r="AE203" s="18">
        <f>Table46[[#This Row],[MOIS.]]*Table46[[#This Row],[NET WT KGS]]</f>
        <v>401043.89999999997</v>
      </c>
      <c r="AF203" s="18">
        <f>Table46[[#This Row],[KOR]]*Table46[[#This Row],[NET WT KGS]]</f>
        <v>2101101.2599999998</v>
      </c>
      <c r="AG203">
        <f>Table46[[#This Row],[NET WT KGS]]*Table46[[#This Row],[NUT COUNT]]</f>
        <v>8251363</v>
      </c>
    </row>
    <row r="204" spans="1:33" x14ac:dyDescent="0.35">
      <c r="A204" s="32">
        <f t="shared" si="20"/>
        <v>202</v>
      </c>
      <c r="B204" s="75">
        <v>46087</v>
      </c>
      <c r="C204" s="75">
        <v>46087</v>
      </c>
      <c r="D204" s="66" t="s">
        <v>38</v>
      </c>
      <c r="E204" s="66" t="s">
        <v>39</v>
      </c>
      <c r="F204" s="67" t="s">
        <v>40</v>
      </c>
      <c r="G204" s="10" t="s">
        <v>350</v>
      </c>
      <c r="H204" s="66" t="s">
        <v>74</v>
      </c>
      <c r="I204" s="66" t="s">
        <v>75</v>
      </c>
      <c r="J204" s="10" t="s">
        <v>76</v>
      </c>
      <c r="K204" s="33" t="s">
        <v>77</v>
      </c>
      <c r="L204" s="10">
        <v>1243</v>
      </c>
      <c r="M204" s="10">
        <v>72641</v>
      </c>
      <c r="N204" s="10">
        <v>571</v>
      </c>
      <c r="O204" s="22">
        <f t="shared" si="18"/>
        <v>45520</v>
      </c>
      <c r="P204" s="22">
        <v>44949</v>
      </c>
      <c r="Q204" s="10">
        <v>456</v>
      </c>
      <c r="R204" s="67">
        <v>0</v>
      </c>
      <c r="S204" s="10">
        <v>15</v>
      </c>
      <c r="T204" s="10">
        <f t="shared" si="21"/>
        <v>60</v>
      </c>
      <c r="U204" s="22">
        <f>Table46[[#This Row],[NET WT KGS]]-Table46[[#This Row],[Refraction]]</f>
        <v>44889</v>
      </c>
      <c r="V204" s="23">
        <v>485</v>
      </c>
      <c r="W204" s="23">
        <f>Table46[[#This Row],[PRICE]]*Table46[[#This Row],[PAID WT]]</f>
        <v>21771165</v>
      </c>
      <c r="X204" s="24">
        <v>8.5</v>
      </c>
      <c r="Y204" s="25">
        <v>161</v>
      </c>
      <c r="Z204" s="24">
        <v>45.32</v>
      </c>
      <c r="AA204" s="26"/>
      <c r="AB204" s="10" t="s">
        <v>78</v>
      </c>
      <c r="AC204" s="27"/>
      <c r="AD204" s="63" t="s">
        <v>422</v>
      </c>
      <c r="AE204" s="18">
        <f>Table46[[#This Row],[MOIS.]]*Table46[[#This Row],[NET WT KGS]]</f>
        <v>382066.5</v>
      </c>
      <c r="AF204" s="18">
        <f>Table46[[#This Row],[KOR]]*Table46[[#This Row],[NET WT KGS]]</f>
        <v>2037088.68</v>
      </c>
      <c r="AG204">
        <f>Table46[[#This Row],[NET WT KGS]]*Table46[[#This Row],[NUT COUNT]]</f>
        <v>7236789</v>
      </c>
    </row>
    <row r="205" spans="1:33" x14ac:dyDescent="0.35">
      <c r="A205" s="32">
        <f t="shared" si="20"/>
        <v>203</v>
      </c>
      <c r="B205" s="75">
        <v>46087</v>
      </c>
      <c r="C205" s="75">
        <v>46087</v>
      </c>
      <c r="D205" s="66" t="s">
        <v>38</v>
      </c>
      <c r="E205" s="10" t="s">
        <v>258</v>
      </c>
      <c r="F205" s="67" t="s">
        <v>40</v>
      </c>
      <c r="G205" s="10" t="s">
        <v>350</v>
      </c>
      <c r="H205" s="10" t="s">
        <v>335</v>
      </c>
      <c r="I205" s="10" t="s">
        <v>66</v>
      </c>
      <c r="J205" s="10" t="s">
        <v>420</v>
      </c>
      <c r="K205" s="57" t="s">
        <v>337</v>
      </c>
      <c r="L205" s="10">
        <v>1249</v>
      </c>
      <c r="M205" s="10">
        <v>68677</v>
      </c>
      <c r="N205" s="10">
        <v>246</v>
      </c>
      <c r="O205" s="22">
        <f t="shared" si="18"/>
        <v>20380</v>
      </c>
      <c r="P205" s="22">
        <v>20134</v>
      </c>
      <c r="Q205" s="10">
        <v>240</v>
      </c>
      <c r="R205" s="67">
        <v>0</v>
      </c>
      <c r="S205" s="10">
        <v>6</v>
      </c>
      <c r="T205" s="10">
        <f t="shared" si="21"/>
        <v>24</v>
      </c>
      <c r="U205" s="22">
        <f>Table46[[#This Row],[NET WT KGS]]-Table46[[#This Row],[Refraction]]</f>
        <v>20110</v>
      </c>
      <c r="V205" s="23">
        <v>485</v>
      </c>
      <c r="W205" s="23">
        <f>Table46[[#This Row],[PRICE]]*Table46[[#This Row],[PAID WT]]</f>
        <v>9753350</v>
      </c>
      <c r="X205" s="24">
        <v>9.6</v>
      </c>
      <c r="Y205" s="25">
        <v>165</v>
      </c>
      <c r="Z205" s="24">
        <v>45.05</v>
      </c>
      <c r="AA205" s="26"/>
      <c r="AB205" s="10" t="s">
        <v>46</v>
      </c>
      <c r="AC205" s="27"/>
      <c r="AD205" s="63" t="s">
        <v>422</v>
      </c>
      <c r="AE205" s="18">
        <f>Table46[[#This Row],[MOIS.]]*Table46[[#This Row],[NET WT KGS]]</f>
        <v>193286.39999999999</v>
      </c>
      <c r="AF205" s="18">
        <f>Table46[[#This Row],[KOR]]*Table46[[#This Row],[NET WT KGS]]</f>
        <v>907036.7</v>
      </c>
      <c r="AG205">
        <f>Table46[[#This Row],[NET WT KGS]]*Table46[[#This Row],[NUT COUNT]]</f>
        <v>3322110</v>
      </c>
    </row>
    <row r="206" spans="1:33" x14ac:dyDescent="0.35">
      <c r="A206" s="32">
        <f t="shared" si="20"/>
        <v>204</v>
      </c>
      <c r="B206" s="75">
        <v>46087</v>
      </c>
      <c r="C206" s="75">
        <v>46087</v>
      </c>
      <c r="D206" s="66" t="s">
        <v>38</v>
      </c>
      <c r="E206" s="66" t="s">
        <v>39</v>
      </c>
      <c r="F206" s="67" t="s">
        <v>40</v>
      </c>
      <c r="G206" s="10" t="s">
        <v>86</v>
      </c>
      <c r="H206" s="10" t="s">
        <v>136</v>
      </c>
      <c r="I206" s="10" t="s">
        <v>137</v>
      </c>
      <c r="J206" s="10" t="s">
        <v>462</v>
      </c>
      <c r="K206" s="21" t="s">
        <v>139</v>
      </c>
      <c r="L206" s="10">
        <v>1250</v>
      </c>
      <c r="M206" s="10">
        <v>77623</v>
      </c>
      <c r="N206" s="10">
        <v>479</v>
      </c>
      <c r="O206" s="22">
        <f t="shared" si="18"/>
        <v>41780</v>
      </c>
      <c r="P206" s="22">
        <v>41301</v>
      </c>
      <c r="Q206" s="10">
        <v>472</v>
      </c>
      <c r="R206" s="67">
        <v>0</v>
      </c>
      <c r="S206" s="10">
        <v>7</v>
      </c>
      <c r="T206" s="10">
        <f t="shared" si="21"/>
        <v>28</v>
      </c>
      <c r="U206" s="22">
        <f>Table46[[#This Row],[NET WT KGS]]-Table46[[#This Row],[Refraction]]</f>
        <v>41273</v>
      </c>
      <c r="V206" s="23">
        <v>485</v>
      </c>
      <c r="W206" s="23">
        <f>Table46[[#This Row],[PRICE]]*Table46[[#This Row],[PAID WT]]</f>
        <v>20017405</v>
      </c>
      <c r="X206" s="24">
        <v>9.6</v>
      </c>
      <c r="Y206" s="25">
        <v>167</v>
      </c>
      <c r="Z206" s="24">
        <v>46.11</v>
      </c>
      <c r="AA206" s="26"/>
      <c r="AB206" s="10" t="s">
        <v>140</v>
      </c>
      <c r="AC206" s="27"/>
      <c r="AD206" s="63" t="s">
        <v>422</v>
      </c>
      <c r="AE206" s="18">
        <f>Table46[[#This Row],[MOIS.]]*Table46[[#This Row],[NET WT KGS]]</f>
        <v>396489.6</v>
      </c>
      <c r="AF206" s="18">
        <f>Table46[[#This Row],[KOR]]*Table46[[#This Row],[NET WT KGS]]</f>
        <v>1904389.1099999999</v>
      </c>
      <c r="AG206">
        <f>Table46[[#This Row],[NET WT KGS]]*Table46[[#This Row],[NUT COUNT]]</f>
        <v>6897267</v>
      </c>
    </row>
    <row r="207" spans="1:33" x14ac:dyDescent="0.35">
      <c r="A207" s="32">
        <f t="shared" si="20"/>
        <v>205</v>
      </c>
      <c r="B207" s="75">
        <v>46087</v>
      </c>
      <c r="C207" s="75">
        <v>46087</v>
      </c>
      <c r="D207" s="66" t="s">
        <v>38</v>
      </c>
      <c r="E207" s="10" t="s">
        <v>258</v>
      </c>
      <c r="F207" s="67" t="s">
        <v>40</v>
      </c>
      <c r="G207" s="10" t="s">
        <v>350</v>
      </c>
      <c r="H207" s="50" t="s">
        <v>362</v>
      </c>
      <c r="I207" s="50" t="s">
        <v>50</v>
      </c>
      <c r="J207" s="10" t="s">
        <v>463</v>
      </c>
      <c r="K207" s="57" t="s">
        <v>370</v>
      </c>
      <c r="L207" s="10">
        <v>201</v>
      </c>
      <c r="M207" s="10">
        <v>72644</v>
      </c>
      <c r="N207" s="10">
        <v>92</v>
      </c>
      <c r="O207" s="22">
        <f t="shared" si="18"/>
        <v>8260</v>
      </c>
      <c r="P207" s="22">
        <v>8168</v>
      </c>
      <c r="Q207" s="10">
        <v>90</v>
      </c>
      <c r="R207" s="67">
        <v>0</v>
      </c>
      <c r="S207" s="10">
        <v>2</v>
      </c>
      <c r="T207" s="10">
        <f t="shared" si="21"/>
        <v>8</v>
      </c>
      <c r="U207" s="22">
        <f>Table46[[#This Row],[NET WT KGS]]-Table46[[#This Row],[Refraction]]</f>
        <v>8160</v>
      </c>
      <c r="V207" s="23">
        <v>485</v>
      </c>
      <c r="W207" s="23">
        <f>Table46[[#This Row],[PRICE]]*Table46[[#This Row],[PAID WT]]</f>
        <v>3957600</v>
      </c>
      <c r="X207" s="24">
        <v>9.4</v>
      </c>
      <c r="Y207" s="25">
        <v>192</v>
      </c>
      <c r="Z207" s="24">
        <v>45.14</v>
      </c>
      <c r="AA207" s="26"/>
      <c r="AB207" s="10" t="s">
        <v>40</v>
      </c>
      <c r="AC207" s="27"/>
      <c r="AD207" s="63" t="s">
        <v>422</v>
      </c>
      <c r="AE207" s="18">
        <f>Table46[[#This Row],[MOIS.]]*Table46[[#This Row],[NET WT KGS]]</f>
        <v>76779.199999999997</v>
      </c>
      <c r="AF207" s="18">
        <f>Table46[[#This Row],[KOR]]*Table46[[#This Row],[NET WT KGS]]</f>
        <v>368703.52</v>
      </c>
      <c r="AG207">
        <f>Table46[[#This Row],[NET WT KGS]]*Table46[[#This Row],[NUT COUNT]]</f>
        <v>1568256</v>
      </c>
    </row>
    <row r="208" spans="1:33" x14ac:dyDescent="0.35">
      <c r="A208" s="32">
        <f t="shared" si="20"/>
        <v>206</v>
      </c>
      <c r="B208" s="75">
        <v>46087</v>
      </c>
      <c r="C208" s="75">
        <v>46087</v>
      </c>
      <c r="D208" s="66" t="s">
        <v>38</v>
      </c>
      <c r="E208" s="66" t="s">
        <v>39</v>
      </c>
      <c r="F208" s="50" t="s">
        <v>62</v>
      </c>
      <c r="G208" s="10"/>
      <c r="H208" s="10" t="s">
        <v>128</v>
      </c>
      <c r="I208" s="10" t="s">
        <v>129</v>
      </c>
      <c r="J208" s="10" t="s">
        <v>382</v>
      </c>
      <c r="K208" s="33" t="s">
        <v>131</v>
      </c>
      <c r="L208" s="10">
        <v>860</v>
      </c>
      <c r="M208" s="10">
        <v>77667</v>
      </c>
      <c r="N208" s="10">
        <v>551</v>
      </c>
      <c r="O208" s="22">
        <v>42220</v>
      </c>
      <c r="P208" s="22">
        <f>Table46[[#This Row],[GROSS WT KGS]]-Table46[[#This Row],[SACS]]</f>
        <v>41669</v>
      </c>
      <c r="Q208" s="10">
        <v>512</v>
      </c>
      <c r="R208" s="67">
        <v>0</v>
      </c>
      <c r="S208" s="10">
        <v>39</v>
      </c>
      <c r="T208" s="10">
        <v>60</v>
      </c>
      <c r="U208" s="22">
        <f>Table46[[#This Row],[NET WT KGS]]-Table46[[#This Row],[Refraction]]</f>
        <v>41609</v>
      </c>
      <c r="V208" s="23">
        <v>490</v>
      </c>
      <c r="W208" s="23">
        <f>Table46[[#This Row],[PRICE]]*Table46[[#This Row],[PAID WT]]</f>
        <v>20388410</v>
      </c>
      <c r="X208" s="24">
        <v>8.9</v>
      </c>
      <c r="Y208" s="25">
        <v>179</v>
      </c>
      <c r="Z208" s="24">
        <v>45.76</v>
      </c>
      <c r="AA208" s="26"/>
      <c r="AB208" s="10" t="s">
        <v>132</v>
      </c>
      <c r="AC208" s="27"/>
      <c r="AD208" s="63" t="s">
        <v>422</v>
      </c>
      <c r="AE208" s="18">
        <f>Table46[[#This Row],[MOIS.]]*Table46[[#This Row],[NET WT KGS]]</f>
        <v>370854.10000000003</v>
      </c>
      <c r="AF208" s="18">
        <f>Table46[[#This Row],[KOR]]*Table46[[#This Row],[NET WT KGS]]</f>
        <v>1906773.44</v>
      </c>
      <c r="AG208">
        <f>Table46[[#This Row],[NET WT KGS]]*Table46[[#This Row],[NUT COUNT]]</f>
        <v>7458751</v>
      </c>
    </row>
    <row r="209" spans="1:33" x14ac:dyDescent="0.35">
      <c r="A209" s="32">
        <f t="shared" si="20"/>
        <v>207</v>
      </c>
      <c r="B209" s="75">
        <v>46087</v>
      </c>
      <c r="C209" s="75">
        <v>46087</v>
      </c>
      <c r="D209" s="66" t="s">
        <v>38</v>
      </c>
      <c r="E209" s="10" t="s">
        <v>258</v>
      </c>
      <c r="F209" s="50" t="s">
        <v>62</v>
      </c>
      <c r="G209" s="10"/>
      <c r="H209" s="10" t="s">
        <v>464</v>
      </c>
      <c r="I209" s="10" t="s">
        <v>110</v>
      </c>
      <c r="J209" s="10" t="s">
        <v>465</v>
      </c>
      <c r="K209" s="33" t="s">
        <v>466</v>
      </c>
      <c r="L209" s="10">
        <v>861</v>
      </c>
      <c r="M209" s="10">
        <v>77669</v>
      </c>
      <c r="N209" s="10">
        <v>366</v>
      </c>
      <c r="O209" s="22">
        <v>33020</v>
      </c>
      <c r="P209" s="22">
        <f>Table46[[#This Row],[GROSS WT KGS]]-Table46[[#This Row],[SACS]]</f>
        <v>32654</v>
      </c>
      <c r="Q209" s="10">
        <v>354</v>
      </c>
      <c r="R209" s="67">
        <v>0</v>
      </c>
      <c r="S209" s="10">
        <v>12</v>
      </c>
      <c r="T209" s="10">
        <v>48</v>
      </c>
      <c r="U209" s="22">
        <f>Table46[[#This Row],[NET WT KGS]]-Table46[[#This Row],[Refraction]]</f>
        <v>32606</v>
      </c>
      <c r="V209" s="23">
        <v>490</v>
      </c>
      <c r="W209" s="23">
        <f>Table46[[#This Row],[PRICE]]*Table46[[#This Row],[PAID WT]]</f>
        <v>15976940</v>
      </c>
      <c r="X209" s="24">
        <v>9.3000000000000007</v>
      </c>
      <c r="Y209" s="25">
        <v>174</v>
      </c>
      <c r="Z209" s="24">
        <v>45.58</v>
      </c>
      <c r="AA209" s="26"/>
      <c r="AB209" s="10" t="s">
        <v>150</v>
      </c>
      <c r="AC209" s="27"/>
      <c r="AD209" s="63" t="s">
        <v>422</v>
      </c>
      <c r="AE209" s="18">
        <f>Table46[[#This Row],[MOIS.]]*Table46[[#This Row],[NET WT KGS]]</f>
        <v>303682.2</v>
      </c>
      <c r="AF209" s="18">
        <f>Table46[[#This Row],[KOR]]*Table46[[#This Row],[NET WT KGS]]</f>
        <v>1488369.3199999998</v>
      </c>
      <c r="AG209">
        <f>Table46[[#This Row],[NET WT KGS]]*Table46[[#This Row],[NUT COUNT]]</f>
        <v>5681796</v>
      </c>
    </row>
    <row r="210" spans="1:33" x14ac:dyDescent="0.35">
      <c r="A210" s="32">
        <f t="shared" si="20"/>
        <v>208</v>
      </c>
      <c r="B210" s="75">
        <v>46087</v>
      </c>
      <c r="C210" s="75">
        <v>46087</v>
      </c>
      <c r="D210" s="66" t="s">
        <v>38</v>
      </c>
      <c r="E210" s="66" t="s">
        <v>39</v>
      </c>
      <c r="F210" s="50" t="s">
        <v>62</v>
      </c>
      <c r="G210" s="10"/>
      <c r="H210" s="66" t="s">
        <v>193</v>
      </c>
      <c r="I210" s="66" t="s">
        <v>194</v>
      </c>
      <c r="J210" s="10" t="s">
        <v>195</v>
      </c>
      <c r="K210" s="33" t="s">
        <v>196</v>
      </c>
      <c r="L210" s="10">
        <v>862</v>
      </c>
      <c r="M210" s="10">
        <v>77582</v>
      </c>
      <c r="N210" s="10">
        <v>558</v>
      </c>
      <c r="O210" s="22">
        <v>45960</v>
      </c>
      <c r="P210" s="22">
        <f>Table46[[#This Row],[GROSS WT KGS]]-Table46[[#This Row],[SACS]]</f>
        <v>45402</v>
      </c>
      <c r="Q210" s="10">
        <v>557</v>
      </c>
      <c r="R210" s="67">
        <v>0</v>
      </c>
      <c r="S210" s="10">
        <v>1</v>
      </c>
      <c r="T210" s="10">
        <v>4</v>
      </c>
      <c r="U210" s="22">
        <f>Table46[[#This Row],[NET WT KGS]]-Table46[[#This Row],[Refraction]]</f>
        <v>45398</v>
      </c>
      <c r="V210" s="23">
        <v>490</v>
      </c>
      <c r="W210" s="23">
        <f>Table46[[#This Row],[PRICE]]*Table46[[#This Row],[PAID WT]]</f>
        <v>22245020</v>
      </c>
      <c r="X210" s="24">
        <v>9</v>
      </c>
      <c r="Y210" s="25">
        <v>181</v>
      </c>
      <c r="Z210" s="24">
        <v>46.11</v>
      </c>
      <c r="AA210" s="26"/>
      <c r="AB210" s="10" t="s">
        <v>132</v>
      </c>
      <c r="AC210" s="27"/>
      <c r="AD210" s="63" t="s">
        <v>422</v>
      </c>
      <c r="AE210" s="18">
        <f>Table46[[#This Row],[MOIS.]]*Table46[[#This Row],[NET WT KGS]]</f>
        <v>408618</v>
      </c>
      <c r="AF210" s="18">
        <f>Table46[[#This Row],[KOR]]*Table46[[#This Row],[NET WT KGS]]</f>
        <v>2093486.22</v>
      </c>
      <c r="AG210">
        <f>Table46[[#This Row],[NET WT KGS]]*Table46[[#This Row],[NUT COUNT]]</f>
        <v>8217762</v>
      </c>
    </row>
    <row r="211" spans="1:33" x14ac:dyDescent="0.35">
      <c r="A211" s="32">
        <f t="shared" si="20"/>
        <v>209</v>
      </c>
      <c r="B211" s="75">
        <v>46087</v>
      </c>
      <c r="C211" s="75">
        <v>46087</v>
      </c>
      <c r="D211" s="66" t="s">
        <v>38</v>
      </c>
      <c r="E211" s="66" t="s">
        <v>39</v>
      </c>
      <c r="F211" s="50" t="s">
        <v>62</v>
      </c>
      <c r="G211" s="10"/>
      <c r="H211" s="10" t="s">
        <v>128</v>
      </c>
      <c r="I211" s="10" t="s">
        <v>129</v>
      </c>
      <c r="J211" s="10" t="s">
        <v>384</v>
      </c>
      <c r="K211" s="33" t="s">
        <v>131</v>
      </c>
      <c r="L211" s="10">
        <v>863</v>
      </c>
      <c r="M211" s="10">
        <v>77588</v>
      </c>
      <c r="N211" s="10">
        <v>557</v>
      </c>
      <c r="O211" s="22">
        <v>40960</v>
      </c>
      <c r="P211" s="22">
        <f>Table46[[#This Row],[GROSS WT KGS]]-Table46[[#This Row],[SACS]]</f>
        <v>40403</v>
      </c>
      <c r="Q211" s="10">
        <v>450</v>
      </c>
      <c r="R211" s="67">
        <v>0</v>
      </c>
      <c r="S211" s="10">
        <v>107</v>
      </c>
      <c r="T211" s="10">
        <v>60</v>
      </c>
      <c r="U211" s="22">
        <f>Table46[[#This Row],[NET WT KGS]]-Table46[[#This Row],[Refraction]]</f>
        <v>40343</v>
      </c>
      <c r="V211" s="23">
        <v>490</v>
      </c>
      <c r="W211" s="23">
        <f>Table46[[#This Row],[PRICE]]*Table46[[#This Row],[PAID WT]]</f>
        <v>19768070</v>
      </c>
      <c r="X211" s="24">
        <v>10.1</v>
      </c>
      <c r="Y211" s="25">
        <v>187</v>
      </c>
      <c r="Z211" s="24">
        <v>45.58</v>
      </c>
      <c r="AA211" s="26"/>
      <c r="AB211" s="10" t="s">
        <v>132</v>
      </c>
      <c r="AC211" s="27"/>
      <c r="AD211" s="63" t="s">
        <v>422</v>
      </c>
      <c r="AE211" s="18">
        <f>Table46[[#This Row],[MOIS.]]*Table46[[#This Row],[NET WT KGS]]</f>
        <v>408070.3</v>
      </c>
      <c r="AF211" s="18">
        <f>Table46[[#This Row],[KOR]]*Table46[[#This Row],[NET WT KGS]]</f>
        <v>1841568.74</v>
      </c>
      <c r="AG211">
        <f>Table46[[#This Row],[NET WT KGS]]*Table46[[#This Row],[NUT COUNT]]</f>
        <v>7555361</v>
      </c>
    </row>
    <row r="212" spans="1:33" x14ac:dyDescent="0.35">
      <c r="A212" s="32">
        <f t="shared" si="20"/>
        <v>210</v>
      </c>
      <c r="B212" s="75">
        <v>46087</v>
      </c>
      <c r="C212" s="75">
        <v>46087</v>
      </c>
      <c r="D212" s="66" t="s">
        <v>38</v>
      </c>
      <c r="E212" s="66" t="s">
        <v>39</v>
      </c>
      <c r="F212" s="50" t="s">
        <v>62</v>
      </c>
      <c r="G212" s="10"/>
      <c r="H212" s="10" t="s">
        <v>128</v>
      </c>
      <c r="I212" s="10" t="s">
        <v>129</v>
      </c>
      <c r="J212" s="10" t="s">
        <v>467</v>
      </c>
      <c r="K212" s="33" t="s">
        <v>131</v>
      </c>
      <c r="L212" s="10">
        <v>864</v>
      </c>
      <c r="M212" s="10">
        <v>77666</v>
      </c>
      <c r="N212" s="10">
        <v>500</v>
      </c>
      <c r="O212" s="22">
        <v>52400</v>
      </c>
      <c r="P212" s="22">
        <f>Table46[[#This Row],[GROSS WT KGS]]-Table46[[#This Row],[SACS]]</f>
        <v>51900</v>
      </c>
      <c r="Q212" s="10">
        <v>488</v>
      </c>
      <c r="R212" s="67">
        <v>0</v>
      </c>
      <c r="S212" s="10">
        <v>150</v>
      </c>
      <c r="T212" s="10">
        <v>48</v>
      </c>
      <c r="U212" s="22">
        <f>Table46[[#This Row],[NET WT KGS]]-Table46[[#This Row],[Refraction]]</f>
        <v>51852</v>
      </c>
      <c r="V212" s="23">
        <v>490</v>
      </c>
      <c r="W212" s="23">
        <f>Table46[[#This Row],[PRICE]]*Table46[[#This Row],[PAID WT]]</f>
        <v>25407480</v>
      </c>
      <c r="X212" s="24">
        <v>8.5</v>
      </c>
      <c r="Y212" s="25">
        <v>189</v>
      </c>
      <c r="Z212" s="24">
        <v>45.4</v>
      </c>
      <c r="AA212" s="26"/>
      <c r="AB212" s="10" t="s">
        <v>132</v>
      </c>
      <c r="AC212" s="27"/>
      <c r="AD212" s="63" t="s">
        <v>422</v>
      </c>
      <c r="AE212" s="18">
        <f>Table46[[#This Row],[MOIS.]]*Table46[[#This Row],[NET WT KGS]]</f>
        <v>441150</v>
      </c>
      <c r="AF212" s="18">
        <f>Table46[[#This Row],[KOR]]*Table46[[#This Row],[NET WT KGS]]</f>
        <v>2356260</v>
      </c>
      <c r="AG212">
        <f>Table46[[#This Row],[NET WT KGS]]*Table46[[#This Row],[NUT COUNT]]</f>
        <v>9809100</v>
      </c>
    </row>
    <row r="213" spans="1:33" x14ac:dyDescent="0.35">
      <c r="A213" s="32">
        <f t="shared" si="20"/>
        <v>211</v>
      </c>
      <c r="B213" s="35">
        <v>46087</v>
      </c>
      <c r="C213" s="35">
        <f>Table46[[#This Row],[DATE OF ARRIVAL]]</f>
        <v>46087</v>
      </c>
      <c r="D213" s="74" t="s">
        <v>38</v>
      </c>
      <c r="E213" s="74" t="s">
        <v>39</v>
      </c>
      <c r="F213" s="36" t="s">
        <v>40</v>
      </c>
      <c r="G213" s="36"/>
      <c r="H213" s="36" t="s">
        <v>338</v>
      </c>
      <c r="I213" s="36" t="s">
        <v>317</v>
      </c>
      <c r="J213" s="36" t="s">
        <v>468</v>
      </c>
      <c r="K213" s="36"/>
      <c r="L213" s="36"/>
      <c r="M213" s="36"/>
      <c r="N213" s="36"/>
      <c r="O213" s="37">
        <f t="shared" ref="O213:O225" si="22">P213+N213</f>
        <v>0</v>
      </c>
      <c r="P213" s="37"/>
      <c r="Q213" s="36"/>
      <c r="R213" s="74"/>
      <c r="S213" s="36"/>
      <c r="T213" s="36"/>
      <c r="U213" s="37">
        <f>Table46[[#This Row],[NET WT KGS]]-Table46[[#This Row],[Refraction]]</f>
        <v>0</v>
      </c>
      <c r="V213" s="38"/>
      <c r="W213" s="38">
        <f>Table46[[#This Row],[PRICE]]*Table46[[#This Row],[PAID WT]]</f>
        <v>0</v>
      </c>
      <c r="X213" s="39">
        <v>9.6</v>
      </c>
      <c r="Y213" s="40">
        <v>168</v>
      </c>
      <c r="Z213" s="39">
        <v>44.44</v>
      </c>
      <c r="AA213" s="41"/>
      <c r="AB213" s="36" t="s">
        <v>284</v>
      </c>
      <c r="AC213" s="42" t="s">
        <v>70</v>
      </c>
      <c r="AD213" s="63"/>
      <c r="AE213" s="18">
        <f>Table46[[#This Row],[MOIS.]]*Table46[[#This Row],[NET WT KGS]]</f>
        <v>0</v>
      </c>
      <c r="AF213" s="18">
        <f>Table46[[#This Row],[KOR]]*Table46[[#This Row],[NET WT KGS]]</f>
        <v>0</v>
      </c>
      <c r="AG213">
        <f>Table46[[#This Row],[NET WT KGS]]*Table46[[#This Row],[NUT COUNT]]</f>
        <v>0</v>
      </c>
    </row>
    <row r="214" spans="1:33" x14ac:dyDescent="0.35">
      <c r="A214" s="32">
        <f t="shared" si="20"/>
        <v>212</v>
      </c>
      <c r="B214" s="35">
        <v>46087</v>
      </c>
      <c r="C214" s="35">
        <f>Table46[[#This Row],[DATE OF ARRIVAL]]</f>
        <v>46087</v>
      </c>
      <c r="D214" s="74" t="s">
        <v>38</v>
      </c>
      <c r="E214" s="74" t="s">
        <v>39</v>
      </c>
      <c r="F214" s="36" t="s">
        <v>40</v>
      </c>
      <c r="G214" s="36"/>
      <c r="H214" s="36" t="s">
        <v>154</v>
      </c>
      <c r="I214" s="36" t="s">
        <v>155</v>
      </c>
      <c r="J214" s="36" t="s">
        <v>469</v>
      </c>
      <c r="K214" s="36"/>
      <c r="L214" s="36"/>
      <c r="M214" s="36"/>
      <c r="N214" s="36"/>
      <c r="O214" s="37">
        <f t="shared" si="22"/>
        <v>0</v>
      </c>
      <c r="P214" s="37"/>
      <c r="Q214" s="36"/>
      <c r="R214" s="74"/>
      <c r="S214" s="36"/>
      <c r="T214" s="36"/>
      <c r="U214" s="37">
        <f>Table46[[#This Row],[NET WT KGS]]-Table46[[#This Row],[Refraction]]</f>
        <v>0</v>
      </c>
      <c r="V214" s="38"/>
      <c r="W214" s="38">
        <f>Table46[[#This Row],[PRICE]]*Table46[[#This Row],[PAID WT]]</f>
        <v>0</v>
      </c>
      <c r="X214" s="39">
        <v>9.9</v>
      </c>
      <c r="Y214" s="40">
        <v>180</v>
      </c>
      <c r="Z214" s="39">
        <v>43.91</v>
      </c>
      <c r="AA214" s="41"/>
      <c r="AB214" s="36" t="s">
        <v>150</v>
      </c>
      <c r="AC214" s="42" t="s">
        <v>70</v>
      </c>
      <c r="AD214" s="63"/>
      <c r="AE214" s="18">
        <f>Table46[[#This Row],[MOIS.]]*Table46[[#This Row],[NET WT KGS]]</f>
        <v>0</v>
      </c>
      <c r="AF214" s="18">
        <f>Table46[[#This Row],[KOR]]*Table46[[#This Row],[NET WT KGS]]</f>
        <v>0</v>
      </c>
      <c r="AG214">
        <f>Table46[[#This Row],[NET WT KGS]]*Table46[[#This Row],[NUT COUNT]]</f>
        <v>0</v>
      </c>
    </row>
    <row r="215" spans="1:33" x14ac:dyDescent="0.35">
      <c r="A215" s="32">
        <f t="shared" si="20"/>
        <v>213</v>
      </c>
      <c r="B215" s="35">
        <v>46087</v>
      </c>
      <c r="C215" s="35">
        <f>Table46[[#This Row],[DATE OF ARRIVAL]]</f>
        <v>46087</v>
      </c>
      <c r="D215" s="74" t="s">
        <v>38</v>
      </c>
      <c r="E215" s="74" t="s">
        <v>39</v>
      </c>
      <c r="F215" s="36" t="s">
        <v>40</v>
      </c>
      <c r="G215" s="36"/>
      <c r="H215" s="36" t="s">
        <v>338</v>
      </c>
      <c r="I215" s="36" t="s">
        <v>317</v>
      </c>
      <c r="J215" s="36" t="s">
        <v>470</v>
      </c>
      <c r="K215" s="36"/>
      <c r="L215" s="36"/>
      <c r="M215" s="36"/>
      <c r="N215" s="36"/>
      <c r="O215" s="37">
        <f t="shared" si="22"/>
        <v>0</v>
      </c>
      <c r="P215" s="37"/>
      <c r="Q215" s="36"/>
      <c r="R215" s="74"/>
      <c r="S215" s="36"/>
      <c r="T215" s="36"/>
      <c r="U215" s="37">
        <f>Table46[[#This Row],[NET WT KGS]]-Table46[[#This Row],[Refraction]]</f>
        <v>0</v>
      </c>
      <c r="V215" s="38"/>
      <c r="W215" s="38">
        <f>Table46[[#This Row],[PRICE]]*Table46[[#This Row],[PAID WT]]</f>
        <v>0</v>
      </c>
      <c r="X215" s="39">
        <v>7.8</v>
      </c>
      <c r="Y215" s="40">
        <v>172</v>
      </c>
      <c r="Z215" s="39">
        <v>42.06</v>
      </c>
      <c r="AA215" s="41"/>
      <c r="AB215" s="36" t="s">
        <v>284</v>
      </c>
      <c r="AC215" s="42" t="s">
        <v>70</v>
      </c>
      <c r="AD215" s="63"/>
      <c r="AE215" s="18">
        <f>Table46[[#This Row],[MOIS.]]*Table46[[#This Row],[NET WT KGS]]</f>
        <v>0</v>
      </c>
      <c r="AF215" s="18">
        <f>Table46[[#This Row],[KOR]]*Table46[[#This Row],[NET WT KGS]]</f>
        <v>0</v>
      </c>
      <c r="AG215">
        <f>Table46[[#This Row],[NET WT KGS]]*Table46[[#This Row],[NUT COUNT]]</f>
        <v>0</v>
      </c>
    </row>
    <row r="216" spans="1:33" x14ac:dyDescent="0.35">
      <c r="A216" s="32">
        <f t="shared" si="20"/>
        <v>214</v>
      </c>
      <c r="B216" s="35">
        <v>46088</v>
      </c>
      <c r="C216" s="35">
        <f>Table46[[#This Row],[DATE OF ARRIVAL]]</f>
        <v>46088</v>
      </c>
      <c r="D216" s="74" t="s">
        <v>38</v>
      </c>
      <c r="E216" s="74" t="s">
        <v>39</v>
      </c>
      <c r="F216" s="36" t="s">
        <v>40</v>
      </c>
      <c r="G216" s="36"/>
      <c r="H216" s="36" t="s">
        <v>94</v>
      </c>
      <c r="I216" s="36" t="s">
        <v>95</v>
      </c>
      <c r="J216" s="36" t="s">
        <v>208</v>
      </c>
      <c r="K216" s="36"/>
      <c r="L216" s="36"/>
      <c r="M216" s="36"/>
      <c r="N216" s="36"/>
      <c r="O216" s="37">
        <f t="shared" si="22"/>
        <v>0</v>
      </c>
      <c r="P216" s="37"/>
      <c r="Q216" s="36"/>
      <c r="R216" s="74"/>
      <c r="S216" s="36"/>
      <c r="T216" s="36"/>
      <c r="U216" s="37">
        <f>Table46[[#This Row],[NET WT KGS]]-Table46[[#This Row],[Refraction]]</f>
        <v>0</v>
      </c>
      <c r="V216" s="38"/>
      <c r="W216" s="38">
        <f>Table46[[#This Row],[PRICE]]*Table46[[#This Row],[PAID WT]]</f>
        <v>0</v>
      </c>
      <c r="X216" s="39">
        <v>10.199999999999999</v>
      </c>
      <c r="Y216" s="40">
        <v>167</v>
      </c>
      <c r="Z216" s="39">
        <v>44.17</v>
      </c>
      <c r="AA216" s="41"/>
      <c r="AB216" s="36" t="s">
        <v>78</v>
      </c>
      <c r="AC216" s="42" t="s">
        <v>70</v>
      </c>
      <c r="AD216" s="63"/>
      <c r="AE216" s="18">
        <f>Table46[[#This Row],[MOIS.]]*Table46[[#This Row],[NET WT KGS]]</f>
        <v>0</v>
      </c>
      <c r="AF216" s="18">
        <f>Table46[[#This Row],[KOR]]*Table46[[#This Row],[NET WT KGS]]</f>
        <v>0</v>
      </c>
      <c r="AG216">
        <f>Table46[[#This Row],[NET WT KGS]]*Table46[[#This Row],[NUT COUNT]]</f>
        <v>0</v>
      </c>
    </row>
    <row r="217" spans="1:33" x14ac:dyDescent="0.35">
      <c r="A217" s="32">
        <f t="shared" si="20"/>
        <v>215</v>
      </c>
      <c r="B217" s="35">
        <v>46088</v>
      </c>
      <c r="C217" s="35">
        <f>Table46[[#This Row],[DATE OF ARRIVAL]]</f>
        <v>46088</v>
      </c>
      <c r="D217" s="74" t="s">
        <v>38</v>
      </c>
      <c r="E217" s="36" t="s">
        <v>258</v>
      </c>
      <c r="F217" s="36" t="s">
        <v>40</v>
      </c>
      <c r="G217" s="36"/>
      <c r="H217" s="36" t="s">
        <v>356</v>
      </c>
      <c r="I217" s="36" t="s">
        <v>116</v>
      </c>
      <c r="J217" s="36" t="s">
        <v>471</v>
      </c>
      <c r="K217" s="36"/>
      <c r="L217" s="36"/>
      <c r="M217" s="36"/>
      <c r="N217" s="36"/>
      <c r="O217" s="37">
        <f t="shared" si="22"/>
        <v>0</v>
      </c>
      <c r="P217" s="37"/>
      <c r="Q217" s="36"/>
      <c r="R217" s="74"/>
      <c r="S217" s="36"/>
      <c r="T217" s="36"/>
      <c r="U217" s="37">
        <f>Table46[[#This Row],[NET WT KGS]]-Table46[[#This Row],[Refraction]]</f>
        <v>0</v>
      </c>
      <c r="V217" s="38"/>
      <c r="W217" s="38">
        <f>Table46[[#This Row],[PRICE]]*Table46[[#This Row],[PAID WT]]</f>
        <v>0</v>
      </c>
      <c r="X217" s="39">
        <v>11.2</v>
      </c>
      <c r="Y217" s="40">
        <v>186</v>
      </c>
      <c r="Z217" s="39">
        <v>43.82</v>
      </c>
      <c r="AA217" s="41"/>
      <c r="AB217" s="36" t="s">
        <v>212</v>
      </c>
      <c r="AC217" s="42" t="s">
        <v>70</v>
      </c>
      <c r="AD217" s="63"/>
      <c r="AE217" s="18">
        <f>Table46[[#This Row],[MOIS.]]*Table46[[#This Row],[NET WT KGS]]</f>
        <v>0</v>
      </c>
      <c r="AF217" s="18">
        <f>Table46[[#This Row],[KOR]]*Table46[[#This Row],[NET WT KGS]]</f>
        <v>0</v>
      </c>
      <c r="AG217">
        <f>Table46[[#This Row],[NET WT KGS]]*Table46[[#This Row],[NUT COUNT]]</f>
        <v>0</v>
      </c>
    </row>
    <row r="218" spans="1:33" x14ac:dyDescent="0.35">
      <c r="A218" s="32">
        <f t="shared" si="20"/>
        <v>216</v>
      </c>
      <c r="B218" s="35">
        <v>46088</v>
      </c>
      <c r="C218" s="35">
        <f>Table46[[#This Row],[DATE OF ARRIVAL]]</f>
        <v>46088</v>
      </c>
      <c r="D218" s="74" t="s">
        <v>38</v>
      </c>
      <c r="E218" s="74" t="s">
        <v>39</v>
      </c>
      <c r="F218" s="36" t="s">
        <v>40</v>
      </c>
      <c r="G218" s="74"/>
      <c r="H218" s="74" t="s">
        <v>123</v>
      </c>
      <c r="I218" s="74" t="s">
        <v>124</v>
      </c>
      <c r="J218" s="36" t="s">
        <v>125</v>
      </c>
      <c r="K218" s="36"/>
      <c r="L218" s="36"/>
      <c r="M218" s="74"/>
      <c r="N218" s="36"/>
      <c r="O218" s="37">
        <f t="shared" si="22"/>
        <v>0</v>
      </c>
      <c r="P218" s="37"/>
      <c r="Q218" s="36"/>
      <c r="R218" s="74"/>
      <c r="S218" s="36"/>
      <c r="T218" s="36"/>
      <c r="U218" s="37">
        <f>Table46[[#This Row],[NET WT KGS]]-Table46[[#This Row],[Refraction]]</f>
        <v>0</v>
      </c>
      <c r="V218" s="38"/>
      <c r="W218" s="38">
        <f>Table46[[#This Row],[PRICE]]*Table46[[#This Row],[PAID WT]]</f>
        <v>0</v>
      </c>
      <c r="X218" s="39">
        <v>9.9</v>
      </c>
      <c r="Y218" s="40">
        <v>185</v>
      </c>
      <c r="Z218" s="39">
        <v>44.17</v>
      </c>
      <c r="AA218" s="41"/>
      <c r="AB218" s="36" t="s">
        <v>40</v>
      </c>
      <c r="AC218" s="42" t="s">
        <v>70</v>
      </c>
      <c r="AD218" s="63"/>
      <c r="AE218" s="18">
        <f>Table46[[#This Row],[MOIS.]]*Table46[[#This Row],[NET WT KGS]]</f>
        <v>0</v>
      </c>
      <c r="AF218" s="18">
        <f>Table46[[#This Row],[KOR]]*Table46[[#This Row],[NET WT KGS]]</f>
        <v>0</v>
      </c>
      <c r="AG218">
        <f>Table46[[#This Row],[NET WT KGS]]*Table46[[#This Row],[NUT COUNT]]</f>
        <v>0</v>
      </c>
    </row>
    <row r="219" spans="1:33" x14ac:dyDescent="0.35">
      <c r="A219" s="32">
        <f t="shared" si="20"/>
        <v>217</v>
      </c>
      <c r="B219" s="35">
        <v>46088</v>
      </c>
      <c r="C219" s="35">
        <f>Table46[[#This Row],[DATE OF ARRIVAL]]</f>
        <v>46088</v>
      </c>
      <c r="D219" s="74" t="s">
        <v>38</v>
      </c>
      <c r="E219" s="74" t="s">
        <v>39</v>
      </c>
      <c r="F219" s="36" t="s">
        <v>40</v>
      </c>
      <c r="G219" s="74"/>
      <c r="H219" s="74" t="s">
        <v>385</v>
      </c>
      <c r="I219" s="74" t="s">
        <v>322</v>
      </c>
      <c r="J219" s="36" t="s">
        <v>472</v>
      </c>
      <c r="K219" s="36"/>
      <c r="L219" s="36"/>
      <c r="M219" s="74"/>
      <c r="N219" s="36"/>
      <c r="O219" s="37">
        <f t="shared" si="22"/>
        <v>0</v>
      </c>
      <c r="P219" s="37"/>
      <c r="Q219" s="36"/>
      <c r="R219" s="74"/>
      <c r="S219" s="36"/>
      <c r="T219" s="36"/>
      <c r="U219" s="37">
        <f>Table46[[#This Row],[NET WT KGS]]-Table46[[#This Row],[Refraction]]</f>
        <v>0</v>
      </c>
      <c r="V219" s="38"/>
      <c r="W219" s="38">
        <f>Table46[[#This Row],[PRICE]]*Table46[[#This Row],[PAID WT]]</f>
        <v>0</v>
      </c>
      <c r="X219" s="39">
        <v>8</v>
      </c>
      <c r="Y219" s="40">
        <v>168</v>
      </c>
      <c r="Z219" s="39">
        <v>44</v>
      </c>
      <c r="AA219" s="41"/>
      <c r="AB219" s="36" t="s">
        <v>182</v>
      </c>
      <c r="AC219" s="42" t="s">
        <v>70</v>
      </c>
      <c r="AD219" s="63"/>
      <c r="AE219" s="18">
        <f>Table46[[#This Row],[MOIS.]]*Table46[[#This Row],[NET WT KGS]]</f>
        <v>0</v>
      </c>
      <c r="AF219" s="18">
        <f>Table46[[#This Row],[KOR]]*Table46[[#This Row],[NET WT KGS]]</f>
        <v>0</v>
      </c>
      <c r="AG219">
        <f>Table46[[#This Row],[NET WT KGS]]*Table46[[#This Row],[NUT COUNT]]</f>
        <v>0</v>
      </c>
    </row>
    <row r="220" spans="1:33" x14ac:dyDescent="0.35">
      <c r="A220" s="32">
        <f t="shared" si="20"/>
        <v>218</v>
      </c>
      <c r="B220" s="35">
        <v>46088</v>
      </c>
      <c r="C220" s="35">
        <f>Table46[[#This Row],[DATE OF ARRIVAL]]</f>
        <v>46088</v>
      </c>
      <c r="D220" s="74" t="s">
        <v>38</v>
      </c>
      <c r="E220" s="74" t="s">
        <v>39</v>
      </c>
      <c r="F220" s="36" t="s">
        <v>62</v>
      </c>
      <c r="G220" s="74"/>
      <c r="H220" s="74" t="s">
        <v>118</v>
      </c>
      <c r="I220" s="74" t="s">
        <v>119</v>
      </c>
      <c r="J220" s="36" t="s">
        <v>473</v>
      </c>
      <c r="K220" s="36"/>
      <c r="L220" s="36"/>
      <c r="M220" s="74"/>
      <c r="N220" s="36"/>
      <c r="O220" s="37">
        <f t="shared" si="22"/>
        <v>0</v>
      </c>
      <c r="P220" s="37"/>
      <c r="Q220" s="36"/>
      <c r="R220" s="74"/>
      <c r="S220" s="36"/>
      <c r="T220" s="36"/>
      <c r="U220" s="37">
        <f>Table46[[#This Row],[NET WT KGS]]-Table46[[#This Row],[Refraction]]</f>
        <v>0</v>
      </c>
      <c r="V220" s="38"/>
      <c r="W220" s="38">
        <f>Table46[[#This Row],[PRICE]]*Table46[[#This Row],[PAID WT]]</f>
        <v>0</v>
      </c>
      <c r="X220" s="39">
        <v>8.9</v>
      </c>
      <c r="Y220" s="40">
        <v>170</v>
      </c>
      <c r="Z220" s="39">
        <v>43.03</v>
      </c>
      <c r="AA220" s="41"/>
      <c r="AB220" s="36" t="s">
        <v>46</v>
      </c>
      <c r="AC220" s="42" t="s">
        <v>70</v>
      </c>
      <c r="AD220" s="63"/>
      <c r="AE220" s="18">
        <f>Table46[[#This Row],[MOIS.]]*Table46[[#This Row],[NET WT KGS]]</f>
        <v>0</v>
      </c>
      <c r="AF220" s="18">
        <f>Table46[[#This Row],[KOR]]*Table46[[#This Row],[NET WT KGS]]</f>
        <v>0</v>
      </c>
      <c r="AG220">
        <f>Table46[[#This Row],[NET WT KGS]]*Table46[[#This Row],[NUT COUNT]]</f>
        <v>0</v>
      </c>
    </row>
    <row r="221" spans="1:33" x14ac:dyDescent="0.35">
      <c r="A221" s="32">
        <f t="shared" si="20"/>
        <v>219</v>
      </c>
      <c r="B221" s="35">
        <v>46088</v>
      </c>
      <c r="C221" s="35">
        <f>Table46[[#This Row],[DATE OF ARRIVAL]]</f>
        <v>46088</v>
      </c>
      <c r="D221" s="74" t="s">
        <v>38</v>
      </c>
      <c r="E221" s="74" t="s">
        <v>39</v>
      </c>
      <c r="F221" s="36" t="s">
        <v>62</v>
      </c>
      <c r="G221" s="36"/>
      <c r="H221" s="36" t="s">
        <v>235</v>
      </c>
      <c r="I221" s="36" t="s">
        <v>236</v>
      </c>
      <c r="J221" s="36" t="s">
        <v>474</v>
      </c>
      <c r="K221" s="36"/>
      <c r="L221" s="36"/>
      <c r="M221" s="36"/>
      <c r="N221" s="36"/>
      <c r="O221" s="37">
        <f t="shared" si="22"/>
        <v>0</v>
      </c>
      <c r="P221" s="37"/>
      <c r="Q221" s="36"/>
      <c r="R221" s="74"/>
      <c r="S221" s="36"/>
      <c r="T221" s="36"/>
      <c r="U221" s="37">
        <f>Table46[[#This Row],[NET WT KGS]]-Table46[[#This Row],[Refraction]]</f>
        <v>0</v>
      </c>
      <c r="V221" s="38"/>
      <c r="W221" s="38">
        <f>Table46[[#This Row],[PRICE]]*Table46[[#This Row],[PAID WT]]</f>
        <v>0</v>
      </c>
      <c r="X221" s="39">
        <v>8.8000000000000007</v>
      </c>
      <c r="Y221" s="40">
        <v>178</v>
      </c>
      <c r="Z221" s="39">
        <v>43.82</v>
      </c>
      <c r="AA221" s="41"/>
      <c r="AB221" s="36" t="s">
        <v>444</v>
      </c>
      <c r="AC221" s="42" t="s">
        <v>70</v>
      </c>
      <c r="AD221" s="63"/>
      <c r="AE221" s="18">
        <f>Table46[[#This Row],[MOIS.]]*Table46[[#This Row],[NET WT KGS]]</f>
        <v>0</v>
      </c>
      <c r="AF221" s="18">
        <f>Table46[[#This Row],[KOR]]*Table46[[#This Row],[NET WT KGS]]</f>
        <v>0</v>
      </c>
      <c r="AG221">
        <f>Table46[[#This Row],[NET WT KGS]]*Table46[[#This Row],[NUT COUNT]]</f>
        <v>0</v>
      </c>
    </row>
    <row r="222" spans="1:33" x14ac:dyDescent="0.35">
      <c r="A222" s="32">
        <f t="shared" si="20"/>
        <v>220</v>
      </c>
      <c r="B222" s="75">
        <v>46088</v>
      </c>
      <c r="C222" s="75">
        <v>46088</v>
      </c>
      <c r="D222" s="10" t="s">
        <v>38</v>
      </c>
      <c r="E222" s="66" t="s">
        <v>39</v>
      </c>
      <c r="F222" s="50" t="s">
        <v>40</v>
      </c>
      <c r="G222" s="10" t="s">
        <v>350</v>
      </c>
      <c r="H222" s="10" t="s">
        <v>74</v>
      </c>
      <c r="I222" s="10" t="s">
        <v>75</v>
      </c>
      <c r="J222" s="10" t="s">
        <v>187</v>
      </c>
      <c r="K222" s="33" t="s">
        <v>77</v>
      </c>
      <c r="L222" s="10">
        <v>202</v>
      </c>
      <c r="M222" s="10">
        <v>77633</v>
      </c>
      <c r="N222" s="10">
        <v>548</v>
      </c>
      <c r="O222" s="22">
        <f t="shared" si="22"/>
        <v>46040</v>
      </c>
      <c r="P222" s="22">
        <v>45492</v>
      </c>
      <c r="Q222" s="10">
        <v>540</v>
      </c>
      <c r="R222" s="67">
        <v>0</v>
      </c>
      <c r="S222" s="10">
        <v>8</v>
      </c>
      <c r="T222" s="10">
        <f>S222*4+R222*40</f>
        <v>32</v>
      </c>
      <c r="U222" s="22">
        <f>Table46[[#This Row],[NET WT KGS]]-Table46[[#This Row],[Refraction]]</f>
        <v>45460</v>
      </c>
      <c r="V222" s="23">
        <v>485</v>
      </c>
      <c r="W222" s="23">
        <f>Table46[[#This Row],[PRICE]]*Table46[[#This Row],[PAID WT]]</f>
        <v>22048100</v>
      </c>
      <c r="X222" s="24">
        <v>9.8000000000000007</v>
      </c>
      <c r="Y222" s="25">
        <v>168</v>
      </c>
      <c r="Z222" s="24">
        <v>46.11</v>
      </c>
      <c r="AA222" s="26"/>
      <c r="AB222" s="10" t="s">
        <v>78</v>
      </c>
      <c r="AC222" s="27"/>
      <c r="AD222" s="63" t="s">
        <v>422</v>
      </c>
      <c r="AE222" s="18">
        <f>Table46[[#This Row],[MOIS.]]*Table46[[#This Row],[NET WT KGS]]</f>
        <v>445821.60000000003</v>
      </c>
      <c r="AF222" s="18">
        <f>Table46[[#This Row],[KOR]]*Table46[[#This Row],[NET WT KGS]]</f>
        <v>2097636.12</v>
      </c>
      <c r="AG222">
        <f>Table46[[#This Row],[NET WT KGS]]*Table46[[#This Row],[NUT COUNT]]</f>
        <v>7642656</v>
      </c>
    </row>
    <row r="223" spans="1:33" x14ac:dyDescent="0.35">
      <c r="A223" s="32">
        <f t="shared" si="20"/>
        <v>221</v>
      </c>
      <c r="B223" s="75">
        <v>46088</v>
      </c>
      <c r="C223" s="75">
        <v>46088</v>
      </c>
      <c r="D223" s="10" t="s">
        <v>38</v>
      </c>
      <c r="E223" s="10" t="s">
        <v>258</v>
      </c>
      <c r="F223" s="50" t="s">
        <v>40</v>
      </c>
      <c r="G223" s="10" t="s">
        <v>41</v>
      </c>
      <c r="H223" s="10" t="s">
        <v>335</v>
      </c>
      <c r="I223" s="10" t="s">
        <v>66</v>
      </c>
      <c r="J223" s="10" t="s">
        <v>475</v>
      </c>
      <c r="K223" s="57" t="s">
        <v>337</v>
      </c>
      <c r="L223" s="10">
        <v>204</v>
      </c>
      <c r="M223" s="10">
        <v>68678</v>
      </c>
      <c r="N223" s="10">
        <v>247</v>
      </c>
      <c r="O223" s="22">
        <f t="shared" si="22"/>
        <v>21200</v>
      </c>
      <c r="P223" s="22">
        <v>20953</v>
      </c>
      <c r="Q223" s="10">
        <v>240</v>
      </c>
      <c r="R223" s="67">
        <v>0</v>
      </c>
      <c r="S223" s="10">
        <v>7</v>
      </c>
      <c r="T223" s="10">
        <f>S223*4+R223*40</f>
        <v>28</v>
      </c>
      <c r="U223" s="22">
        <f>Table46[[#This Row],[NET WT KGS]]-Table46[[#This Row],[Refraction]]</f>
        <v>20925</v>
      </c>
      <c r="V223" s="23">
        <v>485</v>
      </c>
      <c r="W223" s="23">
        <f>Table46[[#This Row],[PRICE]]*Table46[[#This Row],[PAID WT]]</f>
        <v>10148625</v>
      </c>
      <c r="X223" s="24">
        <v>9.5</v>
      </c>
      <c r="Y223" s="25">
        <v>165</v>
      </c>
      <c r="Z223" s="24">
        <v>45.58</v>
      </c>
      <c r="AA223" s="26"/>
      <c r="AB223" s="10" t="s">
        <v>58</v>
      </c>
      <c r="AC223" s="27"/>
      <c r="AD223" s="63" t="s">
        <v>422</v>
      </c>
      <c r="AE223" s="18">
        <f>Table46[[#This Row],[MOIS.]]*Table46[[#This Row],[NET WT KGS]]</f>
        <v>199053.5</v>
      </c>
      <c r="AF223" s="18">
        <f>Table46[[#This Row],[KOR]]*Table46[[#This Row],[NET WT KGS]]</f>
        <v>955037.74</v>
      </c>
      <c r="AG223">
        <f>Table46[[#This Row],[NET WT KGS]]*Table46[[#This Row],[NUT COUNT]]</f>
        <v>3457245</v>
      </c>
    </row>
    <row r="224" spans="1:33" x14ac:dyDescent="0.35">
      <c r="A224" s="32">
        <f t="shared" si="20"/>
        <v>222</v>
      </c>
      <c r="B224" s="75">
        <v>46088</v>
      </c>
      <c r="C224" s="75">
        <v>46088</v>
      </c>
      <c r="D224" s="10" t="s">
        <v>38</v>
      </c>
      <c r="E224" s="66" t="s">
        <v>39</v>
      </c>
      <c r="F224" s="50" t="s">
        <v>40</v>
      </c>
      <c r="G224" s="10" t="s">
        <v>350</v>
      </c>
      <c r="H224" s="66" t="s">
        <v>123</v>
      </c>
      <c r="I224" s="66" t="s">
        <v>124</v>
      </c>
      <c r="J224" s="10" t="s">
        <v>476</v>
      </c>
      <c r="K224" s="21" t="s">
        <v>161</v>
      </c>
      <c r="L224" s="10">
        <v>203</v>
      </c>
      <c r="M224" s="10">
        <v>77639</v>
      </c>
      <c r="N224" s="10">
        <v>666</v>
      </c>
      <c r="O224" s="22">
        <f t="shared" si="22"/>
        <v>54820</v>
      </c>
      <c r="P224" s="22">
        <v>54154</v>
      </c>
      <c r="Q224" s="10">
        <v>646</v>
      </c>
      <c r="R224" s="67">
        <v>0</v>
      </c>
      <c r="S224" s="10">
        <v>20</v>
      </c>
      <c r="T224" s="10">
        <f>S224*4+R224*40</f>
        <v>80</v>
      </c>
      <c r="U224" s="22">
        <f>Table46[[#This Row],[NET WT KGS]]-Table46[[#This Row],[Refraction]]</f>
        <v>54074</v>
      </c>
      <c r="V224" s="23">
        <v>480</v>
      </c>
      <c r="W224" s="23">
        <f>Table46[[#This Row],[PRICE]]*Table46[[#This Row],[PAID WT]]</f>
        <v>25955520</v>
      </c>
      <c r="X224" s="24">
        <v>10.6</v>
      </c>
      <c r="Y224" s="25">
        <v>170</v>
      </c>
      <c r="Z224" s="24">
        <v>45.14</v>
      </c>
      <c r="AA224" s="26"/>
      <c r="AB224" s="50" t="s">
        <v>367</v>
      </c>
      <c r="AC224" s="27"/>
      <c r="AD224" s="63" t="s">
        <v>422</v>
      </c>
      <c r="AE224" s="18">
        <f>Table46[[#This Row],[MOIS.]]*Table46[[#This Row],[NET WT KGS]]</f>
        <v>574032.4</v>
      </c>
      <c r="AF224" s="18">
        <f>Table46[[#This Row],[KOR]]*Table46[[#This Row],[NET WT KGS]]</f>
        <v>2444511.56</v>
      </c>
      <c r="AG224">
        <f>Table46[[#This Row],[NET WT KGS]]*Table46[[#This Row],[NUT COUNT]]</f>
        <v>9206180</v>
      </c>
    </row>
    <row r="225" spans="1:33" x14ac:dyDescent="0.35">
      <c r="A225" s="32">
        <f t="shared" si="20"/>
        <v>223</v>
      </c>
      <c r="B225" s="75">
        <v>46088</v>
      </c>
      <c r="C225" s="75">
        <v>46088</v>
      </c>
      <c r="D225" s="10" t="s">
        <v>38</v>
      </c>
      <c r="E225" s="66" t="s">
        <v>39</v>
      </c>
      <c r="F225" s="50" t="s">
        <v>40</v>
      </c>
      <c r="G225" s="10" t="s">
        <v>350</v>
      </c>
      <c r="H225" s="10" t="s">
        <v>136</v>
      </c>
      <c r="I225" s="10" t="s">
        <v>137</v>
      </c>
      <c r="J225" s="10" t="s">
        <v>138</v>
      </c>
      <c r="K225" s="21" t="s">
        <v>139</v>
      </c>
      <c r="L225" s="10">
        <v>205</v>
      </c>
      <c r="M225" s="10">
        <v>77625</v>
      </c>
      <c r="N225" s="10">
        <v>434</v>
      </c>
      <c r="O225" s="22">
        <f t="shared" si="22"/>
        <v>41160</v>
      </c>
      <c r="P225" s="22">
        <v>40726</v>
      </c>
      <c r="Q225" s="10">
        <v>414</v>
      </c>
      <c r="R225" s="67">
        <v>0</v>
      </c>
      <c r="S225" s="10">
        <v>20</v>
      </c>
      <c r="T225" s="10">
        <f>S225*4+R225*40</f>
        <v>80</v>
      </c>
      <c r="U225" s="22">
        <f>Table46[[#This Row],[NET WT KGS]]-Table46[[#This Row],[Refraction]]</f>
        <v>40646</v>
      </c>
      <c r="V225" s="23">
        <v>485</v>
      </c>
      <c r="W225" s="23">
        <f>Table46[[#This Row],[PRICE]]*Table46[[#This Row],[PAID WT]]</f>
        <v>19713310</v>
      </c>
      <c r="X225" s="24">
        <v>9.4</v>
      </c>
      <c r="Y225" s="25">
        <v>181</v>
      </c>
      <c r="Z225" s="24">
        <v>45.93</v>
      </c>
      <c r="AA225" s="26"/>
      <c r="AB225" s="10" t="s">
        <v>140</v>
      </c>
      <c r="AC225" s="27"/>
      <c r="AD225" s="63" t="s">
        <v>422</v>
      </c>
      <c r="AE225" s="18">
        <f>Table46[[#This Row],[MOIS.]]*Table46[[#This Row],[NET WT KGS]]</f>
        <v>382824.4</v>
      </c>
      <c r="AF225" s="18">
        <f>Table46[[#This Row],[KOR]]*Table46[[#This Row],[NET WT KGS]]</f>
        <v>1870545.18</v>
      </c>
      <c r="AG225">
        <f>Table46[[#This Row],[NET WT KGS]]*Table46[[#This Row],[NUT COUNT]]</f>
        <v>7371406</v>
      </c>
    </row>
    <row r="226" spans="1:33" x14ac:dyDescent="0.35">
      <c r="A226" s="32">
        <f t="shared" si="20"/>
        <v>224</v>
      </c>
      <c r="B226" s="75">
        <v>46088</v>
      </c>
      <c r="C226" s="75">
        <v>46088</v>
      </c>
      <c r="D226" s="10" t="s">
        <v>38</v>
      </c>
      <c r="E226" s="66" t="s">
        <v>39</v>
      </c>
      <c r="F226" s="50" t="s">
        <v>62</v>
      </c>
      <c r="G226" s="10"/>
      <c r="H226" s="10" t="s">
        <v>128</v>
      </c>
      <c r="I226" s="10" t="s">
        <v>129</v>
      </c>
      <c r="J226" s="10" t="s">
        <v>477</v>
      </c>
      <c r="K226" s="33" t="s">
        <v>131</v>
      </c>
      <c r="L226" s="10">
        <v>865</v>
      </c>
      <c r="M226" s="10">
        <v>68686</v>
      </c>
      <c r="N226" s="10">
        <v>598</v>
      </c>
      <c r="O226" s="22">
        <v>49620</v>
      </c>
      <c r="P226" s="22">
        <f>Table46[[#This Row],[GROSS WT KGS]]-Table46[[#This Row],[SACS]]</f>
        <v>49022</v>
      </c>
      <c r="Q226" s="10">
        <v>583</v>
      </c>
      <c r="R226" s="67">
        <v>0</v>
      </c>
      <c r="S226" s="10">
        <v>15</v>
      </c>
      <c r="T226" s="10">
        <v>60</v>
      </c>
      <c r="U226" s="22">
        <f>Table46[[#This Row],[NET WT KGS]]-Table46[[#This Row],[Refraction]]</f>
        <v>48962</v>
      </c>
      <c r="V226" s="23">
        <v>490</v>
      </c>
      <c r="W226" s="23">
        <f>Table46[[#This Row],[PRICE]]*Table46[[#This Row],[PAID WT]]</f>
        <v>23991380</v>
      </c>
      <c r="X226" s="24">
        <v>9.4</v>
      </c>
      <c r="Y226" s="25">
        <v>187</v>
      </c>
      <c r="Z226" s="24">
        <v>45.76</v>
      </c>
      <c r="AA226" s="26"/>
      <c r="AB226" s="10" t="s">
        <v>132</v>
      </c>
      <c r="AC226" s="27"/>
      <c r="AD226" s="63" t="s">
        <v>422</v>
      </c>
      <c r="AE226" s="18">
        <f>Table46[[#This Row],[MOIS.]]*Table46[[#This Row],[NET WT KGS]]</f>
        <v>460806.8</v>
      </c>
      <c r="AF226" s="18">
        <f>Table46[[#This Row],[KOR]]*Table46[[#This Row],[NET WT KGS]]</f>
        <v>2243246.7199999997</v>
      </c>
      <c r="AG226">
        <f>Table46[[#This Row],[NET WT KGS]]*Table46[[#This Row],[NUT COUNT]]</f>
        <v>9167114</v>
      </c>
    </row>
    <row r="227" spans="1:33" x14ac:dyDescent="0.35">
      <c r="A227" s="32">
        <f t="shared" si="20"/>
        <v>225</v>
      </c>
      <c r="B227" s="75">
        <v>46089</v>
      </c>
      <c r="C227" s="75">
        <v>46089</v>
      </c>
      <c r="D227" s="10" t="s">
        <v>38</v>
      </c>
      <c r="E227" s="66" t="s">
        <v>39</v>
      </c>
      <c r="F227" s="67" t="s">
        <v>40</v>
      </c>
      <c r="G227" s="66" t="s">
        <v>350</v>
      </c>
      <c r="H227" s="67" t="s">
        <v>286</v>
      </c>
      <c r="I227" s="67" t="s">
        <v>287</v>
      </c>
      <c r="J227" s="66" t="s">
        <v>288</v>
      </c>
      <c r="K227" s="21" t="s">
        <v>289</v>
      </c>
      <c r="L227" s="66">
        <v>206</v>
      </c>
      <c r="M227" s="10">
        <v>77619</v>
      </c>
      <c r="N227" s="66">
        <v>461</v>
      </c>
      <c r="O227" s="68">
        <f>P227+N227</f>
        <v>40780</v>
      </c>
      <c r="P227" s="68">
        <v>40319</v>
      </c>
      <c r="Q227" s="66">
        <v>455</v>
      </c>
      <c r="R227" s="67">
        <v>0</v>
      </c>
      <c r="S227" s="66">
        <v>6</v>
      </c>
      <c r="T227" s="10">
        <f>S227*4+R227*40</f>
        <v>24</v>
      </c>
      <c r="U227" s="68">
        <f>Table46[[#This Row],[NET WT KGS]]-Table46[[#This Row],[Refraction]]</f>
        <v>40295</v>
      </c>
      <c r="V227" s="69">
        <v>480</v>
      </c>
      <c r="W227" s="69">
        <f>Table46[[#This Row],[PRICE]]*Table46[[#This Row],[PAID WT]]</f>
        <v>19341600</v>
      </c>
      <c r="X227" s="70">
        <v>9.6999999999999993</v>
      </c>
      <c r="Y227" s="71">
        <v>171</v>
      </c>
      <c r="Z227" s="70">
        <v>45.05</v>
      </c>
      <c r="AA227" s="72"/>
      <c r="AB227" s="66" t="s">
        <v>46</v>
      </c>
      <c r="AC227" s="73"/>
      <c r="AD227" s="63" t="s">
        <v>422</v>
      </c>
      <c r="AE227" s="18">
        <f>Table46[[#This Row],[MOIS.]]*Table46[[#This Row],[NET WT KGS]]</f>
        <v>391094.3</v>
      </c>
      <c r="AF227" s="18">
        <f>Table46[[#This Row],[KOR]]*Table46[[#This Row],[NET WT KGS]]</f>
        <v>1816370.95</v>
      </c>
      <c r="AG227">
        <f>Table46[[#This Row],[NET WT KGS]]*Table46[[#This Row],[NUT COUNT]]</f>
        <v>6894549</v>
      </c>
    </row>
    <row r="228" spans="1:33" x14ac:dyDescent="0.35">
      <c r="A228" s="32">
        <f t="shared" si="20"/>
        <v>226</v>
      </c>
      <c r="B228" s="75">
        <v>46089</v>
      </c>
      <c r="C228" s="75">
        <v>46089</v>
      </c>
      <c r="D228" s="10" t="s">
        <v>38</v>
      </c>
      <c r="E228" s="66" t="s">
        <v>39</v>
      </c>
      <c r="F228" s="50" t="s">
        <v>40</v>
      </c>
      <c r="G228" s="10" t="s">
        <v>41</v>
      </c>
      <c r="H228" s="66" t="s">
        <v>123</v>
      </c>
      <c r="I228" s="66" t="s">
        <v>124</v>
      </c>
      <c r="J228" s="10" t="s">
        <v>478</v>
      </c>
      <c r="K228" s="21" t="s">
        <v>161</v>
      </c>
      <c r="L228" s="66">
        <v>207</v>
      </c>
      <c r="M228" s="10">
        <v>77617</v>
      </c>
      <c r="N228" s="10">
        <v>665</v>
      </c>
      <c r="O228" s="22">
        <f>P228+N228</f>
        <v>56780</v>
      </c>
      <c r="P228" s="22">
        <v>56115</v>
      </c>
      <c r="Q228" s="10">
        <v>653</v>
      </c>
      <c r="R228" s="67">
        <v>0</v>
      </c>
      <c r="S228" s="10">
        <v>7</v>
      </c>
      <c r="T228" s="10">
        <f>S228*4+R228*40</f>
        <v>28</v>
      </c>
      <c r="U228" s="22">
        <f>Table46[[#This Row],[NET WT KGS]]-Table46[[#This Row],[Refraction]]</f>
        <v>56087</v>
      </c>
      <c r="V228" s="23">
        <v>480</v>
      </c>
      <c r="W228" s="23">
        <f>Table46[[#This Row],[PRICE]]*Table46[[#This Row],[PAID WT]]</f>
        <v>26921760</v>
      </c>
      <c r="X228" s="24">
        <v>8.9</v>
      </c>
      <c r="Y228" s="25">
        <v>185</v>
      </c>
      <c r="Z228" s="24">
        <v>45.14</v>
      </c>
      <c r="AA228" s="26"/>
      <c r="AB228" s="50" t="s">
        <v>367</v>
      </c>
      <c r="AC228" s="27"/>
      <c r="AD228" s="63" t="s">
        <v>422</v>
      </c>
      <c r="AE228" s="18">
        <f>Table46[[#This Row],[MOIS.]]*Table46[[#This Row],[NET WT KGS]]</f>
        <v>499423.5</v>
      </c>
      <c r="AF228" s="18">
        <f>Table46[[#This Row],[KOR]]*Table46[[#This Row],[NET WT KGS]]</f>
        <v>2533031.1</v>
      </c>
      <c r="AG228">
        <f>Table46[[#This Row],[NET WT KGS]]*Table46[[#This Row],[NUT COUNT]]</f>
        <v>10381275</v>
      </c>
    </row>
    <row r="229" spans="1:33" x14ac:dyDescent="0.35">
      <c r="A229" s="32">
        <f t="shared" si="20"/>
        <v>227</v>
      </c>
      <c r="B229" s="75">
        <v>46089</v>
      </c>
      <c r="C229" s="75">
        <v>46089</v>
      </c>
      <c r="D229" s="10" t="s">
        <v>38</v>
      </c>
      <c r="E229" s="66" t="s">
        <v>39</v>
      </c>
      <c r="F229" s="50" t="s">
        <v>40</v>
      </c>
      <c r="G229" s="10" t="s">
        <v>350</v>
      </c>
      <c r="H229" s="66" t="s">
        <v>123</v>
      </c>
      <c r="I229" s="66" t="s">
        <v>124</v>
      </c>
      <c r="J229" s="10" t="s">
        <v>321</v>
      </c>
      <c r="K229" s="21" t="s">
        <v>161</v>
      </c>
      <c r="L229" s="10">
        <v>208</v>
      </c>
      <c r="M229" s="10">
        <v>77606</v>
      </c>
      <c r="N229" s="10">
        <v>437</v>
      </c>
      <c r="O229" s="22">
        <f>P229+N229</f>
        <v>46140</v>
      </c>
      <c r="P229" s="22">
        <v>45703</v>
      </c>
      <c r="Q229" s="10">
        <v>422</v>
      </c>
      <c r="R229" s="67">
        <v>0</v>
      </c>
      <c r="S229" s="10">
        <v>15</v>
      </c>
      <c r="T229" s="10">
        <f>S229*4+R229*40</f>
        <v>60</v>
      </c>
      <c r="U229" s="22">
        <f>Table46[[#This Row],[NET WT KGS]]-Table46[[#This Row],[Refraction]]</f>
        <v>45643</v>
      </c>
      <c r="V229" s="23">
        <v>480</v>
      </c>
      <c r="W229" s="23">
        <f>Table46[[#This Row],[PRICE]]*Table46[[#This Row],[PAID WT]]</f>
        <v>21908640</v>
      </c>
      <c r="X229" s="24">
        <v>10</v>
      </c>
      <c r="Y229" s="25">
        <v>161</v>
      </c>
      <c r="Z229" s="24">
        <v>45.23</v>
      </c>
      <c r="AA229" s="26"/>
      <c r="AB229" s="10" t="s">
        <v>308</v>
      </c>
      <c r="AC229" s="27"/>
      <c r="AD229" s="63" t="s">
        <v>422</v>
      </c>
      <c r="AE229" s="18">
        <f>Table46[[#This Row],[MOIS.]]*Table46[[#This Row],[NET WT KGS]]</f>
        <v>457030</v>
      </c>
      <c r="AF229" s="18">
        <f>Table46[[#This Row],[KOR]]*Table46[[#This Row],[NET WT KGS]]</f>
        <v>2067146.69</v>
      </c>
      <c r="AG229">
        <f>Table46[[#This Row],[NET WT KGS]]*Table46[[#This Row],[NUT COUNT]]</f>
        <v>7358183</v>
      </c>
    </row>
    <row r="230" spans="1:33" x14ac:dyDescent="0.35">
      <c r="A230" s="32">
        <f t="shared" si="20"/>
        <v>228</v>
      </c>
      <c r="B230" s="75">
        <v>46089</v>
      </c>
      <c r="C230" s="75">
        <v>46089</v>
      </c>
      <c r="D230" s="10" t="s">
        <v>38</v>
      </c>
      <c r="E230" s="66" t="s">
        <v>39</v>
      </c>
      <c r="F230" s="67" t="s">
        <v>62</v>
      </c>
      <c r="G230" s="66"/>
      <c r="H230" s="10" t="s">
        <v>128</v>
      </c>
      <c r="I230" s="10" t="s">
        <v>129</v>
      </c>
      <c r="J230" s="66" t="s">
        <v>382</v>
      </c>
      <c r="K230" s="33" t="s">
        <v>131</v>
      </c>
      <c r="L230" s="66">
        <v>866</v>
      </c>
      <c r="M230" s="10">
        <v>77678</v>
      </c>
      <c r="N230" s="66">
        <v>521</v>
      </c>
      <c r="O230" s="68">
        <v>41800</v>
      </c>
      <c r="P230" s="68">
        <f>Table46[[#This Row],[GROSS WT KGS]]-Table46[[#This Row],[SACS]]</f>
        <v>41279</v>
      </c>
      <c r="Q230" s="66">
        <v>501</v>
      </c>
      <c r="R230" s="67">
        <v>0</v>
      </c>
      <c r="S230" s="66">
        <v>20</v>
      </c>
      <c r="T230" s="10">
        <f>S230*4+R230*40</f>
        <v>80</v>
      </c>
      <c r="U230" s="68">
        <f>Table46[[#This Row],[NET WT KGS]]-Table46[[#This Row],[Refraction]]</f>
        <v>41199</v>
      </c>
      <c r="V230" s="69">
        <v>495</v>
      </c>
      <c r="W230" s="69">
        <f>Table46[[#This Row],[PRICE]]*Table46[[#This Row],[PAID WT]]</f>
        <v>20393505</v>
      </c>
      <c r="X230" s="70">
        <v>9.6999999999999993</v>
      </c>
      <c r="Y230" s="71">
        <v>182</v>
      </c>
      <c r="Z230" s="70">
        <v>46.81</v>
      </c>
      <c r="AA230" s="72"/>
      <c r="AB230" s="66" t="s">
        <v>132</v>
      </c>
      <c r="AC230" s="73"/>
      <c r="AD230" s="63" t="s">
        <v>422</v>
      </c>
      <c r="AE230" s="18">
        <f>Table46[[#This Row],[MOIS.]]*Table46[[#This Row],[NET WT KGS]]</f>
        <v>400406.3</v>
      </c>
      <c r="AF230" s="18">
        <f>Table46[[#This Row],[KOR]]*Table46[[#This Row],[NET WT KGS]]</f>
        <v>1932269.99</v>
      </c>
      <c r="AG230">
        <f>Table46[[#This Row],[NET WT KGS]]*Table46[[#This Row],[NUT COUNT]]</f>
        <v>7512778</v>
      </c>
    </row>
    <row r="231" spans="1:33" x14ac:dyDescent="0.35">
      <c r="A231" s="32">
        <f t="shared" si="20"/>
        <v>229</v>
      </c>
      <c r="B231" s="35">
        <v>46089</v>
      </c>
      <c r="C231" s="35">
        <f>Table46[[#This Row],[DATE OF ARRIVAL]]</f>
        <v>46089</v>
      </c>
      <c r="D231" s="74" t="s">
        <v>38</v>
      </c>
      <c r="E231" s="74" t="s">
        <v>39</v>
      </c>
      <c r="F231" s="36" t="s">
        <v>40</v>
      </c>
      <c r="G231" s="36"/>
      <c r="H231" s="36" t="s">
        <v>280</v>
      </c>
      <c r="I231" s="36" t="s">
        <v>281</v>
      </c>
      <c r="J231" s="36" t="s">
        <v>479</v>
      </c>
      <c r="K231" s="36"/>
      <c r="L231" s="36"/>
      <c r="M231" s="36"/>
      <c r="N231" s="36"/>
      <c r="O231" s="37">
        <f t="shared" ref="O231:O240" si="23">P231+N231</f>
        <v>0</v>
      </c>
      <c r="P231" s="37"/>
      <c r="Q231" s="36"/>
      <c r="R231" s="74"/>
      <c r="S231" s="36"/>
      <c r="T231" s="36"/>
      <c r="U231" s="37">
        <f>Table46[[#This Row],[NET WT KGS]]-Table46[[#This Row],[Refraction]]</f>
        <v>0</v>
      </c>
      <c r="V231" s="38"/>
      <c r="W231" s="38">
        <f>Table46[[#This Row],[PRICE]]*Table46[[#This Row],[PAID WT]]</f>
        <v>0</v>
      </c>
      <c r="X231" s="39">
        <v>9.6999999999999993</v>
      </c>
      <c r="Y231" s="40">
        <v>165</v>
      </c>
      <c r="Z231" s="39">
        <v>43.2</v>
      </c>
      <c r="AA231" s="41"/>
      <c r="AB231" s="36" t="s">
        <v>284</v>
      </c>
      <c r="AC231" s="92" t="s">
        <v>70</v>
      </c>
      <c r="AD231" s="63"/>
      <c r="AE231" s="18">
        <f>Table46[[#This Row],[MOIS.]]*Table46[[#This Row],[NET WT KGS]]</f>
        <v>0</v>
      </c>
      <c r="AF231" s="18">
        <f>Table46[[#This Row],[KOR]]*Table46[[#This Row],[NET WT KGS]]</f>
        <v>0</v>
      </c>
      <c r="AG231">
        <f>Table46[[#This Row],[NET WT KGS]]*Table46[[#This Row],[NUT COUNT]]</f>
        <v>0</v>
      </c>
    </row>
    <row r="232" spans="1:33" x14ac:dyDescent="0.35">
      <c r="A232" s="32">
        <f t="shared" si="20"/>
        <v>230</v>
      </c>
      <c r="B232" s="35">
        <v>46089</v>
      </c>
      <c r="C232" s="35">
        <f>Table46[[#This Row],[DATE OF ARRIVAL]]</f>
        <v>46089</v>
      </c>
      <c r="D232" s="74" t="s">
        <v>38</v>
      </c>
      <c r="E232" s="74" t="s">
        <v>39</v>
      </c>
      <c r="F232" s="36" t="s">
        <v>40</v>
      </c>
      <c r="G232" s="74"/>
      <c r="H232" s="74" t="s">
        <v>123</v>
      </c>
      <c r="I232" s="74" t="s">
        <v>124</v>
      </c>
      <c r="J232" s="74" t="s">
        <v>480</v>
      </c>
      <c r="K232" s="74"/>
      <c r="L232" s="74"/>
      <c r="M232" s="74"/>
      <c r="N232" s="74"/>
      <c r="O232" s="79">
        <f t="shared" si="23"/>
        <v>0</v>
      </c>
      <c r="P232" s="79"/>
      <c r="Q232" s="74"/>
      <c r="R232" s="74"/>
      <c r="S232" s="74"/>
      <c r="T232" s="36"/>
      <c r="U232" s="79">
        <f>Table46[[#This Row],[NET WT KGS]]-Table46[[#This Row],[Refraction]]</f>
        <v>0</v>
      </c>
      <c r="V232" s="81"/>
      <c r="W232" s="81">
        <f>Table46[[#This Row],[PRICE]]*Table46[[#This Row],[PAID WT]]</f>
        <v>0</v>
      </c>
      <c r="X232" s="82">
        <v>8.5</v>
      </c>
      <c r="Y232" s="83">
        <v>167</v>
      </c>
      <c r="Z232" s="82">
        <v>43.47</v>
      </c>
      <c r="AA232" s="84"/>
      <c r="AB232" s="74" t="s">
        <v>46</v>
      </c>
      <c r="AC232" s="42" t="s">
        <v>70</v>
      </c>
      <c r="AD232" s="63"/>
      <c r="AE232" s="18">
        <f>Table46[[#This Row],[MOIS.]]*Table46[[#This Row],[NET WT KGS]]</f>
        <v>0</v>
      </c>
      <c r="AF232" s="18">
        <f>Table46[[#This Row],[KOR]]*Table46[[#This Row],[NET WT KGS]]</f>
        <v>0</v>
      </c>
      <c r="AG232">
        <f>Table46[[#This Row],[NET WT KGS]]*Table46[[#This Row],[NUT COUNT]]</f>
        <v>0</v>
      </c>
    </row>
    <row r="233" spans="1:33" x14ac:dyDescent="0.35">
      <c r="A233" s="32">
        <f t="shared" si="20"/>
        <v>231</v>
      </c>
      <c r="B233" s="35">
        <v>46089</v>
      </c>
      <c r="C233" s="35">
        <f>Table46[[#This Row],[DATE OF ARRIVAL]]</f>
        <v>46089</v>
      </c>
      <c r="D233" s="74" t="s">
        <v>38</v>
      </c>
      <c r="E233" s="74" t="s">
        <v>39</v>
      </c>
      <c r="F233" s="36" t="s">
        <v>40</v>
      </c>
      <c r="G233" s="74"/>
      <c r="H233" s="74" t="s">
        <v>123</v>
      </c>
      <c r="I233" s="74" t="s">
        <v>124</v>
      </c>
      <c r="J233" s="74" t="s">
        <v>481</v>
      </c>
      <c r="K233" s="74"/>
      <c r="L233" s="74"/>
      <c r="M233" s="74"/>
      <c r="N233" s="74"/>
      <c r="O233" s="79">
        <f t="shared" si="23"/>
        <v>0</v>
      </c>
      <c r="P233" s="79"/>
      <c r="Q233" s="74"/>
      <c r="R233" s="74"/>
      <c r="S233" s="74"/>
      <c r="T233" s="36"/>
      <c r="U233" s="79">
        <f>Table46[[#This Row],[NET WT KGS]]-Table46[[#This Row],[Refraction]]</f>
        <v>0</v>
      </c>
      <c r="V233" s="81"/>
      <c r="W233" s="81">
        <f>Table46[[#This Row],[PRICE]]*Table46[[#This Row],[PAID WT]]</f>
        <v>0</v>
      </c>
      <c r="X233" s="82">
        <v>8.1999999999999993</v>
      </c>
      <c r="Y233" s="83">
        <v>184</v>
      </c>
      <c r="Z233" s="82">
        <v>43.64</v>
      </c>
      <c r="AA233" s="84"/>
      <c r="AB233" s="74" t="s">
        <v>444</v>
      </c>
      <c r="AC233" s="42" t="s">
        <v>70</v>
      </c>
      <c r="AD233" s="63"/>
      <c r="AE233" s="18">
        <f>Table46[[#This Row],[MOIS.]]*Table46[[#This Row],[NET WT KGS]]</f>
        <v>0</v>
      </c>
      <c r="AF233" s="18">
        <f>Table46[[#This Row],[KOR]]*Table46[[#This Row],[NET WT KGS]]</f>
        <v>0</v>
      </c>
      <c r="AG233">
        <f>Table46[[#This Row],[NET WT KGS]]*Table46[[#This Row],[NUT COUNT]]</f>
        <v>0</v>
      </c>
    </row>
    <row r="234" spans="1:33" x14ac:dyDescent="0.35">
      <c r="A234" s="32">
        <f t="shared" si="20"/>
        <v>232</v>
      </c>
      <c r="B234" s="35">
        <v>46089</v>
      </c>
      <c r="C234" s="35">
        <f>Table46[[#This Row],[DATE OF ARRIVAL]]</f>
        <v>46089</v>
      </c>
      <c r="D234" s="74" t="s">
        <v>38</v>
      </c>
      <c r="E234" s="74" t="s">
        <v>39</v>
      </c>
      <c r="F234" s="36" t="s">
        <v>40</v>
      </c>
      <c r="G234" s="74"/>
      <c r="H234" s="74" t="s">
        <v>123</v>
      </c>
      <c r="I234" s="74" t="s">
        <v>124</v>
      </c>
      <c r="J234" s="74" t="s">
        <v>89</v>
      </c>
      <c r="K234" s="74"/>
      <c r="L234" s="74"/>
      <c r="M234" s="74"/>
      <c r="N234" s="74"/>
      <c r="O234" s="79">
        <f t="shared" si="23"/>
        <v>0</v>
      </c>
      <c r="P234" s="79"/>
      <c r="Q234" s="74"/>
      <c r="R234" s="74"/>
      <c r="S234" s="74"/>
      <c r="T234" s="36"/>
      <c r="U234" s="79">
        <f>Table46[[#This Row],[NET WT KGS]]-Table46[[#This Row],[Refraction]]</f>
        <v>0</v>
      </c>
      <c r="V234" s="81"/>
      <c r="W234" s="81">
        <f>Table46[[#This Row],[PRICE]]*Table46[[#This Row],[PAID WT]]</f>
        <v>0</v>
      </c>
      <c r="X234" s="82">
        <v>10.7</v>
      </c>
      <c r="Y234" s="83">
        <v>167</v>
      </c>
      <c r="Z234" s="82">
        <v>43.73</v>
      </c>
      <c r="AA234" s="84"/>
      <c r="AB234" s="74" t="s">
        <v>40</v>
      </c>
      <c r="AC234" s="42" t="s">
        <v>70</v>
      </c>
      <c r="AD234" s="63"/>
      <c r="AE234" s="18">
        <f>Table46[[#This Row],[MOIS.]]*Table46[[#This Row],[NET WT KGS]]</f>
        <v>0</v>
      </c>
      <c r="AF234" s="18">
        <f>Table46[[#This Row],[KOR]]*Table46[[#This Row],[NET WT KGS]]</f>
        <v>0</v>
      </c>
      <c r="AG234">
        <f>Table46[[#This Row],[NET WT KGS]]*Table46[[#This Row],[NUT COUNT]]</f>
        <v>0</v>
      </c>
    </row>
    <row r="235" spans="1:33" x14ac:dyDescent="0.35">
      <c r="A235" s="32">
        <f t="shared" si="20"/>
        <v>233</v>
      </c>
      <c r="B235" s="75">
        <v>46090</v>
      </c>
      <c r="C235" s="75">
        <v>46090</v>
      </c>
      <c r="D235" s="10" t="s">
        <v>38</v>
      </c>
      <c r="E235" s="10" t="s">
        <v>39</v>
      </c>
      <c r="F235" s="50" t="s">
        <v>40</v>
      </c>
      <c r="G235" s="10" t="s">
        <v>350</v>
      </c>
      <c r="H235" s="10" t="s">
        <v>338</v>
      </c>
      <c r="I235" s="50" t="s">
        <v>317</v>
      </c>
      <c r="J235" s="10" t="s">
        <v>482</v>
      </c>
      <c r="K235" s="57" t="s">
        <v>340</v>
      </c>
      <c r="L235" s="10">
        <v>209</v>
      </c>
      <c r="M235" s="10">
        <v>77622</v>
      </c>
      <c r="N235" s="10">
        <v>461</v>
      </c>
      <c r="O235" s="22">
        <f t="shared" si="23"/>
        <v>38880</v>
      </c>
      <c r="P235" s="22">
        <v>38419</v>
      </c>
      <c r="Q235" s="10">
        <v>449</v>
      </c>
      <c r="R235" s="67">
        <v>0</v>
      </c>
      <c r="S235" s="10">
        <v>12</v>
      </c>
      <c r="T235" s="10">
        <f t="shared" ref="T235:T243" si="24">S235*4+R235*40</f>
        <v>48</v>
      </c>
      <c r="U235" s="22">
        <f>Table46[[#This Row],[NET WT KGS]]-Table46[[#This Row],[Refraction]]</f>
        <v>38371</v>
      </c>
      <c r="V235" s="23">
        <v>485</v>
      </c>
      <c r="W235" s="23">
        <f>Table46[[#This Row],[PRICE]]*Table46[[#This Row],[PAID WT]]</f>
        <v>18609935</v>
      </c>
      <c r="X235" s="24">
        <v>9</v>
      </c>
      <c r="Y235" s="25">
        <v>172</v>
      </c>
      <c r="Z235" s="24">
        <v>45.76</v>
      </c>
      <c r="AA235" s="26"/>
      <c r="AB235" s="10" t="s">
        <v>284</v>
      </c>
      <c r="AC235" s="27"/>
      <c r="AD235" s="63" t="s">
        <v>483</v>
      </c>
      <c r="AE235" s="18">
        <f>Table46[[#This Row],[MOIS.]]*Table46[[#This Row],[NET WT KGS]]</f>
        <v>345771</v>
      </c>
      <c r="AF235" s="18">
        <f>Table46[[#This Row],[KOR]]*Table46[[#This Row],[NET WT KGS]]</f>
        <v>1758053.44</v>
      </c>
      <c r="AG235">
        <f>Table46[[#This Row],[NET WT KGS]]*Table46[[#This Row],[NUT COUNT]]</f>
        <v>6608068</v>
      </c>
    </row>
    <row r="236" spans="1:33" x14ac:dyDescent="0.35">
      <c r="A236" s="32">
        <f t="shared" si="20"/>
        <v>234</v>
      </c>
      <c r="B236" s="75">
        <v>46090</v>
      </c>
      <c r="C236" s="75">
        <v>46090</v>
      </c>
      <c r="D236" s="10" t="s">
        <v>38</v>
      </c>
      <c r="E236" s="10" t="s">
        <v>39</v>
      </c>
      <c r="F236" s="50" t="s">
        <v>40</v>
      </c>
      <c r="G236" s="10" t="s">
        <v>350</v>
      </c>
      <c r="H236" s="10" t="s">
        <v>74</v>
      </c>
      <c r="I236" s="10" t="s">
        <v>75</v>
      </c>
      <c r="J236" s="10" t="s">
        <v>269</v>
      </c>
      <c r="K236" s="33" t="s">
        <v>77</v>
      </c>
      <c r="L236" s="10">
        <v>211</v>
      </c>
      <c r="M236" s="10">
        <v>77632</v>
      </c>
      <c r="N236" s="10">
        <v>514</v>
      </c>
      <c r="O236" s="22">
        <f t="shared" si="23"/>
        <v>45640</v>
      </c>
      <c r="P236" s="22">
        <v>45126</v>
      </c>
      <c r="Q236" s="10">
        <v>504</v>
      </c>
      <c r="R236" s="67">
        <v>0</v>
      </c>
      <c r="S236" s="10">
        <v>10</v>
      </c>
      <c r="T236" s="10">
        <f t="shared" si="24"/>
        <v>40</v>
      </c>
      <c r="U236" s="22">
        <f>Table46[[#This Row],[NET WT KGS]]-Table46[[#This Row],[Refraction]]</f>
        <v>45086</v>
      </c>
      <c r="V236" s="23">
        <v>485</v>
      </c>
      <c r="W236" s="23">
        <f>Table46[[#This Row],[PRICE]]*Table46[[#This Row],[PAID WT]]</f>
        <v>21866710</v>
      </c>
      <c r="X236" s="24">
        <v>10.1</v>
      </c>
      <c r="Y236" s="25">
        <v>163</v>
      </c>
      <c r="Z236" s="24">
        <v>45.58</v>
      </c>
      <c r="AA236" s="26"/>
      <c r="AB236" s="10" t="s">
        <v>78</v>
      </c>
      <c r="AC236" s="27"/>
      <c r="AD236" s="63" t="s">
        <v>483</v>
      </c>
      <c r="AE236" s="18">
        <f>Table46[[#This Row],[MOIS.]]*Table46[[#This Row],[NET WT KGS]]</f>
        <v>455772.6</v>
      </c>
      <c r="AF236" s="18">
        <f>Table46[[#This Row],[KOR]]*Table46[[#This Row],[NET WT KGS]]</f>
        <v>2056843.0799999998</v>
      </c>
      <c r="AG236">
        <f>Table46[[#This Row],[NET WT KGS]]*Table46[[#This Row],[NUT COUNT]]</f>
        <v>7355538</v>
      </c>
    </row>
    <row r="237" spans="1:33" x14ac:dyDescent="0.35">
      <c r="A237" s="32">
        <f t="shared" si="20"/>
        <v>235</v>
      </c>
      <c r="B237" s="75">
        <v>46090</v>
      </c>
      <c r="C237" s="75">
        <v>46090</v>
      </c>
      <c r="D237" s="10" t="s">
        <v>38</v>
      </c>
      <c r="E237" s="10" t="s">
        <v>39</v>
      </c>
      <c r="F237" s="50" t="s">
        <v>40</v>
      </c>
      <c r="G237" s="10" t="s">
        <v>86</v>
      </c>
      <c r="H237" s="10" t="s">
        <v>112</v>
      </c>
      <c r="I237" s="10" t="s">
        <v>113</v>
      </c>
      <c r="J237" s="10" t="s">
        <v>366</v>
      </c>
      <c r="K237" s="21" t="s">
        <v>115</v>
      </c>
      <c r="L237" s="10">
        <v>210</v>
      </c>
      <c r="M237" s="10">
        <v>77653</v>
      </c>
      <c r="N237" s="10">
        <v>418</v>
      </c>
      <c r="O237" s="22">
        <f t="shared" si="23"/>
        <v>32000</v>
      </c>
      <c r="P237" s="22">
        <v>31582</v>
      </c>
      <c r="Q237" s="10">
        <v>413</v>
      </c>
      <c r="R237" s="67">
        <v>0</v>
      </c>
      <c r="S237" s="10">
        <v>5</v>
      </c>
      <c r="T237" s="10">
        <f t="shared" si="24"/>
        <v>20</v>
      </c>
      <c r="U237" s="22">
        <f>Table46[[#This Row],[NET WT KGS]]-Table46[[#This Row],[Refraction]]</f>
        <v>31562</v>
      </c>
      <c r="V237" s="23">
        <v>490</v>
      </c>
      <c r="W237" s="23">
        <f>Table46[[#This Row],[PRICE]]*Table46[[#This Row],[PAID WT]]</f>
        <v>15465380</v>
      </c>
      <c r="X237" s="24">
        <v>8.1</v>
      </c>
      <c r="Y237" s="25">
        <v>162</v>
      </c>
      <c r="Z237" s="24">
        <v>46.02</v>
      </c>
      <c r="AA237" s="26"/>
      <c r="AB237" s="10" t="s">
        <v>40</v>
      </c>
      <c r="AC237" s="27"/>
      <c r="AD237" s="63" t="s">
        <v>483</v>
      </c>
      <c r="AE237" s="18">
        <f>Table46[[#This Row],[MOIS.]]*Table46[[#This Row],[NET WT KGS]]</f>
        <v>255814.19999999998</v>
      </c>
      <c r="AF237" s="18">
        <f>Table46[[#This Row],[KOR]]*Table46[[#This Row],[NET WT KGS]]</f>
        <v>1453403.6400000001</v>
      </c>
      <c r="AG237">
        <f>Table46[[#This Row],[NET WT KGS]]*Table46[[#This Row],[NUT COUNT]]</f>
        <v>5116284</v>
      </c>
    </row>
    <row r="238" spans="1:33" x14ac:dyDescent="0.35">
      <c r="A238" s="32">
        <f t="shared" si="20"/>
        <v>236</v>
      </c>
      <c r="B238" s="75">
        <v>46090</v>
      </c>
      <c r="C238" s="75">
        <v>46090</v>
      </c>
      <c r="D238" s="10" t="s">
        <v>38</v>
      </c>
      <c r="E238" s="10" t="s">
        <v>258</v>
      </c>
      <c r="F238" s="50" t="s">
        <v>40</v>
      </c>
      <c r="G238" s="10" t="s">
        <v>350</v>
      </c>
      <c r="H238" s="10" t="s">
        <v>364</v>
      </c>
      <c r="I238" s="10" t="s">
        <v>84</v>
      </c>
      <c r="J238" s="10" t="s">
        <v>484</v>
      </c>
      <c r="K238" s="77" t="s">
        <v>426</v>
      </c>
      <c r="L238" s="90">
        <v>212</v>
      </c>
      <c r="M238" s="10">
        <v>77648</v>
      </c>
      <c r="N238" s="10">
        <v>479</v>
      </c>
      <c r="O238" s="22">
        <f t="shared" si="23"/>
        <v>42780</v>
      </c>
      <c r="P238" s="22">
        <v>42301</v>
      </c>
      <c r="Q238" s="10">
        <v>470</v>
      </c>
      <c r="R238" s="67">
        <v>0</v>
      </c>
      <c r="S238" s="10">
        <v>9</v>
      </c>
      <c r="T238" s="10">
        <f t="shared" si="24"/>
        <v>36</v>
      </c>
      <c r="U238" s="22">
        <f>Table46[[#This Row],[NET WT KGS]]-Table46[[#This Row],[Refraction]]</f>
        <v>42265</v>
      </c>
      <c r="V238" s="23">
        <v>490</v>
      </c>
      <c r="W238" s="23">
        <f>Table46[[#This Row],[PRICE]]*Table46[[#This Row],[PAID WT]]</f>
        <v>20709850</v>
      </c>
      <c r="X238" s="24">
        <v>10.9</v>
      </c>
      <c r="Y238" s="25">
        <v>185</v>
      </c>
      <c r="Z238" s="24">
        <v>45.05</v>
      </c>
      <c r="AA238" s="26"/>
      <c r="AB238" s="50" t="s">
        <v>367</v>
      </c>
      <c r="AC238" s="27"/>
      <c r="AD238" s="63" t="s">
        <v>483</v>
      </c>
      <c r="AE238" s="18">
        <f>Table46[[#This Row],[MOIS.]]*Table46[[#This Row],[NET WT KGS]]</f>
        <v>461080.9</v>
      </c>
      <c r="AF238" s="18">
        <f>Table46[[#This Row],[KOR]]*Table46[[#This Row],[NET WT KGS]]</f>
        <v>1905660.0499999998</v>
      </c>
      <c r="AG238">
        <f>Table46[[#This Row],[NET WT KGS]]*Table46[[#This Row],[NUT COUNT]]</f>
        <v>7825685</v>
      </c>
    </row>
    <row r="239" spans="1:33" x14ac:dyDescent="0.35">
      <c r="A239" s="32">
        <f t="shared" si="20"/>
        <v>237</v>
      </c>
      <c r="B239" s="75">
        <v>46090</v>
      </c>
      <c r="C239" s="75">
        <v>46090</v>
      </c>
      <c r="D239" s="10" t="s">
        <v>38</v>
      </c>
      <c r="E239" s="10" t="s">
        <v>39</v>
      </c>
      <c r="F239" s="50" t="s">
        <v>40</v>
      </c>
      <c r="G239" s="10" t="s">
        <v>350</v>
      </c>
      <c r="H239" s="66" t="s">
        <v>123</v>
      </c>
      <c r="I239" s="66" t="s">
        <v>124</v>
      </c>
      <c r="J239" s="10" t="s">
        <v>354</v>
      </c>
      <c r="K239" s="21" t="s">
        <v>161</v>
      </c>
      <c r="L239" s="10">
        <v>215</v>
      </c>
      <c r="M239" s="10">
        <v>77657</v>
      </c>
      <c r="N239" s="10">
        <v>540</v>
      </c>
      <c r="O239" s="22">
        <f t="shared" si="23"/>
        <v>46040</v>
      </c>
      <c r="P239" s="22">
        <v>45500</v>
      </c>
      <c r="Q239" s="10">
        <v>520</v>
      </c>
      <c r="R239" s="67">
        <v>0</v>
      </c>
      <c r="S239" s="10">
        <v>20</v>
      </c>
      <c r="T239" s="10">
        <f t="shared" si="24"/>
        <v>80</v>
      </c>
      <c r="U239" s="22">
        <f>Table46[[#This Row],[NET WT KGS]]-Table46[[#This Row],[Refraction]]</f>
        <v>45420</v>
      </c>
      <c r="V239" s="23">
        <v>490</v>
      </c>
      <c r="W239" s="23">
        <f>Table46[[#This Row],[PRICE]]*Table46[[#This Row],[PAID WT]]</f>
        <v>22255800</v>
      </c>
      <c r="X239" s="24">
        <v>8.9</v>
      </c>
      <c r="Y239" s="25">
        <v>174</v>
      </c>
      <c r="Z239" s="24">
        <v>46.28</v>
      </c>
      <c r="AA239" s="26"/>
      <c r="AB239" s="10" t="s">
        <v>58</v>
      </c>
      <c r="AC239" s="27"/>
      <c r="AD239" s="63" t="s">
        <v>483</v>
      </c>
      <c r="AE239" s="18">
        <f>Table46[[#This Row],[MOIS.]]*Table46[[#This Row],[NET WT KGS]]</f>
        <v>404950</v>
      </c>
      <c r="AF239" s="18">
        <f>Table46[[#This Row],[KOR]]*Table46[[#This Row],[NET WT KGS]]</f>
        <v>2105740</v>
      </c>
      <c r="AG239">
        <f>Table46[[#This Row],[NET WT KGS]]*Table46[[#This Row],[NUT COUNT]]</f>
        <v>7917000</v>
      </c>
    </row>
    <row r="240" spans="1:33" x14ac:dyDescent="0.35">
      <c r="A240" s="32">
        <f t="shared" si="20"/>
        <v>238</v>
      </c>
      <c r="B240" s="75">
        <v>46090</v>
      </c>
      <c r="C240" s="75">
        <v>46090</v>
      </c>
      <c r="D240" s="10" t="s">
        <v>38</v>
      </c>
      <c r="E240" s="10" t="s">
        <v>39</v>
      </c>
      <c r="F240" s="50" t="s">
        <v>40</v>
      </c>
      <c r="G240" s="10" t="s">
        <v>350</v>
      </c>
      <c r="H240" s="10" t="s">
        <v>136</v>
      </c>
      <c r="I240" s="10" t="s">
        <v>137</v>
      </c>
      <c r="J240" s="10" t="s">
        <v>485</v>
      </c>
      <c r="K240" s="21" t="s">
        <v>139</v>
      </c>
      <c r="L240" s="10">
        <v>214</v>
      </c>
      <c r="M240" s="10">
        <v>72582</v>
      </c>
      <c r="N240" s="10">
        <v>488</v>
      </c>
      <c r="O240" s="22">
        <f t="shared" si="23"/>
        <v>42100</v>
      </c>
      <c r="P240" s="22">
        <v>41612</v>
      </c>
      <c r="Q240" s="10">
        <v>478</v>
      </c>
      <c r="R240" s="67">
        <v>0</v>
      </c>
      <c r="S240" s="10">
        <v>10</v>
      </c>
      <c r="T240" s="10">
        <f t="shared" si="24"/>
        <v>40</v>
      </c>
      <c r="U240" s="22">
        <f>Table46[[#This Row],[NET WT KGS]]-Table46[[#This Row],[Refraction]]</f>
        <v>41572</v>
      </c>
      <c r="V240" s="23">
        <v>490</v>
      </c>
      <c r="W240" s="23">
        <f>Table46[[#This Row],[PRICE]]*Table46[[#This Row],[PAID WT]]</f>
        <v>20370280</v>
      </c>
      <c r="X240" s="24">
        <v>9.9</v>
      </c>
      <c r="Y240" s="25">
        <v>178</v>
      </c>
      <c r="Z240" s="24">
        <v>45.76</v>
      </c>
      <c r="AA240" s="26"/>
      <c r="AB240" s="10" t="s">
        <v>140</v>
      </c>
      <c r="AC240" s="27"/>
      <c r="AD240" s="63" t="s">
        <v>483</v>
      </c>
      <c r="AE240" s="18">
        <f>Table46[[#This Row],[MOIS.]]*Table46[[#This Row],[NET WT KGS]]</f>
        <v>411958.8</v>
      </c>
      <c r="AF240" s="18">
        <f>Table46[[#This Row],[KOR]]*Table46[[#This Row],[NET WT KGS]]</f>
        <v>1904165.1199999999</v>
      </c>
      <c r="AG240">
        <f>Table46[[#This Row],[NET WT KGS]]*Table46[[#This Row],[NUT COUNT]]</f>
        <v>7406936</v>
      </c>
    </row>
    <row r="241" spans="1:33" x14ac:dyDescent="0.35">
      <c r="A241" s="32">
        <f t="shared" si="20"/>
        <v>239</v>
      </c>
      <c r="B241" s="75">
        <v>46090</v>
      </c>
      <c r="C241" s="75">
        <v>46090</v>
      </c>
      <c r="D241" s="10" t="s">
        <v>38</v>
      </c>
      <c r="E241" s="10" t="s">
        <v>39</v>
      </c>
      <c r="F241" s="50" t="s">
        <v>62</v>
      </c>
      <c r="G241" s="10"/>
      <c r="H241" s="66" t="s">
        <v>193</v>
      </c>
      <c r="I241" s="66" t="s">
        <v>194</v>
      </c>
      <c r="J241" s="10" t="s">
        <v>195</v>
      </c>
      <c r="K241" s="33" t="s">
        <v>196</v>
      </c>
      <c r="L241" s="10">
        <v>867</v>
      </c>
      <c r="M241" s="10">
        <v>77581</v>
      </c>
      <c r="N241" s="10">
        <v>604</v>
      </c>
      <c r="O241" s="22">
        <v>45400</v>
      </c>
      <c r="P241" s="22">
        <f>Table46[[#This Row],[GROSS WT KGS]]-Table46[[#This Row],[SACS]]</f>
        <v>44796</v>
      </c>
      <c r="Q241" s="10">
        <v>584</v>
      </c>
      <c r="R241" s="67">
        <v>0</v>
      </c>
      <c r="S241" s="10">
        <v>20</v>
      </c>
      <c r="T241" s="10">
        <f t="shared" si="24"/>
        <v>80</v>
      </c>
      <c r="U241" s="22">
        <f>Table46[[#This Row],[NET WT KGS]]-Table46[[#This Row],[Refraction]]</f>
        <v>44716</v>
      </c>
      <c r="V241" s="23">
        <v>490</v>
      </c>
      <c r="W241" s="23">
        <f>Table46[[#This Row],[PRICE]]*Table46[[#This Row],[PAID WT]]</f>
        <v>21910840</v>
      </c>
      <c r="X241" s="24">
        <v>11.3</v>
      </c>
      <c r="Y241" s="25">
        <v>178</v>
      </c>
      <c r="Z241" s="24">
        <v>45.4</v>
      </c>
      <c r="AA241" s="26"/>
      <c r="AB241" s="10" t="s">
        <v>132</v>
      </c>
      <c r="AC241" s="27"/>
      <c r="AD241" s="63" t="s">
        <v>483</v>
      </c>
      <c r="AE241" s="18">
        <f>Table46[[#This Row],[MOIS.]]*Table46[[#This Row],[NET WT KGS]]</f>
        <v>506194.80000000005</v>
      </c>
      <c r="AF241" s="18">
        <f>Table46[[#This Row],[KOR]]*Table46[[#This Row],[NET WT KGS]]</f>
        <v>2033738.4</v>
      </c>
      <c r="AG241">
        <f>Table46[[#This Row],[NET WT KGS]]*Table46[[#This Row],[NUT COUNT]]</f>
        <v>7973688</v>
      </c>
    </row>
    <row r="242" spans="1:33" x14ac:dyDescent="0.35">
      <c r="A242" s="32">
        <f t="shared" si="20"/>
        <v>240</v>
      </c>
      <c r="B242" s="75">
        <v>46090</v>
      </c>
      <c r="C242" s="75">
        <v>46090</v>
      </c>
      <c r="D242" s="10" t="s">
        <v>38</v>
      </c>
      <c r="E242" s="10" t="s">
        <v>39</v>
      </c>
      <c r="F242" s="50" t="s">
        <v>62</v>
      </c>
      <c r="G242" s="10"/>
      <c r="H242" s="10" t="s">
        <v>128</v>
      </c>
      <c r="I242" s="10" t="s">
        <v>129</v>
      </c>
      <c r="J242" s="10" t="s">
        <v>467</v>
      </c>
      <c r="K242" s="33" t="s">
        <v>131</v>
      </c>
      <c r="L242" s="10">
        <v>868</v>
      </c>
      <c r="M242" s="10">
        <v>68685</v>
      </c>
      <c r="N242" s="10">
        <v>614</v>
      </c>
      <c r="O242" s="22">
        <v>51260</v>
      </c>
      <c r="P242" s="22">
        <f>Table46[[#This Row],[GROSS WT KGS]]-Table46[[#This Row],[SACS]]</f>
        <v>50646</v>
      </c>
      <c r="Q242" s="10">
        <v>596</v>
      </c>
      <c r="R242" s="67">
        <v>0</v>
      </c>
      <c r="S242" s="10">
        <v>18</v>
      </c>
      <c r="T242" s="10">
        <f t="shared" si="24"/>
        <v>72</v>
      </c>
      <c r="U242" s="22">
        <f>Table46[[#This Row],[NET WT KGS]]-Table46[[#This Row],[Refraction]]</f>
        <v>50574</v>
      </c>
      <c r="V242" s="23">
        <v>495</v>
      </c>
      <c r="W242" s="23">
        <f>Table46[[#This Row],[PRICE]]*Table46[[#This Row],[PAID WT]]</f>
        <v>25034130</v>
      </c>
      <c r="X242" s="24">
        <v>10.4</v>
      </c>
      <c r="Y242" s="25">
        <v>185</v>
      </c>
      <c r="Z242" s="24">
        <v>45.93</v>
      </c>
      <c r="AA242" s="26"/>
      <c r="AB242" s="10" t="s">
        <v>132</v>
      </c>
      <c r="AC242" s="27"/>
      <c r="AD242" s="63" t="s">
        <v>483</v>
      </c>
      <c r="AE242" s="18">
        <f>Table46[[#This Row],[MOIS.]]*Table46[[#This Row],[NET WT KGS]]</f>
        <v>526718.4</v>
      </c>
      <c r="AF242" s="18">
        <f>Table46[[#This Row],[KOR]]*Table46[[#This Row],[NET WT KGS]]</f>
        <v>2326170.7799999998</v>
      </c>
      <c r="AG242">
        <f>Table46[[#This Row],[NET WT KGS]]*Table46[[#This Row],[NUT COUNT]]</f>
        <v>9369510</v>
      </c>
    </row>
    <row r="243" spans="1:33" x14ac:dyDescent="0.35">
      <c r="A243" s="32">
        <f t="shared" si="20"/>
        <v>241</v>
      </c>
      <c r="B243" s="75">
        <v>46090</v>
      </c>
      <c r="C243" s="75">
        <v>46090</v>
      </c>
      <c r="D243" s="10" t="s">
        <v>38</v>
      </c>
      <c r="E243" s="10" t="s">
        <v>39</v>
      </c>
      <c r="F243" s="50" t="s">
        <v>62</v>
      </c>
      <c r="G243" s="10"/>
      <c r="H243" s="10" t="s">
        <v>128</v>
      </c>
      <c r="I243" s="10" t="s">
        <v>129</v>
      </c>
      <c r="J243" s="10" t="s">
        <v>302</v>
      </c>
      <c r="K243" s="33" t="s">
        <v>131</v>
      </c>
      <c r="L243" s="10">
        <v>869</v>
      </c>
      <c r="M243" s="10">
        <v>66643</v>
      </c>
      <c r="N243" s="10">
        <v>765</v>
      </c>
      <c r="O243" s="22">
        <v>52860</v>
      </c>
      <c r="P243" s="22">
        <f>Table46[[#This Row],[GROSS WT KGS]]-Table46[[#This Row],[SACS]]</f>
        <v>52095</v>
      </c>
      <c r="Q243" s="10">
        <v>747</v>
      </c>
      <c r="R243" s="67">
        <v>0</v>
      </c>
      <c r="S243" s="10">
        <v>18</v>
      </c>
      <c r="T243" s="10">
        <f t="shared" si="24"/>
        <v>72</v>
      </c>
      <c r="U243" s="22">
        <f>Table46[[#This Row],[NET WT KGS]]-Table46[[#This Row],[Refraction]]</f>
        <v>52023</v>
      </c>
      <c r="V243" s="23">
        <v>495</v>
      </c>
      <c r="W243" s="23">
        <f>Table46[[#This Row],[PRICE]]*Table46[[#This Row],[PAID WT]]</f>
        <v>25751385</v>
      </c>
      <c r="X243" s="24">
        <v>10.8</v>
      </c>
      <c r="Y243" s="25">
        <v>186</v>
      </c>
      <c r="Z243" s="24">
        <v>45.58</v>
      </c>
      <c r="AA243" s="26"/>
      <c r="AB243" s="10" t="s">
        <v>132</v>
      </c>
      <c r="AC243" s="27"/>
      <c r="AD243" s="63" t="s">
        <v>483</v>
      </c>
      <c r="AE243" s="18">
        <f>Table46[[#This Row],[MOIS.]]*Table46[[#This Row],[NET WT KGS]]</f>
        <v>562626</v>
      </c>
      <c r="AF243" s="18">
        <f>Table46[[#This Row],[KOR]]*Table46[[#This Row],[NET WT KGS]]</f>
        <v>2374490.1</v>
      </c>
      <c r="AG243">
        <f>Table46[[#This Row],[NET WT KGS]]*Table46[[#This Row],[NUT COUNT]]</f>
        <v>9689670</v>
      </c>
    </row>
    <row r="244" spans="1:33" x14ac:dyDescent="0.35">
      <c r="A244" s="32">
        <f t="shared" si="20"/>
        <v>242</v>
      </c>
      <c r="B244" s="35">
        <v>46090</v>
      </c>
      <c r="C244" s="35">
        <f>Table46[[#This Row],[DATE OF ARRIVAL]]</f>
        <v>46090</v>
      </c>
      <c r="D244" s="36" t="s">
        <v>38</v>
      </c>
      <c r="E244" s="36" t="s">
        <v>39</v>
      </c>
      <c r="F244" s="74" t="s">
        <v>40</v>
      </c>
      <c r="G244" s="74"/>
      <c r="H244" s="36" t="s">
        <v>112</v>
      </c>
      <c r="I244" s="36" t="s">
        <v>113</v>
      </c>
      <c r="J244" s="74" t="s">
        <v>486</v>
      </c>
      <c r="K244" s="74"/>
      <c r="L244" s="74"/>
      <c r="M244" s="36"/>
      <c r="N244" s="74"/>
      <c r="O244" s="79">
        <f t="shared" ref="O244:O255" si="25">P244+N244</f>
        <v>0</v>
      </c>
      <c r="P244" s="79"/>
      <c r="Q244" s="74"/>
      <c r="R244" s="74"/>
      <c r="S244" s="74"/>
      <c r="T244" s="36"/>
      <c r="U244" s="79">
        <f>Table46[[#This Row],[NET WT KGS]]-Table46[[#This Row],[Refraction]]</f>
        <v>0</v>
      </c>
      <c r="V244" s="81"/>
      <c r="W244" s="81">
        <f>Table46[[#This Row],[PRICE]]*Table46[[#This Row],[PAID WT]]</f>
        <v>0</v>
      </c>
      <c r="X244" s="82">
        <v>6.6</v>
      </c>
      <c r="Y244" s="83">
        <v>185</v>
      </c>
      <c r="Z244" s="82">
        <v>43.29</v>
      </c>
      <c r="AA244" s="84"/>
      <c r="AB244" s="36" t="s">
        <v>367</v>
      </c>
      <c r="AC244" s="92" t="s">
        <v>70</v>
      </c>
      <c r="AD244" s="63"/>
      <c r="AE244" s="18">
        <f>Table46[[#This Row],[MOIS.]]*Table46[[#This Row],[NET WT KGS]]</f>
        <v>0</v>
      </c>
      <c r="AF244" s="18">
        <f>Table46[[#This Row],[KOR]]*Table46[[#This Row],[NET WT KGS]]</f>
        <v>0</v>
      </c>
      <c r="AG244">
        <f>Table46[[#This Row],[NET WT KGS]]*Table46[[#This Row],[NUT COUNT]]</f>
        <v>0</v>
      </c>
    </row>
    <row r="245" spans="1:33" x14ac:dyDescent="0.35">
      <c r="A245" s="32">
        <f t="shared" si="20"/>
        <v>243</v>
      </c>
      <c r="B245" s="35">
        <v>46090</v>
      </c>
      <c r="C245" s="35">
        <f>Table46[[#This Row],[DATE OF ARRIVAL]]</f>
        <v>46090</v>
      </c>
      <c r="D245" s="36" t="s">
        <v>38</v>
      </c>
      <c r="E245" s="36" t="s">
        <v>39</v>
      </c>
      <c r="F245" s="74" t="s">
        <v>40</v>
      </c>
      <c r="G245" s="74"/>
      <c r="H245" s="36" t="s">
        <v>136</v>
      </c>
      <c r="I245" s="36" t="s">
        <v>137</v>
      </c>
      <c r="J245" s="74" t="s">
        <v>416</v>
      </c>
      <c r="K245" s="74"/>
      <c r="L245" s="74"/>
      <c r="M245" s="36"/>
      <c r="N245" s="74"/>
      <c r="O245" s="79">
        <f t="shared" si="25"/>
        <v>0</v>
      </c>
      <c r="P245" s="79"/>
      <c r="Q245" s="74"/>
      <c r="R245" s="74"/>
      <c r="S245" s="74"/>
      <c r="T245" s="36"/>
      <c r="U245" s="79">
        <f>Table46[[#This Row],[NET WT KGS]]-Table46[[#This Row],[Refraction]]</f>
        <v>0</v>
      </c>
      <c r="V245" s="81"/>
      <c r="W245" s="81">
        <f>Table46[[#This Row],[PRICE]]*Table46[[#This Row],[PAID WT]]</f>
        <v>0</v>
      </c>
      <c r="X245" s="82">
        <v>11.4</v>
      </c>
      <c r="Y245" s="83">
        <v>180</v>
      </c>
      <c r="Z245" s="82">
        <v>44.52</v>
      </c>
      <c r="AA245" s="84"/>
      <c r="AB245" s="74" t="s">
        <v>140</v>
      </c>
      <c r="AC245" s="92" t="s">
        <v>70</v>
      </c>
      <c r="AD245" s="63"/>
      <c r="AE245" s="18">
        <f>Table46[[#This Row],[MOIS.]]*Table46[[#This Row],[NET WT KGS]]</f>
        <v>0</v>
      </c>
      <c r="AF245" s="18">
        <f>Table46[[#This Row],[KOR]]*Table46[[#This Row],[NET WT KGS]]</f>
        <v>0</v>
      </c>
      <c r="AG245">
        <f>Table46[[#This Row],[NET WT KGS]]*Table46[[#This Row],[NUT COUNT]]</f>
        <v>0</v>
      </c>
    </row>
    <row r="246" spans="1:33" x14ac:dyDescent="0.35">
      <c r="A246" s="32">
        <f t="shared" si="20"/>
        <v>244</v>
      </c>
      <c r="B246" s="35">
        <v>46090</v>
      </c>
      <c r="C246" s="35">
        <f>Table46[[#This Row],[DATE OF ARRIVAL]]</f>
        <v>46090</v>
      </c>
      <c r="D246" s="36" t="s">
        <v>38</v>
      </c>
      <c r="E246" s="36" t="s">
        <v>39</v>
      </c>
      <c r="F246" s="74" t="s">
        <v>40</v>
      </c>
      <c r="G246" s="74"/>
      <c r="H246" s="74" t="s">
        <v>202</v>
      </c>
      <c r="I246" s="74" t="s">
        <v>203</v>
      </c>
      <c r="J246" s="74" t="s">
        <v>487</v>
      </c>
      <c r="K246" s="74"/>
      <c r="L246" s="74"/>
      <c r="M246" s="74"/>
      <c r="N246" s="74"/>
      <c r="O246" s="79">
        <f t="shared" si="25"/>
        <v>0</v>
      </c>
      <c r="P246" s="79"/>
      <c r="Q246" s="74"/>
      <c r="R246" s="74"/>
      <c r="S246" s="74"/>
      <c r="T246" s="36"/>
      <c r="U246" s="79">
        <f>Table46[[#This Row],[NET WT KGS]]-Table46[[#This Row],[Refraction]]</f>
        <v>0</v>
      </c>
      <c r="V246" s="81"/>
      <c r="W246" s="81">
        <f>Table46[[#This Row],[PRICE]]*Table46[[#This Row],[PAID WT]]</f>
        <v>0</v>
      </c>
      <c r="X246" s="82">
        <v>9.1</v>
      </c>
      <c r="Y246" s="83">
        <v>170</v>
      </c>
      <c r="Z246" s="82">
        <v>44.35</v>
      </c>
      <c r="AA246" s="84"/>
      <c r="AB246" s="74" t="s">
        <v>46</v>
      </c>
      <c r="AC246" s="42" t="s">
        <v>70</v>
      </c>
      <c r="AD246" s="63"/>
      <c r="AE246" s="18">
        <f>Table46[[#This Row],[MOIS.]]*Table46[[#This Row],[NET WT KGS]]</f>
        <v>0</v>
      </c>
      <c r="AF246" s="18">
        <f>Table46[[#This Row],[KOR]]*Table46[[#This Row],[NET WT KGS]]</f>
        <v>0</v>
      </c>
      <c r="AG246">
        <f>Table46[[#This Row],[NET WT KGS]]*Table46[[#This Row],[NUT COUNT]]</f>
        <v>0</v>
      </c>
    </row>
    <row r="247" spans="1:33" x14ac:dyDescent="0.35">
      <c r="A247" s="32">
        <f t="shared" si="20"/>
        <v>245</v>
      </c>
      <c r="B247" s="75">
        <v>46090</v>
      </c>
      <c r="C247" s="75">
        <v>46091</v>
      </c>
      <c r="D247" s="10" t="s">
        <v>38</v>
      </c>
      <c r="E247" s="10" t="s">
        <v>39</v>
      </c>
      <c r="F247" s="67" t="s">
        <v>40</v>
      </c>
      <c r="G247" s="66" t="s">
        <v>350</v>
      </c>
      <c r="H247" s="66" t="s">
        <v>123</v>
      </c>
      <c r="I247" s="66" t="s">
        <v>124</v>
      </c>
      <c r="J247" s="66" t="s">
        <v>478</v>
      </c>
      <c r="K247" s="21" t="s">
        <v>161</v>
      </c>
      <c r="L247" s="66">
        <v>213</v>
      </c>
      <c r="M247" s="10">
        <v>60441</v>
      </c>
      <c r="N247" s="66">
        <v>528</v>
      </c>
      <c r="O247" s="68">
        <f t="shared" si="25"/>
        <v>43960</v>
      </c>
      <c r="P247" s="68">
        <v>43432</v>
      </c>
      <c r="Q247" s="66">
        <v>514</v>
      </c>
      <c r="R247" s="67">
        <v>0</v>
      </c>
      <c r="S247" s="66">
        <v>14</v>
      </c>
      <c r="T247" s="10">
        <f t="shared" ref="T247:T256" si="26">S247*4+R247*40</f>
        <v>56</v>
      </c>
      <c r="U247" s="68">
        <f>Table46[[#This Row],[NET WT KGS]]-Table46[[#This Row],[Refraction]]</f>
        <v>43376</v>
      </c>
      <c r="V247" s="69">
        <v>485</v>
      </c>
      <c r="W247" s="69">
        <f>Table46[[#This Row],[PRICE]]*Table46[[#This Row],[PAID WT]]</f>
        <v>21037360</v>
      </c>
      <c r="X247" s="70">
        <v>9.4</v>
      </c>
      <c r="Y247" s="71">
        <v>173</v>
      </c>
      <c r="Z247" s="70">
        <v>45.05</v>
      </c>
      <c r="AA247" s="72"/>
      <c r="AB247" s="10" t="s">
        <v>398</v>
      </c>
      <c r="AC247" s="27"/>
      <c r="AD247" s="63" t="s">
        <v>483</v>
      </c>
      <c r="AE247" s="18">
        <f>Table46[[#This Row],[MOIS.]]*Table46[[#This Row],[NET WT KGS]]</f>
        <v>408260.8</v>
      </c>
      <c r="AF247" s="18">
        <f>Table46[[#This Row],[KOR]]*Table46[[#This Row],[NET WT KGS]]</f>
        <v>1956611.5999999999</v>
      </c>
      <c r="AG247">
        <f>Table46[[#This Row],[NET WT KGS]]*Table46[[#This Row],[NUT COUNT]]</f>
        <v>7513736</v>
      </c>
    </row>
    <row r="248" spans="1:33" x14ac:dyDescent="0.35">
      <c r="A248" s="32">
        <f t="shared" si="20"/>
        <v>246</v>
      </c>
      <c r="B248" s="75">
        <v>46091</v>
      </c>
      <c r="C248" s="75">
        <v>46091</v>
      </c>
      <c r="D248" s="10" t="s">
        <v>38</v>
      </c>
      <c r="E248" s="10" t="s">
        <v>39</v>
      </c>
      <c r="F248" s="67" t="s">
        <v>40</v>
      </c>
      <c r="G248" s="66" t="s">
        <v>41</v>
      </c>
      <c r="H248" s="66" t="s">
        <v>338</v>
      </c>
      <c r="I248" s="67" t="s">
        <v>317</v>
      </c>
      <c r="J248" s="66" t="s">
        <v>482</v>
      </c>
      <c r="K248" s="57" t="s">
        <v>340</v>
      </c>
      <c r="L248" s="66">
        <v>216</v>
      </c>
      <c r="M248" s="10">
        <v>77621</v>
      </c>
      <c r="N248" s="66">
        <v>454</v>
      </c>
      <c r="O248" s="68">
        <f t="shared" si="25"/>
        <v>39060</v>
      </c>
      <c r="P248" s="68">
        <v>38606</v>
      </c>
      <c r="Q248" s="66">
        <v>444</v>
      </c>
      <c r="R248" s="67">
        <v>0</v>
      </c>
      <c r="S248" s="66">
        <v>10</v>
      </c>
      <c r="T248" s="10">
        <f t="shared" si="26"/>
        <v>40</v>
      </c>
      <c r="U248" s="68">
        <f>Table46[[#This Row],[NET WT KGS]]-Table46[[#This Row],[Refraction]]</f>
        <v>38566</v>
      </c>
      <c r="V248" s="69">
        <v>485</v>
      </c>
      <c r="W248" s="69">
        <f>Table46[[#This Row],[PRICE]]*Table46[[#This Row],[PAID WT]]</f>
        <v>18704510</v>
      </c>
      <c r="X248" s="70">
        <v>10.8</v>
      </c>
      <c r="Y248" s="71">
        <v>173</v>
      </c>
      <c r="Z248" s="70">
        <v>45.58</v>
      </c>
      <c r="AA248" s="72"/>
      <c r="AB248" s="66" t="s">
        <v>284</v>
      </c>
      <c r="AC248" s="27"/>
      <c r="AD248" s="63" t="s">
        <v>483</v>
      </c>
      <c r="AE248" s="18">
        <f>Table46[[#This Row],[MOIS.]]*Table46[[#This Row],[NET WT KGS]]</f>
        <v>416944.80000000005</v>
      </c>
      <c r="AF248" s="18">
        <f>Table46[[#This Row],[KOR]]*Table46[[#This Row],[NET WT KGS]]</f>
        <v>1759661.48</v>
      </c>
      <c r="AG248">
        <f>Table46[[#This Row],[NET WT KGS]]*Table46[[#This Row],[NUT COUNT]]</f>
        <v>6678838</v>
      </c>
    </row>
    <row r="249" spans="1:33" x14ac:dyDescent="0.35">
      <c r="A249" s="32">
        <f t="shared" si="20"/>
        <v>247</v>
      </c>
      <c r="B249" s="75">
        <v>46091</v>
      </c>
      <c r="C249" s="75">
        <v>46091</v>
      </c>
      <c r="D249" s="10" t="s">
        <v>38</v>
      </c>
      <c r="E249" s="10" t="s">
        <v>39</v>
      </c>
      <c r="F249" s="67" t="s">
        <v>40</v>
      </c>
      <c r="G249" s="66" t="s">
        <v>350</v>
      </c>
      <c r="H249" s="66" t="s">
        <v>136</v>
      </c>
      <c r="I249" s="66" t="s">
        <v>137</v>
      </c>
      <c r="J249" s="66" t="s">
        <v>488</v>
      </c>
      <c r="K249" s="21" t="s">
        <v>139</v>
      </c>
      <c r="L249" s="66">
        <v>218</v>
      </c>
      <c r="M249" s="10">
        <v>82125</v>
      </c>
      <c r="N249" s="66">
        <v>504</v>
      </c>
      <c r="O249" s="68">
        <f t="shared" si="25"/>
        <v>41520</v>
      </c>
      <c r="P249" s="68">
        <v>41016</v>
      </c>
      <c r="Q249" s="66">
        <v>495</v>
      </c>
      <c r="R249" s="67">
        <v>0</v>
      </c>
      <c r="S249" s="66">
        <v>9</v>
      </c>
      <c r="T249" s="10">
        <f t="shared" si="26"/>
        <v>36</v>
      </c>
      <c r="U249" s="68">
        <f>Table46[[#This Row],[NET WT KGS]]-Table46[[#This Row],[Refraction]]</f>
        <v>40980</v>
      </c>
      <c r="V249" s="69">
        <v>485</v>
      </c>
      <c r="W249" s="69">
        <f>Table46[[#This Row],[PRICE]]*Table46[[#This Row],[PAID WT]]</f>
        <v>19875300</v>
      </c>
      <c r="X249" s="70">
        <v>9.6</v>
      </c>
      <c r="Y249" s="71">
        <v>178</v>
      </c>
      <c r="Z249" s="70">
        <v>45.23</v>
      </c>
      <c r="AA249" s="72"/>
      <c r="AB249" s="66" t="s">
        <v>140</v>
      </c>
      <c r="AC249" s="73"/>
      <c r="AD249" s="63" t="s">
        <v>483</v>
      </c>
      <c r="AE249" s="18">
        <f>Table46[[#This Row],[MOIS.]]*Table46[[#This Row],[NET WT KGS]]</f>
        <v>393753.59999999998</v>
      </c>
      <c r="AF249" s="18">
        <f>Table46[[#This Row],[KOR]]*Table46[[#This Row],[NET WT KGS]]</f>
        <v>1855153.68</v>
      </c>
      <c r="AG249">
        <f>Table46[[#This Row],[NET WT KGS]]*Table46[[#This Row],[NUT COUNT]]</f>
        <v>7300848</v>
      </c>
    </row>
    <row r="250" spans="1:33" x14ac:dyDescent="0.35">
      <c r="A250" s="32">
        <f t="shared" si="20"/>
        <v>248</v>
      </c>
      <c r="B250" s="75">
        <v>46091</v>
      </c>
      <c r="C250" s="75">
        <v>46091</v>
      </c>
      <c r="D250" s="10" t="s">
        <v>38</v>
      </c>
      <c r="E250" s="10" t="s">
        <v>39</v>
      </c>
      <c r="F250" s="67" t="s">
        <v>40</v>
      </c>
      <c r="G250" s="66" t="s">
        <v>350</v>
      </c>
      <c r="H250" s="66" t="s">
        <v>280</v>
      </c>
      <c r="I250" s="66" t="s">
        <v>281</v>
      </c>
      <c r="J250" s="66" t="s">
        <v>479</v>
      </c>
      <c r="K250" s="21" t="s">
        <v>283</v>
      </c>
      <c r="L250" s="66">
        <v>217</v>
      </c>
      <c r="M250" s="10">
        <v>77609</v>
      </c>
      <c r="N250" s="66">
        <v>447</v>
      </c>
      <c r="O250" s="68">
        <f t="shared" si="25"/>
        <v>40100</v>
      </c>
      <c r="P250" s="68">
        <v>39653</v>
      </c>
      <c r="Q250" s="66">
        <v>440</v>
      </c>
      <c r="R250" s="67">
        <v>0</v>
      </c>
      <c r="S250" s="66">
        <v>7</v>
      </c>
      <c r="T250" s="10">
        <f t="shared" si="26"/>
        <v>28</v>
      </c>
      <c r="U250" s="68">
        <f>Table46[[#This Row],[NET WT KGS]]-Table46[[#This Row],[Refraction]]</f>
        <v>39625</v>
      </c>
      <c r="V250" s="69">
        <v>490</v>
      </c>
      <c r="W250" s="69">
        <f>Table46[[#This Row],[PRICE]]*Table46[[#This Row],[PAID WT]]</f>
        <v>19416250</v>
      </c>
      <c r="X250" s="70">
        <v>8.8000000000000007</v>
      </c>
      <c r="Y250" s="71">
        <v>178</v>
      </c>
      <c r="Z250" s="70">
        <v>46.28</v>
      </c>
      <c r="AA250" s="72"/>
      <c r="AB250" s="66" t="s">
        <v>284</v>
      </c>
      <c r="AC250" s="73"/>
      <c r="AD250" s="63" t="s">
        <v>483</v>
      </c>
      <c r="AE250" s="18">
        <f>Table46[[#This Row],[MOIS.]]*Table46[[#This Row],[NET WT KGS]]</f>
        <v>348946.4</v>
      </c>
      <c r="AF250" s="18">
        <f>Table46[[#This Row],[KOR]]*Table46[[#This Row],[NET WT KGS]]</f>
        <v>1835140.84</v>
      </c>
      <c r="AG250">
        <f>Table46[[#This Row],[NET WT KGS]]*Table46[[#This Row],[NUT COUNT]]</f>
        <v>7058234</v>
      </c>
    </row>
    <row r="251" spans="1:33" x14ac:dyDescent="0.35">
      <c r="A251" s="32">
        <f t="shared" si="20"/>
        <v>249</v>
      </c>
      <c r="B251" s="75">
        <v>46091</v>
      </c>
      <c r="C251" s="75">
        <v>46091</v>
      </c>
      <c r="D251" s="10" t="s">
        <v>38</v>
      </c>
      <c r="E251" s="10" t="s">
        <v>39</v>
      </c>
      <c r="F251" s="67" t="s">
        <v>40</v>
      </c>
      <c r="G251" s="66" t="s">
        <v>41</v>
      </c>
      <c r="H251" s="66" t="s">
        <v>154</v>
      </c>
      <c r="I251" s="66" t="s">
        <v>155</v>
      </c>
      <c r="J251" s="66" t="s">
        <v>489</v>
      </c>
      <c r="K251" s="33" t="s">
        <v>157</v>
      </c>
      <c r="L251" s="66">
        <v>219</v>
      </c>
      <c r="M251" s="10">
        <v>77637</v>
      </c>
      <c r="N251" s="66">
        <v>616</v>
      </c>
      <c r="O251" s="68">
        <f t="shared" si="25"/>
        <v>54360</v>
      </c>
      <c r="P251" s="68">
        <v>53744</v>
      </c>
      <c r="Q251" s="66">
        <v>611</v>
      </c>
      <c r="R251" s="67">
        <v>0</v>
      </c>
      <c r="S251" s="66">
        <v>5</v>
      </c>
      <c r="T251" s="10">
        <f t="shared" si="26"/>
        <v>20</v>
      </c>
      <c r="U251" s="68">
        <f>Table46[[#This Row],[NET WT KGS]]-Table46[[#This Row],[Refraction]]</f>
        <v>53724</v>
      </c>
      <c r="V251" s="69">
        <v>490</v>
      </c>
      <c r="W251" s="69">
        <f>Table46[[#This Row],[PRICE]]*Table46[[#This Row],[PAID WT]]</f>
        <v>26324760</v>
      </c>
      <c r="X251" s="70">
        <v>10.4</v>
      </c>
      <c r="Y251" s="71">
        <v>171</v>
      </c>
      <c r="Z251" s="70">
        <v>46.64</v>
      </c>
      <c r="AA251" s="72"/>
      <c r="AB251" s="66" t="s">
        <v>284</v>
      </c>
      <c r="AC251" s="73"/>
      <c r="AD251" s="63" t="s">
        <v>483</v>
      </c>
      <c r="AE251" s="18">
        <f>Table46[[#This Row],[MOIS.]]*Table46[[#This Row],[NET WT KGS]]</f>
        <v>558937.59999999998</v>
      </c>
      <c r="AF251" s="18">
        <f>Table46[[#This Row],[KOR]]*Table46[[#This Row],[NET WT KGS]]</f>
        <v>2506620.16</v>
      </c>
      <c r="AG251">
        <f>Table46[[#This Row],[NET WT KGS]]*Table46[[#This Row],[NUT COUNT]]</f>
        <v>9190224</v>
      </c>
    </row>
    <row r="252" spans="1:33" x14ac:dyDescent="0.35">
      <c r="A252" s="32">
        <f t="shared" si="20"/>
        <v>250</v>
      </c>
      <c r="B252" s="75">
        <v>46091</v>
      </c>
      <c r="C252" s="75">
        <v>46091</v>
      </c>
      <c r="D252" s="10" t="s">
        <v>38</v>
      </c>
      <c r="E252" s="10" t="s">
        <v>39</v>
      </c>
      <c r="F252" s="67" t="s">
        <v>40</v>
      </c>
      <c r="G252" s="66" t="s">
        <v>86</v>
      </c>
      <c r="H252" s="66" t="s">
        <v>136</v>
      </c>
      <c r="I252" s="66" t="s">
        <v>137</v>
      </c>
      <c r="J252" s="66" t="s">
        <v>462</v>
      </c>
      <c r="K252" s="21" t="s">
        <v>139</v>
      </c>
      <c r="L252" s="66">
        <v>222</v>
      </c>
      <c r="M252" s="10">
        <v>82123</v>
      </c>
      <c r="N252" s="66">
        <v>486</v>
      </c>
      <c r="O252" s="68">
        <f t="shared" si="25"/>
        <v>41440</v>
      </c>
      <c r="P252" s="68">
        <v>40954</v>
      </c>
      <c r="Q252" s="66">
        <v>475</v>
      </c>
      <c r="R252" s="67">
        <v>0</v>
      </c>
      <c r="S252" s="66">
        <v>11</v>
      </c>
      <c r="T252" s="10">
        <f t="shared" si="26"/>
        <v>44</v>
      </c>
      <c r="U252" s="68">
        <f>Table46[[#This Row],[NET WT KGS]]-Table46[[#This Row],[Refraction]]</f>
        <v>40910</v>
      </c>
      <c r="V252" s="69">
        <v>490</v>
      </c>
      <c r="W252" s="69">
        <f>Table46[[#This Row],[PRICE]]*Table46[[#This Row],[PAID WT]]</f>
        <v>20045900</v>
      </c>
      <c r="X252" s="70">
        <v>9.1</v>
      </c>
      <c r="Y252" s="71">
        <v>172</v>
      </c>
      <c r="Z252" s="70">
        <v>46.02</v>
      </c>
      <c r="AA252" s="72"/>
      <c r="AB252" s="66" t="s">
        <v>140</v>
      </c>
      <c r="AC252" s="73"/>
      <c r="AD252" s="63" t="s">
        <v>483</v>
      </c>
      <c r="AE252" s="18">
        <f>Table46[[#This Row],[MOIS.]]*Table46[[#This Row],[NET WT KGS]]</f>
        <v>372681.39999999997</v>
      </c>
      <c r="AF252" s="18">
        <f>Table46[[#This Row],[KOR]]*Table46[[#This Row],[NET WT KGS]]</f>
        <v>1884703.08</v>
      </c>
      <c r="AG252">
        <f>Table46[[#This Row],[NET WT KGS]]*Table46[[#This Row],[NUT COUNT]]</f>
        <v>7044088</v>
      </c>
    </row>
    <row r="253" spans="1:33" x14ac:dyDescent="0.35">
      <c r="A253" s="32">
        <f t="shared" si="20"/>
        <v>251</v>
      </c>
      <c r="B253" s="75">
        <v>46091</v>
      </c>
      <c r="C253" s="75">
        <v>46091</v>
      </c>
      <c r="D253" s="10" t="s">
        <v>38</v>
      </c>
      <c r="E253" s="10" t="s">
        <v>39</v>
      </c>
      <c r="F253" s="67" t="s">
        <v>40</v>
      </c>
      <c r="G253" s="66" t="s">
        <v>41</v>
      </c>
      <c r="H253" s="66" t="s">
        <v>94</v>
      </c>
      <c r="I253" s="66" t="s">
        <v>95</v>
      </c>
      <c r="J253" s="66" t="s">
        <v>208</v>
      </c>
      <c r="K253" s="33" t="s">
        <v>97</v>
      </c>
      <c r="L253" s="66">
        <v>220</v>
      </c>
      <c r="M253" s="10">
        <v>77663</v>
      </c>
      <c r="N253" s="66">
        <v>468</v>
      </c>
      <c r="O253" s="68">
        <f t="shared" si="25"/>
        <v>41040</v>
      </c>
      <c r="P253" s="68">
        <v>40572</v>
      </c>
      <c r="Q253" s="66">
        <v>453</v>
      </c>
      <c r="R253" s="67">
        <v>0</v>
      </c>
      <c r="S253" s="66">
        <v>15</v>
      </c>
      <c r="T253" s="10">
        <f t="shared" si="26"/>
        <v>60</v>
      </c>
      <c r="U253" s="68">
        <f>Table46[[#This Row],[NET WT KGS]]-Table46[[#This Row],[Refraction]]</f>
        <v>40512</v>
      </c>
      <c r="V253" s="69">
        <v>485</v>
      </c>
      <c r="W253" s="69">
        <f>Table46[[#This Row],[PRICE]]*Table46[[#This Row],[PAID WT]]</f>
        <v>19648320</v>
      </c>
      <c r="X253" s="70">
        <v>10.8</v>
      </c>
      <c r="Y253" s="71">
        <v>160</v>
      </c>
      <c r="Z253" s="70">
        <v>45.05</v>
      </c>
      <c r="AA253" s="72"/>
      <c r="AB253" s="10" t="s">
        <v>78</v>
      </c>
      <c r="AC253" s="73"/>
      <c r="AD253" s="63" t="s">
        <v>483</v>
      </c>
      <c r="AE253" s="18">
        <f>Table46[[#This Row],[MOIS.]]*Table46[[#This Row],[NET WT KGS]]</f>
        <v>438177.60000000003</v>
      </c>
      <c r="AF253" s="18">
        <f>Table46[[#This Row],[KOR]]*Table46[[#This Row],[NET WT KGS]]</f>
        <v>1827768.5999999999</v>
      </c>
      <c r="AG253">
        <f>Table46[[#This Row],[NET WT KGS]]*Table46[[#This Row],[NUT COUNT]]</f>
        <v>6491520</v>
      </c>
    </row>
    <row r="254" spans="1:33" x14ac:dyDescent="0.35">
      <c r="A254" s="32">
        <f t="shared" si="20"/>
        <v>252</v>
      </c>
      <c r="B254" s="75">
        <v>46091</v>
      </c>
      <c r="C254" s="75">
        <v>46091</v>
      </c>
      <c r="D254" s="10" t="s">
        <v>38</v>
      </c>
      <c r="E254" s="10" t="s">
        <v>39</v>
      </c>
      <c r="F254" s="67" t="s">
        <v>40</v>
      </c>
      <c r="G254" s="66" t="s">
        <v>86</v>
      </c>
      <c r="H254" s="66" t="s">
        <v>280</v>
      </c>
      <c r="I254" s="66" t="s">
        <v>281</v>
      </c>
      <c r="J254" s="66" t="s">
        <v>490</v>
      </c>
      <c r="K254" s="21" t="s">
        <v>283</v>
      </c>
      <c r="L254" s="66">
        <v>221</v>
      </c>
      <c r="M254" s="10">
        <v>64886</v>
      </c>
      <c r="N254" s="66">
        <v>606</v>
      </c>
      <c r="O254" s="68">
        <f t="shared" si="25"/>
        <v>49020</v>
      </c>
      <c r="P254" s="68">
        <v>48414</v>
      </c>
      <c r="Q254" s="66">
        <v>597</v>
      </c>
      <c r="R254" s="67">
        <v>0</v>
      </c>
      <c r="S254" s="66">
        <v>9</v>
      </c>
      <c r="T254" s="10">
        <f t="shared" si="26"/>
        <v>36</v>
      </c>
      <c r="U254" s="68">
        <f>Table46[[#This Row],[NET WT KGS]]-Table46[[#This Row],[Refraction]]</f>
        <v>48378</v>
      </c>
      <c r="V254" s="69">
        <v>490</v>
      </c>
      <c r="W254" s="69">
        <f>Table46[[#This Row],[PRICE]]*Table46[[#This Row],[PAID WT]]</f>
        <v>23705220</v>
      </c>
      <c r="X254" s="70">
        <v>8.9</v>
      </c>
      <c r="Y254" s="71">
        <v>177</v>
      </c>
      <c r="Z254" s="70">
        <v>46.28</v>
      </c>
      <c r="AA254" s="72"/>
      <c r="AB254" s="66" t="s">
        <v>284</v>
      </c>
      <c r="AC254" s="73"/>
      <c r="AD254" s="63" t="s">
        <v>483</v>
      </c>
      <c r="AE254" s="18">
        <f>Table46[[#This Row],[MOIS.]]*Table46[[#This Row],[NET WT KGS]]</f>
        <v>430884.60000000003</v>
      </c>
      <c r="AF254" s="18">
        <f>Table46[[#This Row],[KOR]]*Table46[[#This Row],[NET WT KGS]]</f>
        <v>2240599.92</v>
      </c>
      <c r="AG254">
        <f>Table46[[#This Row],[NET WT KGS]]*Table46[[#This Row],[NUT COUNT]]</f>
        <v>8569278</v>
      </c>
    </row>
    <row r="255" spans="1:33" x14ac:dyDescent="0.35">
      <c r="A255" s="32">
        <f t="shared" si="20"/>
        <v>253</v>
      </c>
      <c r="B255" s="75">
        <v>46091</v>
      </c>
      <c r="C255" s="75">
        <v>46091</v>
      </c>
      <c r="D255" s="10" t="s">
        <v>38</v>
      </c>
      <c r="E255" s="10" t="s">
        <v>39</v>
      </c>
      <c r="F255" s="67" t="s">
        <v>40</v>
      </c>
      <c r="G255" s="66" t="s">
        <v>350</v>
      </c>
      <c r="H255" s="66" t="s">
        <v>123</v>
      </c>
      <c r="I255" s="66" t="s">
        <v>124</v>
      </c>
      <c r="J255" s="66" t="s">
        <v>125</v>
      </c>
      <c r="K255" s="21" t="s">
        <v>161</v>
      </c>
      <c r="L255" s="66">
        <v>223</v>
      </c>
      <c r="M255" s="10">
        <v>77641</v>
      </c>
      <c r="N255" s="66">
        <v>668</v>
      </c>
      <c r="O255" s="68">
        <f t="shared" si="25"/>
        <v>54720</v>
      </c>
      <c r="P255" s="68">
        <v>54052</v>
      </c>
      <c r="Q255" s="66">
        <v>653</v>
      </c>
      <c r="R255" s="67">
        <v>0</v>
      </c>
      <c r="S255" s="66">
        <v>15</v>
      </c>
      <c r="T255" s="10">
        <f t="shared" si="26"/>
        <v>60</v>
      </c>
      <c r="U255" s="68">
        <f>Table46[[#This Row],[NET WT KGS]]-Table46[[#This Row],[Refraction]]</f>
        <v>53992</v>
      </c>
      <c r="V255" s="69">
        <v>485</v>
      </c>
      <c r="W255" s="69">
        <f>Table46[[#This Row],[PRICE]]*Table46[[#This Row],[PAID WT]]</f>
        <v>26186120</v>
      </c>
      <c r="X255" s="70">
        <v>10</v>
      </c>
      <c r="Y255" s="71">
        <v>180</v>
      </c>
      <c r="Z255" s="70">
        <v>45.4</v>
      </c>
      <c r="AA255" s="72"/>
      <c r="AB255" s="66" t="s">
        <v>40</v>
      </c>
      <c r="AC255" s="73"/>
      <c r="AD255" s="63" t="s">
        <v>483</v>
      </c>
      <c r="AE255" s="18">
        <f>Table46[[#This Row],[MOIS.]]*Table46[[#This Row],[NET WT KGS]]</f>
        <v>540520</v>
      </c>
      <c r="AF255" s="18">
        <f>Table46[[#This Row],[KOR]]*Table46[[#This Row],[NET WT KGS]]</f>
        <v>2453960.7999999998</v>
      </c>
      <c r="AG255">
        <f>Table46[[#This Row],[NET WT KGS]]*Table46[[#This Row],[NUT COUNT]]</f>
        <v>9729360</v>
      </c>
    </row>
    <row r="256" spans="1:33" x14ac:dyDescent="0.35">
      <c r="A256" s="32">
        <f t="shared" si="20"/>
        <v>254</v>
      </c>
      <c r="B256" s="75">
        <v>46091</v>
      </c>
      <c r="C256" s="75">
        <v>46091</v>
      </c>
      <c r="D256" s="50" t="s">
        <v>38</v>
      </c>
      <c r="E256" s="66" t="s">
        <v>39</v>
      </c>
      <c r="F256" s="67" t="s">
        <v>62</v>
      </c>
      <c r="G256" s="66"/>
      <c r="H256" s="67" t="s">
        <v>385</v>
      </c>
      <c r="I256" s="67" t="s">
        <v>322</v>
      </c>
      <c r="J256" s="67" t="s">
        <v>491</v>
      </c>
      <c r="K256" s="21" t="s">
        <v>454</v>
      </c>
      <c r="L256" s="67">
        <v>870</v>
      </c>
      <c r="M256" s="10">
        <v>77630</v>
      </c>
      <c r="N256" s="67">
        <v>427</v>
      </c>
      <c r="O256" s="93">
        <v>40040</v>
      </c>
      <c r="P256" s="51">
        <f>Table46[[#This Row],[GROSS WT KGS]]-Table46[[#This Row],[SACS]]</f>
        <v>39613</v>
      </c>
      <c r="Q256" s="67">
        <v>407</v>
      </c>
      <c r="R256" s="67">
        <v>0</v>
      </c>
      <c r="S256" s="67">
        <v>20</v>
      </c>
      <c r="T256" s="50">
        <f t="shared" si="26"/>
        <v>80</v>
      </c>
      <c r="U256" s="93">
        <f>Table46[[#This Row],[NET WT KGS]]-Table46[[#This Row],[Refraction]]</f>
        <v>39533</v>
      </c>
      <c r="V256" s="94">
        <v>490</v>
      </c>
      <c r="W256" s="94">
        <f>Table46[[#This Row],[PRICE]]*Table46[[#This Row],[PAID WT]]</f>
        <v>19371170</v>
      </c>
      <c r="X256" s="95">
        <v>9.9</v>
      </c>
      <c r="Y256" s="96">
        <v>170</v>
      </c>
      <c r="Z256" s="95">
        <v>44.88</v>
      </c>
      <c r="AA256" s="84"/>
      <c r="AB256" s="10" t="s">
        <v>171</v>
      </c>
      <c r="AC256" s="97"/>
      <c r="AD256" s="63" t="s">
        <v>483</v>
      </c>
      <c r="AE256" s="18">
        <f>Table46[[#This Row],[MOIS.]]*Table46[[#This Row],[NET WT KGS]]</f>
        <v>392168.7</v>
      </c>
      <c r="AF256" s="18">
        <f>Table46[[#This Row],[KOR]]*Table46[[#This Row],[NET WT KGS]]</f>
        <v>1777831.4400000002</v>
      </c>
      <c r="AG256">
        <f>Table46[[#This Row],[NET WT KGS]]*Table46[[#This Row],[NUT COUNT]]</f>
        <v>6734210</v>
      </c>
    </row>
    <row r="257" spans="1:33" x14ac:dyDescent="0.35">
      <c r="A257" s="32">
        <f t="shared" si="20"/>
        <v>255</v>
      </c>
      <c r="B257" s="35">
        <v>46091</v>
      </c>
      <c r="C257" s="91">
        <f>Table46[[#This Row],[DATE OF ARRIVAL]]</f>
        <v>46091</v>
      </c>
      <c r="D257" s="74" t="s">
        <v>38</v>
      </c>
      <c r="E257" s="74" t="s">
        <v>39</v>
      </c>
      <c r="F257" s="74" t="s">
        <v>40</v>
      </c>
      <c r="G257" s="74"/>
      <c r="H257" s="74" t="s">
        <v>128</v>
      </c>
      <c r="I257" s="74" t="s">
        <v>129</v>
      </c>
      <c r="J257" s="74" t="s">
        <v>224</v>
      </c>
      <c r="K257" s="74"/>
      <c r="L257" s="74"/>
      <c r="M257" s="74"/>
      <c r="N257" s="74"/>
      <c r="O257" s="79">
        <f>P257+N257</f>
        <v>0</v>
      </c>
      <c r="P257" s="79"/>
      <c r="Q257" s="74"/>
      <c r="R257" s="80"/>
      <c r="S257" s="74"/>
      <c r="T257" s="74"/>
      <c r="U257" s="79">
        <f>Table46[[#This Row],[NET WT KGS]]-Table46[[#This Row],[Refraction]]</f>
        <v>0</v>
      </c>
      <c r="V257" s="81"/>
      <c r="W257" s="81">
        <f>Table46[[#This Row],[PRICE]]*Table46[[#This Row],[PAID WT]]</f>
        <v>0</v>
      </c>
      <c r="X257" s="82">
        <v>6.9</v>
      </c>
      <c r="Y257" s="83">
        <v>182</v>
      </c>
      <c r="Z257" s="82">
        <v>42.59</v>
      </c>
      <c r="AA257" s="84"/>
      <c r="AB257" s="74" t="s">
        <v>182</v>
      </c>
      <c r="AC257" s="92" t="s">
        <v>70</v>
      </c>
      <c r="AD257" s="85"/>
      <c r="AE257" s="18">
        <f>Table46[[#This Row],[MOIS.]]*Table46[[#This Row],[NET WT KGS]]</f>
        <v>0</v>
      </c>
      <c r="AF257" s="18">
        <f>Table46[[#This Row],[KOR]]*Table46[[#This Row],[NET WT KGS]]</f>
        <v>0</v>
      </c>
      <c r="AG257">
        <f>Table46[[#This Row],[NET WT KGS]]*Table46[[#This Row],[NUT COUNT]]</f>
        <v>0</v>
      </c>
    </row>
    <row r="258" spans="1:33" x14ac:dyDescent="0.35">
      <c r="A258" s="32">
        <f t="shared" si="20"/>
        <v>256</v>
      </c>
      <c r="B258" s="35">
        <v>46091</v>
      </c>
      <c r="C258" s="91">
        <f>Table46[[#This Row],[DATE OF ARRIVAL]]</f>
        <v>46091</v>
      </c>
      <c r="D258" s="36" t="s">
        <v>38</v>
      </c>
      <c r="E258" s="36" t="s">
        <v>39</v>
      </c>
      <c r="F258" s="74" t="s">
        <v>40</v>
      </c>
      <c r="G258" s="74"/>
      <c r="H258" s="74" t="s">
        <v>202</v>
      </c>
      <c r="I258" s="74" t="s">
        <v>203</v>
      </c>
      <c r="J258" s="36" t="s">
        <v>492</v>
      </c>
      <c r="K258" s="36"/>
      <c r="L258" s="36"/>
      <c r="M258" s="74"/>
      <c r="N258" s="36"/>
      <c r="O258" s="37">
        <f>P258+N258</f>
        <v>0</v>
      </c>
      <c r="P258" s="37"/>
      <c r="Q258" s="36"/>
      <c r="R258" s="86"/>
      <c r="S258" s="36"/>
      <c r="T258" s="36"/>
      <c r="U258" s="37">
        <f>Table46[[#This Row],[NET WT KGS]]-Table46[[#This Row],[Refraction]]</f>
        <v>0</v>
      </c>
      <c r="V258" s="38"/>
      <c r="W258" s="38">
        <f>Table46[[#This Row],[PRICE]]*Table46[[#This Row],[PAID WT]]</f>
        <v>0</v>
      </c>
      <c r="X258" s="39">
        <v>7.3</v>
      </c>
      <c r="Y258" s="40">
        <v>183</v>
      </c>
      <c r="Z258" s="39">
        <v>42.76</v>
      </c>
      <c r="AA258" s="41"/>
      <c r="AB258" s="36" t="s">
        <v>493</v>
      </c>
      <c r="AC258" s="42" t="s">
        <v>70</v>
      </c>
      <c r="AD258" s="28"/>
      <c r="AE258" s="18">
        <f>Table46[[#This Row],[MOIS.]]*Table46[[#This Row],[NET WT KGS]]</f>
        <v>0</v>
      </c>
      <c r="AF258" s="18">
        <f>Table46[[#This Row],[KOR]]*Table46[[#This Row],[NET WT KGS]]</f>
        <v>0</v>
      </c>
      <c r="AG258">
        <f>Table46[[#This Row],[NET WT KGS]]*Table46[[#This Row],[NUT COUNT]]</f>
        <v>0</v>
      </c>
    </row>
    <row r="259" spans="1:33" x14ac:dyDescent="0.35">
      <c r="A259" s="32">
        <f t="shared" si="20"/>
        <v>257</v>
      </c>
      <c r="B259" s="75">
        <v>46087</v>
      </c>
      <c r="C259" s="75">
        <v>46092</v>
      </c>
      <c r="D259" s="66" t="s">
        <v>38</v>
      </c>
      <c r="E259" s="66" t="s">
        <v>39</v>
      </c>
      <c r="F259" s="67" t="s">
        <v>62</v>
      </c>
      <c r="G259" s="66"/>
      <c r="H259" s="10" t="s">
        <v>128</v>
      </c>
      <c r="I259" s="10" t="s">
        <v>129</v>
      </c>
      <c r="J259" s="66" t="s">
        <v>384</v>
      </c>
      <c r="K259" s="33" t="s">
        <v>131</v>
      </c>
      <c r="L259" s="66">
        <v>872</v>
      </c>
      <c r="M259" s="10">
        <v>82102</v>
      </c>
      <c r="N259" s="66">
        <v>536</v>
      </c>
      <c r="O259" s="68">
        <v>41160</v>
      </c>
      <c r="P259" s="68">
        <f>Table46[[#This Row],[GROSS WT KGS]]-Table46[[#This Row],[SACS]]</f>
        <v>40624</v>
      </c>
      <c r="Q259" s="66">
        <v>516</v>
      </c>
      <c r="R259" s="67">
        <v>0</v>
      </c>
      <c r="S259" s="66">
        <v>20</v>
      </c>
      <c r="T259" s="10">
        <f t="shared" ref="T259:T268" si="27">S259*4+R259*40</f>
        <v>80</v>
      </c>
      <c r="U259" s="68">
        <f>Table46[[#This Row],[NET WT KGS]]-Table46[[#This Row],[Refraction]]</f>
        <v>40544</v>
      </c>
      <c r="V259" s="69">
        <v>490</v>
      </c>
      <c r="W259" s="69">
        <f>Table46[[#This Row],[PRICE]]*Table46[[#This Row],[PAID WT]]</f>
        <v>19866560</v>
      </c>
      <c r="X259" s="70">
        <v>10.1</v>
      </c>
      <c r="Y259" s="71">
        <v>187</v>
      </c>
      <c r="Z259" s="70">
        <v>45.58</v>
      </c>
      <c r="AA259" s="72"/>
      <c r="AB259" s="66" t="s">
        <v>132</v>
      </c>
      <c r="AC259" s="27"/>
      <c r="AD259" s="63" t="s">
        <v>483</v>
      </c>
      <c r="AE259" s="18">
        <f>Table46[[#This Row],[MOIS.]]*Table46[[#This Row],[NET WT KGS]]</f>
        <v>410302.39999999997</v>
      </c>
      <c r="AF259" s="18">
        <f>Table46[[#This Row],[KOR]]*Table46[[#This Row],[NET WT KGS]]</f>
        <v>1851641.92</v>
      </c>
      <c r="AG259">
        <f>Table46[[#This Row],[NET WT KGS]]*Table46[[#This Row],[NUT COUNT]]</f>
        <v>7596688</v>
      </c>
    </row>
    <row r="260" spans="1:33" x14ac:dyDescent="0.35">
      <c r="A260" s="32">
        <f t="shared" ref="A260:A323" si="28">A259+1</f>
        <v>258</v>
      </c>
      <c r="B260" s="75">
        <v>46089</v>
      </c>
      <c r="C260" s="75">
        <v>46092</v>
      </c>
      <c r="D260" s="66" t="s">
        <v>38</v>
      </c>
      <c r="E260" s="66" t="s">
        <v>39</v>
      </c>
      <c r="F260" s="67" t="s">
        <v>62</v>
      </c>
      <c r="G260" s="10"/>
      <c r="H260" s="10" t="s">
        <v>128</v>
      </c>
      <c r="I260" s="10" t="s">
        <v>129</v>
      </c>
      <c r="J260" s="10" t="s">
        <v>494</v>
      </c>
      <c r="K260" s="33" t="s">
        <v>131</v>
      </c>
      <c r="L260" s="10">
        <v>871</v>
      </c>
      <c r="M260" s="10">
        <v>77677</v>
      </c>
      <c r="N260" s="10">
        <v>667</v>
      </c>
      <c r="O260" s="22">
        <v>52040</v>
      </c>
      <c r="P260" s="68">
        <f>Table46[[#This Row],[GROSS WT KGS]]-Table46[[#This Row],[SACS]]</f>
        <v>51373</v>
      </c>
      <c r="Q260" s="10">
        <v>647</v>
      </c>
      <c r="R260" s="67">
        <v>0</v>
      </c>
      <c r="S260" s="10">
        <v>20</v>
      </c>
      <c r="T260" s="10">
        <f t="shared" si="27"/>
        <v>80</v>
      </c>
      <c r="U260" s="22">
        <f>Table46[[#This Row],[NET WT KGS]]-Table46[[#This Row],[Refraction]]</f>
        <v>51293</v>
      </c>
      <c r="V260" s="23">
        <v>490</v>
      </c>
      <c r="W260" s="23">
        <f>Table46[[#This Row],[PRICE]]*Table46[[#This Row],[PAID WT]]</f>
        <v>25133570</v>
      </c>
      <c r="X260" s="24">
        <v>9.8000000000000007</v>
      </c>
      <c r="Y260" s="25">
        <v>181</v>
      </c>
      <c r="Z260" s="24">
        <v>45.58</v>
      </c>
      <c r="AA260" s="26"/>
      <c r="AB260" s="10" t="s">
        <v>132</v>
      </c>
      <c r="AC260" s="27"/>
      <c r="AD260" s="63" t="s">
        <v>483</v>
      </c>
      <c r="AE260" s="18">
        <f>Table46[[#This Row],[MOIS.]]*Table46[[#This Row],[NET WT KGS]]</f>
        <v>503455.4</v>
      </c>
      <c r="AF260" s="18">
        <f>Table46[[#This Row],[KOR]]*Table46[[#This Row],[NET WT KGS]]</f>
        <v>2341581.34</v>
      </c>
      <c r="AG260">
        <f>Table46[[#This Row],[NET WT KGS]]*Table46[[#This Row],[NUT COUNT]]</f>
        <v>9298513</v>
      </c>
    </row>
    <row r="261" spans="1:33" x14ac:dyDescent="0.35">
      <c r="A261" s="32">
        <f t="shared" si="28"/>
        <v>259</v>
      </c>
      <c r="B261" s="75">
        <v>46092</v>
      </c>
      <c r="C261" s="75">
        <v>46092</v>
      </c>
      <c r="D261" s="66" t="s">
        <v>38</v>
      </c>
      <c r="E261" s="66" t="s">
        <v>39</v>
      </c>
      <c r="F261" s="67" t="s">
        <v>40</v>
      </c>
      <c r="G261" s="66" t="s">
        <v>350</v>
      </c>
      <c r="H261" s="66" t="s">
        <v>112</v>
      </c>
      <c r="I261" s="66" t="s">
        <v>113</v>
      </c>
      <c r="J261" s="66" t="s">
        <v>114</v>
      </c>
      <c r="K261" s="21" t="s">
        <v>115</v>
      </c>
      <c r="L261" s="66">
        <v>224</v>
      </c>
      <c r="M261" s="10">
        <v>72646</v>
      </c>
      <c r="N261" s="66">
        <v>537</v>
      </c>
      <c r="O261" s="68">
        <f t="shared" ref="O261:O276" si="29">P261+N261</f>
        <v>44400</v>
      </c>
      <c r="P261" s="68">
        <v>43863</v>
      </c>
      <c r="Q261" s="66">
        <v>527</v>
      </c>
      <c r="R261" s="67">
        <v>0</v>
      </c>
      <c r="S261" s="66">
        <v>10</v>
      </c>
      <c r="T261" s="10">
        <f t="shared" si="27"/>
        <v>40</v>
      </c>
      <c r="U261" s="68">
        <f>Table46[[#This Row],[NET WT KGS]]-Table46[[#This Row],[Refraction]]</f>
        <v>43823</v>
      </c>
      <c r="V261" s="69">
        <v>490</v>
      </c>
      <c r="W261" s="69">
        <f>Table46[[#This Row],[PRICE]]*Table46[[#This Row],[PAID WT]]</f>
        <v>21473270</v>
      </c>
      <c r="X261" s="70">
        <v>9.6999999999999993</v>
      </c>
      <c r="Y261" s="71">
        <v>176</v>
      </c>
      <c r="Z261" s="70">
        <v>46.28</v>
      </c>
      <c r="AA261" s="72"/>
      <c r="AB261" s="50" t="s">
        <v>367</v>
      </c>
      <c r="AC261" s="73"/>
      <c r="AD261" s="63" t="s">
        <v>483</v>
      </c>
      <c r="AE261" s="18">
        <f>Table46[[#This Row],[MOIS.]]*Table46[[#This Row],[NET WT KGS]]</f>
        <v>425471.1</v>
      </c>
      <c r="AF261" s="18">
        <f>Table46[[#This Row],[KOR]]*Table46[[#This Row],[NET WT KGS]]</f>
        <v>2029979.6400000001</v>
      </c>
      <c r="AG261">
        <f>Table46[[#This Row],[NET WT KGS]]*Table46[[#This Row],[NUT COUNT]]</f>
        <v>7719888</v>
      </c>
    </row>
    <row r="262" spans="1:33" x14ac:dyDescent="0.35">
      <c r="A262" s="32">
        <f t="shared" si="28"/>
        <v>260</v>
      </c>
      <c r="B262" s="75">
        <v>46092</v>
      </c>
      <c r="C262" s="75">
        <v>46092</v>
      </c>
      <c r="D262" s="66" t="s">
        <v>38</v>
      </c>
      <c r="E262" s="66" t="s">
        <v>39</v>
      </c>
      <c r="F262" s="67" t="s">
        <v>40</v>
      </c>
      <c r="G262" s="66" t="s">
        <v>350</v>
      </c>
      <c r="H262" s="66" t="s">
        <v>87</v>
      </c>
      <c r="I262" s="66" t="s">
        <v>88</v>
      </c>
      <c r="J262" s="66" t="s">
        <v>460</v>
      </c>
      <c r="K262" s="33" t="s">
        <v>90</v>
      </c>
      <c r="L262" s="66">
        <v>225</v>
      </c>
      <c r="M262" s="10">
        <v>75589</v>
      </c>
      <c r="N262" s="66">
        <v>613</v>
      </c>
      <c r="O262" s="68">
        <f t="shared" si="29"/>
        <v>48580</v>
      </c>
      <c r="P262" s="68">
        <v>47967</v>
      </c>
      <c r="Q262" s="66">
        <v>605</v>
      </c>
      <c r="R262" s="67">
        <v>0</v>
      </c>
      <c r="S262" s="66">
        <v>8</v>
      </c>
      <c r="T262" s="10">
        <f t="shared" si="27"/>
        <v>32</v>
      </c>
      <c r="U262" s="68">
        <f>Table46[[#This Row],[NET WT KGS]]-Table46[[#This Row],[Refraction]]</f>
        <v>47935</v>
      </c>
      <c r="V262" s="69">
        <v>485</v>
      </c>
      <c r="W262" s="69">
        <f>Table46[[#This Row],[PRICE]]*Table46[[#This Row],[PAID WT]]</f>
        <v>23248475</v>
      </c>
      <c r="X262" s="70">
        <v>9.9</v>
      </c>
      <c r="Y262" s="71">
        <v>185</v>
      </c>
      <c r="Z262" s="70">
        <v>45.23</v>
      </c>
      <c r="AA262" s="72"/>
      <c r="AB262" s="66" t="s">
        <v>132</v>
      </c>
      <c r="AC262" s="73"/>
      <c r="AD262" s="63" t="s">
        <v>483</v>
      </c>
      <c r="AE262" s="18">
        <f>Table46[[#This Row],[MOIS.]]*Table46[[#This Row],[NET WT KGS]]</f>
        <v>474873.3</v>
      </c>
      <c r="AF262" s="18">
        <f>Table46[[#This Row],[KOR]]*Table46[[#This Row],[NET WT KGS]]</f>
        <v>2169547.4099999997</v>
      </c>
      <c r="AG262">
        <f>Table46[[#This Row],[NET WT KGS]]*Table46[[#This Row],[NUT COUNT]]</f>
        <v>8873895</v>
      </c>
    </row>
    <row r="263" spans="1:33" x14ac:dyDescent="0.35">
      <c r="A263" s="32">
        <f t="shared" si="28"/>
        <v>261</v>
      </c>
      <c r="B263" s="75">
        <v>46092</v>
      </c>
      <c r="C263" s="75">
        <v>46092</v>
      </c>
      <c r="D263" s="66" t="s">
        <v>38</v>
      </c>
      <c r="E263" s="66" t="s">
        <v>39</v>
      </c>
      <c r="F263" s="67" t="s">
        <v>40</v>
      </c>
      <c r="G263" s="66" t="s">
        <v>350</v>
      </c>
      <c r="H263" s="66" t="s">
        <v>54</v>
      </c>
      <c r="I263" s="66" t="s">
        <v>55</v>
      </c>
      <c r="J263" s="66" t="s">
        <v>56</v>
      </c>
      <c r="K263" s="33" t="s">
        <v>57</v>
      </c>
      <c r="L263" s="66">
        <v>226</v>
      </c>
      <c r="M263" s="10">
        <v>65457</v>
      </c>
      <c r="N263" s="66">
        <v>605</v>
      </c>
      <c r="O263" s="68">
        <f t="shared" si="29"/>
        <v>50980</v>
      </c>
      <c r="P263" s="68">
        <v>50375</v>
      </c>
      <c r="Q263" s="66">
        <v>599</v>
      </c>
      <c r="R263" s="67">
        <v>0</v>
      </c>
      <c r="S263" s="66">
        <v>6</v>
      </c>
      <c r="T263" s="10">
        <f t="shared" si="27"/>
        <v>24</v>
      </c>
      <c r="U263" s="68">
        <f>Table46[[#This Row],[NET WT KGS]]-Table46[[#This Row],[Refraction]]</f>
        <v>50351</v>
      </c>
      <c r="V263" s="69">
        <v>490</v>
      </c>
      <c r="W263" s="69">
        <f>Table46[[#This Row],[PRICE]]*Table46[[#This Row],[PAID WT]]</f>
        <v>24671990</v>
      </c>
      <c r="X263" s="70">
        <v>9.9</v>
      </c>
      <c r="Y263" s="71">
        <v>164</v>
      </c>
      <c r="Z263" s="70">
        <v>45.05</v>
      </c>
      <c r="AA263" s="72"/>
      <c r="AB263" s="66" t="s">
        <v>58</v>
      </c>
      <c r="AC263" s="73"/>
      <c r="AD263" s="63" t="s">
        <v>483</v>
      </c>
      <c r="AE263" s="18">
        <f>Table46[[#This Row],[MOIS.]]*Table46[[#This Row],[NET WT KGS]]</f>
        <v>498712.5</v>
      </c>
      <c r="AF263" s="18">
        <f>Table46[[#This Row],[KOR]]*Table46[[#This Row],[NET WT KGS]]</f>
        <v>2269393.75</v>
      </c>
      <c r="AG263">
        <f>Table46[[#This Row],[NET WT KGS]]*Table46[[#This Row],[NUT COUNT]]</f>
        <v>8261500</v>
      </c>
    </row>
    <row r="264" spans="1:33" x14ac:dyDescent="0.35">
      <c r="A264" s="32">
        <f t="shared" si="28"/>
        <v>262</v>
      </c>
      <c r="B264" s="75">
        <v>46092</v>
      </c>
      <c r="C264" s="75">
        <v>46092</v>
      </c>
      <c r="D264" s="66" t="s">
        <v>38</v>
      </c>
      <c r="E264" s="66" t="s">
        <v>39</v>
      </c>
      <c r="F264" s="67" t="s">
        <v>40</v>
      </c>
      <c r="G264" s="66" t="s">
        <v>41</v>
      </c>
      <c r="H264" s="66" t="s">
        <v>338</v>
      </c>
      <c r="I264" s="67" t="s">
        <v>317</v>
      </c>
      <c r="J264" s="66" t="s">
        <v>339</v>
      </c>
      <c r="K264" s="57" t="s">
        <v>340</v>
      </c>
      <c r="L264" s="66">
        <v>227</v>
      </c>
      <c r="M264" s="10">
        <v>77628</v>
      </c>
      <c r="N264" s="66">
        <v>432</v>
      </c>
      <c r="O264" s="68">
        <f t="shared" si="29"/>
        <v>39000</v>
      </c>
      <c r="P264" s="68">
        <v>38568</v>
      </c>
      <c r="Q264" s="66">
        <v>422</v>
      </c>
      <c r="R264" s="67">
        <v>0</v>
      </c>
      <c r="S264" s="66">
        <v>10</v>
      </c>
      <c r="T264" s="10">
        <f t="shared" si="27"/>
        <v>40</v>
      </c>
      <c r="U264" s="68">
        <f>Table46[[#This Row],[NET WT KGS]]-Table46[[#This Row],[Refraction]]</f>
        <v>38528</v>
      </c>
      <c r="V264" s="69">
        <v>490</v>
      </c>
      <c r="W264" s="69">
        <f>Table46[[#This Row],[PRICE]]*Table46[[#This Row],[PAID WT]]</f>
        <v>18878720</v>
      </c>
      <c r="X264" s="70">
        <v>8.5</v>
      </c>
      <c r="Y264" s="71">
        <v>167</v>
      </c>
      <c r="Z264" s="70">
        <v>46.46</v>
      </c>
      <c r="AA264" s="72"/>
      <c r="AB264" s="66" t="s">
        <v>284</v>
      </c>
      <c r="AC264" s="73"/>
      <c r="AD264" s="63" t="s">
        <v>483</v>
      </c>
      <c r="AE264" s="18">
        <f>Table46[[#This Row],[MOIS.]]*Table46[[#This Row],[NET WT KGS]]</f>
        <v>327828</v>
      </c>
      <c r="AF264" s="18">
        <f>Table46[[#This Row],[KOR]]*Table46[[#This Row],[NET WT KGS]]</f>
        <v>1791869.28</v>
      </c>
      <c r="AG264">
        <f>Table46[[#This Row],[NET WT KGS]]*Table46[[#This Row],[NUT COUNT]]</f>
        <v>6440856</v>
      </c>
    </row>
    <row r="265" spans="1:33" x14ac:dyDescent="0.35">
      <c r="A265" s="32">
        <f t="shared" si="28"/>
        <v>263</v>
      </c>
      <c r="B265" s="75">
        <v>46092</v>
      </c>
      <c r="C265" s="75">
        <v>46092</v>
      </c>
      <c r="D265" s="66" t="s">
        <v>38</v>
      </c>
      <c r="E265" s="66" t="s">
        <v>39</v>
      </c>
      <c r="F265" s="67" t="s">
        <v>40</v>
      </c>
      <c r="G265" s="66" t="s">
        <v>41</v>
      </c>
      <c r="H265" s="66" t="s">
        <v>123</v>
      </c>
      <c r="I265" s="66" t="s">
        <v>124</v>
      </c>
      <c r="J265" s="66" t="s">
        <v>89</v>
      </c>
      <c r="K265" s="21" t="s">
        <v>161</v>
      </c>
      <c r="L265" s="66">
        <v>228</v>
      </c>
      <c r="M265" s="10">
        <v>77643</v>
      </c>
      <c r="N265" s="66">
        <v>562</v>
      </c>
      <c r="O265" s="68">
        <f t="shared" si="29"/>
        <v>47360</v>
      </c>
      <c r="P265" s="68">
        <v>46798</v>
      </c>
      <c r="Q265" s="66">
        <v>552</v>
      </c>
      <c r="R265" s="67">
        <v>0</v>
      </c>
      <c r="S265" s="66">
        <v>10</v>
      </c>
      <c r="T265" s="10">
        <f t="shared" si="27"/>
        <v>40</v>
      </c>
      <c r="U265" s="68">
        <f>Table46[[#This Row],[NET WT KGS]]-Table46[[#This Row],[Refraction]]</f>
        <v>46758</v>
      </c>
      <c r="V265" s="69">
        <v>495</v>
      </c>
      <c r="W265" s="69">
        <f>Table46[[#This Row],[PRICE]]*Table46[[#This Row],[PAID WT]]</f>
        <v>23145210</v>
      </c>
      <c r="X265" s="70">
        <v>8.8000000000000007</v>
      </c>
      <c r="Y265" s="71">
        <v>170</v>
      </c>
      <c r="Z265" s="70">
        <v>47.16</v>
      </c>
      <c r="AA265" s="72"/>
      <c r="AB265" s="66" t="s">
        <v>58</v>
      </c>
      <c r="AC265" s="73"/>
      <c r="AD265" s="63" t="s">
        <v>483</v>
      </c>
      <c r="AE265" s="18">
        <f>Table46[[#This Row],[MOIS.]]*Table46[[#This Row],[NET WT KGS]]</f>
        <v>411822.4</v>
      </c>
      <c r="AF265" s="18">
        <f>Table46[[#This Row],[KOR]]*Table46[[#This Row],[NET WT KGS]]</f>
        <v>2206993.6799999997</v>
      </c>
      <c r="AG265">
        <f>Table46[[#This Row],[NET WT KGS]]*Table46[[#This Row],[NUT COUNT]]</f>
        <v>7955660</v>
      </c>
    </row>
    <row r="266" spans="1:33" x14ac:dyDescent="0.35">
      <c r="A266" s="32">
        <f t="shared" si="28"/>
        <v>264</v>
      </c>
      <c r="B266" s="75">
        <v>46092</v>
      </c>
      <c r="C266" s="75">
        <v>46092</v>
      </c>
      <c r="D266" s="66" t="s">
        <v>38</v>
      </c>
      <c r="E266" s="66" t="s">
        <v>39</v>
      </c>
      <c r="F266" s="67" t="s">
        <v>40</v>
      </c>
      <c r="G266" s="66" t="s">
        <v>350</v>
      </c>
      <c r="H266" s="66" t="s">
        <v>118</v>
      </c>
      <c r="I266" s="66" t="s">
        <v>119</v>
      </c>
      <c r="J266" s="66" t="s">
        <v>495</v>
      </c>
      <c r="K266" s="33" t="s">
        <v>266</v>
      </c>
      <c r="L266" s="66">
        <v>229</v>
      </c>
      <c r="M266" s="10">
        <v>72610</v>
      </c>
      <c r="N266" s="66">
        <v>471</v>
      </c>
      <c r="O266" s="68">
        <f t="shared" si="29"/>
        <v>41100</v>
      </c>
      <c r="P266" s="68">
        <v>40629</v>
      </c>
      <c r="Q266" s="66">
        <v>466</v>
      </c>
      <c r="R266" s="67">
        <v>0</v>
      </c>
      <c r="S266" s="66">
        <v>5</v>
      </c>
      <c r="T266" s="10">
        <f t="shared" si="27"/>
        <v>20</v>
      </c>
      <c r="U266" s="68">
        <f>Table46[[#This Row],[NET WT KGS]]-Table46[[#This Row],[Refraction]]</f>
        <v>40609</v>
      </c>
      <c r="V266" s="69">
        <v>490</v>
      </c>
      <c r="W266" s="69">
        <f>Table46[[#This Row],[PRICE]]*Table46[[#This Row],[PAID WT]]</f>
        <v>19898410</v>
      </c>
      <c r="X266" s="70">
        <v>9.6</v>
      </c>
      <c r="Y266" s="71">
        <v>165</v>
      </c>
      <c r="Z266" s="70">
        <v>46.11</v>
      </c>
      <c r="AA266" s="72"/>
      <c r="AB266" s="10" t="s">
        <v>171</v>
      </c>
      <c r="AC266" s="73"/>
      <c r="AD266" s="63" t="s">
        <v>483</v>
      </c>
      <c r="AE266" s="18">
        <f>Table46[[#This Row],[MOIS.]]*Table46[[#This Row],[NET WT KGS]]</f>
        <v>390038.39999999997</v>
      </c>
      <c r="AF266" s="18">
        <f>Table46[[#This Row],[KOR]]*Table46[[#This Row],[NET WT KGS]]</f>
        <v>1873403.19</v>
      </c>
      <c r="AG266">
        <f>Table46[[#This Row],[NET WT KGS]]*Table46[[#This Row],[NUT COUNT]]</f>
        <v>6703785</v>
      </c>
    </row>
    <row r="267" spans="1:33" x14ac:dyDescent="0.35">
      <c r="A267" s="32">
        <f t="shared" si="28"/>
        <v>265</v>
      </c>
      <c r="B267" s="75">
        <v>46092</v>
      </c>
      <c r="C267" s="75">
        <v>46092</v>
      </c>
      <c r="D267" s="66" t="s">
        <v>38</v>
      </c>
      <c r="E267" s="66" t="s">
        <v>39</v>
      </c>
      <c r="F267" s="67" t="s">
        <v>40</v>
      </c>
      <c r="G267" s="66" t="s">
        <v>41</v>
      </c>
      <c r="H267" s="10" t="s">
        <v>154</v>
      </c>
      <c r="I267" s="10" t="s">
        <v>155</v>
      </c>
      <c r="J267" s="66" t="s">
        <v>489</v>
      </c>
      <c r="K267" s="33" t="s">
        <v>157</v>
      </c>
      <c r="L267" s="66">
        <v>231</v>
      </c>
      <c r="M267" s="10">
        <v>72630</v>
      </c>
      <c r="N267" s="66">
        <v>578</v>
      </c>
      <c r="O267" s="68">
        <f t="shared" si="29"/>
        <v>52160</v>
      </c>
      <c r="P267" s="68">
        <v>51582</v>
      </c>
      <c r="Q267" s="66">
        <v>571</v>
      </c>
      <c r="R267" s="67">
        <v>0</v>
      </c>
      <c r="S267" s="66">
        <v>7</v>
      </c>
      <c r="T267" s="10">
        <f t="shared" si="27"/>
        <v>28</v>
      </c>
      <c r="U267" s="68">
        <f>Table46[[#This Row],[NET WT KGS]]-Table46[[#This Row],[Refraction]]</f>
        <v>51554</v>
      </c>
      <c r="V267" s="69">
        <v>490</v>
      </c>
      <c r="W267" s="69">
        <f>Table46[[#This Row],[PRICE]]*Table46[[#This Row],[PAID WT]]</f>
        <v>25261460</v>
      </c>
      <c r="X267" s="70">
        <v>9.9</v>
      </c>
      <c r="Y267" s="71">
        <v>177</v>
      </c>
      <c r="Z267" s="70">
        <v>46.11</v>
      </c>
      <c r="AA267" s="72"/>
      <c r="AB267" s="66" t="s">
        <v>40</v>
      </c>
      <c r="AC267" s="73"/>
      <c r="AD267" s="63" t="s">
        <v>483</v>
      </c>
      <c r="AE267" s="18">
        <f>Table46[[#This Row],[MOIS.]]*Table46[[#This Row],[NET WT KGS]]</f>
        <v>510661.80000000005</v>
      </c>
      <c r="AF267" s="18">
        <f>Table46[[#This Row],[KOR]]*Table46[[#This Row],[NET WT KGS]]</f>
        <v>2378446.02</v>
      </c>
      <c r="AG267">
        <f>Table46[[#This Row],[NET WT KGS]]*Table46[[#This Row],[NUT COUNT]]</f>
        <v>9130014</v>
      </c>
    </row>
    <row r="268" spans="1:33" x14ac:dyDescent="0.35">
      <c r="A268" s="32">
        <f t="shared" si="28"/>
        <v>266</v>
      </c>
      <c r="B268" s="75">
        <v>46092</v>
      </c>
      <c r="C268" s="75">
        <v>46092</v>
      </c>
      <c r="D268" s="66" t="s">
        <v>38</v>
      </c>
      <c r="E268" s="10" t="s">
        <v>258</v>
      </c>
      <c r="F268" s="67" t="s">
        <v>40</v>
      </c>
      <c r="G268" s="66" t="s">
        <v>350</v>
      </c>
      <c r="H268" s="66" t="s">
        <v>259</v>
      </c>
      <c r="I268" s="66" t="s">
        <v>60</v>
      </c>
      <c r="J268" s="66" t="s">
        <v>496</v>
      </c>
      <c r="K268" s="33" t="s">
        <v>261</v>
      </c>
      <c r="L268" s="66">
        <v>230</v>
      </c>
      <c r="M268" s="10">
        <v>82111</v>
      </c>
      <c r="N268" s="66">
        <v>664</v>
      </c>
      <c r="O268" s="68">
        <f t="shared" si="29"/>
        <v>50660</v>
      </c>
      <c r="P268" s="68">
        <v>49996</v>
      </c>
      <c r="Q268" s="66">
        <v>644</v>
      </c>
      <c r="R268" s="67">
        <v>0</v>
      </c>
      <c r="S268" s="66">
        <v>20</v>
      </c>
      <c r="T268" s="10">
        <f t="shared" si="27"/>
        <v>80</v>
      </c>
      <c r="U268" s="68">
        <f>Table46[[#This Row],[NET WT KGS]]-Table46[[#This Row],[Refraction]]</f>
        <v>49916</v>
      </c>
      <c r="V268" s="69">
        <v>490</v>
      </c>
      <c r="W268" s="69">
        <f>Table46[[#This Row],[PRICE]]*Table46[[#This Row],[PAID WT]]</f>
        <v>24458840</v>
      </c>
      <c r="X268" s="70">
        <v>8.5</v>
      </c>
      <c r="Y268" s="71">
        <v>171</v>
      </c>
      <c r="Z268" s="70">
        <v>45.4</v>
      </c>
      <c r="AA268" s="72"/>
      <c r="AB268" s="66" t="s">
        <v>46</v>
      </c>
      <c r="AC268" s="73"/>
      <c r="AD268" s="63" t="s">
        <v>483</v>
      </c>
      <c r="AE268" s="18">
        <f>Table46[[#This Row],[MOIS.]]*Table46[[#This Row],[NET WT KGS]]</f>
        <v>424966</v>
      </c>
      <c r="AF268" s="18">
        <f>Table46[[#This Row],[KOR]]*Table46[[#This Row],[NET WT KGS]]</f>
        <v>2269818.4</v>
      </c>
      <c r="AG268">
        <f>Table46[[#This Row],[NET WT KGS]]*Table46[[#This Row],[NUT COUNT]]</f>
        <v>8549316</v>
      </c>
    </row>
    <row r="269" spans="1:33" x14ac:dyDescent="0.35">
      <c r="A269" s="32">
        <f t="shared" si="28"/>
        <v>267</v>
      </c>
      <c r="B269" s="35">
        <v>46092</v>
      </c>
      <c r="C269" s="35">
        <f>Table46[[#This Row],[DATE OF ARRIVAL]]</f>
        <v>46092</v>
      </c>
      <c r="D269" s="74" t="s">
        <v>38</v>
      </c>
      <c r="E269" s="74" t="s">
        <v>39</v>
      </c>
      <c r="F269" s="74" t="s">
        <v>40</v>
      </c>
      <c r="G269" s="74"/>
      <c r="H269" s="36" t="s">
        <v>74</v>
      </c>
      <c r="I269" s="36" t="s">
        <v>75</v>
      </c>
      <c r="J269" s="74" t="s">
        <v>269</v>
      </c>
      <c r="K269" s="74"/>
      <c r="L269" s="74"/>
      <c r="M269" s="36"/>
      <c r="N269" s="74"/>
      <c r="O269" s="79">
        <f t="shared" si="29"/>
        <v>0</v>
      </c>
      <c r="P269" s="79"/>
      <c r="Q269" s="74"/>
      <c r="R269" s="80"/>
      <c r="S269" s="74"/>
      <c r="T269" s="74"/>
      <c r="U269" s="79">
        <f>Table46[[#This Row],[NET WT KGS]]-Table46[[#This Row],[Refraction]]</f>
        <v>0</v>
      </c>
      <c r="V269" s="81"/>
      <c r="W269" s="81">
        <f>Table46[[#This Row],[PRICE]]*Table46[[#This Row],[PAID WT]]</f>
        <v>0</v>
      </c>
      <c r="X269" s="82">
        <v>9.6</v>
      </c>
      <c r="Y269" s="83">
        <v>166</v>
      </c>
      <c r="Z269" s="82">
        <v>43.47</v>
      </c>
      <c r="AA269" s="84"/>
      <c r="AB269" s="36" t="s">
        <v>78</v>
      </c>
      <c r="AC269" s="42" t="s">
        <v>70</v>
      </c>
      <c r="AD269" s="98"/>
      <c r="AE269" s="18">
        <f>Table46[[#This Row],[MOIS.]]*Table46[[#This Row],[NET WT KGS]]</f>
        <v>0</v>
      </c>
      <c r="AF269" s="18">
        <f>Table46[[#This Row],[KOR]]*Table46[[#This Row],[NET WT KGS]]</f>
        <v>0</v>
      </c>
      <c r="AG269">
        <f>Table46[[#This Row],[NET WT KGS]]*Table46[[#This Row],[NUT COUNT]]</f>
        <v>0</v>
      </c>
    </row>
    <row r="270" spans="1:33" x14ac:dyDescent="0.35">
      <c r="A270" s="32">
        <f t="shared" si="28"/>
        <v>268</v>
      </c>
      <c r="B270" s="35">
        <v>46092</v>
      </c>
      <c r="C270" s="35">
        <f>Table46[[#This Row],[DATE OF ARRIVAL]]</f>
        <v>46092</v>
      </c>
      <c r="D270" s="74" t="s">
        <v>38</v>
      </c>
      <c r="E270" s="74" t="s">
        <v>39</v>
      </c>
      <c r="F270" s="74" t="s">
        <v>40</v>
      </c>
      <c r="G270" s="36"/>
      <c r="H270" s="36" t="s">
        <v>42</v>
      </c>
      <c r="I270" s="36" t="s">
        <v>43</v>
      </c>
      <c r="J270" s="36" t="s">
        <v>497</v>
      </c>
      <c r="K270" s="36"/>
      <c r="L270" s="36"/>
      <c r="M270" s="36"/>
      <c r="N270" s="36"/>
      <c r="O270" s="37">
        <f t="shared" si="29"/>
        <v>0</v>
      </c>
      <c r="P270" s="37"/>
      <c r="Q270" s="36"/>
      <c r="R270" s="86"/>
      <c r="S270" s="36"/>
      <c r="T270" s="36"/>
      <c r="U270" s="37">
        <f>Table46[[#This Row],[NET WT KGS]]-Table46[[#This Row],[Refraction]]</f>
        <v>0</v>
      </c>
      <c r="V270" s="38"/>
      <c r="W270" s="38">
        <f>Table46[[#This Row],[PRICE]]*Table46[[#This Row],[PAID WT]]</f>
        <v>0</v>
      </c>
      <c r="X270" s="39">
        <v>7.5</v>
      </c>
      <c r="Y270" s="40">
        <v>182</v>
      </c>
      <c r="Z270" s="39">
        <v>43.64</v>
      </c>
      <c r="AA270" s="41"/>
      <c r="AB270" s="36" t="s">
        <v>182</v>
      </c>
      <c r="AC270" s="42" t="s">
        <v>70</v>
      </c>
      <c r="AD270" s="99"/>
      <c r="AE270" s="18">
        <f>Table46[[#This Row],[MOIS.]]*Table46[[#This Row],[NET WT KGS]]</f>
        <v>0</v>
      </c>
      <c r="AF270" s="18">
        <f>Table46[[#This Row],[KOR]]*Table46[[#This Row],[NET WT KGS]]</f>
        <v>0</v>
      </c>
      <c r="AG270">
        <f>Table46[[#This Row],[NET WT KGS]]*Table46[[#This Row],[NUT COUNT]]</f>
        <v>0</v>
      </c>
    </row>
    <row r="271" spans="1:33" x14ac:dyDescent="0.35">
      <c r="A271" s="32">
        <f t="shared" si="28"/>
        <v>269</v>
      </c>
      <c r="B271" s="35">
        <v>46092</v>
      </c>
      <c r="C271" s="35">
        <f>Table46[[#This Row],[DATE OF ARRIVAL]]</f>
        <v>46092</v>
      </c>
      <c r="D271" s="74" t="s">
        <v>38</v>
      </c>
      <c r="E271" s="74" t="s">
        <v>39</v>
      </c>
      <c r="F271" s="74" t="s">
        <v>40</v>
      </c>
      <c r="G271" s="74"/>
      <c r="H271" s="74" t="s">
        <v>87</v>
      </c>
      <c r="I271" s="74" t="s">
        <v>88</v>
      </c>
      <c r="J271" s="36" t="s">
        <v>498</v>
      </c>
      <c r="K271" s="36"/>
      <c r="L271" s="36"/>
      <c r="M271" s="74"/>
      <c r="N271" s="36"/>
      <c r="O271" s="37">
        <f t="shared" si="29"/>
        <v>0</v>
      </c>
      <c r="P271" s="37"/>
      <c r="Q271" s="36"/>
      <c r="R271" s="86"/>
      <c r="S271" s="36"/>
      <c r="T271" s="36"/>
      <c r="U271" s="37">
        <f>Table46[[#This Row],[NET WT KGS]]-Table46[[#This Row],[Refraction]]</f>
        <v>0</v>
      </c>
      <c r="V271" s="38"/>
      <c r="W271" s="38">
        <f>Table46[[#This Row],[PRICE]]*Table46[[#This Row],[PAID WT]]</f>
        <v>0</v>
      </c>
      <c r="X271" s="39">
        <v>8.9</v>
      </c>
      <c r="Y271" s="40">
        <v>172</v>
      </c>
      <c r="Z271" s="39">
        <v>42.24</v>
      </c>
      <c r="AA271" s="41"/>
      <c r="AB271" s="36" t="s">
        <v>499</v>
      </c>
      <c r="AC271" s="42" t="s">
        <v>70</v>
      </c>
      <c r="AD271" s="99"/>
      <c r="AE271" s="18">
        <f>Table46[[#This Row],[MOIS.]]*Table46[[#This Row],[NET WT KGS]]</f>
        <v>0</v>
      </c>
      <c r="AF271" s="18">
        <f>Table46[[#This Row],[KOR]]*Table46[[#This Row],[NET WT KGS]]</f>
        <v>0</v>
      </c>
      <c r="AG271">
        <f>Table46[[#This Row],[NET WT KGS]]*Table46[[#This Row],[NUT COUNT]]</f>
        <v>0</v>
      </c>
    </row>
    <row r="272" spans="1:33" x14ac:dyDescent="0.35">
      <c r="A272" s="32">
        <f t="shared" si="28"/>
        <v>270</v>
      </c>
      <c r="B272" s="35">
        <v>46092</v>
      </c>
      <c r="C272" s="35">
        <f>Table46[[#This Row],[DATE OF ARRIVAL]]</f>
        <v>46092</v>
      </c>
      <c r="D272" s="74" t="s">
        <v>38</v>
      </c>
      <c r="E272" s="36" t="s">
        <v>258</v>
      </c>
      <c r="F272" s="74" t="s">
        <v>62</v>
      </c>
      <c r="G272" s="36"/>
      <c r="H272" s="36" t="s">
        <v>377</v>
      </c>
      <c r="I272" s="36" t="s">
        <v>72</v>
      </c>
      <c r="J272" s="36" t="s">
        <v>500</v>
      </c>
      <c r="K272" s="36"/>
      <c r="L272" s="36"/>
      <c r="M272" s="36"/>
      <c r="N272" s="36"/>
      <c r="O272" s="37">
        <f t="shared" si="29"/>
        <v>0</v>
      </c>
      <c r="P272" s="37"/>
      <c r="Q272" s="36"/>
      <c r="R272" s="86"/>
      <c r="S272" s="36"/>
      <c r="T272" s="36"/>
      <c r="U272" s="37">
        <f>Table46[[#This Row],[NET WT KGS]]-Table46[[#This Row],[Refraction]]</f>
        <v>0</v>
      </c>
      <c r="V272" s="38"/>
      <c r="W272" s="38">
        <f>Table46[[#This Row],[PRICE]]*Table46[[#This Row],[PAID WT]]</f>
        <v>0</v>
      </c>
      <c r="X272" s="39">
        <v>9.9</v>
      </c>
      <c r="Y272" s="40">
        <v>179</v>
      </c>
      <c r="Z272" s="39">
        <v>43.47</v>
      </c>
      <c r="AA272" s="41"/>
      <c r="AB272" s="36" t="s">
        <v>501</v>
      </c>
      <c r="AC272" s="42" t="s">
        <v>70</v>
      </c>
      <c r="AD272" s="99"/>
      <c r="AE272" s="18">
        <f>Table46[[#This Row],[MOIS.]]*Table46[[#This Row],[NET WT KGS]]</f>
        <v>0</v>
      </c>
      <c r="AF272" s="18">
        <f>Table46[[#This Row],[KOR]]*Table46[[#This Row],[NET WT KGS]]</f>
        <v>0</v>
      </c>
      <c r="AG272">
        <f>Table46[[#This Row],[NET WT KGS]]*Table46[[#This Row],[NUT COUNT]]</f>
        <v>0</v>
      </c>
    </row>
    <row r="273" spans="1:33" x14ac:dyDescent="0.35">
      <c r="A273" s="32">
        <f t="shared" si="28"/>
        <v>271</v>
      </c>
      <c r="B273" s="35">
        <v>46092</v>
      </c>
      <c r="C273" s="35">
        <f>Table46[[#This Row],[DATE OF ARRIVAL]]</f>
        <v>46092</v>
      </c>
      <c r="D273" s="74" t="s">
        <v>38</v>
      </c>
      <c r="E273" s="36" t="s">
        <v>258</v>
      </c>
      <c r="F273" s="74" t="s">
        <v>62</v>
      </c>
      <c r="G273" s="36"/>
      <c r="H273" s="36" t="s">
        <v>502</v>
      </c>
      <c r="I273" s="36" t="s">
        <v>121</v>
      </c>
      <c r="J273" s="36" t="s">
        <v>503</v>
      </c>
      <c r="K273" s="36"/>
      <c r="L273" s="36"/>
      <c r="M273" s="36"/>
      <c r="N273" s="36"/>
      <c r="O273" s="37">
        <f t="shared" si="29"/>
        <v>0</v>
      </c>
      <c r="P273" s="37"/>
      <c r="Q273" s="36"/>
      <c r="R273" s="86"/>
      <c r="S273" s="36"/>
      <c r="T273" s="36"/>
      <c r="U273" s="37">
        <f>Table46[[#This Row],[NET WT KGS]]-Table46[[#This Row],[Refraction]]</f>
        <v>0</v>
      </c>
      <c r="V273" s="38"/>
      <c r="W273" s="38">
        <f>Table46[[#This Row],[PRICE]]*Table46[[#This Row],[PAID WT]]</f>
        <v>0</v>
      </c>
      <c r="X273" s="39">
        <v>10.7</v>
      </c>
      <c r="Y273" s="40">
        <v>198</v>
      </c>
      <c r="Z273" s="39">
        <v>43.29</v>
      </c>
      <c r="AA273" s="41"/>
      <c r="AB273" s="36" t="s">
        <v>58</v>
      </c>
      <c r="AC273" s="42" t="s">
        <v>70</v>
      </c>
      <c r="AD273" s="99"/>
      <c r="AE273" s="18">
        <f>Table46[[#This Row],[MOIS.]]*Table46[[#This Row],[NET WT KGS]]</f>
        <v>0</v>
      </c>
      <c r="AF273" s="18">
        <f>Table46[[#This Row],[KOR]]*Table46[[#This Row],[NET WT KGS]]</f>
        <v>0</v>
      </c>
      <c r="AG273">
        <f>Table46[[#This Row],[NET WT KGS]]*Table46[[#This Row],[NUT COUNT]]</f>
        <v>0</v>
      </c>
    </row>
    <row r="274" spans="1:33" x14ac:dyDescent="0.35">
      <c r="A274" s="32">
        <f t="shared" si="28"/>
        <v>272</v>
      </c>
      <c r="B274" s="35">
        <v>46092</v>
      </c>
      <c r="C274" s="35">
        <f>Table46[[#This Row],[DATE OF ARRIVAL]]</f>
        <v>46092</v>
      </c>
      <c r="D274" s="74" t="s">
        <v>38</v>
      </c>
      <c r="E274" s="74" t="s">
        <v>39</v>
      </c>
      <c r="F274" s="74" t="s">
        <v>62</v>
      </c>
      <c r="G274" s="36"/>
      <c r="H274" s="36" t="s">
        <v>42</v>
      </c>
      <c r="I274" s="36" t="s">
        <v>43</v>
      </c>
      <c r="J274" s="36" t="s">
        <v>504</v>
      </c>
      <c r="K274" s="36"/>
      <c r="L274" s="36"/>
      <c r="M274" s="36"/>
      <c r="N274" s="36"/>
      <c r="O274" s="37">
        <f t="shared" si="29"/>
        <v>0</v>
      </c>
      <c r="P274" s="37"/>
      <c r="Q274" s="36"/>
      <c r="R274" s="86"/>
      <c r="S274" s="36"/>
      <c r="T274" s="36"/>
      <c r="U274" s="37">
        <f>Table46[[#This Row],[NET WT KGS]]-Table46[[#This Row],[Refraction]]</f>
        <v>0</v>
      </c>
      <c r="V274" s="38"/>
      <c r="W274" s="38">
        <f>Table46[[#This Row],[PRICE]]*Table46[[#This Row],[PAID WT]]</f>
        <v>0</v>
      </c>
      <c r="X274" s="39">
        <v>10.8</v>
      </c>
      <c r="Y274" s="40">
        <v>179</v>
      </c>
      <c r="Z274" s="39">
        <v>43.82</v>
      </c>
      <c r="AA274" s="41"/>
      <c r="AB274" s="36" t="s">
        <v>182</v>
      </c>
      <c r="AC274" s="42" t="s">
        <v>70</v>
      </c>
      <c r="AD274" s="99"/>
      <c r="AE274" s="18">
        <f>Table46[[#This Row],[MOIS.]]*Table46[[#This Row],[NET WT KGS]]</f>
        <v>0</v>
      </c>
      <c r="AF274" s="18">
        <f>Table46[[#This Row],[KOR]]*Table46[[#This Row],[NET WT KGS]]</f>
        <v>0</v>
      </c>
      <c r="AG274">
        <f>Table46[[#This Row],[NET WT KGS]]*Table46[[#This Row],[NUT COUNT]]</f>
        <v>0</v>
      </c>
    </row>
    <row r="275" spans="1:33" x14ac:dyDescent="0.35">
      <c r="A275" s="32">
        <f t="shared" si="28"/>
        <v>273</v>
      </c>
      <c r="B275" s="35">
        <v>46092</v>
      </c>
      <c r="C275" s="35">
        <f>Table46[[#This Row],[DATE OF ARRIVAL]]</f>
        <v>46092</v>
      </c>
      <c r="D275" s="74" t="s">
        <v>38</v>
      </c>
      <c r="E275" s="36" t="s">
        <v>258</v>
      </c>
      <c r="F275" s="74" t="s">
        <v>62</v>
      </c>
      <c r="G275" s="74"/>
      <c r="H275" s="36" t="s">
        <v>505</v>
      </c>
      <c r="I275" s="36" t="s">
        <v>126</v>
      </c>
      <c r="J275" s="36" t="s">
        <v>506</v>
      </c>
      <c r="K275" s="74"/>
      <c r="L275" s="74"/>
      <c r="M275" s="36"/>
      <c r="N275" s="74"/>
      <c r="O275" s="37">
        <f t="shared" si="29"/>
        <v>0</v>
      </c>
      <c r="P275" s="79"/>
      <c r="Q275" s="74"/>
      <c r="R275" s="80"/>
      <c r="S275" s="74"/>
      <c r="T275" s="74"/>
      <c r="U275" s="37">
        <f>Table46[[#This Row],[NET WT KGS]]-Table46[[#This Row],[Refraction]]</f>
        <v>0</v>
      </c>
      <c r="V275" s="81"/>
      <c r="W275" s="81">
        <f>Table46[[#This Row],[PRICE]]*Table46[[#This Row],[PAID WT]]</f>
        <v>0</v>
      </c>
      <c r="X275" s="39">
        <v>10.6</v>
      </c>
      <c r="Y275" s="40">
        <v>163</v>
      </c>
      <c r="Z275" s="39">
        <v>44.35</v>
      </c>
      <c r="AA275" s="41"/>
      <c r="AB275" s="74" t="s">
        <v>171</v>
      </c>
      <c r="AC275" s="42" t="s">
        <v>70</v>
      </c>
      <c r="AD275" s="98"/>
      <c r="AE275" s="18">
        <f>Table46[[#This Row],[MOIS.]]*Table46[[#This Row],[NET WT KGS]]</f>
        <v>0</v>
      </c>
      <c r="AF275" s="18">
        <f>Table46[[#This Row],[KOR]]*Table46[[#This Row],[NET WT KGS]]</f>
        <v>0</v>
      </c>
      <c r="AG275">
        <f>Table46[[#This Row],[NET WT KGS]]*Table46[[#This Row],[NUT COUNT]]</f>
        <v>0</v>
      </c>
    </row>
    <row r="276" spans="1:33" x14ac:dyDescent="0.35">
      <c r="A276" s="32">
        <f t="shared" si="28"/>
        <v>274</v>
      </c>
      <c r="B276" s="35">
        <v>46092</v>
      </c>
      <c r="C276" s="35">
        <f>Table46[[#This Row],[DATE OF ARRIVAL]]</f>
        <v>46092</v>
      </c>
      <c r="D276" s="74" t="s">
        <v>38</v>
      </c>
      <c r="E276" s="36" t="s">
        <v>258</v>
      </c>
      <c r="F276" s="74" t="s">
        <v>62</v>
      </c>
      <c r="G276" s="74"/>
      <c r="H276" s="36" t="s">
        <v>507</v>
      </c>
      <c r="I276" s="36" t="s">
        <v>134</v>
      </c>
      <c r="J276" s="36" t="s">
        <v>508</v>
      </c>
      <c r="K276" s="74"/>
      <c r="L276" s="74"/>
      <c r="M276" s="36"/>
      <c r="N276" s="74"/>
      <c r="O276" s="37">
        <f t="shared" si="29"/>
        <v>0</v>
      </c>
      <c r="P276" s="79"/>
      <c r="Q276" s="74"/>
      <c r="R276" s="80"/>
      <c r="S276" s="74"/>
      <c r="T276" s="74"/>
      <c r="U276" s="37">
        <f>Table46[[#This Row],[NET WT KGS]]-Table46[[#This Row],[Refraction]]</f>
        <v>0</v>
      </c>
      <c r="V276" s="81"/>
      <c r="W276" s="81">
        <f>Table46[[#This Row],[PRICE]]*Table46[[#This Row],[PAID WT]]</f>
        <v>0</v>
      </c>
      <c r="X276" s="39">
        <v>11.3</v>
      </c>
      <c r="Y276" s="40">
        <v>183</v>
      </c>
      <c r="Z276" s="39">
        <v>42.94</v>
      </c>
      <c r="AA276" s="41"/>
      <c r="AB276" s="36" t="s">
        <v>429</v>
      </c>
      <c r="AC276" s="42" t="s">
        <v>70</v>
      </c>
      <c r="AD276" s="98"/>
      <c r="AE276" s="18">
        <f>Table46[[#This Row],[MOIS.]]*Table46[[#This Row],[NET WT KGS]]</f>
        <v>0</v>
      </c>
      <c r="AF276" s="18">
        <f>Table46[[#This Row],[KOR]]*Table46[[#This Row],[NET WT KGS]]</f>
        <v>0</v>
      </c>
      <c r="AG276">
        <f>Table46[[#This Row],[NET WT KGS]]*Table46[[#This Row],[NUT COUNT]]</f>
        <v>0</v>
      </c>
    </row>
    <row r="277" spans="1:33" x14ac:dyDescent="0.35">
      <c r="A277" s="32">
        <f t="shared" si="28"/>
        <v>275</v>
      </c>
      <c r="B277" s="75">
        <v>46092</v>
      </c>
      <c r="C277" s="75">
        <v>46093</v>
      </c>
      <c r="D277" s="50" t="s">
        <v>38</v>
      </c>
      <c r="E277" s="50" t="s">
        <v>39</v>
      </c>
      <c r="F277" s="50" t="s">
        <v>62</v>
      </c>
      <c r="G277" s="10"/>
      <c r="H277" s="10" t="s">
        <v>128</v>
      </c>
      <c r="I277" s="10" t="s">
        <v>129</v>
      </c>
      <c r="J277" s="50" t="s">
        <v>375</v>
      </c>
      <c r="K277" s="33" t="s">
        <v>131</v>
      </c>
      <c r="L277" s="50">
        <v>873</v>
      </c>
      <c r="M277" s="10">
        <v>77676</v>
      </c>
      <c r="N277" s="50">
        <v>596</v>
      </c>
      <c r="O277" s="51">
        <v>49460</v>
      </c>
      <c r="P277" s="51">
        <f>Table46[[#This Row],[GROSS WT KGS]]-Table46[[#This Row],[SACS]]</f>
        <v>48864</v>
      </c>
      <c r="Q277" s="50">
        <v>576</v>
      </c>
      <c r="R277" s="67">
        <v>0</v>
      </c>
      <c r="S277" s="50">
        <v>20</v>
      </c>
      <c r="T277" s="10">
        <f t="shared" ref="T277:T287" si="30">S277*4+R277*40</f>
        <v>80</v>
      </c>
      <c r="U277" s="51">
        <f>Table46[[#This Row],[NET WT KGS]]-Table46[[#This Row],[Refraction]]</f>
        <v>48784</v>
      </c>
      <c r="V277" s="52">
        <v>495</v>
      </c>
      <c r="W277" s="52">
        <f>Table46[[#This Row],[PRICE]]*Table46[[#This Row],[PAID WT]]</f>
        <v>24148080</v>
      </c>
      <c r="X277" s="53">
        <v>11</v>
      </c>
      <c r="Y277" s="54">
        <v>177</v>
      </c>
      <c r="Z277" s="53">
        <v>45.23</v>
      </c>
      <c r="AA277" s="55"/>
      <c r="AB277" s="50" t="s">
        <v>509</v>
      </c>
      <c r="AC277" s="56"/>
      <c r="AD277" s="63" t="s">
        <v>483</v>
      </c>
      <c r="AE277" s="18">
        <f>Table46[[#This Row],[MOIS.]]*Table46[[#This Row],[NET WT KGS]]</f>
        <v>537504</v>
      </c>
      <c r="AF277" s="18">
        <f>Table46[[#This Row],[KOR]]*Table46[[#This Row],[NET WT KGS]]</f>
        <v>2210118.7199999997</v>
      </c>
      <c r="AG277">
        <f>Table46[[#This Row],[NET WT KGS]]*Table46[[#This Row],[NUT COUNT]]</f>
        <v>8648928</v>
      </c>
    </row>
    <row r="278" spans="1:33" x14ac:dyDescent="0.35">
      <c r="A278" s="32">
        <f t="shared" si="28"/>
        <v>276</v>
      </c>
      <c r="B278" s="75">
        <v>46092</v>
      </c>
      <c r="C278" s="75">
        <v>46093</v>
      </c>
      <c r="D278" s="50" t="s">
        <v>38</v>
      </c>
      <c r="E278" s="50" t="s">
        <v>39</v>
      </c>
      <c r="F278" s="50" t="s">
        <v>40</v>
      </c>
      <c r="G278" s="10" t="s">
        <v>350</v>
      </c>
      <c r="H278" s="10" t="s">
        <v>74</v>
      </c>
      <c r="I278" s="10" t="s">
        <v>75</v>
      </c>
      <c r="J278" s="50" t="s">
        <v>187</v>
      </c>
      <c r="K278" s="33" t="s">
        <v>77</v>
      </c>
      <c r="L278" s="50">
        <v>233</v>
      </c>
      <c r="M278" s="10">
        <v>70436</v>
      </c>
      <c r="N278" s="50">
        <v>527</v>
      </c>
      <c r="O278" s="51">
        <f t="shared" ref="O278:O299" si="31">P278+N278</f>
        <v>45900</v>
      </c>
      <c r="P278" s="51">
        <v>45373</v>
      </c>
      <c r="Q278" s="50">
        <v>507</v>
      </c>
      <c r="R278" s="67">
        <v>0</v>
      </c>
      <c r="S278" s="50">
        <v>20</v>
      </c>
      <c r="T278" s="10">
        <f t="shared" si="30"/>
        <v>80</v>
      </c>
      <c r="U278" s="51">
        <f>Table46[[#This Row],[NET WT KGS]]-Table46[[#This Row],[Refraction]]</f>
        <v>45293</v>
      </c>
      <c r="V278" s="23">
        <v>485</v>
      </c>
      <c r="W278" s="23">
        <f>Table46[[#This Row],[PRICE]]*Table46[[#This Row],[PAID WT]]</f>
        <v>21967105</v>
      </c>
      <c r="X278" s="53">
        <v>9.9</v>
      </c>
      <c r="Y278" s="54">
        <v>162</v>
      </c>
      <c r="Z278" s="53">
        <v>45.23</v>
      </c>
      <c r="AA278" s="55"/>
      <c r="AB278" s="10" t="s">
        <v>78</v>
      </c>
      <c r="AC278" s="56"/>
      <c r="AD278" s="63" t="s">
        <v>483</v>
      </c>
      <c r="AE278" s="18">
        <f>Table46[[#This Row],[MOIS.]]*Table46[[#This Row],[NET WT KGS]]</f>
        <v>449192.7</v>
      </c>
      <c r="AF278" s="18">
        <f>Table46[[#This Row],[KOR]]*Table46[[#This Row],[NET WT KGS]]</f>
        <v>2052220.7899999998</v>
      </c>
      <c r="AG278">
        <f>Table46[[#This Row],[NET WT KGS]]*Table46[[#This Row],[NUT COUNT]]</f>
        <v>7350426</v>
      </c>
    </row>
    <row r="279" spans="1:33" x14ac:dyDescent="0.35">
      <c r="A279" s="32">
        <f t="shared" si="28"/>
        <v>277</v>
      </c>
      <c r="B279" s="75">
        <v>46092</v>
      </c>
      <c r="C279" s="75">
        <v>46093</v>
      </c>
      <c r="D279" s="50" t="s">
        <v>38</v>
      </c>
      <c r="E279" s="50" t="s">
        <v>39</v>
      </c>
      <c r="F279" s="50" t="s">
        <v>40</v>
      </c>
      <c r="G279" s="10" t="s">
        <v>41</v>
      </c>
      <c r="H279" s="66" t="s">
        <v>136</v>
      </c>
      <c r="I279" s="66" t="s">
        <v>137</v>
      </c>
      <c r="J279" s="50" t="s">
        <v>138</v>
      </c>
      <c r="K279" s="21" t="s">
        <v>139</v>
      </c>
      <c r="L279" s="50">
        <v>234</v>
      </c>
      <c r="M279" s="10">
        <v>82124</v>
      </c>
      <c r="N279" s="50">
        <v>504</v>
      </c>
      <c r="O279" s="51">
        <f t="shared" si="31"/>
        <v>41820</v>
      </c>
      <c r="P279" s="51">
        <v>41316</v>
      </c>
      <c r="Q279" s="50">
        <v>489</v>
      </c>
      <c r="R279" s="67">
        <v>0</v>
      </c>
      <c r="S279" s="50">
        <v>15</v>
      </c>
      <c r="T279" s="10">
        <f t="shared" si="30"/>
        <v>60</v>
      </c>
      <c r="U279" s="51">
        <f>Table46[[#This Row],[NET WT KGS]]-Table46[[#This Row],[Refraction]]</f>
        <v>41256</v>
      </c>
      <c r="V279" s="23">
        <v>485</v>
      </c>
      <c r="W279" s="23">
        <f>Table46[[#This Row],[PRICE]]*Table46[[#This Row],[PAID WT]]</f>
        <v>20009160</v>
      </c>
      <c r="X279" s="53">
        <v>7.8</v>
      </c>
      <c r="Y279" s="54">
        <v>180</v>
      </c>
      <c r="Z279" s="53">
        <v>45.58</v>
      </c>
      <c r="AA279" s="55"/>
      <c r="AB279" s="50" t="s">
        <v>140</v>
      </c>
      <c r="AC279" s="56"/>
      <c r="AD279" s="63" t="s">
        <v>483</v>
      </c>
      <c r="AE279" s="18">
        <f>Table46[[#This Row],[MOIS.]]*Table46[[#This Row],[NET WT KGS]]</f>
        <v>322264.8</v>
      </c>
      <c r="AF279" s="18">
        <f>Table46[[#This Row],[KOR]]*Table46[[#This Row],[NET WT KGS]]</f>
        <v>1883183.28</v>
      </c>
      <c r="AG279">
        <f>Table46[[#This Row],[NET WT KGS]]*Table46[[#This Row],[NUT COUNT]]</f>
        <v>7436880</v>
      </c>
    </row>
    <row r="280" spans="1:33" x14ac:dyDescent="0.35">
      <c r="A280" s="32">
        <f t="shared" si="28"/>
        <v>278</v>
      </c>
      <c r="B280" s="75">
        <v>46092</v>
      </c>
      <c r="C280" s="75">
        <v>46093</v>
      </c>
      <c r="D280" s="50" t="s">
        <v>38</v>
      </c>
      <c r="E280" s="50" t="s">
        <v>39</v>
      </c>
      <c r="F280" s="50" t="s">
        <v>40</v>
      </c>
      <c r="G280" s="10" t="s">
        <v>350</v>
      </c>
      <c r="H280" s="10" t="s">
        <v>105</v>
      </c>
      <c r="I280" s="10" t="s">
        <v>106</v>
      </c>
      <c r="J280" s="50" t="s">
        <v>510</v>
      </c>
      <c r="K280" s="33" t="s">
        <v>108</v>
      </c>
      <c r="L280" s="50">
        <v>232</v>
      </c>
      <c r="M280" s="10">
        <v>77659</v>
      </c>
      <c r="N280" s="50">
        <v>482</v>
      </c>
      <c r="O280" s="51">
        <f t="shared" si="31"/>
        <v>40180</v>
      </c>
      <c r="P280" s="51">
        <v>39698</v>
      </c>
      <c r="Q280" s="50">
        <v>474</v>
      </c>
      <c r="R280" s="67">
        <v>0</v>
      </c>
      <c r="S280" s="50">
        <v>8</v>
      </c>
      <c r="T280" s="10">
        <f t="shared" si="30"/>
        <v>32</v>
      </c>
      <c r="U280" s="51">
        <f>Table46[[#This Row],[NET WT KGS]]-Table46[[#This Row],[Refraction]]</f>
        <v>39666</v>
      </c>
      <c r="V280" s="23">
        <v>490</v>
      </c>
      <c r="W280" s="23">
        <f>Table46[[#This Row],[PRICE]]*Table46[[#This Row],[PAID WT]]</f>
        <v>19436340</v>
      </c>
      <c r="X280" s="53">
        <v>9</v>
      </c>
      <c r="Y280" s="54">
        <v>182</v>
      </c>
      <c r="Z280" s="53">
        <v>46.11</v>
      </c>
      <c r="AA280" s="55"/>
      <c r="AB280" s="50" t="s">
        <v>140</v>
      </c>
      <c r="AC280" s="56"/>
      <c r="AD280" s="63" t="s">
        <v>483</v>
      </c>
      <c r="AE280" s="18">
        <f>Table46[[#This Row],[MOIS.]]*Table46[[#This Row],[NET WT KGS]]</f>
        <v>357282</v>
      </c>
      <c r="AF280" s="18">
        <f>Table46[[#This Row],[KOR]]*Table46[[#This Row],[NET WT KGS]]</f>
        <v>1830474.78</v>
      </c>
      <c r="AG280">
        <f>Table46[[#This Row],[NET WT KGS]]*Table46[[#This Row],[NUT COUNT]]</f>
        <v>7225036</v>
      </c>
    </row>
    <row r="281" spans="1:33" x14ac:dyDescent="0.35">
      <c r="A281" s="32">
        <f t="shared" si="28"/>
        <v>279</v>
      </c>
      <c r="B281" s="75">
        <v>46092</v>
      </c>
      <c r="C281" s="75">
        <v>46093</v>
      </c>
      <c r="D281" s="50" t="s">
        <v>38</v>
      </c>
      <c r="E281" s="50" t="s">
        <v>39</v>
      </c>
      <c r="F281" s="50" t="s">
        <v>40</v>
      </c>
      <c r="G281" s="10" t="s">
        <v>41</v>
      </c>
      <c r="H281" s="10" t="s">
        <v>215</v>
      </c>
      <c r="I281" s="10" t="s">
        <v>216</v>
      </c>
      <c r="J281" s="50" t="s">
        <v>511</v>
      </c>
      <c r="K281" s="33" t="s">
        <v>218</v>
      </c>
      <c r="L281" s="50">
        <v>235</v>
      </c>
      <c r="M281" s="10">
        <v>82149</v>
      </c>
      <c r="N281" s="50">
        <v>477</v>
      </c>
      <c r="O281" s="51">
        <f t="shared" si="31"/>
        <v>41080</v>
      </c>
      <c r="P281" s="51">
        <v>40603</v>
      </c>
      <c r="Q281" s="50">
        <v>470</v>
      </c>
      <c r="R281" s="67">
        <v>0</v>
      </c>
      <c r="S281" s="50">
        <v>7</v>
      </c>
      <c r="T281" s="10">
        <f t="shared" si="30"/>
        <v>28</v>
      </c>
      <c r="U281" s="51">
        <f>Table46[[#This Row],[NET WT KGS]]-Table46[[#This Row],[Refraction]]</f>
        <v>40575</v>
      </c>
      <c r="V281" s="23">
        <v>495</v>
      </c>
      <c r="W281" s="23">
        <f>Table46[[#This Row],[PRICE]]*Table46[[#This Row],[PAID WT]]</f>
        <v>20084625</v>
      </c>
      <c r="X281" s="53">
        <v>9.4</v>
      </c>
      <c r="Y281" s="54">
        <v>186</v>
      </c>
      <c r="Z281" s="53">
        <v>46.11</v>
      </c>
      <c r="AA281" s="55"/>
      <c r="AB281" s="50" t="s">
        <v>367</v>
      </c>
      <c r="AC281" s="56"/>
      <c r="AD281" s="63" t="s">
        <v>483</v>
      </c>
      <c r="AE281" s="18">
        <f>Table46[[#This Row],[MOIS.]]*Table46[[#This Row],[NET WT KGS]]</f>
        <v>381668.2</v>
      </c>
      <c r="AF281" s="18">
        <f>Table46[[#This Row],[KOR]]*Table46[[#This Row],[NET WT KGS]]</f>
        <v>1872204.33</v>
      </c>
      <c r="AG281">
        <f>Table46[[#This Row],[NET WT KGS]]*Table46[[#This Row],[NUT COUNT]]</f>
        <v>7552158</v>
      </c>
    </row>
    <row r="282" spans="1:33" x14ac:dyDescent="0.35">
      <c r="A282" s="32">
        <f t="shared" si="28"/>
        <v>280</v>
      </c>
      <c r="B282" s="75">
        <v>46093</v>
      </c>
      <c r="C282" s="75">
        <v>46093</v>
      </c>
      <c r="D282" s="50" t="s">
        <v>38</v>
      </c>
      <c r="E282" s="50" t="s">
        <v>39</v>
      </c>
      <c r="F282" s="50" t="s">
        <v>40</v>
      </c>
      <c r="G282" s="10" t="s">
        <v>350</v>
      </c>
      <c r="H282" s="10" t="s">
        <v>235</v>
      </c>
      <c r="I282" s="10" t="s">
        <v>236</v>
      </c>
      <c r="J282" s="50" t="s">
        <v>512</v>
      </c>
      <c r="K282" s="33" t="s">
        <v>238</v>
      </c>
      <c r="L282" s="50">
        <v>237</v>
      </c>
      <c r="M282" s="10">
        <v>72647</v>
      </c>
      <c r="N282" s="50">
        <v>516</v>
      </c>
      <c r="O282" s="51">
        <f t="shared" si="31"/>
        <v>40300</v>
      </c>
      <c r="P282" s="51">
        <v>39784</v>
      </c>
      <c r="Q282" s="50">
        <v>506</v>
      </c>
      <c r="R282" s="67">
        <v>0</v>
      </c>
      <c r="S282" s="50">
        <v>10</v>
      </c>
      <c r="T282" s="10">
        <f t="shared" si="30"/>
        <v>40</v>
      </c>
      <c r="U282" s="51">
        <f>Table46[[#This Row],[NET WT KGS]]-Table46[[#This Row],[Refraction]]</f>
        <v>39744</v>
      </c>
      <c r="V282" s="23">
        <v>485</v>
      </c>
      <c r="W282" s="23">
        <f>Table46[[#This Row],[PRICE]]*Table46[[#This Row],[PAID WT]]</f>
        <v>19275840</v>
      </c>
      <c r="X282" s="53">
        <v>7.5</v>
      </c>
      <c r="Y282" s="54">
        <v>166</v>
      </c>
      <c r="Z282" s="53">
        <v>45.4</v>
      </c>
      <c r="AA282" s="55"/>
      <c r="AB282" s="50" t="s">
        <v>429</v>
      </c>
      <c r="AC282" s="56"/>
      <c r="AD282" s="63" t="s">
        <v>483</v>
      </c>
      <c r="AE282" s="18">
        <f>Table46[[#This Row],[MOIS.]]*Table46[[#This Row],[NET WT KGS]]</f>
        <v>298380</v>
      </c>
      <c r="AF282" s="18">
        <f>Table46[[#This Row],[KOR]]*Table46[[#This Row],[NET WT KGS]]</f>
        <v>1806193.5999999999</v>
      </c>
      <c r="AG282">
        <f>Table46[[#This Row],[NET WT KGS]]*Table46[[#This Row],[NUT COUNT]]</f>
        <v>6604144</v>
      </c>
    </row>
    <row r="283" spans="1:33" x14ac:dyDescent="0.35">
      <c r="A283" s="32">
        <f t="shared" si="28"/>
        <v>281</v>
      </c>
      <c r="B283" s="75">
        <v>46093</v>
      </c>
      <c r="C283" s="75">
        <v>46093</v>
      </c>
      <c r="D283" s="50" t="s">
        <v>38</v>
      </c>
      <c r="E283" s="50" t="s">
        <v>39</v>
      </c>
      <c r="F283" s="50" t="s">
        <v>40</v>
      </c>
      <c r="G283" s="10" t="s">
        <v>41</v>
      </c>
      <c r="H283" s="66" t="s">
        <v>123</v>
      </c>
      <c r="I283" s="66" t="s">
        <v>124</v>
      </c>
      <c r="J283" s="50" t="s">
        <v>190</v>
      </c>
      <c r="K283" s="21" t="s">
        <v>161</v>
      </c>
      <c r="L283" s="50">
        <v>236</v>
      </c>
      <c r="M283" s="10">
        <v>72635</v>
      </c>
      <c r="N283" s="50">
        <v>502</v>
      </c>
      <c r="O283" s="51">
        <f t="shared" si="31"/>
        <v>37800</v>
      </c>
      <c r="P283" s="51">
        <v>37298</v>
      </c>
      <c r="Q283" s="50">
        <v>487</v>
      </c>
      <c r="R283" s="67">
        <v>0</v>
      </c>
      <c r="S283" s="50">
        <v>15</v>
      </c>
      <c r="T283" s="10">
        <f t="shared" si="30"/>
        <v>60</v>
      </c>
      <c r="U283" s="51">
        <f>Table46[[#This Row],[NET WT KGS]]-Table46[[#This Row],[Refraction]]</f>
        <v>37238</v>
      </c>
      <c r="V283" s="23">
        <v>485</v>
      </c>
      <c r="W283" s="23">
        <f>Table46[[#This Row],[PRICE]]*Table46[[#This Row],[PAID WT]]</f>
        <v>18060430</v>
      </c>
      <c r="X283" s="53">
        <v>11.6</v>
      </c>
      <c r="Y283" s="54">
        <v>182</v>
      </c>
      <c r="Z283" s="53">
        <v>45.4</v>
      </c>
      <c r="AA283" s="55"/>
      <c r="AB283" s="50" t="s">
        <v>513</v>
      </c>
      <c r="AC283" s="56"/>
      <c r="AD283" s="63" t="s">
        <v>483</v>
      </c>
      <c r="AE283" s="18">
        <f>Table46[[#This Row],[MOIS.]]*Table46[[#This Row],[NET WT KGS]]</f>
        <v>432656.8</v>
      </c>
      <c r="AF283" s="18">
        <f>Table46[[#This Row],[KOR]]*Table46[[#This Row],[NET WT KGS]]</f>
        <v>1693329.2</v>
      </c>
      <c r="AG283">
        <f>Table46[[#This Row],[NET WT KGS]]*Table46[[#This Row],[NUT COUNT]]</f>
        <v>6788236</v>
      </c>
    </row>
    <row r="284" spans="1:33" x14ac:dyDescent="0.35">
      <c r="A284" s="32">
        <f t="shared" si="28"/>
        <v>282</v>
      </c>
      <c r="B284" s="75">
        <v>46093</v>
      </c>
      <c r="C284" s="75">
        <v>46093</v>
      </c>
      <c r="D284" s="50" t="s">
        <v>38</v>
      </c>
      <c r="E284" s="50" t="s">
        <v>39</v>
      </c>
      <c r="F284" s="50" t="s">
        <v>40</v>
      </c>
      <c r="G284" s="10" t="s">
        <v>350</v>
      </c>
      <c r="H284" s="66" t="s">
        <v>280</v>
      </c>
      <c r="I284" s="66" t="s">
        <v>281</v>
      </c>
      <c r="J284" s="50" t="s">
        <v>514</v>
      </c>
      <c r="K284" s="21" t="s">
        <v>283</v>
      </c>
      <c r="L284" s="50">
        <v>239</v>
      </c>
      <c r="M284" s="10">
        <v>64887</v>
      </c>
      <c r="N284" s="50">
        <v>517</v>
      </c>
      <c r="O284" s="51">
        <f t="shared" si="31"/>
        <v>43420</v>
      </c>
      <c r="P284" s="51">
        <v>42903</v>
      </c>
      <c r="Q284" s="50">
        <v>502</v>
      </c>
      <c r="R284" s="67">
        <v>0</v>
      </c>
      <c r="S284" s="50">
        <v>15</v>
      </c>
      <c r="T284" s="10">
        <f t="shared" si="30"/>
        <v>60</v>
      </c>
      <c r="U284" s="51">
        <f>Table46[[#This Row],[NET WT KGS]]-Table46[[#This Row],[Refraction]]</f>
        <v>42843</v>
      </c>
      <c r="V284" s="23">
        <v>485</v>
      </c>
      <c r="W284" s="23">
        <f>Table46[[#This Row],[PRICE]]*Table46[[#This Row],[PAID WT]]</f>
        <v>20778855</v>
      </c>
      <c r="X284" s="53">
        <v>10.3</v>
      </c>
      <c r="Y284" s="54">
        <v>182</v>
      </c>
      <c r="Z284" s="53">
        <v>45.4</v>
      </c>
      <c r="AA284" s="55"/>
      <c r="AB284" s="50" t="s">
        <v>140</v>
      </c>
      <c r="AC284" s="56"/>
      <c r="AD284" s="63" t="s">
        <v>483</v>
      </c>
      <c r="AE284" s="18">
        <f>Table46[[#This Row],[MOIS.]]*Table46[[#This Row],[NET WT KGS]]</f>
        <v>441900.9</v>
      </c>
      <c r="AF284" s="18">
        <f>Table46[[#This Row],[KOR]]*Table46[[#This Row],[NET WT KGS]]</f>
        <v>1947796.2</v>
      </c>
      <c r="AG284">
        <f>Table46[[#This Row],[NET WT KGS]]*Table46[[#This Row],[NUT COUNT]]</f>
        <v>7808346</v>
      </c>
    </row>
    <row r="285" spans="1:33" x14ac:dyDescent="0.35">
      <c r="A285" s="32">
        <f t="shared" si="28"/>
        <v>283</v>
      </c>
      <c r="B285" s="75">
        <v>46093</v>
      </c>
      <c r="C285" s="75">
        <v>46093</v>
      </c>
      <c r="D285" s="50" t="s">
        <v>38</v>
      </c>
      <c r="E285" s="50" t="s">
        <v>39</v>
      </c>
      <c r="F285" s="50" t="s">
        <v>40</v>
      </c>
      <c r="G285" s="10" t="s">
        <v>350</v>
      </c>
      <c r="H285" s="67" t="s">
        <v>286</v>
      </c>
      <c r="I285" s="67" t="s">
        <v>287</v>
      </c>
      <c r="J285" s="50" t="s">
        <v>288</v>
      </c>
      <c r="K285" s="21" t="s">
        <v>289</v>
      </c>
      <c r="L285" s="50">
        <v>238</v>
      </c>
      <c r="M285" s="10">
        <v>82114</v>
      </c>
      <c r="N285" s="50">
        <v>466</v>
      </c>
      <c r="O285" s="51">
        <f t="shared" si="31"/>
        <v>40420</v>
      </c>
      <c r="P285" s="51">
        <v>39954</v>
      </c>
      <c r="Q285" s="50">
        <v>460</v>
      </c>
      <c r="R285" s="67">
        <v>0</v>
      </c>
      <c r="S285" s="50">
        <v>6</v>
      </c>
      <c r="T285" s="10">
        <f t="shared" si="30"/>
        <v>24</v>
      </c>
      <c r="U285" s="51">
        <f>Table46[[#This Row],[NET WT KGS]]-Table46[[#This Row],[Refraction]]</f>
        <v>39930</v>
      </c>
      <c r="V285" s="23">
        <v>485</v>
      </c>
      <c r="W285" s="23">
        <f>Table46[[#This Row],[PRICE]]*Table46[[#This Row],[PAID WT]]</f>
        <v>19366050</v>
      </c>
      <c r="X285" s="53">
        <v>7.8</v>
      </c>
      <c r="Y285" s="54">
        <v>165</v>
      </c>
      <c r="Z285" s="53">
        <v>45.58</v>
      </c>
      <c r="AA285" s="55"/>
      <c r="AB285" s="50" t="s">
        <v>46</v>
      </c>
      <c r="AC285" s="56"/>
      <c r="AD285" s="63" t="s">
        <v>483</v>
      </c>
      <c r="AE285" s="18">
        <f>Table46[[#This Row],[MOIS.]]*Table46[[#This Row],[NET WT KGS]]</f>
        <v>311641.2</v>
      </c>
      <c r="AF285" s="18">
        <f>Table46[[#This Row],[KOR]]*Table46[[#This Row],[NET WT KGS]]</f>
        <v>1821103.3199999998</v>
      </c>
      <c r="AG285">
        <f>Table46[[#This Row],[NET WT KGS]]*Table46[[#This Row],[NUT COUNT]]</f>
        <v>6592410</v>
      </c>
    </row>
    <row r="286" spans="1:33" x14ac:dyDescent="0.35">
      <c r="A286" s="32">
        <f t="shared" si="28"/>
        <v>284</v>
      </c>
      <c r="B286" s="75">
        <v>46093</v>
      </c>
      <c r="C286" s="75">
        <v>46093</v>
      </c>
      <c r="D286" s="50" t="s">
        <v>38</v>
      </c>
      <c r="E286" s="50" t="s">
        <v>39</v>
      </c>
      <c r="F286" s="50" t="s">
        <v>40</v>
      </c>
      <c r="G286" s="10" t="s">
        <v>86</v>
      </c>
      <c r="H286" s="10" t="s">
        <v>215</v>
      </c>
      <c r="I286" s="10" t="s">
        <v>216</v>
      </c>
      <c r="J286" s="50" t="s">
        <v>515</v>
      </c>
      <c r="K286" s="33" t="s">
        <v>218</v>
      </c>
      <c r="L286" s="50">
        <v>240</v>
      </c>
      <c r="M286" s="10">
        <v>68668</v>
      </c>
      <c r="N286" s="50">
        <v>522</v>
      </c>
      <c r="O286" s="51">
        <f t="shared" si="31"/>
        <v>45460</v>
      </c>
      <c r="P286" s="51">
        <v>44938</v>
      </c>
      <c r="Q286" s="50">
        <v>510</v>
      </c>
      <c r="R286" s="67">
        <v>0</v>
      </c>
      <c r="S286" s="50">
        <v>12</v>
      </c>
      <c r="T286" s="10">
        <f t="shared" si="30"/>
        <v>48</v>
      </c>
      <c r="U286" s="51">
        <f>Table46[[#This Row],[NET WT KGS]]-Table46[[#This Row],[Refraction]]</f>
        <v>44890</v>
      </c>
      <c r="V286" s="23">
        <v>495</v>
      </c>
      <c r="W286" s="23">
        <f>Table46[[#This Row],[PRICE]]*Table46[[#This Row],[PAID WT]]</f>
        <v>22220550</v>
      </c>
      <c r="X286" s="53">
        <v>9.4</v>
      </c>
      <c r="Y286" s="54">
        <v>183</v>
      </c>
      <c r="Z286" s="53">
        <v>47.08</v>
      </c>
      <c r="AA286" s="55"/>
      <c r="AB286" s="50" t="s">
        <v>324</v>
      </c>
      <c r="AC286" s="56"/>
      <c r="AD286" s="63" t="s">
        <v>483</v>
      </c>
      <c r="AE286" s="18">
        <f>Table46[[#This Row],[MOIS.]]*Table46[[#This Row],[NET WT KGS]]</f>
        <v>422417.2</v>
      </c>
      <c r="AF286" s="18">
        <f>Table46[[#This Row],[KOR]]*Table46[[#This Row],[NET WT KGS]]</f>
        <v>2115681.04</v>
      </c>
      <c r="AG286">
        <f>Table46[[#This Row],[NET WT KGS]]*Table46[[#This Row],[NUT COUNT]]</f>
        <v>8223654</v>
      </c>
    </row>
    <row r="287" spans="1:33" x14ac:dyDescent="0.35">
      <c r="A287" s="32">
        <f t="shared" si="28"/>
        <v>285</v>
      </c>
      <c r="B287" s="35">
        <v>46093</v>
      </c>
      <c r="C287" s="35">
        <f>Table46[[#This Row],[DATE OF ARRIVAL]]</f>
        <v>46093</v>
      </c>
      <c r="D287" s="36" t="s">
        <v>38</v>
      </c>
      <c r="E287" s="36" t="s">
        <v>39</v>
      </c>
      <c r="F287" s="36" t="s">
        <v>40</v>
      </c>
      <c r="G287" s="74"/>
      <c r="H287" s="74" t="s">
        <v>123</v>
      </c>
      <c r="I287" s="74" t="s">
        <v>124</v>
      </c>
      <c r="J287" s="36" t="s">
        <v>516</v>
      </c>
      <c r="K287" s="36"/>
      <c r="L287" s="36"/>
      <c r="M287" s="74"/>
      <c r="N287" s="36"/>
      <c r="O287" s="37">
        <f t="shared" si="31"/>
        <v>0</v>
      </c>
      <c r="P287" s="37"/>
      <c r="Q287" s="36"/>
      <c r="R287" s="86"/>
      <c r="S287" s="36"/>
      <c r="T287" s="36">
        <f t="shared" si="30"/>
        <v>0</v>
      </c>
      <c r="U287" s="37">
        <f>Table46[[#This Row],[NET WT KGS]]-Table46[[#This Row],[Refraction]]</f>
        <v>0</v>
      </c>
      <c r="V287" s="38"/>
      <c r="W287" s="38">
        <f>Table46[[#This Row],[PRICE]]*Table46[[#This Row],[PAID WT]]</f>
        <v>0</v>
      </c>
      <c r="X287" s="39">
        <v>13</v>
      </c>
      <c r="Y287" s="40">
        <v>177</v>
      </c>
      <c r="Z287" s="39">
        <v>43.29</v>
      </c>
      <c r="AA287" s="41"/>
      <c r="AB287" s="36" t="s">
        <v>58</v>
      </c>
      <c r="AC287" s="42" t="s">
        <v>70</v>
      </c>
      <c r="AD287" s="99"/>
      <c r="AE287" s="18">
        <f>Table46[[#This Row],[MOIS.]]*Table46[[#This Row],[NET WT KGS]]</f>
        <v>0</v>
      </c>
      <c r="AF287" s="18">
        <f>Table46[[#This Row],[KOR]]*Table46[[#This Row],[NET WT KGS]]</f>
        <v>0</v>
      </c>
      <c r="AG287">
        <f>Table46[[#This Row],[NET WT KGS]]*Table46[[#This Row],[NUT COUNT]]</f>
        <v>0</v>
      </c>
    </row>
    <row r="288" spans="1:33" x14ac:dyDescent="0.35">
      <c r="A288" s="32">
        <f t="shared" si="28"/>
        <v>286</v>
      </c>
      <c r="B288" s="35">
        <v>46093</v>
      </c>
      <c r="C288" s="35">
        <f>Table46[[#This Row],[DATE OF ARRIVAL]]</f>
        <v>46093</v>
      </c>
      <c r="D288" s="36" t="s">
        <v>38</v>
      </c>
      <c r="E288" s="36" t="s">
        <v>39</v>
      </c>
      <c r="F288" s="36" t="s">
        <v>40</v>
      </c>
      <c r="G288" s="74"/>
      <c r="H288" s="74" t="s">
        <v>338</v>
      </c>
      <c r="I288" s="74" t="s">
        <v>317</v>
      </c>
      <c r="J288" s="36" t="s">
        <v>339</v>
      </c>
      <c r="K288" s="36"/>
      <c r="L288" s="36"/>
      <c r="M288" s="74"/>
      <c r="N288" s="36"/>
      <c r="O288" s="37">
        <f t="shared" si="31"/>
        <v>0</v>
      </c>
      <c r="P288" s="37"/>
      <c r="Q288" s="36"/>
      <c r="R288" s="86"/>
      <c r="S288" s="36"/>
      <c r="T288" s="36"/>
      <c r="U288" s="37">
        <f>Table46[[#This Row],[NET WT KGS]]-Table46[[#This Row],[Refraction]]</f>
        <v>0</v>
      </c>
      <c r="V288" s="38"/>
      <c r="W288" s="38">
        <f>Table46[[#This Row],[PRICE]]*Table46[[#This Row],[PAID WT]]</f>
        <v>0</v>
      </c>
      <c r="X288" s="39">
        <v>11</v>
      </c>
      <c r="Y288" s="40">
        <v>174</v>
      </c>
      <c r="Z288" s="39">
        <v>43.82</v>
      </c>
      <c r="AA288" s="41"/>
      <c r="AB288" s="36" t="s">
        <v>284</v>
      </c>
      <c r="AC288" s="42" t="s">
        <v>70</v>
      </c>
      <c r="AD288" s="99"/>
      <c r="AE288" s="18">
        <f>Table46[[#This Row],[MOIS.]]*Table46[[#This Row],[NET WT KGS]]</f>
        <v>0</v>
      </c>
      <c r="AF288" s="18">
        <f>Table46[[#This Row],[KOR]]*Table46[[#This Row],[NET WT KGS]]</f>
        <v>0</v>
      </c>
      <c r="AG288">
        <f>Table46[[#This Row],[NET WT KGS]]*Table46[[#This Row],[NUT COUNT]]</f>
        <v>0</v>
      </c>
    </row>
    <row r="289" spans="1:33" x14ac:dyDescent="0.35">
      <c r="A289" s="32">
        <f t="shared" si="28"/>
        <v>287</v>
      </c>
      <c r="B289" s="35">
        <v>46093</v>
      </c>
      <c r="C289" s="35">
        <f>Table46[[#This Row],[DATE OF ARRIVAL]]</f>
        <v>46093</v>
      </c>
      <c r="D289" s="36" t="s">
        <v>38</v>
      </c>
      <c r="E289" s="36" t="s">
        <v>258</v>
      </c>
      <c r="F289" s="36" t="s">
        <v>40</v>
      </c>
      <c r="G289" s="36"/>
      <c r="H289" s="36" t="s">
        <v>335</v>
      </c>
      <c r="I289" s="36" t="s">
        <v>66</v>
      </c>
      <c r="J289" s="36" t="s">
        <v>517</v>
      </c>
      <c r="K289" s="36"/>
      <c r="L289" s="36"/>
      <c r="M289" s="36"/>
      <c r="N289" s="36"/>
      <c r="O289" s="37">
        <f t="shared" si="31"/>
        <v>0</v>
      </c>
      <c r="P289" s="37"/>
      <c r="Q289" s="36"/>
      <c r="R289" s="86"/>
      <c r="S289" s="36"/>
      <c r="T289" s="36"/>
      <c r="U289" s="37">
        <f>Table46[[#This Row],[NET WT KGS]]-Table46[[#This Row],[Refraction]]</f>
        <v>0</v>
      </c>
      <c r="V289" s="38"/>
      <c r="W289" s="38">
        <f>Table46[[#This Row],[PRICE]]*Table46[[#This Row],[PAID WT]]</f>
        <v>0</v>
      </c>
      <c r="X289" s="39">
        <v>9.5</v>
      </c>
      <c r="Y289" s="40">
        <v>171</v>
      </c>
      <c r="Z289" s="39">
        <v>43.64</v>
      </c>
      <c r="AA289" s="41"/>
      <c r="AB289" s="36" t="s">
        <v>58</v>
      </c>
      <c r="AC289" s="42" t="s">
        <v>70</v>
      </c>
      <c r="AD289" s="99"/>
      <c r="AE289" s="18">
        <f>Table46[[#This Row],[MOIS.]]*Table46[[#This Row],[NET WT KGS]]</f>
        <v>0</v>
      </c>
      <c r="AF289" s="18">
        <f>Table46[[#This Row],[KOR]]*Table46[[#This Row],[NET WT KGS]]</f>
        <v>0</v>
      </c>
      <c r="AG289">
        <f>Table46[[#This Row],[NET WT KGS]]*Table46[[#This Row],[NUT COUNT]]</f>
        <v>0</v>
      </c>
    </row>
    <row r="290" spans="1:33" x14ac:dyDescent="0.35">
      <c r="A290" s="32">
        <f t="shared" si="28"/>
        <v>288</v>
      </c>
      <c r="B290" s="35">
        <v>46093</v>
      </c>
      <c r="C290" s="35">
        <f>Table46[[#This Row],[DATE OF ARRIVAL]]</f>
        <v>46093</v>
      </c>
      <c r="D290" s="36" t="s">
        <v>38</v>
      </c>
      <c r="E290" s="36" t="s">
        <v>39</v>
      </c>
      <c r="F290" s="36" t="s">
        <v>40</v>
      </c>
      <c r="G290" s="36"/>
      <c r="H290" s="36" t="s">
        <v>202</v>
      </c>
      <c r="I290" s="36" t="s">
        <v>203</v>
      </c>
      <c r="J290" s="36" t="s">
        <v>204</v>
      </c>
      <c r="K290" s="36"/>
      <c r="L290" s="36"/>
      <c r="M290" s="36"/>
      <c r="N290" s="36"/>
      <c r="O290" s="37">
        <f t="shared" si="31"/>
        <v>0</v>
      </c>
      <c r="P290" s="37"/>
      <c r="Q290" s="36"/>
      <c r="R290" s="86"/>
      <c r="S290" s="36"/>
      <c r="T290" s="36"/>
      <c r="U290" s="37">
        <f>Table46[[#This Row],[NET WT KGS]]-Table46[[#This Row],[Refraction]]</f>
        <v>0</v>
      </c>
      <c r="V290" s="38"/>
      <c r="W290" s="38">
        <f>Table46[[#This Row],[PRICE]]*Table46[[#This Row],[PAID WT]]</f>
        <v>0</v>
      </c>
      <c r="X290" s="39">
        <v>7.6</v>
      </c>
      <c r="Y290" s="40">
        <v>177</v>
      </c>
      <c r="Z290" s="39">
        <v>44.17</v>
      </c>
      <c r="AA290" s="41"/>
      <c r="AB290" s="36" t="s">
        <v>46</v>
      </c>
      <c r="AC290" s="42" t="s">
        <v>70</v>
      </c>
      <c r="AD290" s="99"/>
      <c r="AE290" s="18">
        <f>Table46[[#This Row],[MOIS.]]*Table46[[#This Row],[NET WT KGS]]</f>
        <v>0</v>
      </c>
      <c r="AF290" s="18">
        <f>Table46[[#This Row],[KOR]]*Table46[[#This Row],[NET WT KGS]]</f>
        <v>0</v>
      </c>
      <c r="AG290">
        <f>Table46[[#This Row],[NET WT KGS]]*Table46[[#This Row],[NUT COUNT]]</f>
        <v>0</v>
      </c>
    </row>
    <row r="291" spans="1:33" x14ac:dyDescent="0.35">
      <c r="A291" s="32">
        <f t="shared" si="28"/>
        <v>289</v>
      </c>
      <c r="B291" s="35">
        <v>46093</v>
      </c>
      <c r="C291" s="35">
        <f>Table46[[#This Row],[DATE OF ARRIVAL]]</f>
        <v>46093</v>
      </c>
      <c r="D291" s="36" t="s">
        <v>38</v>
      </c>
      <c r="E291" s="36" t="s">
        <v>39</v>
      </c>
      <c r="F291" s="36" t="s">
        <v>40</v>
      </c>
      <c r="G291" s="36"/>
      <c r="H291" s="36" t="s">
        <v>54</v>
      </c>
      <c r="I291" s="36" t="s">
        <v>55</v>
      </c>
      <c r="J291" s="36" t="s">
        <v>518</v>
      </c>
      <c r="K291" s="36"/>
      <c r="L291" s="36"/>
      <c r="M291" s="36"/>
      <c r="N291" s="36"/>
      <c r="O291" s="37">
        <f t="shared" si="31"/>
        <v>0</v>
      </c>
      <c r="P291" s="37"/>
      <c r="Q291" s="36"/>
      <c r="R291" s="86"/>
      <c r="S291" s="36"/>
      <c r="T291" s="36"/>
      <c r="U291" s="37">
        <f>Table46[[#This Row],[NET WT KGS]]-Table46[[#This Row],[Refraction]]</f>
        <v>0</v>
      </c>
      <c r="V291" s="38"/>
      <c r="W291" s="38">
        <f>Table46[[#This Row],[PRICE]]*Table46[[#This Row],[PAID WT]]</f>
        <v>0</v>
      </c>
      <c r="X291" s="39">
        <v>11.7</v>
      </c>
      <c r="Y291" s="40">
        <v>167</v>
      </c>
      <c r="Z291" s="39">
        <v>43.47</v>
      </c>
      <c r="AA291" s="41"/>
      <c r="AB291" s="36" t="s">
        <v>58</v>
      </c>
      <c r="AC291" s="42" t="s">
        <v>70</v>
      </c>
      <c r="AD291" s="99"/>
      <c r="AE291" s="18">
        <f>Table46[[#This Row],[MOIS.]]*Table46[[#This Row],[NET WT KGS]]</f>
        <v>0</v>
      </c>
      <c r="AF291" s="18">
        <f>Table46[[#This Row],[KOR]]*Table46[[#This Row],[NET WT KGS]]</f>
        <v>0</v>
      </c>
      <c r="AG291">
        <f>Table46[[#This Row],[NET WT KGS]]*Table46[[#This Row],[NUT COUNT]]</f>
        <v>0</v>
      </c>
    </row>
    <row r="292" spans="1:33" x14ac:dyDescent="0.35">
      <c r="A292" s="32">
        <f t="shared" si="28"/>
        <v>290</v>
      </c>
      <c r="B292" s="35">
        <v>46093</v>
      </c>
      <c r="C292" s="35">
        <f>Table46[[#This Row],[DATE OF ARRIVAL]]</f>
        <v>46093</v>
      </c>
      <c r="D292" s="36" t="s">
        <v>38</v>
      </c>
      <c r="E292" s="36" t="s">
        <v>258</v>
      </c>
      <c r="F292" s="36" t="s">
        <v>40</v>
      </c>
      <c r="G292" s="36"/>
      <c r="H292" s="36" t="s">
        <v>376</v>
      </c>
      <c r="I292" s="36" t="s">
        <v>143</v>
      </c>
      <c r="J292" s="36" t="s">
        <v>519</v>
      </c>
      <c r="K292" s="36"/>
      <c r="L292" s="36"/>
      <c r="M292" s="36"/>
      <c r="N292" s="36"/>
      <c r="O292" s="37">
        <f t="shared" si="31"/>
        <v>0</v>
      </c>
      <c r="P292" s="37"/>
      <c r="Q292" s="36"/>
      <c r="R292" s="86"/>
      <c r="S292" s="36"/>
      <c r="T292" s="36"/>
      <c r="U292" s="37">
        <f>Table46[[#This Row],[NET WT KGS]]-Table46[[#This Row],[Refraction]]</f>
        <v>0</v>
      </c>
      <c r="V292" s="38"/>
      <c r="W292" s="38">
        <f>Table46[[#This Row],[PRICE]]*Table46[[#This Row],[PAID WT]]</f>
        <v>0</v>
      </c>
      <c r="X292" s="39">
        <v>11.6</v>
      </c>
      <c r="Y292" s="40">
        <v>183</v>
      </c>
      <c r="Z292" s="39">
        <v>43.82</v>
      </c>
      <c r="AA292" s="41"/>
      <c r="AB292" s="36" t="s">
        <v>429</v>
      </c>
      <c r="AC292" s="42" t="s">
        <v>70</v>
      </c>
      <c r="AD292" s="99"/>
      <c r="AE292" s="18">
        <f>Table46[[#This Row],[MOIS.]]*Table46[[#This Row],[NET WT KGS]]</f>
        <v>0</v>
      </c>
      <c r="AF292" s="18">
        <f>Table46[[#This Row],[KOR]]*Table46[[#This Row],[NET WT KGS]]</f>
        <v>0</v>
      </c>
      <c r="AG292">
        <f>Table46[[#This Row],[NET WT KGS]]*Table46[[#This Row],[NUT COUNT]]</f>
        <v>0</v>
      </c>
    </row>
    <row r="293" spans="1:33" x14ac:dyDescent="0.35">
      <c r="A293" s="32">
        <f t="shared" si="28"/>
        <v>291</v>
      </c>
      <c r="B293" s="35">
        <v>46093</v>
      </c>
      <c r="C293" s="35">
        <f>Table46[[#This Row],[DATE OF ARRIVAL]]</f>
        <v>46093</v>
      </c>
      <c r="D293" s="36" t="s">
        <v>38</v>
      </c>
      <c r="E293" s="36" t="s">
        <v>258</v>
      </c>
      <c r="F293" s="36" t="s">
        <v>40</v>
      </c>
      <c r="G293" s="74"/>
      <c r="H293" s="74" t="s">
        <v>259</v>
      </c>
      <c r="I293" s="74" t="s">
        <v>60</v>
      </c>
      <c r="J293" s="36" t="s">
        <v>520</v>
      </c>
      <c r="K293" s="36"/>
      <c r="L293" s="36"/>
      <c r="M293" s="74"/>
      <c r="N293" s="36"/>
      <c r="O293" s="37">
        <f t="shared" si="31"/>
        <v>0</v>
      </c>
      <c r="P293" s="37"/>
      <c r="Q293" s="36"/>
      <c r="R293" s="86"/>
      <c r="S293" s="36"/>
      <c r="T293" s="36"/>
      <c r="U293" s="37">
        <f>Table46[[#This Row],[NET WT KGS]]-Table46[[#This Row],[Refraction]]</f>
        <v>0</v>
      </c>
      <c r="V293" s="38"/>
      <c r="W293" s="38">
        <f>Table46[[#This Row],[PRICE]]*Table46[[#This Row],[PAID WT]]</f>
        <v>0</v>
      </c>
      <c r="X293" s="39">
        <v>7.8</v>
      </c>
      <c r="Y293" s="40">
        <v>172</v>
      </c>
      <c r="Z293" s="39">
        <v>43.64</v>
      </c>
      <c r="AA293" s="41"/>
      <c r="AB293" s="36" t="s">
        <v>46</v>
      </c>
      <c r="AC293" s="42" t="s">
        <v>70</v>
      </c>
      <c r="AD293" s="99"/>
      <c r="AE293" s="18">
        <f>Table46[[#This Row],[MOIS.]]*Table46[[#This Row],[NET WT KGS]]</f>
        <v>0</v>
      </c>
      <c r="AF293" s="18">
        <f>Table46[[#This Row],[KOR]]*Table46[[#This Row],[NET WT KGS]]</f>
        <v>0</v>
      </c>
      <c r="AG293">
        <f>Table46[[#This Row],[NET WT KGS]]*Table46[[#This Row],[NUT COUNT]]</f>
        <v>0</v>
      </c>
    </row>
    <row r="294" spans="1:33" x14ac:dyDescent="0.35">
      <c r="A294" s="32">
        <f t="shared" si="28"/>
        <v>292</v>
      </c>
      <c r="B294" s="75">
        <v>46093</v>
      </c>
      <c r="C294" s="75">
        <v>46094</v>
      </c>
      <c r="D294" s="50" t="s">
        <v>38</v>
      </c>
      <c r="E294" s="50" t="s">
        <v>39</v>
      </c>
      <c r="F294" s="50" t="s">
        <v>40</v>
      </c>
      <c r="G294" s="10" t="s">
        <v>350</v>
      </c>
      <c r="H294" s="66" t="s">
        <v>123</v>
      </c>
      <c r="I294" s="66" t="s">
        <v>124</v>
      </c>
      <c r="J294" s="50" t="s">
        <v>521</v>
      </c>
      <c r="K294" s="21" t="s">
        <v>161</v>
      </c>
      <c r="L294" s="50">
        <v>243</v>
      </c>
      <c r="M294" s="10">
        <v>72586</v>
      </c>
      <c r="N294" s="50">
        <v>516</v>
      </c>
      <c r="O294" s="51">
        <f t="shared" si="31"/>
        <v>46140</v>
      </c>
      <c r="P294" s="51">
        <v>45624</v>
      </c>
      <c r="Q294" s="50">
        <v>506</v>
      </c>
      <c r="R294" s="67">
        <v>0</v>
      </c>
      <c r="S294" s="50">
        <v>10</v>
      </c>
      <c r="T294" s="10">
        <f t="shared" ref="T294:T303" si="32">S294*4+R294*40</f>
        <v>40</v>
      </c>
      <c r="U294" s="51">
        <f>Table46[[#This Row],[NET WT KGS]]-Table46[[#This Row],[Refraction]]</f>
        <v>45584</v>
      </c>
      <c r="V294" s="52">
        <v>485</v>
      </c>
      <c r="W294" s="52">
        <f>Table46[[#This Row],[PRICE]]*Table46[[#This Row],[PAID WT]]</f>
        <v>22108240</v>
      </c>
      <c r="X294" s="53">
        <v>9.6</v>
      </c>
      <c r="Y294" s="54">
        <v>172</v>
      </c>
      <c r="Z294" s="53">
        <v>45.05</v>
      </c>
      <c r="AA294" s="55"/>
      <c r="AB294" s="50" t="s">
        <v>140</v>
      </c>
      <c r="AC294" s="56"/>
      <c r="AD294" s="63" t="s">
        <v>483</v>
      </c>
      <c r="AE294" s="18">
        <f>Table46[[#This Row],[MOIS.]]*Table46[[#This Row],[NET WT KGS]]</f>
        <v>437990.39999999997</v>
      </c>
      <c r="AF294" s="18">
        <f>Table46[[#This Row],[KOR]]*Table46[[#This Row],[NET WT KGS]]</f>
        <v>2055361.2</v>
      </c>
      <c r="AG294">
        <f>Table46[[#This Row],[NET WT KGS]]*Table46[[#This Row],[NUT COUNT]]</f>
        <v>7847328</v>
      </c>
    </row>
    <row r="295" spans="1:33" x14ac:dyDescent="0.35">
      <c r="A295" s="32">
        <f t="shared" si="28"/>
        <v>293</v>
      </c>
      <c r="B295" s="75">
        <v>46093</v>
      </c>
      <c r="C295" s="75">
        <v>46094</v>
      </c>
      <c r="D295" s="50" t="s">
        <v>38</v>
      </c>
      <c r="E295" s="50" t="s">
        <v>39</v>
      </c>
      <c r="F295" s="50" t="s">
        <v>40</v>
      </c>
      <c r="G295" s="10" t="s">
        <v>350</v>
      </c>
      <c r="H295" s="66" t="s">
        <v>112</v>
      </c>
      <c r="I295" s="66" t="s">
        <v>113</v>
      </c>
      <c r="J295" s="50" t="s">
        <v>522</v>
      </c>
      <c r="K295" s="21" t="s">
        <v>115</v>
      </c>
      <c r="L295" s="50">
        <v>241</v>
      </c>
      <c r="M295" s="10">
        <v>82150</v>
      </c>
      <c r="N295" s="50">
        <v>516</v>
      </c>
      <c r="O295" s="51">
        <f t="shared" si="31"/>
        <v>46880</v>
      </c>
      <c r="P295" s="51">
        <v>46364</v>
      </c>
      <c r="Q295" s="50">
        <v>506</v>
      </c>
      <c r="R295" s="67">
        <v>0</v>
      </c>
      <c r="S295" s="50">
        <v>10</v>
      </c>
      <c r="T295" s="10">
        <f t="shared" si="32"/>
        <v>40</v>
      </c>
      <c r="U295" s="51">
        <f>Table46[[#This Row],[NET WT KGS]]-Table46[[#This Row],[Refraction]]</f>
        <v>46324</v>
      </c>
      <c r="V295" s="52">
        <v>485</v>
      </c>
      <c r="W295" s="52">
        <f>Table46[[#This Row],[PRICE]]*Table46[[#This Row],[PAID WT]]</f>
        <v>22467140</v>
      </c>
      <c r="X295" s="53">
        <v>9.8000000000000007</v>
      </c>
      <c r="Y295" s="54">
        <v>180</v>
      </c>
      <c r="Z295" s="53">
        <v>45.93</v>
      </c>
      <c r="AA295" s="55"/>
      <c r="AB295" s="50" t="s">
        <v>367</v>
      </c>
      <c r="AC295" s="56"/>
      <c r="AD295" s="63" t="s">
        <v>483</v>
      </c>
      <c r="AE295" s="18">
        <f>Table46[[#This Row],[MOIS.]]*Table46[[#This Row],[NET WT KGS]]</f>
        <v>454367.2</v>
      </c>
      <c r="AF295" s="18">
        <f>Table46[[#This Row],[KOR]]*Table46[[#This Row],[NET WT KGS]]</f>
        <v>2129498.52</v>
      </c>
      <c r="AG295">
        <f>Table46[[#This Row],[NET WT KGS]]*Table46[[#This Row],[NUT COUNT]]</f>
        <v>8345520</v>
      </c>
    </row>
    <row r="296" spans="1:33" x14ac:dyDescent="0.35">
      <c r="A296" s="32">
        <f t="shared" si="28"/>
        <v>294</v>
      </c>
      <c r="B296" s="75">
        <v>46093</v>
      </c>
      <c r="C296" s="75">
        <v>46094</v>
      </c>
      <c r="D296" s="50" t="s">
        <v>38</v>
      </c>
      <c r="E296" s="10" t="s">
        <v>258</v>
      </c>
      <c r="F296" s="50" t="s">
        <v>40</v>
      </c>
      <c r="G296" s="10" t="s">
        <v>86</v>
      </c>
      <c r="H296" s="66" t="s">
        <v>381</v>
      </c>
      <c r="I296" s="66" t="s">
        <v>147</v>
      </c>
      <c r="J296" s="50" t="s">
        <v>523</v>
      </c>
      <c r="K296" s="57" t="s">
        <v>524</v>
      </c>
      <c r="L296" s="50">
        <v>242</v>
      </c>
      <c r="M296" s="10">
        <v>82914</v>
      </c>
      <c r="N296" s="50">
        <v>516</v>
      </c>
      <c r="O296" s="51">
        <f t="shared" si="31"/>
        <v>43280</v>
      </c>
      <c r="P296" s="51">
        <v>42764</v>
      </c>
      <c r="Q296" s="50">
        <v>508</v>
      </c>
      <c r="R296" s="67">
        <v>0</v>
      </c>
      <c r="S296" s="50">
        <v>8</v>
      </c>
      <c r="T296" s="10">
        <f t="shared" si="32"/>
        <v>32</v>
      </c>
      <c r="U296" s="51">
        <f>Table46[[#This Row],[NET WT KGS]]-Table46[[#This Row],[Refraction]]</f>
        <v>42732</v>
      </c>
      <c r="V296" s="23">
        <v>495</v>
      </c>
      <c r="W296" s="23">
        <f>Table46[[#This Row],[PRICE]]*Table46[[#This Row],[PAID WT]]</f>
        <v>21152340</v>
      </c>
      <c r="X296" s="53">
        <v>9.3000000000000007</v>
      </c>
      <c r="Y296" s="54">
        <v>82</v>
      </c>
      <c r="Z296" s="53">
        <v>46.46</v>
      </c>
      <c r="AA296" s="55"/>
      <c r="AB296" s="50" t="s">
        <v>178</v>
      </c>
      <c r="AC296" s="56"/>
      <c r="AD296" s="63" t="s">
        <v>483</v>
      </c>
      <c r="AE296" s="18">
        <f>Table46[[#This Row],[MOIS.]]*Table46[[#This Row],[NET WT KGS]]</f>
        <v>397705.2</v>
      </c>
      <c r="AF296" s="18">
        <f>Table46[[#This Row],[KOR]]*Table46[[#This Row],[NET WT KGS]]</f>
        <v>1986815.44</v>
      </c>
      <c r="AG296">
        <f>Table46[[#This Row],[NET WT KGS]]*Table46[[#This Row],[NUT COUNT]]</f>
        <v>3506648</v>
      </c>
    </row>
    <row r="297" spans="1:33" x14ac:dyDescent="0.35">
      <c r="A297" s="32">
        <f t="shared" si="28"/>
        <v>295</v>
      </c>
      <c r="B297" s="75">
        <v>46093</v>
      </c>
      <c r="C297" s="75">
        <v>46094</v>
      </c>
      <c r="D297" s="50" t="s">
        <v>38</v>
      </c>
      <c r="E297" s="10" t="s">
        <v>258</v>
      </c>
      <c r="F297" s="50" t="s">
        <v>40</v>
      </c>
      <c r="G297" s="10" t="s">
        <v>41</v>
      </c>
      <c r="H297" s="10" t="s">
        <v>335</v>
      </c>
      <c r="I297" s="10" t="s">
        <v>66</v>
      </c>
      <c r="J297" s="10" t="s">
        <v>525</v>
      </c>
      <c r="K297" s="57" t="s">
        <v>337</v>
      </c>
      <c r="L297" s="10">
        <v>245</v>
      </c>
      <c r="M297" s="10">
        <v>82116</v>
      </c>
      <c r="N297" s="10">
        <v>684</v>
      </c>
      <c r="O297" s="22">
        <f t="shared" si="31"/>
        <v>53640</v>
      </c>
      <c r="P297" s="22">
        <v>52956</v>
      </c>
      <c r="Q297" s="10">
        <v>675</v>
      </c>
      <c r="R297" s="67">
        <v>0</v>
      </c>
      <c r="S297" s="10">
        <v>9</v>
      </c>
      <c r="T297" s="10">
        <f t="shared" si="32"/>
        <v>36</v>
      </c>
      <c r="U297" s="22">
        <f>Table46[[#This Row],[NET WT KGS]]-Table46[[#This Row],[Refraction]]</f>
        <v>52920</v>
      </c>
      <c r="V297" s="23">
        <v>490</v>
      </c>
      <c r="W297" s="23">
        <f>Table46[[#This Row],[PRICE]]*Table46[[#This Row],[PAID WT]]</f>
        <v>25930800</v>
      </c>
      <c r="X297" s="24">
        <v>9.1</v>
      </c>
      <c r="Y297" s="25">
        <v>170</v>
      </c>
      <c r="Z297" s="24">
        <v>45.05</v>
      </c>
      <c r="AA297" s="26"/>
      <c r="AB297" s="10" t="s">
        <v>40</v>
      </c>
      <c r="AC297" s="27"/>
      <c r="AD297" s="63" t="s">
        <v>483</v>
      </c>
      <c r="AE297" s="18">
        <f>Table46[[#This Row],[MOIS.]]*Table46[[#This Row],[NET WT KGS]]</f>
        <v>481899.6</v>
      </c>
      <c r="AF297" s="18">
        <f>Table46[[#This Row],[KOR]]*Table46[[#This Row],[NET WT KGS]]</f>
        <v>2385667.7999999998</v>
      </c>
      <c r="AG297">
        <f>Table46[[#This Row],[NET WT KGS]]*Table46[[#This Row],[NUT COUNT]]</f>
        <v>9002520</v>
      </c>
    </row>
    <row r="298" spans="1:33" ht="14.5" customHeight="1" x14ac:dyDescent="0.35">
      <c r="A298" s="32">
        <f t="shared" si="28"/>
        <v>296</v>
      </c>
      <c r="B298" s="75">
        <v>46094</v>
      </c>
      <c r="C298" s="75">
        <v>46094</v>
      </c>
      <c r="D298" s="50" t="s">
        <v>38</v>
      </c>
      <c r="E298" s="50" t="s">
        <v>39</v>
      </c>
      <c r="F298" s="50" t="s">
        <v>40</v>
      </c>
      <c r="G298" s="66" t="s">
        <v>350</v>
      </c>
      <c r="H298" s="66" t="s">
        <v>123</v>
      </c>
      <c r="I298" s="66" t="s">
        <v>124</v>
      </c>
      <c r="J298" s="67" t="s">
        <v>526</v>
      </c>
      <c r="K298" s="21" t="s">
        <v>161</v>
      </c>
      <c r="L298" s="67">
        <v>244</v>
      </c>
      <c r="M298" s="10">
        <v>77640</v>
      </c>
      <c r="N298" s="67">
        <v>582</v>
      </c>
      <c r="O298" s="93">
        <f t="shared" si="31"/>
        <v>46880</v>
      </c>
      <c r="P298" s="93">
        <v>46298</v>
      </c>
      <c r="Q298" s="67">
        <v>567</v>
      </c>
      <c r="R298" s="67">
        <v>0</v>
      </c>
      <c r="S298" s="67">
        <v>15</v>
      </c>
      <c r="T298" s="10">
        <f t="shared" si="32"/>
        <v>60</v>
      </c>
      <c r="U298" s="93">
        <f>Table46[[#This Row],[NET WT KGS]]-Table46[[#This Row],[Refraction]]</f>
        <v>46238</v>
      </c>
      <c r="V298" s="94">
        <v>485</v>
      </c>
      <c r="W298" s="94">
        <f>Table46[[#This Row],[PRICE]]*Table46[[#This Row],[PAID WT]]</f>
        <v>22425430</v>
      </c>
      <c r="X298" s="95">
        <v>9.9</v>
      </c>
      <c r="Y298" s="96">
        <v>168</v>
      </c>
      <c r="Z298" s="95">
        <v>45.15</v>
      </c>
      <c r="AA298" s="100"/>
      <c r="AB298" s="67" t="s">
        <v>58</v>
      </c>
      <c r="AC298" s="97"/>
      <c r="AD298" s="63" t="s">
        <v>483</v>
      </c>
      <c r="AE298" s="18">
        <f>Table46[[#This Row],[MOIS.]]*Table46[[#This Row],[NET WT KGS]]</f>
        <v>458350.2</v>
      </c>
      <c r="AF298" s="18">
        <f>Table46[[#This Row],[KOR]]*Table46[[#This Row],[NET WT KGS]]</f>
        <v>2090354.7</v>
      </c>
      <c r="AG298">
        <f>Table46[[#This Row],[NET WT KGS]]*Table46[[#This Row],[NUT COUNT]]</f>
        <v>7778064</v>
      </c>
    </row>
    <row r="299" spans="1:33" x14ac:dyDescent="0.35">
      <c r="A299" s="32">
        <f t="shared" si="28"/>
        <v>297</v>
      </c>
      <c r="B299" s="75">
        <v>46094</v>
      </c>
      <c r="C299" s="75">
        <v>46094</v>
      </c>
      <c r="D299" s="50" t="s">
        <v>38</v>
      </c>
      <c r="E299" s="10" t="s">
        <v>258</v>
      </c>
      <c r="F299" s="50" t="s">
        <v>40</v>
      </c>
      <c r="G299" s="66" t="s">
        <v>350</v>
      </c>
      <c r="H299" s="66" t="s">
        <v>376</v>
      </c>
      <c r="I299" s="66" t="s">
        <v>143</v>
      </c>
      <c r="J299" s="66" t="s">
        <v>527</v>
      </c>
      <c r="K299" s="21" t="s">
        <v>528</v>
      </c>
      <c r="L299" s="66">
        <v>246</v>
      </c>
      <c r="M299" s="10">
        <v>82137</v>
      </c>
      <c r="N299" s="66">
        <v>541</v>
      </c>
      <c r="O299" s="68">
        <f t="shared" si="31"/>
        <v>40780</v>
      </c>
      <c r="P299" s="68">
        <v>40239</v>
      </c>
      <c r="Q299" s="66">
        <v>531</v>
      </c>
      <c r="R299" s="67">
        <v>0</v>
      </c>
      <c r="S299" s="66">
        <v>10</v>
      </c>
      <c r="T299" s="10">
        <f t="shared" si="32"/>
        <v>40</v>
      </c>
      <c r="U299" s="68">
        <f>Table46[[#This Row],[NET WT KGS]]-Table46[[#This Row],[Refraction]]</f>
        <v>40199</v>
      </c>
      <c r="V299" s="69">
        <v>490</v>
      </c>
      <c r="W299" s="69">
        <f>Table46[[#This Row],[PRICE]]*Table46[[#This Row],[PAID WT]]</f>
        <v>19697510</v>
      </c>
      <c r="X299" s="70">
        <v>9.4</v>
      </c>
      <c r="Y299" s="71">
        <v>184</v>
      </c>
      <c r="Z299" s="70">
        <v>45.15</v>
      </c>
      <c r="AA299" s="72"/>
      <c r="AB299" s="66" t="s">
        <v>140</v>
      </c>
      <c r="AC299" s="73"/>
      <c r="AD299" s="63" t="s">
        <v>483</v>
      </c>
      <c r="AE299" s="18">
        <f>Table46[[#This Row],[MOIS.]]*Table46[[#This Row],[NET WT KGS]]</f>
        <v>378246.60000000003</v>
      </c>
      <c r="AF299" s="18">
        <f>Table46[[#This Row],[KOR]]*Table46[[#This Row],[NET WT KGS]]</f>
        <v>1816790.8499999999</v>
      </c>
      <c r="AG299">
        <f>Table46[[#This Row],[NET WT KGS]]*Table46[[#This Row],[NUT COUNT]]</f>
        <v>7403976</v>
      </c>
    </row>
    <row r="300" spans="1:33" x14ac:dyDescent="0.35">
      <c r="A300" s="32">
        <f t="shared" si="28"/>
        <v>298</v>
      </c>
      <c r="B300" s="75">
        <v>46094</v>
      </c>
      <c r="C300" s="75">
        <v>46094</v>
      </c>
      <c r="D300" s="50" t="s">
        <v>38</v>
      </c>
      <c r="E300" s="50" t="s">
        <v>39</v>
      </c>
      <c r="F300" s="50" t="s">
        <v>62</v>
      </c>
      <c r="G300" s="10"/>
      <c r="H300" s="66" t="s">
        <v>193</v>
      </c>
      <c r="I300" s="66" t="s">
        <v>194</v>
      </c>
      <c r="J300" s="10" t="s">
        <v>195</v>
      </c>
      <c r="K300" s="33" t="s">
        <v>196</v>
      </c>
      <c r="L300" s="10">
        <v>874</v>
      </c>
      <c r="M300" s="10">
        <v>82161</v>
      </c>
      <c r="N300" s="10">
        <v>589</v>
      </c>
      <c r="O300" s="22">
        <v>46220</v>
      </c>
      <c r="P300" s="22">
        <f>Table46[[#This Row],[GROSS WT KGS]]-Table46[[#This Row],[SACS]]</f>
        <v>45631</v>
      </c>
      <c r="Q300" s="10">
        <v>569</v>
      </c>
      <c r="R300" s="67">
        <v>0</v>
      </c>
      <c r="S300" s="10">
        <v>20</v>
      </c>
      <c r="T300" s="10">
        <f t="shared" si="32"/>
        <v>80</v>
      </c>
      <c r="U300" s="22">
        <f>Table46[[#This Row],[NET WT KGS]]-Table46[[#This Row],[Refraction]]</f>
        <v>45551</v>
      </c>
      <c r="V300" s="23">
        <v>495</v>
      </c>
      <c r="W300" s="23">
        <f>Table46[[#This Row],[PRICE]]*Table46[[#This Row],[PAID WT]]</f>
        <v>22547745</v>
      </c>
      <c r="X300" s="24">
        <v>10.1</v>
      </c>
      <c r="Y300" s="25">
        <v>182</v>
      </c>
      <c r="Z300" s="24">
        <v>45.4</v>
      </c>
      <c r="AA300" s="26"/>
      <c r="AB300" s="10" t="s">
        <v>132</v>
      </c>
      <c r="AC300" s="27"/>
      <c r="AD300" s="63" t="s">
        <v>483</v>
      </c>
      <c r="AE300" s="18">
        <f>Table46[[#This Row],[MOIS.]]*Table46[[#This Row],[NET WT KGS]]</f>
        <v>460873.1</v>
      </c>
      <c r="AF300" s="18">
        <f>Table46[[#This Row],[KOR]]*Table46[[#This Row],[NET WT KGS]]</f>
        <v>2071647.4</v>
      </c>
      <c r="AG300">
        <f>Table46[[#This Row],[NET WT KGS]]*Table46[[#This Row],[NUT COUNT]]</f>
        <v>8304842</v>
      </c>
    </row>
    <row r="301" spans="1:33" x14ac:dyDescent="0.35">
      <c r="A301" s="32">
        <f t="shared" si="28"/>
        <v>299</v>
      </c>
      <c r="B301" s="75">
        <v>46094</v>
      </c>
      <c r="C301" s="75">
        <v>46094</v>
      </c>
      <c r="D301" s="50" t="s">
        <v>38</v>
      </c>
      <c r="E301" s="50" t="s">
        <v>39</v>
      </c>
      <c r="F301" s="67" t="s">
        <v>62</v>
      </c>
      <c r="G301" s="66"/>
      <c r="H301" s="10" t="s">
        <v>128</v>
      </c>
      <c r="I301" s="10" t="s">
        <v>129</v>
      </c>
      <c r="J301" s="66" t="s">
        <v>529</v>
      </c>
      <c r="K301" s="33" t="s">
        <v>131</v>
      </c>
      <c r="L301" s="66">
        <v>875</v>
      </c>
      <c r="M301" s="10">
        <v>82105</v>
      </c>
      <c r="N301" s="66">
        <v>691</v>
      </c>
      <c r="O301" s="68">
        <v>54420</v>
      </c>
      <c r="P301" s="22">
        <f>Table46[[#This Row],[GROSS WT KGS]]-Table46[[#This Row],[SACS]]</f>
        <v>53729</v>
      </c>
      <c r="Q301" s="66">
        <v>671</v>
      </c>
      <c r="R301" s="67">
        <v>0</v>
      </c>
      <c r="S301" s="66">
        <v>20</v>
      </c>
      <c r="T301" s="10">
        <f t="shared" si="32"/>
        <v>80</v>
      </c>
      <c r="U301" s="68">
        <f>Table46[[#This Row],[NET WT KGS]]-Table46[[#This Row],[Refraction]]</f>
        <v>53649</v>
      </c>
      <c r="V301" s="69">
        <v>495</v>
      </c>
      <c r="W301" s="69">
        <f>Table46[[#This Row],[PRICE]]*Table46[[#This Row],[PAID WT]]</f>
        <v>26556255</v>
      </c>
      <c r="X301" s="70">
        <v>10.199999999999999</v>
      </c>
      <c r="Y301" s="71">
        <v>174</v>
      </c>
      <c r="Z301" s="70">
        <v>46.11</v>
      </c>
      <c r="AA301" s="72"/>
      <c r="AB301" s="66" t="s">
        <v>132</v>
      </c>
      <c r="AC301" s="73"/>
      <c r="AD301" s="63" t="s">
        <v>483</v>
      </c>
      <c r="AE301" s="18">
        <f>Table46[[#This Row],[MOIS.]]*Table46[[#This Row],[NET WT KGS]]</f>
        <v>548035.79999999993</v>
      </c>
      <c r="AF301" s="18">
        <f>Table46[[#This Row],[KOR]]*Table46[[#This Row],[NET WT KGS]]</f>
        <v>2477444.19</v>
      </c>
      <c r="AG301">
        <f>Table46[[#This Row],[NET WT KGS]]*Table46[[#This Row],[NUT COUNT]]</f>
        <v>9348846</v>
      </c>
    </row>
    <row r="302" spans="1:33" x14ac:dyDescent="0.35">
      <c r="A302" s="32">
        <f t="shared" si="28"/>
        <v>300</v>
      </c>
      <c r="B302" s="75">
        <v>46094</v>
      </c>
      <c r="C302" s="75">
        <v>46094</v>
      </c>
      <c r="D302" s="50" t="s">
        <v>38</v>
      </c>
      <c r="E302" s="50" t="s">
        <v>39</v>
      </c>
      <c r="F302" s="67" t="s">
        <v>62</v>
      </c>
      <c r="G302" s="66"/>
      <c r="H302" s="10" t="s">
        <v>128</v>
      </c>
      <c r="I302" s="10" t="s">
        <v>129</v>
      </c>
      <c r="J302" s="66" t="s">
        <v>530</v>
      </c>
      <c r="K302" s="33" t="s">
        <v>131</v>
      </c>
      <c r="L302" s="66">
        <v>876</v>
      </c>
      <c r="M302" s="10">
        <v>82103</v>
      </c>
      <c r="N302" s="66">
        <v>587</v>
      </c>
      <c r="O302" s="68">
        <v>49740</v>
      </c>
      <c r="P302" s="22">
        <f>Table46[[#This Row],[GROSS WT KGS]]-Table46[[#This Row],[SACS]]</f>
        <v>49153</v>
      </c>
      <c r="Q302" s="66">
        <v>567</v>
      </c>
      <c r="R302" s="67">
        <v>0</v>
      </c>
      <c r="S302" s="66">
        <v>20</v>
      </c>
      <c r="T302" s="10">
        <f t="shared" si="32"/>
        <v>80</v>
      </c>
      <c r="U302" s="68">
        <f>Table46[[#This Row],[NET WT KGS]]-Table46[[#This Row],[Refraction]]</f>
        <v>49073</v>
      </c>
      <c r="V302" s="101">
        <v>495</v>
      </c>
      <c r="W302" s="69">
        <f>Table46[[#This Row],[PRICE]]*Table46[[#This Row],[PAID WT]]</f>
        <v>24291135</v>
      </c>
      <c r="X302" s="70">
        <v>10</v>
      </c>
      <c r="Y302" s="71">
        <v>175</v>
      </c>
      <c r="Z302" s="70">
        <v>45.93</v>
      </c>
      <c r="AA302" s="72"/>
      <c r="AB302" s="66" t="s">
        <v>132</v>
      </c>
      <c r="AC302" s="73"/>
      <c r="AD302" s="63" t="s">
        <v>483</v>
      </c>
      <c r="AE302" s="18">
        <f>Table46[[#This Row],[MOIS.]]*Table46[[#This Row],[NET WT KGS]]</f>
        <v>491530</v>
      </c>
      <c r="AF302" s="18">
        <f>Table46[[#This Row],[KOR]]*Table46[[#This Row],[NET WT KGS]]</f>
        <v>2257597.29</v>
      </c>
      <c r="AG302">
        <f>Table46[[#This Row],[NET WT KGS]]*Table46[[#This Row],[NUT COUNT]]</f>
        <v>8601775</v>
      </c>
    </row>
    <row r="303" spans="1:33" x14ac:dyDescent="0.35">
      <c r="A303" s="32">
        <f t="shared" si="28"/>
        <v>301</v>
      </c>
      <c r="B303" s="75">
        <v>46094</v>
      </c>
      <c r="C303" s="75">
        <v>46094</v>
      </c>
      <c r="D303" s="50" t="s">
        <v>38</v>
      </c>
      <c r="E303" s="50" t="s">
        <v>39</v>
      </c>
      <c r="F303" s="67" t="s">
        <v>62</v>
      </c>
      <c r="G303" s="66"/>
      <c r="H303" s="10" t="s">
        <v>128</v>
      </c>
      <c r="I303" s="10" t="s">
        <v>129</v>
      </c>
      <c r="J303" s="66" t="s">
        <v>531</v>
      </c>
      <c r="K303" s="33" t="s">
        <v>131</v>
      </c>
      <c r="L303" s="66">
        <v>877</v>
      </c>
      <c r="M303" s="10">
        <v>82104</v>
      </c>
      <c r="N303" s="66">
        <v>660</v>
      </c>
      <c r="O303" s="68">
        <v>52940</v>
      </c>
      <c r="P303" s="22">
        <f>Table46[[#This Row],[GROSS WT KGS]]-Table46[[#This Row],[SACS]]</f>
        <v>52280</v>
      </c>
      <c r="Q303" s="66">
        <v>640</v>
      </c>
      <c r="R303" s="67">
        <v>0</v>
      </c>
      <c r="S303" s="66">
        <v>20</v>
      </c>
      <c r="T303" s="10">
        <f t="shared" si="32"/>
        <v>80</v>
      </c>
      <c r="U303" s="68">
        <f>Table46[[#This Row],[NET WT KGS]]-Table46[[#This Row],[Refraction]]</f>
        <v>52200</v>
      </c>
      <c r="V303" s="69">
        <v>490</v>
      </c>
      <c r="W303" s="69">
        <f>Table46[[#This Row],[PRICE]]*Table46[[#This Row],[PAID WT]]</f>
        <v>25578000</v>
      </c>
      <c r="X303" s="70">
        <v>11</v>
      </c>
      <c r="Y303" s="71">
        <v>186</v>
      </c>
      <c r="Z303" s="70">
        <v>45.46</v>
      </c>
      <c r="AA303" s="72"/>
      <c r="AB303" s="66" t="s">
        <v>132</v>
      </c>
      <c r="AC303" s="73"/>
      <c r="AD303" s="63" t="s">
        <v>483</v>
      </c>
      <c r="AE303" s="18">
        <f>Table46[[#This Row],[MOIS.]]*Table46[[#This Row],[NET WT KGS]]</f>
        <v>575080</v>
      </c>
      <c r="AF303" s="18">
        <f>Table46[[#This Row],[KOR]]*Table46[[#This Row],[NET WT KGS]]</f>
        <v>2376648.7999999998</v>
      </c>
      <c r="AG303">
        <f>Table46[[#This Row],[NET WT KGS]]*Table46[[#This Row],[NUT COUNT]]</f>
        <v>9724080</v>
      </c>
    </row>
    <row r="304" spans="1:33" x14ac:dyDescent="0.35">
      <c r="A304" s="32">
        <f t="shared" si="28"/>
        <v>302</v>
      </c>
      <c r="B304" s="35">
        <v>46094</v>
      </c>
      <c r="C304" s="35">
        <f>Table46[[#This Row],[DATE OF ARRIVAL]]</f>
        <v>46094</v>
      </c>
      <c r="D304" s="74" t="s">
        <v>38</v>
      </c>
      <c r="E304" s="74" t="s">
        <v>39</v>
      </c>
      <c r="F304" s="74" t="s">
        <v>40</v>
      </c>
      <c r="G304" s="74"/>
      <c r="H304" s="74" t="s">
        <v>112</v>
      </c>
      <c r="I304" s="74" t="s">
        <v>113</v>
      </c>
      <c r="J304" s="74" t="s">
        <v>366</v>
      </c>
      <c r="K304" s="74"/>
      <c r="L304" s="74"/>
      <c r="M304" s="74"/>
      <c r="N304" s="74"/>
      <c r="O304" s="79">
        <f t="shared" ref="O304:O313" si="33">P304+N304</f>
        <v>0</v>
      </c>
      <c r="P304" s="79"/>
      <c r="Q304" s="74"/>
      <c r="R304" s="80"/>
      <c r="S304" s="74"/>
      <c r="T304" s="74"/>
      <c r="U304" s="79">
        <f>Table46[[#This Row],[NET WT KGS]]-Table46[[#This Row],[Refraction]]</f>
        <v>0</v>
      </c>
      <c r="V304" s="81"/>
      <c r="W304" s="81">
        <f>Table46[[#This Row],[PRICE]]*Table46[[#This Row],[PAID WT]]</f>
        <v>0</v>
      </c>
      <c r="X304" s="82">
        <v>10.9</v>
      </c>
      <c r="Y304" s="83">
        <v>188</v>
      </c>
      <c r="Z304" s="82">
        <v>44.26</v>
      </c>
      <c r="AA304" s="84"/>
      <c r="AB304" s="36" t="s">
        <v>367</v>
      </c>
      <c r="AC304" s="42" t="s">
        <v>70</v>
      </c>
      <c r="AD304" s="98"/>
      <c r="AE304" s="18">
        <f>Table46[[#This Row],[MOIS.]]*Table46[[#This Row],[NET WT KGS]]</f>
        <v>0</v>
      </c>
      <c r="AF304" s="18">
        <f>Table46[[#This Row],[KOR]]*Table46[[#This Row],[NET WT KGS]]</f>
        <v>0</v>
      </c>
      <c r="AG304">
        <f>Table46[[#This Row],[NET WT KGS]]*Table46[[#This Row],[NUT COUNT]]</f>
        <v>0</v>
      </c>
    </row>
    <row r="305" spans="1:33" x14ac:dyDescent="0.35">
      <c r="A305" s="32">
        <f t="shared" si="28"/>
        <v>303</v>
      </c>
      <c r="B305" s="35">
        <v>46094</v>
      </c>
      <c r="C305" s="35">
        <f>Table46[[#This Row],[DATE OF ARRIVAL]]</f>
        <v>46094</v>
      </c>
      <c r="D305" s="74" t="s">
        <v>38</v>
      </c>
      <c r="E305" s="74" t="s">
        <v>39</v>
      </c>
      <c r="F305" s="74" t="s">
        <v>40</v>
      </c>
      <c r="G305" s="74"/>
      <c r="H305" s="74" t="s">
        <v>136</v>
      </c>
      <c r="I305" s="74" t="s">
        <v>137</v>
      </c>
      <c r="J305" s="74" t="s">
        <v>532</v>
      </c>
      <c r="K305" s="74"/>
      <c r="L305" s="74"/>
      <c r="M305" s="74"/>
      <c r="N305" s="74"/>
      <c r="O305" s="79">
        <f t="shared" si="33"/>
        <v>0</v>
      </c>
      <c r="P305" s="79"/>
      <c r="Q305" s="74"/>
      <c r="R305" s="80"/>
      <c r="S305" s="74"/>
      <c r="T305" s="74"/>
      <c r="U305" s="79">
        <f>Table46[[#This Row],[NET WT KGS]]-Table46[[#This Row],[Refraction]]</f>
        <v>0</v>
      </c>
      <c r="V305" s="81"/>
      <c r="W305" s="81">
        <f>Table46[[#This Row],[PRICE]]*Table46[[#This Row],[PAID WT]]</f>
        <v>0</v>
      </c>
      <c r="X305" s="82">
        <v>11.8</v>
      </c>
      <c r="Y305" s="83">
        <v>163</v>
      </c>
      <c r="Z305" s="82">
        <v>44.44</v>
      </c>
      <c r="AA305" s="84"/>
      <c r="AB305" s="74" t="s">
        <v>140</v>
      </c>
      <c r="AC305" s="42" t="s">
        <v>70</v>
      </c>
      <c r="AD305" s="98"/>
      <c r="AE305" s="18">
        <f>Table46[[#This Row],[MOIS.]]*Table46[[#This Row],[NET WT KGS]]</f>
        <v>0</v>
      </c>
      <c r="AF305" s="18">
        <f>Table46[[#This Row],[KOR]]*Table46[[#This Row],[NET WT KGS]]</f>
        <v>0</v>
      </c>
      <c r="AG305">
        <f>Table46[[#This Row],[NET WT KGS]]*Table46[[#This Row],[NUT COUNT]]</f>
        <v>0</v>
      </c>
    </row>
    <row r="306" spans="1:33" x14ac:dyDescent="0.35">
      <c r="A306" s="32">
        <f t="shared" si="28"/>
        <v>304</v>
      </c>
      <c r="B306" s="35">
        <v>46094</v>
      </c>
      <c r="C306" s="35">
        <f>Table46[[#This Row],[DATE OF ARRIVAL]]</f>
        <v>46094</v>
      </c>
      <c r="D306" s="74" t="s">
        <v>38</v>
      </c>
      <c r="E306" s="74" t="s">
        <v>39</v>
      </c>
      <c r="F306" s="74" t="s">
        <v>40</v>
      </c>
      <c r="G306" s="74"/>
      <c r="H306" s="74" t="s">
        <v>154</v>
      </c>
      <c r="I306" s="74" t="s">
        <v>155</v>
      </c>
      <c r="J306" s="74" t="s">
        <v>311</v>
      </c>
      <c r="K306" s="74"/>
      <c r="L306" s="74"/>
      <c r="M306" s="74"/>
      <c r="N306" s="74"/>
      <c r="O306" s="79">
        <f t="shared" si="33"/>
        <v>0</v>
      </c>
      <c r="P306" s="79"/>
      <c r="Q306" s="74"/>
      <c r="R306" s="80"/>
      <c r="S306" s="74"/>
      <c r="T306" s="74"/>
      <c r="U306" s="79">
        <f>Table46[[#This Row],[NET WT KGS]]-Table46[[#This Row],[Refraction]]</f>
        <v>0</v>
      </c>
      <c r="V306" s="81"/>
      <c r="W306" s="81">
        <f>Table46[[#This Row],[PRICE]]*Table46[[#This Row],[PAID WT]]</f>
        <v>0</v>
      </c>
      <c r="X306" s="82">
        <v>8.4</v>
      </c>
      <c r="Y306" s="83">
        <v>187</v>
      </c>
      <c r="Z306" s="82">
        <v>43.73</v>
      </c>
      <c r="AA306" s="84"/>
      <c r="AB306" s="74" t="s">
        <v>40</v>
      </c>
      <c r="AC306" s="42" t="s">
        <v>70</v>
      </c>
      <c r="AD306" s="98"/>
      <c r="AE306" s="18">
        <f>Table46[[#This Row],[MOIS.]]*Table46[[#This Row],[NET WT KGS]]</f>
        <v>0</v>
      </c>
      <c r="AF306" s="18">
        <f>Table46[[#This Row],[KOR]]*Table46[[#This Row],[NET WT KGS]]</f>
        <v>0</v>
      </c>
      <c r="AG306">
        <f>Table46[[#This Row],[NET WT KGS]]*Table46[[#This Row],[NUT COUNT]]</f>
        <v>0</v>
      </c>
    </row>
    <row r="307" spans="1:33" x14ac:dyDescent="0.35">
      <c r="A307" s="32">
        <f t="shared" si="28"/>
        <v>305</v>
      </c>
      <c r="B307" s="35">
        <v>46094</v>
      </c>
      <c r="C307" s="35">
        <f>Table46[[#This Row],[DATE OF ARRIVAL]]</f>
        <v>46094</v>
      </c>
      <c r="D307" s="74" t="s">
        <v>38</v>
      </c>
      <c r="E307" s="74" t="s">
        <v>39</v>
      </c>
      <c r="F307" s="74" t="s">
        <v>40</v>
      </c>
      <c r="G307" s="74"/>
      <c r="H307" s="74" t="s">
        <v>123</v>
      </c>
      <c r="I307" s="74" t="s">
        <v>124</v>
      </c>
      <c r="J307" s="74" t="s">
        <v>533</v>
      </c>
      <c r="K307" s="74"/>
      <c r="L307" s="74"/>
      <c r="M307" s="74"/>
      <c r="N307" s="74"/>
      <c r="O307" s="79">
        <f t="shared" si="33"/>
        <v>0</v>
      </c>
      <c r="P307" s="79"/>
      <c r="Q307" s="74"/>
      <c r="R307" s="80"/>
      <c r="S307" s="74"/>
      <c r="T307" s="74"/>
      <c r="U307" s="79">
        <f>Table46[[#This Row],[NET WT KGS]]-Table46[[#This Row],[Refraction]]</f>
        <v>0</v>
      </c>
      <c r="V307" s="81"/>
      <c r="W307" s="81">
        <f>Table46[[#This Row],[PRICE]]*Table46[[#This Row],[PAID WT]]</f>
        <v>0</v>
      </c>
      <c r="X307" s="82">
        <v>7.7</v>
      </c>
      <c r="Y307" s="83">
        <v>178</v>
      </c>
      <c r="Z307" s="82">
        <v>42.32</v>
      </c>
      <c r="AA307" s="84"/>
      <c r="AB307" s="74" t="s">
        <v>299</v>
      </c>
      <c r="AC307" s="42" t="s">
        <v>70</v>
      </c>
      <c r="AD307" s="98"/>
      <c r="AE307" s="18">
        <f>Table46[[#This Row],[MOIS.]]*Table46[[#This Row],[NET WT KGS]]</f>
        <v>0</v>
      </c>
      <c r="AF307" s="18">
        <f>Table46[[#This Row],[KOR]]*Table46[[#This Row],[NET WT KGS]]</f>
        <v>0</v>
      </c>
      <c r="AG307">
        <f>Table46[[#This Row],[NET WT KGS]]*Table46[[#This Row],[NUT COUNT]]</f>
        <v>0</v>
      </c>
    </row>
    <row r="308" spans="1:33" x14ac:dyDescent="0.35">
      <c r="A308" s="32">
        <f t="shared" si="28"/>
        <v>306</v>
      </c>
      <c r="B308" s="35">
        <v>46094</v>
      </c>
      <c r="C308" s="35">
        <f>Table46[[#This Row],[DATE OF ARRIVAL]]</f>
        <v>46094</v>
      </c>
      <c r="D308" s="74" t="s">
        <v>38</v>
      </c>
      <c r="E308" s="74" t="s">
        <v>39</v>
      </c>
      <c r="F308" s="74" t="s">
        <v>40</v>
      </c>
      <c r="G308" s="74"/>
      <c r="H308" s="74" t="s">
        <v>123</v>
      </c>
      <c r="I308" s="74" t="s">
        <v>124</v>
      </c>
      <c r="J308" s="36" t="s">
        <v>125</v>
      </c>
      <c r="K308" s="36"/>
      <c r="L308" s="36"/>
      <c r="M308" s="74"/>
      <c r="N308" s="36"/>
      <c r="O308" s="37">
        <f t="shared" si="33"/>
        <v>0</v>
      </c>
      <c r="P308" s="37"/>
      <c r="Q308" s="36"/>
      <c r="R308" s="86"/>
      <c r="S308" s="36"/>
      <c r="T308" s="36"/>
      <c r="U308" s="37">
        <f>Table46[[#This Row],[NET WT KGS]]-Table46[[#This Row],[Refraction]]</f>
        <v>0</v>
      </c>
      <c r="V308" s="38"/>
      <c r="W308" s="38">
        <f>Table46[[#This Row],[PRICE]]*Table46[[#This Row],[PAID WT]]</f>
        <v>0</v>
      </c>
      <c r="X308" s="39">
        <v>12.8</v>
      </c>
      <c r="Y308" s="40">
        <v>185</v>
      </c>
      <c r="Z308" s="39">
        <v>44.44</v>
      </c>
      <c r="AA308" s="41"/>
      <c r="AB308" s="36" t="s">
        <v>398</v>
      </c>
      <c r="AC308" s="42" t="s">
        <v>70</v>
      </c>
      <c r="AD308" s="99"/>
      <c r="AE308" s="18">
        <f>Table46[[#This Row],[MOIS.]]*Table46[[#This Row],[NET WT KGS]]</f>
        <v>0</v>
      </c>
      <c r="AF308" s="18">
        <f>Table46[[#This Row],[KOR]]*Table46[[#This Row],[NET WT KGS]]</f>
        <v>0</v>
      </c>
      <c r="AG308">
        <f>Table46[[#This Row],[NET WT KGS]]*Table46[[#This Row],[NUT COUNT]]</f>
        <v>0</v>
      </c>
    </row>
    <row r="309" spans="1:33" x14ac:dyDescent="0.35">
      <c r="A309" s="32">
        <f t="shared" si="28"/>
        <v>307</v>
      </c>
      <c r="B309" s="35">
        <v>46094</v>
      </c>
      <c r="C309" s="35">
        <f>Table46[[#This Row],[DATE OF ARRIVAL]]</f>
        <v>46094</v>
      </c>
      <c r="D309" s="74" t="s">
        <v>38</v>
      </c>
      <c r="E309" s="74" t="s">
        <v>39</v>
      </c>
      <c r="F309" s="74" t="s">
        <v>40</v>
      </c>
      <c r="G309" s="36"/>
      <c r="H309" s="36" t="s">
        <v>118</v>
      </c>
      <c r="I309" s="36" t="s">
        <v>119</v>
      </c>
      <c r="J309" s="36" t="s">
        <v>534</v>
      </c>
      <c r="K309" s="36"/>
      <c r="L309" s="36"/>
      <c r="M309" s="36"/>
      <c r="N309" s="36"/>
      <c r="O309" s="37">
        <f t="shared" si="33"/>
        <v>0</v>
      </c>
      <c r="P309" s="37"/>
      <c r="Q309" s="36"/>
      <c r="R309" s="86"/>
      <c r="S309" s="36"/>
      <c r="T309" s="36"/>
      <c r="U309" s="37">
        <f>Table46[[#This Row],[NET WT KGS]]-Table46[[#This Row],[Refraction]]</f>
        <v>0</v>
      </c>
      <c r="V309" s="38"/>
      <c r="W309" s="38">
        <f>Table46[[#This Row],[PRICE]]*Table46[[#This Row],[PAID WT]]</f>
        <v>0</v>
      </c>
      <c r="X309" s="39">
        <v>9.5</v>
      </c>
      <c r="Y309" s="40">
        <v>180</v>
      </c>
      <c r="Z309" s="39">
        <v>44.09</v>
      </c>
      <c r="AA309" s="41"/>
      <c r="AB309" s="74" t="s">
        <v>171</v>
      </c>
      <c r="AC309" s="42" t="s">
        <v>70</v>
      </c>
      <c r="AD309" s="99"/>
      <c r="AE309" s="18">
        <f>Table46[[#This Row],[MOIS.]]*Table46[[#This Row],[NET WT KGS]]</f>
        <v>0</v>
      </c>
      <c r="AF309" s="18">
        <f>Table46[[#This Row],[KOR]]*Table46[[#This Row],[NET WT KGS]]</f>
        <v>0</v>
      </c>
      <c r="AG309">
        <f>Table46[[#This Row],[NET WT KGS]]*Table46[[#This Row],[NUT COUNT]]</f>
        <v>0</v>
      </c>
    </row>
    <row r="310" spans="1:33" x14ac:dyDescent="0.35">
      <c r="A310" s="32">
        <f t="shared" si="28"/>
        <v>308</v>
      </c>
      <c r="B310" s="35">
        <v>46094</v>
      </c>
      <c r="C310" s="35">
        <f>Table46[[#This Row],[DATE OF ARRIVAL]]</f>
        <v>46094</v>
      </c>
      <c r="D310" s="74" t="s">
        <v>38</v>
      </c>
      <c r="E310" s="74" t="s">
        <v>39</v>
      </c>
      <c r="F310" s="74" t="s">
        <v>40</v>
      </c>
      <c r="G310" s="74"/>
      <c r="H310" s="74" t="s">
        <v>123</v>
      </c>
      <c r="I310" s="74" t="s">
        <v>124</v>
      </c>
      <c r="J310" s="36" t="s">
        <v>535</v>
      </c>
      <c r="K310" s="36"/>
      <c r="L310" s="36"/>
      <c r="M310" s="74"/>
      <c r="N310" s="36"/>
      <c r="O310" s="37">
        <f t="shared" si="33"/>
        <v>0</v>
      </c>
      <c r="P310" s="37"/>
      <c r="Q310" s="36"/>
      <c r="R310" s="86"/>
      <c r="S310" s="36"/>
      <c r="T310" s="36"/>
      <c r="U310" s="37">
        <f>Table46[[#This Row],[NET WT KGS]]-Table46[[#This Row],[Refraction]]</f>
        <v>0</v>
      </c>
      <c r="V310" s="38"/>
      <c r="W310" s="38">
        <f>Table46[[#This Row],[PRICE]]*Table46[[#This Row],[PAID WT]]</f>
        <v>0</v>
      </c>
      <c r="X310" s="39">
        <v>13.8</v>
      </c>
      <c r="Y310" s="40">
        <v>165</v>
      </c>
      <c r="Z310" s="39">
        <v>44.26</v>
      </c>
      <c r="AA310" s="41"/>
      <c r="AB310" s="36" t="s">
        <v>132</v>
      </c>
      <c r="AC310" s="42" t="s">
        <v>70</v>
      </c>
      <c r="AD310" s="99"/>
      <c r="AE310" s="18">
        <f>Table46[[#This Row],[MOIS.]]*Table46[[#This Row],[NET WT KGS]]</f>
        <v>0</v>
      </c>
      <c r="AF310" s="18">
        <f>Table46[[#This Row],[KOR]]*Table46[[#This Row],[NET WT KGS]]</f>
        <v>0</v>
      </c>
      <c r="AG310">
        <f>Table46[[#This Row],[NET WT KGS]]*Table46[[#This Row],[NUT COUNT]]</f>
        <v>0</v>
      </c>
    </row>
    <row r="311" spans="1:33" x14ac:dyDescent="0.35">
      <c r="A311" s="32">
        <f t="shared" si="28"/>
        <v>309</v>
      </c>
      <c r="B311" s="35">
        <v>46094</v>
      </c>
      <c r="C311" s="35">
        <f>Table46[[#This Row],[DATE OF ARRIVAL]]</f>
        <v>46094</v>
      </c>
      <c r="D311" s="74" t="s">
        <v>38</v>
      </c>
      <c r="E311" s="74" t="s">
        <v>258</v>
      </c>
      <c r="F311" s="74" t="s">
        <v>62</v>
      </c>
      <c r="G311" s="74"/>
      <c r="H311" s="36" t="s">
        <v>376</v>
      </c>
      <c r="I311" s="36" t="s">
        <v>143</v>
      </c>
      <c r="J311" s="74" t="s">
        <v>536</v>
      </c>
      <c r="K311" s="74"/>
      <c r="L311" s="74"/>
      <c r="M311" s="36"/>
      <c r="N311" s="74"/>
      <c r="O311" s="79">
        <f t="shared" si="33"/>
        <v>0</v>
      </c>
      <c r="P311" s="37"/>
      <c r="Q311" s="74"/>
      <c r="R311" s="80"/>
      <c r="S311" s="74"/>
      <c r="T311" s="36"/>
      <c r="U311" s="79">
        <f>Table46[[#This Row],[NET WT KGS]]-Table46[[#This Row],[Refraction]]</f>
        <v>0</v>
      </c>
      <c r="V311" s="81"/>
      <c r="W311" s="81">
        <f>Table46[[#This Row],[PRICE]]*Table46[[#This Row],[PAID WT]]</f>
        <v>0</v>
      </c>
      <c r="X311" s="82">
        <v>10.199999999999999</v>
      </c>
      <c r="Y311" s="83">
        <v>186</v>
      </c>
      <c r="Z311" s="82">
        <v>42.24</v>
      </c>
      <c r="AA311" s="84"/>
      <c r="AB311" s="74" t="s">
        <v>537</v>
      </c>
      <c r="AC311" s="42" t="s">
        <v>70</v>
      </c>
      <c r="AD311" s="99"/>
      <c r="AE311" s="18">
        <f>Table46[[#This Row],[MOIS.]]*Table46[[#This Row],[NET WT KGS]]</f>
        <v>0</v>
      </c>
      <c r="AF311" s="18">
        <f>Table46[[#This Row],[KOR]]*Table46[[#This Row],[NET WT KGS]]</f>
        <v>0</v>
      </c>
      <c r="AG311">
        <f>Table46[[#This Row],[NET WT KGS]]*Table46[[#This Row],[NUT COUNT]]</f>
        <v>0</v>
      </c>
    </row>
    <row r="312" spans="1:33" x14ac:dyDescent="0.35">
      <c r="A312" s="32">
        <f t="shared" si="28"/>
        <v>310</v>
      </c>
      <c r="B312" s="75">
        <v>46094</v>
      </c>
      <c r="C312" s="87">
        <v>46095</v>
      </c>
      <c r="D312" s="66" t="s">
        <v>38</v>
      </c>
      <c r="E312" s="66" t="s">
        <v>258</v>
      </c>
      <c r="F312" s="67" t="s">
        <v>40</v>
      </c>
      <c r="G312" s="66" t="s">
        <v>350</v>
      </c>
      <c r="H312" s="10" t="s">
        <v>364</v>
      </c>
      <c r="I312" s="10" t="s">
        <v>84</v>
      </c>
      <c r="J312" s="66" t="s">
        <v>538</v>
      </c>
      <c r="K312" s="77" t="s">
        <v>426</v>
      </c>
      <c r="L312" s="102">
        <v>248</v>
      </c>
      <c r="M312" s="10">
        <v>82121</v>
      </c>
      <c r="N312" s="66">
        <v>381</v>
      </c>
      <c r="O312" s="68">
        <f t="shared" si="33"/>
        <v>32760</v>
      </c>
      <c r="P312" s="22">
        <v>32379</v>
      </c>
      <c r="Q312" s="66">
        <v>366</v>
      </c>
      <c r="R312" s="67">
        <v>0</v>
      </c>
      <c r="S312" s="66">
        <v>15</v>
      </c>
      <c r="T312" s="10">
        <f>S312*4+R312*40</f>
        <v>60</v>
      </c>
      <c r="U312" s="68">
        <f>Table46[[#This Row],[NET WT KGS]]-Table46[[#This Row],[Refraction]]</f>
        <v>32319</v>
      </c>
      <c r="V312" s="69">
        <v>490</v>
      </c>
      <c r="W312" s="69">
        <f>Table46[[#This Row],[PRICE]]*Table46[[#This Row],[PAID WT]]</f>
        <v>15836310</v>
      </c>
      <c r="X312" s="70">
        <v>9.9</v>
      </c>
      <c r="Y312" s="71">
        <v>170</v>
      </c>
      <c r="Z312" s="70">
        <v>45.32</v>
      </c>
      <c r="AA312" s="72"/>
      <c r="AB312" s="67" t="s">
        <v>367</v>
      </c>
      <c r="AC312" s="73"/>
      <c r="AD312" s="63" t="s">
        <v>483</v>
      </c>
      <c r="AE312" s="18">
        <f>Table46[[#This Row],[MOIS.]]*Table46[[#This Row],[NET WT KGS]]</f>
        <v>320552.10000000003</v>
      </c>
      <c r="AF312" s="18">
        <f>Table46[[#This Row],[KOR]]*Table46[[#This Row],[NET WT KGS]]</f>
        <v>1467416.28</v>
      </c>
      <c r="AG312">
        <f>Table46[[#This Row],[NET WT KGS]]*Table46[[#This Row],[NUT COUNT]]</f>
        <v>5504430</v>
      </c>
    </row>
    <row r="313" spans="1:33" x14ac:dyDescent="0.35">
      <c r="A313" s="32">
        <f t="shared" si="28"/>
        <v>311</v>
      </c>
      <c r="B313" s="91">
        <v>46095</v>
      </c>
      <c r="C313" s="35">
        <f>Table46[[#This Row],[DATE OF ARRIVAL]]</f>
        <v>46095</v>
      </c>
      <c r="D313" s="74" t="s">
        <v>38</v>
      </c>
      <c r="E313" s="74" t="s">
        <v>39</v>
      </c>
      <c r="F313" s="74" t="s">
        <v>62</v>
      </c>
      <c r="G313" s="74"/>
      <c r="H313" s="36" t="s">
        <v>94</v>
      </c>
      <c r="I313" s="36" t="s">
        <v>95</v>
      </c>
      <c r="J313" s="74" t="s">
        <v>304</v>
      </c>
      <c r="K313" s="74"/>
      <c r="L313" s="74"/>
      <c r="M313" s="36"/>
      <c r="N313" s="74"/>
      <c r="O313" s="79">
        <f t="shared" si="33"/>
        <v>0</v>
      </c>
      <c r="P313" s="37"/>
      <c r="Q313" s="74"/>
      <c r="R313" s="80"/>
      <c r="S313" s="74"/>
      <c r="T313" s="36"/>
      <c r="U313" s="79">
        <f>Table46[[#This Row],[NET WT KGS]]-Table46[[#This Row],[Refraction]]</f>
        <v>0</v>
      </c>
      <c r="V313" s="81"/>
      <c r="W313" s="81">
        <f>Table46[[#This Row],[PRICE]]*Table46[[#This Row],[PAID WT]]</f>
        <v>0</v>
      </c>
      <c r="X313" s="82">
        <v>14.2</v>
      </c>
      <c r="Y313" s="83">
        <v>154</v>
      </c>
      <c r="Z313" s="82">
        <v>43.84</v>
      </c>
      <c r="AA313" s="84"/>
      <c r="AB313" s="74" t="s">
        <v>539</v>
      </c>
      <c r="AC313" s="42" t="s">
        <v>70</v>
      </c>
      <c r="AD313" s="99"/>
      <c r="AE313" s="18">
        <f>Table46[[#This Row],[MOIS.]]*Table46[[#This Row],[NET WT KGS]]</f>
        <v>0</v>
      </c>
      <c r="AF313" s="18">
        <f>Table46[[#This Row],[KOR]]*Table46[[#This Row],[NET WT KGS]]</f>
        <v>0</v>
      </c>
      <c r="AG313">
        <f>Table46[[#This Row],[NET WT KGS]]*Table46[[#This Row],[NUT COUNT]]</f>
        <v>0</v>
      </c>
    </row>
    <row r="314" spans="1:33" x14ac:dyDescent="0.35">
      <c r="A314" s="32">
        <f t="shared" si="28"/>
        <v>312</v>
      </c>
      <c r="B314" s="87">
        <v>46095</v>
      </c>
      <c r="C314" s="75">
        <v>46095</v>
      </c>
      <c r="D314" s="66" t="s">
        <v>38</v>
      </c>
      <c r="E314" s="10" t="s">
        <v>39</v>
      </c>
      <c r="F314" s="50" t="s">
        <v>62</v>
      </c>
      <c r="G314" s="10"/>
      <c r="H314" s="10" t="s">
        <v>128</v>
      </c>
      <c r="I314" s="10" t="s">
        <v>129</v>
      </c>
      <c r="J314" s="10" t="s">
        <v>382</v>
      </c>
      <c r="K314" s="33" t="s">
        <v>131</v>
      </c>
      <c r="L314" s="10">
        <v>878</v>
      </c>
      <c r="M314" s="10">
        <v>82108</v>
      </c>
      <c r="N314" s="10">
        <v>506</v>
      </c>
      <c r="O314" s="22">
        <v>39300</v>
      </c>
      <c r="P314" s="22">
        <f>Table46[[#This Row],[GROSS WT KGS]]-Table46[[#This Row],[SACS]]</f>
        <v>38794</v>
      </c>
      <c r="Q314" s="10">
        <v>486</v>
      </c>
      <c r="R314" s="67">
        <v>0</v>
      </c>
      <c r="S314" s="10">
        <v>20</v>
      </c>
      <c r="T314" s="10">
        <f t="shared" ref="T314:T319" si="34">S314*4+R314*40</f>
        <v>80</v>
      </c>
      <c r="U314" s="22">
        <f>Table46[[#This Row],[NET WT KGS]]-Table46[[#This Row],[Refraction]]</f>
        <v>38714</v>
      </c>
      <c r="V314" s="23">
        <v>495</v>
      </c>
      <c r="W314" s="23">
        <f>Table46[[#This Row],[PRICE]]*Table46[[#This Row],[PAID WT]]</f>
        <v>19163430</v>
      </c>
      <c r="X314" s="24">
        <v>10.9</v>
      </c>
      <c r="Y314" s="25">
        <v>187</v>
      </c>
      <c r="Z314" s="24">
        <v>46.11</v>
      </c>
      <c r="AA314" s="26"/>
      <c r="AB314" s="10" t="s">
        <v>132</v>
      </c>
      <c r="AC314" s="27"/>
      <c r="AD314" s="63" t="s">
        <v>483</v>
      </c>
      <c r="AE314" s="18">
        <f>Table46[[#This Row],[MOIS.]]*Table46[[#This Row],[NET WT KGS]]</f>
        <v>422854.60000000003</v>
      </c>
      <c r="AF314" s="18">
        <f>Table46[[#This Row],[KOR]]*Table46[[#This Row],[NET WT KGS]]</f>
        <v>1788791.34</v>
      </c>
      <c r="AG314">
        <f>Table46[[#This Row],[NET WT KGS]]*Table46[[#This Row],[NUT COUNT]]</f>
        <v>7254478</v>
      </c>
    </row>
    <row r="315" spans="1:33" x14ac:dyDescent="0.35">
      <c r="A315" s="32">
        <f t="shared" si="28"/>
        <v>313</v>
      </c>
      <c r="B315" s="75">
        <v>46095</v>
      </c>
      <c r="C315" s="75">
        <v>46095</v>
      </c>
      <c r="D315" s="66" t="s">
        <v>38</v>
      </c>
      <c r="E315" s="66" t="s">
        <v>39</v>
      </c>
      <c r="F315" s="50" t="s">
        <v>40</v>
      </c>
      <c r="G315" s="10" t="s">
        <v>41</v>
      </c>
      <c r="H315" s="10" t="s">
        <v>136</v>
      </c>
      <c r="I315" s="10" t="s">
        <v>137</v>
      </c>
      <c r="J315" s="10" t="s">
        <v>540</v>
      </c>
      <c r="K315" s="21" t="s">
        <v>139</v>
      </c>
      <c r="L315" s="10">
        <v>246</v>
      </c>
      <c r="M315" s="10">
        <v>82147</v>
      </c>
      <c r="N315" s="10">
        <v>540</v>
      </c>
      <c r="O315" s="22">
        <f t="shared" ref="O315:O335" si="35">P315+N315</f>
        <v>44880</v>
      </c>
      <c r="P315" s="22">
        <v>44340</v>
      </c>
      <c r="Q315" s="10">
        <v>532</v>
      </c>
      <c r="R315" s="67">
        <v>0</v>
      </c>
      <c r="S315" s="10">
        <v>8</v>
      </c>
      <c r="T315" s="10">
        <f t="shared" si="34"/>
        <v>32</v>
      </c>
      <c r="U315" s="22">
        <f>Table46[[#This Row],[NET WT KGS]]-Table46[[#This Row],[Refraction]]</f>
        <v>44308</v>
      </c>
      <c r="V315" s="23">
        <v>495</v>
      </c>
      <c r="W315" s="23">
        <f>Table46[[#This Row],[PRICE]]*Table46[[#This Row],[PAID WT]]</f>
        <v>21932460</v>
      </c>
      <c r="X315" s="24">
        <v>8.6</v>
      </c>
      <c r="Y315" s="25">
        <v>166</v>
      </c>
      <c r="Z315" s="24">
        <v>47.26</v>
      </c>
      <c r="AA315" s="26"/>
      <c r="AB315" s="10" t="s">
        <v>140</v>
      </c>
      <c r="AC315" s="27"/>
      <c r="AD315" s="63" t="s">
        <v>483</v>
      </c>
      <c r="AE315" s="18">
        <f>Table46[[#This Row],[MOIS.]]*Table46[[#This Row],[NET WT KGS]]</f>
        <v>381324</v>
      </c>
      <c r="AF315" s="18">
        <f>Table46[[#This Row],[KOR]]*Table46[[#This Row],[NET WT KGS]]</f>
        <v>2095508.4</v>
      </c>
      <c r="AG315">
        <f>Table46[[#This Row],[NET WT KGS]]*Table46[[#This Row],[NUT COUNT]]</f>
        <v>7360440</v>
      </c>
    </row>
    <row r="316" spans="1:33" x14ac:dyDescent="0.35">
      <c r="A316" s="32">
        <f t="shared" si="28"/>
        <v>314</v>
      </c>
      <c r="B316" s="75">
        <v>46095</v>
      </c>
      <c r="C316" s="75">
        <v>46095</v>
      </c>
      <c r="D316" s="66" t="s">
        <v>38</v>
      </c>
      <c r="E316" s="66" t="s">
        <v>39</v>
      </c>
      <c r="F316" s="50" t="s">
        <v>40</v>
      </c>
      <c r="G316" s="10" t="s">
        <v>86</v>
      </c>
      <c r="H316" s="10" t="s">
        <v>338</v>
      </c>
      <c r="I316" s="10" t="s">
        <v>317</v>
      </c>
      <c r="J316" s="10" t="s">
        <v>541</v>
      </c>
      <c r="K316" s="57" t="s">
        <v>340</v>
      </c>
      <c r="L316" s="10">
        <v>247</v>
      </c>
      <c r="M316" s="10">
        <v>82154</v>
      </c>
      <c r="N316" s="10">
        <v>444</v>
      </c>
      <c r="O316" s="22">
        <f t="shared" si="35"/>
        <v>38960</v>
      </c>
      <c r="P316" s="22">
        <v>38516</v>
      </c>
      <c r="Q316" s="10">
        <v>439</v>
      </c>
      <c r="R316" s="67">
        <v>0</v>
      </c>
      <c r="S316" s="10">
        <v>5</v>
      </c>
      <c r="T316" s="10">
        <f t="shared" si="34"/>
        <v>20</v>
      </c>
      <c r="U316" s="22">
        <f>Table46[[#This Row],[NET WT KGS]]-Table46[[#This Row],[Refraction]]</f>
        <v>38496</v>
      </c>
      <c r="V316" s="23">
        <v>490</v>
      </c>
      <c r="W316" s="23">
        <f>Table46[[#This Row],[PRICE]]*Table46[[#This Row],[PAID WT]]</f>
        <v>18863040</v>
      </c>
      <c r="X316" s="24">
        <v>8</v>
      </c>
      <c r="Y316" s="25">
        <v>161</v>
      </c>
      <c r="Z316" s="24">
        <v>46.2</v>
      </c>
      <c r="AA316" s="26"/>
      <c r="AB316" s="10" t="s">
        <v>284</v>
      </c>
      <c r="AC316" s="27"/>
      <c r="AD316" s="63" t="s">
        <v>483</v>
      </c>
      <c r="AE316" s="18">
        <f>Table46[[#This Row],[MOIS.]]*Table46[[#This Row],[NET WT KGS]]</f>
        <v>308128</v>
      </c>
      <c r="AF316" s="18">
        <f>Table46[[#This Row],[KOR]]*Table46[[#This Row],[NET WT KGS]]</f>
        <v>1779439.2000000002</v>
      </c>
      <c r="AG316">
        <f>Table46[[#This Row],[NET WT KGS]]*Table46[[#This Row],[NUT COUNT]]</f>
        <v>6201076</v>
      </c>
    </row>
    <row r="317" spans="1:33" x14ac:dyDescent="0.35">
      <c r="A317" s="32">
        <f t="shared" si="28"/>
        <v>315</v>
      </c>
      <c r="B317" s="75">
        <v>46095</v>
      </c>
      <c r="C317" s="75">
        <v>46095</v>
      </c>
      <c r="D317" s="66" t="s">
        <v>38</v>
      </c>
      <c r="E317" s="66" t="s">
        <v>39</v>
      </c>
      <c r="F317" s="50" t="s">
        <v>40</v>
      </c>
      <c r="G317" s="10" t="s">
        <v>41</v>
      </c>
      <c r="H317" s="10" t="s">
        <v>42</v>
      </c>
      <c r="I317" s="10" t="s">
        <v>43</v>
      </c>
      <c r="J317" s="10" t="s">
        <v>542</v>
      </c>
      <c r="K317" s="21" t="s">
        <v>45</v>
      </c>
      <c r="L317" s="10">
        <v>102</v>
      </c>
      <c r="M317" s="10">
        <v>82126</v>
      </c>
      <c r="N317" s="10">
        <v>563</v>
      </c>
      <c r="O317" s="22">
        <f t="shared" si="35"/>
        <v>46780</v>
      </c>
      <c r="P317" s="22">
        <v>46217</v>
      </c>
      <c r="Q317" s="10">
        <v>553</v>
      </c>
      <c r="R317" s="67">
        <v>0</v>
      </c>
      <c r="S317" s="10">
        <v>10</v>
      </c>
      <c r="T317" s="10">
        <f t="shared" si="34"/>
        <v>40</v>
      </c>
      <c r="U317" s="22">
        <f>Table46[[#This Row],[NET WT KGS]]-Table46[[#This Row],[Refraction]]</f>
        <v>46177</v>
      </c>
      <c r="V317" s="23">
        <v>480</v>
      </c>
      <c r="W317" s="23">
        <f>Table46[[#This Row],[PRICE]]*Table46[[#This Row],[PAID WT]]</f>
        <v>22164960</v>
      </c>
      <c r="X317" s="24">
        <v>10.5</v>
      </c>
      <c r="Y317" s="25">
        <v>166</v>
      </c>
      <c r="Z317" s="24">
        <v>44.26</v>
      </c>
      <c r="AA317" s="26"/>
      <c r="AB317" s="50" t="s">
        <v>367</v>
      </c>
      <c r="AC317" s="27"/>
      <c r="AD317" s="63" t="s">
        <v>483</v>
      </c>
      <c r="AE317" s="18">
        <f>Table46[[#This Row],[MOIS.]]*Table46[[#This Row],[NET WT KGS]]</f>
        <v>485278.5</v>
      </c>
      <c r="AF317" s="18">
        <f>Table46[[#This Row],[KOR]]*Table46[[#This Row],[NET WT KGS]]</f>
        <v>2045564.42</v>
      </c>
      <c r="AG317">
        <f>Table46[[#This Row],[NET WT KGS]]*Table46[[#This Row],[NUT COUNT]]</f>
        <v>7672022</v>
      </c>
    </row>
    <row r="318" spans="1:33" x14ac:dyDescent="0.35">
      <c r="A318" s="32">
        <f t="shared" si="28"/>
        <v>316</v>
      </c>
      <c r="B318" s="75">
        <v>46095</v>
      </c>
      <c r="C318" s="75">
        <v>46095</v>
      </c>
      <c r="D318" s="66" t="s">
        <v>38</v>
      </c>
      <c r="E318" s="66" t="s">
        <v>39</v>
      </c>
      <c r="F318" s="50" t="s">
        <v>40</v>
      </c>
      <c r="G318" s="10" t="s">
        <v>350</v>
      </c>
      <c r="H318" s="10" t="s">
        <v>123</v>
      </c>
      <c r="I318" s="10" t="s">
        <v>124</v>
      </c>
      <c r="J318" s="10" t="s">
        <v>459</v>
      </c>
      <c r="K318" s="21" t="s">
        <v>161</v>
      </c>
      <c r="L318" s="10">
        <v>101</v>
      </c>
      <c r="M318" s="10">
        <v>77646</v>
      </c>
      <c r="N318" s="10">
        <v>668</v>
      </c>
      <c r="O318" s="22">
        <f t="shared" si="35"/>
        <v>51140</v>
      </c>
      <c r="P318" s="22">
        <v>50472</v>
      </c>
      <c r="Q318" s="10">
        <v>646</v>
      </c>
      <c r="R318" s="67">
        <v>0</v>
      </c>
      <c r="S318" s="10">
        <v>22</v>
      </c>
      <c r="T318" s="10">
        <f t="shared" si="34"/>
        <v>88</v>
      </c>
      <c r="U318" s="22">
        <f>Table46[[#This Row],[NET WT KGS]]-Table46[[#This Row],[Refraction]]</f>
        <v>50384</v>
      </c>
      <c r="V318" s="23">
        <v>485</v>
      </c>
      <c r="W318" s="23">
        <f>Table46[[#This Row],[PRICE]]*Table46[[#This Row],[PAID WT]]</f>
        <v>24436240</v>
      </c>
      <c r="X318" s="24">
        <v>11.5</v>
      </c>
      <c r="Y318" s="25">
        <v>178</v>
      </c>
      <c r="Z318" s="24">
        <v>45.06</v>
      </c>
      <c r="AA318" s="26"/>
      <c r="AB318" s="10" t="s">
        <v>398</v>
      </c>
      <c r="AC318" s="27"/>
      <c r="AD318" s="63" t="s">
        <v>483</v>
      </c>
      <c r="AE318" s="18">
        <f>Table46[[#This Row],[MOIS.]]*Table46[[#This Row],[NET WT KGS]]</f>
        <v>580428</v>
      </c>
      <c r="AF318" s="18">
        <f>Table46[[#This Row],[KOR]]*Table46[[#This Row],[NET WT KGS]]</f>
        <v>2274268.3200000003</v>
      </c>
      <c r="AG318">
        <f>Table46[[#This Row],[NET WT KGS]]*Table46[[#This Row],[NUT COUNT]]</f>
        <v>8984016</v>
      </c>
    </row>
    <row r="319" spans="1:33" x14ac:dyDescent="0.35">
      <c r="A319" s="32">
        <f t="shared" si="28"/>
        <v>317</v>
      </c>
      <c r="B319" s="75">
        <v>46095</v>
      </c>
      <c r="C319" s="75">
        <v>46095</v>
      </c>
      <c r="D319" s="66" t="s">
        <v>38</v>
      </c>
      <c r="E319" s="66" t="s">
        <v>39</v>
      </c>
      <c r="F319" s="50" t="s">
        <v>40</v>
      </c>
      <c r="G319" s="10" t="s">
        <v>86</v>
      </c>
      <c r="H319" s="10" t="s">
        <v>202</v>
      </c>
      <c r="I319" s="10" t="s">
        <v>203</v>
      </c>
      <c r="J319" s="10" t="s">
        <v>543</v>
      </c>
      <c r="K319" s="33" t="s">
        <v>205</v>
      </c>
      <c r="L319" s="10">
        <v>250</v>
      </c>
      <c r="M319" s="10">
        <v>66919</v>
      </c>
      <c r="N319" s="10">
        <v>454</v>
      </c>
      <c r="O319" s="22">
        <f t="shared" si="35"/>
        <v>40560</v>
      </c>
      <c r="P319" s="22">
        <v>40106</v>
      </c>
      <c r="Q319" s="10">
        <v>447</v>
      </c>
      <c r="R319" s="67">
        <v>0</v>
      </c>
      <c r="S319" s="10">
        <v>7</v>
      </c>
      <c r="T319" s="10">
        <f t="shared" si="34"/>
        <v>28</v>
      </c>
      <c r="U319" s="22">
        <f>Table46[[#This Row],[NET WT KGS]]-Table46[[#This Row],[Refraction]]</f>
        <v>40078</v>
      </c>
      <c r="V319" s="23">
        <v>485</v>
      </c>
      <c r="W319" s="23">
        <f>Table46[[#This Row],[PRICE]]*Table46[[#This Row],[PAID WT]]</f>
        <v>19437830</v>
      </c>
      <c r="X319" s="24">
        <v>9.6999999999999993</v>
      </c>
      <c r="Y319" s="25">
        <v>181</v>
      </c>
      <c r="Z319" s="24">
        <v>45.5</v>
      </c>
      <c r="AA319" s="26"/>
      <c r="AB319" s="10" t="s">
        <v>46</v>
      </c>
      <c r="AC319" s="27"/>
      <c r="AD319" s="63" t="s">
        <v>483</v>
      </c>
      <c r="AE319" s="18">
        <f>Table46[[#This Row],[MOIS.]]*Table46[[#This Row],[NET WT KGS]]</f>
        <v>389028.19999999995</v>
      </c>
      <c r="AF319" s="18">
        <f>Table46[[#This Row],[KOR]]*Table46[[#This Row],[NET WT KGS]]</f>
        <v>1824823</v>
      </c>
      <c r="AG319">
        <f>Table46[[#This Row],[NET WT KGS]]*Table46[[#This Row],[NUT COUNT]]</f>
        <v>7259186</v>
      </c>
    </row>
    <row r="320" spans="1:33" x14ac:dyDescent="0.35">
      <c r="A320" s="32">
        <f t="shared" si="28"/>
        <v>318</v>
      </c>
      <c r="B320" s="35">
        <v>46095</v>
      </c>
      <c r="C320" s="35">
        <f>Table46[[#This Row],[DATE OF ARRIVAL]]</f>
        <v>46095</v>
      </c>
      <c r="D320" s="74" t="s">
        <v>38</v>
      </c>
      <c r="E320" s="74" t="s">
        <v>39</v>
      </c>
      <c r="F320" s="36" t="s">
        <v>40</v>
      </c>
      <c r="G320" s="36"/>
      <c r="H320" s="36" t="s">
        <v>123</v>
      </c>
      <c r="I320" s="36" t="s">
        <v>124</v>
      </c>
      <c r="J320" s="36" t="s">
        <v>89</v>
      </c>
      <c r="K320" s="36"/>
      <c r="L320" s="36"/>
      <c r="M320" s="36"/>
      <c r="N320" s="36"/>
      <c r="O320" s="37">
        <f t="shared" si="35"/>
        <v>0</v>
      </c>
      <c r="P320" s="37"/>
      <c r="Q320" s="36"/>
      <c r="R320" s="80"/>
      <c r="S320" s="36"/>
      <c r="T320" s="36"/>
      <c r="U320" s="37">
        <f>Table46[[#This Row],[NET WT KGS]]-Table46[[#This Row],[Refraction]]</f>
        <v>0</v>
      </c>
      <c r="V320" s="38"/>
      <c r="W320" s="38">
        <f>Table46[[#This Row],[PRICE]]*Table46[[#This Row],[PAID WT]]</f>
        <v>0</v>
      </c>
      <c r="X320" s="39">
        <v>10.9</v>
      </c>
      <c r="Y320" s="40">
        <v>177</v>
      </c>
      <c r="Z320" s="39">
        <v>44.26</v>
      </c>
      <c r="AA320" s="41"/>
      <c r="AB320" s="36" t="s">
        <v>398</v>
      </c>
      <c r="AC320" s="42" t="s">
        <v>70</v>
      </c>
      <c r="AD320" s="28"/>
      <c r="AE320" s="18">
        <f>Table46[[#This Row],[MOIS.]]*Table46[[#This Row],[NET WT KGS]]</f>
        <v>0</v>
      </c>
      <c r="AF320" s="18">
        <f>Table46[[#This Row],[KOR]]*Table46[[#This Row],[NET WT KGS]]</f>
        <v>0</v>
      </c>
      <c r="AG320">
        <f>Table46[[#This Row],[NET WT KGS]]*Table46[[#This Row],[NUT COUNT]]</f>
        <v>0</v>
      </c>
    </row>
    <row r="321" spans="1:33" x14ac:dyDescent="0.35">
      <c r="A321" s="32">
        <f t="shared" si="28"/>
        <v>319</v>
      </c>
      <c r="B321" s="75">
        <v>46095</v>
      </c>
      <c r="C321" s="75">
        <v>46096</v>
      </c>
      <c r="D321" s="66" t="s">
        <v>38</v>
      </c>
      <c r="E321" s="66" t="s">
        <v>39</v>
      </c>
      <c r="F321" s="50" t="s">
        <v>40</v>
      </c>
      <c r="G321" s="10" t="s">
        <v>86</v>
      </c>
      <c r="H321" s="10" t="s">
        <v>123</v>
      </c>
      <c r="I321" s="10" t="s">
        <v>124</v>
      </c>
      <c r="J321" s="10" t="s">
        <v>544</v>
      </c>
      <c r="K321" s="21" t="s">
        <v>161</v>
      </c>
      <c r="L321" s="10">
        <v>103</v>
      </c>
      <c r="M321" s="10">
        <v>77645</v>
      </c>
      <c r="N321" s="10">
        <v>449</v>
      </c>
      <c r="O321" s="22">
        <f t="shared" si="35"/>
        <v>45100</v>
      </c>
      <c r="P321" s="22">
        <v>44651</v>
      </c>
      <c r="Q321" s="10">
        <v>433</v>
      </c>
      <c r="R321" s="67">
        <v>0</v>
      </c>
      <c r="S321" s="10">
        <v>11</v>
      </c>
      <c r="T321" s="10">
        <f>S321*4+R321*40</f>
        <v>44</v>
      </c>
      <c r="U321" s="22">
        <f>Table46[[#This Row],[NET WT KGS]]-Table46[[#This Row],[Refraction]]</f>
        <v>44607</v>
      </c>
      <c r="V321" s="23">
        <v>485</v>
      </c>
      <c r="W321" s="23">
        <f>Table46[[#This Row],[PRICE]]*Table46[[#This Row],[PAID WT]]</f>
        <v>21634395</v>
      </c>
      <c r="X321" s="24">
        <v>8.9</v>
      </c>
      <c r="Y321" s="25">
        <v>182</v>
      </c>
      <c r="Z321" s="24">
        <v>45.32</v>
      </c>
      <c r="AA321" s="26"/>
      <c r="AB321" s="10" t="s">
        <v>398</v>
      </c>
      <c r="AC321" s="27"/>
      <c r="AD321" s="63" t="s">
        <v>483</v>
      </c>
      <c r="AE321" s="18">
        <f>Table46[[#This Row],[MOIS.]]*Table46[[#This Row],[NET WT KGS]]</f>
        <v>397393.9</v>
      </c>
      <c r="AF321" s="18">
        <f>Table46[[#This Row],[KOR]]*Table46[[#This Row],[NET WT KGS]]</f>
        <v>2023583.32</v>
      </c>
      <c r="AG321">
        <f>Table46[[#This Row],[NET WT KGS]]*Table46[[#This Row],[NUT COUNT]]</f>
        <v>8126482</v>
      </c>
    </row>
    <row r="322" spans="1:33" x14ac:dyDescent="0.35">
      <c r="A322" s="32">
        <f t="shared" si="28"/>
        <v>320</v>
      </c>
      <c r="B322" s="75">
        <v>46095</v>
      </c>
      <c r="C322" s="75">
        <v>46096</v>
      </c>
      <c r="D322" s="66" t="s">
        <v>38</v>
      </c>
      <c r="E322" s="10" t="s">
        <v>39</v>
      </c>
      <c r="F322" s="50" t="s">
        <v>40</v>
      </c>
      <c r="G322" s="10" t="s">
        <v>350</v>
      </c>
      <c r="H322" s="66" t="s">
        <v>202</v>
      </c>
      <c r="I322" s="66" t="s">
        <v>203</v>
      </c>
      <c r="J322" s="10" t="s">
        <v>204</v>
      </c>
      <c r="K322" s="33" t="s">
        <v>205</v>
      </c>
      <c r="L322" s="10">
        <v>104</v>
      </c>
      <c r="M322" s="10">
        <v>72543</v>
      </c>
      <c r="N322" s="10">
        <v>509</v>
      </c>
      <c r="O322" s="22">
        <f t="shared" si="35"/>
        <v>38040</v>
      </c>
      <c r="P322" s="22">
        <v>37531</v>
      </c>
      <c r="Q322" s="10">
        <v>494</v>
      </c>
      <c r="R322" s="67">
        <v>0</v>
      </c>
      <c r="S322" s="10">
        <v>15</v>
      </c>
      <c r="T322" s="10">
        <f>S322*4+R322*40</f>
        <v>60</v>
      </c>
      <c r="U322" s="22">
        <f>Table46[[#This Row],[NET WT KGS]]-Table46[[#This Row],[Refraction]]</f>
        <v>37471</v>
      </c>
      <c r="V322" s="23">
        <v>485</v>
      </c>
      <c r="W322" s="23">
        <f>Table46[[#This Row],[PRICE]]*Table46[[#This Row],[PAID WT]]</f>
        <v>18173435</v>
      </c>
      <c r="X322" s="24">
        <v>7.1</v>
      </c>
      <c r="Y322" s="25">
        <v>170</v>
      </c>
      <c r="Z322" s="24">
        <v>45.06</v>
      </c>
      <c r="AA322" s="26"/>
      <c r="AB322" s="10" t="s">
        <v>46</v>
      </c>
      <c r="AC322" s="27"/>
      <c r="AD322" s="63" t="s">
        <v>483</v>
      </c>
      <c r="AE322" s="18">
        <f>Table46[[#This Row],[MOIS.]]*Table46[[#This Row],[NET WT KGS]]</f>
        <v>266470.09999999998</v>
      </c>
      <c r="AF322" s="18">
        <f>Table46[[#This Row],[KOR]]*Table46[[#This Row],[NET WT KGS]]</f>
        <v>1691146.86</v>
      </c>
      <c r="AG322">
        <f>Table46[[#This Row],[NET WT KGS]]*Table46[[#This Row],[NUT COUNT]]</f>
        <v>6380270</v>
      </c>
    </row>
    <row r="323" spans="1:33" x14ac:dyDescent="0.35">
      <c r="A323" s="32">
        <f t="shared" si="28"/>
        <v>321</v>
      </c>
      <c r="B323" s="75">
        <v>46095</v>
      </c>
      <c r="C323" s="75">
        <v>46096</v>
      </c>
      <c r="D323" s="66" t="s">
        <v>38</v>
      </c>
      <c r="E323" s="66" t="s">
        <v>258</v>
      </c>
      <c r="F323" s="50" t="s">
        <v>40</v>
      </c>
      <c r="G323" s="10" t="s">
        <v>350</v>
      </c>
      <c r="H323" s="10" t="s">
        <v>259</v>
      </c>
      <c r="I323" s="10" t="s">
        <v>60</v>
      </c>
      <c r="J323" s="10" t="s">
        <v>520</v>
      </c>
      <c r="K323" s="33" t="s">
        <v>261</v>
      </c>
      <c r="L323" s="10">
        <v>105</v>
      </c>
      <c r="M323" s="10">
        <v>82157</v>
      </c>
      <c r="N323" s="10">
        <v>477</v>
      </c>
      <c r="O323" s="22">
        <f t="shared" si="35"/>
        <v>40260</v>
      </c>
      <c r="P323" s="22">
        <v>39783</v>
      </c>
      <c r="Q323" s="10">
        <v>471</v>
      </c>
      <c r="R323" s="67">
        <v>0</v>
      </c>
      <c r="S323" s="10">
        <v>6</v>
      </c>
      <c r="T323" s="10">
        <f>S323*4+R323*40</f>
        <v>24</v>
      </c>
      <c r="U323" s="22">
        <f>Table46[[#This Row],[NET WT KGS]]-Table46[[#This Row],[Refraction]]</f>
        <v>39759</v>
      </c>
      <c r="V323" s="23">
        <v>490</v>
      </c>
      <c r="W323" s="23">
        <f>Table46[[#This Row],[PRICE]]*Table46[[#This Row],[PAID WT]]</f>
        <v>19481910</v>
      </c>
      <c r="X323" s="24">
        <v>9.1</v>
      </c>
      <c r="Y323" s="25">
        <v>179</v>
      </c>
      <c r="Z323" s="24">
        <v>45.5</v>
      </c>
      <c r="AA323" s="26"/>
      <c r="AB323" s="10" t="s">
        <v>46</v>
      </c>
      <c r="AC323" s="27"/>
      <c r="AD323" s="63" t="s">
        <v>483</v>
      </c>
      <c r="AE323" s="18">
        <f>Table46[[#This Row],[MOIS.]]*Table46[[#This Row],[NET WT KGS]]</f>
        <v>362025.3</v>
      </c>
      <c r="AF323" s="18">
        <f>Table46[[#This Row],[KOR]]*Table46[[#This Row],[NET WT KGS]]</f>
        <v>1810126.5</v>
      </c>
      <c r="AG323">
        <f>Table46[[#This Row],[NET WT KGS]]*Table46[[#This Row],[NUT COUNT]]</f>
        <v>7121157</v>
      </c>
    </row>
    <row r="324" spans="1:33" x14ac:dyDescent="0.35">
      <c r="A324" s="32">
        <f t="shared" ref="A324:A387" si="36">A323+1</f>
        <v>322</v>
      </c>
      <c r="B324" s="75">
        <v>46095</v>
      </c>
      <c r="C324" s="75">
        <v>46096</v>
      </c>
      <c r="D324" s="66" t="s">
        <v>38</v>
      </c>
      <c r="E324" s="66" t="s">
        <v>39</v>
      </c>
      <c r="F324" s="50" t="s">
        <v>40</v>
      </c>
      <c r="G324" s="10" t="s">
        <v>41</v>
      </c>
      <c r="H324" s="10" t="s">
        <v>123</v>
      </c>
      <c r="I324" s="10" t="s">
        <v>124</v>
      </c>
      <c r="J324" s="10" t="s">
        <v>480</v>
      </c>
      <c r="K324" s="21" t="s">
        <v>161</v>
      </c>
      <c r="L324" s="10">
        <v>106</v>
      </c>
      <c r="M324" s="10">
        <v>82127</v>
      </c>
      <c r="N324" s="10">
        <v>477</v>
      </c>
      <c r="O324" s="22">
        <f t="shared" si="35"/>
        <v>39540</v>
      </c>
      <c r="P324" s="22">
        <v>39063</v>
      </c>
      <c r="Q324" s="10">
        <v>462</v>
      </c>
      <c r="R324" s="67">
        <v>0</v>
      </c>
      <c r="S324" s="10">
        <v>15</v>
      </c>
      <c r="T324" s="10">
        <f>S324*4+R324*40</f>
        <v>60</v>
      </c>
      <c r="U324" s="22">
        <f>Table46[[#This Row],[NET WT KGS]]-Table46[[#This Row],[Refraction]]</f>
        <v>39003</v>
      </c>
      <c r="V324" s="23">
        <v>485</v>
      </c>
      <c r="W324" s="23">
        <f>Table46[[#This Row],[PRICE]]*Table46[[#This Row],[PAID WT]]</f>
        <v>18916455</v>
      </c>
      <c r="X324" s="24">
        <v>10.8</v>
      </c>
      <c r="Y324" s="25">
        <v>169</v>
      </c>
      <c r="Z324" s="24">
        <v>45.15</v>
      </c>
      <c r="AA324" s="26"/>
      <c r="AB324" s="10" t="s">
        <v>58</v>
      </c>
      <c r="AC324" s="27"/>
      <c r="AD324" s="63" t="s">
        <v>483</v>
      </c>
      <c r="AE324" s="18">
        <f>Table46[[#This Row],[MOIS.]]*Table46[[#This Row],[NET WT KGS]]</f>
        <v>421880.4</v>
      </c>
      <c r="AF324" s="18">
        <f>Table46[[#This Row],[KOR]]*Table46[[#This Row],[NET WT KGS]]</f>
        <v>1763694.45</v>
      </c>
      <c r="AG324">
        <f>Table46[[#This Row],[NET WT KGS]]*Table46[[#This Row],[NUT COUNT]]</f>
        <v>6601647</v>
      </c>
    </row>
    <row r="325" spans="1:33" x14ac:dyDescent="0.35">
      <c r="A325" s="32">
        <f t="shared" si="36"/>
        <v>323</v>
      </c>
      <c r="B325" s="87">
        <v>46096</v>
      </c>
      <c r="C325" s="87">
        <v>46096</v>
      </c>
      <c r="D325" s="66" t="s">
        <v>38</v>
      </c>
      <c r="E325" s="66" t="s">
        <v>39</v>
      </c>
      <c r="F325" s="50" t="s">
        <v>40</v>
      </c>
      <c r="G325" s="66" t="s">
        <v>86</v>
      </c>
      <c r="H325" s="10" t="s">
        <v>112</v>
      </c>
      <c r="I325" s="10" t="s">
        <v>113</v>
      </c>
      <c r="J325" s="66" t="s">
        <v>114</v>
      </c>
      <c r="K325" s="21" t="s">
        <v>115</v>
      </c>
      <c r="L325" s="66">
        <v>107</v>
      </c>
      <c r="M325" s="10">
        <v>77635</v>
      </c>
      <c r="N325" s="66">
        <v>507</v>
      </c>
      <c r="O325" s="68">
        <f t="shared" si="35"/>
        <v>41860</v>
      </c>
      <c r="P325" s="68">
        <v>41353</v>
      </c>
      <c r="Q325" s="66">
        <v>496</v>
      </c>
      <c r="R325" s="67">
        <v>0</v>
      </c>
      <c r="S325" s="66">
        <v>11</v>
      </c>
      <c r="T325" s="66">
        <f>S325*4+R325*40</f>
        <v>44</v>
      </c>
      <c r="U325" s="68">
        <f>Table46[[#This Row],[NET WT KGS]]-Table46[[#This Row],[Refraction]]</f>
        <v>41309</v>
      </c>
      <c r="V325" s="69">
        <v>490</v>
      </c>
      <c r="W325" s="69">
        <f>Table46[[#This Row],[PRICE]]*Table46[[#This Row],[PAID WT]]</f>
        <v>20241410</v>
      </c>
      <c r="X325" s="70">
        <v>9.6999999999999993</v>
      </c>
      <c r="Y325" s="71">
        <v>174</v>
      </c>
      <c r="Z325" s="70">
        <v>46.23</v>
      </c>
      <c r="AA325" s="72"/>
      <c r="AB325" s="10" t="s">
        <v>132</v>
      </c>
      <c r="AC325" s="73"/>
      <c r="AD325" s="103" t="s">
        <v>483</v>
      </c>
      <c r="AE325" s="18">
        <f>Table46[[#This Row],[MOIS.]]*Table46[[#This Row],[NET WT KGS]]</f>
        <v>401124.1</v>
      </c>
      <c r="AF325" s="18">
        <f>Table46[[#This Row],[KOR]]*Table46[[#This Row],[NET WT KGS]]</f>
        <v>1911749.19</v>
      </c>
      <c r="AG325">
        <f>Table46[[#This Row],[NET WT KGS]]*Table46[[#This Row],[NUT COUNT]]</f>
        <v>7195422</v>
      </c>
    </row>
    <row r="326" spans="1:33" x14ac:dyDescent="0.35">
      <c r="A326" s="32">
        <f t="shared" si="36"/>
        <v>324</v>
      </c>
      <c r="B326" s="35">
        <v>46096</v>
      </c>
      <c r="C326" s="35">
        <f>Table46[[#This Row],[DATE OF ARRIVAL]]</f>
        <v>46096</v>
      </c>
      <c r="D326" s="74" t="s">
        <v>38</v>
      </c>
      <c r="E326" s="74" t="s">
        <v>39</v>
      </c>
      <c r="F326" s="36" t="s">
        <v>40</v>
      </c>
      <c r="G326" s="36"/>
      <c r="H326" s="36" t="s">
        <v>112</v>
      </c>
      <c r="I326" s="36" t="s">
        <v>113</v>
      </c>
      <c r="J326" s="36" t="s">
        <v>542</v>
      </c>
      <c r="K326" s="36"/>
      <c r="L326" s="36"/>
      <c r="M326" s="36"/>
      <c r="N326" s="36"/>
      <c r="O326" s="37">
        <f t="shared" si="35"/>
        <v>0</v>
      </c>
      <c r="P326" s="37"/>
      <c r="Q326" s="36"/>
      <c r="R326" s="86"/>
      <c r="S326" s="36"/>
      <c r="T326" s="36"/>
      <c r="U326" s="37">
        <f>Table46[[#This Row],[NET WT KGS]]-Table46[[#This Row],[Refraction]]</f>
        <v>0</v>
      </c>
      <c r="V326" s="38"/>
      <c r="W326" s="38">
        <f>Table46[[#This Row],[PRICE]]*Table46[[#This Row],[PAID WT]]</f>
        <v>0</v>
      </c>
      <c r="X326" s="39">
        <v>11.8</v>
      </c>
      <c r="Y326" s="40">
        <v>173</v>
      </c>
      <c r="Z326" s="39">
        <v>43.38</v>
      </c>
      <c r="AA326" s="41"/>
      <c r="AB326" s="36" t="s">
        <v>367</v>
      </c>
      <c r="AC326" s="42" t="s">
        <v>70</v>
      </c>
      <c r="AD326" s="28"/>
      <c r="AE326" s="18">
        <f>Table46[[#This Row],[MOIS.]]*Table46[[#This Row],[NET WT KGS]]</f>
        <v>0</v>
      </c>
      <c r="AF326" s="18">
        <f>Table46[[#This Row],[KOR]]*Table46[[#This Row],[NET WT KGS]]</f>
        <v>0</v>
      </c>
      <c r="AG326">
        <f>Table46[[#This Row],[NET WT KGS]]*Table46[[#This Row],[NUT COUNT]]</f>
        <v>0</v>
      </c>
    </row>
    <row r="327" spans="1:33" x14ac:dyDescent="0.35">
      <c r="A327" s="32">
        <f t="shared" si="36"/>
        <v>325</v>
      </c>
      <c r="B327" s="35">
        <v>46096</v>
      </c>
      <c r="C327" s="35">
        <f>Table46[[#This Row],[DATE OF ARRIVAL]]</f>
        <v>46096</v>
      </c>
      <c r="D327" s="74" t="s">
        <v>38</v>
      </c>
      <c r="E327" s="36" t="s">
        <v>258</v>
      </c>
      <c r="F327" s="36" t="s">
        <v>40</v>
      </c>
      <c r="G327" s="36"/>
      <c r="H327" s="36" t="s">
        <v>364</v>
      </c>
      <c r="I327" s="36" t="s">
        <v>84</v>
      </c>
      <c r="J327" s="36" t="s">
        <v>545</v>
      </c>
      <c r="K327" s="36"/>
      <c r="L327" s="36"/>
      <c r="M327" s="36"/>
      <c r="N327" s="36"/>
      <c r="O327" s="37">
        <f t="shared" si="35"/>
        <v>0</v>
      </c>
      <c r="P327" s="37"/>
      <c r="Q327" s="36"/>
      <c r="R327" s="86"/>
      <c r="S327" s="36"/>
      <c r="T327" s="36"/>
      <c r="U327" s="37">
        <f>Table46[[#This Row],[NET WT KGS]]-Table46[[#This Row],[Refraction]]</f>
        <v>0</v>
      </c>
      <c r="V327" s="38"/>
      <c r="W327" s="38">
        <f>Table46[[#This Row],[PRICE]]*Table46[[#This Row],[PAID WT]]</f>
        <v>0</v>
      </c>
      <c r="X327" s="39">
        <v>8.4</v>
      </c>
      <c r="Y327" s="40">
        <v>177</v>
      </c>
      <c r="Z327" s="39">
        <v>41.62</v>
      </c>
      <c r="AA327" s="41"/>
      <c r="AB327" s="36" t="s">
        <v>546</v>
      </c>
      <c r="AC327" s="42" t="s">
        <v>70</v>
      </c>
      <c r="AD327" s="28"/>
      <c r="AE327" s="18">
        <f>Table46[[#This Row],[MOIS.]]*Table46[[#This Row],[NET WT KGS]]</f>
        <v>0</v>
      </c>
      <c r="AF327" s="18">
        <f>Table46[[#This Row],[KOR]]*Table46[[#This Row],[NET WT KGS]]</f>
        <v>0</v>
      </c>
      <c r="AG327">
        <f>Table46[[#This Row],[NET WT KGS]]*Table46[[#This Row],[NUT COUNT]]</f>
        <v>0</v>
      </c>
    </row>
    <row r="328" spans="1:33" x14ac:dyDescent="0.35">
      <c r="A328" s="32">
        <f t="shared" si="36"/>
        <v>326</v>
      </c>
      <c r="B328" s="35">
        <v>46096</v>
      </c>
      <c r="C328" s="35">
        <f>Table46[[#This Row],[DATE OF ARRIVAL]]</f>
        <v>46096</v>
      </c>
      <c r="D328" s="74" t="s">
        <v>38</v>
      </c>
      <c r="E328" s="36" t="s">
        <v>39</v>
      </c>
      <c r="F328" s="36" t="s">
        <v>62</v>
      </c>
      <c r="G328" s="36"/>
      <c r="H328" s="36" t="s">
        <v>87</v>
      </c>
      <c r="I328" s="36" t="s">
        <v>88</v>
      </c>
      <c r="J328" s="36" t="s">
        <v>547</v>
      </c>
      <c r="K328" s="36"/>
      <c r="L328" s="36"/>
      <c r="M328" s="36"/>
      <c r="N328" s="36"/>
      <c r="O328" s="37">
        <f t="shared" si="35"/>
        <v>0</v>
      </c>
      <c r="P328" s="37"/>
      <c r="Q328" s="36"/>
      <c r="R328" s="80"/>
      <c r="S328" s="36"/>
      <c r="T328" s="36"/>
      <c r="U328" s="37">
        <f>Table46[[#This Row],[NET WT KGS]]-Table46[[#This Row],[Refraction]]</f>
        <v>0</v>
      </c>
      <c r="V328" s="38"/>
      <c r="W328" s="38">
        <f>Table46[[#This Row],[PRICE]]*Table46[[#This Row],[PAID WT]]</f>
        <v>0</v>
      </c>
      <c r="X328" s="39">
        <v>10</v>
      </c>
      <c r="Y328" s="40">
        <v>181</v>
      </c>
      <c r="Z328" s="39">
        <v>42.76</v>
      </c>
      <c r="AA328" s="41"/>
      <c r="AB328" s="36" t="s">
        <v>398</v>
      </c>
      <c r="AC328" s="42" t="s">
        <v>70</v>
      </c>
      <c r="AD328" s="28"/>
      <c r="AE328" s="18">
        <f>Table46[[#This Row],[MOIS.]]*Table46[[#This Row],[NET WT KGS]]</f>
        <v>0</v>
      </c>
      <c r="AF328" s="18">
        <f>Table46[[#This Row],[KOR]]*Table46[[#This Row],[NET WT KGS]]</f>
        <v>0</v>
      </c>
      <c r="AG328">
        <f>Table46[[#This Row],[NET WT KGS]]*Table46[[#This Row],[NUT COUNT]]</f>
        <v>0</v>
      </c>
    </row>
    <row r="329" spans="1:33" x14ac:dyDescent="0.35">
      <c r="A329" s="32">
        <f t="shared" si="36"/>
        <v>327</v>
      </c>
      <c r="B329" s="35">
        <v>46096</v>
      </c>
      <c r="C329" s="35">
        <f>Table46[[#This Row],[DATE OF ARRIVAL]]</f>
        <v>46096</v>
      </c>
      <c r="D329" s="74" t="s">
        <v>38</v>
      </c>
      <c r="E329" s="36" t="s">
        <v>39</v>
      </c>
      <c r="F329" s="36" t="s">
        <v>62</v>
      </c>
      <c r="G329" s="74"/>
      <c r="H329" s="74" t="s">
        <v>154</v>
      </c>
      <c r="I329" s="74" t="str">
        <f>VLOOKUP(Table46[[#This Row],[SUPPLIERS NAME]],[1]AGING!X$3:Y$30,2,)</f>
        <v>LBA-010-CAP</v>
      </c>
      <c r="J329" s="36" t="s">
        <v>548</v>
      </c>
      <c r="K329" s="36"/>
      <c r="L329" s="36"/>
      <c r="M329" s="74"/>
      <c r="N329" s="36"/>
      <c r="O329" s="37">
        <f t="shared" si="35"/>
        <v>0</v>
      </c>
      <c r="P329" s="37"/>
      <c r="Q329" s="36"/>
      <c r="R329" s="80"/>
      <c r="S329" s="36"/>
      <c r="T329" s="36"/>
      <c r="U329" s="37">
        <f>Table46[[#This Row],[NET WT KGS]]-Table46[[#This Row],[Refraction]]</f>
        <v>0</v>
      </c>
      <c r="V329" s="38"/>
      <c r="W329" s="38">
        <f>Table46[[#This Row],[PRICE]]*Table46[[#This Row],[PAID WT]]</f>
        <v>0</v>
      </c>
      <c r="X329" s="39">
        <v>13.8</v>
      </c>
      <c r="Y329" s="40">
        <v>189</v>
      </c>
      <c r="Z329" s="39">
        <v>39.6</v>
      </c>
      <c r="AA329" s="41"/>
      <c r="AB329" s="36" t="s">
        <v>132</v>
      </c>
      <c r="AC329" s="42" t="s">
        <v>70</v>
      </c>
      <c r="AD329" s="28"/>
      <c r="AE329" s="18">
        <f>Table46[[#This Row],[MOIS.]]*Table46[[#This Row],[NET WT KGS]]</f>
        <v>0</v>
      </c>
      <c r="AF329" s="18">
        <f>Table46[[#This Row],[KOR]]*Table46[[#This Row],[NET WT KGS]]</f>
        <v>0</v>
      </c>
      <c r="AG329">
        <f>Table46[[#This Row],[NET WT KGS]]*Table46[[#This Row],[NUT COUNT]]</f>
        <v>0</v>
      </c>
    </row>
    <row r="330" spans="1:33" x14ac:dyDescent="0.35">
      <c r="A330" s="32">
        <f t="shared" si="36"/>
        <v>328</v>
      </c>
      <c r="B330" s="75">
        <v>46096</v>
      </c>
      <c r="C330" s="75">
        <v>46097</v>
      </c>
      <c r="D330" s="50" t="s">
        <v>38</v>
      </c>
      <c r="E330" s="50" t="s">
        <v>39</v>
      </c>
      <c r="F330" s="50" t="s">
        <v>40</v>
      </c>
      <c r="G330" s="10" t="s">
        <v>350</v>
      </c>
      <c r="H330" s="50" t="s">
        <v>74</v>
      </c>
      <c r="I330" s="50" t="s">
        <v>75</v>
      </c>
      <c r="J330" s="50" t="s">
        <v>76</v>
      </c>
      <c r="K330" s="33" t="s">
        <v>77</v>
      </c>
      <c r="L330" s="50">
        <v>108</v>
      </c>
      <c r="M330" s="10">
        <v>82869</v>
      </c>
      <c r="N330" s="50">
        <v>475</v>
      </c>
      <c r="O330" s="51">
        <f t="shared" si="35"/>
        <v>39880</v>
      </c>
      <c r="P330" s="51">
        <v>39405</v>
      </c>
      <c r="Q330" s="50">
        <v>455</v>
      </c>
      <c r="R330" s="67">
        <v>0</v>
      </c>
      <c r="S330" s="50">
        <v>20</v>
      </c>
      <c r="T330" s="10">
        <f t="shared" ref="T330:T339" si="37">S330*4+R330*40</f>
        <v>80</v>
      </c>
      <c r="U330" s="51">
        <f>Table46[[#This Row],[NET WT KGS]]-Table46[[#This Row],[Refraction]]</f>
        <v>39325</v>
      </c>
      <c r="V330" s="52">
        <v>485</v>
      </c>
      <c r="W330" s="52">
        <f>Table46[[#This Row],[PRICE]]*Table46[[#This Row],[PAID WT]]</f>
        <v>19072625</v>
      </c>
      <c r="X330" s="53">
        <v>12.2</v>
      </c>
      <c r="Y330" s="54">
        <v>189</v>
      </c>
      <c r="Z330" s="53">
        <v>45.15</v>
      </c>
      <c r="AA330" s="55"/>
      <c r="AB330" s="50" t="s">
        <v>140</v>
      </c>
      <c r="AC330" s="56"/>
      <c r="AD330" s="63" t="s">
        <v>549</v>
      </c>
      <c r="AE330" s="18">
        <f>Table46[[#This Row],[MOIS.]]*Table46[[#This Row],[NET WT KGS]]</f>
        <v>480741</v>
      </c>
      <c r="AF330" s="18">
        <f>Table46[[#This Row],[KOR]]*Table46[[#This Row],[NET WT KGS]]</f>
        <v>1779135.75</v>
      </c>
      <c r="AG330">
        <f>Table46[[#This Row],[NET WT KGS]]*Table46[[#This Row],[NUT COUNT]]</f>
        <v>7447545</v>
      </c>
    </row>
    <row r="331" spans="1:33" x14ac:dyDescent="0.35">
      <c r="A331" s="32">
        <f t="shared" si="36"/>
        <v>329</v>
      </c>
      <c r="B331" s="75">
        <v>46096</v>
      </c>
      <c r="C331" s="75">
        <v>46097</v>
      </c>
      <c r="D331" s="50" t="s">
        <v>38</v>
      </c>
      <c r="E331" s="50" t="s">
        <v>39</v>
      </c>
      <c r="F331" s="50" t="s">
        <v>40</v>
      </c>
      <c r="G331" s="10" t="s">
        <v>86</v>
      </c>
      <c r="H331" s="50" t="s">
        <v>105</v>
      </c>
      <c r="I331" s="50" t="s">
        <v>106</v>
      </c>
      <c r="J331" s="50" t="s">
        <v>425</v>
      </c>
      <c r="K331" s="33" t="s">
        <v>108</v>
      </c>
      <c r="L331" s="50">
        <v>111</v>
      </c>
      <c r="M331" s="10">
        <v>82600</v>
      </c>
      <c r="N331" s="50">
        <v>242</v>
      </c>
      <c r="O331" s="51">
        <f t="shared" si="35"/>
        <v>21120</v>
      </c>
      <c r="P331" s="51">
        <v>20878</v>
      </c>
      <c r="Q331" s="50">
        <v>236</v>
      </c>
      <c r="R331" s="67">
        <v>0</v>
      </c>
      <c r="S331" s="50">
        <v>6</v>
      </c>
      <c r="T331" s="10">
        <f t="shared" si="37"/>
        <v>24</v>
      </c>
      <c r="U331" s="51">
        <f>Table46[[#This Row],[NET WT KGS]]-Table46[[#This Row],[Refraction]]</f>
        <v>20854</v>
      </c>
      <c r="V331" s="52">
        <v>485</v>
      </c>
      <c r="W331" s="52">
        <f>Table46[[#This Row],[PRICE]]*Table46[[#This Row],[PAID WT]]</f>
        <v>10114190</v>
      </c>
      <c r="X331" s="53">
        <v>7.7</v>
      </c>
      <c r="Y331" s="54">
        <v>172</v>
      </c>
      <c r="Z331" s="53">
        <v>45.5</v>
      </c>
      <c r="AA331" s="55"/>
      <c r="AB331" s="50" t="s">
        <v>58</v>
      </c>
      <c r="AC331" s="56"/>
      <c r="AD331" s="63" t="s">
        <v>549</v>
      </c>
      <c r="AE331" s="18">
        <f>Table46[[#This Row],[MOIS.]]*Table46[[#This Row],[NET WT KGS]]</f>
        <v>160760.6</v>
      </c>
      <c r="AF331" s="18">
        <f>Table46[[#This Row],[KOR]]*Table46[[#This Row],[NET WT KGS]]</f>
        <v>949949</v>
      </c>
      <c r="AG331">
        <f>Table46[[#This Row],[NET WT KGS]]*Table46[[#This Row],[NUT COUNT]]</f>
        <v>3591016</v>
      </c>
    </row>
    <row r="332" spans="1:33" x14ac:dyDescent="0.35">
      <c r="A332" s="32">
        <f t="shared" si="36"/>
        <v>330</v>
      </c>
      <c r="B332" s="75">
        <v>46096</v>
      </c>
      <c r="C332" s="75">
        <v>46097</v>
      </c>
      <c r="D332" s="50" t="s">
        <v>38</v>
      </c>
      <c r="E332" s="50" t="s">
        <v>39</v>
      </c>
      <c r="F332" s="50" t="s">
        <v>40</v>
      </c>
      <c r="G332" s="10" t="s">
        <v>350</v>
      </c>
      <c r="H332" s="50" t="s">
        <v>280</v>
      </c>
      <c r="I332" s="50" t="s">
        <v>281</v>
      </c>
      <c r="J332" s="50" t="s">
        <v>514</v>
      </c>
      <c r="K332" s="21" t="s">
        <v>283</v>
      </c>
      <c r="L332" s="50">
        <v>109</v>
      </c>
      <c r="M332" s="10">
        <v>82143</v>
      </c>
      <c r="N332" s="50">
        <v>512</v>
      </c>
      <c r="O332" s="51">
        <f t="shared" si="35"/>
        <v>43640</v>
      </c>
      <c r="P332" s="51">
        <v>43128</v>
      </c>
      <c r="Q332" s="50">
        <v>502</v>
      </c>
      <c r="R332" s="67">
        <v>0</v>
      </c>
      <c r="S332" s="50">
        <v>10</v>
      </c>
      <c r="T332" s="10">
        <f t="shared" si="37"/>
        <v>40</v>
      </c>
      <c r="U332" s="51">
        <f>Table46[[#This Row],[NET WT KGS]]-Table46[[#This Row],[Refraction]]</f>
        <v>43088</v>
      </c>
      <c r="V332" s="52">
        <v>490</v>
      </c>
      <c r="W332" s="52">
        <f>Table46[[#This Row],[PRICE]]*Table46[[#This Row],[PAID WT]]</f>
        <v>21113120</v>
      </c>
      <c r="X332" s="53">
        <v>11</v>
      </c>
      <c r="Y332" s="54">
        <v>164</v>
      </c>
      <c r="Z332" s="53">
        <v>46.03</v>
      </c>
      <c r="AA332" s="55"/>
      <c r="AB332" s="50" t="s">
        <v>284</v>
      </c>
      <c r="AC332" s="56"/>
      <c r="AD332" s="63" t="s">
        <v>549</v>
      </c>
      <c r="AE332" s="18">
        <f>Table46[[#This Row],[MOIS.]]*Table46[[#This Row],[NET WT KGS]]</f>
        <v>474408</v>
      </c>
      <c r="AF332" s="18">
        <f>Table46[[#This Row],[KOR]]*Table46[[#This Row],[NET WT KGS]]</f>
        <v>1985181.84</v>
      </c>
      <c r="AG332">
        <f>Table46[[#This Row],[NET WT KGS]]*Table46[[#This Row],[NUT COUNT]]</f>
        <v>7072992</v>
      </c>
    </row>
    <row r="333" spans="1:33" x14ac:dyDescent="0.35">
      <c r="A333" s="32">
        <f t="shared" si="36"/>
        <v>331</v>
      </c>
      <c r="B333" s="75">
        <v>46097</v>
      </c>
      <c r="C333" s="75">
        <v>46097</v>
      </c>
      <c r="D333" s="50" t="s">
        <v>38</v>
      </c>
      <c r="E333" s="50" t="s">
        <v>39</v>
      </c>
      <c r="F333" s="50" t="s">
        <v>40</v>
      </c>
      <c r="G333" s="10" t="s">
        <v>86</v>
      </c>
      <c r="H333" s="50" t="s">
        <v>338</v>
      </c>
      <c r="I333" s="50" t="s">
        <v>317</v>
      </c>
      <c r="J333" s="50" t="s">
        <v>442</v>
      </c>
      <c r="K333" s="57" t="s">
        <v>340</v>
      </c>
      <c r="L333" s="50">
        <v>110</v>
      </c>
      <c r="M333" s="10">
        <v>82153</v>
      </c>
      <c r="N333" s="50">
        <v>443</v>
      </c>
      <c r="O333" s="51">
        <f t="shared" si="35"/>
        <v>38920</v>
      </c>
      <c r="P333" s="51">
        <v>38477</v>
      </c>
      <c r="Q333" s="50">
        <v>438</v>
      </c>
      <c r="R333" s="67">
        <v>0</v>
      </c>
      <c r="S333" s="50">
        <v>5</v>
      </c>
      <c r="T333" s="10">
        <f t="shared" si="37"/>
        <v>20</v>
      </c>
      <c r="U333" s="51">
        <f>Table46[[#This Row],[NET WT KGS]]-Table46[[#This Row],[Refraction]]</f>
        <v>38457</v>
      </c>
      <c r="V333" s="52">
        <v>490</v>
      </c>
      <c r="W333" s="52">
        <f>Table46[[#This Row],[PRICE]]*Table46[[#This Row],[PAID WT]]</f>
        <v>18843930</v>
      </c>
      <c r="X333" s="53">
        <v>9.1</v>
      </c>
      <c r="Y333" s="54">
        <v>160</v>
      </c>
      <c r="Z333" s="53">
        <v>46.03</v>
      </c>
      <c r="AA333" s="55"/>
      <c r="AB333" s="50" t="s">
        <v>284</v>
      </c>
      <c r="AC333" s="56"/>
      <c r="AD333" s="63" t="s">
        <v>549</v>
      </c>
      <c r="AE333" s="18">
        <f>Table46[[#This Row],[MOIS.]]*Table46[[#This Row],[NET WT KGS]]</f>
        <v>350140.7</v>
      </c>
      <c r="AF333" s="18">
        <f>Table46[[#This Row],[KOR]]*Table46[[#This Row],[NET WT KGS]]</f>
        <v>1771096.31</v>
      </c>
      <c r="AG333">
        <f>Table46[[#This Row],[NET WT KGS]]*Table46[[#This Row],[NUT COUNT]]</f>
        <v>6156320</v>
      </c>
    </row>
    <row r="334" spans="1:33" x14ac:dyDescent="0.35">
      <c r="A334" s="32">
        <f t="shared" si="36"/>
        <v>332</v>
      </c>
      <c r="B334" s="75">
        <v>46097</v>
      </c>
      <c r="C334" s="75">
        <v>46097</v>
      </c>
      <c r="D334" s="50" t="s">
        <v>38</v>
      </c>
      <c r="E334" s="50" t="s">
        <v>39</v>
      </c>
      <c r="F334" s="50" t="s">
        <v>40</v>
      </c>
      <c r="G334" s="10" t="s">
        <v>350</v>
      </c>
      <c r="H334" s="50" t="s">
        <v>112</v>
      </c>
      <c r="I334" s="50" t="s">
        <v>113</v>
      </c>
      <c r="J334" s="50" t="s">
        <v>366</v>
      </c>
      <c r="K334" s="21" t="s">
        <v>115</v>
      </c>
      <c r="L334" s="50">
        <v>112</v>
      </c>
      <c r="M334" s="10">
        <v>82481</v>
      </c>
      <c r="N334" s="50">
        <v>407</v>
      </c>
      <c r="O334" s="51">
        <f t="shared" si="35"/>
        <v>36680</v>
      </c>
      <c r="P334" s="51">
        <v>36273</v>
      </c>
      <c r="Q334" s="50">
        <v>401</v>
      </c>
      <c r="R334" s="67">
        <v>0</v>
      </c>
      <c r="S334" s="50">
        <v>6</v>
      </c>
      <c r="T334" s="10">
        <f t="shared" si="37"/>
        <v>24</v>
      </c>
      <c r="U334" s="51">
        <f>Table46[[#This Row],[NET WT KGS]]-Table46[[#This Row],[Refraction]]</f>
        <v>36249</v>
      </c>
      <c r="V334" s="52">
        <v>485</v>
      </c>
      <c r="W334" s="52">
        <f>Table46[[#This Row],[PRICE]]*Table46[[#This Row],[PAID WT]]</f>
        <v>17580765</v>
      </c>
      <c r="X334" s="53">
        <v>10.3</v>
      </c>
      <c r="Y334" s="54">
        <v>166</v>
      </c>
      <c r="Z334" s="53">
        <v>45.06</v>
      </c>
      <c r="AA334" s="55"/>
      <c r="AB334" s="50" t="s">
        <v>40</v>
      </c>
      <c r="AC334" s="56"/>
      <c r="AD334" s="63" t="s">
        <v>549</v>
      </c>
      <c r="AE334" s="18">
        <f>Table46[[#This Row],[MOIS.]]*Table46[[#This Row],[NET WT KGS]]</f>
        <v>373611.9</v>
      </c>
      <c r="AF334" s="18">
        <f>Table46[[#This Row],[KOR]]*Table46[[#This Row],[NET WT KGS]]</f>
        <v>1634461.3800000001</v>
      </c>
      <c r="AG334">
        <f>Table46[[#This Row],[NET WT KGS]]*Table46[[#This Row],[NUT COUNT]]</f>
        <v>6021318</v>
      </c>
    </row>
    <row r="335" spans="1:33" x14ac:dyDescent="0.35">
      <c r="A335" s="32">
        <f t="shared" si="36"/>
        <v>333</v>
      </c>
      <c r="B335" s="75">
        <v>46097</v>
      </c>
      <c r="C335" s="75">
        <v>46097</v>
      </c>
      <c r="D335" s="50" t="s">
        <v>38</v>
      </c>
      <c r="E335" s="50" t="s">
        <v>39</v>
      </c>
      <c r="F335" s="50" t="s">
        <v>40</v>
      </c>
      <c r="G335" s="10" t="s">
        <v>86</v>
      </c>
      <c r="H335" s="67" t="s">
        <v>123</v>
      </c>
      <c r="I335" s="67" t="s">
        <v>124</v>
      </c>
      <c r="J335" s="50" t="s">
        <v>550</v>
      </c>
      <c r="K335" s="21" t="s">
        <v>161</v>
      </c>
      <c r="L335" s="50">
        <v>113</v>
      </c>
      <c r="M335" s="10">
        <v>77644</v>
      </c>
      <c r="N335" s="50">
        <v>529</v>
      </c>
      <c r="O335" s="51">
        <f t="shared" si="35"/>
        <v>44100</v>
      </c>
      <c r="P335" s="51">
        <v>43571</v>
      </c>
      <c r="Q335" s="50">
        <v>517</v>
      </c>
      <c r="R335" s="67">
        <v>0</v>
      </c>
      <c r="S335" s="50">
        <v>12</v>
      </c>
      <c r="T335" s="10">
        <f t="shared" si="37"/>
        <v>48</v>
      </c>
      <c r="U335" s="51">
        <f>Table46[[#This Row],[NET WT KGS]]-Table46[[#This Row],[Refraction]]</f>
        <v>43523</v>
      </c>
      <c r="V335" s="52">
        <v>490</v>
      </c>
      <c r="W335" s="52">
        <f>Table46[[#This Row],[PRICE]]*Table46[[#This Row],[PAID WT]]</f>
        <v>21326270</v>
      </c>
      <c r="X335" s="53">
        <v>8.8000000000000007</v>
      </c>
      <c r="Y335" s="54">
        <v>182</v>
      </c>
      <c r="Z335" s="53">
        <v>45.15</v>
      </c>
      <c r="AA335" s="55"/>
      <c r="AB335" s="50" t="s">
        <v>499</v>
      </c>
      <c r="AC335" s="56"/>
      <c r="AD335" s="63" t="s">
        <v>549</v>
      </c>
      <c r="AE335" s="18">
        <f>Table46[[#This Row],[MOIS.]]*Table46[[#This Row],[NET WT KGS]]</f>
        <v>383424.80000000005</v>
      </c>
      <c r="AF335" s="18">
        <f>Table46[[#This Row],[KOR]]*Table46[[#This Row],[NET WT KGS]]</f>
        <v>1967230.65</v>
      </c>
      <c r="AG335">
        <f>Table46[[#This Row],[NET WT KGS]]*Table46[[#This Row],[NUT COUNT]]</f>
        <v>7929922</v>
      </c>
    </row>
    <row r="336" spans="1:33" x14ac:dyDescent="0.35">
      <c r="A336" s="32">
        <f t="shared" si="36"/>
        <v>334</v>
      </c>
      <c r="B336" s="75">
        <v>46097</v>
      </c>
      <c r="C336" s="75">
        <v>46097</v>
      </c>
      <c r="D336" s="50" t="s">
        <v>38</v>
      </c>
      <c r="E336" s="50" t="s">
        <v>39</v>
      </c>
      <c r="F336" s="50" t="s">
        <v>62</v>
      </c>
      <c r="G336" s="10"/>
      <c r="H336" s="10" t="s">
        <v>136</v>
      </c>
      <c r="I336" s="10" t="s">
        <v>137</v>
      </c>
      <c r="J336" s="50" t="s">
        <v>138</v>
      </c>
      <c r="K336" s="21" t="s">
        <v>139</v>
      </c>
      <c r="L336" s="50">
        <v>879</v>
      </c>
      <c r="M336" s="10">
        <v>82146</v>
      </c>
      <c r="N336" s="50">
        <v>466</v>
      </c>
      <c r="O336" s="51">
        <v>39700</v>
      </c>
      <c r="P336" s="51">
        <f>Table46[[#This Row],[GROSS WT KGS]]-Table46[[#This Row],[SACS]]</f>
        <v>39234</v>
      </c>
      <c r="Q336" s="50">
        <v>453</v>
      </c>
      <c r="R336" s="67">
        <v>0</v>
      </c>
      <c r="S336" s="50">
        <v>14</v>
      </c>
      <c r="T336" s="10">
        <f t="shared" si="37"/>
        <v>56</v>
      </c>
      <c r="U336" s="51">
        <f>Table46[[#This Row],[NET WT KGS]]-Table46[[#This Row],[Refraction]]</f>
        <v>39178</v>
      </c>
      <c r="V336" s="23">
        <v>495</v>
      </c>
      <c r="W336" s="23">
        <f>Table46[[#This Row],[PRICE]]*Table46[[#This Row],[PAID WT]]</f>
        <v>19393110</v>
      </c>
      <c r="X336" s="53">
        <v>12.6</v>
      </c>
      <c r="Y336" s="54">
        <v>174</v>
      </c>
      <c r="Z336" s="53">
        <v>45.23</v>
      </c>
      <c r="AA336" s="55"/>
      <c r="AB336" s="50" t="s">
        <v>551</v>
      </c>
      <c r="AC336" s="56"/>
      <c r="AD336" s="63" t="s">
        <v>549</v>
      </c>
      <c r="AE336" s="18">
        <f>Table46[[#This Row],[MOIS.]]*Table46[[#This Row],[NET WT KGS]]</f>
        <v>494348.39999999997</v>
      </c>
      <c r="AF336" s="18">
        <f>Table46[[#This Row],[KOR]]*Table46[[#This Row],[NET WT KGS]]</f>
        <v>1774553.8199999998</v>
      </c>
      <c r="AG336">
        <f>Table46[[#This Row],[NET WT KGS]]*Table46[[#This Row],[NUT COUNT]]</f>
        <v>6826716</v>
      </c>
    </row>
    <row r="337" spans="1:33" x14ac:dyDescent="0.35">
      <c r="A337" s="32">
        <f t="shared" si="36"/>
        <v>335</v>
      </c>
      <c r="B337" s="75">
        <v>46097</v>
      </c>
      <c r="C337" s="75">
        <v>46097</v>
      </c>
      <c r="D337" s="50" t="s">
        <v>38</v>
      </c>
      <c r="E337" s="50" t="s">
        <v>39</v>
      </c>
      <c r="F337" s="50" t="s">
        <v>62</v>
      </c>
      <c r="G337" s="10"/>
      <c r="H337" s="10" t="s">
        <v>128</v>
      </c>
      <c r="I337" s="10" t="s">
        <v>129</v>
      </c>
      <c r="J337" s="50" t="s">
        <v>531</v>
      </c>
      <c r="K337" s="33" t="s">
        <v>131</v>
      </c>
      <c r="L337" s="50">
        <v>880</v>
      </c>
      <c r="M337" s="10">
        <v>82109</v>
      </c>
      <c r="N337" s="50">
        <v>713</v>
      </c>
      <c r="O337" s="51">
        <v>53060</v>
      </c>
      <c r="P337" s="51">
        <f>Table46[[#This Row],[GROSS WT KGS]]-Table46[[#This Row],[SACS]]</f>
        <v>52347</v>
      </c>
      <c r="Q337" s="50">
        <v>691</v>
      </c>
      <c r="R337" s="67">
        <v>0</v>
      </c>
      <c r="S337" s="50">
        <v>22</v>
      </c>
      <c r="T337" s="10">
        <f t="shared" si="37"/>
        <v>88</v>
      </c>
      <c r="U337" s="51">
        <f>Table46[[#This Row],[NET WT KGS]]-Table46[[#This Row],[Refraction]]</f>
        <v>52259</v>
      </c>
      <c r="V337" s="23">
        <v>490</v>
      </c>
      <c r="W337" s="23">
        <f>Table46[[#This Row],[PRICE]]*Table46[[#This Row],[PAID WT]]</f>
        <v>25606910</v>
      </c>
      <c r="X337" s="53">
        <v>10.8</v>
      </c>
      <c r="Y337" s="54">
        <v>193</v>
      </c>
      <c r="Z337" s="53">
        <v>45.05</v>
      </c>
      <c r="AA337" s="55"/>
      <c r="AB337" s="50" t="s">
        <v>132</v>
      </c>
      <c r="AC337" s="56"/>
      <c r="AD337" s="63" t="s">
        <v>549</v>
      </c>
      <c r="AE337" s="18">
        <f>Table46[[#This Row],[MOIS.]]*Table46[[#This Row],[NET WT KGS]]</f>
        <v>565347.60000000009</v>
      </c>
      <c r="AF337" s="18">
        <f>Table46[[#This Row],[KOR]]*Table46[[#This Row],[NET WT KGS]]</f>
        <v>2358232.3499999996</v>
      </c>
      <c r="AG337">
        <f>Table46[[#This Row],[NET WT KGS]]*Table46[[#This Row],[NUT COUNT]]</f>
        <v>10102971</v>
      </c>
    </row>
    <row r="338" spans="1:33" x14ac:dyDescent="0.35">
      <c r="A338" s="32">
        <f t="shared" si="36"/>
        <v>336</v>
      </c>
      <c r="B338" s="75">
        <v>46097</v>
      </c>
      <c r="C338" s="75">
        <v>46097</v>
      </c>
      <c r="D338" s="50" t="s">
        <v>38</v>
      </c>
      <c r="E338" s="50" t="s">
        <v>39</v>
      </c>
      <c r="F338" s="50" t="s">
        <v>62</v>
      </c>
      <c r="G338" s="10"/>
      <c r="H338" s="66" t="s">
        <v>193</v>
      </c>
      <c r="I338" s="66" t="s">
        <v>194</v>
      </c>
      <c r="J338" s="50" t="s">
        <v>195</v>
      </c>
      <c r="K338" s="33" t="s">
        <v>196</v>
      </c>
      <c r="L338" s="50">
        <v>881</v>
      </c>
      <c r="M338" s="10">
        <v>82163</v>
      </c>
      <c r="N338" s="50">
        <v>577</v>
      </c>
      <c r="O338" s="51">
        <v>46240</v>
      </c>
      <c r="P338" s="51">
        <f>Table46[[#This Row],[GROSS WT KGS]]-Table46[[#This Row],[SACS]]</f>
        <v>45663</v>
      </c>
      <c r="Q338" s="50">
        <v>572</v>
      </c>
      <c r="R338" s="67">
        <v>0</v>
      </c>
      <c r="S338" s="50">
        <v>5</v>
      </c>
      <c r="T338" s="10">
        <f t="shared" si="37"/>
        <v>20</v>
      </c>
      <c r="U338" s="51">
        <f>Table46[[#This Row],[NET WT KGS]]-Table46[[#This Row],[Refraction]]</f>
        <v>45643</v>
      </c>
      <c r="V338" s="23">
        <v>490</v>
      </c>
      <c r="W338" s="23">
        <f>Table46[[#This Row],[PRICE]]*Table46[[#This Row],[PAID WT]]</f>
        <v>22365070</v>
      </c>
      <c r="X338" s="53">
        <v>10.6</v>
      </c>
      <c r="Y338" s="54">
        <v>180</v>
      </c>
      <c r="Z338" s="53">
        <v>45.15</v>
      </c>
      <c r="AA338" s="55"/>
      <c r="AB338" s="50" t="s">
        <v>132</v>
      </c>
      <c r="AC338" s="56"/>
      <c r="AD338" s="63" t="s">
        <v>549</v>
      </c>
      <c r="AE338" s="18">
        <f>Table46[[#This Row],[MOIS.]]*Table46[[#This Row],[NET WT KGS]]</f>
        <v>484027.8</v>
      </c>
      <c r="AF338" s="18">
        <f>Table46[[#This Row],[KOR]]*Table46[[#This Row],[NET WT KGS]]</f>
        <v>2061684.45</v>
      </c>
      <c r="AG338">
        <f>Table46[[#This Row],[NET WT KGS]]*Table46[[#This Row],[NUT COUNT]]</f>
        <v>8219340</v>
      </c>
    </row>
    <row r="339" spans="1:33" x14ac:dyDescent="0.35">
      <c r="A339" s="32">
        <f t="shared" si="36"/>
        <v>337</v>
      </c>
      <c r="B339" s="75">
        <v>46097</v>
      </c>
      <c r="C339" s="75">
        <v>46097</v>
      </c>
      <c r="D339" s="50" t="s">
        <v>38</v>
      </c>
      <c r="E339" s="50" t="s">
        <v>39</v>
      </c>
      <c r="F339" s="50" t="s">
        <v>62</v>
      </c>
      <c r="G339" s="10"/>
      <c r="H339" s="10" t="s">
        <v>128</v>
      </c>
      <c r="I339" s="10" t="s">
        <v>129</v>
      </c>
      <c r="J339" s="50" t="s">
        <v>552</v>
      </c>
      <c r="K339" s="33" t="s">
        <v>131</v>
      </c>
      <c r="L339" s="50">
        <v>882</v>
      </c>
      <c r="M339" s="10">
        <v>70328</v>
      </c>
      <c r="N339" s="50">
        <v>534</v>
      </c>
      <c r="O339" s="51">
        <v>42360</v>
      </c>
      <c r="P339" s="51">
        <f>Table46[[#This Row],[GROSS WT KGS]]-Table46[[#This Row],[SACS]]</f>
        <v>41826</v>
      </c>
      <c r="Q339" s="50">
        <v>513</v>
      </c>
      <c r="R339" s="67">
        <v>0</v>
      </c>
      <c r="S339" s="50">
        <v>21</v>
      </c>
      <c r="T339" s="10">
        <f t="shared" si="37"/>
        <v>84</v>
      </c>
      <c r="U339" s="51">
        <f>Table46[[#This Row],[NET WT KGS]]-Table46[[#This Row],[Refraction]]</f>
        <v>41742</v>
      </c>
      <c r="V339" s="23">
        <v>495</v>
      </c>
      <c r="W339" s="23">
        <f>Table46[[#This Row],[PRICE]]*Table46[[#This Row],[PAID WT]]</f>
        <v>20662290</v>
      </c>
      <c r="X339" s="53">
        <v>10.7</v>
      </c>
      <c r="Y339" s="54">
        <v>175</v>
      </c>
      <c r="Z339" s="53">
        <v>46.46</v>
      </c>
      <c r="AA339" s="55"/>
      <c r="AB339" s="50" t="s">
        <v>132</v>
      </c>
      <c r="AC339" s="56"/>
      <c r="AD339" s="63" t="s">
        <v>549</v>
      </c>
      <c r="AE339" s="18">
        <f>Table46[[#This Row],[MOIS.]]*Table46[[#This Row],[NET WT KGS]]</f>
        <v>447538.19999999995</v>
      </c>
      <c r="AF339" s="18">
        <f>Table46[[#This Row],[KOR]]*Table46[[#This Row],[NET WT KGS]]</f>
        <v>1943235.96</v>
      </c>
      <c r="AG339">
        <f>Table46[[#This Row],[NET WT KGS]]*Table46[[#This Row],[NUT COUNT]]</f>
        <v>7319550</v>
      </c>
    </row>
    <row r="340" spans="1:33" x14ac:dyDescent="0.35">
      <c r="A340" s="32">
        <f t="shared" si="36"/>
        <v>338</v>
      </c>
      <c r="B340" s="35">
        <v>46097</v>
      </c>
      <c r="C340" s="35">
        <f>Table46[[#This Row],[DATE OF ARRIVAL]]</f>
        <v>46097</v>
      </c>
      <c r="D340" s="36" t="s">
        <v>38</v>
      </c>
      <c r="E340" s="36" t="s">
        <v>39</v>
      </c>
      <c r="F340" s="36" t="s">
        <v>40</v>
      </c>
      <c r="G340" s="36"/>
      <c r="H340" s="36" t="s">
        <v>54</v>
      </c>
      <c r="I340" s="36" t="s">
        <v>55</v>
      </c>
      <c r="J340" s="36" t="s">
        <v>553</v>
      </c>
      <c r="K340" s="36"/>
      <c r="L340" s="36"/>
      <c r="M340" s="36"/>
      <c r="N340" s="36"/>
      <c r="O340" s="37">
        <f>P340+N340</f>
        <v>0</v>
      </c>
      <c r="P340" s="37"/>
      <c r="Q340" s="36"/>
      <c r="R340" s="37"/>
      <c r="S340" s="36"/>
      <c r="T340" s="36"/>
      <c r="U340" s="37">
        <f>Table46[[#This Row],[NET WT KGS]]-Table46[[#This Row],[Refraction]]</f>
        <v>0</v>
      </c>
      <c r="V340" s="38"/>
      <c r="W340" s="38">
        <f>Table46[[#This Row],[PRICE]]*Table46[[#This Row],[PAID WT]]</f>
        <v>0</v>
      </c>
      <c r="X340" s="39">
        <v>8.4</v>
      </c>
      <c r="Y340" s="40">
        <v>172</v>
      </c>
      <c r="Z340" s="39">
        <v>43.38</v>
      </c>
      <c r="AA340" s="41"/>
      <c r="AB340" s="36" t="s">
        <v>58</v>
      </c>
      <c r="AC340" s="42" t="s">
        <v>70</v>
      </c>
      <c r="AD340" s="63"/>
      <c r="AE340" s="18">
        <f>Table46[[#This Row],[MOIS.]]*Table46[[#This Row],[NET WT KGS]]</f>
        <v>0</v>
      </c>
      <c r="AF340" s="18">
        <f>Table46[[#This Row],[KOR]]*Table46[[#This Row],[NET WT KGS]]</f>
        <v>0</v>
      </c>
      <c r="AG340">
        <f>Table46[[#This Row],[NET WT KGS]]*Table46[[#This Row],[NUT COUNT]]</f>
        <v>0</v>
      </c>
    </row>
    <row r="341" spans="1:33" x14ac:dyDescent="0.35">
      <c r="A341" s="32">
        <f t="shared" si="36"/>
        <v>339</v>
      </c>
      <c r="B341" s="35">
        <v>46097</v>
      </c>
      <c r="C341" s="35">
        <f>Table46[[#This Row],[DATE OF ARRIVAL]]</f>
        <v>46097</v>
      </c>
      <c r="D341" s="36" t="s">
        <v>38</v>
      </c>
      <c r="E341" s="36" t="s">
        <v>39</v>
      </c>
      <c r="F341" s="36" t="s">
        <v>40</v>
      </c>
      <c r="G341" s="36"/>
      <c r="H341" s="36" t="s">
        <v>54</v>
      </c>
      <c r="I341" s="36" t="s">
        <v>55</v>
      </c>
      <c r="J341" s="36" t="s">
        <v>554</v>
      </c>
      <c r="K341" s="36"/>
      <c r="L341" s="36"/>
      <c r="M341" s="36"/>
      <c r="N341" s="36"/>
      <c r="O341" s="37">
        <f>P341+N341</f>
        <v>0</v>
      </c>
      <c r="P341" s="37"/>
      <c r="Q341" s="36"/>
      <c r="R341" s="37"/>
      <c r="S341" s="36"/>
      <c r="T341" s="36"/>
      <c r="U341" s="37">
        <f>Table46[[#This Row],[NET WT KGS]]-Table46[[#This Row],[Refraction]]</f>
        <v>0</v>
      </c>
      <c r="V341" s="38"/>
      <c r="W341" s="38">
        <f>Table46[[#This Row],[PRICE]]*Table46[[#This Row],[PAID WT]]</f>
        <v>0</v>
      </c>
      <c r="X341" s="39">
        <v>9.4</v>
      </c>
      <c r="Y341" s="40">
        <v>168</v>
      </c>
      <c r="Z341" s="39">
        <v>43.03</v>
      </c>
      <c r="AA341" s="41"/>
      <c r="AB341" s="36" t="s">
        <v>58</v>
      </c>
      <c r="AC341" s="42" t="s">
        <v>70</v>
      </c>
      <c r="AD341" s="63"/>
      <c r="AE341" s="18">
        <f>Table46[[#This Row],[MOIS.]]*Table46[[#This Row],[NET WT KGS]]</f>
        <v>0</v>
      </c>
      <c r="AF341" s="18">
        <f>Table46[[#This Row],[KOR]]*Table46[[#This Row],[NET WT KGS]]</f>
        <v>0</v>
      </c>
      <c r="AG341">
        <f>Table46[[#This Row],[NET WT KGS]]*Table46[[#This Row],[NUT COUNT]]</f>
        <v>0</v>
      </c>
    </row>
    <row r="342" spans="1:33" x14ac:dyDescent="0.35">
      <c r="A342" s="32">
        <f t="shared" si="36"/>
        <v>340</v>
      </c>
      <c r="B342" s="35">
        <v>46097</v>
      </c>
      <c r="C342" s="35">
        <f>Table46[[#This Row],[DATE OF ARRIVAL]]</f>
        <v>46097</v>
      </c>
      <c r="D342" s="36" t="s">
        <v>38</v>
      </c>
      <c r="E342" s="36" t="s">
        <v>39</v>
      </c>
      <c r="F342" s="36" t="s">
        <v>40</v>
      </c>
      <c r="G342" s="36"/>
      <c r="H342" s="36" t="s">
        <v>235</v>
      </c>
      <c r="I342" s="36" t="s">
        <v>236</v>
      </c>
      <c r="J342" s="36" t="s">
        <v>555</v>
      </c>
      <c r="K342" s="36"/>
      <c r="L342" s="36"/>
      <c r="M342" s="36"/>
      <c r="N342" s="36"/>
      <c r="O342" s="37">
        <f>P342+N342</f>
        <v>0</v>
      </c>
      <c r="P342" s="37"/>
      <c r="Q342" s="36"/>
      <c r="R342" s="37"/>
      <c r="S342" s="36"/>
      <c r="T342" s="36"/>
      <c r="U342" s="37">
        <f>Table46[[#This Row],[NET WT KGS]]-Table46[[#This Row],[Refraction]]</f>
        <v>0</v>
      </c>
      <c r="V342" s="38"/>
      <c r="W342" s="38">
        <f>Table46[[#This Row],[PRICE]]*Table46[[#This Row],[PAID WT]]</f>
        <v>0</v>
      </c>
      <c r="X342" s="39">
        <v>9.6</v>
      </c>
      <c r="Y342" s="40">
        <v>172</v>
      </c>
      <c r="Z342" s="39">
        <v>43.91</v>
      </c>
      <c r="AA342" s="41"/>
      <c r="AB342" s="36" t="s">
        <v>46</v>
      </c>
      <c r="AC342" s="42" t="s">
        <v>70</v>
      </c>
      <c r="AD342" s="63"/>
      <c r="AE342" s="18">
        <f>Table46[[#This Row],[MOIS.]]*Table46[[#This Row],[NET WT KGS]]</f>
        <v>0</v>
      </c>
      <c r="AF342" s="18">
        <f>Table46[[#This Row],[KOR]]*Table46[[#This Row],[NET WT KGS]]</f>
        <v>0</v>
      </c>
      <c r="AG342">
        <f>Table46[[#This Row],[NET WT KGS]]*Table46[[#This Row],[NUT COUNT]]</f>
        <v>0</v>
      </c>
    </row>
    <row r="343" spans="1:33" x14ac:dyDescent="0.35">
      <c r="A343" s="32">
        <f t="shared" si="36"/>
        <v>341</v>
      </c>
      <c r="B343" s="35">
        <v>46097</v>
      </c>
      <c r="C343" s="35">
        <f>Table46[[#This Row],[DATE OF ARRIVAL]]</f>
        <v>46097</v>
      </c>
      <c r="D343" s="36" t="s">
        <v>38</v>
      </c>
      <c r="E343" s="36" t="s">
        <v>39</v>
      </c>
      <c r="F343" s="36" t="s">
        <v>40</v>
      </c>
      <c r="G343" s="74"/>
      <c r="H343" s="74" t="s">
        <v>123</v>
      </c>
      <c r="I343" s="74" t="s">
        <v>124</v>
      </c>
      <c r="J343" s="74" t="s">
        <v>556</v>
      </c>
      <c r="K343" s="74"/>
      <c r="L343" s="74"/>
      <c r="M343" s="74"/>
      <c r="N343" s="74"/>
      <c r="O343" s="79">
        <f>P343+N343</f>
        <v>0</v>
      </c>
      <c r="P343" s="79"/>
      <c r="Q343" s="74"/>
      <c r="R343" s="80"/>
      <c r="S343" s="74"/>
      <c r="T343" s="74"/>
      <c r="U343" s="79">
        <f>Table46[[#This Row],[NET WT KGS]]-Table46[[#This Row],[Refraction]]</f>
        <v>0</v>
      </c>
      <c r="V343" s="81"/>
      <c r="W343" s="81">
        <f>Table46[[#This Row],[PRICE]]*Table46[[#This Row],[PAID WT]]</f>
        <v>0</v>
      </c>
      <c r="X343" s="82">
        <v>11.7</v>
      </c>
      <c r="Y343" s="83">
        <v>185</v>
      </c>
      <c r="Z343" s="82">
        <v>43.91</v>
      </c>
      <c r="AA343" s="84"/>
      <c r="AB343" s="74" t="s">
        <v>299</v>
      </c>
      <c r="AC343" s="42" t="s">
        <v>70</v>
      </c>
      <c r="AD343" s="85"/>
      <c r="AE343" s="18">
        <f>Table46[[#This Row],[MOIS.]]*Table46[[#This Row],[NET WT KGS]]</f>
        <v>0</v>
      </c>
      <c r="AF343" s="18">
        <f>Table46[[#This Row],[KOR]]*Table46[[#This Row],[NET WT KGS]]</f>
        <v>0</v>
      </c>
      <c r="AG343">
        <f>Table46[[#This Row],[NET WT KGS]]*Table46[[#This Row],[NUT COUNT]]</f>
        <v>0</v>
      </c>
    </row>
    <row r="344" spans="1:33" x14ac:dyDescent="0.35">
      <c r="A344" s="32">
        <f t="shared" si="36"/>
        <v>342</v>
      </c>
      <c r="B344" s="35">
        <v>46097</v>
      </c>
      <c r="C344" s="35">
        <f>Table46[[#This Row],[DATE OF ARRIVAL]]</f>
        <v>46097</v>
      </c>
      <c r="D344" s="36" t="s">
        <v>38</v>
      </c>
      <c r="E344" s="36" t="s">
        <v>39</v>
      </c>
      <c r="F344" s="36" t="s">
        <v>40</v>
      </c>
      <c r="G344" s="36"/>
      <c r="H344" s="36" t="s">
        <v>235</v>
      </c>
      <c r="I344" s="36" t="s">
        <v>236</v>
      </c>
      <c r="J344" s="36" t="s">
        <v>557</v>
      </c>
      <c r="K344" s="36"/>
      <c r="L344" s="36"/>
      <c r="M344" s="36"/>
      <c r="N344" s="36"/>
      <c r="O344" s="37">
        <f>P344+N344</f>
        <v>0</v>
      </c>
      <c r="P344" s="37"/>
      <c r="Q344" s="36"/>
      <c r="R344" s="86"/>
      <c r="S344" s="36"/>
      <c r="T344" s="36"/>
      <c r="U344" s="37">
        <f>Table46[[#This Row],[NET WT KGS]]-Table46[[#This Row],[Refraction]]</f>
        <v>0</v>
      </c>
      <c r="V344" s="38"/>
      <c r="W344" s="38">
        <f>Table46[[#This Row],[PRICE]]*Table46[[#This Row],[PAID WT]]</f>
        <v>0</v>
      </c>
      <c r="X344" s="39">
        <v>10.4</v>
      </c>
      <c r="Y344" s="40">
        <v>168</v>
      </c>
      <c r="Z344" s="39">
        <v>41.62</v>
      </c>
      <c r="AA344" s="41"/>
      <c r="AB344" s="74" t="s">
        <v>171</v>
      </c>
      <c r="AC344" s="42" t="s">
        <v>70</v>
      </c>
      <c r="AD344" s="28"/>
      <c r="AE344" s="18">
        <f>Table46[[#This Row],[MOIS.]]*Table46[[#This Row],[NET WT KGS]]</f>
        <v>0</v>
      </c>
      <c r="AF344" s="18">
        <f>Table46[[#This Row],[KOR]]*Table46[[#This Row],[NET WT KGS]]</f>
        <v>0</v>
      </c>
      <c r="AG344">
        <f>Table46[[#This Row],[NET WT KGS]]*Table46[[#This Row],[NUT COUNT]]</f>
        <v>0</v>
      </c>
    </row>
    <row r="345" spans="1:33" x14ac:dyDescent="0.35">
      <c r="A345" s="32">
        <f t="shared" si="36"/>
        <v>343</v>
      </c>
      <c r="B345" s="75">
        <v>46097</v>
      </c>
      <c r="C345" s="75">
        <v>46098</v>
      </c>
      <c r="D345" s="10" t="s">
        <v>38</v>
      </c>
      <c r="E345" s="10" t="s">
        <v>258</v>
      </c>
      <c r="F345" s="50" t="s">
        <v>62</v>
      </c>
      <c r="G345" s="10"/>
      <c r="H345" s="10" t="s">
        <v>558</v>
      </c>
      <c r="I345" s="10" t="s">
        <v>158</v>
      </c>
      <c r="J345" s="10" t="s">
        <v>559</v>
      </c>
      <c r="K345" s="33" t="s">
        <v>560</v>
      </c>
      <c r="L345" s="10">
        <v>883</v>
      </c>
      <c r="M345" s="10">
        <v>72634</v>
      </c>
      <c r="N345" s="10">
        <v>364</v>
      </c>
      <c r="O345" s="22">
        <v>33740</v>
      </c>
      <c r="P345" s="51">
        <f>Table46[[#This Row],[GROSS WT KGS]]-Table46[[#This Row],[SACS]]</f>
        <v>33376</v>
      </c>
      <c r="Q345" s="10">
        <v>350</v>
      </c>
      <c r="R345" s="50">
        <v>0</v>
      </c>
      <c r="S345" s="10">
        <v>14</v>
      </c>
      <c r="T345" s="10">
        <f>S345*4+R345*40</f>
        <v>56</v>
      </c>
      <c r="U345" s="22">
        <f>Table46[[#This Row],[NET WT KGS]]-Table46[[#This Row],[Refraction]]</f>
        <v>33320</v>
      </c>
      <c r="V345" s="23">
        <v>475</v>
      </c>
      <c r="W345" s="23">
        <f>Table46[[#This Row],[PRICE]]*Table46[[#This Row],[PAID WT]]</f>
        <v>15827000</v>
      </c>
      <c r="X345" s="24">
        <v>9.9</v>
      </c>
      <c r="Y345" s="25">
        <v>199</v>
      </c>
      <c r="Z345" s="24">
        <v>44.35</v>
      </c>
      <c r="AA345" s="26"/>
      <c r="AB345" s="10" t="s">
        <v>561</v>
      </c>
      <c r="AC345" s="27"/>
      <c r="AD345" s="63" t="s">
        <v>549</v>
      </c>
      <c r="AE345" s="18">
        <f>Table46[[#This Row],[MOIS.]]*Table46[[#This Row],[NET WT KGS]]</f>
        <v>330422.40000000002</v>
      </c>
      <c r="AF345" s="18">
        <f>Table46[[#This Row],[KOR]]*Table46[[#This Row],[NET WT KGS]]</f>
        <v>1480225.6</v>
      </c>
      <c r="AG345">
        <f>Table46[[#This Row],[NET WT KGS]]*Table46[[#This Row],[NUT COUNT]]</f>
        <v>6641824</v>
      </c>
    </row>
    <row r="346" spans="1:33" x14ac:dyDescent="0.35">
      <c r="A346" s="32">
        <f t="shared" si="36"/>
        <v>344</v>
      </c>
      <c r="B346" s="75">
        <v>46097</v>
      </c>
      <c r="C346" s="75">
        <v>46098</v>
      </c>
      <c r="D346" s="10" t="s">
        <v>38</v>
      </c>
      <c r="E346" s="10" t="s">
        <v>39</v>
      </c>
      <c r="F346" s="50" t="s">
        <v>62</v>
      </c>
      <c r="G346" s="10"/>
      <c r="H346" s="50" t="s">
        <v>286</v>
      </c>
      <c r="I346" s="50" t="str">
        <f>VLOOKUP(Table46[[#This Row],[SUPPLIERS NAME]],[1]AGING!X$3:Y$30,2,)</f>
        <v>LBA-017-DPV</v>
      </c>
      <c r="J346" s="10" t="s">
        <v>288</v>
      </c>
      <c r="K346" s="21" t="s">
        <v>289</v>
      </c>
      <c r="L346" s="10">
        <v>884</v>
      </c>
      <c r="M346" s="10">
        <v>82115</v>
      </c>
      <c r="N346" s="10">
        <v>465</v>
      </c>
      <c r="O346" s="22">
        <v>40520</v>
      </c>
      <c r="P346" s="51">
        <f>Table46[[#This Row],[GROSS WT KGS]]-Table46[[#This Row],[SACS]]</f>
        <v>40055</v>
      </c>
      <c r="Q346" s="10">
        <v>440</v>
      </c>
      <c r="R346" s="67">
        <v>0</v>
      </c>
      <c r="S346" s="10">
        <v>25</v>
      </c>
      <c r="T346" s="10">
        <f>S346*4+R346*40</f>
        <v>100</v>
      </c>
      <c r="U346" s="22">
        <f>Table46[[#This Row],[NET WT KGS]]-Table46[[#This Row],[Refraction]]</f>
        <v>39955</v>
      </c>
      <c r="V346" s="23">
        <v>475</v>
      </c>
      <c r="W346" s="23">
        <f>Table46[[#This Row],[PRICE]]*Table46[[#This Row],[PAID WT]]</f>
        <v>18978625</v>
      </c>
      <c r="X346" s="24">
        <v>11.2</v>
      </c>
      <c r="Y346" s="25">
        <v>166</v>
      </c>
      <c r="Z346" s="24">
        <v>44.17</v>
      </c>
      <c r="AA346" s="26"/>
      <c r="AB346" s="10" t="s">
        <v>46</v>
      </c>
      <c r="AC346" s="27"/>
      <c r="AD346" s="63" t="s">
        <v>549</v>
      </c>
      <c r="AE346" s="18">
        <f>Table46[[#This Row],[MOIS.]]*Table46[[#This Row],[NET WT KGS]]</f>
        <v>448616</v>
      </c>
      <c r="AF346" s="18">
        <f>Table46[[#This Row],[KOR]]*Table46[[#This Row],[NET WT KGS]]</f>
        <v>1769229.35</v>
      </c>
      <c r="AG346">
        <f>Table46[[#This Row],[NET WT KGS]]*Table46[[#This Row],[NUT COUNT]]</f>
        <v>6649130</v>
      </c>
    </row>
    <row r="347" spans="1:33" x14ac:dyDescent="0.35">
      <c r="A347" s="32">
        <f t="shared" si="36"/>
        <v>345</v>
      </c>
      <c r="B347" s="35">
        <v>46098</v>
      </c>
      <c r="C347" s="35">
        <f>Table46[[#This Row],[DATE OF ARRIVAL]]</f>
        <v>46098</v>
      </c>
      <c r="D347" s="36" t="s">
        <v>38</v>
      </c>
      <c r="E347" s="36" t="s">
        <v>258</v>
      </c>
      <c r="F347" s="36" t="s">
        <v>40</v>
      </c>
      <c r="G347" s="36"/>
      <c r="H347" s="36" t="s">
        <v>373</v>
      </c>
      <c r="I347" s="36" t="str">
        <f>VLOOKUP(Table46[[#This Row],[SUPPLIERS NAME]],[1]AGING!X$3:Y$70,2,)</f>
        <v>DIS-008-FOU</v>
      </c>
      <c r="J347" s="36" t="s">
        <v>434</v>
      </c>
      <c r="K347" s="36"/>
      <c r="L347" s="36"/>
      <c r="M347" s="36"/>
      <c r="N347" s="36"/>
      <c r="O347" s="37">
        <f>P347+N347</f>
        <v>0</v>
      </c>
      <c r="P347" s="37"/>
      <c r="Q347" s="36"/>
      <c r="R347" s="80"/>
      <c r="S347" s="36"/>
      <c r="T347" s="36"/>
      <c r="U347" s="37">
        <f>Table46[[#This Row],[NET WT KGS]]-Table46[[#This Row],[Refraction]]</f>
        <v>0</v>
      </c>
      <c r="V347" s="38"/>
      <c r="W347" s="38">
        <f>Table46[[#This Row],[PRICE]]*Table46[[#This Row],[PAID WT]]</f>
        <v>0</v>
      </c>
      <c r="X347" s="39">
        <v>8.4</v>
      </c>
      <c r="Y347" s="40">
        <v>168</v>
      </c>
      <c r="Z347" s="39">
        <v>41.44</v>
      </c>
      <c r="AA347" s="41"/>
      <c r="AB347" s="36" t="s">
        <v>308</v>
      </c>
      <c r="AC347" s="42" t="s">
        <v>70</v>
      </c>
      <c r="AD347" s="28"/>
      <c r="AE347" s="18">
        <f>Table46[[#This Row],[MOIS.]]*Table46[[#This Row],[NET WT KGS]]</f>
        <v>0</v>
      </c>
      <c r="AF347" s="18">
        <f>Table46[[#This Row],[KOR]]*Table46[[#This Row],[NET WT KGS]]</f>
        <v>0</v>
      </c>
      <c r="AG347">
        <f>Table46[[#This Row],[NET WT KGS]]*Table46[[#This Row],[NUT COUNT]]</f>
        <v>0</v>
      </c>
    </row>
    <row r="348" spans="1:33" x14ac:dyDescent="0.35">
      <c r="A348" s="32">
        <f t="shared" si="36"/>
        <v>346</v>
      </c>
      <c r="B348" s="75">
        <v>46098</v>
      </c>
      <c r="C348" s="75">
        <v>46098</v>
      </c>
      <c r="D348" s="10" t="s">
        <v>38</v>
      </c>
      <c r="E348" s="10" t="s">
        <v>39</v>
      </c>
      <c r="F348" s="50" t="s">
        <v>40</v>
      </c>
      <c r="G348" s="10" t="s">
        <v>86</v>
      </c>
      <c r="H348" s="50" t="s">
        <v>112</v>
      </c>
      <c r="I348" s="50" t="str">
        <f>VLOOKUP(Table46[[#This Row],[SUPPLIERS NAME]],[1]AGING!X$3:Y$30,2,)</f>
        <v>LBA-015-OUM</v>
      </c>
      <c r="J348" s="10" t="s">
        <v>542</v>
      </c>
      <c r="K348" s="21" t="s">
        <v>115</v>
      </c>
      <c r="L348" s="10">
        <v>114</v>
      </c>
      <c r="M348" s="10">
        <v>82155</v>
      </c>
      <c r="N348" s="10">
        <v>545</v>
      </c>
      <c r="O348" s="22">
        <f>P348+N348</f>
        <v>44480</v>
      </c>
      <c r="P348" s="22">
        <v>43935</v>
      </c>
      <c r="Q348" s="10">
        <v>533</v>
      </c>
      <c r="R348" s="67">
        <v>0</v>
      </c>
      <c r="S348" s="10">
        <v>12</v>
      </c>
      <c r="T348" s="10">
        <f t="shared" ref="T348:T353" si="38">S348*4+R348*40</f>
        <v>48</v>
      </c>
      <c r="U348" s="22">
        <f>Table46[[#This Row],[NET WT KGS]]-Table46[[#This Row],[Refraction]]</f>
        <v>43887</v>
      </c>
      <c r="V348" s="23">
        <v>490</v>
      </c>
      <c r="W348" s="23">
        <f>Table46[[#This Row],[PRICE]]*Table46[[#This Row],[PAID WT]]</f>
        <v>21504630</v>
      </c>
      <c r="X348" s="24">
        <v>10</v>
      </c>
      <c r="Y348" s="25">
        <v>171</v>
      </c>
      <c r="Z348" s="24">
        <v>46.03</v>
      </c>
      <c r="AA348" s="26"/>
      <c r="AB348" s="50" t="s">
        <v>367</v>
      </c>
      <c r="AC348" s="27"/>
      <c r="AD348" s="63" t="s">
        <v>549</v>
      </c>
      <c r="AE348" s="18">
        <f>Table46[[#This Row],[MOIS.]]*Table46[[#This Row],[NET WT KGS]]</f>
        <v>439350</v>
      </c>
      <c r="AF348" s="18">
        <f>Table46[[#This Row],[KOR]]*Table46[[#This Row],[NET WT KGS]]</f>
        <v>2022328.05</v>
      </c>
      <c r="AG348">
        <f>Table46[[#This Row],[NET WT KGS]]*Table46[[#This Row],[NUT COUNT]]</f>
        <v>7512885</v>
      </c>
    </row>
    <row r="349" spans="1:33" x14ac:dyDescent="0.35">
      <c r="A349" s="32">
        <f t="shared" si="36"/>
        <v>347</v>
      </c>
      <c r="B349" s="75">
        <v>46098</v>
      </c>
      <c r="C349" s="75">
        <v>46098</v>
      </c>
      <c r="D349" s="10" t="s">
        <v>38</v>
      </c>
      <c r="E349" s="10" t="s">
        <v>258</v>
      </c>
      <c r="F349" s="50" t="s">
        <v>40</v>
      </c>
      <c r="G349" s="10" t="s">
        <v>86</v>
      </c>
      <c r="H349" s="50" t="s">
        <v>364</v>
      </c>
      <c r="I349" s="67" t="str">
        <f>VLOOKUP(Table46[[#This Row],[SUPPLIERS NAME]],[1]AGING!X$3:Y$70,2,)</f>
        <v>DIS-007-SPA</v>
      </c>
      <c r="J349" s="10" t="s">
        <v>562</v>
      </c>
      <c r="K349" s="77" t="s">
        <v>426</v>
      </c>
      <c r="L349" s="90">
        <v>115</v>
      </c>
      <c r="M349" s="10">
        <v>82485</v>
      </c>
      <c r="N349" s="10">
        <v>352</v>
      </c>
      <c r="O349" s="22">
        <f>P349+N349</f>
        <v>31720</v>
      </c>
      <c r="P349" s="22">
        <v>31368</v>
      </c>
      <c r="Q349" s="10">
        <v>337</v>
      </c>
      <c r="R349" s="67">
        <v>0</v>
      </c>
      <c r="S349" s="10">
        <v>15</v>
      </c>
      <c r="T349" s="10">
        <f t="shared" si="38"/>
        <v>60</v>
      </c>
      <c r="U349" s="22">
        <f>Table46[[#This Row],[NET WT KGS]]-Table46[[#This Row],[Refraction]]</f>
        <v>31308</v>
      </c>
      <c r="V349" s="23">
        <v>495</v>
      </c>
      <c r="W349" s="23">
        <f>Table46[[#This Row],[PRICE]]*Table46[[#This Row],[PAID WT]]</f>
        <v>15497460</v>
      </c>
      <c r="X349" s="24">
        <v>7.4</v>
      </c>
      <c r="Y349" s="25">
        <v>175</v>
      </c>
      <c r="Z349" s="24">
        <v>46.56</v>
      </c>
      <c r="AA349" s="26"/>
      <c r="AB349" s="50" t="s">
        <v>367</v>
      </c>
      <c r="AC349" s="27"/>
      <c r="AD349" s="63" t="s">
        <v>549</v>
      </c>
      <c r="AE349" s="18">
        <f>Table46[[#This Row],[MOIS.]]*Table46[[#This Row],[NET WT KGS]]</f>
        <v>232123.2</v>
      </c>
      <c r="AF349" s="18">
        <f>Table46[[#This Row],[KOR]]*Table46[[#This Row],[NET WT KGS]]</f>
        <v>1460494.08</v>
      </c>
      <c r="AG349">
        <f>Table46[[#This Row],[NET WT KGS]]*Table46[[#This Row],[NUT COUNT]]</f>
        <v>5489400</v>
      </c>
    </row>
    <row r="350" spans="1:33" x14ac:dyDescent="0.35">
      <c r="A350" s="32">
        <f t="shared" si="36"/>
        <v>348</v>
      </c>
      <c r="B350" s="75">
        <v>46098</v>
      </c>
      <c r="C350" s="75">
        <v>46098</v>
      </c>
      <c r="D350" s="10" t="s">
        <v>38</v>
      </c>
      <c r="E350" s="10" t="s">
        <v>39</v>
      </c>
      <c r="F350" s="67" t="s">
        <v>40</v>
      </c>
      <c r="G350" s="66" t="s">
        <v>86</v>
      </c>
      <c r="H350" s="66" t="s">
        <v>202</v>
      </c>
      <c r="I350" s="67" t="str">
        <f>VLOOKUP(Table46[[#This Row],[SUPPLIERS NAME]],[1]AGING!X$3:Y$30,2,)</f>
        <v>LBA-012-KPE</v>
      </c>
      <c r="J350" s="66" t="s">
        <v>204</v>
      </c>
      <c r="K350" s="33" t="s">
        <v>205</v>
      </c>
      <c r="L350" s="66">
        <v>117</v>
      </c>
      <c r="M350" s="104">
        <v>82164</v>
      </c>
      <c r="N350" s="66">
        <v>479</v>
      </c>
      <c r="O350" s="68">
        <f>P350+N350</f>
        <v>39920</v>
      </c>
      <c r="P350" s="22">
        <v>39441</v>
      </c>
      <c r="Q350" s="66">
        <v>469</v>
      </c>
      <c r="R350" s="67">
        <v>0</v>
      </c>
      <c r="S350" s="66">
        <v>10</v>
      </c>
      <c r="T350" s="10">
        <f t="shared" si="38"/>
        <v>40</v>
      </c>
      <c r="U350" s="68">
        <f>Table46[[#This Row],[NET WT KGS]]-Table46[[#This Row],[Refraction]]</f>
        <v>39401</v>
      </c>
      <c r="V350" s="69">
        <v>490</v>
      </c>
      <c r="W350" s="69">
        <f>Table46[[#This Row],[PRICE]]*Table46[[#This Row],[PAID WT]]</f>
        <v>19306490</v>
      </c>
      <c r="X350" s="70">
        <v>9.4</v>
      </c>
      <c r="Y350" s="71">
        <v>162</v>
      </c>
      <c r="Z350" s="70">
        <v>46.03</v>
      </c>
      <c r="AA350" s="72"/>
      <c r="AB350" s="66" t="s">
        <v>46</v>
      </c>
      <c r="AC350" s="73"/>
      <c r="AD350" s="63" t="s">
        <v>549</v>
      </c>
      <c r="AE350" s="18">
        <f>Table46[[#This Row],[MOIS.]]*Table46[[#This Row],[NET WT KGS]]</f>
        <v>370745.4</v>
      </c>
      <c r="AF350" s="18">
        <f>Table46[[#This Row],[KOR]]*Table46[[#This Row],[NET WT KGS]]</f>
        <v>1815469.23</v>
      </c>
      <c r="AG350">
        <f>Table46[[#This Row],[NET WT KGS]]*Table46[[#This Row],[NUT COUNT]]</f>
        <v>6389442</v>
      </c>
    </row>
    <row r="351" spans="1:33" x14ac:dyDescent="0.35">
      <c r="A351" s="32">
        <f t="shared" si="36"/>
        <v>349</v>
      </c>
      <c r="B351" s="75">
        <v>46098</v>
      </c>
      <c r="C351" s="75">
        <v>46098</v>
      </c>
      <c r="D351" s="10" t="s">
        <v>38</v>
      </c>
      <c r="E351" s="10" t="s">
        <v>258</v>
      </c>
      <c r="F351" s="50" t="s">
        <v>40</v>
      </c>
      <c r="G351" s="10" t="s">
        <v>350</v>
      </c>
      <c r="H351" s="67" t="s">
        <v>383</v>
      </c>
      <c r="I351" s="10" t="s">
        <v>152</v>
      </c>
      <c r="J351" s="10" t="s">
        <v>519</v>
      </c>
      <c r="K351" s="33" t="s">
        <v>563</v>
      </c>
      <c r="L351" s="10">
        <v>118</v>
      </c>
      <c r="M351" s="10">
        <v>78709</v>
      </c>
      <c r="N351" s="10">
        <v>472</v>
      </c>
      <c r="O351" s="22">
        <f>P351+N351</f>
        <v>40160</v>
      </c>
      <c r="P351" s="22">
        <v>39688</v>
      </c>
      <c r="Q351" s="10">
        <v>457</v>
      </c>
      <c r="R351" s="67">
        <v>0</v>
      </c>
      <c r="S351" s="10">
        <v>15</v>
      </c>
      <c r="T351" s="10">
        <f t="shared" si="38"/>
        <v>60</v>
      </c>
      <c r="U351" s="22">
        <f>Table46[[#This Row],[NET WT KGS]]-Table46[[#This Row],[Refraction]]</f>
        <v>39628</v>
      </c>
      <c r="V351" s="23">
        <v>490</v>
      </c>
      <c r="W351" s="23">
        <f>Table46[[#This Row],[PRICE]]*Table46[[#This Row],[PAID WT]]</f>
        <v>19417720</v>
      </c>
      <c r="X351" s="24">
        <v>10.199999999999999</v>
      </c>
      <c r="Y351" s="25">
        <v>192</v>
      </c>
      <c r="Z351" s="24">
        <v>45.05</v>
      </c>
      <c r="AA351" s="26"/>
      <c r="AB351" s="10" t="s">
        <v>140</v>
      </c>
      <c r="AC351" s="27"/>
      <c r="AD351" s="63" t="s">
        <v>549</v>
      </c>
      <c r="AE351" s="18">
        <f>Table46[[#This Row],[MOIS.]]*Table46[[#This Row],[NET WT KGS]]</f>
        <v>404817.6</v>
      </c>
      <c r="AF351" s="18">
        <f>Table46[[#This Row],[KOR]]*Table46[[#This Row],[NET WT KGS]]</f>
        <v>1787944.4</v>
      </c>
      <c r="AG351">
        <f>Table46[[#This Row],[NET WT KGS]]*Table46[[#This Row],[NUT COUNT]]</f>
        <v>7620096</v>
      </c>
    </row>
    <row r="352" spans="1:33" x14ac:dyDescent="0.35">
      <c r="A352" s="32">
        <f t="shared" si="36"/>
        <v>350</v>
      </c>
      <c r="B352" s="75">
        <v>46098</v>
      </c>
      <c r="C352" s="75">
        <v>46098</v>
      </c>
      <c r="D352" s="10" t="s">
        <v>38</v>
      </c>
      <c r="E352" s="10" t="s">
        <v>39</v>
      </c>
      <c r="F352" s="50" t="s">
        <v>62</v>
      </c>
      <c r="G352" s="10"/>
      <c r="H352" s="10" t="s">
        <v>128</v>
      </c>
      <c r="I352" s="50" t="str">
        <f>VLOOKUP(Table46[[#This Row],[SUPPLIERS NAME]],[1]AGING!X$3:Y$30,2,)</f>
        <v>LBA-002-SCA</v>
      </c>
      <c r="J352" s="10" t="s">
        <v>302</v>
      </c>
      <c r="K352" s="33" t="s">
        <v>131</v>
      </c>
      <c r="L352" s="10">
        <v>885</v>
      </c>
      <c r="M352" s="10">
        <v>70329</v>
      </c>
      <c r="N352" s="10">
        <v>632</v>
      </c>
      <c r="O352" s="22">
        <v>51320</v>
      </c>
      <c r="P352" s="51">
        <f>Table46[[#This Row],[GROSS WT KGS]]-Table46[[#This Row],[SACS]]</f>
        <v>50688</v>
      </c>
      <c r="Q352" s="10">
        <v>610</v>
      </c>
      <c r="R352" s="67">
        <v>0</v>
      </c>
      <c r="S352" s="10">
        <v>22</v>
      </c>
      <c r="T352" s="10">
        <f t="shared" si="38"/>
        <v>88</v>
      </c>
      <c r="U352" s="22">
        <f>Table46[[#This Row],[NET WT KGS]]-Table46[[#This Row],[Refraction]]</f>
        <v>50600</v>
      </c>
      <c r="V352" s="23">
        <v>490</v>
      </c>
      <c r="W352" s="23">
        <f>Table46[[#This Row],[PRICE]]*Table46[[#This Row],[PAID WT]]</f>
        <v>24794000</v>
      </c>
      <c r="X352" s="24">
        <v>10.8</v>
      </c>
      <c r="Y352" s="25">
        <v>189</v>
      </c>
      <c r="Z352" s="24">
        <v>45.23</v>
      </c>
      <c r="AA352" s="26"/>
      <c r="AB352" s="10" t="s">
        <v>132</v>
      </c>
      <c r="AC352" s="27"/>
      <c r="AD352" s="63" t="s">
        <v>549</v>
      </c>
      <c r="AE352" s="18">
        <f>Table46[[#This Row],[MOIS.]]*Table46[[#This Row],[NET WT KGS]]</f>
        <v>547430.40000000002</v>
      </c>
      <c r="AF352" s="18">
        <f>Table46[[#This Row],[KOR]]*Table46[[#This Row],[NET WT KGS]]</f>
        <v>2292618.2399999998</v>
      </c>
      <c r="AG352">
        <f>Table46[[#This Row],[NET WT KGS]]*Table46[[#This Row],[NUT COUNT]]</f>
        <v>9580032</v>
      </c>
    </row>
    <row r="353" spans="1:33" x14ac:dyDescent="0.35">
      <c r="A353" s="32">
        <f t="shared" si="36"/>
        <v>351</v>
      </c>
      <c r="B353" s="75">
        <v>46098</v>
      </c>
      <c r="C353" s="75">
        <v>46098</v>
      </c>
      <c r="D353" s="10" t="s">
        <v>38</v>
      </c>
      <c r="E353" s="10" t="s">
        <v>39</v>
      </c>
      <c r="F353" s="50" t="s">
        <v>62</v>
      </c>
      <c r="G353" s="66"/>
      <c r="H353" s="66" t="s">
        <v>136</v>
      </c>
      <c r="I353" s="66" t="s">
        <v>137</v>
      </c>
      <c r="J353" s="66" t="s">
        <v>462</v>
      </c>
      <c r="K353" s="21" t="s">
        <v>139</v>
      </c>
      <c r="L353" s="66">
        <v>886</v>
      </c>
      <c r="M353" s="10">
        <v>82486</v>
      </c>
      <c r="N353" s="66">
        <v>467</v>
      </c>
      <c r="O353" s="68">
        <v>41540</v>
      </c>
      <c r="P353" s="51">
        <f>Table46[[#This Row],[GROSS WT KGS]]-Table46[[#This Row],[SACS]]</f>
        <v>41073</v>
      </c>
      <c r="Q353" s="66">
        <v>446</v>
      </c>
      <c r="R353" s="67">
        <v>0</v>
      </c>
      <c r="S353" s="66">
        <v>21</v>
      </c>
      <c r="T353" s="10">
        <f t="shared" si="38"/>
        <v>84</v>
      </c>
      <c r="U353" s="68">
        <f>Table46[[#This Row],[NET WT KGS]]-Table46[[#This Row],[Refraction]]</f>
        <v>40989</v>
      </c>
      <c r="V353" s="69">
        <v>495</v>
      </c>
      <c r="W353" s="69">
        <f>Table46[[#This Row],[PRICE]]*Table46[[#This Row],[PAID WT]]</f>
        <v>20289555</v>
      </c>
      <c r="X353" s="70">
        <v>11.4</v>
      </c>
      <c r="Y353" s="71">
        <v>168</v>
      </c>
      <c r="Z353" s="70">
        <v>45.4</v>
      </c>
      <c r="AA353" s="72"/>
      <c r="AB353" s="66" t="s">
        <v>551</v>
      </c>
      <c r="AC353" s="73"/>
      <c r="AD353" s="63" t="s">
        <v>549</v>
      </c>
      <c r="AE353" s="18">
        <f>Table46[[#This Row],[MOIS.]]*Table46[[#This Row],[NET WT KGS]]</f>
        <v>468232.2</v>
      </c>
      <c r="AF353" s="18">
        <f>Table46[[#This Row],[KOR]]*Table46[[#This Row],[NET WT KGS]]</f>
        <v>1864714.2</v>
      </c>
      <c r="AG353">
        <f>Table46[[#This Row],[NET WT KGS]]*Table46[[#This Row],[NUT COUNT]]</f>
        <v>6900264</v>
      </c>
    </row>
    <row r="354" spans="1:33" x14ac:dyDescent="0.35">
      <c r="A354" s="32">
        <f t="shared" si="36"/>
        <v>352</v>
      </c>
      <c r="B354" s="35">
        <v>46098</v>
      </c>
      <c r="C354" s="35">
        <f>Table46[[#This Row],[DATE OF ARRIVAL]]</f>
        <v>46098</v>
      </c>
      <c r="D354" s="74" t="s">
        <v>38</v>
      </c>
      <c r="E354" s="74" t="s">
        <v>39</v>
      </c>
      <c r="F354" s="74" t="s">
        <v>40</v>
      </c>
      <c r="G354" s="74"/>
      <c r="H354" s="74" t="s">
        <v>154</v>
      </c>
      <c r="I354" s="74" t="str">
        <f>VLOOKUP(Table46[[#This Row],[SUPPLIERS NAME]],[1]AGING!X$3:Y$30,2,)</f>
        <v>LBA-010-CAP</v>
      </c>
      <c r="J354" s="74" t="s">
        <v>564</v>
      </c>
      <c r="K354" s="74"/>
      <c r="L354" s="74"/>
      <c r="M354" s="74"/>
      <c r="N354" s="74"/>
      <c r="O354" s="79">
        <f t="shared" ref="O354:O362" si="39">P354+N354</f>
        <v>0</v>
      </c>
      <c r="P354" s="79"/>
      <c r="Q354" s="74"/>
      <c r="R354" s="80"/>
      <c r="S354" s="74"/>
      <c r="T354" s="74"/>
      <c r="U354" s="79">
        <f>Table46[[#This Row],[NET WT KGS]]-Table46[[#This Row],[Refraction]]</f>
        <v>0</v>
      </c>
      <c r="V354" s="81"/>
      <c r="W354" s="81">
        <f>Table46[[#This Row],[PRICE]]*Table46[[#This Row],[PAID WT]]</f>
        <v>0</v>
      </c>
      <c r="X354" s="82">
        <v>11.2</v>
      </c>
      <c r="Y354" s="83">
        <v>165</v>
      </c>
      <c r="Z354" s="82">
        <v>43.56</v>
      </c>
      <c r="AA354" s="84"/>
      <c r="AB354" s="74" t="s">
        <v>308</v>
      </c>
      <c r="AC354" s="42" t="s">
        <v>70</v>
      </c>
      <c r="AD354" s="85"/>
      <c r="AE354" s="18">
        <f>Table46[[#This Row],[MOIS.]]*Table46[[#This Row],[NET WT KGS]]</f>
        <v>0</v>
      </c>
      <c r="AF354" s="18">
        <f>Table46[[#This Row],[KOR]]*Table46[[#This Row],[NET WT KGS]]</f>
        <v>0</v>
      </c>
      <c r="AG354">
        <f>Table46[[#This Row],[NET WT KGS]]*Table46[[#This Row],[NUT COUNT]]</f>
        <v>0</v>
      </c>
    </row>
    <row r="355" spans="1:33" x14ac:dyDescent="0.35">
      <c r="A355" s="32">
        <f t="shared" si="36"/>
        <v>353</v>
      </c>
      <c r="B355" s="35">
        <v>46098</v>
      </c>
      <c r="C355" s="35">
        <f>Table46[[#This Row],[DATE OF ARRIVAL]]</f>
        <v>46098</v>
      </c>
      <c r="D355" s="36" t="s">
        <v>38</v>
      </c>
      <c r="E355" s="36" t="s">
        <v>39</v>
      </c>
      <c r="F355" s="36" t="s">
        <v>40</v>
      </c>
      <c r="G355" s="74"/>
      <c r="H355" s="74" t="s">
        <v>154</v>
      </c>
      <c r="I355" s="74" t="str">
        <f>VLOOKUP(Table46[[#This Row],[SUPPLIERS NAME]],[1]AGING!X$3:Y$30,2,)</f>
        <v>LBA-010-CAP</v>
      </c>
      <c r="J355" s="36" t="s">
        <v>453</v>
      </c>
      <c r="K355" s="36"/>
      <c r="L355" s="36"/>
      <c r="M355" s="74"/>
      <c r="N355" s="36"/>
      <c r="O355" s="37">
        <f t="shared" si="39"/>
        <v>0</v>
      </c>
      <c r="P355" s="37"/>
      <c r="Q355" s="36"/>
      <c r="R355" s="86"/>
      <c r="S355" s="36"/>
      <c r="T355" s="36"/>
      <c r="U355" s="37">
        <f>Table46[[#This Row],[NET WT KGS]]-Table46[[#This Row],[Refraction]]</f>
        <v>0</v>
      </c>
      <c r="V355" s="38"/>
      <c r="W355" s="38">
        <f>Table46[[#This Row],[PRICE]]*Table46[[#This Row],[PAID WT]]</f>
        <v>0</v>
      </c>
      <c r="X355" s="39">
        <v>12.9</v>
      </c>
      <c r="Y355" s="40">
        <v>160</v>
      </c>
      <c r="Z355" s="39">
        <v>43.73</v>
      </c>
      <c r="AA355" s="41"/>
      <c r="AB355" s="36" t="s">
        <v>284</v>
      </c>
      <c r="AC355" s="42" t="s">
        <v>70</v>
      </c>
      <c r="AD355" s="28"/>
      <c r="AE355" s="18">
        <f>Table46[[#This Row],[MOIS.]]*Table46[[#This Row],[NET WT KGS]]</f>
        <v>0</v>
      </c>
      <c r="AF355" s="18">
        <f>Table46[[#This Row],[KOR]]*Table46[[#This Row],[NET WT KGS]]</f>
        <v>0</v>
      </c>
      <c r="AG355">
        <f>Table46[[#This Row],[NET WT KGS]]*Table46[[#This Row],[NUT COUNT]]</f>
        <v>0</v>
      </c>
    </row>
    <row r="356" spans="1:33" x14ac:dyDescent="0.35">
      <c r="A356" s="32">
        <f t="shared" si="36"/>
        <v>354</v>
      </c>
      <c r="B356" s="35">
        <v>46098</v>
      </c>
      <c r="C356" s="35">
        <f>Table46[[#This Row],[DATE OF ARRIVAL]]</f>
        <v>46098</v>
      </c>
      <c r="D356" s="36" t="s">
        <v>38</v>
      </c>
      <c r="E356" s="36" t="s">
        <v>39</v>
      </c>
      <c r="F356" s="36" t="s">
        <v>40</v>
      </c>
      <c r="G356" s="74"/>
      <c r="H356" s="36" t="s">
        <v>105</v>
      </c>
      <c r="I356" s="74" t="str">
        <f>VLOOKUP(Table46[[#This Row],[SUPPLIERS NAME]],[1]AGING!X$3:Y$30,2,)</f>
        <v>LBA-014-BAY</v>
      </c>
      <c r="J356" s="36" t="s">
        <v>167</v>
      </c>
      <c r="K356" s="36"/>
      <c r="L356" s="36"/>
      <c r="M356" s="74"/>
      <c r="N356" s="36"/>
      <c r="O356" s="37">
        <f t="shared" si="39"/>
        <v>0</v>
      </c>
      <c r="P356" s="37"/>
      <c r="Q356" s="36"/>
      <c r="R356" s="86"/>
      <c r="S356" s="36"/>
      <c r="T356" s="36"/>
      <c r="U356" s="37">
        <f>Table46[[#This Row],[NET WT KGS]]-Table46[[#This Row],[Refraction]]</f>
        <v>0</v>
      </c>
      <c r="V356" s="38"/>
      <c r="W356" s="38">
        <f>Table46[[#This Row],[PRICE]]*Table46[[#This Row],[PAID WT]]</f>
        <v>0</v>
      </c>
      <c r="X356" s="39">
        <v>12.8</v>
      </c>
      <c r="Y356" s="40">
        <v>152</v>
      </c>
      <c r="Z356" s="39">
        <v>43.03</v>
      </c>
      <c r="AA356" s="41"/>
      <c r="AB356" s="36" t="s">
        <v>212</v>
      </c>
      <c r="AC356" s="42" t="s">
        <v>70</v>
      </c>
      <c r="AD356" s="28"/>
      <c r="AE356" s="18">
        <f>Table46[[#This Row],[MOIS.]]*Table46[[#This Row],[NET WT KGS]]</f>
        <v>0</v>
      </c>
      <c r="AF356" s="18">
        <f>Table46[[#This Row],[KOR]]*Table46[[#This Row],[NET WT KGS]]</f>
        <v>0</v>
      </c>
      <c r="AG356">
        <f>Table46[[#This Row],[NET WT KGS]]*Table46[[#This Row],[NUT COUNT]]</f>
        <v>0</v>
      </c>
    </row>
    <row r="357" spans="1:33" x14ac:dyDescent="0.35">
      <c r="A357" s="32">
        <f t="shared" si="36"/>
        <v>355</v>
      </c>
      <c r="B357" s="91">
        <v>46098</v>
      </c>
      <c r="C357" s="91">
        <f>Table46[[#This Row],[DATE OF ARRIVAL]]</f>
        <v>46098</v>
      </c>
      <c r="D357" s="36"/>
      <c r="E357" s="36"/>
      <c r="F357" s="36" t="s">
        <v>62</v>
      </c>
      <c r="G357" s="74"/>
      <c r="H357" s="74" t="s">
        <v>502</v>
      </c>
      <c r="I357" s="36" t="s">
        <v>185</v>
      </c>
      <c r="J357" s="74" t="s">
        <v>565</v>
      </c>
      <c r="K357" s="74"/>
      <c r="L357" s="74"/>
      <c r="M357" s="74"/>
      <c r="N357" s="74"/>
      <c r="O357" s="79">
        <f t="shared" si="39"/>
        <v>0</v>
      </c>
      <c r="P357" s="37"/>
      <c r="Q357" s="74"/>
      <c r="R357" s="80"/>
      <c r="S357" s="74"/>
      <c r="T357" s="36"/>
      <c r="U357" s="79">
        <f>Table46[[#This Row],[NET WT KGS]]-Table46[[#This Row],[Refraction]]</f>
        <v>0</v>
      </c>
      <c r="V357" s="81"/>
      <c r="W357" s="81">
        <f>Table46[[#This Row],[PRICE]]*Table46[[#This Row],[PAID WT]]</f>
        <v>0</v>
      </c>
      <c r="X357" s="82">
        <v>10</v>
      </c>
      <c r="Y357" s="83">
        <v>182</v>
      </c>
      <c r="Z357" s="82">
        <v>43.29</v>
      </c>
      <c r="AA357" s="84"/>
      <c r="AB357" s="74" t="s">
        <v>566</v>
      </c>
      <c r="AC357" s="92" t="s">
        <v>70</v>
      </c>
      <c r="AD357" s="99"/>
      <c r="AE357" s="18">
        <f>Table46[[#This Row],[MOIS.]]*Table46[[#This Row],[NET WT KGS]]</f>
        <v>0</v>
      </c>
      <c r="AF357" s="18">
        <f>Table46[[#This Row],[KOR]]*Table46[[#This Row],[NET WT KGS]]</f>
        <v>0</v>
      </c>
      <c r="AG357">
        <f>Table46[[#This Row],[NET WT KGS]]*Table46[[#This Row],[NUT COUNT]]</f>
        <v>0</v>
      </c>
    </row>
    <row r="358" spans="1:33" x14ac:dyDescent="0.35">
      <c r="A358" s="32">
        <f t="shared" si="36"/>
        <v>356</v>
      </c>
      <c r="B358" s="91">
        <v>46098</v>
      </c>
      <c r="C358" s="91">
        <f>Table46[[#This Row],[DATE OF ARRIVAL]]</f>
        <v>46098</v>
      </c>
      <c r="D358" s="36"/>
      <c r="E358" s="36"/>
      <c r="F358" s="36" t="s">
        <v>62</v>
      </c>
      <c r="G358" s="74"/>
      <c r="H358" s="74" t="s">
        <v>502</v>
      </c>
      <c r="I358" s="74" t="s">
        <v>185</v>
      </c>
      <c r="J358" s="74" t="s">
        <v>567</v>
      </c>
      <c r="K358" s="74"/>
      <c r="L358" s="74"/>
      <c r="M358" s="74"/>
      <c r="N358" s="74"/>
      <c r="O358" s="79">
        <f t="shared" si="39"/>
        <v>0</v>
      </c>
      <c r="P358" s="37"/>
      <c r="Q358" s="74"/>
      <c r="R358" s="80"/>
      <c r="S358" s="74"/>
      <c r="T358" s="36"/>
      <c r="U358" s="79">
        <f>Table46[[#This Row],[NET WT KGS]]-Table46[[#This Row],[Refraction]]</f>
        <v>0</v>
      </c>
      <c r="V358" s="81"/>
      <c r="W358" s="81">
        <f>Table46[[#This Row],[PRICE]]*Table46[[#This Row],[PAID WT]]</f>
        <v>0</v>
      </c>
      <c r="X358" s="82">
        <v>9.8000000000000007</v>
      </c>
      <c r="Y358" s="83">
        <v>171</v>
      </c>
      <c r="Z358" s="82">
        <v>41.62</v>
      </c>
      <c r="AA358" s="84"/>
      <c r="AB358" s="74" t="s">
        <v>568</v>
      </c>
      <c r="AC358" s="92" t="s">
        <v>70</v>
      </c>
      <c r="AD358" s="99"/>
      <c r="AE358" s="18">
        <f>Table46[[#This Row],[MOIS.]]*Table46[[#This Row],[NET WT KGS]]</f>
        <v>0</v>
      </c>
      <c r="AF358" s="18">
        <f>Table46[[#This Row],[KOR]]*Table46[[#This Row],[NET WT KGS]]</f>
        <v>0</v>
      </c>
      <c r="AG358">
        <f>Table46[[#This Row],[NET WT KGS]]*Table46[[#This Row],[NUT COUNT]]</f>
        <v>0</v>
      </c>
    </row>
    <row r="359" spans="1:33" x14ac:dyDescent="0.35">
      <c r="A359" s="32">
        <f t="shared" si="36"/>
        <v>357</v>
      </c>
      <c r="B359" s="87">
        <v>46098</v>
      </c>
      <c r="C359" s="65">
        <v>46099</v>
      </c>
      <c r="D359" s="10" t="s">
        <v>38</v>
      </c>
      <c r="E359" s="10" t="s">
        <v>39</v>
      </c>
      <c r="F359" s="50" t="s">
        <v>40</v>
      </c>
      <c r="G359" s="10" t="s">
        <v>41</v>
      </c>
      <c r="H359" s="50" t="s">
        <v>74</v>
      </c>
      <c r="I359" s="50" t="str">
        <f>VLOOKUP(Table46[[#This Row],[SUPPLIERS NAME]],[1]AGING!X$3:Y$30,2,)</f>
        <v>LBA-003-HER</v>
      </c>
      <c r="J359" s="10" t="s">
        <v>569</v>
      </c>
      <c r="K359" s="33" t="s">
        <v>77</v>
      </c>
      <c r="L359" s="10">
        <v>119</v>
      </c>
      <c r="M359" s="10">
        <v>82120</v>
      </c>
      <c r="N359" s="10">
        <v>543</v>
      </c>
      <c r="O359" s="22">
        <f t="shared" si="39"/>
        <v>45980</v>
      </c>
      <c r="P359" s="51">
        <v>45437</v>
      </c>
      <c r="Q359" s="10">
        <v>533</v>
      </c>
      <c r="R359" s="67">
        <v>0</v>
      </c>
      <c r="S359" s="10">
        <v>10</v>
      </c>
      <c r="T359" s="10">
        <f t="shared" ref="T359:T367" si="40">S359*4+R359*40</f>
        <v>40</v>
      </c>
      <c r="U359" s="22">
        <f>Table46[[#This Row],[NET WT KGS]]-Table46[[#This Row],[Refraction]]</f>
        <v>45397</v>
      </c>
      <c r="V359" s="23">
        <v>485</v>
      </c>
      <c r="W359" s="23">
        <f>Table46[[#This Row],[PRICE]]*Table46[[#This Row],[PAID WT]]</f>
        <v>22017545</v>
      </c>
      <c r="X359" s="24">
        <v>11.4</v>
      </c>
      <c r="Y359" s="25">
        <v>167</v>
      </c>
      <c r="Z359" s="24">
        <v>45.15</v>
      </c>
      <c r="AA359" s="26"/>
      <c r="AB359" s="10" t="s">
        <v>78</v>
      </c>
      <c r="AC359" s="27"/>
      <c r="AD359" s="63" t="s">
        <v>549</v>
      </c>
      <c r="AE359" s="18">
        <f>Table46[[#This Row],[MOIS.]]*Table46[[#This Row],[NET WT KGS]]</f>
        <v>517981.8</v>
      </c>
      <c r="AF359" s="18">
        <f>Table46[[#This Row],[KOR]]*Table46[[#This Row],[NET WT KGS]]</f>
        <v>2051480.55</v>
      </c>
      <c r="AG359">
        <f>Table46[[#This Row],[NET WT KGS]]*Table46[[#This Row],[NUT COUNT]]</f>
        <v>7587979</v>
      </c>
    </row>
    <row r="360" spans="1:33" x14ac:dyDescent="0.35">
      <c r="A360" s="32">
        <f t="shared" si="36"/>
        <v>358</v>
      </c>
      <c r="B360" s="87">
        <v>46098</v>
      </c>
      <c r="C360" s="65">
        <v>46099</v>
      </c>
      <c r="D360" s="10" t="s">
        <v>38</v>
      </c>
      <c r="E360" s="10" t="s">
        <v>39</v>
      </c>
      <c r="F360" s="50" t="s">
        <v>40</v>
      </c>
      <c r="G360" s="10" t="s">
        <v>86</v>
      </c>
      <c r="H360" s="50" t="s">
        <v>123</v>
      </c>
      <c r="I360" s="50" t="str">
        <f>VLOOKUP(Table46[[#This Row],[SUPPLIERS NAME]],[1]AGING!X$3:Y$30,2,)</f>
        <v>LBA-011-ASR</v>
      </c>
      <c r="J360" s="10" t="s">
        <v>511</v>
      </c>
      <c r="K360" s="21" t="s">
        <v>161</v>
      </c>
      <c r="L360" s="10">
        <v>120</v>
      </c>
      <c r="M360" s="10">
        <v>82582</v>
      </c>
      <c r="N360" s="10">
        <v>565</v>
      </c>
      <c r="O360" s="22">
        <f t="shared" si="39"/>
        <v>48400</v>
      </c>
      <c r="P360" s="51">
        <v>47835</v>
      </c>
      <c r="Q360" s="10">
        <v>552</v>
      </c>
      <c r="R360" s="67">
        <v>0</v>
      </c>
      <c r="S360" s="10">
        <v>13</v>
      </c>
      <c r="T360" s="10">
        <f t="shared" si="40"/>
        <v>52</v>
      </c>
      <c r="U360" s="22">
        <f>Table46[[#This Row],[NET WT KGS]]-Table46[[#This Row],[Refraction]]</f>
        <v>47783</v>
      </c>
      <c r="V360" s="23">
        <v>490</v>
      </c>
      <c r="W360" s="23">
        <f>Table46[[#This Row],[PRICE]]*Table46[[#This Row],[PAID WT]]</f>
        <v>23413670</v>
      </c>
      <c r="X360" s="24">
        <v>10.4</v>
      </c>
      <c r="Y360" s="25">
        <v>167</v>
      </c>
      <c r="Z360" s="24">
        <v>45.32</v>
      </c>
      <c r="AA360" s="26"/>
      <c r="AB360" s="10" t="s">
        <v>40</v>
      </c>
      <c r="AC360" s="27"/>
      <c r="AD360" s="63" t="s">
        <v>549</v>
      </c>
      <c r="AE360" s="18">
        <f>Table46[[#This Row],[MOIS.]]*Table46[[#This Row],[NET WT KGS]]</f>
        <v>497484</v>
      </c>
      <c r="AF360" s="18">
        <f>Table46[[#This Row],[KOR]]*Table46[[#This Row],[NET WT KGS]]</f>
        <v>2167882.2000000002</v>
      </c>
      <c r="AG360">
        <f>Table46[[#This Row],[NET WT KGS]]*Table46[[#This Row],[NUT COUNT]]</f>
        <v>7988445</v>
      </c>
    </row>
    <row r="361" spans="1:33" x14ac:dyDescent="0.35">
      <c r="A361" s="32">
        <f t="shared" si="36"/>
        <v>359</v>
      </c>
      <c r="B361" s="75">
        <v>46098</v>
      </c>
      <c r="C361" s="20">
        <v>46099</v>
      </c>
      <c r="D361" s="10" t="s">
        <v>38</v>
      </c>
      <c r="E361" s="10" t="s">
        <v>258</v>
      </c>
      <c r="F361" s="50" t="s">
        <v>40</v>
      </c>
      <c r="G361" s="10" t="s">
        <v>350</v>
      </c>
      <c r="H361" s="10" t="s">
        <v>335</v>
      </c>
      <c r="I361" s="50" t="str">
        <f>VLOOKUP(Table46[[#This Row],[SUPPLIERS NAME]],[1]AGING!X$3:Y$70,2,)</f>
        <v>DIS-003-DEM</v>
      </c>
      <c r="J361" s="10" t="s">
        <v>246</v>
      </c>
      <c r="K361" s="57" t="s">
        <v>337</v>
      </c>
      <c r="L361" s="10" t="s">
        <v>570</v>
      </c>
      <c r="M361" s="90">
        <v>82133</v>
      </c>
      <c r="N361" s="10">
        <v>410</v>
      </c>
      <c r="O361" s="22">
        <f t="shared" si="39"/>
        <v>32700</v>
      </c>
      <c r="P361" s="51">
        <v>32290</v>
      </c>
      <c r="Q361" s="10">
        <v>400</v>
      </c>
      <c r="R361" s="67">
        <v>0</v>
      </c>
      <c r="S361" s="10">
        <v>10</v>
      </c>
      <c r="T361" s="10">
        <f t="shared" si="40"/>
        <v>40</v>
      </c>
      <c r="U361" s="22">
        <f>Table46[[#This Row],[NET WT KGS]]-Table46[[#This Row],[Refraction]]</f>
        <v>32250</v>
      </c>
      <c r="V361" s="23">
        <v>475</v>
      </c>
      <c r="W361" s="23">
        <f>Table46[[#This Row],[PRICE]]*Table46[[#This Row],[PAID WT]]</f>
        <v>15318750</v>
      </c>
      <c r="X361" s="24">
        <v>11.6</v>
      </c>
      <c r="Y361" s="25">
        <v>175</v>
      </c>
      <c r="Z361" s="24">
        <v>44.44</v>
      </c>
      <c r="AA361" s="26"/>
      <c r="AB361" s="10" t="s">
        <v>46</v>
      </c>
      <c r="AC361" s="27"/>
      <c r="AD361" s="63" t="s">
        <v>549</v>
      </c>
      <c r="AE361" s="18">
        <f>Table46[[#This Row],[MOIS.]]*Table46[[#This Row],[NET WT KGS]]</f>
        <v>374564</v>
      </c>
      <c r="AF361" s="18">
        <f>Table46[[#This Row],[KOR]]*Table46[[#This Row],[NET WT KGS]]</f>
        <v>1434967.5999999999</v>
      </c>
      <c r="AG361">
        <f>Table46[[#This Row],[NET WT KGS]]*Table46[[#This Row],[NUT COUNT]]</f>
        <v>5650750</v>
      </c>
    </row>
    <row r="362" spans="1:33" x14ac:dyDescent="0.35">
      <c r="A362" s="32">
        <f t="shared" si="36"/>
        <v>360</v>
      </c>
      <c r="B362" s="75">
        <v>46098</v>
      </c>
      <c r="C362" s="20">
        <v>46099</v>
      </c>
      <c r="D362" s="10" t="s">
        <v>38</v>
      </c>
      <c r="E362" s="10" t="s">
        <v>39</v>
      </c>
      <c r="F362" s="50" t="s">
        <v>40</v>
      </c>
      <c r="G362" s="10" t="s">
        <v>350</v>
      </c>
      <c r="H362" s="50" t="s">
        <v>385</v>
      </c>
      <c r="I362" s="50" t="str">
        <f>VLOOKUP(Table46[[#This Row],[SUPPLIERS NAME]],[1]AGING!X$3:Y$30,2,)</f>
        <v>LBA-020-SKS</v>
      </c>
      <c r="J362" s="10" t="s">
        <v>571</v>
      </c>
      <c r="K362" s="21" t="s">
        <v>454</v>
      </c>
      <c r="L362" s="10">
        <v>123</v>
      </c>
      <c r="M362" s="10">
        <v>77650</v>
      </c>
      <c r="N362" s="10">
        <v>592</v>
      </c>
      <c r="O362" s="22">
        <f t="shared" si="39"/>
        <v>52320</v>
      </c>
      <c r="P362" s="51">
        <v>51728</v>
      </c>
      <c r="Q362" s="10">
        <v>577</v>
      </c>
      <c r="R362" s="67">
        <v>0</v>
      </c>
      <c r="S362" s="10">
        <v>15</v>
      </c>
      <c r="T362" s="10">
        <f t="shared" si="40"/>
        <v>60</v>
      </c>
      <c r="U362" s="22">
        <f>Table46[[#This Row],[NET WT KGS]]-Table46[[#This Row],[Refraction]]</f>
        <v>51668</v>
      </c>
      <c r="V362" s="23">
        <v>495</v>
      </c>
      <c r="W362" s="23">
        <f>Table46[[#This Row],[PRICE]]*Table46[[#This Row],[PAID WT]]</f>
        <v>25575660</v>
      </c>
      <c r="X362" s="24">
        <v>11.8</v>
      </c>
      <c r="Y362" s="25">
        <v>151</v>
      </c>
      <c r="Z362" s="24">
        <v>46.2</v>
      </c>
      <c r="AA362" s="26"/>
      <c r="AB362" s="10" t="s">
        <v>212</v>
      </c>
      <c r="AC362" s="27"/>
      <c r="AD362" s="63" t="s">
        <v>549</v>
      </c>
      <c r="AE362" s="18">
        <f>Table46[[#This Row],[MOIS.]]*Table46[[#This Row],[NET WT KGS]]</f>
        <v>610390.4</v>
      </c>
      <c r="AF362" s="18">
        <f>Table46[[#This Row],[KOR]]*Table46[[#This Row],[NET WT KGS]]</f>
        <v>2389833.6</v>
      </c>
      <c r="AG362">
        <f>Table46[[#This Row],[NET WT KGS]]*Table46[[#This Row],[NUT COUNT]]</f>
        <v>7810928</v>
      </c>
    </row>
    <row r="363" spans="1:33" x14ac:dyDescent="0.35">
      <c r="A363" s="32">
        <f t="shared" si="36"/>
        <v>361</v>
      </c>
      <c r="B363" s="20">
        <v>46099</v>
      </c>
      <c r="C363" s="65">
        <v>46099</v>
      </c>
      <c r="D363" s="10" t="s">
        <v>38</v>
      </c>
      <c r="E363" s="10" t="s">
        <v>39</v>
      </c>
      <c r="F363" s="50" t="s">
        <v>62</v>
      </c>
      <c r="G363" s="10"/>
      <c r="H363" s="10" t="s">
        <v>128</v>
      </c>
      <c r="I363" s="50" t="str">
        <f>VLOOKUP(Table46[[#This Row],[SUPPLIERS NAME]],[1]AGING!X$3:Y$30,2,)</f>
        <v>LBA-002-SCA</v>
      </c>
      <c r="J363" s="10" t="s">
        <v>531</v>
      </c>
      <c r="K363" s="33" t="s">
        <v>131</v>
      </c>
      <c r="L363" s="10">
        <v>887</v>
      </c>
      <c r="M363" s="10">
        <v>83396</v>
      </c>
      <c r="N363" s="10">
        <v>626</v>
      </c>
      <c r="O363" s="22">
        <v>51800</v>
      </c>
      <c r="P363" s="51">
        <f>Table46[[#This Row],[GROSS WT KGS]]-Table46[[#This Row],[SACS]]</f>
        <v>51174</v>
      </c>
      <c r="Q363" s="10">
        <v>604</v>
      </c>
      <c r="R363" s="67">
        <v>0</v>
      </c>
      <c r="S363" s="10">
        <v>22</v>
      </c>
      <c r="T363" s="10">
        <f t="shared" si="40"/>
        <v>88</v>
      </c>
      <c r="U363" s="22">
        <f>Table46[[#This Row],[NET WT KGS]]-Table46[[#This Row],[Refraction]]</f>
        <v>51086</v>
      </c>
      <c r="V363" s="23">
        <v>495</v>
      </c>
      <c r="W363" s="23">
        <f>Table46[[#This Row],[PRICE]]*Table46[[#This Row],[PAID WT]]</f>
        <v>25287570</v>
      </c>
      <c r="X363" s="24">
        <v>10.3</v>
      </c>
      <c r="Y363" s="25">
        <v>176</v>
      </c>
      <c r="Z363" s="24">
        <v>46.29</v>
      </c>
      <c r="AA363" s="26"/>
      <c r="AB363" s="10" t="s">
        <v>132</v>
      </c>
      <c r="AC363" s="27"/>
      <c r="AD363" s="63" t="s">
        <v>549</v>
      </c>
      <c r="AE363" s="18">
        <f>Table46[[#This Row],[MOIS.]]*Table46[[#This Row],[NET WT KGS]]</f>
        <v>527092.20000000007</v>
      </c>
      <c r="AF363" s="18">
        <f>Table46[[#This Row],[KOR]]*Table46[[#This Row],[NET WT KGS]]</f>
        <v>2368844.46</v>
      </c>
      <c r="AG363">
        <f>Table46[[#This Row],[NET WT KGS]]*Table46[[#This Row],[NUT COUNT]]</f>
        <v>9006624</v>
      </c>
    </row>
    <row r="364" spans="1:33" x14ac:dyDescent="0.35">
      <c r="A364" s="32">
        <f t="shared" si="36"/>
        <v>362</v>
      </c>
      <c r="B364" s="20">
        <v>46099</v>
      </c>
      <c r="C364" s="65">
        <v>46099</v>
      </c>
      <c r="D364" s="10" t="s">
        <v>38</v>
      </c>
      <c r="E364" s="66" t="s">
        <v>39</v>
      </c>
      <c r="F364" s="50" t="s">
        <v>62</v>
      </c>
      <c r="G364" s="10"/>
      <c r="H364" s="66" t="s">
        <v>136</v>
      </c>
      <c r="I364" s="10" t="s">
        <v>137</v>
      </c>
      <c r="J364" s="10" t="s">
        <v>416</v>
      </c>
      <c r="K364" s="21" t="s">
        <v>139</v>
      </c>
      <c r="L364" s="10">
        <v>888</v>
      </c>
      <c r="M364" s="10">
        <v>82487</v>
      </c>
      <c r="N364" s="10">
        <v>486</v>
      </c>
      <c r="O364" s="22">
        <v>41340</v>
      </c>
      <c r="P364" s="51">
        <f>Table46[[#This Row],[GROSS WT KGS]]-Table46[[#This Row],[SACS]]</f>
        <v>40854</v>
      </c>
      <c r="Q364" s="10">
        <v>480</v>
      </c>
      <c r="R364" s="67">
        <v>0</v>
      </c>
      <c r="S364" s="10">
        <v>6</v>
      </c>
      <c r="T364" s="10">
        <f t="shared" si="40"/>
        <v>24</v>
      </c>
      <c r="U364" s="22">
        <f>Table46[[#This Row],[NET WT KGS]]-Table46[[#This Row],[Refraction]]</f>
        <v>40830</v>
      </c>
      <c r="V364" s="23">
        <v>485</v>
      </c>
      <c r="W364" s="23">
        <f>Table46[[#This Row],[PRICE]]*Table46[[#This Row],[PAID WT]]</f>
        <v>19802550</v>
      </c>
      <c r="X364" s="24">
        <v>12.8</v>
      </c>
      <c r="Y364" s="25">
        <v>182</v>
      </c>
      <c r="Z364" s="24">
        <v>44.88</v>
      </c>
      <c r="AA364" s="26"/>
      <c r="AB364" s="66" t="s">
        <v>551</v>
      </c>
      <c r="AC364" s="27"/>
      <c r="AD364" s="63" t="s">
        <v>549</v>
      </c>
      <c r="AE364" s="18">
        <f>Table46[[#This Row],[MOIS.]]*Table46[[#This Row],[NET WT KGS]]</f>
        <v>522931.20000000001</v>
      </c>
      <c r="AF364" s="18">
        <f>Table46[[#This Row],[KOR]]*Table46[[#This Row],[NET WT KGS]]</f>
        <v>1833527.52</v>
      </c>
      <c r="AG364">
        <f>Table46[[#This Row],[NET WT KGS]]*Table46[[#This Row],[NUT COUNT]]</f>
        <v>7435428</v>
      </c>
    </row>
    <row r="365" spans="1:33" x14ac:dyDescent="0.35">
      <c r="A365" s="32">
        <f t="shared" si="36"/>
        <v>363</v>
      </c>
      <c r="B365" s="65">
        <v>46099</v>
      </c>
      <c r="C365" s="65">
        <v>46099</v>
      </c>
      <c r="D365" s="10" t="s">
        <v>38</v>
      </c>
      <c r="E365" s="10" t="s">
        <v>258</v>
      </c>
      <c r="F365" s="50" t="s">
        <v>40</v>
      </c>
      <c r="G365" s="66" t="s">
        <v>350</v>
      </c>
      <c r="H365" s="67" t="s">
        <v>364</v>
      </c>
      <c r="I365" s="50" t="str">
        <f>VLOOKUP(Table46[[#This Row],[SUPPLIERS NAME]],[1]AGING!X$3:Y$70,2,)</f>
        <v>DIS-007-SPA</v>
      </c>
      <c r="J365" s="66" t="s">
        <v>538</v>
      </c>
      <c r="K365" s="77" t="s">
        <v>426</v>
      </c>
      <c r="L365" s="102">
        <v>121</v>
      </c>
      <c r="M365" s="10">
        <v>82484</v>
      </c>
      <c r="N365" s="66">
        <v>393</v>
      </c>
      <c r="O365" s="68">
        <f>P365+N365</f>
        <v>34600</v>
      </c>
      <c r="P365" s="93">
        <v>34207</v>
      </c>
      <c r="Q365" s="66">
        <v>384</v>
      </c>
      <c r="R365" s="67">
        <v>0</v>
      </c>
      <c r="S365" s="66">
        <v>9</v>
      </c>
      <c r="T365" s="10">
        <f t="shared" si="40"/>
        <v>36</v>
      </c>
      <c r="U365" s="68">
        <f>Table46[[#This Row],[NET WT KGS]]-Table46[[#This Row],[Refraction]]</f>
        <v>34171</v>
      </c>
      <c r="V365" s="69">
        <v>480</v>
      </c>
      <c r="W365" s="69">
        <f>Table46[[#This Row],[PRICE]]*Table46[[#This Row],[PAID WT]]</f>
        <v>16402080</v>
      </c>
      <c r="X365" s="70">
        <v>10.7</v>
      </c>
      <c r="Y365" s="71">
        <v>171</v>
      </c>
      <c r="Z365" s="70">
        <v>44.26</v>
      </c>
      <c r="AA365" s="72"/>
      <c r="AB365" s="50" t="s">
        <v>367</v>
      </c>
      <c r="AC365" s="73"/>
      <c r="AD365" s="63" t="s">
        <v>549</v>
      </c>
      <c r="AE365" s="18">
        <f>Table46[[#This Row],[MOIS.]]*Table46[[#This Row],[NET WT KGS]]</f>
        <v>366014.89999999997</v>
      </c>
      <c r="AF365" s="18">
        <f>Table46[[#This Row],[KOR]]*Table46[[#This Row],[NET WT KGS]]</f>
        <v>1514001.8199999998</v>
      </c>
      <c r="AG365">
        <f>Table46[[#This Row],[NET WT KGS]]*Table46[[#This Row],[NUT COUNT]]</f>
        <v>5849397</v>
      </c>
    </row>
    <row r="366" spans="1:33" x14ac:dyDescent="0.35">
      <c r="A366" s="32">
        <f t="shared" si="36"/>
        <v>364</v>
      </c>
      <c r="B366" s="65">
        <v>46099</v>
      </c>
      <c r="C366" s="65">
        <v>46099</v>
      </c>
      <c r="D366" s="10" t="s">
        <v>38</v>
      </c>
      <c r="E366" s="10" t="s">
        <v>39</v>
      </c>
      <c r="F366" s="50" t="s">
        <v>40</v>
      </c>
      <c r="G366" s="66" t="s">
        <v>86</v>
      </c>
      <c r="H366" s="50" t="s">
        <v>338</v>
      </c>
      <c r="I366" s="50" t="str">
        <f>VLOOKUP(Table46[[#This Row],[SUPPLIERS NAME]],[1]AGING!X$3:Y$30,2,)</f>
        <v>LBA-018-COP</v>
      </c>
      <c r="J366" s="66" t="s">
        <v>339</v>
      </c>
      <c r="K366" s="57" t="s">
        <v>340</v>
      </c>
      <c r="L366" s="66">
        <v>122</v>
      </c>
      <c r="M366" s="10">
        <v>64970</v>
      </c>
      <c r="N366" s="66">
        <v>416</v>
      </c>
      <c r="O366" s="68">
        <f>P366+N366</f>
        <v>38940</v>
      </c>
      <c r="P366" s="93">
        <v>38524</v>
      </c>
      <c r="Q366" s="66">
        <v>410</v>
      </c>
      <c r="R366" s="67">
        <v>0</v>
      </c>
      <c r="S366" s="66">
        <v>6</v>
      </c>
      <c r="T366" s="10">
        <f t="shared" si="40"/>
        <v>24</v>
      </c>
      <c r="U366" s="68">
        <f>Table46[[#This Row],[NET WT KGS]]-Table46[[#This Row],[Refraction]]</f>
        <v>38500</v>
      </c>
      <c r="V366" s="69">
        <v>490</v>
      </c>
      <c r="W366" s="69">
        <f>Table46[[#This Row],[PRICE]]*Table46[[#This Row],[PAID WT]]</f>
        <v>18865000</v>
      </c>
      <c r="X366" s="70">
        <v>10.1</v>
      </c>
      <c r="Y366" s="71">
        <v>188</v>
      </c>
      <c r="Z366" s="70">
        <v>46.2</v>
      </c>
      <c r="AA366" s="72"/>
      <c r="AB366" s="10" t="s">
        <v>284</v>
      </c>
      <c r="AC366" s="73"/>
      <c r="AD366" s="63" t="s">
        <v>549</v>
      </c>
      <c r="AE366" s="18">
        <f>Table46[[#This Row],[MOIS.]]*Table46[[#This Row],[NET WT KGS]]</f>
        <v>389092.39999999997</v>
      </c>
      <c r="AF366" s="18">
        <f>Table46[[#This Row],[KOR]]*Table46[[#This Row],[NET WT KGS]]</f>
        <v>1779808.8</v>
      </c>
      <c r="AG366">
        <f>Table46[[#This Row],[NET WT KGS]]*Table46[[#This Row],[NUT COUNT]]</f>
        <v>7242512</v>
      </c>
    </row>
    <row r="367" spans="1:33" x14ac:dyDescent="0.35">
      <c r="A367" s="32">
        <f t="shared" si="36"/>
        <v>365</v>
      </c>
      <c r="B367" s="65">
        <v>46099</v>
      </c>
      <c r="C367" s="65">
        <v>46099</v>
      </c>
      <c r="D367" s="10" t="s">
        <v>38</v>
      </c>
      <c r="E367" s="10" t="s">
        <v>39</v>
      </c>
      <c r="F367" s="50" t="s">
        <v>40</v>
      </c>
      <c r="G367" s="66" t="s">
        <v>350</v>
      </c>
      <c r="H367" s="67" t="s">
        <v>123</v>
      </c>
      <c r="I367" s="50" t="str">
        <f>VLOOKUP(Table46[[#This Row],[SUPPLIERS NAME]],[1]AGING!X$3:Y$30,2,)</f>
        <v>LBA-011-ASR</v>
      </c>
      <c r="J367" s="66" t="s">
        <v>89</v>
      </c>
      <c r="K367" s="21" t="s">
        <v>161</v>
      </c>
      <c r="L367" s="66">
        <v>124</v>
      </c>
      <c r="M367" s="10">
        <v>72636</v>
      </c>
      <c r="N367" s="66">
        <v>574</v>
      </c>
      <c r="O367" s="68">
        <f>P367+N367</f>
        <v>45800</v>
      </c>
      <c r="P367" s="68">
        <v>45226</v>
      </c>
      <c r="Q367" s="66">
        <v>559</v>
      </c>
      <c r="R367" s="67">
        <v>0</v>
      </c>
      <c r="S367" s="66">
        <v>15</v>
      </c>
      <c r="T367" s="10">
        <f t="shared" si="40"/>
        <v>60</v>
      </c>
      <c r="U367" s="68">
        <f>Table46[[#This Row],[NET WT KGS]]-Table46[[#This Row],[Refraction]]</f>
        <v>45166</v>
      </c>
      <c r="V367" s="69">
        <v>490</v>
      </c>
      <c r="W367" s="69">
        <f>Table46[[#This Row],[PRICE]]*Table46[[#This Row],[PAID WT]]</f>
        <v>22131340</v>
      </c>
      <c r="X367" s="70">
        <v>10.3</v>
      </c>
      <c r="Y367" s="71">
        <v>165</v>
      </c>
      <c r="Z367" s="70">
        <v>45.15</v>
      </c>
      <c r="AA367" s="72"/>
      <c r="AB367" s="10" t="s">
        <v>398</v>
      </c>
      <c r="AC367" s="73"/>
      <c r="AD367" s="63" t="s">
        <v>549</v>
      </c>
      <c r="AE367" s="18">
        <f>Table46[[#This Row],[MOIS.]]*Table46[[#This Row],[NET WT KGS]]</f>
        <v>465827.80000000005</v>
      </c>
      <c r="AF367" s="18">
        <f>Table46[[#This Row],[KOR]]*Table46[[#This Row],[NET WT KGS]]</f>
        <v>2041953.9</v>
      </c>
      <c r="AG367">
        <f>Table46[[#This Row],[NET WT KGS]]*Table46[[#This Row],[NUT COUNT]]</f>
        <v>7462290</v>
      </c>
    </row>
    <row r="368" spans="1:33" x14ac:dyDescent="0.35">
      <c r="A368" s="32">
        <f t="shared" si="36"/>
        <v>366</v>
      </c>
      <c r="B368" s="91">
        <v>46099</v>
      </c>
      <c r="C368" s="35">
        <f>Table46[[#This Row],[DATE OF ARRIVAL]]</f>
        <v>46099</v>
      </c>
      <c r="D368" s="36" t="s">
        <v>38</v>
      </c>
      <c r="E368" s="36" t="s">
        <v>39</v>
      </c>
      <c r="F368" s="36" t="s">
        <v>40</v>
      </c>
      <c r="G368" s="74"/>
      <c r="H368" s="36" t="s">
        <v>235</v>
      </c>
      <c r="I368" s="36" t="s">
        <v>236</v>
      </c>
      <c r="J368" s="74" t="s">
        <v>572</v>
      </c>
      <c r="K368" s="74"/>
      <c r="L368" s="74"/>
      <c r="M368" s="36"/>
      <c r="N368" s="74"/>
      <c r="O368" s="79">
        <f>P368+N368</f>
        <v>0</v>
      </c>
      <c r="P368" s="79"/>
      <c r="Q368" s="74"/>
      <c r="R368" s="74"/>
      <c r="S368" s="74"/>
      <c r="T368" s="36"/>
      <c r="U368" s="79">
        <f>Table46[[#This Row],[NET WT KGS]]-Table46[[#This Row],[Refraction]]</f>
        <v>0</v>
      </c>
      <c r="V368" s="81"/>
      <c r="W368" s="81">
        <f>Table46[[#This Row],[PRICE]]*Table46[[#This Row],[PAID WT]]</f>
        <v>0</v>
      </c>
      <c r="X368" s="82">
        <v>8</v>
      </c>
      <c r="Y368" s="83">
        <v>177</v>
      </c>
      <c r="Z368" s="82">
        <v>42.15</v>
      </c>
      <c r="AA368" s="84"/>
      <c r="AB368" s="36" t="s">
        <v>58</v>
      </c>
      <c r="AC368" s="42" t="s">
        <v>70</v>
      </c>
      <c r="AD368" s="99"/>
      <c r="AE368" s="18">
        <f>Table46[[#This Row],[MOIS.]]*Table46[[#This Row],[NET WT KGS]]</f>
        <v>0</v>
      </c>
      <c r="AF368" s="18">
        <f>Table46[[#This Row],[KOR]]*Table46[[#This Row],[NET WT KGS]]</f>
        <v>0</v>
      </c>
      <c r="AG368">
        <f>Table46[[#This Row],[NET WT KGS]]*Table46[[#This Row],[NUT COUNT]]</f>
        <v>0</v>
      </c>
    </row>
    <row r="369" spans="1:33" x14ac:dyDescent="0.35">
      <c r="A369" s="32">
        <f t="shared" si="36"/>
        <v>367</v>
      </c>
      <c r="B369" s="35">
        <v>46099</v>
      </c>
      <c r="C369" s="35">
        <f>Table46[[#This Row],[DATE OF ARRIVAL]]</f>
        <v>46099</v>
      </c>
      <c r="D369" s="36" t="s">
        <v>38</v>
      </c>
      <c r="E369" s="36" t="s">
        <v>39</v>
      </c>
      <c r="F369" s="36" t="s">
        <v>40</v>
      </c>
      <c r="G369" s="36"/>
      <c r="H369" s="36" t="s">
        <v>123</v>
      </c>
      <c r="I369" s="36" t="str">
        <f>VLOOKUP(Table46[[#This Row],[SUPPLIERS NAME]],[1]AGING!X$3:Y$30,2,)</f>
        <v>LBA-011-ASR</v>
      </c>
      <c r="J369" s="36" t="s">
        <v>573</v>
      </c>
      <c r="K369" s="36"/>
      <c r="L369" s="36"/>
      <c r="M369" s="36"/>
      <c r="N369" s="36"/>
      <c r="O369" s="37">
        <f>P369+N369</f>
        <v>0</v>
      </c>
      <c r="P369" s="37"/>
      <c r="Q369" s="36"/>
      <c r="R369" s="74"/>
      <c r="S369" s="36"/>
      <c r="T369" s="36"/>
      <c r="U369" s="37">
        <f>Table46[[#This Row],[NET WT KGS]]-Table46[[#This Row],[Refraction]]</f>
        <v>0</v>
      </c>
      <c r="V369" s="38"/>
      <c r="W369" s="38">
        <f>Table46[[#This Row],[PRICE]]*Table46[[#This Row],[PAID WT]]</f>
        <v>0</v>
      </c>
      <c r="X369" s="39">
        <v>9.3000000000000007</v>
      </c>
      <c r="Y369" s="40">
        <v>180</v>
      </c>
      <c r="Z369" s="39">
        <v>42.32</v>
      </c>
      <c r="AA369" s="41"/>
      <c r="AB369" s="36" t="s">
        <v>398</v>
      </c>
      <c r="AC369" s="42" t="s">
        <v>70</v>
      </c>
      <c r="AD369" s="99"/>
      <c r="AE369" s="18">
        <f>Table46[[#This Row],[MOIS.]]*Table46[[#This Row],[NET WT KGS]]</f>
        <v>0</v>
      </c>
      <c r="AF369" s="18">
        <f>Table46[[#This Row],[KOR]]*Table46[[#This Row],[NET WT KGS]]</f>
        <v>0</v>
      </c>
      <c r="AG369">
        <f>Table46[[#This Row],[NET WT KGS]]*Table46[[#This Row],[NUT COUNT]]</f>
        <v>0</v>
      </c>
    </row>
    <row r="370" spans="1:33" x14ac:dyDescent="0.35">
      <c r="A370" s="32">
        <f t="shared" si="36"/>
        <v>368</v>
      </c>
      <c r="B370" s="20">
        <v>46099</v>
      </c>
      <c r="C370" s="20">
        <v>46100</v>
      </c>
      <c r="D370" s="10" t="s">
        <v>38</v>
      </c>
      <c r="E370" s="10" t="s">
        <v>39</v>
      </c>
      <c r="F370" s="50" t="s">
        <v>62</v>
      </c>
      <c r="G370" s="10"/>
      <c r="H370" s="50" t="s">
        <v>574</v>
      </c>
      <c r="I370" s="50" t="s">
        <v>328</v>
      </c>
      <c r="J370" s="10" t="s">
        <v>575</v>
      </c>
      <c r="K370" s="33" t="s">
        <v>576</v>
      </c>
      <c r="L370" s="10">
        <v>889</v>
      </c>
      <c r="M370" s="10">
        <v>77595</v>
      </c>
      <c r="N370" s="10">
        <v>585</v>
      </c>
      <c r="O370" s="22">
        <v>40920</v>
      </c>
      <c r="P370" s="51">
        <f>Table46[[#This Row],[GROSS WT KGS]]-Table46[[#This Row],[SACS]]</f>
        <v>40335</v>
      </c>
      <c r="Q370" s="10">
        <v>575</v>
      </c>
      <c r="R370" s="67">
        <v>0</v>
      </c>
      <c r="S370" s="10">
        <v>10</v>
      </c>
      <c r="T370" s="10">
        <f>S370*4+R370*40</f>
        <v>40</v>
      </c>
      <c r="U370" s="22">
        <f>Table46[[#This Row],[NET WT KGS]]-Table46[[#This Row],[Refraction]]</f>
        <v>40295</v>
      </c>
      <c r="V370" s="23">
        <v>485</v>
      </c>
      <c r="W370" s="23">
        <f>Table46[[#This Row],[PRICE]]*Table46[[#This Row],[PAID WT]]</f>
        <v>19543075</v>
      </c>
      <c r="X370" s="24">
        <v>9.1999999999999993</v>
      </c>
      <c r="Y370" s="25">
        <v>201</v>
      </c>
      <c r="Z370" s="24">
        <v>44.08</v>
      </c>
      <c r="AA370" s="26"/>
      <c r="AB370" s="10" t="s">
        <v>132</v>
      </c>
      <c r="AC370" s="27"/>
      <c r="AD370" s="63" t="s">
        <v>549</v>
      </c>
      <c r="AE370" s="18">
        <f>Table46[[#This Row],[MOIS.]]*Table46[[#This Row],[NET WT KGS]]</f>
        <v>371082</v>
      </c>
      <c r="AF370" s="18">
        <f>Table46[[#This Row],[KOR]]*Table46[[#This Row],[NET WT KGS]]</f>
        <v>1777966.8</v>
      </c>
      <c r="AG370">
        <f>Table46[[#This Row],[NET WT KGS]]*Table46[[#This Row],[NUT COUNT]]</f>
        <v>8107335</v>
      </c>
    </row>
    <row r="371" spans="1:33" x14ac:dyDescent="0.35">
      <c r="A371" s="32">
        <f t="shared" si="36"/>
        <v>369</v>
      </c>
      <c r="B371" s="20">
        <v>46099</v>
      </c>
      <c r="C371" s="20">
        <v>46100</v>
      </c>
      <c r="D371" s="10" t="s">
        <v>38</v>
      </c>
      <c r="E371" s="10" t="s">
        <v>39</v>
      </c>
      <c r="F371" s="50" t="s">
        <v>62</v>
      </c>
      <c r="G371" s="10"/>
      <c r="H371" s="10" t="s">
        <v>128</v>
      </c>
      <c r="I371" s="50" t="str">
        <f>VLOOKUP(Table46[[#This Row],[SUPPLIERS NAME]],[1]AGING!X$3:Y$30,2,)</f>
        <v>LBA-002-SCA</v>
      </c>
      <c r="J371" s="10" t="s">
        <v>577</v>
      </c>
      <c r="K371" s="33" t="s">
        <v>131</v>
      </c>
      <c r="L371" s="10">
        <v>890</v>
      </c>
      <c r="M371" s="10">
        <v>83395</v>
      </c>
      <c r="N371" s="10">
        <v>493</v>
      </c>
      <c r="O371" s="22">
        <v>40720</v>
      </c>
      <c r="P371" s="51">
        <f>Table46[[#This Row],[GROSS WT KGS]]-Table46[[#This Row],[SACS]]</f>
        <v>40227</v>
      </c>
      <c r="Q371" s="10">
        <v>472</v>
      </c>
      <c r="R371" s="67">
        <v>0</v>
      </c>
      <c r="S371" s="10">
        <v>21</v>
      </c>
      <c r="T371" s="10">
        <f>S371*4+R371*40</f>
        <v>84</v>
      </c>
      <c r="U371" s="22">
        <f>Table46[[#This Row],[NET WT KGS]]-Table46[[#This Row],[Refraction]]</f>
        <v>40143</v>
      </c>
      <c r="V371" s="23">
        <v>495</v>
      </c>
      <c r="W371" s="23">
        <f>Table46[[#This Row],[PRICE]]*Table46[[#This Row],[PAID WT]]</f>
        <v>19870785</v>
      </c>
      <c r="X371" s="24">
        <v>11</v>
      </c>
      <c r="Y371" s="25">
        <v>189</v>
      </c>
      <c r="Z371" s="24">
        <v>46.11</v>
      </c>
      <c r="AA371" s="26"/>
      <c r="AB371" s="10" t="s">
        <v>132</v>
      </c>
      <c r="AC371" s="27"/>
      <c r="AD371" s="63" t="s">
        <v>549</v>
      </c>
      <c r="AE371" s="18">
        <f>Table46[[#This Row],[MOIS.]]*Table46[[#This Row],[NET WT KGS]]</f>
        <v>442497</v>
      </c>
      <c r="AF371" s="18">
        <f>Table46[[#This Row],[KOR]]*Table46[[#This Row],[NET WT KGS]]</f>
        <v>1854866.97</v>
      </c>
      <c r="AG371">
        <f>Table46[[#This Row],[NET WT KGS]]*Table46[[#This Row],[NUT COUNT]]</f>
        <v>7602903</v>
      </c>
    </row>
    <row r="372" spans="1:33" x14ac:dyDescent="0.35">
      <c r="A372" s="32">
        <f t="shared" si="36"/>
        <v>370</v>
      </c>
      <c r="B372" s="20">
        <v>46099</v>
      </c>
      <c r="C372" s="20">
        <v>46100</v>
      </c>
      <c r="D372" s="10" t="s">
        <v>38</v>
      </c>
      <c r="E372" s="10" t="s">
        <v>39</v>
      </c>
      <c r="F372" s="50" t="s">
        <v>62</v>
      </c>
      <c r="G372" s="10"/>
      <c r="H372" s="10" t="s">
        <v>128</v>
      </c>
      <c r="I372" s="50" t="str">
        <f>VLOOKUP(Table46[[#This Row],[SUPPLIERS NAME]],[1]AGING!X$3:Y$30,2,)</f>
        <v>LBA-002-SCA</v>
      </c>
      <c r="J372" s="10" t="s">
        <v>529</v>
      </c>
      <c r="K372" s="33" t="s">
        <v>131</v>
      </c>
      <c r="L372" s="10">
        <v>891</v>
      </c>
      <c r="M372" s="10">
        <v>83394</v>
      </c>
      <c r="N372" s="10">
        <v>669</v>
      </c>
      <c r="O372" s="22">
        <v>54080</v>
      </c>
      <c r="P372" s="51">
        <f>Table46[[#This Row],[GROSS WT KGS]]-Table46[[#This Row],[SACS]]</f>
        <v>53411</v>
      </c>
      <c r="Q372" s="10">
        <v>648</v>
      </c>
      <c r="R372" s="67">
        <v>0</v>
      </c>
      <c r="S372" s="10">
        <v>21</v>
      </c>
      <c r="T372" s="10">
        <f>S372*4+R372*40</f>
        <v>84</v>
      </c>
      <c r="U372" s="22">
        <f>Table46[[#This Row],[NET WT KGS]]-Table46[[#This Row],[Refraction]]</f>
        <v>53327</v>
      </c>
      <c r="V372" s="23">
        <v>495</v>
      </c>
      <c r="W372" s="23">
        <f>Table46[[#This Row],[PRICE]]*Table46[[#This Row],[PAID WT]]</f>
        <v>26396865</v>
      </c>
      <c r="X372" s="24">
        <v>10.199999999999999</v>
      </c>
      <c r="Y372" s="25">
        <v>193</v>
      </c>
      <c r="Z372" s="24">
        <v>45.93</v>
      </c>
      <c r="AA372" s="26"/>
      <c r="AB372" s="10" t="s">
        <v>132</v>
      </c>
      <c r="AC372" s="27"/>
      <c r="AD372" s="63" t="s">
        <v>549</v>
      </c>
      <c r="AE372" s="18">
        <f>Table46[[#This Row],[MOIS.]]*Table46[[#This Row],[NET WT KGS]]</f>
        <v>544792.19999999995</v>
      </c>
      <c r="AF372" s="18">
        <f>Table46[[#This Row],[KOR]]*Table46[[#This Row],[NET WT KGS]]</f>
        <v>2453167.23</v>
      </c>
      <c r="AG372">
        <f>Table46[[#This Row],[NET WT KGS]]*Table46[[#This Row],[NUT COUNT]]</f>
        <v>10308323</v>
      </c>
    </row>
    <row r="373" spans="1:33" x14ac:dyDescent="0.35">
      <c r="A373" s="32">
        <f t="shared" si="36"/>
        <v>371</v>
      </c>
      <c r="B373" s="91">
        <v>46100</v>
      </c>
      <c r="C373" s="35">
        <f>Table46[[#This Row],[DATE OF ARRIVAL]]</f>
        <v>46100</v>
      </c>
      <c r="D373" s="36" t="s">
        <v>38</v>
      </c>
      <c r="E373" s="36" t="s">
        <v>258</v>
      </c>
      <c r="F373" s="36" t="s">
        <v>40</v>
      </c>
      <c r="G373" s="36"/>
      <c r="H373" s="36" t="s">
        <v>376</v>
      </c>
      <c r="I373" s="36" t="s">
        <v>143</v>
      </c>
      <c r="J373" s="36" t="s">
        <v>519</v>
      </c>
      <c r="K373" s="36"/>
      <c r="L373" s="36"/>
      <c r="M373" s="36"/>
      <c r="N373" s="36"/>
      <c r="O373" s="37">
        <f>P373+N373</f>
        <v>0</v>
      </c>
      <c r="P373" s="37"/>
      <c r="Q373" s="36"/>
      <c r="R373" s="74"/>
      <c r="S373" s="36"/>
      <c r="T373" s="36"/>
      <c r="U373" s="37">
        <f>Table46[[#This Row],[NET WT KGS]]-Table46[[#This Row],[Refraction]]</f>
        <v>0</v>
      </c>
      <c r="V373" s="38"/>
      <c r="W373" s="38">
        <f>Table46[[#This Row],[PRICE]]*Table46[[#This Row],[PAID WT]]</f>
        <v>0</v>
      </c>
      <c r="X373" s="39">
        <v>9.6999999999999993</v>
      </c>
      <c r="Y373" s="40">
        <v>189</v>
      </c>
      <c r="Z373" s="39">
        <v>42.85</v>
      </c>
      <c r="AA373" s="41"/>
      <c r="AB373" s="36" t="s">
        <v>140</v>
      </c>
      <c r="AC373" s="42" t="s">
        <v>70</v>
      </c>
      <c r="AD373" s="63"/>
      <c r="AE373" s="18">
        <f>Table46[[#This Row],[MOIS.]]*Table46[[#This Row],[NET WT KGS]]</f>
        <v>0</v>
      </c>
      <c r="AF373" s="18">
        <f>Table46[[#This Row],[KOR]]*Table46[[#This Row],[NET WT KGS]]</f>
        <v>0</v>
      </c>
      <c r="AG373">
        <f>Table46[[#This Row],[NET WT KGS]]*Table46[[#This Row],[NUT COUNT]]</f>
        <v>0</v>
      </c>
    </row>
    <row r="374" spans="1:33" x14ac:dyDescent="0.35">
      <c r="A374" s="32">
        <f t="shared" si="36"/>
        <v>372</v>
      </c>
      <c r="B374" s="65">
        <v>46100</v>
      </c>
      <c r="C374" s="20">
        <v>46100</v>
      </c>
      <c r="D374" s="10" t="s">
        <v>38</v>
      </c>
      <c r="E374" s="10" t="s">
        <v>39</v>
      </c>
      <c r="F374" s="50" t="s">
        <v>40</v>
      </c>
      <c r="G374" s="66" t="s">
        <v>86</v>
      </c>
      <c r="H374" s="67" t="s">
        <v>123</v>
      </c>
      <c r="I374" s="67" t="str">
        <f>VLOOKUP(Table46[[#This Row],[SUPPLIERS NAME]],[1]AGING!X$3:Y$30,2,)</f>
        <v>LBA-011-ASR</v>
      </c>
      <c r="J374" s="66" t="s">
        <v>354</v>
      </c>
      <c r="K374" s="21" t="s">
        <v>161</v>
      </c>
      <c r="L374" s="66">
        <v>128</v>
      </c>
      <c r="M374" s="10">
        <v>82132</v>
      </c>
      <c r="N374" s="66">
        <v>613</v>
      </c>
      <c r="O374" s="68">
        <f>P374+N374</f>
        <v>49160</v>
      </c>
      <c r="P374" s="22">
        <v>48547</v>
      </c>
      <c r="Q374" s="66">
        <v>603</v>
      </c>
      <c r="R374" s="67">
        <v>0</v>
      </c>
      <c r="S374" s="66">
        <v>10</v>
      </c>
      <c r="T374" s="10">
        <f t="shared" ref="T374:T379" si="41">S374*4+R374*40</f>
        <v>40</v>
      </c>
      <c r="U374" s="68">
        <f>Table46[[#This Row],[NET WT KGS]]-Table46[[#This Row],[Refraction]]</f>
        <v>48507</v>
      </c>
      <c r="V374" s="69">
        <v>495</v>
      </c>
      <c r="W374" s="69">
        <f>Table46[[#This Row],[PRICE]]*Table46[[#This Row],[PAID WT]]</f>
        <v>24010965</v>
      </c>
      <c r="X374" s="70">
        <v>8.6</v>
      </c>
      <c r="Y374" s="71">
        <v>167</v>
      </c>
      <c r="Z374" s="70">
        <v>46.56</v>
      </c>
      <c r="AA374" s="72"/>
      <c r="AB374" s="66" t="s">
        <v>58</v>
      </c>
      <c r="AC374" s="73"/>
      <c r="AD374" s="63" t="s">
        <v>549</v>
      </c>
      <c r="AE374" s="18">
        <f>Table46[[#This Row],[MOIS.]]*Table46[[#This Row],[NET WT KGS]]</f>
        <v>417504.2</v>
      </c>
      <c r="AF374" s="18">
        <f>Table46[[#This Row],[KOR]]*Table46[[#This Row],[NET WT KGS]]</f>
        <v>2260348.3200000003</v>
      </c>
      <c r="AG374">
        <f>Table46[[#This Row],[NET WT KGS]]*Table46[[#This Row],[NUT COUNT]]</f>
        <v>8107349</v>
      </c>
    </row>
    <row r="375" spans="1:33" x14ac:dyDescent="0.35">
      <c r="A375" s="32">
        <f t="shared" si="36"/>
        <v>373</v>
      </c>
      <c r="B375" s="65">
        <v>46100</v>
      </c>
      <c r="C375" s="20">
        <v>46100</v>
      </c>
      <c r="D375" s="10" t="s">
        <v>38</v>
      </c>
      <c r="E375" s="10" t="s">
        <v>39</v>
      </c>
      <c r="F375" s="50" t="s">
        <v>40</v>
      </c>
      <c r="G375" s="10" t="s">
        <v>350</v>
      </c>
      <c r="H375" s="10" t="s">
        <v>154</v>
      </c>
      <c r="I375" s="67" t="str">
        <f>VLOOKUP(Table46[[#This Row],[SUPPLIERS NAME]],[1]AGING!X$3:Y$30,2,)</f>
        <v>LBA-010-CAP</v>
      </c>
      <c r="J375" s="10" t="s">
        <v>564</v>
      </c>
      <c r="K375" s="33" t="s">
        <v>157</v>
      </c>
      <c r="L375" s="10">
        <v>126</v>
      </c>
      <c r="M375" s="10">
        <v>82769</v>
      </c>
      <c r="N375" s="10">
        <v>449</v>
      </c>
      <c r="O375" s="22">
        <f>P375+N375</f>
        <v>40400</v>
      </c>
      <c r="P375" s="22">
        <v>39951</v>
      </c>
      <c r="Q375" s="10">
        <v>439</v>
      </c>
      <c r="R375" s="67">
        <v>0</v>
      </c>
      <c r="S375" s="10">
        <v>10</v>
      </c>
      <c r="T375" s="10">
        <f t="shared" si="41"/>
        <v>40</v>
      </c>
      <c r="U375" s="22">
        <f>Table46[[#This Row],[NET WT KGS]]-Table46[[#This Row],[Refraction]]</f>
        <v>39911</v>
      </c>
      <c r="V375" s="23">
        <v>485</v>
      </c>
      <c r="W375" s="23">
        <f>Table46[[#This Row],[PRICE]]*Table46[[#This Row],[PAID WT]]</f>
        <v>19356835</v>
      </c>
      <c r="X375" s="24">
        <v>9.5</v>
      </c>
      <c r="Y375" s="25">
        <v>160</v>
      </c>
      <c r="Z375" s="24">
        <v>45.15</v>
      </c>
      <c r="AA375" s="26"/>
      <c r="AB375" s="66" t="s">
        <v>40</v>
      </c>
      <c r="AC375" s="27"/>
      <c r="AD375" s="63" t="s">
        <v>549</v>
      </c>
      <c r="AE375" s="18">
        <f>Table46[[#This Row],[MOIS.]]*Table46[[#This Row],[NET WT KGS]]</f>
        <v>379534.5</v>
      </c>
      <c r="AF375" s="18">
        <f>Table46[[#This Row],[KOR]]*Table46[[#This Row],[NET WT KGS]]</f>
        <v>1803787.65</v>
      </c>
      <c r="AG375">
        <f>Table46[[#This Row],[NET WT KGS]]*Table46[[#This Row],[NUT COUNT]]</f>
        <v>6392160</v>
      </c>
    </row>
    <row r="376" spans="1:33" x14ac:dyDescent="0.35">
      <c r="A376" s="32">
        <f t="shared" si="36"/>
        <v>374</v>
      </c>
      <c r="B376" s="20">
        <v>46100</v>
      </c>
      <c r="C376" s="20">
        <v>46100</v>
      </c>
      <c r="D376" s="10" t="s">
        <v>38</v>
      </c>
      <c r="E376" s="10" t="s">
        <v>39</v>
      </c>
      <c r="F376" s="50" t="s">
        <v>40</v>
      </c>
      <c r="G376" s="10" t="s">
        <v>86</v>
      </c>
      <c r="H376" s="50" t="s">
        <v>112</v>
      </c>
      <c r="I376" s="50" t="str">
        <f>VLOOKUP(Table46[[#This Row],[SUPPLIERS NAME]],[1]AGING!X$3:Y$30,2,)</f>
        <v>LBA-015-OUM</v>
      </c>
      <c r="J376" s="10" t="s">
        <v>366</v>
      </c>
      <c r="K376" s="21" t="s">
        <v>115</v>
      </c>
      <c r="L376" s="10">
        <v>127</v>
      </c>
      <c r="M376" s="10">
        <v>82482</v>
      </c>
      <c r="N376" s="10">
        <v>398</v>
      </c>
      <c r="O376" s="22">
        <f>P376+N376</f>
        <v>33240</v>
      </c>
      <c r="P376" s="22">
        <v>32842</v>
      </c>
      <c r="Q376" s="10">
        <v>392</v>
      </c>
      <c r="R376" s="67">
        <v>0</v>
      </c>
      <c r="S376" s="10">
        <v>6</v>
      </c>
      <c r="T376" s="10">
        <f t="shared" si="41"/>
        <v>24</v>
      </c>
      <c r="U376" s="22">
        <f>Table46[[#This Row],[NET WT KGS]]-Table46[[#This Row],[Refraction]]</f>
        <v>32818</v>
      </c>
      <c r="V376" s="23">
        <v>490</v>
      </c>
      <c r="W376" s="23">
        <f>Table46[[#This Row],[PRICE]]*Table46[[#This Row],[PAID WT]]</f>
        <v>16080820</v>
      </c>
      <c r="X376" s="24">
        <v>7.5</v>
      </c>
      <c r="Y376" s="25">
        <v>174</v>
      </c>
      <c r="Z376" s="24">
        <v>46.38</v>
      </c>
      <c r="AA376" s="26"/>
      <c r="AB376" s="10" t="s">
        <v>132</v>
      </c>
      <c r="AC376" s="27"/>
      <c r="AD376" s="63" t="s">
        <v>549</v>
      </c>
      <c r="AE376" s="18">
        <f>Table46[[#This Row],[MOIS.]]*Table46[[#This Row],[NET WT KGS]]</f>
        <v>246315</v>
      </c>
      <c r="AF376" s="18">
        <f>Table46[[#This Row],[KOR]]*Table46[[#This Row],[NET WT KGS]]</f>
        <v>1523211.9600000002</v>
      </c>
      <c r="AG376">
        <f>Table46[[#This Row],[NET WT KGS]]*Table46[[#This Row],[NUT COUNT]]</f>
        <v>5714508</v>
      </c>
    </row>
    <row r="377" spans="1:33" x14ac:dyDescent="0.35">
      <c r="A377" s="32">
        <f t="shared" si="36"/>
        <v>375</v>
      </c>
      <c r="B377" s="20">
        <v>46100</v>
      </c>
      <c r="C377" s="20">
        <v>46100</v>
      </c>
      <c r="D377" s="10" t="s">
        <v>38</v>
      </c>
      <c r="E377" s="10" t="s">
        <v>39</v>
      </c>
      <c r="F377" s="50" t="s">
        <v>40</v>
      </c>
      <c r="G377" s="10" t="s">
        <v>86</v>
      </c>
      <c r="H377" s="50" t="s">
        <v>112</v>
      </c>
      <c r="I377" s="67" t="str">
        <f>VLOOKUP(Table46[[#This Row],[SUPPLIERS NAME]],[1]AGING!X$3:Y$30,2,)</f>
        <v>LBA-015-OUM</v>
      </c>
      <c r="J377" s="10" t="s">
        <v>542</v>
      </c>
      <c r="K377" s="21" t="s">
        <v>115</v>
      </c>
      <c r="L377" s="10">
        <v>125</v>
      </c>
      <c r="M377" s="10">
        <v>82488</v>
      </c>
      <c r="N377" s="10">
        <v>565</v>
      </c>
      <c r="O377" s="22">
        <f>P377+N377</f>
        <v>45180</v>
      </c>
      <c r="P377" s="22">
        <v>44615</v>
      </c>
      <c r="Q377" s="10">
        <v>555</v>
      </c>
      <c r="R377" s="67">
        <v>0</v>
      </c>
      <c r="S377" s="10">
        <v>10</v>
      </c>
      <c r="T377" s="10">
        <f t="shared" si="41"/>
        <v>40</v>
      </c>
      <c r="U377" s="22">
        <f>Table46[[#This Row],[NET WT KGS]]-Table46[[#This Row],[Refraction]]</f>
        <v>44575</v>
      </c>
      <c r="V377" s="23">
        <v>490</v>
      </c>
      <c r="W377" s="23">
        <f>Table46[[#This Row],[PRICE]]*Table46[[#This Row],[PAID WT]]</f>
        <v>21841750</v>
      </c>
      <c r="X377" s="24">
        <v>9.6999999999999993</v>
      </c>
      <c r="Y377" s="25">
        <v>177</v>
      </c>
      <c r="Z377" s="24">
        <v>46.2</v>
      </c>
      <c r="AA377" s="26"/>
      <c r="AB377" s="50" t="s">
        <v>367</v>
      </c>
      <c r="AC377" s="27"/>
      <c r="AD377" s="63" t="s">
        <v>549</v>
      </c>
      <c r="AE377" s="18">
        <f>Table46[[#This Row],[MOIS.]]*Table46[[#This Row],[NET WT KGS]]</f>
        <v>432765.49999999994</v>
      </c>
      <c r="AF377" s="18">
        <f>Table46[[#This Row],[KOR]]*Table46[[#This Row],[NET WT KGS]]</f>
        <v>2061213.0000000002</v>
      </c>
      <c r="AG377">
        <f>Table46[[#This Row],[NET WT KGS]]*Table46[[#This Row],[NUT COUNT]]</f>
        <v>7896855</v>
      </c>
    </row>
    <row r="378" spans="1:33" x14ac:dyDescent="0.35">
      <c r="A378" s="32">
        <f t="shared" si="36"/>
        <v>376</v>
      </c>
      <c r="B378" s="20">
        <v>46100</v>
      </c>
      <c r="C378" s="65">
        <v>46102</v>
      </c>
      <c r="D378" s="10" t="s">
        <v>38</v>
      </c>
      <c r="E378" s="66" t="s">
        <v>258</v>
      </c>
      <c r="F378" s="50" t="s">
        <v>62</v>
      </c>
      <c r="G378" s="66"/>
      <c r="H378" s="66" t="s">
        <v>464</v>
      </c>
      <c r="I378" s="67" t="str">
        <f>VLOOKUP(Table46[[#This Row],[SUPPLIERS NAME]],[1]AGING!X$3:Y$70,2,)</f>
        <v>DIS-011-SAM</v>
      </c>
      <c r="J378" s="66" t="s">
        <v>578</v>
      </c>
      <c r="K378" s="33" t="s">
        <v>466</v>
      </c>
      <c r="L378" s="66">
        <v>892</v>
      </c>
      <c r="M378" s="10">
        <v>82476</v>
      </c>
      <c r="N378" s="66">
        <v>327</v>
      </c>
      <c r="O378" s="68">
        <v>28780</v>
      </c>
      <c r="P378" s="51">
        <f>Table46[[#This Row],[GROSS WT KGS]]-Table46[[#This Row],[SACS]]</f>
        <v>28453</v>
      </c>
      <c r="Q378" s="66">
        <v>319</v>
      </c>
      <c r="R378" s="67">
        <v>0</v>
      </c>
      <c r="S378" s="66">
        <v>8</v>
      </c>
      <c r="T378" s="10">
        <f t="shared" si="41"/>
        <v>32</v>
      </c>
      <c r="U378" s="68">
        <f>Table46[[#This Row],[NET WT KGS]]-Table46[[#This Row],[Refraction]]</f>
        <v>28421</v>
      </c>
      <c r="V378" s="69">
        <v>480</v>
      </c>
      <c r="W378" s="69">
        <f>Table46[[#This Row],[PRICE]]*Table46[[#This Row],[PAID WT]]</f>
        <v>13642080</v>
      </c>
      <c r="X378" s="70">
        <v>9.8000000000000007</v>
      </c>
      <c r="Y378" s="71">
        <v>183</v>
      </c>
      <c r="Z378" s="70">
        <v>44.08</v>
      </c>
      <c r="AA378" s="72"/>
      <c r="AB378" s="66" t="s">
        <v>150</v>
      </c>
      <c r="AC378" s="73"/>
      <c r="AD378" s="63" t="s">
        <v>549</v>
      </c>
      <c r="AE378" s="18">
        <f>Table46[[#This Row],[MOIS.]]*Table46[[#This Row],[NET WT KGS]]</f>
        <v>278839.40000000002</v>
      </c>
      <c r="AF378" s="18">
        <f>Table46[[#This Row],[KOR]]*Table46[[#This Row],[NET WT KGS]]</f>
        <v>1254208.24</v>
      </c>
      <c r="AG378">
        <f>Table46[[#This Row],[NET WT KGS]]*Table46[[#This Row],[NUT COUNT]]</f>
        <v>5206899</v>
      </c>
    </row>
    <row r="379" spans="1:33" x14ac:dyDescent="0.35">
      <c r="A379" s="32">
        <f t="shared" si="36"/>
        <v>377</v>
      </c>
      <c r="B379" s="20">
        <v>46100</v>
      </c>
      <c r="C379" s="65">
        <v>46102</v>
      </c>
      <c r="D379" s="10" t="s">
        <v>38</v>
      </c>
      <c r="E379" s="66" t="s">
        <v>39</v>
      </c>
      <c r="F379" s="50" t="s">
        <v>62</v>
      </c>
      <c r="G379" s="66"/>
      <c r="H379" s="10" t="s">
        <v>128</v>
      </c>
      <c r="I379" s="50" t="str">
        <f>VLOOKUP(Table46[[#This Row],[SUPPLIERS NAME]],[1]AGING!X$3:Y$30,2,)</f>
        <v>LBA-002-SCA</v>
      </c>
      <c r="J379" s="66" t="s">
        <v>302</v>
      </c>
      <c r="K379" s="33" t="s">
        <v>131</v>
      </c>
      <c r="L379" s="66">
        <v>893</v>
      </c>
      <c r="M379" s="10">
        <v>82480</v>
      </c>
      <c r="N379" s="66">
        <v>685</v>
      </c>
      <c r="O379" s="68">
        <v>52740</v>
      </c>
      <c r="P379" s="51">
        <f>Table46[[#This Row],[GROSS WT KGS]]-Table46[[#This Row],[SACS]]</f>
        <v>52055</v>
      </c>
      <c r="Q379" s="66">
        <v>664</v>
      </c>
      <c r="R379" s="67">
        <v>0</v>
      </c>
      <c r="S379" s="66">
        <v>21</v>
      </c>
      <c r="T379" s="10">
        <f t="shared" si="41"/>
        <v>84</v>
      </c>
      <c r="U379" s="68">
        <f>Table46[[#This Row],[NET WT KGS]]-Table46[[#This Row],[Refraction]]</f>
        <v>51971</v>
      </c>
      <c r="V379" s="69">
        <v>495</v>
      </c>
      <c r="W379" s="69">
        <f>Table46[[#This Row],[PRICE]]*Table46[[#This Row],[PAID WT]]</f>
        <v>25725645</v>
      </c>
      <c r="X379" s="70">
        <v>10.4</v>
      </c>
      <c r="Y379" s="71">
        <v>180</v>
      </c>
      <c r="Z379" s="70">
        <v>46.11</v>
      </c>
      <c r="AA379" s="72"/>
      <c r="AB379" s="66" t="s">
        <v>132</v>
      </c>
      <c r="AC379" s="73"/>
      <c r="AD379" s="63" t="s">
        <v>549</v>
      </c>
      <c r="AE379" s="18">
        <f>Table46[[#This Row],[MOIS.]]*Table46[[#This Row],[NET WT KGS]]</f>
        <v>541372</v>
      </c>
      <c r="AF379" s="18">
        <f>Table46[[#This Row],[KOR]]*Table46[[#This Row],[NET WT KGS]]</f>
        <v>2400256.0499999998</v>
      </c>
      <c r="AG379">
        <f>Table46[[#This Row],[NET WT KGS]]*Table46[[#This Row],[NUT COUNT]]</f>
        <v>9369900</v>
      </c>
    </row>
    <row r="380" spans="1:33" x14ac:dyDescent="0.35">
      <c r="A380" s="32">
        <f t="shared" si="36"/>
        <v>378</v>
      </c>
      <c r="B380" s="35">
        <v>46102</v>
      </c>
      <c r="C380" s="35">
        <f>Table46[[#This Row],[DATE OF ARRIVAL]]</f>
        <v>46102</v>
      </c>
      <c r="D380" s="36" t="s">
        <v>38</v>
      </c>
      <c r="E380" s="74" t="s">
        <v>39</v>
      </c>
      <c r="F380" s="36" t="s">
        <v>40</v>
      </c>
      <c r="G380" s="74"/>
      <c r="H380" s="74" t="s">
        <v>385</v>
      </c>
      <c r="I380" s="74" t="s">
        <v>322</v>
      </c>
      <c r="J380" s="74" t="s">
        <v>579</v>
      </c>
      <c r="K380" s="74"/>
      <c r="L380" s="74"/>
      <c r="M380" s="74"/>
      <c r="N380" s="74"/>
      <c r="O380" s="79">
        <f>P380+N380</f>
        <v>0</v>
      </c>
      <c r="P380" s="37"/>
      <c r="Q380" s="74"/>
      <c r="R380" s="74"/>
      <c r="S380" s="74"/>
      <c r="T380" s="36"/>
      <c r="U380" s="79">
        <f>Table46[[#This Row],[NET WT KGS]]-Table46[[#This Row],[Refraction]]</f>
        <v>0</v>
      </c>
      <c r="V380" s="81"/>
      <c r="W380" s="81">
        <f>Table46[[#This Row],[PRICE]]*Table46[[#This Row],[PAID WT]]</f>
        <v>0</v>
      </c>
      <c r="X380" s="82">
        <v>7.5</v>
      </c>
      <c r="Y380" s="83">
        <v>181</v>
      </c>
      <c r="Z380" s="82">
        <v>42.85</v>
      </c>
      <c r="AA380" s="84"/>
      <c r="AB380" s="74" t="s">
        <v>580</v>
      </c>
      <c r="AC380" s="92" t="s">
        <v>70</v>
      </c>
      <c r="AD380" s="99"/>
      <c r="AE380" s="18">
        <f>Table46[[#This Row],[MOIS.]]*Table46[[#This Row],[NET WT KGS]]</f>
        <v>0</v>
      </c>
      <c r="AF380" s="18">
        <f>Table46[[#This Row],[KOR]]*Table46[[#This Row],[NET WT KGS]]</f>
        <v>0</v>
      </c>
      <c r="AG380">
        <f>Table46[[#This Row],[NET WT KGS]]*Table46[[#This Row],[NUT COUNT]]</f>
        <v>0</v>
      </c>
    </row>
    <row r="381" spans="1:33" x14ac:dyDescent="0.35">
      <c r="A381" s="32">
        <f t="shared" si="36"/>
        <v>379</v>
      </c>
      <c r="B381" s="35">
        <v>46102</v>
      </c>
      <c r="C381" s="35">
        <f>Table46[[#This Row],[DATE OF ARRIVAL]]</f>
        <v>46102</v>
      </c>
      <c r="D381" s="36" t="s">
        <v>38</v>
      </c>
      <c r="E381" s="74" t="s">
        <v>39</v>
      </c>
      <c r="F381" s="74" t="s">
        <v>40</v>
      </c>
      <c r="G381" s="74"/>
      <c r="H381" s="36" t="s">
        <v>87</v>
      </c>
      <c r="I381" s="36" t="s">
        <v>88</v>
      </c>
      <c r="J381" s="74" t="s">
        <v>581</v>
      </c>
      <c r="K381" s="74"/>
      <c r="L381" s="74"/>
      <c r="M381" s="36"/>
      <c r="N381" s="74"/>
      <c r="O381" s="79">
        <f>P381+N381</f>
        <v>0</v>
      </c>
      <c r="P381" s="79"/>
      <c r="Q381" s="74"/>
      <c r="R381" s="74"/>
      <c r="S381" s="74"/>
      <c r="T381" s="36"/>
      <c r="U381" s="79">
        <f>Table46[[#This Row],[NET WT KGS]]-Table46[[#This Row],[Refraction]]</f>
        <v>0</v>
      </c>
      <c r="V381" s="81"/>
      <c r="W381" s="81">
        <f>Table46[[#This Row],[PRICE]]*Table46[[#This Row],[PAID WT]]</f>
        <v>0</v>
      </c>
      <c r="X381" s="82">
        <v>12.1</v>
      </c>
      <c r="Y381" s="83">
        <v>169</v>
      </c>
      <c r="Z381" s="82">
        <v>43.73</v>
      </c>
      <c r="AA381" s="84"/>
      <c r="AB381" s="74" t="s">
        <v>132</v>
      </c>
      <c r="AC381" s="92" t="s">
        <v>70</v>
      </c>
      <c r="AD381" s="99"/>
      <c r="AE381" s="18">
        <f>Table46[[#This Row],[MOIS.]]*Table46[[#This Row],[NET WT KGS]]</f>
        <v>0</v>
      </c>
      <c r="AF381" s="18">
        <f>Table46[[#This Row],[KOR]]*Table46[[#This Row],[NET WT KGS]]</f>
        <v>0</v>
      </c>
      <c r="AG381">
        <f>Table46[[#This Row],[NET WT KGS]]*Table46[[#This Row],[NUT COUNT]]</f>
        <v>0</v>
      </c>
    </row>
    <row r="382" spans="1:33" x14ac:dyDescent="0.35">
      <c r="A382" s="32">
        <f t="shared" si="36"/>
        <v>380</v>
      </c>
      <c r="B382" s="20">
        <v>46100</v>
      </c>
      <c r="C382" s="20">
        <v>46103</v>
      </c>
      <c r="D382" s="10" t="s">
        <v>38</v>
      </c>
      <c r="E382" s="66" t="s">
        <v>39</v>
      </c>
      <c r="F382" s="67" t="s">
        <v>40</v>
      </c>
      <c r="G382" s="10" t="s">
        <v>350</v>
      </c>
      <c r="H382" s="10" t="s">
        <v>42</v>
      </c>
      <c r="I382" s="50" t="str">
        <f>VLOOKUP(Table46[[#This Row],[SUPPLIERS NAME]],[1]AGING!X$3:Y$30,2,)</f>
        <v>LBA-006-IMA</v>
      </c>
      <c r="J382" s="10" t="s">
        <v>497</v>
      </c>
      <c r="K382" s="21" t="s">
        <v>45</v>
      </c>
      <c r="L382" s="10">
        <v>130</v>
      </c>
      <c r="M382" s="10">
        <v>82151</v>
      </c>
      <c r="N382" s="10">
        <v>464</v>
      </c>
      <c r="O382" s="22">
        <f>P382+N382</f>
        <v>40740</v>
      </c>
      <c r="P382" s="22">
        <v>40276</v>
      </c>
      <c r="Q382" s="10">
        <v>454</v>
      </c>
      <c r="R382" s="67">
        <v>0</v>
      </c>
      <c r="S382" s="10">
        <v>10</v>
      </c>
      <c r="T382" s="10">
        <f t="shared" ref="T382:T391" si="42">S382*4+R382*40</f>
        <v>40</v>
      </c>
      <c r="U382" s="22">
        <f>Table46[[#This Row],[NET WT KGS]]-Table46[[#This Row],[Refraction]]</f>
        <v>40236</v>
      </c>
      <c r="V382" s="69">
        <v>485</v>
      </c>
      <c r="W382" s="23">
        <f>Table46[[#This Row],[PRICE]]*Table46[[#This Row],[PAID WT]]</f>
        <v>19514460</v>
      </c>
      <c r="X382" s="24">
        <v>10.3</v>
      </c>
      <c r="Y382" s="25">
        <v>163</v>
      </c>
      <c r="Z382" s="24">
        <v>44.44</v>
      </c>
      <c r="AA382" s="26"/>
      <c r="AB382" s="50" t="s">
        <v>367</v>
      </c>
      <c r="AC382" s="27"/>
      <c r="AD382" s="63" t="s">
        <v>549</v>
      </c>
      <c r="AE382" s="18">
        <f>Table46[[#This Row],[MOIS.]]*Table46[[#This Row],[NET WT KGS]]</f>
        <v>414842.80000000005</v>
      </c>
      <c r="AF382" s="18">
        <f>Table46[[#This Row],[KOR]]*Table46[[#This Row],[NET WT KGS]]</f>
        <v>1789865.44</v>
      </c>
      <c r="AG382">
        <f>Table46[[#This Row],[NET WT KGS]]*Table46[[#This Row],[NUT COUNT]]</f>
        <v>6564988</v>
      </c>
    </row>
    <row r="383" spans="1:33" x14ac:dyDescent="0.35">
      <c r="A383" s="32">
        <f t="shared" si="36"/>
        <v>381</v>
      </c>
      <c r="B383" s="20">
        <v>46102</v>
      </c>
      <c r="C383" s="20">
        <v>46103</v>
      </c>
      <c r="D383" s="10" t="s">
        <v>38</v>
      </c>
      <c r="E383" s="66" t="s">
        <v>39</v>
      </c>
      <c r="F383" s="67" t="s">
        <v>62</v>
      </c>
      <c r="G383" s="66"/>
      <c r="H383" s="66" t="s">
        <v>118</v>
      </c>
      <c r="I383" s="67" t="str">
        <f>VLOOKUP(Table46[[#This Row],[SUPPLIERS NAME]],[1]AGING!X$3:Y$30,2,)</f>
        <v>LBA-001-SOC</v>
      </c>
      <c r="J383" s="66" t="s">
        <v>582</v>
      </c>
      <c r="K383" s="33" t="s">
        <v>266</v>
      </c>
      <c r="L383" s="66">
        <v>894</v>
      </c>
      <c r="M383" s="10">
        <v>72609</v>
      </c>
      <c r="N383" s="66">
        <v>493</v>
      </c>
      <c r="O383" s="68">
        <v>41400</v>
      </c>
      <c r="P383" s="51">
        <f>Table46[[#This Row],[GROSS WT KGS]]-Table46[[#This Row],[SACS]]</f>
        <v>40907</v>
      </c>
      <c r="Q383" s="66">
        <v>475</v>
      </c>
      <c r="R383" s="67">
        <v>0</v>
      </c>
      <c r="S383" s="66">
        <v>18</v>
      </c>
      <c r="T383" s="10">
        <f t="shared" si="42"/>
        <v>72</v>
      </c>
      <c r="U383" s="68">
        <f>Table46[[#This Row],[NET WT KGS]]-Table46[[#This Row],[Refraction]]</f>
        <v>40835</v>
      </c>
      <c r="V383" s="69">
        <v>485</v>
      </c>
      <c r="W383" s="69">
        <f>Table46[[#This Row],[PRICE]]*Table46[[#This Row],[PAID WT]]</f>
        <v>19804975</v>
      </c>
      <c r="X383" s="70">
        <v>8.1</v>
      </c>
      <c r="Y383" s="71">
        <v>187</v>
      </c>
      <c r="Z383" s="70">
        <v>44.88</v>
      </c>
      <c r="AA383" s="72"/>
      <c r="AB383" s="66" t="s">
        <v>583</v>
      </c>
      <c r="AC383" s="27"/>
      <c r="AD383" s="63" t="s">
        <v>549</v>
      </c>
      <c r="AE383" s="18">
        <f>Table46[[#This Row],[MOIS.]]*Table46[[#This Row],[NET WT KGS]]</f>
        <v>331346.7</v>
      </c>
      <c r="AF383" s="18">
        <f>Table46[[#This Row],[KOR]]*Table46[[#This Row],[NET WT KGS]]</f>
        <v>1835906.1600000001</v>
      </c>
      <c r="AG383">
        <f>Table46[[#This Row],[NET WT KGS]]*Table46[[#This Row],[NUT COUNT]]</f>
        <v>7649609</v>
      </c>
    </row>
    <row r="384" spans="1:33" x14ac:dyDescent="0.35">
      <c r="A384" s="32">
        <f t="shared" si="36"/>
        <v>382</v>
      </c>
      <c r="B384" s="20">
        <v>46102</v>
      </c>
      <c r="C384" s="20">
        <v>46103</v>
      </c>
      <c r="D384" s="10" t="s">
        <v>38</v>
      </c>
      <c r="E384" s="10" t="s">
        <v>39</v>
      </c>
      <c r="F384" s="67" t="s">
        <v>40</v>
      </c>
      <c r="G384" s="10" t="s">
        <v>350</v>
      </c>
      <c r="H384" s="67" t="s">
        <v>112</v>
      </c>
      <c r="I384" s="50" t="str">
        <f>VLOOKUP(Table46[[#This Row],[SUPPLIERS NAME]],[1]AGING!X$3:Y$30,2,)</f>
        <v>LBA-015-OUM</v>
      </c>
      <c r="J384" s="10" t="s">
        <v>114</v>
      </c>
      <c r="K384" s="21" t="s">
        <v>115</v>
      </c>
      <c r="L384" s="10">
        <v>129</v>
      </c>
      <c r="M384" s="10">
        <v>82489</v>
      </c>
      <c r="N384" s="10">
        <v>590</v>
      </c>
      <c r="O384" s="22">
        <f>P384+N384</f>
        <v>47440</v>
      </c>
      <c r="P384" s="22">
        <v>46850</v>
      </c>
      <c r="Q384" s="10">
        <v>579</v>
      </c>
      <c r="R384" s="67">
        <v>0</v>
      </c>
      <c r="S384" s="10">
        <v>11</v>
      </c>
      <c r="T384" s="10">
        <f t="shared" si="42"/>
        <v>44</v>
      </c>
      <c r="U384" s="22">
        <f>Table46[[#This Row],[NET WT KGS]]-Table46[[#This Row],[Refraction]]</f>
        <v>46806</v>
      </c>
      <c r="V384" s="23">
        <v>485</v>
      </c>
      <c r="W384" s="23">
        <f>Table46[[#This Row],[PRICE]]*Table46[[#This Row],[PAID WT]]</f>
        <v>22700910</v>
      </c>
      <c r="X384" s="24">
        <v>9.6999999999999993</v>
      </c>
      <c r="Y384" s="25">
        <v>181</v>
      </c>
      <c r="Z384" s="24">
        <v>45.06</v>
      </c>
      <c r="AA384" s="26"/>
      <c r="AB384" s="10" t="s">
        <v>40</v>
      </c>
      <c r="AC384" s="27"/>
      <c r="AD384" s="63" t="s">
        <v>549</v>
      </c>
      <c r="AE384" s="18">
        <f>Table46[[#This Row],[MOIS.]]*Table46[[#This Row],[NET WT KGS]]</f>
        <v>454444.99999999994</v>
      </c>
      <c r="AF384" s="18">
        <f>Table46[[#This Row],[KOR]]*Table46[[#This Row],[NET WT KGS]]</f>
        <v>2111061</v>
      </c>
      <c r="AG384">
        <f>Table46[[#This Row],[NET WT KGS]]*Table46[[#This Row],[NUT COUNT]]</f>
        <v>8479850</v>
      </c>
    </row>
    <row r="385" spans="1:33" x14ac:dyDescent="0.35">
      <c r="A385" s="32">
        <f t="shared" si="36"/>
        <v>383</v>
      </c>
      <c r="B385" s="20">
        <v>46100</v>
      </c>
      <c r="C385" s="20">
        <v>46104</v>
      </c>
      <c r="D385" s="10" t="s">
        <v>38</v>
      </c>
      <c r="E385" s="10" t="s">
        <v>258</v>
      </c>
      <c r="F385" s="50" t="s">
        <v>62</v>
      </c>
      <c r="G385" s="10"/>
      <c r="H385" s="10" t="s">
        <v>584</v>
      </c>
      <c r="I385" s="10" t="s">
        <v>165</v>
      </c>
      <c r="J385" s="10" t="s">
        <v>585</v>
      </c>
      <c r="K385" s="21" t="s">
        <v>586</v>
      </c>
      <c r="L385" s="10">
        <v>895</v>
      </c>
      <c r="M385" s="10">
        <v>83398</v>
      </c>
      <c r="N385" s="10">
        <v>409</v>
      </c>
      <c r="O385" s="22">
        <v>31920</v>
      </c>
      <c r="P385" s="51">
        <f>Table46[[#This Row],[GROSS WT KGS]]-Table46[[#This Row],[SACS]]</f>
        <v>31511</v>
      </c>
      <c r="Q385" s="10">
        <v>408</v>
      </c>
      <c r="R385" s="67">
        <v>0</v>
      </c>
      <c r="S385" s="10">
        <v>1</v>
      </c>
      <c r="T385" s="10">
        <f t="shared" si="42"/>
        <v>4</v>
      </c>
      <c r="U385" s="22">
        <f>Table46[[#This Row],[NET WT KGS]]-Table46[[#This Row],[Refraction]]</f>
        <v>31507</v>
      </c>
      <c r="V385" s="23">
        <v>485</v>
      </c>
      <c r="W385" s="23">
        <f>Table46[[#This Row],[PRICE]]*Table46[[#This Row],[PAID WT]]</f>
        <v>15280895</v>
      </c>
      <c r="X385" s="24">
        <v>9.9</v>
      </c>
      <c r="Y385" s="25">
        <v>186</v>
      </c>
      <c r="Z385" s="24">
        <v>44.17</v>
      </c>
      <c r="AA385" s="26"/>
      <c r="AB385" s="10" t="s">
        <v>351</v>
      </c>
      <c r="AC385" s="27"/>
      <c r="AD385" s="63" t="s">
        <v>587</v>
      </c>
      <c r="AE385" s="18">
        <f>Table46[[#This Row],[MOIS.]]*Table46[[#This Row],[NET WT KGS]]</f>
        <v>311958.90000000002</v>
      </c>
      <c r="AF385" s="18">
        <f>Table46[[#This Row],[KOR]]*Table46[[#This Row],[NET WT KGS]]</f>
        <v>1391840.87</v>
      </c>
      <c r="AG385">
        <f>Table46[[#This Row],[NET WT KGS]]*Table46[[#This Row],[NUT COUNT]]</f>
        <v>5861046</v>
      </c>
    </row>
    <row r="386" spans="1:33" x14ac:dyDescent="0.35">
      <c r="A386" s="32">
        <f t="shared" si="36"/>
        <v>384</v>
      </c>
      <c r="B386" s="20">
        <v>46102</v>
      </c>
      <c r="C386" s="20">
        <v>46104</v>
      </c>
      <c r="D386" s="10" t="s">
        <v>38</v>
      </c>
      <c r="E386" s="10" t="s">
        <v>39</v>
      </c>
      <c r="F386" s="50" t="s">
        <v>40</v>
      </c>
      <c r="G386" s="10" t="s">
        <v>350</v>
      </c>
      <c r="H386" s="50" t="s">
        <v>123</v>
      </c>
      <c r="I386" s="50" t="str">
        <f>VLOOKUP(Table46[[#This Row],[SUPPLIERS NAME]],[1]AGING!X$3:Y$30,2,)</f>
        <v>LBA-011-ASR</v>
      </c>
      <c r="J386" s="10" t="s">
        <v>544</v>
      </c>
      <c r="K386" s="21" t="s">
        <v>161</v>
      </c>
      <c r="L386" s="10">
        <v>134</v>
      </c>
      <c r="M386" s="10">
        <v>77658</v>
      </c>
      <c r="N386" s="10">
        <v>526</v>
      </c>
      <c r="O386" s="22">
        <f>P386+N386</f>
        <v>38820</v>
      </c>
      <c r="P386" s="51">
        <v>38294</v>
      </c>
      <c r="Q386" s="10">
        <v>511</v>
      </c>
      <c r="R386" s="67">
        <v>0</v>
      </c>
      <c r="S386" s="10">
        <v>15</v>
      </c>
      <c r="T386" s="10">
        <f t="shared" si="42"/>
        <v>60</v>
      </c>
      <c r="U386" s="22">
        <f>Table46[[#This Row],[NET WT KGS]]-Table46[[#This Row],[Refraction]]</f>
        <v>38234</v>
      </c>
      <c r="V386" s="23">
        <v>485</v>
      </c>
      <c r="W386" s="23">
        <f>Table46[[#This Row],[PRICE]]*Table46[[#This Row],[PAID WT]]</f>
        <v>18543490</v>
      </c>
      <c r="X386" s="24">
        <v>11.3</v>
      </c>
      <c r="Y386" s="25">
        <v>172</v>
      </c>
      <c r="Z386" s="24">
        <v>44.79</v>
      </c>
      <c r="AA386" s="26"/>
      <c r="AB386" s="10" t="s">
        <v>40</v>
      </c>
      <c r="AC386" s="27"/>
      <c r="AD386" s="63" t="s">
        <v>587</v>
      </c>
      <c r="AE386" s="18">
        <f>Table46[[#This Row],[MOIS.]]*Table46[[#This Row],[NET WT KGS]]</f>
        <v>432722.2</v>
      </c>
      <c r="AF386" s="18">
        <f>Table46[[#This Row],[KOR]]*Table46[[#This Row],[NET WT KGS]]</f>
        <v>1715188.26</v>
      </c>
      <c r="AG386">
        <f>Table46[[#This Row],[NET WT KGS]]*Table46[[#This Row],[NUT COUNT]]</f>
        <v>6586568</v>
      </c>
    </row>
    <row r="387" spans="1:33" x14ac:dyDescent="0.35">
      <c r="A387" s="32">
        <f t="shared" si="36"/>
        <v>385</v>
      </c>
      <c r="B387" s="20">
        <v>46102</v>
      </c>
      <c r="C387" s="20">
        <v>46104</v>
      </c>
      <c r="D387" s="10" t="s">
        <v>38</v>
      </c>
      <c r="E387" s="10" t="s">
        <v>39</v>
      </c>
      <c r="F387" s="50" t="s">
        <v>40</v>
      </c>
      <c r="G387" s="10" t="s">
        <v>350</v>
      </c>
      <c r="H387" s="50" t="s">
        <v>385</v>
      </c>
      <c r="I387" s="50" t="str">
        <f>VLOOKUP(Table46[[#This Row],[SUPPLIERS NAME]],[1]AGING!X$3:Y$30,2,)</f>
        <v>LBA-020-SKS</v>
      </c>
      <c r="J387" s="10" t="s">
        <v>588</v>
      </c>
      <c r="K387" s="21" t="s">
        <v>454</v>
      </c>
      <c r="L387" s="10">
        <v>132</v>
      </c>
      <c r="M387" s="10">
        <v>82765</v>
      </c>
      <c r="N387" s="10">
        <v>511</v>
      </c>
      <c r="O387" s="22">
        <f>P387+N387</f>
        <v>40640</v>
      </c>
      <c r="P387" s="51">
        <v>40129</v>
      </c>
      <c r="Q387" s="10">
        <v>501</v>
      </c>
      <c r="R387" s="67">
        <v>0</v>
      </c>
      <c r="S387" s="10">
        <v>10</v>
      </c>
      <c r="T387" s="10">
        <f t="shared" si="42"/>
        <v>40</v>
      </c>
      <c r="U387" s="22">
        <f>Table46[[#This Row],[NET WT KGS]]-Table46[[#This Row],[Refraction]]</f>
        <v>40089</v>
      </c>
      <c r="V387" s="23">
        <v>490</v>
      </c>
      <c r="W387" s="23">
        <f>Table46[[#This Row],[PRICE]]*Table46[[#This Row],[PAID WT]]</f>
        <v>19643610</v>
      </c>
      <c r="X387" s="24">
        <v>9.3000000000000007</v>
      </c>
      <c r="Y387" s="25">
        <v>177</v>
      </c>
      <c r="Z387" s="24">
        <v>46.03</v>
      </c>
      <c r="AA387" s="26"/>
      <c r="AB387" s="10" t="s">
        <v>580</v>
      </c>
      <c r="AC387" s="27"/>
      <c r="AD387" s="63" t="s">
        <v>587</v>
      </c>
      <c r="AE387" s="18">
        <f>Table46[[#This Row],[MOIS.]]*Table46[[#This Row],[NET WT KGS]]</f>
        <v>373199.7</v>
      </c>
      <c r="AF387" s="18">
        <f>Table46[[#This Row],[KOR]]*Table46[[#This Row],[NET WT KGS]]</f>
        <v>1847137.87</v>
      </c>
      <c r="AG387">
        <f>Table46[[#This Row],[NET WT KGS]]*Table46[[#This Row],[NUT COUNT]]</f>
        <v>7102833</v>
      </c>
    </row>
    <row r="388" spans="1:33" x14ac:dyDescent="0.35">
      <c r="A388" s="32">
        <f t="shared" ref="A388:A451" si="43">A387+1</f>
        <v>386</v>
      </c>
      <c r="B388" s="20">
        <v>46102</v>
      </c>
      <c r="C388" s="20">
        <v>46104</v>
      </c>
      <c r="D388" s="10" t="s">
        <v>38</v>
      </c>
      <c r="E388" s="66" t="s">
        <v>39</v>
      </c>
      <c r="F388" s="50" t="s">
        <v>40</v>
      </c>
      <c r="G388" s="10" t="s">
        <v>350</v>
      </c>
      <c r="H388" s="67" t="s">
        <v>123</v>
      </c>
      <c r="I388" s="50" t="str">
        <f>VLOOKUP(Table46[[#This Row],[SUPPLIERS NAME]],[1]AGING!X$3:Y$30,2,)</f>
        <v>LBA-011-ASR</v>
      </c>
      <c r="J388" s="10" t="s">
        <v>125</v>
      </c>
      <c r="K388" s="21" t="s">
        <v>161</v>
      </c>
      <c r="L388" s="10">
        <v>131</v>
      </c>
      <c r="M388" s="10">
        <v>82130</v>
      </c>
      <c r="N388" s="10">
        <v>678</v>
      </c>
      <c r="O388" s="22">
        <f>P388+N388</f>
        <v>55220</v>
      </c>
      <c r="P388" s="22">
        <v>54542</v>
      </c>
      <c r="Q388" s="10">
        <v>662</v>
      </c>
      <c r="R388" s="67">
        <v>0</v>
      </c>
      <c r="S388" s="10">
        <v>16</v>
      </c>
      <c r="T388" s="10">
        <f t="shared" si="42"/>
        <v>64</v>
      </c>
      <c r="U388" s="22">
        <f>Table46[[#This Row],[NET WT KGS]]-Table46[[#This Row],[Refraction]]</f>
        <v>54478</v>
      </c>
      <c r="V388" s="48">
        <v>490</v>
      </c>
      <c r="W388" s="23">
        <f>Table46[[#This Row],[PRICE]]*Table46[[#This Row],[PAID WT]]</f>
        <v>26694220</v>
      </c>
      <c r="X388" s="24">
        <v>10.7</v>
      </c>
      <c r="Y388" s="25">
        <v>181</v>
      </c>
      <c r="Z388" s="24">
        <v>46.2</v>
      </c>
      <c r="AA388" s="26"/>
      <c r="AB388" s="10" t="s">
        <v>398</v>
      </c>
      <c r="AC388" s="27"/>
      <c r="AD388" s="63" t="s">
        <v>587</v>
      </c>
      <c r="AE388" s="18">
        <f>Table46[[#This Row],[MOIS.]]*Table46[[#This Row],[NET WT KGS]]</f>
        <v>583599.39999999991</v>
      </c>
      <c r="AF388" s="18">
        <f>Table46[[#This Row],[KOR]]*Table46[[#This Row],[NET WT KGS]]</f>
        <v>2519840.4000000004</v>
      </c>
      <c r="AG388">
        <f>Table46[[#This Row],[NET WT KGS]]*Table46[[#This Row],[NUT COUNT]]</f>
        <v>9872102</v>
      </c>
    </row>
    <row r="389" spans="1:33" x14ac:dyDescent="0.35">
      <c r="A389" s="32">
        <f t="shared" si="43"/>
        <v>387</v>
      </c>
      <c r="B389" s="20">
        <v>46104</v>
      </c>
      <c r="C389" s="20">
        <v>46104</v>
      </c>
      <c r="D389" s="10" t="s">
        <v>38</v>
      </c>
      <c r="E389" s="66" t="s">
        <v>39</v>
      </c>
      <c r="F389" s="50" t="s">
        <v>62</v>
      </c>
      <c r="G389" s="66"/>
      <c r="H389" s="66" t="s">
        <v>193</v>
      </c>
      <c r="I389" s="67" t="str">
        <f>VLOOKUP(Table46[[#This Row],[SUPPLIERS NAME]],[1]AGING!X$3:Y$30,2,)</f>
        <v>LBA-005-JAV</v>
      </c>
      <c r="J389" s="66" t="s">
        <v>195</v>
      </c>
      <c r="K389" s="33" t="s">
        <v>196</v>
      </c>
      <c r="L389" s="10">
        <v>896</v>
      </c>
      <c r="M389" s="10">
        <v>82162</v>
      </c>
      <c r="N389" s="66">
        <v>560</v>
      </c>
      <c r="O389" s="68">
        <v>45020</v>
      </c>
      <c r="P389" s="93">
        <f>Table46[[#This Row],[GROSS WT KGS]]-Table46[[#This Row],[SACS]]</f>
        <v>44460</v>
      </c>
      <c r="Q389" s="66">
        <v>536</v>
      </c>
      <c r="R389" s="67">
        <v>0</v>
      </c>
      <c r="S389" s="66">
        <v>24</v>
      </c>
      <c r="T389" s="10">
        <f t="shared" si="42"/>
        <v>96</v>
      </c>
      <c r="U389" s="68">
        <f>Table46[[#This Row],[NET WT KGS]]-Table46[[#This Row],[Refraction]]</f>
        <v>44364</v>
      </c>
      <c r="V389" s="69">
        <v>480</v>
      </c>
      <c r="W389" s="69">
        <f>Table46[[#This Row],[PRICE]]*Table46[[#This Row],[PAID WT]]</f>
        <v>21294720</v>
      </c>
      <c r="X389" s="70">
        <v>10</v>
      </c>
      <c r="Y389" s="71">
        <v>185</v>
      </c>
      <c r="Z389" s="70">
        <v>44.17</v>
      </c>
      <c r="AA389" s="72"/>
      <c r="AB389" s="66" t="s">
        <v>132</v>
      </c>
      <c r="AC389" s="73"/>
      <c r="AD389" s="63" t="s">
        <v>587</v>
      </c>
      <c r="AE389" s="18">
        <f>Table46[[#This Row],[MOIS.]]*Table46[[#This Row],[NET WT KGS]]</f>
        <v>444600</v>
      </c>
      <c r="AF389" s="18">
        <f>Table46[[#This Row],[KOR]]*Table46[[#This Row],[NET WT KGS]]</f>
        <v>1963798.2000000002</v>
      </c>
      <c r="AG389">
        <f>Table46[[#This Row],[NET WT KGS]]*Table46[[#This Row],[NUT COUNT]]</f>
        <v>8225100</v>
      </c>
    </row>
    <row r="390" spans="1:33" x14ac:dyDescent="0.35">
      <c r="A390" s="32">
        <f t="shared" si="43"/>
        <v>388</v>
      </c>
      <c r="B390" s="20">
        <v>46104</v>
      </c>
      <c r="C390" s="65">
        <v>46104</v>
      </c>
      <c r="D390" s="10" t="s">
        <v>38</v>
      </c>
      <c r="E390" s="66" t="s">
        <v>39</v>
      </c>
      <c r="F390" s="50" t="s">
        <v>40</v>
      </c>
      <c r="G390" s="66" t="s">
        <v>86</v>
      </c>
      <c r="H390" s="50" t="s">
        <v>105</v>
      </c>
      <c r="I390" s="50" t="str">
        <f>VLOOKUP(Table46[[#This Row],[SUPPLIERS NAME]],[1]AGING!X$3:Y$30,2,)</f>
        <v>LBA-014-BAY</v>
      </c>
      <c r="J390" s="66" t="s">
        <v>167</v>
      </c>
      <c r="K390" s="33" t="s">
        <v>108</v>
      </c>
      <c r="L390" s="66">
        <v>133</v>
      </c>
      <c r="M390" s="10">
        <v>78072</v>
      </c>
      <c r="N390" s="66">
        <v>196</v>
      </c>
      <c r="O390" s="68">
        <f t="shared" ref="O390:O396" si="44">P390+N390</f>
        <v>18140</v>
      </c>
      <c r="P390" s="93">
        <v>17944</v>
      </c>
      <c r="Q390" s="66">
        <v>191</v>
      </c>
      <c r="R390" s="67">
        <v>0</v>
      </c>
      <c r="S390" s="66">
        <v>5</v>
      </c>
      <c r="T390" s="10">
        <f t="shared" si="42"/>
        <v>20</v>
      </c>
      <c r="U390" s="68">
        <f>Table46[[#This Row],[NET WT KGS]]-Table46[[#This Row],[Refraction]]</f>
        <v>17924</v>
      </c>
      <c r="V390" s="69">
        <v>490</v>
      </c>
      <c r="W390" s="69">
        <f>Table46[[#This Row],[PRICE]]*Table46[[#This Row],[PAID WT]]</f>
        <v>8782760</v>
      </c>
      <c r="X390" s="70">
        <v>10.1</v>
      </c>
      <c r="Y390" s="71">
        <v>163</v>
      </c>
      <c r="Z390" s="70">
        <v>46.56</v>
      </c>
      <c r="AA390" s="72"/>
      <c r="AB390" s="66" t="s">
        <v>367</v>
      </c>
      <c r="AC390" s="73"/>
      <c r="AD390" s="63" t="s">
        <v>587</v>
      </c>
      <c r="AE390" s="18">
        <f>Table46[[#This Row],[MOIS.]]*Table46[[#This Row],[NET WT KGS]]</f>
        <v>181234.4</v>
      </c>
      <c r="AF390" s="18">
        <f>Table46[[#This Row],[KOR]]*Table46[[#This Row],[NET WT KGS]]</f>
        <v>835472.64</v>
      </c>
      <c r="AG390">
        <f>Table46[[#This Row],[NET WT KGS]]*Table46[[#This Row],[NUT COUNT]]</f>
        <v>2924872</v>
      </c>
    </row>
    <row r="391" spans="1:33" x14ac:dyDescent="0.35">
      <c r="A391" s="32">
        <f t="shared" si="43"/>
        <v>389</v>
      </c>
      <c r="B391" s="20">
        <v>46104</v>
      </c>
      <c r="C391" s="65">
        <v>46104</v>
      </c>
      <c r="D391" s="10" t="s">
        <v>38</v>
      </c>
      <c r="E391" s="66" t="s">
        <v>258</v>
      </c>
      <c r="F391" s="50" t="s">
        <v>40</v>
      </c>
      <c r="G391" s="66" t="s">
        <v>350</v>
      </c>
      <c r="H391" s="50" t="s">
        <v>364</v>
      </c>
      <c r="I391" s="50" t="str">
        <f>VLOOKUP(Table46[[#This Row],[SUPPLIERS NAME]],[1]AGING!X$3:Y$70,2,)</f>
        <v>DIS-007-SPA</v>
      </c>
      <c r="J391" s="66" t="s">
        <v>589</v>
      </c>
      <c r="K391" s="77" t="s">
        <v>426</v>
      </c>
      <c r="L391" s="102">
        <v>135</v>
      </c>
      <c r="M391" s="10">
        <v>84373</v>
      </c>
      <c r="N391" s="66">
        <v>457</v>
      </c>
      <c r="O391" s="68">
        <f t="shared" si="44"/>
        <v>40400</v>
      </c>
      <c r="P391" s="93">
        <v>39943</v>
      </c>
      <c r="Q391" s="66">
        <v>446</v>
      </c>
      <c r="R391" s="67">
        <v>0</v>
      </c>
      <c r="S391" s="66">
        <v>11</v>
      </c>
      <c r="T391" s="10">
        <f t="shared" si="42"/>
        <v>44</v>
      </c>
      <c r="U391" s="68">
        <f>Table46[[#This Row],[NET WT KGS]]-Table46[[#This Row],[Refraction]]</f>
        <v>39899</v>
      </c>
      <c r="V391" s="69">
        <v>490</v>
      </c>
      <c r="W391" s="69">
        <f>Table46[[#This Row],[PRICE]]*Table46[[#This Row],[PAID WT]]</f>
        <v>19550510</v>
      </c>
      <c r="X391" s="70">
        <v>9.6</v>
      </c>
      <c r="Y391" s="71">
        <v>165</v>
      </c>
      <c r="Z391" s="70">
        <v>45.06</v>
      </c>
      <c r="AA391" s="72"/>
      <c r="AB391" s="66" t="s">
        <v>367</v>
      </c>
      <c r="AC391" s="73"/>
      <c r="AD391" s="63" t="s">
        <v>587</v>
      </c>
      <c r="AE391" s="18">
        <f>Table46[[#This Row],[MOIS.]]*Table46[[#This Row],[NET WT KGS]]</f>
        <v>383452.8</v>
      </c>
      <c r="AF391" s="18">
        <f>Table46[[#This Row],[KOR]]*Table46[[#This Row],[NET WT KGS]]</f>
        <v>1799831.58</v>
      </c>
      <c r="AG391">
        <f>Table46[[#This Row],[NET WT KGS]]*Table46[[#This Row],[NUT COUNT]]</f>
        <v>6590595</v>
      </c>
    </row>
    <row r="392" spans="1:33" x14ac:dyDescent="0.35">
      <c r="A392" s="32">
        <f t="shared" si="43"/>
        <v>390</v>
      </c>
      <c r="B392" s="35">
        <v>46104</v>
      </c>
      <c r="C392" s="91">
        <f>Table46[[#This Row],[DATE OF ARRIVAL]]</f>
        <v>46104</v>
      </c>
      <c r="D392" s="36" t="s">
        <v>38</v>
      </c>
      <c r="E392" s="74" t="s">
        <v>39</v>
      </c>
      <c r="F392" s="36" t="s">
        <v>40</v>
      </c>
      <c r="G392" s="74"/>
      <c r="H392" s="36" t="s">
        <v>42</v>
      </c>
      <c r="I392" s="36" t="str">
        <f>VLOOKUP(Table46[[#This Row],[SUPPLIERS NAME]],[1]AGING!X$3:Y$30,2,)</f>
        <v>LBA-006-IMA</v>
      </c>
      <c r="J392" s="74" t="s">
        <v>114</v>
      </c>
      <c r="K392" s="74"/>
      <c r="L392" s="74"/>
      <c r="M392" s="36"/>
      <c r="N392" s="74"/>
      <c r="O392" s="79">
        <f t="shared" si="44"/>
        <v>0</v>
      </c>
      <c r="P392" s="79"/>
      <c r="Q392" s="74"/>
      <c r="R392" s="74"/>
      <c r="S392" s="74"/>
      <c r="T392" s="36"/>
      <c r="U392" s="79">
        <f>Table46[[#This Row],[NET WT KGS]]-Table46[[#This Row],[Refraction]]</f>
        <v>0</v>
      </c>
      <c r="V392" s="105"/>
      <c r="W392" s="81">
        <f>Table46[[#This Row],[PRICE]]*Table46[[#This Row],[PAID WT]]</f>
        <v>0</v>
      </c>
      <c r="X392" s="82">
        <v>13</v>
      </c>
      <c r="Y392" s="83">
        <v>155</v>
      </c>
      <c r="Z392" s="82">
        <v>42.68</v>
      </c>
      <c r="AA392" s="84"/>
      <c r="AB392" s="74" t="s">
        <v>367</v>
      </c>
      <c r="AC392" s="92" t="s">
        <v>70</v>
      </c>
      <c r="AD392" s="99"/>
      <c r="AE392" s="18">
        <f>Table46[[#This Row],[MOIS.]]*Table46[[#This Row],[NET WT KGS]]</f>
        <v>0</v>
      </c>
      <c r="AF392" s="18">
        <f>Table46[[#This Row],[KOR]]*Table46[[#This Row],[NET WT KGS]]</f>
        <v>0</v>
      </c>
      <c r="AG392">
        <f>Table46[[#This Row],[NET WT KGS]]*Table46[[#This Row],[NUT COUNT]]</f>
        <v>0</v>
      </c>
    </row>
    <row r="393" spans="1:33" x14ac:dyDescent="0.35">
      <c r="A393" s="32">
        <f t="shared" si="43"/>
        <v>391</v>
      </c>
      <c r="B393" s="35">
        <v>46104</v>
      </c>
      <c r="C393" s="35">
        <f>Table46[[#This Row],[DATE OF ARRIVAL]]</f>
        <v>46104</v>
      </c>
      <c r="D393" s="36" t="s">
        <v>38</v>
      </c>
      <c r="E393" s="74" t="s">
        <v>39</v>
      </c>
      <c r="F393" s="36" t="s">
        <v>40</v>
      </c>
      <c r="G393" s="74"/>
      <c r="H393" s="36" t="s">
        <v>235</v>
      </c>
      <c r="I393" s="36" t="s">
        <v>236</v>
      </c>
      <c r="J393" s="74" t="s">
        <v>590</v>
      </c>
      <c r="K393" s="74"/>
      <c r="L393" s="74"/>
      <c r="M393" s="36"/>
      <c r="N393" s="74"/>
      <c r="O393" s="79">
        <f t="shared" si="44"/>
        <v>0</v>
      </c>
      <c r="P393" s="79"/>
      <c r="Q393" s="74"/>
      <c r="R393" s="74"/>
      <c r="S393" s="74"/>
      <c r="T393" s="36"/>
      <c r="U393" s="79">
        <f>Table46[[#This Row],[NET WT KGS]]-Table46[[#This Row],[Refraction]]</f>
        <v>0</v>
      </c>
      <c r="V393" s="105"/>
      <c r="W393" s="81">
        <f>Table46[[#This Row],[PRICE]]*Table46[[#This Row],[PAID WT]]</f>
        <v>0</v>
      </c>
      <c r="X393" s="82">
        <v>7</v>
      </c>
      <c r="Y393" s="83">
        <v>178</v>
      </c>
      <c r="Z393" s="82">
        <v>43.21</v>
      </c>
      <c r="AA393" s="84"/>
      <c r="AB393" s="74" t="s">
        <v>580</v>
      </c>
      <c r="AC393" s="42" t="s">
        <v>70</v>
      </c>
      <c r="AD393" s="99"/>
      <c r="AE393" s="18">
        <f>Table46[[#This Row],[MOIS.]]*Table46[[#This Row],[NET WT KGS]]</f>
        <v>0</v>
      </c>
      <c r="AF393" s="18">
        <f>Table46[[#This Row],[KOR]]*Table46[[#This Row],[NET WT KGS]]</f>
        <v>0</v>
      </c>
      <c r="AG393">
        <f>Table46[[#This Row],[NET WT KGS]]*Table46[[#This Row],[NUT COUNT]]</f>
        <v>0</v>
      </c>
    </row>
    <row r="394" spans="1:33" x14ac:dyDescent="0.35">
      <c r="A394" s="32">
        <f t="shared" si="43"/>
        <v>392</v>
      </c>
      <c r="B394" s="35">
        <v>46104</v>
      </c>
      <c r="C394" s="35">
        <f>Table46[[#This Row],[DATE OF ARRIVAL]]</f>
        <v>46104</v>
      </c>
      <c r="D394" s="36" t="s">
        <v>38</v>
      </c>
      <c r="E394" s="74" t="s">
        <v>39</v>
      </c>
      <c r="F394" s="36" t="s">
        <v>40</v>
      </c>
      <c r="G394" s="74"/>
      <c r="H394" s="36" t="s">
        <v>94</v>
      </c>
      <c r="I394" s="74" t="s">
        <v>95</v>
      </c>
      <c r="J394" s="74" t="s">
        <v>304</v>
      </c>
      <c r="K394" s="74"/>
      <c r="L394" s="74"/>
      <c r="M394" s="74"/>
      <c r="N394" s="74"/>
      <c r="O394" s="79">
        <f t="shared" si="44"/>
        <v>0</v>
      </c>
      <c r="P394" s="79"/>
      <c r="Q394" s="74"/>
      <c r="R394" s="74"/>
      <c r="S394" s="74"/>
      <c r="T394" s="36"/>
      <c r="U394" s="79">
        <f>Table46[[#This Row],[NET WT KGS]]-Table46[[#This Row],[Refraction]]</f>
        <v>0</v>
      </c>
      <c r="V394" s="105"/>
      <c r="W394" s="81">
        <f>Table46[[#This Row],[PRICE]]*Table46[[#This Row],[PAID WT]]</f>
        <v>0</v>
      </c>
      <c r="X394" s="82">
        <v>10.1</v>
      </c>
      <c r="Y394" s="83">
        <v>164</v>
      </c>
      <c r="Z394" s="82">
        <v>41.62</v>
      </c>
      <c r="AA394" s="84"/>
      <c r="AB394" s="36" t="s">
        <v>78</v>
      </c>
      <c r="AC394" s="42" t="s">
        <v>70</v>
      </c>
      <c r="AD394" s="99"/>
      <c r="AE394" s="18">
        <f>Table46[[#This Row],[MOIS.]]*Table46[[#This Row],[NET WT KGS]]</f>
        <v>0</v>
      </c>
      <c r="AF394" s="18">
        <f>Table46[[#This Row],[KOR]]*Table46[[#This Row],[NET WT KGS]]</f>
        <v>0</v>
      </c>
      <c r="AG394">
        <f>Table46[[#This Row],[NET WT KGS]]*Table46[[#This Row],[NUT COUNT]]</f>
        <v>0</v>
      </c>
    </row>
    <row r="395" spans="1:33" x14ac:dyDescent="0.35">
      <c r="A395" s="32">
        <f t="shared" si="43"/>
        <v>393</v>
      </c>
      <c r="B395" s="35">
        <v>46104</v>
      </c>
      <c r="C395" s="35">
        <f>Table46[[#This Row],[DATE OF ARRIVAL]]</f>
        <v>46104</v>
      </c>
      <c r="D395" s="36" t="s">
        <v>38</v>
      </c>
      <c r="E395" s="36" t="s">
        <v>39</v>
      </c>
      <c r="F395" s="36" t="s">
        <v>40</v>
      </c>
      <c r="G395" s="36"/>
      <c r="H395" s="36" t="s">
        <v>215</v>
      </c>
      <c r="I395" s="36" t="s">
        <v>216</v>
      </c>
      <c r="J395" s="36" t="s">
        <v>591</v>
      </c>
      <c r="K395" s="74"/>
      <c r="L395" s="36"/>
      <c r="M395" s="36"/>
      <c r="N395" s="36"/>
      <c r="O395" s="37">
        <f t="shared" si="44"/>
        <v>0</v>
      </c>
      <c r="P395" s="37"/>
      <c r="Q395" s="36"/>
      <c r="R395" s="74"/>
      <c r="S395" s="36"/>
      <c r="T395" s="36"/>
      <c r="U395" s="37">
        <f>Table46[[#This Row],[NET WT KGS]]-Table46[[#This Row],[Refraction]]</f>
        <v>0</v>
      </c>
      <c r="V395" s="47"/>
      <c r="W395" s="38">
        <f>Table46[[#This Row],[PRICE]]*Table46[[#This Row],[PAID WT]]</f>
        <v>0</v>
      </c>
      <c r="X395" s="39">
        <v>11.5</v>
      </c>
      <c r="Y395" s="40">
        <v>151</v>
      </c>
      <c r="Z395" s="39">
        <v>43.03</v>
      </c>
      <c r="AA395" s="41"/>
      <c r="AB395" s="36" t="s">
        <v>40</v>
      </c>
      <c r="AC395" s="42" t="s">
        <v>70</v>
      </c>
      <c r="AD395" s="99"/>
      <c r="AE395" s="18">
        <f>Table46[[#This Row],[MOIS.]]*Table46[[#This Row],[NET WT KGS]]</f>
        <v>0</v>
      </c>
      <c r="AF395" s="18">
        <f>Table46[[#This Row],[KOR]]*Table46[[#This Row],[NET WT KGS]]</f>
        <v>0</v>
      </c>
      <c r="AG395">
        <f>Table46[[#This Row],[NET WT KGS]]*Table46[[#This Row],[NUT COUNT]]</f>
        <v>0</v>
      </c>
    </row>
    <row r="396" spans="1:33" x14ac:dyDescent="0.35">
      <c r="A396" s="32">
        <f t="shared" si="43"/>
        <v>394</v>
      </c>
      <c r="B396" s="20">
        <v>46102</v>
      </c>
      <c r="C396" s="20">
        <v>46105</v>
      </c>
      <c r="D396" s="10" t="s">
        <v>38</v>
      </c>
      <c r="E396" s="10" t="s">
        <v>39</v>
      </c>
      <c r="F396" s="50" t="s">
        <v>40</v>
      </c>
      <c r="G396" s="10" t="s">
        <v>41</v>
      </c>
      <c r="H396" s="10" t="s">
        <v>154</v>
      </c>
      <c r="I396" s="67" t="str">
        <f>VLOOKUP(Table46[[#This Row],[SUPPLIERS NAME]],[1]AGING!X$3:Y$30,2,)</f>
        <v>LBA-010-CAP</v>
      </c>
      <c r="J396" s="10" t="s">
        <v>592</v>
      </c>
      <c r="K396" s="33" t="s">
        <v>157</v>
      </c>
      <c r="L396" s="10">
        <v>136</v>
      </c>
      <c r="M396" s="10">
        <v>82767</v>
      </c>
      <c r="N396" s="10">
        <v>661</v>
      </c>
      <c r="O396" s="22">
        <f t="shared" si="44"/>
        <v>50360</v>
      </c>
      <c r="P396" s="22">
        <v>49699</v>
      </c>
      <c r="Q396" s="10">
        <v>651</v>
      </c>
      <c r="R396" s="67">
        <v>0</v>
      </c>
      <c r="S396" s="10">
        <v>10</v>
      </c>
      <c r="T396" s="10">
        <f>S396*4+R396*40</f>
        <v>40</v>
      </c>
      <c r="U396" s="22">
        <f>Table46[[#This Row],[NET WT KGS]]-Table46[[#This Row],[Refraction]]</f>
        <v>49659</v>
      </c>
      <c r="V396" s="23">
        <v>485</v>
      </c>
      <c r="W396" s="23">
        <f>Table46[[#This Row],[PRICE]]*Table46[[#This Row],[PAID WT]]</f>
        <v>24084615</v>
      </c>
      <c r="X396" s="24">
        <v>9.3000000000000007</v>
      </c>
      <c r="Y396" s="25">
        <v>179</v>
      </c>
      <c r="Z396" s="24">
        <v>45.15</v>
      </c>
      <c r="AA396" s="26"/>
      <c r="AB396" s="10" t="s">
        <v>40</v>
      </c>
      <c r="AC396" s="27"/>
      <c r="AD396" s="63" t="s">
        <v>587</v>
      </c>
      <c r="AE396" s="18">
        <f>Table46[[#This Row],[MOIS.]]*Table46[[#This Row],[NET WT KGS]]</f>
        <v>462200.7</v>
      </c>
      <c r="AF396" s="18">
        <f>Table46[[#This Row],[KOR]]*Table46[[#This Row],[NET WT KGS]]</f>
        <v>2243909.85</v>
      </c>
      <c r="AG396">
        <f>Table46[[#This Row],[NET WT KGS]]*Table46[[#This Row],[NUT COUNT]]</f>
        <v>8896121</v>
      </c>
    </row>
    <row r="397" spans="1:33" x14ac:dyDescent="0.35">
      <c r="A397" s="32">
        <f t="shared" si="43"/>
        <v>395</v>
      </c>
      <c r="B397" s="20">
        <v>46104</v>
      </c>
      <c r="C397" s="20">
        <v>46105</v>
      </c>
      <c r="D397" s="10" t="s">
        <v>38</v>
      </c>
      <c r="E397" s="10" t="s">
        <v>39</v>
      </c>
      <c r="F397" s="50" t="s">
        <v>62</v>
      </c>
      <c r="G397" s="10"/>
      <c r="H397" s="10" t="s">
        <v>128</v>
      </c>
      <c r="I397" s="67" t="str">
        <f>VLOOKUP(Table46[[#This Row],[SUPPLIERS NAME]],[1]AGING!X$3:Y$30,2,)</f>
        <v>LBA-002-SCA</v>
      </c>
      <c r="J397" s="10" t="s">
        <v>593</v>
      </c>
      <c r="K397" s="33" t="s">
        <v>131</v>
      </c>
      <c r="L397" s="10">
        <v>898</v>
      </c>
      <c r="M397" s="10">
        <v>82110</v>
      </c>
      <c r="N397" s="10">
        <v>785</v>
      </c>
      <c r="O397" s="22">
        <v>53940</v>
      </c>
      <c r="P397" s="51">
        <f>Table46[[#This Row],[GROSS WT KGS]]-Table46[[#This Row],[SACS]]</f>
        <v>53155</v>
      </c>
      <c r="Q397" s="10">
        <v>762</v>
      </c>
      <c r="R397" s="67">
        <v>0</v>
      </c>
      <c r="S397" s="10">
        <v>23</v>
      </c>
      <c r="T397" s="10">
        <f>S397*4+R397*40</f>
        <v>92</v>
      </c>
      <c r="U397" s="22">
        <f>Table46[[#This Row],[NET WT KGS]]-Table46[[#This Row],[Refraction]]</f>
        <v>53063</v>
      </c>
      <c r="V397" s="48">
        <v>485</v>
      </c>
      <c r="W397" s="23">
        <f>Table46[[#This Row],[PRICE]]*Table46[[#This Row],[PAID WT]]</f>
        <v>25735555</v>
      </c>
      <c r="X397" s="24">
        <v>9.3000000000000007</v>
      </c>
      <c r="Y397" s="25">
        <v>185</v>
      </c>
      <c r="Z397" s="24">
        <v>44.52</v>
      </c>
      <c r="AA397" s="26"/>
      <c r="AB397" s="10" t="s">
        <v>132</v>
      </c>
      <c r="AC397" s="27"/>
      <c r="AD397" s="63" t="s">
        <v>587</v>
      </c>
      <c r="AE397" s="18">
        <f>Table46[[#This Row],[MOIS.]]*Table46[[#This Row],[NET WT KGS]]</f>
        <v>494341.50000000006</v>
      </c>
      <c r="AF397" s="18">
        <f>Table46[[#This Row],[KOR]]*Table46[[#This Row],[NET WT KGS]]</f>
        <v>2366460.6</v>
      </c>
      <c r="AG397">
        <f>Table46[[#This Row],[NET WT KGS]]*Table46[[#This Row],[NUT COUNT]]</f>
        <v>9833675</v>
      </c>
    </row>
    <row r="398" spans="1:33" x14ac:dyDescent="0.35">
      <c r="A398" s="32">
        <f t="shared" si="43"/>
        <v>396</v>
      </c>
      <c r="B398" s="20">
        <v>46105</v>
      </c>
      <c r="C398" s="20">
        <v>46105</v>
      </c>
      <c r="D398" s="10" t="s">
        <v>38</v>
      </c>
      <c r="E398" s="10" t="s">
        <v>258</v>
      </c>
      <c r="F398" s="50" t="s">
        <v>40</v>
      </c>
      <c r="G398" s="10" t="s">
        <v>41</v>
      </c>
      <c r="H398" s="50" t="s">
        <v>362</v>
      </c>
      <c r="I398" s="67" t="str">
        <f>VLOOKUP(Table46[[#This Row],[SUPPLIERS NAME]],[1]AGING!X$3:Y$70,2,)</f>
        <v>DIS-001-SCO</v>
      </c>
      <c r="J398" s="10" t="s">
        <v>463</v>
      </c>
      <c r="K398" s="57" t="s">
        <v>370</v>
      </c>
      <c r="L398" s="10">
        <v>137</v>
      </c>
      <c r="M398" s="10">
        <v>87009</v>
      </c>
      <c r="N398" s="10">
        <v>194</v>
      </c>
      <c r="O398" s="22">
        <f>P398+N398</f>
        <v>17220</v>
      </c>
      <c r="P398" s="22">
        <v>17026</v>
      </c>
      <c r="Q398" s="10">
        <v>189</v>
      </c>
      <c r="R398" s="67">
        <v>0</v>
      </c>
      <c r="S398" s="10">
        <v>5</v>
      </c>
      <c r="T398" s="10">
        <f>S398*4+R398*40</f>
        <v>20</v>
      </c>
      <c r="U398" s="22">
        <f>Table46[[#This Row],[NET WT KGS]]-Table46[[#This Row],[Refraction]]</f>
        <v>17006</v>
      </c>
      <c r="V398" s="23">
        <v>490</v>
      </c>
      <c r="W398" s="23">
        <f>Table46[[#This Row],[PRICE]]*Table46[[#This Row],[PAID WT]]</f>
        <v>8332940</v>
      </c>
      <c r="X398" s="24">
        <v>9.3000000000000007</v>
      </c>
      <c r="Y398" s="25">
        <v>170</v>
      </c>
      <c r="Z398" s="24">
        <v>45.15</v>
      </c>
      <c r="AA398" s="26"/>
      <c r="AB398" s="10" t="s">
        <v>367</v>
      </c>
      <c r="AC398" s="27"/>
      <c r="AD398" s="63" t="s">
        <v>587</v>
      </c>
      <c r="AE398" s="18">
        <f>Table46[[#This Row],[MOIS.]]*Table46[[#This Row],[NET WT KGS]]</f>
        <v>158341.80000000002</v>
      </c>
      <c r="AF398" s="18">
        <f>Table46[[#This Row],[KOR]]*Table46[[#This Row],[NET WT KGS]]</f>
        <v>768723.9</v>
      </c>
      <c r="AG398">
        <f>Table46[[#This Row],[NET WT KGS]]*Table46[[#This Row],[NUT COUNT]]</f>
        <v>2894420</v>
      </c>
    </row>
    <row r="399" spans="1:33" x14ac:dyDescent="0.35">
      <c r="A399" s="32">
        <f t="shared" si="43"/>
        <v>397</v>
      </c>
      <c r="B399" s="20">
        <v>46105</v>
      </c>
      <c r="C399" s="20">
        <v>46105</v>
      </c>
      <c r="D399" s="10" t="s">
        <v>38</v>
      </c>
      <c r="E399" s="10" t="s">
        <v>39</v>
      </c>
      <c r="F399" s="50" t="s">
        <v>40</v>
      </c>
      <c r="G399" s="10" t="s">
        <v>41</v>
      </c>
      <c r="H399" s="10" t="s">
        <v>154</v>
      </c>
      <c r="I399" s="50" t="str">
        <f>VLOOKUP(Table46[[#This Row],[SUPPLIERS NAME]],[1]AGING!X$3:Y$30,2,)</f>
        <v>LBA-010-CAP</v>
      </c>
      <c r="J399" s="10" t="s">
        <v>453</v>
      </c>
      <c r="K399" s="33" t="s">
        <v>157</v>
      </c>
      <c r="L399" s="10">
        <v>138</v>
      </c>
      <c r="M399" s="10">
        <v>82770</v>
      </c>
      <c r="N399" s="10">
        <v>601</v>
      </c>
      <c r="O399" s="22">
        <f>P399+N399</f>
        <v>47560</v>
      </c>
      <c r="P399" s="22">
        <v>46959</v>
      </c>
      <c r="Q399" s="10">
        <v>601</v>
      </c>
      <c r="R399" s="67">
        <v>0</v>
      </c>
      <c r="S399" s="10">
        <v>0</v>
      </c>
      <c r="T399" s="10">
        <f>S399*4+R399*40</f>
        <v>0</v>
      </c>
      <c r="U399" s="22">
        <f>Table46[[#This Row],[NET WT KGS]]-Table46[[#This Row],[Refraction]]</f>
        <v>46959</v>
      </c>
      <c r="V399" s="23">
        <v>485</v>
      </c>
      <c r="W399" s="23">
        <f>Table46[[#This Row],[PRICE]]*Table46[[#This Row],[PAID WT]]</f>
        <v>22775115</v>
      </c>
      <c r="X399" s="24">
        <v>9.3000000000000007</v>
      </c>
      <c r="Y399" s="25">
        <v>172</v>
      </c>
      <c r="Z399" s="24">
        <v>45.5</v>
      </c>
      <c r="AA399" s="26"/>
      <c r="AB399" s="10" t="s">
        <v>284</v>
      </c>
      <c r="AC399" s="27"/>
      <c r="AD399" s="63" t="s">
        <v>587</v>
      </c>
      <c r="AE399" s="18">
        <f>Table46[[#This Row],[MOIS.]]*Table46[[#This Row],[NET WT KGS]]</f>
        <v>436718.7</v>
      </c>
      <c r="AF399" s="18">
        <f>Table46[[#This Row],[KOR]]*Table46[[#This Row],[NET WT KGS]]</f>
        <v>2136634.5</v>
      </c>
      <c r="AG399">
        <f>Table46[[#This Row],[NET WT KGS]]*Table46[[#This Row],[NUT COUNT]]</f>
        <v>8076948</v>
      </c>
    </row>
    <row r="400" spans="1:33" x14ac:dyDescent="0.35">
      <c r="A400" s="32">
        <f t="shared" si="43"/>
        <v>398</v>
      </c>
      <c r="B400" s="20">
        <v>46105</v>
      </c>
      <c r="C400" s="20">
        <v>46105</v>
      </c>
      <c r="D400" s="10" t="s">
        <v>38</v>
      </c>
      <c r="E400" s="10" t="s">
        <v>39</v>
      </c>
      <c r="F400" s="50" t="s">
        <v>62</v>
      </c>
      <c r="G400" s="10"/>
      <c r="H400" s="10" t="s">
        <v>128</v>
      </c>
      <c r="I400" s="50" t="str">
        <f>VLOOKUP(Table46[[#This Row],[SUPPLIERS NAME]],[1]AGING!X$3:Y$30,2,)</f>
        <v>LBA-002-SCA</v>
      </c>
      <c r="J400" s="10" t="s">
        <v>529</v>
      </c>
      <c r="K400" s="33" t="s">
        <v>131</v>
      </c>
      <c r="L400" s="10">
        <v>897</v>
      </c>
      <c r="M400" s="10">
        <v>82477</v>
      </c>
      <c r="N400" s="10">
        <v>650</v>
      </c>
      <c r="O400" s="22">
        <v>52520</v>
      </c>
      <c r="P400" s="51">
        <f>Table46[[#This Row],[GROSS WT KGS]]-Table46[[#This Row],[SACS]]</f>
        <v>51870</v>
      </c>
      <c r="Q400" s="10">
        <v>627</v>
      </c>
      <c r="R400" s="67">
        <v>0</v>
      </c>
      <c r="S400" s="10">
        <v>23</v>
      </c>
      <c r="T400" s="10">
        <f>S400*4+R400*40</f>
        <v>92</v>
      </c>
      <c r="U400" s="22">
        <f>Table46[[#This Row],[NET WT KGS]]-Table46[[#This Row],[Refraction]]</f>
        <v>51778</v>
      </c>
      <c r="V400" s="48">
        <v>485</v>
      </c>
      <c r="W400" s="23">
        <f>Table46[[#This Row],[PRICE]]*Table46[[#This Row],[PAID WT]]</f>
        <v>25112330</v>
      </c>
      <c r="X400" s="24">
        <v>9.8000000000000007</v>
      </c>
      <c r="Y400" s="25">
        <v>184</v>
      </c>
      <c r="Z400" s="24">
        <v>44.08</v>
      </c>
      <c r="AA400" s="26"/>
      <c r="AB400" s="10" t="s">
        <v>132</v>
      </c>
      <c r="AC400" s="27"/>
      <c r="AD400" s="63" t="s">
        <v>587</v>
      </c>
      <c r="AE400" s="18">
        <f>Table46[[#This Row],[MOIS.]]*Table46[[#This Row],[NET WT KGS]]</f>
        <v>508326.00000000006</v>
      </c>
      <c r="AF400" s="18">
        <f>Table46[[#This Row],[KOR]]*Table46[[#This Row],[NET WT KGS]]</f>
        <v>2286429.6</v>
      </c>
      <c r="AG400">
        <f>Table46[[#This Row],[NET WT KGS]]*Table46[[#This Row],[NUT COUNT]]</f>
        <v>9544080</v>
      </c>
    </row>
    <row r="401" spans="1:33" x14ac:dyDescent="0.35">
      <c r="A401" s="32">
        <f t="shared" si="43"/>
        <v>399</v>
      </c>
      <c r="B401" s="35">
        <v>46105</v>
      </c>
      <c r="C401" s="35">
        <f>Table46[[#This Row],[DATE OF ARRIVAL]]</f>
        <v>46105</v>
      </c>
      <c r="D401" s="36" t="s">
        <v>38</v>
      </c>
      <c r="E401" s="36" t="s">
        <v>39</v>
      </c>
      <c r="F401" s="36" t="s">
        <v>40</v>
      </c>
      <c r="G401" s="36"/>
      <c r="H401" s="36" t="s">
        <v>235</v>
      </c>
      <c r="I401" s="36" t="s">
        <v>236</v>
      </c>
      <c r="J401" s="36" t="s">
        <v>594</v>
      </c>
      <c r="K401" s="74"/>
      <c r="L401" s="36"/>
      <c r="M401" s="36"/>
      <c r="N401" s="36"/>
      <c r="O401" s="37">
        <f>P401+N401</f>
        <v>0</v>
      </c>
      <c r="P401" s="37"/>
      <c r="Q401" s="36"/>
      <c r="R401" s="74"/>
      <c r="S401" s="36"/>
      <c r="T401" s="36"/>
      <c r="U401" s="37">
        <f>Table46[[#This Row],[NET WT KGS]]-Table46[[#This Row],[Refraction]]</f>
        <v>0</v>
      </c>
      <c r="V401" s="47"/>
      <c r="W401" s="38">
        <f>Table46[[#This Row],[PRICE]]*Table46[[#This Row],[PAID WT]]</f>
        <v>0</v>
      </c>
      <c r="X401" s="39">
        <v>8.6</v>
      </c>
      <c r="Y401" s="40">
        <v>165</v>
      </c>
      <c r="Z401" s="39">
        <v>41.97</v>
      </c>
      <c r="AA401" s="41"/>
      <c r="AB401" s="36" t="s">
        <v>46</v>
      </c>
      <c r="AC401" s="42" t="s">
        <v>70</v>
      </c>
      <c r="AD401" s="99"/>
      <c r="AE401" s="18">
        <f>Table46[[#This Row],[MOIS.]]*Table46[[#This Row],[NET WT KGS]]</f>
        <v>0</v>
      </c>
      <c r="AF401" s="18">
        <f>Table46[[#This Row],[KOR]]*Table46[[#This Row],[NET WT KGS]]</f>
        <v>0</v>
      </c>
      <c r="AG401">
        <f>Table46[[#This Row],[NET WT KGS]]*Table46[[#This Row],[NUT COUNT]]</f>
        <v>0</v>
      </c>
    </row>
    <row r="402" spans="1:33" x14ac:dyDescent="0.35">
      <c r="A402" s="32">
        <f t="shared" si="43"/>
        <v>400</v>
      </c>
      <c r="B402" s="35">
        <v>46105</v>
      </c>
      <c r="C402" s="35">
        <f>Table46[[#This Row],[DATE OF ARRIVAL]]</f>
        <v>46105</v>
      </c>
      <c r="D402" s="36" t="s">
        <v>38</v>
      </c>
      <c r="E402" s="36" t="s">
        <v>39</v>
      </c>
      <c r="F402" s="36" t="s">
        <v>40</v>
      </c>
      <c r="G402" s="36"/>
      <c r="H402" s="36" t="s">
        <v>74</v>
      </c>
      <c r="I402" s="36" t="s">
        <v>75</v>
      </c>
      <c r="J402" s="36" t="s">
        <v>76</v>
      </c>
      <c r="K402" s="74"/>
      <c r="L402" s="36"/>
      <c r="M402" s="36"/>
      <c r="N402" s="36"/>
      <c r="O402" s="37">
        <f>P402+N402</f>
        <v>0</v>
      </c>
      <c r="P402" s="37"/>
      <c r="Q402" s="36"/>
      <c r="R402" s="74"/>
      <c r="S402" s="36"/>
      <c r="T402" s="36"/>
      <c r="U402" s="37">
        <f>Table46[[#This Row],[NET WT KGS]]-Table46[[#This Row],[Refraction]]</f>
        <v>0</v>
      </c>
      <c r="V402" s="47"/>
      <c r="W402" s="38">
        <f>Table46[[#This Row],[PRICE]]*Table46[[#This Row],[PAID WT]]</f>
        <v>0</v>
      </c>
      <c r="X402" s="39">
        <v>9.5</v>
      </c>
      <c r="Y402" s="40">
        <v>169</v>
      </c>
      <c r="Z402" s="39">
        <v>42.68</v>
      </c>
      <c r="AA402" s="41"/>
      <c r="AB402" s="36" t="s">
        <v>78</v>
      </c>
      <c r="AC402" s="42" t="s">
        <v>70</v>
      </c>
      <c r="AD402" s="99"/>
      <c r="AE402" s="18">
        <f>Table46[[#This Row],[MOIS.]]*Table46[[#This Row],[NET WT KGS]]</f>
        <v>0</v>
      </c>
      <c r="AF402" s="18">
        <f>Table46[[#This Row],[KOR]]*Table46[[#This Row],[NET WT KGS]]</f>
        <v>0</v>
      </c>
      <c r="AG402">
        <f>Table46[[#This Row],[NET WT KGS]]*Table46[[#This Row],[NUT COUNT]]</f>
        <v>0</v>
      </c>
    </row>
    <row r="403" spans="1:33" x14ac:dyDescent="0.35">
      <c r="A403" s="32">
        <f t="shared" si="43"/>
        <v>401</v>
      </c>
      <c r="B403" s="35">
        <v>46105</v>
      </c>
      <c r="C403" s="35">
        <f>Table46[[#This Row],[DATE OF ARRIVAL]]</f>
        <v>46105</v>
      </c>
      <c r="D403" s="36" t="s">
        <v>38</v>
      </c>
      <c r="E403" s="36" t="s">
        <v>39</v>
      </c>
      <c r="F403" s="36" t="s">
        <v>40</v>
      </c>
      <c r="G403" s="74"/>
      <c r="H403" s="36" t="s">
        <v>123</v>
      </c>
      <c r="I403" s="74" t="str">
        <f>VLOOKUP(Table46[[#This Row],[SUPPLIERS NAME]],[1]AGING!X$3:Y$30,2,)</f>
        <v>LBA-011-ASR</v>
      </c>
      <c r="J403" s="36" t="s">
        <v>595</v>
      </c>
      <c r="K403" s="74"/>
      <c r="L403" s="36"/>
      <c r="M403" s="74"/>
      <c r="N403" s="36"/>
      <c r="O403" s="37">
        <f>P403+N403</f>
        <v>0</v>
      </c>
      <c r="P403" s="37"/>
      <c r="Q403" s="36"/>
      <c r="R403" s="74"/>
      <c r="S403" s="36"/>
      <c r="T403" s="36"/>
      <c r="U403" s="37">
        <f>Table46[[#This Row],[NET WT KGS]]-Table46[[#This Row],[Refraction]]</f>
        <v>0</v>
      </c>
      <c r="V403" s="47"/>
      <c r="W403" s="38">
        <f>Table46[[#This Row],[PRICE]]*Table46[[#This Row],[PAID WT]]</f>
        <v>0</v>
      </c>
      <c r="X403" s="39">
        <v>9.3000000000000007</v>
      </c>
      <c r="Y403" s="40">
        <v>175</v>
      </c>
      <c r="Z403" s="39">
        <v>41.97</v>
      </c>
      <c r="AA403" s="41"/>
      <c r="AB403" s="36" t="s">
        <v>499</v>
      </c>
      <c r="AC403" s="42" t="s">
        <v>70</v>
      </c>
      <c r="AD403" s="99"/>
      <c r="AE403" s="18">
        <f>Table46[[#This Row],[MOIS.]]*Table46[[#This Row],[NET WT KGS]]</f>
        <v>0</v>
      </c>
      <c r="AF403" s="18">
        <f>Table46[[#This Row],[KOR]]*Table46[[#This Row],[NET WT KGS]]</f>
        <v>0</v>
      </c>
      <c r="AG403">
        <f>Table46[[#This Row],[NET WT KGS]]*Table46[[#This Row],[NUT COUNT]]</f>
        <v>0</v>
      </c>
    </row>
    <row r="404" spans="1:33" x14ac:dyDescent="0.35">
      <c r="A404" s="32">
        <f t="shared" si="43"/>
        <v>402</v>
      </c>
      <c r="B404" s="35">
        <v>46105</v>
      </c>
      <c r="C404" s="35">
        <f>Table46[[#This Row],[DATE OF ARRIVAL]]</f>
        <v>46105</v>
      </c>
      <c r="D404" s="36" t="s">
        <v>38</v>
      </c>
      <c r="E404" s="36" t="s">
        <v>39</v>
      </c>
      <c r="F404" s="36" t="s">
        <v>40</v>
      </c>
      <c r="G404" s="74"/>
      <c r="H404" s="36" t="s">
        <v>54</v>
      </c>
      <c r="I404" s="74" t="s">
        <v>55</v>
      </c>
      <c r="J404" s="36" t="s">
        <v>249</v>
      </c>
      <c r="K404" s="74"/>
      <c r="L404" s="36"/>
      <c r="M404" s="74"/>
      <c r="N404" s="36"/>
      <c r="O404" s="37">
        <f>P404+N404</f>
        <v>0</v>
      </c>
      <c r="P404" s="37"/>
      <c r="Q404" s="36"/>
      <c r="R404" s="74"/>
      <c r="S404" s="36"/>
      <c r="T404" s="36"/>
      <c r="U404" s="37">
        <f>Table46[[#This Row],[NET WT KGS]]-Table46[[#This Row],[Refraction]]</f>
        <v>0</v>
      </c>
      <c r="V404" s="47"/>
      <c r="W404" s="38">
        <f>Table46[[#This Row],[PRICE]]*Table46[[#This Row],[PAID WT]]</f>
        <v>0</v>
      </c>
      <c r="X404" s="39">
        <v>9.9</v>
      </c>
      <c r="Y404" s="40">
        <v>181</v>
      </c>
      <c r="Z404" s="39">
        <v>42.5</v>
      </c>
      <c r="AA404" s="41"/>
      <c r="AB404" s="36" t="s">
        <v>58</v>
      </c>
      <c r="AC404" s="42" t="s">
        <v>70</v>
      </c>
      <c r="AD404" s="99"/>
      <c r="AE404" s="18">
        <f>Table46[[#This Row],[MOIS.]]*Table46[[#This Row],[NET WT KGS]]</f>
        <v>0</v>
      </c>
      <c r="AF404" s="18">
        <f>Table46[[#This Row],[KOR]]*Table46[[#This Row],[NET WT KGS]]</f>
        <v>0</v>
      </c>
      <c r="AG404">
        <f>Table46[[#This Row],[NET WT KGS]]*Table46[[#This Row],[NUT COUNT]]</f>
        <v>0</v>
      </c>
    </row>
    <row r="405" spans="1:33" x14ac:dyDescent="0.35">
      <c r="A405" s="32">
        <f t="shared" si="43"/>
        <v>403</v>
      </c>
      <c r="B405" s="20">
        <v>46105</v>
      </c>
      <c r="C405" s="65">
        <v>46106</v>
      </c>
      <c r="D405" s="10" t="s">
        <v>38</v>
      </c>
      <c r="E405" s="10" t="s">
        <v>39</v>
      </c>
      <c r="F405" s="50" t="s">
        <v>62</v>
      </c>
      <c r="G405" s="10"/>
      <c r="H405" s="10" t="s">
        <v>128</v>
      </c>
      <c r="I405" s="50" t="str">
        <f>VLOOKUP(Table46[[#This Row],[SUPPLIERS NAME]],[1]AGING!X$3:Y$30,2,)</f>
        <v>LBA-002-SCA</v>
      </c>
      <c r="J405" s="10" t="s">
        <v>384</v>
      </c>
      <c r="K405" s="33" t="s">
        <v>131</v>
      </c>
      <c r="L405" s="10">
        <v>899</v>
      </c>
      <c r="M405" s="10">
        <v>82478</v>
      </c>
      <c r="N405" s="10">
        <v>525</v>
      </c>
      <c r="O405" s="22">
        <v>42380</v>
      </c>
      <c r="P405" s="51">
        <f>Table46[[#This Row],[GROSS WT KGS]]-Table46[[#This Row],[SACS]]</f>
        <v>41855</v>
      </c>
      <c r="Q405" s="10">
        <v>502</v>
      </c>
      <c r="R405" s="67">
        <v>0</v>
      </c>
      <c r="S405" s="10">
        <v>23</v>
      </c>
      <c r="T405" s="10">
        <f>S405*4+R405*40</f>
        <v>92</v>
      </c>
      <c r="U405" s="22">
        <f>Table46[[#This Row],[NET WT KGS]]-Table46[[#This Row],[Refraction]]</f>
        <v>41763</v>
      </c>
      <c r="V405" s="48">
        <v>490</v>
      </c>
      <c r="W405" s="23">
        <f>Table46[[#This Row],[PRICE]]*Table46[[#This Row],[PAID WT]]</f>
        <v>20463870</v>
      </c>
      <c r="X405" s="24">
        <v>9.6999999999999993</v>
      </c>
      <c r="Y405" s="25">
        <v>184</v>
      </c>
      <c r="Z405" s="24">
        <v>45.4</v>
      </c>
      <c r="AA405" s="26"/>
      <c r="AB405" s="10" t="s">
        <v>132</v>
      </c>
      <c r="AC405" s="27"/>
      <c r="AD405" s="63" t="s">
        <v>587</v>
      </c>
      <c r="AE405" s="18">
        <f>Table46[[#This Row],[MOIS.]]*Table46[[#This Row],[NET WT KGS]]</f>
        <v>405993.49999999994</v>
      </c>
      <c r="AF405" s="18">
        <f>Table46[[#This Row],[KOR]]*Table46[[#This Row],[NET WT KGS]]</f>
        <v>1900217</v>
      </c>
      <c r="AG405">
        <f>Table46[[#This Row],[NET WT KGS]]*Table46[[#This Row],[NUT COUNT]]</f>
        <v>7701320</v>
      </c>
    </row>
    <row r="406" spans="1:33" x14ac:dyDescent="0.35">
      <c r="A406" s="32">
        <f t="shared" si="43"/>
        <v>404</v>
      </c>
      <c r="B406" s="20">
        <v>46105</v>
      </c>
      <c r="C406" s="65">
        <v>46106</v>
      </c>
      <c r="D406" s="10" t="s">
        <v>38</v>
      </c>
      <c r="E406" s="10" t="s">
        <v>39</v>
      </c>
      <c r="F406" s="50" t="s">
        <v>62</v>
      </c>
      <c r="G406" s="10"/>
      <c r="H406" s="10" t="s">
        <v>128</v>
      </c>
      <c r="I406" s="50" t="str">
        <f>VLOOKUP(Table46[[#This Row],[SUPPLIERS NAME]],[1]AGING!X$3:Y$30,2,)</f>
        <v>LBA-002-SCA</v>
      </c>
      <c r="J406" s="10" t="s">
        <v>382</v>
      </c>
      <c r="K406" s="33" t="s">
        <v>131</v>
      </c>
      <c r="L406" s="10">
        <v>900</v>
      </c>
      <c r="M406" s="10">
        <v>82479</v>
      </c>
      <c r="N406" s="10">
        <v>558</v>
      </c>
      <c r="O406" s="22">
        <v>41680</v>
      </c>
      <c r="P406" s="51">
        <f>Table46[[#This Row],[GROSS WT KGS]]-Table46[[#This Row],[SACS]]</f>
        <v>41122</v>
      </c>
      <c r="Q406" s="10">
        <v>540</v>
      </c>
      <c r="R406" s="67">
        <v>0</v>
      </c>
      <c r="S406" s="10">
        <v>18</v>
      </c>
      <c r="T406" s="10">
        <f>S406*4+R406*40</f>
        <v>72</v>
      </c>
      <c r="U406" s="22">
        <f>Table46[[#This Row],[NET WT KGS]]-Table46[[#This Row],[Refraction]]</f>
        <v>41050</v>
      </c>
      <c r="V406" s="48">
        <v>490</v>
      </c>
      <c r="W406" s="23">
        <f>Table46[[#This Row],[PRICE]]*Table46[[#This Row],[PAID WT]]</f>
        <v>20114500</v>
      </c>
      <c r="X406" s="24">
        <v>9.9</v>
      </c>
      <c r="Y406" s="25">
        <v>187</v>
      </c>
      <c r="Z406" s="24">
        <v>45.23</v>
      </c>
      <c r="AA406" s="26"/>
      <c r="AB406" s="10" t="s">
        <v>132</v>
      </c>
      <c r="AC406" s="27"/>
      <c r="AD406" s="63" t="s">
        <v>587</v>
      </c>
      <c r="AE406" s="18">
        <f>Table46[[#This Row],[MOIS.]]*Table46[[#This Row],[NET WT KGS]]</f>
        <v>407107.8</v>
      </c>
      <c r="AF406" s="18">
        <f>Table46[[#This Row],[KOR]]*Table46[[#This Row],[NET WT KGS]]</f>
        <v>1859948.0599999998</v>
      </c>
      <c r="AG406">
        <f>Table46[[#This Row],[NET WT KGS]]*Table46[[#This Row],[NUT COUNT]]</f>
        <v>7689814</v>
      </c>
    </row>
    <row r="407" spans="1:33" x14ac:dyDescent="0.35">
      <c r="A407" s="32">
        <f t="shared" si="43"/>
        <v>405</v>
      </c>
      <c r="B407" s="35">
        <v>46106</v>
      </c>
      <c r="C407" s="35">
        <f>Table46[[#This Row],[DATE OF ARRIVAL]]</f>
        <v>46106</v>
      </c>
      <c r="D407" s="36" t="s">
        <v>38</v>
      </c>
      <c r="E407" s="36" t="s">
        <v>39</v>
      </c>
      <c r="F407" s="36" t="s">
        <v>40</v>
      </c>
      <c r="G407" s="36"/>
      <c r="H407" s="36" t="s">
        <v>42</v>
      </c>
      <c r="I407" s="36" t="str">
        <f>VLOOKUP(Table46[[#This Row],[SUPPLIERS NAME]],[1]AGING!X$3:Y$30,2,)</f>
        <v>LBA-006-IMA</v>
      </c>
      <c r="J407" s="36" t="s">
        <v>114</v>
      </c>
      <c r="K407" s="74"/>
      <c r="L407" s="36"/>
      <c r="M407" s="36"/>
      <c r="N407" s="36"/>
      <c r="O407" s="37">
        <f>P407+N407</f>
        <v>0</v>
      </c>
      <c r="P407" s="37"/>
      <c r="Q407" s="36"/>
      <c r="R407" s="74"/>
      <c r="S407" s="36"/>
      <c r="T407" s="36"/>
      <c r="U407" s="37">
        <f>Table46[[#This Row],[NET WT KGS]]-Table46[[#This Row],[Refraction]]</f>
        <v>0</v>
      </c>
      <c r="V407" s="47"/>
      <c r="W407" s="38">
        <f>Table46[[#This Row],[PRICE]]*Table46[[#This Row],[PAID WT]]</f>
        <v>0</v>
      </c>
      <c r="X407" s="39">
        <v>10.6</v>
      </c>
      <c r="Y407" s="40">
        <v>160</v>
      </c>
      <c r="Z407" s="39">
        <v>42.5</v>
      </c>
      <c r="AA407" s="41"/>
      <c r="AB407" s="36" t="s">
        <v>367</v>
      </c>
      <c r="AC407" s="42" t="s">
        <v>70</v>
      </c>
      <c r="AD407" s="99"/>
      <c r="AE407" s="18">
        <f>Table46[[#This Row],[MOIS.]]*Table46[[#This Row],[NET WT KGS]]</f>
        <v>0</v>
      </c>
      <c r="AF407" s="18">
        <f>Table46[[#This Row],[KOR]]*Table46[[#This Row],[NET WT KGS]]</f>
        <v>0</v>
      </c>
      <c r="AG407">
        <f>Table46[[#This Row],[NET WT KGS]]*Table46[[#This Row],[NUT COUNT]]</f>
        <v>0</v>
      </c>
    </row>
    <row r="408" spans="1:33" x14ac:dyDescent="0.35">
      <c r="A408" s="32">
        <f t="shared" si="43"/>
        <v>406</v>
      </c>
      <c r="B408" s="35">
        <v>46106</v>
      </c>
      <c r="C408" s="35">
        <f>Table46[[#This Row],[DATE OF ARRIVAL]]</f>
        <v>46106</v>
      </c>
      <c r="D408" s="36"/>
      <c r="E408" s="36"/>
      <c r="F408" s="36" t="s">
        <v>62</v>
      </c>
      <c r="G408" s="74"/>
      <c r="H408" s="74" t="s">
        <v>596</v>
      </c>
      <c r="I408" s="74" t="s">
        <v>244</v>
      </c>
      <c r="J408" s="36" t="s">
        <v>597</v>
      </c>
      <c r="K408" s="74"/>
      <c r="L408" s="36"/>
      <c r="M408" s="74"/>
      <c r="N408" s="36"/>
      <c r="O408" s="37">
        <f>P408+N408</f>
        <v>0</v>
      </c>
      <c r="P408" s="37"/>
      <c r="Q408" s="36"/>
      <c r="R408" s="80"/>
      <c r="S408" s="36"/>
      <c r="T408" s="36"/>
      <c r="U408" s="37">
        <f>Table46[[#This Row],[NET WT KGS]]-Table46[[#This Row],[Refraction]]</f>
        <v>0</v>
      </c>
      <c r="V408" s="38"/>
      <c r="W408" s="38">
        <f>Table46[[#This Row],[PRICE]]*Table46[[#This Row],[PAID WT]]</f>
        <v>0</v>
      </c>
      <c r="X408" s="39">
        <v>8.9</v>
      </c>
      <c r="Y408" s="40">
        <v>189</v>
      </c>
      <c r="Z408" s="39">
        <v>37.479999999999997</v>
      </c>
      <c r="AA408" s="41"/>
      <c r="AB408" s="36" t="s">
        <v>598</v>
      </c>
      <c r="AC408" s="42" t="s">
        <v>70</v>
      </c>
      <c r="AD408" s="99"/>
      <c r="AE408" s="18">
        <f>Table46[[#This Row],[MOIS.]]*Table46[[#This Row],[NET WT KGS]]</f>
        <v>0</v>
      </c>
      <c r="AF408" s="18">
        <f>Table46[[#This Row],[KOR]]*Table46[[#This Row],[NET WT KGS]]</f>
        <v>0</v>
      </c>
      <c r="AG408">
        <f>Table46[[#This Row],[NET WT KGS]]*Table46[[#This Row],[NUT COUNT]]</f>
        <v>0</v>
      </c>
    </row>
    <row r="409" spans="1:33" x14ac:dyDescent="0.35">
      <c r="A409" s="32">
        <f t="shared" si="43"/>
        <v>407</v>
      </c>
      <c r="B409" s="35">
        <v>46106</v>
      </c>
      <c r="C409" s="35">
        <f>Table46[[#This Row],[DATE OF ARRIVAL]]</f>
        <v>46106</v>
      </c>
      <c r="D409" s="36"/>
      <c r="E409" s="36"/>
      <c r="F409" s="36" t="s">
        <v>62</v>
      </c>
      <c r="G409" s="74"/>
      <c r="H409" s="36" t="s">
        <v>385</v>
      </c>
      <c r="I409" s="74" t="s">
        <v>322</v>
      </c>
      <c r="J409" s="36" t="s">
        <v>599</v>
      </c>
      <c r="K409" s="106"/>
      <c r="L409" s="36"/>
      <c r="M409" s="74"/>
      <c r="N409" s="36"/>
      <c r="O409" s="37">
        <f>P409+N409</f>
        <v>0</v>
      </c>
      <c r="P409" s="37"/>
      <c r="Q409" s="36"/>
      <c r="R409" s="80"/>
      <c r="S409" s="36"/>
      <c r="T409" s="36"/>
      <c r="U409" s="37">
        <f>Table46[[#This Row],[NET WT KGS]]-Table46[[#This Row],[Refraction]]</f>
        <v>0</v>
      </c>
      <c r="V409" s="38"/>
      <c r="W409" s="38">
        <f>Table46[[#This Row],[PRICE]]*Table46[[#This Row],[PAID WT]]</f>
        <v>0</v>
      </c>
      <c r="X409" s="39">
        <v>8.9</v>
      </c>
      <c r="Y409" s="40">
        <v>164</v>
      </c>
      <c r="Z409" s="39">
        <v>42.06</v>
      </c>
      <c r="AA409" s="41"/>
      <c r="AB409" s="36" t="s">
        <v>46</v>
      </c>
      <c r="AC409" s="42" t="s">
        <v>70</v>
      </c>
      <c r="AD409" s="99"/>
      <c r="AE409" s="18">
        <f>Table46[[#This Row],[MOIS.]]*Table46[[#This Row],[NET WT KGS]]</f>
        <v>0</v>
      </c>
      <c r="AF409" s="18">
        <f>Table46[[#This Row],[KOR]]*Table46[[#This Row],[NET WT KGS]]</f>
        <v>0</v>
      </c>
      <c r="AG409">
        <f>Table46[[#This Row],[NET WT KGS]]*Table46[[#This Row],[NUT COUNT]]</f>
        <v>0</v>
      </c>
    </row>
    <row r="410" spans="1:33" x14ac:dyDescent="0.35">
      <c r="A410" s="32">
        <f t="shared" si="43"/>
        <v>408</v>
      </c>
      <c r="B410" s="20">
        <v>46106</v>
      </c>
      <c r="C410" s="20">
        <v>46107</v>
      </c>
      <c r="D410" s="10" t="s">
        <v>38</v>
      </c>
      <c r="E410" s="10" t="s">
        <v>258</v>
      </c>
      <c r="F410" s="50" t="s">
        <v>62</v>
      </c>
      <c r="G410" s="10"/>
      <c r="H410" s="10" t="s">
        <v>600</v>
      </c>
      <c r="I410" s="50" t="s">
        <v>168</v>
      </c>
      <c r="J410" s="10" t="s">
        <v>527</v>
      </c>
      <c r="K410" s="107" t="s">
        <v>601</v>
      </c>
      <c r="L410" s="10">
        <v>653</v>
      </c>
      <c r="M410" s="10">
        <v>82015</v>
      </c>
      <c r="N410" s="10">
        <v>593</v>
      </c>
      <c r="O410" s="22">
        <v>45720</v>
      </c>
      <c r="P410" s="51">
        <f>Table46[[#This Row],[GROSS WT KGS]]-Table46[[#This Row],[SACS]]</f>
        <v>45127</v>
      </c>
      <c r="Q410" s="10">
        <f>Table46[[#This Row],[SACS]]-Table46[[#This Row],[Sacs déchirés]]</f>
        <v>570</v>
      </c>
      <c r="R410" s="67">
        <v>0</v>
      </c>
      <c r="S410" s="10">
        <v>23</v>
      </c>
      <c r="T410" s="10">
        <f t="shared" ref="T410:T418" si="45">S410*4+R410*40</f>
        <v>92</v>
      </c>
      <c r="U410" s="22">
        <f>Table46[[#This Row],[NET WT KGS]]-Table46[[#This Row],[Refraction]]</f>
        <v>45035</v>
      </c>
      <c r="V410" s="48">
        <v>480</v>
      </c>
      <c r="W410" s="23">
        <f>Table46[[#This Row],[PRICE]]*Table46[[#This Row],[PAID WT]]</f>
        <v>21616800</v>
      </c>
      <c r="X410" s="24">
        <v>9.1</v>
      </c>
      <c r="Y410" s="25">
        <v>180</v>
      </c>
      <c r="Z410" s="24">
        <v>44.08</v>
      </c>
      <c r="AA410" s="26"/>
      <c r="AB410" s="10" t="s">
        <v>602</v>
      </c>
      <c r="AC410" s="27"/>
      <c r="AD410" s="63" t="s">
        <v>587</v>
      </c>
      <c r="AE410" s="18">
        <f>Table46[[#This Row],[MOIS.]]*Table46[[#This Row],[NET WT KGS]]</f>
        <v>410655.7</v>
      </c>
      <c r="AF410" s="18">
        <f>Table46[[#This Row],[KOR]]*Table46[[#This Row],[NET WT KGS]]</f>
        <v>1989198.16</v>
      </c>
      <c r="AG410">
        <f>Table46[[#This Row],[NET WT KGS]]*Table46[[#This Row],[NUT COUNT]]</f>
        <v>8122860</v>
      </c>
    </row>
    <row r="411" spans="1:33" x14ac:dyDescent="0.35">
      <c r="A411" s="32">
        <f t="shared" si="43"/>
        <v>409</v>
      </c>
      <c r="B411" s="20">
        <v>46106</v>
      </c>
      <c r="C411" s="20">
        <v>46107</v>
      </c>
      <c r="D411" s="10" t="s">
        <v>38</v>
      </c>
      <c r="E411" s="10" t="s">
        <v>258</v>
      </c>
      <c r="F411" s="50" t="s">
        <v>62</v>
      </c>
      <c r="G411" s="10"/>
      <c r="H411" s="10" t="s">
        <v>603</v>
      </c>
      <c r="I411" s="67" t="s">
        <v>172</v>
      </c>
      <c r="J411" s="10" t="s">
        <v>604</v>
      </c>
      <c r="K411" s="107" t="s">
        <v>605</v>
      </c>
      <c r="L411" s="10">
        <v>651</v>
      </c>
      <c r="M411" s="10">
        <v>82296</v>
      </c>
      <c r="N411" s="10">
        <v>507</v>
      </c>
      <c r="O411" s="22">
        <v>40740</v>
      </c>
      <c r="P411" s="51">
        <f>Table46[[#This Row],[GROSS WT KGS]]-Table46[[#This Row],[SACS]]</f>
        <v>40233</v>
      </c>
      <c r="Q411" s="10">
        <f>Table46[[#This Row],[SACS]]-Table46[[#This Row],[Sacs déchirés]]</f>
        <v>483</v>
      </c>
      <c r="R411" s="67">
        <v>0</v>
      </c>
      <c r="S411" s="10">
        <v>24</v>
      </c>
      <c r="T411" s="10">
        <f t="shared" si="45"/>
        <v>96</v>
      </c>
      <c r="U411" s="22">
        <f>Table46[[#This Row],[NET WT KGS]]-Table46[[#This Row],[Refraction]]</f>
        <v>40137</v>
      </c>
      <c r="V411" s="48">
        <v>480</v>
      </c>
      <c r="W411" s="23">
        <f>Table46[[#This Row],[PRICE]]*Table46[[#This Row],[PAID WT]]</f>
        <v>19265760</v>
      </c>
      <c r="X411" s="24">
        <v>9.8000000000000007</v>
      </c>
      <c r="Y411" s="25">
        <v>172</v>
      </c>
      <c r="Z411" s="24">
        <v>44.17</v>
      </c>
      <c r="AA411" s="26"/>
      <c r="AB411" s="10" t="s">
        <v>606</v>
      </c>
      <c r="AC411" s="27"/>
      <c r="AD411" s="63" t="s">
        <v>587</v>
      </c>
      <c r="AE411" s="18">
        <f>Table46[[#This Row],[MOIS.]]*Table46[[#This Row],[NET WT KGS]]</f>
        <v>394283.4</v>
      </c>
      <c r="AF411" s="18">
        <f>Table46[[#This Row],[KOR]]*Table46[[#This Row],[NET WT KGS]]</f>
        <v>1777091.61</v>
      </c>
      <c r="AG411">
        <f>Table46[[#This Row],[NET WT KGS]]*Table46[[#This Row],[NUT COUNT]]</f>
        <v>6920076</v>
      </c>
    </row>
    <row r="412" spans="1:33" x14ac:dyDescent="0.35">
      <c r="A412" s="32">
        <f t="shared" si="43"/>
        <v>410</v>
      </c>
      <c r="B412" s="20">
        <v>46106</v>
      </c>
      <c r="C412" s="20">
        <v>46107</v>
      </c>
      <c r="D412" s="10" t="s">
        <v>38</v>
      </c>
      <c r="E412" s="10" t="s">
        <v>39</v>
      </c>
      <c r="F412" s="50" t="s">
        <v>40</v>
      </c>
      <c r="G412" s="10" t="s">
        <v>41</v>
      </c>
      <c r="H412" s="50" t="s">
        <v>123</v>
      </c>
      <c r="I412" s="50" t="str">
        <f>VLOOKUP(Table46[[#This Row],[SUPPLIERS NAME]],[1]AGING!X$3:Y$30,2,)</f>
        <v>LBA-011-ASR</v>
      </c>
      <c r="J412" s="10" t="s">
        <v>544</v>
      </c>
      <c r="K412" s="21" t="s">
        <v>161</v>
      </c>
      <c r="L412" s="10">
        <v>145</v>
      </c>
      <c r="M412" s="10">
        <v>82583</v>
      </c>
      <c r="N412" s="10">
        <v>407</v>
      </c>
      <c r="O412" s="22">
        <f t="shared" ref="O412:O419" si="46">P412+N412</f>
        <v>45480</v>
      </c>
      <c r="P412" s="51">
        <v>45073</v>
      </c>
      <c r="Q412" s="10">
        <v>392</v>
      </c>
      <c r="R412" s="67">
        <v>0</v>
      </c>
      <c r="S412" s="10">
        <v>15</v>
      </c>
      <c r="T412" s="10">
        <f t="shared" si="45"/>
        <v>60</v>
      </c>
      <c r="U412" s="22">
        <f>Table46[[#This Row],[NET WT KGS]]-Table46[[#This Row],[Refraction]]</f>
        <v>45013</v>
      </c>
      <c r="V412" s="48">
        <v>485</v>
      </c>
      <c r="W412" s="23">
        <f>Table46[[#This Row],[PRICE]]*Table46[[#This Row],[PAID WT]]</f>
        <v>21831305</v>
      </c>
      <c r="X412" s="24">
        <v>9.6999999999999993</v>
      </c>
      <c r="Y412" s="25">
        <v>161</v>
      </c>
      <c r="Z412" s="24">
        <v>44.44</v>
      </c>
      <c r="AA412" s="26"/>
      <c r="AB412" s="66" t="s">
        <v>607</v>
      </c>
      <c r="AC412" s="27"/>
      <c r="AD412" s="63" t="s">
        <v>587</v>
      </c>
      <c r="AE412" s="18">
        <f>Table46[[#This Row],[MOIS.]]*Table46[[#This Row],[NET WT KGS]]</f>
        <v>437208.1</v>
      </c>
      <c r="AF412" s="18">
        <f>Table46[[#This Row],[KOR]]*Table46[[#This Row],[NET WT KGS]]</f>
        <v>2003044.1199999999</v>
      </c>
      <c r="AG412">
        <f>Table46[[#This Row],[NET WT KGS]]*Table46[[#This Row],[NUT COUNT]]</f>
        <v>7256753</v>
      </c>
    </row>
    <row r="413" spans="1:33" x14ac:dyDescent="0.35">
      <c r="A413" s="32">
        <f t="shared" si="43"/>
        <v>411</v>
      </c>
      <c r="B413" s="20">
        <v>46106</v>
      </c>
      <c r="C413" s="20">
        <v>46107</v>
      </c>
      <c r="D413" s="10" t="s">
        <v>38</v>
      </c>
      <c r="E413" s="66" t="s">
        <v>39</v>
      </c>
      <c r="F413" s="50" t="s">
        <v>40</v>
      </c>
      <c r="G413" s="66" t="s">
        <v>350</v>
      </c>
      <c r="H413" s="66" t="s">
        <v>42</v>
      </c>
      <c r="I413" s="67" t="str">
        <f>VLOOKUP(Table46[[#This Row],[SUPPLIERS NAME]],[1]AGING!X$3:Y$30,2,)</f>
        <v>LBA-006-IMA</v>
      </c>
      <c r="J413" s="66" t="s">
        <v>608</v>
      </c>
      <c r="K413" s="21" t="s">
        <v>45</v>
      </c>
      <c r="L413" s="66">
        <v>144</v>
      </c>
      <c r="M413" s="10">
        <v>88462</v>
      </c>
      <c r="N413" s="66">
        <v>468</v>
      </c>
      <c r="O413" s="68">
        <f t="shared" si="46"/>
        <v>40420</v>
      </c>
      <c r="P413" s="68">
        <v>39952</v>
      </c>
      <c r="Q413" s="66">
        <v>460</v>
      </c>
      <c r="R413" s="67">
        <v>0</v>
      </c>
      <c r="S413" s="66">
        <v>8</v>
      </c>
      <c r="T413" s="10">
        <f t="shared" si="45"/>
        <v>32</v>
      </c>
      <c r="U413" s="68">
        <f>Table46[[#This Row],[NET WT KGS]]-Table46[[#This Row],[Refraction]]</f>
        <v>39920</v>
      </c>
      <c r="V413" s="48">
        <v>485</v>
      </c>
      <c r="W413" s="69">
        <f>Table46[[#This Row],[PRICE]]*Table46[[#This Row],[PAID WT]]</f>
        <v>19361200</v>
      </c>
      <c r="X413" s="70">
        <v>9.3000000000000007</v>
      </c>
      <c r="Y413" s="71">
        <v>171</v>
      </c>
      <c r="Z413" s="70">
        <v>44.26</v>
      </c>
      <c r="AA413" s="72"/>
      <c r="AB413" s="66" t="s">
        <v>358</v>
      </c>
      <c r="AC413" s="73"/>
      <c r="AD413" s="63" t="s">
        <v>587</v>
      </c>
      <c r="AE413" s="18">
        <f>Table46[[#This Row],[MOIS.]]*Table46[[#This Row],[NET WT KGS]]</f>
        <v>371553.60000000003</v>
      </c>
      <c r="AF413" s="18">
        <f>Table46[[#This Row],[KOR]]*Table46[[#This Row],[NET WT KGS]]</f>
        <v>1768275.52</v>
      </c>
      <c r="AG413">
        <f>Table46[[#This Row],[NET WT KGS]]*Table46[[#This Row],[NUT COUNT]]</f>
        <v>6831792</v>
      </c>
    </row>
    <row r="414" spans="1:33" x14ac:dyDescent="0.35">
      <c r="A414" s="32">
        <f t="shared" si="43"/>
        <v>412</v>
      </c>
      <c r="B414" s="20">
        <v>46106</v>
      </c>
      <c r="C414" s="20">
        <v>46107</v>
      </c>
      <c r="D414" s="10" t="s">
        <v>38</v>
      </c>
      <c r="E414" s="66" t="s">
        <v>39</v>
      </c>
      <c r="F414" s="50" t="s">
        <v>40</v>
      </c>
      <c r="G414" s="66" t="s">
        <v>350</v>
      </c>
      <c r="H414" s="67" t="s">
        <v>105</v>
      </c>
      <c r="I414" s="67" t="str">
        <f>VLOOKUP(Table46[[#This Row],[SUPPLIERS NAME]],[1]AGING!X$3:Y$30,2,)</f>
        <v>LBA-014-BAY</v>
      </c>
      <c r="J414" s="66" t="s">
        <v>167</v>
      </c>
      <c r="K414" s="33" t="s">
        <v>108</v>
      </c>
      <c r="L414" s="66">
        <v>143</v>
      </c>
      <c r="M414" s="10">
        <v>85115</v>
      </c>
      <c r="N414" s="66">
        <v>250</v>
      </c>
      <c r="O414" s="68">
        <f t="shared" si="46"/>
        <v>21900</v>
      </c>
      <c r="P414" s="68">
        <v>21650</v>
      </c>
      <c r="Q414" s="66">
        <v>244</v>
      </c>
      <c r="R414" s="67">
        <v>0</v>
      </c>
      <c r="S414" s="66">
        <v>6</v>
      </c>
      <c r="T414" s="10">
        <f t="shared" si="45"/>
        <v>24</v>
      </c>
      <c r="U414" s="68">
        <f>Table46[[#This Row],[NET WT KGS]]-Table46[[#This Row],[Refraction]]</f>
        <v>21626</v>
      </c>
      <c r="V414" s="48">
        <v>485</v>
      </c>
      <c r="W414" s="69">
        <f>Table46[[#This Row],[PRICE]]*Table46[[#This Row],[PAID WT]]</f>
        <v>10488610</v>
      </c>
      <c r="X414" s="70">
        <v>9.4</v>
      </c>
      <c r="Y414" s="71">
        <v>176</v>
      </c>
      <c r="Z414" s="70">
        <v>44.09</v>
      </c>
      <c r="AA414" s="72"/>
      <c r="AB414" s="10" t="s">
        <v>299</v>
      </c>
      <c r="AC414" s="73"/>
      <c r="AD414" s="63" t="s">
        <v>587</v>
      </c>
      <c r="AE414" s="18">
        <f>Table46[[#This Row],[MOIS.]]*Table46[[#This Row],[NET WT KGS]]</f>
        <v>203510</v>
      </c>
      <c r="AF414" s="18">
        <f>Table46[[#This Row],[KOR]]*Table46[[#This Row],[NET WT KGS]]</f>
        <v>954548.50000000012</v>
      </c>
      <c r="AG414">
        <f>Table46[[#This Row],[NET WT KGS]]*Table46[[#This Row],[NUT COUNT]]</f>
        <v>3810400</v>
      </c>
    </row>
    <row r="415" spans="1:33" x14ac:dyDescent="0.35">
      <c r="A415" s="32">
        <f t="shared" si="43"/>
        <v>413</v>
      </c>
      <c r="B415" s="20">
        <v>46106</v>
      </c>
      <c r="C415" s="20">
        <v>46107</v>
      </c>
      <c r="D415" s="10" t="s">
        <v>38</v>
      </c>
      <c r="E415" s="66" t="s">
        <v>258</v>
      </c>
      <c r="F415" s="50" t="s">
        <v>40</v>
      </c>
      <c r="G415" s="66" t="s">
        <v>41</v>
      </c>
      <c r="H415" s="66" t="s">
        <v>259</v>
      </c>
      <c r="I415" s="66" t="s">
        <v>60</v>
      </c>
      <c r="J415" s="66" t="s">
        <v>609</v>
      </c>
      <c r="K415" s="33" t="s">
        <v>261</v>
      </c>
      <c r="L415" s="66">
        <v>141</v>
      </c>
      <c r="M415" s="10">
        <v>82156</v>
      </c>
      <c r="N415" s="66">
        <v>480</v>
      </c>
      <c r="O415" s="68">
        <f t="shared" si="46"/>
        <v>42780</v>
      </c>
      <c r="P415" s="68">
        <v>42300</v>
      </c>
      <c r="Q415" s="66">
        <v>472</v>
      </c>
      <c r="R415" s="67">
        <v>0</v>
      </c>
      <c r="S415" s="66">
        <v>8</v>
      </c>
      <c r="T415" s="10">
        <f t="shared" si="45"/>
        <v>32</v>
      </c>
      <c r="U415" s="68">
        <f>Table46[[#This Row],[NET WT KGS]]-Table46[[#This Row],[Refraction]]</f>
        <v>42268</v>
      </c>
      <c r="V415" s="48">
        <v>480</v>
      </c>
      <c r="W415" s="69">
        <f>Table46[[#This Row],[PRICE]]*Table46[[#This Row],[PAID WT]]</f>
        <v>20288640</v>
      </c>
      <c r="X415" s="70">
        <v>8.4</v>
      </c>
      <c r="Y415" s="71">
        <v>170</v>
      </c>
      <c r="Z415" s="70">
        <v>44.26</v>
      </c>
      <c r="AA415" s="72"/>
      <c r="AB415" s="66" t="s">
        <v>610</v>
      </c>
      <c r="AC415" s="73"/>
      <c r="AD415" s="63" t="s">
        <v>587</v>
      </c>
      <c r="AE415" s="18">
        <f>Table46[[#This Row],[MOIS.]]*Table46[[#This Row],[NET WT KGS]]</f>
        <v>355320</v>
      </c>
      <c r="AF415" s="18">
        <f>Table46[[#This Row],[KOR]]*Table46[[#This Row],[NET WT KGS]]</f>
        <v>1872198</v>
      </c>
      <c r="AG415">
        <f>Table46[[#This Row],[NET WT KGS]]*Table46[[#This Row],[NUT COUNT]]</f>
        <v>7191000</v>
      </c>
    </row>
    <row r="416" spans="1:33" x14ac:dyDescent="0.35">
      <c r="A416" s="32">
        <f t="shared" si="43"/>
        <v>414</v>
      </c>
      <c r="B416" s="20">
        <v>46106</v>
      </c>
      <c r="C416" s="20">
        <v>46107</v>
      </c>
      <c r="D416" s="10" t="s">
        <v>38</v>
      </c>
      <c r="E416" s="66" t="s">
        <v>39</v>
      </c>
      <c r="F416" s="50" t="s">
        <v>40</v>
      </c>
      <c r="G416" s="66" t="s">
        <v>350</v>
      </c>
      <c r="H416" s="66" t="s">
        <v>42</v>
      </c>
      <c r="I416" s="67" t="str">
        <f>VLOOKUP(Table46[[#This Row],[SUPPLIERS NAME]],[1]AGING!X$3:Y$30,2,)</f>
        <v>LBA-006-IMA</v>
      </c>
      <c r="J416" s="66" t="s">
        <v>611</v>
      </c>
      <c r="K416" s="21" t="s">
        <v>45</v>
      </c>
      <c r="L416" s="66">
        <v>139</v>
      </c>
      <c r="M416" s="10">
        <v>62863</v>
      </c>
      <c r="N416" s="66">
        <v>612</v>
      </c>
      <c r="O416" s="68">
        <f t="shared" si="46"/>
        <v>55940</v>
      </c>
      <c r="P416" s="68">
        <v>55328</v>
      </c>
      <c r="Q416" s="66">
        <v>602</v>
      </c>
      <c r="R416" s="67">
        <v>0</v>
      </c>
      <c r="S416" s="66">
        <v>10</v>
      </c>
      <c r="T416" s="10">
        <f t="shared" si="45"/>
        <v>40</v>
      </c>
      <c r="U416" s="68">
        <f>Table46[[#This Row],[NET WT KGS]]-Table46[[#This Row],[Refraction]]</f>
        <v>55288</v>
      </c>
      <c r="V416" s="48">
        <v>490</v>
      </c>
      <c r="W416" s="69">
        <f>Table46[[#This Row],[PRICE]]*Table46[[#This Row],[PAID WT]]</f>
        <v>27091120</v>
      </c>
      <c r="X416" s="70">
        <v>9.9</v>
      </c>
      <c r="Y416" s="71">
        <v>162</v>
      </c>
      <c r="Z416" s="70">
        <v>44.09</v>
      </c>
      <c r="AA416" s="72"/>
      <c r="AB416" s="66" t="s">
        <v>78</v>
      </c>
      <c r="AC416" s="73"/>
      <c r="AD416" s="63" t="s">
        <v>587</v>
      </c>
      <c r="AE416" s="18">
        <f>Table46[[#This Row],[MOIS.]]*Table46[[#This Row],[NET WT KGS]]</f>
        <v>547747.20000000007</v>
      </c>
      <c r="AF416" s="18">
        <f>Table46[[#This Row],[KOR]]*Table46[[#This Row],[NET WT KGS]]</f>
        <v>2439411.52</v>
      </c>
      <c r="AG416">
        <f>Table46[[#This Row],[NET WT KGS]]*Table46[[#This Row],[NUT COUNT]]</f>
        <v>8963136</v>
      </c>
    </row>
    <row r="417" spans="1:44" x14ac:dyDescent="0.35">
      <c r="A417" s="32">
        <f t="shared" si="43"/>
        <v>415</v>
      </c>
      <c r="B417" s="20">
        <v>46106</v>
      </c>
      <c r="C417" s="20">
        <v>46107</v>
      </c>
      <c r="D417" s="10" t="s">
        <v>38</v>
      </c>
      <c r="E417" s="66" t="s">
        <v>39</v>
      </c>
      <c r="F417" s="50" t="s">
        <v>40</v>
      </c>
      <c r="G417" s="66" t="s">
        <v>350</v>
      </c>
      <c r="H417" s="67" t="s">
        <v>74</v>
      </c>
      <c r="I417" s="67" t="str">
        <f>VLOOKUP(Table46[[#This Row],[SUPPLIERS NAME]],[1]AGING!X$3:Y$30,2,)</f>
        <v>LBA-003-HER</v>
      </c>
      <c r="J417" s="66" t="s">
        <v>187</v>
      </c>
      <c r="K417" s="33" t="s">
        <v>77</v>
      </c>
      <c r="L417" s="66">
        <v>140</v>
      </c>
      <c r="M417" s="10">
        <v>82837</v>
      </c>
      <c r="N417" s="66">
        <v>551</v>
      </c>
      <c r="O417" s="68">
        <f t="shared" si="46"/>
        <v>47840</v>
      </c>
      <c r="P417" s="68">
        <v>47289</v>
      </c>
      <c r="Q417" s="66">
        <v>536</v>
      </c>
      <c r="R417" s="67">
        <v>0</v>
      </c>
      <c r="S417" s="66">
        <v>15</v>
      </c>
      <c r="T417" s="10">
        <f t="shared" si="45"/>
        <v>60</v>
      </c>
      <c r="U417" s="68">
        <f>Table46[[#This Row],[NET WT KGS]]-Table46[[#This Row],[Refraction]]</f>
        <v>47229</v>
      </c>
      <c r="V417" s="48">
        <v>485</v>
      </c>
      <c r="W417" s="69">
        <f>Table46[[#This Row],[PRICE]]*Table46[[#This Row],[PAID WT]]</f>
        <v>22906065</v>
      </c>
      <c r="X417" s="70">
        <v>9.1</v>
      </c>
      <c r="Y417" s="71">
        <v>162</v>
      </c>
      <c r="Z417" s="70">
        <v>44.09</v>
      </c>
      <c r="AA417" s="72"/>
      <c r="AB417" s="66" t="s">
        <v>78</v>
      </c>
      <c r="AC417" s="27"/>
      <c r="AD417" s="63" t="s">
        <v>587</v>
      </c>
      <c r="AE417" s="18">
        <f>Table46[[#This Row],[MOIS.]]*Table46[[#This Row],[NET WT KGS]]</f>
        <v>430329.89999999997</v>
      </c>
      <c r="AF417" s="18">
        <f>Table46[[#This Row],[KOR]]*Table46[[#This Row],[NET WT KGS]]</f>
        <v>2084972.0100000002</v>
      </c>
      <c r="AG417">
        <f>Table46[[#This Row],[NET WT KGS]]*Table46[[#This Row],[NUT COUNT]]</f>
        <v>7660818</v>
      </c>
    </row>
    <row r="418" spans="1:44" x14ac:dyDescent="0.35">
      <c r="A418" s="32">
        <f t="shared" si="43"/>
        <v>416</v>
      </c>
      <c r="B418" s="20">
        <v>46106</v>
      </c>
      <c r="C418" s="20">
        <v>46107</v>
      </c>
      <c r="D418" s="10" t="s">
        <v>38</v>
      </c>
      <c r="E418" s="66" t="s">
        <v>39</v>
      </c>
      <c r="F418" s="50" t="s">
        <v>40</v>
      </c>
      <c r="G418" s="66" t="s">
        <v>41</v>
      </c>
      <c r="H418" s="66" t="s">
        <v>136</v>
      </c>
      <c r="I418" s="66" t="s">
        <v>137</v>
      </c>
      <c r="J418" s="66" t="s">
        <v>462</v>
      </c>
      <c r="K418" s="21" t="s">
        <v>139</v>
      </c>
      <c r="L418" s="66">
        <v>142</v>
      </c>
      <c r="M418" s="10">
        <v>83401</v>
      </c>
      <c r="N418" s="66">
        <v>487</v>
      </c>
      <c r="O418" s="68">
        <f t="shared" si="46"/>
        <v>43480</v>
      </c>
      <c r="P418" s="68">
        <v>42993</v>
      </c>
      <c r="Q418" s="66">
        <v>480</v>
      </c>
      <c r="R418" s="67">
        <v>0</v>
      </c>
      <c r="S418" s="66">
        <v>7</v>
      </c>
      <c r="T418" s="10">
        <f t="shared" si="45"/>
        <v>28</v>
      </c>
      <c r="U418" s="68">
        <f>Table46[[#This Row],[NET WT KGS]]-Table46[[#This Row],[Refraction]]</f>
        <v>42965</v>
      </c>
      <c r="V418" s="48">
        <v>485</v>
      </c>
      <c r="W418" s="69">
        <f>Table46[[#This Row],[PRICE]]*Table46[[#This Row],[PAID WT]]</f>
        <v>20838025</v>
      </c>
      <c r="X418" s="70">
        <v>9.5</v>
      </c>
      <c r="Y418" s="71">
        <v>162</v>
      </c>
      <c r="Z418" s="70">
        <v>44.09</v>
      </c>
      <c r="AA418" s="72"/>
      <c r="AB418" s="66" t="s">
        <v>140</v>
      </c>
      <c r="AC418" s="27"/>
      <c r="AD418" s="63" t="s">
        <v>587</v>
      </c>
      <c r="AE418" s="18">
        <f>Table46[[#This Row],[MOIS.]]*Table46[[#This Row],[NET WT KGS]]</f>
        <v>408433.5</v>
      </c>
      <c r="AF418" s="18">
        <f>Table46[[#This Row],[KOR]]*Table46[[#This Row],[NET WT KGS]]</f>
        <v>1895561.37</v>
      </c>
      <c r="AG418">
        <f>Table46[[#This Row],[NET WT KGS]]*Table46[[#This Row],[NUT COUNT]]</f>
        <v>6964866</v>
      </c>
    </row>
    <row r="419" spans="1:44" x14ac:dyDescent="0.35">
      <c r="A419" s="32">
        <f t="shared" si="43"/>
        <v>417</v>
      </c>
      <c r="B419" s="35">
        <v>46107</v>
      </c>
      <c r="C419" s="35">
        <f>Table46[[#This Row],[DATE OF ARRIVAL]]</f>
        <v>46107</v>
      </c>
      <c r="D419" s="36" t="s">
        <v>38</v>
      </c>
      <c r="E419" s="74" t="s">
        <v>39</v>
      </c>
      <c r="F419" s="36" t="s">
        <v>40</v>
      </c>
      <c r="G419" s="74"/>
      <c r="H419" s="74" t="s">
        <v>123</v>
      </c>
      <c r="I419" s="74" t="str">
        <f>VLOOKUP(Table46[[#This Row],[SUPPLIERS NAME]],[1]AGING!X$3:Y$30,2,)</f>
        <v>LBA-011-ASR</v>
      </c>
      <c r="J419" s="74" t="s">
        <v>125</v>
      </c>
      <c r="K419" s="74"/>
      <c r="L419" s="74"/>
      <c r="M419" s="74"/>
      <c r="N419" s="74"/>
      <c r="O419" s="79">
        <f t="shared" si="46"/>
        <v>0</v>
      </c>
      <c r="P419" s="79"/>
      <c r="Q419" s="74"/>
      <c r="R419" s="74"/>
      <c r="S419" s="74"/>
      <c r="T419" s="36"/>
      <c r="U419" s="79">
        <f>Table46[[#This Row],[NET WT KGS]]-Table46[[#This Row],[Refraction]]</f>
        <v>0</v>
      </c>
      <c r="V419" s="47"/>
      <c r="W419" s="81">
        <f>Table46[[#This Row],[PRICE]]*Table46[[#This Row],[PAID WT]]</f>
        <v>0</v>
      </c>
      <c r="X419" s="82">
        <v>10.9</v>
      </c>
      <c r="Y419" s="83">
        <v>175</v>
      </c>
      <c r="Z419" s="82">
        <v>43.38</v>
      </c>
      <c r="AA419" s="84"/>
      <c r="AB419" s="74" t="s">
        <v>78</v>
      </c>
      <c r="AC419" s="42" t="s">
        <v>70</v>
      </c>
      <c r="AD419" s="99"/>
      <c r="AE419" s="18">
        <f>Table46[[#This Row],[MOIS.]]*Table46[[#This Row],[NET WT KGS]]</f>
        <v>0</v>
      </c>
      <c r="AF419" s="18">
        <f>Table46[[#This Row],[KOR]]*Table46[[#This Row],[NET WT KGS]]</f>
        <v>0</v>
      </c>
      <c r="AG419">
        <f>Table46[[#This Row],[NET WT KGS]]*Table46[[#This Row],[NUT COUNT]]</f>
        <v>0</v>
      </c>
    </row>
    <row r="420" spans="1:44" x14ac:dyDescent="0.35">
      <c r="A420" s="32">
        <f t="shared" si="43"/>
        <v>418</v>
      </c>
      <c r="B420" s="20">
        <v>46107</v>
      </c>
      <c r="C420" s="20">
        <v>46107</v>
      </c>
      <c r="D420" s="10" t="s">
        <v>38</v>
      </c>
      <c r="E420" s="66" t="s">
        <v>39</v>
      </c>
      <c r="F420" s="50" t="s">
        <v>62</v>
      </c>
      <c r="G420" s="66"/>
      <c r="H420" s="66" t="s">
        <v>193</v>
      </c>
      <c r="I420" s="67" t="str">
        <f>VLOOKUP(Table46[[#This Row],[SUPPLIERS NAME]],[1]AGING!X$3:Y$30,2,)</f>
        <v>LBA-005-JAV</v>
      </c>
      <c r="J420" s="66" t="s">
        <v>195</v>
      </c>
      <c r="K420" s="33" t="s">
        <v>196</v>
      </c>
      <c r="L420" s="66">
        <v>654</v>
      </c>
      <c r="M420" s="10">
        <v>83406</v>
      </c>
      <c r="N420" s="66">
        <v>572</v>
      </c>
      <c r="O420" s="68">
        <v>46300</v>
      </c>
      <c r="P420" s="93">
        <f>Table46[[#This Row],[GROSS WT KGS]]-Table46[[#This Row],[SACS]]</f>
        <v>45728</v>
      </c>
      <c r="Q420" s="66">
        <f>Table46[[#This Row],[SACS]]-Table46[[#This Row],[Sacs déchirés]]</f>
        <v>563</v>
      </c>
      <c r="R420" s="67">
        <v>0</v>
      </c>
      <c r="S420" s="66">
        <v>9</v>
      </c>
      <c r="T420" s="10">
        <f t="shared" ref="T420:T433" si="47">S420*4+R420*40</f>
        <v>36</v>
      </c>
      <c r="U420" s="68">
        <f>Table46[[#This Row],[NET WT KGS]]-Table46[[#This Row],[Refraction]]</f>
        <v>45692</v>
      </c>
      <c r="V420" s="108">
        <v>485</v>
      </c>
      <c r="W420" s="69">
        <f>Table46[[#This Row],[PRICE]]*Table46[[#This Row],[PAID WT]]</f>
        <v>22160620</v>
      </c>
      <c r="X420" s="70">
        <v>9.6</v>
      </c>
      <c r="Y420" s="71">
        <v>187</v>
      </c>
      <c r="Z420" s="70">
        <v>44.17</v>
      </c>
      <c r="AA420" s="72"/>
      <c r="AB420" s="66" t="s">
        <v>132</v>
      </c>
      <c r="AC420" s="73"/>
      <c r="AD420" s="63" t="s">
        <v>587</v>
      </c>
      <c r="AE420" s="18">
        <f>Table46[[#This Row],[MOIS.]]*Table46[[#This Row],[NET WT KGS]]</f>
        <v>438988.79999999999</v>
      </c>
      <c r="AF420" s="18">
        <f>Table46[[#This Row],[KOR]]*Table46[[#This Row],[NET WT KGS]]</f>
        <v>2019805.76</v>
      </c>
      <c r="AG420">
        <f>Table46[[#This Row],[NET WT KGS]]*Table46[[#This Row],[NUT COUNT]]</f>
        <v>8551136</v>
      </c>
      <c r="AH420" s="8"/>
    </row>
    <row r="421" spans="1:44" x14ac:dyDescent="0.35">
      <c r="A421" s="32">
        <f t="shared" si="43"/>
        <v>419</v>
      </c>
      <c r="B421" s="20">
        <v>46107</v>
      </c>
      <c r="C421" s="20">
        <v>46107</v>
      </c>
      <c r="D421" s="10" t="s">
        <v>38</v>
      </c>
      <c r="E421" s="66" t="s">
        <v>39</v>
      </c>
      <c r="F421" s="50" t="s">
        <v>62</v>
      </c>
      <c r="G421" s="66"/>
      <c r="H421" s="66" t="s">
        <v>286</v>
      </c>
      <c r="I421" s="67" t="str">
        <f>VLOOKUP(Table46[[#This Row],[SUPPLIERS NAME]],[1]AGING!X$3:Y$30,2,)</f>
        <v>LBA-017-DPV</v>
      </c>
      <c r="J421" s="66" t="s">
        <v>612</v>
      </c>
      <c r="K421" s="21" t="s">
        <v>289</v>
      </c>
      <c r="L421" s="66">
        <v>652</v>
      </c>
      <c r="M421" s="10">
        <v>84376</v>
      </c>
      <c r="N421" s="66">
        <v>459</v>
      </c>
      <c r="O421" s="68">
        <v>40700</v>
      </c>
      <c r="P421" s="93">
        <f>Table46[[#This Row],[GROSS WT KGS]]-Table46[[#This Row],[SACS]]</f>
        <v>40241</v>
      </c>
      <c r="Q421" s="66">
        <f>Table46[[#This Row],[SACS]]-Table46[[#This Row],[Sacs déchirés]]</f>
        <v>435</v>
      </c>
      <c r="R421" s="67">
        <v>0</v>
      </c>
      <c r="S421" s="66">
        <v>24</v>
      </c>
      <c r="T421" s="10">
        <f t="shared" si="47"/>
        <v>96</v>
      </c>
      <c r="U421" s="68">
        <f>Table46[[#This Row],[NET WT KGS]]-Table46[[#This Row],[Refraction]]</f>
        <v>40145</v>
      </c>
      <c r="V421" s="108">
        <v>485</v>
      </c>
      <c r="W421" s="69">
        <f>Table46[[#This Row],[PRICE]]*Table46[[#This Row],[PAID WT]]</f>
        <v>19470325</v>
      </c>
      <c r="X421" s="70">
        <v>9.9</v>
      </c>
      <c r="Y421" s="71">
        <v>170</v>
      </c>
      <c r="Z421" s="70">
        <v>44.35</v>
      </c>
      <c r="AA421" s="72"/>
      <c r="AB421" s="66" t="s">
        <v>358</v>
      </c>
      <c r="AC421" s="73"/>
      <c r="AD421" s="63" t="s">
        <v>587</v>
      </c>
      <c r="AE421" s="18">
        <f>Table46[[#This Row],[MOIS.]]*Table46[[#This Row],[NET WT KGS]]</f>
        <v>398385.9</v>
      </c>
      <c r="AF421" s="18">
        <f>Table46[[#This Row],[KOR]]*Table46[[#This Row],[NET WT KGS]]</f>
        <v>1784688.35</v>
      </c>
      <c r="AG421">
        <f>Table46[[#This Row],[NET WT KGS]]*Table46[[#This Row],[NUT COUNT]]</f>
        <v>6840970</v>
      </c>
      <c r="AH421" s="8"/>
    </row>
    <row r="422" spans="1:44" x14ac:dyDescent="0.35">
      <c r="A422" s="32">
        <f t="shared" si="43"/>
        <v>420</v>
      </c>
      <c r="B422" s="65">
        <v>46107</v>
      </c>
      <c r="C422" s="20">
        <v>46107</v>
      </c>
      <c r="D422" s="10" t="s">
        <v>38</v>
      </c>
      <c r="E422" s="66" t="s">
        <v>39</v>
      </c>
      <c r="F422" s="50" t="s">
        <v>40</v>
      </c>
      <c r="G422" s="66" t="s">
        <v>350</v>
      </c>
      <c r="H422" s="67" t="s">
        <v>112</v>
      </c>
      <c r="I422" s="67" t="str">
        <f>VLOOKUP(Table46[[#This Row],[SUPPLIERS NAME]],[1]AGING!X$3:Y$30,2,)</f>
        <v>LBA-015-OUM</v>
      </c>
      <c r="J422" s="66" t="s">
        <v>522</v>
      </c>
      <c r="K422" s="21" t="s">
        <v>115</v>
      </c>
      <c r="L422" s="66">
        <v>147</v>
      </c>
      <c r="M422" s="10">
        <v>88279</v>
      </c>
      <c r="N422" s="66">
        <v>545</v>
      </c>
      <c r="O422" s="68">
        <f t="shared" ref="O422:O428" si="48">P422+N422</f>
        <v>45480</v>
      </c>
      <c r="P422" s="93">
        <v>44935</v>
      </c>
      <c r="Q422" s="66">
        <v>536</v>
      </c>
      <c r="R422" s="67">
        <v>0</v>
      </c>
      <c r="S422" s="66">
        <v>9</v>
      </c>
      <c r="T422" s="10">
        <f t="shared" si="47"/>
        <v>36</v>
      </c>
      <c r="U422" s="68">
        <f>Table46[[#This Row],[NET WT KGS]]-Table46[[#This Row],[Refraction]]</f>
        <v>44899</v>
      </c>
      <c r="V422" s="108">
        <v>485</v>
      </c>
      <c r="W422" s="69">
        <f>Table46[[#This Row],[PRICE]]*Table46[[#This Row],[PAID WT]]</f>
        <v>21776015</v>
      </c>
      <c r="X422" s="70">
        <v>8.1999999999999993</v>
      </c>
      <c r="Y422" s="71">
        <v>178</v>
      </c>
      <c r="Z422" s="70">
        <v>44.18</v>
      </c>
      <c r="AA422" s="72"/>
      <c r="AB422" s="66" t="s">
        <v>58</v>
      </c>
      <c r="AC422" s="73"/>
      <c r="AD422" s="63" t="s">
        <v>587</v>
      </c>
      <c r="AE422" s="18">
        <f>Table46[[#This Row],[MOIS.]]*Table46[[#This Row],[NET WT KGS]]</f>
        <v>368466.99999999994</v>
      </c>
      <c r="AF422" s="18">
        <f>Table46[[#This Row],[KOR]]*Table46[[#This Row],[NET WT KGS]]</f>
        <v>1985228.3</v>
      </c>
      <c r="AG422">
        <f>Table46[[#This Row],[NET WT KGS]]*Table46[[#This Row],[NUT COUNT]]</f>
        <v>7998430</v>
      </c>
      <c r="AH422" s="8"/>
    </row>
    <row r="423" spans="1:44" x14ac:dyDescent="0.35">
      <c r="A423" s="32">
        <f t="shared" si="43"/>
        <v>421</v>
      </c>
      <c r="B423" s="65">
        <v>46107</v>
      </c>
      <c r="C423" s="20">
        <v>46107</v>
      </c>
      <c r="D423" s="10" t="s">
        <v>38</v>
      </c>
      <c r="E423" s="66" t="s">
        <v>39</v>
      </c>
      <c r="F423" s="50" t="s">
        <v>40</v>
      </c>
      <c r="G423" s="10" t="s">
        <v>41</v>
      </c>
      <c r="H423" s="50" t="s">
        <v>112</v>
      </c>
      <c r="I423" s="67" t="str">
        <f>VLOOKUP(Table46[[#This Row],[SUPPLIERS NAME]],[1]AGING!X$3:Y$30,2,)</f>
        <v>LBA-015-OUM</v>
      </c>
      <c r="J423" s="10" t="s">
        <v>542</v>
      </c>
      <c r="K423" s="21" t="s">
        <v>115</v>
      </c>
      <c r="L423" s="10">
        <v>146</v>
      </c>
      <c r="M423" s="10">
        <v>68696</v>
      </c>
      <c r="N423" s="10">
        <v>644</v>
      </c>
      <c r="O423" s="22">
        <f t="shared" si="48"/>
        <v>48520</v>
      </c>
      <c r="P423" s="22">
        <v>47876</v>
      </c>
      <c r="Q423" s="10">
        <v>634</v>
      </c>
      <c r="R423" s="67">
        <v>0</v>
      </c>
      <c r="S423" s="10">
        <v>10</v>
      </c>
      <c r="T423" s="10">
        <f t="shared" si="47"/>
        <v>40</v>
      </c>
      <c r="U423" s="22">
        <f>Table46[[#This Row],[NET WT KGS]]-Table46[[#This Row],[Refraction]]</f>
        <v>47836</v>
      </c>
      <c r="V423" s="48">
        <v>485</v>
      </c>
      <c r="W423" s="23">
        <f>Table46[[#This Row],[PRICE]]*Table46[[#This Row],[PAID WT]]</f>
        <v>23200460</v>
      </c>
      <c r="X423" s="24">
        <v>8.9</v>
      </c>
      <c r="Y423" s="25">
        <v>177</v>
      </c>
      <c r="Z423" s="24">
        <v>44.09</v>
      </c>
      <c r="AA423" s="26"/>
      <c r="AB423" s="10" t="s">
        <v>140</v>
      </c>
      <c r="AC423" s="27"/>
      <c r="AD423" s="63" t="s">
        <v>587</v>
      </c>
      <c r="AE423" s="18">
        <f>Table46[[#This Row],[MOIS.]]*Table46[[#This Row],[NET WT KGS]]</f>
        <v>426096.4</v>
      </c>
      <c r="AF423" s="18">
        <f>Table46[[#This Row],[KOR]]*Table46[[#This Row],[NET WT KGS]]</f>
        <v>2110852.8400000003</v>
      </c>
      <c r="AG423">
        <f>Table46[[#This Row],[NET WT KGS]]*Table46[[#This Row],[NUT COUNT]]</f>
        <v>8474052</v>
      </c>
      <c r="AH423" s="8"/>
    </row>
    <row r="424" spans="1:44" x14ac:dyDescent="0.35">
      <c r="A424" s="32">
        <f t="shared" si="43"/>
        <v>422</v>
      </c>
      <c r="B424" s="20">
        <v>46107</v>
      </c>
      <c r="C424" s="20">
        <v>46108</v>
      </c>
      <c r="D424" s="10" t="s">
        <v>38</v>
      </c>
      <c r="E424" s="66" t="s">
        <v>39</v>
      </c>
      <c r="F424" s="50" t="s">
        <v>40</v>
      </c>
      <c r="G424" s="66" t="s">
        <v>350</v>
      </c>
      <c r="H424" s="67" t="s">
        <v>123</v>
      </c>
      <c r="I424" s="67" t="str">
        <f>VLOOKUP(Table46[[#This Row],[SUPPLIERS NAME]],[1]AGING!X$3:Y$30,2,)</f>
        <v>LBA-011-ASR</v>
      </c>
      <c r="J424" s="66" t="s">
        <v>613</v>
      </c>
      <c r="K424" s="21" t="s">
        <v>161</v>
      </c>
      <c r="L424" s="66">
        <v>149</v>
      </c>
      <c r="M424" s="10">
        <v>82491</v>
      </c>
      <c r="N424" s="66">
        <v>490</v>
      </c>
      <c r="O424" s="68">
        <f t="shared" si="48"/>
        <v>42060</v>
      </c>
      <c r="P424" s="68">
        <v>41570</v>
      </c>
      <c r="Q424" s="66">
        <v>484</v>
      </c>
      <c r="R424" s="67">
        <v>0</v>
      </c>
      <c r="S424" s="66">
        <v>6</v>
      </c>
      <c r="T424" s="10">
        <f t="shared" si="47"/>
        <v>24</v>
      </c>
      <c r="U424" s="68">
        <f>Table46[[#This Row],[NET WT KGS]]-Table46[[#This Row],[Refraction]]</f>
        <v>41546</v>
      </c>
      <c r="V424" s="69">
        <v>490</v>
      </c>
      <c r="W424" s="69">
        <f>Table46[[#This Row],[PRICE]]*Table46[[#This Row],[PAID WT]]</f>
        <v>20357540</v>
      </c>
      <c r="X424" s="70">
        <v>7</v>
      </c>
      <c r="Y424" s="71">
        <v>186</v>
      </c>
      <c r="Z424" s="70">
        <v>44.09</v>
      </c>
      <c r="AA424" s="72"/>
      <c r="AB424" s="66" t="s">
        <v>499</v>
      </c>
      <c r="AC424" s="73"/>
      <c r="AD424" s="63" t="s">
        <v>587</v>
      </c>
      <c r="AE424" s="18">
        <f>Table46[[#This Row],[MOIS.]]*Table46[[#This Row],[NET WT KGS]]</f>
        <v>290990</v>
      </c>
      <c r="AF424" s="18">
        <f>Table46[[#This Row],[KOR]]*Table46[[#This Row],[NET WT KGS]]</f>
        <v>1832821.3</v>
      </c>
      <c r="AG424">
        <f>Table46[[#This Row],[NET WT KGS]]*Table46[[#This Row],[NUT COUNT]]</f>
        <v>7732020</v>
      </c>
      <c r="AH424" s="8"/>
    </row>
    <row r="425" spans="1:44" x14ac:dyDescent="0.35">
      <c r="A425" s="32">
        <f t="shared" si="43"/>
        <v>423</v>
      </c>
      <c r="B425" s="20">
        <v>46107</v>
      </c>
      <c r="C425" s="20">
        <v>46108</v>
      </c>
      <c r="D425" s="10" t="s">
        <v>38</v>
      </c>
      <c r="E425" s="66" t="s">
        <v>39</v>
      </c>
      <c r="F425" s="50" t="s">
        <v>40</v>
      </c>
      <c r="G425" s="10" t="s">
        <v>350</v>
      </c>
      <c r="H425" s="50" t="s">
        <v>123</v>
      </c>
      <c r="I425" s="67" t="str">
        <f>VLOOKUP(Table46[[#This Row],[SUPPLIERS NAME]],[1]AGING!X$3:Y$30,2,)</f>
        <v>LBA-011-ASR</v>
      </c>
      <c r="J425" s="10" t="s">
        <v>221</v>
      </c>
      <c r="K425" s="21" t="s">
        <v>161</v>
      </c>
      <c r="L425" s="10">
        <v>148</v>
      </c>
      <c r="M425" s="10">
        <v>84380</v>
      </c>
      <c r="N425" s="10">
        <v>686</v>
      </c>
      <c r="O425" s="22">
        <f t="shared" si="48"/>
        <v>56360</v>
      </c>
      <c r="P425" s="22">
        <v>55674</v>
      </c>
      <c r="Q425" s="10">
        <v>672</v>
      </c>
      <c r="R425" s="67">
        <v>0</v>
      </c>
      <c r="S425" s="10">
        <v>14</v>
      </c>
      <c r="T425" s="10">
        <f t="shared" si="47"/>
        <v>56</v>
      </c>
      <c r="U425" s="22">
        <f>Table46[[#This Row],[NET WT KGS]]-Table46[[#This Row],[Refraction]]</f>
        <v>55618</v>
      </c>
      <c r="V425" s="23">
        <v>490</v>
      </c>
      <c r="W425" s="23">
        <f>Table46[[#This Row],[PRICE]]*Table46[[#This Row],[PAID WT]]</f>
        <v>27252820</v>
      </c>
      <c r="X425" s="24">
        <v>10.7</v>
      </c>
      <c r="Y425" s="25">
        <v>173</v>
      </c>
      <c r="Z425" s="24">
        <v>44.09</v>
      </c>
      <c r="AA425" s="26"/>
      <c r="AB425" s="10" t="s">
        <v>398</v>
      </c>
      <c r="AC425" s="27"/>
      <c r="AD425" s="63" t="s">
        <v>587</v>
      </c>
      <c r="AE425" s="18">
        <f>Table46[[#This Row],[MOIS.]]*Table46[[#This Row],[NET WT KGS]]</f>
        <v>595711.79999999993</v>
      </c>
      <c r="AF425" s="18">
        <f>Table46[[#This Row],[KOR]]*Table46[[#This Row],[NET WT KGS]]</f>
        <v>2454666.66</v>
      </c>
      <c r="AG425">
        <f>Table46[[#This Row],[NET WT KGS]]*Table46[[#This Row],[NUT COUNT]]</f>
        <v>9631602</v>
      </c>
      <c r="AH425" s="8"/>
    </row>
    <row r="426" spans="1:44" x14ac:dyDescent="0.35">
      <c r="A426" s="32">
        <f t="shared" si="43"/>
        <v>424</v>
      </c>
      <c r="B426" s="20">
        <v>46108</v>
      </c>
      <c r="C426" s="20">
        <v>46108</v>
      </c>
      <c r="D426" s="10" t="s">
        <v>38</v>
      </c>
      <c r="E426" s="66" t="s">
        <v>39</v>
      </c>
      <c r="F426" s="50" t="s">
        <v>40</v>
      </c>
      <c r="G426" s="10" t="s">
        <v>350</v>
      </c>
      <c r="H426" s="66" t="s">
        <v>154</v>
      </c>
      <c r="I426" s="67" t="str">
        <f>VLOOKUP(Table46[[#This Row],[SUPPLIERS NAME]],[1]AGING!X$3:Y$30,2,)</f>
        <v>LBA-010-CAP</v>
      </c>
      <c r="J426" s="10" t="s">
        <v>311</v>
      </c>
      <c r="K426" s="33" t="s">
        <v>157</v>
      </c>
      <c r="L426" s="10">
        <v>1151</v>
      </c>
      <c r="M426" s="10">
        <v>82673</v>
      </c>
      <c r="N426" s="10">
        <v>398</v>
      </c>
      <c r="O426" s="22">
        <f t="shared" si="48"/>
        <v>33480</v>
      </c>
      <c r="P426" s="22">
        <v>33082</v>
      </c>
      <c r="Q426" s="10">
        <v>393</v>
      </c>
      <c r="R426" s="67">
        <v>0</v>
      </c>
      <c r="S426" s="10">
        <v>5</v>
      </c>
      <c r="T426" s="10">
        <f t="shared" si="47"/>
        <v>20</v>
      </c>
      <c r="U426" s="22">
        <f>Table46[[#This Row],[NET WT KGS]]-Table46[[#This Row],[Refraction]]</f>
        <v>33062</v>
      </c>
      <c r="V426" s="23">
        <v>485</v>
      </c>
      <c r="W426" s="23">
        <f>Table46[[#This Row],[PRICE]]*Table46[[#This Row],[PAID WT]]</f>
        <v>16035070</v>
      </c>
      <c r="X426" s="24">
        <v>9</v>
      </c>
      <c r="Y426" s="25">
        <v>164</v>
      </c>
      <c r="Z426" s="24">
        <v>44.44</v>
      </c>
      <c r="AA426" s="26"/>
      <c r="AB426" s="10" t="s">
        <v>40</v>
      </c>
      <c r="AC426" s="27"/>
      <c r="AD426" s="63" t="s">
        <v>587</v>
      </c>
      <c r="AE426" s="18">
        <f>Table46[[#This Row],[MOIS.]]*Table46[[#This Row],[NET WT KGS]]</f>
        <v>297738</v>
      </c>
      <c r="AF426" s="18">
        <f>Table46[[#This Row],[KOR]]*Table46[[#This Row],[NET WT KGS]]</f>
        <v>1470164.0799999998</v>
      </c>
      <c r="AG426">
        <f>Table46[[#This Row],[NET WT KGS]]*Table46[[#This Row],[NUT COUNT]]</f>
        <v>5425448</v>
      </c>
      <c r="AH426" s="8"/>
    </row>
    <row r="427" spans="1:44" x14ac:dyDescent="0.35">
      <c r="A427" s="32">
        <f t="shared" si="43"/>
        <v>425</v>
      </c>
      <c r="B427" s="20">
        <v>46108</v>
      </c>
      <c r="C427" s="20">
        <v>46108</v>
      </c>
      <c r="D427" s="10" t="s">
        <v>38</v>
      </c>
      <c r="E427" s="66" t="s">
        <v>39</v>
      </c>
      <c r="F427" s="50" t="s">
        <v>40</v>
      </c>
      <c r="G427" s="10" t="s">
        <v>350</v>
      </c>
      <c r="H427" s="67" t="s">
        <v>280</v>
      </c>
      <c r="I427" s="67" t="s">
        <v>281</v>
      </c>
      <c r="J427" s="10" t="s">
        <v>424</v>
      </c>
      <c r="K427" s="21" t="s">
        <v>283</v>
      </c>
      <c r="L427" s="10">
        <v>150</v>
      </c>
      <c r="M427" s="10">
        <v>82144</v>
      </c>
      <c r="N427" s="10">
        <v>460</v>
      </c>
      <c r="O427" s="22">
        <f t="shared" si="48"/>
        <v>42680</v>
      </c>
      <c r="P427" s="22">
        <v>42220</v>
      </c>
      <c r="Q427" s="10">
        <v>450</v>
      </c>
      <c r="R427" s="67">
        <v>0</v>
      </c>
      <c r="S427" s="10">
        <v>10</v>
      </c>
      <c r="T427" s="10">
        <f t="shared" si="47"/>
        <v>40</v>
      </c>
      <c r="U427" s="22">
        <f>Table46[[#This Row],[NET WT KGS]]-Table46[[#This Row],[Refraction]]</f>
        <v>42180</v>
      </c>
      <c r="V427" s="23">
        <v>485</v>
      </c>
      <c r="W427" s="23">
        <f>Table46[[#This Row],[PRICE]]*Table46[[#This Row],[PAID WT]]</f>
        <v>20457300</v>
      </c>
      <c r="X427" s="24">
        <v>10</v>
      </c>
      <c r="Y427" s="25">
        <v>180</v>
      </c>
      <c r="Z427" s="24">
        <v>44.09</v>
      </c>
      <c r="AA427" s="26"/>
      <c r="AB427" s="10" t="s">
        <v>78</v>
      </c>
      <c r="AC427" s="27"/>
      <c r="AD427" s="63" t="s">
        <v>587</v>
      </c>
      <c r="AE427" s="18">
        <f>Table46[[#This Row],[MOIS.]]*Table46[[#This Row],[NET WT KGS]]</f>
        <v>422200</v>
      </c>
      <c r="AF427" s="18">
        <f>Table46[[#This Row],[KOR]]*Table46[[#This Row],[NET WT KGS]]</f>
        <v>1861479.8</v>
      </c>
      <c r="AG427">
        <f>Table46[[#This Row],[NET WT KGS]]*Table46[[#This Row],[NUT COUNT]]</f>
        <v>7599600</v>
      </c>
      <c r="AH427" s="8"/>
    </row>
    <row r="428" spans="1:44" x14ac:dyDescent="0.35">
      <c r="A428" s="32">
        <f t="shared" si="43"/>
        <v>426</v>
      </c>
      <c r="B428" s="20">
        <v>46108</v>
      </c>
      <c r="C428" s="20">
        <v>46108</v>
      </c>
      <c r="D428" s="10" t="s">
        <v>38</v>
      </c>
      <c r="E428" s="10" t="s">
        <v>39</v>
      </c>
      <c r="F428" s="50" t="s">
        <v>40</v>
      </c>
      <c r="G428" s="10" t="s">
        <v>350</v>
      </c>
      <c r="H428" s="10" t="s">
        <v>87</v>
      </c>
      <c r="I428" s="67" t="str">
        <f>VLOOKUP(Table46[[#This Row],[SUPPLIERS NAME]],[1]AGING!X$3:Y$30,2,)</f>
        <v>LBA-009-SCO</v>
      </c>
      <c r="J428" s="10" t="s">
        <v>460</v>
      </c>
      <c r="K428" s="33" t="s">
        <v>90</v>
      </c>
      <c r="L428" s="10">
        <v>1152</v>
      </c>
      <c r="M428" s="10">
        <v>88414</v>
      </c>
      <c r="N428" s="10">
        <v>587</v>
      </c>
      <c r="O428" s="22">
        <f t="shared" si="48"/>
        <v>51360</v>
      </c>
      <c r="P428" s="22">
        <v>50773</v>
      </c>
      <c r="Q428" s="10">
        <v>582</v>
      </c>
      <c r="R428" s="67">
        <v>0</v>
      </c>
      <c r="S428" s="10">
        <v>5</v>
      </c>
      <c r="T428" s="10">
        <f t="shared" si="47"/>
        <v>20</v>
      </c>
      <c r="U428" s="22">
        <f>Table46[[#This Row],[NET WT KGS]]-Table46[[#This Row],[Refraction]]</f>
        <v>50753</v>
      </c>
      <c r="V428" s="23">
        <v>485</v>
      </c>
      <c r="W428" s="23">
        <f>Table46[[#This Row],[PRICE]]*Table46[[#This Row],[PAID WT]]</f>
        <v>24615205</v>
      </c>
      <c r="X428" s="24">
        <v>9.4</v>
      </c>
      <c r="Y428" s="25">
        <v>171</v>
      </c>
      <c r="Z428" s="24">
        <v>44.09</v>
      </c>
      <c r="AA428" s="26"/>
      <c r="AB428" s="10" t="s">
        <v>580</v>
      </c>
      <c r="AC428" s="27"/>
      <c r="AD428" s="63" t="s">
        <v>587</v>
      </c>
      <c r="AE428" s="18">
        <f>Table46[[#This Row],[MOIS.]]*Table46[[#This Row],[NET WT KGS]]</f>
        <v>477266.2</v>
      </c>
      <c r="AF428" s="18">
        <f>Table46[[#This Row],[KOR]]*Table46[[#This Row],[NET WT KGS]]</f>
        <v>2238581.5700000003</v>
      </c>
      <c r="AG428">
        <f>Table46[[#This Row],[NET WT KGS]]*Table46[[#This Row],[NUT COUNT]]</f>
        <v>8682183</v>
      </c>
      <c r="AH428" s="8"/>
    </row>
    <row r="429" spans="1:44" x14ac:dyDescent="0.35">
      <c r="A429" s="32">
        <f t="shared" si="43"/>
        <v>427</v>
      </c>
      <c r="B429" s="20">
        <v>46108</v>
      </c>
      <c r="C429" s="20">
        <v>46108</v>
      </c>
      <c r="D429" s="10" t="s">
        <v>38</v>
      </c>
      <c r="E429" s="10" t="s">
        <v>39</v>
      </c>
      <c r="F429" s="50" t="s">
        <v>62</v>
      </c>
      <c r="G429" s="10"/>
      <c r="H429" s="10" t="s">
        <v>128</v>
      </c>
      <c r="I429" s="67" t="str">
        <f>VLOOKUP(Table46[[#This Row],[SUPPLIERS NAME]],[1]AGING!X$3:Y$30,2,)</f>
        <v>LBA-002-SCA</v>
      </c>
      <c r="J429" s="10" t="s">
        <v>614</v>
      </c>
      <c r="K429" s="33" t="s">
        <v>131</v>
      </c>
      <c r="L429" s="10">
        <v>655</v>
      </c>
      <c r="M429" s="10">
        <v>83407</v>
      </c>
      <c r="N429" s="10">
        <v>575</v>
      </c>
      <c r="O429" s="22">
        <v>42860</v>
      </c>
      <c r="P429" s="51">
        <f>Table46[[#This Row],[GROSS WT KGS]]-Table46[[#This Row],[SACS]]</f>
        <v>42285</v>
      </c>
      <c r="Q429" s="10">
        <v>551</v>
      </c>
      <c r="R429" s="67">
        <v>0</v>
      </c>
      <c r="S429" s="10">
        <v>24</v>
      </c>
      <c r="T429" s="10">
        <f t="shared" si="47"/>
        <v>96</v>
      </c>
      <c r="U429" s="22">
        <f>Table46[[#This Row],[NET WT KGS]]-Table46[[#This Row],[Refraction]]</f>
        <v>42189</v>
      </c>
      <c r="V429" s="23">
        <v>490</v>
      </c>
      <c r="W429" s="23">
        <f>Table46[[#This Row],[PRICE]]*Table46[[#This Row],[PAID WT]]</f>
        <v>20672610</v>
      </c>
      <c r="X429" s="24">
        <v>9.5</v>
      </c>
      <c r="Y429" s="25">
        <v>178</v>
      </c>
      <c r="Z429" s="24">
        <v>44.35</v>
      </c>
      <c r="AA429" s="26"/>
      <c r="AB429" s="10" t="s">
        <v>132</v>
      </c>
      <c r="AC429" s="27"/>
      <c r="AD429" s="63" t="s">
        <v>587</v>
      </c>
      <c r="AE429" s="18">
        <f>Table46[[#This Row],[MOIS.]]*Table46[[#This Row],[NET WT KGS]]</f>
        <v>401707.5</v>
      </c>
      <c r="AF429" s="18">
        <f>Table46[[#This Row],[KOR]]*Table46[[#This Row],[NET WT KGS]]</f>
        <v>1875339.75</v>
      </c>
      <c r="AG429">
        <f>Table46[[#This Row],[NET WT KGS]]*Table46[[#This Row],[NUT COUNT]]</f>
        <v>7526730</v>
      </c>
      <c r="AH429" s="8"/>
    </row>
    <row r="430" spans="1:44" x14ac:dyDescent="0.35">
      <c r="A430" s="32">
        <f t="shared" si="43"/>
        <v>428</v>
      </c>
      <c r="B430" s="20">
        <v>46108</v>
      </c>
      <c r="C430" s="20">
        <v>46109</v>
      </c>
      <c r="D430" s="10" t="s">
        <v>38</v>
      </c>
      <c r="E430" s="10" t="s">
        <v>39</v>
      </c>
      <c r="F430" s="50" t="s">
        <v>40</v>
      </c>
      <c r="G430" s="10" t="s">
        <v>41</v>
      </c>
      <c r="H430" s="66" t="s">
        <v>87</v>
      </c>
      <c r="I430" s="67" t="str">
        <f>VLOOKUP(Table46[[#This Row],[SUPPLIERS NAME]],[1]AGING!X$3:Y$30,2,)</f>
        <v>LBA-009-SCO</v>
      </c>
      <c r="J430" s="10" t="s">
        <v>615</v>
      </c>
      <c r="K430" s="33" t="s">
        <v>90</v>
      </c>
      <c r="L430" s="10">
        <v>1153</v>
      </c>
      <c r="M430" s="10">
        <v>83918</v>
      </c>
      <c r="N430" s="10">
        <v>380</v>
      </c>
      <c r="O430" s="22">
        <f>P430+N430</f>
        <v>30700</v>
      </c>
      <c r="P430" s="51">
        <v>30320</v>
      </c>
      <c r="Q430" s="10">
        <v>368</v>
      </c>
      <c r="R430" s="50">
        <v>0</v>
      </c>
      <c r="S430" s="10">
        <v>12</v>
      </c>
      <c r="T430" s="10">
        <f t="shared" si="47"/>
        <v>48</v>
      </c>
      <c r="U430" s="22">
        <f>Table46[[#This Row],[NET WT KGS]]-Table46[[#This Row],[Refraction]]</f>
        <v>30272</v>
      </c>
      <c r="V430" s="23">
        <v>485</v>
      </c>
      <c r="W430" s="23">
        <f>Table46[[#This Row],[PRICE]]*Table46[[#This Row],[PAID WT]]</f>
        <v>14681920</v>
      </c>
      <c r="X430" s="24">
        <v>7.9</v>
      </c>
      <c r="Y430" s="25">
        <v>186</v>
      </c>
      <c r="Z430" s="24">
        <v>44.09</v>
      </c>
      <c r="AA430" s="26"/>
      <c r="AB430" s="10" t="s">
        <v>583</v>
      </c>
      <c r="AC430" s="27"/>
      <c r="AD430" s="63" t="s">
        <v>587</v>
      </c>
      <c r="AE430" s="18">
        <f>Table46[[#This Row],[MOIS.]]*Table46[[#This Row],[NET WT KGS]]</f>
        <v>239528</v>
      </c>
      <c r="AF430" s="18">
        <f>Table46[[#This Row],[KOR]]*Table46[[#This Row],[NET WT KGS]]</f>
        <v>1336808.8</v>
      </c>
      <c r="AG430">
        <f>Table46[[#This Row],[NET WT KGS]]*Table46[[#This Row],[NUT COUNT]]</f>
        <v>5639520</v>
      </c>
      <c r="AH430" s="8"/>
    </row>
    <row r="431" spans="1:44" x14ac:dyDescent="0.35">
      <c r="A431" s="32">
        <f t="shared" si="43"/>
        <v>429</v>
      </c>
      <c r="B431" s="20">
        <v>46109</v>
      </c>
      <c r="C431" s="20">
        <v>46109</v>
      </c>
      <c r="D431" s="10" t="s">
        <v>38</v>
      </c>
      <c r="E431" s="10" t="s">
        <v>39</v>
      </c>
      <c r="F431" s="50" t="s">
        <v>40</v>
      </c>
      <c r="G431" s="10" t="s">
        <v>41</v>
      </c>
      <c r="H431" s="66" t="s">
        <v>136</v>
      </c>
      <c r="I431" s="67" t="str">
        <f>VLOOKUP(Table46[[#This Row],[SUPPLIERS NAME]],[1]AGING!X$3:Y$30,2,)</f>
        <v>LBA-004-WEB</v>
      </c>
      <c r="J431" s="10" t="s">
        <v>462</v>
      </c>
      <c r="K431" s="21" t="s">
        <v>139</v>
      </c>
      <c r="L431" s="10">
        <v>1154</v>
      </c>
      <c r="M431" s="10">
        <v>83400</v>
      </c>
      <c r="N431" s="10">
        <v>533</v>
      </c>
      <c r="O431" s="22">
        <f>P431+N431</f>
        <v>43820</v>
      </c>
      <c r="P431" s="51">
        <v>43287</v>
      </c>
      <c r="Q431" s="10">
        <v>524</v>
      </c>
      <c r="R431" s="50">
        <v>0</v>
      </c>
      <c r="S431" s="10">
        <v>9</v>
      </c>
      <c r="T431" s="10">
        <f t="shared" si="47"/>
        <v>36</v>
      </c>
      <c r="U431" s="22">
        <f>Table46[[#This Row],[NET WT KGS]]-Table46[[#This Row],[Refraction]]</f>
        <v>43251</v>
      </c>
      <c r="V431" s="23">
        <v>495</v>
      </c>
      <c r="W431" s="23">
        <f>Table46[[#This Row],[PRICE]]*Table46[[#This Row],[PAID WT]]</f>
        <v>21409245</v>
      </c>
      <c r="X431" s="24">
        <v>8.5</v>
      </c>
      <c r="Y431" s="25">
        <v>179</v>
      </c>
      <c r="Z431" s="24">
        <v>45.503459999999997</v>
      </c>
      <c r="AA431" s="26"/>
      <c r="AB431" s="10" t="s">
        <v>140</v>
      </c>
      <c r="AC431" s="27"/>
      <c r="AD431" s="63" t="s">
        <v>587</v>
      </c>
      <c r="AE431" s="18">
        <f>Table46[[#This Row],[MOIS.]]*Table46[[#This Row],[NET WT KGS]]</f>
        <v>367939.5</v>
      </c>
      <c r="AF431" s="18">
        <f>Table46[[#This Row],[KOR]]*Table46[[#This Row],[NET WT KGS]]</f>
        <v>1969708.27302</v>
      </c>
      <c r="AG431">
        <f>Table46[[#This Row],[NET WT KGS]]*Table46[[#This Row],[NUT COUNT]]</f>
        <v>7748373</v>
      </c>
      <c r="AH431" s="8"/>
    </row>
    <row r="432" spans="1:44" x14ac:dyDescent="0.35">
      <c r="A432" s="32">
        <f t="shared" si="43"/>
        <v>430</v>
      </c>
      <c r="B432" s="20">
        <v>46109</v>
      </c>
      <c r="C432" s="20">
        <v>46110</v>
      </c>
      <c r="D432" s="10" t="s">
        <v>38</v>
      </c>
      <c r="E432" s="10" t="s">
        <v>39</v>
      </c>
      <c r="F432" s="50" t="s">
        <v>62</v>
      </c>
      <c r="G432" s="10"/>
      <c r="H432" s="66" t="s">
        <v>136</v>
      </c>
      <c r="I432" s="67" t="str">
        <f>VLOOKUP(Table46[[#This Row],[SUPPLIERS NAME]],[1]AGING!X$3:Y$30,2,)</f>
        <v>LBA-004-WEB</v>
      </c>
      <c r="J432" s="10" t="s">
        <v>616</v>
      </c>
      <c r="K432" s="21" t="s">
        <v>139</v>
      </c>
      <c r="L432" s="10">
        <v>656</v>
      </c>
      <c r="M432" s="10">
        <v>82495</v>
      </c>
      <c r="N432" s="10">
        <v>530</v>
      </c>
      <c r="O432" s="22">
        <v>46120</v>
      </c>
      <c r="P432" s="51">
        <f>Table46[[#This Row],[GROSS WT KGS]]-Table46[[#This Row],[SACS]]</f>
        <v>45590</v>
      </c>
      <c r="Q432" s="10">
        <v>510</v>
      </c>
      <c r="R432" s="50">
        <v>0</v>
      </c>
      <c r="S432" s="10">
        <v>20</v>
      </c>
      <c r="T432" s="10">
        <f t="shared" si="47"/>
        <v>80</v>
      </c>
      <c r="U432" s="22">
        <f>Table46[[#This Row],[NET WT KGS]]-Table46[[#This Row],[Refraction]]</f>
        <v>45510</v>
      </c>
      <c r="V432" s="23">
        <v>490</v>
      </c>
      <c r="W432" s="23">
        <f>Table46[[#This Row],[PRICE]]*Table46[[#This Row],[PAID WT]]</f>
        <v>22299900</v>
      </c>
      <c r="X432" s="24">
        <v>11.9</v>
      </c>
      <c r="Y432" s="25">
        <v>179</v>
      </c>
      <c r="Z432" s="24">
        <v>44.17</v>
      </c>
      <c r="AA432" s="26"/>
      <c r="AB432" s="10" t="s">
        <v>617</v>
      </c>
      <c r="AC432" s="27"/>
      <c r="AD432" s="63" t="s">
        <v>587</v>
      </c>
      <c r="AE432" s="18">
        <f>Table46[[#This Row],[MOIS.]]*Table46[[#This Row],[NET WT KGS]]</f>
        <v>542521</v>
      </c>
      <c r="AF432" s="18">
        <f>Table46[[#This Row],[KOR]]*Table46[[#This Row],[NET WT KGS]]</f>
        <v>2013710.3</v>
      </c>
      <c r="AG432">
        <f>Table46[[#This Row],[NET WT KGS]]*Table46[[#This Row],[NUT COUNT]]</f>
        <v>8160610</v>
      </c>
      <c r="AH432" s="8"/>
      <c r="AR432" s="8"/>
    </row>
    <row r="433" spans="1:34" x14ac:dyDescent="0.35">
      <c r="A433" s="32">
        <f t="shared" si="43"/>
        <v>431</v>
      </c>
      <c r="B433" s="20">
        <v>46110</v>
      </c>
      <c r="C433" s="20">
        <v>46110</v>
      </c>
      <c r="D433" s="10" t="s">
        <v>38</v>
      </c>
      <c r="E433" s="10" t="s">
        <v>39</v>
      </c>
      <c r="F433" s="50" t="s">
        <v>40</v>
      </c>
      <c r="G433" s="66" t="s">
        <v>350</v>
      </c>
      <c r="H433" s="66" t="s">
        <v>235</v>
      </c>
      <c r="I433" s="67" t="str">
        <f>VLOOKUP(Table46[[#This Row],[SUPPLIERS NAME]],[1]AGING!X$3:Y$30,2,)</f>
        <v>LBA-008-COB</v>
      </c>
      <c r="J433" s="66" t="s">
        <v>618</v>
      </c>
      <c r="K433" s="33" t="s">
        <v>238</v>
      </c>
      <c r="L433" s="66">
        <v>1155</v>
      </c>
      <c r="M433" s="10">
        <v>82136</v>
      </c>
      <c r="N433" s="66">
        <v>472</v>
      </c>
      <c r="O433" s="68">
        <f t="shared" ref="O433:O439" si="49">P433+N433</f>
        <v>41720</v>
      </c>
      <c r="P433" s="93">
        <v>41248</v>
      </c>
      <c r="Q433" s="66">
        <v>463</v>
      </c>
      <c r="R433" s="67">
        <v>0</v>
      </c>
      <c r="S433" s="66">
        <v>9</v>
      </c>
      <c r="T433" s="10">
        <f t="shared" si="47"/>
        <v>36</v>
      </c>
      <c r="U433" s="68">
        <f>Table46[[#This Row],[NET WT KGS]]-Table46[[#This Row],[Refraction]]</f>
        <v>41212</v>
      </c>
      <c r="V433" s="108">
        <v>500</v>
      </c>
      <c r="W433" s="69">
        <f>Table46[[#This Row],[PRICE]]*Table46[[#This Row],[PAID WT]]</f>
        <v>20606000</v>
      </c>
      <c r="X433" s="70">
        <v>11.1</v>
      </c>
      <c r="Y433" s="71">
        <v>163</v>
      </c>
      <c r="Z433" s="70">
        <v>44.09</v>
      </c>
      <c r="AA433" s="72"/>
      <c r="AB433" s="66" t="s">
        <v>150</v>
      </c>
      <c r="AC433" s="73"/>
      <c r="AD433" s="63" t="s">
        <v>587</v>
      </c>
      <c r="AE433" s="18">
        <f>Table46[[#This Row],[MOIS.]]*Table46[[#This Row],[NET WT KGS]]</f>
        <v>457852.8</v>
      </c>
      <c r="AF433" s="18">
        <f>Table46[[#This Row],[KOR]]*Table46[[#This Row],[NET WT KGS]]</f>
        <v>1818624.32</v>
      </c>
      <c r="AG433">
        <f>Table46[[#This Row],[NET WT KGS]]*Table46[[#This Row],[NUT COUNT]]</f>
        <v>6723424</v>
      </c>
      <c r="AH433" s="8"/>
    </row>
    <row r="434" spans="1:34" x14ac:dyDescent="0.35">
      <c r="A434" s="32">
        <f t="shared" si="43"/>
        <v>432</v>
      </c>
      <c r="B434" s="35">
        <v>46110</v>
      </c>
      <c r="C434" s="35">
        <f>Table46[[#This Row],[DATE OF ARRIVAL]]</f>
        <v>46110</v>
      </c>
      <c r="D434" s="36" t="s">
        <v>38</v>
      </c>
      <c r="E434" s="74" t="s">
        <v>39</v>
      </c>
      <c r="F434" s="36" t="s">
        <v>40</v>
      </c>
      <c r="G434" s="74"/>
      <c r="H434" s="74" t="s">
        <v>42</v>
      </c>
      <c r="I434" s="36" t="str">
        <f>VLOOKUP(Table46[[#This Row],[SUPPLIERS NAME]],[1]AGING!X$3:Y$30,2,)</f>
        <v>LBA-006-IMA</v>
      </c>
      <c r="J434" s="36" t="s">
        <v>366</v>
      </c>
      <c r="K434" s="74"/>
      <c r="L434" s="36"/>
      <c r="M434" s="74"/>
      <c r="N434" s="36"/>
      <c r="O434" s="37">
        <f t="shared" si="49"/>
        <v>0</v>
      </c>
      <c r="P434" s="37"/>
      <c r="Q434" s="36"/>
      <c r="R434" s="79"/>
      <c r="S434" s="36"/>
      <c r="T434" s="36"/>
      <c r="U434" s="37">
        <f>Table46[[#This Row],[NET WT KGS]]-Table46[[#This Row],[Refraction]]</f>
        <v>0</v>
      </c>
      <c r="V434" s="38"/>
      <c r="W434" s="38">
        <f>Table46[[#This Row],[PRICE]]*Table46[[#This Row],[PAID WT]]</f>
        <v>0</v>
      </c>
      <c r="X434" s="39">
        <v>12.5</v>
      </c>
      <c r="Y434" s="40">
        <v>151</v>
      </c>
      <c r="Z434" s="39">
        <v>41.97</v>
      </c>
      <c r="AA434" s="41"/>
      <c r="AB434" s="36" t="s">
        <v>40</v>
      </c>
      <c r="AC434" s="42" t="s">
        <v>70</v>
      </c>
      <c r="AD434" s="99"/>
      <c r="AE434" s="18">
        <f>Table46[[#This Row],[MOIS.]]*Table46[[#This Row],[NET WT KGS]]</f>
        <v>0</v>
      </c>
      <c r="AF434" s="18">
        <f>Table46[[#This Row],[KOR]]*Table46[[#This Row],[NET WT KGS]]</f>
        <v>0</v>
      </c>
      <c r="AG434">
        <f>Table46[[#This Row],[NET WT KGS]]*Table46[[#This Row],[NUT COUNT]]</f>
        <v>0</v>
      </c>
      <c r="AH434" s="8"/>
    </row>
    <row r="435" spans="1:34" x14ac:dyDescent="0.35">
      <c r="A435" s="32">
        <f t="shared" si="43"/>
        <v>433</v>
      </c>
      <c r="B435" s="35">
        <v>46110</v>
      </c>
      <c r="C435" s="35">
        <f>Table46[[#This Row],[DATE OF ARRIVAL]]</f>
        <v>46110</v>
      </c>
      <c r="D435" s="36" t="s">
        <v>38</v>
      </c>
      <c r="E435" s="36" t="s">
        <v>39</v>
      </c>
      <c r="F435" s="36" t="s">
        <v>40</v>
      </c>
      <c r="G435" s="74"/>
      <c r="H435" s="74" t="s">
        <v>87</v>
      </c>
      <c r="I435" s="36" t="str">
        <f>VLOOKUP(Table46[[#This Row],[SUPPLIERS NAME]],[1]AGING!X$3:Y$30,2,)</f>
        <v>LBA-009-SCO</v>
      </c>
      <c r="J435" s="36" t="s">
        <v>433</v>
      </c>
      <c r="K435" s="74"/>
      <c r="L435" s="36"/>
      <c r="M435" s="74"/>
      <c r="N435" s="36"/>
      <c r="O435" s="37">
        <f t="shared" si="49"/>
        <v>0</v>
      </c>
      <c r="P435" s="37"/>
      <c r="Q435" s="36"/>
      <c r="R435" s="79"/>
      <c r="S435" s="36"/>
      <c r="T435" s="36"/>
      <c r="U435" s="37">
        <f>Table46[[#This Row],[NET WT KGS]]-Table46[[#This Row],[Refraction]]</f>
        <v>0</v>
      </c>
      <c r="V435" s="38"/>
      <c r="W435" s="38">
        <f>Table46[[#This Row],[PRICE]]*Table46[[#This Row],[PAID WT]]</f>
        <v>0</v>
      </c>
      <c r="X435" s="39">
        <v>9.3000000000000007</v>
      </c>
      <c r="Y435" s="40">
        <v>182</v>
      </c>
      <c r="Z435" s="39">
        <v>40.21</v>
      </c>
      <c r="AA435" s="41"/>
      <c r="AB435" s="36" t="s">
        <v>132</v>
      </c>
      <c r="AC435" s="42" t="s">
        <v>70</v>
      </c>
      <c r="AD435" s="99"/>
      <c r="AE435" s="18">
        <f>Table46[[#This Row],[MOIS.]]*Table46[[#This Row],[NET WT KGS]]</f>
        <v>0</v>
      </c>
      <c r="AF435" s="18">
        <f>Table46[[#This Row],[KOR]]*Table46[[#This Row],[NET WT KGS]]</f>
        <v>0</v>
      </c>
      <c r="AG435">
        <f>Table46[[#This Row],[NET WT KGS]]*Table46[[#This Row],[NUT COUNT]]</f>
        <v>0</v>
      </c>
      <c r="AH435" s="8"/>
    </row>
    <row r="436" spans="1:34" x14ac:dyDescent="0.35">
      <c r="A436" s="32">
        <f t="shared" si="43"/>
        <v>434</v>
      </c>
      <c r="B436" s="35">
        <v>46110</v>
      </c>
      <c r="C436" s="35">
        <f>Table46[[#This Row],[DATE OF ARRIVAL]]</f>
        <v>46110</v>
      </c>
      <c r="D436" s="36" t="s">
        <v>38</v>
      </c>
      <c r="E436" s="36" t="s">
        <v>39</v>
      </c>
      <c r="F436" s="74" t="s">
        <v>40</v>
      </c>
      <c r="G436" s="74"/>
      <c r="H436" s="36" t="s">
        <v>280</v>
      </c>
      <c r="I436" s="74" t="s">
        <v>281</v>
      </c>
      <c r="J436" s="74" t="s">
        <v>619</v>
      </c>
      <c r="K436" s="74"/>
      <c r="L436" s="74"/>
      <c r="M436" s="74"/>
      <c r="N436" s="74"/>
      <c r="O436" s="79">
        <f t="shared" si="49"/>
        <v>0</v>
      </c>
      <c r="P436" s="37"/>
      <c r="Q436" s="74"/>
      <c r="R436" s="79"/>
      <c r="S436" s="74"/>
      <c r="T436" s="36"/>
      <c r="U436" s="79">
        <f>Table46[[#This Row],[NET WT KGS]]-Table46[[#This Row],[Refraction]]</f>
        <v>0</v>
      </c>
      <c r="V436" s="81"/>
      <c r="W436" s="81">
        <f>Table46[[#This Row],[PRICE]]*Table46[[#This Row],[PAID WT]]</f>
        <v>0</v>
      </c>
      <c r="X436" s="82">
        <v>9.8000000000000007</v>
      </c>
      <c r="Y436" s="83">
        <v>178</v>
      </c>
      <c r="Z436" s="82">
        <v>43.56</v>
      </c>
      <c r="AA436" s="84"/>
      <c r="AB436" s="74" t="s">
        <v>140</v>
      </c>
      <c r="AC436" s="42" t="s">
        <v>70</v>
      </c>
      <c r="AD436" s="99"/>
      <c r="AE436" s="18">
        <f>Table46[[#This Row],[MOIS.]]*Table46[[#This Row],[NET WT KGS]]</f>
        <v>0</v>
      </c>
      <c r="AF436" s="18">
        <f>Table46[[#This Row],[KOR]]*Table46[[#This Row],[NET WT KGS]]</f>
        <v>0</v>
      </c>
      <c r="AG436">
        <f>Table46[[#This Row],[NET WT KGS]]*Table46[[#This Row],[NUT COUNT]]</f>
        <v>0</v>
      </c>
      <c r="AH436" s="8"/>
    </row>
    <row r="437" spans="1:34" x14ac:dyDescent="0.35">
      <c r="A437" s="32">
        <f t="shared" si="43"/>
        <v>435</v>
      </c>
      <c r="B437" s="20">
        <v>46111</v>
      </c>
      <c r="C437" s="20">
        <v>46111</v>
      </c>
      <c r="D437" s="10" t="s">
        <v>38</v>
      </c>
      <c r="E437" s="10" t="s">
        <v>39</v>
      </c>
      <c r="F437" s="67" t="s">
        <v>40</v>
      </c>
      <c r="G437" s="10" t="s">
        <v>350</v>
      </c>
      <c r="H437" s="10" t="s">
        <v>202</v>
      </c>
      <c r="I437" s="67" t="str">
        <f>VLOOKUP(Table46[[#This Row],[SUPPLIERS NAME]],[1]AGING!X$3:Y$30,2,)</f>
        <v>LBA-012-KPE</v>
      </c>
      <c r="J437" s="10" t="s">
        <v>204</v>
      </c>
      <c r="K437" s="33" t="s">
        <v>205</v>
      </c>
      <c r="L437" s="10">
        <v>1157</v>
      </c>
      <c r="M437" s="10">
        <v>32751</v>
      </c>
      <c r="N437" s="10">
        <v>496</v>
      </c>
      <c r="O437" s="22">
        <f t="shared" si="49"/>
        <v>44700</v>
      </c>
      <c r="P437" s="22">
        <v>44204</v>
      </c>
      <c r="Q437" s="10">
        <v>486</v>
      </c>
      <c r="R437" s="67">
        <v>0</v>
      </c>
      <c r="S437" s="10">
        <v>10</v>
      </c>
      <c r="T437" s="10">
        <f>S437*4+R437*40</f>
        <v>40</v>
      </c>
      <c r="U437" s="22">
        <f>Table46[[#This Row],[NET WT KGS]]-Table46[[#This Row],[Refraction]]</f>
        <v>44164</v>
      </c>
      <c r="V437" s="23">
        <v>495</v>
      </c>
      <c r="W437" s="23">
        <f>Table46[[#This Row],[PRICE]]*Table46[[#This Row],[PAID WT]]</f>
        <v>21861180</v>
      </c>
      <c r="X437" s="24">
        <v>10.199999999999999</v>
      </c>
      <c r="Y437" s="25">
        <v>174</v>
      </c>
      <c r="Z437" s="24">
        <v>44.09</v>
      </c>
      <c r="AA437" s="26"/>
      <c r="AB437" s="66" t="s">
        <v>46</v>
      </c>
      <c r="AC437" s="27"/>
      <c r="AD437" s="63" t="s">
        <v>620</v>
      </c>
      <c r="AE437" s="18">
        <f>Table46[[#This Row],[MOIS.]]*Table46[[#This Row],[NET WT KGS]]</f>
        <v>450880.8</v>
      </c>
      <c r="AF437" s="18">
        <f>Table46[[#This Row],[KOR]]*Table46[[#This Row],[NET WT KGS]]</f>
        <v>1948954.36</v>
      </c>
      <c r="AG437">
        <f>Table46[[#This Row],[NET WT KGS]]*Table46[[#This Row],[NUT COUNT]]</f>
        <v>7691496</v>
      </c>
      <c r="AH437" s="8"/>
    </row>
    <row r="438" spans="1:34" x14ac:dyDescent="0.35">
      <c r="A438" s="32">
        <f t="shared" si="43"/>
        <v>436</v>
      </c>
      <c r="B438" s="20">
        <v>46111</v>
      </c>
      <c r="C438" s="20">
        <v>46111</v>
      </c>
      <c r="D438" s="10" t="s">
        <v>38</v>
      </c>
      <c r="E438" s="66" t="s">
        <v>39</v>
      </c>
      <c r="F438" s="67" t="s">
        <v>40</v>
      </c>
      <c r="G438" s="66" t="s">
        <v>350</v>
      </c>
      <c r="H438" s="67" t="s">
        <v>385</v>
      </c>
      <c r="I438" s="67" t="str">
        <f>VLOOKUP(Table46[[#This Row],[SUPPLIERS NAME]],[1]AGING!X$3:Y$30,2,)</f>
        <v>LBA-020-SKS</v>
      </c>
      <c r="J438" s="66" t="s">
        <v>621</v>
      </c>
      <c r="K438" s="21" t="s">
        <v>454</v>
      </c>
      <c r="L438" s="66">
        <v>1156</v>
      </c>
      <c r="M438" s="10">
        <v>34442</v>
      </c>
      <c r="N438" s="66">
        <v>582</v>
      </c>
      <c r="O438" s="68">
        <f t="shared" si="49"/>
        <v>54840</v>
      </c>
      <c r="P438" s="68">
        <v>54258</v>
      </c>
      <c r="Q438" s="66">
        <v>573</v>
      </c>
      <c r="R438" s="67">
        <v>0</v>
      </c>
      <c r="S438" s="66">
        <v>9</v>
      </c>
      <c r="T438" s="10">
        <f>S438*4+R438*40</f>
        <v>36</v>
      </c>
      <c r="U438" s="68">
        <f>Table46[[#This Row],[NET WT KGS]]-Table46[[#This Row],[Refraction]]</f>
        <v>54222</v>
      </c>
      <c r="V438" s="69">
        <v>505</v>
      </c>
      <c r="W438" s="23">
        <f>Table46[[#This Row],[PRICE]]*Table46[[#This Row],[PAID WT]]</f>
        <v>27382110</v>
      </c>
      <c r="X438" s="24">
        <v>10</v>
      </c>
      <c r="Y438" s="25">
        <v>163</v>
      </c>
      <c r="Z438" s="24">
        <v>45.15</v>
      </c>
      <c r="AA438" s="26"/>
      <c r="AB438" s="66" t="s">
        <v>212</v>
      </c>
      <c r="AC438" s="73"/>
      <c r="AD438" s="63" t="s">
        <v>620</v>
      </c>
      <c r="AE438" s="18">
        <f>Table46[[#This Row],[MOIS.]]*Table46[[#This Row],[NET WT KGS]]</f>
        <v>542580</v>
      </c>
      <c r="AF438" s="18">
        <f>Table46[[#This Row],[KOR]]*Table46[[#This Row],[NET WT KGS]]</f>
        <v>2449748.6999999997</v>
      </c>
      <c r="AG438">
        <f>Table46[[#This Row],[NET WT KGS]]*Table46[[#This Row],[NUT COUNT]]</f>
        <v>8844054</v>
      </c>
      <c r="AH438" s="8"/>
    </row>
    <row r="439" spans="1:34" x14ac:dyDescent="0.35">
      <c r="A439" s="32">
        <f t="shared" si="43"/>
        <v>437</v>
      </c>
      <c r="B439" s="20">
        <v>46111</v>
      </c>
      <c r="C439" s="20">
        <v>46111</v>
      </c>
      <c r="D439" s="10" t="s">
        <v>38</v>
      </c>
      <c r="E439" s="66" t="s">
        <v>39</v>
      </c>
      <c r="F439" s="67" t="s">
        <v>40</v>
      </c>
      <c r="G439" s="66" t="s">
        <v>350</v>
      </c>
      <c r="H439" s="66" t="s">
        <v>94</v>
      </c>
      <c r="I439" s="67" t="str">
        <f>VLOOKUP(Table46[[#This Row],[SUPPLIERS NAME]],[1]AGING!X$3:Y$30,2,)</f>
        <v>LBA-013-DAG</v>
      </c>
      <c r="J439" s="66" t="s">
        <v>304</v>
      </c>
      <c r="K439" s="33" t="s">
        <v>97</v>
      </c>
      <c r="L439" s="66">
        <v>1158</v>
      </c>
      <c r="M439" s="10">
        <v>19681</v>
      </c>
      <c r="N439" s="66">
        <v>535</v>
      </c>
      <c r="O439" s="68">
        <f t="shared" si="49"/>
        <v>47740</v>
      </c>
      <c r="P439" s="68">
        <v>47205</v>
      </c>
      <c r="Q439" s="66">
        <v>520</v>
      </c>
      <c r="R439" s="67">
        <v>0</v>
      </c>
      <c r="S439" s="66">
        <v>15</v>
      </c>
      <c r="T439" s="10">
        <f>S439*4+R439*40</f>
        <v>60</v>
      </c>
      <c r="U439" s="68">
        <f>Table46[[#This Row],[NET WT KGS]]-Table46[[#This Row],[Refraction]]</f>
        <v>47145</v>
      </c>
      <c r="V439" s="69">
        <v>495</v>
      </c>
      <c r="W439" s="23">
        <f>Table46[[#This Row],[PRICE]]*Table46[[#This Row],[PAID WT]]</f>
        <v>23336775</v>
      </c>
      <c r="X439" s="24">
        <v>9.8000000000000007</v>
      </c>
      <c r="Y439" s="25">
        <v>164</v>
      </c>
      <c r="Z439" s="24">
        <v>44.26</v>
      </c>
      <c r="AA439" s="26"/>
      <c r="AB439" s="66" t="s">
        <v>78</v>
      </c>
      <c r="AC439" s="73"/>
      <c r="AD439" s="63" t="s">
        <v>620</v>
      </c>
      <c r="AE439" s="18">
        <f>Table46[[#This Row],[MOIS.]]*Table46[[#This Row],[NET WT KGS]]</f>
        <v>462609.00000000006</v>
      </c>
      <c r="AF439" s="18">
        <f>Table46[[#This Row],[KOR]]*Table46[[#This Row],[NET WT KGS]]</f>
        <v>2089293.2999999998</v>
      </c>
      <c r="AG439">
        <f>Table46[[#This Row],[NET WT KGS]]*Table46[[#This Row],[NUT COUNT]]</f>
        <v>7741620</v>
      </c>
      <c r="AH439" s="8"/>
    </row>
    <row r="440" spans="1:34" x14ac:dyDescent="0.35">
      <c r="A440" s="32">
        <f t="shared" si="43"/>
        <v>438</v>
      </c>
      <c r="B440" s="20">
        <v>46111</v>
      </c>
      <c r="C440" s="20">
        <v>46111</v>
      </c>
      <c r="D440" s="10" t="s">
        <v>38</v>
      </c>
      <c r="E440" s="66" t="s">
        <v>39</v>
      </c>
      <c r="F440" s="67" t="s">
        <v>62</v>
      </c>
      <c r="G440" s="66"/>
      <c r="H440" s="66" t="s">
        <v>128</v>
      </c>
      <c r="I440" s="67" t="str">
        <f>VLOOKUP(Table46[[#This Row],[SUPPLIERS NAME]],[1]AGING!X$3:Y$30,2,)</f>
        <v>LBA-002-SCA</v>
      </c>
      <c r="J440" s="66" t="s">
        <v>384</v>
      </c>
      <c r="K440" s="33" t="s">
        <v>131</v>
      </c>
      <c r="L440" s="66">
        <v>657</v>
      </c>
      <c r="M440" s="10">
        <v>83408</v>
      </c>
      <c r="N440" s="66">
        <v>597</v>
      </c>
      <c r="O440" s="68">
        <v>42920</v>
      </c>
      <c r="P440" s="93">
        <f>Table46[[#This Row],[GROSS WT KGS]]-Table46[[#This Row],[SACS]]</f>
        <v>42323</v>
      </c>
      <c r="Q440" s="66">
        <v>573</v>
      </c>
      <c r="R440" s="67">
        <v>0</v>
      </c>
      <c r="S440" s="66">
        <v>24</v>
      </c>
      <c r="T440" s="10">
        <f>S440*4+R440*40</f>
        <v>96</v>
      </c>
      <c r="U440" s="68">
        <f>Table46[[#This Row],[NET WT KGS]]-Table46[[#This Row],[Refraction]]</f>
        <v>42227</v>
      </c>
      <c r="V440" s="69">
        <v>500</v>
      </c>
      <c r="W440" s="23">
        <f>Table46[[#This Row],[PRICE]]*Table46[[#This Row],[PAID WT]]</f>
        <v>21113500</v>
      </c>
      <c r="X440" s="24">
        <v>10</v>
      </c>
      <c r="Y440" s="25">
        <v>186</v>
      </c>
      <c r="Z440" s="24">
        <v>44.09</v>
      </c>
      <c r="AA440" s="26"/>
      <c r="AB440" s="66" t="s">
        <v>132</v>
      </c>
      <c r="AC440" s="73"/>
      <c r="AD440" s="63" t="s">
        <v>620</v>
      </c>
      <c r="AE440" s="18">
        <f>Table46[[#This Row],[MOIS.]]*Table46[[#This Row],[NET WT KGS]]</f>
        <v>423230</v>
      </c>
      <c r="AF440" s="18">
        <f>Table46[[#This Row],[KOR]]*Table46[[#This Row],[NET WT KGS]]</f>
        <v>1866021.07</v>
      </c>
      <c r="AG440">
        <f>Table46[[#This Row],[NET WT KGS]]*Table46[[#This Row],[NUT COUNT]]</f>
        <v>7872078</v>
      </c>
      <c r="AH440" s="8"/>
    </row>
    <row r="441" spans="1:34" x14ac:dyDescent="0.35">
      <c r="A441" s="32">
        <f t="shared" si="43"/>
        <v>439</v>
      </c>
      <c r="B441" s="20">
        <v>46111</v>
      </c>
      <c r="C441" s="20">
        <v>46111</v>
      </c>
      <c r="D441" s="10" t="s">
        <v>38</v>
      </c>
      <c r="E441" s="66" t="s">
        <v>39</v>
      </c>
      <c r="F441" s="67" t="s">
        <v>62</v>
      </c>
      <c r="G441" s="66"/>
      <c r="H441" s="66" t="s">
        <v>128</v>
      </c>
      <c r="I441" s="67" t="str">
        <f>VLOOKUP(Table46[[#This Row],[SUPPLIERS NAME]],[1]AGING!X$3:Y$30,2,)</f>
        <v>LBA-002-SCA</v>
      </c>
      <c r="J441" s="66" t="s">
        <v>467</v>
      </c>
      <c r="K441" s="33" t="s">
        <v>131</v>
      </c>
      <c r="L441" s="66">
        <v>658</v>
      </c>
      <c r="M441" s="10">
        <v>83409</v>
      </c>
      <c r="N441" s="66">
        <v>691</v>
      </c>
      <c r="O441" s="68">
        <v>51720</v>
      </c>
      <c r="P441" s="93">
        <f>Table46[[#This Row],[GROSS WT KGS]]-Table46[[#This Row],[SACS]]</f>
        <v>51029</v>
      </c>
      <c r="Q441" s="66">
        <v>667</v>
      </c>
      <c r="R441" s="67">
        <v>0</v>
      </c>
      <c r="S441" s="66">
        <v>24</v>
      </c>
      <c r="T441" s="10">
        <f>S441*4+R441*40</f>
        <v>96</v>
      </c>
      <c r="U441" s="68">
        <f>Table46[[#This Row],[NET WT KGS]]-Table46[[#This Row],[Refraction]]</f>
        <v>50933</v>
      </c>
      <c r="V441" s="69">
        <v>500</v>
      </c>
      <c r="W441" s="23">
        <f>Table46[[#This Row],[PRICE]]*Table46[[#This Row],[PAID WT]]</f>
        <v>25466500</v>
      </c>
      <c r="X441" s="24">
        <v>9.1</v>
      </c>
      <c r="Y441" s="25">
        <v>188</v>
      </c>
      <c r="Z441" s="24">
        <v>44.62</v>
      </c>
      <c r="AA441" s="26"/>
      <c r="AB441" s="66" t="s">
        <v>132</v>
      </c>
      <c r="AC441" s="73"/>
      <c r="AD441" s="63" t="s">
        <v>620</v>
      </c>
      <c r="AE441" s="18">
        <f>Table46[[#This Row],[MOIS.]]*Table46[[#This Row],[NET WT KGS]]</f>
        <v>464363.89999999997</v>
      </c>
      <c r="AF441" s="18">
        <f>Table46[[#This Row],[KOR]]*Table46[[#This Row],[NET WT KGS]]</f>
        <v>2276913.98</v>
      </c>
      <c r="AG441">
        <f>Table46[[#This Row],[NET WT KGS]]*Table46[[#This Row],[NUT COUNT]]</f>
        <v>9593452</v>
      </c>
      <c r="AH441" s="8"/>
    </row>
    <row r="442" spans="1:34" x14ac:dyDescent="0.35">
      <c r="A442" s="32">
        <f t="shared" si="43"/>
        <v>440</v>
      </c>
      <c r="B442" s="35">
        <v>46111</v>
      </c>
      <c r="C442" s="35">
        <f>Table46[[#This Row],[DATE OF ARRIVAL]]</f>
        <v>46111</v>
      </c>
      <c r="D442" s="36"/>
      <c r="E442" s="74"/>
      <c r="F442" s="74" t="s">
        <v>40</v>
      </c>
      <c r="G442" s="74"/>
      <c r="H442" s="74" t="s">
        <v>112</v>
      </c>
      <c r="I442" s="74" t="s">
        <v>113</v>
      </c>
      <c r="J442" s="74" t="s">
        <v>622</v>
      </c>
      <c r="K442" s="74"/>
      <c r="L442" s="74"/>
      <c r="M442" s="74"/>
      <c r="N442" s="74"/>
      <c r="O442" s="79"/>
      <c r="P442" s="79"/>
      <c r="Q442" s="74"/>
      <c r="R442" s="74"/>
      <c r="S442" s="74"/>
      <c r="T442" s="36"/>
      <c r="U442" s="68">
        <f>Table46[[#This Row],[NET WT KGS]]-Table46[[#This Row],[Refraction]]</f>
        <v>0</v>
      </c>
      <c r="V442" s="81"/>
      <c r="W442" s="38"/>
      <c r="X442" s="109">
        <v>10.8</v>
      </c>
      <c r="Y442" s="40">
        <v>172</v>
      </c>
      <c r="Z442" s="110">
        <v>42.857909999999997</v>
      </c>
      <c r="AA442" s="41"/>
      <c r="AB442" s="82" t="s">
        <v>40</v>
      </c>
      <c r="AC442" s="42" t="s">
        <v>70</v>
      </c>
      <c r="AD442" s="63"/>
      <c r="AE442" s="18">
        <f>Table46[[#This Row],[MOIS.]]*Table46[[#This Row],[NET WT KGS]]</f>
        <v>0</v>
      </c>
      <c r="AF442" s="18">
        <f>Table46[[#This Row],[KOR]]*Table46[[#This Row],[NET WT KGS]]</f>
        <v>0</v>
      </c>
      <c r="AG442">
        <f>Table46[[#This Row],[NET WT KGS]]*Table46[[#This Row],[NUT COUNT]]</f>
        <v>0</v>
      </c>
      <c r="AH442" s="8"/>
    </row>
    <row r="443" spans="1:34" x14ac:dyDescent="0.35">
      <c r="A443" s="32">
        <f t="shared" si="43"/>
        <v>441</v>
      </c>
      <c r="B443" s="35">
        <v>46111</v>
      </c>
      <c r="C443" s="35">
        <f>Table46[[#This Row],[DATE OF ARRIVAL]]</f>
        <v>46111</v>
      </c>
      <c r="D443" s="36"/>
      <c r="E443" s="74"/>
      <c r="F443" s="74" t="s">
        <v>40</v>
      </c>
      <c r="G443" s="74"/>
      <c r="H443" s="74" t="s">
        <v>123</v>
      </c>
      <c r="I443" s="36" t="s">
        <v>124</v>
      </c>
      <c r="J443" s="74" t="s">
        <v>623</v>
      </c>
      <c r="K443" s="74"/>
      <c r="L443" s="74"/>
      <c r="M443" s="74"/>
      <c r="N443" s="74"/>
      <c r="O443" s="79"/>
      <c r="P443" s="79"/>
      <c r="Q443" s="74"/>
      <c r="R443" s="74"/>
      <c r="S443" s="74"/>
      <c r="T443" s="36"/>
      <c r="U443" s="68">
        <f>Table46[[#This Row],[NET WT KGS]]-Table46[[#This Row],[Refraction]]</f>
        <v>0</v>
      </c>
      <c r="V443" s="81"/>
      <c r="W443" s="81"/>
      <c r="X443" s="111">
        <v>10.199999999999999</v>
      </c>
      <c r="Y443" s="83">
        <v>178</v>
      </c>
      <c r="Z443" s="112">
        <v>41.711505000000002</v>
      </c>
      <c r="AA443" s="84"/>
      <c r="AB443" s="82" t="s">
        <v>358</v>
      </c>
      <c r="AC443" s="42" t="s">
        <v>70</v>
      </c>
      <c r="AD443" s="63"/>
      <c r="AE443" s="18">
        <f>Table46[[#This Row],[MOIS.]]*Table46[[#This Row],[NET WT KGS]]</f>
        <v>0</v>
      </c>
      <c r="AF443" s="18">
        <f>Table46[[#This Row],[KOR]]*Table46[[#This Row],[NET WT KGS]]</f>
        <v>0</v>
      </c>
      <c r="AG443">
        <f>Table46[[#This Row],[NET WT KGS]]*Table46[[#This Row],[NUT COUNT]]</f>
        <v>0</v>
      </c>
      <c r="AH443" s="8"/>
    </row>
    <row r="444" spans="1:34" x14ac:dyDescent="0.35">
      <c r="A444" s="32">
        <f t="shared" si="43"/>
        <v>442</v>
      </c>
      <c r="B444" s="35">
        <v>46111</v>
      </c>
      <c r="C444" s="35">
        <f>Table46[[#This Row],[DATE OF ARRIVAL]]</f>
        <v>46111</v>
      </c>
      <c r="D444" s="36"/>
      <c r="E444" s="74"/>
      <c r="F444" s="74" t="s">
        <v>40</v>
      </c>
      <c r="G444" s="74"/>
      <c r="H444" s="74" t="s">
        <v>123</v>
      </c>
      <c r="I444" s="74" t="s">
        <v>124</v>
      </c>
      <c r="J444" s="74" t="s">
        <v>624</v>
      </c>
      <c r="K444" s="74"/>
      <c r="L444" s="74"/>
      <c r="M444" s="74"/>
      <c r="N444" s="74"/>
      <c r="O444" s="79"/>
      <c r="P444" s="79"/>
      <c r="Q444" s="74"/>
      <c r="R444" s="74"/>
      <c r="S444" s="74"/>
      <c r="T444" s="36"/>
      <c r="U444" s="68">
        <f>Table46[[#This Row],[NET WT KGS]]-Table46[[#This Row],[Refraction]]</f>
        <v>0</v>
      </c>
      <c r="V444" s="81"/>
      <c r="W444" s="81"/>
      <c r="X444" s="111">
        <v>7.9</v>
      </c>
      <c r="Y444" s="83">
        <v>189</v>
      </c>
      <c r="Z444" s="112">
        <v>38.272289999999998</v>
      </c>
      <c r="AA444" s="84"/>
      <c r="AB444" s="82" t="s">
        <v>429</v>
      </c>
      <c r="AC444" s="42" t="s">
        <v>70</v>
      </c>
      <c r="AD444" s="63"/>
      <c r="AE444" s="18">
        <f>Table46[[#This Row],[MOIS.]]*Table46[[#This Row],[NET WT KGS]]</f>
        <v>0</v>
      </c>
      <c r="AF444" s="18">
        <f>Table46[[#This Row],[KOR]]*Table46[[#This Row],[NET WT KGS]]</f>
        <v>0</v>
      </c>
      <c r="AG444">
        <f>Table46[[#This Row],[NET WT KGS]]*Table46[[#This Row],[NUT COUNT]]</f>
        <v>0</v>
      </c>
      <c r="AH444" s="8"/>
    </row>
    <row r="445" spans="1:34" x14ac:dyDescent="0.35">
      <c r="A445" s="32">
        <f t="shared" si="43"/>
        <v>443</v>
      </c>
      <c r="B445" s="20">
        <v>46111</v>
      </c>
      <c r="C445" s="20">
        <v>46112</v>
      </c>
      <c r="D445" s="10" t="s">
        <v>38</v>
      </c>
      <c r="E445" s="66" t="s">
        <v>258</v>
      </c>
      <c r="F445" s="67" t="s">
        <v>40</v>
      </c>
      <c r="G445" s="66" t="s">
        <v>350</v>
      </c>
      <c r="H445" s="10" t="s">
        <v>335</v>
      </c>
      <c r="I445" s="50" t="str">
        <f>VLOOKUP(Table46[[#This Row],[SUPPLIERS NAME]],[1]AGING!X$3:Y$70,2,)</f>
        <v>DIS-003-DEM</v>
      </c>
      <c r="J445" s="66" t="s">
        <v>625</v>
      </c>
      <c r="K445" s="57" t="s">
        <v>337</v>
      </c>
      <c r="L445" s="66">
        <v>1159</v>
      </c>
      <c r="M445" s="10">
        <v>34032</v>
      </c>
      <c r="N445" s="66">
        <v>443</v>
      </c>
      <c r="O445" s="68">
        <f>P445+N445</f>
        <v>36940</v>
      </c>
      <c r="P445" s="68">
        <v>36497</v>
      </c>
      <c r="Q445" s="66">
        <v>434</v>
      </c>
      <c r="R445" s="67">
        <v>0</v>
      </c>
      <c r="S445" s="66">
        <v>9</v>
      </c>
      <c r="T445" s="10">
        <f>S445*4+R445*40</f>
        <v>36</v>
      </c>
      <c r="U445" s="68">
        <f>Table46[[#This Row],[NET WT KGS]]-Table46[[#This Row],[Refraction]]</f>
        <v>36461</v>
      </c>
      <c r="V445" s="69">
        <v>500</v>
      </c>
      <c r="W445" s="69">
        <f>Table46[[#This Row],[PRICE]]*Table46[[#This Row],[PAID WT]]</f>
        <v>18230500</v>
      </c>
      <c r="X445" s="70">
        <v>10.7</v>
      </c>
      <c r="Y445" s="71">
        <v>173</v>
      </c>
      <c r="Z445" s="70">
        <v>44.26</v>
      </c>
      <c r="AA445" s="72"/>
      <c r="AB445" s="66" t="s">
        <v>58</v>
      </c>
      <c r="AC445" s="73"/>
      <c r="AD445" s="63" t="s">
        <v>620</v>
      </c>
      <c r="AE445" s="18">
        <f>Table46[[#This Row],[MOIS.]]*Table46[[#This Row],[NET WT KGS]]</f>
        <v>390517.89999999997</v>
      </c>
      <c r="AF445" s="18">
        <f>Table46[[#This Row],[KOR]]*Table46[[#This Row],[NET WT KGS]]</f>
        <v>1615357.22</v>
      </c>
      <c r="AG445">
        <f>Table46[[#This Row],[NET WT KGS]]*Table46[[#This Row],[NUT COUNT]]</f>
        <v>6313981</v>
      </c>
      <c r="AH445" s="8"/>
    </row>
    <row r="446" spans="1:34" x14ac:dyDescent="0.35">
      <c r="A446" s="32">
        <f t="shared" si="43"/>
        <v>444</v>
      </c>
      <c r="B446" s="20">
        <v>46111</v>
      </c>
      <c r="C446" s="20">
        <v>46112</v>
      </c>
      <c r="D446" s="10" t="s">
        <v>38</v>
      </c>
      <c r="E446" s="10" t="s">
        <v>39</v>
      </c>
      <c r="F446" s="50" t="s">
        <v>40</v>
      </c>
      <c r="G446" s="10" t="s">
        <v>350</v>
      </c>
      <c r="H446" s="67" t="s">
        <v>123</v>
      </c>
      <c r="I446" s="67" t="str">
        <f>VLOOKUP(Table46[[#This Row],[SUPPLIERS NAME]],[1]AGING!X$3:Y$30,2,)</f>
        <v>LBA-011-ASR</v>
      </c>
      <c r="J446" s="10" t="s">
        <v>626</v>
      </c>
      <c r="K446" s="21" t="s">
        <v>161</v>
      </c>
      <c r="L446" s="10">
        <v>1160</v>
      </c>
      <c r="M446" s="10">
        <v>88498</v>
      </c>
      <c r="N446" s="10">
        <v>582</v>
      </c>
      <c r="O446" s="22">
        <f>P446+N446</f>
        <v>52480</v>
      </c>
      <c r="P446" s="22">
        <v>51898</v>
      </c>
      <c r="Q446" s="10">
        <v>577</v>
      </c>
      <c r="R446" s="67">
        <v>0</v>
      </c>
      <c r="S446" s="10">
        <v>5</v>
      </c>
      <c r="T446" s="10">
        <f>S446*4+R446*40</f>
        <v>20</v>
      </c>
      <c r="U446" s="22">
        <f>Table46[[#This Row],[NET WT KGS]]-Table46[[#This Row],[Refraction]]</f>
        <v>51878</v>
      </c>
      <c r="V446" s="69">
        <v>500</v>
      </c>
      <c r="W446" s="23">
        <f>Table46[[#This Row],[PRICE]]*Table46[[#This Row],[PAID WT]]</f>
        <v>25939000</v>
      </c>
      <c r="X446" s="24">
        <v>11</v>
      </c>
      <c r="Y446" s="25">
        <v>181</v>
      </c>
      <c r="Z446" s="24">
        <v>44.26</v>
      </c>
      <c r="AA446" s="26"/>
      <c r="AB446" s="10" t="s">
        <v>150</v>
      </c>
      <c r="AC446" s="27"/>
      <c r="AD446" s="63" t="s">
        <v>620</v>
      </c>
      <c r="AE446" s="18">
        <f>Table46[[#This Row],[MOIS.]]*Table46[[#This Row],[NET WT KGS]]</f>
        <v>570878</v>
      </c>
      <c r="AF446" s="18">
        <f>Table46[[#This Row],[KOR]]*Table46[[#This Row],[NET WT KGS]]</f>
        <v>2297005.48</v>
      </c>
      <c r="AG446">
        <f>Table46[[#This Row],[NET WT KGS]]*Table46[[#This Row],[NUT COUNT]]</f>
        <v>9393538</v>
      </c>
      <c r="AH446" s="8"/>
    </row>
    <row r="447" spans="1:34" x14ac:dyDescent="0.35">
      <c r="A447" s="32">
        <f t="shared" si="43"/>
        <v>445</v>
      </c>
      <c r="B447" s="35">
        <v>46112</v>
      </c>
      <c r="C447" s="35">
        <f>Table46[[#This Row],[DATE OF ARRIVAL]]</f>
        <v>46112</v>
      </c>
      <c r="D447" s="36"/>
      <c r="E447" s="74"/>
      <c r="F447" s="74" t="s">
        <v>40</v>
      </c>
      <c r="G447" s="74"/>
      <c r="H447" s="74" t="s">
        <v>338</v>
      </c>
      <c r="I447" s="74" t="s">
        <v>317</v>
      </c>
      <c r="J447" s="74" t="s">
        <v>627</v>
      </c>
      <c r="K447" s="74"/>
      <c r="L447" s="74"/>
      <c r="M447" s="74"/>
      <c r="N447" s="74"/>
      <c r="O447" s="79"/>
      <c r="P447" s="37"/>
      <c r="Q447" s="74"/>
      <c r="R447" s="74"/>
      <c r="S447" s="74"/>
      <c r="T447" s="36"/>
      <c r="U447" s="22">
        <f>Table46[[#This Row],[NET WT KGS]]-Table46[[#This Row],[Refraction]]</f>
        <v>0</v>
      </c>
      <c r="V447" s="81"/>
      <c r="W447" s="81"/>
      <c r="X447" s="111">
        <v>12.9</v>
      </c>
      <c r="Y447" s="83">
        <v>164</v>
      </c>
      <c r="Z447" s="112">
        <v>42.152430000000003</v>
      </c>
      <c r="AA447" s="84"/>
      <c r="AB447" s="82" t="s">
        <v>284</v>
      </c>
      <c r="AC447" s="42" t="s">
        <v>70</v>
      </c>
      <c r="AD447" s="63"/>
      <c r="AE447" s="18">
        <f>Table46[[#This Row],[MOIS.]]*Table46[[#This Row],[NET WT KGS]]</f>
        <v>0</v>
      </c>
      <c r="AF447" s="18">
        <f>Table46[[#This Row],[KOR]]*Table46[[#This Row],[NET WT KGS]]</f>
        <v>0</v>
      </c>
      <c r="AG447">
        <f>Table46[[#This Row],[NET WT KGS]]*Table46[[#This Row],[NUT COUNT]]</f>
        <v>0</v>
      </c>
      <c r="AH447" s="8"/>
    </row>
    <row r="448" spans="1:34" x14ac:dyDescent="0.35">
      <c r="A448" s="32">
        <f t="shared" si="43"/>
        <v>446</v>
      </c>
      <c r="B448" s="35">
        <v>46112</v>
      </c>
      <c r="C448" s="35">
        <f>Table46[[#This Row],[DATE OF ARRIVAL]]</f>
        <v>46112</v>
      </c>
      <c r="D448" s="36"/>
      <c r="E448" s="74"/>
      <c r="F448" s="74" t="s">
        <v>40</v>
      </c>
      <c r="G448" s="74"/>
      <c r="H448" s="74" t="s">
        <v>74</v>
      </c>
      <c r="I448" s="74" t="s">
        <v>75</v>
      </c>
      <c r="J448" s="74" t="s">
        <v>628</v>
      </c>
      <c r="K448" s="74"/>
      <c r="L448" s="74"/>
      <c r="M448" s="74"/>
      <c r="N448" s="74"/>
      <c r="O448" s="79"/>
      <c r="P448" s="79"/>
      <c r="Q448" s="74"/>
      <c r="R448" s="74"/>
      <c r="S448" s="74"/>
      <c r="T448" s="36"/>
      <c r="U448" s="22">
        <f>Table46[[#This Row],[NET WT KGS]]-Table46[[#This Row],[Refraction]]</f>
        <v>0</v>
      </c>
      <c r="V448" s="81"/>
      <c r="W448" s="81"/>
      <c r="X448" s="111">
        <v>11.6</v>
      </c>
      <c r="Y448" s="83">
        <v>159</v>
      </c>
      <c r="Z448" s="112">
        <v>42.50517</v>
      </c>
      <c r="AA448" s="84"/>
      <c r="AB448" s="82" t="s">
        <v>78</v>
      </c>
      <c r="AC448" s="42" t="s">
        <v>70</v>
      </c>
      <c r="AD448" s="63"/>
      <c r="AE448" s="18">
        <f>Table46[[#This Row],[MOIS.]]*Table46[[#This Row],[NET WT KGS]]</f>
        <v>0</v>
      </c>
      <c r="AF448" s="18">
        <f>Table46[[#This Row],[KOR]]*Table46[[#This Row],[NET WT KGS]]</f>
        <v>0</v>
      </c>
      <c r="AG448">
        <f>Table46[[#This Row],[NET WT KGS]]*Table46[[#This Row],[NUT COUNT]]</f>
        <v>0</v>
      </c>
      <c r="AH448" s="8"/>
    </row>
    <row r="449" spans="1:33" x14ac:dyDescent="0.35">
      <c r="A449" s="32">
        <f t="shared" si="43"/>
        <v>447</v>
      </c>
      <c r="B449" s="20">
        <v>46112</v>
      </c>
      <c r="C449" s="20">
        <v>46112</v>
      </c>
      <c r="D449" s="10" t="s">
        <v>38</v>
      </c>
      <c r="E449" s="66" t="s">
        <v>39</v>
      </c>
      <c r="F449" s="67" t="s">
        <v>40</v>
      </c>
      <c r="G449" s="66" t="s">
        <v>350</v>
      </c>
      <c r="H449" s="67" t="s">
        <v>338</v>
      </c>
      <c r="I449" s="67" t="str">
        <f>VLOOKUP(Table46[[#This Row],[SUPPLIERS NAME]],[1]AGING!X$3:Y$30,2,)</f>
        <v>LBA-018-COP</v>
      </c>
      <c r="J449" s="66" t="s">
        <v>482</v>
      </c>
      <c r="K449" s="57" t="s">
        <v>340</v>
      </c>
      <c r="L449" s="66">
        <v>1161</v>
      </c>
      <c r="M449" s="10">
        <v>82497</v>
      </c>
      <c r="N449" s="66">
        <v>446</v>
      </c>
      <c r="O449" s="68">
        <f>P449+N449</f>
        <v>40620</v>
      </c>
      <c r="P449" s="68">
        <v>40174</v>
      </c>
      <c r="Q449" s="66">
        <v>439</v>
      </c>
      <c r="R449" s="67">
        <v>0</v>
      </c>
      <c r="S449" s="66">
        <v>7</v>
      </c>
      <c r="T449" s="10">
        <f t="shared" ref="T449:T455" si="50">S449*4+R449*40</f>
        <v>28</v>
      </c>
      <c r="U449" s="68">
        <f>Table46[[#This Row],[NET WT KGS]]-Table46[[#This Row],[Refraction]]</f>
        <v>40146</v>
      </c>
      <c r="V449" s="69">
        <v>500</v>
      </c>
      <c r="W449" s="69">
        <f>Table46[[#This Row],[PRICE]]*Table46[[#This Row],[PAID WT]]</f>
        <v>20073000</v>
      </c>
      <c r="X449" s="70">
        <v>10.4</v>
      </c>
      <c r="Y449" s="71">
        <v>173</v>
      </c>
      <c r="Z449" s="70">
        <v>44.44</v>
      </c>
      <c r="AA449" s="72"/>
      <c r="AB449" s="66" t="s">
        <v>284</v>
      </c>
      <c r="AC449" s="73"/>
      <c r="AD449" s="63" t="s">
        <v>620</v>
      </c>
      <c r="AE449" s="18">
        <f>Table46[[#This Row],[MOIS.]]*Table46[[#This Row],[NET WT KGS]]</f>
        <v>417809.60000000003</v>
      </c>
      <c r="AF449" s="18">
        <f>Table46[[#This Row],[KOR]]*Table46[[#This Row],[NET WT KGS]]</f>
        <v>1785332.5599999998</v>
      </c>
      <c r="AG449">
        <f>Table46[[#This Row],[NET WT KGS]]*Table46[[#This Row],[NUT COUNT]]</f>
        <v>6950102</v>
      </c>
    </row>
    <row r="450" spans="1:33" x14ac:dyDescent="0.35">
      <c r="A450" s="32">
        <f t="shared" si="43"/>
        <v>448</v>
      </c>
      <c r="B450" s="20">
        <v>46112</v>
      </c>
      <c r="C450" s="20">
        <v>46112</v>
      </c>
      <c r="D450" s="10" t="s">
        <v>38</v>
      </c>
      <c r="E450" s="66" t="s">
        <v>258</v>
      </c>
      <c r="F450" s="50" t="s">
        <v>40</v>
      </c>
      <c r="G450" s="10" t="s">
        <v>350</v>
      </c>
      <c r="H450" s="10" t="s">
        <v>259</v>
      </c>
      <c r="I450" s="10" t="s">
        <v>60</v>
      </c>
      <c r="J450" s="10" t="s">
        <v>629</v>
      </c>
      <c r="K450" s="33" t="s">
        <v>261</v>
      </c>
      <c r="L450" s="10">
        <v>1162</v>
      </c>
      <c r="M450" s="10">
        <v>87013</v>
      </c>
      <c r="N450" s="10">
        <v>505</v>
      </c>
      <c r="O450" s="22">
        <f>P450+N450</f>
        <v>43320</v>
      </c>
      <c r="P450" s="22">
        <v>42815</v>
      </c>
      <c r="Q450" s="10">
        <v>495</v>
      </c>
      <c r="R450" s="67">
        <v>0</v>
      </c>
      <c r="S450" s="10">
        <v>10</v>
      </c>
      <c r="T450" s="10">
        <f t="shared" si="50"/>
        <v>40</v>
      </c>
      <c r="U450" s="22">
        <f>Table46[[#This Row],[NET WT KGS]]-Table46[[#This Row],[Refraction]]</f>
        <v>42775</v>
      </c>
      <c r="V450" s="23">
        <v>500</v>
      </c>
      <c r="W450" s="23">
        <f>Table46[[#This Row],[PRICE]]*Table46[[#This Row],[PAID WT]]</f>
        <v>21387500</v>
      </c>
      <c r="X450" s="24">
        <v>9.6</v>
      </c>
      <c r="Y450" s="25">
        <v>172</v>
      </c>
      <c r="Z450" s="24">
        <v>44.97</v>
      </c>
      <c r="AA450" s="26"/>
      <c r="AB450" s="10" t="s">
        <v>46</v>
      </c>
      <c r="AC450" s="27"/>
      <c r="AD450" s="63" t="s">
        <v>620</v>
      </c>
      <c r="AE450" s="18">
        <f>Table46[[#This Row],[MOIS.]]*Table46[[#This Row],[NET WT KGS]]</f>
        <v>411024</v>
      </c>
      <c r="AF450" s="18">
        <f>Table46[[#This Row],[KOR]]*Table46[[#This Row],[NET WT KGS]]</f>
        <v>1925390.55</v>
      </c>
      <c r="AG450">
        <f>Table46[[#This Row],[NET WT KGS]]*Table46[[#This Row],[NUT COUNT]]</f>
        <v>7364180</v>
      </c>
    </row>
    <row r="451" spans="1:33" x14ac:dyDescent="0.35">
      <c r="A451" s="32">
        <f t="shared" si="43"/>
        <v>449</v>
      </c>
      <c r="B451" s="20">
        <v>46112</v>
      </c>
      <c r="C451" s="20">
        <v>46112</v>
      </c>
      <c r="D451" s="10" t="s">
        <v>38</v>
      </c>
      <c r="E451" s="66" t="s">
        <v>39</v>
      </c>
      <c r="F451" s="67" t="s">
        <v>62</v>
      </c>
      <c r="G451" s="10"/>
      <c r="H451" s="66" t="s">
        <v>286</v>
      </c>
      <c r="I451" s="67" t="str">
        <f>VLOOKUP(Table46[[#This Row],[SUPPLIERS NAME]],[1]AGING!X$3:Y$30,2,)</f>
        <v>LBA-017-DPV</v>
      </c>
      <c r="J451" s="66" t="s">
        <v>630</v>
      </c>
      <c r="K451" s="21" t="s">
        <v>289</v>
      </c>
      <c r="L451" s="10">
        <v>659</v>
      </c>
      <c r="M451" s="66">
        <f>VLOOKUP(Table46[[#This Row],[REF.]],'[2]RCN INWARD FACTORY YAKRO 2026'!$F$4:$M$257,8,0)</f>
        <v>84377</v>
      </c>
      <c r="N451" s="10">
        <v>528</v>
      </c>
      <c r="O451" s="22">
        <v>45700</v>
      </c>
      <c r="P451" s="51">
        <f>Table46[[#This Row],[GROSS WT KGS]]-Table46[[#This Row],[SACS]]</f>
        <v>45172</v>
      </c>
      <c r="Q451" s="10">
        <v>510</v>
      </c>
      <c r="R451" s="67">
        <v>0</v>
      </c>
      <c r="S451" s="10">
        <v>18</v>
      </c>
      <c r="T451" s="10">
        <f t="shared" si="50"/>
        <v>72</v>
      </c>
      <c r="U451" s="68">
        <f>Table46[[#This Row],[NET WT KGS]]-Table46[[#This Row],[Refraction]]</f>
        <v>45100</v>
      </c>
      <c r="V451" s="23">
        <v>500</v>
      </c>
      <c r="W451" s="69">
        <f>Table46[[#This Row],[PRICE]]*Table46[[#This Row],[PAID WT]]</f>
        <v>22550000</v>
      </c>
      <c r="X451" s="70">
        <v>9.3000000000000007</v>
      </c>
      <c r="Y451" s="71">
        <v>167</v>
      </c>
      <c r="Z451" s="70">
        <v>44.62</v>
      </c>
      <c r="AA451" s="72"/>
      <c r="AB451" s="66" t="s">
        <v>46</v>
      </c>
      <c r="AC451" s="73"/>
      <c r="AD451" s="63" t="s">
        <v>620</v>
      </c>
      <c r="AE451" s="18">
        <f>Table46[[#This Row],[MOIS.]]*Table46[[#This Row],[NET WT KGS]]</f>
        <v>420099.60000000003</v>
      </c>
      <c r="AF451" s="18">
        <f>Table46[[#This Row],[KOR]]*Table46[[#This Row],[NET WT KGS]]</f>
        <v>2015574.64</v>
      </c>
      <c r="AG451">
        <f>Table46[[#This Row],[NET WT KGS]]*Table46[[#This Row],[NUT COUNT]]</f>
        <v>7543724</v>
      </c>
    </row>
    <row r="452" spans="1:33" x14ac:dyDescent="0.35">
      <c r="A452" s="32">
        <f t="shared" ref="A452:A515" si="51">A451+1</f>
        <v>450</v>
      </c>
      <c r="B452" s="20">
        <v>46112</v>
      </c>
      <c r="C452" s="20">
        <v>46113</v>
      </c>
      <c r="D452" s="10" t="s">
        <v>38</v>
      </c>
      <c r="E452" s="66" t="s">
        <v>39</v>
      </c>
      <c r="F452" s="67" t="s">
        <v>40</v>
      </c>
      <c r="G452" s="66" t="s">
        <v>350</v>
      </c>
      <c r="H452" s="66" t="s">
        <v>235</v>
      </c>
      <c r="I452" s="67" t="str">
        <f>VLOOKUP(Table46[[#This Row],[SUPPLIERS NAME]],[1]AGING!X$3:Y$30,2,)</f>
        <v>LBA-008-COB</v>
      </c>
      <c r="J452" s="66" t="s">
        <v>631</v>
      </c>
      <c r="K452" s="33" t="s">
        <v>238</v>
      </c>
      <c r="L452" s="66">
        <v>1163</v>
      </c>
      <c r="M452" s="10">
        <v>84192</v>
      </c>
      <c r="N452" s="66">
        <v>485</v>
      </c>
      <c r="O452" s="68">
        <f>P452+N452</f>
        <v>41820</v>
      </c>
      <c r="P452" s="22">
        <v>41335</v>
      </c>
      <c r="Q452" s="66">
        <v>475</v>
      </c>
      <c r="R452" s="67">
        <v>0</v>
      </c>
      <c r="S452" s="66">
        <v>10</v>
      </c>
      <c r="T452" s="10">
        <f t="shared" si="50"/>
        <v>40</v>
      </c>
      <c r="U452" s="68">
        <f>Table46[[#This Row],[NET WT KGS]]-Table46[[#This Row],[Refraction]]</f>
        <v>41295</v>
      </c>
      <c r="V452" s="69">
        <v>500</v>
      </c>
      <c r="W452" s="69">
        <f>Table46[[#This Row],[PRICE]]*Table46[[#This Row],[PAID WT]]</f>
        <v>20647500</v>
      </c>
      <c r="X452" s="70">
        <v>9.5</v>
      </c>
      <c r="Y452" s="71">
        <v>170</v>
      </c>
      <c r="Z452" s="70">
        <v>44.09</v>
      </c>
      <c r="AA452" s="72"/>
      <c r="AB452" s="66" t="s">
        <v>46</v>
      </c>
      <c r="AC452" s="73"/>
      <c r="AD452" s="63" t="s">
        <v>620</v>
      </c>
      <c r="AE452" s="18">
        <f>Table46[[#This Row],[MOIS.]]*Table46[[#This Row],[NET WT KGS]]</f>
        <v>392682.5</v>
      </c>
      <c r="AF452" s="18">
        <f>Table46[[#This Row],[KOR]]*Table46[[#This Row],[NET WT KGS]]</f>
        <v>1822460.1500000001</v>
      </c>
      <c r="AG452">
        <f>Table46[[#This Row],[NET WT KGS]]*Table46[[#This Row],[NUT COUNT]]</f>
        <v>7026950</v>
      </c>
    </row>
    <row r="453" spans="1:33" x14ac:dyDescent="0.35">
      <c r="A453" s="32">
        <f t="shared" si="51"/>
        <v>451</v>
      </c>
      <c r="B453" s="20">
        <v>46113</v>
      </c>
      <c r="C453" s="20">
        <v>46113</v>
      </c>
      <c r="D453" s="10" t="s">
        <v>38</v>
      </c>
      <c r="E453" s="66" t="s">
        <v>39</v>
      </c>
      <c r="F453" s="67" t="s">
        <v>40</v>
      </c>
      <c r="G453" s="66" t="s">
        <v>350</v>
      </c>
      <c r="H453" s="67" t="s">
        <v>123</v>
      </c>
      <c r="I453" s="67" t="str">
        <f>VLOOKUP(Table46[[#This Row],[SUPPLIERS NAME]],[1]AGING!X$3:Y$30,2,)</f>
        <v>LBA-011-ASR</v>
      </c>
      <c r="J453" s="66" t="s">
        <v>544</v>
      </c>
      <c r="K453" s="21" t="s">
        <v>161</v>
      </c>
      <c r="L453" s="66">
        <v>1164</v>
      </c>
      <c r="M453" s="10">
        <v>77656</v>
      </c>
      <c r="N453" s="66">
        <v>480</v>
      </c>
      <c r="O453" s="68">
        <f>P453+N453</f>
        <v>48160</v>
      </c>
      <c r="P453" s="22">
        <v>47680</v>
      </c>
      <c r="Q453" s="66">
        <v>460</v>
      </c>
      <c r="R453" s="67">
        <v>0</v>
      </c>
      <c r="S453" s="66">
        <v>20</v>
      </c>
      <c r="T453" s="10">
        <f t="shared" si="50"/>
        <v>80</v>
      </c>
      <c r="U453" s="68">
        <f>Table46[[#This Row],[NET WT KGS]]-Table46[[#This Row],[Refraction]]</f>
        <v>47600</v>
      </c>
      <c r="V453" s="69">
        <v>500</v>
      </c>
      <c r="W453" s="69">
        <f>Table46[[#This Row],[PRICE]]*Table46[[#This Row],[PAID WT]]</f>
        <v>23800000</v>
      </c>
      <c r="X453" s="70">
        <v>11.6</v>
      </c>
      <c r="Y453" s="71">
        <v>168</v>
      </c>
      <c r="Z453" s="70">
        <v>44.97</v>
      </c>
      <c r="AA453" s="72"/>
      <c r="AB453" s="66" t="s">
        <v>398</v>
      </c>
      <c r="AC453" s="73"/>
      <c r="AD453" s="63" t="s">
        <v>620</v>
      </c>
      <c r="AE453" s="18">
        <f>Table46[[#This Row],[MOIS.]]*Table46[[#This Row],[NET WT KGS]]</f>
        <v>553088</v>
      </c>
      <c r="AF453" s="18">
        <f>Table46[[#This Row],[KOR]]*Table46[[#This Row],[NET WT KGS]]</f>
        <v>2144169.6</v>
      </c>
      <c r="AG453">
        <f>Table46[[#This Row],[NET WT KGS]]*Table46[[#This Row],[NUT COUNT]]</f>
        <v>8010240</v>
      </c>
    </row>
    <row r="454" spans="1:33" x14ac:dyDescent="0.35">
      <c r="A454" s="32">
        <f t="shared" si="51"/>
        <v>452</v>
      </c>
      <c r="B454" s="20">
        <v>46113</v>
      </c>
      <c r="C454" s="20">
        <v>46113</v>
      </c>
      <c r="D454" s="10" t="s">
        <v>38</v>
      </c>
      <c r="E454" s="66" t="s">
        <v>39</v>
      </c>
      <c r="F454" s="67" t="s">
        <v>62</v>
      </c>
      <c r="G454" s="66"/>
      <c r="H454" s="66" t="s">
        <v>128</v>
      </c>
      <c r="I454" s="67" t="str">
        <f>VLOOKUP(Table46[[#This Row],[SUPPLIERS NAME]],[1]AGING!X$3:Y$30,2,)</f>
        <v>LBA-002-SCA</v>
      </c>
      <c r="J454" s="66" t="s">
        <v>384</v>
      </c>
      <c r="K454" s="33" t="s">
        <v>131</v>
      </c>
      <c r="L454" s="66">
        <v>660</v>
      </c>
      <c r="M454" s="10">
        <v>83410</v>
      </c>
      <c r="N454" s="66">
        <v>578</v>
      </c>
      <c r="O454" s="68">
        <v>41760</v>
      </c>
      <c r="P454" s="51">
        <f>Table46[[#This Row],[GROSS WT KGS]]-Table46[[#This Row],[SACS]]</f>
        <v>41182</v>
      </c>
      <c r="Q454" s="66">
        <v>554</v>
      </c>
      <c r="R454" s="67">
        <v>0</v>
      </c>
      <c r="S454" s="66">
        <v>24</v>
      </c>
      <c r="T454" s="10">
        <f t="shared" si="50"/>
        <v>96</v>
      </c>
      <c r="U454" s="68">
        <f>Table46[[#This Row],[NET WT KGS]]-Table46[[#This Row],[Refraction]]</f>
        <v>41086</v>
      </c>
      <c r="V454" s="69">
        <v>505</v>
      </c>
      <c r="W454" s="69">
        <f>Table46[[#This Row],[PRICE]]*Table46[[#This Row],[PAID WT]]</f>
        <v>20748430</v>
      </c>
      <c r="X454" s="70">
        <v>10.7</v>
      </c>
      <c r="Y454" s="71">
        <v>187</v>
      </c>
      <c r="Z454" s="70">
        <v>45.85</v>
      </c>
      <c r="AA454" s="72"/>
      <c r="AB454" s="66" t="s">
        <v>132</v>
      </c>
      <c r="AC454" s="73"/>
      <c r="AD454" s="63" t="s">
        <v>620</v>
      </c>
      <c r="AE454" s="18">
        <f>Table46[[#This Row],[MOIS.]]*Table46[[#This Row],[NET WT KGS]]</f>
        <v>440647.39999999997</v>
      </c>
      <c r="AF454" s="18">
        <f>Table46[[#This Row],[KOR]]*Table46[[#This Row],[NET WT KGS]]</f>
        <v>1888194.7</v>
      </c>
      <c r="AG454">
        <f>Table46[[#This Row],[NET WT KGS]]*Table46[[#This Row],[NUT COUNT]]</f>
        <v>7701034</v>
      </c>
    </row>
    <row r="455" spans="1:33" x14ac:dyDescent="0.35">
      <c r="A455" s="32">
        <f t="shared" si="51"/>
        <v>453</v>
      </c>
      <c r="B455" s="20">
        <v>46113</v>
      </c>
      <c r="C455" s="20">
        <v>46113</v>
      </c>
      <c r="D455" s="10" t="s">
        <v>38</v>
      </c>
      <c r="E455" s="66" t="s">
        <v>39</v>
      </c>
      <c r="F455" s="67" t="s">
        <v>62</v>
      </c>
      <c r="G455" s="66"/>
      <c r="H455" s="66" t="s">
        <v>128</v>
      </c>
      <c r="I455" s="67" t="str">
        <f>VLOOKUP(Table46[[#This Row],[SUPPLIERS NAME]],[1]AGING!X$3:Y$30,2,)</f>
        <v>LBA-002-SCA</v>
      </c>
      <c r="J455" s="66" t="s">
        <v>632</v>
      </c>
      <c r="K455" s="33" t="s">
        <v>131</v>
      </c>
      <c r="L455" s="66">
        <v>661</v>
      </c>
      <c r="M455" s="10">
        <v>83411</v>
      </c>
      <c r="N455" s="66">
        <v>560</v>
      </c>
      <c r="O455" s="68">
        <v>41780</v>
      </c>
      <c r="P455" s="51">
        <f>Table46[[#This Row],[GROSS WT KGS]]-Table46[[#This Row],[SACS]]</f>
        <v>41220</v>
      </c>
      <c r="Q455" s="66">
        <v>536</v>
      </c>
      <c r="R455" s="67">
        <v>0</v>
      </c>
      <c r="S455" s="66">
        <v>24</v>
      </c>
      <c r="T455" s="10">
        <f t="shared" si="50"/>
        <v>96</v>
      </c>
      <c r="U455" s="68">
        <f>Table46[[#This Row],[NET WT KGS]]-Table46[[#This Row],[Refraction]]</f>
        <v>41124</v>
      </c>
      <c r="V455" s="69">
        <v>505</v>
      </c>
      <c r="W455" s="69">
        <f>Table46[[#This Row],[PRICE]]*Table46[[#This Row],[PAID WT]]</f>
        <v>20767620</v>
      </c>
      <c r="X455" s="70">
        <v>10.199999999999999</v>
      </c>
      <c r="Y455" s="71">
        <v>185</v>
      </c>
      <c r="Z455" s="70">
        <v>46.03</v>
      </c>
      <c r="AA455" s="72"/>
      <c r="AB455" s="66" t="s">
        <v>132</v>
      </c>
      <c r="AC455" s="73"/>
      <c r="AD455" s="63" t="s">
        <v>620</v>
      </c>
      <c r="AE455" s="18">
        <f>Table46[[#This Row],[MOIS.]]*Table46[[#This Row],[NET WT KGS]]</f>
        <v>420443.99999999994</v>
      </c>
      <c r="AF455" s="18">
        <f>Table46[[#This Row],[KOR]]*Table46[[#This Row],[NET WT KGS]]</f>
        <v>1897356.6</v>
      </c>
      <c r="AG455">
        <f>Table46[[#This Row],[NET WT KGS]]*Table46[[#This Row],[NUT COUNT]]</f>
        <v>7625700</v>
      </c>
    </row>
    <row r="456" spans="1:33" x14ac:dyDescent="0.35">
      <c r="A456" s="32">
        <f t="shared" si="51"/>
        <v>454</v>
      </c>
      <c r="B456" s="35">
        <v>46113</v>
      </c>
      <c r="C456" s="35">
        <f>Table46[[#This Row],[DATE OF ARRIVAL]]</f>
        <v>46113</v>
      </c>
      <c r="D456" s="36"/>
      <c r="E456" s="74"/>
      <c r="F456" s="74" t="s">
        <v>40</v>
      </c>
      <c r="G456" s="74"/>
      <c r="H456" s="74" t="s">
        <v>87</v>
      </c>
      <c r="I456" s="74" t="s">
        <v>88</v>
      </c>
      <c r="J456" s="74" t="s">
        <v>633</v>
      </c>
      <c r="K456" s="74"/>
      <c r="L456" s="74"/>
      <c r="M456" s="74"/>
      <c r="N456" s="74"/>
      <c r="O456" s="79">
        <f>P456+N456</f>
        <v>0</v>
      </c>
      <c r="P456" s="37"/>
      <c r="Q456" s="74"/>
      <c r="R456" s="80"/>
      <c r="S456" s="74"/>
      <c r="T456" s="36"/>
      <c r="U456" s="79">
        <f>Table46[[#This Row],[NET WT KGS]]-Table46[[#This Row],[Refraction]]</f>
        <v>0</v>
      </c>
      <c r="V456" s="81"/>
      <c r="W456" s="81">
        <f>Table46[[#This Row],[PRICE]]*Table46[[#This Row],[PAID WT]]</f>
        <v>0</v>
      </c>
      <c r="X456" s="82">
        <v>9</v>
      </c>
      <c r="Y456" s="83">
        <v>184</v>
      </c>
      <c r="Z456" s="82">
        <v>42.152430000000003</v>
      </c>
      <c r="AA456" s="84"/>
      <c r="AB456" s="74" t="s">
        <v>40</v>
      </c>
      <c r="AC456" s="92" t="s">
        <v>70</v>
      </c>
      <c r="AD456" s="28"/>
      <c r="AE456" s="18">
        <f>Table46[[#This Row],[MOIS.]]*Table46[[#This Row],[NET WT KGS]]</f>
        <v>0</v>
      </c>
      <c r="AF456" s="18">
        <f>Table46[[#This Row],[KOR]]*Table46[[#This Row],[NET WT KGS]]</f>
        <v>0</v>
      </c>
      <c r="AG456">
        <f>Table46[[#This Row],[NET WT KGS]]*Table46[[#This Row],[NUT COUNT]]</f>
        <v>0</v>
      </c>
    </row>
    <row r="457" spans="1:33" x14ac:dyDescent="0.35">
      <c r="A457" s="32">
        <f t="shared" si="51"/>
        <v>455</v>
      </c>
      <c r="B457" s="35">
        <v>46113</v>
      </c>
      <c r="C457" s="35">
        <f>Table46[[#This Row],[DATE OF ARRIVAL]]</f>
        <v>46113</v>
      </c>
      <c r="D457" s="36"/>
      <c r="E457" s="74"/>
      <c r="F457" s="74" t="s">
        <v>40</v>
      </c>
      <c r="G457" s="74"/>
      <c r="H457" s="74" t="s">
        <v>259</v>
      </c>
      <c r="I457" s="36" t="s">
        <v>60</v>
      </c>
      <c r="J457" s="74" t="s">
        <v>634</v>
      </c>
      <c r="K457" s="74"/>
      <c r="L457" s="74"/>
      <c r="M457" s="74"/>
      <c r="N457" s="74"/>
      <c r="O457" s="79">
        <f>P457+N457</f>
        <v>0</v>
      </c>
      <c r="P457" s="79"/>
      <c r="Q457" s="74"/>
      <c r="R457" s="80"/>
      <c r="S457" s="74"/>
      <c r="T457" s="36"/>
      <c r="U457" s="79">
        <f>Table46[[#This Row],[NET WT KGS]]-Table46[[#This Row],[Refraction]]</f>
        <v>0</v>
      </c>
      <c r="V457" s="81"/>
      <c r="W457" s="81">
        <f>Table46[[#This Row],[PRICE]]*Table46[[#This Row],[PAID WT]]</f>
        <v>0</v>
      </c>
      <c r="X457" s="82">
        <v>10.6</v>
      </c>
      <c r="Y457" s="83">
        <v>184</v>
      </c>
      <c r="Z457" s="82">
        <v>39.85962</v>
      </c>
      <c r="AA457" s="84"/>
      <c r="AB457" s="74" t="s">
        <v>46</v>
      </c>
      <c r="AC457" s="92" t="s">
        <v>70</v>
      </c>
      <c r="AD457" s="28"/>
      <c r="AE457" s="18">
        <f>Table46[[#This Row],[MOIS.]]*Table46[[#This Row],[NET WT KGS]]</f>
        <v>0</v>
      </c>
      <c r="AF457" s="18">
        <f>Table46[[#This Row],[KOR]]*Table46[[#This Row],[NET WT KGS]]</f>
        <v>0</v>
      </c>
      <c r="AG457">
        <f>Table46[[#This Row],[NET WT KGS]]*Table46[[#This Row],[NUT COUNT]]</f>
        <v>0</v>
      </c>
    </row>
    <row r="458" spans="1:33" x14ac:dyDescent="0.35">
      <c r="A458" s="32">
        <f t="shared" si="51"/>
        <v>456</v>
      </c>
      <c r="B458" s="20">
        <v>46113</v>
      </c>
      <c r="C458" s="20">
        <v>46114</v>
      </c>
      <c r="D458" s="10" t="s">
        <v>38</v>
      </c>
      <c r="E458" s="66" t="s">
        <v>39</v>
      </c>
      <c r="F458" s="67" t="s">
        <v>62</v>
      </c>
      <c r="G458" s="66"/>
      <c r="H458" s="66" t="s">
        <v>286</v>
      </c>
      <c r="I458" s="67" t="str">
        <f>VLOOKUP(Table46[[#This Row],[SUPPLIERS NAME]],[1]AGING!X$3:Y$30,2,)</f>
        <v>LBA-017-DPV</v>
      </c>
      <c r="J458" s="66" t="s">
        <v>635</v>
      </c>
      <c r="K458" s="21" t="s">
        <v>289</v>
      </c>
      <c r="L458" s="66">
        <v>662</v>
      </c>
      <c r="M458" s="10">
        <v>82173</v>
      </c>
      <c r="N458" s="66">
        <v>490</v>
      </c>
      <c r="O458" s="68">
        <v>40440</v>
      </c>
      <c r="P458" s="93">
        <f>Table46[[#This Row],[GROSS WT KGS]]-Table46[[#This Row],[SACS]]</f>
        <v>39950</v>
      </c>
      <c r="Q458" s="66">
        <v>470</v>
      </c>
      <c r="R458" s="67">
        <v>0</v>
      </c>
      <c r="S458" s="66">
        <v>20</v>
      </c>
      <c r="T458" s="10">
        <f t="shared" ref="T458:T464" si="52">S458*4+R458*40</f>
        <v>80</v>
      </c>
      <c r="U458" s="68">
        <f>Table46[[#This Row],[NET WT KGS]]-Table46[[#This Row],[Refraction]]</f>
        <v>39870</v>
      </c>
      <c r="V458" s="69">
        <v>480</v>
      </c>
      <c r="W458" s="69">
        <f>Table46[[#This Row],[PRICE]]*Table46[[#This Row],[PAID WT]]</f>
        <v>19137600</v>
      </c>
      <c r="X458" s="70">
        <v>8.5</v>
      </c>
      <c r="Y458" s="71">
        <v>168</v>
      </c>
      <c r="Z458" s="70">
        <v>42.24</v>
      </c>
      <c r="AA458" s="72"/>
      <c r="AB458" s="66" t="s">
        <v>46</v>
      </c>
      <c r="AC458" s="27"/>
      <c r="AD458" s="63" t="s">
        <v>620</v>
      </c>
      <c r="AE458" s="18">
        <f>Table46[[#This Row],[MOIS.]]*Table46[[#This Row],[NET WT KGS]]</f>
        <v>339575</v>
      </c>
      <c r="AF458" s="18">
        <f>Table46[[#This Row],[KOR]]*Table46[[#This Row],[NET WT KGS]]</f>
        <v>1687488</v>
      </c>
      <c r="AG458">
        <f>Table46[[#This Row],[NET WT KGS]]*Table46[[#This Row],[NUT COUNT]]</f>
        <v>6711600</v>
      </c>
    </row>
    <row r="459" spans="1:33" x14ac:dyDescent="0.35">
      <c r="A459" s="32">
        <f t="shared" si="51"/>
        <v>457</v>
      </c>
      <c r="B459" s="20">
        <v>46113</v>
      </c>
      <c r="C459" s="20">
        <v>46114</v>
      </c>
      <c r="D459" s="10" t="s">
        <v>38</v>
      </c>
      <c r="E459" s="66" t="s">
        <v>39</v>
      </c>
      <c r="F459" s="67" t="s">
        <v>62</v>
      </c>
      <c r="G459" s="66"/>
      <c r="H459" s="66" t="s">
        <v>193</v>
      </c>
      <c r="I459" s="67" t="str">
        <f>VLOOKUP(Table46[[#This Row],[SUPPLIERS NAME]],[1]AGING!X$3:Y$30,2,)</f>
        <v>LBA-005-JAV</v>
      </c>
      <c r="J459" s="66" t="s">
        <v>195</v>
      </c>
      <c r="K459" s="33" t="s">
        <v>196</v>
      </c>
      <c r="L459" s="66">
        <v>663</v>
      </c>
      <c r="M459" s="10">
        <v>83404</v>
      </c>
      <c r="N459" s="66">
        <v>585</v>
      </c>
      <c r="O459" s="68">
        <v>46420</v>
      </c>
      <c r="P459" s="93">
        <f>Table46[[#This Row],[GROSS WT KGS]]-Table46[[#This Row],[SACS]]</f>
        <v>45835</v>
      </c>
      <c r="Q459" s="66">
        <v>557</v>
      </c>
      <c r="R459" s="67">
        <v>0</v>
      </c>
      <c r="S459" s="66">
        <v>28</v>
      </c>
      <c r="T459" s="10">
        <f t="shared" si="52"/>
        <v>112</v>
      </c>
      <c r="U459" s="68">
        <f>Table46[[#This Row],[NET WT KGS]]-Table46[[#This Row],[Refraction]]</f>
        <v>45723</v>
      </c>
      <c r="V459" s="69">
        <v>485</v>
      </c>
      <c r="W459" s="69">
        <f>Table46[[#This Row],[PRICE]]*Table46[[#This Row],[PAID WT]]</f>
        <v>22175655</v>
      </c>
      <c r="X459" s="70">
        <v>10.5</v>
      </c>
      <c r="Y459" s="71">
        <v>183</v>
      </c>
      <c r="Z459" s="70">
        <v>42.68</v>
      </c>
      <c r="AA459" s="72"/>
      <c r="AB459" s="66" t="s">
        <v>132</v>
      </c>
      <c r="AC459" s="27"/>
      <c r="AD459" s="63" t="s">
        <v>620</v>
      </c>
      <c r="AE459" s="18">
        <f>Table46[[#This Row],[MOIS.]]*Table46[[#This Row],[NET WT KGS]]</f>
        <v>481267.5</v>
      </c>
      <c r="AF459" s="18">
        <f>Table46[[#This Row],[KOR]]*Table46[[#This Row],[NET WT KGS]]</f>
        <v>1956237.8</v>
      </c>
      <c r="AG459">
        <f>Table46[[#This Row],[NET WT KGS]]*Table46[[#This Row],[NUT COUNT]]</f>
        <v>8387805</v>
      </c>
    </row>
    <row r="460" spans="1:33" x14ac:dyDescent="0.35">
      <c r="A460" s="32">
        <f t="shared" si="51"/>
        <v>458</v>
      </c>
      <c r="B460" s="20">
        <v>46114</v>
      </c>
      <c r="C460" s="20">
        <v>46114</v>
      </c>
      <c r="D460" s="10" t="s">
        <v>38</v>
      </c>
      <c r="E460" s="66" t="s">
        <v>39</v>
      </c>
      <c r="F460" s="67" t="s">
        <v>62</v>
      </c>
      <c r="G460" s="66"/>
      <c r="H460" s="66" t="s">
        <v>128</v>
      </c>
      <c r="I460" s="67" t="str">
        <f>VLOOKUP(Table46[[#This Row],[SUPPLIERS NAME]],[1]AGING!X$3:Y$30,2,)</f>
        <v>LBA-002-SCA</v>
      </c>
      <c r="J460" s="66" t="s">
        <v>467</v>
      </c>
      <c r="K460" s="33" t="s">
        <v>131</v>
      </c>
      <c r="L460" s="66">
        <v>666</v>
      </c>
      <c r="M460" s="10">
        <v>78892</v>
      </c>
      <c r="N460" s="66">
        <v>669</v>
      </c>
      <c r="O460" s="68">
        <v>51320</v>
      </c>
      <c r="P460" s="93">
        <f>Table46[[#This Row],[GROSS WT KGS]]-Table46[[#This Row],[SACS]]</f>
        <v>50651</v>
      </c>
      <c r="Q460" s="66">
        <v>647</v>
      </c>
      <c r="R460" s="67">
        <v>0</v>
      </c>
      <c r="S460" s="66">
        <v>22</v>
      </c>
      <c r="T460" s="10">
        <f t="shared" si="52"/>
        <v>88</v>
      </c>
      <c r="U460" s="68">
        <f>Table46[[#This Row],[NET WT KGS]]-Table46[[#This Row],[Refraction]]</f>
        <v>50563</v>
      </c>
      <c r="V460" s="69">
        <v>510</v>
      </c>
      <c r="W460" s="69">
        <f>Table46[[#This Row],[PRICE]]*Table46[[#This Row],[PAID WT]]</f>
        <v>25787130</v>
      </c>
      <c r="X460" s="70">
        <v>9.1</v>
      </c>
      <c r="Y460" s="71">
        <v>181</v>
      </c>
      <c r="Z460" s="70">
        <v>45.06</v>
      </c>
      <c r="AA460" s="72"/>
      <c r="AB460" s="66" t="s">
        <v>132</v>
      </c>
      <c r="AC460" s="73"/>
      <c r="AD460" s="63" t="s">
        <v>620</v>
      </c>
      <c r="AE460" s="18">
        <f>Table46[[#This Row],[MOIS.]]*Table46[[#This Row],[NET WT KGS]]</f>
        <v>460924.1</v>
      </c>
      <c r="AF460" s="18">
        <f>Table46[[#This Row],[KOR]]*Table46[[#This Row],[NET WT KGS]]</f>
        <v>2282334.06</v>
      </c>
      <c r="AG460">
        <f>Table46[[#This Row],[NET WT KGS]]*Table46[[#This Row],[NUT COUNT]]</f>
        <v>9167831</v>
      </c>
    </row>
    <row r="461" spans="1:33" x14ac:dyDescent="0.35">
      <c r="A461" s="32">
        <f t="shared" si="51"/>
        <v>459</v>
      </c>
      <c r="B461" s="20">
        <v>46114</v>
      </c>
      <c r="C461" s="20">
        <v>46114</v>
      </c>
      <c r="D461" s="10" t="s">
        <v>38</v>
      </c>
      <c r="E461" s="66" t="s">
        <v>39</v>
      </c>
      <c r="F461" s="67" t="s">
        <v>62</v>
      </c>
      <c r="G461" s="10"/>
      <c r="H461" s="66" t="s">
        <v>136</v>
      </c>
      <c r="I461" s="67" t="str">
        <f>VLOOKUP(Table46[[#This Row],[SUPPLIERS NAME]],[1]AGING!X$3:Y$30,2,)</f>
        <v>LBA-004-WEB</v>
      </c>
      <c r="J461" s="10" t="s">
        <v>636</v>
      </c>
      <c r="K461" s="21" t="s">
        <v>139</v>
      </c>
      <c r="L461" s="10">
        <v>664</v>
      </c>
      <c r="M461" s="10">
        <v>82496</v>
      </c>
      <c r="N461" s="10">
        <v>500</v>
      </c>
      <c r="O461" s="22">
        <v>43880</v>
      </c>
      <c r="P461" s="51">
        <f>Table46[[#This Row],[GROSS WT KGS]]-Table46[[#This Row],[SACS]]</f>
        <v>43380</v>
      </c>
      <c r="Q461" s="10">
        <v>440</v>
      </c>
      <c r="R461" s="67">
        <v>0</v>
      </c>
      <c r="S461" s="10">
        <v>60</v>
      </c>
      <c r="T461" s="10">
        <f t="shared" si="52"/>
        <v>240</v>
      </c>
      <c r="U461" s="22">
        <f>Table46[[#This Row],[NET WT KGS]]-Table46[[#This Row],[Refraction]]</f>
        <v>43140</v>
      </c>
      <c r="V461" s="23">
        <v>510</v>
      </c>
      <c r="W461" s="23">
        <f>Table46[[#This Row],[PRICE]]*Table46[[#This Row],[PAID WT]]</f>
        <v>22001400</v>
      </c>
      <c r="X461" s="24">
        <v>11.8</v>
      </c>
      <c r="Y461" s="25">
        <v>172</v>
      </c>
      <c r="Z461" s="24">
        <v>44.26</v>
      </c>
      <c r="AA461" s="26"/>
      <c r="AB461" s="10" t="s">
        <v>637</v>
      </c>
      <c r="AC461" s="27"/>
      <c r="AD461" s="63" t="s">
        <v>620</v>
      </c>
      <c r="AE461" s="18">
        <f>Table46[[#This Row],[MOIS.]]*Table46[[#This Row],[NET WT KGS]]</f>
        <v>511884.00000000006</v>
      </c>
      <c r="AF461" s="18">
        <f>Table46[[#This Row],[KOR]]*Table46[[#This Row],[NET WT KGS]]</f>
        <v>1919998.7999999998</v>
      </c>
      <c r="AG461">
        <f>Table46[[#This Row],[NET WT KGS]]*Table46[[#This Row],[NUT COUNT]]</f>
        <v>7461360</v>
      </c>
    </row>
    <row r="462" spans="1:33" x14ac:dyDescent="0.35">
      <c r="A462" s="32">
        <f t="shared" si="51"/>
        <v>460</v>
      </c>
      <c r="B462" s="20">
        <v>46114</v>
      </c>
      <c r="C462" s="20">
        <v>46114</v>
      </c>
      <c r="D462" s="10" t="s">
        <v>38</v>
      </c>
      <c r="E462" s="66" t="s">
        <v>39</v>
      </c>
      <c r="F462" s="67" t="s">
        <v>62</v>
      </c>
      <c r="G462" s="66"/>
      <c r="H462" s="66" t="s">
        <v>128</v>
      </c>
      <c r="I462" s="67" t="str">
        <f>VLOOKUP(Table46[[#This Row],[SUPPLIERS NAME]],[1]AGING!X$3:Y$30,2,)</f>
        <v>LBA-002-SCA</v>
      </c>
      <c r="J462" s="66" t="s">
        <v>638</v>
      </c>
      <c r="K462" s="33" t="s">
        <v>131</v>
      </c>
      <c r="L462" s="66">
        <v>665</v>
      </c>
      <c r="M462" s="10">
        <v>78893</v>
      </c>
      <c r="N462" s="66">
        <v>580</v>
      </c>
      <c r="O462" s="68">
        <v>40480</v>
      </c>
      <c r="P462" s="93">
        <f>Table46[[#This Row],[GROSS WT KGS]]-Table46[[#This Row],[SACS]]</f>
        <v>39900</v>
      </c>
      <c r="Q462" s="66">
        <v>558</v>
      </c>
      <c r="R462" s="67">
        <v>0</v>
      </c>
      <c r="S462" s="66">
        <v>22</v>
      </c>
      <c r="T462" s="10">
        <f t="shared" si="52"/>
        <v>88</v>
      </c>
      <c r="U462" s="68">
        <f>Table46[[#This Row],[NET WT KGS]]-Table46[[#This Row],[Refraction]]</f>
        <v>39812</v>
      </c>
      <c r="V462" s="69">
        <v>505</v>
      </c>
      <c r="W462" s="69">
        <f>Table46[[#This Row],[PRICE]]*Table46[[#This Row],[PAID WT]]</f>
        <v>20105060</v>
      </c>
      <c r="X462" s="113">
        <v>9.4</v>
      </c>
      <c r="Y462" s="71">
        <v>183</v>
      </c>
      <c r="Z462" s="70">
        <v>44.88</v>
      </c>
      <c r="AA462" s="72"/>
      <c r="AB462" s="66" t="s">
        <v>132</v>
      </c>
      <c r="AC462" s="73"/>
      <c r="AD462" s="63" t="s">
        <v>620</v>
      </c>
      <c r="AE462" s="18">
        <f>Table46[[#This Row],[MOIS.]]*Table46[[#This Row],[NET WT KGS]]</f>
        <v>375060</v>
      </c>
      <c r="AF462" s="18">
        <f>Table46[[#This Row],[KOR]]*Table46[[#This Row],[NET WT KGS]]</f>
        <v>1790712</v>
      </c>
      <c r="AG462">
        <f>Table46[[#This Row],[NET WT KGS]]*Table46[[#This Row],[NUT COUNT]]</f>
        <v>7301700</v>
      </c>
    </row>
    <row r="463" spans="1:33" x14ac:dyDescent="0.35">
      <c r="A463" s="32">
        <f t="shared" si="51"/>
        <v>461</v>
      </c>
      <c r="B463" s="20">
        <v>46114</v>
      </c>
      <c r="C463" s="20">
        <v>46114</v>
      </c>
      <c r="D463" s="10" t="s">
        <v>38</v>
      </c>
      <c r="E463" s="66" t="s">
        <v>258</v>
      </c>
      <c r="F463" s="67" t="s">
        <v>40</v>
      </c>
      <c r="G463" s="66" t="s">
        <v>41</v>
      </c>
      <c r="H463" s="66" t="s">
        <v>335</v>
      </c>
      <c r="I463" s="67" t="str">
        <f>VLOOKUP(Table46[[#This Row],[SUPPLIERS NAME]],[1]AGING!X$3:Y$70,2,)</f>
        <v>DIS-003-DEM</v>
      </c>
      <c r="J463" s="66" t="s">
        <v>639</v>
      </c>
      <c r="K463" s="57" t="s">
        <v>337</v>
      </c>
      <c r="L463" s="66">
        <v>1165</v>
      </c>
      <c r="M463" s="10">
        <v>34033</v>
      </c>
      <c r="N463" s="66">
        <v>424</v>
      </c>
      <c r="O463" s="68">
        <f t="shared" ref="O463:O474" si="53">P463+N463</f>
        <v>35700</v>
      </c>
      <c r="P463" s="68">
        <v>35276</v>
      </c>
      <c r="Q463" s="66">
        <v>404</v>
      </c>
      <c r="R463" s="67">
        <v>0</v>
      </c>
      <c r="S463" s="66">
        <v>20</v>
      </c>
      <c r="T463" s="10">
        <f t="shared" si="52"/>
        <v>80</v>
      </c>
      <c r="U463" s="68">
        <f>Table46[[#This Row],[NET WT KGS]]-Table46[[#This Row],[Refraction]]</f>
        <v>35196</v>
      </c>
      <c r="V463" s="69">
        <v>500</v>
      </c>
      <c r="W463" s="69">
        <f>Table46[[#This Row],[PRICE]]*Table46[[#This Row],[PAID WT]]</f>
        <v>17598000</v>
      </c>
      <c r="X463" s="70">
        <v>10</v>
      </c>
      <c r="Y463" s="71">
        <v>171</v>
      </c>
      <c r="Z463" s="70">
        <v>44.09</v>
      </c>
      <c r="AA463" s="72"/>
      <c r="AB463" s="66" t="s">
        <v>58</v>
      </c>
      <c r="AC463" s="73"/>
      <c r="AD463" s="63" t="s">
        <v>620</v>
      </c>
      <c r="AE463" s="18">
        <f>Table46[[#This Row],[MOIS.]]*Table46[[#This Row],[NET WT KGS]]</f>
        <v>352760</v>
      </c>
      <c r="AF463" s="18">
        <f>Table46[[#This Row],[KOR]]*Table46[[#This Row],[NET WT KGS]]</f>
        <v>1555318.84</v>
      </c>
      <c r="AG463">
        <f>Table46[[#This Row],[NET WT KGS]]*Table46[[#This Row],[NUT COUNT]]</f>
        <v>6032196</v>
      </c>
    </row>
    <row r="464" spans="1:33" x14ac:dyDescent="0.35">
      <c r="A464" s="32">
        <f t="shared" si="51"/>
        <v>462</v>
      </c>
      <c r="B464" s="20">
        <v>46114</v>
      </c>
      <c r="C464" s="20">
        <v>46114</v>
      </c>
      <c r="D464" s="10" t="s">
        <v>38</v>
      </c>
      <c r="E464" s="66" t="s">
        <v>39</v>
      </c>
      <c r="F464" s="67" t="s">
        <v>40</v>
      </c>
      <c r="G464" s="66" t="s">
        <v>41</v>
      </c>
      <c r="H464" s="66" t="s">
        <v>154</v>
      </c>
      <c r="I464" s="50" t="str">
        <f>VLOOKUP(Table46[[#This Row],[SUPPLIERS NAME]],[1]AGING!X$3:Y$30,2,)</f>
        <v>LBA-010-CAP</v>
      </c>
      <c r="J464" s="66" t="s">
        <v>453</v>
      </c>
      <c r="K464" s="33" t="s">
        <v>157</v>
      </c>
      <c r="L464" s="66">
        <v>1166</v>
      </c>
      <c r="M464" s="10">
        <v>84390</v>
      </c>
      <c r="N464" s="66">
        <v>579</v>
      </c>
      <c r="O464" s="68">
        <f t="shared" si="53"/>
        <v>50740</v>
      </c>
      <c r="P464" s="22">
        <v>50161</v>
      </c>
      <c r="Q464" s="66">
        <v>570</v>
      </c>
      <c r="R464" s="67">
        <v>0</v>
      </c>
      <c r="S464" s="66">
        <v>9</v>
      </c>
      <c r="T464" s="10">
        <f t="shared" si="52"/>
        <v>36</v>
      </c>
      <c r="U464" s="68">
        <f>Table46[[#This Row],[NET WT KGS]]-Table46[[#This Row],[Refraction]]</f>
        <v>50125</v>
      </c>
      <c r="V464" s="69">
        <v>500</v>
      </c>
      <c r="W464" s="69">
        <f>Table46[[#This Row],[PRICE]]*Table46[[#This Row],[PAID WT]]</f>
        <v>25062500</v>
      </c>
      <c r="X464" s="70">
        <v>11.2</v>
      </c>
      <c r="Y464" s="71">
        <v>172</v>
      </c>
      <c r="Z464" s="70">
        <v>44.09</v>
      </c>
      <c r="AA464" s="72"/>
      <c r="AB464" s="66" t="s">
        <v>284</v>
      </c>
      <c r="AC464" s="73"/>
      <c r="AD464" s="63" t="s">
        <v>620</v>
      </c>
      <c r="AE464" s="18">
        <f>Table46[[#This Row],[MOIS.]]*Table46[[#This Row],[NET WT KGS]]</f>
        <v>561803.19999999995</v>
      </c>
      <c r="AF464" s="18">
        <f>Table46[[#This Row],[KOR]]*Table46[[#This Row],[NET WT KGS]]</f>
        <v>2211598.4900000002</v>
      </c>
      <c r="AG464">
        <f>Table46[[#This Row],[NET WT KGS]]*Table46[[#This Row],[NUT COUNT]]</f>
        <v>8627692</v>
      </c>
    </row>
    <row r="465" spans="1:33" x14ac:dyDescent="0.35">
      <c r="A465" s="32">
        <f t="shared" si="51"/>
        <v>463</v>
      </c>
      <c r="B465" s="35">
        <v>46114</v>
      </c>
      <c r="C465" s="35">
        <f>Table46[[#This Row],[DATE OF ARRIVAL]]</f>
        <v>46114</v>
      </c>
      <c r="D465" s="36"/>
      <c r="E465" s="74"/>
      <c r="F465" s="74" t="s">
        <v>40</v>
      </c>
      <c r="G465" s="74"/>
      <c r="H465" s="74" t="s">
        <v>385</v>
      </c>
      <c r="I465" s="74" t="s">
        <v>322</v>
      </c>
      <c r="J465" s="74" t="s">
        <v>640</v>
      </c>
      <c r="K465" s="74"/>
      <c r="L465" s="74"/>
      <c r="M465" s="74"/>
      <c r="N465" s="74"/>
      <c r="O465" s="79">
        <f t="shared" si="53"/>
        <v>0</v>
      </c>
      <c r="P465" s="79"/>
      <c r="Q465" s="74"/>
      <c r="R465" s="80"/>
      <c r="S465" s="74"/>
      <c r="T465" s="36"/>
      <c r="U465" s="79">
        <f>Table46[[#This Row],[NET WT KGS]]-Table46[[#This Row],[Refraction]]</f>
        <v>0</v>
      </c>
      <c r="V465" s="81"/>
      <c r="W465" s="81">
        <f>Table46[[#This Row],[PRICE]]*Table46[[#This Row],[PAID WT]]</f>
        <v>0</v>
      </c>
      <c r="X465" s="82">
        <v>12.2</v>
      </c>
      <c r="Y465" s="83">
        <v>163</v>
      </c>
      <c r="Z465" s="82">
        <v>43.563389999999998</v>
      </c>
      <c r="AA465" s="84"/>
      <c r="AB465" s="74" t="s">
        <v>367</v>
      </c>
      <c r="AC465" s="92" t="s">
        <v>70</v>
      </c>
      <c r="AD465" s="28"/>
      <c r="AE465" s="18">
        <f>Table46[[#This Row],[MOIS.]]*Table46[[#This Row],[NET WT KGS]]</f>
        <v>0</v>
      </c>
      <c r="AF465" s="18">
        <f>Table46[[#This Row],[KOR]]*Table46[[#This Row],[NET WT KGS]]</f>
        <v>0</v>
      </c>
      <c r="AG465">
        <f>Table46[[#This Row],[NET WT KGS]]*Table46[[#This Row],[NUT COUNT]]</f>
        <v>0</v>
      </c>
    </row>
    <row r="466" spans="1:33" x14ac:dyDescent="0.35">
      <c r="A466" s="32">
        <f t="shared" si="51"/>
        <v>464</v>
      </c>
      <c r="B466" s="35">
        <v>46114</v>
      </c>
      <c r="C466" s="35">
        <f>Table46[[#This Row],[DATE OF ARRIVAL]]</f>
        <v>46114</v>
      </c>
      <c r="D466" s="36"/>
      <c r="E466" s="74"/>
      <c r="F466" s="74" t="s">
        <v>40</v>
      </c>
      <c r="G466" s="74"/>
      <c r="H466" s="74" t="s">
        <v>42</v>
      </c>
      <c r="I466" s="74" t="s">
        <v>43</v>
      </c>
      <c r="J466" s="74" t="s">
        <v>641</v>
      </c>
      <c r="K466" s="74"/>
      <c r="L466" s="74"/>
      <c r="M466" s="74"/>
      <c r="N466" s="74"/>
      <c r="O466" s="79">
        <f t="shared" si="53"/>
        <v>0</v>
      </c>
      <c r="P466" s="79"/>
      <c r="Q466" s="74"/>
      <c r="R466" s="80"/>
      <c r="S466" s="74"/>
      <c r="T466" s="36"/>
      <c r="U466" s="79">
        <f>Table46[[#This Row],[NET WT KGS]]-Table46[[#This Row],[Refraction]]</f>
        <v>0</v>
      </c>
      <c r="V466" s="81"/>
      <c r="W466" s="81">
        <f>Table46[[#This Row],[PRICE]]*Table46[[#This Row],[PAID WT]]</f>
        <v>0</v>
      </c>
      <c r="X466" s="82">
        <v>9.4</v>
      </c>
      <c r="Y466" s="83">
        <v>176</v>
      </c>
      <c r="Z466" s="82">
        <v>41.799689999999998</v>
      </c>
      <c r="AA466" s="84"/>
      <c r="AB466" s="74" t="s">
        <v>171</v>
      </c>
      <c r="AC466" s="92" t="s">
        <v>70</v>
      </c>
      <c r="AD466" s="28"/>
      <c r="AE466" s="18">
        <f>Table46[[#This Row],[MOIS.]]*Table46[[#This Row],[NET WT KGS]]</f>
        <v>0</v>
      </c>
      <c r="AF466" s="18">
        <f>Table46[[#This Row],[KOR]]*Table46[[#This Row],[NET WT KGS]]</f>
        <v>0</v>
      </c>
      <c r="AG466">
        <f>Table46[[#This Row],[NET WT KGS]]*Table46[[#This Row],[NUT COUNT]]</f>
        <v>0</v>
      </c>
    </row>
    <row r="467" spans="1:33" x14ac:dyDescent="0.35">
      <c r="A467" s="32">
        <f t="shared" si="51"/>
        <v>465</v>
      </c>
      <c r="B467" s="35">
        <v>46114</v>
      </c>
      <c r="C467" s="35">
        <f>Table46[[#This Row],[DATE OF ARRIVAL]]</f>
        <v>46114</v>
      </c>
      <c r="D467" s="36"/>
      <c r="E467" s="74"/>
      <c r="F467" s="74" t="s">
        <v>40</v>
      </c>
      <c r="G467" s="74"/>
      <c r="H467" s="74" t="s">
        <v>259</v>
      </c>
      <c r="I467" s="74" t="s">
        <v>60</v>
      </c>
      <c r="J467" s="74" t="s">
        <v>634</v>
      </c>
      <c r="K467" s="74"/>
      <c r="L467" s="74"/>
      <c r="M467" s="74"/>
      <c r="N467" s="74"/>
      <c r="O467" s="79">
        <f t="shared" si="53"/>
        <v>0</v>
      </c>
      <c r="P467" s="79"/>
      <c r="Q467" s="74"/>
      <c r="R467" s="80"/>
      <c r="S467" s="74"/>
      <c r="T467" s="36"/>
      <c r="U467" s="79">
        <f>Table46[[#This Row],[NET WT KGS]]-Table46[[#This Row],[Refraction]]</f>
        <v>0</v>
      </c>
      <c r="V467" s="81"/>
      <c r="W467" s="81">
        <f>Table46[[#This Row],[PRICE]]*Table46[[#This Row],[PAID WT]]</f>
        <v>0</v>
      </c>
      <c r="X467" s="82">
        <v>10.5</v>
      </c>
      <c r="Y467" s="83">
        <v>165</v>
      </c>
      <c r="Z467" s="82">
        <v>38.625030000000002</v>
      </c>
      <c r="AA467" s="84"/>
      <c r="AB467" s="74" t="s">
        <v>46</v>
      </c>
      <c r="AC467" s="92" t="s">
        <v>70</v>
      </c>
      <c r="AD467" s="28"/>
      <c r="AE467" s="18">
        <f>Table46[[#This Row],[MOIS.]]*Table46[[#This Row],[NET WT KGS]]</f>
        <v>0</v>
      </c>
      <c r="AF467" s="18">
        <f>Table46[[#This Row],[KOR]]*Table46[[#This Row],[NET WT KGS]]</f>
        <v>0</v>
      </c>
      <c r="AG467">
        <f>Table46[[#This Row],[NET WT KGS]]*Table46[[#This Row],[NUT COUNT]]</f>
        <v>0</v>
      </c>
    </row>
    <row r="468" spans="1:33" x14ac:dyDescent="0.35">
      <c r="A468" s="32">
        <f t="shared" si="51"/>
        <v>466</v>
      </c>
      <c r="B468" s="35">
        <v>46114</v>
      </c>
      <c r="C468" s="35">
        <f>Table46[[#This Row],[DATE OF ARRIVAL]]</f>
        <v>46114</v>
      </c>
      <c r="D468" s="36"/>
      <c r="E468" s="74"/>
      <c r="F468" s="74" t="s">
        <v>40</v>
      </c>
      <c r="G468" s="74"/>
      <c r="H468" s="74" t="s">
        <v>112</v>
      </c>
      <c r="I468" s="74" t="s">
        <v>113</v>
      </c>
      <c r="J468" s="74" t="s">
        <v>366</v>
      </c>
      <c r="K468" s="74"/>
      <c r="L468" s="74"/>
      <c r="M468" s="74"/>
      <c r="N468" s="74"/>
      <c r="O468" s="79">
        <f t="shared" si="53"/>
        <v>0</v>
      </c>
      <c r="P468" s="79"/>
      <c r="Q468" s="74"/>
      <c r="R468" s="80"/>
      <c r="S468" s="74"/>
      <c r="T468" s="36"/>
      <c r="U468" s="79">
        <f>Table46[[#This Row],[NET WT KGS]]-Table46[[#This Row],[Refraction]]</f>
        <v>0</v>
      </c>
      <c r="V468" s="81"/>
      <c r="W468" s="81">
        <f>Table46[[#This Row],[PRICE]]*Table46[[#This Row],[PAID WT]]</f>
        <v>0</v>
      </c>
      <c r="X468" s="82">
        <v>10.3</v>
      </c>
      <c r="Y468" s="83">
        <v>188</v>
      </c>
      <c r="Z468" s="82">
        <v>40.212359999999997</v>
      </c>
      <c r="AA468" s="84"/>
      <c r="AB468" s="74" t="s">
        <v>58</v>
      </c>
      <c r="AC468" s="42" t="s">
        <v>70</v>
      </c>
      <c r="AD468" s="28"/>
      <c r="AE468" s="18">
        <f>Table46[[#This Row],[MOIS.]]*Table46[[#This Row],[NET WT KGS]]</f>
        <v>0</v>
      </c>
      <c r="AF468" s="18">
        <f>Table46[[#This Row],[KOR]]*Table46[[#This Row],[NET WT KGS]]</f>
        <v>0</v>
      </c>
      <c r="AG468">
        <f>Table46[[#This Row],[NET WT KGS]]*Table46[[#This Row],[NUT COUNT]]</f>
        <v>0</v>
      </c>
    </row>
    <row r="469" spans="1:33" x14ac:dyDescent="0.35">
      <c r="A469" s="32">
        <f t="shared" si="51"/>
        <v>467</v>
      </c>
      <c r="B469" s="35">
        <v>46114</v>
      </c>
      <c r="C469" s="35">
        <f>Table46[[#This Row],[DATE OF ARRIVAL]]</f>
        <v>46114</v>
      </c>
      <c r="D469" s="36"/>
      <c r="E469" s="74"/>
      <c r="F469" s="74" t="s">
        <v>62</v>
      </c>
      <c r="G469" s="74"/>
      <c r="H469" s="36" t="s">
        <v>642</v>
      </c>
      <c r="I469" s="74" t="s">
        <v>247</v>
      </c>
      <c r="J469" s="36" t="s">
        <v>643</v>
      </c>
      <c r="K469" s="74"/>
      <c r="L469" s="36"/>
      <c r="M469" s="74"/>
      <c r="N469" s="36"/>
      <c r="O469" s="37">
        <f t="shared" si="53"/>
        <v>0</v>
      </c>
      <c r="P469" s="37"/>
      <c r="Q469" s="36"/>
      <c r="R469" s="80"/>
      <c r="S469" s="36"/>
      <c r="T469" s="36"/>
      <c r="U469" s="37">
        <f>Table46[[#This Row],[NET WT KGS]]-Table46[[#This Row],[Refraction]]</f>
        <v>0</v>
      </c>
      <c r="V469" s="38"/>
      <c r="W469" s="38">
        <f>Table46[[#This Row],[PRICE]]*Table46[[#This Row],[PAID WT]]</f>
        <v>0</v>
      </c>
      <c r="X469" s="39">
        <v>11</v>
      </c>
      <c r="Y469" s="40">
        <v>181</v>
      </c>
      <c r="Z469" s="39">
        <v>41.62</v>
      </c>
      <c r="AA469" s="41"/>
      <c r="AB469" s="36" t="s">
        <v>644</v>
      </c>
      <c r="AC469" s="42" t="s">
        <v>70</v>
      </c>
      <c r="AD469" s="99"/>
      <c r="AE469" s="18">
        <f>Table46[[#This Row],[MOIS.]]*Table46[[#This Row],[NET WT KGS]]</f>
        <v>0</v>
      </c>
      <c r="AF469" s="18">
        <f>Table46[[#This Row],[KOR]]*Table46[[#This Row],[NET WT KGS]]</f>
        <v>0</v>
      </c>
      <c r="AG469">
        <f>Table46[[#This Row],[NET WT KGS]]*Table46[[#This Row],[NUT COUNT]]</f>
        <v>0</v>
      </c>
    </row>
    <row r="470" spans="1:33" x14ac:dyDescent="0.35">
      <c r="A470" s="32">
        <f t="shared" si="51"/>
        <v>468</v>
      </c>
      <c r="B470" s="20">
        <v>46114</v>
      </c>
      <c r="C470" s="20">
        <v>46115</v>
      </c>
      <c r="D470" s="10" t="s">
        <v>38</v>
      </c>
      <c r="E470" s="66" t="s">
        <v>39</v>
      </c>
      <c r="F470" s="67" t="s">
        <v>40</v>
      </c>
      <c r="G470" s="10" t="s">
        <v>41</v>
      </c>
      <c r="H470" s="50" t="s">
        <v>123</v>
      </c>
      <c r="I470" s="67" t="str">
        <f>VLOOKUP(Table46[[#This Row],[SUPPLIERS NAME]],[1]AGING!X$3:Y$30,2,)</f>
        <v>LBA-011-ASR</v>
      </c>
      <c r="J470" s="10" t="s">
        <v>164</v>
      </c>
      <c r="K470" s="21" t="s">
        <v>161</v>
      </c>
      <c r="L470" s="10">
        <v>1168</v>
      </c>
      <c r="M470" s="10">
        <v>87006</v>
      </c>
      <c r="N470" s="10">
        <v>235</v>
      </c>
      <c r="O470" s="22">
        <f t="shared" si="53"/>
        <v>20820</v>
      </c>
      <c r="P470" s="22">
        <v>20585</v>
      </c>
      <c r="Q470" s="10">
        <v>230</v>
      </c>
      <c r="R470" s="67">
        <v>0</v>
      </c>
      <c r="S470" s="10">
        <v>5</v>
      </c>
      <c r="T470" s="10">
        <f t="shared" ref="T470:T475" si="54">S470*4+R470*40</f>
        <v>20</v>
      </c>
      <c r="U470" s="22">
        <f>Table46[[#This Row],[NET WT KGS]]-Table46[[#This Row],[Refraction]]</f>
        <v>20565</v>
      </c>
      <c r="V470" s="23">
        <v>510</v>
      </c>
      <c r="W470" s="23">
        <f>Table46[[#This Row],[PRICE]]*Table46[[#This Row],[PAID WT]]</f>
        <v>10488150</v>
      </c>
      <c r="X470" s="24">
        <v>7.9</v>
      </c>
      <c r="Y470" s="25">
        <v>173</v>
      </c>
      <c r="Z470" s="24">
        <v>44.44</v>
      </c>
      <c r="AA470" s="26"/>
      <c r="AB470" s="10" t="s">
        <v>58</v>
      </c>
      <c r="AC470" s="27"/>
      <c r="AD470" s="63" t="s">
        <v>620</v>
      </c>
      <c r="AE470" s="18">
        <f>Table46[[#This Row],[MOIS.]]*Table46[[#This Row],[NET WT KGS]]</f>
        <v>162621.5</v>
      </c>
      <c r="AF470" s="18">
        <f>Table46[[#This Row],[KOR]]*Table46[[#This Row],[NET WT KGS]]</f>
        <v>914797.39999999991</v>
      </c>
      <c r="AG470">
        <f>Table46[[#This Row],[NET WT KGS]]*Table46[[#This Row],[NUT COUNT]]</f>
        <v>3561205</v>
      </c>
    </row>
    <row r="471" spans="1:33" x14ac:dyDescent="0.35">
      <c r="A471" s="32">
        <f t="shared" si="51"/>
        <v>469</v>
      </c>
      <c r="B471" s="20">
        <v>46114</v>
      </c>
      <c r="C471" s="20">
        <v>46115</v>
      </c>
      <c r="D471" s="10" t="s">
        <v>38</v>
      </c>
      <c r="E471" s="66" t="s">
        <v>39</v>
      </c>
      <c r="F471" s="67" t="s">
        <v>40</v>
      </c>
      <c r="G471" s="66" t="s">
        <v>350</v>
      </c>
      <c r="H471" s="66" t="s">
        <v>87</v>
      </c>
      <c r="I471" s="67" t="str">
        <f>VLOOKUP(Table46[[#This Row],[SUPPLIERS NAME]],[1]AGING!X$3:Y$30,2,)</f>
        <v>LBA-009-SCO</v>
      </c>
      <c r="J471" s="66" t="s">
        <v>460</v>
      </c>
      <c r="K471" s="33" t="s">
        <v>90</v>
      </c>
      <c r="L471" s="66">
        <v>1171</v>
      </c>
      <c r="M471" s="10">
        <v>34344</v>
      </c>
      <c r="N471" s="66">
        <v>510</v>
      </c>
      <c r="O471" s="68">
        <f t="shared" si="53"/>
        <v>42360</v>
      </c>
      <c r="P471" s="22">
        <v>41850</v>
      </c>
      <c r="Q471" s="66">
        <v>500</v>
      </c>
      <c r="R471" s="67">
        <v>0</v>
      </c>
      <c r="S471" s="66">
        <v>10</v>
      </c>
      <c r="T471" s="10">
        <f t="shared" si="54"/>
        <v>40</v>
      </c>
      <c r="U471" s="68">
        <f>Table46[[#This Row],[NET WT KGS]]-Table46[[#This Row],[Refraction]]</f>
        <v>41810</v>
      </c>
      <c r="V471" s="69">
        <v>500</v>
      </c>
      <c r="W471" s="69">
        <f>Table46[[#This Row],[PRICE]]*Table46[[#This Row],[PAID WT]]</f>
        <v>20905000</v>
      </c>
      <c r="X471" s="70">
        <v>12.2</v>
      </c>
      <c r="Y471" s="71">
        <v>174</v>
      </c>
      <c r="Z471" s="70">
        <v>43.56</v>
      </c>
      <c r="AA471" s="72"/>
      <c r="AB471" s="66" t="s">
        <v>132</v>
      </c>
      <c r="AC471" s="27"/>
      <c r="AD471" s="63" t="s">
        <v>620</v>
      </c>
      <c r="AE471" s="18">
        <f>Table46[[#This Row],[MOIS.]]*Table46[[#This Row],[NET WT KGS]]</f>
        <v>510569.99999999994</v>
      </c>
      <c r="AF471" s="18">
        <f>Table46[[#This Row],[KOR]]*Table46[[#This Row],[NET WT KGS]]</f>
        <v>1822986</v>
      </c>
      <c r="AG471">
        <f>Table46[[#This Row],[NET WT KGS]]*Table46[[#This Row],[NUT COUNT]]</f>
        <v>7281900</v>
      </c>
    </row>
    <row r="472" spans="1:33" x14ac:dyDescent="0.35">
      <c r="A472" s="32">
        <f t="shared" si="51"/>
        <v>470</v>
      </c>
      <c r="B472" s="20">
        <v>46114</v>
      </c>
      <c r="C472" s="20">
        <v>46115</v>
      </c>
      <c r="D472" s="10" t="s">
        <v>38</v>
      </c>
      <c r="E472" s="66" t="s">
        <v>39</v>
      </c>
      <c r="F472" s="50" t="s">
        <v>40</v>
      </c>
      <c r="G472" s="66" t="s">
        <v>350</v>
      </c>
      <c r="H472" s="67" t="s">
        <v>123</v>
      </c>
      <c r="I472" s="50" t="str">
        <f>VLOOKUP(Table46[[#This Row],[SUPPLIERS NAME]],[1]AGING!X$3:Y$30,2,)</f>
        <v>LBA-011-ASR</v>
      </c>
      <c r="J472" s="66" t="s">
        <v>645</v>
      </c>
      <c r="K472" s="21" t="s">
        <v>161</v>
      </c>
      <c r="L472" s="66">
        <v>1167</v>
      </c>
      <c r="M472" s="10">
        <v>82490</v>
      </c>
      <c r="N472" s="66">
        <v>563</v>
      </c>
      <c r="O472" s="68">
        <f t="shared" si="53"/>
        <v>48160</v>
      </c>
      <c r="P472" s="22">
        <v>47597</v>
      </c>
      <c r="Q472" s="66">
        <v>536</v>
      </c>
      <c r="R472" s="67">
        <v>0</v>
      </c>
      <c r="S472" s="66">
        <v>27</v>
      </c>
      <c r="T472" s="10">
        <f t="shared" si="54"/>
        <v>108</v>
      </c>
      <c r="U472" s="68">
        <f>Table46[[#This Row],[NET WT KGS]]-Table46[[#This Row],[Refraction]]</f>
        <v>47489</v>
      </c>
      <c r="V472" s="69">
        <v>510</v>
      </c>
      <c r="W472" s="69">
        <f>Table46[[#This Row],[PRICE]]*Table46[[#This Row],[PAID WT]]</f>
        <v>24219390</v>
      </c>
      <c r="X472" s="70">
        <v>11.2</v>
      </c>
      <c r="Y472" s="71">
        <v>175</v>
      </c>
      <c r="Z472" s="70">
        <v>44.09</v>
      </c>
      <c r="AA472" s="72"/>
      <c r="AB472" s="66" t="s">
        <v>150</v>
      </c>
      <c r="AC472" s="27"/>
      <c r="AD472" s="63" t="s">
        <v>620</v>
      </c>
      <c r="AE472" s="18">
        <f>Table46[[#This Row],[MOIS.]]*Table46[[#This Row],[NET WT KGS]]</f>
        <v>533086.4</v>
      </c>
      <c r="AF472" s="18">
        <f>Table46[[#This Row],[KOR]]*Table46[[#This Row],[NET WT KGS]]</f>
        <v>2098551.73</v>
      </c>
      <c r="AG472">
        <f>Table46[[#This Row],[NET WT KGS]]*Table46[[#This Row],[NUT COUNT]]</f>
        <v>8329475</v>
      </c>
    </row>
    <row r="473" spans="1:33" x14ac:dyDescent="0.35">
      <c r="A473" s="32">
        <f t="shared" si="51"/>
        <v>471</v>
      </c>
      <c r="B473" s="20">
        <v>46115</v>
      </c>
      <c r="C473" s="20">
        <v>46115</v>
      </c>
      <c r="D473" s="10" t="s">
        <v>38</v>
      </c>
      <c r="E473" s="10" t="s">
        <v>39</v>
      </c>
      <c r="F473" s="50" t="s">
        <v>40</v>
      </c>
      <c r="G473" s="10" t="s">
        <v>350</v>
      </c>
      <c r="H473" s="10" t="s">
        <v>42</v>
      </c>
      <c r="I473" s="67" t="str">
        <f>VLOOKUP(Table46[[#This Row],[SUPPLIERS NAME]],[1]AGING!X$3:Y$30,2,)</f>
        <v>LBA-006-IMA</v>
      </c>
      <c r="J473" s="10" t="s">
        <v>646</v>
      </c>
      <c r="K473" s="21" t="s">
        <v>45</v>
      </c>
      <c r="L473" s="10">
        <v>1169</v>
      </c>
      <c r="M473" s="10">
        <v>72406</v>
      </c>
      <c r="N473" s="10">
        <v>556</v>
      </c>
      <c r="O473" s="22">
        <f t="shared" si="53"/>
        <v>45820</v>
      </c>
      <c r="P473" s="22">
        <v>45264</v>
      </c>
      <c r="Q473" s="10">
        <v>536</v>
      </c>
      <c r="R473" s="67">
        <v>0</v>
      </c>
      <c r="S473" s="10">
        <v>20</v>
      </c>
      <c r="T473" s="10">
        <f t="shared" si="54"/>
        <v>80</v>
      </c>
      <c r="U473" s="22">
        <f>Table46[[#This Row],[NET WT KGS]]-Table46[[#This Row],[Refraction]]</f>
        <v>45184</v>
      </c>
      <c r="V473" s="69">
        <v>485</v>
      </c>
      <c r="W473" s="23">
        <f>Table46[[#This Row],[PRICE]]*Table46[[#This Row],[PAID WT]]</f>
        <v>21914240</v>
      </c>
      <c r="X473" s="24">
        <v>9.6999999999999993</v>
      </c>
      <c r="Y473" s="25">
        <v>170</v>
      </c>
      <c r="Z473" s="24">
        <v>42.15</v>
      </c>
      <c r="AA473" s="26"/>
      <c r="AB473" s="10" t="s">
        <v>182</v>
      </c>
      <c r="AC473" s="27"/>
      <c r="AD473" s="63" t="s">
        <v>620</v>
      </c>
      <c r="AE473" s="18">
        <f>Table46[[#This Row],[MOIS.]]*Table46[[#This Row],[NET WT KGS]]</f>
        <v>439060.8</v>
      </c>
      <c r="AF473" s="18">
        <f>Table46[[#This Row],[KOR]]*Table46[[#This Row],[NET WT KGS]]</f>
        <v>1907877.5999999999</v>
      </c>
      <c r="AG473">
        <f>Table46[[#This Row],[NET WT KGS]]*Table46[[#This Row],[NUT COUNT]]</f>
        <v>7694880</v>
      </c>
    </row>
    <row r="474" spans="1:33" x14ac:dyDescent="0.35">
      <c r="A474" s="32">
        <f t="shared" si="51"/>
        <v>472</v>
      </c>
      <c r="B474" s="20">
        <v>46115</v>
      </c>
      <c r="C474" s="20">
        <v>46115</v>
      </c>
      <c r="D474" s="10" t="s">
        <v>38</v>
      </c>
      <c r="E474" s="10" t="s">
        <v>39</v>
      </c>
      <c r="F474" s="50" t="s">
        <v>40</v>
      </c>
      <c r="G474" s="10" t="s">
        <v>350</v>
      </c>
      <c r="H474" s="50" t="s">
        <v>112</v>
      </c>
      <c r="I474" s="67" t="str">
        <f>VLOOKUP(Table46[[#This Row],[SUPPLIERS NAME]],[1]AGING!X$3:Y$30,2,)</f>
        <v>LBA-015-OUM</v>
      </c>
      <c r="J474" s="10" t="s">
        <v>114</v>
      </c>
      <c r="K474" s="21" t="s">
        <v>115</v>
      </c>
      <c r="L474" s="10">
        <v>1170</v>
      </c>
      <c r="M474" s="10">
        <v>60464</v>
      </c>
      <c r="N474" s="10">
        <v>571</v>
      </c>
      <c r="O474" s="22">
        <f t="shared" si="53"/>
        <v>46260</v>
      </c>
      <c r="P474" s="22">
        <v>45689</v>
      </c>
      <c r="Q474" s="10">
        <v>561</v>
      </c>
      <c r="R474" s="67">
        <v>0</v>
      </c>
      <c r="S474" s="10">
        <v>10</v>
      </c>
      <c r="T474" s="10">
        <f t="shared" si="54"/>
        <v>40</v>
      </c>
      <c r="U474" s="22">
        <f>Table46[[#This Row],[NET WT KGS]]-Table46[[#This Row],[Refraction]]</f>
        <v>45649</v>
      </c>
      <c r="V474" s="23">
        <v>505</v>
      </c>
      <c r="W474" s="23">
        <f>Table46[[#This Row],[PRICE]]*Table46[[#This Row],[PAID WT]]</f>
        <v>23052745</v>
      </c>
      <c r="X474" s="24">
        <v>10</v>
      </c>
      <c r="Y474" s="25">
        <v>176</v>
      </c>
      <c r="Z474" s="24">
        <v>44.09</v>
      </c>
      <c r="AA474" s="26"/>
      <c r="AB474" s="10" t="s">
        <v>308</v>
      </c>
      <c r="AC474" s="27"/>
      <c r="AD474" s="63" t="s">
        <v>620</v>
      </c>
      <c r="AE474" s="18">
        <f>Table46[[#This Row],[MOIS.]]*Table46[[#This Row],[NET WT KGS]]</f>
        <v>456890</v>
      </c>
      <c r="AF474" s="18">
        <f>Table46[[#This Row],[KOR]]*Table46[[#This Row],[NET WT KGS]]</f>
        <v>2014428.0100000002</v>
      </c>
      <c r="AG474">
        <f>Table46[[#This Row],[NET WT KGS]]*Table46[[#This Row],[NUT COUNT]]</f>
        <v>8041264</v>
      </c>
    </row>
    <row r="475" spans="1:33" x14ac:dyDescent="0.35">
      <c r="A475" s="32">
        <f t="shared" si="51"/>
        <v>473</v>
      </c>
      <c r="B475" s="20">
        <v>46115</v>
      </c>
      <c r="C475" s="20">
        <v>46115</v>
      </c>
      <c r="D475" s="10" t="s">
        <v>38</v>
      </c>
      <c r="E475" s="10" t="s">
        <v>258</v>
      </c>
      <c r="F475" s="50" t="s">
        <v>62</v>
      </c>
      <c r="G475" s="10"/>
      <c r="H475" s="66" t="s">
        <v>584</v>
      </c>
      <c r="I475" s="67" t="str">
        <f>VLOOKUP(Table46[[#This Row],[SUPPLIERS NAME]],[1]AGING!X$3:Y$70,2,)</f>
        <v>DIS-021-KOB</v>
      </c>
      <c r="J475" s="10" t="s">
        <v>585</v>
      </c>
      <c r="K475" s="21" t="s">
        <v>586</v>
      </c>
      <c r="L475" s="10">
        <v>667</v>
      </c>
      <c r="M475" s="10">
        <v>87134</v>
      </c>
      <c r="N475" s="10">
        <v>454</v>
      </c>
      <c r="O475" s="22">
        <v>37160</v>
      </c>
      <c r="P475" s="51">
        <f>Table46[[#This Row],[GROSS WT KGS]]-Table46[[#This Row],[SACS]]</f>
        <v>36706</v>
      </c>
      <c r="Q475" s="10">
        <v>433</v>
      </c>
      <c r="R475" s="67">
        <v>0</v>
      </c>
      <c r="S475" s="10">
        <v>21</v>
      </c>
      <c r="T475" s="10">
        <f t="shared" si="54"/>
        <v>84</v>
      </c>
      <c r="U475" s="22">
        <f>Table46[[#This Row],[NET WT KGS]]-Table46[[#This Row],[Refraction]]</f>
        <v>36622</v>
      </c>
      <c r="V475" s="23">
        <v>510</v>
      </c>
      <c r="W475" s="23">
        <f>Table46[[#This Row],[PRICE]]*Table46[[#This Row],[PAID WT]]</f>
        <v>18677220</v>
      </c>
      <c r="X475" s="24">
        <v>11</v>
      </c>
      <c r="Y475" s="25">
        <v>165</v>
      </c>
      <c r="Z475" s="24">
        <v>45.06</v>
      </c>
      <c r="AA475" s="26"/>
      <c r="AB475" s="10" t="s">
        <v>351</v>
      </c>
      <c r="AC475" s="27"/>
      <c r="AD475" s="63" t="s">
        <v>620</v>
      </c>
      <c r="AE475" s="18">
        <f>Table46[[#This Row],[MOIS.]]*Table46[[#This Row],[NET WT KGS]]</f>
        <v>403766</v>
      </c>
      <c r="AF475" s="18">
        <f>Table46[[#This Row],[KOR]]*Table46[[#This Row],[NET WT KGS]]</f>
        <v>1653972.36</v>
      </c>
      <c r="AG475">
        <f>Table46[[#This Row],[NET WT KGS]]*Table46[[#This Row],[NUT COUNT]]</f>
        <v>6056490</v>
      </c>
    </row>
    <row r="476" spans="1:33" x14ac:dyDescent="0.35">
      <c r="A476" s="32">
        <f t="shared" si="51"/>
        <v>474</v>
      </c>
      <c r="B476" s="35">
        <v>46115</v>
      </c>
      <c r="C476" s="35">
        <f>Table46[[#This Row],[DATE OF ARRIVAL]]</f>
        <v>46115</v>
      </c>
      <c r="D476" s="36"/>
      <c r="E476" s="36"/>
      <c r="F476" s="36" t="s">
        <v>40</v>
      </c>
      <c r="G476" s="74"/>
      <c r="H476" s="74" t="s">
        <v>42</v>
      </c>
      <c r="I476" s="74" t="s">
        <v>43</v>
      </c>
      <c r="J476" s="36" t="s">
        <v>647</v>
      </c>
      <c r="K476" s="74"/>
      <c r="L476" s="36"/>
      <c r="M476" s="74"/>
      <c r="N476" s="36"/>
      <c r="O476" s="37">
        <f t="shared" ref="O476:O485" si="55">P476+N476</f>
        <v>0</v>
      </c>
      <c r="P476" s="37"/>
      <c r="Q476" s="36"/>
      <c r="R476" s="80"/>
      <c r="S476" s="36"/>
      <c r="T476" s="36"/>
      <c r="U476" s="37">
        <f>Table46[[#This Row],[NET WT KGS]]-Table46[[#This Row],[Refraction]]</f>
        <v>0</v>
      </c>
      <c r="V476" s="38"/>
      <c r="W476" s="38">
        <f>Table46[[#This Row],[PRICE]]*Table46[[#This Row],[PAID WT]]</f>
        <v>0</v>
      </c>
      <c r="X476" s="39">
        <v>9</v>
      </c>
      <c r="Y476" s="40">
        <v>184</v>
      </c>
      <c r="Z476" s="39">
        <v>41.446950000000001</v>
      </c>
      <c r="AA476" s="41"/>
      <c r="AB476" s="36" t="s">
        <v>46</v>
      </c>
      <c r="AC476" s="42" t="s">
        <v>70</v>
      </c>
      <c r="AD476" s="28"/>
      <c r="AE476" s="18">
        <f>Table46[[#This Row],[MOIS.]]*Table46[[#This Row],[NET WT KGS]]</f>
        <v>0</v>
      </c>
      <c r="AF476" s="18">
        <f>Table46[[#This Row],[KOR]]*Table46[[#This Row],[NET WT KGS]]</f>
        <v>0</v>
      </c>
      <c r="AG476">
        <f>Table46[[#This Row],[NET WT KGS]]*Table46[[#This Row],[NUT COUNT]]</f>
        <v>0</v>
      </c>
    </row>
    <row r="477" spans="1:33" x14ac:dyDescent="0.35">
      <c r="A477" s="32">
        <f t="shared" si="51"/>
        <v>475</v>
      </c>
      <c r="B477" s="35">
        <v>46115</v>
      </c>
      <c r="C477" s="35">
        <f>Table46[[#This Row],[DATE OF ARRIVAL]]</f>
        <v>46115</v>
      </c>
      <c r="D477" s="36"/>
      <c r="E477" s="36"/>
      <c r="F477" s="74" t="s">
        <v>40</v>
      </c>
      <c r="G477" s="74"/>
      <c r="H477" s="74" t="s">
        <v>154</v>
      </c>
      <c r="I477" s="74" t="s">
        <v>155</v>
      </c>
      <c r="J477" s="74" t="s">
        <v>311</v>
      </c>
      <c r="K477" s="74"/>
      <c r="L477" s="74"/>
      <c r="M477" s="74"/>
      <c r="N477" s="74"/>
      <c r="O477" s="79">
        <f t="shared" si="55"/>
        <v>0</v>
      </c>
      <c r="P477" s="37"/>
      <c r="Q477" s="74"/>
      <c r="R477" s="80"/>
      <c r="S477" s="74"/>
      <c r="T477" s="36"/>
      <c r="U477" s="79">
        <f>Table46[[#This Row],[NET WT KGS]]-Table46[[#This Row],[Refraction]]</f>
        <v>0</v>
      </c>
      <c r="V477" s="81"/>
      <c r="W477" s="81">
        <f>Table46[[#This Row],[PRICE]]*Table46[[#This Row],[PAID WT]]</f>
        <v>0</v>
      </c>
      <c r="X477" s="39">
        <v>10.3</v>
      </c>
      <c r="Y477" s="40">
        <v>177</v>
      </c>
      <c r="Z477" s="39">
        <v>40.035989999999998</v>
      </c>
      <c r="AA477" s="41"/>
      <c r="AB477" s="36" t="s">
        <v>40</v>
      </c>
      <c r="AC477" s="92" t="s">
        <v>70</v>
      </c>
      <c r="AD477" s="28"/>
      <c r="AE477" s="18">
        <f>Table46[[#This Row],[MOIS.]]*Table46[[#This Row],[NET WT KGS]]</f>
        <v>0</v>
      </c>
      <c r="AF477" s="18">
        <f>Table46[[#This Row],[KOR]]*Table46[[#This Row],[NET WT KGS]]</f>
        <v>0</v>
      </c>
      <c r="AG477">
        <f>Table46[[#This Row],[NET WT KGS]]*Table46[[#This Row],[NUT COUNT]]</f>
        <v>0</v>
      </c>
    </row>
    <row r="478" spans="1:33" x14ac:dyDescent="0.35">
      <c r="A478" s="32">
        <f t="shared" si="51"/>
        <v>476</v>
      </c>
      <c r="B478" s="35">
        <v>46115</v>
      </c>
      <c r="C478" s="35">
        <f>Table46[[#This Row],[DATE OF ARRIVAL]]</f>
        <v>46115</v>
      </c>
      <c r="D478" s="36"/>
      <c r="E478" s="36"/>
      <c r="F478" s="74" t="s">
        <v>40</v>
      </c>
      <c r="G478" s="74"/>
      <c r="H478" s="36" t="s">
        <v>136</v>
      </c>
      <c r="I478" s="74" t="s">
        <v>137</v>
      </c>
      <c r="J478" s="36" t="s">
        <v>648</v>
      </c>
      <c r="K478" s="74"/>
      <c r="L478" s="36"/>
      <c r="M478" s="74"/>
      <c r="N478" s="36"/>
      <c r="O478" s="37">
        <f t="shared" si="55"/>
        <v>0</v>
      </c>
      <c r="P478" s="37"/>
      <c r="Q478" s="36"/>
      <c r="R478" s="80"/>
      <c r="S478" s="36"/>
      <c r="T478" s="36"/>
      <c r="U478" s="37">
        <f>Table46[[#This Row],[NET WT KGS]]-Table46[[#This Row],[Refraction]]</f>
        <v>0</v>
      </c>
      <c r="V478" s="38"/>
      <c r="W478" s="38">
        <f>Table46[[#This Row],[PRICE]]*Table46[[#This Row],[PAID WT]]</f>
        <v>0</v>
      </c>
      <c r="X478" s="39">
        <v>12.3</v>
      </c>
      <c r="Y478" s="40">
        <v>170</v>
      </c>
      <c r="Z478" s="39">
        <v>41.446950000000001</v>
      </c>
      <c r="AA478" s="41"/>
      <c r="AB478" s="36" t="s">
        <v>140</v>
      </c>
      <c r="AC478" s="42" t="s">
        <v>70</v>
      </c>
      <c r="AD478" s="28"/>
      <c r="AE478" s="18">
        <f>Table46[[#This Row],[MOIS.]]*Table46[[#This Row],[NET WT KGS]]</f>
        <v>0</v>
      </c>
      <c r="AF478" s="18">
        <f>Table46[[#This Row],[KOR]]*Table46[[#This Row],[NET WT KGS]]</f>
        <v>0</v>
      </c>
      <c r="AG478">
        <f>Table46[[#This Row],[NET WT KGS]]*Table46[[#This Row],[NUT COUNT]]</f>
        <v>0</v>
      </c>
    </row>
    <row r="479" spans="1:33" x14ac:dyDescent="0.35">
      <c r="A479" s="32">
        <f t="shared" si="51"/>
        <v>477</v>
      </c>
      <c r="B479" s="35">
        <v>46115</v>
      </c>
      <c r="C479" s="35">
        <f>Table46[[#This Row],[DATE OF ARRIVAL]]</f>
        <v>46115</v>
      </c>
      <c r="D479" s="36"/>
      <c r="E479" s="36"/>
      <c r="F479" s="74" t="s">
        <v>40</v>
      </c>
      <c r="G479" s="74"/>
      <c r="H479" s="74" t="s">
        <v>42</v>
      </c>
      <c r="I479" s="74" t="s">
        <v>43</v>
      </c>
      <c r="J479" s="74" t="s">
        <v>649</v>
      </c>
      <c r="K479" s="74"/>
      <c r="L479" s="74"/>
      <c r="M479" s="74"/>
      <c r="N479" s="74"/>
      <c r="O479" s="79">
        <f t="shared" si="55"/>
        <v>0</v>
      </c>
      <c r="P479" s="79"/>
      <c r="Q479" s="74"/>
      <c r="R479" s="80"/>
      <c r="S479" s="74"/>
      <c r="T479" s="36"/>
      <c r="U479" s="79">
        <f>Table46[[#This Row],[NET WT KGS]]-Table46[[#This Row],[Refraction]]</f>
        <v>0</v>
      </c>
      <c r="V479" s="81"/>
      <c r="W479" s="81">
        <f>Table46[[#This Row],[PRICE]]*Table46[[#This Row],[PAID WT]]</f>
        <v>0</v>
      </c>
      <c r="X479" s="82">
        <v>9.5</v>
      </c>
      <c r="Y479" s="83">
        <v>171</v>
      </c>
      <c r="Z479" s="82">
        <v>40.212359999999997</v>
      </c>
      <c r="AA479" s="84"/>
      <c r="AB479" s="74" t="s">
        <v>171</v>
      </c>
      <c r="AC479" s="42" t="s">
        <v>70</v>
      </c>
      <c r="AD479" s="28"/>
      <c r="AE479" s="18">
        <f>Table46[[#This Row],[MOIS.]]*Table46[[#This Row],[NET WT KGS]]</f>
        <v>0</v>
      </c>
      <c r="AF479" s="18">
        <f>Table46[[#This Row],[KOR]]*Table46[[#This Row],[NET WT KGS]]</f>
        <v>0</v>
      </c>
      <c r="AG479">
        <f>Table46[[#This Row],[NET WT KGS]]*Table46[[#This Row],[NUT COUNT]]</f>
        <v>0</v>
      </c>
    </row>
    <row r="480" spans="1:33" x14ac:dyDescent="0.35">
      <c r="A480" s="32">
        <f t="shared" si="51"/>
        <v>478</v>
      </c>
      <c r="B480" s="20">
        <v>46115</v>
      </c>
      <c r="C480" s="20">
        <v>46116</v>
      </c>
      <c r="D480" s="10" t="s">
        <v>38</v>
      </c>
      <c r="E480" s="10" t="s">
        <v>39</v>
      </c>
      <c r="F480" s="67" t="s">
        <v>40</v>
      </c>
      <c r="G480" s="10" t="s">
        <v>350</v>
      </c>
      <c r="H480" s="50" t="s">
        <v>105</v>
      </c>
      <c r="I480" s="67" t="str">
        <f>VLOOKUP(Table46[[#This Row],[SUPPLIERS NAME]],[1]AGING!X$3:Y$30,2,)</f>
        <v>LBA-014-BAY</v>
      </c>
      <c r="J480" s="10" t="s">
        <v>167</v>
      </c>
      <c r="K480" s="33" t="s">
        <v>108</v>
      </c>
      <c r="L480" s="10">
        <v>1173</v>
      </c>
      <c r="M480" s="10">
        <v>32833</v>
      </c>
      <c r="N480" s="10">
        <v>210</v>
      </c>
      <c r="O480" s="22">
        <f t="shared" si="55"/>
        <v>17480</v>
      </c>
      <c r="P480" s="22">
        <v>17270</v>
      </c>
      <c r="Q480" s="10">
        <v>170</v>
      </c>
      <c r="R480" s="67">
        <v>0</v>
      </c>
      <c r="S480" s="10">
        <v>40</v>
      </c>
      <c r="T480" s="10">
        <f t="shared" ref="T480:T487" si="56">S480*4+R480*40</f>
        <v>160</v>
      </c>
      <c r="U480" s="22">
        <f>Table46[[#This Row],[NET WT KGS]]-Table46[[#This Row],[Refraction]]</f>
        <v>17110</v>
      </c>
      <c r="V480" s="23">
        <v>505</v>
      </c>
      <c r="W480" s="23">
        <f>Table46[[#This Row],[PRICE]]*Table46[[#This Row],[PAID WT]]</f>
        <v>8640550</v>
      </c>
      <c r="X480" s="24">
        <v>12.3</v>
      </c>
      <c r="Y480" s="25">
        <v>167</v>
      </c>
      <c r="Z480" s="24">
        <v>44.09</v>
      </c>
      <c r="AA480" s="26"/>
      <c r="AB480" s="66" t="s">
        <v>458</v>
      </c>
      <c r="AC480" s="27"/>
      <c r="AD480" s="63" t="s">
        <v>620</v>
      </c>
      <c r="AE480" s="18">
        <f>Table46[[#This Row],[MOIS.]]*Table46[[#This Row],[NET WT KGS]]</f>
        <v>212421</v>
      </c>
      <c r="AF480" s="18">
        <f>Table46[[#This Row],[KOR]]*Table46[[#This Row],[NET WT KGS]]</f>
        <v>761434.3</v>
      </c>
      <c r="AG480">
        <f>Table46[[#This Row],[NET WT KGS]]*Table46[[#This Row],[NUT COUNT]]</f>
        <v>2884090</v>
      </c>
    </row>
    <row r="481" spans="1:33" x14ac:dyDescent="0.35">
      <c r="A481" s="32">
        <f t="shared" si="51"/>
        <v>479</v>
      </c>
      <c r="B481" s="20">
        <v>46115</v>
      </c>
      <c r="C481" s="20">
        <v>46116</v>
      </c>
      <c r="D481" s="10" t="s">
        <v>38</v>
      </c>
      <c r="E481" s="10" t="s">
        <v>39</v>
      </c>
      <c r="F481" s="67" t="s">
        <v>40</v>
      </c>
      <c r="G481" s="10" t="s">
        <v>350</v>
      </c>
      <c r="H481" s="50" t="s">
        <v>123</v>
      </c>
      <c r="I481" s="67" t="str">
        <f>VLOOKUP(Table46[[#This Row],[SUPPLIERS NAME]],[1]AGING!X$3:Y$30,2,)</f>
        <v>LBA-011-ASR</v>
      </c>
      <c r="J481" s="10" t="s">
        <v>544</v>
      </c>
      <c r="K481" s="21" t="s">
        <v>161</v>
      </c>
      <c r="L481" s="10">
        <v>1172</v>
      </c>
      <c r="M481" s="10">
        <v>84384</v>
      </c>
      <c r="N481" s="10">
        <v>528</v>
      </c>
      <c r="O481" s="22">
        <f t="shared" si="55"/>
        <v>44100</v>
      </c>
      <c r="P481" s="22">
        <v>43572</v>
      </c>
      <c r="Q481" s="10">
        <v>493</v>
      </c>
      <c r="R481" s="67">
        <v>0</v>
      </c>
      <c r="S481" s="10">
        <v>35</v>
      </c>
      <c r="T481" s="10">
        <f t="shared" si="56"/>
        <v>140</v>
      </c>
      <c r="U481" s="22">
        <f>Table46[[#This Row],[NET WT KGS]]-Table46[[#This Row],[Refraction]]</f>
        <v>43432</v>
      </c>
      <c r="V481" s="23">
        <v>510</v>
      </c>
      <c r="W481" s="23">
        <f>Table46[[#This Row],[PRICE]]*Table46[[#This Row],[PAID WT]]</f>
        <v>22150320</v>
      </c>
      <c r="X481" s="24">
        <v>11.1</v>
      </c>
      <c r="Y481" s="25">
        <v>175</v>
      </c>
      <c r="Z481" s="24">
        <v>43.73</v>
      </c>
      <c r="AA481" s="26"/>
      <c r="AB481" s="66" t="s">
        <v>212</v>
      </c>
      <c r="AC481" s="27"/>
      <c r="AD481" s="63" t="s">
        <v>620</v>
      </c>
      <c r="AE481" s="18">
        <f>Table46[[#This Row],[MOIS.]]*Table46[[#This Row],[NET WT KGS]]</f>
        <v>483649.2</v>
      </c>
      <c r="AF481" s="18">
        <f>Table46[[#This Row],[KOR]]*Table46[[#This Row],[NET WT KGS]]</f>
        <v>1905403.5599999998</v>
      </c>
      <c r="AG481">
        <f>Table46[[#This Row],[NET WT KGS]]*Table46[[#This Row],[NUT COUNT]]</f>
        <v>7625100</v>
      </c>
    </row>
    <row r="482" spans="1:33" x14ac:dyDescent="0.35">
      <c r="A482" s="32">
        <f t="shared" si="51"/>
        <v>480</v>
      </c>
      <c r="B482" s="20">
        <v>46116</v>
      </c>
      <c r="C482" s="20">
        <v>46116</v>
      </c>
      <c r="D482" s="10" t="s">
        <v>38</v>
      </c>
      <c r="E482" s="66" t="s">
        <v>39</v>
      </c>
      <c r="F482" s="67" t="s">
        <v>40</v>
      </c>
      <c r="G482" s="66" t="s">
        <v>41</v>
      </c>
      <c r="H482" s="67" t="s">
        <v>280</v>
      </c>
      <c r="I482" s="50" t="str">
        <f>VLOOKUP(Table46[[#This Row],[SUPPLIERS NAME]],[1]AGING!X$3:Y$30,2,)</f>
        <v>LBA-016-NOU</v>
      </c>
      <c r="J482" s="66" t="s">
        <v>424</v>
      </c>
      <c r="K482" s="21" t="s">
        <v>283</v>
      </c>
      <c r="L482" s="66">
        <v>1174</v>
      </c>
      <c r="M482" s="10">
        <v>18450</v>
      </c>
      <c r="N482" s="66">
        <v>469</v>
      </c>
      <c r="O482" s="68">
        <f t="shared" si="55"/>
        <v>41140</v>
      </c>
      <c r="P482" s="68">
        <v>40671</v>
      </c>
      <c r="Q482" s="66">
        <v>449</v>
      </c>
      <c r="R482" s="67">
        <v>0</v>
      </c>
      <c r="S482" s="66">
        <v>20</v>
      </c>
      <c r="T482" s="10">
        <f t="shared" si="56"/>
        <v>80</v>
      </c>
      <c r="U482" s="68">
        <f>Table46[[#This Row],[NET WT KGS]]-Table46[[#This Row],[Refraction]]</f>
        <v>40591</v>
      </c>
      <c r="V482" s="69">
        <v>510</v>
      </c>
      <c r="W482" s="69">
        <f>Table46[[#This Row],[PRICE]]*Table46[[#This Row],[PAID WT]]</f>
        <v>20701410</v>
      </c>
      <c r="X482" s="70">
        <v>10</v>
      </c>
      <c r="Y482" s="71">
        <v>161</v>
      </c>
      <c r="Z482" s="70">
        <v>45.23</v>
      </c>
      <c r="AA482" s="72"/>
      <c r="AB482" s="66" t="s">
        <v>308</v>
      </c>
      <c r="AC482" s="73"/>
      <c r="AD482" s="63" t="s">
        <v>620</v>
      </c>
      <c r="AE482" s="18">
        <f>Table46[[#This Row],[MOIS.]]*Table46[[#This Row],[NET WT KGS]]</f>
        <v>406710</v>
      </c>
      <c r="AF482" s="18">
        <f>Table46[[#This Row],[KOR]]*Table46[[#This Row],[NET WT KGS]]</f>
        <v>1839549.3299999998</v>
      </c>
      <c r="AG482">
        <f>Table46[[#This Row],[NET WT KGS]]*Table46[[#This Row],[NUT COUNT]]</f>
        <v>6548031</v>
      </c>
    </row>
    <row r="483" spans="1:33" x14ac:dyDescent="0.35">
      <c r="A483" s="32">
        <f t="shared" si="51"/>
        <v>481</v>
      </c>
      <c r="B483" s="20">
        <v>46116</v>
      </c>
      <c r="C483" s="20">
        <v>46116</v>
      </c>
      <c r="D483" s="10" t="s">
        <v>38</v>
      </c>
      <c r="E483" s="66" t="s">
        <v>39</v>
      </c>
      <c r="F483" s="67" t="s">
        <v>40</v>
      </c>
      <c r="G483" s="66" t="s">
        <v>350</v>
      </c>
      <c r="H483" s="67" t="s">
        <v>123</v>
      </c>
      <c r="I483" s="67" t="str">
        <f>VLOOKUP(Table46[[#This Row],[SUPPLIERS NAME]],[1]AGING!X$3:Y$30,2,)</f>
        <v>LBA-011-ASR</v>
      </c>
      <c r="J483" s="66" t="s">
        <v>650</v>
      </c>
      <c r="K483" s="21" t="s">
        <v>161</v>
      </c>
      <c r="L483" s="66">
        <v>1175</v>
      </c>
      <c r="M483" s="10">
        <v>84379</v>
      </c>
      <c r="N483" s="66">
        <v>407</v>
      </c>
      <c r="O483" s="68">
        <f t="shared" si="55"/>
        <v>35620</v>
      </c>
      <c r="P483" s="68">
        <v>35213</v>
      </c>
      <c r="Q483" s="66">
        <v>376</v>
      </c>
      <c r="R483" s="67">
        <v>0</v>
      </c>
      <c r="S483" s="66">
        <v>31</v>
      </c>
      <c r="T483" s="10">
        <f t="shared" si="56"/>
        <v>124</v>
      </c>
      <c r="U483" s="68">
        <f>Table46[[#This Row],[NET WT KGS]]-Table46[[#This Row],[Refraction]]</f>
        <v>35089</v>
      </c>
      <c r="V483" s="69">
        <v>500</v>
      </c>
      <c r="W483" s="69">
        <f>Table46[[#This Row],[PRICE]]*Table46[[#This Row],[PAID WT]]</f>
        <v>17544500</v>
      </c>
      <c r="X483" s="70">
        <v>10.8</v>
      </c>
      <c r="Y483" s="71">
        <v>168</v>
      </c>
      <c r="Z483" s="70">
        <v>42.5</v>
      </c>
      <c r="AA483" s="72"/>
      <c r="AB483" s="66" t="s">
        <v>327</v>
      </c>
      <c r="AC483" s="73"/>
      <c r="AD483" s="63" t="s">
        <v>620</v>
      </c>
      <c r="AE483" s="18">
        <f>Table46[[#This Row],[MOIS.]]*Table46[[#This Row],[NET WT KGS]]</f>
        <v>380300.4</v>
      </c>
      <c r="AF483" s="18">
        <f>Table46[[#This Row],[KOR]]*Table46[[#This Row],[NET WT KGS]]</f>
        <v>1496552.5</v>
      </c>
      <c r="AG483">
        <f>Table46[[#This Row],[NET WT KGS]]*Table46[[#This Row],[NUT COUNT]]</f>
        <v>5915784</v>
      </c>
    </row>
    <row r="484" spans="1:33" x14ac:dyDescent="0.35">
      <c r="A484" s="32">
        <f t="shared" si="51"/>
        <v>482</v>
      </c>
      <c r="B484" s="20">
        <v>46116</v>
      </c>
      <c r="C484" s="20">
        <v>46116</v>
      </c>
      <c r="D484" s="10" t="s">
        <v>38</v>
      </c>
      <c r="E484" s="66" t="s">
        <v>39</v>
      </c>
      <c r="F484" s="67" t="s">
        <v>40</v>
      </c>
      <c r="G484" s="66" t="s">
        <v>41</v>
      </c>
      <c r="H484" s="67" t="s">
        <v>123</v>
      </c>
      <c r="I484" s="67" t="str">
        <f>VLOOKUP(Table46[[#This Row],[SUPPLIERS NAME]],[1]AGING!X$3:Y$30,2,)</f>
        <v>LBA-011-ASR</v>
      </c>
      <c r="J484" s="66" t="s">
        <v>651</v>
      </c>
      <c r="K484" s="21" t="s">
        <v>161</v>
      </c>
      <c r="L484" s="66">
        <v>1177</v>
      </c>
      <c r="M484" s="10">
        <v>34064</v>
      </c>
      <c r="N484" s="66">
        <v>463</v>
      </c>
      <c r="O484" s="68">
        <f t="shared" si="55"/>
        <v>37700</v>
      </c>
      <c r="P484" s="68">
        <v>37237</v>
      </c>
      <c r="Q484" s="66">
        <v>443</v>
      </c>
      <c r="R484" s="67">
        <v>0</v>
      </c>
      <c r="S484" s="66">
        <v>20</v>
      </c>
      <c r="T484" s="10">
        <f t="shared" si="56"/>
        <v>80</v>
      </c>
      <c r="U484" s="68">
        <f>Table46[[#This Row],[NET WT KGS]]-Table46[[#This Row],[Refraction]]</f>
        <v>37157</v>
      </c>
      <c r="V484" s="69">
        <v>510</v>
      </c>
      <c r="W484" s="69">
        <f>Table46[[#This Row],[PRICE]]*Table46[[#This Row],[PAID WT]]</f>
        <v>18950070</v>
      </c>
      <c r="X484" s="70">
        <v>9.4</v>
      </c>
      <c r="Y484" s="71">
        <v>161</v>
      </c>
      <c r="Z484" s="70">
        <v>44.62</v>
      </c>
      <c r="AA484" s="72"/>
      <c r="AB484" s="66" t="s">
        <v>308</v>
      </c>
      <c r="AC484" s="73"/>
      <c r="AD484" s="63" t="s">
        <v>620</v>
      </c>
      <c r="AE484" s="18">
        <f>Table46[[#This Row],[MOIS.]]*Table46[[#This Row],[NET WT KGS]]</f>
        <v>350027.8</v>
      </c>
      <c r="AF484" s="18">
        <f>Table46[[#This Row],[KOR]]*Table46[[#This Row],[NET WT KGS]]</f>
        <v>1661514.94</v>
      </c>
      <c r="AG484">
        <f>Table46[[#This Row],[NET WT KGS]]*Table46[[#This Row],[NUT COUNT]]</f>
        <v>5995157</v>
      </c>
    </row>
    <row r="485" spans="1:33" x14ac:dyDescent="0.35">
      <c r="A485" s="32">
        <f t="shared" si="51"/>
        <v>483</v>
      </c>
      <c r="B485" s="20">
        <v>46116</v>
      </c>
      <c r="C485" s="20">
        <v>46116</v>
      </c>
      <c r="D485" s="10" t="s">
        <v>38</v>
      </c>
      <c r="E485" s="66" t="s">
        <v>39</v>
      </c>
      <c r="F485" s="67" t="s">
        <v>40</v>
      </c>
      <c r="G485" s="66" t="s">
        <v>41</v>
      </c>
      <c r="H485" s="67" t="s">
        <v>123</v>
      </c>
      <c r="I485" s="50" t="str">
        <f>VLOOKUP(Table46[[#This Row],[SUPPLIERS NAME]],[1]AGING!X$3:Y$30,2,)</f>
        <v>LBA-011-ASR</v>
      </c>
      <c r="J485" s="66" t="s">
        <v>652</v>
      </c>
      <c r="K485" s="21" t="s">
        <v>161</v>
      </c>
      <c r="L485" s="66">
        <v>1176</v>
      </c>
      <c r="M485" s="10">
        <v>34063</v>
      </c>
      <c r="N485" s="66">
        <v>591</v>
      </c>
      <c r="O485" s="68">
        <f t="shared" si="55"/>
        <v>50000</v>
      </c>
      <c r="P485" s="68">
        <v>49409</v>
      </c>
      <c r="Q485" s="66">
        <v>557</v>
      </c>
      <c r="R485" s="67">
        <v>0</v>
      </c>
      <c r="S485" s="66">
        <v>34</v>
      </c>
      <c r="T485" s="10">
        <f t="shared" si="56"/>
        <v>136</v>
      </c>
      <c r="U485" s="68">
        <f>Table46[[#This Row],[NET WT KGS]]-Table46[[#This Row],[Refraction]]</f>
        <v>49273</v>
      </c>
      <c r="V485" s="69">
        <v>505</v>
      </c>
      <c r="W485" s="69">
        <f>Table46[[#This Row],[PRICE]]*Table46[[#This Row],[PAID WT]]</f>
        <v>24882865</v>
      </c>
      <c r="X485" s="70">
        <v>11.7</v>
      </c>
      <c r="Y485" s="71">
        <v>160</v>
      </c>
      <c r="Z485" s="70">
        <v>43.03</v>
      </c>
      <c r="AA485" s="72"/>
      <c r="AB485" s="66" t="s">
        <v>58</v>
      </c>
      <c r="AC485" s="73"/>
      <c r="AD485" s="63" t="s">
        <v>620</v>
      </c>
      <c r="AE485" s="18">
        <f>Table46[[#This Row],[MOIS.]]*Table46[[#This Row],[NET WT KGS]]</f>
        <v>578085.29999999993</v>
      </c>
      <c r="AF485" s="18">
        <f>Table46[[#This Row],[KOR]]*Table46[[#This Row],[NET WT KGS]]</f>
        <v>2126069.27</v>
      </c>
      <c r="AG485">
        <f>Table46[[#This Row],[NET WT KGS]]*Table46[[#This Row],[NUT COUNT]]</f>
        <v>7905440</v>
      </c>
    </row>
    <row r="486" spans="1:33" x14ac:dyDescent="0.35">
      <c r="A486" s="32">
        <f t="shared" si="51"/>
        <v>484</v>
      </c>
      <c r="B486" s="20">
        <v>46116</v>
      </c>
      <c r="C486" s="20">
        <v>46116</v>
      </c>
      <c r="D486" s="10" t="s">
        <v>38</v>
      </c>
      <c r="E486" s="66" t="s">
        <v>39</v>
      </c>
      <c r="F486" s="67" t="s">
        <v>62</v>
      </c>
      <c r="G486" s="66"/>
      <c r="H486" s="66" t="s">
        <v>128</v>
      </c>
      <c r="I486" s="67" t="str">
        <f>VLOOKUP(Table46[[#This Row],[SUPPLIERS NAME]],[1]AGING!X$3:Y$30,2,)</f>
        <v>LBA-002-SCA</v>
      </c>
      <c r="J486" s="66" t="s">
        <v>382</v>
      </c>
      <c r="K486" s="33" t="s">
        <v>131</v>
      </c>
      <c r="L486" s="66">
        <v>668</v>
      </c>
      <c r="M486" s="10">
        <v>87137</v>
      </c>
      <c r="N486" s="66">
        <v>603</v>
      </c>
      <c r="O486" s="68">
        <v>40820</v>
      </c>
      <c r="P486" s="93">
        <f>Table46[[#This Row],[GROSS WT KGS]]-Table46[[#This Row],[SACS]]</f>
        <v>40217</v>
      </c>
      <c r="Q486" s="66">
        <v>572</v>
      </c>
      <c r="R486" s="67">
        <v>0</v>
      </c>
      <c r="S486" s="66">
        <v>31</v>
      </c>
      <c r="T486" s="10">
        <f t="shared" si="56"/>
        <v>124</v>
      </c>
      <c r="U486" s="68">
        <f>Table46[[#This Row],[NET WT KGS]]-Table46[[#This Row],[Refraction]]</f>
        <v>40093</v>
      </c>
      <c r="V486" s="69">
        <v>510</v>
      </c>
      <c r="W486" s="69">
        <f>Table46[[#This Row],[PRICE]]*Table46[[#This Row],[PAID WT]]</f>
        <v>20447430</v>
      </c>
      <c r="X486" s="70">
        <v>9.1999999999999993</v>
      </c>
      <c r="Y486" s="71">
        <v>188</v>
      </c>
      <c r="Z486" s="70">
        <v>44.7</v>
      </c>
      <c r="AA486" s="72"/>
      <c r="AB486" s="66" t="s">
        <v>132</v>
      </c>
      <c r="AC486" s="73"/>
      <c r="AD486" s="63" t="s">
        <v>620</v>
      </c>
      <c r="AE486" s="18">
        <f>Table46[[#This Row],[MOIS.]]*Table46[[#This Row],[NET WT KGS]]</f>
        <v>369996.39999999997</v>
      </c>
      <c r="AF486" s="18">
        <f>Table46[[#This Row],[KOR]]*Table46[[#This Row],[NET WT KGS]]</f>
        <v>1797699.9000000001</v>
      </c>
      <c r="AG486">
        <f>Table46[[#This Row],[NET WT KGS]]*Table46[[#This Row],[NUT COUNT]]</f>
        <v>7560796</v>
      </c>
    </row>
    <row r="487" spans="1:33" x14ac:dyDescent="0.35">
      <c r="A487" s="32">
        <f t="shared" si="51"/>
        <v>485</v>
      </c>
      <c r="B487" s="20">
        <v>46116</v>
      </c>
      <c r="C487" s="20">
        <v>46116</v>
      </c>
      <c r="D487" s="10" t="s">
        <v>38</v>
      </c>
      <c r="E487" s="10" t="s">
        <v>258</v>
      </c>
      <c r="F487" s="50" t="s">
        <v>62</v>
      </c>
      <c r="G487" s="10"/>
      <c r="H487" s="66" t="s">
        <v>603</v>
      </c>
      <c r="I487" s="67" t="str">
        <f>VLOOKUP(Table46[[#This Row],[SUPPLIERS NAME]],[1]AGING!X$3:Y$70,2,)</f>
        <v>DIS-023-ICF</v>
      </c>
      <c r="J487" s="10" t="s">
        <v>653</v>
      </c>
      <c r="K487" s="107" t="s">
        <v>605</v>
      </c>
      <c r="L487" s="10">
        <v>669</v>
      </c>
      <c r="M487" s="66">
        <f>VLOOKUP(Table46[[#This Row],[REF.]],'[2]RCN INWARD FACTORY YAKRO 2026'!$F$4:$M$257,8,0)</f>
        <v>82297</v>
      </c>
      <c r="N487" s="10">
        <v>467</v>
      </c>
      <c r="O487" s="22">
        <v>36420</v>
      </c>
      <c r="P487" s="51">
        <f>Table46[[#This Row],[GROSS WT KGS]]-Table46[[#This Row],[SACS]]</f>
        <v>35953</v>
      </c>
      <c r="Q487" s="10">
        <v>443</v>
      </c>
      <c r="R487" s="67">
        <v>0</v>
      </c>
      <c r="S487" s="10">
        <v>24</v>
      </c>
      <c r="T487" s="10">
        <f t="shared" si="56"/>
        <v>96</v>
      </c>
      <c r="U487" s="22">
        <f>Table46[[#This Row],[NET WT KGS]]-Table46[[#This Row],[Refraction]]</f>
        <v>35857</v>
      </c>
      <c r="V487" s="23">
        <v>510</v>
      </c>
      <c r="W487" s="23">
        <f>Table46[[#This Row],[PRICE]]*Table46[[#This Row],[PAID WT]]</f>
        <v>18287070</v>
      </c>
      <c r="X487" s="24">
        <v>9.6</v>
      </c>
      <c r="Y487" s="25">
        <v>168</v>
      </c>
      <c r="Z487" s="24">
        <v>46.2</v>
      </c>
      <c r="AA487" s="26"/>
      <c r="AB487" s="10" t="s">
        <v>654</v>
      </c>
      <c r="AC487" s="27"/>
      <c r="AD487" s="63" t="s">
        <v>620</v>
      </c>
      <c r="AE487" s="18">
        <f>Table46[[#This Row],[MOIS.]]*Table46[[#This Row],[NET WT KGS]]</f>
        <v>345148.8</v>
      </c>
      <c r="AF487" s="18">
        <f>Table46[[#This Row],[KOR]]*Table46[[#This Row],[NET WT KGS]]</f>
        <v>1661028.6</v>
      </c>
      <c r="AG487">
        <f>Table46[[#This Row],[NET WT KGS]]*Table46[[#This Row],[NUT COUNT]]</f>
        <v>6040104</v>
      </c>
    </row>
    <row r="488" spans="1:33" x14ac:dyDescent="0.35">
      <c r="A488" s="32">
        <f t="shared" si="51"/>
        <v>486</v>
      </c>
      <c r="B488" s="35">
        <v>46116</v>
      </c>
      <c r="C488" s="35">
        <f>Table46[[#This Row],[DATE OF ARRIVAL]]</f>
        <v>46116</v>
      </c>
      <c r="D488" s="36"/>
      <c r="E488" s="36"/>
      <c r="F488" s="36" t="s">
        <v>40</v>
      </c>
      <c r="G488" s="74"/>
      <c r="H488" s="74" t="s">
        <v>335</v>
      </c>
      <c r="I488" s="74" t="s">
        <v>66</v>
      </c>
      <c r="J488" s="74" t="s">
        <v>655</v>
      </c>
      <c r="K488" s="74"/>
      <c r="L488" s="74"/>
      <c r="M488" s="74"/>
      <c r="N488" s="74"/>
      <c r="O488" s="79">
        <f>P488+N488</f>
        <v>0</v>
      </c>
      <c r="P488" s="79"/>
      <c r="Q488" s="74"/>
      <c r="R488" s="80"/>
      <c r="S488" s="74"/>
      <c r="T488" s="36"/>
      <c r="U488" s="79">
        <f>Table46[[#This Row],[NET WT KGS]]-Table46[[#This Row],[Refraction]]</f>
        <v>0</v>
      </c>
      <c r="V488" s="81"/>
      <c r="W488" s="81">
        <f>Table46[[#This Row],[PRICE]]*Table46[[#This Row],[PAID WT]]</f>
        <v>0</v>
      </c>
      <c r="X488" s="82">
        <v>10.199999999999999</v>
      </c>
      <c r="Y488" s="83">
        <v>187</v>
      </c>
      <c r="Z488" s="82">
        <v>41.094209999999997</v>
      </c>
      <c r="AA488" s="84"/>
      <c r="AB488" s="74" t="s">
        <v>429</v>
      </c>
      <c r="AC488" s="92" t="s">
        <v>70</v>
      </c>
      <c r="AD488" s="28"/>
      <c r="AE488" s="18">
        <f>Table46[[#This Row],[MOIS.]]*Table46[[#This Row],[NET WT KGS]]</f>
        <v>0</v>
      </c>
      <c r="AF488" s="18">
        <f>Table46[[#This Row],[KOR]]*Table46[[#This Row],[NET WT KGS]]</f>
        <v>0</v>
      </c>
      <c r="AG488">
        <f>Table46[[#This Row],[NET WT KGS]]*Table46[[#This Row],[NUT COUNT]]</f>
        <v>0</v>
      </c>
    </row>
    <row r="489" spans="1:33" x14ac:dyDescent="0.35">
      <c r="A489" s="32">
        <f t="shared" si="51"/>
        <v>487</v>
      </c>
      <c r="B489" s="35">
        <v>46116</v>
      </c>
      <c r="C489" s="35">
        <f>Table46[[#This Row],[DATE OF ARRIVAL]]</f>
        <v>46116</v>
      </c>
      <c r="D489" s="36"/>
      <c r="E489" s="36"/>
      <c r="F489" s="36" t="s">
        <v>40</v>
      </c>
      <c r="G489" s="74"/>
      <c r="H489" s="74" t="s">
        <v>94</v>
      </c>
      <c r="I489" s="74" t="s">
        <v>95</v>
      </c>
      <c r="J489" s="74" t="s">
        <v>656</v>
      </c>
      <c r="K489" s="74"/>
      <c r="L489" s="74"/>
      <c r="M489" s="74"/>
      <c r="N489" s="74"/>
      <c r="O489" s="79">
        <f>P489+N489</f>
        <v>0</v>
      </c>
      <c r="P489" s="79"/>
      <c r="Q489" s="74"/>
      <c r="R489" s="80"/>
      <c r="S489" s="74"/>
      <c r="T489" s="36"/>
      <c r="U489" s="79">
        <f>Table46[[#This Row],[NET WT KGS]]-Table46[[#This Row],[Refraction]]</f>
        <v>0</v>
      </c>
      <c r="V489" s="81"/>
      <c r="W489" s="81">
        <f>Table46[[#This Row],[PRICE]]*Table46[[#This Row],[PAID WT]]</f>
        <v>0</v>
      </c>
      <c r="X489" s="82">
        <v>10.9</v>
      </c>
      <c r="Y489" s="83">
        <v>159</v>
      </c>
      <c r="Z489" s="82">
        <v>41.446950000000001</v>
      </c>
      <c r="AA489" s="84"/>
      <c r="AB489" s="74" t="s">
        <v>78</v>
      </c>
      <c r="AC489" s="92" t="s">
        <v>70</v>
      </c>
      <c r="AD489" s="28"/>
      <c r="AE489" s="18">
        <f>Table46[[#This Row],[MOIS.]]*Table46[[#This Row],[NET WT KGS]]</f>
        <v>0</v>
      </c>
      <c r="AF489" s="18">
        <f>Table46[[#This Row],[KOR]]*Table46[[#This Row],[NET WT KGS]]</f>
        <v>0</v>
      </c>
      <c r="AG489">
        <f>Table46[[#This Row],[NET WT KGS]]*Table46[[#This Row],[NUT COUNT]]</f>
        <v>0</v>
      </c>
    </row>
    <row r="490" spans="1:33" x14ac:dyDescent="0.35">
      <c r="A490" s="32">
        <f t="shared" si="51"/>
        <v>488</v>
      </c>
      <c r="B490" s="35">
        <v>46116</v>
      </c>
      <c r="C490" s="35">
        <f>Table46[[#This Row],[DATE OF ARRIVAL]]</f>
        <v>46116</v>
      </c>
      <c r="D490" s="36"/>
      <c r="E490" s="36"/>
      <c r="F490" s="36" t="s">
        <v>40</v>
      </c>
      <c r="G490" s="74"/>
      <c r="H490" s="74" t="s">
        <v>338</v>
      </c>
      <c r="I490" s="74" t="s">
        <v>317</v>
      </c>
      <c r="J490" s="74" t="s">
        <v>657</v>
      </c>
      <c r="K490" s="74"/>
      <c r="L490" s="74"/>
      <c r="M490" s="74"/>
      <c r="N490" s="74"/>
      <c r="O490" s="79">
        <f>P490+N490</f>
        <v>0</v>
      </c>
      <c r="P490" s="79"/>
      <c r="Q490" s="74"/>
      <c r="R490" s="80"/>
      <c r="S490" s="74"/>
      <c r="T490" s="36"/>
      <c r="U490" s="79">
        <f>Table46[[#This Row],[NET WT KGS]]-Table46[[#This Row],[Refraction]]</f>
        <v>0</v>
      </c>
      <c r="V490" s="81"/>
      <c r="W490" s="81">
        <f>Table46[[#This Row],[PRICE]]*Table46[[#This Row],[PAID WT]]</f>
        <v>0</v>
      </c>
      <c r="X490" s="82">
        <v>13</v>
      </c>
      <c r="Y490" s="83">
        <v>151</v>
      </c>
      <c r="Z490" s="82">
        <v>42.857909999999997</v>
      </c>
      <c r="AA490" s="84"/>
      <c r="AB490" s="74" t="s">
        <v>284</v>
      </c>
      <c r="AC490" s="42" t="s">
        <v>70</v>
      </c>
      <c r="AD490" s="28"/>
      <c r="AE490" s="18">
        <f>Table46[[#This Row],[MOIS.]]*Table46[[#This Row],[NET WT KGS]]</f>
        <v>0</v>
      </c>
      <c r="AF490" s="18">
        <f>Table46[[#This Row],[KOR]]*Table46[[#This Row],[NET WT KGS]]</f>
        <v>0</v>
      </c>
      <c r="AG490">
        <f>Table46[[#This Row],[NET WT KGS]]*Table46[[#This Row],[NUT COUNT]]</f>
        <v>0</v>
      </c>
    </row>
    <row r="491" spans="1:33" x14ac:dyDescent="0.35">
      <c r="A491" s="32">
        <f t="shared" si="51"/>
        <v>489</v>
      </c>
      <c r="B491" s="35">
        <v>46116</v>
      </c>
      <c r="C491" s="35">
        <f>Table46[[#This Row],[DATE OF ARRIVAL]]</f>
        <v>46116</v>
      </c>
      <c r="D491" s="36"/>
      <c r="E491" s="36"/>
      <c r="F491" s="36" t="s">
        <v>40</v>
      </c>
      <c r="G491" s="74"/>
      <c r="H491" s="74" t="s">
        <v>74</v>
      </c>
      <c r="I491" s="36" t="s">
        <v>75</v>
      </c>
      <c r="J491" s="74" t="s">
        <v>628</v>
      </c>
      <c r="K491" s="74"/>
      <c r="L491" s="74"/>
      <c r="M491" s="74"/>
      <c r="N491" s="74"/>
      <c r="O491" s="79">
        <f>P491+N491</f>
        <v>0</v>
      </c>
      <c r="P491" s="79"/>
      <c r="Q491" s="74"/>
      <c r="R491" s="80"/>
      <c r="S491" s="74"/>
      <c r="T491" s="36"/>
      <c r="U491" s="79">
        <f>Table46[[#This Row],[NET WT KGS]]-Table46[[#This Row],[Refraction]]</f>
        <v>0</v>
      </c>
      <c r="V491" s="81"/>
      <c r="W491" s="81">
        <f>Table46[[#This Row],[PRICE]]*Table46[[#This Row],[PAID WT]]</f>
        <v>0</v>
      </c>
      <c r="X491" s="82">
        <v>11.6</v>
      </c>
      <c r="Y491" s="83">
        <v>165</v>
      </c>
      <c r="Z491" s="82">
        <v>42.328800000000001</v>
      </c>
      <c r="AA491" s="84"/>
      <c r="AB491" s="74" t="s">
        <v>78</v>
      </c>
      <c r="AC491" s="42" t="s">
        <v>70</v>
      </c>
      <c r="AD491" s="28"/>
      <c r="AE491" s="18">
        <f>Table46[[#This Row],[MOIS.]]*Table46[[#This Row],[NET WT KGS]]</f>
        <v>0</v>
      </c>
      <c r="AF491" s="18">
        <f>Table46[[#This Row],[KOR]]*Table46[[#This Row],[NET WT KGS]]</f>
        <v>0</v>
      </c>
      <c r="AG491">
        <f>Table46[[#This Row],[NET WT KGS]]*Table46[[#This Row],[NUT COUNT]]</f>
        <v>0</v>
      </c>
    </row>
    <row r="492" spans="1:33" x14ac:dyDescent="0.35">
      <c r="A492" s="32">
        <f t="shared" si="51"/>
        <v>490</v>
      </c>
      <c r="B492" s="35">
        <v>46116</v>
      </c>
      <c r="C492" s="35">
        <f>Table46[[#This Row],[DATE OF ARRIVAL]]</f>
        <v>46116</v>
      </c>
      <c r="D492" s="36"/>
      <c r="E492" s="36"/>
      <c r="F492" s="36" t="s">
        <v>40</v>
      </c>
      <c r="G492" s="74"/>
      <c r="H492" s="74" t="s">
        <v>112</v>
      </c>
      <c r="I492" s="74" t="s">
        <v>113</v>
      </c>
      <c r="J492" s="74" t="s">
        <v>658</v>
      </c>
      <c r="K492" s="74"/>
      <c r="L492" s="74"/>
      <c r="M492" s="74"/>
      <c r="N492" s="74"/>
      <c r="O492" s="79">
        <f>P492+N492</f>
        <v>0</v>
      </c>
      <c r="P492" s="79"/>
      <c r="Q492" s="74"/>
      <c r="R492" s="80"/>
      <c r="S492" s="74"/>
      <c r="T492" s="36"/>
      <c r="U492" s="79">
        <f>Table46[[#This Row],[NET WT KGS]]-Table46[[#This Row],[Refraction]]</f>
        <v>0</v>
      </c>
      <c r="V492" s="81"/>
      <c r="W492" s="81">
        <f>Table46[[#This Row],[PRICE]]*Table46[[#This Row],[PAID WT]]</f>
        <v>0</v>
      </c>
      <c r="X492" s="82">
        <v>10.1</v>
      </c>
      <c r="Y492" s="83">
        <v>171</v>
      </c>
      <c r="Z492" s="82">
        <v>41.62332</v>
      </c>
      <c r="AA492" s="84"/>
      <c r="AB492" s="74" t="s">
        <v>132</v>
      </c>
      <c r="AC492" s="42" t="s">
        <v>70</v>
      </c>
      <c r="AD492" s="28"/>
      <c r="AE492" s="18">
        <f>Table46[[#This Row],[MOIS.]]*Table46[[#This Row],[NET WT KGS]]</f>
        <v>0</v>
      </c>
      <c r="AF492" s="18">
        <f>Table46[[#This Row],[KOR]]*Table46[[#This Row],[NET WT KGS]]</f>
        <v>0</v>
      </c>
      <c r="AG492">
        <f>Table46[[#This Row],[NET WT KGS]]*Table46[[#This Row],[NUT COUNT]]</f>
        <v>0</v>
      </c>
    </row>
    <row r="493" spans="1:33" x14ac:dyDescent="0.35">
      <c r="A493" s="32">
        <f t="shared" si="51"/>
        <v>491</v>
      </c>
      <c r="B493" s="20">
        <v>46116</v>
      </c>
      <c r="C493" s="20">
        <v>46118</v>
      </c>
      <c r="D493" s="10" t="s">
        <v>38</v>
      </c>
      <c r="E493" s="10" t="s">
        <v>39</v>
      </c>
      <c r="F493" s="67" t="s">
        <v>62</v>
      </c>
      <c r="G493" s="66"/>
      <c r="H493" s="66" t="s">
        <v>128</v>
      </c>
      <c r="I493" s="67" t="str">
        <f>VLOOKUP(Table46[[#This Row],[SUPPLIERS NAME]],[1]AGING!X$3:Y$30,2,)</f>
        <v>LBA-002-SCA</v>
      </c>
      <c r="J493" s="66" t="s">
        <v>467</v>
      </c>
      <c r="K493" s="33" t="s">
        <v>131</v>
      </c>
      <c r="L493" s="66">
        <v>670</v>
      </c>
      <c r="M493" s="10">
        <v>87135</v>
      </c>
      <c r="N493" s="66">
        <v>659</v>
      </c>
      <c r="O493" s="68">
        <v>51300</v>
      </c>
      <c r="P493" s="51">
        <f>Table46[[#This Row],[GROSS WT KGS]]-Table46[[#This Row],[SACS]]</f>
        <v>50641</v>
      </c>
      <c r="Q493" s="66">
        <v>635</v>
      </c>
      <c r="R493" s="67">
        <v>0</v>
      </c>
      <c r="S493" s="66">
        <v>24</v>
      </c>
      <c r="T493" s="10">
        <f t="shared" ref="T493:T498" si="57">S493*4+R493*40</f>
        <v>96</v>
      </c>
      <c r="U493" s="68">
        <f>Table46[[#This Row],[NET WT KGS]]-Table46[[#This Row],[Refraction]]</f>
        <v>50545</v>
      </c>
      <c r="V493" s="69">
        <v>510</v>
      </c>
      <c r="W493" s="69">
        <f>Table46[[#This Row],[PRICE]]*Table46[[#This Row],[PAID WT]]</f>
        <v>25777950</v>
      </c>
      <c r="X493" s="70">
        <v>9.1999999999999993</v>
      </c>
      <c r="Y493" s="71">
        <v>183</v>
      </c>
      <c r="Z493" s="70">
        <v>46.03</v>
      </c>
      <c r="AA493" s="72"/>
      <c r="AB493" s="66" t="s">
        <v>132</v>
      </c>
      <c r="AC493" s="27"/>
      <c r="AD493" s="63" t="s">
        <v>659</v>
      </c>
      <c r="AE493" s="18">
        <f>Table46[[#This Row],[MOIS.]]*Table46[[#This Row],[NET WT KGS]]</f>
        <v>465897.19999999995</v>
      </c>
      <c r="AF493" s="18">
        <f>Table46[[#This Row],[KOR]]*Table46[[#This Row],[NET WT KGS]]</f>
        <v>2331005.23</v>
      </c>
      <c r="AG493">
        <f>Table46[[#This Row],[NET WT KGS]]*Table46[[#This Row],[NUT COUNT]]</f>
        <v>9267303</v>
      </c>
    </row>
    <row r="494" spans="1:33" x14ac:dyDescent="0.35">
      <c r="A494" s="32">
        <f t="shared" si="51"/>
        <v>492</v>
      </c>
      <c r="B494" s="20">
        <v>46116</v>
      </c>
      <c r="C494" s="20">
        <v>46118</v>
      </c>
      <c r="D494" s="10" t="s">
        <v>38</v>
      </c>
      <c r="E494" s="10" t="s">
        <v>39</v>
      </c>
      <c r="F494" s="50" t="s">
        <v>62</v>
      </c>
      <c r="G494" s="10"/>
      <c r="H494" s="10" t="s">
        <v>128</v>
      </c>
      <c r="I494" s="67" t="str">
        <f>VLOOKUP(Table46[[#This Row],[SUPPLIERS NAME]],[1]AGING!X$3:Y$30,2,)</f>
        <v>LBA-002-SCA</v>
      </c>
      <c r="J494" s="10" t="s">
        <v>494</v>
      </c>
      <c r="K494" s="33" t="s">
        <v>131</v>
      </c>
      <c r="L494" s="10">
        <v>671</v>
      </c>
      <c r="M494" s="10">
        <v>87136</v>
      </c>
      <c r="N494" s="10">
        <v>655</v>
      </c>
      <c r="O494" s="22">
        <v>49870</v>
      </c>
      <c r="P494" s="51">
        <f>Table46[[#This Row],[GROSS WT KGS]]-Table46[[#This Row],[SACS]]</f>
        <v>49215</v>
      </c>
      <c r="Q494" s="10">
        <v>631</v>
      </c>
      <c r="R494" s="67">
        <v>0</v>
      </c>
      <c r="S494" s="10">
        <v>24</v>
      </c>
      <c r="T494" s="10">
        <f t="shared" si="57"/>
        <v>96</v>
      </c>
      <c r="U494" s="22">
        <f>Table46[[#This Row],[NET WT KGS]]-Table46[[#This Row],[Refraction]]</f>
        <v>49119</v>
      </c>
      <c r="V494" s="69">
        <v>510</v>
      </c>
      <c r="W494" s="23">
        <f>Table46[[#This Row],[PRICE]]*Table46[[#This Row],[PAID WT]]</f>
        <v>25050690</v>
      </c>
      <c r="X494" s="24">
        <v>10</v>
      </c>
      <c r="Y494" s="25">
        <v>180</v>
      </c>
      <c r="Z494" s="24">
        <v>45.15</v>
      </c>
      <c r="AA494" s="26"/>
      <c r="AB494" s="10" t="s">
        <v>132</v>
      </c>
      <c r="AC494" s="27"/>
      <c r="AD494" s="63" t="s">
        <v>659</v>
      </c>
      <c r="AE494" s="18">
        <f>Table46[[#This Row],[MOIS.]]*Table46[[#This Row],[NET WT KGS]]</f>
        <v>492150</v>
      </c>
      <c r="AF494" s="18">
        <f>Table46[[#This Row],[KOR]]*Table46[[#This Row],[NET WT KGS]]</f>
        <v>2222057.25</v>
      </c>
      <c r="AG494">
        <f>Table46[[#This Row],[NET WT KGS]]*Table46[[#This Row],[NUT COUNT]]</f>
        <v>8858700</v>
      </c>
    </row>
    <row r="495" spans="1:33" x14ac:dyDescent="0.35">
      <c r="A495" s="32">
        <f t="shared" si="51"/>
        <v>493</v>
      </c>
      <c r="B495" s="20">
        <v>46118</v>
      </c>
      <c r="C495" s="20">
        <v>46118</v>
      </c>
      <c r="D495" s="10" t="s">
        <v>38</v>
      </c>
      <c r="E495" s="10" t="s">
        <v>39</v>
      </c>
      <c r="F495" s="67" t="s">
        <v>40</v>
      </c>
      <c r="G495" s="66" t="s">
        <v>41</v>
      </c>
      <c r="H495" s="67" t="s">
        <v>338</v>
      </c>
      <c r="I495" s="67" t="str">
        <f>VLOOKUP(Table46[[#This Row],[SUPPLIERS NAME]],[1]AGING!X$3:Y$30,2,)</f>
        <v>LBA-018-COP</v>
      </c>
      <c r="J495" s="66" t="s">
        <v>482</v>
      </c>
      <c r="K495" s="57" t="s">
        <v>340</v>
      </c>
      <c r="L495" s="66">
        <v>1178</v>
      </c>
      <c r="M495" s="10">
        <v>84375</v>
      </c>
      <c r="N495" s="66">
        <v>451</v>
      </c>
      <c r="O495" s="68">
        <f t="shared" ref="O495:O515" si="58">P495+N495</f>
        <v>38920</v>
      </c>
      <c r="P495" s="51">
        <v>38469</v>
      </c>
      <c r="Q495" s="66">
        <v>406</v>
      </c>
      <c r="R495" s="67">
        <v>0</v>
      </c>
      <c r="S495" s="66">
        <v>45</v>
      </c>
      <c r="T495" s="10">
        <f t="shared" si="57"/>
        <v>180</v>
      </c>
      <c r="U495" s="68">
        <f>Table46[[#This Row],[NET WT KGS]]-Table46[[#This Row],[Refraction]]</f>
        <v>38289</v>
      </c>
      <c r="V495" s="69">
        <v>510</v>
      </c>
      <c r="W495" s="69">
        <f>Table46[[#This Row],[PRICE]]*Table46[[#This Row],[PAID WT]]</f>
        <v>19527390</v>
      </c>
      <c r="X495" s="70">
        <v>11.4</v>
      </c>
      <c r="Y495" s="71">
        <v>160</v>
      </c>
      <c r="Z495" s="70">
        <v>43.03</v>
      </c>
      <c r="AA495" s="72"/>
      <c r="AB495" s="66" t="s">
        <v>284</v>
      </c>
      <c r="AC495" s="73"/>
      <c r="AD495" s="63" t="s">
        <v>659</v>
      </c>
      <c r="AE495" s="18">
        <f>Table46[[#This Row],[MOIS.]]*Table46[[#This Row],[NET WT KGS]]</f>
        <v>438546.60000000003</v>
      </c>
      <c r="AF495" s="18">
        <f>Table46[[#This Row],[KOR]]*Table46[[#This Row],[NET WT KGS]]</f>
        <v>1655321.07</v>
      </c>
      <c r="AG495">
        <f>Table46[[#This Row],[NET WT KGS]]*Table46[[#This Row],[NUT COUNT]]</f>
        <v>6155040</v>
      </c>
    </row>
    <row r="496" spans="1:33" x14ac:dyDescent="0.35">
      <c r="A496" s="32">
        <f t="shared" si="51"/>
        <v>494</v>
      </c>
      <c r="B496" s="20">
        <v>46118</v>
      </c>
      <c r="C496" s="20">
        <v>46118</v>
      </c>
      <c r="D496" s="10" t="s">
        <v>38</v>
      </c>
      <c r="E496" s="10" t="s">
        <v>39</v>
      </c>
      <c r="F496" s="67" t="s">
        <v>40</v>
      </c>
      <c r="G496" s="66" t="s">
        <v>41</v>
      </c>
      <c r="H496" s="67" t="s">
        <v>123</v>
      </c>
      <c r="I496" s="67" t="str">
        <f>VLOOKUP(Table46[[#This Row],[SUPPLIERS NAME]],[1]AGING!X$3:Y$30,2,)</f>
        <v>LBA-011-ASR</v>
      </c>
      <c r="J496" s="66" t="s">
        <v>645</v>
      </c>
      <c r="K496" s="21" t="s">
        <v>161</v>
      </c>
      <c r="L496" s="66">
        <v>1179</v>
      </c>
      <c r="M496" s="10">
        <v>88499</v>
      </c>
      <c r="N496" s="66">
        <v>626</v>
      </c>
      <c r="O496" s="68">
        <f t="shared" si="58"/>
        <v>50720</v>
      </c>
      <c r="P496" s="93">
        <v>50094</v>
      </c>
      <c r="Q496" s="66">
        <v>599</v>
      </c>
      <c r="R496" s="67">
        <v>0</v>
      </c>
      <c r="S496" s="66">
        <v>27</v>
      </c>
      <c r="T496" s="10">
        <f t="shared" si="57"/>
        <v>108</v>
      </c>
      <c r="U496" s="68">
        <f>Table46[[#This Row],[NET WT KGS]]-Table46[[#This Row],[Refraction]]</f>
        <v>49986</v>
      </c>
      <c r="V496" s="69">
        <v>505</v>
      </c>
      <c r="W496" s="69">
        <f>Table46[[#This Row],[PRICE]]*Table46[[#This Row],[PAID WT]]</f>
        <v>25242930</v>
      </c>
      <c r="X496" s="70">
        <v>9.6999999999999993</v>
      </c>
      <c r="Y496" s="71">
        <v>187</v>
      </c>
      <c r="Z496" s="70">
        <v>42.15</v>
      </c>
      <c r="AA496" s="72"/>
      <c r="AB496" s="66" t="s">
        <v>40</v>
      </c>
      <c r="AC496" s="73"/>
      <c r="AD496" s="63" t="s">
        <v>659</v>
      </c>
      <c r="AE496" s="18">
        <f>Table46[[#This Row],[MOIS.]]*Table46[[#This Row],[NET WT KGS]]</f>
        <v>485911.8</v>
      </c>
      <c r="AF496" s="18">
        <f>Table46[[#This Row],[KOR]]*Table46[[#This Row],[NET WT KGS]]</f>
        <v>2111462.1</v>
      </c>
      <c r="AG496">
        <f>Table46[[#This Row],[NET WT KGS]]*Table46[[#This Row],[NUT COUNT]]</f>
        <v>9367578</v>
      </c>
    </row>
    <row r="497" spans="1:37" x14ac:dyDescent="0.35">
      <c r="A497" s="32">
        <f t="shared" si="51"/>
        <v>495</v>
      </c>
      <c r="B497" s="20">
        <v>46118</v>
      </c>
      <c r="C497" s="20">
        <v>46118</v>
      </c>
      <c r="D497" s="10" t="s">
        <v>38</v>
      </c>
      <c r="E497" s="10" t="s">
        <v>39</v>
      </c>
      <c r="F497" s="67" t="s">
        <v>40</v>
      </c>
      <c r="G497" s="66" t="s">
        <v>41</v>
      </c>
      <c r="H497" s="67" t="s">
        <v>74</v>
      </c>
      <c r="I497" s="67" t="str">
        <f>VLOOKUP(Table46[[#This Row],[SUPPLIERS NAME]],[1]AGING!X$3:Y$30,2,)</f>
        <v>LBA-003-HER</v>
      </c>
      <c r="J497" s="66" t="s">
        <v>187</v>
      </c>
      <c r="K497" s="33" t="s">
        <v>77</v>
      </c>
      <c r="L497" s="66">
        <v>1181</v>
      </c>
      <c r="M497" s="10">
        <v>18129</v>
      </c>
      <c r="N497" s="66">
        <v>533</v>
      </c>
      <c r="O497" s="68">
        <f t="shared" si="58"/>
        <v>45860</v>
      </c>
      <c r="P497" s="93">
        <v>45327</v>
      </c>
      <c r="Q497" s="66">
        <v>489</v>
      </c>
      <c r="R497" s="67">
        <v>0</v>
      </c>
      <c r="S497" s="66">
        <v>44</v>
      </c>
      <c r="T497" s="10">
        <f t="shared" si="57"/>
        <v>176</v>
      </c>
      <c r="U497" s="68">
        <f>Table46[[#This Row],[NET WT KGS]]-Table46[[#This Row],[Refraction]]</f>
        <v>45151</v>
      </c>
      <c r="V497" s="69">
        <v>500</v>
      </c>
      <c r="W497" s="69">
        <f>Table46[[#This Row],[PRICE]]*Table46[[#This Row],[PAID WT]]</f>
        <v>22575500</v>
      </c>
      <c r="X497" s="70">
        <v>11.3</v>
      </c>
      <c r="Y497" s="71">
        <v>162</v>
      </c>
      <c r="Z497" s="70">
        <v>42.24</v>
      </c>
      <c r="AA497" s="72"/>
      <c r="AB497" s="66" t="s">
        <v>78</v>
      </c>
      <c r="AC497" s="73"/>
      <c r="AD497" s="63" t="s">
        <v>659</v>
      </c>
      <c r="AE497" s="18">
        <f>Table46[[#This Row],[MOIS.]]*Table46[[#This Row],[NET WT KGS]]</f>
        <v>512195.10000000003</v>
      </c>
      <c r="AF497" s="18">
        <f>Table46[[#This Row],[KOR]]*Table46[[#This Row],[NET WT KGS]]</f>
        <v>1914612.48</v>
      </c>
      <c r="AG497">
        <f>Table46[[#This Row],[NET WT KGS]]*Table46[[#This Row],[NUT COUNT]]</f>
        <v>7342974</v>
      </c>
    </row>
    <row r="498" spans="1:37" x14ac:dyDescent="0.35">
      <c r="A498" s="32">
        <f t="shared" si="51"/>
        <v>496</v>
      </c>
      <c r="B498" s="20">
        <v>46118</v>
      </c>
      <c r="C498" s="20">
        <v>46118</v>
      </c>
      <c r="D498" s="10" t="s">
        <v>38</v>
      </c>
      <c r="E498" s="10" t="s">
        <v>39</v>
      </c>
      <c r="F498" s="67" t="s">
        <v>40</v>
      </c>
      <c r="G498" s="66" t="s">
        <v>41</v>
      </c>
      <c r="H498" s="67" t="s">
        <v>105</v>
      </c>
      <c r="I498" s="67" t="str">
        <f>VLOOKUP(Table46[[#This Row],[SUPPLIERS NAME]],[1]AGING!X$3:Y$30,2,)</f>
        <v>LBA-014-BAY</v>
      </c>
      <c r="J498" s="66" t="s">
        <v>387</v>
      </c>
      <c r="K498" s="33" t="s">
        <v>108</v>
      </c>
      <c r="L498" s="66">
        <v>1180</v>
      </c>
      <c r="M498" s="10">
        <v>88435</v>
      </c>
      <c r="N498" s="66">
        <v>473</v>
      </c>
      <c r="O498" s="68">
        <f t="shared" si="58"/>
        <v>38800</v>
      </c>
      <c r="P498" s="93">
        <v>38327</v>
      </c>
      <c r="Q498" s="66">
        <v>383</v>
      </c>
      <c r="R498" s="67">
        <v>0</v>
      </c>
      <c r="S498" s="66">
        <v>90</v>
      </c>
      <c r="T498" s="10">
        <f t="shared" si="57"/>
        <v>360</v>
      </c>
      <c r="U498" s="68">
        <f>Table46[[#This Row],[NET WT KGS]]-Table46[[#This Row],[Refraction]]</f>
        <v>37967</v>
      </c>
      <c r="V498" s="69">
        <v>500</v>
      </c>
      <c r="W498" s="69">
        <f>Table46[[#This Row],[PRICE]]*Table46[[#This Row],[PAID WT]]</f>
        <v>18983500</v>
      </c>
      <c r="X498" s="70">
        <v>12.6</v>
      </c>
      <c r="Y498" s="71">
        <v>170</v>
      </c>
      <c r="Z498" s="70">
        <v>43.21</v>
      </c>
      <c r="AA498" s="72"/>
      <c r="AB498" s="66" t="s">
        <v>660</v>
      </c>
      <c r="AC498" s="73"/>
      <c r="AD498" s="63" t="s">
        <v>659</v>
      </c>
      <c r="AE498" s="18">
        <f>Table46[[#This Row],[MOIS.]]*Table46[[#This Row],[NET WT KGS]]</f>
        <v>482920.2</v>
      </c>
      <c r="AF498" s="18">
        <f>Table46[[#This Row],[KOR]]*Table46[[#This Row],[NET WT KGS]]</f>
        <v>1656109.67</v>
      </c>
      <c r="AG498">
        <f>Table46[[#This Row],[NET WT KGS]]*Table46[[#This Row],[NUT COUNT]]</f>
        <v>6515590</v>
      </c>
      <c r="AK498" s="114"/>
    </row>
    <row r="499" spans="1:37" x14ac:dyDescent="0.35">
      <c r="A499" s="32">
        <f t="shared" si="51"/>
        <v>497</v>
      </c>
      <c r="B499" s="35">
        <v>46118</v>
      </c>
      <c r="C499" s="91">
        <f>Table46[[#This Row],[DATE OF ARRIVAL]]</f>
        <v>46118</v>
      </c>
      <c r="D499" s="36"/>
      <c r="E499" s="36"/>
      <c r="F499" s="74" t="s">
        <v>40</v>
      </c>
      <c r="G499" s="74"/>
      <c r="H499" s="74" t="s">
        <v>154</v>
      </c>
      <c r="I499" s="74" t="s">
        <v>155</v>
      </c>
      <c r="J499" s="74" t="s">
        <v>661</v>
      </c>
      <c r="K499" s="74"/>
      <c r="L499" s="74"/>
      <c r="M499" s="74"/>
      <c r="N499" s="74"/>
      <c r="O499" s="79">
        <f t="shared" si="58"/>
        <v>0</v>
      </c>
      <c r="P499" s="79"/>
      <c r="Q499" s="74"/>
      <c r="R499" s="80"/>
      <c r="S499" s="74"/>
      <c r="T499" s="36"/>
      <c r="U499" s="79">
        <f>Table46[[#This Row],[NET WT KGS]]-Table46[[#This Row],[Refraction]]</f>
        <v>0</v>
      </c>
      <c r="V499" s="81"/>
      <c r="W499" s="81">
        <f>Table46[[#This Row],[PRICE]]*Table46[[#This Row],[PAID WT]]</f>
        <v>0</v>
      </c>
      <c r="X499" s="82">
        <v>6.9</v>
      </c>
      <c r="Y499" s="83">
        <v>187</v>
      </c>
      <c r="Z499" s="82">
        <v>37.743180000000002</v>
      </c>
      <c r="AA499" s="84"/>
      <c r="AB499" s="74" t="s">
        <v>58</v>
      </c>
      <c r="AC499" s="92" t="s">
        <v>70</v>
      </c>
      <c r="AD499" s="28"/>
      <c r="AE499" s="18">
        <f>Table46[[#This Row],[MOIS.]]*Table46[[#This Row],[NET WT KGS]]</f>
        <v>0</v>
      </c>
      <c r="AF499" s="18">
        <f>Table46[[#This Row],[KOR]]*Table46[[#This Row],[NET WT KGS]]</f>
        <v>0</v>
      </c>
      <c r="AG499">
        <f>Table46[[#This Row],[NET WT KGS]]*Table46[[#This Row],[NUT COUNT]]</f>
        <v>0</v>
      </c>
      <c r="AK499" s="114"/>
    </row>
    <row r="500" spans="1:37" x14ac:dyDescent="0.35">
      <c r="A500" s="32">
        <f t="shared" si="51"/>
        <v>498</v>
      </c>
      <c r="B500" s="35">
        <v>46118</v>
      </c>
      <c r="C500" s="91">
        <f>Table46[[#This Row],[DATE OF ARRIVAL]]</f>
        <v>46118</v>
      </c>
      <c r="D500" s="36"/>
      <c r="E500" s="36"/>
      <c r="F500" s="74" t="s">
        <v>40</v>
      </c>
      <c r="G500" s="74"/>
      <c r="H500" s="36" t="s">
        <v>123</v>
      </c>
      <c r="I500" s="74" t="s">
        <v>124</v>
      </c>
      <c r="J500" s="36" t="s">
        <v>662</v>
      </c>
      <c r="K500" s="74"/>
      <c r="L500" s="36"/>
      <c r="M500" s="74"/>
      <c r="N500" s="36"/>
      <c r="O500" s="37">
        <f t="shared" si="58"/>
        <v>0</v>
      </c>
      <c r="P500" s="37"/>
      <c r="Q500" s="36"/>
      <c r="R500" s="80"/>
      <c r="S500" s="36"/>
      <c r="T500" s="36"/>
      <c r="U500" s="37">
        <f>Table46[[#This Row],[NET WT KGS]]-Table46[[#This Row],[Refraction]]</f>
        <v>0</v>
      </c>
      <c r="V500" s="38"/>
      <c r="W500" s="38">
        <f>Table46[[#This Row],[PRICE]]*Table46[[#This Row],[PAID WT]]</f>
        <v>0</v>
      </c>
      <c r="X500" s="39">
        <v>13.7</v>
      </c>
      <c r="Y500" s="40">
        <v>160</v>
      </c>
      <c r="Z500" s="39">
        <v>41.446950000000001</v>
      </c>
      <c r="AA500" s="41"/>
      <c r="AB500" s="36" t="s">
        <v>415</v>
      </c>
      <c r="AC500" s="42" t="s">
        <v>70</v>
      </c>
      <c r="AD500" s="28"/>
      <c r="AE500" s="18">
        <f>Table46[[#This Row],[MOIS.]]*Table46[[#This Row],[NET WT KGS]]</f>
        <v>0</v>
      </c>
      <c r="AF500" s="18">
        <f>Table46[[#This Row],[KOR]]*Table46[[#This Row],[NET WT KGS]]</f>
        <v>0</v>
      </c>
      <c r="AG500">
        <f>Table46[[#This Row],[NET WT KGS]]*Table46[[#This Row],[NUT COUNT]]</f>
        <v>0</v>
      </c>
    </row>
    <row r="501" spans="1:37" x14ac:dyDescent="0.35">
      <c r="A501" s="32">
        <f t="shared" si="51"/>
        <v>499</v>
      </c>
      <c r="B501" s="35">
        <v>46118</v>
      </c>
      <c r="C501" s="91">
        <f>Table46[[#This Row],[DATE OF ARRIVAL]]</f>
        <v>46118</v>
      </c>
      <c r="D501" s="36"/>
      <c r="E501" s="36"/>
      <c r="F501" s="74" t="s">
        <v>40</v>
      </c>
      <c r="G501" s="74"/>
      <c r="H501" s="74" t="s">
        <v>235</v>
      </c>
      <c r="I501" s="74" t="s">
        <v>236</v>
      </c>
      <c r="J501" s="36" t="s">
        <v>663</v>
      </c>
      <c r="K501" s="74"/>
      <c r="L501" s="36"/>
      <c r="M501" s="74"/>
      <c r="N501" s="36"/>
      <c r="O501" s="37">
        <f t="shared" si="58"/>
        <v>0</v>
      </c>
      <c r="P501" s="37"/>
      <c r="Q501" s="36"/>
      <c r="R501" s="80"/>
      <c r="S501" s="36"/>
      <c r="T501" s="36"/>
      <c r="U501" s="37">
        <f>Table46[[#This Row],[NET WT KGS]]-Table46[[#This Row],[Refraction]]</f>
        <v>0</v>
      </c>
      <c r="V501" s="38"/>
      <c r="W501" s="38">
        <f>Table46[[#This Row],[PRICE]]*Table46[[#This Row],[PAID WT]]</f>
        <v>0</v>
      </c>
      <c r="X501" s="39">
        <v>8.4</v>
      </c>
      <c r="Y501" s="40">
        <v>172</v>
      </c>
      <c r="Z501" s="39">
        <v>39.330509999999997</v>
      </c>
      <c r="AA501" s="41"/>
      <c r="AB501" s="36" t="s">
        <v>46</v>
      </c>
      <c r="AC501" s="42" t="s">
        <v>70</v>
      </c>
      <c r="AD501" s="28"/>
      <c r="AE501" s="18">
        <f>Table46[[#This Row],[MOIS.]]*Table46[[#This Row],[NET WT KGS]]</f>
        <v>0</v>
      </c>
      <c r="AF501" s="18">
        <f>Table46[[#This Row],[KOR]]*Table46[[#This Row],[NET WT KGS]]</f>
        <v>0</v>
      </c>
      <c r="AG501">
        <f>Table46[[#This Row],[NET WT KGS]]*Table46[[#This Row],[NUT COUNT]]</f>
        <v>0</v>
      </c>
    </row>
    <row r="502" spans="1:37" x14ac:dyDescent="0.35">
      <c r="A502" s="32">
        <f t="shared" si="51"/>
        <v>500</v>
      </c>
      <c r="B502" s="35">
        <v>46118</v>
      </c>
      <c r="C502" s="91">
        <f>Table46[[#This Row],[DATE OF ARRIVAL]]</f>
        <v>46118</v>
      </c>
      <c r="D502" s="36"/>
      <c r="E502" s="36"/>
      <c r="F502" s="74" t="s">
        <v>40</v>
      </c>
      <c r="G502" s="36"/>
      <c r="H502" s="36" t="s">
        <v>87</v>
      </c>
      <c r="I502" s="36" t="s">
        <v>88</v>
      </c>
      <c r="J502" s="36" t="s">
        <v>664</v>
      </c>
      <c r="K502" s="74"/>
      <c r="L502" s="36"/>
      <c r="M502" s="36"/>
      <c r="N502" s="36"/>
      <c r="O502" s="37">
        <f t="shared" si="58"/>
        <v>0</v>
      </c>
      <c r="P502" s="37"/>
      <c r="Q502" s="36"/>
      <c r="R502" s="80"/>
      <c r="S502" s="36"/>
      <c r="T502" s="36"/>
      <c r="U502" s="37">
        <f>Table46[[#This Row],[NET WT KGS]]-Table46[[#This Row],[Refraction]]</f>
        <v>0</v>
      </c>
      <c r="V502" s="38"/>
      <c r="W502" s="38">
        <f>Table46[[#This Row],[PRICE]]*Table46[[#This Row],[PAID WT]]</f>
        <v>0</v>
      </c>
      <c r="X502" s="39">
        <v>10.6</v>
      </c>
      <c r="Y502" s="40">
        <v>167</v>
      </c>
      <c r="Z502" s="39">
        <v>40.74147</v>
      </c>
      <c r="AA502" s="41"/>
      <c r="AB502" s="36" t="s">
        <v>367</v>
      </c>
      <c r="AC502" s="42" t="s">
        <v>70</v>
      </c>
      <c r="AD502" s="28"/>
      <c r="AE502" s="18">
        <f>Table46[[#This Row],[MOIS.]]*Table46[[#This Row],[NET WT KGS]]</f>
        <v>0</v>
      </c>
      <c r="AF502" s="18">
        <f>Table46[[#This Row],[KOR]]*Table46[[#This Row],[NET WT KGS]]</f>
        <v>0</v>
      </c>
      <c r="AG502">
        <f>Table46[[#This Row],[NET WT KGS]]*Table46[[#This Row],[NUT COUNT]]</f>
        <v>0</v>
      </c>
    </row>
    <row r="503" spans="1:37" x14ac:dyDescent="0.35">
      <c r="A503" s="32">
        <f t="shared" si="51"/>
        <v>501</v>
      </c>
      <c r="B503" s="65">
        <v>46118</v>
      </c>
      <c r="C503" s="65">
        <v>46119</v>
      </c>
      <c r="D503" s="10" t="s">
        <v>38</v>
      </c>
      <c r="E503" s="10" t="s">
        <v>39</v>
      </c>
      <c r="F503" s="67" t="s">
        <v>40</v>
      </c>
      <c r="G503" s="10" t="s">
        <v>350</v>
      </c>
      <c r="H503" s="66" t="s">
        <v>154</v>
      </c>
      <c r="I503" s="67" t="str">
        <f>VLOOKUP(Table46[[#This Row],[SUPPLIERS NAME]],[1]AGING!X$3:Y$30,2,)</f>
        <v>LBA-010-CAP</v>
      </c>
      <c r="J503" s="10" t="s">
        <v>665</v>
      </c>
      <c r="K503" s="33" t="s">
        <v>157</v>
      </c>
      <c r="L503" s="10">
        <v>1182</v>
      </c>
      <c r="M503" s="10">
        <v>82675</v>
      </c>
      <c r="N503" s="10">
        <v>517</v>
      </c>
      <c r="O503" s="22">
        <f t="shared" si="58"/>
        <v>43100</v>
      </c>
      <c r="P503" s="22">
        <v>42583</v>
      </c>
      <c r="Q503" s="10">
        <v>501</v>
      </c>
      <c r="R503" s="67">
        <v>0</v>
      </c>
      <c r="S503" s="10">
        <v>16</v>
      </c>
      <c r="T503" s="10">
        <f t="shared" ref="T503:T509" si="59">S503*4+R503*40</f>
        <v>64</v>
      </c>
      <c r="U503" s="22">
        <f>Table46[[#This Row],[NET WT KGS]]-Table46[[#This Row],[Refraction]]</f>
        <v>42519</v>
      </c>
      <c r="V503" s="23">
        <v>505</v>
      </c>
      <c r="W503" s="23">
        <f>Table46[[#This Row],[PRICE]]*Table46[[#This Row],[PAID WT]]</f>
        <v>21472095</v>
      </c>
      <c r="X503" s="24">
        <v>9.6999999999999993</v>
      </c>
      <c r="Y503" s="25">
        <v>162</v>
      </c>
      <c r="Z503" s="24">
        <v>44.26</v>
      </c>
      <c r="AA503" s="26"/>
      <c r="AB503" s="10" t="s">
        <v>40</v>
      </c>
      <c r="AC503" s="27"/>
      <c r="AD503" s="63" t="s">
        <v>659</v>
      </c>
      <c r="AE503" s="18">
        <f>Table46[[#This Row],[MOIS.]]*Table46[[#This Row],[NET WT KGS]]</f>
        <v>413055.1</v>
      </c>
      <c r="AF503" s="18">
        <f>Table46[[#This Row],[KOR]]*Table46[[#This Row],[NET WT KGS]]</f>
        <v>1884723.5799999998</v>
      </c>
      <c r="AG503">
        <f>Table46[[#This Row],[NET WT KGS]]*Table46[[#This Row],[NUT COUNT]]</f>
        <v>6898446</v>
      </c>
    </row>
    <row r="504" spans="1:37" x14ac:dyDescent="0.35">
      <c r="A504" s="32">
        <f t="shared" si="51"/>
        <v>502</v>
      </c>
      <c r="B504" s="65">
        <v>46118</v>
      </c>
      <c r="C504" s="65">
        <v>46119</v>
      </c>
      <c r="D504" s="10" t="s">
        <v>38</v>
      </c>
      <c r="E504" s="10" t="s">
        <v>39</v>
      </c>
      <c r="F504" s="67" t="s">
        <v>40</v>
      </c>
      <c r="G504" s="10" t="s">
        <v>41</v>
      </c>
      <c r="H504" s="66" t="s">
        <v>154</v>
      </c>
      <c r="I504" s="67" t="str">
        <f>VLOOKUP(Table46[[#This Row],[SUPPLIERS NAME]],[1]AGING!X$3:Y$30,2,)</f>
        <v>LBA-010-CAP</v>
      </c>
      <c r="J504" s="10" t="s">
        <v>666</v>
      </c>
      <c r="K504" s="33" t="s">
        <v>157</v>
      </c>
      <c r="L504" s="10">
        <v>1184</v>
      </c>
      <c r="M504" s="10">
        <v>80522</v>
      </c>
      <c r="N504" s="10">
        <v>149</v>
      </c>
      <c r="O504" s="22">
        <f t="shared" si="58"/>
        <v>12240</v>
      </c>
      <c r="P504" s="22">
        <v>12091</v>
      </c>
      <c r="Q504" s="10">
        <v>130</v>
      </c>
      <c r="R504" s="67">
        <v>0</v>
      </c>
      <c r="S504" s="10">
        <v>19</v>
      </c>
      <c r="T504" s="10">
        <f t="shared" si="59"/>
        <v>76</v>
      </c>
      <c r="U504" s="22">
        <f>Table46[[#This Row],[NET WT KGS]]-Table46[[#This Row],[Refraction]]</f>
        <v>12015</v>
      </c>
      <c r="V504" s="23">
        <v>485</v>
      </c>
      <c r="W504" s="23">
        <f>Table46[[#This Row],[PRICE]]*Table46[[#This Row],[PAID WT]]</f>
        <v>5827275</v>
      </c>
      <c r="X504" s="24">
        <v>11.7</v>
      </c>
      <c r="Y504" s="25">
        <v>160</v>
      </c>
      <c r="Z504" s="24">
        <v>41.79</v>
      </c>
      <c r="AA504" s="26"/>
      <c r="AB504" s="10" t="s">
        <v>40</v>
      </c>
      <c r="AC504" s="27"/>
      <c r="AD504" s="63" t="s">
        <v>659</v>
      </c>
      <c r="AE504" s="18">
        <f>Table46[[#This Row],[MOIS.]]*Table46[[#This Row],[NET WT KGS]]</f>
        <v>141464.69999999998</v>
      </c>
      <c r="AF504" s="18">
        <f>Table46[[#This Row],[KOR]]*Table46[[#This Row],[NET WT KGS]]</f>
        <v>505282.89</v>
      </c>
      <c r="AG504">
        <f>Table46[[#This Row],[NET WT KGS]]*Table46[[#This Row],[NUT COUNT]]</f>
        <v>1934560</v>
      </c>
    </row>
    <row r="505" spans="1:37" x14ac:dyDescent="0.35">
      <c r="A505" s="32">
        <f t="shared" si="51"/>
        <v>503</v>
      </c>
      <c r="B505" s="65">
        <v>46118</v>
      </c>
      <c r="C505" s="65">
        <v>46119</v>
      </c>
      <c r="D505" s="10" t="s">
        <v>38</v>
      </c>
      <c r="E505" s="10" t="s">
        <v>39</v>
      </c>
      <c r="F505" s="67" t="s">
        <v>40</v>
      </c>
      <c r="G505" s="66" t="s">
        <v>41</v>
      </c>
      <c r="H505" s="66" t="s">
        <v>154</v>
      </c>
      <c r="I505" s="67" t="str">
        <f>VLOOKUP(Table46[[#This Row],[SUPPLIERS NAME]],[1]AGING!X$3:Y$30,2,)</f>
        <v>LBA-010-CAP</v>
      </c>
      <c r="J505" s="66" t="s">
        <v>667</v>
      </c>
      <c r="K505" s="33" t="s">
        <v>157</v>
      </c>
      <c r="L505" s="66">
        <v>1185</v>
      </c>
      <c r="M505" s="10">
        <v>87005</v>
      </c>
      <c r="N505" s="66">
        <v>387</v>
      </c>
      <c r="O505" s="68">
        <f t="shared" si="58"/>
        <v>31280</v>
      </c>
      <c r="P505" s="68">
        <v>30893</v>
      </c>
      <c r="Q505" s="66">
        <v>378</v>
      </c>
      <c r="R505" s="67">
        <v>0</v>
      </c>
      <c r="S505" s="66">
        <v>9</v>
      </c>
      <c r="T505" s="10">
        <f t="shared" si="59"/>
        <v>36</v>
      </c>
      <c r="U505" s="68">
        <f>Table46[[#This Row],[NET WT KGS]]-Table46[[#This Row],[Refraction]]</f>
        <v>30857</v>
      </c>
      <c r="V505" s="69">
        <v>485</v>
      </c>
      <c r="W505" s="69">
        <f>Table46[[#This Row],[PRICE]]*Table46[[#This Row],[PAID WT]]</f>
        <v>14965645</v>
      </c>
      <c r="X505" s="70">
        <v>9.1</v>
      </c>
      <c r="Y505" s="71">
        <v>176</v>
      </c>
      <c r="Z505" s="70">
        <v>41.27</v>
      </c>
      <c r="AA505" s="72"/>
      <c r="AB505" s="66" t="s">
        <v>40</v>
      </c>
      <c r="AC505" s="73"/>
      <c r="AD505" s="63" t="s">
        <v>659</v>
      </c>
      <c r="AE505" s="18">
        <f>Table46[[#This Row],[MOIS.]]*Table46[[#This Row],[NET WT KGS]]</f>
        <v>281126.3</v>
      </c>
      <c r="AF505" s="18">
        <f>Table46[[#This Row],[KOR]]*Table46[[#This Row],[NET WT KGS]]</f>
        <v>1274954.1100000001</v>
      </c>
      <c r="AG505">
        <f>Table46[[#This Row],[NET WT KGS]]*Table46[[#This Row],[NUT COUNT]]</f>
        <v>5437168</v>
      </c>
    </row>
    <row r="506" spans="1:37" x14ac:dyDescent="0.35">
      <c r="A506" s="32">
        <f t="shared" si="51"/>
        <v>504</v>
      </c>
      <c r="B506" s="65">
        <v>46118</v>
      </c>
      <c r="C506" s="20">
        <v>46119</v>
      </c>
      <c r="D506" s="10" t="s">
        <v>38</v>
      </c>
      <c r="E506" s="10" t="s">
        <v>258</v>
      </c>
      <c r="F506" s="67" t="s">
        <v>40</v>
      </c>
      <c r="G506" s="66" t="s">
        <v>350</v>
      </c>
      <c r="H506" s="67" t="s">
        <v>373</v>
      </c>
      <c r="I506" s="67" t="str">
        <f>VLOOKUP(Table46[[#This Row],[SUPPLIERS NAME]],[1]AGING!X$3:Y$70,2,)</f>
        <v>DIS-008-FOU</v>
      </c>
      <c r="J506" s="66" t="s">
        <v>434</v>
      </c>
      <c r="K506" s="57" t="s">
        <v>435</v>
      </c>
      <c r="L506" s="66">
        <v>1183</v>
      </c>
      <c r="M506" s="10">
        <v>23660</v>
      </c>
      <c r="N506" s="66">
        <v>478</v>
      </c>
      <c r="O506" s="68">
        <f t="shared" si="58"/>
        <v>40240</v>
      </c>
      <c r="P506" s="68">
        <v>39762</v>
      </c>
      <c r="Q506" s="66">
        <v>461</v>
      </c>
      <c r="R506" s="67">
        <v>0</v>
      </c>
      <c r="S506" s="66">
        <v>17</v>
      </c>
      <c r="T506" s="10">
        <f t="shared" si="59"/>
        <v>68</v>
      </c>
      <c r="U506" s="68">
        <f>Table46[[#This Row],[NET WT KGS]]-Table46[[#This Row],[Refraction]]</f>
        <v>39694</v>
      </c>
      <c r="V506" s="69">
        <v>490</v>
      </c>
      <c r="W506" s="69">
        <f>Table46[[#This Row],[PRICE]]*Table46[[#This Row],[PAID WT]]</f>
        <v>19450060</v>
      </c>
      <c r="X506" s="70">
        <v>8.4</v>
      </c>
      <c r="Y506" s="71">
        <v>170</v>
      </c>
      <c r="Z506" s="70">
        <v>42.06</v>
      </c>
      <c r="AA506" s="72"/>
      <c r="AB506" s="66" t="s">
        <v>308</v>
      </c>
      <c r="AC506" s="27"/>
      <c r="AD506" s="63" t="s">
        <v>659</v>
      </c>
      <c r="AE506" s="18">
        <f>Table46[[#This Row],[MOIS.]]*Table46[[#This Row],[NET WT KGS]]</f>
        <v>334000.8</v>
      </c>
      <c r="AF506" s="18">
        <f>Table46[[#This Row],[KOR]]*Table46[[#This Row],[NET WT KGS]]</f>
        <v>1672389.7200000002</v>
      </c>
      <c r="AG506">
        <f>Table46[[#This Row],[NET WT KGS]]*Table46[[#This Row],[NUT COUNT]]</f>
        <v>6759540</v>
      </c>
    </row>
    <row r="507" spans="1:37" x14ac:dyDescent="0.35">
      <c r="A507" s="32">
        <f t="shared" si="51"/>
        <v>505</v>
      </c>
      <c r="B507" s="65">
        <v>46118</v>
      </c>
      <c r="C507" s="20">
        <v>46119</v>
      </c>
      <c r="D507" s="10" t="s">
        <v>38</v>
      </c>
      <c r="E507" s="66" t="s">
        <v>39</v>
      </c>
      <c r="F507" s="67" t="s">
        <v>40</v>
      </c>
      <c r="G507" s="66" t="s">
        <v>41</v>
      </c>
      <c r="H507" s="66" t="s">
        <v>54</v>
      </c>
      <c r="I507" s="67" t="str">
        <f>VLOOKUP(Table46[[#This Row],[SUPPLIERS NAME]],[1]AGING!X$3:Y$30,2,)</f>
        <v>LBA-007-CAS</v>
      </c>
      <c r="J507" s="66" t="s">
        <v>69</v>
      </c>
      <c r="K507" s="33" t="s">
        <v>57</v>
      </c>
      <c r="L507" s="66">
        <v>1186</v>
      </c>
      <c r="M507" s="10">
        <v>67178</v>
      </c>
      <c r="N507" s="66">
        <v>487</v>
      </c>
      <c r="O507" s="68">
        <f t="shared" si="58"/>
        <v>40580</v>
      </c>
      <c r="P507" s="22">
        <v>40093</v>
      </c>
      <c r="Q507" s="66">
        <f>Table46[[#This Row],[SACS]]-Table46[[#This Row],[Sacs déchirés]]</f>
        <v>477</v>
      </c>
      <c r="R507" s="67">
        <v>0</v>
      </c>
      <c r="S507" s="66">
        <v>10</v>
      </c>
      <c r="T507" s="10">
        <f t="shared" si="59"/>
        <v>40</v>
      </c>
      <c r="U507" s="68">
        <f>Table46[[#This Row],[NET WT KGS]]-Table46[[#This Row],[Refraction]]</f>
        <v>40053</v>
      </c>
      <c r="V507" s="69">
        <v>500</v>
      </c>
      <c r="W507" s="69">
        <f>Table46[[#This Row],[PRICE]]*Table46[[#This Row],[PAID WT]]</f>
        <v>20026500</v>
      </c>
      <c r="X507" s="70">
        <v>9</v>
      </c>
      <c r="Y507" s="71">
        <v>174</v>
      </c>
      <c r="Z507" s="70">
        <v>42.15</v>
      </c>
      <c r="AA507" s="72"/>
      <c r="AB507" s="66" t="s">
        <v>58</v>
      </c>
      <c r="AC507" s="27"/>
      <c r="AD507" s="63" t="s">
        <v>659</v>
      </c>
      <c r="AE507" s="18">
        <f>Table46[[#This Row],[MOIS.]]*Table46[[#This Row],[NET WT KGS]]</f>
        <v>360837</v>
      </c>
      <c r="AF507" s="18">
        <f>Table46[[#This Row],[KOR]]*Table46[[#This Row],[NET WT KGS]]</f>
        <v>1689919.95</v>
      </c>
      <c r="AG507">
        <f>Table46[[#This Row],[NET WT KGS]]*Table46[[#This Row],[NUT COUNT]]</f>
        <v>6976182</v>
      </c>
    </row>
    <row r="508" spans="1:37" x14ac:dyDescent="0.35">
      <c r="A508" s="32">
        <f t="shared" si="51"/>
        <v>506</v>
      </c>
      <c r="B508" s="65">
        <v>46118</v>
      </c>
      <c r="C508" s="20">
        <v>46119</v>
      </c>
      <c r="D508" s="10" t="s">
        <v>38</v>
      </c>
      <c r="E508" s="66" t="s">
        <v>39</v>
      </c>
      <c r="F508" s="50" t="s">
        <v>40</v>
      </c>
      <c r="G508" s="66" t="s">
        <v>41</v>
      </c>
      <c r="H508" s="50" t="s">
        <v>123</v>
      </c>
      <c r="I508" s="67" t="str">
        <f>VLOOKUP(Table46[[#This Row],[SUPPLIERS NAME]],[1]AGING!X$3:Y$30,2,)</f>
        <v>LBA-011-ASR</v>
      </c>
      <c r="J508" s="10" t="s">
        <v>668</v>
      </c>
      <c r="K508" s="21" t="s">
        <v>161</v>
      </c>
      <c r="L508" s="10">
        <v>1187</v>
      </c>
      <c r="M508" s="10">
        <v>34069</v>
      </c>
      <c r="N508" s="66">
        <v>630</v>
      </c>
      <c r="O508" s="22">
        <f t="shared" si="58"/>
        <v>53480</v>
      </c>
      <c r="P508" s="22">
        <v>52850</v>
      </c>
      <c r="Q508" s="10">
        <v>610</v>
      </c>
      <c r="R508" s="67">
        <v>0</v>
      </c>
      <c r="S508" s="10">
        <v>20</v>
      </c>
      <c r="T508" s="10">
        <f t="shared" si="59"/>
        <v>80</v>
      </c>
      <c r="U508" s="22">
        <f>Table46[[#This Row],[NET WT KGS]]-Table46[[#This Row],[Refraction]]</f>
        <v>52770</v>
      </c>
      <c r="V508" s="23">
        <v>510</v>
      </c>
      <c r="W508" s="23">
        <f>Table46[[#This Row],[PRICE]]*Table46[[#This Row],[PAID WT]]</f>
        <v>26912700</v>
      </c>
      <c r="X508" s="24">
        <v>8.9</v>
      </c>
      <c r="Y508" s="25">
        <v>171</v>
      </c>
      <c r="Z508" s="24">
        <v>44.09</v>
      </c>
      <c r="AA508" s="26"/>
      <c r="AB508" s="10" t="s">
        <v>40</v>
      </c>
      <c r="AC508" s="27"/>
      <c r="AD508" s="63" t="s">
        <v>659</v>
      </c>
      <c r="AE508" s="18">
        <f>Table46[[#This Row],[MOIS.]]*Table46[[#This Row],[NET WT KGS]]</f>
        <v>470365</v>
      </c>
      <c r="AF508" s="18">
        <f>Table46[[#This Row],[KOR]]*Table46[[#This Row],[NET WT KGS]]</f>
        <v>2330156.5</v>
      </c>
      <c r="AG508">
        <f>Table46[[#This Row],[NET WT KGS]]*Table46[[#This Row],[NUT COUNT]]</f>
        <v>9037350</v>
      </c>
    </row>
    <row r="509" spans="1:37" x14ac:dyDescent="0.35">
      <c r="A509" s="32">
        <f t="shared" si="51"/>
        <v>507</v>
      </c>
      <c r="B509" s="65">
        <v>46118</v>
      </c>
      <c r="C509" s="20">
        <v>46119</v>
      </c>
      <c r="D509" s="10" t="s">
        <v>38</v>
      </c>
      <c r="E509" s="66" t="s">
        <v>258</v>
      </c>
      <c r="F509" s="50" t="s">
        <v>40</v>
      </c>
      <c r="G509" s="10" t="s">
        <v>41</v>
      </c>
      <c r="H509" s="10" t="s">
        <v>364</v>
      </c>
      <c r="I509" s="67" t="str">
        <f>VLOOKUP(Table46[[#This Row],[SUPPLIERS NAME]],[1]AGING!X$3:Y$70,2,)</f>
        <v>DIS-007-SPA</v>
      </c>
      <c r="J509" s="10" t="s">
        <v>407</v>
      </c>
      <c r="K509" s="77" t="s">
        <v>426</v>
      </c>
      <c r="L509" s="90">
        <v>1188</v>
      </c>
      <c r="M509" s="10">
        <v>82623</v>
      </c>
      <c r="N509" s="10">
        <v>471</v>
      </c>
      <c r="O509" s="22">
        <f t="shared" si="58"/>
        <v>40740</v>
      </c>
      <c r="P509" s="22">
        <v>40269</v>
      </c>
      <c r="Q509" s="10">
        <v>455</v>
      </c>
      <c r="R509" s="67">
        <v>0</v>
      </c>
      <c r="S509" s="10">
        <v>16</v>
      </c>
      <c r="T509" s="10">
        <f t="shared" si="59"/>
        <v>64</v>
      </c>
      <c r="U509" s="22">
        <f>Table46[[#This Row],[NET WT KGS]]-Table46[[#This Row],[Refraction]]</f>
        <v>40205</v>
      </c>
      <c r="V509" s="23">
        <v>500</v>
      </c>
      <c r="W509" s="23">
        <f>Table46[[#This Row],[PRICE]]*Table46[[#This Row],[PAID WT]]</f>
        <v>20102500</v>
      </c>
      <c r="X509" s="24">
        <v>8.1999999999999993</v>
      </c>
      <c r="Y509" s="25">
        <v>180</v>
      </c>
      <c r="Z509" s="24">
        <v>43.73</v>
      </c>
      <c r="AA509" s="26"/>
      <c r="AB509" s="10" t="s">
        <v>178</v>
      </c>
      <c r="AC509" s="27"/>
      <c r="AD509" s="63" t="s">
        <v>659</v>
      </c>
      <c r="AE509" s="18">
        <f>Table46[[#This Row],[MOIS.]]*Table46[[#This Row],[NET WT KGS]]</f>
        <v>330205.8</v>
      </c>
      <c r="AF509" s="18">
        <f>Table46[[#This Row],[KOR]]*Table46[[#This Row],[NET WT KGS]]</f>
        <v>1760963.3699999999</v>
      </c>
      <c r="AG509">
        <f>Table46[[#This Row],[NET WT KGS]]*Table46[[#This Row],[NUT COUNT]]</f>
        <v>7248420</v>
      </c>
    </row>
    <row r="510" spans="1:37" x14ac:dyDescent="0.35">
      <c r="A510" s="32">
        <f t="shared" si="51"/>
        <v>508</v>
      </c>
      <c r="B510" s="91">
        <v>46119</v>
      </c>
      <c r="C510" s="91">
        <f>Table46[[#This Row],[DATE OF ARRIVAL]]</f>
        <v>46119</v>
      </c>
      <c r="D510" s="36"/>
      <c r="E510" s="74"/>
      <c r="F510" s="74" t="s">
        <v>40</v>
      </c>
      <c r="G510" s="74"/>
      <c r="H510" s="74" t="s">
        <v>335</v>
      </c>
      <c r="I510" s="74" t="s">
        <v>66</v>
      </c>
      <c r="J510" s="74" t="s">
        <v>669</v>
      </c>
      <c r="K510" s="74"/>
      <c r="L510" s="74"/>
      <c r="M510" s="74"/>
      <c r="N510" s="74"/>
      <c r="O510" s="79">
        <f t="shared" si="58"/>
        <v>0</v>
      </c>
      <c r="P510" s="37"/>
      <c r="Q510" s="74"/>
      <c r="R510" s="80"/>
      <c r="S510" s="74"/>
      <c r="T510" s="36"/>
      <c r="U510" s="79">
        <f>Table46[[#This Row],[NET WT KGS]]-Table46[[#This Row],[Refraction]]</f>
        <v>0</v>
      </c>
      <c r="V510" s="81"/>
      <c r="W510" s="81">
        <f>Table46[[#This Row],[PRICE]]*Table46[[#This Row],[PAID WT]]</f>
        <v>0</v>
      </c>
      <c r="X510" s="82">
        <v>11.2</v>
      </c>
      <c r="Y510" s="83">
        <v>178</v>
      </c>
      <c r="Z510" s="82">
        <v>40.388730000000002</v>
      </c>
      <c r="AA510" s="84"/>
      <c r="AB510" s="74" t="s">
        <v>58</v>
      </c>
      <c r="AC510" s="92" t="s">
        <v>70</v>
      </c>
      <c r="AD510" s="28"/>
      <c r="AE510" s="18">
        <f>Table46[[#This Row],[MOIS.]]*Table46[[#This Row],[NET WT KGS]]</f>
        <v>0</v>
      </c>
      <c r="AF510" s="18">
        <f>Table46[[#This Row],[KOR]]*Table46[[#This Row],[NET WT KGS]]</f>
        <v>0</v>
      </c>
      <c r="AG510">
        <f>Table46[[#This Row],[NET WT KGS]]*Table46[[#This Row],[NUT COUNT]]</f>
        <v>0</v>
      </c>
    </row>
    <row r="511" spans="1:37" x14ac:dyDescent="0.35">
      <c r="A511" s="32">
        <f t="shared" si="51"/>
        <v>509</v>
      </c>
      <c r="B511" s="91">
        <v>46119</v>
      </c>
      <c r="C511" s="91">
        <f>Table46[[#This Row],[DATE OF ARRIVAL]]</f>
        <v>46119</v>
      </c>
      <c r="D511" s="36"/>
      <c r="E511" s="74"/>
      <c r="F511" s="74" t="s">
        <v>40</v>
      </c>
      <c r="G511" s="74"/>
      <c r="H511" s="74" t="s">
        <v>112</v>
      </c>
      <c r="I511" s="74" t="s">
        <v>113</v>
      </c>
      <c r="J511" s="74" t="s">
        <v>366</v>
      </c>
      <c r="K511" s="74"/>
      <c r="L511" s="74"/>
      <c r="M511" s="74"/>
      <c r="N511" s="74"/>
      <c r="O511" s="79">
        <f t="shared" si="58"/>
        <v>0</v>
      </c>
      <c r="P511" s="37"/>
      <c r="Q511" s="74"/>
      <c r="R511" s="80"/>
      <c r="S511" s="74"/>
      <c r="T511" s="36"/>
      <c r="U511" s="79">
        <f>Table46[[#This Row],[NET WT KGS]]-Table46[[#This Row],[Refraction]]</f>
        <v>0</v>
      </c>
      <c r="V511" s="81"/>
      <c r="W511" s="81">
        <f>Table46[[#This Row],[PRICE]]*Table46[[#This Row],[PAID WT]]</f>
        <v>0</v>
      </c>
      <c r="X511" s="82">
        <v>10.199999999999999</v>
      </c>
      <c r="Y511" s="83">
        <v>169</v>
      </c>
      <c r="Z511" s="82">
        <v>40.565100000000001</v>
      </c>
      <c r="AA511" s="84"/>
      <c r="AB511" s="74" t="s">
        <v>367</v>
      </c>
      <c r="AC511" s="92" t="s">
        <v>70</v>
      </c>
      <c r="AD511" s="28"/>
      <c r="AE511" s="18">
        <f>Table46[[#This Row],[MOIS.]]*Table46[[#This Row],[NET WT KGS]]</f>
        <v>0</v>
      </c>
      <c r="AF511" s="18">
        <f>Table46[[#This Row],[KOR]]*Table46[[#This Row],[NET WT KGS]]</f>
        <v>0</v>
      </c>
      <c r="AG511">
        <f>Table46[[#This Row],[NET WT KGS]]*Table46[[#This Row],[NUT COUNT]]</f>
        <v>0</v>
      </c>
    </row>
    <row r="512" spans="1:37" x14ac:dyDescent="0.35">
      <c r="A512" s="32">
        <f t="shared" si="51"/>
        <v>510</v>
      </c>
      <c r="B512" s="91">
        <v>46119</v>
      </c>
      <c r="C512" s="91">
        <f>Table46[[#This Row],[DATE OF ARRIVAL]]</f>
        <v>46119</v>
      </c>
      <c r="D512" s="36"/>
      <c r="E512" s="36"/>
      <c r="F512" s="36" t="s">
        <v>40</v>
      </c>
      <c r="G512" s="36"/>
      <c r="H512" s="36" t="s">
        <v>87</v>
      </c>
      <c r="I512" s="36" t="s">
        <v>88</v>
      </c>
      <c r="J512" s="36" t="s">
        <v>670</v>
      </c>
      <c r="K512" s="74"/>
      <c r="L512" s="36"/>
      <c r="M512" s="36"/>
      <c r="N512" s="36"/>
      <c r="O512" s="37">
        <f t="shared" si="58"/>
        <v>0</v>
      </c>
      <c r="P512" s="37"/>
      <c r="Q512" s="36"/>
      <c r="R512" s="80"/>
      <c r="S512" s="36"/>
      <c r="T512" s="36"/>
      <c r="U512" s="37">
        <f>Table46[[#This Row],[NET WT KGS]]-Table46[[#This Row],[Refraction]]</f>
        <v>0</v>
      </c>
      <c r="V512" s="38"/>
      <c r="W512" s="38">
        <f>Table46[[#This Row],[PRICE]]*Table46[[#This Row],[PAID WT]]</f>
        <v>0</v>
      </c>
      <c r="X512" s="39">
        <v>12.1</v>
      </c>
      <c r="Y512" s="40">
        <v>160</v>
      </c>
      <c r="Z512" s="39">
        <v>39.683250000000001</v>
      </c>
      <c r="AA512" s="41"/>
      <c r="AB512" s="36" t="s">
        <v>367</v>
      </c>
      <c r="AC512" s="42" t="s">
        <v>70</v>
      </c>
      <c r="AD512" s="28"/>
      <c r="AE512" s="18">
        <f>Table46[[#This Row],[MOIS.]]*Table46[[#This Row],[NET WT KGS]]</f>
        <v>0</v>
      </c>
      <c r="AF512" s="18">
        <f>Table46[[#This Row],[KOR]]*Table46[[#This Row],[NET WT KGS]]</f>
        <v>0</v>
      </c>
      <c r="AG512">
        <f>Table46[[#This Row],[NET WT KGS]]*Table46[[#This Row],[NUT COUNT]]</f>
        <v>0</v>
      </c>
    </row>
    <row r="513" spans="1:33" x14ac:dyDescent="0.35">
      <c r="A513" s="32">
        <f t="shared" si="51"/>
        <v>511</v>
      </c>
      <c r="B513" s="65">
        <v>46119</v>
      </c>
      <c r="C513" s="65">
        <v>46120</v>
      </c>
      <c r="D513" s="10" t="s">
        <v>38</v>
      </c>
      <c r="E513" s="66" t="s">
        <v>39</v>
      </c>
      <c r="F513" s="67" t="s">
        <v>40</v>
      </c>
      <c r="G513" s="66" t="s">
        <v>41</v>
      </c>
      <c r="H513" s="67" t="s">
        <v>105</v>
      </c>
      <c r="I513" s="50" t="str">
        <f>VLOOKUP(Table46[[#This Row],[SUPPLIERS NAME]],[1]AGING!X$3:Y$30,2,)</f>
        <v>LBA-014-BAY</v>
      </c>
      <c r="J513" s="66" t="s">
        <v>167</v>
      </c>
      <c r="K513" s="33" t="s">
        <v>108</v>
      </c>
      <c r="L513" s="66">
        <v>1189</v>
      </c>
      <c r="M513" s="10">
        <v>32838</v>
      </c>
      <c r="N513" s="66">
        <v>238</v>
      </c>
      <c r="O513" s="68">
        <f t="shared" si="58"/>
        <v>18940</v>
      </c>
      <c r="P513" s="68">
        <v>18702</v>
      </c>
      <c r="Q513" s="66">
        <f>Table46[[#This Row],[SACS]]-Table46[[#This Row],[Sacs déchirés]]</f>
        <v>212</v>
      </c>
      <c r="R513" s="67">
        <v>0</v>
      </c>
      <c r="S513" s="66">
        <v>26</v>
      </c>
      <c r="T513" s="10">
        <f t="shared" ref="T513:T522" si="60">S513*4+R513*40</f>
        <v>104</v>
      </c>
      <c r="U513" s="68">
        <f>Table46[[#This Row],[NET WT KGS]]-Table46[[#This Row],[Refraction]]</f>
        <v>18598</v>
      </c>
      <c r="V513" s="69">
        <v>500</v>
      </c>
      <c r="W513" s="69">
        <f>Table46[[#This Row],[PRICE]]*Table46[[#This Row],[PAID WT]]</f>
        <v>9299000</v>
      </c>
      <c r="X513" s="70">
        <v>10.4</v>
      </c>
      <c r="Y513" s="71">
        <v>158</v>
      </c>
      <c r="Z513" s="70">
        <v>43.73</v>
      </c>
      <c r="AA513" s="72"/>
      <c r="AB513" s="66" t="s">
        <v>212</v>
      </c>
      <c r="AC513" s="73"/>
      <c r="AD513" s="63" t="s">
        <v>659</v>
      </c>
      <c r="AE513" s="18">
        <f>Table46[[#This Row],[MOIS.]]*Table46[[#This Row],[NET WT KGS]]</f>
        <v>194500.80000000002</v>
      </c>
      <c r="AF513" s="18">
        <f>Table46[[#This Row],[KOR]]*Table46[[#This Row],[NET WT KGS]]</f>
        <v>817838.46</v>
      </c>
      <c r="AG513">
        <f>Table46[[#This Row],[NET WT KGS]]*Table46[[#This Row],[NUT COUNT]]</f>
        <v>2954916</v>
      </c>
    </row>
    <row r="514" spans="1:33" x14ac:dyDescent="0.35">
      <c r="A514" s="32">
        <f t="shared" si="51"/>
        <v>512</v>
      </c>
      <c r="B514" s="65">
        <v>46119</v>
      </c>
      <c r="C514" s="20">
        <v>46120</v>
      </c>
      <c r="D514" s="10" t="s">
        <v>38</v>
      </c>
      <c r="E514" s="66" t="s">
        <v>39</v>
      </c>
      <c r="F514" s="50" t="s">
        <v>40</v>
      </c>
      <c r="G514" s="10" t="s">
        <v>41</v>
      </c>
      <c r="H514" s="66" t="s">
        <v>87</v>
      </c>
      <c r="I514" s="67" t="str">
        <f>VLOOKUP(Table46[[#This Row],[SUPPLIERS NAME]],[1]AGING!X$3:Y$30,2,)</f>
        <v>LBA-009-SCO</v>
      </c>
      <c r="J514" s="10" t="s">
        <v>241</v>
      </c>
      <c r="K514" s="33" t="s">
        <v>90</v>
      </c>
      <c r="L514" s="10">
        <v>1190</v>
      </c>
      <c r="M514" s="10">
        <v>34339</v>
      </c>
      <c r="N514" s="10">
        <v>654</v>
      </c>
      <c r="O514" s="22">
        <f t="shared" si="58"/>
        <v>50260</v>
      </c>
      <c r="P514" s="22">
        <v>49606</v>
      </c>
      <c r="Q514" s="10">
        <f>Table46[[#This Row],[SACS]]-Table46[[#This Row],[Sacs déchirés]]</f>
        <v>608</v>
      </c>
      <c r="R514" s="67">
        <v>0</v>
      </c>
      <c r="S514" s="10">
        <v>46</v>
      </c>
      <c r="T514" s="10">
        <f t="shared" si="60"/>
        <v>184</v>
      </c>
      <c r="U514" s="22">
        <f>Table46[[#This Row],[NET WT KGS]]-Table46[[#This Row],[Refraction]]</f>
        <v>49422</v>
      </c>
      <c r="V514" s="23">
        <v>495</v>
      </c>
      <c r="W514" s="23">
        <f>Table46[[#This Row],[PRICE]]*Table46[[#This Row],[PAID WT]]</f>
        <v>24463890</v>
      </c>
      <c r="X514" s="24">
        <v>11.4</v>
      </c>
      <c r="Y514" s="25">
        <v>175</v>
      </c>
      <c r="Z514" s="24">
        <v>42.32</v>
      </c>
      <c r="AA514" s="26"/>
      <c r="AB514" s="66" t="s">
        <v>132</v>
      </c>
      <c r="AC514" s="27"/>
      <c r="AD514" s="63" t="s">
        <v>659</v>
      </c>
      <c r="AE514" s="18">
        <f>Table46[[#This Row],[MOIS.]]*Table46[[#This Row],[NET WT KGS]]</f>
        <v>565508.4</v>
      </c>
      <c r="AF514" s="18">
        <f>Table46[[#This Row],[KOR]]*Table46[[#This Row],[NET WT KGS]]</f>
        <v>2099325.92</v>
      </c>
      <c r="AG514">
        <f>Table46[[#This Row],[NET WT KGS]]*Table46[[#This Row],[NUT COUNT]]</f>
        <v>8681050</v>
      </c>
    </row>
    <row r="515" spans="1:33" x14ac:dyDescent="0.35">
      <c r="A515" s="32">
        <f t="shared" si="51"/>
        <v>513</v>
      </c>
      <c r="B515" s="65">
        <v>46119</v>
      </c>
      <c r="C515" s="20">
        <v>46120</v>
      </c>
      <c r="D515" s="10" t="s">
        <v>38</v>
      </c>
      <c r="E515" s="10" t="s">
        <v>39</v>
      </c>
      <c r="F515" s="50" t="s">
        <v>40</v>
      </c>
      <c r="G515" s="10" t="s">
        <v>350</v>
      </c>
      <c r="H515" s="66" t="s">
        <v>87</v>
      </c>
      <c r="I515" s="67" t="str">
        <f>VLOOKUP(Table46[[#This Row],[SUPPLIERS NAME]],[1]AGING!X$3:Y$30,2,)</f>
        <v>LBA-009-SCO</v>
      </c>
      <c r="J515" s="10" t="s">
        <v>646</v>
      </c>
      <c r="K515" s="33" t="s">
        <v>90</v>
      </c>
      <c r="L515" s="10">
        <v>1191</v>
      </c>
      <c r="M515" s="10">
        <v>34342</v>
      </c>
      <c r="N515" s="10">
        <v>592</v>
      </c>
      <c r="O515" s="22">
        <f t="shared" si="58"/>
        <v>47020</v>
      </c>
      <c r="P515" s="22">
        <v>46428</v>
      </c>
      <c r="Q515" s="10">
        <v>580</v>
      </c>
      <c r="R515" s="67">
        <v>0</v>
      </c>
      <c r="S515" s="10">
        <v>12</v>
      </c>
      <c r="T515" s="10">
        <f t="shared" si="60"/>
        <v>48</v>
      </c>
      <c r="U515" s="22">
        <f>Table46[[#This Row],[NET WT KGS]]-Table46[[#This Row],[Refraction]]</f>
        <v>46380</v>
      </c>
      <c r="V515" s="23">
        <v>500</v>
      </c>
      <c r="W515" s="23">
        <f>Table46[[#This Row],[PRICE]]*Table46[[#This Row],[PAID WT]]</f>
        <v>23190000</v>
      </c>
      <c r="X515" s="24">
        <v>8.6999999999999993</v>
      </c>
      <c r="Y515" s="25">
        <v>172</v>
      </c>
      <c r="Z515" s="24">
        <v>43.38</v>
      </c>
      <c r="AA515" s="26"/>
      <c r="AB515" s="10" t="s">
        <v>580</v>
      </c>
      <c r="AC515" s="27"/>
      <c r="AD515" s="63" t="s">
        <v>659</v>
      </c>
      <c r="AE515" s="18">
        <f>Table46[[#This Row],[MOIS.]]*Table46[[#This Row],[NET WT KGS]]</f>
        <v>403923.6</v>
      </c>
      <c r="AF515" s="18">
        <f>Table46[[#This Row],[KOR]]*Table46[[#This Row],[NET WT KGS]]</f>
        <v>2014046.6400000001</v>
      </c>
      <c r="AG515">
        <f>Table46[[#This Row],[NET WT KGS]]*Table46[[#This Row],[NUT COUNT]]</f>
        <v>7985616</v>
      </c>
    </row>
    <row r="516" spans="1:33" x14ac:dyDescent="0.35">
      <c r="A516" s="32">
        <f t="shared" ref="A516:A579" si="61">A515+1</f>
        <v>514</v>
      </c>
      <c r="B516" s="65">
        <v>46119</v>
      </c>
      <c r="C516" s="20">
        <v>46120</v>
      </c>
      <c r="D516" s="10" t="s">
        <v>38</v>
      </c>
      <c r="E516" s="10" t="s">
        <v>39</v>
      </c>
      <c r="F516" s="50" t="s">
        <v>62</v>
      </c>
      <c r="G516" s="10"/>
      <c r="H516" s="10" t="s">
        <v>193</v>
      </c>
      <c r="I516" s="67" t="str">
        <f>VLOOKUP(Table46[[#This Row],[SUPPLIERS NAME]],[1]AGING!X$3:Y$30,2,)</f>
        <v>LBA-005-JAV</v>
      </c>
      <c r="J516" s="10" t="s">
        <v>671</v>
      </c>
      <c r="K516" s="33" t="s">
        <v>196</v>
      </c>
      <c r="L516" s="10">
        <v>672</v>
      </c>
      <c r="M516" s="10">
        <v>83405</v>
      </c>
      <c r="N516" s="10">
        <v>582</v>
      </c>
      <c r="O516" s="22">
        <v>46250</v>
      </c>
      <c r="P516" s="51">
        <f>Table46[[#This Row],[GROSS WT KGS]]-Table46[[#This Row],[SACS]]</f>
        <v>45668</v>
      </c>
      <c r="Q516" s="10">
        <v>572</v>
      </c>
      <c r="R516" s="67">
        <v>0</v>
      </c>
      <c r="S516" s="10">
        <v>10</v>
      </c>
      <c r="T516" s="10">
        <f t="shared" si="60"/>
        <v>40</v>
      </c>
      <c r="U516" s="22">
        <f>Table46[[#This Row],[NET WT KGS]]-Table46[[#This Row],[Refraction]]</f>
        <v>45628</v>
      </c>
      <c r="V516" s="23">
        <v>510</v>
      </c>
      <c r="W516" s="23">
        <f>Table46[[#This Row],[PRICE]]*Table46[[#This Row],[PAID WT]]</f>
        <v>23270280</v>
      </c>
      <c r="X516" s="24">
        <v>9.6</v>
      </c>
      <c r="Y516" s="25">
        <v>175</v>
      </c>
      <c r="Z516" s="24">
        <v>45.15</v>
      </c>
      <c r="AA516" s="26"/>
      <c r="AB516" s="10" t="s">
        <v>132</v>
      </c>
      <c r="AC516" s="27"/>
      <c r="AD516" s="63" t="s">
        <v>659</v>
      </c>
      <c r="AE516" s="18">
        <f>Table46[[#This Row],[MOIS.]]*Table46[[#This Row],[NET WT KGS]]</f>
        <v>438412.79999999999</v>
      </c>
      <c r="AF516" s="18">
        <f>Table46[[#This Row],[KOR]]*Table46[[#This Row],[NET WT KGS]]</f>
        <v>2061910.2</v>
      </c>
      <c r="AG516">
        <f>Table46[[#This Row],[NET WT KGS]]*Table46[[#This Row],[NUT COUNT]]</f>
        <v>7991900</v>
      </c>
    </row>
    <row r="517" spans="1:33" x14ac:dyDescent="0.35">
      <c r="A517" s="32">
        <f t="shared" si="61"/>
        <v>515</v>
      </c>
      <c r="B517" s="65">
        <v>46120</v>
      </c>
      <c r="C517" s="65">
        <v>46120</v>
      </c>
      <c r="D517" s="10" t="s">
        <v>38</v>
      </c>
      <c r="E517" s="10" t="s">
        <v>39</v>
      </c>
      <c r="F517" s="50" t="s">
        <v>40</v>
      </c>
      <c r="G517" s="10" t="s">
        <v>41</v>
      </c>
      <c r="H517" s="66" t="s">
        <v>154</v>
      </c>
      <c r="I517" s="67" t="str">
        <f>VLOOKUP(Table46[[#This Row],[SUPPLIERS NAME]],[1]AGING!X$3:Y$30,2,)</f>
        <v>LBA-010-CAP</v>
      </c>
      <c r="J517" s="10" t="s">
        <v>564</v>
      </c>
      <c r="K517" s="33" t="s">
        <v>157</v>
      </c>
      <c r="L517" s="10">
        <v>1192</v>
      </c>
      <c r="M517" s="10">
        <v>84020</v>
      </c>
      <c r="N517" s="10">
        <v>498</v>
      </c>
      <c r="O517" s="22">
        <f>P517+N517</f>
        <v>41700</v>
      </c>
      <c r="P517" s="22">
        <v>41202</v>
      </c>
      <c r="Q517" s="10">
        <v>484</v>
      </c>
      <c r="R517" s="67">
        <v>0</v>
      </c>
      <c r="S517" s="10">
        <v>14</v>
      </c>
      <c r="T517" s="10">
        <f t="shared" si="60"/>
        <v>56</v>
      </c>
      <c r="U517" s="22">
        <f>Table46[[#This Row],[NET WT KGS]]-Table46[[#This Row],[Refraction]]</f>
        <v>41146</v>
      </c>
      <c r="V517" s="23">
        <v>500</v>
      </c>
      <c r="W517" s="23">
        <f>Table46[[#This Row],[PRICE]]*Table46[[#This Row],[PAID WT]]</f>
        <v>20573000</v>
      </c>
      <c r="X517" s="24">
        <v>10.4</v>
      </c>
      <c r="Y517" s="25">
        <v>160</v>
      </c>
      <c r="Z517" s="24">
        <v>43.73</v>
      </c>
      <c r="AA517" s="26"/>
      <c r="AB517" s="10" t="s">
        <v>672</v>
      </c>
      <c r="AC517" s="27"/>
      <c r="AD517" s="63" t="s">
        <v>659</v>
      </c>
      <c r="AE517" s="18">
        <f>Table46[[#This Row],[MOIS.]]*Table46[[#This Row],[NET WT KGS]]</f>
        <v>428500.8</v>
      </c>
      <c r="AF517" s="18">
        <f>Table46[[#This Row],[KOR]]*Table46[[#This Row],[NET WT KGS]]</f>
        <v>1801763.46</v>
      </c>
      <c r="AG517">
        <f>Table46[[#This Row],[NET WT KGS]]*Table46[[#This Row],[NUT COUNT]]</f>
        <v>6592320</v>
      </c>
    </row>
    <row r="518" spans="1:33" x14ac:dyDescent="0.35">
      <c r="A518" s="32">
        <f t="shared" si="61"/>
        <v>516</v>
      </c>
      <c r="B518" s="65">
        <v>46120</v>
      </c>
      <c r="C518" s="65">
        <v>46120</v>
      </c>
      <c r="D518" s="10" t="s">
        <v>38</v>
      </c>
      <c r="E518" s="10" t="s">
        <v>39</v>
      </c>
      <c r="F518" s="50" t="s">
        <v>40</v>
      </c>
      <c r="G518" s="10" t="s">
        <v>41</v>
      </c>
      <c r="H518" s="66" t="s">
        <v>286</v>
      </c>
      <c r="I518" s="67" t="str">
        <f>VLOOKUP(Table46[[#This Row],[SUPPLIERS NAME]],[1]AGING!X$3:Y$30,2,)</f>
        <v>LBA-017-DPV</v>
      </c>
      <c r="J518" s="10" t="s">
        <v>673</v>
      </c>
      <c r="K518" s="21" t="s">
        <v>289</v>
      </c>
      <c r="L518" s="10">
        <v>1195</v>
      </c>
      <c r="M518" s="10">
        <v>82174</v>
      </c>
      <c r="N518" s="10">
        <v>546</v>
      </c>
      <c r="O518" s="22">
        <f>P518+N518</f>
        <v>45280</v>
      </c>
      <c r="P518" s="22">
        <v>44734</v>
      </c>
      <c r="Q518" s="10">
        <v>529</v>
      </c>
      <c r="R518" s="67">
        <v>0</v>
      </c>
      <c r="S518" s="10">
        <v>17</v>
      </c>
      <c r="T518" s="10">
        <f t="shared" si="60"/>
        <v>68</v>
      </c>
      <c r="U518" s="22">
        <f>Table46[[#This Row],[NET WT KGS]]-Table46[[#This Row],[Refraction]]</f>
        <v>44666</v>
      </c>
      <c r="V518" s="23">
        <v>480</v>
      </c>
      <c r="W518" s="23">
        <f>Table46[[#This Row],[PRICE]]*Table46[[#This Row],[PAID WT]]</f>
        <v>21439680</v>
      </c>
      <c r="X518" s="24">
        <v>8.5</v>
      </c>
      <c r="Y518" s="25">
        <v>178</v>
      </c>
      <c r="Z518" s="24">
        <v>41.27</v>
      </c>
      <c r="AA518" s="26"/>
      <c r="AB518" s="10" t="s">
        <v>46</v>
      </c>
      <c r="AC518" s="27"/>
      <c r="AD518" s="63" t="s">
        <v>659</v>
      </c>
      <c r="AE518" s="18">
        <f>Table46[[#This Row],[MOIS.]]*Table46[[#This Row],[NET WT KGS]]</f>
        <v>380239</v>
      </c>
      <c r="AF518" s="18">
        <f>Table46[[#This Row],[KOR]]*Table46[[#This Row],[NET WT KGS]]</f>
        <v>1846172.1800000002</v>
      </c>
      <c r="AG518">
        <f>Table46[[#This Row],[NET WT KGS]]*Table46[[#This Row],[NUT COUNT]]</f>
        <v>7962652</v>
      </c>
    </row>
    <row r="519" spans="1:33" x14ac:dyDescent="0.35">
      <c r="A519" s="32">
        <f t="shared" si="61"/>
        <v>517</v>
      </c>
      <c r="B519" s="65">
        <v>46120</v>
      </c>
      <c r="C519" s="65">
        <v>46120</v>
      </c>
      <c r="D519" s="10" t="s">
        <v>38</v>
      </c>
      <c r="E519" s="10" t="s">
        <v>258</v>
      </c>
      <c r="F519" s="50" t="s">
        <v>40</v>
      </c>
      <c r="G519" s="10" t="s">
        <v>41</v>
      </c>
      <c r="H519" s="66" t="s">
        <v>335</v>
      </c>
      <c r="I519" s="67" t="str">
        <f>VLOOKUP(Table46[[#This Row],[SUPPLIERS NAME]],[1]AGING!X$3:Y$70,2,)</f>
        <v>DIS-003-DEM</v>
      </c>
      <c r="J519" s="10" t="s">
        <v>476</v>
      </c>
      <c r="K519" s="57" t="s">
        <v>337</v>
      </c>
      <c r="L519" s="10">
        <v>1193</v>
      </c>
      <c r="M519" s="10">
        <v>34035</v>
      </c>
      <c r="N519" s="10">
        <v>489</v>
      </c>
      <c r="O519" s="22">
        <f>P519+N519</f>
        <v>36800</v>
      </c>
      <c r="P519" s="22">
        <v>36311</v>
      </c>
      <c r="Q519" s="10">
        <v>474</v>
      </c>
      <c r="R519" s="67">
        <v>0</v>
      </c>
      <c r="S519" s="10">
        <v>15</v>
      </c>
      <c r="T519" s="10">
        <f t="shared" si="60"/>
        <v>60</v>
      </c>
      <c r="U519" s="22">
        <f>Table46[[#This Row],[NET WT KGS]]-Table46[[#This Row],[Refraction]]</f>
        <v>36251</v>
      </c>
      <c r="V519" s="23">
        <v>500</v>
      </c>
      <c r="W519" s="23">
        <f>Table46[[#This Row],[PRICE]]*Table46[[#This Row],[PAID WT]]</f>
        <v>18125500</v>
      </c>
      <c r="X519" s="24">
        <v>10.7</v>
      </c>
      <c r="Y519" s="25">
        <v>164</v>
      </c>
      <c r="Z519" s="24">
        <v>42.15</v>
      </c>
      <c r="AA519" s="26"/>
      <c r="AB519" s="10" t="s">
        <v>40</v>
      </c>
      <c r="AC519" s="27"/>
      <c r="AD519" s="63" t="s">
        <v>659</v>
      </c>
      <c r="AE519" s="18">
        <f>Table46[[#This Row],[MOIS.]]*Table46[[#This Row],[NET WT KGS]]</f>
        <v>388527.69999999995</v>
      </c>
      <c r="AF519" s="18">
        <f>Table46[[#This Row],[KOR]]*Table46[[#This Row],[NET WT KGS]]</f>
        <v>1530508.65</v>
      </c>
      <c r="AG519">
        <f>Table46[[#This Row],[NET WT KGS]]*Table46[[#This Row],[NUT COUNT]]</f>
        <v>5955004</v>
      </c>
    </row>
    <row r="520" spans="1:33" x14ac:dyDescent="0.35">
      <c r="A520" s="32">
        <f t="shared" si="61"/>
        <v>518</v>
      </c>
      <c r="B520" s="65">
        <v>46120</v>
      </c>
      <c r="C520" s="65">
        <v>46120</v>
      </c>
      <c r="D520" s="10" t="s">
        <v>38</v>
      </c>
      <c r="E520" s="10" t="s">
        <v>39</v>
      </c>
      <c r="F520" s="50" t="s">
        <v>40</v>
      </c>
      <c r="G520" s="10" t="s">
        <v>41</v>
      </c>
      <c r="H520" s="66" t="s">
        <v>154</v>
      </c>
      <c r="I520" s="67" t="str">
        <f>VLOOKUP(Table46[[#This Row],[SUPPLIERS NAME]],[1]AGING!X$3:Y$30,2,)</f>
        <v>LBA-010-CAP</v>
      </c>
      <c r="J520" s="10" t="s">
        <v>311</v>
      </c>
      <c r="K520" s="33" t="s">
        <v>157</v>
      </c>
      <c r="L520" s="10">
        <v>1194</v>
      </c>
      <c r="M520" s="10">
        <v>87017</v>
      </c>
      <c r="N520" s="10">
        <v>397</v>
      </c>
      <c r="O520" s="22">
        <f>P520+N520</f>
        <v>34100</v>
      </c>
      <c r="P520" s="22">
        <v>33703</v>
      </c>
      <c r="Q520" s="10">
        <v>384</v>
      </c>
      <c r="R520" s="67">
        <v>0</v>
      </c>
      <c r="S520" s="10">
        <v>13</v>
      </c>
      <c r="T520" s="10">
        <f t="shared" si="60"/>
        <v>52</v>
      </c>
      <c r="U520" s="22">
        <f>Table46[[#This Row],[NET WT KGS]]-Table46[[#This Row],[Refraction]]</f>
        <v>33651</v>
      </c>
      <c r="V520" s="23">
        <v>495</v>
      </c>
      <c r="W520" s="23">
        <f>Table46[[#This Row],[PRICE]]*Table46[[#This Row],[PAID WT]]</f>
        <v>16657245</v>
      </c>
      <c r="X520" s="24">
        <v>12.2</v>
      </c>
      <c r="Y520" s="25">
        <v>168</v>
      </c>
      <c r="Z520" s="24">
        <v>42.32</v>
      </c>
      <c r="AA520" s="26"/>
      <c r="AB520" s="10" t="s">
        <v>299</v>
      </c>
      <c r="AC520" s="27"/>
      <c r="AD520" s="63" t="s">
        <v>659</v>
      </c>
      <c r="AE520" s="18">
        <f>Table46[[#This Row],[MOIS.]]*Table46[[#This Row],[NET WT KGS]]</f>
        <v>411176.6</v>
      </c>
      <c r="AF520" s="18">
        <f>Table46[[#This Row],[KOR]]*Table46[[#This Row],[NET WT KGS]]</f>
        <v>1426310.96</v>
      </c>
      <c r="AG520">
        <f>Table46[[#This Row],[NET WT KGS]]*Table46[[#This Row],[NUT COUNT]]</f>
        <v>5662104</v>
      </c>
    </row>
    <row r="521" spans="1:33" x14ac:dyDescent="0.35">
      <c r="A521" s="32">
        <f t="shared" si="61"/>
        <v>519</v>
      </c>
      <c r="B521" s="65">
        <v>46120</v>
      </c>
      <c r="C521" s="65">
        <v>46120</v>
      </c>
      <c r="D521" s="10" t="s">
        <v>38</v>
      </c>
      <c r="E521" s="66" t="s">
        <v>39</v>
      </c>
      <c r="F521" s="67" t="s">
        <v>62</v>
      </c>
      <c r="G521" s="66"/>
      <c r="H521" s="66" t="s">
        <v>128</v>
      </c>
      <c r="I521" s="67" t="str">
        <f>VLOOKUP(Table46[[#This Row],[SUPPLIERS NAME]],[1]AGING!X$3:Y$30,2,)</f>
        <v>LBA-002-SCA</v>
      </c>
      <c r="J521" s="66" t="s">
        <v>382</v>
      </c>
      <c r="K521" s="33" t="s">
        <v>131</v>
      </c>
      <c r="L521" s="66">
        <v>673</v>
      </c>
      <c r="M521" s="10">
        <v>87138</v>
      </c>
      <c r="N521" s="66">
        <v>632</v>
      </c>
      <c r="O521" s="68">
        <v>43680</v>
      </c>
      <c r="P521" s="51">
        <f>Table46[[#This Row],[GROSS WT KGS]]-Table46[[#This Row],[SACS]]</f>
        <v>43048</v>
      </c>
      <c r="Q521" s="66">
        <v>608</v>
      </c>
      <c r="R521" s="67">
        <v>0</v>
      </c>
      <c r="S521" s="66">
        <v>24</v>
      </c>
      <c r="T521" s="10">
        <f t="shared" si="60"/>
        <v>96</v>
      </c>
      <c r="U521" s="68">
        <f>Table46[[#This Row],[NET WT KGS]]-Table46[[#This Row],[Refraction]]</f>
        <v>42952</v>
      </c>
      <c r="V521" s="69">
        <v>510</v>
      </c>
      <c r="W521" s="69">
        <f>Table46[[#This Row],[PRICE]]*Table46[[#This Row],[PAID WT]]</f>
        <v>21905520</v>
      </c>
      <c r="X521" s="70">
        <v>9.4</v>
      </c>
      <c r="Y521" s="71">
        <v>177</v>
      </c>
      <c r="Z521" s="70">
        <v>44.18</v>
      </c>
      <c r="AA521" s="72"/>
      <c r="AB521" s="66" t="s">
        <v>132</v>
      </c>
      <c r="AC521" s="73"/>
      <c r="AD521" s="63" t="s">
        <v>659</v>
      </c>
      <c r="AE521" s="18">
        <f>Table46[[#This Row],[MOIS.]]*Table46[[#This Row],[NET WT KGS]]</f>
        <v>404651.2</v>
      </c>
      <c r="AF521" s="18">
        <f>Table46[[#This Row],[KOR]]*Table46[[#This Row],[NET WT KGS]]</f>
        <v>1901860.64</v>
      </c>
      <c r="AG521">
        <f>Table46[[#This Row],[NET WT KGS]]*Table46[[#This Row],[NUT COUNT]]</f>
        <v>7619496</v>
      </c>
    </row>
    <row r="522" spans="1:33" x14ac:dyDescent="0.35">
      <c r="A522" s="32">
        <f t="shared" si="61"/>
        <v>520</v>
      </c>
      <c r="B522" s="65">
        <v>46120</v>
      </c>
      <c r="C522" s="65">
        <v>46120</v>
      </c>
      <c r="D522" s="10" t="s">
        <v>38</v>
      </c>
      <c r="E522" s="66" t="s">
        <v>39</v>
      </c>
      <c r="F522" s="67" t="s">
        <v>62</v>
      </c>
      <c r="G522" s="66"/>
      <c r="H522" s="66" t="s">
        <v>128</v>
      </c>
      <c r="I522" s="67" t="str">
        <f>VLOOKUP(Table46[[#This Row],[SUPPLIERS NAME]],[1]AGING!X$3:Y$30,2,)</f>
        <v>LBA-002-SCA</v>
      </c>
      <c r="J522" s="66" t="s">
        <v>531</v>
      </c>
      <c r="K522" s="33" t="s">
        <v>131</v>
      </c>
      <c r="L522" s="66">
        <v>674</v>
      </c>
      <c r="M522" s="10">
        <v>87139</v>
      </c>
      <c r="N522" s="66">
        <v>706</v>
      </c>
      <c r="O522" s="68">
        <v>54260</v>
      </c>
      <c r="P522" s="51">
        <f>Table46[[#This Row],[GROSS WT KGS]]-Table46[[#This Row],[SACS]]</f>
        <v>53554</v>
      </c>
      <c r="Q522" s="66">
        <v>676</v>
      </c>
      <c r="R522" s="67">
        <v>0</v>
      </c>
      <c r="S522" s="66">
        <v>30</v>
      </c>
      <c r="T522" s="10">
        <f t="shared" si="60"/>
        <v>120</v>
      </c>
      <c r="U522" s="68">
        <f>Table46[[#This Row],[NET WT KGS]]-Table46[[#This Row],[Refraction]]</f>
        <v>53434</v>
      </c>
      <c r="V522" s="69">
        <v>510</v>
      </c>
      <c r="W522" s="69">
        <f>Table46[[#This Row],[PRICE]]*Table46[[#This Row],[PAID WT]]</f>
        <v>27251340</v>
      </c>
      <c r="X522" s="70">
        <v>10.5</v>
      </c>
      <c r="Y522" s="71">
        <v>178</v>
      </c>
      <c r="Z522" s="70">
        <v>44</v>
      </c>
      <c r="AA522" s="72"/>
      <c r="AB522" s="66" t="s">
        <v>132</v>
      </c>
      <c r="AC522" s="73"/>
      <c r="AD522" s="63" t="s">
        <v>659</v>
      </c>
      <c r="AE522" s="18">
        <f>Table46[[#This Row],[MOIS.]]*Table46[[#This Row],[NET WT KGS]]</f>
        <v>562317</v>
      </c>
      <c r="AF522" s="18">
        <f>Table46[[#This Row],[KOR]]*Table46[[#This Row],[NET WT KGS]]</f>
        <v>2356376</v>
      </c>
      <c r="AG522">
        <f>Table46[[#This Row],[NET WT KGS]]*Table46[[#This Row],[NUT COUNT]]</f>
        <v>9532612</v>
      </c>
    </row>
    <row r="523" spans="1:33" x14ac:dyDescent="0.35">
      <c r="A523" s="32">
        <f t="shared" si="61"/>
        <v>521</v>
      </c>
      <c r="B523" s="91">
        <v>46120</v>
      </c>
      <c r="C523" s="91">
        <f>Table46[[#This Row],[DATE OF ARRIVAL]]</f>
        <v>46120</v>
      </c>
      <c r="D523" s="36"/>
      <c r="E523" s="74"/>
      <c r="F523" s="74" t="s">
        <v>40</v>
      </c>
      <c r="G523" s="74"/>
      <c r="H523" s="74" t="s">
        <v>286</v>
      </c>
      <c r="I523" s="36" t="s">
        <v>287</v>
      </c>
      <c r="J523" s="74" t="s">
        <v>674</v>
      </c>
      <c r="K523" s="74"/>
      <c r="L523" s="74"/>
      <c r="M523" s="74"/>
      <c r="N523" s="74"/>
      <c r="O523" s="79">
        <f t="shared" ref="O523:O540" si="62">P523+N523</f>
        <v>0</v>
      </c>
      <c r="P523" s="79"/>
      <c r="Q523" s="74"/>
      <c r="R523" s="80"/>
      <c r="S523" s="74"/>
      <c r="T523" s="36"/>
      <c r="U523" s="79">
        <f>Table46[[#This Row],[NET WT KGS]]-Table46[[#This Row],[Refraction]]</f>
        <v>0</v>
      </c>
      <c r="V523" s="81"/>
      <c r="W523" s="81">
        <f>Table46[[#This Row],[PRICE]]*Table46[[#This Row],[PAID WT]]</f>
        <v>0</v>
      </c>
      <c r="X523" s="82">
        <v>12.4</v>
      </c>
      <c r="Y523" s="83">
        <v>160</v>
      </c>
      <c r="Z523" s="82">
        <v>40.565100000000001</v>
      </c>
      <c r="AA523" s="84"/>
      <c r="AB523" s="74" t="s">
        <v>46</v>
      </c>
      <c r="AC523" s="92" t="s">
        <v>70</v>
      </c>
      <c r="AD523" s="28"/>
      <c r="AE523" s="18">
        <f>Table46[[#This Row],[MOIS.]]*Table46[[#This Row],[NET WT KGS]]</f>
        <v>0</v>
      </c>
      <c r="AF523" s="18">
        <f>Table46[[#This Row],[KOR]]*Table46[[#This Row],[NET WT KGS]]</f>
        <v>0</v>
      </c>
      <c r="AG523">
        <f>Table46[[#This Row],[NET WT KGS]]*Table46[[#This Row],[NUT COUNT]]</f>
        <v>0</v>
      </c>
    </row>
    <row r="524" spans="1:33" x14ac:dyDescent="0.35">
      <c r="A524" s="32">
        <f t="shared" si="61"/>
        <v>522</v>
      </c>
      <c r="B524" s="91">
        <v>46120</v>
      </c>
      <c r="C524" s="35">
        <f>Table46[[#This Row],[DATE OF ARRIVAL]]</f>
        <v>46120</v>
      </c>
      <c r="D524" s="36"/>
      <c r="E524" s="74"/>
      <c r="F524" s="74" t="s">
        <v>40</v>
      </c>
      <c r="G524" s="74"/>
      <c r="H524" s="74" t="s">
        <v>259</v>
      </c>
      <c r="I524" s="74" t="s">
        <v>60</v>
      </c>
      <c r="J524" s="74" t="s">
        <v>634</v>
      </c>
      <c r="K524" s="74"/>
      <c r="L524" s="74"/>
      <c r="M524" s="74"/>
      <c r="N524" s="74"/>
      <c r="O524" s="79">
        <f t="shared" si="62"/>
        <v>0</v>
      </c>
      <c r="P524" s="79"/>
      <c r="Q524" s="74"/>
      <c r="R524" s="80"/>
      <c r="S524" s="74"/>
      <c r="T524" s="36"/>
      <c r="U524" s="79">
        <f>Table46[[#This Row],[NET WT KGS]]-Table46[[#This Row],[Refraction]]</f>
        <v>0</v>
      </c>
      <c r="V524" s="81"/>
      <c r="W524" s="81">
        <f>Table46[[#This Row],[PRICE]]*Table46[[#This Row],[PAID WT]]</f>
        <v>0</v>
      </c>
      <c r="X524" s="82">
        <v>9</v>
      </c>
      <c r="Y524" s="83">
        <v>165</v>
      </c>
      <c r="Z524" s="82">
        <v>40.212359999999997</v>
      </c>
      <c r="AA524" s="84"/>
      <c r="AB524" s="74" t="s">
        <v>46</v>
      </c>
      <c r="AC524" s="42" t="s">
        <v>70</v>
      </c>
      <c r="AD524" s="28"/>
      <c r="AE524" s="18">
        <f>Table46[[#This Row],[MOIS.]]*Table46[[#This Row],[NET WT KGS]]</f>
        <v>0</v>
      </c>
      <c r="AF524" s="18">
        <f>Table46[[#This Row],[KOR]]*Table46[[#This Row],[NET WT KGS]]</f>
        <v>0</v>
      </c>
      <c r="AG524">
        <f>Table46[[#This Row],[NET WT KGS]]*Table46[[#This Row],[NUT COUNT]]</f>
        <v>0</v>
      </c>
    </row>
    <row r="525" spans="1:33" x14ac:dyDescent="0.35">
      <c r="A525" s="32">
        <f t="shared" si="61"/>
        <v>523</v>
      </c>
      <c r="B525" s="91">
        <v>46120</v>
      </c>
      <c r="C525" s="35">
        <f>Table46[[#This Row],[DATE OF ARRIVAL]]</f>
        <v>46120</v>
      </c>
      <c r="D525" s="36"/>
      <c r="E525" s="74"/>
      <c r="F525" s="74" t="s">
        <v>40</v>
      </c>
      <c r="G525" s="74"/>
      <c r="H525" s="74" t="s">
        <v>74</v>
      </c>
      <c r="I525" s="74" t="s">
        <v>75</v>
      </c>
      <c r="J525" s="74" t="s">
        <v>675</v>
      </c>
      <c r="K525" s="74"/>
      <c r="L525" s="74"/>
      <c r="M525" s="74"/>
      <c r="N525" s="74"/>
      <c r="O525" s="79">
        <f t="shared" si="62"/>
        <v>0</v>
      </c>
      <c r="P525" s="79"/>
      <c r="Q525" s="74"/>
      <c r="R525" s="80"/>
      <c r="S525" s="74"/>
      <c r="T525" s="36"/>
      <c r="U525" s="79">
        <f>Table46[[#This Row],[NET WT KGS]]-Table46[[#This Row],[Refraction]]</f>
        <v>0</v>
      </c>
      <c r="V525" s="81"/>
      <c r="W525" s="81">
        <f>Table46[[#This Row],[PRICE]]*Table46[[#This Row],[PAID WT]]</f>
        <v>0</v>
      </c>
      <c r="X525" s="82">
        <v>14.5</v>
      </c>
      <c r="Y525" s="83">
        <v>151</v>
      </c>
      <c r="Z525" s="82">
        <v>38.801400000000001</v>
      </c>
      <c r="AA525" s="84"/>
      <c r="AB525" s="74" t="s">
        <v>78</v>
      </c>
      <c r="AC525" s="42" t="s">
        <v>70</v>
      </c>
      <c r="AD525" s="28"/>
      <c r="AE525" s="18">
        <f>Table46[[#This Row],[MOIS.]]*Table46[[#This Row],[NET WT KGS]]</f>
        <v>0</v>
      </c>
      <c r="AF525" s="18">
        <f>Table46[[#This Row],[KOR]]*Table46[[#This Row],[NET WT KGS]]</f>
        <v>0</v>
      </c>
      <c r="AG525">
        <f>Table46[[#This Row],[NET WT KGS]]*Table46[[#This Row],[NUT COUNT]]</f>
        <v>0</v>
      </c>
    </row>
    <row r="526" spans="1:33" x14ac:dyDescent="0.35">
      <c r="A526" s="32">
        <f t="shared" si="61"/>
        <v>524</v>
      </c>
      <c r="B526" s="65">
        <v>46120</v>
      </c>
      <c r="C526" s="20">
        <v>46121</v>
      </c>
      <c r="D526" s="10" t="s">
        <v>38</v>
      </c>
      <c r="E526" s="66" t="s">
        <v>39</v>
      </c>
      <c r="F526" s="67" t="s">
        <v>40</v>
      </c>
      <c r="G526" s="66" t="s">
        <v>41</v>
      </c>
      <c r="H526" s="67" t="s">
        <v>123</v>
      </c>
      <c r="I526" s="67" t="str">
        <f>VLOOKUP(Table46[[#This Row],[SUPPLIERS NAME]],[1]AGING!X$3:Y$30,2,)</f>
        <v>LBA-011-ASR</v>
      </c>
      <c r="J526" s="66" t="s">
        <v>645</v>
      </c>
      <c r="K526" s="21" t="s">
        <v>161</v>
      </c>
      <c r="L526" s="66">
        <v>1196</v>
      </c>
      <c r="M526" s="10">
        <v>33491</v>
      </c>
      <c r="N526" s="66">
        <v>542</v>
      </c>
      <c r="O526" s="68">
        <f t="shared" si="62"/>
        <v>46140</v>
      </c>
      <c r="P526" s="68">
        <v>45598</v>
      </c>
      <c r="Q526" s="66">
        <v>510</v>
      </c>
      <c r="R526" s="67">
        <v>0</v>
      </c>
      <c r="S526" s="66">
        <v>32</v>
      </c>
      <c r="T526" s="10">
        <f>S526*4+R526*40</f>
        <v>128</v>
      </c>
      <c r="U526" s="68">
        <f>Table46[[#This Row],[NET WT KGS]]-Table46[[#This Row],[Refraction]]</f>
        <v>45470</v>
      </c>
      <c r="V526" s="69">
        <v>500</v>
      </c>
      <c r="W526" s="69">
        <f>Table46[[#This Row],[PRICE]]*Table46[[#This Row],[PAID WT]]</f>
        <v>22735000</v>
      </c>
      <c r="X526" s="70">
        <v>11.7</v>
      </c>
      <c r="Y526" s="71">
        <v>172</v>
      </c>
      <c r="Z526" s="70">
        <v>41.44</v>
      </c>
      <c r="AA526" s="72"/>
      <c r="AB526" s="66" t="s">
        <v>40</v>
      </c>
      <c r="AC526" s="27"/>
      <c r="AD526" s="63" t="s">
        <v>659</v>
      </c>
      <c r="AE526" s="18">
        <f>Table46[[#This Row],[MOIS.]]*Table46[[#This Row],[NET WT KGS]]</f>
        <v>533496.6</v>
      </c>
      <c r="AF526" s="18">
        <f>Table46[[#This Row],[KOR]]*Table46[[#This Row],[NET WT KGS]]</f>
        <v>1889581.1199999999</v>
      </c>
      <c r="AG526">
        <f>Table46[[#This Row],[NET WT KGS]]*Table46[[#This Row],[NUT COUNT]]</f>
        <v>7842856</v>
      </c>
    </row>
    <row r="527" spans="1:33" x14ac:dyDescent="0.35">
      <c r="A527" s="32">
        <f t="shared" si="61"/>
        <v>525</v>
      </c>
      <c r="B527" s="65">
        <v>46121</v>
      </c>
      <c r="C527" s="65">
        <v>46121</v>
      </c>
      <c r="D527" s="10" t="s">
        <v>38</v>
      </c>
      <c r="E527" s="66" t="s">
        <v>39</v>
      </c>
      <c r="F527" s="67" t="s">
        <v>40</v>
      </c>
      <c r="G527" s="66" t="s">
        <v>41</v>
      </c>
      <c r="H527" s="66" t="s">
        <v>338</v>
      </c>
      <c r="I527" s="67" t="str">
        <f>VLOOKUP(Table46[[#This Row],[SUPPLIERS NAME]],[1]AGING!X$3:Y$30,2,)</f>
        <v>LBA-018-COP</v>
      </c>
      <c r="J527" s="66" t="s">
        <v>482</v>
      </c>
      <c r="K527" s="57" t="s">
        <v>340</v>
      </c>
      <c r="L527" s="66">
        <v>1197</v>
      </c>
      <c r="M527" s="10">
        <v>18460</v>
      </c>
      <c r="N527" s="66">
        <v>462</v>
      </c>
      <c r="O527" s="68">
        <f t="shared" si="62"/>
        <v>39040</v>
      </c>
      <c r="P527" s="68">
        <v>38578</v>
      </c>
      <c r="Q527" s="66">
        <v>419</v>
      </c>
      <c r="R527" s="67">
        <v>0</v>
      </c>
      <c r="S527" s="66">
        <v>43</v>
      </c>
      <c r="T527" s="10">
        <f>S527*4+R527*40</f>
        <v>172</v>
      </c>
      <c r="U527" s="68">
        <f>Table46[[#This Row],[NET WT KGS]]-Table46[[#This Row],[Refraction]]</f>
        <v>38406</v>
      </c>
      <c r="V527" s="69">
        <v>510</v>
      </c>
      <c r="W527" s="69">
        <f>Table46[[#This Row],[PRICE]]*Table46[[#This Row],[PAID WT]]</f>
        <v>19587060</v>
      </c>
      <c r="X527" s="70">
        <v>11.8</v>
      </c>
      <c r="Y527" s="71">
        <v>169</v>
      </c>
      <c r="Z527" s="70">
        <v>41.09</v>
      </c>
      <c r="AA527" s="72"/>
      <c r="AB527" s="66" t="s">
        <v>284</v>
      </c>
      <c r="AC527" s="73"/>
      <c r="AD527" s="63" t="s">
        <v>659</v>
      </c>
      <c r="AE527" s="18">
        <f>Table46[[#This Row],[MOIS.]]*Table46[[#This Row],[NET WT KGS]]</f>
        <v>455220.4</v>
      </c>
      <c r="AF527" s="18">
        <f>Table46[[#This Row],[KOR]]*Table46[[#This Row],[NET WT KGS]]</f>
        <v>1585170.02</v>
      </c>
      <c r="AG527">
        <f>Table46[[#This Row],[NET WT KGS]]*Table46[[#This Row],[NUT COUNT]]</f>
        <v>6519682</v>
      </c>
    </row>
    <row r="528" spans="1:33" x14ac:dyDescent="0.35">
      <c r="A528" s="32">
        <f t="shared" si="61"/>
        <v>526</v>
      </c>
      <c r="B528" s="65">
        <v>46121</v>
      </c>
      <c r="C528" s="65">
        <v>46121</v>
      </c>
      <c r="D528" s="10" t="s">
        <v>38</v>
      </c>
      <c r="E528" s="66" t="s">
        <v>39</v>
      </c>
      <c r="F528" s="67" t="s">
        <v>40</v>
      </c>
      <c r="G528" s="66" t="s">
        <v>41</v>
      </c>
      <c r="H528" s="66" t="s">
        <v>154</v>
      </c>
      <c r="I528" s="67" t="str">
        <f>VLOOKUP(Table46[[#This Row],[SUPPLIERS NAME]],[1]AGING!X$3:Y$30,2,)</f>
        <v>LBA-010-CAP</v>
      </c>
      <c r="J528" s="66" t="s">
        <v>564</v>
      </c>
      <c r="K528" s="33" t="s">
        <v>157</v>
      </c>
      <c r="L528" s="66">
        <v>1198</v>
      </c>
      <c r="M528" s="10">
        <v>61066</v>
      </c>
      <c r="N528" s="66">
        <v>528</v>
      </c>
      <c r="O528" s="68">
        <f t="shared" si="62"/>
        <v>43540</v>
      </c>
      <c r="P528" s="68">
        <v>43012</v>
      </c>
      <c r="Q528" s="66">
        <v>516</v>
      </c>
      <c r="R528" s="67">
        <v>0</v>
      </c>
      <c r="S528" s="66">
        <v>12</v>
      </c>
      <c r="T528" s="10">
        <f>S528*4+R528*40</f>
        <v>48</v>
      </c>
      <c r="U528" s="68">
        <f>Table46[[#This Row],[NET WT KGS]]-Table46[[#This Row],[Refraction]]</f>
        <v>42964</v>
      </c>
      <c r="V528" s="69">
        <v>495</v>
      </c>
      <c r="W528" s="69">
        <f>Table46[[#This Row],[PRICE]]*Table46[[#This Row],[PAID WT]]</f>
        <v>21267180</v>
      </c>
      <c r="X528" s="70">
        <v>9.6</v>
      </c>
      <c r="Y528" s="71">
        <v>165</v>
      </c>
      <c r="Z528" s="70">
        <v>42.15</v>
      </c>
      <c r="AA528" s="72"/>
      <c r="AB528" s="66" t="s">
        <v>676</v>
      </c>
      <c r="AC528" s="73"/>
      <c r="AD528" s="63" t="s">
        <v>659</v>
      </c>
      <c r="AE528" s="18">
        <f>Table46[[#This Row],[MOIS.]]*Table46[[#This Row],[NET WT KGS]]</f>
        <v>412915.20000000001</v>
      </c>
      <c r="AF528" s="18">
        <f>Table46[[#This Row],[KOR]]*Table46[[#This Row],[NET WT KGS]]</f>
        <v>1812955.8</v>
      </c>
      <c r="AG528">
        <f>Table46[[#This Row],[NET WT KGS]]*Table46[[#This Row],[NUT COUNT]]</f>
        <v>7096980</v>
      </c>
    </row>
    <row r="529" spans="1:33" x14ac:dyDescent="0.35">
      <c r="A529" s="32">
        <f t="shared" si="61"/>
        <v>527</v>
      </c>
      <c r="B529" s="91">
        <v>46121</v>
      </c>
      <c r="C529" s="91">
        <f>Table46[[#This Row],[DATE OF ARRIVAL]]</f>
        <v>46121</v>
      </c>
      <c r="D529" s="36"/>
      <c r="E529" s="74"/>
      <c r="F529" s="74" t="s">
        <v>40</v>
      </c>
      <c r="G529" s="74"/>
      <c r="H529" s="74" t="s">
        <v>362</v>
      </c>
      <c r="I529" s="74" t="s">
        <v>50</v>
      </c>
      <c r="J529" s="74" t="s">
        <v>369</v>
      </c>
      <c r="K529" s="74"/>
      <c r="L529" s="74"/>
      <c r="M529" s="74"/>
      <c r="N529" s="74"/>
      <c r="O529" s="79">
        <f t="shared" si="62"/>
        <v>0</v>
      </c>
      <c r="P529" s="79"/>
      <c r="Q529" s="74"/>
      <c r="R529" s="80"/>
      <c r="S529" s="74"/>
      <c r="T529" s="36"/>
      <c r="U529" s="79">
        <f>Table46[[#This Row],[NET WT KGS]]-Table46[[#This Row],[Refraction]]</f>
        <v>0</v>
      </c>
      <c r="V529" s="81"/>
      <c r="W529" s="81">
        <f>Table46[[#This Row],[PRICE]]*Table46[[#This Row],[PAID WT]]</f>
        <v>0</v>
      </c>
      <c r="X529" s="82">
        <v>12.7</v>
      </c>
      <c r="Y529" s="83">
        <v>156</v>
      </c>
      <c r="Z529" s="82">
        <v>40.035989999999998</v>
      </c>
      <c r="AA529" s="84"/>
      <c r="AB529" s="74" t="s">
        <v>40</v>
      </c>
      <c r="AC529" s="92" t="s">
        <v>70</v>
      </c>
      <c r="AD529" s="28"/>
      <c r="AE529" s="18">
        <f>Table46[[#This Row],[MOIS.]]*Table46[[#This Row],[NET WT KGS]]</f>
        <v>0</v>
      </c>
      <c r="AF529" s="18">
        <f>Table46[[#This Row],[KOR]]*Table46[[#This Row],[NET WT KGS]]</f>
        <v>0</v>
      </c>
      <c r="AG529">
        <f>Table46[[#This Row],[NET WT KGS]]*Table46[[#This Row],[NUT COUNT]]</f>
        <v>0</v>
      </c>
    </row>
    <row r="530" spans="1:33" x14ac:dyDescent="0.35">
      <c r="A530" s="32">
        <f t="shared" si="61"/>
        <v>528</v>
      </c>
      <c r="B530" s="91">
        <v>46121</v>
      </c>
      <c r="C530" s="91">
        <f>Table46[[#This Row],[DATE OF ARRIVAL]]</f>
        <v>46121</v>
      </c>
      <c r="D530" s="36"/>
      <c r="E530" s="74"/>
      <c r="F530" s="74" t="s">
        <v>40</v>
      </c>
      <c r="G530" s="74"/>
      <c r="H530" s="74" t="s">
        <v>112</v>
      </c>
      <c r="I530" s="74" t="s">
        <v>113</v>
      </c>
      <c r="J530" s="74" t="s">
        <v>658</v>
      </c>
      <c r="K530" s="74"/>
      <c r="L530" s="74"/>
      <c r="M530" s="74"/>
      <c r="N530" s="74"/>
      <c r="O530" s="79">
        <f t="shared" si="62"/>
        <v>0</v>
      </c>
      <c r="P530" s="79"/>
      <c r="Q530" s="74"/>
      <c r="R530" s="80"/>
      <c r="S530" s="74"/>
      <c r="T530" s="36"/>
      <c r="U530" s="79">
        <f>Table46[[#This Row],[NET WT KGS]]-Table46[[#This Row],[Refraction]]</f>
        <v>0</v>
      </c>
      <c r="V530" s="81"/>
      <c r="W530" s="81">
        <f>Table46[[#This Row],[PRICE]]*Table46[[#This Row],[PAID WT]]</f>
        <v>0</v>
      </c>
      <c r="X530" s="82">
        <v>8.8000000000000007</v>
      </c>
      <c r="Y530" s="83">
        <v>171</v>
      </c>
      <c r="Z530" s="82">
        <v>40.565100000000001</v>
      </c>
      <c r="AA530" s="84"/>
      <c r="AB530" s="74" t="s">
        <v>132</v>
      </c>
      <c r="AC530" s="92" t="s">
        <v>70</v>
      </c>
      <c r="AD530" s="28"/>
      <c r="AE530" s="18">
        <f>Table46[[#This Row],[MOIS.]]*Table46[[#This Row],[NET WT KGS]]</f>
        <v>0</v>
      </c>
      <c r="AF530" s="18">
        <f>Table46[[#This Row],[KOR]]*Table46[[#This Row],[NET WT KGS]]</f>
        <v>0</v>
      </c>
      <c r="AG530">
        <f>Table46[[#This Row],[NET WT KGS]]*Table46[[#This Row],[NUT COUNT]]</f>
        <v>0</v>
      </c>
    </row>
    <row r="531" spans="1:33" x14ac:dyDescent="0.35">
      <c r="A531" s="32">
        <f t="shared" si="61"/>
        <v>529</v>
      </c>
      <c r="B531" s="91">
        <v>46121</v>
      </c>
      <c r="C531" s="91">
        <f>Table46[[#This Row],[DATE OF ARRIVAL]]</f>
        <v>46121</v>
      </c>
      <c r="D531" s="36"/>
      <c r="E531" s="74"/>
      <c r="F531" s="74" t="s">
        <v>40</v>
      </c>
      <c r="G531" s="74"/>
      <c r="H531" s="74" t="s">
        <v>87</v>
      </c>
      <c r="I531" s="74" t="s">
        <v>88</v>
      </c>
      <c r="J531" s="74" t="s">
        <v>562</v>
      </c>
      <c r="K531" s="74"/>
      <c r="L531" s="74"/>
      <c r="M531" s="74"/>
      <c r="N531" s="74"/>
      <c r="O531" s="79">
        <f t="shared" si="62"/>
        <v>0</v>
      </c>
      <c r="P531" s="79"/>
      <c r="Q531" s="74"/>
      <c r="R531" s="80"/>
      <c r="S531" s="74"/>
      <c r="T531" s="36"/>
      <c r="U531" s="79">
        <f>Table46[[#This Row],[NET WT KGS]]-Table46[[#This Row],[Refraction]]</f>
        <v>0</v>
      </c>
      <c r="V531" s="81"/>
      <c r="W531" s="81">
        <f>Table46[[#This Row],[PRICE]]*Table46[[#This Row],[PAID WT]]</f>
        <v>0</v>
      </c>
      <c r="X531" s="82">
        <v>11.3</v>
      </c>
      <c r="Y531" s="83">
        <v>160</v>
      </c>
      <c r="Z531" s="82">
        <v>38.801400000000001</v>
      </c>
      <c r="AA531" s="84"/>
      <c r="AB531" s="74" t="s">
        <v>367</v>
      </c>
      <c r="AC531" s="92" t="s">
        <v>70</v>
      </c>
      <c r="AD531" s="28"/>
      <c r="AE531" s="18">
        <f>Table46[[#This Row],[MOIS.]]*Table46[[#This Row],[NET WT KGS]]</f>
        <v>0</v>
      </c>
      <c r="AF531" s="18">
        <f>Table46[[#This Row],[KOR]]*Table46[[#This Row],[NET WT KGS]]</f>
        <v>0</v>
      </c>
      <c r="AG531">
        <f>Table46[[#This Row],[NET WT KGS]]*Table46[[#This Row],[NUT COUNT]]</f>
        <v>0</v>
      </c>
    </row>
    <row r="532" spans="1:33" x14ac:dyDescent="0.35">
      <c r="A532" s="32">
        <f t="shared" si="61"/>
        <v>530</v>
      </c>
      <c r="B532" s="91">
        <v>46121</v>
      </c>
      <c r="C532" s="91">
        <f>Table46[[#This Row],[DATE OF ARRIVAL]]</f>
        <v>46121</v>
      </c>
      <c r="D532" s="36"/>
      <c r="E532" s="74"/>
      <c r="F532" s="74" t="s">
        <v>40</v>
      </c>
      <c r="G532" s="74"/>
      <c r="H532" s="74" t="s">
        <v>338</v>
      </c>
      <c r="I532" s="74" t="s">
        <v>317</v>
      </c>
      <c r="J532" s="74" t="s">
        <v>677</v>
      </c>
      <c r="K532" s="74"/>
      <c r="L532" s="74"/>
      <c r="M532" s="74"/>
      <c r="N532" s="74"/>
      <c r="O532" s="79">
        <f t="shared" si="62"/>
        <v>0</v>
      </c>
      <c r="P532" s="79"/>
      <c r="Q532" s="74"/>
      <c r="R532" s="80"/>
      <c r="S532" s="74"/>
      <c r="T532" s="36"/>
      <c r="U532" s="79">
        <f>Table46[[#This Row],[NET WT KGS]]-Table46[[#This Row],[Refraction]]</f>
        <v>0</v>
      </c>
      <c r="V532" s="81"/>
      <c r="W532" s="81">
        <f>Table46[[#This Row],[PRICE]]*Table46[[#This Row],[PAID WT]]</f>
        <v>0</v>
      </c>
      <c r="X532" s="82">
        <v>13.5</v>
      </c>
      <c r="Y532" s="83">
        <v>158</v>
      </c>
      <c r="Z532" s="82">
        <v>40.212359999999997</v>
      </c>
      <c r="AA532" s="84"/>
      <c r="AB532" s="74" t="s">
        <v>284</v>
      </c>
      <c r="AC532" s="92" t="s">
        <v>70</v>
      </c>
      <c r="AD532" s="28"/>
      <c r="AE532" s="18">
        <f>Table46[[#This Row],[MOIS.]]*Table46[[#This Row],[NET WT KGS]]</f>
        <v>0</v>
      </c>
      <c r="AF532" s="18">
        <f>Table46[[#This Row],[KOR]]*Table46[[#This Row],[NET WT KGS]]</f>
        <v>0</v>
      </c>
      <c r="AG532">
        <f>Table46[[#This Row],[NET WT KGS]]*Table46[[#This Row],[NUT COUNT]]</f>
        <v>0</v>
      </c>
    </row>
    <row r="533" spans="1:33" x14ac:dyDescent="0.35">
      <c r="A533" s="32">
        <f t="shared" si="61"/>
        <v>531</v>
      </c>
      <c r="B533" s="65">
        <v>46121</v>
      </c>
      <c r="C533" s="20">
        <v>46122</v>
      </c>
      <c r="D533" s="10" t="s">
        <v>38</v>
      </c>
      <c r="E533" s="66" t="s">
        <v>39</v>
      </c>
      <c r="F533" s="67" t="s">
        <v>40</v>
      </c>
      <c r="G533" s="66" t="s">
        <v>350</v>
      </c>
      <c r="H533" s="67" t="s">
        <v>123</v>
      </c>
      <c r="I533" s="67" t="str">
        <f>VLOOKUP(Table46[[#This Row],[SUPPLIERS NAME]],[1]AGING!X$3:Y$30,2,)</f>
        <v>LBA-011-ASR</v>
      </c>
      <c r="J533" s="66" t="s">
        <v>459</v>
      </c>
      <c r="K533" s="21" t="s">
        <v>161</v>
      </c>
      <c r="L533" s="66">
        <v>1199</v>
      </c>
      <c r="M533" s="10">
        <v>33493</v>
      </c>
      <c r="N533" s="66">
        <v>533</v>
      </c>
      <c r="O533" s="68">
        <f t="shared" si="62"/>
        <v>44000</v>
      </c>
      <c r="P533" s="68">
        <v>43467</v>
      </c>
      <c r="Q533" s="66">
        <v>511</v>
      </c>
      <c r="R533" s="67">
        <v>0</v>
      </c>
      <c r="S533" s="66">
        <v>22</v>
      </c>
      <c r="T533" s="10">
        <f>S533*4+R533*40</f>
        <v>88</v>
      </c>
      <c r="U533" s="68">
        <f>Table46[[#This Row],[NET WT KGS]]-Table46[[#This Row],[Refraction]]</f>
        <v>43379</v>
      </c>
      <c r="V533" s="69">
        <v>510</v>
      </c>
      <c r="W533" s="69">
        <f>Table46[[#This Row],[PRICE]]*Table46[[#This Row],[PAID WT]]</f>
        <v>22123290</v>
      </c>
      <c r="X533" s="70">
        <v>8.1999999999999993</v>
      </c>
      <c r="Y533" s="71">
        <v>176</v>
      </c>
      <c r="Z533" s="70">
        <v>43.03</v>
      </c>
      <c r="AA533" s="72"/>
      <c r="AB533" s="66" t="s">
        <v>678</v>
      </c>
      <c r="AC533" s="27"/>
      <c r="AD533" s="63" t="s">
        <v>659</v>
      </c>
      <c r="AE533" s="18">
        <f>Table46[[#This Row],[MOIS.]]*Table46[[#This Row],[NET WT KGS]]</f>
        <v>356429.39999999997</v>
      </c>
      <c r="AF533" s="18">
        <f>Table46[[#This Row],[KOR]]*Table46[[#This Row],[NET WT KGS]]</f>
        <v>1870385.01</v>
      </c>
      <c r="AG533">
        <f>Table46[[#This Row],[NET WT KGS]]*Table46[[#This Row],[NUT COUNT]]</f>
        <v>7650192</v>
      </c>
    </row>
    <row r="534" spans="1:33" x14ac:dyDescent="0.35">
      <c r="A534" s="32">
        <f t="shared" si="61"/>
        <v>532</v>
      </c>
      <c r="B534" s="65">
        <v>46121</v>
      </c>
      <c r="C534" s="20">
        <v>46122</v>
      </c>
      <c r="D534" s="10" t="s">
        <v>38</v>
      </c>
      <c r="E534" s="66" t="s">
        <v>39</v>
      </c>
      <c r="F534" s="67" t="s">
        <v>40</v>
      </c>
      <c r="G534" s="66" t="s">
        <v>350</v>
      </c>
      <c r="H534" s="67" t="s">
        <v>123</v>
      </c>
      <c r="I534" s="67" t="str">
        <f>VLOOKUP(Table46[[#This Row],[SUPPLIERS NAME]],[1]AGING!X$3:Y$30,2,)</f>
        <v>LBA-011-ASR</v>
      </c>
      <c r="J534" s="66" t="s">
        <v>668</v>
      </c>
      <c r="K534" s="21" t="s">
        <v>161</v>
      </c>
      <c r="L534" s="66">
        <v>1200</v>
      </c>
      <c r="M534" s="10">
        <v>33492</v>
      </c>
      <c r="N534" s="66">
        <v>618</v>
      </c>
      <c r="O534" s="68">
        <f t="shared" si="62"/>
        <v>52780</v>
      </c>
      <c r="P534" s="68">
        <v>52162</v>
      </c>
      <c r="Q534" s="66">
        <v>597</v>
      </c>
      <c r="R534" s="67">
        <v>0</v>
      </c>
      <c r="S534" s="66">
        <v>21</v>
      </c>
      <c r="T534" s="10">
        <f>S534*4+R534*40</f>
        <v>84</v>
      </c>
      <c r="U534" s="68">
        <f>Table46[[#This Row],[NET WT KGS]]-Table46[[#This Row],[Refraction]]</f>
        <v>52078</v>
      </c>
      <c r="V534" s="69">
        <v>505</v>
      </c>
      <c r="W534" s="69">
        <f>Table46[[#This Row],[PRICE]]*Table46[[#This Row],[PAID WT]]</f>
        <v>26299390</v>
      </c>
      <c r="X534" s="70">
        <v>10.1</v>
      </c>
      <c r="Y534" s="71">
        <v>165</v>
      </c>
      <c r="Z534" s="70">
        <v>42.32</v>
      </c>
      <c r="AA534" s="72"/>
      <c r="AB534" s="66" t="s">
        <v>40</v>
      </c>
      <c r="AC534" s="27"/>
      <c r="AD534" s="63" t="s">
        <v>659</v>
      </c>
      <c r="AE534" s="18">
        <f>Table46[[#This Row],[MOIS.]]*Table46[[#This Row],[NET WT KGS]]</f>
        <v>526836.19999999995</v>
      </c>
      <c r="AF534" s="18">
        <f>Table46[[#This Row],[KOR]]*Table46[[#This Row],[NET WT KGS]]</f>
        <v>2207495.84</v>
      </c>
      <c r="AG534">
        <f>Table46[[#This Row],[NET WT KGS]]*Table46[[#This Row],[NUT COUNT]]</f>
        <v>8606730</v>
      </c>
    </row>
    <row r="535" spans="1:33" x14ac:dyDescent="0.35">
      <c r="A535" s="32">
        <f t="shared" si="61"/>
        <v>533</v>
      </c>
      <c r="B535" s="65">
        <v>46121</v>
      </c>
      <c r="C535" s="20">
        <v>46122</v>
      </c>
      <c r="D535" s="10" t="s">
        <v>38</v>
      </c>
      <c r="E535" s="66" t="s">
        <v>39</v>
      </c>
      <c r="F535" s="67" t="s">
        <v>40</v>
      </c>
      <c r="G535" s="66" t="s">
        <v>350</v>
      </c>
      <c r="H535" s="10" t="s">
        <v>94</v>
      </c>
      <c r="I535" s="67" t="str">
        <f>VLOOKUP(Table46[[#This Row],[SUPPLIERS NAME]],[1]AGING!X$3:Y$30,2,)</f>
        <v>LBA-013-DAG</v>
      </c>
      <c r="J535" s="66" t="s">
        <v>304</v>
      </c>
      <c r="K535" s="33" t="s">
        <v>97</v>
      </c>
      <c r="L535" s="66">
        <v>1101</v>
      </c>
      <c r="M535" s="10">
        <v>19690</v>
      </c>
      <c r="N535" s="66">
        <v>546</v>
      </c>
      <c r="O535" s="68">
        <f t="shared" si="62"/>
        <v>46220</v>
      </c>
      <c r="P535" s="22">
        <v>45674</v>
      </c>
      <c r="Q535" s="66">
        <v>534</v>
      </c>
      <c r="R535" s="67">
        <v>0</v>
      </c>
      <c r="S535" s="66">
        <v>12</v>
      </c>
      <c r="T535" s="10">
        <f>S535*4+R535*40</f>
        <v>48</v>
      </c>
      <c r="U535" s="68">
        <f>Table46[[#This Row],[NET WT KGS]]-Table46[[#This Row],[Refraction]]</f>
        <v>45626</v>
      </c>
      <c r="V535" s="69">
        <v>495</v>
      </c>
      <c r="W535" s="69">
        <f>Table46[[#This Row],[PRICE]]*Table46[[#This Row],[PAID WT]]</f>
        <v>22584870</v>
      </c>
      <c r="X535" s="70">
        <v>10.3</v>
      </c>
      <c r="Y535" s="71">
        <v>165</v>
      </c>
      <c r="Z535" s="70">
        <v>41.62</v>
      </c>
      <c r="AA535" s="72"/>
      <c r="AB535" s="66" t="s">
        <v>78</v>
      </c>
      <c r="AC535" s="27"/>
      <c r="AD535" s="63" t="s">
        <v>659</v>
      </c>
      <c r="AE535" s="18">
        <f>Table46[[#This Row],[MOIS.]]*Table46[[#This Row],[NET WT KGS]]</f>
        <v>470442.2</v>
      </c>
      <c r="AF535" s="18">
        <f>Table46[[#This Row],[KOR]]*Table46[[#This Row],[NET WT KGS]]</f>
        <v>1900951.88</v>
      </c>
      <c r="AG535">
        <f>Table46[[#This Row],[NET WT KGS]]*Table46[[#This Row],[NUT COUNT]]</f>
        <v>7536210</v>
      </c>
    </row>
    <row r="536" spans="1:33" x14ac:dyDescent="0.35">
      <c r="A536" s="32">
        <f t="shared" si="61"/>
        <v>534</v>
      </c>
      <c r="B536" s="65">
        <v>46121</v>
      </c>
      <c r="C536" s="20">
        <v>46122</v>
      </c>
      <c r="D536" s="10" t="s">
        <v>38</v>
      </c>
      <c r="E536" s="66" t="s">
        <v>258</v>
      </c>
      <c r="F536" s="67" t="s">
        <v>40</v>
      </c>
      <c r="G536" s="66" t="s">
        <v>41</v>
      </c>
      <c r="H536" s="66" t="s">
        <v>391</v>
      </c>
      <c r="I536" s="67" t="s">
        <v>175</v>
      </c>
      <c r="J536" s="66" t="s">
        <v>679</v>
      </c>
      <c r="K536" s="21" t="s">
        <v>680</v>
      </c>
      <c r="L536" s="66">
        <v>1102</v>
      </c>
      <c r="M536" s="10">
        <v>14566</v>
      </c>
      <c r="N536" s="66">
        <v>603</v>
      </c>
      <c r="O536" s="68">
        <f>P536+N536</f>
        <v>50540</v>
      </c>
      <c r="P536" s="22">
        <v>49937</v>
      </c>
      <c r="Q536" s="66">
        <v>603</v>
      </c>
      <c r="R536" s="67">
        <v>0</v>
      </c>
      <c r="S536" s="66">
        <v>0</v>
      </c>
      <c r="T536" s="10">
        <f>S536*4+R536*40</f>
        <v>0</v>
      </c>
      <c r="U536" s="68">
        <f>Table46[[#This Row],[NET WT KGS]]-Table46[[#This Row],[Refraction]]</f>
        <v>49937</v>
      </c>
      <c r="V536" s="69">
        <v>500</v>
      </c>
      <c r="W536" s="69">
        <f>Table46[[#This Row],[PRICE]]*Table46[[#This Row],[PAID WT]]</f>
        <v>24968500</v>
      </c>
      <c r="X536" s="70">
        <v>8.8000000000000007</v>
      </c>
      <c r="Y536" s="71">
        <v>179</v>
      </c>
      <c r="Z536" s="70">
        <v>42.32</v>
      </c>
      <c r="AA536" s="72"/>
      <c r="AB536" s="66" t="s">
        <v>182</v>
      </c>
      <c r="AC536" s="27"/>
      <c r="AD536" s="63" t="s">
        <v>659</v>
      </c>
      <c r="AE536" s="18">
        <f>Table46[[#This Row],[MOIS.]]*Table46[[#This Row],[NET WT KGS]]</f>
        <v>439445.60000000003</v>
      </c>
      <c r="AF536" s="18">
        <f>Table46[[#This Row],[KOR]]*Table46[[#This Row],[NET WT KGS]]</f>
        <v>2113333.84</v>
      </c>
      <c r="AG536">
        <f>Table46[[#This Row],[NET WT KGS]]*Table46[[#This Row],[NUT COUNT]]</f>
        <v>8938723</v>
      </c>
    </row>
    <row r="537" spans="1:33" x14ac:dyDescent="0.35">
      <c r="A537" s="32">
        <f t="shared" si="61"/>
        <v>535</v>
      </c>
      <c r="B537" s="65">
        <v>46122</v>
      </c>
      <c r="C537" s="65">
        <v>46122</v>
      </c>
      <c r="D537" s="10" t="s">
        <v>38</v>
      </c>
      <c r="E537" s="66" t="s">
        <v>39</v>
      </c>
      <c r="F537" s="67" t="s">
        <v>40</v>
      </c>
      <c r="G537" s="10" t="s">
        <v>350</v>
      </c>
      <c r="H537" s="50" t="s">
        <v>74</v>
      </c>
      <c r="I537" s="67" t="str">
        <f>VLOOKUP(Table46[[#This Row],[SUPPLIERS NAME]],[1]AGING!X$3:Y$30,2,)</f>
        <v>LBA-003-HER</v>
      </c>
      <c r="J537" s="10" t="s">
        <v>269</v>
      </c>
      <c r="K537" s="33" t="s">
        <v>77</v>
      </c>
      <c r="L537" s="10">
        <v>1103</v>
      </c>
      <c r="M537" s="10">
        <v>18121</v>
      </c>
      <c r="N537" s="10">
        <v>518</v>
      </c>
      <c r="O537" s="22">
        <f t="shared" si="62"/>
        <v>42360</v>
      </c>
      <c r="P537" s="22">
        <v>41842</v>
      </c>
      <c r="Q537" s="10">
        <v>495</v>
      </c>
      <c r="R537" s="67">
        <v>23</v>
      </c>
      <c r="S537" s="10">
        <v>0</v>
      </c>
      <c r="T537" s="10">
        <f t="shared" ref="T537:T546" si="63">S537*4+R537*8</f>
        <v>184</v>
      </c>
      <c r="U537" s="22">
        <f>Table46[[#This Row],[NET WT KGS]]-Table46[[#This Row],[Refraction]]</f>
        <v>41658</v>
      </c>
      <c r="V537" s="69">
        <v>505</v>
      </c>
      <c r="W537" s="23">
        <f>Table46[[#This Row],[PRICE]]*Table46[[#This Row],[PAID WT]]</f>
        <v>21037290</v>
      </c>
      <c r="X537" s="24">
        <v>10.7</v>
      </c>
      <c r="Y537" s="25">
        <v>167</v>
      </c>
      <c r="Z537" s="24">
        <v>42.68</v>
      </c>
      <c r="AA537" s="26"/>
      <c r="AB537" s="66" t="s">
        <v>681</v>
      </c>
      <c r="AC537" s="27"/>
      <c r="AD537" s="63" t="s">
        <v>659</v>
      </c>
      <c r="AE537" s="18">
        <f>Table46[[#This Row],[MOIS.]]*Table46[[#This Row],[NET WT KGS]]</f>
        <v>447709.39999999997</v>
      </c>
      <c r="AF537" s="18">
        <f>Table46[[#This Row],[KOR]]*Table46[[#This Row],[NET WT KGS]]</f>
        <v>1785816.56</v>
      </c>
      <c r="AG537">
        <f>Table46[[#This Row],[NET WT KGS]]*Table46[[#This Row],[NUT COUNT]]</f>
        <v>6987614</v>
      </c>
    </row>
    <row r="538" spans="1:33" x14ac:dyDescent="0.35">
      <c r="A538" s="32">
        <f t="shared" si="61"/>
        <v>536</v>
      </c>
      <c r="B538" s="65">
        <v>46122</v>
      </c>
      <c r="C538" s="65">
        <v>46122</v>
      </c>
      <c r="D538" s="10" t="s">
        <v>38</v>
      </c>
      <c r="E538" s="66" t="s">
        <v>39</v>
      </c>
      <c r="F538" s="67" t="s">
        <v>40</v>
      </c>
      <c r="G538" s="66" t="s">
        <v>350</v>
      </c>
      <c r="H538" s="66" t="s">
        <v>338</v>
      </c>
      <c r="I538" s="67" t="str">
        <f>VLOOKUP(Table46[[#This Row],[SUPPLIERS NAME]],[1]AGING!X$3:Y$30,2,)</f>
        <v>LBA-018-COP</v>
      </c>
      <c r="J538" s="66" t="s">
        <v>682</v>
      </c>
      <c r="K538" s="57" t="s">
        <v>340</v>
      </c>
      <c r="L538" s="66">
        <v>1104</v>
      </c>
      <c r="M538" s="10">
        <v>18459</v>
      </c>
      <c r="N538" s="66">
        <v>459</v>
      </c>
      <c r="O538" s="68">
        <f t="shared" si="62"/>
        <v>38880</v>
      </c>
      <c r="P538" s="22">
        <v>38421</v>
      </c>
      <c r="Q538" s="66">
        <v>436</v>
      </c>
      <c r="R538" s="67">
        <v>23</v>
      </c>
      <c r="S538" s="66">
        <v>0</v>
      </c>
      <c r="T538" s="10">
        <f t="shared" si="63"/>
        <v>184</v>
      </c>
      <c r="U538" s="68">
        <f>Table46[[#This Row],[NET WT KGS]]-Table46[[#This Row],[Refraction]]</f>
        <v>38237</v>
      </c>
      <c r="V538" s="69">
        <v>510</v>
      </c>
      <c r="W538" s="69">
        <f>Table46[[#This Row],[PRICE]]*Table46[[#This Row],[PAID WT]]</f>
        <v>19500870</v>
      </c>
      <c r="X538" s="70">
        <v>11.2</v>
      </c>
      <c r="Y538" s="71">
        <v>162</v>
      </c>
      <c r="Z538" s="70">
        <v>43.03</v>
      </c>
      <c r="AA538" s="72"/>
      <c r="AB538" s="66" t="s">
        <v>284</v>
      </c>
      <c r="AC538" s="73"/>
      <c r="AD538" s="63" t="s">
        <v>659</v>
      </c>
      <c r="AE538" s="18">
        <f>Table46[[#This Row],[MOIS.]]*Table46[[#This Row],[NET WT KGS]]</f>
        <v>430315.19999999995</v>
      </c>
      <c r="AF538" s="18">
        <f>Table46[[#This Row],[KOR]]*Table46[[#This Row],[NET WT KGS]]</f>
        <v>1653255.6300000001</v>
      </c>
      <c r="AG538">
        <f>Table46[[#This Row],[NET WT KGS]]*Table46[[#This Row],[NUT COUNT]]</f>
        <v>6224202</v>
      </c>
    </row>
    <row r="539" spans="1:33" x14ac:dyDescent="0.35">
      <c r="A539" s="32">
        <f t="shared" si="61"/>
        <v>537</v>
      </c>
      <c r="B539" s="65">
        <v>46122</v>
      </c>
      <c r="C539" s="65">
        <v>46122</v>
      </c>
      <c r="D539" s="10" t="s">
        <v>38</v>
      </c>
      <c r="E539" s="66" t="s">
        <v>39</v>
      </c>
      <c r="F539" s="67" t="s">
        <v>40</v>
      </c>
      <c r="G539" s="66" t="s">
        <v>41</v>
      </c>
      <c r="H539" s="66" t="s">
        <v>286</v>
      </c>
      <c r="I539" s="67" t="str">
        <f>VLOOKUP(Table46[[#This Row],[SUPPLIERS NAME]],[1]AGING!X$3:Y$30,2,)</f>
        <v>LBA-017-DPV</v>
      </c>
      <c r="J539" s="66" t="s">
        <v>156</v>
      </c>
      <c r="K539" s="21" t="s">
        <v>289</v>
      </c>
      <c r="L539" s="66">
        <v>1105</v>
      </c>
      <c r="M539" s="10">
        <v>37579</v>
      </c>
      <c r="N539" s="66">
        <v>477</v>
      </c>
      <c r="O539" s="68">
        <f t="shared" si="62"/>
        <v>39440</v>
      </c>
      <c r="P539" s="22">
        <v>38963</v>
      </c>
      <c r="Q539" s="66">
        <v>455</v>
      </c>
      <c r="R539" s="67">
        <v>22</v>
      </c>
      <c r="S539" s="66">
        <v>0</v>
      </c>
      <c r="T539" s="10">
        <f t="shared" si="63"/>
        <v>176</v>
      </c>
      <c r="U539" s="68">
        <f>Table46[[#This Row],[NET WT KGS]]-Table46[[#This Row],[Refraction]]</f>
        <v>38787</v>
      </c>
      <c r="V539" s="69">
        <v>500</v>
      </c>
      <c r="W539" s="69">
        <f>Table46[[#This Row],[PRICE]]*Table46[[#This Row],[PAID WT]]</f>
        <v>19393500</v>
      </c>
      <c r="X539" s="70">
        <v>10.9</v>
      </c>
      <c r="Y539" s="71">
        <v>161</v>
      </c>
      <c r="Z539" s="70">
        <v>43.38</v>
      </c>
      <c r="AA539" s="72"/>
      <c r="AB539" s="66" t="s">
        <v>46</v>
      </c>
      <c r="AC539" s="73"/>
      <c r="AD539" s="63" t="s">
        <v>659</v>
      </c>
      <c r="AE539" s="18">
        <f>Table46[[#This Row],[MOIS.]]*Table46[[#This Row],[NET WT KGS]]</f>
        <v>424696.7</v>
      </c>
      <c r="AF539" s="18">
        <f>Table46[[#This Row],[KOR]]*Table46[[#This Row],[NET WT KGS]]</f>
        <v>1690214.9400000002</v>
      </c>
      <c r="AG539">
        <f>Table46[[#This Row],[NET WT KGS]]*Table46[[#This Row],[NUT COUNT]]</f>
        <v>6273043</v>
      </c>
    </row>
    <row r="540" spans="1:33" x14ac:dyDescent="0.35">
      <c r="A540" s="32">
        <f t="shared" si="61"/>
        <v>538</v>
      </c>
      <c r="B540" s="65">
        <v>46122</v>
      </c>
      <c r="C540" s="65">
        <v>46122</v>
      </c>
      <c r="D540" s="10" t="s">
        <v>38</v>
      </c>
      <c r="E540" s="66" t="s">
        <v>39</v>
      </c>
      <c r="F540" s="67" t="s">
        <v>40</v>
      </c>
      <c r="G540" s="66" t="s">
        <v>350</v>
      </c>
      <c r="H540" s="67" t="s">
        <v>123</v>
      </c>
      <c r="I540" s="67" t="str">
        <f>VLOOKUP(Table46[[#This Row],[SUPPLIERS NAME]],[1]AGING!X$3:Y$30,2,)</f>
        <v>LBA-011-ASR</v>
      </c>
      <c r="J540" s="66" t="s">
        <v>645</v>
      </c>
      <c r="K540" s="21" t="s">
        <v>161</v>
      </c>
      <c r="L540" s="66">
        <v>1106</v>
      </c>
      <c r="M540" s="10">
        <v>33494</v>
      </c>
      <c r="N540" s="66">
        <v>538</v>
      </c>
      <c r="O540" s="68">
        <f t="shared" si="62"/>
        <v>49520</v>
      </c>
      <c r="P540" s="22">
        <v>48982</v>
      </c>
      <c r="Q540" s="66">
        <v>530</v>
      </c>
      <c r="R540" s="67">
        <v>8</v>
      </c>
      <c r="S540" s="66">
        <v>0</v>
      </c>
      <c r="T540" s="10">
        <f t="shared" si="63"/>
        <v>64</v>
      </c>
      <c r="U540" s="68">
        <f>Table46[[#This Row],[NET WT KGS]]-Table46[[#This Row],[Refraction]]</f>
        <v>48918</v>
      </c>
      <c r="V540" s="69">
        <v>515</v>
      </c>
      <c r="W540" s="69">
        <f>Table46[[#This Row],[PRICE]]*Table46[[#This Row],[PAID WT]]</f>
        <v>25192770</v>
      </c>
      <c r="X540" s="70">
        <v>9.8000000000000007</v>
      </c>
      <c r="Y540" s="71">
        <v>174</v>
      </c>
      <c r="Z540" s="70">
        <v>45.15</v>
      </c>
      <c r="AA540" s="72"/>
      <c r="AB540" s="66" t="s">
        <v>40</v>
      </c>
      <c r="AC540" s="73"/>
      <c r="AD540" s="63" t="s">
        <v>659</v>
      </c>
      <c r="AE540" s="18">
        <f>Table46[[#This Row],[MOIS.]]*Table46[[#This Row],[NET WT KGS]]</f>
        <v>480023.60000000003</v>
      </c>
      <c r="AF540" s="18">
        <f>Table46[[#This Row],[KOR]]*Table46[[#This Row],[NET WT KGS]]</f>
        <v>2211537.2999999998</v>
      </c>
      <c r="AG540">
        <f>Table46[[#This Row],[NET WT KGS]]*Table46[[#This Row],[NUT COUNT]]</f>
        <v>8522868</v>
      </c>
    </row>
    <row r="541" spans="1:33" x14ac:dyDescent="0.35">
      <c r="A541" s="32">
        <f t="shared" si="61"/>
        <v>539</v>
      </c>
      <c r="B541" s="65">
        <v>46122</v>
      </c>
      <c r="C541" s="65">
        <v>46122</v>
      </c>
      <c r="D541" s="10" t="s">
        <v>38</v>
      </c>
      <c r="E541" s="66" t="s">
        <v>39</v>
      </c>
      <c r="F541" s="67" t="s">
        <v>62</v>
      </c>
      <c r="G541" s="66"/>
      <c r="H541" s="66" t="s">
        <v>128</v>
      </c>
      <c r="I541" s="67" t="str">
        <f>VLOOKUP(Table46[[#This Row],[SUPPLIERS NAME]],[1]AGING!X$3:Y$30,2,)</f>
        <v>LBA-002-SCA</v>
      </c>
      <c r="J541" s="66" t="s">
        <v>467</v>
      </c>
      <c r="K541" s="33" t="s">
        <v>131</v>
      </c>
      <c r="L541" s="66">
        <v>675</v>
      </c>
      <c r="M541" s="10">
        <v>78912</v>
      </c>
      <c r="N541" s="66">
        <v>658</v>
      </c>
      <c r="O541" s="68">
        <v>51020</v>
      </c>
      <c r="P541" s="51">
        <f>Table46[[#This Row],[GROSS WT KGS]]-Table46[[#This Row],[SACS]]</f>
        <v>50362</v>
      </c>
      <c r="Q541" s="66">
        <v>612</v>
      </c>
      <c r="R541" s="67">
        <v>0</v>
      </c>
      <c r="S541" s="66">
        <v>46</v>
      </c>
      <c r="T541" s="10">
        <f t="shared" si="63"/>
        <v>184</v>
      </c>
      <c r="U541" s="68">
        <f>Table46[[#This Row],[NET WT KGS]]-Table46[[#This Row],[Refraction]]</f>
        <v>50178</v>
      </c>
      <c r="V541" s="69">
        <v>515</v>
      </c>
      <c r="W541" s="69">
        <f>Table46[[#This Row],[PRICE]]*Table46[[#This Row],[PAID WT]]</f>
        <v>25841670</v>
      </c>
      <c r="X541" s="70">
        <v>10.8</v>
      </c>
      <c r="Y541" s="71">
        <v>189</v>
      </c>
      <c r="Z541" s="70">
        <v>44.26</v>
      </c>
      <c r="AA541" s="72"/>
      <c r="AB541" s="66" t="s">
        <v>132</v>
      </c>
      <c r="AC541" s="73"/>
      <c r="AD541" s="63" t="s">
        <v>659</v>
      </c>
      <c r="AE541" s="18">
        <f>Table46[[#This Row],[MOIS.]]*Table46[[#This Row],[NET WT KGS]]</f>
        <v>543909.60000000009</v>
      </c>
      <c r="AF541" s="18">
        <f>Table46[[#This Row],[KOR]]*Table46[[#This Row],[NET WT KGS]]</f>
        <v>2229022.12</v>
      </c>
      <c r="AG541">
        <f>Table46[[#This Row],[NET WT KGS]]*Table46[[#This Row],[NUT COUNT]]</f>
        <v>9518418</v>
      </c>
    </row>
    <row r="542" spans="1:33" x14ac:dyDescent="0.35">
      <c r="A542" s="32">
        <f t="shared" si="61"/>
        <v>540</v>
      </c>
      <c r="B542" s="65">
        <v>46122</v>
      </c>
      <c r="C542" s="65">
        <v>46122</v>
      </c>
      <c r="D542" s="10" t="s">
        <v>38</v>
      </c>
      <c r="E542" s="66" t="s">
        <v>39</v>
      </c>
      <c r="F542" s="67" t="s">
        <v>62</v>
      </c>
      <c r="G542" s="66"/>
      <c r="H542" s="66" t="s">
        <v>128</v>
      </c>
      <c r="I542" s="67" t="str">
        <f>VLOOKUP(Table46[[#This Row],[SUPPLIERS NAME]],[1]AGING!X$3:Y$30,2,)</f>
        <v>LBA-002-SCA</v>
      </c>
      <c r="J542" s="66" t="s">
        <v>683</v>
      </c>
      <c r="K542" s="33" t="s">
        <v>131</v>
      </c>
      <c r="L542" s="66">
        <v>676</v>
      </c>
      <c r="M542" s="10">
        <v>78911</v>
      </c>
      <c r="N542" s="66">
        <v>658</v>
      </c>
      <c r="O542" s="68">
        <v>47640</v>
      </c>
      <c r="P542" s="93">
        <f>Table46[[#This Row],[GROSS WT KGS]]-Table46[[#This Row],[SACS]]</f>
        <v>46982</v>
      </c>
      <c r="Q542" s="66">
        <v>617</v>
      </c>
      <c r="R542" s="67">
        <v>0</v>
      </c>
      <c r="S542" s="66">
        <v>41</v>
      </c>
      <c r="T542" s="10">
        <f t="shared" si="63"/>
        <v>164</v>
      </c>
      <c r="U542" s="68">
        <f>Table46[[#This Row],[NET WT KGS]]-Table46[[#This Row],[Refraction]]</f>
        <v>46818</v>
      </c>
      <c r="V542" s="69">
        <v>515</v>
      </c>
      <c r="W542" s="69">
        <f>Table46[[#This Row],[PRICE]]*Table46[[#This Row],[PAID WT]]</f>
        <v>24111270</v>
      </c>
      <c r="X542" s="70">
        <v>10.4</v>
      </c>
      <c r="Y542" s="71">
        <v>176</v>
      </c>
      <c r="Z542" s="70">
        <v>44.18</v>
      </c>
      <c r="AA542" s="72"/>
      <c r="AB542" s="66" t="s">
        <v>132</v>
      </c>
      <c r="AC542" s="73"/>
      <c r="AD542" s="63" t="s">
        <v>659</v>
      </c>
      <c r="AE542" s="18">
        <f>Table46[[#This Row],[MOIS.]]*Table46[[#This Row],[NET WT KGS]]</f>
        <v>488612.8</v>
      </c>
      <c r="AF542" s="18">
        <f>Table46[[#This Row],[KOR]]*Table46[[#This Row],[NET WT KGS]]</f>
        <v>2075664.76</v>
      </c>
      <c r="AG542">
        <f>Table46[[#This Row],[NET WT KGS]]*Table46[[#This Row],[NUT COUNT]]</f>
        <v>8268832</v>
      </c>
    </row>
    <row r="543" spans="1:33" x14ac:dyDescent="0.35">
      <c r="A543" s="32">
        <f t="shared" si="61"/>
        <v>541</v>
      </c>
      <c r="B543" s="65">
        <v>46122</v>
      </c>
      <c r="C543" s="65">
        <v>46122</v>
      </c>
      <c r="D543" s="10" t="s">
        <v>38</v>
      </c>
      <c r="E543" s="66" t="s">
        <v>39</v>
      </c>
      <c r="F543" s="67" t="s">
        <v>62</v>
      </c>
      <c r="G543" s="66"/>
      <c r="H543" s="66" t="s">
        <v>128</v>
      </c>
      <c r="I543" s="67" t="str">
        <f>VLOOKUP(Table46[[#This Row],[SUPPLIERS NAME]],[1]AGING!X$3:Y$30,2,)</f>
        <v>LBA-002-SCA</v>
      </c>
      <c r="J543" s="66" t="s">
        <v>531</v>
      </c>
      <c r="K543" s="33" t="s">
        <v>131</v>
      </c>
      <c r="L543" s="66">
        <v>678</v>
      </c>
      <c r="M543" s="10">
        <v>87140</v>
      </c>
      <c r="N543" s="66">
        <v>714</v>
      </c>
      <c r="O543" s="68">
        <v>54190</v>
      </c>
      <c r="P543" s="93">
        <f>Table46[[#This Row],[GROSS WT KGS]]-Table46[[#This Row],[SACS]]</f>
        <v>53476</v>
      </c>
      <c r="Q543" s="66">
        <v>677</v>
      </c>
      <c r="R543" s="67">
        <v>0</v>
      </c>
      <c r="S543" s="66">
        <v>27</v>
      </c>
      <c r="T543" s="10">
        <f t="shared" si="63"/>
        <v>108</v>
      </c>
      <c r="U543" s="68">
        <f>Table46[[#This Row],[NET WT KGS]]-Table46[[#This Row],[Refraction]]</f>
        <v>53368</v>
      </c>
      <c r="V543" s="69">
        <v>515</v>
      </c>
      <c r="W543" s="69">
        <f>Table46[[#This Row],[PRICE]]*Table46[[#This Row],[PAID WT]]</f>
        <v>27484520</v>
      </c>
      <c r="X543" s="70">
        <v>10</v>
      </c>
      <c r="Y543" s="71">
        <v>182</v>
      </c>
      <c r="Z543" s="70">
        <v>44.35</v>
      </c>
      <c r="AA543" s="72"/>
      <c r="AB543" s="66" t="s">
        <v>132</v>
      </c>
      <c r="AC543" s="73"/>
      <c r="AD543" s="63" t="s">
        <v>659</v>
      </c>
      <c r="AE543" s="18">
        <f>Table46[[#This Row],[MOIS.]]*Table46[[#This Row],[NET WT KGS]]</f>
        <v>534760</v>
      </c>
      <c r="AF543" s="18">
        <f>Table46[[#This Row],[KOR]]*Table46[[#This Row],[NET WT KGS]]</f>
        <v>2371660.6</v>
      </c>
      <c r="AG543">
        <f>Table46[[#This Row],[NET WT KGS]]*Table46[[#This Row],[NUT COUNT]]</f>
        <v>9732632</v>
      </c>
    </row>
    <row r="544" spans="1:33" x14ac:dyDescent="0.35">
      <c r="A544" s="32">
        <f t="shared" si="61"/>
        <v>542</v>
      </c>
      <c r="B544" s="65">
        <v>46122</v>
      </c>
      <c r="C544" s="65">
        <v>46122</v>
      </c>
      <c r="D544" s="10" t="s">
        <v>38</v>
      </c>
      <c r="E544" s="66" t="s">
        <v>39</v>
      </c>
      <c r="F544" s="67" t="s">
        <v>62</v>
      </c>
      <c r="G544" s="66"/>
      <c r="H544" s="66" t="s">
        <v>193</v>
      </c>
      <c r="I544" s="67" t="str">
        <f>VLOOKUP(Table46[[#This Row],[SUPPLIERS NAME]],[1]AGING!X$3:Y$30,2,)</f>
        <v>LBA-005-JAV</v>
      </c>
      <c r="J544" s="66" t="s">
        <v>195</v>
      </c>
      <c r="K544" s="33" t="s">
        <v>196</v>
      </c>
      <c r="L544" s="66">
        <v>677</v>
      </c>
      <c r="M544" s="10">
        <v>87142</v>
      </c>
      <c r="N544" s="66">
        <v>581</v>
      </c>
      <c r="O544" s="68">
        <v>46770</v>
      </c>
      <c r="P544" s="51">
        <f>Table46[[#This Row],[GROSS WT KGS]]-Table46[[#This Row],[SACS]]</f>
        <v>46189</v>
      </c>
      <c r="Q544" s="66">
        <v>534</v>
      </c>
      <c r="R544" s="67">
        <v>0</v>
      </c>
      <c r="S544" s="66">
        <v>47</v>
      </c>
      <c r="T544" s="10">
        <f t="shared" si="63"/>
        <v>188</v>
      </c>
      <c r="U544" s="68">
        <f>Table46[[#This Row],[NET WT KGS]]-Table46[[#This Row],[Refraction]]</f>
        <v>46001</v>
      </c>
      <c r="V544" s="69">
        <v>515</v>
      </c>
      <c r="W544" s="69">
        <f>Table46[[#This Row],[PRICE]]*Table46[[#This Row],[PAID WT]]</f>
        <v>23690515</v>
      </c>
      <c r="X544" s="70">
        <v>10.9</v>
      </c>
      <c r="Y544" s="71">
        <v>188</v>
      </c>
      <c r="Z544" s="70">
        <v>44</v>
      </c>
      <c r="AA544" s="72"/>
      <c r="AB544" s="66" t="s">
        <v>132</v>
      </c>
      <c r="AC544" s="73"/>
      <c r="AD544" s="63" t="s">
        <v>659</v>
      </c>
      <c r="AE544" s="18">
        <f>Table46[[#This Row],[MOIS.]]*Table46[[#This Row],[NET WT KGS]]</f>
        <v>503460.10000000003</v>
      </c>
      <c r="AF544" s="18">
        <f>Table46[[#This Row],[KOR]]*Table46[[#This Row],[NET WT KGS]]</f>
        <v>2032316</v>
      </c>
      <c r="AG544">
        <f>Table46[[#This Row],[NET WT KGS]]*Table46[[#This Row],[NUT COUNT]]</f>
        <v>8683532</v>
      </c>
    </row>
    <row r="545" spans="1:33" x14ac:dyDescent="0.35">
      <c r="A545" s="32">
        <f t="shared" si="61"/>
        <v>543</v>
      </c>
      <c r="B545" s="65">
        <v>46122</v>
      </c>
      <c r="C545" s="65">
        <v>46122</v>
      </c>
      <c r="D545" s="10" t="s">
        <v>38</v>
      </c>
      <c r="E545" s="66" t="s">
        <v>39</v>
      </c>
      <c r="F545" s="67" t="s">
        <v>62</v>
      </c>
      <c r="G545" s="66"/>
      <c r="H545" s="10" t="s">
        <v>684</v>
      </c>
      <c r="I545" s="67" t="str">
        <f>VLOOKUP(Table46[[#This Row],[SUPPLIERS NAME]],[1]AGING!X$3:Y$30,2,)</f>
        <v>LBA-021-SAN</v>
      </c>
      <c r="J545" s="10" t="s">
        <v>685</v>
      </c>
      <c r="K545" s="66"/>
      <c r="L545" s="10">
        <v>679</v>
      </c>
      <c r="M545" s="66">
        <f>VLOOKUP(Table46[[#This Row],[REF.]],'[2]RCN INWARD FACTORY YAKRO 2026'!$F$4:$M$257,8,0)</f>
        <v>37970</v>
      </c>
      <c r="N545" s="10">
        <v>488</v>
      </c>
      <c r="O545" s="22">
        <v>42110</v>
      </c>
      <c r="P545" s="51">
        <f>Table46[[#This Row],[GROSS WT KGS]]-Table46[[#This Row],[SACS]]</f>
        <v>41622</v>
      </c>
      <c r="Q545" s="10">
        <v>464</v>
      </c>
      <c r="R545" s="67">
        <v>0</v>
      </c>
      <c r="S545" s="10">
        <v>24</v>
      </c>
      <c r="T545" s="10">
        <f t="shared" si="63"/>
        <v>96</v>
      </c>
      <c r="U545" s="22">
        <f>Table46[[#This Row],[NET WT KGS]]-Table46[[#This Row],[Refraction]]</f>
        <v>41526</v>
      </c>
      <c r="V545" s="69">
        <v>500</v>
      </c>
      <c r="W545" s="23">
        <f>Table46[[#This Row],[PRICE]]*Table46[[#This Row],[PAID WT]]</f>
        <v>20763000</v>
      </c>
      <c r="X545" s="24">
        <v>13.7</v>
      </c>
      <c r="Y545" s="25">
        <v>166</v>
      </c>
      <c r="Z545" s="24">
        <v>43.38</v>
      </c>
      <c r="AA545" s="26"/>
      <c r="AB545" s="10" t="s">
        <v>58</v>
      </c>
      <c r="AC545" s="73" t="s">
        <v>686</v>
      </c>
      <c r="AD545" s="63" t="s">
        <v>659</v>
      </c>
      <c r="AE545" s="18">
        <f>Table46[[#This Row],[MOIS.]]*Table46[[#This Row],[NET WT KGS]]</f>
        <v>570221.4</v>
      </c>
      <c r="AF545" s="18">
        <f>Table46[[#This Row],[KOR]]*Table46[[#This Row],[NET WT KGS]]</f>
        <v>1805562.36</v>
      </c>
      <c r="AG545">
        <f>Table46[[#This Row],[NET WT KGS]]*Table46[[#This Row],[NUT COUNT]]</f>
        <v>6909252</v>
      </c>
    </row>
    <row r="546" spans="1:33" x14ac:dyDescent="0.35">
      <c r="A546" s="32">
        <f t="shared" si="61"/>
        <v>544</v>
      </c>
      <c r="B546" s="65">
        <v>46122</v>
      </c>
      <c r="C546" s="65">
        <v>46122</v>
      </c>
      <c r="D546" s="10" t="s">
        <v>38</v>
      </c>
      <c r="E546" s="66" t="s">
        <v>258</v>
      </c>
      <c r="F546" s="67" t="s">
        <v>62</v>
      </c>
      <c r="G546" s="66"/>
      <c r="H546" s="66" t="s">
        <v>687</v>
      </c>
      <c r="I546" s="67" t="str">
        <f>VLOOKUP(Table46[[#This Row],[SUPPLIERS NAME]],[1]AGING!X$3:Y$70,2,)</f>
        <v>DIS-025-SIM</v>
      </c>
      <c r="J546" s="66" t="s">
        <v>688</v>
      </c>
      <c r="K546" s="21" t="s">
        <v>689</v>
      </c>
      <c r="L546" s="66">
        <v>680</v>
      </c>
      <c r="M546" s="10">
        <v>33286</v>
      </c>
      <c r="N546" s="66">
        <v>728</v>
      </c>
      <c r="O546" s="93">
        <v>51920</v>
      </c>
      <c r="P546" s="51">
        <f>Table46[[#This Row],[GROSS WT KGS]]-Table46[[#This Row],[SACS]]</f>
        <v>51192</v>
      </c>
      <c r="Q546" s="66">
        <v>705</v>
      </c>
      <c r="R546" s="67">
        <v>0</v>
      </c>
      <c r="S546" s="66">
        <v>23</v>
      </c>
      <c r="T546" s="10">
        <f t="shared" si="63"/>
        <v>92</v>
      </c>
      <c r="U546" s="68">
        <f>Table46[[#This Row],[NET WT KGS]]-Table46[[#This Row],[Refraction]]</f>
        <v>51100</v>
      </c>
      <c r="V546" s="69">
        <v>505</v>
      </c>
      <c r="W546" s="69">
        <f>Table46[[#This Row],[PRICE]]*Table46[[#This Row],[PAID WT]]</f>
        <v>25805500</v>
      </c>
      <c r="X546" s="70">
        <v>12.3</v>
      </c>
      <c r="Y546" s="71">
        <v>180</v>
      </c>
      <c r="Z546" s="70">
        <v>43.56</v>
      </c>
      <c r="AA546" s="72"/>
      <c r="AB546" s="66" t="s">
        <v>607</v>
      </c>
      <c r="AC546" s="73"/>
      <c r="AD546" s="63" t="s">
        <v>659</v>
      </c>
      <c r="AE546" s="18">
        <f>Table46[[#This Row],[MOIS.]]*Table46[[#This Row],[NET WT KGS]]</f>
        <v>629661.60000000009</v>
      </c>
      <c r="AF546" s="18">
        <f>Table46[[#This Row],[KOR]]*Table46[[#This Row],[NET WT KGS]]</f>
        <v>2229923.52</v>
      </c>
      <c r="AG546">
        <f>Table46[[#This Row],[NET WT KGS]]*Table46[[#This Row],[NUT COUNT]]</f>
        <v>9214560</v>
      </c>
    </row>
    <row r="547" spans="1:33" x14ac:dyDescent="0.35">
      <c r="A547" s="32">
        <f t="shared" si="61"/>
        <v>545</v>
      </c>
      <c r="B547" s="91">
        <v>46122</v>
      </c>
      <c r="C547" s="91">
        <f>Table46[[#This Row],[DATE OF ARRIVAL]]</f>
        <v>46122</v>
      </c>
      <c r="D547" s="36"/>
      <c r="E547" s="74"/>
      <c r="F547" s="74" t="s">
        <v>40</v>
      </c>
      <c r="G547" s="74"/>
      <c r="H547" s="74" t="s">
        <v>154</v>
      </c>
      <c r="I547" s="74" t="s">
        <v>155</v>
      </c>
      <c r="J547" s="74" t="s">
        <v>311</v>
      </c>
      <c r="K547" s="74"/>
      <c r="L547" s="74"/>
      <c r="M547" s="74"/>
      <c r="N547" s="74"/>
      <c r="O547" s="79">
        <f t="shared" ref="O547:O555" si="64">P547+N547</f>
        <v>0</v>
      </c>
      <c r="P547" s="37"/>
      <c r="Q547" s="74"/>
      <c r="R547" s="80"/>
      <c r="S547" s="74"/>
      <c r="T547" s="36"/>
      <c r="U547" s="79">
        <f>Table46[[#This Row],[NET WT KGS]]-Table46[[#This Row],[Refraction]]</f>
        <v>0</v>
      </c>
      <c r="V547" s="81"/>
      <c r="W547" s="81">
        <f>Table46[[#This Row],[PRICE]]*Table46[[#This Row],[PAID WT]]</f>
        <v>0</v>
      </c>
      <c r="X547" s="82">
        <v>11.4</v>
      </c>
      <c r="Y547" s="83">
        <v>172</v>
      </c>
      <c r="Z547" s="82">
        <v>40.388730000000002</v>
      </c>
      <c r="AA547" s="84"/>
      <c r="AB547" s="74" t="s">
        <v>58</v>
      </c>
      <c r="AC547" s="92" t="s">
        <v>70</v>
      </c>
      <c r="AD547" s="28"/>
      <c r="AE547" s="18">
        <f>Table46[[#This Row],[MOIS.]]*Table46[[#This Row],[NET WT KGS]]</f>
        <v>0</v>
      </c>
      <c r="AF547" s="18">
        <f>Table46[[#This Row],[KOR]]*Table46[[#This Row],[NET WT KGS]]</f>
        <v>0</v>
      </c>
      <c r="AG547">
        <f>Table46[[#This Row],[NET WT KGS]]*Table46[[#This Row],[NUT COUNT]]</f>
        <v>0</v>
      </c>
    </row>
    <row r="548" spans="1:33" x14ac:dyDescent="0.35">
      <c r="A548" s="32">
        <f t="shared" si="61"/>
        <v>546</v>
      </c>
      <c r="B548" s="65">
        <v>46122</v>
      </c>
      <c r="C548" s="65">
        <v>46123</v>
      </c>
      <c r="D548" s="10" t="s">
        <v>38</v>
      </c>
      <c r="E548" s="66" t="s">
        <v>258</v>
      </c>
      <c r="F548" s="67" t="s">
        <v>40</v>
      </c>
      <c r="G548" s="66" t="s">
        <v>41</v>
      </c>
      <c r="H548" s="66" t="s">
        <v>335</v>
      </c>
      <c r="I548" s="67" t="str">
        <f>VLOOKUP(Table46[[#This Row],[SUPPLIERS NAME]],[1]AGING!X$3:Y$70,2,)</f>
        <v>DIS-003-DEM</v>
      </c>
      <c r="J548" s="66" t="s">
        <v>690</v>
      </c>
      <c r="K548" s="57" t="s">
        <v>337</v>
      </c>
      <c r="L548" s="66">
        <v>1107</v>
      </c>
      <c r="M548" s="10">
        <v>34038</v>
      </c>
      <c r="N548" s="66">
        <v>254</v>
      </c>
      <c r="O548" s="68">
        <f t="shared" si="64"/>
        <v>20940</v>
      </c>
      <c r="P548" s="10">
        <v>20686</v>
      </c>
      <c r="Q548" s="66">
        <v>237</v>
      </c>
      <c r="R548" s="67">
        <v>0</v>
      </c>
      <c r="S548" s="66">
        <v>17</v>
      </c>
      <c r="T548" s="10">
        <f t="shared" ref="T548:T556" si="65">S548*4+R548*8</f>
        <v>68</v>
      </c>
      <c r="U548" s="68">
        <f>Table46[[#This Row],[NET WT KGS]]-Table46[[#This Row],[Refraction]]</f>
        <v>20618</v>
      </c>
      <c r="V548" s="69">
        <v>500</v>
      </c>
      <c r="W548" s="69">
        <f>Table46[[#This Row],[PRICE]]*Table46[[#This Row],[PAID WT]]</f>
        <v>10309000</v>
      </c>
      <c r="X548" s="70">
        <v>9.1999999999999993</v>
      </c>
      <c r="Y548" s="71">
        <v>169</v>
      </c>
      <c r="Z548" s="70">
        <v>42.85</v>
      </c>
      <c r="AA548" s="72"/>
      <c r="AB548" s="66" t="s">
        <v>40</v>
      </c>
      <c r="AC548" s="73"/>
      <c r="AD548" s="63" t="s">
        <v>659</v>
      </c>
      <c r="AE548" s="18">
        <f>Table46[[#This Row],[MOIS.]]*Table46[[#This Row],[NET WT KGS]]</f>
        <v>190311.19999999998</v>
      </c>
      <c r="AF548" s="18">
        <f>Table46[[#This Row],[KOR]]*Table46[[#This Row],[NET WT KGS]]</f>
        <v>886395.1</v>
      </c>
      <c r="AG548">
        <f>Table46[[#This Row],[NET WT KGS]]*Table46[[#This Row],[NUT COUNT]]</f>
        <v>3495934</v>
      </c>
    </row>
    <row r="549" spans="1:33" x14ac:dyDescent="0.35">
      <c r="A549" s="32">
        <f t="shared" si="61"/>
        <v>547</v>
      </c>
      <c r="B549" s="65">
        <v>46122</v>
      </c>
      <c r="C549" s="65">
        <v>46123</v>
      </c>
      <c r="D549" s="10" t="s">
        <v>38</v>
      </c>
      <c r="E549" s="66" t="s">
        <v>258</v>
      </c>
      <c r="F549" s="67" t="s">
        <v>40</v>
      </c>
      <c r="G549" s="66" t="s">
        <v>350</v>
      </c>
      <c r="H549" s="67" t="s">
        <v>394</v>
      </c>
      <c r="I549" s="50" t="s">
        <v>188</v>
      </c>
      <c r="J549" s="66" t="s">
        <v>691</v>
      </c>
      <c r="K549" s="21" t="s">
        <v>692</v>
      </c>
      <c r="L549" s="66">
        <v>1108</v>
      </c>
      <c r="M549" s="10">
        <v>33852</v>
      </c>
      <c r="N549" s="66">
        <v>506</v>
      </c>
      <c r="O549" s="68">
        <f t="shared" si="64"/>
        <v>40400</v>
      </c>
      <c r="P549" s="22">
        <v>39894</v>
      </c>
      <c r="Q549" s="66">
        <v>486</v>
      </c>
      <c r="R549" s="67">
        <v>0</v>
      </c>
      <c r="S549" s="66">
        <v>20</v>
      </c>
      <c r="T549" s="10">
        <f t="shared" si="65"/>
        <v>80</v>
      </c>
      <c r="U549" s="68">
        <f>Table46[[#This Row],[NET WT KGS]]-Table46[[#This Row],[Refraction]]</f>
        <v>39814</v>
      </c>
      <c r="V549" s="69">
        <v>495</v>
      </c>
      <c r="W549" s="69">
        <f>Table46[[#This Row],[PRICE]]*Table46[[#This Row],[PAID WT]]</f>
        <v>19707930</v>
      </c>
      <c r="X549" s="70">
        <v>10.8</v>
      </c>
      <c r="Y549" s="71">
        <v>172</v>
      </c>
      <c r="Z549" s="70">
        <v>41.44</v>
      </c>
      <c r="AA549" s="72"/>
      <c r="AB549" s="66" t="s">
        <v>40</v>
      </c>
      <c r="AC549" s="73"/>
      <c r="AD549" s="63" t="s">
        <v>659</v>
      </c>
      <c r="AE549" s="18">
        <f>Table46[[#This Row],[MOIS.]]*Table46[[#This Row],[NET WT KGS]]</f>
        <v>430855.2</v>
      </c>
      <c r="AF549" s="18">
        <f>Table46[[#This Row],[KOR]]*Table46[[#This Row],[NET WT KGS]]</f>
        <v>1653207.3599999999</v>
      </c>
      <c r="AG549">
        <f>Table46[[#This Row],[NET WT KGS]]*Table46[[#This Row],[NUT COUNT]]</f>
        <v>6861768</v>
      </c>
    </row>
    <row r="550" spans="1:33" x14ac:dyDescent="0.35">
      <c r="A550" s="32">
        <f t="shared" si="61"/>
        <v>548</v>
      </c>
      <c r="B550" s="65">
        <v>46122</v>
      </c>
      <c r="C550" s="65">
        <v>46123</v>
      </c>
      <c r="D550" s="10" t="s">
        <v>38</v>
      </c>
      <c r="E550" s="66" t="s">
        <v>39</v>
      </c>
      <c r="F550" s="67" t="s">
        <v>40</v>
      </c>
      <c r="G550" s="66" t="s">
        <v>350</v>
      </c>
      <c r="H550" s="67" t="s">
        <v>280</v>
      </c>
      <c r="I550" s="67" t="str">
        <f>VLOOKUP(Table46[[#This Row],[SUPPLIERS NAME]],[1]AGING!X$3:Y$30,2,)</f>
        <v>LBA-016-NOU</v>
      </c>
      <c r="J550" s="66" t="s">
        <v>619</v>
      </c>
      <c r="K550" s="21" t="s">
        <v>283</v>
      </c>
      <c r="L550" s="66">
        <v>1109</v>
      </c>
      <c r="M550" s="10">
        <v>18448</v>
      </c>
      <c r="N550" s="66">
        <v>446</v>
      </c>
      <c r="O550" s="68">
        <f t="shared" si="64"/>
        <v>41680</v>
      </c>
      <c r="P550" s="22">
        <v>41234</v>
      </c>
      <c r="Q550" s="66">
        <v>427</v>
      </c>
      <c r="R550" s="67">
        <v>19</v>
      </c>
      <c r="S550" s="66">
        <v>0</v>
      </c>
      <c r="T550" s="10">
        <f t="shared" si="65"/>
        <v>152</v>
      </c>
      <c r="U550" s="68">
        <f>Table46[[#This Row],[NET WT KGS]]-Table46[[#This Row],[Refraction]]</f>
        <v>41082</v>
      </c>
      <c r="V550" s="69">
        <v>490</v>
      </c>
      <c r="W550" s="69">
        <f>Table46[[#This Row],[PRICE]]*Table46[[#This Row],[PAID WT]]</f>
        <v>20130180</v>
      </c>
      <c r="X550" s="70">
        <v>12.1</v>
      </c>
      <c r="Y550" s="71">
        <v>159</v>
      </c>
      <c r="Z550" s="70">
        <v>41.53</v>
      </c>
      <c r="AA550" s="72"/>
      <c r="AB550" s="66" t="s">
        <v>78</v>
      </c>
      <c r="AC550" s="73"/>
      <c r="AD550" s="63" t="s">
        <v>659</v>
      </c>
      <c r="AE550" s="18">
        <f>Table46[[#This Row],[MOIS.]]*Table46[[#This Row],[NET WT KGS]]</f>
        <v>498931.39999999997</v>
      </c>
      <c r="AF550" s="18">
        <f>Table46[[#This Row],[KOR]]*Table46[[#This Row],[NET WT KGS]]</f>
        <v>1712448.02</v>
      </c>
      <c r="AG550">
        <f>Table46[[#This Row],[NET WT KGS]]*Table46[[#This Row],[NUT COUNT]]</f>
        <v>6556206</v>
      </c>
    </row>
    <row r="551" spans="1:33" x14ac:dyDescent="0.35">
      <c r="A551" s="32">
        <f t="shared" si="61"/>
        <v>549</v>
      </c>
      <c r="B551" s="65">
        <v>46122</v>
      </c>
      <c r="C551" s="65">
        <v>46123</v>
      </c>
      <c r="D551" s="10" t="s">
        <v>38</v>
      </c>
      <c r="E551" s="66" t="s">
        <v>258</v>
      </c>
      <c r="F551" s="67" t="s">
        <v>40</v>
      </c>
      <c r="G551" s="66" t="s">
        <v>350</v>
      </c>
      <c r="H551" s="67" t="s">
        <v>392</v>
      </c>
      <c r="I551" s="50" t="s">
        <v>183</v>
      </c>
      <c r="J551" s="66" t="s">
        <v>693</v>
      </c>
      <c r="K551" s="21" t="s">
        <v>694</v>
      </c>
      <c r="L551" s="66">
        <v>1113</v>
      </c>
      <c r="M551" s="10">
        <v>31506</v>
      </c>
      <c r="N551" s="66">
        <v>588</v>
      </c>
      <c r="O551" s="68">
        <f t="shared" si="64"/>
        <v>50460</v>
      </c>
      <c r="P551" s="68">
        <v>49872</v>
      </c>
      <c r="Q551" s="66">
        <v>578</v>
      </c>
      <c r="R551" s="67">
        <v>0</v>
      </c>
      <c r="S551" s="66">
        <v>10</v>
      </c>
      <c r="T551" s="10">
        <f t="shared" si="65"/>
        <v>40</v>
      </c>
      <c r="U551" s="68">
        <f>Table46[[#This Row],[NET WT KGS]]-Table46[[#This Row],[Refraction]]</f>
        <v>49832</v>
      </c>
      <c r="V551" s="69">
        <v>510</v>
      </c>
      <c r="W551" s="69">
        <f>Table46[[#This Row],[PRICE]]*Table46[[#This Row],[PAID WT]]</f>
        <v>25414320</v>
      </c>
      <c r="X551" s="70">
        <v>11.6</v>
      </c>
      <c r="Y551" s="71">
        <v>171</v>
      </c>
      <c r="Z551" s="70">
        <v>43.56</v>
      </c>
      <c r="AA551" s="72"/>
      <c r="AB551" s="66" t="s">
        <v>324</v>
      </c>
      <c r="AC551" s="73"/>
      <c r="AD551" s="63" t="s">
        <v>659</v>
      </c>
      <c r="AE551" s="18">
        <f>Table46[[#This Row],[MOIS.]]*Table46[[#This Row],[NET WT KGS]]</f>
        <v>578515.19999999995</v>
      </c>
      <c r="AF551" s="18">
        <f>Table46[[#This Row],[KOR]]*Table46[[#This Row],[NET WT KGS]]</f>
        <v>2172424.3200000003</v>
      </c>
      <c r="AG551">
        <f>Table46[[#This Row],[NET WT KGS]]*Table46[[#This Row],[NUT COUNT]]</f>
        <v>8528112</v>
      </c>
    </row>
    <row r="552" spans="1:33" x14ac:dyDescent="0.35">
      <c r="A552" s="32">
        <f t="shared" si="61"/>
        <v>550</v>
      </c>
      <c r="B552" s="65">
        <v>46122</v>
      </c>
      <c r="C552" s="65">
        <v>46123</v>
      </c>
      <c r="D552" s="10" t="s">
        <v>38</v>
      </c>
      <c r="E552" s="66" t="s">
        <v>39</v>
      </c>
      <c r="F552" s="67" t="s">
        <v>40</v>
      </c>
      <c r="G552" s="66" t="s">
        <v>350</v>
      </c>
      <c r="H552" s="67" t="s">
        <v>74</v>
      </c>
      <c r="I552" s="67" t="str">
        <f>VLOOKUP(Table46[[#This Row],[SUPPLIERS NAME]],[1]AGING!X$3:Y$30,2,)</f>
        <v>LBA-003-HER</v>
      </c>
      <c r="J552" s="66" t="s">
        <v>187</v>
      </c>
      <c r="K552" s="33" t="s">
        <v>77</v>
      </c>
      <c r="L552" s="66">
        <v>1111</v>
      </c>
      <c r="M552" s="10">
        <v>19131</v>
      </c>
      <c r="N552" s="66">
        <v>529</v>
      </c>
      <c r="O552" s="68">
        <f t="shared" si="64"/>
        <v>45660</v>
      </c>
      <c r="P552" s="68">
        <v>45131</v>
      </c>
      <c r="Q552" s="66">
        <v>506</v>
      </c>
      <c r="R552" s="67">
        <v>23</v>
      </c>
      <c r="S552" s="66">
        <v>0</v>
      </c>
      <c r="T552" s="10">
        <f t="shared" si="65"/>
        <v>184</v>
      </c>
      <c r="U552" s="68">
        <f>Table46[[#This Row],[NET WT KGS]]-Table46[[#This Row],[Refraction]]</f>
        <v>44947</v>
      </c>
      <c r="V552" s="69">
        <v>500</v>
      </c>
      <c r="W552" s="69">
        <f>Table46[[#This Row],[PRICE]]*Table46[[#This Row],[PAID WT]]</f>
        <v>22473500</v>
      </c>
      <c r="X552" s="70">
        <v>11</v>
      </c>
      <c r="Y552" s="71">
        <v>161</v>
      </c>
      <c r="Z552" s="70">
        <v>42.5</v>
      </c>
      <c r="AA552" s="72"/>
      <c r="AB552" s="66" t="s">
        <v>78</v>
      </c>
      <c r="AC552" s="73"/>
      <c r="AD552" s="63" t="s">
        <v>659</v>
      </c>
      <c r="AE552" s="18">
        <f>Table46[[#This Row],[MOIS.]]*Table46[[#This Row],[NET WT KGS]]</f>
        <v>496441</v>
      </c>
      <c r="AF552" s="18">
        <f>Table46[[#This Row],[KOR]]*Table46[[#This Row],[NET WT KGS]]</f>
        <v>1918067.5</v>
      </c>
      <c r="AG552">
        <f>Table46[[#This Row],[NET WT KGS]]*Table46[[#This Row],[NUT COUNT]]</f>
        <v>7266091</v>
      </c>
    </row>
    <row r="553" spans="1:33" x14ac:dyDescent="0.35">
      <c r="A553" s="32">
        <f t="shared" si="61"/>
        <v>551</v>
      </c>
      <c r="B553" s="65">
        <v>46122</v>
      </c>
      <c r="C553" s="65">
        <v>46123</v>
      </c>
      <c r="D553" s="10" t="s">
        <v>38</v>
      </c>
      <c r="E553" s="66" t="s">
        <v>39</v>
      </c>
      <c r="F553" s="67" t="s">
        <v>40</v>
      </c>
      <c r="G553" s="66" t="s">
        <v>350</v>
      </c>
      <c r="H553" s="66" t="s">
        <v>338</v>
      </c>
      <c r="I553" s="67" t="str">
        <f>VLOOKUP(Table46[[#This Row],[SUPPLIERS NAME]],[1]AGING!X$3:Y$30,2,)</f>
        <v>LBA-018-COP</v>
      </c>
      <c r="J553" s="66" t="s">
        <v>482</v>
      </c>
      <c r="K553" s="57" t="s">
        <v>340</v>
      </c>
      <c r="L553" s="66">
        <v>1110</v>
      </c>
      <c r="M553" s="10">
        <v>19861</v>
      </c>
      <c r="N553" s="66">
        <v>463</v>
      </c>
      <c r="O553" s="68">
        <f t="shared" si="64"/>
        <v>38860</v>
      </c>
      <c r="P553" s="68">
        <v>38397</v>
      </c>
      <c r="Q553" s="66">
        <v>443</v>
      </c>
      <c r="R553" s="67">
        <v>0</v>
      </c>
      <c r="S553" s="66">
        <v>20</v>
      </c>
      <c r="T553" s="10">
        <f t="shared" si="65"/>
        <v>80</v>
      </c>
      <c r="U553" s="68">
        <f>Table46[[#This Row],[NET WT KGS]]-Table46[[#This Row],[Refraction]]</f>
        <v>38317</v>
      </c>
      <c r="V553" s="69">
        <v>510</v>
      </c>
      <c r="W553" s="69">
        <f>Table46[[#This Row],[PRICE]]*Table46[[#This Row],[PAID WT]]</f>
        <v>19541670</v>
      </c>
      <c r="X553" s="70">
        <v>10.8</v>
      </c>
      <c r="Y553" s="71">
        <v>158</v>
      </c>
      <c r="Z553" s="70">
        <v>43.58</v>
      </c>
      <c r="AA553" s="72"/>
      <c r="AB553" s="66" t="s">
        <v>284</v>
      </c>
      <c r="AC553" s="73"/>
      <c r="AD553" s="63" t="s">
        <v>659</v>
      </c>
      <c r="AE553" s="18">
        <f>Table46[[#This Row],[MOIS.]]*Table46[[#This Row],[NET WT KGS]]</f>
        <v>414687.60000000003</v>
      </c>
      <c r="AF553" s="18">
        <f>Table46[[#This Row],[KOR]]*Table46[[#This Row],[NET WT KGS]]</f>
        <v>1673341.26</v>
      </c>
      <c r="AG553">
        <f>Table46[[#This Row],[NET WT KGS]]*Table46[[#This Row],[NUT COUNT]]</f>
        <v>6066726</v>
      </c>
    </row>
    <row r="554" spans="1:33" x14ac:dyDescent="0.35">
      <c r="A554" s="32">
        <f t="shared" si="61"/>
        <v>552</v>
      </c>
      <c r="B554" s="65">
        <v>46122</v>
      </c>
      <c r="C554" s="65">
        <v>46123</v>
      </c>
      <c r="D554" s="10" t="s">
        <v>38</v>
      </c>
      <c r="E554" s="66" t="s">
        <v>39</v>
      </c>
      <c r="F554" s="67" t="s">
        <v>40</v>
      </c>
      <c r="G554" s="66" t="s">
        <v>41</v>
      </c>
      <c r="H554" s="67" t="s">
        <v>112</v>
      </c>
      <c r="I554" s="67" t="str">
        <f>VLOOKUP(Table46[[#This Row],[SUPPLIERS NAME]],[1]AGING!X$3:Y$30,2,)</f>
        <v>LBA-015-OUM</v>
      </c>
      <c r="J554" s="66" t="s">
        <v>114</v>
      </c>
      <c r="K554" s="21" t="s">
        <v>115</v>
      </c>
      <c r="L554" s="66">
        <v>1112</v>
      </c>
      <c r="M554" s="10">
        <v>88277</v>
      </c>
      <c r="N554" s="66">
        <v>583</v>
      </c>
      <c r="O554" s="68">
        <f t="shared" si="64"/>
        <v>49400</v>
      </c>
      <c r="P554" s="68">
        <v>48817</v>
      </c>
      <c r="Q554" s="66">
        <v>578</v>
      </c>
      <c r="R554" s="67">
        <v>0</v>
      </c>
      <c r="S554" s="66">
        <v>5</v>
      </c>
      <c r="T554" s="10">
        <f t="shared" si="65"/>
        <v>20</v>
      </c>
      <c r="U554" s="68">
        <f>Table46[[#This Row],[NET WT KGS]]-Table46[[#This Row],[Refraction]]</f>
        <v>48797</v>
      </c>
      <c r="V554" s="69">
        <v>500</v>
      </c>
      <c r="W554" s="69">
        <f>Table46[[#This Row],[PRICE]]*Table46[[#This Row],[PAID WT]]</f>
        <v>24398500</v>
      </c>
      <c r="X554" s="70">
        <v>8.1</v>
      </c>
      <c r="Y554" s="71">
        <v>176</v>
      </c>
      <c r="Z554" s="70">
        <v>42.15</v>
      </c>
      <c r="AA554" s="72"/>
      <c r="AB554" s="66" t="s">
        <v>132</v>
      </c>
      <c r="AC554" s="73"/>
      <c r="AD554" s="63" t="s">
        <v>659</v>
      </c>
      <c r="AE554" s="18">
        <f>Table46[[#This Row],[MOIS.]]*Table46[[#This Row],[NET WT KGS]]</f>
        <v>395417.7</v>
      </c>
      <c r="AF554" s="18">
        <f>Table46[[#This Row],[KOR]]*Table46[[#This Row],[NET WT KGS]]</f>
        <v>2057636.55</v>
      </c>
      <c r="AG554">
        <f>Table46[[#This Row],[NET WT KGS]]*Table46[[#This Row],[NUT COUNT]]</f>
        <v>8591792</v>
      </c>
    </row>
    <row r="555" spans="1:33" x14ac:dyDescent="0.35">
      <c r="A555" s="32">
        <f t="shared" si="61"/>
        <v>553</v>
      </c>
      <c r="B555" s="65">
        <v>46122</v>
      </c>
      <c r="C555" s="20">
        <v>46123</v>
      </c>
      <c r="D555" s="10" t="s">
        <v>38</v>
      </c>
      <c r="E555" s="66" t="s">
        <v>39</v>
      </c>
      <c r="F555" s="67" t="s">
        <v>40</v>
      </c>
      <c r="G555" s="66" t="s">
        <v>350</v>
      </c>
      <c r="H555" s="66" t="s">
        <v>338</v>
      </c>
      <c r="I555" s="67" t="str">
        <f>VLOOKUP(Table46[[#This Row],[SUPPLIERS NAME]],[1]AGING!X$3:Y$30,2,)</f>
        <v>LBA-018-COP</v>
      </c>
      <c r="J555" s="66" t="s">
        <v>695</v>
      </c>
      <c r="K555" s="57" t="s">
        <v>340</v>
      </c>
      <c r="L555" s="66">
        <v>1114</v>
      </c>
      <c r="M555" s="10">
        <v>18461</v>
      </c>
      <c r="N555" s="66">
        <v>459</v>
      </c>
      <c r="O555" s="68">
        <f t="shared" si="64"/>
        <v>39840</v>
      </c>
      <c r="P555" s="68">
        <v>39381</v>
      </c>
      <c r="Q555" s="66">
        <v>447</v>
      </c>
      <c r="R555" s="67">
        <v>0</v>
      </c>
      <c r="S555" s="66">
        <v>12</v>
      </c>
      <c r="T555" s="10">
        <f t="shared" si="65"/>
        <v>48</v>
      </c>
      <c r="U555" s="68">
        <f>Table46[[#This Row],[NET WT KGS]]-Table46[[#This Row],[Refraction]]</f>
        <v>39333</v>
      </c>
      <c r="V555" s="69">
        <v>510</v>
      </c>
      <c r="W555" s="69">
        <f>Table46[[#This Row],[PRICE]]*Table46[[#This Row],[PAID WT]]</f>
        <v>20059830</v>
      </c>
      <c r="X555" s="70">
        <v>10.9</v>
      </c>
      <c r="Y555" s="71">
        <v>160</v>
      </c>
      <c r="Z555" s="70">
        <v>43.73</v>
      </c>
      <c r="AA555" s="72"/>
      <c r="AB555" s="66" t="s">
        <v>284</v>
      </c>
      <c r="AC555" s="27"/>
      <c r="AD555" s="63" t="s">
        <v>659</v>
      </c>
      <c r="AE555" s="18">
        <f>Table46[[#This Row],[MOIS.]]*Table46[[#This Row],[NET WT KGS]]</f>
        <v>429252.9</v>
      </c>
      <c r="AF555" s="18">
        <f>Table46[[#This Row],[KOR]]*Table46[[#This Row],[NET WT KGS]]</f>
        <v>1722131.13</v>
      </c>
      <c r="AG555">
        <f>Table46[[#This Row],[NET WT KGS]]*Table46[[#This Row],[NUT COUNT]]</f>
        <v>6300960</v>
      </c>
    </row>
    <row r="556" spans="1:33" x14ac:dyDescent="0.35">
      <c r="A556" s="32">
        <f t="shared" si="61"/>
        <v>554</v>
      </c>
      <c r="B556" s="65">
        <v>46123</v>
      </c>
      <c r="C556" s="65">
        <v>46123</v>
      </c>
      <c r="D556" s="10" t="s">
        <v>38</v>
      </c>
      <c r="E556" s="66" t="s">
        <v>258</v>
      </c>
      <c r="F556" s="67" t="s">
        <v>62</v>
      </c>
      <c r="G556" s="66"/>
      <c r="H556" s="66" t="s">
        <v>502</v>
      </c>
      <c r="I556" s="66" t="s">
        <v>185</v>
      </c>
      <c r="J556" s="66" t="s">
        <v>696</v>
      </c>
      <c r="K556" s="21" t="s">
        <v>697</v>
      </c>
      <c r="L556" s="66">
        <v>681</v>
      </c>
      <c r="M556" s="10">
        <v>23302</v>
      </c>
      <c r="N556" s="66">
        <v>489</v>
      </c>
      <c r="O556" s="68">
        <v>40430</v>
      </c>
      <c r="P556" s="93">
        <f>Table46[[#This Row],[GROSS WT KGS]]-Table46[[#This Row],[SACS]]</f>
        <v>39941</v>
      </c>
      <c r="Q556" s="66">
        <v>465</v>
      </c>
      <c r="R556" s="67">
        <v>0</v>
      </c>
      <c r="S556" s="66">
        <v>24</v>
      </c>
      <c r="T556" s="10">
        <f t="shared" si="65"/>
        <v>96</v>
      </c>
      <c r="U556" s="68">
        <f>Table46[[#This Row],[NET WT KGS]]-Table46[[#This Row],[Refraction]]</f>
        <v>39845</v>
      </c>
      <c r="V556" s="69">
        <v>515</v>
      </c>
      <c r="W556" s="69">
        <f>Table46[[#This Row],[PRICE]]*Table46[[#This Row],[PAID WT]]</f>
        <v>20520175</v>
      </c>
      <c r="X556" s="70">
        <v>9.1</v>
      </c>
      <c r="Y556" s="71">
        <v>178</v>
      </c>
      <c r="Z556" s="70">
        <v>44.44</v>
      </c>
      <c r="AA556" s="72"/>
      <c r="AB556" s="66" t="s">
        <v>546</v>
      </c>
      <c r="AC556" s="73"/>
      <c r="AD556" s="63" t="s">
        <v>659</v>
      </c>
      <c r="AE556" s="18">
        <f>Table46[[#This Row],[MOIS.]]*Table46[[#This Row],[NET WT KGS]]</f>
        <v>363463.1</v>
      </c>
      <c r="AF556" s="18">
        <f>Table46[[#This Row],[KOR]]*Table46[[#This Row],[NET WT KGS]]</f>
        <v>1774978.0399999998</v>
      </c>
      <c r="AG556">
        <f>Table46[[#This Row],[NET WT KGS]]*Table46[[#This Row],[NUT COUNT]]</f>
        <v>7109498</v>
      </c>
    </row>
    <row r="557" spans="1:33" x14ac:dyDescent="0.35">
      <c r="A557" s="32">
        <f t="shared" si="61"/>
        <v>555</v>
      </c>
      <c r="B557" s="91">
        <v>46123</v>
      </c>
      <c r="C557" s="91">
        <f>Table46[[#This Row],[DATE OF ARRIVAL]]</f>
        <v>46123</v>
      </c>
      <c r="D557" s="36"/>
      <c r="E557" s="74"/>
      <c r="F557" s="74" t="s">
        <v>40</v>
      </c>
      <c r="G557" s="74"/>
      <c r="H557" s="74" t="s">
        <v>215</v>
      </c>
      <c r="I557" s="36" t="s">
        <v>216</v>
      </c>
      <c r="J557" s="74" t="s">
        <v>698</v>
      </c>
      <c r="K557" s="74"/>
      <c r="L557" s="74"/>
      <c r="M557" s="74"/>
      <c r="N557" s="74"/>
      <c r="O557" s="79">
        <f>P557+N557</f>
        <v>0</v>
      </c>
      <c r="P557" s="79"/>
      <c r="Q557" s="74"/>
      <c r="R557" s="80"/>
      <c r="S557" s="74"/>
      <c r="T557" s="36"/>
      <c r="U557" s="79">
        <f>Table46[[#This Row],[NET WT KGS]]-Table46[[#This Row],[Refraction]]</f>
        <v>0</v>
      </c>
      <c r="V557" s="81"/>
      <c r="W557" s="81">
        <f>Table46[[#This Row],[PRICE]]*Table46[[#This Row],[PAID WT]]</f>
        <v>0</v>
      </c>
      <c r="X557" s="82">
        <v>12.5</v>
      </c>
      <c r="Y557" s="83">
        <v>160</v>
      </c>
      <c r="Z557" s="82">
        <v>41.270580000000002</v>
      </c>
      <c r="AA557" s="84"/>
      <c r="AB557" s="74" t="s">
        <v>308</v>
      </c>
      <c r="AC557" s="92" t="s">
        <v>70</v>
      </c>
      <c r="AD557" s="28"/>
      <c r="AE557" s="18">
        <f>Table46[[#This Row],[MOIS.]]*Table46[[#This Row],[NET WT KGS]]</f>
        <v>0</v>
      </c>
      <c r="AF557" s="18">
        <f>Table46[[#This Row],[KOR]]*Table46[[#This Row],[NET WT KGS]]</f>
        <v>0</v>
      </c>
      <c r="AG557">
        <f>Table46[[#This Row],[NET WT KGS]]*Table46[[#This Row],[NUT COUNT]]</f>
        <v>0</v>
      </c>
    </row>
    <row r="558" spans="1:33" x14ac:dyDescent="0.35">
      <c r="A558" s="32">
        <f t="shared" si="61"/>
        <v>556</v>
      </c>
      <c r="B558" s="91">
        <v>46123</v>
      </c>
      <c r="C558" s="91">
        <f>Table46[[#This Row],[DATE OF ARRIVAL]]</f>
        <v>46123</v>
      </c>
      <c r="D558" s="36"/>
      <c r="E558" s="74"/>
      <c r="F558" s="74" t="s">
        <v>40</v>
      </c>
      <c r="G558" s="74"/>
      <c r="H558" s="74" t="s">
        <v>87</v>
      </c>
      <c r="I558" s="74" t="s">
        <v>88</v>
      </c>
      <c r="J558" s="74" t="s">
        <v>699</v>
      </c>
      <c r="K558" s="74"/>
      <c r="L558" s="74"/>
      <c r="M558" s="74"/>
      <c r="N558" s="74"/>
      <c r="O558" s="79">
        <f>P558+N558</f>
        <v>0</v>
      </c>
      <c r="P558" s="79"/>
      <c r="Q558" s="74"/>
      <c r="R558" s="80"/>
      <c r="S558" s="74"/>
      <c r="T558" s="36"/>
      <c r="U558" s="79">
        <f>Table46[[#This Row],[NET WT KGS]]-Table46[[#This Row],[Refraction]]</f>
        <v>0</v>
      </c>
      <c r="V558" s="81"/>
      <c r="W558" s="81">
        <f>Table46[[#This Row],[PRICE]]*Table46[[#This Row],[PAID WT]]</f>
        <v>0</v>
      </c>
      <c r="X558" s="82">
        <v>14.5</v>
      </c>
      <c r="Y558" s="83">
        <v>151</v>
      </c>
      <c r="Z558" s="82">
        <v>39.85962</v>
      </c>
      <c r="AA558" s="84"/>
      <c r="AB558" s="74" t="s">
        <v>308</v>
      </c>
      <c r="AC558" s="92" t="s">
        <v>70</v>
      </c>
      <c r="AD558" s="28"/>
      <c r="AE558" s="18">
        <f>Table46[[#This Row],[MOIS.]]*Table46[[#This Row],[NET WT KGS]]</f>
        <v>0</v>
      </c>
      <c r="AF558" s="18">
        <f>Table46[[#This Row],[KOR]]*Table46[[#This Row],[NET WT KGS]]</f>
        <v>0</v>
      </c>
      <c r="AG558">
        <f>Table46[[#This Row],[NET WT KGS]]*Table46[[#This Row],[NUT COUNT]]</f>
        <v>0</v>
      </c>
    </row>
    <row r="559" spans="1:33" x14ac:dyDescent="0.35">
      <c r="A559" s="32">
        <f t="shared" si="61"/>
        <v>557</v>
      </c>
      <c r="B559" s="91">
        <v>46123</v>
      </c>
      <c r="C559" s="91">
        <f>Table46[[#This Row],[DATE OF ARRIVAL]]</f>
        <v>46123</v>
      </c>
      <c r="D559" s="36"/>
      <c r="E559" s="74"/>
      <c r="F559" s="74" t="s">
        <v>40</v>
      </c>
      <c r="G559" s="74"/>
      <c r="H559" s="74" t="s">
        <v>404</v>
      </c>
      <c r="I559" s="36" t="s">
        <v>225</v>
      </c>
      <c r="J559" s="74" t="s">
        <v>700</v>
      </c>
      <c r="K559" s="74"/>
      <c r="L559" s="74"/>
      <c r="M559" s="74"/>
      <c r="N559" s="74"/>
      <c r="O559" s="79">
        <f>P559+N559</f>
        <v>0</v>
      </c>
      <c r="P559" s="79"/>
      <c r="Q559" s="74"/>
      <c r="R559" s="80"/>
      <c r="S559" s="74"/>
      <c r="T559" s="36"/>
      <c r="U559" s="79">
        <f>Table46[[#This Row],[NET WT KGS]]-Table46[[#This Row],[Refraction]]</f>
        <v>0</v>
      </c>
      <c r="V559" s="81"/>
      <c r="W559" s="81">
        <f>Table46[[#This Row],[PRICE]]*Table46[[#This Row],[PAID WT]]</f>
        <v>0</v>
      </c>
      <c r="X559" s="82">
        <v>11.8</v>
      </c>
      <c r="Y559" s="83">
        <v>164</v>
      </c>
      <c r="Z559" s="82">
        <v>41.094209999999997</v>
      </c>
      <c r="AA559" s="84"/>
      <c r="AB559" s="74" t="s">
        <v>58</v>
      </c>
      <c r="AC559" s="92" t="s">
        <v>70</v>
      </c>
      <c r="AD559" s="28"/>
      <c r="AE559" s="18">
        <f>Table46[[#This Row],[MOIS.]]*Table46[[#This Row],[NET WT KGS]]</f>
        <v>0</v>
      </c>
      <c r="AF559" s="18">
        <f>Table46[[#This Row],[KOR]]*Table46[[#This Row],[NET WT KGS]]</f>
        <v>0</v>
      </c>
      <c r="AG559">
        <f>Table46[[#This Row],[NET WT KGS]]*Table46[[#This Row],[NUT COUNT]]</f>
        <v>0</v>
      </c>
    </row>
    <row r="560" spans="1:33" x14ac:dyDescent="0.35">
      <c r="A560" s="32">
        <f t="shared" si="61"/>
        <v>558</v>
      </c>
      <c r="B560" s="91">
        <v>46123</v>
      </c>
      <c r="C560" s="91">
        <f>Table46[[#This Row],[DATE OF ARRIVAL]]</f>
        <v>46123</v>
      </c>
      <c r="D560" s="36"/>
      <c r="E560" s="74"/>
      <c r="F560" s="74" t="s">
        <v>62</v>
      </c>
      <c r="G560" s="74"/>
      <c r="H560" s="36" t="s">
        <v>87</v>
      </c>
      <c r="I560" s="74" t="s">
        <v>88</v>
      </c>
      <c r="J560" s="74" t="s">
        <v>701</v>
      </c>
      <c r="K560" s="74"/>
      <c r="L560" s="74"/>
      <c r="M560" s="74"/>
      <c r="N560" s="74"/>
      <c r="O560" s="79">
        <f>P560+N560</f>
        <v>0</v>
      </c>
      <c r="P560" s="37"/>
      <c r="Q560" s="74"/>
      <c r="R560" s="80"/>
      <c r="S560" s="74"/>
      <c r="T560" s="36"/>
      <c r="U560" s="79">
        <f>Table46[[#This Row],[NET WT KGS]]-Table46[[#This Row],[Refraction]]</f>
        <v>0</v>
      </c>
      <c r="V560" s="81"/>
      <c r="W560" s="81">
        <f>Table46[[#This Row],[PRICE]]*Table46[[#This Row],[PAID WT]]</f>
        <v>0</v>
      </c>
      <c r="X560" s="82">
        <v>12.3</v>
      </c>
      <c r="Y560" s="83">
        <v>156</v>
      </c>
      <c r="Z560" s="82">
        <v>38.71</v>
      </c>
      <c r="AA560" s="84"/>
      <c r="AB560" s="74" t="s">
        <v>308</v>
      </c>
      <c r="AC560" s="92" t="s">
        <v>70</v>
      </c>
      <c r="AD560" s="99"/>
      <c r="AE560" s="18">
        <f>Table46[[#This Row],[MOIS.]]*Table46[[#This Row],[NET WT KGS]]</f>
        <v>0</v>
      </c>
      <c r="AF560" s="18">
        <f>Table46[[#This Row],[KOR]]*Table46[[#This Row],[NET WT KGS]]</f>
        <v>0</v>
      </c>
      <c r="AG560">
        <f>Table46[[#This Row],[NET WT KGS]]*Table46[[#This Row],[NUT COUNT]]</f>
        <v>0</v>
      </c>
    </row>
    <row r="561" spans="1:33" x14ac:dyDescent="0.35">
      <c r="A561" s="32">
        <f t="shared" si="61"/>
        <v>559</v>
      </c>
      <c r="B561" s="91">
        <v>46123</v>
      </c>
      <c r="C561" s="91">
        <f>Table46[[#This Row],[DATE OF ARRIVAL]]</f>
        <v>46123</v>
      </c>
      <c r="D561" s="36"/>
      <c r="E561" s="74"/>
      <c r="F561" s="74" t="s">
        <v>62</v>
      </c>
      <c r="G561" s="74"/>
      <c r="H561" s="74" t="s">
        <v>502</v>
      </c>
      <c r="I561" s="74" t="s">
        <v>185</v>
      </c>
      <c r="J561" s="74" t="s">
        <v>702</v>
      </c>
      <c r="K561" s="74"/>
      <c r="L561" s="74"/>
      <c r="M561" s="74"/>
      <c r="N561" s="74"/>
      <c r="O561" s="79">
        <f>P561+N561</f>
        <v>0</v>
      </c>
      <c r="P561" s="37"/>
      <c r="Q561" s="74"/>
      <c r="R561" s="80"/>
      <c r="S561" s="74"/>
      <c r="T561" s="36"/>
      <c r="U561" s="79">
        <f>Table46[[#This Row],[NET WT KGS]]-Table46[[#This Row],[Refraction]]</f>
        <v>0</v>
      </c>
      <c r="V561" s="81"/>
      <c r="W561" s="81">
        <f>Table46[[#This Row],[PRICE]]*Table46[[#This Row],[PAID WT]]</f>
        <v>0</v>
      </c>
      <c r="X561" s="82">
        <v>11.3</v>
      </c>
      <c r="Y561" s="83">
        <v>181</v>
      </c>
      <c r="Z561" s="82">
        <v>40.119999999999997</v>
      </c>
      <c r="AA561" s="84"/>
      <c r="AB561" s="74" t="s">
        <v>703</v>
      </c>
      <c r="AC561" s="92" t="s">
        <v>70</v>
      </c>
      <c r="AD561" s="99"/>
      <c r="AE561" s="18">
        <f>Table46[[#This Row],[MOIS.]]*Table46[[#This Row],[NET WT KGS]]</f>
        <v>0</v>
      </c>
      <c r="AF561" s="18">
        <f>Table46[[#This Row],[KOR]]*Table46[[#This Row],[NET WT KGS]]</f>
        <v>0</v>
      </c>
      <c r="AG561">
        <f>Table46[[#This Row],[NET WT KGS]]*Table46[[#This Row],[NUT COUNT]]</f>
        <v>0</v>
      </c>
    </row>
    <row r="562" spans="1:33" x14ac:dyDescent="0.35">
      <c r="A562" s="32">
        <f t="shared" si="61"/>
        <v>560</v>
      </c>
      <c r="B562" s="65">
        <v>46123</v>
      </c>
      <c r="C562" s="20">
        <v>46124</v>
      </c>
      <c r="D562" s="10" t="s">
        <v>38</v>
      </c>
      <c r="E562" s="66" t="s">
        <v>39</v>
      </c>
      <c r="F562" s="67" t="s">
        <v>62</v>
      </c>
      <c r="G562" s="10"/>
      <c r="H562" s="10" t="s">
        <v>118</v>
      </c>
      <c r="I562" s="67" t="str">
        <f>VLOOKUP(Table46[[#This Row],[SUPPLIERS NAME]],[1]AGING!X$3:Y$30,2,)</f>
        <v>LBA-001-SOC</v>
      </c>
      <c r="J562" s="10" t="s">
        <v>704</v>
      </c>
      <c r="K562" s="33" t="s">
        <v>266</v>
      </c>
      <c r="L562" s="10">
        <v>682</v>
      </c>
      <c r="M562" s="10">
        <v>37636</v>
      </c>
      <c r="N562" s="10">
        <v>671</v>
      </c>
      <c r="O562" s="22">
        <v>52760</v>
      </c>
      <c r="P562" s="51">
        <f>Table46[[#This Row],[GROSS WT KGS]]-Table46[[#This Row],[SACS]]</f>
        <v>52089</v>
      </c>
      <c r="Q562" s="10">
        <v>640</v>
      </c>
      <c r="R562" s="67">
        <v>0</v>
      </c>
      <c r="S562" s="10">
        <v>31</v>
      </c>
      <c r="T562" s="10">
        <f>S562*4+R562*8</f>
        <v>124</v>
      </c>
      <c r="U562" s="68">
        <f>Table46[[#This Row],[NET WT KGS]]-Table46[[#This Row],[Refraction]]</f>
        <v>51965</v>
      </c>
      <c r="V562" s="69">
        <v>500</v>
      </c>
      <c r="W562" s="23">
        <f>Table46[[#This Row],[PRICE]]*Table46[[#This Row],[PAID WT]]</f>
        <v>25982500</v>
      </c>
      <c r="X562" s="24">
        <v>12.2</v>
      </c>
      <c r="Y562" s="25">
        <v>184</v>
      </c>
      <c r="Z562" s="24">
        <v>41.44</v>
      </c>
      <c r="AA562" s="26"/>
      <c r="AB562" s="10" t="s">
        <v>398</v>
      </c>
      <c r="AC562" s="27"/>
      <c r="AD562" s="63" t="s">
        <v>659</v>
      </c>
      <c r="AE562" s="18">
        <f>Table46[[#This Row],[MOIS.]]*Table46[[#This Row],[NET WT KGS]]</f>
        <v>635485.79999999993</v>
      </c>
      <c r="AF562" s="18">
        <f>Table46[[#This Row],[KOR]]*Table46[[#This Row],[NET WT KGS]]</f>
        <v>2158568.1599999997</v>
      </c>
      <c r="AG562">
        <f>Table46[[#This Row],[NET WT KGS]]*Table46[[#This Row],[NUT COUNT]]</f>
        <v>9584376</v>
      </c>
    </row>
    <row r="563" spans="1:33" x14ac:dyDescent="0.35">
      <c r="A563" s="32">
        <f t="shared" si="61"/>
        <v>561</v>
      </c>
      <c r="B563" s="65">
        <v>46123</v>
      </c>
      <c r="C563" s="20">
        <v>46124</v>
      </c>
      <c r="D563" s="10" t="s">
        <v>38</v>
      </c>
      <c r="E563" s="66" t="s">
        <v>258</v>
      </c>
      <c r="F563" s="67" t="s">
        <v>40</v>
      </c>
      <c r="G563" s="66" t="s">
        <v>350</v>
      </c>
      <c r="H563" s="67" t="s">
        <v>373</v>
      </c>
      <c r="I563" s="67" t="str">
        <f>VLOOKUP(Table46[[#This Row],[SUPPLIERS NAME]],[1]AGING!X$3:Y$70,2,)</f>
        <v>DIS-008-FOU</v>
      </c>
      <c r="J563" s="66" t="s">
        <v>705</v>
      </c>
      <c r="K563" s="57" t="s">
        <v>435</v>
      </c>
      <c r="L563" s="66">
        <v>1115</v>
      </c>
      <c r="M563" s="10">
        <v>63870</v>
      </c>
      <c r="N563" s="66">
        <v>540</v>
      </c>
      <c r="O563" s="68">
        <f t="shared" ref="O563:O571" si="66">P563+N563</f>
        <v>41500</v>
      </c>
      <c r="P563" s="22">
        <v>40960</v>
      </c>
      <c r="Q563" s="66">
        <v>533</v>
      </c>
      <c r="R563" s="67">
        <v>0</v>
      </c>
      <c r="S563" s="66">
        <v>7</v>
      </c>
      <c r="T563" s="10">
        <f>S563*4+R563*8</f>
        <v>28</v>
      </c>
      <c r="U563" s="68">
        <f>Table46[[#This Row],[NET WT KGS]]-Table46[[#This Row],[Refraction]]</f>
        <v>40932</v>
      </c>
      <c r="V563" s="69">
        <v>510</v>
      </c>
      <c r="W563" s="69">
        <f>Table46[[#This Row],[PRICE]]*Table46[[#This Row],[PAID WT]]</f>
        <v>20875320</v>
      </c>
      <c r="X563" s="70">
        <v>10.8</v>
      </c>
      <c r="Y563" s="71">
        <v>170</v>
      </c>
      <c r="Z563" s="70">
        <v>42.06</v>
      </c>
      <c r="AA563" s="72"/>
      <c r="AB563" s="66" t="s">
        <v>358</v>
      </c>
      <c r="AC563" s="27"/>
      <c r="AD563" s="63" t="s">
        <v>659</v>
      </c>
      <c r="AE563" s="18">
        <f>Table46[[#This Row],[MOIS.]]*Table46[[#This Row],[NET WT KGS]]</f>
        <v>442368</v>
      </c>
      <c r="AF563" s="18">
        <f>Table46[[#This Row],[KOR]]*Table46[[#This Row],[NET WT KGS]]</f>
        <v>1722777.6000000001</v>
      </c>
      <c r="AG563">
        <f>Table46[[#This Row],[NET WT KGS]]*Table46[[#This Row],[NUT COUNT]]</f>
        <v>6963200</v>
      </c>
    </row>
    <row r="564" spans="1:33" x14ac:dyDescent="0.35">
      <c r="A564" s="32">
        <f t="shared" si="61"/>
        <v>562</v>
      </c>
      <c r="B564" s="65">
        <v>46123</v>
      </c>
      <c r="C564" s="20">
        <v>46124</v>
      </c>
      <c r="D564" s="10" t="s">
        <v>38</v>
      </c>
      <c r="E564" s="66" t="s">
        <v>39</v>
      </c>
      <c r="F564" s="67" t="s">
        <v>40</v>
      </c>
      <c r="G564" s="66" t="s">
        <v>350</v>
      </c>
      <c r="H564" s="67" t="s">
        <v>123</v>
      </c>
      <c r="I564" s="50" t="str">
        <f>VLOOKUP(Table46[[#This Row],[SUPPLIERS NAME]],[1]AGING!X$3:Y$30,2,)</f>
        <v>LBA-011-ASR</v>
      </c>
      <c r="J564" s="66" t="s">
        <v>626</v>
      </c>
      <c r="K564" s="21" t="s">
        <v>161</v>
      </c>
      <c r="L564" s="66">
        <v>1116</v>
      </c>
      <c r="M564" s="10">
        <v>33496</v>
      </c>
      <c r="N564" s="66">
        <v>639</v>
      </c>
      <c r="O564" s="68">
        <f t="shared" si="66"/>
        <v>52880</v>
      </c>
      <c r="P564" s="22">
        <v>52241</v>
      </c>
      <c r="Q564" s="66">
        <v>622</v>
      </c>
      <c r="R564" s="67">
        <v>0</v>
      </c>
      <c r="S564" s="66">
        <v>17</v>
      </c>
      <c r="T564" s="10">
        <f>S564*4+R564*8</f>
        <v>68</v>
      </c>
      <c r="U564" s="68">
        <f>Table46[[#This Row],[NET WT KGS]]-Table46[[#This Row],[Refraction]]</f>
        <v>52173</v>
      </c>
      <c r="V564" s="69">
        <v>510</v>
      </c>
      <c r="W564" s="69">
        <f>Table46[[#This Row],[PRICE]]*Table46[[#This Row],[PAID WT]]</f>
        <v>26608230</v>
      </c>
      <c r="X564" s="70">
        <v>10</v>
      </c>
      <c r="Y564" s="71">
        <v>170</v>
      </c>
      <c r="Z564" s="70">
        <v>42.32</v>
      </c>
      <c r="AA564" s="72"/>
      <c r="AB564" s="66" t="s">
        <v>40</v>
      </c>
      <c r="AC564" s="27"/>
      <c r="AD564" s="63" t="s">
        <v>659</v>
      </c>
      <c r="AE564" s="18">
        <f>Table46[[#This Row],[MOIS.]]*Table46[[#This Row],[NET WT KGS]]</f>
        <v>522410</v>
      </c>
      <c r="AF564" s="18">
        <f>Table46[[#This Row],[KOR]]*Table46[[#This Row],[NET WT KGS]]</f>
        <v>2210839.12</v>
      </c>
      <c r="AG564">
        <f>Table46[[#This Row],[NET WT KGS]]*Table46[[#This Row],[NUT COUNT]]</f>
        <v>8880970</v>
      </c>
    </row>
    <row r="565" spans="1:33" x14ac:dyDescent="0.35">
      <c r="A565" s="32">
        <f t="shared" si="61"/>
        <v>563</v>
      </c>
      <c r="B565" s="65">
        <v>46123</v>
      </c>
      <c r="C565" s="20">
        <v>46124</v>
      </c>
      <c r="D565" s="10" t="s">
        <v>38</v>
      </c>
      <c r="E565" s="66" t="s">
        <v>39</v>
      </c>
      <c r="F565" s="50" t="s">
        <v>40</v>
      </c>
      <c r="G565" s="66" t="s">
        <v>41</v>
      </c>
      <c r="H565" s="67" t="s">
        <v>105</v>
      </c>
      <c r="I565" s="67" t="str">
        <f>VLOOKUP(Table46[[#This Row],[SUPPLIERS NAME]],[1]AGING!X$3:Y$30,2,)</f>
        <v>LBA-014-BAY</v>
      </c>
      <c r="J565" s="66" t="s">
        <v>167</v>
      </c>
      <c r="K565" s="33" t="s">
        <v>108</v>
      </c>
      <c r="L565" s="66">
        <v>1117</v>
      </c>
      <c r="M565" s="10">
        <v>32831</v>
      </c>
      <c r="N565" s="66">
        <v>232</v>
      </c>
      <c r="O565" s="68">
        <f t="shared" si="66"/>
        <v>19820</v>
      </c>
      <c r="P565" s="22">
        <v>19588</v>
      </c>
      <c r="Q565" s="66">
        <v>171</v>
      </c>
      <c r="R565" s="67">
        <v>61</v>
      </c>
      <c r="S565" s="66">
        <v>0</v>
      </c>
      <c r="T565" s="10">
        <f>S565*4+R565*8</f>
        <v>488</v>
      </c>
      <c r="U565" s="68">
        <f>Table46[[#This Row],[NET WT KGS]]-Table46[[#This Row],[Refraction]]</f>
        <v>19100</v>
      </c>
      <c r="V565" s="69">
        <v>500</v>
      </c>
      <c r="W565" s="69">
        <f>Table46[[#This Row],[PRICE]]*Table46[[#This Row],[PAID WT]]</f>
        <v>9550000</v>
      </c>
      <c r="X565" s="70">
        <v>13.3</v>
      </c>
      <c r="Y565" s="71">
        <v>161</v>
      </c>
      <c r="Z565" s="70">
        <v>42.5</v>
      </c>
      <c r="AA565" s="72"/>
      <c r="AB565" s="66" t="s">
        <v>458</v>
      </c>
      <c r="AC565" s="27"/>
      <c r="AD565" s="63" t="s">
        <v>659</v>
      </c>
      <c r="AE565" s="18">
        <f>Table46[[#This Row],[MOIS.]]*Table46[[#This Row],[NET WT KGS]]</f>
        <v>260520.40000000002</v>
      </c>
      <c r="AF565" s="18">
        <f>Table46[[#This Row],[KOR]]*Table46[[#This Row],[NET WT KGS]]</f>
        <v>832490</v>
      </c>
      <c r="AG565">
        <f>Table46[[#This Row],[NET WT KGS]]*Table46[[#This Row],[NUT COUNT]]</f>
        <v>3153668</v>
      </c>
    </row>
    <row r="566" spans="1:33" x14ac:dyDescent="0.35">
      <c r="A566" s="32">
        <f t="shared" si="61"/>
        <v>564</v>
      </c>
      <c r="B566" s="65">
        <v>46123</v>
      </c>
      <c r="C566" s="20">
        <v>46124</v>
      </c>
      <c r="D566" s="10" t="s">
        <v>38</v>
      </c>
      <c r="E566" s="66" t="s">
        <v>39</v>
      </c>
      <c r="F566" s="50" t="s">
        <v>40</v>
      </c>
      <c r="G566" s="66" t="s">
        <v>350</v>
      </c>
      <c r="H566" s="66" t="s">
        <v>338</v>
      </c>
      <c r="I566" s="67" t="str">
        <f>VLOOKUP(Table46[[#This Row],[SUPPLIERS NAME]],[1]AGING!X$3:Y$30,2,)</f>
        <v>LBA-018-COP</v>
      </c>
      <c r="J566" s="66" t="s">
        <v>682</v>
      </c>
      <c r="K566" s="57" t="s">
        <v>340</v>
      </c>
      <c r="L566" s="66">
        <v>1118</v>
      </c>
      <c r="M566" s="10">
        <v>19867</v>
      </c>
      <c r="N566" s="66">
        <v>446</v>
      </c>
      <c r="O566" s="68">
        <f t="shared" si="66"/>
        <v>38900</v>
      </c>
      <c r="P566" s="68">
        <v>38454</v>
      </c>
      <c r="Q566" s="66">
        <v>435</v>
      </c>
      <c r="R566" s="67">
        <v>0</v>
      </c>
      <c r="S566" s="66">
        <v>11</v>
      </c>
      <c r="T566" s="10">
        <f>S566*4+R566*8</f>
        <v>44</v>
      </c>
      <c r="U566" s="68">
        <f>Table46[[#This Row],[NET WT KGS]]-Table46[[#This Row],[Refraction]]</f>
        <v>38410</v>
      </c>
      <c r="V566" s="69">
        <v>510</v>
      </c>
      <c r="W566" s="69">
        <f>Table46[[#This Row],[PRICE]]*Table46[[#This Row],[PAID WT]]</f>
        <v>19589100</v>
      </c>
      <c r="X566" s="70">
        <v>10.4</v>
      </c>
      <c r="Y566" s="71">
        <v>172</v>
      </c>
      <c r="Z566" s="70">
        <v>42.15</v>
      </c>
      <c r="AA566" s="72"/>
      <c r="AB566" s="66" t="s">
        <v>284</v>
      </c>
      <c r="AC566" s="27"/>
      <c r="AD566" s="63" t="s">
        <v>659</v>
      </c>
      <c r="AE566" s="18">
        <f>Table46[[#This Row],[MOIS.]]*Table46[[#This Row],[NET WT KGS]]</f>
        <v>399921.60000000003</v>
      </c>
      <c r="AF566" s="18">
        <f>Table46[[#This Row],[KOR]]*Table46[[#This Row],[NET WT KGS]]</f>
        <v>1620836.0999999999</v>
      </c>
      <c r="AG566">
        <f>Table46[[#This Row],[NET WT KGS]]*Table46[[#This Row],[NUT COUNT]]</f>
        <v>6614088</v>
      </c>
    </row>
    <row r="567" spans="1:33" x14ac:dyDescent="0.35">
      <c r="A567" s="32">
        <f t="shared" si="61"/>
        <v>565</v>
      </c>
      <c r="B567" s="91">
        <v>46124</v>
      </c>
      <c r="C567" s="91">
        <f>Table46[[#This Row],[DATE OF ARRIVAL]]</f>
        <v>46124</v>
      </c>
      <c r="D567" s="36"/>
      <c r="E567" s="74"/>
      <c r="F567" s="74" t="s">
        <v>40</v>
      </c>
      <c r="G567" s="74"/>
      <c r="H567" s="74" t="s">
        <v>123</v>
      </c>
      <c r="I567" s="74" t="s">
        <v>124</v>
      </c>
      <c r="J567" s="74" t="s">
        <v>623</v>
      </c>
      <c r="K567" s="74"/>
      <c r="L567" s="74"/>
      <c r="M567" s="74"/>
      <c r="N567" s="74"/>
      <c r="O567" s="79">
        <f t="shared" si="66"/>
        <v>0</v>
      </c>
      <c r="P567" s="79"/>
      <c r="Q567" s="74"/>
      <c r="R567" s="80"/>
      <c r="S567" s="74"/>
      <c r="T567" s="36"/>
      <c r="U567" s="79">
        <f>Table46[[#This Row],[NET WT KGS]]-Table46[[#This Row],[Refraction]]</f>
        <v>0</v>
      </c>
      <c r="V567" s="81"/>
      <c r="W567" s="81">
        <f>Table46[[#This Row],[PRICE]]*Table46[[#This Row],[PAID WT]]</f>
        <v>0</v>
      </c>
      <c r="X567" s="82">
        <v>9.8000000000000007</v>
      </c>
      <c r="Y567" s="83">
        <v>173</v>
      </c>
      <c r="Z567" s="82">
        <v>40.653284999999997</v>
      </c>
      <c r="AA567" s="84"/>
      <c r="AB567" s="74" t="s">
        <v>40</v>
      </c>
      <c r="AC567" s="92" t="s">
        <v>70</v>
      </c>
      <c r="AD567" s="28"/>
      <c r="AE567" s="18">
        <f>Table46[[#This Row],[MOIS.]]*Table46[[#This Row],[NET WT KGS]]</f>
        <v>0</v>
      </c>
      <c r="AF567" s="18">
        <f>Table46[[#This Row],[KOR]]*Table46[[#This Row],[NET WT KGS]]</f>
        <v>0</v>
      </c>
      <c r="AG567">
        <f>Table46[[#This Row],[NET WT KGS]]*Table46[[#This Row],[NUT COUNT]]</f>
        <v>0</v>
      </c>
    </row>
    <row r="568" spans="1:33" x14ac:dyDescent="0.35">
      <c r="A568" s="32">
        <f t="shared" si="61"/>
        <v>566</v>
      </c>
      <c r="B568" s="91">
        <v>46124</v>
      </c>
      <c r="C568" s="91">
        <f>Table46[[#This Row],[DATE OF ARRIVAL]]</f>
        <v>46124</v>
      </c>
      <c r="D568" s="36"/>
      <c r="E568" s="36"/>
      <c r="F568" s="36" t="s">
        <v>40</v>
      </c>
      <c r="G568" s="74"/>
      <c r="H568" s="36" t="s">
        <v>154</v>
      </c>
      <c r="I568" s="74" t="s">
        <v>155</v>
      </c>
      <c r="J568" s="36" t="s">
        <v>706</v>
      </c>
      <c r="K568" s="74"/>
      <c r="L568" s="36"/>
      <c r="M568" s="74"/>
      <c r="N568" s="36"/>
      <c r="O568" s="37">
        <f t="shared" si="66"/>
        <v>0</v>
      </c>
      <c r="P568" s="37"/>
      <c r="Q568" s="36"/>
      <c r="R568" s="80"/>
      <c r="S568" s="36"/>
      <c r="T568" s="36"/>
      <c r="U568" s="37">
        <f>Table46[[#This Row],[NET WT KGS]]-Table46[[#This Row],[Refraction]]</f>
        <v>0</v>
      </c>
      <c r="V568" s="38"/>
      <c r="W568" s="38">
        <f>Table46[[#This Row],[PRICE]]*Table46[[#This Row],[PAID WT]]</f>
        <v>0</v>
      </c>
      <c r="X568" s="39">
        <v>11.4</v>
      </c>
      <c r="Y568" s="40">
        <v>172</v>
      </c>
      <c r="Z568" s="39">
        <v>40.212359999999997</v>
      </c>
      <c r="AA568" s="41"/>
      <c r="AB568" s="36" t="s">
        <v>40</v>
      </c>
      <c r="AC568" s="42" t="s">
        <v>70</v>
      </c>
      <c r="AD568" s="28"/>
      <c r="AE568" s="18">
        <f>Table46[[#This Row],[MOIS.]]*Table46[[#This Row],[NET WT KGS]]</f>
        <v>0</v>
      </c>
      <c r="AF568" s="18">
        <f>Table46[[#This Row],[KOR]]*Table46[[#This Row],[NET WT KGS]]</f>
        <v>0</v>
      </c>
      <c r="AG568">
        <f>Table46[[#This Row],[NET WT KGS]]*Table46[[#This Row],[NUT COUNT]]</f>
        <v>0</v>
      </c>
    </row>
    <row r="569" spans="1:33" x14ac:dyDescent="0.35">
      <c r="A569" s="32">
        <f t="shared" si="61"/>
        <v>567</v>
      </c>
      <c r="B569" s="65">
        <v>46124</v>
      </c>
      <c r="C569" s="65">
        <v>46125</v>
      </c>
      <c r="D569" s="10" t="s">
        <v>38</v>
      </c>
      <c r="E569" s="10" t="s">
        <v>39</v>
      </c>
      <c r="F569" s="50" t="s">
        <v>40</v>
      </c>
      <c r="G569" s="10" t="s">
        <v>350</v>
      </c>
      <c r="H569" s="66" t="s">
        <v>94</v>
      </c>
      <c r="I569" s="67" t="str">
        <f>VLOOKUP(Table46[[#This Row],[SUPPLIERS NAME]],[1]AGING!X$3:Y$30,2,)</f>
        <v>LBA-013-DAG</v>
      </c>
      <c r="J569" s="10" t="s">
        <v>707</v>
      </c>
      <c r="K569" s="33" t="s">
        <v>97</v>
      </c>
      <c r="L569" s="10">
        <v>1121</v>
      </c>
      <c r="M569" s="10">
        <v>19684</v>
      </c>
      <c r="N569" s="10">
        <v>614</v>
      </c>
      <c r="O569" s="22">
        <f t="shared" si="66"/>
        <v>48900</v>
      </c>
      <c r="P569" s="22">
        <v>48286</v>
      </c>
      <c r="Q569" s="10">
        <v>602</v>
      </c>
      <c r="R569" s="67">
        <v>0</v>
      </c>
      <c r="S569" s="10">
        <v>12</v>
      </c>
      <c r="T569" s="10">
        <f t="shared" ref="T569:T583" si="67">S569*4+R569*8</f>
        <v>48</v>
      </c>
      <c r="U569" s="22">
        <f>Table46[[#This Row],[NET WT KGS]]-Table46[[#This Row],[Refraction]]</f>
        <v>48238</v>
      </c>
      <c r="V569" s="23">
        <v>500</v>
      </c>
      <c r="W569" s="23">
        <f>Table46[[#This Row],[PRICE]]*Table46[[#This Row],[PAID WT]]</f>
        <v>24119000</v>
      </c>
      <c r="X569" s="24">
        <v>10.1</v>
      </c>
      <c r="Y569" s="25">
        <v>152</v>
      </c>
      <c r="Z569" s="24">
        <v>41.79</v>
      </c>
      <c r="AA569" s="26"/>
      <c r="AB569" s="10" t="s">
        <v>78</v>
      </c>
      <c r="AC569" s="27"/>
      <c r="AD569" s="63" t="s">
        <v>708</v>
      </c>
      <c r="AE569" s="18">
        <f>Table46[[#This Row],[MOIS.]]*Table46[[#This Row],[NET WT KGS]]</f>
        <v>487688.6</v>
      </c>
      <c r="AF569" s="18">
        <f>Table46[[#This Row],[KOR]]*Table46[[#This Row],[NET WT KGS]]</f>
        <v>2017871.94</v>
      </c>
      <c r="AG569">
        <f>Table46[[#This Row],[NET WT KGS]]*Table46[[#This Row],[NUT COUNT]]</f>
        <v>7339472</v>
      </c>
    </row>
    <row r="570" spans="1:33" x14ac:dyDescent="0.35">
      <c r="A570" s="32">
        <f t="shared" si="61"/>
        <v>568</v>
      </c>
      <c r="B570" s="65">
        <v>46124</v>
      </c>
      <c r="C570" s="65">
        <v>46125</v>
      </c>
      <c r="D570" s="10" t="s">
        <v>38</v>
      </c>
      <c r="E570" s="10" t="s">
        <v>39</v>
      </c>
      <c r="F570" s="50" t="s">
        <v>40</v>
      </c>
      <c r="G570" s="10" t="s">
        <v>350</v>
      </c>
      <c r="H570" s="66" t="s">
        <v>42</v>
      </c>
      <c r="I570" s="67" t="str">
        <f>VLOOKUP(Table46[[#This Row],[SUPPLIERS NAME]],[1]AGING!X$3:Y$30,2,)</f>
        <v>LBA-006-IMA</v>
      </c>
      <c r="J570" s="10" t="s">
        <v>366</v>
      </c>
      <c r="K570" s="21" t="s">
        <v>45</v>
      </c>
      <c r="L570" s="10">
        <v>1119</v>
      </c>
      <c r="M570" s="10">
        <v>13116</v>
      </c>
      <c r="N570" s="10">
        <v>442</v>
      </c>
      <c r="O570" s="22">
        <f t="shared" si="66"/>
        <v>37700</v>
      </c>
      <c r="P570" s="22">
        <v>37258</v>
      </c>
      <c r="Q570" s="10">
        <v>433</v>
      </c>
      <c r="R570" s="67">
        <v>0</v>
      </c>
      <c r="S570" s="10">
        <v>9</v>
      </c>
      <c r="T570" s="10">
        <f t="shared" si="67"/>
        <v>36</v>
      </c>
      <c r="U570" s="22">
        <f>Table46[[#This Row],[NET WT KGS]]-Table46[[#This Row],[Refraction]]</f>
        <v>37222</v>
      </c>
      <c r="V570" s="23">
        <v>500</v>
      </c>
      <c r="W570" s="23">
        <f>Table46[[#This Row],[PRICE]]*Table46[[#This Row],[PAID WT]]</f>
        <v>18611000</v>
      </c>
      <c r="X570" s="24">
        <v>7.7</v>
      </c>
      <c r="Y570" s="25">
        <v>164</v>
      </c>
      <c r="Z570" s="24">
        <v>41.79</v>
      </c>
      <c r="AA570" s="26"/>
      <c r="AB570" s="10" t="s">
        <v>40</v>
      </c>
      <c r="AC570" s="27"/>
      <c r="AD570" s="63" t="s">
        <v>708</v>
      </c>
      <c r="AE570" s="18">
        <f>Table46[[#This Row],[MOIS.]]*Table46[[#This Row],[NET WT KGS]]</f>
        <v>286886.60000000003</v>
      </c>
      <c r="AF570" s="18">
        <f>Table46[[#This Row],[KOR]]*Table46[[#This Row],[NET WT KGS]]</f>
        <v>1557011.82</v>
      </c>
      <c r="AG570">
        <f>Table46[[#This Row],[NET WT KGS]]*Table46[[#This Row],[NUT COUNT]]</f>
        <v>6110312</v>
      </c>
    </row>
    <row r="571" spans="1:33" x14ac:dyDescent="0.35">
      <c r="A571" s="32">
        <f t="shared" si="61"/>
        <v>569</v>
      </c>
      <c r="B571" s="65">
        <v>46124</v>
      </c>
      <c r="C571" s="65">
        <v>46125</v>
      </c>
      <c r="D571" s="10" t="s">
        <v>38</v>
      </c>
      <c r="E571" s="10" t="s">
        <v>39</v>
      </c>
      <c r="F571" s="50" t="s">
        <v>40</v>
      </c>
      <c r="G571" s="10" t="s">
        <v>350</v>
      </c>
      <c r="H571" s="66" t="s">
        <v>112</v>
      </c>
      <c r="I571" s="67" t="str">
        <f>VLOOKUP(Table46[[#This Row],[SUPPLIERS NAME]],[1]AGING!X$3:Y$30,2,)</f>
        <v>LBA-015-OUM</v>
      </c>
      <c r="J571" s="10" t="s">
        <v>542</v>
      </c>
      <c r="K571" s="21" t="s">
        <v>115</v>
      </c>
      <c r="L571" s="10">
        <v>1120</v>
      </c>
      <c r="M571" s="10">
        <v>34013</v>
      </c>
      <c r="N571" s="10">
        <v>646</v>
      </c>
      <c r="O571" s="22">
        <f t="shared" si="66"/>
        <v>49960</v>
      </c>
      <c r="P571" s="22">
        <v>49314</v>
      </c>
      <c r="Q571" s="10">
        <v>632</v>
      </c>
      <c r="R571" s="67">
        <v>0</v>
      </c>
      <c r="S571" s="10">
        <v>14</v>
      </c>
      <c r="T571" s="10">
        <f t="shared" si="67"/>
        <v>56</v>
      </c>
      <c r="U571" s="22">
        <f>Table46[[#This Row],[NET WT KGS]]-Table46[[#This Row],[Refraction]]</f>
        <v>49258</v>
      </c>
      <c r="V571" s="23">
        <v>500</v>
      </c>
      <c r="W571" s="23">
        <f>Table46[[#This Row],[PRICE]]*Table46[[#This Row],[PAID WT]]</f>
        <v>24629000</v>
      </c>
      <c r="X571" s="24">
        <v>7.7</v>
      </c>
      <c r="Y571" s="25">
        <v>164</v>
      </c>
      <c r="Z571" s="24">
        <v>41.62</v>
      </c>
      <c r="AA571" s="26"/>
      <c r="AB571" s="10" t="s">
        <v>40</v>
      </c>
      <c r="AC571" s="27"/>
      <c r="AD571" s="63" t="s">
        <v>708</v>
      </c>
      <c r="AE571" s="18">
        <f>Table46[[#This Row],[MOIS.]]*Table46[[#This Row],[NET WT KGS]]</f>
        <v>379717.8</v>
      </c>
      <c r="AF571" s="18">
        <f>Table46[[#This Row],[KOR]]*Table46[[#This Row],[NET WT KGS]]</f>
        <v>2052448.68</v>
      </c>
      <c r="AG571">
        <f>Table46[[#This Row],[NET WT KGS]]*Table46[[#This Row],[NUT COUNT]]</f>
        <v>8087496</v>
      </c>
    </row>
    <row r="572" spans="1:33" x14ac:dyDescent="0.35">
      <c r="A572" s="32">
        <f t="shared" si="61"/>
        <v>570</v>
      </c>
      <c r="B572" s="65">
        <v>46124</v>
      </c>
      <c r="C572" s="65">
        <v>46125</v>
      </c>
      <c r="D572" s="10" t="s">
        <v>38</v>
      </c>
      <c r="E572" s="10" t="s">
        <v>39</v>
      </c>
      <c r="F572" s="50" t="s">
        <v>62</v>
      </c>
      <c r="G572" s="10"/>
      <c r="H572" s="66" t="s">
        <v>128</v>
      </c>
      <c r="I572" s="67" t="str">
        <f>VLOOKUP(Table46[[#This Row],[SUPPLIERS NAME]],[1]AGING!X$3:Y$30,2,)</f>
        <v>LBA-002-SCA</v>
      </c>
      <c r="J572" s="10" t="s">
        <v>709</v>
      </c>
      <c r="K572" s="33" t="s">
        <v>131</v>
      </c>
      <c r="L572" s="10">
        <v>683</v>
      </c>
      <c r="M572" s="10">
        <v>78867</v>
      </c>
      <c r="N572" s="10">
        <v>540</v>
      </c>
      <c r="O572" s="22">
        <v>41180</v>
      </c>
      <c r="P572" s="51">
        <f>Table46[[#This Row],[GROSS WT KGS]]-Table46[[#This Row],[SACS]]</f>
        <v>40640</v>
      </c>
      <c r="Q572" s="10">
        <v>508</v>
      </c>
      <c r="R572" s="67">
        <v>0</v>
      </c>
      <c r="S572" s="10">
        <v>32</v>
      </c>
      <c r="T572" s="10">
        <f t="shared" si="67"/>
        <v>128</v>
      </c>
      <c r="U572" s="22">
        <f>Table46[[#This Row],[NET WT KGS]]-Table46[[#This Row],[Refraction]]</f>
        <v>40512</v>
      </c>
      <c r="V572" s="23">
        <v>515</v>
      </c>
      <c r="W572" s="23">
        <f>Table46[[#This Row],[PRICE]]*Table46[[#This Row],[PAID WT]]</f>
        <v>20863680</v>
      </c>
      <c r="X572" s="24">
        <v>10.4</v>
      </c>
      <c r="Y572" s="25">
        <v>186</v>
      </c>
      <c r="Z572" s="24">
        <v>44.18</v>
      </c>
      <c r="AA572" s="26"/>
      <c r="AB572" s="10" t="s">
        <v>132</v>
      </c>
      <c r="AC572" s="27"/>
      <c r="AD572" s="63" t="s">
        <v>708</v>
      </c>
      <c r="AE572" s="18">
        <f>Table46[[#This Row],[MOIS.]]*Table46[[#This Row],[NET WT KGS]]</f>
        <v>422656</v>
      </c>
      <c r="AF572" s="18">
        <f>Table46[[#This Row],[KOR]]*Table46[[#This Row],[NET WT KGS]]</f>
        <v>1795475.2</v>
      </c>
      <c r="AG572">
        <f>Table46[[#This Row],[NET WT KGS]]*Table46[[#This Row],[NUT COUNT]]</f>
        <v>7559040</v>
      </c>
    </row>
    <row r="573" spans="1:33" x14ac:dyDescent="0.35">
      <c r="A573" s="32">
        <f t="shared" si="61"/>
        <v>571</v>
      </c>
      <c r="B573" s="65">
        <v>46124</v>
      </c>
      <c r="C573" s="65">
        <v>46125</v>
      </c>
      <c r="D573" s="10" t="s">
        <v>38</v>
      </c>
      <c r="E573" s="66" t="s">
        <v>39</v>
      </c>
      <c r="F573" s="67" t="s">
        <v>62</v>
      </c>
      <c r="G573" s="66"/>
      <c r="H573" s="66" t="s">
        <v>193</v>
      </c>
      <c r="I573" s="67" t="str">
        <f>VLOOKUP(Table46[[#This Row],[SUPPLIERS NAME]],[1]AGING!X$3:Y$30,2,)</f>
        <v>LBA-005-JAV</v>
      </c>
      <c r="J573" s="66" t="s">
        <v>710</v>
      </c>
      <c r="K573" s="33" t="s">
        <v>196</v>
      </c>
      <c r="L573" s="66">
        <v>684</v>
      </c>
      <c r="M573" s="10">
        <v>87144</v>
      </c>
      <c r="N573" s="66">
        <v>619</v>
      </c>
      <c r="O573" s="68">
        <v>49330</v>
      </c>
      <c r="P573" s="51">
        <f>Table46[[#This Row],[GROSS WT KGS]]-Table46[[#This Row],[SACS]]</f>
        <v>48711</v>
      </c>
      <c r="Q573" s="66">
        <v>578</v>
      </c>
      <c r="R573" s="67">
        <v>0</v>
      </c>
      <c r="S573" s="66">
        <v>41</v>
      </c>
      <c r="T573" s="10">
        <f t="shared" si="67"/>
        <v>164</v>
      </c>
      <c r="U573" s="68">
        <f>Table46[[#This Row],[NET WT KGS]]-Table46[[#This Row],[Refraction]]</f>
        <v>48547</v>
      </c>
      <c r="V573" s="69">
        <v>515</v>
      </c>
      <c r="W573" s="69">
        <f>Table46[[#This Row],[PRICE]]*Table46[[#This Row],[PAID WT]]</f>
        <v>25001705</v>
      </c>
      <c r="X573" s="70">
        <v>11.6</v>
      </c>
      <c r="Y573" s="71">
        <v>186</v>
      </c>
      <c r="Z573" s="70">
        <v>44.62</v>
      </c>
      <c r="AA573" s="72"/>
      <c r="AB573" s="66" t="s">
        <v>132</v>
      </c>
      <c r="AC573" s="73"/>
      <c r="AD573" s="63" t="s">
        <v>708</v>
      </c>
      <c r="AE573" s="18">
        <f>Table46[[#This Row],[MOIS.]]*Table46[[#This Row],[NET WT KGS]]</f>
        <v>565047.6</v>
      </c>
      <c r="AF573" s="18">
        <f>Table46[[#This Row],[KOR]]*Table46[[#This Row],[NET WT KGS]]</f>
        <v>2173484.8199999998</v>
      </c>
      <c r="AG573">
        <f>Table46[[#This Row],[NET WT KGS]]*Table46[[#This Row],[NUT COUNT]]</f>
        <v>9060246</v>
      </c>
    </row>
    <row r="574" spans="1:33" x14ac:dyDescent="0.35">
      <c r="A574" s="32">
        <f t="shared" si="61"/>
        <v>572</v>
      </c>
      <c r="B574" s="65">
        <v>46124</v>
      </c>
      <c r="C574" s="20">
        <v>46125</v>
      </c>
      <c r="D574" s="10" t="s">
        <v>38</v>
      </c>
      <c r="E574" s="66" t="s">
        <v>39</v>
      </c>
      <c r="F574" s="67" t="s">
        <v>62</v>
      </c>
      <c r="G574" s="66"/>
      <c r="H574" s="66" t="s">
        <v>193</v>
      </c>
      <c r="I574" s="67" t="str">
        <f>VLOOKUP(Table46[[#This Row],[SUPPLIERS NAME]],[1]AGING!X$3:Y$30,2,)</f>
        <v>LBA-005-JAV</v>
      </c>
      <c r="J574" s="66" t="s">
        <v>711</v>
      </c>
      <c r="K574" s="33" t="s">
        <v>196</v>
      </c>
      <c r="L574" s="66">
        <v>686</v>
      </c>
      <c r="M574" s="10">
        <v>87143</v>
      </c>
      <c r="N574" s="66">
        <v>569</v>
      </c>
      <c r="O574" s="68">
        <v>45580</v>
      </c>
      <c r="P574" s="51">
        <f>Table46[[#This Row],[GROSS WT KGS]]-Table46[[#This Row],[SACS]]</f>
        <v>45011</v>
      </c>
      <c r="Q574" s="66">
        <v>545</v>
      </c>
      <c r="R574" s="67">
        <v>24</v>
      </c>
      <c r="S574" s="66">
        <v>0</v>
      </c>
      <c r="T574" s="10">
        <f t="shared" si="67"/>
        <v>192</v>
      </c>
      <c r="U574" s="68">
        <f>Table46[[#This Row],[NET WT KGS]]-Table46[[#This Row],[Refraction]]</f>
        <v>44819</v>
      </c>
      <c r="V574" s="69">
        <v>515</v>
      </c>
      <c r="W574" s="69">
        <f>Table46[[#This Row],[PRICE]]*Table46[[#This Row],[PAID WT]]</f>
        <v>23081785</v>
      </c>
      <c r="X574" s="70">
        <v>11.7</v>
      </c>
      <c r="Y574" s="71">
        <v>178</v>
      </c>
      <c r="Z574" s="70">
        <v>44.35</v>
      </c>
      <c r="AA574" s="72"/>
      <c r="AB574" s="66" t="s">
        <v>132</v>
      </c>
      <c r="AC574" s="27"/>
      <c r="AD574" s="63" t="s">
        <v>708</v>
      </c>
      <c r="AE574" s="18">
        <f>Table46[[#This Row],[MOIS.]]*Table46[[#This Row],[NET WT KGS]]</f>
        <v>526628.69999999995</v>
      </c>
      <c r="AF574" s="18">
        <f>Table46[[#This Row],[KOR]]*Table46[[#This Row],[NET WT KGS]]</f>
        <v>1996237.85</v>
      </c>
      <c r="AG574">
        <f>Table46[[#This Row],[NET WT KGS]]*Table46[[#This Row],[NUT COUNT]]</f>
        <v>8011958</v>
      </c>
    </row>
    <row r="575" spans="1:33" x14ac:dyDescent="0.35">
      <c r="A575" s="32">
        <f t="shared" si="61"/>
        <v>573</v>
      </c>
      <c r="B575" s="65">
        <v>46124</v>
      </c>
      <c r="C575" s="20">
        <v>46125</v>
      </c>
      <c r="D575" s="10" t="s">
        <v>38</v>
      </c>
      <c r="E575" s="66" t="s">
        <v>39</v>
      </c>
      <c r="F575" s="67" t="s">
        <v>62</v>
      </c>
      <c r="G575" s="66"/>
      <c r="H575" s="66" t="s">
        <v>684</v>
      </c>
      <c r="I575" s="67" t="str">
        <f>VLOOKUP(Table46[[#This Row],[SUPPLIERS NAME]],[1]AGING!X$3:Y$30,2,)</f>
        <v>LBA-021-SAN</v>
      </c>
      <c r="J575" s="66" t="s">
        <v>712</v>
      </c>
      <c r="K575" s="66"/>
      <c r="L575" s="66">
        <v>687</v>
      </c>
      <c r="M575" s="66">
        <f>VLOOKUP(Table46[[#This Row],[REF.]],'[2]RCN INWARD FACTORY YAKRO 2026'!$F$4:$M$257,8,0)</f>
        <v>31538</v>
      </c>
      <c r="N575" s="66">
        <v>518</v>
      </c>
      <c r="O575" s="68">
        <v>40980</v>
      </c>
      <c r="P575" s="51">
        <f>Table46[[#This Row],[GROSS WT KGS]]-Table46[[#This Row],[SACS]]</f>
        <v>40462</v>
      </c>
      <c r="Q575" s="66">
        <v>478</v>
      </c>
      <c r="R575" s="67">
        <v>0</v>
      </c>
      <c r="S575" s="66">
        <v>40</v>
      </c>
      <c r="T575" s="10">
        <f t="shared" si="67"/>
        <v>160</v>
      </c>
      <c r="U575" s="68">
        <f>Table46[[#This Row],[NET WT KGS]]-Table46[[#This Row],[Refraction]]</f>
        <v>40302</v>
      </c>
      <c r="V575" s="69">
        <v>505</v>
      </c>
      <c r="W575" s="69">
        <f>Table46[[#This Row],[PRICE]]*Table46[[#This Row],[PAID WT]]</f>
        <v>20352510</v>
      </c>
      <c r="X575" s="70">
        <v>13.4</v>
      </c>
      <c r="Y575" s="71">
        <v>162</v>
      </c>
      <c r="Z575" s="70">
        <v>44.18</v>
      </c>
      <c r="AA575" s="72"/>
      <c r="AB575" s="66" t="s">
        <v>40</v>
      </c>
      <c r="AC575" s="27" t="s">
        <v>713</v>
      </c>
      <c r="AD575" s="63" t="s">
        <v>708</v>
      </c>
      <c r="AE575" s="18">
        <f>Table46[[#This Row],[MOIS.]]*Table46[[#This Row],[NET WT KGS]]</f>
        <v>542190.80000000005</v>
      </c>
      <c r="AF575" s="18">
        <f>Table46[[#This Row],[KOR]]*Table46[[#This Row],[NET WT KGS]]</f>
        <v>1787611.16</v>
      </c>
      <c r="AG575">
        <f>Table46[[#This Row],[NET WT KGS]]*Table46[[#This Row],[NUT COUNT]]</f>
        <v>6554844</v>
      </c>
    </row>
    <row r="576" spans="1:33" x14ac:dyDescent="0.35">
      <c r="A576" s="32">
        <f t="shared" si="61"/>
        <v>574</v>
      </c>
      <c r="B576" s="65">
        <v>46125</v>
      </c>
      <c r="C576" s="65">
        <v>46125</v>
      </c>
      <c r="D576" s="10" t="s">
        <v>38</v>
      </c>
      <c r="E576" s="66" t="s">
        <v>39</v>
      </c>
      <c r="F576" s="67" t="s">
        <v>40</v>
      </c>
      <c r="G576" s="66" t="s">
        <v>41</v>
      </c>
      <c r="H576" s="66" t="s">
        <v>54</v>
      </c>
      <c r="I576" s="67" t="str">
        <f>VLOOKUP(Table46[[#This Row],[SUPPLIERS NAME]],[1]AGING!X$3:Y$30,2,)</f>
        <v>LBA-007-CAS</v>
      </c>
      <c r="J576" s="66" t="s">
        <v>714</v>
      </c>
      <c r="K576" s="33" t="s">
        <v>57</v>
      </c>
      <c r="L576" s="66">
        <v>1126</v>
      </c>
      <c r="M576" s="10">
        <v>37925</v>
      </c>
      <c r="N576" s="66">
        <v>556</v>
      </c>
      <c r="O576" s="68">
        <f>P576+N576</f>
        <v>50360</v>
      </c>
      <c r="P576" s="22">
        <v>49804</v>
      </c>
      <c r="Q576" s="66">
        <v>539</v>
      </c>
      <c r="R576" s="67">
        <v>0</v>
      </c>
      <c r="S576" s="66">
        <v>17</v>
      </c>
      <c r="T576" s="10">
        <f t="shared" si="67"/>
        <v>68</v>
      </c>
      <c r="U576" s="68">
        <f>Table46[[#This Row],[NET WT KGS]]-Table46[[#This Row],[Refraction]]</f>
        <v>49736</v>
      </c>
      <c r="V576" s="69">
        <v>500</v>
      </c>
      <c r="W576" s="69">
        <f>Table46[[#This Row],[PRICE]]*Table46[[#This Row],[PAID WT]]</f>
        <v>24868000</v>
      </c>
      <c r="X576" s="70">
        <v>11.8</v>
      </c>
      <c r="Y576" s="71">
        <v>160</v>
      </c>
      <c r="Z576" s="70">
        <v>41.09</v>
      </c>
      <c r="AA576" s="72"/>
      <c r="AB576" s="66" t="s">
        <v>58</v>
      </c>
      <c r="AC576" s="73"/>
      <c r="AD576" s="63" t="s">
        <v>708</v>
      </c>
      <c r="AE576" s="18">
        <f>Table46[[#This Row],[MOIS.]]*Table46[[#This Row],[NET WT KGS]]</f>
        <v>587687.20000000007</v>
      </c>
      <c r="AF576" s="18">
        <f>Table46[[#This Row],[KOR]]*Table46[[#This Row],[NET WT KGS]]</f>
        <v>2046446.36</v>
      </c>
      <c r="AG576">
        <f>Table46[[#This Row],[NET WT KGS]]*Table46[[#This Row],[NUT COUNT]]</f>
        <v>7968640</v>
      </c>
    </row>
    <row r="577" spans="1:38" x14ac:dyDescent="0.35">
      <c r="A577" s="32">
        <f t="shared" si="61"/>
        <v>575</v>
      </c>
      <c r="B577" s="65">
        <v>46125</v>
      </c>
      <c r="C577" s="65">
        <v>46125</v>
      </c>
      <c r="D577" s="10" t="s">
        <v>38</v>
      </c>
      <c r="E577" s="66" t="s">
        <v>258</v>
      </c>
      <c r="F577" s="67" t="s">
        <v>40</v>
      </c>
      <c r="G577" s="66" t="s">
        <v>41</v>
      </c>
      <c r="H577" s="66" t="s">
        <v>396</v>
      </c>
      <c r="I577" s="66" t="s">
        <v>162</v>
      </c>
      <c r="J577" s="66" t="s">
        <v>715</v>
      </c>
      <c r="K577" s="21" t="s">
        <v>716</v>
      </c>
      <c r="L577" s="66">
        <v>1125</v>
      </c>
      <c r="M577" s="10">
        <v>33853</v>
      </c>
      <c r="N577" s="66">
        <v>475</v>
      </c>
      <c r="O577" s="68">
        <f>P577+N577</f>
        <v>38780</v>
      </c>
      <c r="P577" s="22">
        <v>38305</v>
      </c>
      <c r="Q577" s="66">
        <v>463</v>
      </c>
      <c r="R577" s="67">
        <v>0</v>
      </c>
      <c r="S577" s="66">
        <v>12</v>
      </c>
      <c r="T577" s="10">
        <f t="shared" si="67"/>
        <v>48</v>
      </c>
      <c r="U577" s="68">
        <f>Table46[[#This Row],[NET WT KGS]]-Table46[[#This Row],[Refraction]]</f>
        <v>38257</v>
      </c>
      <c r="V577" s="69">
        <v>510</v>
      </c>
      <c r="W577" s="69">
        <f>Table46[[#This Row],[PRICE]]*Table46[[#This Row],[PAID WT]]</f>
        <v>19511070</v>
      </c>
      <c r="X577" s="70">
        <v>11</v>
      </c>
      <c r="Y577" s="71">
        <v>166</v>
      </c>
      <c r="Z577" s="70">
        <v>43.38</v>
      </c>
      <c r="AA577" s="72"/>
      <c r="AB577" s="66" t="s">
        <v>140</v>
      </c>
      <c r="AC577" s="73"/>
      <c r="AD577" s="63" t="s">
        <v>708</v>
      </c>
      <c r="AE577" s="18">
        <f>Table46[[#This Row],[MOIS.]]*Table46[[#This Row],[NET WT KGS]]</f>
        <v>421355</v>
      </c>
      <c r="AF577" s="18">
        <f>Table46[[#This Row],[KOR]]*Table46[[#This Row],[NET WT KGS]]</f>
        <v>1661670.9000000001</v>
      </c>
      <c r="AG577">
        <f>Table46[[#This Row],[NET WT KGS]]*Table46[[#This Row],[NUT COUNT]]</f>
        <v>6358630</v>
      </c>
    </row>
    <row r="578" spans="1:38" x14ac:dyDescent="0.35">
      <c r="A578" s="32">
        <f t="shared" si="61"/>
        <v>576</v>
      </c>
      <c r="B578" s="65">
        <v>46125</v>
      </c>
      <c r="C578" s="65">
        <v>46125</v>
      </c>
      <c r="D578" s="10" t="s">
        <v>38</v>
      </c>
      <c r="E578" s="66" t="s">
        <v>39</v>
      </c>
      <c r="F578" s="67" t="s">
        <v>40</v>
      </c>
      <c r="G578" s="66" t="s">
        <v>350</v>
      </c>
      <c r="H578" s="66" t="s">
        <v>202</v>
      </c>
      <c r="I578" s="67" t="str">
        <f>VLOOKUP(Table46[[#This Row],[SUPPLIERS NAME]],[1]AGING!X$3:Y$30,2,)</f>
        <v>LBA-012-KPE</v>
      </c>
      <c r="J578" s="66" t="s">
        <v>204</v>
      </c>
      <c r="K578" s="33" t="s">
        <v>205</v>
      </c>
      <c r="L578" s="66">
        <v>1123</v>
      </c>
      <c r="M578" s="10">
        <v>32754</v>
      </c>
      <c r="N578" s="66">
        <v>472</v>
      </c>
      <c r="O578" s="68">
        <f>P578+N578</f>
        <v>41200</v>
      </c>
      <c r="P578" s="22">
        <v>40728</v>
      </c>
      <c r="Q578" s="66">
        <v>459</v>
      </c>
      <c r="R578" s="67">
        <v>0</v>
      </c>
      <c r="S578" s="66">
        <v>13</v>
      </c>
      <c r="T578" s="10">
        <f t="shared" si="67"/>
        <v>52</v>
      </c>
      <c r="U578" s="68">
        <f>Table46[[#This Row],[NET WT KGS]]-Table46[[#This Row],[Refraction]]</f>
        <v>40676</v>
      </c>
      <c r="V578" s="69">
        <v>505</v>
      </c>
      <c r="W578" s="69">
        <f>Table46[[#This Row],[PRICE]]*Table46[[#This Row],[PAID WT]]</f>
        <v>20541380</v>
      </c>
      <c r="X578" s="70">
        <v>8.6</v>
      </c>
      <c r="Y578" s="71">
        <v>162</v>
      </c>
      <c r="Z578" s="70">
        <v>42.32</v>
      </c>
      <c r="AA578" s="72"/>
      <c r="AB578" s="66" t="s">
        <v>46</v>
      </c>
      <c r="AC578" s="73"/>
      <c r="AD578" s="63" t="s">
        <v>708</v>
      </c>
      <c r="AE578" s="18">
        <f>Table46[[#This Row],[MOIS.]]*Table46[[#This Row],[NET WT KGS]]</f>
        <v>350260.8</v>
      </c>
      <c r="AF578" s="18">
        <f>Table46[[#This Row],[KOR]]*Table46[[#This Row],[NET WT KGS]]</f>
        <v>1723608.96</v>
      </c>
      <c r="AG578">
        <f>Table46[[#This Row],[NET WT KGS]]*Table46[[#This Row],[NUT COUNT]]</f>
        <v>6597936</v>
      </c>
    </row>
    <row r="579" spans="1:38" x14ac:dyDescent="0.35">
      <c r="A579" s="32">
        <f t="shared" si="61"/>
        <v>577</v>
      </c>
      <c r="B579" s="65">
        <v>46125</v>
      </c>
      <c r="C579" s="65">
        <v>46125</v>
      </c>
      <c r="D579" s="10" t="s">
        <v>38</v>
      </c>
      <c r="E579" s="66" t="s">
        <v>39</v>
      </c>
      <c r="F579" s="67" t="s">
        <v>40</v>
      </c>
      <c r="G579" s="66" t="s">
        <v>350</v>
      </c>
      <c r="H579" s="66" t="s">
        <v>87</v>
      </c>
      <c r="I579" s="67" t="str">
        <f>VLOOKUP(Table46[[#This Row],[SUPPLIERS NAME]],[1]AGING!X$3:Y$30,2,)</f>
        <v>LBA-009-SCO</v>
      </c>
      <c r="J579" s="66" t="s">
        <v>433</v>
      </c>
      <c r="K579" s="33" t="s">
        <v>90</v>
      </c>
      <c r="L579" s="66">
        <v>1122</v>
      </c>
      <c r="M579" s="10">
        <v>34341</v>
      </c>
      <c r="N579" s="66">
        <v>626</v>
      </c>
      <c r="O579" s="68">
        <f>P579+N579</f>
        <v>49620</v>
      </c>
      <c r="P579" s="68">
        <v>48994</v>
      </c>
      <c r="Q579" s="66">
        <v>593</v>
      </c>
      <c r="R579" s="67">
        <v>0</v>
      </c>
      <c r="S579" s="66">
        <v>33</v>
      </c>
      <c r="T579" s="10">
        <f t="shared" si="67"/>
        <v>132</v>
      </c>
      <c r="U579" s="68">
        <f>Table46[[#This Row],[NET WT KGS]]-Table46[[#This Row],[Refraction]]</f>
        <v>48862</v>
      </c>
      <c r="V579" s="69">
        <v>505</v>
      </c>
      <c r="W579" s="69">
        <f>Table46[[#This Row],[PRICE]]*Table46[[#This Row],[PAID WT]]</f>
        <v>24675310</v>
      </c>
      <c r="X579" s="70">
        <v>10</v>
      </c>
      <c r="Y579" s="71">
        <v>172</v>
      </c>
      <c r="Z579" s="70">
        <v>42.15</v>
      </c>
      <c r="AA579" s="72"/>
      <c r="AB579" s="66" t="s">
        <v>132</v>
      </c>
      <c r="AC579" s="73"/>
      <c r="AD579" s="63" t="s">
        <v>708</v>
      </c>
      <c r="AE579" s="18">
        <f>Table46[[#This Row],[MOIS.]]*Table46[[#This Row],[NET WT KGS]]</f>
        <v>489940</v>
      </c>
      <c r="AF579" s="18">
        <f>Table46[[#This Row],[KOR]]*Table46[[#This Row],[NET WT KGS]]</f>
        <v>2065097.0999999999</v>
      </c>
      <c r="AG579">
        <f>Table46[[#This Row],[NET WT KGS]]*Table46[[#This Row],[NUT COUNT]]</f>
        <v>8426968</v>
      </c>
    </row>
    <row r="580" spans="1:38" x14ac:dyDescent="0.35">
      <c r="A580" s="32">
        <f t="shared" ref="A580:A643" si="68">A579+1</f>
        <v>578</v>
      </c>
      <c r="B580" s="65">
        <v>46125</v>
      </c>
      <c r="C580" s="65">
        <v>46125</v>
      </c>
      <c r="D580" s="10" t="s">
        <v>38</v>
      </c>
      <c r="E580" s="66" t="s">
        <v>39</v>
      </c>
      <c r="F580" s="67" t="s">
        <v>40</v>
      </c>
      <c r="G580" s="66" t="s">
        <v>350</v>
      </c>
      <c r="H580" s="66" t="s">
        <v>74</v>
      </c>
      <c r="I580" s="67" t="str">
        <f>VLOOKUP(Table46[[#This Row],[SUPPLIERS NAME]],[1]AGING!X$3:Y$30,2,)</f>
        <v>LBA-003-HER</v>
      </c>
      <c r="J580" s="66" t="s">
        <v>269</v>
      </c>
      <c r="K580" s="33" t="s">
        <v>77</v>
      </c>
      <c r="L580" s="66">
        <v>1124</v>
      </c>
      <c r="M580" s="10">
        <v>18133</v>
      </c>
      <c r="N580" s="66">
        <v>519</v>
      </c>
      <c r="O580" s="68">
        <f>P580+N580</f>
        <v>45140</v>
      </c>
      <c r="P580" s="68">
        <v>44621</v>
      </c>
      <c r="Q580" s="66">
        <v>502</v>
      </c>
      <c r="R580" s="67">
        <v>0</v>
      </c>
      <c r="S580" s="66">
        <v>17</v>
      </c>
      <c r="T580" s="10">
        <f t="shared" si="67"/>
        <v>68</v>
      </c>
      <c r="U580" s="68">
        <f>Table46[[#This Row],[NET WT KGS]]-Table46[[#This Row],[Refraction]]</f>
        <v>44553</v>
      </c>
      <c r="V580" s="69">
        <v>495</v>
      </c>
      <c r="W580" s="69">
        <f>Table46[[#This Row],[PRICE]]*Table46[[#This Row],[PAID WT]]</f>
        <v>22053735</v>
      </c>
      <c r="X580" s="70">
        <v>11.8</v>
      </c>
      <c r="Y580" s="71">
        <v>167</v>
      </c>
      <c r="Z580" s="70">
        <v>41.09</v>
      </c>
      <c r="AA580" s="72"/>
      <c r="AB580" s="66" t="s">
        <v>78</v>
      </c>
      <c r="AC580" s="73"/>
      <c r="AD580" s="63" t="s">
        <v>708</v>
      </c>
      <c r="AE580" s="18">
        <f>Table46[[#This Row],[MOIS.]]*Table46[[#This Row],[NET WT KGS]]</f>
        <v>526527.80000000005</v>
      </c>
      <c r="AF580" s="18">
        <f>Table46[[#This Row],[KOR]]*Table46[[#This Row],[NET WT KGS]]</f>
        <v>1833476.8900000001</v>
      </c>
      <c r="AG580">
        <f>Table46[[#This Row],[NET WT KGS]]*Table46[[#This Row],[NUT COUNT]]</f>
        <v>7451707</v>
      </c>
    </row>
    <row r="581" spans="1:38" x14ac:dyDescent="0.35">
      <c r="A581" s="32">
        <f t="shared" si="68"/>
        <v>579</v>
      </c>
      <c r="B581" s="65">
        <v>46125</v>
      </c>
      <c r="C581" s="65">
        <v>46125</v>
      </c>
      <c r="D581" s="10" t="s">
        <v>38</v>
      </c>
      <c r="E581" s="66" t="s">
        <v>39</v>
      </c>
      <c r="F581" s="67" t="s">
        <v>62</v>
      </c>
      <c r="G581" s="66"/>
      <c r="H581" s="66" t="s">
        <v>128</v>
      </c>
      <c r="I581" s="67" t="str">
        <f>VLOOKUP(Table46[[#This Row],[SUPPLIERS NAME]],[1]AGING!X$3:Y$30,2,)</f>
        <v>LBA-002-SCA</v>
      </c>
      <c r="J581" s="66" t="s">
        <v>467</v>
      </c>
      <c r="K581" s="33" t="s">
        <v>131</v>
      </c>
      <c r="L581" s="66">
        <v>688</v>
      </c>
      <c r="M581" s="10">
        <v>78864</v>
      </c>
      <c r="N581" s="66">
        <v>714</v>
      </c>
      <c r="O581" s="68">
        <v>51880</v>
      </c>
      <c r="P581" s="93">
        <f>Table46[[#This Row],[GROSS WT KGS]]-Table46[[#This Row],[SACS]]</f>
        <v>51166</v>
      </c>
      <c r="Q581" s="66">
        <v>666</v>
      </c>
      <c r="R581" s="67">
        <v>0</v>
      </c>
      <c r="S581" s="66">
        <v>48</v>
      </c>
      <c r="T581" s="10">
        <f t="shared" si="67"/>
        <v>192</v>
      </c>
      <c r="U581" s="68">
        <f>Table46[[#This Row],[NET WT KGS]]-Table46[[#This Row],[Refraction]]</f>
        <v>50974</v>
      </c>
      <c r="V581" s="69">
        <v>515</v>
      </c>
      <c r="W581" s="69">
        <f>Table46[[#This Row],[PRICE]]*Table46[[#This Row],[PAID WT]]</f>
        <v>26251610</v>
      </c>
      <c r="X581" s="70">
        <v>10.8</v>
      </c>
      <c r="Y581" s="71">
        <v>174</v>
      </c>
      <c r="Z581" s="70">
        <v>44.53</v>
      </c>
      <c r="AA581" s="72"/>
      <c r="AB581" s="66" t="s">
        <v>132</v>
      </c>
      <c r="AC581" s="73"/>
      <c r="AD581" s="63" t="s">
        <v>708</v>
      </c>
      <c r="AE581" s="18">
        <f>Table46[[#This Row],[MOIS.]]*Table46[[#This Row],[NET WT KGS]]</f>
        <v>552592.80000000005</v>
      </c>
      <c r="AF581" s="18">
        <f>Table46[[#This Row],[KOR]]*Table46[[#This Row],[NET WT KGS]]</f>
        <v>2278421.98</v>
      </c>
      <c r="AG581">
        <f>Table46[[#This Row],[NET WT KGS]]*Table46[[#This Row],[NUT COUNT]]</f>
        <v>8902884</v>
      </c>
    </row>
    <row r="582" spans="1:38" x14ac:dyDescent="0.35">
      <c r="A582" s="32">
        <f t="shared" si="68"/>
        <v>580</v>
      </c>
      <c r="B582" s="65">
        <v>46125</v>
      </c>
      <c r="C582" s="65">
        <v>46125</v>
      </c>
      <c r="D582" s="10" t="s">
        <v>38</v>
      </c>
      <c r="E582" s="66" t="s">
        <v>39</v>
      </c>
      <c r="F582" s="67" t="s">
        <v>62</v>
      </c>
      <c r="G582" s="66"/>
      <c r="H582" s="66" t="s">
        <v>684</v>
      </c>
      <c r="I582" s="67" t="str">
        <f>VLOOKUP(Table46[[#This Row],[SUPPLIERS NAME]],[1]AGING!X$3:Y$30,2,)</f>
        <v>LBA-021-SAN</v>
      </c>
      <c r="J582" s="66" t="s">
        <v>717</v>
      </c>
      <c r="K582" s="66"/>
      <c r="L582" s="66">
        <v>690</v>
      </c>
      <c r="M582" s="66">
        <f>VLOOKUP(Table46[[#This Row],[REF.]],'[2]RCN INWARD FACTORY YAKRO 2026'!$F$4:$M$257,8,0)</f>
        <v>31541</v>
      </c>
      <c r="N582" s="66">
        <v>516</v>
      </c>
      <c r="O582" s="68">
        <v>41000</v>
      </c>
      <c r="P582" s="93">
        <f>Table46[[#This Row],[GROSS WT KGS]]-Table46[[#This Row],[SACS]]</f>
        <v>40484</v>
      </c>
      <c r="Q582" s="66">
        <v>502</v>
      </c>
      <c r="R582" s="67">
        <v>0</v>
      </c>
      <c r="S582" s="66">
        <v>14</v>
      </c>
      <c r="T582" s="10">
        <f t="shared" si="67"/>
        <v>56</v>
      </c>
      <c r="U582" s="68">
        <f>Table46[[#This Row],[NET WT KGS]]-Table46[[#This Row],[Refraction]]</f>
        <v>40428</v>
      </c>
      <c r="V582" s="69">
        <v>510</v>
      </c>
      <c r="W582" s="69">
        <f>Table46[[#This Row],[PRICE]]*Table46[[#This Row],[PAID WT]]</f>
        <v>20618280</v>
      </c>
      <c r="X582" s="70">
        <v>10.4</v>
      </c>
      <c r="Y582" s="71">
        <v>177</v>
      </c>
      <c r="Z582" s="70">
        <v>44.09</v>
      </c>
      <c r="AA582" s="72"/>
      <c r="AB582" s="66" t="s">
        <v>40</v>
      </c>
      <c r="AC582" s="73" t="s">
        <v>713</v>
      </c>
      <c r="AD582" s="63" t="s">
        <v>708</v>
      </c>
      <c r="AE582" s="18">
        <f>Table46[[#This Row],[MOIS.]]*Table46[[#This Row],[NET WT KGS]]</f>
        <v>421033.60000000003</v>
      </c>
      <c r="AF582" s="18">
        <f>Table46[[#This Row],[KOR]]*Table46[[#This Row],[NET WT KGS]]</f>
        <v>1784939.56</v>
      </c>
      <c r="AG582">
        <f>Table46[[#This Row],[NET WT KGS]]*Table46[[#This Row],[NUT COUNT]]</f>
        <v>7165668</v>
      </c>
    </row>
    <row r="583" spans="1:38" x14ac:dyDescent="0.35">
      <c r="A583" s="32">
        <f t="shared" si="68"/>
        <v>581</v>
      </c>
      <c r="B583" s="65">
        <v>46125</v>
      </c>
      <c r="C583" s="65">
        <v>46125</v>
      </c>
      <c r="D583" s="10" t="s">
        <v>38</v>
      </c>
      <c r="E583" s="10" t="s">
        <v>39</v>
      </c>
      <c r="F583" s="67" t="s">
        <v>62</v>
      </c>
      <c r="G583" s="10"/>
      <c r="H583" s="10" t="s">
        <v>128</v>
      </c>
      <c r="I583" s="50" t="str">
        <f>VLOOKUP(Table46[[#This Row],[SUPPLIERS NAME]],[1]AGING!X$3:Y$30,2,)</f>
        <v>LBA-002-SCA</v>
      </c>
      <c r="J583" s="10" t="s">
        <v>382</v>
      </c>
      <c r="K583" s="33" t="s">
        <v>131</v>
      </c>
      <c r="L583" s="10">
        <v>689</v>
      </c>
      <c r="M583" s="10">
        <v>78865</v>
      </c>
      <c r="N583" s="10">
        <v>549</v>
      </c>
      <c r="O583" s="22">
        <v>43520</v>
      </c>
      <c r="P583" s="51">
        <f>Table46[[#This Row],[GROSS WT KGS]]-Table46[[#This Row],[SACS]]</f>
        <v>42971</v>
      </c>
      <c r="Q583" s="10">
        <v>512</v>
      </c>
      <c r="R583" s="67">
        <v>0</v>
      </c>
      <c r="S583" s="10">
        <v>28</v>
      </c>
      <c r="T583" s="10">
        <f t="shared" si="67"/>
        <v>112</v>
      </c>
      <c r="U583" s="22">
        <f>Table46[[#This Row],[NET WT KGS]]-Table46[[#This Row],[Refraction]]</f>
        <v>42859</v>
      </c>
      <c r="V583" s="23">
        <v>515</v>
      </c>
      <c r="W583" s="23">
        <f>Table46[[#This Row],[PRICE]]*Table46[[#This Row],[PAID WT]]</f>
        <v>22072385</v>
      </c>
      <c r="X583" s="24">
        <v>10.8</v>
      </c>
      <c r="Y583" s="25">
        <v>180</v>
      </c>
      <c r="Z583" s="24">
        <v>44.09</v>
      </c>
      <c r="AA583" s="26"/>
      <c r="AB583" s="10" t="s">
        <v>132</v>
      </c>
      <c r="AC583" s="27"/>
      <c r="AD583" s="63" t="s">
        <v>708</v>
      </c>
      <c r="AE583" s="18">
        <f>Table46[[#This Row],[MOIS.]]*Table46[[#This Row],[NET WT KGS]]</f>
        <v>464086.80000000005</v>
      </c>
      <c r="AF583" s="18">
        <f>Table46[[#This Row],[KOR]]*Table46[[#This Row],[NET WT KGS]]</f>
        <v>1894591.3900000001</v>
      </c>
      <c r="AG583">
        <f>Table46[[#This Row],[NET WT KGS]]*Table46[[#This Row],[NUT COUNT]]</f>
        <v>7734780</v>
      </c>
    </row>
    <row r="584" spans="1:38" x14ac:dyDescent="0.35">
      <c r="A584" s="32">
        <f t="shared" si="68"/>
        <v>582</v>
      </c>
      <c r="B584" s="91">
        <v>46125</v>
      </c>
      <c r="C584" s="91">
        <f>Table46[[#This Row],[DATE OF ARRIVAL]]</f>
        <v>46125</v>
      </c>
      <c r="D584" s="36"/>
      <c r="E584" s="74"/>
      <c r="F584" s="74" t="s">
        <v>40</v>
      </c>
      <c r="G584" s="74"/>
      <c r="H584" s="74" t="s">
        <v>391</v>
      </c>
      <c r="I584" s="74" t="s">
        <v>175</v>
      </c>
      <c r="J584" s="74" t="s">
        <v>718</v>
      </c>
      <c r="K584" s="74"/>
      <c r="L584" s="74"/>
      <c r="M584" s="74"/>
      <c r="N584" s="74"/>
      <c r="O584" s="79">
        <f>P584+N584</f>
        <v>0</v>
      </c>
      <c r="P584" s="79"/>
      <c r="Q584" s="74"/>
      <c r="R584" s="80"/>
      <c r="S584" s="74"/>
      <c r="T584" s="36"/>
      <c r="U584" s="79">
        <f>Table46[[#This Row],[NET WT KGS]]-Table46[[#This Row],[Refraction]]</f>
        <v>0</v>
      </c>
      <c r="V584" s="81"/>
      <c r="W584" s="81">
        <f>Table46[[#This Row],[PRICE]]*Table46[[#This Row],[PAID WT]]</f>
        <v>0</v>
      </c>
      <c r="X584" s="82">
        <v>10</v>
      </c>
      <c r="Y584" s="83">
        <v>176</v>
      </c>
      <c r="Z584" s="82">
        <v>40.388730000000002</v>
      </c>
      <c r="AA584" s="84"/>
      <c r="AB584" s="74" t="s">
        <v>182</v>
      </c>
      <c r="AC584" s="92" t="s">
        <v>70</v>
      </c>
      <c r="AD584" s="28"/>
      <c r="AE584" s="18">
        <f>Table46[[#This Row],[MOIS.]]*Table46[[#This Row],[NET WT KGS]]</f>
        <v>0</v>
      </c>
      <c r="AF584" s="18">
        <f>Table46[[#This Row],[KOR]]*Table46[[#This Row],[NET WT KGS]]</f>
        <v>0</v>
      </c>
      <c r="AG584">
        <f>Table46[[#This Row],[NET WT KGS]]*Table46[[#This Row],[NUT COUNT]]</f>
        <v>0</v>
      </c>
    </row>
    <row r="585" spans="1:38" x14ac:dyDescent="0.35">
      <c r="A585" s="32">
        <f t="shared" si="68"/>
        <v>583</v>
      </c>
      <c r="B585" s="91">
        <v>46125</v>
      </c>
      <c r="C585" s="91">
        <f>Table46[[#This Row],[DATE OF ARRIVAL]]</f>
        <v>46125</v>
      </c>
      <c r="D585" s="36"/>
      <c r="E585" s="74"/>
      <c r="F585" s="74" t="s">
        <v>40</v>
      </c>
      <c r="G585" s="74"/>
      <c r="H585" s="74" t="s">
        <v>338</v>
      </c>
      <c r="I585" s="74" t="s">
        <v>317</v>
      </c>
      <c r="J585" s="74" t="s">
        <v>627</v>
      </c>
      <c r="K585" s="74"/>
      <c r="L585" s="74"/>
      <c r="M585" s="74"/>
      <c r="N585" s="74"/>
      <c r="O585" s="79">
        <f>P585+N585</f>
        <v>0</v>
      </c>
      <c r="P585" s="37"/>
      <c r="Q585" s="74"/>
      <c r="R585" s="80"/>
      <c r="S585" s="74"/>
      <c r="T585" s="36"/>
      <c r="U585" s="79">
        <f>Table46[[#This Row],[NET WT KGS]]-Table46[[#This Row],[Refraction]]</f>
        <v>0</v>
      </c>
      <c r="V585" s="81"/>
      <c r="W585" s="81">
        <f>Table46[[#This Row],[PRICE]]*Table46[[#This Row],[PAID WT]]</f>
        <v>0</v>
      </c>
      <c r="X585" s="82">
        <v>10</v>
      </c>
      <c r="Y585" s="83">
        <v>172</v>
      </c>
      <c r="Z585" s="82">
        <v>38.801400000000001</v>
      </c>
      <c r="AA585" s="84"/>
      <c r="AB585" s="74" t="s">
        <v>171</v>
      </c>
      <c r="AC585" s="92" t="s">
        <v>70</v>
      </c>
      <c r="AD585" s="28"/>
      <c r="AE585" s="18">
        <f>Table46[[#This Row],[MOIS.]]*Table46[[#This Row],[NET WT KGS]]</f>
        <v>0</v>
      </c>
      <c r="AF585" s="18">
        <f>Table46[[#This Row],[KOR]]*Table46[[#This Row],[NET WT KGS]]</f>
        <v>0</v>
      </c>
      <c r="AG585">
        <f>Table46[[#This Row],[NET WT KGS]]*Table46[[#This Row],[NUT COUNT]]</f>
        <v>0</v>
      </c>
    </row>
    <row r="586" spans="1:38" x14ac:dyDescent="0.35">
      <c r="A586" s="32">
        <f t="shared" si="68"/>
        <v>584</v>
      </c>
      <c r="B586" s="65">
        <v>46125</v>
      </c>
      <c r="C586" s="65">
        <v>46126</v>
      </c>
      <c r="D586" s="10" t="s">
        <v>38</v>
      </c>
      <c r="E586" s="10" t="s">
        <v>39</v>
      </c>
      <c r="F586" s="67" t="s">
        <v>40</v>
      </c>
      <c r="G586" s="10" t="s">
        <v>41</v>
      </c>
      <c r="H586" s="50" t="s">
        <v>123</v>
      </c>
      <c r="I586" s="67" t="str">
        <f>VLOOKUP(Table46[[#This Row],[SUPPLIERS NAME]],[1]AGING!X$3:Y$30,2,)</f>
        <v>LBA-011-ASR</v>
      </c>
      <c r="J586" s="10" t="s">
        <v>645</v>
      </c>
      <c r="K586" s="21" t="s">
        <v>161</v>
      </c>
      <c r="L586" s="10">
        <v>1127</v>
      </c>
      <c r="M586" s="10">
        <v>33497</v>
      </c>
      <c r="N586" s="10">
        <v>499</v>
      </c>
      <c r="O586" s="22">
        <f>P586+N586</f>
        <v>43480</v>
      </c>
      <c r="P586" s="22">
        <v>42981</v>
      </c>
      <c r="Q586" s="10">
        <v>494</v>
      </c>
      <c r="R586" s="67">
        <v>0</v>
      </c>
      <c r="S586" s="10">
        <v>5</v>
      </c>
      <c r="T586" s="10">
        <f t="shared" ref="T586:T594" si="69">S586*4+R586*8</f>
        <v>20</v>
      </c>
      <c r="U586" s="22">
        <f>Table46[[#This Row],[NET WT KGS]]-Table46[[#This Row],[Refraction]]</f>
        <v>42961</v>
      </c>
      <c r="V586" s="23">
        <v>510</v>
      </c>
      <c r="W586" s="23">
        <f>Table46[[#This Row],[PRICE]]*Table46[[#This Row],[PAID WT]]</f>
        <v>21910110</v>
      </c>
      <c r="X586" s="24">
        <v>10.5</v>
      </c>
      <c r="Y586" s="25">
        <v>169</v>
      </c>
      <c r="Z586" s="24">
        <v>42.5</v>
      </c>
      <c r="AA586" s="26"/>
      <c r="AB586" s="10" t="s">
        <v>513</v>
      </c>
      <c r="AC586" s="73"/>
      <c r="AD586" s="63" t="s">
        <v>708</v>
      </c>
      <c r="AE586" s="18">
        <f>Table46[[#This Row],[MOIS.]]*Table46[[#This Row],[NET WT KGS]]</f>
        <v>451300.5</v>
      </c>
      <c r="AF586" s="18">
        <f>Table46[[#This Row],[KOR]]*Table46[[#This Row],[NET WT KGS]]</f>
        <v>1826692.5</v>
      </c>
      <c r="AG586">
        <f>Table46[[#This Row],[NET WT KGS]]*Table46[[#This Row],[NUT COUNT]]</f>
        <v>7263789</v>
      </c>
    </row>
    <row r="587" spans="1:38" x14ac:dyDescent="0.35">
      <c r="A587" s="32">
        <f t="shared" si="68"/>
        <v>585</v>
      </c>
      <c r="B587" s="65">
        <v>46125</v>
      </c>
      <c r="C587" s="65">
        <v>46126</v>
      </c>
      <c r="D587" s="10" t="s">
        <v>38</v>
      </c>
      <c r="E587" s="10" t="s">
        <v>39</v>
      </c>
      <c r="F587" s="67" t="s">
        <v>62</v>
      </c>
      <c r="G587" s="66"/>
      <c r="H587" s="66" t="s">
        <v>684</v>
      </c>
      <c r="I587" s="67" t="str">
        <f>VLOOKUP(Table46[[#This Row],[SUPPLIERS NAME]],[1]AGING!X$3:Y$30,2,)</f>
        <v>LBA-021-SAN</v>
      </c>
      <c r="J587" s="66" t="s">
        <v>719</v>
      </c>
      <c r="K587" s="66"/>
      <c r="L587" s="66">
        <v>691</v>
      </c>
      <c r="M587" s="66">
        <f>VLOOKUP(Table46[[#This Row],[REF.]],'[2]RCN INWARD FACTORY YAKRO 2026'!$F$4:$M$257,8,0)</f>
        <v>89770</v>
      </c>
      <c r="N587" s="66">
        <v>598</v>
      </c>
      <c r="O587" s="68">
        <v>50530</v>
      </c>
      <c r="P587" s="51">
        <f>Table46[[#This Row],[GROSS WT KGS]]-Table46[[#This Row],[SACS]]</f>
        <v>49932</v>
      </c>
      <c r="Q587" s="66">
        <v>583</v>
      </c>
      <c r="R587" s="67">
        <v>0</v>
      </c>
      <c r="S587" s="66">
        <v>15</v>
      </c>
      <c r="T587" s="10">
        <f t="shared" si="69"/>
        <v>60</v>
      </c>
      <c r="U587" s="68">
        <f>Table46[[#This Row],[NET WT KGS]]-Table46[[#This Row],[Refraction]]</f>
        <v>49872</v>
      </c>
      <c r="V587" s="69">
        <v>510</v>
      </c>
      <c r="W587" s="69">
        <f>Table46[[#This Row],[PRICE]]*Table46[[#This Row],[PAID WT]]</f>
        <v>25434720</v>
      </c>
      <c r="X587" s="70">
        <v>11.4</v>
      </c>
      <c r="Y587" s="71">
        <v>165</v>
      </c>
      <c r="Z587" s="70">
        <v>42.32</v>
      </c>
      <c r="AA587" s="72"/>
      <c r="AB587" s="66" t="s">
        <v>308</v>
      </c>
      <c r="AC587" s="73" t="s">
        <v>720</v>
      </c>
      <c r="AD587" s="63" t="s">
        <v>708</v>
      </c>
      <c r="AE587" s="18">
        <f>Table46[[#This Row],[MOIS.]]*Table46[[#This Row],[NET WT KGS]]</f>
        <v>569224.80000000005</v>
      </c>
      <c r="AF587" s="18">
        <f>Table46[[#This Row],[KOR]]*Table46[[#This Row],[NET WT KGS]]</f>
        <v>2113122.2400000002</v>
      </c>
      <c r="AG587">
        <f>Table46[[#This Row],[NET WT KGS]]*Table46[[#This Row],[NUT COUNT]]</f>
        <v>8238780</v>
      </c>
    </row>
    <row r="588" spans="1:38" x14ac:dyDescent="0.35">
      <c r="A588" s="32">
        <f t="shared" si="68"/>
        <v>586</v>
      </c>
      <c r="B588" s="65">
        <v>46125</v>
      </c>
      <c r="C588" s="65">
        <v>46126</v>
      </c>
      <c r="D588" s="10" t="s">
        <v>38</v>
      </c>
      <c r="E588" s="10" t="s">
        <v>39</v>
      </c>
      <c r="F588" s="67" t="s">
        <v>62</v>
      </c>
      <c r="G588" s="66"/>
      <c r="H588" s="10" t="s">
        <v>684</v>
      </c>
      <c r="I588" s="67" t="str">
        <f>VLOOKUP(Table46[[#This Row],[SUPPLIERS NAME]],[1]AGING!X$3:Y$30,2,)</f>
        <v>LBA-021-SAN</v>
      </c>
      <c r="J588" s="10" t="s">
        <v>721</v>
      </c>
      <c r="K588" s="66"/>
      <c r="L588" s="10">
        <v>692</v>
      </c>
      <c r="M588" s="66">
        <f>VLOOKUP(Table46[[#This Row],[REF.]],'[2]RCN INWARD FACTORY YAKRO 2026'!$F$4:$M$257,8,0)</f>
        <v>89781</v>
      </c>
      <c r="N588" s="10">
        <v>604</v>
      </c>
      <c r="O588" s="22">
        <v>50350</v>
      </c>
      <c r="P588" s="51">
        <f>Table46[[#This Row],[GROSS WT KGS]]-Table46[[#This Row],[SACS]]</f>
        <v>49746</v>
      </c>
      <c r="Q588" s="10">
        <v>589</v>
      </c>
      <c r="R588" s="67">
        <v>0</v>
      </c>
      <c r="S588" s="10">
        <v>15</v>
      </c>
      <c r="T588" s="10">
        <f t="shared" si="69"/>
        <v>60</v>
      </c>
      <c r="U588" s="22">
        <f>Table46[[#This Row],[NET WT KGS]]-Table46[[#This Row],[Refraction]]</f>
        <v>49686</v>
      </c>
      <c r="V588" s="69">
        <v>510</v>
      </c>
      <c r="W588" s="23">
        <f>Table46[[#This Row],[PRICE]]*Table46[[#This Row],[PAID WT]]</f>
        <v>25339860</v>
      </c>
      <c r="X588" s="24">
        <v>12.4</v>
      </c>
      <c r="Y588" s="25">
        <v>171</v>
      </c>
      <c r="Z588" s="24">
        <v>42.68</v>
      </c>
      <c r="AA588" s="26"/>
      <c r="AB588" s="10" t="s">
        <v>171</v>
      </c>
      <c r="AC588" s="27" t="s">
        <v>720</v>
      </c>
      <c r="AD588" s="63" t="s">
        <v>708</v>
      </c>
      <c r="AE588" s="18">
        <f>Table46[[#This Row],[MOIS.]]*Table46[[#This Row],[NET WT KGS]]</f>
        <v>616850.4</v>
      </c>
      <c r="AF588" s="18">
        <f>Table46[[#This Row],[KOR]]*Table46[[#This Row],[NET WT KGS]]</f>
        <v>2123159.2799999998</v>
      </c>
      <c r="AG588">
        <f>Table46[[#This Row],[NET WT KGS]]*Table46[[#This Row],[NUT COUNT]]</f>
        <v>8506566</v>
      </c>
    </row>
    <row r="589" spans="1:38" x14ac:dyDescent="0.35">
      <c r="A589" s="32">
        <f t="shared" si="68"/>
        <v>587</v>
      </c>
      <c r="B589" s="65">
        <v>46125</v>
      </c>
      <c r="C589" s="65">
        <v>46126</v>
      </c>
      <c r="D589" s="10" t="s">
        <v>38</v>
      </c>
      <c r="E589" s="10" t="s">
        <v>39</v>
      </c>
      <c r="F589" s="67" t="s">
        <v>62</v>
      </c>
      <c r="G589" s="10"/>
      <c r="H589" s="10" t="s">
        <v>338</v>
      </c>
      <c r="I589" s="67" t="str">
        <f>VLOOKUP(Table46[[#This Row],[SUPPLIERS NAME]],[1]AGING!X$3:Y$30,2,)</f>
        <v>LBA-018-COP</v>
      </c>
      <c r="J589" s="10" t="s">
        <v>722</v>
      </c>
      <c r="K589" s="57" t="s">
        <v>340</v>
      </c>
      <c r="L589" s="10">
        <v>693</v>
      </c>
      <c r="M589" s="10">
        <v>37759</v>
      </c>
      <c r="N589" s="10">
        <v>445</v>
      </c>
      <c r="O589" s="22">
        <v>36950</v>
      </c>
      <c r="P589" s="51">
        <f>Table46[[#This Row],[GROSS WT KGS]]-Table46[[#This Row],[SACS]]</f>
        <v>36505</v>
      </c>
      <c r="Q589" s="10">
        <v>417</v>
      </c>
      <c r="R589" s="67">
        <v>0</v>
      </c>
      <c r="S589" s="10">
        <v>28</v>
      </c>
      <c r="T589" s="10">
        <f t="shared" si="69"/>
        <v>112</v>
      </c>
      <c r="U589" s="22">
        <f>Table46[[#This Row],[NET WT KGS]]-Table46[[#This Row],[Refraction]]</f>
        <v>36393</v>
      </c>
      <c r="V589" s="69">
        <v>515</v>
      </c>
      <c r="W589" s="23">
        <f>Table46[[#This Row],[PRICE]]*Table46[[#This Row],[PAID WT]]</f>
        <v>18742395</v>
      </c>
      <c r="X589" s="24">
        <v>9.6999999999999993</v>
      </c>
      <c r="Y589" s="25">
        <v>168</v>
      </c>
      <c r="Z589" s="24">
        <v>44.44</v>
      </c>
      <c r="AA589" s="26"/>
      <c r="AB589" s="10" t="s">
        <v>58</v>
      </c>
      <c r="AC589" s="27"/>
      <c r="AD589" s="63" t="s">
        <v>708</v>
      </c>
      <c r="AE589" s="18">
        <f>Table46[[#This Row],[MOIS.]]*Table46[[#This Row],[NET WT KGS]]</f>
        <v>354098.5</v>
      </c>
      <c r="AF589" s="18">
        <f>Table46[[#This Row],[KOR]]*Table46[[#This Row],[NET WT KGS]]</f>
        <v>1622282.2</v>
      </c>
      <c r="AG589">
        <f>Table46[[#This Row],[NET WT KGS]]*Table46[[#This Row],[NUT COUNT]]</f>
        <v>6132840</v>
      </c>
    </row>
    <row r="590" spans="1:38" x14ac:dyDescent="0.35">
      <c r="A590" s="32">
        <f t="shared" si="68"/>
        <v>588</v>
      </c>
      <c r="B590" s="65">
        <v>46125</v>
      </c>
      <c r="C590" s="65">
        <v>46126</v>
      </c>
      <c r="D590" s="10" t="s">
        <v>38</v>
      </c>
      <c r="E590" s="66" t="s">
        <v>39</v>
      </c>
      <c r="F590" s="67" t="s">
        <v>62</v>
      </c>
      <c r="G590" s="66"/>
      <c r="H590" s="66" t="s">
        <v>128</v>
      </c>
      <c r="I590" s="67" t="str">
        <f>VLOOKUP(Table46[[#This Row],[SUPPLIERS NAME]],[1]AGING!X$3:Y$30,2,)</f>
        <v>LBA-002-SCA</v>
      </c>
      <c r="J590" s="66" t="s">
        <v>723</v>
      </c>
      <c r="K590" s="33" t="s">
        <v>131</v>
      </c>
      <c r="L590" s="66">
        <v>695</v>
      </c>
      <c r="M590" s="10">
        <v>78868</v>
      </c>
      <c r="N590" s="66">
        <v>642</v>
      </c>
      <c r="O590" s="68">
        <v>46570</v>
      </c>
      <c r="P590" s="51">
        <f>Table46[[#This Row],[GROSS WT KGS]]-Table46[[#This Row],[SACS]]</f>
        <v>45928</v>
      </c>
      <c r="Q590" s="66">
        <v>597</v>
      </c>
      <c r="R590" s="67">
        <v>0</v>
      </c>
      <c r="S590" s="66">
        <v>45</v>
      </c>
      <c r="T590" s="10">
        <f t="shared" si="69"/>
        <v>180</v>
      </c>
      <c r="U590" s="68">
        <f>Table46[[#This Row],[NET WT KGS]]-Table46[[#This Row],[Refraction]]</f>
        <v>45748</v>
      </c>
      <c r="V590" s="69">
        <v>515</v>
      </c>
      <c r="W590" s="69">
        <f>Table46[[#This Row],[PRICE]]*Table46[[#This Row],[PAID WT]]</f>
        <v>23560220</v>
      </c>
      <c r="X590" s="70">
        <v>11</v>
      </c>
      <c r="Y590" s="71">
        <v>175</v>
      </c>
      <c r="Z590" s="70">
        <v>44.53</v>
      </c>
      <c r="AA590" s="72"/>
      <c r="AB590" s="66" t="s">
        <v>132</v>
      </c>
      <c r="AC590" s="73"/>
      <c r="AD590" s="63" t="s">
        <v>708</v>
      </c>
      <c r="AE590" s="18">
        <f>Table46[[#This Row],[MOIS.]]*Table46[[#This Row],[NET WT KGS]]</f>
        <v>505208</v>
      </c>
      <c r="AF590" s="18">
        <f>Table46[[#This Row],[KOR]]*Table46[[#This Row],[NET WT KGS]]</f>
        <v>2045173.84</v>
      </c>
      <c r="AG590">
        <f>Table46[[#This Row],[NET WT KGS]]*Table46[[#This Row],[NUT COUNT]]</f>
        <v>8037400</v>
      </c>
    </row>
    <row r="591" spans="1:38" x14ac:dyDescent="0.35">
      <c r="A591" s="32">
        <f t="shared" si="68"/>
        <v>589</v>
      </c>
      <c r="B591" s="65">
        <v>46125</v>
      </c>
      <c r="C591" s="65">
        <v>46126</v>
      </c>
      <c r="D591" s="10" t="s">
        <v>38</v>
      </c>
      <c r="E591" s="66" t="s">
        <v>258</v>
      </c>
      <c r="F591" s="67" t="s">
        <v>62</v>
      </c>
      <c r="G591" s="66"/>
      <c r="H591" s="66" t="s">
        <v>724</v>
      </c>
      <c r="I591" s="67" t="s">
        <v>191</v>
      </c>
      <c r="J591" s="66" t="s">
        <v>725</v>
      </c>
      <c r="K591" s="21" t="s">
        <v>726</v>
      </c>
      <c r="L591" s="66">
        <v>696</v>
      </c>
      <c r="M591" s="10">
        <v>30266</v>
      </c>
      <c r="N591" s="66">
        <v>732</v>
      </c>
      <c r="O591" s="68">
        <v>58050</v>
      </c>
      <c r="P591" s="51">
        <f>Table46[[#This Row],[GROSS WT KGS]]-Table46[[#This Row],[SACS]]</f>
        <v>57318</v>
      </c>
      <c r="Q591" s="66">
        <v>711</v>
      </c>
      <c r="R591" s="67">
        <v>0</v>
      </c>
      <c r="S591" s="66">
        <v>21</v>
      </c>
      <c r="T591" s="10">
        <f t="shared" si="69"/>
        <v>84</v>
      </c>
      <c r="U591" s="115">
        <f>Table46[[#This Row],[NET WT KGS]]-Table46[[#This Row],[Refraction]]</f>
        <v>57234</v>
      </c>
      <c r="V591" s="69">
        <v>515</v>
      </c>
      <c r="W591" s="69">
        <f>Table46[[#This Row],[PRICE]]*Table46[[#This Row],[PAID WT]]</f>
        <v>29475510</v>
      </c>
      <c r="X591" s="70">
        <v>9.9</v>
      </c>
      <c r="Y591" s="71">
        <v>186</v>
      </c>
      <c r="Z591" s="70">
        <v>43.91</v>
      </c>
      <c r="AA591" s="72"/>
      <c r="AB591" s="66" t="s">
        <v>727</v>
      </c>
      <c r="AC591" s="73"/>
      <c r="AD591" s="63" t="s">
        <v>708</v>
      </c>
      <c r="AE591" s="18">
        <f>Table46[[#This Row],[MOIS.]]*Table46[[#This Row],[NET WT KGS]]</f>
        <v>567448.20000000007</v>
      </c>
      <c r="AF591" s="18">
        <f>Table46[[#This Row],[KOR]]*Table46[[#This Row],[NET WT KGS]]</f>
        <v>2516833.38</v>
      </c>
      <c r="AG591">
        <f>Table46[[#This Row],[NET WT KGS]]*Table46[[#This Row],[NUT COUNT]]</f>
        <v>10661148</v>
      </c>
    </row>
    <row r="592" spans="1:38" x14ac:dyDescent="0.35">
      <c r="A592" s="32">
        <f t="shared" si="68"/>
        <v>590</v>
      </c>
      <c r="B592" s="65">
        <v>46125</v>
      </c>
      <c r="C592" s="20">
        <v>46126</v>
      </c>
      <c r="D592" s="10" t="s">
        <v>38</v>
      </c>
      <c r="E592" s="66" t="s">
        <v>258</v>
      </c>
      <c r="F592" s="67" t="s">
        <v>62</v>
      </c>
      <c r="G592" s="66"/>
      <c r="H592" s="66" t="s">
        <v>502</v>
      </c>
      <c r="I592" s="67" t="str">
        <f>VLOOKUP(Table46[[#This Row],[SUPPLIERS NAME]],[1]AGING!X$3:Y$70,2,)</f>
        <v>DIS-027-BAO</v>
      </c>
      <c r="J592" s="66" t="s">
        <v>728</v>
      </c>
      <c r="K592" s="21" t="s">
        <v>697</v>
      </c>
      <c r="L592" s="66">
        <v>697</v>
      </c>
      <c r="M592" s="10">
        <v>23293</v>
      </c>
      <c r="N592" s="66">
        <v>458</v>
      </c>
      <c r="O592" s="68">
        <v>39620</v>
      </c>
      <c r="P592" s="93">
        <f>Table46[[#This Row],[GROSS WT KGS]]-Table46[[#This Row],[SACS]]</f>
        <v>39162</v>
      </c>
      <c r="Q592" s="66">
        <v>427</v>
      </c>
      <c r="R592" s="67">
        <v>0</v>
      </c>
      <c r="S592" s="66">
        <v>31</v>
      </c>
      <c r="T592" s="10">
        <f t="shared" si="69"/>
        <v>124</v>
      </c>
      <c r="U592" s="68">
        <f>Table46[[#This Row],[NET WT KGS]]-Table46[[#This Row],[Refraction]]</f>
        <v>39038</v>
      </c>
      <c r="V592" s="69">
        <v>515</v>
      </c>
      <c r="W592" s="69">
        <f>Table46[[#This Row],[PRICE]]*Table46[[#This Row],[PAID WT]]</f>
        <v>20104570</v>
      </c>
      <c r="X592" s="70">
        <v>11.4</v>
      </c>
      <c r="Y592" s="71">
        <v>179</v>
      </c>
      <c r="Z592" s="70">
        <v>43.56</v>
      </c>
      <c r="AA592" s="72"/>
      <c r="AB592" s="66" t="s">
        <v>358</v>
      </c>
      <c r="AC592" s="27"/>
      <c r="AD592" s="63" t="s">
        <v>708</v>
      </c>
      <c r="AE592" s="18">
        <f>Table46[[#This Row],[MOIS.]]*Table46[[#This Row],[NET WT KGS]]</f>
        <v>446446.8</v>
      </c>
      <c r="AF592" s="18">
        <f>Table46[[#This Row],[KOR]]*Table46[[#This Row],[NET WT KGS]]</f>
        <v>1705896.7200000002</v>
      </c>
      <c r="AG592">
        <f>Table46[[#This Row],[NET WT KGS]]*Table46[[#This Row],[NUT COUNT]]</f>
        <v>7009998</v>
      </c>
      <c r="AL592" t="s">
        <v>26</v>
      </c>
    </row>
    <row r="593" spans="1:37" x14ac:dyDescent="0.35">
      <c r="A593" s="32">
        <f t="shared" si="68"/>
        <v>591</v>
      </c>
      <c r="B593" s="65">
        <v>46125</v>
      </c>
      <c r="C593" s="20">
        <v>46126</v>
      </c>
      <c r="D593" s="10" t="s">
        <v>38</v>
      </c>
      <c r="E593" s="66" t="s">
        <v>39</v>
      </c>
      <c r="F593" s="67" t="s">
        <v>62</v>
      </c>
      <c r="G593" s="66"/>
      <c r="H593" s="66" t="s">
        <v>128</v>
      </c>
      <c r="I593" s="67" t="str">
        <f>VLOOKUP(Table46[[#This Row],[SUPPLIERS NAME]],[1]AGING!X$3:Y$30,2,)</f>
        <v>LBA-002-SCA</v>
      </c>
      <c r="J593" s="66" t="s">
        <v>729</v>
      </c>
      <c r="K593" s="33" t="s">
        <v>131</v>
      </c>
      <c r="L593" s="66">
        <v>694</v>
      </c>
      <c r="M593" s="10">
        <v>78913</v>
      </c>
      <c r="N593" s="66">
        <v>537</v>
      </c>
      <c r="O593" s="68">
        <v>45530</v>
      </c>
      <c r="P593" s="93">
        <f>Table46[[#This Row],[GROSS WT KGS]]-Table46[[#This Row],[SACS]]</f>
        <v>44993</v>
      </c>
      <c r="Q593" s="66">
        <v>493</v>
      </c>
      <c r="R593" s="67">
        <v>0</v>
      </c>
      <c r="S593" s="66">
        <v>44</v>
      </c>
      <c r="T593" s="10">
        <f t="shared" si="69"/>
        <v>176</v>
      </c>
      <c r="U593" s="68">
        <f>Table46[[#This Row],[NET WT KGS]]-Table46[[#This Row],[Refraction]]</f>
        <v>44817</v>
      </c>
      <c r="V593" s="69">
        <v>515</v>
      </c>
      <c r="W593" s="69">
        <f>Table46[[#This Row],[PRICE]]*Table46[[#This Row],[PAID WT]]</f>
        <v>23080755</v>
      </c>
      <c r="X593" s="70">
        <v>11</v>
      </c>
      <c r="Y593" s="71">
        <v>176</v>
      </c>
      <c r="Z593" s="70">
        <v>44.44</v>
      </c>
      <c r="AA593" s="72"/>
      <c r="AB593" s="66" t="s">
        <v>132</v>
      </c>
      <c r="AC593" s="27"/>
      <c r="AD593" s="63" t="s">
        <v>708</v>
      </c>
      <c r="AE593" s="18">
        <f>Table46[[#This Row],[MOIS.]]*Table46[[#This Row],[NET WT KGS]]</f>
        <v>494923</v>
      </c>
      <c r="AF593" s="18">
        <f>Table46[[#This Row],[KOR]]*Table46[[#This Row],[NET WT KGS]]</f>
        <v>1999488.92</v>
      </c>
      <c r="AG593">
        <f>Table46[[#This Row],[NET WT KGS]]*Table46[[#This Row],[NUT COUNT]]</f>
        <v>7918768</v>
      </c>
      <c r="AJ593" t="s">
        <v>730</v>
      </c>
      <c r="AK593" t="s">
        <v>731</v>
      </c>
    </row>
    <row r="594" spans="1:37" x14ac:dyDescent="0.35">
      <c r="A594" s="32">
        <f t="shared" si="68"/>
        <v>592</v>
      </c>
      <c r="B594" s="65">
        <v>46126</v>
      </c>
      <c r="C594" s="65">
        <v>46126</v>
      </c>
      <c r="D594" s="10" t="s">
        <v>38</v>
      </c>
      <c r="E594" s="66" t="s">
        <v>39</v>
      </c>
      <c r="F594" s="67" t="s">
        <v>40</v>
      </c>
      <c r="G594" s="66" t="s">
        <v>41</v>
      </c>
      <c r="H594" s="66" t="s">
        <v>74</v>
      </c>
      <c r="I594" s="67" t="str">
        <f>VLOOKUP(Table46[[#This Row],[SUPPLIERS NAME]],[1]AGING!X$3:Y$30,2,)</f>
        <v>LBA-003-HER</v>
      </c>
      <c r="J594" s="66" t="s">
        <v>187</v>
      </c>
      <c r="K594" s="33" t="s">
        <v>77</v>
      </c>
      <c r="L594" s="66">
        <v>1128</v>
      </c>
      <c r="M594" s="10">
        <v>18134</v>
      </c>
      <c r="N594" s="66">
        <v>523</v>
      </c>
      <c r="O594" s="68">
        <f t="shared" ref="O594:O602" si="70">P594+N594</f>
        <v>45660</v>
      </c>
      <c r="P594" s="68">
        <v>45137</v>
      </c>
      <c r="Q594" s="66">
        <v>479</v>
      </c>
      <c r="R594" s="67">
        <v>0</v>
      </c>
      <c r="S594" s="66">
        <v>44</v>
      </c>
      <c r="T594" s="10">
        <f t="shared" si="69"/>
        <v>176</v>
      </c>
      <c r="U594" s="68">
        <f>Table46[[#This Row],[NET WT KGS]]-Table46[[#This Row],[Refraction]]</f>
        <v>44961</v>
      </c>
      <c r="V594" s="69">
        <v>505</v>
      </c>
      <c r="W594" s="69">
        <f>Table46[[#This Row],[PRICE]]*Table46[[#This Row],[PAID WT]]</f>
        <v>22705305</v>
      </c>
      <c r="X594" s="70">
        <v>11.5</v>
      </c>
      <c r="Y594" s="71">
        <v>165</v>
      </c>
      <c r="Z594" s="70">
        <v>42.15</v>
      </c>
      <c r="AA594" s="72"/>
      <c r="AB594" s="66" t="s">
        <v>78</v>
      </c>
      <c r="AC594" s="73"/>
      <c r="AD594" s="63" t="s">
        <v>708</v>
      </c>
      <c r="AE594" s="18">
        <f>Table46[[#This Row],[MOIS.]]*Table46[[#This Row],[NET WT KGS]]</f>
        <v>519075.5</v>
      </c>
      <c r="AF594" s="18">
        <f>Table46[[#This Row],[KOR]]*Table46[[#This Row],[NET WT KGS]]</f>
        <v>1902524.55</v>
      </c>
      <c r="AG594">
        <f>Table46[[#This Row],[NET WT KGS]]*Table46[[#This Row],[NUT COUNT]]</f>
        <v>7447605</v>
      </c>
    </row>
    <row r="595" spans="1:37" x14ac:dyDescent="0.35">
      <c r="A595" s="32">
        <f t="shared" si="68"/>
        <v>593</v>
      </c>
      <c r="B595" s="91">
        <v>46126</v>
      </c>
      <c r="C595" s="91">
        <f>Table46[[#This Row],[DATE OF ARRIVAL]]</f>
        <v>46126</v>
      </c>
      <c r="D595" s="36"/>
      <c r="E595" s="74"/>
      <c r="F595" s="74" t="s">
        <v>40</v>
      </c>
      <c r="G595" s="74"/>
      <c r="H595" s="74" t="s">
        <v>154</v>
      </c>
      <c r="I595" s="74" t="s">
        <v>155</v>
      </c>
      <c r="J595" s="74" t="s">
        <v>732</v>
      </c>
      <c r="K595" s="74"/>
      <c r="L595" s="74"/>
      <c r="M595" s="74"/>
      <c r="N595" s="74"/>
      <c r="O595" s="79">
        <f t="shared" si="70"/>
        <v>0</v>
      </c>
      <c r="P595" s="79"/>
      <c r="Q595" s="74"/>
      <c r="R595" s="80"/>
      <c r="S595" s="74"/>
      <c r="T595" s="36"/>
      <c r="U595" s="79">
        <f>Table46[[#This Row],[NET WT KGS]]-Table46[[#This Row],[Refraction]]</f>
        <v>0</v>
      </c>
      <c r="V595" s="81"/>
      <c r="W595" s="81">
        <f>Table46[[#This Row],[PRICE]]*Table46[[#This Row],[PAID WT]]</f>
        <v>0</v>
      </c>
      <c r="X595" s="82">
        <v>13</v>
      </c>
      <c r="Y595" s="83">
        <v>172</v>
      </c>
      <c r="Z595" s="82">
        <v>39.85962</v>
      </c>
      <c r="AA595" s="84"/>
      <c r="AB595" s="74" t="s">
        <v>40</v>
      </c>
      <c r="AC595" s="92" t="s">
        <v>70</v>
      </c>
      <c r="AD595" s="28"/>
      <c r="AE595" s="18">
        <f>Table46[[#This Row],[MOIS.]]*Table46[[#This Row],[NET WT KGS]]</f>
        <v>0</v>
      </c>
      <c r="AF595" s="18">
        <f>Table46[[#This Row],[KOR]]*Table46[[#This Row],[NET WT KGS]]</f>
        <v>0</v>
      </c>
      <c r="AG595">
        <f>Table46[[#This Row],[NET WT KGS]]*Table46[[#This Row],[NUT COUNT]]</f>
        <v>0</v>
      </c>
    </row>
    <row r="596" spans="1:37" x14ac:dyDescent="0.35">
      <c r="A596" s="32">
        <f t="shared" si="68"/>
        <v>594</v>
      </c>
      <c r="B596" s="91">
        <v>46126</v>
      </c>
      <c r="C596" s="91">
        <f>Table46[[#This Row],[DATE OF ARRIVAL]]</f>
        <v>46126</v>
      </c>
      <c r="D596" s="36"/>
      <c r="E596" s="74"/>
      <c r="F596" s="74" t="s">
        <v>40</v>
      </c>
      <c r="G596" s="74"/>
      <c r="H596" s="74" t="s">
        <v>405</v>
      </c>
      <c r="I596" s="74" t="s">
        <v>256</v>
      </c>
      <c r="J596" s="74" t="s">
        <v>733</v>
      </c>
      <c r="K596" s="74"/>
      <c r="L596" s="74"/>
      <c r="M596" s="74"/>
      <c r="N596" s="74"/>
      <c r="O596" s="79">
        <f t="shared" si="70"/>
        <v>0</v>
      </c>
      <c r="P596" s="79"/>
      <c r="Q596" s="74"/>
      <c r="R596" s="80"/>
      <c r="S596" s="74"/>
      <c r="T596" s="36"/>
      <c r="U596" s="79">
        <f>Table46[[#This Row],[NET WT KGS]]-Table46[[#This Row],[Refraction]]</f>
        <v>0</v>
      </c>
      <c r="V596" s="81"/>
      <c r="W596" s="81">
        <f>Table46[[#This Row],[PRICE]]*Table46[[#This Row],[PAID WT]]</f>
        <v>0</v>
      </c>
      <c r="X596" s="82">
        <v>12</v>
      </c>
      <c r="Y596" s="83">
        <v>176</v>
      </c>
      <c r="Z596" s="82">
        <v>39.683250000000001</v>
      </c>
      <c r="AA596" s="84"/>
      <c r="AB596" s="74" t="s">
        <v>78</v>
      </c>
      <c r="AC596" s="92" t="s">
        <v>70</v>
      </c>
      <c r="AD596" s="28"/>
      <c r="AE596" s="18">
        <f>Table46[[#This Row],[MOIS.]]*Table46[[#This Row],[NET WT KGS]]</f>
        <v>0</v>
      </c>
      <c r="AF596" s="18">
        <f>Table46[[#This Row],[KOR]]*Table46[[#This Row],[NET WT KGS]]</f>
        <v>0</v>
      </c>
      <c r="AG596">
        <f>Table46[[#This Row],[NET WT KGS]]*Table46[[#This Row],[NUT COUNT]]</f>
        <v>0</v>
      </c>
    </row>
    <row r="597" spans="1:37" x14ac:dyDescent="0.35">
      <c r="A597" s="32">
        <f t="shared" si="68"/>
        <v>595</v>
      </c>
      <c r="B597" s="65">
        <v>46126</v>
      </c>
      <c r="C597" s="65">
        <v>46127</v>
      </c>
      <c r="D597" s="10" t="s">
        <v>38</v>
      </c>
      <c r="E597" s="10" t="s">
        <v>258</v>
      </c>
      <c r="F597" s="67" t="s">
        <v>40</v>
      </c>
      <c r="G597" s="10" t="s">
        <v>350</v>
      </c>
      <c r="H597" s="50" t="s">
        <v>373</v>
      </c>
      <c r="I597" s="67" t="str">
        <f>VLOOKUP(Table46[[#This Row],[SUPPLIERS NAME]],[1]AGING!X$3:Y$70,2,)</f>
        <v>DIS-008-FOU</v>
      </c>
      <c r="J597" s="10" t="s">
        <v>434</v>
      </c>
      <c r="K597" s="57" t="s">
        <v>435</v>
      </c>
      <c r="L597" s="10">
        <v>1129</v>
      </c>
      <c r="M597" s="10">
        <v>23652</v>
      </c>
      <c r="N597" s="10">
        <v>490</v>
      </c>
      <c r="O597" s="22">
        <f t="shared" si="70"/>
        <v>40600</v>
      </c>
      <c r="P597" s="22">
        <v>40110</v>
      </c>
      <c r="Q597" s="10">
        <v>479</v>
      </c>
      <c r="R597" s="67">
        <v>0</v>
      </c>
      <c r="S597" s="10">
        <v>11</v>
      </c>
      <c r="T597" s="10">
        <f t="shared" ref="T597:T611" si="71">S597*4+R597*8</f>
        <v>44</v>
      </c>
      <c r="U597" s="22">
        <f>Table46[[#This Row],[NET WT KGS]]-Table46[[#This Row],[Refraction]]</f>
        <v>40066</v>
      </c>
      <c r="V597" s="23">
        <v>510</v>
      </c>
      <c r="W597" s="23">
        <f>Table46[[#This Row],[PRICE]]*Table46[[#This Row],[PAID WT]]</f>
        <v>20433660</v>
      </c>
      <c r="X597" s="24">
        <v>9</v>
      </c>
      <c r="Y597" s="25">
        <v>159</v>
      </c>
      <c r="Z597" s="24">
        <v>43.38</v>
      </c>
      <c r="AA597" s="26"/>
      <c r="AB597" s="10" t="s">
        <v>308</v>
      </c>
      <c r="AC597" s="27"/>
      <c r="AD597" s="63" t="s">
        <v>708</v>
      </c>
      <c r="AE597" s="18">
        <f>Table46[[#This Row],[MOIS.]]*Table46[[#This Row],[NET WT KGS]]</f>
        <v>360990</v>
      </c>
      <c r="AF597" s="18">
        <f>Table46[[#This Row],[KOR]]*Table46[[#This Row],[NET WT KGS]]</f>
        <v>1739971.8</v>
      </c>
      <c r="AG597">
        <f>Table46[[#This Row],[NET WT KGS]]*Table46[[#This Row],[NUT COUNT]]</f>
        <v>6377490</v>
      </c>
    </row>
    <row r="598" spans="1:37" x14ac:dyDescent="0.35">
      <c r="A598" s="32">
        <f t="shared" si="68"/>
        <v>596</v>
      </c>
      <c r="B598" s="65">
        <v>46126</v>
      </c>
      <c r="C598" s="65">
        <v>46127</v>
      </c>
      <c r="D598" s="10" t="s">
        <v>38</v>
      </c>
      <c r="E598" s="66" t="s">
        <v>39</v>
      </c>
      <c r="F598" s="67" t="s">
        <v>40</v>
      </c>
      <c r="G598" s="66" t="s">
        <v>41</v>
      </c>
      <c r="H598" s="66" t="s">
        <v>112</v>
      </c>
      <c r="I598" s="67" t="str">
        <f>VLOOKUP(Table46[[#This Row],[SUPPLIERS NAME]],[1]AGING!X$3:Y$30,2,)</f>
        <v>LBA-015-OUM</v>
      </c>
      <c r="J598" s="66" t="s">
        <v>366</v>
      </c>
      <c r="K598" s="21" t="s">
        <v>115</v>
      </c>
      <c r="L598" s="66">
        <v>1130</v>
      </c>
      <c r="M598" s="10">
        <v>34012</v>
      </c>
      <c r="N598" s="66">
        <v>446</v>
      </c>
      <c r="O598" s="68">
        <f t="shared" si="70"/>
        <v>37280</v>
      </c>
      <c r="P598" s="68">
        <v>36834</v>
      </c>
      <c r="Q598" s="66">
        <v>433</v>
      </c>
      <c r="R598" s="67">
        <v>0</v>
      </c>
      <c r="S598" s="66">
        <v>13</v>
      </c>
      <c r="T598" s="10">
        <f t="shared" si="71"/>
        <v>52</v>
      </c>
      <c r="U598" s="68">
        <f>Table46[[#This Row],[NET WT KGS]]-Table46[[#This Row],[Refraction]]</f>
        <v>36782</v>
      </c>
      <c r="V598" s="69">
        <v>500</v>
      </c>
      <c r="W598" s="69">
        <f>Table46[[#This Row],[PRICE]]*Table46[[#This Row],[PAID WT]]</f>
        <v>18391000</v>
      </c>
      <c r="X598" s="70">
        <v>8.6999999999999993</v>
      </c>
      <c r="Y598" s="71">
        <v>157</v>
      </c>
      <c r="Z598" s="70">
        <v>42.85</v>
      </c>
      <c r="AA598" s="72"/>
      <c r="AB598" s="66" t="s">
        <v>40</v>
      </c>
      <c r="AC598" s="73"/>
      <c r="AD598" s="63" t="s">
        <v>708</v>
      </c>
      <c r="AE598" s="18">
        <f>Table46[[#This Row],[MOIS.]]*Table46[[#This Row],[NET WT KGS]]</f>
        <v>320455.8</v>
      </c>
      <c r="AF598" s="18">
        <f>Table46[[#This Row],[KOR]]*Table46[[#This Row],[NET WT KGS]]</f>
        <v>1578336.9000000001</v>
      </c>
      <c r="AG598">
        <f>Table46[[#This Row],[NET WT KGS]]*Table46[[#This Row],[NUT COUNT]]</f>
        <v>5782938</v>
      </c>
    </row>
    <row r="599" spans="1:37" x14ac:dyDescent="0.35">
      <c r="A599" s="32">
        <f t="shared" si="68"/>
        <v>597</v>
      </c>
      <c r="B599" s="65">
        <v>46126</v>
      </c>
      <c r="C599" s="65">
        <v>46127</v>
      </c>
      <c r="D599" s="10" t="s">
        <v>38</v>
      </c>
      <c r="E599" s="66" t="s">
        <v>39</v>
      </c>
      <c r="F599" s="67" t="s">
        <v>40</v>
      </c>
      <c r="G599" s="66" t="s">
        <v>350</v>
      </c>
      <c r="H599" s="66" t="s">
        <v>154</v>
      </c>
      <c r="I599" s="67" t="str">
        <f>VLOOKUP(Table46[[#This Row],[SUPPLIERS NAME]],[1]AGING!X$3:Y$30,2,)</f>
        <v>LBA-010-CAP</v>
      </c>
      <c r="J599" s="66" t="s">
        <v>564</v>
      </c>
      <c r="K599" s="33" t="s">
        <v>157</v>
      </c>
      <c r="L599" s="66">
        <v>1131</v>
      </c>
      <c r="M599" s="10">
        <v>87018</v>
      </c>
      <c r="N599" s="66">
        <v>547</v>
      </c>
      <c r="O599" s="68">
        <f t="shared" si="70"/>
        <v>46060</v>
      </c>
      <c r="P599" s="68">
        <v>45513</v>
      </c>
      <c r="Q599" s="66">
        <v>510</v>
      </c>
      <c r="R599" s="67">
        <v>37</v>
      </c>
      <c r="S599" s="66">
        <v>0</v>
      </c>
      <c r="T599" s="10">
        <f t="shared" si="71"/>
        <v>296</v>
      </c>
      <c r="U599" s="68">
        <f>Table46[[#This Row],[NET WT KGS]]-Table46[[#This Row],[Refraction]]</f>
        <v>45217</v>
      </c>
      <c r="V599" s="69">
        <v>505</v>
      </c>
      <c r="W599" s="69">
        <f>Table46[[#This Row],[PRICE]]*Table46[[#This Row],[PAID WT]]</f>
        <v>22834585</v>
      </c>
      <c r="X599" s="70">
        <v>11.6</v>
      </c>
      <c r="Y599" s="71">
        <v>160</v>
      </c>
      <c r="Z599" s="70">
        <v>42.85</v>
      </c>
      <c r="AA599" s="72"/>
      <c r="AB599" s="66" t="s">
        <v>40</v>
      </c>
      <c r="AC599" s="73"/>
      <c r="AD599" s="63" t="s">
        <v>708</v>
      </c>
      <c r="AE599" s="18">
        <f>Table46[[#This Row],[MOIS.]]*Table46[[#This Row],[NET WT KGS]]</f>
        <v>527950.79999999993</v>
      </c>
      <c r="AF599" s="18">
        <f>Table46[[#This Row],[KOR]]*Table46[[#This Row],[NET WT KGS]]</f>
        <v>1950232.05</v>
      </c>
      <c r="AG599">
        <f>Table46[[#This Row],[NET WT KGS]]*Table46[[#This Row],[NUT COUNT]]</f>
        <v>7282080</v>
      </c>
    </row>
    <row r="600" spans="1:37" x14ac:dyDescent="0.35">
      <c r="A600" s="32">
        <f t="shared" si="68"/>
        <v>598</v>
      </c>
      <c r="B600" s="65">
        <v>46126</v>
      </c>
      <c r="C600" s="65">
        <v>46127</v>
      </c>
      <c r="D600" s="10" t="s">
        <v>38</v>
      </c>
      <c r="E600" s="66" t="s">
        <v>39</v>
      </c>
      <c r="F600" s="67" t="s">
        <v>40</v>
      </c>
      <c r="G600" s="66" t="s">
        <v>41</v>
      </c>
      <c r="H600" s="67" t="s">
        <v>123</v>
      </c>
      <c r="I600" s="67" t="str">
        <f>VLOOKUP(Table46[[#This Row],[SUPPLIERS NAME]],[1]AGING!X$3:Y$30,2,)</f>
        <v>LBA-011-ASR</v>
      </c>
      <c r="J600" s="66" t="s">
        <v>480</v>
      </c>
      <c r="K600" s="21" t="s">
        <v>161</v>
      </c>
      <c r="L600" s="66">
        <v>1133</v>
      </c>
      <c r="M600" s="10">
        <v>33498</v>
      </c>
      <c r="N600" s="66">
        <v>548</v>
      </c>
      <c r="O600" s="68">
        <f t="shared" si="70"/>
        <v>45980</v>
      </c>
      <c r="P600" s="68">
        <v>45432</v>
      </c>
      <c r="Q600" s="66">
        <v>538</v>
      </c>
      <c r="R600" s="67">
        <v>0</v>
      </c>
      <c r="S600" s="66">
        <v>10</v>
      </c>
      <c r="T600" s="10">
        <f t="shared" si="71"/>
        <v>40</v>
      </c>
      <c r="U600" s="68">
        <f>Table46[[#This Row],[NET WT KGS]]-Table46[[#This Row],[Refraction]]</f>
        <v>45392</v>
      </c>
      <c r="V600" s="69">
        <v>510</v>
      </c>
      <c r="W600" s="69">
        <f>Table46[[#This Row],[PRICE]]*Table46[[#This Row],[PAID WT]]</f>
        <v>23149920</v>
      </c>
      <c r="X600" s="70">
        <v>8.9</v>
      </c>
      <c r="Y600" s="71">
        <v>156</v>
      </c>
      <c r="Z600" s="70">
        <v>42.5</v>
      </c>
      <c r="AA600" s="72"/>
      <c r="AB600" s="10" t="s">
        <v>40</v>
      </c>
      <c r="AC600" s="73"/>
      <c r="AD600" s="63" t="s">
        <v>708</v>
      </c>
      <c r="AE600" s="18">
        <f>Table46[[#This Row],[MOIS.]]*Table46[[#This Row],[NET WT KGS]]</f>
        <v>404344.8</v>
      </c>
      <c r="AF600" s="18">
        <f>Table46[[#This Row],[KOR]]*Table46[[#This Row],[NET WT KGS]]</f>
        <v>1930860</v>
      </c>
      <c r="AG600">
        <f>Table46[[#This Row],[NET WT KGS]]*Table46[[#This Row],[NUT COUNT]]</f>
        <v>7087392</v>
      </c>
    </row>
    <row r="601" spans="1:37" x14ac:dyDescent="0.35">
      <c r="A601" s="32">
        <f t="shared" si="68"/>
        <v>599</v>
      </c>
      <c r="B601" s="65">
        <v>46126</v>
      </c>
      <c r="C601" s="65">
        <v>46127</v>
      </c>
      <c r="D601" s="10" t="s">
        <v>38</v>
      </c>
      <c r="E601" s="66" t="s">
        <v>39</v>
      </c>
      <c r="F601" s="67" t="s">
        <v>40</v>
      </c>
      <c r="G601" s="66" t="s">
        <v>350</v>
      </c>
      <c r="H601" s="67" t="s">
        <v>280</v>
      </c>
      <c r="I601" s="67" t="str">
        <f>VLOOKUP(Table46[[#This Row],[SUPPLIERS NAME]],[1]AGING!X$3:Y$30,2,)</f>
        <v>LBA-016-NOU</v>
      </c>
      <c r="J601" s="66" t="s">
        <v>424</v>
      </c>
      <c r="K601" s="21" t="s">
        <v>283</v>
      </c>
      <c r="L601" s="66">
        <v>1132</v>
      </c>
      <c r="M601" s="10">
        <v>18449</v>
      </c>
      <c r="N601" s="66">
        <v>508</v>
      </c>
      <c r="O601" s="68">
        <f t="shared" si="70"/>
        <v>42380</v>
      </c>
      <c r="P601" s="68">
        <v>41872</v>
      </c>
      <c r="Q601" s="66">
        <v>495</v>
      </c>
      <c r="R601" s="67">
        <v>0</v>
      </c>
      <c r="S601" s="66">
        <v>13</v>
      </c>
      <c r="T601" s="10">
        <f t="shared" si="71"/>
        <v>52</v>
      </c>
      <c r="U601" s="68">
        <f>Table46[[#This Row],[NET WT KGS]]-Table46[[#This Row],[Refraction]]</f>
        <v>41820</v>
      </c>
      <c r="V601" s="69">
        <v>510</v>
      </c>
      <c r="W601" s="69">
        <f>Table46[[#This Row],[PRICE]]*Table46[[#This Row],[PAID WT]]</f>
        <v>21328200</v>
      </c>
      <c r="X601" s="70">
        <v>10.3</v>
      </c>
      <c r="Y601" s="71">
        <v>160</v>
      </c>
      <c r="Z601" s="70">
        <v>43.21</v>
      </c>
      <c r="AA601" s="72"/>
      <c r="AB601" s="66" t="s">
        <v>284</v>
      </c>
      <c r="AC601" s="73"/>
      <c r="AD601" s="63" t="s">
        <v>708</v>
      </c>
      <c r="AE601" s="18">
        <f>Table46[[#This Row],[MOIS.]]*Table46[[#This Row],[NET WT KGS]]</f>
        <v>431281.60000000003</v>
      </c>
      <c r="AF601" s="18">
        <f>Table46[[#This Row],[KOR]]*Table46[[#This Row],[NET WT KGS]]</f>
        <v>1809289.12</v>
      </c>
      <c r="AG601">
        <f>Table46[[#This Row],[NET WT KGS]]*Table46[[#This Row],[NUT COUNT]]</f>
        <v>6699520</v>
      </c>
    </row>
    <row r="602" spans="1:37" x14ac:dyDescent="0.35">
      <c r="A602" s="32">
        <f t="shared" si="68"/>
        <v>600</v>
      </c>
      <c r="B602" s="65">
        <v>46126</v>
      </c>
      <c r="C602" s="65">
        <v>46127</v>
      </c>
      <c r="D602" s="10" t="s">
        <v>38</v>
      </c>
      <c r="E602" s="66" t="s">
        <v>39</v>
      </c>
      <c r="F602" s="67" t="s">
        <v>40</v>
      </c>
      <c r="G602" s="66" t="s">
        <v>350</v>
      </c>
      <c r="H602" s="66" t="s">
        <v>338</v>
      </c>
      <c r="I602" s="67" t="str">
        <f>VLOOKUP(Table46[[#This Row],[SUPPLIERS NAME]],[1]AGING!X$3:Y$30,2,)</f>
        <v>LBA-018-COP</v>
      </c>
      <c r="J602" s="66" t="s">
        <v>339</v>
      </c>
      <c r="K602" s="57" t="s">
        <v>340</v>
      </c>
      <c r="L602" s="66">
        <v>1136</v>
      </c>
      <c r="M602" s="10">
        <v>19866</v>
      </c>
      <c r="N602" s="66">
        <v>454</v>
      </c>
      <c r="O602" s="68">
        <f t="shared" si="70"/>
        <v>39000</v>
      </c>
      <c r="P602" s="22">
        <v>38546</v>
      </c>
      <c r="Q602" s="66">
        <v>430</v>
      </c>
      <c r="R602" s="67">
        <v>24</v>
      </c>
      <c r="S602" s="66">
        <v>0</v>
      </c>
      <c r="T602" s="10">
        <f t="shared" si="71"/>
        <v>192</v>
      </c>
      <c r="U602" s="68">
        <f>Table46[[#This Row],[NET WT KGS]]-Table46[[#This Row],[Refraction]]</f>
        <v>38354</v>
      </c>
      <c r="V602" s="69">
        <v>515</v>
      </c>
      <c r="W602" s="69">
        <f>Table46[[#This Row],[PRICE]]*Table46[[#This Row],[PAID WT]]</f>
        <v>19752310</v>
      </c>
      <c r="X602" s="70">
        <v>11.2</v>
      </c>
      <c r="Y602" s="71">
        <v>162</v>
      </c>
      <c r="Z602" s="70">
        <v>42.15</v>
      </c>
      <c r="AA602" s="72"/>
      <c r="AB602" s="66" t="s">
        <v>284</v>
      </c>
      <c r="AC602" s="73"/>
      <c r="AD602" s="63" t="s">
        <v>708</v>
      </c>
      <c r="AE602" s="18">
        <f>Table46[[#This Row],[MOIS.]]*Table46[[#This Row],[NET WT KGS]]</f>
        <v>431715.19999999995</v>
      </c>
      <c r="AF602" s="18">
        <f>Table46[[#This Row],[KOR]]*Table46[[#This Row],[NET WT KGS]]</f>
        <v>1624713.9</v>
      </c>
      <c r="AG602">
        <f>Table46[[#This Row],[NET WT KGS]]*Table46[[#This Row],[NUT COUNT]]</f>
        <v>6244452</v>
      </c>
    </row>
    <row r="603" spans="1:37" x14ac:dyDescent="0.35">
      <c r="A603" s="32">
        <f t="shared" si="68"/>
        <v>601</v>
      </c>
      <c r="B603" s="65">
        <v>46126</v>
      </c>
      <c r="C603" s="65">
        <v>46127</v>
      </c>
      <c r="D603" s="10" t="s">
        <v>38</v>
      </c>
      <c r="E603" s="66" t="s">
        <v>39</v>
      </c>
      <c r="F603" s="67" t="s">
        <v>62</v>
      </c>
      <c r="G603" s="66"/>
      <c r="H603" s="66" t="s">
        <v>684</v>
      </c>
      <c r="I603" s="67" t="str">
        <f>VLOOKUP(Table46[[#This Row],[SUPPLIERS NAME]],[1]AGING!X$3:Y$30,2,)</f>
        <v>LBA-021-SAN</v>
      </c>
      <c r="J603" s="66" t="s">
        <v>734</v>
      </c>
      <c r="K603" s="66"/>
      <c r="L603" s="66">
        <v>700</v>
      </c>
      <c r="M603" s="66">
        <v>89777</v>
      </c>
      <c r="N603" s="66">
        <v>555</v>
      </c>
      <c r="O603" s="68">
        <v>48710</v>
      </c>
      <c r="P603" s="51">
        <f>Table46[[#This Row],[GROSS WT KGS]]-Table46[[#This Row],[SACS]]</f>
        <v>48155</v>
      </c>
      <c r="Q603" s="66">
        <v>542</v>
      </c>
      <c r="R603" s="67">
        <v>0</v>
      </c>
      <c r="S603" s="66">
        <v>13</v>
      </c>
      <c r="T603" s="10">
        <f t="shared" si="71"/>
        <v>52</v>
      </c>
      <c r="U603" s="68">
        <f>Table46[[#This Row],[NET WT KGS]]-Table46[[#This Row],[Refraction]]</f>
        <v>48103</v>
      </c>
      <c r="V603" s="101">
        <v>510</v>
      </c>
      <c r="W603" s="69">
        <f>Table46[[#This Row],[PRICE]]*Table46[[#This Row],[PAID WT]]</f>
        <v>24532530</v>
      </c>
      <c r="X603" s="70">
        <v>11.4</v>
      </c>
      <c r="Y603" s="71">
        <v>179</v>
      </c>
      <c r="Z603" s="70">
        <v>44.09</v>
      </c>
      <c r="AA603" s="72"/>
      <c r="AB603" s="66" t="s">
        <v>150</v>
      </c>
      <c r="AC603" s="73" t="s">
        <v>720</v>
      </c>
      <c r="AD603" s="63" t="s">
        <v>708</v>
      </c>
      <c r="AE603" s="18">
        <f>Table46[[#This Row],[MOIS.]]*Table46[[#This Row],[NET WT KGS]]</f>
        <v>548967</v>
      </c>
      <c r="AF603" s="18">
        <f>Table46[[#This Row],[KOR]]*Table46[[#This Row],[NET WT KGS]]</f>
        <v>2123153.9500000002</v>
      </c>
      <c r="AG603">
        <f>Table46[[#This Row],[NET WT KGS]]*Table46[[#This Row],[NUT COUNT]]</f>
        <v>8619745</v>
      </c>
    </row>
    <row r="604" spans="1:37" x14ac:dyDescent="0.35">
      <c r="A604" s="32">
        <f t="shared" si="68"/>
        <v>602</v>
      </c>
      <c r="B604" s="65">
        <v>46126</v>
      </c>
      <c r="C604" s="65">
        <v>46127</v>
      </c>
      <c r="D604" s="10" t="s">
        <v>38</v>
      </c>
      <c r="E604" s="66" t="s">
        <v>39</v>
      </c>
      <c r="F604" s="67" t="s">
        <v>62</v>
      </c>
      <c r="G604" s="66"/>
      <c r="H604" s="116" t="s">
        <v>128</v>
      </c>
      <c r="I604" s="67" t="str">
        <f>VLOOKUP(Table46[[#This Row],[SUPPLIERS NAME]],[1]AGING!X$3:Y$30,2,)</f>
        <v>LBA-002-SCA</v>
      </c>
      <c r="J604" s="66" t="s">
        <v>735</v>
      </c>
      <c r="K604" s="33" t="s">
        <v>131</v>
      </c>
      <c r="L604" s="66">
        <v>699</v>
      </c>
      <c r="M604" s="10">
        <v>78870</v>
      </c>
      <c r="N604" s="66">
        <v>672</v>
      </c>
      <c r="O604" s="68">
        <v>50320</v>
      </c>
      <c r="P604" s="51">
        <f>Table46[[#This Row],[GROSS WT KGS]]-Table46[[#This Row],[SACS]]</f>
        <v>49648</v>
      </c>
      <c r="Q604" s="66">
        <v>632</v>
      </c>
      <c r="R604" s="67">
        <v>0</v>
      </c>
      <c r="S604" s="66">
        <v>40</v>
      </c>
      <c r="T604" s="10">
        <f t="shared" si="71"/>
        <v>160</v>
      </c>
      <c r="U604" s="68">
        <f>Table46[[#This Row],[NET WT KGS]]-Table46[[#This Row],[Refraction]]</f>
        <v>49488</v>
      </c>
      <c r="V604" s="69">
        <v>515</v>
      </c>
      <c r="W604" s="69">
        <f>Table46[[#This Row],[PRICE]]*Table46[[#This Row],[PAID WT]]</f>
        <v>25486320</v>
      </c>
      <c r="X604" s="70">
        <v>9.3000000000000007</v>
      </c>
      <c r="Y604" s="71">
        <v>186</v>
      </c>
      <c r="Z604" s="70">
        <v>43.65</v>
      </c>
      <c r="AA604" s="72"/>
      <c r="AB604" s="66" t="s">
        <v>132</v>
      </c>
      <c r="AC604" s="73"/>
      <c r="AD604" s="63" t="s">
        <v>708</v>
      </c>
      <c r="AE604" s="18">
        <f>Table46[[#This Row],[MOIS.]]*Table46[[#This Row],[NET WT KGS]]</f>
        <v>461726.4</v>
      </c>
      <c r="AF604" s="18">
        <f>Table46[[#This Row],[KOR]]*Table46[[#This Row],[NET WT KGS]]</f>
        <v>2167135.1999999997</v>
      </c>
      <c r="AG604">
        <f>Table46[[#This Row],[NET WT KGS]]*Table46[[#This Row],[NUT COUNT]]</f>
        <v>9234528</v>
      </c>
    </row>
    <row r="605" spans="1:37" x14ac:dyDescent="0.35">
      <c r="A605" s="32">
        <f t="shared" si="68"/>
        <v>603</v>
      </c>
      <c r="B605" s="65">
        <v>46126</v>
      </c>
      <c r="C605" s="65">
        <v>46127</v>
      </c>
      <c r="D605" s="10" t="s">
        <v>38</v>
      </c>
      <c r="E605" s="66" t="s">
        <v>39</v>
      </c>
      <c r="F605" s="67" t="s">
        <v>62</v>
      </c>
      <c r="G605" s="10"/>
      <c r="H605" s="117" t="s">
        <v>128</v>
      </c>
      <c r="I605" s="67" t="str">
        <f>VLOOKUP(Table46[[#This Row],[SUPPLIERS NAME]],[1]AGING!X$3:Y$30,2,)</f>
        <v>LBA-002-SCA</v>
      </c>
      <c r="J605" s="10" t="s">
        <v>736</v>
      </c>
      <c r="K605" s="33" t="s">
        <v>131</v>
      </c>
      <c r="L605" s="10">
        <v>698</v>
      </c>
      <c r="M605" s="10">
        <v>78869</v>
      </c>
      <c r="N605" s="10">
        <v>684</v>
      </c>
      <c r="O605" s="22">
        <v>49690</v>
      </c>
      <c r="P605" s="51">
        <f>Table46[[#This Row],[GROSS WT KGS]]-Table46[[#This Row],[SACS]]</f>
        <v>49006</v>
      </c>
      <c r="Q605" s="10">
        <v>644</v>
      </c>
      <c r="R605" s="67">
        <v>0</v>
      </c>
      <c r="S605" s="10">
        <v>40</v>
      </c>
      <c r="T605" s="10">
        <f t="shared" si="71"/>
        <v>160</v>
      </c>
      <c r="U605" s="22">
        <f>Table46[[#This Row],[NET WT KGS]]-Table46[[#This Row],[Refraction]]</f>
        <v>48846</v>
      </c>
      <c r="V605" s="23">
        <v>515</v>
      </c>
      <c r="W605" s="23">
        <f>Table46[[#This Row],[PRICE]]*Table46[[#This Row],[PAID WT]]</f>
        <v>25155690</v>
      </c>
      <c r="X605" s="24">
        <v>11.2</v>
      </c>
      <c r="Y605" s="25">
        <v>181</v>
      </c>
      <c r="Z605" s="24">
        <v>43.56</v>
      </c>
      <c r="AA605" s="26"/>
      <c r="AB605" s="10" t="s">
        <v>132</v>
      </c>
      <c r="AC605" s="27"/>
      <c r="AD605" s="63" t="s">
        <v>708</v>
      </c>
      <c r="AE605" s="18">
        <f>Table46[[#This Row],[MOIS.]]*Table46[[#This Row],[NET WT KGS]]</f>
        <v>548867.19999999995</v>
      </c>
      <c r="AF605" s="18">
        <f>Table46[[#This Row],[KOR]]*Table46[[#This Row],[NET WT KGS]]</f>
        <v>2134701.3600000003</v>
      </c>
      <c r="AG605">
        <f>Table46[[#This Row],[NET WT KGS]]*Table46[[#This Row],[NUT COUNT]]</f>
        <v>8870086</v>
      </c>
    </row>
    <row r="606" spans="1:37" x14ac:dyDescent="0.35">
      <c r="A606" s="32">
        <f t="shared" si="68"/>
        <v>604</v>
      </c>
      <c r="B606" s="65">
        <v>46126</v>
      </c>
      <c r="C606" s="20">
        <v>46127</v>
      </c>
      <c r="D606" s="10" t="s">
        <v>38</v>
      </c>
      <c r="E606" s="66" t="s">
        <v>39</v>
      </c>
      <c r="F606" s="67" t="s">
        <v>62</v>
      </c>
      <c r="G606" s="66"/>
      <c r="H606" s="66" t="s">
        <v>136</v>
      </c>
      <c r="I606" s="67" t="str">
        <f>VLOOKUP(Table46[[#This Row],[SUPPLIERS NAME]],[1]AGING!X$3:Y$30,2,)</f>
        <v>LBA-004-WEB</v>
      </c>
      <c r="J606" s="66" t="s">
        <v>636</v>
      </c>
      <c r="K606" s="21" t="s">
        <v>139</v>
      </c>
      <c r="L606" s="66">
        <v>601</v>
      </c>
      <c r="M606" s="10">
        <v>60071</v>
      </c>
      <c r="N606" s="66">
        <v>497</v>
      </c>
      <c r="O606" s="68">
        <v>43200</v>
      </c>
      <c r="P606" s="93">
        <f>Table46[[#This Row],[GROSS WT KGS]]-Table46[[#This Row],[SACS]]</f>
        <v>42703</v>
      </c>
      <c r="Q606" s="66">
        <v>457</v>
      </c>
      <c r="R606" s="67">
        <v>0</v>
      </c>
      <c r="S606" s="66">
        <v>40</v>
      </c>
      <c r="T606" s="10">
        <f t="shared" si="71"/>
        <v>160</v>
      </c>
      <c r="U606" s="68">
        <f>Table46[[#This Row],[NET WT KGS]]-Table46[[#This Row],[Refraction]]</f>
        <v>42543</v>
      </c>
      <c r="V606" s="69">
        <v>515</v>
      </c>
      <c r="W606" s="69">
        <f>Table46[[#This Row],[PRICE]]*Table46[[#This Row],[PAID WT]]</f>
        <v>21909645</v>
      </c>
      <c r="X606" s="70">
        <v>11.3</v>
      </c>
      <c r="Y606" s="71">
        <v>182</v>
      </c>
      <c r="Z606" s="70">
        <v>44</v>
      </c>
      <c r="AA606" s="72"/>
      <c r="AB606" s="66" t="s">
        <v>637</v>
      </c>
      <c r="AC606" s="27"/>
      <c r="AD606" s="63" t="s">
        <v>708</v>
      </c>
      <c r="AE606" s="18">
        <f>Table46[[#This Row],[MOIS.]]*Table46[[#This Row],[NET WT KGS]]</f>
        <v>482543.9</v>
      </c>
      <c r="AF606" s="18">
        <f>Table46[[#This Row],[KOR]]*Table46[[#This Row],[NET WT KGS]]</f>
        <v>1878932</v>
      </c>
      <c r="AG606">
        <f>Table46[[#This Row],[NET WT KGS]]*Table46[[#This Row],[NUT COUNT]]</f>
        <v>7771946</v>
      </c>
    </row>
    <row r="607" spans="1:37" x14ac:dyDescent="0.35">
      <c r="A607" s="32">
        <f t="shared" si="68"/>
        <v>605</v>
      </c>
      <c r="B607" s="65">
        <v>46126</v>
      </c>
      <c r="C607" s="20">
        <v>46127</v>
      </c>
      <c r="D607" s="10" t="s">
        <v>38</v>
      </c>
      <c r="E607" s="66" t="s">
        <v>258</v>
      </c>
      <c r="F607" s="67" t="s">
        <v>62</v>
      </c>
      <c r="G607" s="66"/>
      <c r="H607" s="66" t="s">
        <v>687</v>
      </c>
      <c r="I607" s="67" t="str">
        <f>VLOOKUP(Table46[[#This Row],[SUPPLIERS NAME]],[1]AGING!X$3:Y$70,2,)</f>
        <v>DIS-025-SIM</v>
      </c>
      <c r="J607" s="66" t="s">
        <v>737</v>
      </c>
      <c r="K607" s="21" t="s">
        <v>689</v>
      </c>
      <c r="L607" s="66">
        <v>602</v>
      </c>
      <c r="M607" s="10">
        <v>86148</v>
      </c>
      <c r="N607" s="66">
        <v>337</v>
      </c>
      <c r="O607" s="68">
        <v>28660</v>
      </c>
      <c r="P607" s="93">
        <f>Table46[[#This Row],[GROSS WT KGS]]-Table46[[#This Row],[SACS]]</f>
        <v>28323</v>
      </c>
      <c r="Q607" s="66">
        <v>292</v>
      </c>
      <c r="R607" s="67">
        <v>0</v>
      </c>
      <c r="S607" s="66">
        <v>45</v>
      </c>
      <c r="T607" s="10">
        <f t="shared" si="71"/>
        <v>180</v>
      </c>
      <c r="U607" s="68">
        <f>Table46[[#This Row],[NET WT KGS]]-Table46[[#This Row],[Refraction]]</f>
        <v>28143</v>
      </c>
      <c r="V607" s="69">
        <v>515</v>
      </c>
      <c r="W607" s="69">
        <f>Table46[[#This Row],[PRICE]]*Table46[[#This Row],[PAID WT]]</f>
        <v>14493645</v>
      </c>
      <c r="X607" s="70">
        <v>12.2</v>
      </c>
      <c r="Y607" s="71">
        <v>183</v>
      </c>
      <c r="Z607" s="70">
        <v>43.38</v>
      </c>
      <c r="AA607" s="72"/>
      <c r="AB607" s="66" t="s">
        <v>355</v>
      </c>
      <c r="AC607" s="27"/>
      <c r="AD607" s="63" t="s">
        <v>708</v>
      </c>
      <c r="AE607" s="18">
        <f>Table46[[#This Row],[MOIS.]]*Table46[[#This Row],[NET WT KGS]]</f>
        <v>345540.6</v>
      </c>
      <c r="AF607" s="18">
        <f>Table46[[#This Row],[KOR]]*Table46[[#This Row],[NET WT KGS]]</f>
        <v>1228651.74</v>
      </c>
      <c r="AG607">
        <f>Table46[[#This Row],[NET WT KGS]]*Table46[[#This Row],[NUT COUNT]]</f>
        <v>5183109</v>
      </c>
    </row>
    <row r="608" spans="1:37" x14ac:dyDescent="0.35">
      <c r="A608" s="32">
        <f t="shared" si="68"/>
        <v>606</v>
      </c>
      <c r="B608" s="65">
        <v>46127</v>
      </c>
      <c r="C608" s="65">
        <v>46127</v>
      </c>
      <c r="D608" s="10" t="s">
        <v>38</v>
      </c>
      <c r="E608" s="66" t="s">
        <v>258</v>
      </c>
      <c r="F608" s="67" t="s">
        <v>40</v>
      </c>
      <c r="G608" s="66" t="s">
        <v>41</v>
      </c>
      <c r="H608" s="66" t="s">
        <v>259</v>
      </c>
      <c r="I608" s="67" t="str">
        <f>VLOOKUP(Table46[[#This Row],[SUPPLIERS NAME]],[1]AGING!X$3:Y$70,2,)</f>
        <v>DIS-002-COR</v>
      </c>
      <c r="J608" s="66" t="s">
        <v>738</v>
      </c>
      <c r="K608" s="33" t="s">
        <v>261</v>
      </c>
      <c r="L608" s="66">
        <v>1135</v>
      </c>
      <c r="M608" s="10">
        <v>87040</v>
      </c>
      <c r="N608" s="66">
        <v>488</v>
      </c>
      <c r="O608" s="68">
        <f>P608+N608</f>
        <v>40840</v>
      </c>
      <c r="P608" s="68">
        <v>40352</v>
      </c>
      <c r="Q608" s="66">
        <v>471</v>
      </c>
      <c r="R608" s="67">
        <v>0</v>
      </c>
      <c r="S608" s="66">
        <v>17</v>
      </c>
      <c r="T608" s="10">
        <f t="shared" si="71"/>
        <v>68</v>
      </c>
      <c r="U608" s="68">
        <f>Table46[[#This Row],[NET WT KGS]]-Table46[[#This Row],[Refraction]]</f>
        <v>40284</v>
      </c>
      <c r="V608" s="69">
        <v>495</v>
      </c>
      <c r="W608" s="69">
        <f>Table46[[#This Row],[PRICE]]*Table46[[#This Row],[PAID WT]]</f>
        <v>19940580</v>
      </c>
      <c r="X608" s="70">
        <v>9.6</v>
      </c>
      <c r="Y608" s="71">
        <v>162</v>
      </c>
      <c r="Z608" s="70">
        <v>41.09</v>
      </c>
      <c r="AA608" s="72"/>
      <c r="AB608" s="66" t="s">
        <v>610</v>
      </c>
      <c r="AC608" s="73"/>
      <c r="AD608" s="63" t="s">
        <v>708</v>
      </c>
      <c r="AE608" s="18">
        <f>Table46[[#This Row],[MOIS.]]*Table46[[#This Row],[NET WT KGS]]</f>
        <v>387379.20000000001</v>
      </c>
      <c r="AF608" s="18">
        <f>Table46[[#This Row],[KOR]]*Table46[[#This Row],[NET WT KGS]]</f>
        <v>1658063.6800000002</v>
      </c>
      <c r="AG608">
        <f>Table46[[#This Row],[NET WT KGS]]*Table46[[#This Row],[NUT COUNT]]</f>
        <v>6537024</v>
      </c>
    </row>
    <row r="609" spans="1:33" x14ac:dyDescent="0.35">
      <c r="A609" s="32">
        <f t="shared" si="68"/>
        <v>607</v>
      </c>
      <c r="B609" s="65">
        <v>46127</v>
      </c>
      <c r="C609" s="65">
        <v>46127</v>
      </c>
      <c r="D609" s="10" t="s">
        <v>38</v>
      </c>
      <c r="E609" s="66" t="s">
        <v>39</v>
      </c>
      <c r="F609" s="67" t="s">
        <v>40</v>
      </c>
      <c r="G609" s="66" t="s">
        <v>41</v>
      </c>
      <c r="H609" s="66" t="s">
        <v>235</v>
      </c>
      <c r="I609" s="67" t="str">
        <f>VLOOKUP(Table46[[#This Row],[SUPPLIERS NAME]],[1]AGING!X$3:Y$80,2,)</f>
        <v>LBA-008-COB</v>
      </c>
      <c r="J609" s="66" t="s">
        <v>739</v>
      </c>
      <c r="K609" s="33" t="s">
        <v>238</v>
      </c>
      <c r="L609" s="66">
        <v>1134</v>
      </c>
      <c r="M609" s="10">
        <v>82499</v>
      </c>
      <c r="N609" s="66">
        <v>501</v>
      </c>
      <c r="O609" s="68">
        <f>P609+N609</f>
        <v>43480</v>
      </c>
      <c r="P609" s="22">
        <v>42979</v>
      </c>
      <c r="Q609" s="66">
        <v>490</v>
      </c>
      <c r="R609" s="67">
        <v>0</v>
      </c>
      <c r="S609" s="66">
        <v>11</v>
      </c>
      <c r="T609" s="10">
        <f t="shared" si="71"/>
        <v>44</v>
      </c>
      <c r="U609" s="68">
        <f>Table46[[#This Row],[NET WT KGS]]-Table46[[#This Row],[Refraction]]</f>
        <v>42935</v>
      </c>
      <c r="V609" s="69">
        <v>515</v>
      </c>
      <c r="W609" s="69">
        <f>Table46[[#This Row],[PRICE]]*Table46[[#This Row],[PAID WT]]</f>
        <v>22111525</v>
      </c>
      <c r="X609" s="70">
        <v>9.5</v>
      </c>
      <c r="Y609" s="71">
        <v>162</v>
      </c>
      <c r="Z609" s="70">
        <v>41.27</v>
      </c>
      <c r="AA609" s="72"/>
      <c r="AB609" s="66" t="s">
        <v>46</v>
      </c>
      <c r="AC609" s="73"/>
      <c r="AD609" s="63" t="s">
        <v>708</v>
      </c>
      <c r="AE609" s="18">
        <f>Table46[[#This Row],[MOIS.]]*Table46[[#This Row],[NET WT KGS]]</f>
        <v>408300.5</v>
      </c>
      <c r="AF609" s="18">
        <f>Table46[[#This Row],[KOR]]*Table46[[#This Row],[NET WT KGS]]</f>
        <v>1773743.33</v>
      </c>
      <c r="AG609">
        <f>Table46[[#This Row],[NET WT KGS]]*Table46[[#This Row],[NUT COUNT]]</f>
        <v>6962598</v>
      </c>
    </row>
    <row r="610" spans="1:33" x14ac:dyDescent="0.35">
      <c r="A610" s="32">
        <f t="shared" si="68"/>
        <v>608</v>
      </c>
      <c r="B610" s="65">
        <v>46127</v>
      </c>
      <c r="C610" s="65">
        <v>46127</v>
      </c>
      <c r="D610" s="10" t="s">
        <v>38</v>
      </c>
      <c r="E610" s="66" t="s">
        <v>258</v>
      </c>
      <c r="F610" s="67" t="s">
        <v>40</v>
      </c>
      <c r="G610" s="66" t="s">
        <v>41</v>
      </c>
      <c r="H610" s="10" t="s">
        <v>335</v>
      </c>
      <c r="I610" s="67" t="str">
        <f>VLOOKUP(Table46[[#This Row],[SUPPLIERS NAME]],[1]AGING!X$3:Y$70,2,)</f>
        <v>DIS-003-DEM</v>
      </c>
      <c r="J610" s="66" t="s">
        <v>740</v>
      </c>
      <c r="K610" s="57" t="s">
        <v>337</v>
      </c>
      <c r="L610" s="66">
        <v>1137</v>
      </c>
      <c r="M610" s="10">
        <v>34039</v>
      </c>
      <c r="N610" s="66">
        <v>457</v>
      </c>
      <c r="O610" s="68">
        <f>P610+N610</f>
        <v>40520</v>
      </c>
      <c r="P610" s="22">
        <v>40063</v>
      </c>
      <c r="Q610" s="66">
        <v>437</v>
      </c>
      <c r="R610" s="67">
        <v>0</v>
      </c>
      <c r="S610" s="66">
        <v>20</v>
      </c>
      <c r="T610" s="10">
        <f t="shared" si="71"/>
        <v>80</v>
      </c>
      <c r="U610" s="68">
        <f>Table46[[#This Row],[NET WT KGS]]-Table46[[#This Row],[Refraction]]</f>
        <v>39983</v>
      </c>
      <c r="V610" s="69">
        <v>495</v>
      </c>
      <c r="W610" s="69">
        <f>Table46[[#This Row],[PRICE]]*Table46[[#This Row],[PAID WT]]</f>
        <v>19791585</v>
      </c>
      <c r="X610" s="70">
        <v>10.9</v>
      </c>
      <c r="Y610" s="71">
        <v>162</v>
      </c>
      <c r="Z610" s="70">
        <v>41.62</v>
      </c>
      <c r="AA610" s="72"/>
      <c r="AB610" s="66" t="s">
        <v>58</v>
      </c>
      <c r="AC610" s="73"/>
      <c r="AD610" s="63" t="s">
        <v>708</v>
      </c>
      <c r="AE610" s="18">
        <f>Table46[[#This Row],[MOIS.]]*Table46[[#This Row],[NET WT KGS]]</f>
        <v>436686.7</v>
      </c>
      <c r="AF610" s="18">
        <f>Table46[[#This Row],[KOR]]*Table46[[#This Row],[NET WT KGS]]</f>
        <v>1667422.0599999998</v>
      </c>
      <c r="AG610">
        <f>Table46[[#This Row],[NET WT KGS]]*Table46[[#This Row],[NUT COUNT]]</f>
        <v>6490206</v>
      </c>
    </row>
    <row r="611" spans="1:33" x14ac:dyDescent="0.35">
      <c r="A611" s="32">
        <f t="shared" si="68"/>
        <v>609</v>
      </c>
      <c r="B611" s="65">
        <v>46127</v>
      </c>
      <c r="C611" s="65">
        <v>46127</v>
      </c>
      <c r="D611" s="10" t="s">
        <v>38</v>
      </c>
      <c r="E611" s="66" t="s">
        <v>39</v>
      </c>
      <c r="F611" s="67" t="s">
        <v>62</v>
      </c>
      <c r="G611" s="10"/>
      <c r="H611" s="117" t="s">
        <v>128</v>
      </c>
      <c r="I611" s="67" t="str">
        <f>VLOOKUP(Table46[[#This Row],[SUPPLIERS NAME]],[1]AGING!X$3:Y$30,2,)</f>
        <v>LBA-002-SCA</v>
      </c>
      <c r="J611" s="10" t="s">
        <v>467</v>
      </c>
      <c r="K611" s="33" t="s">
        <v>131</v>
      </c>
      <c r="L611" s="10">
        <v>603</v>
      </c>
      <c r="M611" s="10">
        <v>78874</v>
      </c>
      <c r="N611" s="10">
        <v>729</v>
      </c>
      <c r="O611" s="22">
        <v>52820</v>
      </c>
      <c r="P611" s="51">
        <f>Table46[[#This Row],[GROSS WT KGS]]-Table46[[#This Row],[SACS]]</f>
        <v>52091</v>
      </c>
      <c r="Q611" s="10">
        <v>660</v>
      </c>
      <c r="R611" s="67">
        <v>0</v>
      </c>
      <c r="S611" s="10">
        <v>69</v>
      </c>
      <c r="T611" s="10">
        <f t="shared" si="71"/>
        <v>276</v>
      </c>
      <c r="U611" s="22">
        <f>Table46[[#This Row],[NET WT KGS]]-Table46[[#This Row],[Refraction]]</f>
        <v>51815</v>
      </c>
      <c r="V611" s="69">
        <v>515</v>
      </c>
      <c r="W611" s="23">
        <f>Table46[[#This Row],[PRICE]]*Table46[[#This Row],[PAID WT]]</f>
        <v>26684725</v>
      </c>
      <c r="X611" s="24">
        <v>11.3</v>
      </c>
      <c r="Y611" s="25">
        <v>182</v>
      </c>
      <c r="Z611" s="24">
        <v>44.18</v>
      </c>
      <c r="AA611" s="26"/>
      <c r="AB611" s="10" t="s">
        <v>132</v>
      </c>
      <c r="AC611" s="27"/>
      <c r="AD611" s="63" t="s">
        <v>708</v>
      </c>
      <c r="AE611" s="18">
        <f>Table46[[#This Row],[MOIS.]]*Table46[[#This Row],[NET WT KGS]]</f>
        <v>588628.30000000005</v>
      </c>
      <c r="AF611" s="18">
        <f>Table46[[#This Row],[KOR]]*Table46[[#This Row],[NET WT KGS]]</f>
        <v>2301380.38</v>
      </c>
      <c r="AG611">
        <f>Table46[[#This Row],[NET WT KGS]]*Table46[[#This Row],[NUT COUNT]]</f>
        <v>9480562</v>
      </c>
    </row>
    <row r="612" spans="1:33" x14ac:dyDescent="0.35">
      <c r="A612" s="32">
        <f t="shared" si="68"/>
        <v>610</v>
      </c>
      <c r="B612" s="91">
        <v>46127</v>
      </c>
      <c r="C612" s="91">
        <f>Table46[[#This Row],[DATE OF ARRIVAL]]</f>
        <v>46127</v>
      </c>
      <c r="D612" s="36"/>
      <c r="E612" s="74"/>
      <c r="F612" s="74" t="s">
        <v>40</v>
      </c>
      <c r="G612" s="74"/>
      <c r="H612" s="74" t="s">
        <v>42</v>
      </c>
      <c r="I612" s="74" t="s">
        <v>43</v>
      </c>
      <c r="J612" s="74" t="s">
        <v>741</v>
      </c>
      <c r="K612" s="74"/>
      <c r="L612" s="74"/>
      <c r="M612" s="74"/>
      <c r="N612" s="74"/>
      <c r="O612" s="79">
        <f t="shared" ref="O612:O620" si="72">P612+N612</f>
        <v>0</v>
      </c>
      <c r="P612" s="37"/>
      <c r="Q612" s="74"/>
      <c r="R612" s="80"/>
      <c r="S612" s="74"/>
      <c r="T612" s="36"/>
      <c r="U612" s="79">
        <f>Table46[[#This Row],[NET WT KGS]]-Table46[[#This Row],[Refraction]]</f>
        <v>0</v>
      </c>
      <c r="V612" s="81"/>
      <c r="W612" s="81">
        <f>Table46[[#This Row],[PRICE]]*Table46[[#This Row],[PAID WT]]</f>
        <v>0</v>
      </c>
      <c r="X612" s="82">
        <v>12</v>
      </c>
      <c r="Y612" s="83">
        <v>161</v>
      </c>
      <c r="Z612" s="82">
        <v>39.330509999999997</v>
      </c>
      <c r="AA612" s="84"/>
      <c r="AB612" s="74" t="s">
        <v>182</v>
      </c>
      <c r="AC612" s="92" t="s">
        <v>70</v>
      </c>
      <c r="AD612" s="28"/>
      <c r="AE612" s="18">
        <f>Table46[[#This Row],[MOIS.]]*Table46[[#This Row],[NET WT KGS]]</f>
        <v>0</v>
      </c>
      <c r="AF612" s="18">
        <f>Table46[[#This Row],[KOR]]*Table46[[#This Row],[NET WT KGS]]</f>
        <v>0</v>
      </c>
      <c r="AG612">
        <f>Table46[[#This Row],[NET WT KGS]]*Table46[[#This Row],[NUT COUNT]]</f>
        <v>0</v>
      </c>
    </row>
    <row r="613" spans="1:33" x14ac:dyDescent="0.35">
      <c r="A613" s="32">
        <f t="shared" si="68"/>
        <v>611</v>
      </c>
      <c r="B613" s="91">
        <v>46127</v>
      </c>
      <c r="C613" s="91">
        <f>Table46[[#This Row],[DATE OF ARRIVAL]]</f>
        <v>46127</v>
      </c>
      <c r="D613" s="36"/>
      <c r="E613" s="74"/>
      <c r="F613" s="74" t="s">
        <v>40</v>
      </c>
      <c r="G613" s="74"/>
      <c r="H613" s="74" t="s">
        <v>123</v>
      </c>
      <c r="I613" s="74" t="s">
        <v>124</v>
      </c>
      <c r="J613" s="74" t="s">
        <v>742</v>
      </c>
      <c r="K613" s="74"/>
      <c r="L613" s="74"/>
      <c r="M613" s="74"/>
      <c r="N613" s="74"/>
      <c r="O613" s="79">
        <f t="shared" si="72"/>
        <v>0</v>
      </c>
      <c r="P613" s="37"/>
      <c r="Q613" s="74"/>
      <c r="R613" s="80"/>
      <c r="S613" s="74"/>
      <c r="T613" s="36"/>
      <c r="U613" s="79">
        <f>Table46[[#This Row],[NET WT KGS]]-Table46[[#This Row],[Refraction]]</f>
        <v>0</v>
      </c>
      <c r="V613" s="81"/>
      <c r="W613" s="81">
        <f>Table46[[#This Row],[PRICE]]*Table46[[#This Row],[PAID WT]]</f>
        <v>0</v>
      </c>
      <c r="X613" s="82">
        <v>14</v>
      </c>
      <c r="Y613" s="83">
        <v>159</v>
      </c>
      <c r="Z613" s="82">
        <v>41.094209999999997</v>
      </c>
      <c r="AA613" s="84"/>
      <c r="AB613" s="74" t="s">
        <v>40</v>
      </c>
      <c r="AC613" s="92" t="s">
        <v>70</v>
      </c>
      <c r="AD613" s="28"/>
      <c r="AE613" s="18">
        <f>Table46[[#This Row],[MOIS.]]*Table46[[#This Row],[NET WT KGS]]</f>
        <v>0</v>
      </c>
      <c r="AF613" s="18">
        <f>Table46[[#This Row],[KOR]]*Table46[[#This Row],[NET WT KGS]]</f>
        <v>0</v>
      </c>
      <c r="AG613">
        <f>Table46[[#This Row],[NET WT KGS]]*Table46[[#This Row],[NUT COUNT]]</f>
        <v>0</v>
      </c>
    </row>
    <row r="614" spans="1:33" x14ac:dyDescent="0.35">
      <c r="A614" s="32">
        <f t="shared" si="68"/>
        <v>612</v>
      </c>
      <c r="B614" s="91">
        <v>46127</v>
      </c>
      <c r="C614" s="91">
        <f>Table46[[#This Row],[DATE OF ARRIVAL]]</f>
        <v>46127</v>
      </c>
      <c r="D614" s="36"/>
      <c r="E614" s="74"/>
      <c r="F614" s="74" t="s">
        <v>40</v>
      </c>
      <c r="G614" s="74"/>
      <c r="H614" s="74" t="s">
        <v>87</v>
      </c>
      <c r="I614" s="74" t="s">
        <v>88</v>
      </c>
      <c r="J614" s="74" t="s">
        <v>633</v>
      </c>
      <c r="K614" s="74"/>
      <c r="L614" s="74"/>
      <c r="M614" s="74"/>
      <c r="N614" s="74"/>
      <c r="O614" s="79">
        <f t="shared" si="72"/>
        <v>0</v>
      </c>
      <c r="P614" s="37"/>
      <c r="Q614" s="74"/>
      <c r="R614" s="80"/>
      <c r="S614" s="74"/>
      <c r="T614" s="36"/>
      <c r="U614" s="79">
        <f>Table46[[#This Row],[NET WT KGS]]-Table46[[#This Row],[Refraction]]</f>
        <v>0</v>
      </c>
      <c r="V614" s="81"/>
      <c r="W614" s="81">
        <f>Table46[[#This Row],[PRICE]]*Table46[[#This Row],[PAID WT]]</f>
        <v>0</v>
      </c>
      <c r="X614" s="82">
        <v>16</v>
      </c>
      <c r="Y614" s="83">
        <v>150</v>
      </c>
      <c r="Z614" s="82">
        <v>38.625030000000002</v>
      </c>
      <c r="AA614" s="84"/>
      <c r="AB614" s="74" t="s">
        <v>182</v>
      </c>
      <c r="AC614" s="92" t="s">
        <v>70</v>
      </c>
      <c r="AD614" s="28"/>
      <c r="AE614" s="18">
        <f>Table46[[#This Row],[MOIS.]]*Table46[[#This Row],[NET WT KGS]]</f>
        <v>0</v>
      </c>
      <c r="AF614" s="18">
        <f>Table46[[#This Row],[KOR]]*Table46[[#This Row],[NET WT KGS]]</f>
        <v>0</v>
      </c>
      <c r="AG614">
        <f>Table46[[#This Row],[NET WT KGS]]*Table46[[#This Row],[NUT COUNT]]</f>
        <v>0</v>
      </c>
    </row>
    <row r="615" spans="1:33" x14ac:dyDescent="0.35">
      <c r="A615" s="32">
        <f t="shared" si="68"/>
        <v>613</v>
      </c>
      <c r="B615" s="91">
        <v>46127</v>
      </c>
      <c r="C615" s="91">
        <f>Table46[[#This Row],[DATE OF ARRIVAL]]</f>
        <v>46127</v>
      </c>
      <c r="D615" s="36"/>
      <c r="E615" s="74"/>
      <c r="F615" s="74" t="s">
        <v>40</v>
      </c>
      <c r="G615" s="74"/>
      <c r="H615" s="74" t="s">
        <v>105</v>
      </c>
      <c r="I615" s="74" t="s">
        <v>106</v>
      </c>
      <c r="J615" s="74" t="s">
        <v>167</v>
      </c>
      <c r="K615" s="74"/>
      <c r="L615" s="74"/>
      <c r="M615" s="74"/>
      <c r="N615" s="74"/>
      <c r="O615" s="79">
        <f t="shared" si="72"/>
        <v>0</v>
      </c>
      <c r="P615" s="37"/>
      <c r="Q615" s="74"/>
      <c r="R615" s="80"/>
      <c r="S615" s="74"/>
      <c r="T615" s="36"/>
      <c r="U615" s="79">
        <f>Table46[[#This Row],[NET WT KGS]]-Table46[[#This Row],[Refraction]]</f>
        <v>0</v>
      </c>
      <c r="V615" s="81"/>
      <c r="W615" s="81">
        <f>Table46[[#This Row],[PRICE]]*Table46[[#This Row],[PAID WT]]</f>
        <v>0</v>
      </c>
      <c r="X615" s="82">
        <v>11.7</v>
      </c>
      <c r="Y615" s="83">
        <v>160</v>
      </c>
      <c r="Z615" s="82">
        <v>40.035989999999998</v>
      </c>
      <c r="AA615" s="84"/>
      <c r="AB615" s="74" t="s">
        <v>58</v>
      </c>
      <c r="AC615" s="92" t="s">
        <v>70</v>
      </c>
      <c r="AD615" s="28"/>
      <c r="AE615" s="18">
        <f>Table46[[#This Row],[MOIS.]]*Table46[[#This Row],[NET WT KGS]]</f>
        <v>0</v>
      </c>
      <c r="AF615" s="18">
        <f>Table46[[#This Row],[KOR]]*Table46[[#This Row],[NET WT KGS]]</f>
        <v>0</v>
      </c>
      <c r="AG615">
        <f>Table46[[#This Row],[NET WT KGS]]*Table46[[#This Row],[NUT COUNT]]</f>
        <v>0</v>
      </c>
    </row>
    <row r="616" spans="1:33" x14ac:dyDescent="0.35">
      <c r="A616" s="32">
        <f t="shared" si="68"/>
        <v>614</v>
      </c>
      <c r="B616" s="91">
        <v>46127</v>
      </c>
      <c r="C616" s="91">
        <f>Table46[[#This Row],[DATE OF ARRIVAL]]</f>
        <v>46127</v>
      </c>
      <c r="D616" s="36"/>
      <c r="E616" s="74"/>
      <c r="F616" s="74" t="s">
        <v>62</v>
      </c>
      <c r="G616" s="74"/>
      <c r="H616" s="74" t="s">
        <v>684</v>
      </c>
      <c r="I616" s="74" t="s">
        <v>325</v>
      </c>
      <c r="J616" s="74" t="s">
        <v>743</v>
      </c>
      <c r="K616" s="74"/>
      <c r="L616" s="74"/>
      <c r="M616" s="74"/>
      <c r="N616" s="74"/>
      <c r="O616" s="79">
        <f t="shared" si="72"/>
        <v>0</v>
      </c>
      <c r="P616" s="37"/>
      <c r="Q616" s="74"/>
      <c r="R616" s="80"/>
      <c r="S616" s="74"/>
      <c r="T616" s="36"/>
      <c r="U616" s="79">
        <f>Table46[[#This Row],[NET WT KGS]]-Table46[[#This Row],[Refraction]]</f>
        <v>0</v>
      </c>
      <c r="V616" s="81"/>
      <c r="W616" s="81">
        <f>Table46[[#This Row],[PRICE]]*Table46[[#This Row],[PAID WT]]</f>
        <v>0</v>
      </c>
      <c r="X616" s="82">
        <v>13.2</v>
      </c>
      <c r="Y616" s="83">
        <v>161</v>
      </c>
      <c r="Z616" s="82">
        <v>40.03</v>
      </c>
      <c r="AA616" s="84"/>
      <c r="AB616" s="74" t="s">
        <v>40</v>
      </c>
      <c r="AC616" s="92" t="s">
        <v>70</v>
      </c>
      <c r="AD616" s="99"/>
      <c r="AE616" s="18">
        <f>Table46[[#This Row],[MOIS.]]*Table46[[#This Row],[NET WT KGS]]</f>
        <v>0</v>
      </c>
      <c r="AF616" s="18">
        <f>Table46[[#This Row],[KOR]]*Table46[[#This Row],[NET WT KGS]]</f>
        <v>0</v>
      </c>
      <c r="AG616">
        <f>Table46[[#This Row],[NET WT KGS]]*Table46[[#This Row],[NUT COUNT]]</f>
        <v>0</v>
      </c>
    </row>
    <row r="617" spans="1:33" x14ac:dyDescent="0.35">
      <c r="A617" s="32">
        <f t="shared" si="68"/>
        <v>615</v>
      </c>
      <c r="B617" s="91">
        <v>46127</v>
      </c>
      <c r="C617" s="91">
        <f>Table46[[#This Row],[DATE OF ARRIVAL]]</f>
        <v>46127</v>
      </c>
      <c r="D617" s="36"/>
      <c r="E617" s="74"/>
      <c r="F617" s="74" t="s">
        <v>62</v>
      </c>
      <c r="G617" s="74"/>
      <c r="H617" s="74" t="s">
        <v>724</v>
      </c>
      <c r="I617" s="74" t="s">
        <v>95</v>
      </c>
      <c r="J617" s="74" t="s">
        <v>744</v>
      </c>
      <c r="K617" s="74"/>
      <c r="L617" s="74"/>
      <c r="M617" s="74"/>
      <c r="N617" s="74"/>
      <c r="O617" s="79">
        <f t="shared" si="72"/>
        <v>0</v>
      </c>
      <c r="P617" s="37"/>
      <c r="Q617" s="74"/>
      <c r="R617" s="80"/>
      <c r="S617" s="74"/>
      <c r="T617" s="36"/>
      <c r="U617" s="79">
        <f>Table46[[#This Row],[NET WT KGS]]-Table46[[#This Row],[Refraction]]</f>
        <v>0</v>
      </c>
      <c r="V617" s="81"/>
      <c r="W617" s="81">
        <f>Table46[[#This Row],[PRICE]]*Table46[[#This Row],[PAID WT]]</f>
        <v>0</v>
      </c>
      <c r="X617" s="82">
        <v>11.7</v>
      </c>
      <c r="Y617" s="83">
        <v>185</v>
      </c>
      <c r="Z617" s="82">
        <v>38.18</v>
      </c>
      <c r="AA617" s="84"/>
      <c r="AB617" s="74" t="s">
        <v>132</v>
      </c>
      <c r="AC617" s="92" t="s">
        <v>70</v>
      </c>
      <c r="AD617" s="99"/>
      <c r="AE617" s="18">
        <f>Table46[[#This Row],[MOIS.]]*Table46[[#This Row],[NET WT KGS]]</f>
        <v>0</v>
      </c>
      <c r="AF617" s="18">
        <f>Table46[[#This Row],[KOR]]*Table46[[#This Row],[NET WT KGS]]</f>
        <v>0</v>
      </c>
      <c r="AG617">
        <f>Table46[[#This Row],[NET WT KGS]]*Table46[[#This Row],[NUT COUNT]]</f>
        <v>0</v>
      </c>
    </row>
    <row r="618" spans="1:33" x14ac:dyDescent="0.35">
      <c r="A618" s="32">
        <f t="shared" si="68"/>
        <v>616</v>
      </c>
      <c r="B618" s="65">
        <v>46127</v>
      </c>
      <c r="C618" s="65">
        <v>46128</v>
      </c>
      <c r="D618" s="10" t="s">
        <v>38</v>
      </c>
      <c r="E618" s="66" t="s">
        <v>39</v>
      </c>
      <c r="F618" s="67" t="s">
        <v>40</v>
      </c>
      <c r="G618" s="66" t="s">
        <v>350</v>
      </c>
      <c r="H618" s="66" t="s">
        <v>74</v>
      </c>
      <c r="I618" s="67" t="str">
        <f>VLOOKUP(Table46[[#This Row],[SUPPLIERS NAME]],[1]AGING!X$3:Y$30,2,)</f>
        <v>LBA-003-HER</v>
      </c>
      <c r="J618" s="66" t="s">
        <v>269</v>
      </c>
      <c r="K618" s="33" t="s">
        <v>77</v>
      </c>
      <c r="L618" s="66">
        <v>1138</v>
      </c>
      <c r="M618" s="10">
        <v>18140</v>
      </c>
      <c r="N618" s="66">
        <v>530</v>
      </c>
      <c r="O618" s="68">
        <f t="shared" si="72"/>
        <v>46120</v>
      </c>
      <c r="P618" s="22">
        <v>45590</v>
      </c>
      <c r="Q618" s="66">
        <v>507</v>
      </c>
      <c r="R618" s="67">
        <v>0</v>
      </c>
      <c r="S618" s="66">
        <v>23</v>
      </c>
      <c r="T618" s="10">
        <f t="shared" ref="T618:T630" si="73">S618*4+R618*8</f>
        <v>92</v>
      </c>
      <c r="U618" s="68">
        <f>Table46[[#This Row],[NET WT KGS]]-Table46[[#This Row],[Refraction]]</f>
        <v>45498</v>
      </c>
      <c r="V618" s="69">
        <v>495</v>
      </c>
      <c r="W618" s="69">
        <f>Table46[[#This Row],[PRICE]]*Table46[[#This Row],[PAID WT]]</f>
        <v>22521510</v>
      </c>
      <c r="X618" s="70">
        <v>10.9</v>
      </c>
      <c r="Y618" s="71">
        <v>178</v>
      </c>
      <c r="Z618" s="70">
        <v>41.27</v>
      </c>
      <c r="AA618" s="72"/>
      <c r="AB618" s="66" t="s">
        <v>78</v>
      </c>
      <c r="AC618" s="73"/>
      <c r="AD618" s="63" t="s">
        <v>708</v>
      </c>
      <c r="AE618" s="18">
        <f>Table46[[#This Row],[MOIS.]]*Table46[[#This Row],[NET WT KGS]]</f>
        <v>496931</v>
      </c>
      <c r="AF618" s="18">
        <f>Table46[[#This Row],[KOR]]*Table46[[#This Row],[NET WT KGS]]</f>
        <v>1881499.3</v>
      </c>
      <c r="AG618">
        <f>Table46[[#This Row],[NET WT KGS]]*Table46[[#This Row],[NUT COUNT]]</f>
        <v>8115020</v>
      </c>
    </row>
    <row r="619" spans="1:33" x14ac:dyDescent="0.35">
      <c r="A619" s="32">
        <f t="shared" si="68"/>
        <v>617</v>
      </c>
      <c r="B619" s="65">
        <v>46127</v>
      </c>
      <c r="C619" s="20">
        <v>46128</v>
      </c>
      <c r="D619" s="10" t="s">
        <v>38</v>
      </c>
      <c r="E619" s="66" t="s">
        <v>258</v>
      </c>
      <c r="F619" s="67" t="s">
        <v>40</v>
      </c>
      <c r="G619" s="66" t="s">
        <v>350</v>
      </c>
      <c r="H619" s="66" t="s">
        <v>397</v>
      </c>
      <c r="I619" s="66" t="s">
        <v>197</v>
      </c>
      <c r="J619" s="66" t="s">
        <v>745</v>
      </c>
      <c r="K619" s="21" t="s">
        <v>746</v>
      </c>
      <c r="L619" s="66">
        <v>1139</v>
      </c>
      <c r="M619" s="10">
        <v>33034</v>
      </c>
      <c r="N619" s="66">
        <v>452</v>
      </c>
      <c r="O619" s="68">
        <f t="shared" si="72"/>
        <v>38780</v>
      </c>
      <c r="P619" s="22">
        <v>38328</v>
      </c>
      <c r="Q619" s="66">
        <v>408</v>
      </c>
      <c r="R619" s="67">
        <v>0</v>
      </c>
      <c r="S619" s="66">
        <v>44</v>
      </c>
      <c r="T619" s="10">
        <f t="shared" si="73"/>
        <v>176</v>
      </c>
      <c r="U619" s="68">
        <f>Table46[[#This Row],[NET WT KGS]]-Table46[[#This Row],[Refraction]]</f>
        <v>38152</v>
      </c>
      <c r="V619" s="69">
        <v>495</v>
      </c>
      <c r="W619" s="69">
        <f>Table46[[#This Row],[PRICE]]*Table46[[#This Row],[PAID WT]]</f>
        <v>18885240</v>
      </c>
      <c r="X619" s="70">
        <v>11.3</v>
      </c>
      <c r="Y619" s="71">
        <v>160</v>
      </c>
      <c r="Z619" s="70">
        <v>41.62</v>
      </c>
      <c r="AA619" s="72"/>
      <c r="AB619" s="66" t="s">
        <v>212</v>
      </c>
      <c r="AC619" s="27"/>
      <c r="AD619" s="63" t="s">
        <v>708</v>
      </c>
      <c r="AE619" s="18">
        <f>Table46[[#This Row],[MOIS.]]*Table46[[#This Row],[NET WT KGS]]</f>
        <v>433106.4</v>
      </c>
      <c r="AF619" s="18">
        <f>Table46[[#This Row],[KOR]]*Table46[[#This Row],[NET WT KGS]]</f>
        <v>1595211.3599999999</v>
      </c>
      <c r="AG619">
        <f>Table46[[#This Row],[NET WT KGS]]*Table46[[#This Row],[NUT COUNT]]</f>
        <v>6132480</v>
      </c>
    </row>
    <row r="620" spans="1:33" x14ac:dyDescent="0.35">
      <c r="A620" s="32">
        <f t="shared" si="68"/>
        <v>618</v>
      </c>
      <c r="B620" s="65">
        <v>46127</v>
      </c>
      <c r="C620" s="20">
        <v>46128</v>
      </c>
      <c r="D620" s="10" t="s">
        <v>38</v>
      </c>
      <c r="E620" s="66" t="s">
        <v>258</v>
      </c>
      <c r="F620" s="67" t="s">
        <v>40</v>
      </c>
      <c r="G620" s="66" t="s">
        <v>41</v>
      </c>
      <c r="H620" s="66" t="s">
        <v>399</v>
      </c>
      <c r="I620" s="66" t="s">
        <v>200</v>
      </c>
      <c r="J620" s="66" t="s">
        <v>747</v>
      </c>
      <c r="K620" s="21" t="s">
        <v>748</v>
      </c>
      <c r="L620" s="66">
        <v>1140</v>
      </c>
      <c r="M620" s="10">
        <v>33621</v>
      </c>
      <c r="N620" s="66">
        <v>535</v>
      </c>
      <c r="O620" s="68">
        <f t="shared" si="72"/>
        <v>40740</v>
      </c>
      <c r="P620" s="68">
        <v>40205</v>
      </c>
      <c r="Q620" s="66">
        <v>520</v>
      </c>
      <c r="R620" s="67">
        <v>0</v>
      </c>
      <c r="S620" s="66">
        <v>15</v>
      </c>
      <c r="T620" s="10">
        <f t="shared" si="73"/>
        <v>60</v>
      </c>
      <c r="U620" s="68">
        <f>Table46[[#This Row],[NET WT KGS]]-Table46[[#This Row],[Refraction]]</f>
        <v>40145</v>
      </c>
      <c r="V620" s="69">
        <v>505</v>
      </c>
      <c r="W620" s="69">
        <f>Table46[[#This Row],[PRICE]]*Table46[[#This Row],[PAID WT]]</f>
        <v>20273225</v>
      </c>
      <c r="X620" s="70">
        <v>9.1999999999999993</v>
      </c>
      <c r="Y620" s="71">
        <v>189</v>
      </c>
      <c r="Z620" s="70">
        <v>42.32</v>
      </c>
      <c r="AA620" s="72"/>
      <c r="AB620" s="66" t="s">
        <v>212</v>
      </c>
      <c r="AC620" s="27"/>
      <c r="AD620" s="63" t="s">
        <v>708</v>
      </c>
      <c r="AE620" s="18">
        <f>Table46[[#This Row],[MOIS.]]*Table46[[#This Row],[NET WT KGS]]</f>
        <v>369886</v>
      </c>
      <c r="AF620" s="18">
        <f>Table46[[#This Row],[KOR]]*Table46[[#This Row],[NET WT KGS]]</f>
        <v>1701475.6</v>
      </c>
      <c r="AG620">
        <f>Table46[[#This Row],[NET WT KGS]]*Table46[[#This Row],[NUT COUNT]]</f>
        <v>7598745</v>
      </c>
    </row>
    <row r="621" spans="1:33" x14ac:dyDescent="0.35">
      <c r="A621" s="32">
        <f t="shared" si="68"/>
        <v>619</v>
      </c>
      <c r="B621" s="65">
        <v>46127</v>
      </c>
      <c r="C621" s="20">
        <v>46128</v>
      </c>
      <c r="D621" s="10" t="s">
        <v>38</v>
      </c>
      <c r="E621" s="66" t="s">
        <v>39</v>
      </c>
      <c r="F621" s="67" t="s">
        <v>62</v>
      </c>
      <c r="G621" s="66"/>
      <c r="H621" s="67" t="s">
        <v>574</v>
      </c>
      <c r="I621" s="67" t="str">
        <f>VLOOKUP(Table46[[#This Row],[SUPPLIERS NAME]],[1]AGING!X$3:Y$52,2,)</f>
        <v>LBA-022-NEG</v>
      </c>
      <c r="J621" s="66" t="s">
        <v>749</v>
      </c>
      <c r="K621" s="33" t="s">
        <v>576</v>
      </c>
      <c r="L621" s="66">
        <v>604</v>
      </c>
      <c r="M621" s="10">
        <v>77597</v>
      </c>
      <c r="N621" s="66">
        <v>520</v>
      </c>
      <c r="O621" s="68">
        <v>40930</v>
      </c>
      <c r="P621" s="93">
        <f>Table46[[#This Row],[GROSS WT KGS]]-Table46[[#This Row],[SACS]]</f>
        <v>40410</v>
      </c>
      <c r="Q621" s="66">
        <v>496</v>
      </c>
      <c r="R621" s="67">
        <v>0</v>
      </c>
      <c r="S621" s="66">
        <v>24</v>
      </c>
      <c r="T621" s="10">
        <f t="shared" si="73"/>
        <v>96</v>
      </c>
      <c r="U621" s="68">
        <f>Table46[[#This Row],[NET WT KGS]]-Table46[[#This Row],[Refraction]]</f>
        <v>40314</v>
      </c>
      <c r="V621" s="69">
        <v>515</v>
      </c>
      <c r="W621" s="69">
        <f>Table46[[#This Row],[PRICE]]*Table46[[#This Row],[PAID WT]]</f>
        <v>20761710</v>
      </c>
      <c r="X621" s="70">
        <v>8.4</v>
      </c>
      <c r="Y621" s="71">
        <v>173</v>
      </c>
      <c r="Z621" s="70">
        <v>44.44</v>
      </c>
      <c r="AA621" s="72"/>
      <c r="AB621" s="66" t="s">
        <v>750</v>
      </c>
      <c r="AC621" s="27"/>
      <c r="AD621" s="63" t="s">
        <v>708</v>
      </c>
      <c r="AE621" s="18">
        <f>Table46[[#This Row],[MOIS.]]*Table46[[#This Row],[NET WT KGS]]</f>
        <v>339444</v>
      </c>
      <c r="AF621" s="18">
        <f>Table46[[#This Row],[KOR]]*Table46[[#This Row],[NET WT KGS]]</f>
        <v>1795820.4</v>
      </c>
      <c r="AG621">
        <f>Table46[[#This Row],[NET WT KGS]]*Table46[[#This Row],[NUT COUNT]]</f>
        <v>6990930</v>
      </c>
    </row>
    <row r="622" spans="1:33" x14ac:dyDescent="0.35">
      <c r="A622" s="32">
        <f t="shared" si="68"/>
        <v>620</v>
      </c>
      <c r="B622" s="65">
        <v>46127</v>
      </c>
      <c r="C622" s="20">
        <v>46128</v>
      </c>
      <c r="D622" s="10" t="s">
        <v>38</v>
      </c>
      <c r="E622" s="66" t="s">
        <v>39</v>
      </c>
      <c r="F622" s="67" t="s">
        <v>62</v>
      </c>
      <c r="G622" s="66"/>
      <c r="H622" s="66" t="s">
        <v>286</v>
      </c>
      <c r="I622" s="67" t="str">
        <f>VLOOKUP(Table46[[#This Row],[SUPPLIERS NAME]],[1]AGING!X$3:Y$52,2,)</f>
        <v>LBA-017-DPV</v>
      </c>
      <c r="J622" s="66" t="s">
        <v>673</v>
      </c>
      <c r="K622" s="21" t="s">
        <v>289</v>
      </c>
      <c r="L622" s="66">
        <v>605</v>
      </c>
      <c r="M622" s="10">
        <v>37581</v>
      </c>
      <c r="N622" s="66">
        <v>531</v>
      </c>
      <c r="O622" s="68">
        <v>45490</v>
      </c>
      <c r="P622" s="93">
        <f>Table46[[#This Row],[GROSS WT KGS]]-Table46[[#This Row],[SACS]]</f>
        <v>44959</v>
      </c>
      <c r="Q622" s="66">
        <v>500</v>
      </c>
      <c r="R622" s="67">
        <v>0</v>
      </c>
      <c r="S622" s="66">
        <v>31</v>
      </c>
      <c r="T622" s="10">
        <f t="shared" si="73"/>
        <v>124</v>
      </c>
      <c r="U622" s="68">
        <f>Table46[[#This Row],[NET WT KGS]]-Table46[[#This Row],[Refraction]]</f>
        <v>44835</v>
      </c>
      <c r="V622" s="69">
        <v>510</v>
      </c>
      <c r="W622" s="69">
        <f>Table46[[#This Row],[PRICE]]*Table46[[#This Row],[PAID WT]]</f>
        <v>22865850</v>
      </c>
      <c r="X622" s="70">
        <v>10.1</v>
      </c>
      <c r="Y622" s="71">
        <v>159</v>
      </c>
      <c r="Z622" s="70">
        <v>42.32</v>
      </c>
      <c r="AA622" s="72"/>
      <c r="AB622" s="66" t="s">
        <v>46</v>
      </c>
      <c r="AC622" s="27"/>
      <c r="AD622" s="63" t="s">
        <v>708</v>
      </c>
      <c r="AE622" s="18">
        <f>Table46[[#This Row],[MOIS.]]*Table46[[#This Row],[NET WT KGS]]</f>
        <v>454085.89999999997</v>
      </c>
      <c r="AF622" s="18">
        <f>Table46[[#This Row],[KOR]]*Table46[[#This Row],[NET WT KGS]]</f>
        <v>1902664.8800000001</v>
      </c>
      <c r="AG622">
        <f>Table46[[#This Row],[NET WT KGS]]*Table46[[#This Row],[NUT COUNT]]</f>
        <v>7148481</v>
      </c>
    </row>
    <row r="623" spans="1:33" x14ac:dyDescent="0.35">
      <c r="A623" s="32">
        <f t="shared" si="68"/>
        <v>621</v>
      </c>
      <c r="B623" s="65">
        <v>46127</v>
      </c>
      <c r="C623" s="20">
        <v>46128</v>
      </c>
      <c r="D623" s="10" t="s">
        <v>38</v>
      </c>
      <c r="E623" s="66" t="s">
        <v>39</v>
      </c>
      <c r="F623" s="50" t="s">
        <v>62</v>
      </c>
      <c r="G623" s="66"/>
      <c r="H623" s="116" t="s">
        <v>128</v>
      </c>
      <c r="I623" s="67" t="str">
        <f>VLOOKUP(Table46[[#This Row],[SUPPLIERS NAME]],[1]AGING!X$3:Y$52,2,)</f>
        <v>LBA-002-SCA</v>
      </c>
      <c r="J623" s="66" t="s">
        <v>632</v>
      </c>
      <c r="K623" s="33" t="s">
        <v>131</v>
      </c>
      <c r="L623" s="66">
        <v>606</v>
      </c>
      <c r="M623" s="10">
        <v>78875</v>
      </c>
      <c r="N623" s="66">
        <v>549</v>
      </c>
      <c r="O623" s="68">
        <v>43850</v>
      </c>
      <c r="P623" s="93">
        <f>Table46[[#This Row],[GROSS WT KGS]]-Table46[[#This Row],[SACS]]</f>
        <v>43301</v>
      </c>
      <c r="Q623" s="66">
        <v>534</v>
      </c>
      <c r="R623" s="67">
        <v>0</v>
      </c>
      <c r="S623" s="66">
        <v>15</v>
      </c>
      <c r="T623" s="10">
        <f t="shared" si="73"/>
        <v>60</v>
      </c>
      <c r="U623" s="68">
        <f>Table46[[#This Row],[NET WT KGS]]-Table46[[#This Row],[Refraction]]</f>
        <v>43241</v>
      </c>
      <c r="V623" s="69">
        <v>515</v>
      </c>
      <c r="W623" s="69">
        <f>Table46[[#This Row],[PRICE]]*Table46[[#This Row],[PAID WT]]</f>
        <v>22269115</v>
      </c>
      <c r="X623" s="70">
        <v>9.5</v>
      </c>
      <c r="Y623" s="71">
        <v>180</v>
      </c>
      <c r="Z623" s="70">
        <v>44.35</v>
      </c>
      <c r="AA623" s="72"/>
      <c r="AB623" s="66" t="s">
        <v>132</v>
      </c>
      <c r="AC623" s="27"/>
      <c r="AD623" s="63" t="s">
        <v>708</v>
      </c>
      <c r="AE623" s="18">
        <f>Table46[[#This Row],[MOIS.]]*Table46[[#This Row],[NET WT KGS]]</f>
        <v>411359.5</v>
      </c>
      <c r="AF623" s="18">
        <f>Table46[[#This Row],[KOR]]*Table46[[#This Row],[NET WT KGS]]</f>
        <v>1920399.35</v>
      </c>
      <c r="AG623">
        <f>Table46[[#This Row],[NET WT KGS]]*Table46[[#This Row],[NUT COUNT]]</f>
        <v>7794180</v>
      </c>
    </row>
    <row r="624" spans="1:33" x14ac:dyDescent="0.35">
      <c r="A624" s="32">
        <f t="shared" si="68"/>
        <v>622</v>
      </c>
      <c r="B624" s="65">
        <v>46127</v>
      </c>
      <c r="C624" s="20">
        <v>46128</v>
      </c>
      <c r="D624" s="10" t="s">
        <v>38</v>
      </c>
      <c r="E624" s="66" t="s">
        <v>39</v>
      </c>
      <c r="F624" s="50" t="s">
        <v>62</v>
      </c>
      <c r="G624" s="66"/>
      <c r="H624" s="116" t="s">
        <v>128</v>
      </c>
      <c r="I624" s="67" t="str">
        <f>VLOOKUP(Table46[[#This Row],[SUPPLIERS NAME]],[1]AGING!X$3:Y$52,2,)</f>
        <v>LBA-002-SCA</v>
      </c>
      <c r="J624" s="66" t="s">
        <v>751</v>
      </c>
      <c r="K624" s="33" t="s">
        <v>131</v>
      </c>
      <c r="L624" s="66">
        <v>609</v>
      </c>
      <c r="M624" s="10">
        <v>78873</v>
      </c>
      <c r="N624" s="66">
        <v>683</v>
      </c>
      <c r="O624" s="68">
        <v>51880</v>
      </c>
      <c r="P624" s="93">
        <f>Table46[[#This Row],[GROSS WT KGS]]-Table46[[#This Row],[SACS]]</f>
        <v>51197</v>
      </c>
      <c r="Q624" s="66">
        <v>659</v>
      </c>
      <c r="R624" s="67">
        <v>0</v>
      </c>
      <c r="S624" s="66">
        <v>24</v>
      </c>
      <c r="T624" s="10">
        <f t="shared" si="73"/>
        <v>96</v>
      </c>
      <c r="U624" s="68">
        <f>Table46[[#This Row],[NET WT KGS]]-Table46[[#This Row],[Refraction]]</f>
        <v>51101</v>
      </c>
      <c r="V624" s="69">
        <v>515</v>
      </c>
      <c r="W624" s="69">
        <f>Table46[[#This Row],[PRICE]]*Table46[[#This Row],[PAID WT]]</f>
        <v>26317015</v>
      </c>
      <c r="X624" s="70">
        <v>10.4</v>
      </c>
      <c r="Y624" s="71">
        <v>196</v>
      </c>
      <c r="Z624" s="70">
        <v>44.53</v>
      </c>
      <c r="AA624" s="72"/>
      <c r="AB624" s="66" t="s">
        <v>132</v>
      </c>
      <c r="AC624" s="27"/>
      <c r="AD624" s="63" t="s">
        <v>708</v>
      </c>
      <c r="AE624" s="18">
        <f>Table46[[#This Row],[MOIS.]]*Table46[[#This Row],[NET WT KGS]]</f>
        <v>532448.80000000005</v>
      </c>
      <c r="AF624" s="18">
        <f>Table46[[#This Row],[KOR]]*Table46[[#This Row],[NET WT KGS]]</f>
        <v>2279802.41</v>
      </c>
      <c r="AG624">
        <f>Table46[[#This Row],[NET WT KGS]]*Table46[[#This Row],[NUT COUNT]]</f>
        <v>10034612</v>
      </c>
    </row>
    <row r="625" spans="1:33" x14ac:dyDescent="0.35">
      <c r="A625" s="32">
        <f t="shared" si="68"/>
        <v>623</v>
      </c>
      <c r="B625" s="65">
        <v>46128</v>
      </c>
      <c r="C625" s="65">
        <v>46128</v>
      </c>
      <c r="D625" s="10" t="s">
        <v>38</v>
      </c>
      <c r="E625" s="66" t="s">
        <v>39</v>
      </c>
      <c r="F625" s="67" t="s">
        <v>40</v>
      </c>
      <c r="G625" s="66" t="s">
        <v>350</v>
      </c>
      <c r="H625" s="66" t="s">
        <v>154</v>
      </c>
      <c r="I625" s="67" t="str">
        <f>VLOOKUP(Table46[[#This Row],[SUPPLIERS NAME]],[1]AGING!X$3:Y$30,2,)</f>
        <v>LBA-010-CAP</v>
      </c>
      <c r="J625" s="66" t="s">
        <v>564</v>
      </c>
      <c r="K625" s="33" t="s">
        <v>157</v>
      </c>
      <c r="L625" s="66">
        <v>1141</v>
      </c>
      <c r="M625" s="10">
        <v>87044</v>
      </c>
      <c r="N625" s="66">
        <v>435</v>
      </c>
      <c r="O625" s="68">
        <f>P625+N625</f>
        <v>36680</v>
      </c>
      <c r="P625" s="68">
        <v>36245</v>
      </c>
      <c r="Q625" s="66">
        <v>422</v>
      </c>
      <c r="R625" s="67">
        <v>0</v>
      </c>
      <c r="S625" s="66">
        <v>13</v>
      </c>
      <c r="T625" s="10">
        <f t="shared" si="73"/>
        <v>52</v>
      </c>
      <c r="U625" s="68">
        <f>Table46[[#This Row],[NET WT KGS]]-Table46[[#This Row],[Refraction]]</f>
        <v>36193</v>
      </c>
      <c r="V625" s="69">
        <v>500</v>
      </c>
      <c r="W625" s="69">
        <f>Table46[[#This Row],[PRICE]]*Table46[[#This Row],[PAID WT]]</f>
        <v>18096500</v>
      </c>
      <c r="X625" s="70">
        <v>9.6</v>
      </c>
      <c r="Y625" s="71">
        <v>171</v>
      </c>
      <c r="Z625" s="70">
        <v>41.44</v>
      </c>
      <c r="AA625" s="72"/>
      <c r="AB625" s="66" t="s">
        <v>40</v>
      </c>
      <c r="AC625" s="73"/>
      <c r="AD625" s="63" t="s">
        <v>708</v>
      </c>
      <c r="AE625" s="18">
        <f>Table46[[#This Row],[MOIS.]]*Table46[[#This Row],[NET WT KGS]]</f>
        <v>347952</v>
      </c>
      <c r="AF625" s="18">
        <f>Table46[[#This Row],[KOR]]*Table46[[#This Row],[NET WT KGS]]</f>
        <v>1501992.7999999998</v>
      </c>
      <c r="AG625">
        <f>Table46[[#This Row],[NET WT KGS]]*Table46[[#This Row],[NUT COUNT]]</f>
        <v>6197895</v>
      </c>
    </row>
    <row r="626" spans="1:33" x14ac:dyDescent="0.35">
      <c r="A626" s="32">
        <f t="shared" si="68"/>
        <v>624</v>
      </c>
      <c r="B626" s="65">
        <v>46128</v>
      </c>
      <c r="C626" s="65">
        <v>46128</v>
      </c>
      <c r="D626" s="10" t="s">
        <v>38</v>
      </c>
      <c r="E626" s="66" t="s">
        <v>39</v>
      </c>
      <c r="F626" s="67" t="s">
        <v>40</v>
      </c>
      <c r="G626" s="66" t="s">
        <v>350</v>
      </c>
      <c r="H626" s="66" t="s">
        <v>338</v>
      </c>
      <c r="I626" s="67" t="str">
        <f>VLOOKUP(Table46[[#This Row],[SUPPLIERS NAME]],[1]AGING!X$3:Y$30,2,)</f>
        <v>LBA-018-COP</v>
      </c>
      <c r="J626" s="66" t="s">
        <v>752</v>
      </c>
      <c r="K626" s="57" t="s">
        <v>340</v>
      </c>
      <c r="L626" s="66">
        <v>1142</v>
      </c>
      <c r="M626" s="10">
        <v>37758</v>
      </c>
      <c r="N626" s="66">
        <v>452</v>
      </c>
      <c r="O626" s="68">
        <f>P626+N626</f>
        <v>36260</v>
      </c>
      <c r="P626" s="68">
        <v>35808</v>
      </c>
      <c r="Q626" s="66">
        <v>425</v>
      </c>
      <c r="R626" s="67">
        <v>0</v>
      </c>
      <c r="S626" s="66">
        <v>26</v>
      </c>
      <c r="T626" s="10">
        <f t="shared" si="73"/>
        <v>104</v>
      </c>
      <c r="U626" s="68">
        <f>Table46[[#This Row],[NET WT KGS]]-Table46[[#This Row],[Refraction]]</f>
        <v>35704</v>
      </c>
      <c r="V626" s="69">
        <v>510</v>
      </c>
      <c r="W626" s="69">
        <f>Table46[[#This Row],[PRICE]]*Table46[[#This Row],[PAID WT]]</f>
        <v>18209040</v>
      </c>
      <c r="X626" s="70">
        <v>10</v>
      </c>
      <c r="Y626" s="71">
        <v>167</v>
      </c>
      <c r="Z626" s="70">
        <v>41.97</v>
      </c>
      <c r="AA626" s="72"/>
      <c r="AB626" s="66" t="s">
        <v>58</v>
      </c>
      <c r="AC626" s="73"/>
      <c r="AD626" s="63" t="s">
        <v>708</v>
      </c>
      <c r="AE626" s="18">
        <f>Table46[[#This Row],[MOIS.]]*Table46[[#This Row],[NET WT KGS]]</f>
        <v>358080</v>
      </c>
      <c r="AF626" s="18">
        <f>Table46[[#This Row],[KOR]]*Table46[[#This Row],[NET WT KGS]]</f>
        <v>1502861.76</v>
      </c>
      <c r="AG626">
        <f>Table46[[#This Row],[NET WT KGS]]*Table46[[#This Row],[NUT COUNT]]</f>
        <v>5979936</v>
      </c>
    </row>
    <row r="627" spans="1:33" x14ac:dyDescent="0.35">
      <c r="A627" s="32">
        <f t="shared" si="68"/>
        <v>625</v>
      </c>
      <c r="B627" s="65">
        <v>46128</v>
      </c>
      <c r="C627" s="65">
        <v>46128</v>
      </c>
      <c r="D627" s="10" t="s">
        <v>38</v>
      </c>
      <c r="E627" s="66" t="s">
        <v>258</v>
      </c>
      <c r="F627" s="67" t="s">
        <v>40</v>
      </c>
      <c r="G627" s="66" t="s">
        <v>350</v>
      </c>
      <c r="H627" s="66" t="s">
        <v>364</v>
      </c>
      <c r="I627" s="67" t="str">
        <f>VLOOKUP(Table46[[#This Row],[SUPPLIERS NAME]],[1]AGING!X$3:Y$52,2,)</f>
        <v>DIS-007-SPA</v>
      </c>
      <c r="J627" s="66" t="s">
        <v>753</v>
      </c>
      <c r="K627" s="77" t="s">
        <v>426</v>
      </c>
      <c r="L627" s="102">
        <v>1143</v>
      </c>
      <c r="M627" s="10">
        <v>33683</v>
      </c>
      <c r="N627" s="66">
        <v>469</v>
      </c>
      <c r="O627" s="68">
        <f>P627+N627</f>
        <v>40340</v>
      </c>
      <c r="P627" s="68">
        <v>39871</v>
      </c>
      <c r="Q627" s="66">
        <v>455</v>
      </c>
      <c r="R627" s="67">
        <v>0</v>
      </c>
      <c r="S627" s="66">
        <v>14</v>
      </c>
      <c r="T627" s="10">
        <f t="shared" si="73"/>
        <v>56</v>
      </c>
      <c r="U627" s="68">
        <f>Table46[[#This Row],[NET WT KGS]]-Table46[[#This Row],[Refraction]]</f>
        <v>39815</v>
      </c>
      <c r="V627" s="69">
        <v>505</v>
      </c>
      <c r="W627" s="69">
        <f>Table46[[#This Row],[PRICE]]*Table46[[#This Row],[PAID WT]]</f>
        <v>20106575</v>
      </c>
      <c r="X627" s="70">
        <v>9.3000000000000007</v>
      </c>
      <c r="Y627" s="71">
        <v>156</v>
      </c>
      <c r="Z627" s="70">
        <v>43.38</v>
      </c>
      <c r="AA627" s="72"/>
      <c r="AB627" s="66" t="s">
        <v>367</v>
      </c>
      <c r="AC627" s="73"/>
      <c r="AD627" s="63" t="s">
        <v>708</v>
      </c>
      <c r="AE627" s="18">
        <f>Table46[[#This Row],[MOIS.]]*Table46[[#This Row],[NET WT KGS]]</f>
        <v>370800.30000000005</v>
      </c>
      <c r="AF627" s="18">
        <f>Table46[[#This Row],[KOR]]*Table46[[#This Row],[NET WT KGS]]</f>
        <v>1729603.9800000002</v>
      </c>
      <c r="AG627">
        <f>Table46[[#This Row],[NET WT KGS]]*Table46[[#This Row],[NUT COUNT]]</f>
        <v>6219876</v>
      </c>
    </row>
    <row r="628" spans="1:33" x14ac:dyDescent="0.35">
      <c r="A628" s="32">
        <f t="shared" si="68"/>
        <v>626</v>
      </c>
      <c r="B628" s="65">
        <v>46128</v>
      </c>
      <c r="C628" s="65">
        <v>46128</v>
      </c>
      <c r="D628" s="10" t="s">
        <v>38</v>
      </c>
      <c r="E628" s="66" t="s">
        <v>39</v>
      </c>
      <c r="F628" s="67" t="s">
        <v>40</v>
      </c>
      <c r="G628" s="66" t="s">
        <v>41</v>
      </c>
      <c r="H628" s="66" t="s">
        <v>338</v>
      </c>
      <c r="I628" s="67" t="str">
        <f>VLOOKUP(Table46[[#This Row],[SUPPLIERS NAME]],[1]AGING!X$3:Y$52,2,)</f>
        <v>LBA-018-COP</v>
      </c>
      <c r="J628" s="66" t="s">
        <v>365</v>
      </c>
      <c r="K628" s="57" t="s">
        <v>340</v>
      </c>
      <c r="L628" s="66">
        <v>1144</v>
      </c>
      <c r="M628" s="10">
        <v>19865</v>
      </c>
      <c r="N628" s="66">
        <v>468</v>
      </c>
      <c r="O628" s="68">
        <f>P628+N628</f>
        <v>39680</v>
      </c>
      <c r="P628" s="68">
        <v>39212</v>
      </c>
      <c r="Q628" s="66">
        <v>451</v>
      </c>
      <c r="R628" s="67">
        <v>0</v>
      </c>
      <c r="S628" s="66">
        <v>17</v>
      </c>
      <c r="T628" s="10">
        <f t="shared" si="73"/>
        <v>68</v>
      </c>
      <c r="U628" s="68">
        <f>Table46[[#This Row],[NET WT KGS]]-Table46[[#This Row],[Refraction]]</f>
        <v>39144</v>
      </c>
      <c r="V628" s="69">
        <v>510</v>
      </c>
      <c r="W628" s="69">
        <f>Table46[[#This Row],[PRICE]]*Table46[[#This Row],[PAID WT]]</f>
        <v>19963440</v>
      </c>
      <c r="X628" s="70">
        <v>9.4</v>
      </c>
      <c r="Y628" s="71">
        <v>160</v>
      </c>
      <c r="Z628" s="70">
        <v>42.32</v>
      </c>
      <c r="AA628" s="72"/>
      <c r="AB628" s="66" t="s">
        <v>284</v>
      </c>
      <c r="AC628" s="73"/>
      <c r="AD628" s="63" t="s">
        <v>708</v>
      </c>
      <c r="AE628" s="18">
        <f>Table46[[#This Row],[MOIS.]]*Table46[[#This Row],[NET WT KGS]]</f>
        <v>368592.8</v>
      </c>
      <c r="AF628" s="18">
        <f>Table46[[#This Row],[KOR]]*Table46[[#This Row],[NET WT KGS]]</f>
        <v>1659451.84</v>
      </c>
      <c r="AG628">
        <f>Table46[[#This Row],[NET WT KGS]]*Table46[[#This Row],[NUT COUNT]]</f>
        <v>6273920</v>
      </c>
    </row>
    <row r="629" spans="1:33" x14ac:dyDescent="0.35">
      <c r="A629" s="32">
        <f t="shared" si="68"/>
        <v>627</v>
      </c>
      <c r="B629" s="65">
        <v>46128</v>
      </c>
      <c r="C629" s="65">
        <v>46128</v>
      </c>
      <c r="D629" s="10" t="s">
        <v>38</v>
      </c>
      <c r="E629" s="66" t="s">
        <v>39</v>
      </c>
      <c r="F629" s="67" t="s">
        <v>62</v>
      </c>
      <c r="G629" s="66"/>
      <c r="H629" s="66" t="s">
        <v>193</v>
      </c>
      <c r="I629" s="67" t="str">
        <f>VLOOKUP(Table46[[#This Row],[SUPPLIERS NAME]],[1]AGING!X$3:Y$52,2,)</f>
        <v>LBA-005-JAV</v>
      </c>
      <c r="J629" s="66" t="s">
        <v>754</v>
      </c>
      <c r="K629" s="33" t="s">
        <v>196</v>
      </c>
      <c r="L629" s="66">
        <v>607</v>
      </c>
      <c r="M629" s="10">
        <v>87150</v>
      </c>
      <c r="N629" s="66">
        <v>629</v>
      </c>
      <c r="O629" s="68">
        <v>52920</v>
      </c>
      <c r="P629" s="51">
        <f>Table46[[#This Row],[GROSS WT KGS]]-Table46[[#This Row],[SACS]]</f>
        <v>52291</v>
      </c>
      <c r="Q629" s="66">
        <v>584</v>
      </c>
      <c r="R629" s="67">
        <v>0</v>
      </c>
      <c r="S629" s="66">
        <v>45</v>
      </c>
      <c r="T629" s="10">
        <f t="shared" si="73"/>
        <v>180</v>
      </c>
      <c r="U629" s="68">
        <f>Table46[[#This Row],[NET WT KGS]]-Table46[[#This Row],[Refraction]]</f>
        <v>52111</v>
      </c>
      <c r="V629" s="69">
        <v>515</v>
      </c>
      <c r="W629" s="69">
        <f>Table46[[#This Row],[PRICE]]*Table46[[#This Row],[PAID WT]]</f>
        <v>26837165</v>
      </c>
      <c r="X629" s="70">
        <v>11.5</v>
      </c>
      <c r="Y629" s="71">
        <v>189</v>
      </c>
      <c r="Z629" s="70">
        <v>44.44</v>
      </c>
      <c r="AA629" s="72"/>
      <c r="AB629" s="66" t="s">
        <v>132</v>
      </c>
      <c r="AC629" s="73"/>
      <c r="AD629" s="63" t="s">
        <v>708</v>
      </c>
      <c r="AE629" s="18">
        <f>Table46[[#This Row],[MOIS.]]*Table46[[#This Row],[NET WT KGS]]</f>
        <v>601346.5</v>
      </c>
      <c r="AF629" s="18">
        <f>Table46[[#This Row],[KOR]]*Table46[[#This Row],[NET WT KGS]]</f>
        <v>2323812.04</v>
      </c>
      <c r="AG629">
        <f>Table46[[#This Row],[NET WT KGS]]*Table46[[#This Row],[NUT COUNT]]</f>
        <v>9882999</v>
      </c>
    </row>
    <row r="630" spans="1:33" x14ac:dyDescent="0.35">
      <c r="A630" s="32">
        <f t="shared" si="68"/>
        <v>628</v>
      </c>
      <c r="B630" s="65">
        <v>46128</v>
      </c>
      <c r="C630" s="65">
        <v>46128</v>
      </c>
      <c r="D630" s="10" t="s">
        <v>38</v>
      </c>
      <c r="E630" s="66" t="s">
        <v>258</v>
      </c>
      <c r="F630" s="67" t="s">
        <v>62</v>
      </c>
      <c r="G630" s="66"/>
      <c r="H630" s="66" t="s">
        <v>584</v>
      </c>
      <c r="I630" s="67" t="str">
        <f>VLOOKUP(Table46[[#This Row],[SUPPLIERS NAME]],[1]AGING!X$3:Y$52,2,)</f>
        <v>DIS-021-KOB</v>
      </c>
      <c r="J630" s="66" t="s">
        <v>755</v>
      </c>
      <c r="K630" s="21" t="s">
        <v>586</v>
      </c>
      <c r="L630" s="66">
        <v>608</v>
      </c>
      <c r="M630" s="10">
        <v>87141</v>
      </c>
      <c r="N630" s="66">
        <v>483</v>
      </c>
      <c r="O630" s="68">
        <v>38000</v>
      </c>
      <c r="P630" s="51">
        <f>Table46[[#This Row],[GROSS WT KGS]]-Table46[[#This Row],[SACS]]</f>
        <v>37517</v>
      </c>
      <c r="Q630" s="66">
        <v>423</v>
      </c>
      <c r="R630" s="67">
        <v>60</v>
      </c>
      <c r="S630" s="66">
        <v>0</v>
      </c>
      <c r="T630" s="10">
        <f t="shared" si="73"/>
        <v>480</v>
      </c>
      <c r="U630" s="68">
        <f>Table46[[#This Row],[NET WT KGS]]-Table46[[#This Row],[Refraction]]</f>
        <v>37037</v>
      </c>
      <c r="V630" s="69">
        <v>515</v>
      </c>
      <c r="W630" s="69">
        <f>Table46[[#This Row],[PRICE]]*Table46[[#This Row],[PAID WT]]</f>
        <v>19074055</v>
      </c>
      <c r="X630" s="70">
        <v>12.2</v>
      </c>
      <c r="Y630" s="71">
        <v>176</v>
      </c>
      <c r="Z630" s="70">
        <v>44</v>
      </c>
      <c r="AA630" s="72"/>
      <c r="AB630" s="66" t="s">
        <v>351</v>
      </c>
      <c r="AC630" s="73"/>
      <c r="AD630" s="63" t="s">
        <v>708</v>
      </c>
      <c r="AE630" s="18">
        <f>Table46[[#This Row],[MOIS.]]*Table46[[#This Row],[NET WT KGS]]</f>
        <v>457707.39999999997</v>
      </c>
      <c r="AF630" s="18">
        <f>Table46[[#This Row],[KOR]]*Table46[[#This Row],[NET WT KGS]]</f>
        <v>1650748</v>
      </c>
      <c r="AG630">
        <f>Table46[[#This Row],[NET WT KGS]]*Table46[[#This Row],[NUT COUNT]]</f>
        <v>6602992</v>
      </c>
    </row>
    <row r="631" spans="1:33" x14ac:dyDescent="0.35">
      <c r="A631" s="32">
        <f t="shared" si="68"/>
        <v>629</v>
      </c>
      <c r="B631" s="91">
        <v>46128</v>
      </c>
      <c r="C631" s="91">
        <f>Table46[[#This Row],[DATE OF ARRIVAL]]</f>
        <v>46128</v>
      </c>
      <c r="D631" s="36"/>
      <c r="E631" s="74"/>
      <c r="F631" s="74" t="s">
        <v>40</v>
      </c>
      <c r="G631" s="74"/>
      <c r="H631" s="74" t="s">
        <v>123</v>
      </c>
      <c r="I631" s="74" t="s">
        <v>124</v>
      </c>
      <c r="J631" s="74" t="s">
        <v>624</v>
      </c>
      <c r="K631" s="74"/>
      <c r="L631" s="74"/>
      <c r="M631" s="74"/>
      <c r="N631" s="74"/>
      <c r="O631" s="79">
        <f t="shared" ref="O631:O637" si="74">P631+N631</f>
        <v>0</v>
      </c>
      <c r="P631" s="37"/>
      <c r="Q631" s="74"/>
      <c r="R631" s="80"/>
      <c r="S631" s="74"/>
      <c r="T631" s="36"/>
      <c r="U631" s="79">
        <f>Table46[[#This Row],[NET WT KGS]]-Table46[[#This Row],[Refraction]]</f>
        <v>0</v>
      </c>
      <c r="V631" s="81"/>
      <c r="W631" s="81">
        <f>Table46[[#This Row],[PRICE]]*Table46[[#This Row],[PAID WT]]</f>
        <v>0</v>
      </c>
      <c r="X631" s="82">
        <v>9.8000000000000007</v>
      </c>
      <c r="Y631" s="83">
        <v>181</v>
      </c>
      <c r="Z631" s="82">
        <v>40.212359999999997</v>
      </c>
      <c r="AA631" s="84"/>
      <c r="AB631" s="74" t="s">
        <v>398</v>
      </c>
      <c r="AC631" s="92" t="s">
        <v>70</v>
      </c>
      <c r="AD631" s="28"/>
      <c r="AE631" s="18">
        <f>Table46[[#This Row],[MOIS.]]*Table46[[#This Row],[NET WT KGS]]</f>
        <v>0</v>
      </c>
      <c r="AF631" s="18">
        <f>Table46[[#This Row],[KOR]]*Table46[[#This Row],[NET WT KGS]]</f>
        <v>0</v>
      </c>
      <c r="AG631">
        <f>Table46[[#This Row],[NET WT KGS]]*Table46[[#This Row],[NUT COUNT]]</f>
        <v>0</v>
      </c>
    </row>
    <row r="632" spans="1:33" x14ac:dyDescent="0.35">
      <c r="A632" s="32">
        <f t="shared" si="68"/>
        <v>630</v>
      </c>
      <c r="B632" s="65">
        <v>46128</v>
      </c>
      <c r="C632" s="65">
        <v>46129</v>
      </c>
      <c r="D632" s="10" t="s">
        <v>38</v>
      </c>
      <c r="E632" s="66" t="s">
        <v>39</v>
      </c>
      <c r="F632" s="67" t="s">
        <v>40</v>
      </c>
      <c r="G632" s="66" t="s">
        <v>350</v>
      </c>
      <c r="H632" s="66" t="s">
        <v>338</v>
      </c>
      <c r="I632" s="67" t="str">
        <f>VLOOKUP(Table46[[#This Row],[SUPPLIERS NAME]],[1]AGING!X$3:Y$52,2,)</f>
        <v>LBA-018-COP</v>
      </c>
      <c r="J632" s="66" t="s">
        <v>339</v>
      </c>
      <c r="K632" s="57" t="s">
        <v>340</v>
      </c>
      <c r="L632" s="66">
        <v>1145</v>
      </c>
      <c r="M632" s="10">
        <v>19862</v>
      </c>
      <c r="N632" s="66">
        <v>467</v>
      </c>
      <c r="O632" s="68">
        <f t="shared" si="74"/>
        <v>39360</v>
      </c>
      <c r="P632" s="22">
        <v>38893</v>
      </c>
      <c r="Q632" s="66">
        <v>449</v>
      </c>
      <c r="R632" s="67">
        <v>0</v>
      </c>
      <c r="S632" s="66">
        <v>18</v>
      </c>
      <c r="T632" s="10">
        <f t="shared" ref="T632:T644" si="75">S632*4+R632*8</f>
        <v>72</v>
      </c>
      <c r="U632" s="68">
        <f>Table46[[#This Row],[NET WT KGS]]-Table46[[#This Row],[Refraction]]</f>
        <v>38821</v>
      </c>
      <c r="V632" s="69">
        <v>500</v>
      </c>
      <c r="W632" s="69">
        <f>Table46[[#This Row],[PRICE]]*Table46[[#This Row],[PAID WT]]</f>
        <v>19410500</v>
      </c>
      <c r="X632" s="70">
        <v>10</v>
      </c>
      <c r="Y632" s="71">
        <v>164</v>
      </c>
      <c r="Z632" s="70">
        <v>41.44</v>
      </c>
      <c r="AA632" s="72"/>
      <c r="AB632" s="66" t="s">
        <v>284</v>
      </c>
      <c r="AC632" s="73"/>
      <c r="AD632" s="63" t="s">
        <v>708</v>
      </c>
      <c r="AE632" s="18">
        <f>Table46[[#This Row],[MOIS.]]*Table46[[#This Row],[NET WT KGS]]</f>
        <v>388930</v>
      </c>
      <c r="AF632" s="18">
        <f>Table46[[#This Row],[KOR]]*Table46[[#This Row],[NET WT KGS]]</f>
        <v>1611725.92</v>
      </c>
      <c r="AG632">
        <f>Table46[[#This Row],[NET WT KGS]]*Table46[[#This Row],[NUT COUNT]]</f>
        <v>6378452</v>
      </c>
    </row>
    <row r="633" spans="1:33" x14ac:dyDescent="0.35">
      <c r="A633" s="32">
        <f t="shared" si="68"/>
        <v>631</v>
      </c>
      <c r="B633" s="65">
        <v>46128</v>
      </c>
      <c r="C633" s="65">
        <v>46129</v>
      </c>
      <c r="D633" s="10" t="s">
        <v>38</v>
      </c>
      <c r="E633" s="66" t="s">
        <v>258</v>
      </c>
      <c r="F633" s="67" t="s">
        <v>40</v>
      </c>
      <c r="G633" s="66" t="s">
        <v>350</v>
      </c>
      <c r="H633" s="66" t="s">
        <v>364</v>
      </c>
      <c r="I633" s="118" t="str">
        <f>VLOOKUP(Table46[[#This Row],[SUPPLIERS NAME]],[1]AGING!X$3:Y$52,2,)</f>
        <v>DIS-007-SPA</v>
      </c>
      <c r="J633" s="66" t="s">
        <v>756</v>
      </c>
      <c r="K633" s="77" t="s">
        <v>426</v>
      </c>
      <c r="L633" s="66">
        <v>1146</v>
      </c>
      <c r="M633" s="10">
        <v>34486</v>
      </c>
      <c r="N633" s="66">
        <v>487</v>
      </c>
      <c r="O633" s="68">
        <f t="shared" si="74"/>
        <v>40520</v>
      </c>
      <c r="P633" s="22">
        <v>40033</v>
      </c>
      <c r="Q633" s="66">
        <v>457</v>
      </c>
      <c r="R633" s="67">
        <v>30</v>
      </c>
      <c r="S633" s="66">
        <v>0</v>
      </c>
      <c r="T633" s="10">
        <f t="shared" si="75"/>
        <v>240</v>
      </c>
      <c r="U633" s="68">
        <f>Table46[[#This Row],[NET WT KGS]]-Table46[[#This Row],[Refraction]]</f>
        <v>39793</v>
      </c>
      <c r="V633" s="69">
        <v>505</v>
      </c>
      <c r="W633" s="69">
        <f>Table46[[#This Row],[PRICE]]*Table46[[#This Row],[PAID WT]]</f>
        <v>20095465</v>
      </c>
      <c r="X633" s="70">
        <v>11.1</v>
      </c>
      <c r="Y633" s="71">
        <v>179</v>
      </c>
      <c r="Z633" s="70">
        <v>43.03</v>
      </c>
      <c r="AA633" s="72"/>
      <c r="AB633" s="66" t="s">
        <v>358</v>
      </c>
      <c r="AC633" s="73"/>
      <c r="AD633" s="63" t="s">
        <v>708</v>
      </c>
      <c r="AE633" s="18">
        <f>Table46[[#This Row],[MOIS.]]*Table46[[#This Row],[NET WT KGS]]</f>
        <v>444366.3</v>
      </c>
      <c r="AF633" s="18">
        <f>Table46[[#This Row],[KOR]]*Table46[[#This Row],[NET WT KGS]]</f>
        <v>1722619.99</v>
      </c>
      <c r="AG633">
        <f>Table46[[#This Row],[NET WT KGS]]*Table46[[#This Row],[NUT COUNT]]</f>
        <v>7165907</v>
      </c>
    </row>
    <row r="634" spans="1:33" x14ac:dyDescent="0.35">
      <c r="A634" s="32">
        <f t="shared" si="68"/>
        <v>632</v>
      </c>
      <c r="B634" s="65">
        <v>46128</v>
      </c>
      <c r="C634" s="65">
        <v>46129</v>
      </c>
      <c r="D634" s="10" t="s">
        <v>38</v>
      </c>
      <c r="E634" s="66" t="s">
        <v>39</v>
      </c>
      <c r="F634" s="67" t="s">
        <v>40</v>
      </c>
      <c r="G634" s="66" t="s">
        <v>350</v>
      </c>
      <c r="H634" s="66" t="s">
        <v>87</v>
      </c>
      <c r="I634" s="67" t="str">
        <f>VLOOKUP(Table46[[#This Row],[SUPPLIERS NAME]],[1]AGING!X$3:Y$52,2,)</f>
        <v>LBA-009-SCO</v>
      </c>
      <c r="J634" s="66" t="s">
        <v>120</v>
      </c>
      <c r="K634" s="33" t="s">
        <v>90</v>
      </c>
      <c r="L634" s="66">
        <v>1150</v>
      </c>
      <c r="M634" s="10">
        <v>34348</v>
      </c>
      <c r="N634" s="66">
        <v>639</v>
      </c>
      <c r="O634" s="68">
        <f t="shared" si="74"/>
        <v>48480</v>
      </c>
      <c r="P634" s="22">
        <v>47841</v>
      </c>
      <c r="Q634" s="66">
        <v>620</v>
      </c>
      <c r="R634" s="67">
        <v>0</v>
      </c>
      <c r="S634" s="66">
        <v>19</v>
      </c>
      <c r="T634" s="10">
        <f t="shared" si="75"/>
        <v>76</v>
      </c>
      <c r="U634" s="68">
        <f>Table46[[#This Row],[NET WT KGS]]-Table46[[#This Row],[Refraction]]</f>
        <v>47765</v>
      </c>
      <c r="V634" s="69">
        <v>495</v>
      </c>
      <c r="W634" s="69">
        <f>Table46[[#This Row],[PRICE]]*Table46[[#This Row],[PAID WT]]</f>
        <v>23643675</v>
      </c>
      <c r="X634" s="70">
        <v>10.8</v>
      </c>
      <c r="Y634" s="71">
        <v>160</v>
      </c>
      <c r="Z634" s="70">
        <v>41.09</v>
      </c>
      <c r="AA634" s="72"/>
      <c r="AB634" s="66" t="s">
        <v>308</v>
      </c>
      <c r="AC634" s="73"/>
      <c r="AD634" s="63" t="s">
        <v>708</v>
      </c>
      <c r="AE634" s="18">
        <f>Table46[[#This Row],[MOIS.]]*Table46[[#This Row],[NET WT KGS]]</f>
        <v>516682.80000000005</v>
      </c>
      <c r="AF634" s="18">
        <f>Table46[[#This Row],[KOR]]*Table46[[#This Row],[NET WT KGS]]</f>
        <v>1965786.6900000002</v>
      </c>
      <c r="AG634">
        <f>Table46[[#This Row],[NET WT KGS]]*Table46[[#This Row],[NUT COUNT]]</f>
        <v>7654560</v>
      </c>
    </row>
    <row r="635" spans="1:33" x14ac:dyDescent="0.35">
      <c r="A635" s="32">
        <f t="shared" si="68"/>
        <v>633</v>
      </c>
      <c r="B635" s="65">
        <v>46128</v>
      </c>
      <c r="C635" s="65">
        <v>46129</v>
      </c>
      <c r="D635" s="10" t="s">
        <v>38</v>
      </c>
      <c r="E635" s="66" t="s">
        <v>39</v>
      </c>
      <c r="F635" s="67" t="s">
        <v>40</v>
      </c>
      <c r="G635" s="66" t="s">
        <v>350</v>
      </c>
      <c r="H635" s="67" t="s">
        <v>123</v>
      </c>
      <c r="I635" s="67" t="str">
        <f>VLOOKUP(Table46[[#This Row],[SUPPLIERS NAME]],[1]AGING!X$3:Y$52,2,)</f>
        <v>LBA-011-ASR</v>
      </c>
      <c r="J635" s="66" t="s">
        <v>645</v>
      </c>
      <c r="K635" s="21" t="s">
        <v>161</v>
      </c>
      <c r="L635" s="66">
        <v>1147</v>
      </c>
      <c r="M635" s="10">
        <v>31626</v>
      </c>
      <c r="N635" s="66">
        <v>590</v>
      </c>
      <c r="O635" s="68">
        <f t="shared" si="74"/>
        <v>51520</v>
      </c>
      <c r="P635" s="22">
        <v>50930</v>
      </c>
      <c r="Q635" s="66">
        <v>570</v>
      </c>
      <c r="R635" s="67">
        <v>20</v>
      </c>
      <c r="S635" s="66">
        <v>0</v>
      </c>
      <c r="T635" s="10">
        <f t="shared" si="75"/>
        <v>160</v>
      </c>
      <c r="U635" s="68">
        <f>Table46[[#This Row],[NET WT KGS]]-Table46[[#This Row],[Refraction]]</f>
        <v>50770</v>
      </c>
      <c r="V635" s="69">
        <v>500</v>
      </c>
      <c r="W635" s="69">
        <f>Table46[[#This Row],[PRICE]]*Table46[[#This Row],[PAID WT]]</f>
        <v>25385000</v>
      </c>
      <c r="X635" s="70">
        <v>11.8</v>
      </c>
      <c r="Y635" s="71">
        <v>163</v>
      </c>
      <c r="Z635" s="70">
        <v>41.27</v>
      </c>
      <c r="AA635" s="72"/>
      <c r="AB635" s="66" t="s">
        <v>40</v>
      </c>
      <c r="AC635" s="73"/>
      <c r="AD635" s="63" t="s">
        <v>708</v>
      </c>
      <c r="AE635" s="18">
        <f>Table46[[#This Row],[MOIS.]]*Table46[[#This Row],[NET WT KGS]]</f>
        <v>600974</v>
      </c>
      <c r="AF635" s="18">
        <f>Table46[[#This Row],[KOR]]*Table46[[#This Row],[NET WT KGS]]</f>
        <v>2101881.1</v>
      </c>
      <c r="AG635">
        <f>Table46[[#This Row],[NET WT KGS]]*Table46[[#This Row],[NUT COUNT]]</f>
        <v>8301590</v>
      </c>
    </row>
    <row r="636" spans="1:33" x14ac:dyDescent="0.35">
      <c r="A636" s="32">
        <f t="shared" si="68"/>
        <v>634</v>
      </c>
      <c r="B636" s="65">
        <v>46128</v>
      </c>
      <c r="C636" s="65">
        <v>46129</v>
      </c>
      <c r="D636" s="10" t="s">
        <v>38</v>
      </c>
      <c r="E636" s="66" t="s">
        <v>258</v>
      </c>
      <c r="F636" s="67" t="s">
        <v>40</v>
      </c>
      <c r="G636" s="66" t="s">
        <v>350</v>
      </c>
      <c r="H636" s="67" t="s">
        <v>401</v>
      </c>
      <c r="I636" s="67" t="s">
        <v>206</v>
      </c>
      <c r="J636" s="66" t="s">
        <v>757</v>
      </c>
      <c r="K636" s="21" t="s">
        <v>758</v>
      </c>
      <c r="L636" s="66">
        <v>1148</v>
      </c>
      <c r="M636" s="10">
        <v>34463</v>
      </c>
      <c r="N636" s="66">
        <v>531</v>
      </c>
      <c r="O636" s="68">
        <f t="shared" si="74"/>
        <v>40980</v>
      </c>
      <c r="P636" s="22">
        <v>40449</v>
      </c>
      <c r="Q636" s="66">
        <v>524</v>
      </c>
      <c r="R636" s="67">
        <v>0</v>
      </c>
      <c r="S636" s="66">
        <v>7</v>
      </c>
      <c r="T636" s="10">
        <f t="shared" si="75"/>
        <v>28</v>
      </c>
      <c r="U636" s="68">
        <f>Table46[[#This Row],[NET WT KGS]]-Table46[[#This Row],[Refraction]]</f>
        <v>40421</v>
      </c>
      <c r="V636" s="69">
        <v>500</v>
      </c>
      <c r="W636" s="69">
        <f>Table46[[#This Row],[PRICE]]*Table46[[#This Row],[PAID WT]]</f>
        <v>20210500</v>
      </c>
      <c r="X636" s="70">
        <v>10.3</v>
      </c>
      <c r="Y636" s="71">
        <v>168</v>
      </c>
      <c r="Z636" s="70">
        <v>41.97</v>
      </c>
      <c r="AA636" s="72"/>
      <c r="AB636" s="66" t="s">
        <v>284</v>
      </c>
      <c r="AC636" s="73"/>
      <c r="AD636" s="63" t="s">
        <v>708</v>
      </c>
      <c r="AE636" s="18">
        <f>Table46[[#This Row],[MOIS.]]*Table46[[#This Row],[NET WT KGS]]</f>
        <v>416624.7</v>
      </c>
      <c r="AF636" s="18">
        <f>Table46[[#This Row],[KOR]]*Table46[[#This Row],[NET WT KGS]]</f>
        <v>1697644.53</v>
      </c>
      <c r="AG636">
        <f>Table46[[#This Row],[NET WT KGS]]*Table46[[#This Row],[NUT COUNT]]</f>
        <v>6795432</v>
      </c>
    </row>
    <row r="637" spans="1:33" x14ac:dyDescent="0.35">
      <c r="A637" s="32">
        <f t="shared" si="68"/>
        <v>635</v>
      </c>
      <c r="B637" s="65">
        <v>46128</v>
      </c>
      <c r="C637" s="65">
        <v>46129</v>
      </c>
      <c r="D637" s="10" t="s">
        <v>38</v>
      </c>
      <c r="E637" s="66" t="s">
        <v>39</v>
      </c>
      <c r="F637" s="67" t="s">
        <v>40</v>
      </c>
      <c r="G637" s="66" t="s">
        <v>350</v>
      </c>
      <c r="H637" s="66" t="s">
        <v>154</v>
      </c>
      <c r="I637" s="67" t="str">
        <f>VLOOKUP(Table46[[#This Row],[SUPPLIERS NAME]],[1]AGING!X$3:Y$52,2,)</f>
        <v>LBA-010-CAP</v>
      </c>
      <c r="J637" s="66" t="s">
        <v>759</v>
      </c>
      <c r="K637" s="33" t="s">
        <v>157</v>
      </c>
      <c r="L637" s="66">
        <v>1149</v>
      </c>
      <c r="M637" s="10">
        <v>87091</v>
      </c>
      <c r="N637" s="66">
        <v>668</v>
      </c>
      <c r="O637" s="68">
        <f t="shared" si="74"/>
        <v>50820</v>
      </c>
      <c r="P637" s="22">
        <v>50152</v>
      </c>
      <c r="Q637" s="66">
        <v>642</v>
      </c>
      <c r="R637" s="67">
        <v>26</v>
      </c>
      <c r="S637" s="66">
        <v>0</v>
      </c>
      <c r="T637" s="10">
        <f t="shared" si="75"/>
        <v>208</v>
      </c>
      <c r="U637" s="68">
        <f>Table46[[#This Row],[NET WT KGS]]-Table46[[#This Row],[Refraction]]</f>
        <v>49944</v>
      </c>
      <c r="V637" s="69">
        <v>500</v>
      </c>
      <c r="W637" s="69">
        <f>Table46[[#This Row],[PRICE]]*Table46[[#This Row],[PAID WT]]</f>
        <v>24972000</v>
      </c>
      <c r="X637" s="70">
        <v>11.4</v>
      </c>
      <c r="Y637" s="71">
        <v>174</v>
      </c>
      <c r="Z637" s="70">
        <v>41.62</v>
      </c>
      <c r="AA637" s="72"/>
      <c r="AB637" s="66" t="s">
        <v>40</v>
      </c>
      <c r="AC637" s="73"/>
      <c r="AD637" s="63" t="s">
        <v>708</v>
      </c>
      <c r="AE637" s="18">
        <f>Table46[[#This Row],[MOIS.]]*Table46[[#This Row],[NET WT KGS]]</f>
        <v>571732.80000000005</v>
      </c>
      <c r="AF637" s="18">
        <f>Table46[[#This Row],[KOR]]*Table46[[#This Row],[NET WT KGS]]</f>
        <v>2087326.2399999998</v>
      </c>
      <c r="AG637">
        <f>Table46[[#This Row],[NET WT KGS]]*Table46[[#This Row],[NUT COUNT]]</f>
        <v>8726448</v>
      </c>
    </row>
    <row r="638" spans="1:33" x14ac:dyDescent="0.35">
      <c r="A638" s="32">
        <f t="shared" si="68"/>
        <v>636</v>
      </c>
      <c r="B638" s="65">
        <v>46128</v>
      </c>
      <c r="C638" s="65">
        <v>46129</v>
      </c>
      <c r="D638" s="10" t="s">
        <v>38</v>
      </c>
      <c r="E638" s="10" t="s">
        <v>39</v>
      </c>
      <c r="F638" s="67" t="s">
        <v>62</v>
      </c>
      <c r="G638" s="66"/>
      <c r="H638" s="10" t="s">
        <v>684</v>
      </c>
      <c r="I638" s="67" t="str">
        <f>VLOOKUP(Table46[[#This Row],[SUPPLIERS NAME]],[1]AGING!X$3:Y$52,2,)</f>
        <v>LBA-021-SAN</v>
      </c>
      <c r="J638" s="10" t="s">
        <v>760</v>
      </c>
      <c r="K638" s="66"/>
      <c r="L638" s="10">
        <v>611</v>
      </c>
      <c r="M638" s="66">
        <v>3197</v>
      </c>
      <c r="N638" s="10">
        <v>456</v>
      </c>
      <c r="O638" s="22">
        <v>35570</v>
      </c>
      <c r="P638" s="51">
        <f>Table46[[#This Row],[GROSS WT KGS]]-Table46[[#This Row],[SACS]]</f>
        <v>35114</v>
      </c>
      <c r="Q638" s="10">
        <v>446</v>
      </c>
      <c r="R638" s="50">
        <v>0</v>
      </c>
      <c r="S638" s="10">
        <v>10</v>
      </c>
      <c r="T638" s="10">
        <f t="shared" si="75"/>
        <v>40</v>
      </c>
      <c r="U638" s="22">
        <f>Table46[[#This Row],[NET WT KGS]]-Table46[[#This Row],[Refraction]]</f>
        <v>35074</v>
      </c>
      <c r="V638" s="23">
        <v>505</v>
      </c>
      <c r="W638" s="23">
        <f>Table46[[#This Row],[PRICE]]*Table46[[#This Row],[PAID WT]]</f>
        <v>17712370</v>
      </c>
      <c r="X638" s="24">
        <v>8</v>
      </c>
      <c r="Y638" s="25">
        <v>172</v>
      </c>
      <c r="Z638" s="24">
        <v>44.09</v>
      </c>
      <c r="AA638" s="26"/>
      <c r="AB638" s="10" t="s">
        <v>761</v>
      </c>
      <c r="AC638" s="27" t="s">
        <v>762</v>
      </c>
      <c r="AD638" s="63" t="s">
        <v>708</v>
      </c>
      <c r="AE638" s="18">
        <f>Table46[[#This Row],[MOIS.]]*Table46[[#This Row],[NET WT KGS]]</f>
        <v>280912</v>
      </c>
      <c r="AF638" s="18">
        <f>Table46[[#This Row],[KOR]]*Table46[[#This Row],[NET WT KGS]]</f>
        <v>1548176.26</v>
      </c>
      <c r="AG638">
        <f>Table46[[#This Row],[NET WT KGS]]*Table46[[#This Row],[NUT COUNT]]</f>
        <v>6039608</v>
      </c>
    </row>
    <row r="639" spans="1:33" x14ac:dyDescent="0.35">
      <c r="A639" s="32">
        <f t="shared" si="68"/>
        <v>637</v>
      </c>
      <c r="B639" s="65">
        <v>46128</v>
      </c>
      <c r="C639" s="65">
        <v>46129</v>
      </c>
      <c r="D639" s="10" t="s">
        <v>38</v>
      </c>
      <c r="E639" s="66" t="s">
        <v>39</v>
      </c>
      <c r="F639" s="67" t="s">
        <v>62</v>
      </c>
      <c r="G639" s="66"/>
      <c r="H639" s="66" t="s">
        <v>684</v>
      </c>
      <c r="I639" s="67" t="str">
        <f>VLOOKUP(Table46[[#This Row],[SUPPLIERS NAME]],[1]AGING!X$3:Y$52,2,)</f>
        <v>LBA-021-SAN</v>
      </c>
      <c r="J639" s="66" t="s">
        <v>763</v>
      </c>
      <c r="K639" s="66"/>
      <c r="L639" s="66">
        <v>612</v>
      </c>
      <c r="M639" s="66">
        <f>VLOOKUP(Table46[[#This Row],[REF.]],'[2]RCN INWARD FACTORY YAKRO 2026'!$F$4:$M$257,8,0)</f>
        <v>3198</v>
      </c>
      <c r="N639" s="66">
        <v>426</v>
      </c>
      <c r="O639" s="68">
        <v>37970</v>
      </c>
      <c r="P639" s="93">
        <f>Table46[[#This Row],[GROSS WT KGS]]-Table46[[#This Row],[SACS]]</f>
        <v>37544</v>
      </c>
      <c r="Q639" s="66">
        <v>406</v>
      </c>
      <c r="R639" s="50">
        <v>0</v>
      </c>
      <c r="S639" s="66">
        <v>20</v>
      </c>
      <c r="T639" s="10">
        <f t="shared" si="75"/>
        <v>80</v>
      </c>
      <c r="U639" s="68">
        <f>Table46[[#This Row],[NET WT KGS]]-Table46[[#This Row],[Refraction]]</f>
        <v>37464</v>
      </c>
      <c r="V639" s="69">
        <v>510</v>
      </c>
      <c r="W639" s="69">
        <f>Table46[[#This Row],[PRICE]]*Table46[[#This Row],[PAID WT]]</f>
        <v>19106640</v>
      </c>
      <c r="X639" s="70">
        <v>13</v>
      </c>
      <c r="Y639" s="71">
        <v>157</v>
      </c>
      <c r="Z639" s="70">
        <v>42.94</v>
      </c>
      <c r="AA639" s="72"/>
      <c r="AB639" s="66" t="s">
        <v>40</v>
      </c>
      <c r="AC639" s="73" t="s">
        <v>762</v>
      </c>
      <c r="AD639" s="63" t="s">
        <v>708</v>
      </c>
      <c r="AE639" s="18">
        <f>Table46[[#This Row],[MOIS.]]*Table46[[#This Row],[NET WT KGS]]</f>
        <v>488072</v>
      </c>
      <c r="AF639" s="18">
        <f>Table46[[#This Row],[KOR]]*Table46[[#This Row],[NET WT KGS]]</f>
        <v>1612139.3599999999</v>
      </c>
      <c r="AG639">
        <f>Table46[[#This Row],[NET WT KGS]]*Table46[[#This Row],[NUT COUNT]]</f>
        <v>5894408</v>
      </c>
    </row>
    <row r="640" spans="1:33" x14ac:dyDescent="0.35">
      <c r="A640" s="32">
        <f t="shared" si="68"/>
        <v>638</v>
      </c>
      <c r="B640" s="65">
        <v>46128</v>
      </c>
      <c r="C640" s="65">
        <v>46129</v>
      </c>
      <c r="D640" s="10" t="s">
        <v>38</v>
      </c>
      <c r="E640" s="66" t="s">
        <v>39</v>
      </c>
      <c r="F640" s="67" t="s">
        <v>62</v>
      </c>
      <c r="G640" s="66"/>
      <c r="H640" s="116" t="s">
        <v>128</v>
      </c>
      <c r="I640" s="67" t="str">
        <f>VLOOKUP(Table46[[#This Row],[SUPPLIERS NAME]],[1]AGING!X$3:Y$52,2,)</f>
        <v>LBA-002-SCA</v>
      </c>
      <c r="J640" s="66" t="s">
        <v>764</v>
      </c>
      <c r="K640" s="33" t="s">
        <v>131</v>
      </c>
      <c r="L640" s="66">
        <v>610</v>
      </c>
      <c r="M640" s="10">
        <v>78866</v>
      </c>
      <c r="N640" s="66">
        <v>560</v>
      </c>
      <c r="O640" s="68">
        <v>46840</v>
      </c>
      <c r="P640" s="93">
        <f>Table46[[#This Row],[GROSS WT KGS]]-Table46[[#This Row],[SACS]]</f>
        <v>46280</v>
      </c>
      <c r="Q640" s="66">
        <v>540</v>
      </c>
      <c r="R640" s="50">
        <v>0</v>
      </c>
      <c r="S640" s="66">
        <v>20</v>
      </c>
      <c r="T640" s="10">
        <f t="shared" si="75"/>
        <v>80</v>
      </c>
      <c r="U640" s="68">
        <f>Table46[[#This Row],[NET WT KGS]]-Table46[[#This Row],[Refraction]]</f>
        <v>46200</v>
      </c>
      <c r="V640" s="69">
        <v>515</v>
      </c>
      <c r="W640" s="69">
        <f>Table46[[#This Row],[PRICE]]*Table46[[#This Row],[PAID WT]]</f>
        <v>23793000</v>
      </c>
      <c r="X640" s="70">
        <v>10.8</v>
      </c>
      <c r="Y640" s="71">
        <v>174</v>
      </c>
      <c r="Z640" s="70">
        <v>44.18</v>
      </c>
      <c r="AA640" s="72"/>
      <c r="AB640" s="66" t="s">
        <v>132</v>
      </c>
      <c r="AC640" s="73"/>
      <c r="AD640" s="63" t="s">
        <v>708</v>
      </c>
      <c r="AE640" s="18">
        <f>Table46[[#This Row],[MOIS.]]*Table46[[#This Row],[NET WT KGS]]</f>
        <v>499824.00000000006</v>
      </c>
      <c r="AF640" s="18">
        <f>Table46[[#This Row],[KOR]]*Table46[[#This Row],[NET WT KGS]]</f>
        <v>2044650.4</v>
      </c>
      <c r="AG640">
        <f>Table46[[#This Row],[NET WT KGS]]*Table46[[#This Row],[NUT COUNT]]</f>
        <v>8052720</v>
      </c>
    </row>
    <row r="641" spans="1:33" x14ac:dyDescent="0.35">
      <c r="A641" s="32">
        <f t="shared" si="68"/>
        <v>639</v>
      </c>
      <c r="B641" s="65">
        <v>46128</v>
      </c>
      <c r="C641" s="65">
        <v>46129</v>
      </c>
      <c r="D641" s="10" t="s">
        <v>38</v>
      </c>
      <c r="E641" s="66" t="s">
        <v>39</v>
      </c>
      <c r="F641" s="67" t="s">
        <v>62</v>
      </c>
      <c r="G641" s="66"/>
      <c r="H641" s="116" t="s">
        <v>128</v>
      </c>
      <c r="I641" s="67" t="str">
        <f>VLOOKUP(Table46[[#This Row],[SUPPLIERS NAME]],[1]AGING!X$3:Y$52,2,)</f>
        <v>LBA-002-SCA</v>
      </c>
      <c r="J641" s="66" t="s">
        <v>765</v>
      </c>
      <c r="K641" s="33" t="s">
        <v>131</v>
      </c>
      <c r="L641" s="66">
        <v>613</v>
      </c>
      <c r="M641" s="10">
        <v>78872</v>
      </c>
      <c r="N641" s="66">
        <v>583</v>
      </c>
      <c r="O641" s="68">
        <v>51800</v>
      </c>
      <c r="P641" s="93">
        <f>Table46[[#This Row],[GROSS WT KGS]]-Table46[[#This Row],[SACS]]</f>
        <v>51217</v>
      </c>
      <c r="Q641" s="66">
        <v>558</v>
      </c>
      <c r="R641" s="50">
        <v>0</v>
      </c>
      <c r="S641" s="66">
        <v>25</v>
      </c>
      <c r="T641" s="10">
        <f t="shared" si="75"/>
        <v>100</v>
      </c>
      <c r="U641" s="68">
        <f>Table46[[#This Row],[NET WT KGS]]-Table46[[#This Row],[Refraction]]</f>
        <v>51117</v>
      </c>
      <c r="V641" s="69">
        <v>515</v>
      </c>
      <c r="W641" s="69">
        <f>Table46[[#This Row],[PRICE]]*Table46[[#This Row],[PAID WT]]</f>
        <v>26325255</v>
      </c>
      <c r="X641" s="70">
        <v>10.1</v>
      </c>
      <c r="Y641" s="71">
        <v>175</v>
      </c>
      <c r="Z641" s="70">
        <v>44.18</v>
      </c>
      <c r="AA641" s="72"/>
      <c r="AB641" s="66" t="s">
        <v>132</v>
      </c>
      <c r="AC641" s="73"/>
      <c r="AD641" s="63" t="s">
        <v>708</v>
      </c>
      <c r="AE641" s="18">
        <f>Table46[[#This Row],[MOIS.]]*Table46[[#This Row],[NET WT KGS]]</f>
        <v>517291.69999999995</v>
      </c>
      <c r="AF641" s="18">
        <f>Table46[[#This Row],[KOR]]*Table46[[#This Row],[NET WT KGS]]</f>
        <v>2262767.06</v>
      </c>
      <c r="AG641">
        <f>Table46[[#This Row],[NET WT KGS]]*Table46[[#This Row],[NUT COUNT]]</f>
        <v>8962975</v>
      </c>
    </row>
    <row r="642" spans="1:33" x14ac:dyDescent="0.35">
      <c r="A642" s="32">
        <f t="shared" si="68"/>
        <v>640</v>
      </c>
      <c r="B642" s="65">
        <v>46128</v>
      </c>
      <c r="C642" s="65">
        <v>46129</v>
      </c>
      <c r="D642" s="10" t="s">
        <v>38</v>
      </c>
      <c r="E642" s="66" t="s">
        <v>39</v>
      </c>
      <c r="F642" s="67" t="s">
        <v>62</v>
      </c>
      <c r="G642" s="66"/>
      <c r="H642" s="116" t="s">
        <v>128</v>
      </c>
      <c r="I642" s="67" t="str">
        <f>VLOOKUP(Table46[[#This Row],[SUPPLIERS NAME]],[1]AGING!X$3:Y$52,2,)</f>
        <v>LBA-002-SCA</v>
      </c>
      <c r="J642" s="66" t="s">
        <v>382</v>
      </c>
      <c r="K642" s="33" t="s">
        <v>131</v>
      </c>
      <c r="L642" s="66">
        <v>614</v>
      </c>
      <c r="M642" s="10">
        <v>78876</v>
      </c>
      <c r="N642" s="66">
        <v>532</v>
      </c>
      <c r="O642" s="68">
        <v>41120</v>
      </c>
      <c r="P642" s="93">
        <f>Table46[[#This Row],[GROSS WT KGS]]-Table46[[#This Row],[SACS]]</f>
        <v>40588</v>
      </c>
      <c r="Q642" s="66">
        <v>512</v>
      </c>
      <c r="R642" s="50">
        <v>0</v>
      </c>
      <c r="S642" s="66">
        <v>20</v>
      </c>
      <c r="T642" s="10">
        <f t="shared" si="75"/>
        <v>80</v>
      </c>
      <c r="U642" s="68">
        <f>Table46[[#This Row],[NET WT KGS]]-Table46[[#This Row],[Refraction]]</f>
        <v>40508</v>
      </c>
      <c r="V642" s="69">
        <v>515</v>
      </c>
      <c r="W642" s="69">
        <f>Table46[[#This Row],[PRICE]]*Table46[[#This Row],[PAID WT]]</f>
        <v>20861620</v>
      </c>
      <c r="X642" s="70">
        <v>10.3</v>
      </c>
      <c r="Y642" s="71">
        <v>183</v>
      </c>
      <c r="Z642" s="70">
        <v>44.35</v>
      </c>
      <c r="AA642" s="72"/>
      <c r="AB642" s="66" t="s">
        <v>132</v>
      </c>
      <c r="AC642" s="73"/>
      <c r="AD642" s="63" t="s">
        <v>708</v>
      </c>
      <c r="AE642" s="18">
        <f>Table46[[#This Row],[MOIS.]]*Table46[[#This Row],[NET WT KGS]]</f>
        <v>418056.4</v>
      </c>
      <c r="AF642" s="18">
        <f>Table46[[#This Row],[KOR]]*Table46[[#This Row],[NET WT KGS]]</f>
        <v>1800077.8</v>
      </c>
      <c r="AG642">
        <f>Table46[[#This Row],[NET WT KGS]]*Table46[[#This Row],[NUT COUNT]]</f>
        <v>7427604</v>
      </c>
    </row>
    <row r="643" spans="1:33" x14ac:dyDescent="0.35">
      <c r="A643" s="32">
        <f t="shared" si="68"/>
        <v>641</v>
      </c>
      <c r="B643" s="65">
        <v>46129</v>
      </c>
      <c r="C643" s="20">
        <v>46129</v>
      </c>
      <c r="D643" s="10" t="s">
        <v>38</v>
      </c>
      <c r="E643" s="10" t="s">
        <v>258</v>
      </c>
      <c r="F643" s="67" t="s">
        <v>62</v>
      </c>
      <c r="G643" s="10"/>
      <c r="H643" s="10" t="s">
        <v>724</v>
      </c>
      <c r="I643" s="67" t="str">
        <f>VLOOKUP(Table46[[#This Row],[SUPPLIERS NAME]],[1]AGING!X$3:Y$80,2,)</f>
        <v>DIS-029-CPA</v>
      </c>
      <c r="J643" s="10" t="s">
        <v>766</v>
      </c>
      <c r="K643" s="21" t="s">
        <v>726</v>
      </c>
      <c r="L643" s="10">
        <v>615</v>
      </c>
      <c r="M643" s="10">
        <v>30274</v>
      </c>
      <c r="N643" s="10">
        <v>694</v>
      </c>
      <c r="O643" s="22">
        <v>55700</v>
      </c>
      <c r="P643" s="51">
        <f>Table46[[#This Row],[GROSS WT KGS]]-Table46[[#This Row],[SACS]]</f>
        <v>55006</v>
      </c>
      <c r="Q643" s="10">
        <v>674</v>
      </c>
      <c r="R643" s="50">
        <v>0</v>
      </c>
      <c r="S643" s="10">
        <v>20</v>
      </c>
      <c r="T643" s="10">
        <f t="shared" si="75"/>
        <v>80</v>
      </c>
      <c r="U643" s="119">
        <f>Table46[[#This Row],[NET WT KGS]]-Table46[[#This Row],[Refraction]]</f>
        <v>54926</v>
      </c>
      <c r="V643" s="23">
        <v>510</v>
      </c>
      <c r="W643" s="23">
        <f>Table46[[#This Row],[PRICE]]*Table46[[#This Row],[PAID WT]]</f>
        <v>28012260</v>
      </c>
      <c r="X643" s="24">
        <v>10.199999999999999</v>
      </c>
      <c r="Y643" s="25">
        <v>185</v>
      </c>
      <c r="Z643" s="24">
        <v>42.59</v>
      </c>
      <c r="AA643" s="26"/>
      <c r="AB643" s="10" t="s">
        <v>132</v>
      </c>
      <c r="AC643" s="27"/>
      <c r="AD643" s="63" t="s">
        <v>708</v>
      </c>
      <c r="AE643" s="18">
        <f>Table46[[#This Row],[MOIS.]]*Table46[[#This Row],[NET WT KGS]]</f>
        <v>561061.19999999995</v>
      </c>
      <c r="AF643" s="18">
        <f>Table46[[#This Row],[KOR]]*Table46[[#This Row],[NET WT KGS]]</f>
        <v>2342705.54</v>
      </c>
      <c r="AG643">
        <f>Table46[[#This Row],[NET WT KGS]]*Table46[[#This Row],[NUT COUNT]]</f>
        <v>10176110</v>
      </c>
    </row>
    <row r="644" spans="1:33" x14ac:dyDescent="0.35">
      <c r="A644" s="32">
        <f t="shared" ref="A644:A707" si="76">A643+1</f>
        <v>642</v>
      </c>
      <c r="B644" s="65">
        <v>46129</v>
      </c>
      <c r="C644" s="65">
        <v>46129</v>
      </c>
      <c r="D644" s="10" t="s">
        <v>38</v>
      </c>
      <c r="E644" s="66" t="s">
        <v>258</v>
      </c>
      <c r="F644" s="67" t="s">
        <v>62</v>
      </c>
      <c r="G644" s="66"/>
      <c r="H644" s="66" t="s">
        <v>603</v>
      </c>
      <c r="I644" s="67" t="str">
        <f>VLOOKUP(Table46[[#This Row],[SUPPLIERS NAME]],[1]AGING!X$3:Y$80,2,)</f>
        <v>DIS-023-ICF</v>
      </c>
      <c r="J644" s="66" t="s">
        <v>653</v>
      </c>
      <c r="K644" s="107" t="s">
        <v>605</v>
      </c>
      <c r="L644" s="66">
        <v>616</v>
      </c>
      <c r="M644" s="10">
        <v>87146</v>
      </c>
      <c r="N644" s="66">
        <v>430</v>
      </c>
      <c r="O644" s="68">
        <v>34010</v>
      </c>
      <c r="P644" s="93">
        <f>Table46[[#This Row],[GROSS WT KGS]]-Table46[[#This Row],[SACS]]</f>
        <v>33580</v>
      </c>
      <c r="Q644" s="66">
        <v>408</v>
      </c>
      <c r="R644" s="50">
        <v>0</v>
      </c>
      <c r="S644" s="66">
        <v>22</v>
      </c>
      <c r="T644" s="10">
        <f t="shared" si="75"/>
        <v>88</v>
      </c>
      <c r="U644" s="68">
        <f>Table46[[#This Row],[NET WT KGS]]-Table46[[#This Row],[Refraction]]</f>
        <v>33492</v>
      </c>
      <c r="V644" s="69">
        <v>510</v>
      </c>
      <c r="W644" s="69">
        <f>Table46[[#This Row],[PRICE]]*Table46[[#This Row],[PAID WT]]</f>
        <v>17080920</v>
      </c>
      <c r="X644" s="70">
        <v>10.4</v>
      </c>
      <c r="Y644" s="71">
        <v>170</v>
      </c>
      <c r="Z644" s="70">
        <v>42.32</v>
      </c>
      <c r="AA644" s="72"/>
      <c r="AB644" s="10" t="s">
        <v>606</v>
      </c>
      <c r="AC644" s="73"/>
      <c r="AD644" s="63" t="s">
        <v>708</v>
      </c>
      <c r="AE644" s="18">
        <f>Table46[[#This Row],[MOIS.]]*Table46[[#This Row],[NET WT KGS]]</f>
        <v>349232</v>
      </c>
      <c r="AF644" s="18">
        <f>Table46[[#This Row],[KOR]]*Table46[[#This Row],[NET WT KGS]]</f>
        <v>1421105.6</v>
      </c>
      <c r="AG644">
        <f>Table46[[#This Row],[NET WT KGS]]*Table46[[#This Row],[NUT COUNT]]</f>
        <v>5708600</v>
      </c>
    </row>
    <row r="645" spans="1:33" x14ac:dyDescent="0.35">
      <c r="A645" s="32">
        <f t="shared" si="76"/>
        <v>643</v>
      </c>
      <c r="B645" s="91">
        <v>46129</v>
      </c>
      <c r="C645" s="91">
        <f>Table46[[#This Row],[DATE OF ARRIVAL]]</f>
        <v>46129</v>
      </c>
      <c r="D645" s="36"/>
      <c r="E645" s="74"/>
      <c r="F645" s="74" t="s">
        <v>40</v>
      </c>
      <c r="G645" s="74"/>
      <c r="H645" s="74" t="s">
        <v>404</v>
      </c>
      <c r="I645" s="74" t="s">
        <v>225</v>
      </c>
      <c r="J645" s="74" t="s">
        <v>767</v>
      </c>
      <c r="K645" s="74"/>
      <c r="L645" s="74"/>
      <c r="M645" s="74"/>
      <c r="N645" s="74"/>
      <c r="O645" s="79">
        <f t="shared" ref="O645:O659" si="77">P645+N645</f>
        <v>0</v>
      </c>
      <c r="P645" s="79"/>
      <c r="Q645" s="74"/>
      <c r="R645" s="86"/>
      <c r="S645" s="74"/>
      <c r="T645" s="36"/>
      <c r="U645" s="79">
        <f>Table46[[#This Row],[NET WT KGS]]-Table46[[#This Row],[Refraction]]</f>
        <v>0</v>
      </c>
      <c r="V645" s="81"/>
      <c r="W645" s="81">
        <f>Table46[[#This Row],[PRICE]]*Table46[[#This Row],[PAID WT]]</f>
        <v>0</v>
      </c>
      <c r="X645" s="82">
        <v>11.2</v>
      </c>
      <c r="Y645" s="83">
        <v>158</v>
      </c>
      <c r="Z645" s="82">
        <v>38.801400000000001</v>
      </c>
      <c r="AA645" s="84"/>
      <c r="AB645" s="74" t="s">
        <v>40</v>
      </c>
      <c r="AC645" s="92" t="s">
        <v>70</v>
      </c>
      <c r="AD645" s="28"/>
      <c r="AE645" s="18">
        <f>Table46[[#This Row],[MOIS.]]*Table46[[#This Row],[NET WT KGS]]</f>
        <v>0</v>
      </c>
      <c r="AF645" s="18">
        <f>Table46[[#This Row],[KOR]]*Table46[[#This Row],[NET WT KGS]]</f>
        <v>0</v>
      </c>
      <c r="AG645">
        <f>Table46[[#This Row],[NET WT KGS]]*Table46[[#This Row],[NUT COUNT]]</f>
        <v>0</v>
      </c>
    </row>
    <row r="646" spans="1:33" x14ac:dyDescent="0.35">
      <c r="A646" s="32">
        <f t="shared" si="76"/>
        <v>644</v>
      </c>
      <c r="B646" s="91">
        <v>46129</v>
      </c>
      <c r="C646" s="91">
        <f>Table46[[#This Row],[DATE OF ARRIVAL]]</f>
        <v>46129</v>
      </c>
      <c r="D646" s="36"/>
      <c r="E646" s="74"/>
      <c r="F646" s="74" t="s">
        <v>40</v>
      </c>
      <c r="G646" s="74"/>
      <c r="H646" s="74" t="s">
        <v>74</v>
      </c>
      <c r="I646" s="74" t="s">
        <v>75</v>
      </c>
      <c r="J646" s="74" t="s">
        <v>628</v>
      </c>
      <c r="K646" s="74"/>
      <c r="L646" s="74"/>
      <c r="M646" s="74"/>
      <c r="N646" s="74"/>
      <c r="O646" s="79">
        <f t="shared" si="77"/>
        <v>0</v>
      </c>
      <c r="P646" s="79"/>
      <c r="Q646" s="74"/>
      <c r="R646" s="86"/>
      <c r="S646" s="74"/>
      <c r="T646" s="36"/>
      <c r="U646" s="79">
        <f>Table46[[#This Row],[NET WT KGS]]-Table46[[#This Row],[Refraction]]</f>
        <v>0</v>
      </c>
      <c r="V646" s="81"/>
      <c r="W646" s="81">
        <f>Table46[[#This Row],[PRICE]]*Table46[[#This Row],[PAID WT]]</f>
        <v>0</v>
      </c>
      <c r="X646" s="82">
        <v>10.8</v>
      </c>
      <c r="Y646" s="83">
        <v>176</v>
      </c>
      <c r="Z646" s="82">
        <v>40.565100000000001</v>
      </c>
      <c r="AA646" s="84"/>
      <c r="AB646" s="74" t="s">
        <v>78</v>
      </c>
      <c r="AC646" s="92" t="s">
        <v>70</v>
      </c>
      <c r="AD646" s="28"/>
      <c r="AE646" s="18">
        <f>Table46[[#This Row],[MOIS.]]*Table46[[#This Row],[NET WT KGS]]</f>
        <v>0</v>
      </c>
      <c r="AF646" s="18">
        <f>Table46[[#This Row],[KOR]]*Table46[[#This Row],[NET WT KGS]]</f>
        <v>0</v>
      </c>
      <c r="AG646">
        <f>Table46[[#This Row],[NET WT KGS]]*Table46[[#This Row],[NUT COUNT]]</f>
        <v>0</v>
      </c>
    </row>
    <row r="647" spans="1:33" x14ac:dyDescent="0.35">
      <c r="A647" s="32">
        <f t="shared" si="76"/>
        <v>645</v>
      </c>
      <c r="B647" s="91">
        <v>46129</v>
      </c>
      <c r="C647" s="91">
        <f>Table46[[#This Row],[DATE OF ARRIVAL]]</f>
        <v>46129</v>
      </c>
      <c r="D647" s="36"/>
      <c r="E647" s="74"/>
      <c r="F647" s="74" t="s">
        <v>40</v>
      </c>
      <c r="G647" s="74"/>
      <c r="H647" s="74" t="s">
        <v>154</v>
      </c>
      <c r="I647" s="74" t="s">
        <v>155</v>
      </c>
      <c r="J647" s="74" t="s">
        <v>666</v>
      </c>
      <c r="K647" s="74"/>
      <c r="L647" s="74"/>
      <c r="M647" s="74"/>
      <c r="N647" s="74"/>
      <c r="O647" s="79">
        <f t="shared" si="77"/>
        <v>0</v>
      </c>
      <c r="P647" s="79"/>
      <c r="Q647" s="74"/>
      <c r="R647" s="86"/>
      <c r="S647" s="74"/>
      <c r="T647" s="36"/>
      <c r="U647" s="79">
        <f>Table46[[#This Row],[NET WT KGS]]-Table46[[#This Row],[Refraction]]</f>
        <v>0</v>
      </c>
      <c r="V647" s="81"/>
      <c r="W647" s="81">
        <f>Table46[[#This Row],[PRICE]]*Table46[[#This Row],[PAID WT]]</f>
        <v>0</v>
      </c>
      <c r="X647" s="82">
        <v>15.1</v>
      </c>
      <c r="Y647" s="83">
        <v>154</v>
      </c>
      <c r="Z647" s="82">
        <v>39.683250000000001</v>
      </c>
      <c r="AA647" s="84"/>
      <c r="AB647" s="74" t="s">
        <v>58</v>
      </c>
      <c r="AC647" s="92" t="s">
        <v>70</v>
      </c>
      <c r="AD647" s="28"/>
      <c r="AE647" s="18">
        <f>Table46[[#This Row],[MOIS.]]*Table46[[#This Row],[NET WT KGS]]</f>
        <v>0</v>
      </c>
      <c r="AF647" s="18">
        <f>Table46[[#This Row],[KOR]]*Table46[[#This Row],[NET WT KGS]]</f>
        <v>0</v>
      </c>
      <c r="AG647">
        <f>Table46[[#This Row],[NET WT KGS]]*Table46[[#This Row],[NUT COUNT]]</f>
        <v>0</v>
      </c>
    </row>
    <row r="648" spans="1:33" x14ac:dyDescent="0.35">
      <c r="A648" s="32">
        <f t="shared" si="76"/>
        <v>646</v>
      </c>
      <c r="B648" s="91">
        <v>46129</v>
      </c>
      <c r="C648" s="91">
        <f>Table46[[#This Row],[DATE OF ARRIVAL]]</f>
        <v>46129</v>
      </c>
      <c r="D648" s="36"/>
      <c r="E648" s="74"/>
      <c r="F648" s="74" t="s">
        <v>40</v>
      </c>
      <c r="G648" s="74"/>
      <c r="H648" s="74" t="s">
        <v>399</v>
      </c>
      <c r="I648" s="74" t="s">
        <v>200</v>
      </c>
      <c r="J648" s="74" t="s">
        <v>768</v>
      </c>
      <c r="K648" s="74"/>
      <c r="L648" s="74"/>
      <c r="M648" s="74"/>
      <c r="N648" s="74"/>
      <c r="O648" s="79">
        <f t="shared" si="77"/>
        <v>0</v>
      </c>
      <c r="P648" s="37"/>
      <c r="Q648" s="74"/>
      <c r="R648" s="86"/>
      <c r="S648" s="74"/>
      <c r="T648" s="36"/>
      <c r="U648" s="79">
        <f>Table46[[#This Row],[NET WT KGS]]-Table46[[#This Row],[Refraction]]</f>
        <v>0</v>
      </c>
      <c r="V648" s="81"/>
      <c r="W648" s="81">
        <f>Table46[[#This Row],[PRICE]]*Table46[[#This Row],[PAID WT]]</f>
        <v>0</v>
      </c>
      <c r="X648" s="82">
        <v>10.6</v>
      </c>
      <c r="Y648" s="83">
        <v>177</v>
      </c>
      <c r="Z648" s="82">
        <v>40.035989999999998</v>
      </c>
      <c r="AA648" s="84"/>
      <c r="AB648" s="74" t="s">
        <v>308</v>
      </c>
      <c r="AC648" s="92" t="s">
        <v>70</v>
      </c>
      <c r="AD648" s="28"/>
      <c r="AE648" s="18">
        <f>Table46[[#This Row],[MOIS.]]*Table46[[#This Row],[NET WT KGS]]</f>
        <v>0</v>
      </c>
      <c r="AF648" s="18">
        <f>Table46[[#This Row],[KOR]]*Table46[[#This Row],[NET WT KGS]]</f>
        <v>0</v>
      </c>
      <c r="AG648">
        <f>Table46[[#This Row],[NET WT KGS]]*Table46[[#This Row],[NUT COUNT]]</f>
        <v>0</v>
      </c>
    </row>
    <row r="649" spans="1:33" x14ac:dyDescent="0.35">
      <c r="A649" s="32">
        <f t="shared" si="76"/>
        <v>647</v>
      </c>
      <c r="B649" s="91">
        <v>46129</v>
      </c>
      <c r="C649" s="91">
        <f>Table46[[#This Row],[DATE OF ARRIVAL]]</f>
        <v>46129</v>
      </c>
      <c r="D649" s="36"/>
      <c r="E649" s="74"/>
      <c r="F649" s="74" t="s">
        <v>40</v>
      </c>
      <c r="G649" s="74"/>
      <c r="H649" s="36" t="s">
        <v>123</v>
      </c>
      <c r="I649" s="74" t="s">
        <v>124</v>
      </c>
      <c r="J649" s="36" t="s">
        <v>769</v>
      </c>
      <c r="K649" s="74"/>
      <c r="L649" s="36"/>
      <c r="M649" s="74"/>
      <c r="N649" s="36"/>
      <c r="O649" s="37">
        <f t="shared" si="77"/>
        <v>0</v>
      </c>
      <c r="P649" s="37"/>
      <c r="Q649" s="36"/>
      <c r="R649" s="86"/>
      <c r="S649" s="36"/>
      <c r="T649" s="36"/>
      <c r="U649" s="37">
        <f>Table46[[#This Row],[NET WT KGS]]-Table46[[#This Row],[Refraction]]</f>
        <v>0</v>
      </c>
      <c r="V649" s="81"/>
      <c r="W649" s="38">
        <f>Table46[[#This Row],[PRICE]]*Table46[[#This Row],[PAID WT]]</f>
        <v>0</v>
      </c>
      <c r="X649" s="39">
        <v>9.1</v>
      </c>
      <c r="Y649" s="40">
        <v>176</v>
      </c>
      <c r="Z649" s="39">
        <v>40.212359999999997</v>
      </c>
      <c r="AA649" s="41"/>
      <c r="AB649" s="74" t="s">
        <v>40</v>
      </c>
      <c r="AC649" s="42" t="s">
        <v>70</v>
      </c>
      <c r="AD649" s="28"/>
      <c r="AE649" s="18">
        <f>Table46[[#This Row],[MOIS.]]*Table46[[#This Row],[NET WT KGS]]</f>
        <v>0</v>
      </c>
      <c r="AF649" s="18">
        <f>Table46[[#This Row],[KOR]]*Table46[[#This Row],[NET WT KGS]]</f>
        <v>0</v>
      </c>
      <c r="AG649">
        <f>Table46[[#This Row],[NET WT KGS]]*Table46[[#This Row],[NUT COUNT]]</f>
        <v>0</v>
      </c>
    </row>
    <row r="650" spans="1:33" x14ac:dyDescent="0.35">
      <c r="A650" s="32">
        <f t="shared" si="76"/>
        <v>648</v>
      </c>
      <c r="B650" s="65">
        <v>46128</v>
      </c>
      <c r="C650" s="20">
        <v>46130</v>
      </c>
      <c r="D650" s="10" t="s">
        <v>38</v>
      </c>
      <c r="E650" s="66" t="s">
        <v>39</v>
      </c>
      <c r="F650" s="67" t="s">
        <v>40</v>
      </c>
      <c r="G650" s="66" t="s">
        <v>350</v>
      </c>
      <c r="H650" s="67" t="s">
        <v>105</v>
      </c>
      <c r="I650" s="67" t="str">
        <f>VLOOKUP(Table46[[#This Row],[SUPPLIERS NAME]],[1]AGING!X$3:Y$80,2,)</f>
        <v>LBA-014-BAY</v>
      </c>
      <c r="J650" s="66" t="s">
        <v>770</v>
      </c>
      <c r="K650" s="33" t="s">
        <v>108</v>
      </c>
      <c r="L650" s="66">
        <v>255</v>
      </c>
      <c r="M650" s="10">
        <v>31861</v>
      </c>
      <c r="N650" s="66">
        <v>226</v>
      </c>
      <c r="O650" s="68">
        <f t="shared" si="77"/>
        <v>19500</v>
      </c>
      <c r="P650" s="22">
        <v>19274</v>
      </c>
      <c r="Q650" s="66">
        <v>204</v>
      </c>
      <c r="R650" s="50">
        <v>0</v>
      </c>
      <c r="S650" s="66">
        <v>22</v>
      </c>
      <c r="T650" s="10">
        <f t="shared" ref="T650:T663" si="78">S650*4+R650*8</f>
        <v>88</v>
      </c>
      <c r="U650" s="68">
        <f>Table46[[#This Row],[NET WT KGS]]-Table46[[#This Row],[Refraction]]</f>
        <v>19186</v>
      </c>
      <c r="V650" s="69">
        <v>505</v>
      </c>
      <c r="W650" s="69">
        <f>Table46[[#This Row],[PRICE]]*Table46[[#This Row],[PAID WT]]</f>
        <v>9688930</v>
      </c>
      <c r="X650" s="70">
        <v>10.5</v>
      </c>
      <c r="Y650" s="71">
        <v>165</v>
      </c>
      <c r="Z650" s="70">
        <v>42.68</v>
      </c>
      <c r="AA650" s="72"/>
      <c r="AB650" s="10" t="s">
        <v>299</v>
      </c>
      <c r="AC650" s="27"/>
      <c r="AD650" s="63" t="s">
        <v>708</v>
      </c>
      <c r="AE650" s="18">
        <f>Table46[[#This Row],[MOIS.]]*Table46[[#This Row],[NET WT KGS]]</f>
        <v>202377</v>
      </c>
      <c r="AF650" s="18">
        <f>Table46[[#This Row],[KOR]]*Table46[[#This Row],[NET WT KGS]]</f>
        <v>822614.32</v>
      </c>
      <c r="AG650">
        <f>Table46[[#This Row],[NET WT KGS]]*Table46[[#This Row],[NUT COUNT]]</f>
        <v>3180210</v>
      </c>
    </row>
    <row r="651" spans="1:33" x14ac:dyDescent="0.35">
      <c r="A651" s="32">
        <f t="shared" si="76"/>
        <v>649</v>
      </c>
      <c r="B651" s="65">
        <v>46129</v>
      </c>
      <c r="C651" s="20">
        <v>46130</v>
      </c>
      <c r="D651" s="10" t="s">
        <v>38</v>
      </c>
      <c r="E651" s="66" t="s">
        <v>39</v>
      </c>
      <c r="F651" s="67" t="s">
        <v>40</v>
      </c>
      <c r="G651" s="66" t="s">
        <v>350</v>
      </c>
      <c r="H651" s="66" t="s">
        <v>154</v>
      </c>
      <c r="I651" s="67" t="str">
        <f>VLOOKUP(Table46[[#This Row],[SUPPLIERS NAME]],[1]AGING!X$3:Y$80,2,)</f>
        <v>LBA-010-CAP</v>
      </c>
      <c r="J651" s="66" t="s">
        <v>771</v>
      </c>
      <c r="K651" s="33" t="s">
        <v>157</v>
      </c>
      <c r="L651" s="66">
        <v>253</v>
      </c>
      <c r="M651" s="10">
        <v>82768</v>
      </c>
      <c r="N651" s="66">
        <v>527</v>
      </c>
      <c r="O651" s="68">
        <f t="shared" si="77"/>
        <v>47180</v>
      </c>
      <c r="P651" s="22">
        <v>46653</v>
      </c>
      <c r="Q651" s="66">
        <v>497</v>
      </c>
      <c r="R651" s="50">
        <v>30</v>
      </c>
      <c r="S651" s="66">
        <v>0</v>
      </c>
      <c r="T651" s="10">
        <f t="shared" si="78"/>
        <v>240</v>
      </c>
      <c r="U651" s="68">
        <f>Table46[[#This Row],[NET WT KGS]]-Table46[[#This Row],[Refraction]]</f>
        <v>46413</v>
      </c>
      <c r="V651" s="69">
        <v>495</v>
      </c>
      <c r="W651" s="69">
        <f>Table46[[#This Row],[PRICE]]*Table46[[#This Row],[PAID WT]]</f>
        <v>22974435</v>
      </c>
      <c r="X651" s="70">
        <v>11.5</v>
      </c>
      <c r="Y651" s="71">
        <v>158</v>
      </c>
      <c r="Z651" s="70">
        <v>41.09</v>
      </c>
      <c r="AA651" s="72"/>
      <c r="AB651" s="66" t="s">
        <v>284</v>
      </c>
      <c r="AC651" s="27"/>
      <c r="AD651" s="63" t="s">
        <v>708</v>
      </c>
      <c r="AE651" s="18">
        <f>Table46[[#This Row],[MOIS.]]*Table46[[#This Row],[NET WT KGS]]</f>
        <v>536509.5</v>
      </c>
      <c r="AF651" s="18">
        <f>Table46[[#This Row],[KOR]]*Table46[[#This Row],[NET WT KGS]]</f>
        <v>1916971.7700000003</v>
      </c>
      <c r="AG651">
        <f>Table46[[#This Row],[NET WT KGS]]*Table46[[#This Row],[NUT COUNT]]</f>
        <v>7371174</v>
      </c>
    </row>
    <row r="652" spans="1:33" x14ac:dyDescent="0.35">
      <c r="A652" s="32">
        <f t="shared" si="76"/>
        <v>650</v>
      </c>
      <c r="B652" s="65">
        <v>46129</v>
      </c>
      <c r="C652" s="20">
        <v>46130</v>
      </c>
      <c r="D652" s="66" t="s">
        <v>38</v>
      </c>
      <c r="E652" s="66" t="s">
        <v>39</v>
      </c>
      <c r="F652" s="67" t="s">
        <v>40</v>
      </c>
      <c r="G652" s="66" t="s">
        <v>350</v>
      </c>
      <c r="H652" s="66" t="s">
        <v>338</v>
      </c>
      <c r="I652" s="67" t="str">
        <f>VLOOKUP(Table46[[#This Row],[SUPPLIERS NAME]],[1]AGING!X$3:Y$80,2,)</f>
        <v>LBA-018-COP</v>
      </c>
      <c r="J652" s="66" t="s">
        <v>365</v>
      </c>
      <c r="K652" s="57" t="s">
        <v>340</v>
      </c>
      <c r="L652" s="66">
        <v>251</v>
      </c>
      <c r="M652" s="10">
        <v>19870</v>
      </c>
      <c r="N652" s="66">
        <v>444</v>
      </c>
      <c r="O652" s="68">
        <f t="shared" si="77"/>
        <v>39180</v>
      </c>
      <c r="P652" s="68">
        <v>38736</v>
      </c>
      <c r="Q652" s="66">
        <v>419</v>
      </c>
      <c r="R652" s="50">
        <v>25</v>
      </c>
      <c r="S652" s="66">
        <v>0</v>
      </c>
      <c r="T652" s="10">
        <f t="shared" si="78"/>
        <v>200</v>
      </c>
      <c r="U652" s="68">
        <f>Table46[[#This Row],[NET WT KGS]]-Table46[[#This Row],[Refraction]]</f>
        <v>38536</v>
      </c>
      <c r="V652" s="69">
        <v>510</v>
      </c>
      <c r="W652" s="69">
        <f>Table46[[#This Row],[PRICE]]*Table46[[#This Row],[PAID WT]]</f>
        <v>19653360</v>
      </c>
      <c r="X652" s="70">
        <v>11.1</v>
      </c>
      <c r="Y652" s="71">
        <v>164</v>
      </c>
      <c r="Z652" s="70">
        <v>42.68</v>
      </c>
      <c r="AA652" s="72"/>
      <c r="AB652" s="66" t="s">
        <v>284</v>
      </c>
      <c r="AC652" s="27"/>
      <c r="AD652" s="63" t="s">
        <v>708</v>
      </c>
      <c r="AE652" s="18">
        <f>Table46[[#This Row],[MOIS.]]*Table46[[#This Row],[NET WT KGS]]</f>
        <v>429969.6</v>
      </c>
      <c r="AF652" s="18">
        <f>Table46[[#This Row],[KOR]]*Table46[[#This Row],[NET WT KGS]]</f>
        <v>1653252.48</v>
      </c>
      <c r="AG652">
        <f>Table46[[#This Row],[NET WT KGS]]*Table46[[#This Row],[NUT COUNT]]</f>
        <v>6352704</v>
      </c>
    </row>
    <row r="653" spans="1:33" x14ac:dyDescent="0.35">
      <c r="A653" s="32">
        <f t="shared" si="76"/>
        <v>651</v>
      </c>
      <c r="B653" s="65">
        <v>46129</v>
      </c>
      <c r="C653" s="20">
        <v>46130</v>
      </c>
      <c r="D653" s="66" t="s">
        <v>38</v>
      </c>
      <c r="E653" s="66" t="s">
        <v>39</v>
      </c>
      <c r="F653" s="67" t="s">
        <v>40</v>
      </c>
      <c r="G653" s="66" t="s">
        <v>350</v>
      </c>
      <c r="H653" s="67" t="s">
        <v>123</v>
      </c>
      <c r="I653" s="67" t="str">
        <f>VLOOKUP(Table46[[#This Row],[SUPPLIERS NAME]],[1]AGING!X$3:Y$80,2,)</f>
        <v>LBA-011-ASR</v>
      </c>
      <c r="J653" s="66" t="s">
        <v>221</v>
      </c>
      <c r="K653" s="21" t="s">
        <v>161</v>
      </c>
      <c r="L653" s="66">
        <v>257</v>
      </c>
      <c r="M653" s="10">
        <v>33499</v>
      </c>
      <c r="N653" s="66">
        <v>645</v>
      </c>
      <c r="O653" s="68">
        <f t="shared" si="77"/>
        <v>53680</v>
      </c>
      <c r="P653" s="68">
        <v>53035</v>
      </c>
      <c r="Q653" s="66">
        <v>629</v>
      </c>
      <c r="R653" s="50">
        <v>0</v>
      </c>
      <c r="S653" s="66">
        <v>16</v>
      </c>
      <c r="T653" s="10">
        <f t="shared" si="78"/>
        <v>64</v>
      </c>
      <c r="U653" s="68">
        <f>Table46[[#This Row],[NET WT KGS]]-Table46[[#This Row],[Refraction]]</f>
        <v>52971</v>
      </c>
      <c r="V653" s="69">
        <v>510</v>
      </c>
      <c r="W653" s="69">
        <f>Table46[[#This Row],[PRICE]]*Table46[[#This Row],[PAID WT]]</f>
        <v>27015210</v>
      </c>
      <c r="X653" s="70">
        <v>9.6</v>
      </c>
      <c r="Y653" s="71">
        <v>166</v>
      </c>
      <c r="Z653" s="70">
        <v>42.32</v>
      </c>
      <c r="AA653" s="72"/>
      <c r="AB653" s="66" t="s">
        <v>150</v>
      </c>
      <c r="AC653" s="27"/>
      <c r="AD653" s="63" t="s">
        <v>708</v>
      </c>
      <c r="AE653" s="18">
        <f>Table46[[#This Row],[MOIS.]]*Table46[[#This Row],[NET WT KGS]]</f>
        <v>509136</v>
      </c>
      <c r="AF653" s="18">
        <f>Table46[[#This Row],[KOR]]*Table46[[#This Row],[NET WT KGS]]</f>
        <v>2244441.2000000002</v>
      </c>
      <c r="AG653">
        <f>Table46[[#This Row],[NET WT KGS]]*Table46[[#This Row],[NUT COUNT]]</f>
        <v>8803810</v>
      </c>
    </row>
    <row r="654" spans="1:33" x14ac:dyDescent="0.35">
      <c r="A654" s="32">
        <f t="shared" si="76"/>
        <v>652</v>
      </c>
      <c r="B654" s="65">
        <v>46130</v>
      </c>
      <c r="C654" s="20">
        <v>46130</v>
      </c>
      <c r="D654" s="66" t="s">
        <v>38</v>
      </c>
      <c r="E654" s="66" t="s">
        <v>39</v>
      </c>
      <c r="F654" s="67" t="s">
        <v>40</v>
      </c>
      <c r="G654" s="66" t="s">
        <v>350</v>
      </c>
      <c r="H654" s="66" t="s">
        <v>112</v>
      </c>
      <c r="I654" s="67" t="str">
        <f>VLOOKUP(Table46[[#This Row],[SUPPLIERS NAME]],[1]AGING!X$3:Y$80,2,)</f>
        <v>LBA-015-OUM</v>
      </c>
      <c r="J654" s="66" t="s">
        <v>114</v>
      </c>
      <c r="K654" s="21" t="s">
        <v>115</v>
      </c>
      <c r="L654" s="66">
        <v>253</v>
      </c>
      <c r="M654" s="10">
        <v>34017</v>
      </c>
      <c r="N654" s="66">
        <v>624</v>
      </c>
      <c r="O654" s="68">
        <f t="shared" si="77"/>
        <v>51160</v>
      </c>
      <c r="P654" s="68">
        <v>50536</v>
      </c>
      <c r="Q654" s="66">
        <v>615</v>
      </c>
      <c r="R654" s="50">
        <v>0</v>
      </c>
      <c r="S654" s="66">
        <v>9</v>
      </c>
      <c r="T654" s="10">
        <f t="shared" si="78"/>
        <v>36</v>
      </c>
      <c r="U654" s="68">
        <f>Table46[[#This Row],[NET WT KGS]]-Table46[[#This Row],[Refraction]]</f>
        <v>50500</v>
      </c>
      <c r="V654" s="69">
        <v>505</v>
      </c>
      <c r="W654" s="69">
        <f>Table46[[#This Row],[PRICE]]*Table46[[#This Row],[PAID WT]]</f>
        <v>25502500</v>
      </c>
      <c r="X654" s="70">
        <v>8.9</v>
      </c>
      <c r="Y654" s="71">
        <v>172</v>
      </c>
      <c r="Z654" s="70">
        <v>42.68</v>
      </c>
      <c r="AA654" s="72"/>
      <c r="AB654" s="66" t="s">
        <v>132</v>
      </c>
      <c r="AC654" s="27"/>
      <c r="AD654" s="63" t="s">
        <v>708</v>
      </c>
      <c r="AE654" s="18">
        <f>Table46[[#This Row],[MOIS.]]*Table46[[#This Row],[NET WT KGS]]</f>
        <v>449770.4</v>
      </c>
      <c r="AF654" s="18">
        <f>Table46[[#This Row],[KOR]]*Table46[[#This Row],[NET WT KGS]]</f>
        <v>2156876.48</v>
      </c>
      <c r="AG654">
        <f>Table46[[#This Row],[NET WT KGS]]*Table46[[#This Row],[NUT COUNT]]</f>
        <v>8692192</v>
      </c>
    </row>
    <row r="655" spans="1:33" x14ac:dyDescent="0.35">
      <c r="A655" s="32">
        <f t="shared" si="76"/>
        <v>653</v>
      </c>
      <c r="B655" s="65">
        <v>46130</v>
      </c>
      <c r="C655" s="65">
        <v>46130</v>
      </c>
      <c r="D655" s="66" t="s">
        <v>38</v>
      </c>
      <c r="E655" s="66" t="s">
        <v>258</v>
      </c>
      <c r="F655" s="67" t="s">
        <v>40</v>
      </c>
      <c r="G655" s="66" t="s">
        <v>350</v>
      </c>
      <c r="H655" s="66" t="s">
        <v>335</v>
      </c>
      <c r="I655" s="67" t="str">
        <f>VLOOKUP(Table46[[#This Row],[SUPPLIERS NAME]],[1]AGING!X$3:Y$80,2,)</f>
        <v>DIS-003-DEM</v>
      </c>
      <c r="J655" s="66" t="s">
        <v>772</v>
      </c>
      <c r="K655" s="57" t="s">
        <v>337</v>
      </c>
      <c r="L655" s="66">
        <v>254</v>
      </c>
      <c r="M655" s="10">
        <v>31753</v>
      </c>
      <c r="N655" s="66">
        <v>252</v>
      </c>
      <c r="O655" s="68">
        <f t="shared" si="77"/>
        <v>21880</v>
      </c>
      <c r="P655" s="68">
        <v>21628</v>
      </c>
      <c r="Q655" s="66">
        <v>244</v>
      </c>
      <c r="R655" s="50">
        <v>0</v>
      </c>
      <c r="S655" s="66">
        <v>8</v>
      </c>
      <c r="T655" s="10">
        <f t="shared" si="78"/>
        <v>32</v>
      </c>
      <c r="U655" s="68">
        <f>Table46[[#This Row],[NET WT KGS]]-Table46[[#This Row],[Refraction]]</f>
        <v>21596</v>
      </c>
      <c r="V655" s="69">
        <v>500</v>
      </c>
      <c r="W655" s="69">
        <f>Table46[[#This Row],[PRICE]]*Table46[[#This Row],[PAID WT]]</f>
        <v>10798000</v>
      </c>
      <c r="X655" s="70">
        <v>9.6999999999999993</v>
      </c>
      <c r="Y655" s="71">
        <v>162</v>
      </c>
      <c r="Z655" s="70">
        <v>41.27</v>
      </c>
      <c r="AA655" s="72"/>
      <c r="AB655" s="66" t="s">
        <v>58</v>
      </c>
      <c r="AC655" s="73"/>
      <c r="AD655" s="63" t="s">
        <v>708</v>
      </c>
      <c r="AE655" s="18">
        <f>Table46[[#This Row],[MOIS.]]*Table46[[#This Row],[NET WT KGS]]</f>
        <v>209791.59999999998</v>
      </c>
      <c r="AF655" s="18">
        <f>Table46[[#This Row],[KOR]]*Table46[[#This Row],[NET WT KGS]]</f>
        <v>892587.56</v>
      </c>
      <c r="AG655">
        <f>Table46[[#This Row],[NET WT KGS]]*Table46[[#This Row],[NUT COUNT]]</f>
        <v>3503736</v>
      </c>
    </row>
    <row r="656" spans="1:33" x14ac:dyDescent="0.35">
      <c r="A656" s="32">
        <f t="shared" si="76"/>
        <v>654</v>
      </c>
      <c r="B656" s="65">
        <v>46130</v>
      </c>
      <c r="C656" s="65">
        <v>46130</v>
      </c>
      <c r="D656" s="66" t="s">
        <v>38</v>
      </c>
      <c r="E656" s="66" t="s">
        <v>258</v>
      </c>
      <c r="F656" s="67" t="s">
        <v>40</v>
      </c>
      <c r="G656" s="66" t="s">
        <v>41</v>
      </c>
      <c r="H656" s="66" t="s">
        <v>402</v>
      </c>
      <c r="I656" s="67" t="s">
        <v>209</v>
      </c>
      <c r="J656" s="66" t="s">
        <v>773</v>
      </c>
      <c r="K656" s="21" t="s">
        <v>774</v>
      </c>
      <c r="L656" s="66">
        <v>256</v>
      </c>
      <c r="M656" s="10">
        <v>32861</v>
      </c>
      <c r="N656" s="66">
        <v>493</v>
      </c>
      <c r="O656" s="68">
        <f t="shared" si="77"/>
        <v>42080</v>
      </c>
      <c r="P656" s="68">
        <v>41587</v>
      </c>
      <c r="Q656" s="66">
        <v>480</v>
      </c>
      <c r="R656" s="50">
        <v>0</v>
      </c>
      <c r="S656" s="66">
        <v>13</v>
      </c>
      <c r="T656" s="10">
        <f t="shared" si="78"/>
        <v>52</v>
      </c>
      <c r="U656" s="68">
        <f>Table46[[#This Row],[NET WT KGS]]-Table46[[#This Row],[Refraction]]</f>
        <v>41535</v>
      </c>
      <c r="V656" s="101">
        <v>510</v>
      </c>
      <c r="W656" s="69">
        <f>Table46[[#This Row],[PRICE]]*Table46[[#This Row],[PAID WT]]</f>
        <v>21182850</v>
      </c>
      <c r="X656" s="70">
        <v>10.6</v>
      </c>
      <c r="Y656" s="71">
        <v>160</v>
      </c>
      <c r="Z656" s="70">
        <v>42.5</v>
      </c>
      <c r="AA656" s="72"/>
      <c r="AB656" s="66" t="s">
        <v>40</v>
      </c>
      <c r="AC656" s="73"/>
      <c r="AD656" s="63" t="s">
        <v>708</v>
      </c>
      <c r="AE656" s="18">
        <f>Table46[[#This Row],[MOIS.]]*Table46[[#This Row],[NET WT KGS]]</f>
        <v>440822.2</v>
      </c>
      <c r="AF656" s="18">
        <f>Table46[[#This Row],[KOR]]*Table46[[#This Row],[NET WT KGS]]</f>
        <v>1767447.5</v>
      </c>
      <c r="AG656">
        <f>Table46[[#This Row],[NET WT KGS]]*Table46[[#This Row],[NUT COUNT]]</f>
        <v>6653920</v>
      </c>
    </row>
    <row r="657" spans="1:33" x14ac:dyDescent="0.35">
      <c r="A657" s="32">
        <f t="shared" si="76"/>
        <v>655</v>
      </c>
      <c r="B657" s="65">
        <v>46130</v>
      </c>
      <c r="C657" s="65">
        <v>46130</v>
      </c>
      <c r="D657" s="66" t="s">
        <v>38</v>
      </c>
      <c r="E657" s="66" t="s">
        <v>39</v>
      </c>
      <c r="F657" s="67" t="s">
        <v>40</v>
      </c>
      <c r="G657" s="66" t="s">
        <v>350</v>
      </c>
      <c r="H657" s="66" t="s">
        <v>338</v>
      </c>
      <c r="I657" s="67" t="str">
        <f>VLOOKUP(Table46[[#This Row],[SUPPLIERS NAME]],[1]AGING!X$3:Y$80,2,)</f>
        <v>LBA-018-COP</v>
      </c>
      <c r="J657" s="66" t="s">
        <v>339</v>
      </c>
      <c r="K657" s="57" t="s">
        <v>340</v>
      </c>
      <c r="L657" s="66">
        <v>258</v>
      </c>
      <c r="M657" s="10">
        <v>18631</v>
      </c>
      <c r="N657" s="66">
        <v>441</v>
      </c>
      <c r="O657" s="68">
        <f t="shared" si="77"/>
        <v>39040</v>
      </c>
      <c r="P657" s="68">
        <v>38599</v>
      </c>
      <c r="Q657" s="66">
        <v>425</v>
      </c>
      <c r="R657" s="50">
        <v>0</v>
      </c>
      <c r="S657" s="66">
        <v>16</v>
      </c>
      <c r="T657" s="10">
        <f t="shared" si="78"/>
        <v>64</v>
      </c>
      <c r="U657" s="68">
        <f>Table46[[#This Row],[NET WT KGS]]-Table46[[#This Row],[Refraction]]</f>
        <v>38535</v>
      </c>
      <c r="V657" s="69">
        <v>500</v>
      </c>
      <c r="W657" s="69">
        <f>Table46[[#This Row],[PRICE]]*Table46[[#This Row],[PAID WT]]</f>
        <v>19267500</v>
      </c>
      <c r="X657" s="70">
        <v>11.3</v>
      </c>
      <c r="Y657" s="71">
        <v>165</v>
      </c>
      <c r="Z657" s="70">
        <v>41.09</v>
      </c>
      <c r="AA657" s="72"/>
      <c r="AB657" s="66" t="s">
        <v>284</v>
      </c>
      <c r="AC657" s="73"/>
      <c r="AD657" s="63" t="s">
        <v>708</v>
      </c>
      <c r="AE657" s="18">
        <f>Table46[[#This Row],[MOIS.]]*Table46[[#This Row],[NET WT KGS]]</f>
        <v>436168.7</v>
      </c>
      <c r="AF657" s="18">
        <f>Table46[[#This Row],[KOR]]*Table46[[#This Row],[NET WT KGS]]</f>
        <v>1586032.9100000001</v>
      </c>
      <c r="AG657">
        <f>Table46[[#This Row],[NET WT KGS]]*Table46[[#This Row],[NUT COUNT]]</f>
        <v>6368835</v>
      </c>
    </row>
    <row r="658" spans="1:33" x14ac:dyDescent="0.35">
      <c r="A658" s="32">
        <f t="shared" si="76"/>
        <v>656</v>
      </c>
      <c r="B658" s="65">
        <v>46130</v>
      </c>
      <c r="C658" s="65">
        <v>46130</v>
      </c>
      <c r="D658" s="66" t="s">
        <v>38</v>
      </c>
      <c r="E658" s="66" t="s">
        <v>39</v>
      </c>
      <c r="F658" s="67" t="s">
        <v>40</v>
      </c>
      <c r="G658" s="66" t="s">
        <v>350</v>
      </c>
      <c r="H658" s="67" t="s">
        <v>123</v>
      </c>
      <c r="I658" s="67" t="str">
        <f>VLOOKUP(Table46[[#This Row],[SUPPLIERS NAME]],[1]AGING!X$3:Y$80,2,)</f>
        <v>LBA-011-ASR</v>
      </c>
      <c r="J658" s="66" t="s">
        <v>775</v>
      </c>
      <c r="K658" s="21" t="s">
        <v>161</v>
      </c>
      <c r="L658" s="66">
        <v>259</v>
      </c>
      <c r="M658" s="10">
        <v>31905</v>
      </c>
      <c r="N658" s="66">
        <v>631</v>
      </c>
      <c r="O658" s="68">
        <f t="shared" si="77"/>
        <v>53060</v>
      </c>
      <c r="P658" s="68">
        <v>52429</v>
      </c>
      <c r="Q658" s="66">
        <v>619</v>
      </c>
      <c r="R658" s="50">
        <v>0</v>
      </c>
      <c r="S658" s="66">
        <v>12</v>
      </c>
      <c r="T658" s="10">
        <f t="shared" si="78"/>
        <v>48</v>
      </c>
      <c r="U658" s="68">
        <f>Table46[[#This Row],[NET WT KGS]]-Table46[[#This Row],[Refraction]]</f>
        <v>52381</v>
      </c>
      <c r="V658" s="69">
        <v>500</v>
      </c>
      <c r="W658" s="69">
        <f>Table46[[#This Row],[PRICE]]*Table46[[#This Row],[PAID WT]]</f>
        <v>26190500</v>
      </c>
      <c r="X658" s="70">
        <v>9.1</v>
      </c>
      <c r="Y658" s="71">
        <v>186</v>
      </c>
      <c r="Z658" s="70">
        <v>41.44</v>
      </c>
      <c r="AA658" s="72"/>
      <c r="AB658" s="66" t="s">
        <v>40</v>
      </c>
      <c r="AC658" s="73"/>
      <c r="AD658" s="63" t="s">
        <v>708</v>
      </c>
      <c r="AE658" s="18">
        <f>Table46[[#This Row],[MOIS.]]*Table46[[#This Row],[NET WT KGS]]</f>
        <v>477103.89999999997</v>
      </c>
      <c r="AF658" s="18">
        <f>Table46[[#This Row],[KOR]]*Table46[[#This Row],[NET WT KGS]]</f>
        <v>2172657.7599999998</v>
      </c>
      <c r="AG658">
        <f>Table46[[#This Row],[NET WT KGS]]*Table46[[#This Row],[NUT COUNT]]</f>
        <v>9751794</v>
      </c>
    </row>
    <row r="659" spans="1:33" x14ac:dyDescent="0.35">
      <c r="A659" s="32">
        <f t="shared" si="76"/>
        <v>657</v>
      </c>
      <c r="B659" s="65">
        <v>46130</v>
      </c>
      <c r="C659" s="65">
        <v>46130</v>
      </c>
      <c r="D659" s="66" t="s">
        <v>38</v>
      </c>
      <c r="E659" s="66" t="s">
        <v>258</v>
      </c>
      <c r="F659" s="67" t="s">
        <v>40</v>
      </c>
      <c r="G659" s="66" t="s">
        <v>41</v>
      </c>
      <c r="H659" s="67" t="s">
        <v>373</v>
      </c>
      <c r="I659" s="67" t="str">
        <f>VLOOKUP(Table46[[#This Row],[SUPPLIERS NAME]],[1]AGING!X$3:Y$80,2,)</f>
        <v>DIS-008-FOU</v>
      </c>
      <c r="J659" s="66" t="s">
        <v>776</v>
      </c>
      <c r="K659" s="57" t="s">
        <v>435</v>
      </c>
      <c r="L659" s="66">
        <v>260</v>
      </c>
      <c r="M659" s="10">
        <v>23658</v>
      </c>
      <c r="N659" s="66">
        <v>251</v>
      </c>
      <c r="O659" s="68">
        <f t="shared" si="77"/>
        <v>20160</v>
      </c>
      <c r="P659" s="22">
        <v>19909</v>
      </c>
      <c r="Q659" s="66">
        <v>233</v>
      </c>
      <c r="R659" s="50">
        <v>0</v>
      </c>
      <c r="S659" s="66">
        <v>18</v>
      </c>
      <c r="T659" s="10">
        <f t="shared" si="78"/>
        <v>72</v>
      </c>
      <c r="U659" s="68">
        <f>Table46[[#This Row],[NET WT KGS]]-Table46[[#This Row],[Refraction]]</f>
        <v>19837</v>
      </c>
      <c r="V659" s="69">
        <v>495</v>
      </c>
      <c r="W659" s="101">
        <f>Table46[[#This Row],[PRICE]]*Table46[[#This Row],[PAID WT]]</f>
        <v>9819315</v>
      </c>
      <c r="X659" s="70">
        <v>9.6999999999999993</v>
      </c>
      <c r="Y659" s="71">
        <v>160</v>
      </c>
      <c r="Z659" s="70">
        <v>41.79</v>
      </c>
      <c r="AA659" s="72"/>
      <c r="AB659" s="66" t="s">
        <v>358</v>
      </c>
      <c r="AC659" s="73"/>
      <c r="AD659" s="63" t="s">
        <v>708</v>
      </c>
      <c r="AE659" s="18">
        <f>Table46[[#This Row],[MOIS.]]*Table46[[#This Row],[NET WT KGS]]</f>
        <v>193117.3</v>
      </c>
      <c r="AF659" s="18">
        <f>Table46[[#This Row],[KOR]]*Table46[[#This Row],[NET WT KGS]]</f>
        <v>831997.11</v>
      </c>
      <c r="AG659">
        <f>Table46[[#This Row],[NET WT KGS]]*Table46[[#This Row],[NUT COUNT]]</f>
        <v>3185440</v>
      </c>
    </row>
    <row r="660" spans="1:33" x14ac:dyDescent="0.35">
      <c r="A660" s="32">
        <f t="shared" si="76"/>
        <v>658</v>
      </c>
      <c r="B660" s="65">
        <v>46130</v>
      </c>
      <c r="C660" s="65">
        <v>46130</v>
      </c>
      <c r="D660" s="66" t="s">
        <v>38</v>
      </c>
      <c r="E660" s="66" t="s">
        <v>39</v>
      </c>
      <c r="F660" s="50" t="s">
        <v>62</v>
      </c>
      <c r="G660" s="10"/>
      <c r="H660" s="117" t="s">
        <v>128</v>
      </c>
      <c r="I660" s="67" t="str">
        <f>VLOOKUP(Table46[[#This Row],[SUPPLIERS NAME]],[1]AGING!X$3:Y$80,2,)</f>
        <v>LBA-002-SCA</v>
      </c>
      <c r="J660" s="10" t="s">
        <v>777</v>
      </c>
      <c r="K660" s="33" t="s">
        <v>131</v>
      </c>
      <c r="L660" s="10">
        <v>618</v>
      </c>
      <c r="M660" s="10">
        <v>78907</v>
      </c>
      <c r="N660" s="10">
        <v>590</v>
      </c>
      <c r="O660" s="22">
        <v>48380</v>
      </c>
      <c r="P660" s="51">
        <f>Table46[[#This Row],[GROSS WT KGS]]-Table46[[#This Row],[SACS]]</f>
        <v>47790</v>
      </c>
      <c r="Q660" s="10">
        <v>570</v>
      </c>
      <c r="R660" s="50">
        <v>0</v>
      </c>
      <c r="S660" s="10">
        <v>20</v>
      </c>
      <c r="T660" s="10">
        <f t="shared" si="78"/>
        <v>80</v>
      </c>
      <c r="U660" s="22">
        <f>Table46[[#This Row],[NET WT KGS]]-Table46[[#This Row],[Refraction]]</f>
        <v>47710</v>
      </c>
      <c r="V660" s="23">
        <v>515</v>
      </c>
      <c r="W660" s="23">
        <f>Table46[[#This Row],[PRICE]]*Table46[[#This Row],[PAID WT]]</f>
        <v>24570650</v>
      </c>
      <c r="X660" s="24">
        <v>10.6</v>
      </c>
      <c r="Y660" s="25">
        <v>185</v>
      </c>
      <c r="Z660" s="24">
        <v>44.26</v>
      </c>
      <c r="AA660" s="26"/>
      <c r="AB660" s="10" t="s">
        <v>132</v>
      </c>
      <c r="AC660" s="27"/>
      <c r="AD660" s="63" t="s">
        <v>708</v>
      </c>
      <c r="AE660" s="18">
        <f>Table46[[#This Row],[MOIS.]]*Table46[[#This Row],[NET WT KGS]]</f>
        <v>506574</v>
      </c>
      <c r="AF660" s="18">
        <f>Table46[[#This Row],[KOR]]*Table46[[#This Row],[NET WT KGS]]</f>
        <v>2115185.4</v>
      </c>
      <c r="AG660">
        <f>Table46[[#This Row],[NET WT KGS]]*Table46[[#This Row],[NUT COUNT]]</f>
        <v>8841150</v>
      </c>
    </row>
    <row r="661" spans="1:33" x14ac:dyDescent="0.35">
      <c r="A661" s="32">
        <f t="shared" si="76"/>
        <v>659</v>
      </c>
      <c r="B661" s="65">
        <v>46130</v>
      </c>
      <c r="C661" s="65">
        <v>46130</v>
      </c>
      <c r="D661" s="66" t="s">
        <v>38</v>
      </c>
      <c r="E661" s="66" t="s">
        <v>39</v>
      </c>
      <c r="F661" s="50" t="s">
        <v>62</v>
      </c>
      <c r="G661" s="66"/>
      <c r="H661" s="10" t="s">
        <v>684</v>
      </c>
      <c r="I661" s="67" t="str">
        <f>VLOOKUP(Table46[[#This Row],[SUPPLIERS NAME]],[1]AGING!X$3:Y$80,2,)</f>
        <v>LBA-021-SAN</v>
      </c>
      <c r="J661" s="10" t="s">
        <v>778</v>
      </c>
      <c r="K661" s="66"/>
      <c r="L661" s="10">
        <v>617</v>
      </c>
      <c r="M661" s="66">
        <v>31888</v>
      </c>
      <c r="N661" s="10">
        <v>489</v>
      </c>
      <c r="O661" s="22">
        <v>40690</v>
      </c>
      <c r="P661" s="51">
        <f>Table46[[#This Row],[GROSS WT KGS]]-Table46[[#This Row],[SACS]]</f>
        <v>40201</v>
      </c>
      <c r="Q661" s="10">
        <v>469</v>
      </c>
      <c r="R661" s="50">
        <v>20</v>
      </c>
      <c r="S661" s="10">
        <v>0</v>
      </c>
      <c r="T661" s="10">
        <f t="shared" si="78"/>
        <v>160</v>
      </c>
      <c r="U661" s="22">
        <f>Table46[[#This Row],[NET WT KGS]]-Table46[[#This Row],[Refraction]]</f>
        <v>40041</v>
      </c>
      <c r="V661" s="120">
        <v>515</v>
      </c>
      <c r="W661" s="23">
        <f>Table46[[#This Row],[PRICE]]*Table46[[#This Row],[PAID WT]]</f>
        <v>20621115</v>
      </c>
      <c r="X661" s="24">
        <v>14.2</v>
      </c>
      <c r="Y661" s="25">
        <v>160</v>
      </c>
      <c r="Z661" s="24">
        <v>44.18</v>
      </c>
      <c r="AA661" s="26"/>
      <c r="AB661" s="10" t="s">
        <v>40</v>
      </c>
      <c r="AC661" s="27" t="s">
        <v>713</v>
      </c>
      <c r="AD661" s="63" t="s">
        <v>708</v>
      </c>
      <c r="AE661" s="18">
        <f>Table46[[#This Row],[MOIS.]]*Table46[[#This Row],[NET WT KGS]]</f>
        <v>570854.19999999995</v>
      </c>
      <c r="AF661" s="18">
        <f>Table46[[#This Row],[KOR]]*Table46[[#This Row],[NET WT KGS]]</f>
        <v>1776080.18</v>
      </c>
      <c r="AG661">
        <f>Table46[[#This Row],[NET WT KGS]]*Table46[[#This Row],[NUT COUNT]]</f>
        <v>6432160</v>
      </c>
    </row>
    <row r="662" spans="1:33" x14ac:dyDescent="0.35">
      <c r="A662" s="32">
        <f t="shared" si="76"/>
        <v>660</v>
      </c>
      <c r="B662" s="65">
        <v>46130</v>
      </c>
      <c r="C662" s="65">
        <v>46130</v>
      </c>
      <c r="D662" s="66" t="s">
        <v>38</v>
      </c>
      <c r="E662" s="66" t="s">
        <v>39</v>
      </c>
      <c r="F662" s="50" t="s">
        <v>62</v>
      </c>
      <c r="G662" s="10"/>
      <c r="H662" s="116" t="s">
        <v>128</v>
      </c>
      <c r="I662" s="67" t="str">
        <f>VLOOKUP(Table46[[#This Row],[SUPPLIERS NAME]],[1]AGING!X$3:Y$80,2,)</f>
        <v>LBA-002-SCA</v>
      </c>
      <c r="J662" s="10" t="s">
        <v>614</v>
      </c>
      <c r="K662" s="33" t="s">
        <v>131</v>
      </c>
      <c r="L662" s="10">
        <v>619</v>
      </c>
      <c r="M662" s="10">
        <v>78908</v>
      </c>
      <c r="N662" s="10">
        <v>597</v>
      </c>
      <c r="O662" s="22">
        <v>45860</v>
      </c>
      <c r="P662" s="51">
        <f>Table46[[#This Row],[GROSS WT KGS]]-Table46[[#This Row],[SACS]]</f>
        <v>45263</v>
      </c>
      <c r="Q662" s="10">
        <v>573</v>
      </c>
      <c r="R662" s="50">
        <v>24</v>
      </c>
      <c r="S662" s="10">
        <v>0</v>
      </c>
      <c r="T662" s="10">
        <f t="shared" si="78"/>
        <v>192</v>
      </c>
      <c r="U662" s="22">
        <f>Table46[[#This Row],[NET WT KGS]]-Table46[[#This Row],[Refraction]]</f>
        <v>45071</v>
      </c>
      <c r="V662" s="23">
        <v>515</v>
      </c>
      <c r="W662" s="23">
        <f>Table46[[#This Row],[PRICE]]*Table46[[#This Row],[PAID WT]]</f>
        <v>23211565</v>
      </c>
      <c r="X662" s="24">
        <v>11.3</v>
      </c>
      <c r="Y662" s="25">
        <v>183</v>
      </c>
      <c r="Z662" s="24">
        <v>44.35</v>
      </c>
      <c r="AA662" s="26"/>
      <c r="AB662" s="10" t="s">
        <v>132</v>
      </c>
      <c r="AC662" s="27"/>
      <c r="AD662" s="63" t="s">
        <v>708</v>
      </c>
      <c r="AE662" s="18">
        <f>Table46[[#This Row],[MOIS.]]*Table46[[#This Row],[NET WT KGS]]</f>
        <v>511471.9</v>
      </c>
      <c r="AF662" s="18">
        <f>Table46[[#This Row],[KOR]]*Table46[[#This Row],[NET WT KGS]]</f>
        <v>2007414.05</v>
      </c>
      <c r="AG662">
        <f>Table46[[#This Row],[NET WT KGS]]*Table46[[#This Row],[NUT COUNT]]</f>
        <v>8283129</v>
      </c>
    </row>
    <row r="663" spans="1:33" x14ac:dyDescent="0.35">
      <c r="A663" s="32">
        <f t="shared" si="76"/>
        <v>661</v>
      </c>
      <c r="B663" s="65">
        <v>46130</v>
      </c>
      <c r="C663" s="65">
        <v>46130</v>
      </c>
      <c r="D663" s="66" t="s">
        <v>38</v>
      </c>
      <c r="E663" s="66" t="s">
        <v>39</v>
      </c>
      <c r="F663" s="50" t="s">
        <v>62</v>
      </c>
      <c r="G663" s="10"/>
      <c r="H663" s="116" t="s">
        <v>128</v>
      </c>
      <c r="I663" s="67" t="str">
        <f>VLOOKUP(Table46[[#This Row],[SUPPLIERS NAME]],[1]AGING!X$3:Y$80,2,)</f>
        <v>LBA-002-SCA</v>
      </c>
      <c r="J663" s="10" t="s">
        <v>779</v>
      </c>
      <c r="K663" s="33" t="s">
        <v>131</v>
      </c>
      <c r="L663" s="10">
        <v>620</v>
      </c>
      <c r="M663" s="10">
        <v>78871</v>
      </c>
      <c r="N663" s="10">
        <v>566</v>
      </c>
      <c r="O663" s="22">
        <v>48250</v>
      </c>
      <c r="P663" s="51">
        <f>Table46[[#This Row],[GROSS WT KGS]]-Table46[[#This Row],[SACS]]</f>
        <v>47684</v>
      </c>
      <c r="Q663" s="10">
        <v>560</v>
      </c>
      <c r="R663" s="50">
        <v>0</v>
      </c>
      <c r="S663" s="10">
        <v>6</v>
      </c>
      <c r="T663" s="10">
        <f t="shared" si="78"/>
        <v>24</v>
      </c>
      <c r="U663" s="22">
        <f>Table46[[#This Row],[NET WT KGS]]-Table46[[#This Row],[Refraction]]</f>
        <v>47660</v>
      </c>
      <c r="V663" s="23">
        <v>515</v>
      </c>
      <c r="W663" s="23">
        <f>Table46[[#This Row],[PRICE]]*Table46[[#This Row],[PAID WT]]</f>
        <v>24544900</v>
      </c>
      <c r="X663" s="24">
        <v>10.1</v>
      </c>
      <c r="Y663" s="25">
        <v>179</v>
      </c>
      <c r="Z663" s="24">
        <v>44.53</v>
      </c>
      <c r="AA663" s="26"/>
      <c r="AB663" s="10" t="s">
        <v>132</v>
      </c>
      <c r="AC663" s="27"/>
      <c r="AD663" s="63" t="s">
        <v>708</v>
      </c>
      <c r="AE663" s="18">
        <f>Table46[[#This Row],[MOIS.]]*Table46[[#This Row],[NET WT KGS]]</f>
        <v>481608.39999999997</v>
      </c>
      <c r="AF663" s="18">
        <f>Table46[[#This Row],[KOR]]*Table46[[#This Row],[NET WT KGS]]</f>
        <v>2123368.52</v>
      </c>
      <c r="AG663">
        <f>Table46[[#This Row],[NET WT KGS]]*Table46[[#This Row],[NUT COUNT]]</f>
        <v>8535436</v>
      </c>
    </row>
    <row r="664" spans="1:33" x14ac:dyDescent="0.35">
      <c r="A664" s="32">
        <f t="shared" si="76"/>
        <v>662</v>
      </c>
      <c r="B664" s="91">
        <v>46130</v>
      </c>
      <c r="C664" s="91">
        <f>Table46[[#This Row],[DATE OF ARRIVAL]]</f>
        <v>46130</v>
      </c>
      <c r="D664" s="74"/>
      <c r="E664" s="74"/>
      <c r="F664" s="36" t="s">
        <v>40</v>
      </c>
      <c r="G664" s="74"/>
      <c r="H664" s="74" t="s">
        <v>373</v>
      </c>
      <c r="I664" s="74" t="s">
        <v>92</v>
      </c>
      <c r="J664" s="36" t="s">
        <v>780</v>
      </c>
      <c r="K664" s="74"/>
      <c r="L664" s="36"/>
      <c r="M664" s="74"/>
      <c r="N664" s="36"/>
      <c r="O664" s="37">
        <f t="shared" ref="O664:O670" si="79">P664+N664</f>
        <v>0</v>
      </c>
      <c r="P664" s="37"/>
      <c r="Q664" s="36"/>
      <c r="R664" s="86"/>
      <c r="S664" s="36"/>
      <c r="T664" s="36"/>
      <c r="U664" s="37">
        <f>Table46[[#This Row],[NET WT KGS]]-Table46[[#This Row],[Refraction]]</f>
        <v>0</v>
      </c>
      <c r="V664" s="38"/>
      <c r="W664" s="38">
        <f>Table46[[#This Row],[PRICE]]*Table46[[#This Row],[PAID WT]]</f>
        <v>0</v>
      </c>
      <c r="X664" s="39">
        <v>9.6</v>
      </c>
      <c r="Y664" s="40">
        <v>159</v>
      </c>
      <c r="Z664" s="39">
        <v>38.625030000000002</v>
      </c>
      <c r="AA664" s="41"/>
      <c r="AB664" s="36" t="s">
        <v>308</v>
      </c>
      <c r="AC664" s="42" t="s">
        <v>70</v>
      </c>
      <c r="AD664" s="28"/>
      <c r="AE664" s="18">
        <f>Table46[[#This Row],[MOIS.]]*Table46[[#This Row],[NET WT KGS]]</f>
        <v>0</v>
      </c>
      <c r="AF664" s="18">
        <f>Table46[[#This Row],[KOR]]*Table46[[#This Row],[NET WT KGS]]</f>
        <v>0</v>
      </c>
      <c r="AG664">
        <f>Table46[[#This Row],[NET WT KGS]]*Table46[[#This Row],[NUT COUNT]]</f>
        <v>0</v>
      </c>
    </row>
    <row r="665" spans="1:33" x14ac:dyDescent="0.35">
      <c r="A665" s="32">
        <f t="shared" si="76"/>
        <v>663</v>
      </c>
      <c r="B665" s="91">
        <v>46130</v>
      </c>
      <c r="C665" s="91">
        <f>Table46[[#This Row],[DATE OF ARRIVAL]]</f>
        <v>46130</v>
      </c>
      <c r="D665" s="74"/>
      <c r="E665" s="74"/>
      <c r="F665" s="36" t="s">
        <v>40</v>
      </c>
      <c r="G665" s="74"/>
      <c r="H665" s="74" t="s">
        <v>87</v>
      </c>
      <c r="I665" s="74" t="s">
        <v>88</v>
      </c>
      <c r="J665" s="74" t="s">
        <v>781</v>
      </c>
      <c r="K665" s="74"/>
      <c r="L665" s="74"/>
      <c r="M665" s="74"/>
      <c r="N665" s="74"/>
      <c r="O665" s="79">
        <f t="shared" si="79"/>
        <v>0</v>
      </c>
      <c r="P665" s="37"/>
      <c r="Q665" s="74"/>
      <c r="R665" s="86"/>
      <c r="S665" s="74"/>
      <c r="T665" s="36"/>
      <c r="U665" s="79">
        <f>Table46[[#This Row],[NET WT KGS]]-Table46[[#This Row],[Refraction]]</f>
        <v>0</v>
      </c>
      <c r="V665" s="81"/>
      <c r="W665" s="81">
        <f>Table46[[#This Row],[PRICE]]*Table46[[#This Row],[PAID WT]]</f>
        <v>0</v>
      </c>
      <c r="X665" s="82">
        <v>10.4</v>
      </c>
      <c r="Y665" s="83">
        <v>180</v>
      </c>
      <c r="Z665" s="82">
        <v>39.154139999999998</v>
      </c>
      <c r="AA665" s="84"/>
      <c r="AB665" s="74" t="s">
        <v>132</v>
      </c>
      <c r="AC665" s="92" t="s">
        <v>70</v>
      </c>
      <c r="AD665" s="28"/>
      <c r="AE665" s="18">
        <f>Table46[[#This Row],[MOIS.]]*Table46[[#This Row],[NET WT KGS]]</f>
        <v>0</v>
      </c>
      <c r="AF665" s="18">
        <f>Table46[[#This Row],[KOR]]*Table46[[#This Row],[NET WT KGS]]</f>
        <v>0</v>
      </c>
      <c r="AG665">
        <f>Table46[[#This Row],[NET WT KGS]]*Table46[[#This Row],[NUT COUNT]]</f>
        <v>0</v>
      </c>
    </row>
    <row r="666" spans="1:33" x14ac:dyDescent="0.35">
      <c r="A666" s="32">
        <f t="shared" si="76"/>
        <v>664</v>
      </c>
      <c r="B666" s="91">
        <v>46130</v>
      </c>
      <c r="C666" s="91">
        <f>Table46[[#This Row],[DATE OF ARRIVAL]]</f>
        <v>46130</v>
      </c>
      <c r="D666" s="74"/>
      <c r="E666" s="74"/>
      <c r="F666" s="36" t="s">
        <v>40</v>
      </c>
      <c r="G666" s="74"/>
      <c r="H666" s="74" t="s">
        <v>87</v>
      </c>
      <c r="I666" s="74" t="s">
        <v>88</v>
      </c>
      <c r="J666" s="74" t="s">
        <v>782</v>
      </c>
      <c r="K666" s="74"/>
      <c r="L666" s="74"/>
      <c r="M666" s="74"/>
      <c r="N666" s="74"/>
      <c r="O666" s="79">
        <f t="shared" si="79"/>
        <v>0</v>
      </c>
      <c r="P666" s="37"/>
      <c r="Q666" s="74"/>
      <c r="R666" s="86"/>
      <c r="S666" s="74"/>
      <c r="T666" s="36"/>
      <c r="U666" s="79">
        <f>Table46[[#This Row],[NET WT KGS]]-Table46[[#This Row],[Refraction]]</f>
        <v>0</v>
      </c>
      <c r="V666" s="81"/>
      <c r="W666" s="81">
        <f>Table46[[#This Row],[PRICE]]*Table46[[#This Row],[PAID WT]]</f>
        <v>0</v>
      </c>
      <c r="X666" s="82">
        <v>10</v>
      </c>
      <c r="Y666" s="83">
        <v>180</v>
      </c>
      <c r="Z666" s="82">
        <v>39.154139999999998</v>
      </c>
      <c r="AA666" s="84"/>
      <c r="AB666" s="74" t="s">
        <v>182</v>
      </c>
      <c r="AC666" s="92" t="s">
        <v>70</v>
      </c>
      <c r="AD666" s="28"/>
      <c r="AE666" s="18">
        <f>Table46[[#This Row],[MOIS.]]*Table46[[#This Row],[NET WT KGS]]</f>
        <v>0</v>
      </c>
      <c r="AF666" s="18">
        <f>Table46[[#This Row],[KOR]]*Table46[[#This Row],[NET WT KGS]]</f>
        <v>0</v>
      </c>
      <c r="AG666">
        <f>Table46[[#This Row],[NET WT KGS]]*Table46[[#This Row],[NUT COUNT]]</f>
        <v>0</v>
      </c>
    </row>
    <row r="667" spans="1:33" x14ac:dyDescent="0.35">
      <c r="A667" s="32">
        <f t="shared" si="76"/>
        <v>665</v>
      </c>
      <c r="B667" s="91">
        <v>46130</v>
      </c>
      <c r="C667" s="91">
        <f>Table46[[#This Row],[DATE OF ARRIVAL]]</f>
        <v>46130</v>
      </c>
      <c r="D667" s="74"/>
      <c r="E667" s="74"/>
      <c r="F667" s="36" t="s">
        <v>62</v>
      </c>
      <c r="G667" s="74"/>
      <c r="H667" s="36" t="s">
        <v>783</v>
      </c>
      <c r="I667" s="74" t="s">
        <v>213</v>
      </c>
      <c r="J667" s="36" t="s">
        <v>784</v>
      </c>
      <c r="K667" s="74"/>
      <c r="L667" s="36"/>
      <c r="M667" s="74"/>
      <c r="N667" s="36"/>
      <c r="O667" s="37">
        <f t="shared" si="79"/>
        <v>0</v>
      </c>
      <c r="P667" s="37"/>
      <c r="Q667" s="36"/>
      <c r="R667" s="86"/>
      <c r="S667" s="36"/>
      <c r="T667" s="36"/>
      <c r="U667" s="37">
        <f>Table46[[#This Row],[NET WT KGS]]-Table46[[#This Row],[Refraction]]</f>
        <v>0</v>
      </c>
      <c r="V667" s="38"/>
      <c r="W667" s="38">
        <f>Table46[[#This Row],[PRICE]]*Table46[[#This Row],[PAID WT]]</f>
        <v>0</v>
      </c>
      <c r="X667" s="39">
        <v>10.199999999999999</v>
      </c>
      <c r="Y667" s="40">
        <v>189</v>
      </c>
      <c r="Z667" s="39">
        <v>40.299999999999997</v>
      </c>
      <c r="AA667" s="41"/>
      <c r="AB667" s="36" t="s">
        <v>132</v>
      </c>
      <c r="AC667" s="42" t="s">
        <v>70</v>
      </c>
      <c r="AD667" s="99"/>
      <c r="AE667" s="18">
        <f>Table46[[#This Row],[MOIS.]]*Table46[[#This Row],[NET WT KGS]]</f>
        <v>0</v>
      </c>
      <c r="AF667" s="18">
        <f>Table46[[#This Row],[KOR]]*Table46[[#This Row],[NET WT KGS]]</f>
        <v>0</v>
      </c>
      <c r="AG667">
        <f>Table46[[#This Row],[NET WT KGS]]*Table46[[#This Row],[NUT COUNT]]</f>
        <v>0</v>
      </c>
    </row>
    <row r="668" spans="1:33" x14ac:dyDescent="0.35">
      <c r="A668" s="32">
        <f t="shared" si="76"/>
        <v>666</v>
      </c>
      <c r="B668" s="65">
        <v>46130</v>
      </c>
      <c r="C668" s="65">
        <v>46131</v>
      </c>
      <c r="D668" s="66" t="s">
        <v>38</v>
      </c>
      <c r="E668" s="66" t="s">
        <v>39</v>
      </c>
      <c r="F668" s="67" t="s">
        <v>40</v>
      </c>
      <c r="G668" s="66" t="s">
        <v>41</v>
      </c>
      <c r="H668" s="67" t="s">
        <v>123</v>
      </c>
      <c r="I668" s="67" t="str">
        <f>VLOOKUP(Table46[[#This Row],[SUPPLIERS NAME]],[1]AGING!X$3:Y$80,2,)</f>
        <v>LBA-011-ASR</v>
      </c>
      <c r="J668" s="66" t="s">
        <v>125</v>
      </c>
      <c r="K668" s="21" t="s">
        <v>161</v>
      </c>
      <c r="L668" s="66">
        <v>261</v>
      </c>
      <c r="M668" s="10">
        <v>31906</v>
      </c>
      <c r="N668" s="66">
        <v>676</v>
      </c>
      <c r="O668" s="68">
        <f t="shared" si="79"/>
        <v>53060</v>
      </c>
      <c r="P668" s="68">
        <v>52384</v>
      </c>
      <c r="Q668" s="66">
        <v>663</v>
      </c>
      <c r="R668" s="67">
        <v>0</v>
      </c>
      <c r="S668" s="66">
        <v>13</v>
      </c>
      <c r="T668" s="10">
        <f t="shared" ref="T668:T681" si="80">S668*4+R668*8</f>
        <v>52</v>
      </c>
      <c r="U668" s="68">
        <f>Table46[[#This Row],[NET WT KGS]]-Table46[[#This Row],[Refraction]]</f>
        <v>52332</v>
      </c>
      <c r="V668" s="69">
        <v>500</v>
      </c>
      <c r="W668" s="69">
        <f>Table46[[#This Row],[PRICE]]*Table46[[#This Row],[PAID WT]]</f>
        <v>26166000</v>
      </c>
      <c r="X668" s="70">
        <v>7.8</v>
      </c>
      <c r="Y668" s="71">
        <v>179</v>
      </c>
      <c r="Z668" s="70">
        <v>41.09</v>
      </c>
      <c r="AA668" s="72"/>
      <c r="AB668" s="66" t="s">
        <v>40</v>
      </c>
      <c r="AC668" s="73"/>
      <c r="AD668" s="63" t="s">
        <v>785</v>
      </c>
      <c r="AE668" s="18">
        <f>Table46[[#This Row],[MOIS.]]*Table46[[#This Row],[NET WT KGS]]</f>
        <v>408595.20000000001</v>
      </c>
      <c r="AF668" s="18">
        <f>Table46[[#This Row],[KOR]]*Table46[[#This Row],[NET WT KGS]]</f>
        <v>2152458.56</v>
      </c>
      <c r="AG668">
        <f>Table46[[#This Row],[NET WT KGS]]*Table46[[#This Row],[NUT COUNT]]</f>
        <v>9376736</v>
      </c>
    </row>
    <row r="669" spans="1:33" x14ac:dyDescent="0.35">
      <c r="A669" s="32">
        <f t="shared" si="76"/>
        <v>667</v>
      </c>
      <c r="B669" s="65">
        <v>46130</v>
      </c>
      <c r="C669" s="65">
        <v>46131</v>
      </c>
      <c r="D669" s="66" t="s">
        <v>38</v>
      </c>
      <c r="E669" s="66" t="s">
        <v>258</v>
      </c>
      <c r="F669" s="67" t="s">
        <v>40</v>
      </c>
      <c r="G669" s="66" t="s">
        <v>350</v>
      </c>
      <c r="H669" s="67" t="s">
        <v>373</v>
      </c>
      <c r="I669" s="67" t="str">
        <f>VLOOKUP(Table46[[#This Row],[SUPPLIERS NAME]],[1]AGING!X$3:Y$80,2,)</f>
        <v>DIS-008-FOU</v>
      </c>
      <c r="J669" s="66" t="s">
        <v>786</v>
      </c>
      <c r="K669" s="57" t="s">
        <v>435</v>
      </c>
      <c r="L669" s="66">
        <v>262</v>
      </c>
      <c r="M669" s="10">
        <v>23656</v>
      </c>
      <c r="N669" s="66">
        <v>504</v>
      </c>
      <c r="O669" s="68">
        <f t="shared" si="79"/>
        <v>41360</v>
      </c>
      <c r="P669" s="66">
        <v>40856</v>
      </c>
      <c r="Q669" s="66">
        <v>495</v>
      </c>
      <c r="R669" s="67">
        <v>0</v>
      </c>
      <c r="S669" s="66">
        <v>9</v>
      </c>
      <c r="T669" s="10">
        <f t="shared" si="80"/>
        <v>36</v>
      </c>
      <c r="U669" s="68">
        <f>Table46[[#This Row],[NET WT KGS]]-Table46[[#This Row],[Refraction]]</f>
        <v>40820</v>
      </c>
      <c r="V669" s="101">
        <v>495</v>
      </c>
      <c r="W669" s="69">
        <f>Table46[[#This Row],[PRICE]]*Table46[[#This Row],[PAID WT]]</f>
        <v>20205900</v>
      </c>
      <c r="X669" s="70">
        <v>9.1</v>
      </c>
      <c r="Y669" s="71">
        <v>163</v>
      </c>
      <c r="Z669" s="70">
        <v>41.44</v>
      </c>
      <c r="AA669" s="72"/>
      <c r="AB669" s="66" t="s">
        <v>308</v>
      </c>
      <c r="AC669" s="73"/>
      <c r="AD669" s="63" t="s">
        <v>785</v>
      </c>
      <c r="AE669" s="18">
        <f>Table46[[#This Row],[MOIS.]]*Table46[[#This Row],[NET WT KGS]]</f>
        <v>371789.6</v>
      </c>
      <c r="AF669" s="18">
        <f>Table46[[#This Row],[KOR]]*Table46[[#This Row],[NET WT KGS]]</f>
        <v>1693072.64</v>
      </c>
      <c r="AG669">
        <f>Table46[[#This Row],[NET WT KGS]]*Table46[[#This Row],[NUT COUNT]]</f>
        <v>6659528</v>
      </c>
    </row>
    <row r="670" spans="1:33" x14ac:dyDescent="0.35">
      <c r="A670" s="32">
        <f t="shared" si="76"/>
        <v>668</v>
      </c>
      <c r="B670" s="65">
        <v>46130</v>
      </c>
      <c r="C670" s="65">
        <v>46131</v>
      </c>
      <c r="D670" s="66" t="s">
        <v>38</v>
      </c>
      <c r="E670" s="66" t="s">
        <v>39</v>
      </c>
      <c r="F670" s="67" t="s">
        <v>40</v>
      </c>
      <c r="G670" s="66" t="s">
        <v>41</v>
      </c>
      <c r="H670" s="66" t="s">
        <v>154</v>
      </c>
      <c r="I670" s="67" t="str">
        <f>VLOOKUP(Table46[[#This Row],[SUPPLIERS NAME]],[1]AGING!X$3:Y$80,2,)</f>
        <v>LBA-010-CAP</v>
      </c>
      <c r="J670" s="66" t="s">
        <v>311</v>
      </c>
      <c r="K670" s="33" t="s">
        <v>157</v>
      </c>
      <c r="L670" s="66">
        <v>263</v>
      </c>
      <c r="M670" s="10">
        <v>87092</v>
      </c>
      <c r="N670" s="66">
        <v>347</v>
      </c>
      <c r="O670" s="68">
        <f t="shared" si="79"/>
        <v>25360</v>
      </c>
      <c r="P670" s="68">
        <v>25013</v>
      </c>
      <c r="Q670" s="66">
        <v>336</v>
      </c>
      <c r="R670" s="67">
        <v>0</v>
      </c>
      <c r="S670" s="66">
        <v>11</v>
      </c>
      <c r="T670" s="10">
        <f t="shared" si="80"/>
        <v>44</v>
      </c>
      <c r="U670" s="68">
        <f>Table46[[#This Row],[NET WT KGS]]-Table46[[#This Row],[Refraction]]</f>
        <v>24969</v>
      </c>
      <c r="V670" s="69">
        <v>500</v>
      </c>
      <c r="W670" s="69">
        <f>Table46[[#This Row],[PRICE]]*Table46[[#This Row],[PAID WT]]</f>
        <v>12484500</v>
      </c>
      <c r="X670" s="70">
        <v>9.6999999999999993</v>
      </c>
      <c r="Y670" s="71">
        <v>160</v>
      </c>
      <c r="Z670" s="70">
        <v>41.27</v>
      </c>
      <c r="AA670" s="72"/>
      <c r="AB670" s="66" t="s">
        <v>672</v>
      </c>
      <c r="AC670" s="73"/>
      <c r="AD670" s="63" t="s">
        <v>785</v>
      </c>
      <c r="AE670" s="18">
        <f>Table46[[#This Row],[MOIS.]]*Table46[[#This Row],[NET WT KGS]]</f>
        <v>242626.09999999998</v>
      </c>
      <c r="AF670" s="18">
        <f>Table46[[#This Row],[KOR]]*Table46[[#This Row],[NET WT KGS]]</f>
        <v>1032286.5100000001</v>
      </c>
      <c r="AG670">
        <f>Table46[[#This Row],[NET WT KGS]]*Table46[[#This Row],[NUT COUNT]]</f>
        <v>4002080</v>
      </c>
    </row>
    <row r="671" spans="1:33" x14ac:dyDescent="0.35">
      <c r="A671" s="32">
        <f t="shared" si="76"/>
        <v>669</v>
      </c>
      <c r="B671" s="65">
        <v>46130</v>
      </c>
      <c r="C671" s="65">
        <v>46131</v>
      </c>
      <c r="D671" s="66" t="s">
        <v>38</v>
      </c>
      <c r="E671" s="66" t="s">
        <v>39</v>
      </c>
      <c r="F671" s="67" t="s">
        <v>62</v>
      </c>
      <c r="G671" s="66"/>
      <c r="H671" s="66" t="s">
        <v>193</v>
      </c>
      <c r="I671" s="67" t="str">
        <f>VLOOKUP(Table46[[#This Row],[SUPPLIERS NAME]],[1]AGING!X$3:Y$80,2,)</f>
        <v>LBA-005-JAV</v>
      </c>
      <c r="J671" s="66" t="s">
        <v>195</v>
      </c>
      <c r="K671" s="33" t="s">
        <v>196</v>
      </c>
      <c r="L671" s="66">
        <v>623</v>
      </c>
      <c r="M671" s="10">
        <v>29107</v>
      </c>
      <c r="N671" s="66">
        <v>604</v>
      </c>
      <c r="O671" s="68">
        <v>45980</v>
      </c>
      <c r="P671" s="93">
        <f>Table46[[#This Row],[GROSS WT KGS]]-Table46[[#This Row],[SACS]]</f>
        <v>45376</v>
      </c>
      <c r="Q671" s="66">
        <v>564</v>
      </c>
      <c r="R671" s="67">
        <v>40</v>
      </c>
      <c r="S671" s="66">
        <v>0</v>
      </c>
      <c r="T671" s="10">
        <f t="shared" si="80"/>
        <v>320</v>
      </c>
      <c r="U671" s="68">
        <f>Table46[[#This Row],[NET WT KGS]]-Table46[[#This Row],[Refraction]]</f>
        <v>45056</v>
      </c>
      <c r="V671" s="69">
        <v>515</v>
      </c>
      <c r="W671" s="69">
        <f>Table46[[#This Row],[PRICE]]*Table46[[#This Row],[PAID WT]]</f>
        <v>23203840</v>
      </c>
      <c r="X671" s="70">
        <v>12.3</v>
      </c>
      <c r="Y671" s="71">
        <v>179</v>
      </c>
      <c r="Z671" s="70">
        <v>42.85</v>
      </c>
      <c r="AA671" s="72"/>
      <c r="AB671" s="66" t="s">
        <v>40</v>
      </c>
      <c r="AC671" s="73"/>
      <c r="AD671" s="63" t="s">
        <v>785</v>
      </c>
      <c r="AE671" s="18">
        <f>Table46[[#This Row],[MOIS.]]*Table46[[#This Row],[NET WT KGS]]</f>
        <v>558124.80000000005</v>
      </c>
      <c r="AF671" s="18">
        <f>Table46[[#This Row],[KOR]]*Table46[[#This Row],[NET WT KGS]]</f>
        <v>1944361.6</v>
      </c>
      <c r="AG671">
        <f>Table46[[#This Row],[NET WT KGS]]*Table46[[#This Row],[NUT COUNT]]</f>
        <v>8122304</v>
      </c>
    </row>
    <row r="672" spans="1:33" x14ac:dyDescent="0.35">
      <c r="A672" s="32">
        <f t="shared" si="76"/>
        <v>670</v>
      </c>
      <c r="B672" s="65">
        <v>46130</v>
      </c>
      <c r="C672" s="65">
        <v>46131</v>
      </c>
      <c r="D672" s="66" t="s">
        <v>38</v>
      </c>
      <c r="E672" s="10" t="s">
        <v>39</v>
      </c>
      <c r="F672" s="67" t="s">
        <v>62</v>
      </c>
      <c r="G672" s="10"/>
      <c r="H672" s="117" t="s">
        <v>128</v>
      </c>
      <c r="I672" s="67" t="str">
        <f>VLOOKUP(Table46[[#This Row],[SUPPLIERS NAME]],[1]AGING!X$3:Y$80,2,)</f>
        <v>LBA-002-SCA</v>
      </c>
      <c r="J672" s="10" t="s">
        <v>787</v>
      </c>
      <c r="K672" s="33" t="s">
        <v>131</v>
      </c>
      <c r="L672" s="10">
        <v>622</v>
      </c>
      <c r="M672" s="10">
        <v>78906</v>
      </c>
      <c r="N672" s="10">
        <v>604</v>
      </c>
      <c r="O672" s="22">
        <v>50070</v>
      </c>
      <c r="P672" s="51">
        <f>Table46[[#This Row],[GROSS WT KGS]]-Table46[[#This Row],[SACS]]</f>
        <v>49466</v>
      </c>
      <c r="Q672" s="10">
        <v>580</v>
      </c>
      <c r="R672" s="50">
        <v>0</v>
      </c>
      <c r="S672" s="10">
        <v>24</v>
      </c>
      <c r="T672" s="10">
        <f t="shared" si="80"/>
        <v>96</v>
      </c>
      <c r="U672" s="22">
        <f>Table46[[#This Row],[NET WT KGS]]-Table46[[#This Row],[Refraction]]</f>
        <v>49370</v>
      </c>
      <c r="V672" s="23">
        <v>515</v>
      </c>
      <c r="W672" s="23">
        <f>Table46[[#This Row],[PRICE]]*Table46[[#This Row],[PAID WT]]</f>
        <v>25425550</v>
      </c>
      <c r="X672" s="24">
        <v>10.4</v>
      </c>
      <c r="Y672" s="25">
        <v>183</v>
      </c>
      <c r="Z672" s="24">
        <v>44.35</v>
      </c>
      <c r="AA672" s="26"/>
      <c r="AB672" s="10" t="s">
        <v>132</v>
      </c>
      <c r="AC672" s="27"/>
      <c r="AD672" s="63" t="s">
        <v>785</v>
      </c>
      <c r="AE672" s="18">
        <f>Table46[[#This Row],[MOIS.]]*Table46[[#This Row],[NET WT KGS]]</f>
        <v>514446.4</v>
      </c>
      <c r="AF672" s="18">
        <f>Table46[[#This Row],[KOR]]*Table46[[#This Row],[NET WT KGS]]</f>
        <v>2193817.1</v>
      </c>
      <c r="AG672">
        <f>Table46[[#This Row],[NET WT KGS]]*Table46[[#This Row],[NUT COUNT]]</f>
        <v>9052278</v>
      </c>
    </row>
    <row r="673" spans="1:33" x14ac:dyDescent="0.35">
      <c r="A673" s="32">
        <f t="shared" si="76"/>
        <v>671</v>
      </c>
      <c r="B673" s="65">
        <v>46130</v>
      </c>
      <c r="C673" s="65">
        <v>46131</v>
      </c>
      <c r="D673" s="66" t="s">
        <v>38</v>
      </c>
      <c r="E673" s="66" t="s">
        <v>39</v>
      </c>
      <c r="F673" s="67" t="s">
        <v>62</v>
      </c>
      <c r="G673" s="66"/>
      <c r="H673" s="116" t="s">
        <v>128</v>
      </c>
      <c r="I673" s="67" t="str">
        <f>VLOOKUP(Table46[[#This Row],[SUPPLIERS NAME]],[1]AGING!X$3:Y$80,2,)</f>
        <v>LBA-002-SCA</v>
      </c>
      <c r="J673" s="66" t="s">
        <v>735</v>
      </c>
      <c r="K673" s="33" t="s">
        <v>131</v>
      </c>
      <c r="L673" s="66">
        <v>621</v>
      </c>
      <c r="M673" s="10">
        <v>78910</v>
      </c>
      <c r="N673" s="66">
        <v>659</v>
      </c>
      <c r="O673" s="68">
        <v>50390</v>
      </c>
      <c r="P673" s="93">
        <f>Table46[[#This Row],[GROSS WT KGS]]-Table46[[#This Row],[SACS]]</f>
        <v>49731</v>
      </c>
      <c r="Q673" s="66">
        <v>639</v>
      </c>
      <c r="R673" s="50">
        <v>0</v>
      </c>
      <c r="S673" s="66">
        <v>20</v>
      </c>
      <c r="T673" s="10">
        <f t="shared" si="80"/>
        <v>80</v>
      </c>
      <c r="U673" s="68">
        <f>Table46[[#This Row],[NET WT KGS]]-Table46[[#This Row],[Refraction]]</f>
        <v>49651</v>
      </c>
      <c r="V673" s="69">
        <v>515</v>
      </c>
      <c r="W673" s="69">
        <f>Table46[[#This Row],[PRICE]]*Table46[[#This Row],[PAID WT]]</f>
        <v>25570265</v>
      </c>
      <c r="X673" s="70">
        <v>9.3000000000000007</v>
      </c>
      <c r="Y673" s="71">
        <v>185</v>
      </c>
      <c r="Z673" s="70">
        <v>43.65</v>
      </c>
      <c r="AA673" s="72"/>
      <c r="AB673" s="66" t="s">
        <v>132</v>
      </c>
      <c r="AC673" s="73"/>
      <c r="AD673" s="103" t="s">
        <v>785</v>
      </c>
      <c r="AE673" s="18">
        <f>Table46[[#This Row],[MOIS.]]*Table46[[#This Row],[NET WT KGS]]</f>
        <v>462498.30000000005</v>
      </c>
      <c r="AF673" s="18">
        <f>Table46[[#This Row],[KOR]]*Table46[[#This Row],[NET WT KGS]]</f>
        <v>2170758.15</v>
      </c>
      <c r="AG673">
        <f>Table46[[#This Row],[NET WT KGS]]*Table46[[#This Row],[NUT COUNT]]</f>
        <v>9200235</v>
      </c>
    </row>
    <row r="674" spans="1:33" x14ac:dyDescent="0.35">
      <c r="A674" s="32">
        <f t="shared" si="76"/>
        <v>672</v>
      </c>
      <c r="B674" s="65">
        <v>46130</v>
      </c>
      <c r="C674" s="65">
        <v>46131</v>
      </c>
      <c r="D674" s="66" t="s">
        <v>38</v>
      </c>
      <c r="E674" s="10" t="s">
        <v>258</v>
      </c>
      <c r="F674" s="67" t="s">
        <v>62</v>
      </c>
      <c r="G674" s="10"/>
      <c r="H674" s="10" t="s">
        <v>724</v>
      </c>
      <c r="I674" s="67" t="str">
        <f>VLOOKUP(Table46[[#This Row],[SUPPLIERS NAME]],[1]AGING!X$3:Y$80,2,)</f>
        <v>DIS-029-CPA</v>
      </c>
      <c r="J674" s="10" t="s">
        <v>788</v>
      </c>
      <c r="K674" s="21" t="s">
        <v>726</v>
      </c>
      <c r="L674" s="10">
        <v>625</v>
      </c>
      <c r="M674" s="10">
        <v>30268</v>
      </c>
      <c r="N674" s="10">
        <v>505</v>
      </c>
      <c r="O674" s="22">
        <v>40200</v>
      </c>
      <c r="P674" s="51">
        <f>Table46[[#This Row],[GROSS WT KGS]]-Table46[[#This Row],[SACS]]</f>
        <v>39695</v>
      </c>
      <c r="Q674" s="10">
        <v>487</v>
      </c>
      <c r="R674" s="50">
        <v>0</v>
      </c>
      <c r="S674" s="66">
        <v>18</v>
      </c>
      <c r="T674" s="10">
        <f t="shared" si="80"/>
        <v>72</v>
      </c>
      <c r="U674" s="119">
        <f>Table46[[#This Row],[NET WT KGS]]-Table46[[#This Row],[Refraction]]</f>
        <v>39623</v>
      </c>
      <c r="V674" s="23">
        <v>515</v>
      </c>
      <c r="W674" s="23">
        <f>Table46[[#This Row],[PRICE]]*Table46[[#This Row],[PAID WT]]</f>
        <v>20405845</v>
      </c>
      <c r="X674" s="24">
        <v>9.1</v>
      </c>
      <c r="Y674" s="25">
        <v>178</v>
      </c>
      <c r="Z674" s="24">
        <v>42.24</v>
      </c>
      <c r="AA674" s="26"/>
      <c r="AB674" s="10" t="s">
        <v>132</v>
      </c>
      <c r="AC674" s="27"/>
      <c r="AD674" s="63" t="s">
        <v>785</v>
      </c>
      <c r="AE674" s="18">
        <f>Table46[[#This Row],[MOIS.]]*Table46[[#This Row],[NET WT KGS]]</f>
        <v>361224.5</v>
      </c>
      <c r="AF674" s="18">
        <f>Table46[[#This Row],[KOR]]*Table46[[#This Row],[NET WT KGS]]</f>
        <v>1676716.8</v>
      </c>
      <c r="AG674">
        <f>Table46[[#This Row],[NET WT KGS]]*Table46[[#This Row],[NUT COUNT]]</f>
        <v>7065710</v>
      </c>
    </row>
    <row r="675" spans="1:33" x14ac:dyDescent="0.35">
      <c r="A675" s="32">
        <f t="shared" si="76"/>
        <v>673</v>
      </c>
      <c r="B675" s="65">
        <v>46130</v>
      </c>
      <c r="C675" s="65">
        <v>46131</v>
      </c>
      <c r="D675" s="66" t="s">
        <v>38</v>
      </c>
      <c r="E675" s="10" t="s">
        <v>39</v>
      </c>
      <c r="F675" s="67" t="s">
        <v>62</v>
      </c>
      <c r="G675" s="10"/>
      <c r="H675" s="66" t="s">
        <v>136</v>
      </c>
      <c r="I675" s="67" t="str">
        <f>VLOOKUP(Table46[[#This Row],[SUPPLIERS NAME]],[1]AGING!X$3:Y$80,2,)</f>
        <v>LBA-004-WEB</v>
      </c>
      <c r="J675" s="10" t="s">
        <v>789</v>
      </c>
      <c r="K675" s="21" t="s">
        <v>139</v>
      </c>
      <c r="L675" s="10">
        <v>624</v>
      </c>
      <c r="M675" s="10">
        <v>19786</v>
      </c>
      <c r="N675" s="10">
        <v>462</v>
      </c>
      <c r="O675" s="22">
        <v>38250</v>
      </c>
      <c r="P675" s="51">
        <f>Table46[[#This Row],[GROSS WT KGS]]-Table46[[#This Row],[SACS]]</f>
        <v>37788</v>
      </c>
      <c r="Q675" s="10">
        <v>432</v>
      </c>
      <c r="R675" s="50">
        <v>30</v>
      </c>
      <c r="S675" s="66">
        <v>0</v>
      </c>
      <c r="T675" s="10">
        <f t="shared" si="80"/>
        <v>240</v>
      </c>
      <c r="U675" s="22">
        <f>Table46[[#This Row],[NET WT KGS]]-Table46[[#This Row],[Refraction]]</f>
        <v>37548</v>
      </c>
      <c r="V675" s="23">
        <v>515</v>
      </c>
      <c r="W675" s="23">
        <f>Table46[[#This Row],[PRICE]]*Table46[[#This Row],[PAID WT]]</f>
        <v>19337220</v>
      </c>
      <c r="X675" s="24">
        <v>11.3</v>
      </c>
      <c r="Y675" s="25">
        <v>169</v>
      </c>
      <c r="Z675" s="24">
        <v>42.76</v>
      </c>
      <c r="AA675" s="26"/>
      <c r="AB675" s="66" t="s">
        <v>551</v>
      </c>
      <c r="AC675" s="27"/>
      <c r="AD675" s="63" t="s">
        <v>785</v>
      </c>
      <c r="AE675" s="18">
        <f>Table46[[#This Row],[MOIS.]]*Table46[[#This Row],[NET WT KGS]]</f>
        <v>427004.4</v>
      </c>
      <c r="AF675" s="18">
        <f>Table46[[#This Row],[KOR]]*Table46[[#This Row],[NET WT KGS]]</f>
        <v>1615814.88</v>
      </c>
      <c r="AG675">
        <f>Table46[[#This Row],[NET WT KGS]]*Table46[[#This Row],[NUT COUNT]]</f>
        <v>6386172</v>
      </c>
    </row>
    <row r="676" spans="1:33" x14ac:dyDescent="0.35">
      <c r="A676" s="32">
        <f t="shared" si="76"/>
        <v>674</v>
      </c>
      <c r="B676" s="65">
        <v>46130</v>
      </c>
      <c r="C676" s="65">
        <v>46131</v>
      </c>
      <c r="D676" s="66" t="s">
        <v>38</v>
      </c>
      <c r="E676" s="10" t="s">
        <v>258</v>
      </c>
      <c r="F676" s="67" t="s">
        <v>62</v>
      </c>
      <c r="G676" s="10"/>
      <c r="H676" s="66" t="s">
        <v>502</v>
      </c>
      <c r="I676" s="67" t="str">
        <f>VLOOKUP(Table46[[#This Row],[SUPPLIERS NAME]],[1]AGING!X$3:Y$80,2,)</f>
        <v>DIS-027-BAO</v>
      </c>
      <c r="J676" s="10" t="s">
        <v>790</v>
      </c>
      <c r="K676" s="21" t="s">
        <v>697</v>
      </c>
      <c r="L676" s="10">
        <v>631</v>
      </c>
      <c r="M676" s="10">
        <v>84903</v>
      </c>
      <c r="N676" s="10">
        <v>520</v>
      </c>
      <c r="O676" s="22">
        <v>40460</v>
      </c>
      <c r="P676" s="51">
        <f>Table46[[#This Row],[GROSS WT KGS]]-Table46[[#This Row],[SACS]]</f>
        <v>39940</v>
      </c>
      <c r="Q676" s="10">
        <v>500</v>
      </c>
      <c r="R676" s="50">
        <v>20</v>
      </c>
      <c r="S676" s="66">
        <v>0</v>
      </c>
      <c r="T676" s="10">
        <f t="shared" si="80"/>
        <v>160</v>
      </c>
      <c r="U676" s="22">
        <f>Table46[[#This Row],[NET WT KGS]]-Table46[[#This Row],[Refraction]]</f>
        <v>39780</v>
      </c>
      <c r="V676" s="23">
        <v>515</v>
      </c>
      <c r="W676" s="23">
        <f>Table46[[#This Row],[PRICE]]*Table46[[#This Row],[PAID WT]]</f>
        <v>20486700</v>
      </c>
      <c r="X676" s="24">
        <v>11.4</v>
      </c>
      <c r="Y676" s="25">
        <v>171</v>
      </c>
      <c r="Z676" s="24">
        <v>42.24</v>
      </c>
      <c r="AA676" s="26"/>
      <c r="AB676" s="10" t="s">
        <v>178</v>
      </c>
      <c r="AC676" s="27"/>
      <c r="AD676" s="63" t="s">
        <v>785</v>
      </c>
      <c r="AE676" s="18">
        <f>Table46[[#This Row],[MOIS.]]*Table46[[#This Row],[NET WT KGS]]</f>
        <v>455316</v>
      </c>
      <c r="AF676" s="18">
        <f>Table46[[#This Row],[KOR]]*Table46[[#This Row],[NET WT KGS]]</f>
        <v>1687065.6000000001</v>
      </c>
      <c r="AG676">
        <f>Table46[[#This Row],[NET WT KGS]]*Table46[[#This Row],[NUT COUNT]]</f>
        <v>6829740</v>
      </c>
    </row>
    <row r="677" spans="1:33" x14ac:dyDescent="0.35">
      <c r="A677" s="32">
        <f t="shared" si="76"/>
        <v>675</v>
      </c>
      <c r="B677" s="65">
        <v>46130</v>
      </c>
      <c r="C677" s="65">
        <v>46131</v>
      </c>
      <c r="D677" s="66" t="s">
        <v>38</v>
      </c>
      <c r="E677" s="10" t="s">
        <v>39</v>
      </c>
      <c r="F677" s="67" t="s">
        <v>62</v>
      </c>
      <c r="G677" s="66"/>
      <c r="H677" s="66" t="s">
        <v>684</v>
      </c>
      <c r="I677" s="67" t="str">
        <f>VLOOKUP(Table46[[#This Row],[SUPPLIERS NAME]],[1]AGING!X$3:Y$80,2,)</f>
        <v>LBA-021-SAN</v>
      </c>
      <c r="J677" s="10" t="s">
        <v>791</v>
      </c>
      <c r="K677" s="121"/>
      <c r="L677" s="10">
        <v>627</v>
      </c>
      <c r="M677" s="66">
        <f>VLOOKUP(Table46[[#This Row],[REF.]],'[2]RCN INWARD FACTORY YAKRO 2026'!$F$4:$M$257,8,0)</f>
        <v>3196</v>
      </c>
      <c r="N677" s="10">
        <v>475</v>
      </c>
      <c r="O677" s="22">
        <v>41780</v>
      </c>
      <c r="P677" s="51">
        <f>Table46[[#This Row],[GROSS WT KGS]]-Table46[[#This Row],[SACS]]</f>
        <v>41305</v>
      </c>
      <c r="Q677" s="10">
        <v>435</v>
      </c>
      <c r="R677" s="50">
        <v>0</v>
      </c>
      <c r="S677" s="66">
        <v>40</v>
      </c>
      <c r="T677" s="10">
        <f t="shared" si="80"/>
        <v>160</v>
      </c>
      <c r="U677" s="22">
        <f>Table46[[#This Row],[NET WT KGS]]-Table46[[#This Row],[Refraction]]</f>
        <v>41145</v>
      </c>
      <c r="V677" s="23">
        <v>515</v>
      </c>
      <c r="W677" s="23">
        <f>Table46[[#This Row],[PRICE]]*Table46[[#This Row],[PAID WT]]</f>
        <v>21189675</v>
      </c>
      <c r="X677" s="24">
        <v>13.8</v>
      </c>
      <c r="Y677" s="25">
        <v>165</v>
      </c>
      <c r="Z677" s="24">
        <v>43.38</v>
      </c>
      <c r="AA677" s="26"/>
      <c r="AB677" s="10" t="s">
        <v>40</v>
      </c>
      <c r="AC677" s="27" t="s">
        <v>762</v>
      </c>
      <c r="AD677" s="63" t="s">
        <v>785</v>
      </c>
      <c r="AE677" s="18">
        <f>Table46[[#This Row],[MOIS.]]*Table46[[#This Row],[NET WT KGS]]</f>
        <v>570009</v>
      </c>
      <c r="AF677" s="18">
        <f>Table46[[#This Row],[KOR]]*Table46[[#This Row],[NET WT KGS]]</f>
        <v>1791810.9000000001</v>
      </c>
      <c r="AG677">
        <f>Table46[[#This Row],[NET WT KGS]]*Table46[[#This Row],[NUT COUNT]]</f>
        <v>6815325</v>
      </c>
    </row>
    <row r="678" spans="1:33" x14ac:dyDescent="0.35">
      <c r="A678" s="32">
        <f t="shared" si="76"/>
        <v>676</v>
      </c>
      <c r="B678" s="65">
        <v>46130</v>
      </c>
      <c r="C678" s="20">
        <v>46131</v>
      </c>
      <c r="D678" s="66" t="s">
        <v>38</v>
      </c>
      <c r="E678" s="10" t="s">
        <v>258</v>
      </c>
      <c r="F678" s="67" t="s">
        <v>62</v>
      </c>
      <c r="G678" s="10"/>
      <c r="H678" s="66" t="s">
        <v>413</v>
      </c>
      <c r="I678" s="67" t="s">
        <v>103</v>
      </c>
      <c r="J678" s="10" t="s">
        <v>729</v>
      </c>
      <c r="K678" s="107" t="s">
        <v>792</v>
      </c>
      <c r="L678" s="10">
        <v>629</v>
      </c>
      <c r="M678" s="10">
        <v>28912</v>
      </c>
      <c r="N678" s="10">
        <v>489</v>
      </c>
      <c r="O678" s="22">
        <v>42240</v>
      </c>
      <c r="P678" s="51">
        <f>Table46[[#This Row],[GROSS WT KGS]]-Table46[[#This Row],[SACS]]</f>
        <v>41751</v>
      </c>
      <c r="Q678" s="10">
        <v>454</v>
      </c>
      <c r="R678" s="50">
        <v>35</v>
      </c>
      <c r="S678" s="66">
        <v>0</v>
      </c>
      <c r="T678" s="10">
        <f t="shared" si="80"/>
        <v>280</v>
      </c>
      <c r="U678" s="22">
        <f>Table46[[#This Row],[NET WT KGS]]-Table46[[#This Row],[Refraction]]</f>
        <v>41471</v>
      </c>
      <c r="V678" s="23">
        <v>515</v>
      </c>
      <c r="W678" s="23">
        <f>Table46[[#This Row],[PRICE]]*Table46[[#This Row],[PAID WT]]</f>
        <v>21357565</v>
      </c>
      <c r="X678" s="24">
        <v>12.1</v>
      </c>
      <c r="Y678" s="25">
        <v>181</v>
      </c>
      <c r="Z678" s="24">
        <v>42.5</v>
      </c>
      <c r="AA678" s="26"/>
      <c r="AB678" s="10" t="s">
        <v>793</v>
      </c>
      <c r="AC678" s="27"/>
      <c r="AD678" s="63" t="s">
        <v>785</v>
      </c>
      <c r="AE678" s="18">
        <f>Table46[[#This Row],[MOIS.]]*Table46[[#This Row],[NET WT KGS]]</f>
        <v>505187.1</v>
      </c>
      <c r="AF678" s="18">
        <f>Table46[[#This Row],[KOR]]*Table46[[#This Row],[NET WT KGS]]</f>
        <v>1774417.5</v>
      </c>
      <c r="AG678">
        <f>Table46[[#This Row],[NET WT KGS]]*Table46[[#This Row],[NUT COUNT]]</f>
        <v>7556931</v>
      </c>
    </row>
    <row r="679" spans="1:33" x14ac:dyDescent="0.35">
      <c r="A679" s="32">
        <f t="shared" si="76"/>
        <v>677</v>
      </c>
      <c r="B679" s="65">
        <v>46130</v>
      </c>
      <c r="C679" s="20">
        <v>46131</v>
      </c>
      <c r="D679" s="66" t="s">
        <v>38</v>
      </c>
      <c r="E679" s="10" t="s">
        <v>39</v>
      </c>
      <c r="F679" s="67" t="s">
        <v>62</v>
      </c>
      <c r="G679" s="10"/>
      <c r="H679" s="66" t="s">
        <v>286</v>
      </c>
      <c r="I679" s="67" t="str">
        <f>VLOOKUP(Table46[[#This Row],[SUPPLIERS NAME]],[1]AGING!X$3:Y$80,2,)</f>
        <v>LBA-017-DPV</v>
      </c>
      <c r="J679" s="10" t="s">
        <v>794</v>
      </c>
      <c r="K679" s="21" t="s">
        <v>289</v>
      </c>
      <c r="L679" s="10">
        <v>626</v>
      </c>
      <c r="M679" s="10">
        <v>37582</v>
      </c>
      <c r="N679" s="10">
        <v>444</v>
      </c>
      <c r="O679" s="22">
        <v>45520</v>
      </c>
      <c r="P679" s="51">
        <f>Table46[[#This Row],[GROSS WT KGS]]-Table46[[#This Row],[SACS]]</f>
        <v>45076</v>
      </c>
      <c r="Q679" s="10">
        <v>418</v>
      </c>
      <c r="R679" s="50">
        <v>26</v>
      </c>
      <c r="S679" s="66">
        <v>0</v>
      </c>
      <c r="T679" s="10">
        <f t="shared" si="80"/>
        <v>208</v>
      </c>
      <c r="U679" s="22">
        <f>Table46[[#This Row],[NET WT KGS]]-Table46[[#This Row],[Refraction]]</f>
        <v>44868</v>
      </c>
      <c r="V679" s="23">
        <v>515</v>
      </c>
      <c r="W679" s="23">
        <f>Table46[[#This Row],[PRICE]]*Table46[[#This Row],[PAID WT]]</f>
        <v>23107020</v>
      </c>
      <c r="X679" s="24">
        <v>11.2</v>
      </c>
      <c r="Y679" s="25">
        <v>165</v>
      </c>
      <c r="Z679" s="24">
        <v>42.68</v>
      </c>
      <c r="AA679" s="26"/>
      <c r="AB679" s="10" t="s">
        <v>46</v>
      </c>
      <c r="AC679" s="27"/>
      <c r="AD679" s="63" t="s">
        <v>785</v>
      </c>
      <c r="AE679" s="18">
        <f>Table46[[#This Row],[MOIS.]]*Table46[[#This Row],[NET WT KGS]]</f>
        <v>504851.19999999995</v>
      </c>
      <c r="AF679" s="18">
        <f>Table46[[#This Row],[KOR]]*Table46[[#This Row],[NET WT KGS]]</f>
        <v>1923843.68</v>
      </c>
      <c r="AG679">
        <f>Table46[[#This Row],[NET WT KGS]]*Table46[[#This Row],[NUT COUNT]]</f>
        <v>7437540</v>
      </c>
    </row>
    <row r="680" spans="1:33" x14ac:dyDescent="0.35">
      <c r="A680" s="32">
        <f t="shared" si="76"/>
        <v>678</v>
      </c>
      <c r="B680" s="65">
        <v>46130</v>
      </c>
      <c r="C680" s="20">
        <v>46131</v>
      </c>
      <c r="D680" s="66" t="s">
        <v>38</v>
      </c>
      <c r="E680" s="10" t="s">
        <v>39</v>
      </c>
      <c r="F680" s="67" t="s">
        <v>62</v>
      </c>
      <c r="G680" s="10"/>
      <c r="H680" s="66" t="s">
        <v>136</v>
      </c>
      <c r="I680" s="67" t="str">
        <f>VLOOKUP(Table46[[#This Row],[SUPPLIERS NAME]],[1]AGING!X$3:Y$80,2,)</f>
        <v>LBA-004-WEB</v>
      </c>
      <c r="J680" s="10" t="s">
        <v>795</v>
      </c>
      <c r="K680" s="21" t="s">
        <v>139</v>
      </c>
      <c r="L680" s="10">
        <v>628</v>
      </c>
      <c r="M680" s="10">
        <v>771</v>
      </c>
      <c r="N680" s="10">
        <v>525</v>
      </c>
      <c r="O680" s="22">
        <v>43990</v>
      </c>
      <c r="P680" s="51">
        <f>Table46[[#This Row],[GROSS WT KGS]]-Table46[[#This Row],[SACS]]</f>
        <v>43465</v>
      </c>
      <c r="Q680" s="10">
        <v>500</v>
      </c>
      <c r="R680" s="50">
        <v>25</v>
      </c>
      <c r="S680" s="66">
        <v>0</v>
      </c>
      <c r="T680" s="10">
        <f t="shared" si="80"/>
        <v>200</v>
      </c>
      <c r="U680" s="22">
        <f>Table46[[#This Row],[NET WT KGS]]-Table46[[#This Row],[Refraction]]</f>
        <v>43265</v>
      </c>
      <c r="V680" s="23">
        <v>515</v>
      </c>
      <c r="W680" s="23">
        <f>Table46[[#This Row],[PRICE]]*Table46[[#This Row],[PAID WT]]</f>
        <v>22281475</v>
      </c>
      <c r="X680" s="24">
        <v>11.2</v>
      </c>
      <c r="Y680" s="25">
        <v>182</v>
      </c>
      <c r="Z680" s="24">
        <v>42.15</v>
      </c>
      <c r="AA680" s="26"/>
      <c r="AB680" s="10" t="s">
        <v>617</v>
      </c>
      <c r="AC680" s="27"/>
      <c r="AD680" s="63" t="s">
        <v>785</v>
      </c>
      <c r="AE680" s="18">
        <f>Table46[[#This Row],[MOIS.]]*Table46[[#This Row],[NET WT KGS]]</f>
        <v>486807.99999999994</v>
      </c>
      <c r="AF680" s="18">
        <f>Table46[[#This Row],[KOR]]*Table46[[#This Row],[NET WT KGS]]</f>
        <v>1832049.75</v>
      </c>
      <c r="AG680">
        <f>Table46[[#This Row],[NET WT KGS]]*Table46[[#This Row],[NUT COUNT]]</f>
        <v>7910630</v>
      </c>
    </row>
    <row r="681" spans="1:33" x14ac:dyDescent="0.35">
      <c r="A681" s="32">
        <f t="shared" si="76"/>
        <v>679</v>
      </c>
      <c r="B681" s="65">
        <v>46131</v>
      </c>
      <c r="C681" s="20">
        <v>46131</v>
      </c>
      <c r="D681" s="66" t="s">
        <v>38</v>
      </c>
      <c r="E681" s="10" t="s">
        <v>39</v>
      </c>
      <c r="F681" s="50" t="s">
        <v>62</v>
      </c>
      <c r="G681" s="10"/>
      <c r="H681" s="67" t="s">
        <v>783</v>
      </c>
      <c r="I681" s="67" t="str">
        <f>VLOOKUP(Table46[[#This Row],[SUPPLIERS NAME]],[1]AGING!X$3:Y$80,2,)</f>
        <v>DIS-034-OCE</v>
      </c>
      <c r="J681" s="10" t="s">
        <v>796</v>
      </c>
      <c r="K681" s="107" t="s">
        <v>797</v>
      </c>
      <c r="L681" s="10">
        <v>630</v>
      </c>
      <c r="M681" s="10">
        <v>35970</v>
      </c>
      <c r="N681" s="10">
        <v>570</v>
      </c>
      <c r="O681" s="22">
        <v>43970</v>
      </c>
      <c r="P681" s="51">
        <f>Table46[[#This Row],[GROSS WT KGS]]-Table46[[#This Row],[SACS]]</f>
        <v>43400</v>
      </c>
      <c r="Q681" s="10">
        <v>558</v>
      </c>
      <c r="R681" s="50">
        <v>0</v>
      </c>
      <c r="S681" s="66">
        <v>12</v>
      </c>
      <c r="T681" s="10">
        <f t="shared" si="80"/>
        <v>48</v>
      </c>
      <c r="U681" s="22">
        <f>Table46[[#This Row],[NET WT KGS]]-Table46[[#This Row],[Refraction]]</f>
        <v>43352</v>
      </c>
      <c r="V681" s="48">
        <v>510</v>
      </c>
      <c r="W681" s="48">
        <f>Table46[[#This Row],[PRICE]]*Table46[[#This Row],[PAID WT]]</f>
        <v>22109520</v>
      </c>
      <c r="X681" s="24">
        <v>10.6</v>
      </c>
      <c r="Y681" s="25">
        <v>189</v>
      </c>
      <c r="Z681" s="24">
        <v>41.88</v>
      </c>
      <c r="AA681" s="43"/>
      <c r="AB681" s="66" t="s">
        <v>355</v>
      </c>
      <c r="AC681" s="27"/>
      <c r="AD681" s="63" t="s">
        <v>785</v>
      </c>
      <c r="AE681" s="18">
        <f>Table46[[#This Row],[MOIS.]]*Table46[[#This Row],[NET WT KGS]]</f>
        <v>460040</v>
      </c>
      <c r="AF681" s="18">
        <f>Table46[[#This Row],[KOR]]*Table46[[#This Row],[NET WT KGS]]</f>
        <v>1817592</v>
      </c>
      <c r="AG681">
        <f>Table46[[#This Row],[NET WT KGS]]*Table46[[#This Row],[NUT COUNT]]</f>
        <v>8202600</v>
      </c>
    </row>
    <row r="682" spans="1:33" x14ac:dyDescent="0.35">
      <c r="A682" s="32">
        <f t="shared" si="76"/>
        <v>680</v>
      </c>
      <c r="B682" s="91">
        <v>46131</v>
      </c>
      <c r="C682" s="91">
        <f>Table46[[#This Row],[DATE OF ARRIVAL]]</f>
        <v>46131</v>
      </c>
      <c r="D682" s="74"/>
      <c r="E682" s="36"/>
      <c r="F682" s="36" t="s">
        <v>40</v>
      </c>
      <c r="G682" s="74"/>
      <c r="H682" s="74" t="s">
        <v>154</v>
      </c>
      <c r="I682" s="74" t="s">
        <v>155</v>
      </c>
      <c r="J682" s="36" t="s">
        <v>698</v>
      </c>
      <c r="K682" s="106"/>
      <c r="L682" s="36"/>
      <c r="M682" s="74"/>
      <c r="N682" s="36"/>
      <c r="O682" s="37">
        <f t="shared" ref="O682:O690" si="81">P682+N682</f>
        <v>0</v>
      </c>
      <c r="P682" s="37"/>
      <c r="Q682" s="36"/>
      <c r="R682" s="86"/>
      <c r="S682" s="74"/>
      <c r="T682" s="36"/>
      <c r="U682" s="37">
        <f>Table46[[#This Row],[NET WT KGS]]-Table46[[#This Row],[Refraction]]</f>
        <v>0</v>
      </c>
      <c r="V682" s="38"/>
      <c r="W682" s="38">
        <f>Table46[[#This Row],[PRICE]]*Table46[[#This Row],[PAID WT]]</f>
        <v>0</v>
      </c>
      <c r="X682" s="39">
        <v>9.8000000000000007</v>
      </c>
      <c r="Y682" s="40">
        <v>193</v>
      </c>
      <c r="Z682" s="39">
        <v>38.625030000000002</v>
      </c>
      <c r="AA682" s="41"/>
      <c r="AB682" s="36" t="s">
        <v>332</v>
      </c>
      <c r="AC682" s="42" t="s">
        <v>70</v>
      </c>
      <c r="AD682" s="28"/>
      <c r="AE682" s="18">
        <f>Table46[[#This Row],[MOIS.]]*Table46[[#This Row],[NET WT KGS]]</f>
        <v>0</v>
      </c>
      <c r="AF682" s="18">
        <f>Table46[[#This Row],[KOR]]*Table46[[#This Row],[NET WT KGS]]</f>
        <v>0</v>
      </c>
      <c r="AG682">
        <f>Table46[[#This Row],[NET WT KGS]]*Table46[[#This Row],[NUT COUNT]]</f>
        <v>0</v>
      </c>
    </row>
    <row r="683" spans="1:33" x14ac:dyDescent="0.35">
      <c r="A683" s="32">
        <f t="shared" si="76"/>
        <v>681</v>
      </c>
      <c r="B683" s="91">
        <v>46131</v>
      </c>
      <c r="C683" s="91">
        <f>Table46[[#This Row],[DATE OF ARRIVAL]]</f>
        <v>46131</v>
      </c>
      <c r="D683" s="74"/>
      <c r="E683" s="36"/>
      <c r="F683" s="36" t="s">
        <v>40</v>
      </c>
      <c r="G683" s="74"/>
      <c r="H683" s="36" t="s">
        <v>338</v>
      </c>
      <c r="I683" s="74" t="s">
        <v>317</v>
      </c>
      <c r="J683" s="36" t="s">
        <v>798</v>
      </c>
      <c r="K683" s="106"/>
      <c r="L683" s="36"/>
      <c r="M683" s="74"/>
      <c r="N683" s="36"/>
      <c r="O683" s="37">
        <f t="shared" si="81"/>
        <v>0</v>
      </c>
      <c r="P683" s="37"/>
      <c r="Q683" s="36"/>
      <c r="R683" s="86"/>
      <c r="S683" s="74"/>
      <c r="T683" s="36"/>
      <c r="U683" s="37">
        <f>Table46[[#This Row],[NET WT KGS]]-Table46[[#This Row],[Refraction]]</f>
        <v>0</v>
      </c>
      <c r="V683" s="38"/>
      <c r="W683" s="38">
        <f>Table46[[#This Row],[PRICE]]*Table46[[#This Row],[PAID WT]]</f>
        <v>0</v>
      </c>
      <c r="X683" s="39">
        <v>10.199999999999999</v>
      </c>
      <c r="Y683" s="40">
        <v>189</v>
      </c>
      <c r="Z683" s="39">
        <v>39.85962</v>
      </c>
      <c r="AA683" s="41"/>
      <c r="AB683" s="36" t="s">
        <v>799</v>
      </c>
      <c r="AC683" s="42" t="s">
        <v>70</v>
      </c>
      <c r="AD683" s="28"/>
      <c r="AE683" s="18">
        <f>Table46[[#This Row],[MOIS.]]*Table46[[#This Row],[NET WT KGS]]</f>
        <v>0</v>
      </c>
      <c r="AF683" s="18">
        <f>Table46[[#This Row],[KOR]]*Table46[[#This Row],[NET WT KGS]]</f>
        <v>0</v>
      </c>
      <c r="AG683">
        <f>Table46[[#This Row],[NET WT KGS]]*Table46[[#This Row],[NUT COUNT]]</f>
        <v>0</v>
      </c>
    </row>
    <row r="684" spans="1:33" x14ac:dyDescent="0.35">
      <c r="A684" s="32">
        <f t="shared" si="76"/>
        <v>682</v>
      </c>
      <c r="B684" s="91">
        <v>46131</v>
      </c>
      <c r="C684" s="91">
        <f>Table46[[#This Row],[DATE OF ARRIVAL]]</f>
        <v>46131</v>
      </c>
      <c r="D684" s="74"/>
      <c r="E684" s="74"/>
      <c r="F684" s="74" t="s">
        <v>62</v>
      </c>
      <c r="G684" s="74"/>
      <c r="H684" s="36" t="s">
        <v>502</v>
      </c>
      <c r="I684" s="74" t="s">
        <v>185</v>
      </c>
      <c r="J684" s="74" t="s">
        <v>800</v>
      </c>
      <c r="K684" s="74"/>
      <c r="L684" s="74"/>
      <c r="M684" s="74"/>
      <c r="N684" s="74"/>
      <c r="O684" s="79">
        <f t="shared" si="81"/>
        <v>0</v>
      </c>
      <c r="P684" s="37"/>
      <c r="Q684" s="74"/>
      <c r="R684" s="86"/>
      <c r="S684" s="74"/>
      <c r="T684" s="36"/>
      <c r="U684" s="79">
        <f>Table46[[#This Row],[NET WT KGS]]-Table46[[#This Row],[Refraction]]</f>
        <v>0</v>
      </c>
      <c r="V684" s="81"/>
      <c r="W684" s="81">
        <f>Table46[[#This Row],[PRICE]]*Table46[[#This Row],[PAID WT]]</f>
        <v>0</v>
      </c>
      <c r="X684" s="82">
        <v>12.3</v>
      </c>
      <c r="Y684" s="83">
        <v>163</v>
      </c>
      <c r="Z684" s="82">
        <v>39.770000000000003</v>
      </c>
      <c r="AA684" s="84"/>
      <c r="AB684" s="74" t="s">
        <v>358</v>
      </c>
      <c r="AC684" s="92" t="s">
        <v>70</v>
      </c>
      <c r="AD684" s="98"/>
      <c r="AE684" s="18">
        <f>Table46[[#This Row],[MOIS.]]*Table46[[#This Row],[NET WT KGS]]</f>
        <v>0</v>
      </c>
      <c r="AF684" s="18">
        <f>Table46[[#This Row],[KOR]]*Table46[[#This Row],[NET WT KGS]]</f>
        <v>0</v>
      </c>
      <c r="AG684">
        <f>Table46[[#This Row],[NET WT KGS]]*Table46[[#This Row],[NUT COUNT]]</f>
        <v>0</v>
      </c>
    </row>
    <row r="685" spans="1:33" x14ac:dyDescent="0.35">
      <c r="A685" s="32">
        <f t="shared" si="76"/>
        <v>683</v>
      </c>
      <c r="B685" s="65">
        <v>46131</v>
      </c>
      <c r="C685" s="65">
        <v>46132</v>
      </c>
      <c r="D685" s="66" t="s">
        <v>38</v>
      </c>
      <c r="E685" s="10" t="s">
        <v>39</v>
      </c>
      <c r="F685" s="50" t="s">
        <v>40</v>
      </c>
      <c r="G685" s="10" t="s">
        <v>350</v>
      </c>
      <c r="H685" s="66" t="s">
        <v>154</v>
      </c>
      <c r="I685" s="67" t="str">
        <f>VLOOKUP(Table46[[#This Row],[SUPPLIERS NAME]],[1]AGING!X$3:Y$80,2,)</f>
        <v>LBA-010-CAP</v>
      </c>
      <c r="J685" s="10" t="s">
        <v>666</v>
      </c>
      <c r="K685" s="33" t="s">
        <v>157</v>
      </c>
      <c r="L685" s="10">
        <v>264</v>
      </c>
      <c r="M685" s="10">
        <v>87043</v>
      </c>
      <c r="N685" s="10">
        <v>194</v>
      </c>
      <c r="O685" s="22">
        <f t="shared" si="81"/>
        <v>15560</v>
      </c>
      <c r="P685" s="22">
        <v>15366</v>
      </c>
      <c r="Q685" s="10">
        <v>182</v>
      </c>
      <c r="R685" s="122">
        <v>12</v>
      </c>
      <c r="S685" s="66"/>
      <c r="T685" s="10">
        <f t="shared" ref="T685:T703" si="82">S685*4+R685*8</f>
        <v>96</v>
      </c>
      <c r="U685" s="22">
        <f>Table46[[#This Row],[NET WT KGS]]-Table46[[#This Row],[Refraction]]</f>
        <v>15270</v>
      </c>
      <c r="V685" s="23">
        <v>495</v>
      </c>
      <c r="W685" s="23">
        <f>Table46[[#This Row],[PRICE]]*Table46[[#This Row],[PAID WT]]</f>
        <v>7558650</v>
      </c>
      <c r="X685" s="24">
        <v>11.7</v>
      </c>
      <c r="Y685" s="25">
        <v>162</v>
      </c>
      <c r="Z685" s="24">
        <v>41.09</v>
      </c>
      <c r="AA685" s="26"/>
      <c r="AB685" s="10" t="s">
        <v>58</v>
      </c>
      <c r="AC685" s="27"/>
      <c r="AD685" s="63" t="s">
        <v>785</v>
      </c>
      <c r="AE685" s="18">
        <f>Table46[[#This Row],[MOIS.]]*Table46[[#This Row],[NET WT KGS]]</f>
        <v>179782.19999999998</v>
      </c>
      <c r="AF685" s="18">
        <f>Table46[[#This Row],[KOR]]*Table46[[#This Row],[NET WT KGS]]</f>
        <v>631388.94000000006</v>
      </c>
      <c r="AG685">
        <f>Table46[[#This Row],[NET WT KGS]]*Table46[[#This Row],[NUT COUNT]]</f>
        <v>2489292</v>
      </c>
    </row>
    <row r="686" spans="1:33" x14ac:dyDescent="0.35">
      <c r="A686" s="32">
        <f t="shared" si="76"/>
        <v>684</v>
      </c>
      <c r="B686" s="65">
        <v>46131</v>
      </c>
      <c r="C686" s="65">
        <v>46132</v>
      </c>
      <c r="D686" s="66" t="s">
        <v>38</v>
      </c>
      <c r="E686" s="10" t="s">
        <v>39</v>
      </c>
      <c r="F686" s="50" t="s">
        <v>40</v>
      </c>
      <c r="G686" s="10" t="s">
        <v>350</v>
      </c>
      <c r="H686" s="66" t="s">
        <v>42</v>
      </c>
      <c r="I686" s="67" t="str">
        <f>VLOOKUP(Table46[[#This Row],[SUPPLIERS NAME]],[1]AGING!X$3:Y$80,2,)</f>
        <v>LBA-006-IMA</v>
      </c>
      <c r="J686" s="10" t="s">
        <v>801</v>
      </c>
      <c r="K686" s="21" t="s">
        <v>45</v>
      </c>
      <c r="L686" s="10">
        <v>265</v>
      </c>
      <c r="M686" s="10">
        <v>13121</v>
      </c>
      <c r="N686" s="10">
        <v>522</v>
      </c>
      <c r="O686" s="22">
        <f t="shared" si="81"/>
        <v>39420</v>
      </c>
      <c r="P686" s="22">
        <v>38898</v>
      </c>
      <c r="Q686" s="10">
        <v>512</v>
      </c>
      <c r="R686" s="122"/>
      <c r="S686" s="66">
        <v>10</v>
      </c>
      <c r="T686" s="10">
        <f t="shared" si="82"/>
        <v>40</v>
      </c>
      <c r="U686" s="22">
        <f>Table46[[#This Row],[NET WT KGS]]-Table46[[#This Row],[Refraction]]</f>
        <v>38858</v>
      </c>
      <c r="V686" s="23">
        <v>500</v>
      </c>
      <c r="W686" s="23">
        <f>Table46[[#This Row],[PRICE]]*Table46[[#This Row],[PAID WT]]</f>
        <v>19429000</v>
      </c>
      <c r="X686" s="24">
        <v>8.8000000000000007</v>
      </c>
      <c r="Y686" s="25">
        <v>165</v>
      </c>
      <c r="Z686" s="24">
        <v>41.09</v>
      </c>
      <c r="AA686" s="26"/>
      <c r="AB686" s="10" t="s">
        <v>182</v>
      </c>
      <c r="AC686" s="27"/>
      <c r="AD686" s="63" t="s">
        <v>785</v>
      </c>
      <c r="AE686" s="18">
        <f>Table46[[#This Row],[MOIS.]]*Table46[[#This Row],[NET WT KGS]]</f>
        <v>342302.4</v>
      </c>
      <c r="AF686" s="18">
        <f>Table46[[#This Row],[KOR]]*Table46[[#This Row],[NET WT KGS]]</f>
        <v>1598318.82</v>
      </c>
      <c r="AG686">
        <f>Table46[[#This Row],[NET WT KGS]]*Table46[[#This Row],[NUT COUNT]]</f>
        <v>6418170</v>
      </c>
    </row>
    <row r="687" spans="1:33" x14ac:dyDescent="0.35">
      <c r="A687" s="32">
        <f t="shared" si="76"/>
        <v>685</v>
      </c>
      <c r="B687" s="65">
        <v>46131</v>
      </c>
      <c r="C687" s="65">
        <v>46132</v>
      </c>
      <c r="D687" s="66" t="s">
        <v>38</v>
      </c>
      <c r="E687" s="10" t="s">
        <v>39</v>
      </c>
      <c r="F687" s="50" t="s">
        <v>40</v>
      </c>
      <c r="G687" s="10" t="s">
        <v>350</v>
      </c>
      <c r="H687" s="10" t="s">
        <v>202</v>
      </c>
      <c r="I687" s="67" t="str">
        <f>VLOOKUP(Table46[[#This Row],[SUPPLIERS NAME]],[1]AGING!X$3:Y$80,2,)</f>
        <v>LBA-012-KPE</v>
      </c>
      <c r="J687" s="10" t="s">
        <v>204</v>
      </c>
      <c r="K687" s="33" t="s">
        <v>205</v>
      </c>
      <c r="L687" s="10">
        <v>266</v>
      </c>
      <c r="M687" s="10">
        <v>32753</v>
      </c>
      <c r="N687" s="10">
        <v>472</v>
      </c>
      <c r="O687" s="22">
        <f t="shared" si="81"/>
        <v>40380</v>
      </c>
      <c r="P687" s="22">
        <v>39908</v>
      </c>
      <c r="Q687" s="10">
        <v>461</v>
      </c>
      <c r="R687" s="122"/>
      <c r="S687" s="66">
        <v>11</v>
      </c>
      <c r="T687" s="10">
        <f t="shared" si="82"/>
        <v>44</v>
      </c>
      <c r="U687" s="22">
        <f>Table46[[#This Row],[NET WT KGS]]-Table46[[#This Row],[Refraction]]</f>
        <v>39864</v>
      </c>
      <c r="V687" s="23">
        <v>495</v>
      </c>
      <c r="W687" s="23">
        <f>Table46[[#This Row],[PRICE]]*Table46[[#This Row],[PAID WT]]</f>
        <v>19732680</v>
      </c>
      <c r="X687" s="24">
        <v>9.8000000000000007</v>
      </c>
      <c r="Y687" s="25">
        <v>170</v>
      </c>
      <c r="Z687" s="24">
        <v>41.27</v>
      </c>
      <c r="AA687" s="26"/>
      <c r="AB687" s="10" t="s">
        <v>46</v>
      </c>
      <c r="AC687" s="27"/>
      <c r="AD687" s="63" t="s">
        <v>785</v>
      </c>
      <c r="AE687" s="18">
        <f>Table46[[#This Row],[MOIS.]]*Table46[[#This Row],[NET WT KGS]]</f>
        <v>391098.4</v>
      </c>
      <c r="AF687" s="18">
        <f>Table46[[#This Row],[KOR]]*Table46[[#This Row],[NET WT KGS]]</f>
        <v>1647003.1600000001</v>
      </c>
      <c r="AG687">
        <f>Table46[[#This Row],[NET WT KGS]]*Table46[[#This Row],[NUT COUNT]]</f>
        <v>6784360</v>
      </c>
    </row>
    <row r="688" spans="1:33" x14ac:dyDescent="0.35">
      <c r="A688" s="32">
        <f t="shared" si="76"/>
        <v>686</v>
      </c>
      <c r="B688" s="65">
        <v>46131</v>
      </c>
      <c r="C688" s="65">
        <v>46132</v>
      </c>
      <c r="D688" s="66" t="s">
        <v>38</v>
      </c>
      <c r="E688" s="10" t="s">
        <v>39</v>
      </c>
      <c r="F688" s="50" t="s">
        <v>40</v>
      </c>
      <c r="G688" s="10" t="s">
        <v>41</v>
      </c>
      <c r="H688" s="66" t="s">
        <v>74</v>
      </c>
      <c r="I688" s="67" t="str">
        <f>VLOOKUP(Table46[[#This Row],[SUPPLIERS NAME]],[1]AGING!X$3:Y$80,2,)</f>
        <v>LBA-003-HER</v>
      </c>
      <c r="J688" s="10" t="s">
        <v>187</v>
      </c>
      <c r="K688" s="33" t="s">
        <v>77</v>
      </c>
      <c r="L688" s="10">
        <v>267</v>
      </c>
      <c r="M688" s="10">
        <v>18137</v>
      </c>
      <c r="N688" s="10">
        <v>545</v>
      </c>
      <c r="O688" s="22">
        <f t="shared" si="81"/>
        <v>46700</v>
      </c>
      <c r="P688" s="22">
        <v>46155</v>
      </c>
      <c r="Q688" s="10">
        <v>530</v>
      </c>
      <c r="R688" s="122">
        <v>15</v>
      </c>
      <c r="S688" s="66"/>
      <c r="T688" s="10">
        <f t="shared" si="82"/>
        <v>120</v>
      </c>
      <c r="U688" s="22">
        <f>Table46[[#This Row],[NET WT KGS]]-Table46[[#This Row],[Refraction]]</f>
        <v>46035</v>
      </c>
      <c r="V688" s="23">
        <v>495</v>
      </c>
      <c r="W688" s="23">
        <f>Table46[[#This Row],[PRICE]]*Table46[[#This Row],[PAID WT]]</f>
        <v>22787325</v>
      </c>
      <c r="X688" s="24">
        <v>10.9</v>
      </c>
      <c r="Y688" s="25">
        <v>161</v>
      </c>
      <c r="Z688" s="24">
        <v>41.27</v>
      </c>
      <c r="AA688" s="26"/>
      <c r="AB688" s="10" t="s">
        <v>78</v>
      </c>
      <c r="AC688" s="27"/>
      <c r="AD688" s="63" t="s">
        <v>785</v>
      </c>
      <c r="AE688" s="18">
        <f>Table46[[#This Row],[MOIS.]]*Table46[[#This Row],[NET WT KGS]]</f>
        <v>503089.5</v>
      </c>
      <c r="AF688" s="18">
        <f>Table46[[#This Row],[KOR]]*Table46[[#This Row],[NET WT KGS]]</f>
        <v>1904816.85</v>
      </c>
      <c r="AG688">
        <f>Table46[[#This Row],[NET WT KGS]]*Table46[[#This Row],[NUT COUNT]]</f>
        <v>7430955</v>
      </c>
    </row>
    <row r="689" spans="1:33" x14ac:dyDescent="0.35">
      <c r="A689" s="32">
        <f t="shared" si="76"/>
        <v>687</v>
      </c>
      <c r="B689" s="65">
        <v>46131</v>
      </c>
      <c r="C689" s="65">
        <v>46132</v>
      </c>
      <c r="D689" s="66" t="s">
        <v>38</v>
      </c>
      <c r="E689" s="10" t="s">
        <v>39</v>
      </c>
      <c r="F689" s="50" t="s">
        <v>40</v>
      </c>
      <c r="G689" s="10" t="s">
        <v>350</v>
      </c>
      <c r="H689" s="67" t="s">
        <v>123</v>
      </c>
      <c r="I689" s="67" t="str">
        <f>VLOOKUP(Table46[[#This Row],[SUPPLIERS NAME]],[1]AGING!X$3:Y$80,2,)</f>
        <v>LBA-011-ASR</v>
      </c>
      <c r="J689" s="10" t="s">
        <v>802</v>
      </c>
      <c r="K689" s="21" t="s">
        <v>161</v>
      </c>
      <c r="L689" s="10">
        <v>268</v>
      </c>
      <c r="M689" s="10">
        <v>33495</v>
      </c>
      <c r="N689" s="10">
        <v>684</v>
      </c>
      <c r="O689" s="22">
        <f t="shared" si="81"/>
        <v>54780</v>
      </c>
      <c r="P689" s="22">
        <v>54096</v>
      </c>
      <c r="Q689" s="10">
        <v>658</v>
      </c>
      <c r="R689" s="122"/>
      <c r="S689" s="66">
        <v>26</v>
      </c>
      <c r="T689" s="10">
        <f t="shared" si="82"/>
        <v>104</v>
      </c>
      <c r="U689" s="22">
        <f>Table46[[#This Row],[NET WT KGS]]-Table46[[#This Row],[Refraction]]</f>
        <v>53992</v>
      </c>
      <c r="V689" s="23">
        <v>490</v>
      </c>
      <c r="W689" s="23">
        <f>Table46[[#This Row],[PRICE]]*Table46[[#This Row],[PAID WT]]</f>
        <v>26456080</v>
      </c>
      <c r="X689" s="24">
        <v>10.8</v>
      </c>
      <c r="Y689" s="25">
        <v>172</v>
      </c>
      <c r="Z689" s="24">
        <v>40.56</v>
      </c>
      <c r="AA689" s="26"/>
      <c r="AB689" s="10" t="s">
        <v>398</v>
      </c>
      <c r="AC689" s="27"/>
      <c r="AD689" s="63" t="s">
        <v>785</v>
      </c>
      <c r="AE689" s="18">
        <f>Table46[[#This Row],[MOIS.]]*Table46[[#This Row],[NET WT KGS]]</f>
        <v>584236.80000000005</v>
      </c>
      <c r="AF689" s="18">
        <f>Table46[[#This Row],[KOR]]*Table46[[#This Row],[NET WT KGS]]</f>
        <v>2194133.7600000002</v>
      </c>
      <c r="AG689">
        <f>Table46[[#This Row],[NET WT KGS]]*Table46[[#This Row],[NUT COUNT]]</f>
        <v>9304512</v>
      </c>
    </row>
    <row r="690" spans="1:33" x14ac:dyDescent="0.35">
      <c r="A690" s="32">
        <f t="shared" si="76"/>
        <v>688</v>
      </c>
      <c r="B690" s="65">
        <v>46131</v>
      </c>
      <c r="C690" s="65">
        <v>46132</v>
      </c>
      <c r="D690" s="66" t="s">
        <v>38</v>
      </c>
      <c r="E690" s="10" t="s">
        <v>39</v>
      </c>
      <c r="F690" s="50" t="s">
        <v>40</v>
      </c>
      <c r="G690" s="10" t="s">
        <v>41</v>
      </c>
      <c r="H690" s="50" t="s">
        <v>280</v>
      </c>
      <c r="I690" s="67" t="str">
        <f>VLOOKUP(Table46[[#This Row],[SUPPLIERS NAME]],[1]AGING!X$3:Y$80,2,)</f>
        <v>LBA-016-NOU</v>
      </c>
      <c r="J690" s="10" t="s">
        <v>82</v>
      </c>
      <c r="K690" s="21" t="s">
        <v>283</v>
      </c>
      <c r="L690" s="10">
        <v>269</v>
      </c>
      <c r="M690" s="10">
        <v>18446</v>
      </c>
      <c r="N690" s="10">
        <v>517</v>
      </c>
      <c r="O690" s="22">
        <f t="shared" si="81"/>
        <v>40880</v>
      </c>
      <c r="P690" s="22">
        <v>40363</v>
      </c>
      <c r="Q690" s="10">
        <v>505</v>
      </c>
      <c r="R690" s="122"/>
      <c r="S690" s="66">
        <v>12</v>
      </c>
      <c r="T690" s="10">
        <f t="shared" si="82"/>
        <v>48</v>
      </c>
      <c r="U690" s="22">
        <f>Table46[[#This Row],[NET WT KGS]]-Table46[[#This Row],[Refraction]]</f>
        <v>40315</v>
      </c>
      <c r="V690" s="23">
        <v>500</v>
      </c>
      <c r="W690" s="23">
        <f>Table46[[#This Row],[PRICE]]*Table46[[#This Row],[PAID WT]]</f>
        <v>20157500</v>
      </c>
      <c r="X690" s="24">
        <v>9.3000000000000007</v>
      </c>
      <c r="Y690" s="25">
        <v>161</v>
      </c>
      <c r="Z690" s="24">
        <v>42.5</v>
      </c>
      <c r="AA690" s="26"/>
      <c r="AB690" s="10" t="s">
        <v>284</v>
      </c>
      <c r="AC690" s="27"/>
      <c r="AD690" s="63" t="s">
        <v>785</v>
      </c>
      <c r="AE690" s="18">
        <f>Table46[[#This Row],[MOIS.]]*Table46[[#This Row],[NET WT KGS]]</f>
        <v>375375.9</v>
      </c>
      <c r="AF690" s="18">
        <f>Table46[[#This Row],[KOR]]*Table46[[#This Row],[NET WT KGS]]</f>
        <v>1715427.5</v>
      </c>
      <c r="AG690">
        <f>Table46[[#This Row],[NET WT KGS]]*Table46[[#This Row],[NUT COUNT]]</f>
        <v>6498443</v>
      </c>
    </row>
    <row r="691" spans="1:33" x14ac:dyDescent="0.35">
      <c r="A691" s="32">
        <f t="shared" si="76"/>
        <v>689</v>
      </c>
      <c r="B691" s="20">
        <v>46131</v>
      </c>
      <c r="C691" s="65">
        <v>46132</v>
      </c>
      <c r="D691" s="66" t="s">
        <v>38</v>
      </c>
      <c r="E691" s="10" t="s">
        <v>39</v>
      </c>
      <c r="F691" s="50" t="s">
        <v>62</v>
      </c>
      <c r="G691" s="10"/>
      <c r="H691" s="117" t="s">
        <v>128</v>
      </c>
      <c r="I691" s="67" t="str">
        <f>VLOOKUP(Table46[[#This Row],[SUPPLIERS NAME]],[1]AGING!X$3:Y$80,2,)</f>
        <v>LBA-002-SCA</v>
      </c>
      <c r="J691" s="10" t="s">
        <v>803</v>
      </c>
      <c r="K691" s="33" t="s">
        <v>131</v>
      </c>
      <c r="L691" s="10">
        <v>632</v>
      </c>
      <c r="M691" s="10">
        <v>78878</v>
      </c>
      <c r="N691" s="10">
        <v>478</v>
      </c>
      <c r="O691" s="22">
        <v>42180</v>
      </c>
      <c r="P691" s="51">
        <f>Table46[[#This Row],[GROSS WT KGS]]-Table46[[#This Row],[SACS]]</f>
        <v>41702</v>
      </c>
      <c r="Q691" s="10">
        <v>452</v>
      </c>
      <c r="R691" s="122">
        <v>26</v>
      </c>
      <c r="S691" s="10">
        <v>0</v>
      </c>
      <c r="T691" s="10">
        <f t="shared" si="82"/>
        <v>208</v>
      </c>
      <c r="U691" s="22">
        <f>Table46[[#This Row],[NET WT KGS]]-Table46[[#This Row],[Refraction]]</f>
        <v>41494</v>
      </c>
      <c r="V691" s="23">
        <v>515</v>
      </c>
      <c r="W691" s="23">
        <f>Table46[[#This Row],[PRICE]]*Table46[[#This Row],[PAID WT]]</f>
        <v>21369410</v>
      </c>
      <c r="X691" s="24">
        <v>12</v>
      </c>
      <c r="Y691" s="25">
        <v>188</v>
      </c>
      <c r="Z691" s="24">
        <v>42.94</v>
      </c>
      <c r="AA691" s="26"/>
      <c r="AB691" s="10" t="s">
        <v>132</v>
      </c>
      <c r="AC691" s="27"/>
      <c r="AD691" s="63" t="s">
        <v>785</v>
      </c>
      <c r="AE691" s="18">
        <f>Table46[[#This Row],[MOIS.]]*Table46[[#This Row],[NET WT KGS]]</f>
        <v>500424</v>
      </c>
      <c r="AF691" s="18">
        <f>Table46[[#This Row],[KOR]]*Table46[[#This Row],[NET WT KGS]]</f>
        <v>1790683.88</v>
      </c>
      <c r="AG691">
        <f>Table46[[#This Row],[NET WT KGS]]*Table46[[#This Row],[NUT COUNT]]</f>
        <v>7839976</v>
      </c>
    </row>
    <row r="692" spans="1:33" x14ac:dyDescent="0.35">
      <c r="A692" s="32">
        <f t="shared" si="76"/>
        <v>690</v>
      </c>
      <c r="B692" s="65">
        <v>46131</v>
      </c>
      <c r="C692" s="20">
        <v>46132</v>
      </c>
      <c r="D692" s="66" t="s">
        <v>38</v>
      </c>
      <c r="E692" s="66" t="s">
        <v>39</v>
      </c>
      <c r="F692" s="50" t="s">
        <v>62</v>
      </c>
      <c r="G692" s="66"/>
      <c r="H692" s="66" t="s">
        <v>684</v>
      </c>
      <c r="I692" s="67" t="str">
        <f>VLOOKUP(Table46[[#This Row],[SUPPLIERS NAME]],[1]AGING!X$3:Y$80,2,)</f>
        <v>LBA-021-SAN</v>
      </c>
      <c r="J692" s="66" t="s">
        <v>804</v>
      </c>
      <c r="K692" s="66"/>
      <c r="L692" s="66">
        <v>633</v>
      </c>
      <c r="M692" s="66">
        <f>VLOOKUP(Table46[[#This Row],[REF.]],'[2]RCN INWARD FACTORY YAKRO 2026'!$F$4:$M$257,8,0)</f>
        <v>13213</v>
      </c>
      <c r="N692" s="66">
        <v>493</v>
      </c>
      <c r="O692" s="68">
        <v>40850</v>
      </c>
      <c r="P692" s="93">
        <f>Table46[[#This Row],[GROSS WT KGS]]-Table46[[#This Row],[SACS]]</f>
        <v>40357</v>
      </c>
      <c r="Q692" s="66">
        <v>470</v>
      </c>
      <c r="R692" s="123">
        <v>20</v>
      </c>
      <c r="S692" s="66">
        <v>0</v>
      </c>
      <c r="T692" s="10">
        <f t="shared" si="82"/>
        <v>160</v>
      </c>
      <c r="U692" s="68">
        <f>Table46[[#This Row],[NET WT KGS]]-Table46[[#This Row],[Refraction]]</f>
        <v>40197</v>
      </c>
      <c r="V692" s="101">
        <v>515</v>
      </c>
      <c r="W692" s="69">
        <f>Table46[[#This Row],[PRICE]]*Table46[[#This Row],[PAID WT]]</f>
        <v>20701455</v>
      </c>
      <c r="X692" s="70">
        <v>13.4</v>
      </c>
      <c r="Y692" s="71">
        <v>177</v>
      </c>
      <c r="Z692" s="70">
        <v>41.88</v>
      </c>
      <c r="AA692" s="72"/>
      <c r="AB692" s="66" t="s">
        <v>171</v>
      </c>
      <c r="AC692" s="27" t="s">
        <v>713</v>
      </c>
      <c r="AD692" s="103" t="s">
        <v>785</v>
      </c>
      <c r="AE692" s="18">
        <f>Table46[[#This Row],[MOIS.]]*Table46[[#This Row],[NET WT KGS]]</f>
        <v>540783.80000000005</v>
      </c>
      <c r="AF692" s="18">
        <f>Table46[[#This Row],[KOR]]*Table46[[#This Row],[NET WT KGS]]</f>
        <v>1690151.1600000001</v>
      </c>
      <c r="AG692">
        <f>Table46[[#This Row],[NET WT KGS]]*Table46[[#This Row],[NUT COUNT]]</f>
        <v>7143189</v>
      </c>
    </row>
    <row r="693" spans="1:33" x14ac:dyDescent="0.35">
      <c r="A693" s="32">
        <f t="shared" si="76"/>
        <v>691</v>
      </c>
      <c r="B693" s="65">
        <v>46131</v>
      </c>
      <c r="C693" s="20">
        <v>46132</v>
      </c>
      <c r="D693" s="66" t="s">
        <v>38</v>
      </c>
      <c r="E693" s="66" t="s">
        <v>258</v>
      </c>
      <c r="F693" s="50" t="s">
        <v>62</v>
      </c>
      <c r="G693" s="66"/>
      <c r="H693" s="66" t="s">
        <v>724</v>
      </c>
      <c r="I693" s="67" t="str">
        <f>VLOOKUP(Table46[[#This Row],[SUPPLIERS NAME]],[1]AGING!X$3:Y$80,2,)</f>
        <v>DIS-029-CPA</v>
      </c>
      <c r="J693" s="66" t="s">
        <v>805</v>
      </c>
      <c r="K693" s="21" t="s">
        <v>726</v>
      </c>
      <c r="L693" s="66">
        <v>634</v>
      </c>
      <c r="M693" s="10">
        <v>30272</v>
      </c>
      <c r="N693" s="66">
        <v>518</v>
      </c>
      <c r="O693" s="68">
        <v>45460</v>
      </c>
      <c r="P693" s="93">
        <f>Table46[[#This Row],[GROSS WT KGS]]-Table46[[#This Row],[SACS]]</f>
        <v>44942</v>
      </c>
      <c r="Q693" s="66">
        <v>508</v>
      </c>
      <c r="R693" s="123"/>
      <c r="S693" s="66">
        <v>10</v>
      </c>
      <c r="T693" s="10">
        <f t="shared" si="82"/>
        <v>40</v>
      </c>
      <c r="U693" s="115">
        <f>Table46[[#This Row],[NET WT KGS]]-Table46[[#This Row],[Refraction]]</f>
        <v>44902</v>
      </c>
      <c r="V693" s="69">
        <v>515</v>
      </c>
      <c r="W693" s="69">
        <f>Table46[[#This Row],[PRICE]]*Table46[[#This Row],[PAID WT]]</f>
        <v>23124530</v>
      </c>
      <c r="X693" s="70">
        <v>9.1</v>
      </c>
      <c r="Y693" s="71">
        <v>178</v>
      </c>
      <c r="Z693" s="70">
        <v>42.24</v>
      </c>
      <c r="AA693" s="72"/>
      <c r="AB693" s="66" t="s">
        <v>132</v>
      </c>
      <c r="AC693" s="27"/>
      <c r="AD693" s="103" t="s">
        <v>785</v>
      </c>
      <c r="AE693" s="18">
        <f>Table46[[#This Row],[MOIS.]]*Table46[[#This Row],[NET WT KGS]]</f>
        <v>408972.2</v>
      </c>
      <c r="AF693" s="18">
        <f>Table46[[#This Row],[KOR]]*Table46[[#This Row],[NET WT KGS]]</f>
        <v>1898350.08</v>
      </c>
      <c r="AG693">
        <f>Table46[[#This Row],[NET WT KGS]]*Table46[[#This Row],[NUT COUNT]]</f>
        <v>7999676</v>
      </c>
    </row>
    <row r="694" spans="1:33" x14ac:dyDescent="0.35">
      <c r="A694" s="32">
        <f t="shared" si="76"/>
        <v>692</v>
      </c>
      <c r="B694" s="65">
        <v>46132</v>
      </c>
      <c r="C694" s="20">
        <v>46132</v>
      </c>
      <c r="D694" s="66" t="s">
        <v>38</v>
      </c>
      <c r="E694" s="66" t="s">
        <v>39</v>
      </c>
      <c r="F694" s="50" t="s">
        <v>40</v>
      </c>
      <c r="G694" s="66" t="s">
        <v>350</v>
      </c>
      <c r="H694" s="66" t="s">
        <v>338</v>
      </c>
      <c r="I694" s="67" t="str">
        <f>VLOOKUP(Table46[[#This Row],[SUPPLIERS NAME]],[1]AGING!X$3:Y$80,2,)</f>
        <v>LBA-018-COP</v>
      </c>
      <c r="J694" s="66" t="s">
        <v>806</v>
      </c>
      <c r="K694" s="57" t="s">
        <v>340</v>
      </c>
      <c r="L694" s="66">
        <v>272</v>
      </c>
      <c r="M694" s="10">
        <v>19996</v>
      </c>
      <c r="N694" s="66">
        <v>464</v>
      </c>
      <c r="O694" s="68">
        <f>P694+N694</f>
        <v>40100</v>
      </c>
      <c r="P694" s="68">
        <v>39636</v>
      </c>
      <c r="Q694" s="66">
        <v>450</v>
      </c>
      <c r="R694" s="123"/>
      <c r="S694" s="66">
        <v>14</v>
      </c>
      <c r="T694" s="10">
        <f t="shared" si="82"/>
        <v>56</v>
      </c>
      <c r="U694" s="68">
        <f>Table46[[#This Row],[NET WT KGS]]-Table46[[#This Row],[Refraction]]</f>
        <v>39580</v>
      </c>
      <c r="V694" s="69">
        <v>500</v>
      </c>
      <c r="W694" s="69">
        <f>Table46[[#This Row],[PRICE]]*Table46[[#This Row],[PAID WT]]</f>
        <v>19790000</v>
      </c>
      <c r="X694" s="70">
        <v>10.5</v>
      </c>
      <c r="Y694" s="71">
        <v>172</v>
      </c>
      <c r="Z694" s="70">
        <v>41.79</v>
      </c>
      <c r="AA694" s="72"/>
      <c r="AB694" s="66" t="s">
        <v>171</v>
      </c>
      <c r="AC694" s="27"/>
      <c r="AD694" s="103" t="s">
        <v>785</v>
      </c>
      <c r="AE694" s="18">
        <f>Table46[[#This Row],[MOIS.]]*Table46[[#This Row],[NET WT KGS]]</f>
        <v>416178</v>
      </c>
      <c r="AF694" s="18">
        <f>Table46[[#This Row],[KOR]]*Table46[[#This Row],[NET WT KGS]]</f>
        <v>1656388.44</v>
      </c>
      <c r="AG694">
        <f>Table46[[#This Row],[NET WT KGS]]*Table46[[#This Row],[NUT COUNT]]</f>
        <v>6817392</v>
      </c>
    </row>
    <row r="695" spans="1:33" x14ac:dyDescent="0.35">
      <c r="A695" s="32">
        <f t="shared" si="76"/>
        <v>693</v>
      </c>
      <c r="B695" s="65">
        <v>46132</v>
      </c>
      <c r="C695" s="65">
        <v>46132</v>
      </c>
      <c r="D695" s="66" t="s">
        <v>38</v>
      </c>
      <c r="E695" s="66" t="s">
        <v>258</v>
      </c>
      <c r="F695" s="50" t="s">
        <v>40</v>
      </c>
      <c r="G695" s="66" t="s">
        <v>350</v>
      </c>
      <c r="H695" s="67" t="s">
        <v>392</v>
      </c>
      <c r="I695" s="67" t="str">
        <f>VLOOKUP(Table46[[#This Row],[SUPPLIERS NAME]],[1]AGING!X$3:Y$80,2,)</f>
        <v>DIS-026-MOA</v>
      </c>
      <c r="J695" s="66" t="s">
        <v>807</v>
      </c>
      <c r="K695" s="21" t="s">
        <v>694</v>
      </c>
      <c r="L695" s="66">
        <v>270</v>
      </c>
      <c r="M695" s="10">
        <v>31507</v>
      </c>
      <c r="N695" s="66">
        <v>526</v>
      </c>
      <c r="O695" s="68">
        <f>P695+N695</f>
        <v>45360</v>
      </c>
      <c r="P695" s="68">
        <v>44834</v>
      </c>
      <c r="Q695" s="66">
        <v>516</v>
      </c>
      <c r="R695" s="123"/>
      <c r="S695" s="66">
        <v>10</v>
      </c>
      <c r="T695" s="10">
        <f t="shared" si="82"/>
        <v>40</v>
      </c>
      <c r="U695" s="68">
        <f>Table46[[#This Row],[NET WT KGS]]-Table46[[#This Row],[Refraction]]</f>
        <v>44794</v>
      </c>
      <c r="V695" s="69">
        <v>510</v>
      </c>
      <c r="W695" s="69">
        <f>Table46[[#This Row],[PRICE]]*Table46[[#This Row],[PAID WT]]</f>
        <v>22844940</v>
      </c>
      <c r="X695" s="70">
        <v>10.9</v>
      </c>
      <c r="Y695" s="71">
        <v>180</v>
      </c>
      <c r="Z695" s="70">
        <v>42.32</v>
      </c>
      <c r="AA695" s="72"/>
      <c r="AB695" s="66" t="s">
        <v>324</v>
      </c>
      <c r="AC695" s="73"/>
      <c r="AD695" s="103" t="s">
        <v>785</v>
      </c>
      <c r="AE695" s="18">
        <f>Table46[[#This Row],[MOIS.]]*Table46[[#This Row],[NET WT KGS]]</f>
        <v>488690.60000000003</v>
      </c>
      <c r="AF695" s="18">
        <f>Table46[[#This Row],[KOR]]*Table46[[#This Row],[NET WT KGS]]</f>
        <v>1897374.8800000001</v>
      </c>
      <c r="AG695">
        <f>Table46[[#This Row],[NET WT KGS]]*Table46[[#This Row],[NUT COUNT]]</f>
        <v>8070120</v>
      </c>
    </row>
    <row r="696" spans="1:33" x14ac:dyDescent="0.35">
      <c r="A696" s="32">
        <f t="shared" si="76"/>
        <v>694</v>
      </c>
      <c r="B696" s="65">
        <v>46132</v>
      </c>
      <c r="C696" s="65">
        <v>46132</v>
      </c>
      <c r="D696" s="66" t="s">
        <v>38</v>
      </c>
      <c r="E696" s="66" t="s">
        <v>258</v>
      </c>
      <c r="F696" s="50" t="s">
        <v>40</v>
      </c>
      <c r="G696" s="66" t="s">
        <v>41</v>
      </c>
      <c r="H696" s="67" t="s">
        <v>373</v>
      </c>
      <c r="I696" s="67" t="str">
        <f>VLOOKUP(Table46[[#This Row],[SUPPLIERS NAME]],[1]AGING!X$3:Y$80,2,)</f>
        <v>DIS-008-FOU</v>
      </c>
      <c r="J696" s="66" t="s">
        <v>808</v>
      </c>
      <c r="K696" s="57" t="s">
        <v>435</v>
      </c>
      <c r="L696" s="66">
        <v>271</v>
      </c>
      <c r="M696" s="10">
        <v>23654</v>
      </c>
      <c r="N696" s="66">
        <v>474</v>
      </c>
      <c r="O696" s="68">
        <f>P696+N696</f>
        <v>41380</v>
      </c>
      <c r="P696" s="68">
        <v>40906</v>
      </c>
      <c r="Q696" s="66">
        <v>470</v>
      </c>
      <c r="R696" s="123"/>
      <c r="S696" s="66">
        <v>4</v>
      </c>
      <c r="T696" s="10">
        <f t="shared" si="82"/>
        <v>16</v>
      </c>
      <c r="U696" s="68">
        <f>Table46[[#This Row],[NET WT KGS]]-Table46[[#This Row],[Refraction]]</f>
        <v>40890</v>
      </c>
      <c r="V696" s="101">
        <v>510</v>
      </c>
      <c r="W696" s="69">
        <f>Table46[[#This Row],[PRICE]]*Table46[[#This Row],[PAID WT]]</f>
        <v>20853900</v>
      </c>
      <c r="X696" s="70">
        <v>10.4</v>
      </c>
      <c r="Y696" s="71">
        <v>160</v>
      </c>
      <c r="Z696" s="70">
        <v>42.15</v>
      </c>
      <c r="AA696" s="72"/>
      <c r="AB696" s="66" t="s">
        <v>308</v>
      </c>
      <c r="AC696" s="73"/>
      <c r="AD696" s="103" t="s">
        <v>785</v>
      </c>
      <c r="AE696" s="18">
        <f>Table46[[#This Row],[MOIS.]]*Table46[[#This Row],[NET WT KGS]]</f>
        <v>425422.4</v>
      </c>
      <c r="AF696" s="18">
        <f>Table46[[#This Row],[KOR]]*Table46[[#This Row],[NET WT KGS]]</f>
        <v>1724187.9</v>
      </c>
      <c r="AG696">
        <f>Table46[[#This Row],[NET WT KGS]]*Table46[[#This Row],[NUT COUNT]]</f>
        <v>6544960</v>
      </c>
    </row>
    <row r="697" spans="1:33" x14ac:dyDescent="0.35">
      <c r="A697" s="32">
        <f t="shared" si="76"/>
        <v>695</v>
      </c>
      <c r="B697" s="65">
        <v>46132</v>
      </c>
      <c r="C697" s="65">
        <v>46132</v>
      </c>
      <c r="D697" s="66" t="s">
        <v>38</v>
      </c>
      <c r="E697" s="66" t="s">
        <v>39</v>
      </c>
      <c r="F697" s="50" t="s">
        <v>62</v>
      </c>
      <c r="G697" s="66"/>
      <c r="H697" s="66" t="s">
        <v>684</v>
      </c>
      <c r="I697" s="67" t="str">
        <f>VLOOKUP(Table46[[#This Row],[SUPPLIERS NAME]],[1]AGING!X$3:Y$80,2,)</f>
        <v>LBA-021-SAN</v>
      </c>
      <c r="J697" s="66" t="s">
        <v>809</v>
      </c>
      <c r="K697" s="66"/>
      <c r="L697" s="66">
        <v>635</v>
      </c>
      <c r="M697" s="66">
        <f>VLOOKUP(Table46[[#This Row],[REF.]],'[2]RCN INWARD FACTORY YAKRO 2026'!$F$4:$M$257,8,0)</f>
        <v>89240</v>
      </c>
      <c r="N697" s="66">
        <v>488</v>
      </c>
      <c r="O697" s="68">
        <v>42350</v>
      </c>
      <c r="P697" s="93">
        <f>Table46[[#This Row],[GROSS WT KGS]]-Table46[[#This Row],[SACS]]</f>
        <v>41862</v>
      </c>
      <c r="Q697" s="66">
        <v>458</v>
      </c>
      <c r="R697" s="123">
        <v>0</v>
      </c>
      <c r="S697" s="66">
        <v>30</v>
      </c>
      <c r="T697" s="10">
        <f t="shared" si="82"/>
        <v>120</v>
      </c>
      <c r="U697" s="68">
        <f>Table46[[#This Row],[NET WT KGS]]-Table46[[#This Row],[Refraction]]</f>
        <v>41742</v>
      </c>
      <c r="V697" s="69">
        <v>515</v>
      </c>
      <c r="W697" s="69">
        <f>Table46[[#This Row],[PRICE]]*Table46[[#This Row],[PAID WT]]</f>
        <v>21497130</v>
      </c>
      <c r="X697" s="70">
        <v>11.2</v>
      </c>
      <c r="Y697" s="71">
        <v>155</v>
      </c>
      <c r="Z697" s="70">
        <v>42.41</v>
      </c>
      <c r="AA697" s="72"/>
      <c r="AB697" s="66" t="s">
        <v>308</v>
      </c>
      <c r="AC697" s="73" t="s">
        <v>720</v>
      </c>
      <c r="AD697" s="103" t="s">
        <v>785</v>
      </c>
      <c r="AE697" s="18">
        <f>Table46[[#This Row],[MOIS.]]*Table46[[#This Row],[NET WT KGS]]</f>
        <v>468854.39999999997</v>
      </c>
      <c r="AF697" s="18">
        <f>Table46[[#This Row],[KOR]]*Table46[[#This Row],[NET WT KGS]]</f>
        <v>1775367.42</v>
      </c>
      <c r="AG697">
        <f>Table46[[#This Row],[NET WT KGS]]*Table46[[#This Row],[NUT COUNT]]</f>
        <v>6488610</v>
      </c>
    </row>
    <row r="698" spans="1:33" x14ac:dyDescent="0.35">
      <c r="A698" s="32">
        <f t="shared" si="76"/>
        <v>696</v>
      </c>
      <c r="B698" s="65">
        <v>46132</v>
      </c>
      <c r="C698" s="65">
        <v>46132</v>
      </c>
      <c r="D698" s="66" t="s">
        <v>38</v>
      </c>
      <c r="E698" s="66" t="s">
        <v>39</v>
      </c>
      <c r="F698" s="50" t="s">
        <v>62</v>
      </c>
      <c r="G698" s="66"/>
      <c r="H698" s="66" t="s">
        <v>193</v>
      </c>
      <c r="I698" s="67" t="str">
        <f>VLOOKUP(Table46[[#This Row],[SUPPLIERS NAME]],[1]AGING!X$3:Y$80,2,)</f>
        <v>LBA-005-JAV</v>
      </c>
      <c r="J698" s="66" t="s">
        <v>711</v>
      </c>
      <c r="K698" s="33" t="s">
        <v>196</v>
      </c>
      <c r="L698" s="66">
        <v>636</v>
      </c>
      <c r="M698" s="10">
        <v>87109</v>
      </c>
      <c r="N698" s="66">
        <v>587</v>
      </c>
      <c r="O698" s="68">
        <v>47060</v>
      </c>
      <c r="P698" s="93">
        <f>Table46[[#This Row],[GROSS WT KGS]]-Table46[[#This Row],[SACS]]</f>
        <v>46473</v>
      </c>
      <c r="Q698" s="66">
        <v>562</v>
      </c>
      <c r="R698" s="123">
        <v>0</v>
      </c>
      <c r="S698" s="66">
        <v>25</v>
      </c>
      <c r="T698" s="10">
        <f t="shared" si="82"/>
        <v>100</v>
      </c>
      <c r="U698" s="68">
        <f>Table46[[#This Row],[NET WT KGS]]-Table46[[#This Row],[Refraction]]</f>
        <v>46373</v>
      </c>
      <c r="V698" s="69">
        <v>515</v>
      </c>
      <c r="W698" s="69">
        <f>Table46[[#This Row],[PRICE]]*Table46[[#This Row],[PAID WT]]</f>
        <v>23882095</v>
      </c>
      <c r="X698" s="70">
        <v>10.8</v>
      </c>
      <c r="Y698" s="71">
        <v>181</v>
      </c>
      <c r="Z698" s="70">
        <v>42.15</v>
      </c>
      <c r="AA698" s="72"/>
      <c r="AB698" s="66" t="s">
        <v>132</v>
      </c>
      <c r="AC698" s="73"/>
      <c r="AD698" s="103" t="s">
        <v>785</v>
      </c>
      <c r="AE698" s="18">
        <f>Table46[[#This Row],[MOIS.]]*Table46[[#This Row],[NET WT KGS]]</f>
        <v>501908.4</v>
      </c>
      <c r="AF698" s="18">
        <f>Table46[[#This Row],[KOR]]*Table46[[#This Row],[NET WT KGS]]</f>
        <v>1958836.95</v>
      </c>
      <c r="AG698">
        <f>Table46[[#This Row],[NET WT KGS]]*Table46[[#This Row],[NUT COUNT]]</f>
        <v>8411613</v>
      </c>
    </row>
    <row r="699" spans="1:33" x14ac:dyDescent="0.35">
      <c r="A699" s="32">
        <f t="shared" si="76"/>
        <v>697</v>
      </c>
      <c r="B699" s="65">
        <v>46132</v>
      </c>
      <c r="C699" s="65">
        <v>46132</v>
      </c>
      <c r="D699" s="66" t="s">
        <v>38</v>
      </c>
      <c r="E699" s="66" t="s">
        <v>39</v>
      </c>
      <c r="F699" s="67" t="s">
        <v>62</v>
      </c>
      <c r="G699" s="66"/>
      <c r="H699" s="66" t="s">
        <v>286</v>
      </c>
      <c r="I699" s="67" t="str">
        <f>VLOOKUP(Table46[[#This Row],[SUPPLIERS NAME]],[1]AGING!X$3:Y$80,2,)</f>
        <v>LBA-017-DPV</v>
      </c>
      <c r="J699" s="66" t="s">
        <v>589</v>
      </c>
      <c r="K699" s="21" t="s">
        <v>289</v>
      </c>
      <c r="L699" s="66">
        <v>637</v>
      </c>
      <c r="M699" s="10">
        <v>37583</v>
      </c>
      <c r="N699" s="66">
        <v>471</v>
      </c>
      <c r="O699" s="68">
        <v>41510</v>
      </c>
      <c r="P699" s="51">
        <f>Table46[[#This Row],[GROSS WT KGS]]-Table46[[#This Row],[SACS]]</f>
        <v>41039</v>
      </c>
      <c r="Q699" s="66">
        <v>456</v>
      </c>
      <c r="R699" s="123"/>
      <c r="S699" s="66">
        <v>15</v>
      </c>
      <c r="T699" s="10">
        <f t="shared" si="82"/>
        <v>60</v>
      </c>
      <c r="U699" s="68">
        <f>Table46[[#This Row],[NET WT KGS]]-Table46[[#This Row],[Refraction]]</f>
        <v>40979</v>
      </c>
      <c r="V699" s="69">
        <v>515</v>
      </c>
      <c r="W699" s="69">
        <f>Table46[[#This Row],[PRICE]]*Table46[[#This Row],[PAID WT]]</f>
        <v>21104185</v>
      </c>
      <c r="X699" s="70">
        <v>10.1</v>
      </c>
      <c r="Y699" s="71">
        <v>174</v>
      </c>
      <c r="Z699" s="70">
        <v>43.38</v>
      </c>
      <c r="AA699" s="72"/>
      <c r="AB699" s="66" t="s">
        <v>46</v>
      </c>
      <c r="AC699" s="73"/>
      <c r="AD699" s="103" t="s">
        <v>785</v>
      </c>
      <c r="AE699" s="18">
        <f>Table46[[#This Row],[MOIS.]]*Table46[[#This Row],[NET WT KGS]]</f>
        <v>414493.89999999997</v>
      </c>
      <c r="AF699" s="18">
        <f>Table46[[#This Row],[KOR]]*Table46[[#This Row],[NET WT KGS]]</f>
        <v>1780271.82</v>
      </c>
      <c r="AG699">
        <f>Table46[[#This Row],[NET WT KGS]]*Table46[[#This Row],[NUT COUNT]]</f>
        <v>7140786</v>
      </c>
    </row>
    <row r="700" spans="1:33" x14ac:dyDescent="0.35">
      <c r="A700" s="32">
        <f t="shared" si="76"/>
        <v>698</v>
      </c>
      <c r="B700" s="65">
        <v>46132</v>
      </c>
      <c r="C700" s="65">
        <v>46132</v>
      </c>
      <c r="D700" s="66" t="s">
        <v>38</v>
      </c>
      <c r="E700" s="66" t="s">
        <v>39</v>
      </c>
      <c r="F700" s="67" t="s">
        <v>62</v>
      </c>
      <c r="G700" s="66"/>
      <c r="H700" s="66" t="s">
        <v>684</v>
      </c>
      <c r="I700" s="67" t="str">
        <f>VLOOKUP(Table46[[#This Row],[SUPPLIERS NAME]],[1]AGING!X$3:Y$80,2,)</f>
        <v>LBA-021-SAN</v>
      </c>
      <c r="J700" s="66" t="s">
        <v>810</v>
      </c>
      <c r="K700" s="66"/>
      <c r="L700" s="66">
        <v>638</v>
      </c>
      <c r="M700" s="66">
        <f>VLOOKUP(Table46[[#This Row],[REF.]],'[2]RCN INWARD FACTORY YAKRO 2026'!$F$4:$M$257,8,0)</f>
        <v>32083</v>
      </c>
      <c r="N700" s="66">
        <v>471</v>
      </c>
      <c r="O700" s="68">
        <v>39800</v>
      </c>
      <c r="P700" s="51">
        <f>Table46[[#This Row],[GROSS WT KGS]]-Table46[[#This Row],[SACS]]</f>
        <v>39329</v>
      </c>
      <c r="Q700" s="66">
        <v>431</v>
      </c>
      <c r="R700" s="123">
        <v>0</v>
      </c>
      <c r="S700" s="66">
        <v>40</v>
      </c>
      <c r="T700" s="10">
        <f t="shared" si="82"/>
        <v>160</v>
      </c>
      <c r="U700" s="68">
        <f>Table46[[#This Row],[NET WT KGS]]-Table46[[#This Row],[Refraction]]</f>
        <v>39169</v>
      </c>
      <c r="V700" s="69">
        <v>515</v>
      </c>
      <c r="W700" s="69">
        <f>Table46[[#This Row],[PRICE]]*Table46[[#This Row],[PAID WT]]</f>
        <v>20172035</v>
      </c>
      <c r="X700" s="70">
        <v>12.2</v>
      </c>
      <c r="Y700" s="71">
        <v>174</v>
      </c>
      <c r="Z700" s="70">
        <v>43.65</v>
      </c>
      <c r="AA700" s="72"/>
      <c r="AB700" s="66" t="s">
        <v>40</v>
      </c>
      <c r="AC700" s="73" t="s">
        <v>713</v>
      </c>
      <c r="AD700" s="103" t="s">
        <v>785</v>
      </c>
      <c r="AE700" s="18">
        <f>Table46[[#This Row],[MOIS.]]*Table46[[#This Row],[NET WT KGS]]</f>
        <v>479813.8</v>
      </c>
      <c r="AF700" s="18">
        <f>Table46[[#This Row],[KOR]]*Table46[[#This Row],[NET WT KGS]]</f>
        <v>1716710.8499999999</v>
      </c>
      <c r="AG700">
        <f>Table46[[#This Row],[NET WT KGS]]*Table46[[#This Row],[NUT COUNT]]</f>
        <v>6843246</v>
      </c>
    </row>
    <row r="701" spans="1:33" x14ac:dyDescent="0.35">
      <c r="A701" s="32">
        <f t="shared" si="76"/>
        <v>699</v>
      </c>
      <c r="B701" s="65">
        <v>46132</v>
      </c>
      <c r="C701" s="65">
        <v>46132</v>
      </c>
      <c r="D701" s="66" t="s">
        <v>38</v>
      </c>
      <c r="E701" s="66" t="s">
        <v>39</v>
      </c>
      <c r="F701" s="67" t="s">
        <v>62</v>
      </c>
      <c r="G701" s="66"/>
      <c r="H701" s="66" t="s">
        <v>193</v>
      </c>
      <c r="I701" s="67" t="str">
        <f>VLOOKUP(Table46[[#This Row],[SUPPLIERS NAME]],[1]AGING!X$3:Y$80,2,)</f>
        <v>LBA-005-JAV</v>
      </c>
      <c r="J701" s="66" t="s">
        <v>811</v>
      </c>
      <c r="K701" s="33" t="s">
        <v>196</v>
      </c>
      <c r="L701" s="66">
        <v>639</v>
      </c>
      <c r="M701" s="10">
        <v>87110</v>
      </c>
      <c r="N701" s="66">
        <v>655</v>
      </c>
      <c r="O701" s="68">
        <v>53560</v>
      </c>
      <c r="P701" s="51">
        <f>Table46[[#This Row],[GROSS WT KGS]]-Table46[[#This Row],[SACS]]</f>
        <v>52905</v>
      </c>
      <c r="Q701" s="66">
        <v>629</v>
      </c>
      <c r="R701" s="123">
        <v>26</v>
      </c>
      <c r="S701" s="66">
        <v>0</v>
      </c>
      <c r="T701" s="10">
        <f t="shared" si="82"/>
        <v>208</v>
      </c>
      <c r="U701" s="68">
        <f>Table46[[#This Row],[NET WT KGS]]-Table46[[#This Row],[Refraction]]</f>
        <v>52697</v>
      </c>
      <c r="V701" s="69">
        <v>510</v>
      </c>
      <c r="W701" s="69">
        <f>Table46[[#This Row],[PRICE]]*Table46[[#This Row],[PAID WT]]</f>
        <v>26875470</v>
      </c>
      <c r="X701" s="70">
        <v>11.8</v>
      </c>
      <c r="Y701" s="71">
        <v>174</v>
      </c>
      <c r="Z701" s="70">
        <v>41.97</v>
      </c>
      <c r="AA701" s="72"/>
      <c r="AB701" s="66" t="s">
        <v>132</v>
      </c>
      <c r="AC701" s="73"/>
      <c r="AD701" s="103" t="s">
        <v>785</v>
      </c>
      <c r="AE701" s="18">
        <f>Table46[[#This Row],[MOIS.]]*Table46[[#This Row],[NET WT KGS]]</f>
        <v>624279</v>
      </c>
      <c r="AF701" s="18">
        <f>Table46[[#This Row],[KOR]]*Table46[[#This Row],[NET WT KGS]]</f>
        <v>2220422.85</v>
      </c>
      <c r="AG701">
        <f>Table46[[#This Row],[NET WT KGS]]*Table46[[#This Row],[NUT COUNT]]</f>
        <v>9205470</v>
      </c>
    </row>
    <row r="702" spans="1:33" x14ac:dyDescent="0.35">
      <c r="A702" s="32">
        <f t="shared" si="76"/>
        <v>700</v>
      </c>
      <c r="B702" s="65">
        <v>46132</v>
      </c>
      <c r="C702" s="65">
        <v>46132</v>
      </c>
      <c r="D702" s="66" t="s">
        <v>38</v>
      </c>
      <c r="E702" s="66" t="s">
        <v>258</v>
      </c>
      <c r="F702" s="67" t="s">
        <v>62</v>
      </c>
      <c r="G702" s="66"/>
      <c r="H702" s="66" t="s">
        <v>783</v>
      </c>
      <c r="I702" s="66" t="s">
        <v>213</v>
      </c>
      <c r="J702" s="66" t="s">
        <v>812</v>
      </c>
      <c r="K702" s="107" t="s">
        <v>797</v>
      </c>
      <c r="L702" s="66">
        <v>641</v>
      </c>
      <c r="M702" s="10">
        <v>35967</v>
      </c>
      <c r="N702" s="66">
        <v>523</v>
      </c>
      <c r="O702" s="68">
        <v>42400</v>
      </c>
      <c r="P702" s="51">
        <f>Table46[[#This Row],[GROSS WT KGS]]-Table46[[#This Row],[SACS]]</f>
        <v>41877</v>
      </c>
      <c r="Q702" s="66">
        <f>Table46[[#This Row],[SACS]]-Table46[[#This Row],[Sacs déchirés]]</f>
        <v>493</v>
      </c>
      <c r="R702" s="123">
        <v>0</v>
      </c>
      <c r="S702" s="66">
        <v>30</v>
      </c>
      <c r="T702" s="10">
        <f t="shared" si="82"/>
        <v>120</v>
      </c>
      <c r="U702" s="68">
        <f>Table46[[#This Row],[NET WT KGS]]-Table46[[#This Row],[Refraction]]</f>
        <v>41757</v>
      </c>
      <c r="V702" s="69">
        <v>510</v>
      </c>
      <c r="W702" s="69">
        <f>Table46[[#This Row],[PRICE]]*Table46[[#This Row],[PAID WT]]</f>
        <v>21296070</v>
      </c>
      <c r="X702" s="70">
        <v>11.7</v>
      </c>
      <c r="Y702" s="71">
        <v>178</v>
      </c>
      <c r="Z702" s="70">
        <v>41.97</v>
      </c>
      <c r="AA702" s="72"/>
      <c r="AB702" s="66" t="s">
        <v>415</v>
      </c>
      <c r="AC702" s="73"/>
      <c r="AD702" s="103" t="s">
        <v>785</v>
      </c>
      <c r="AE702" s="18">
        <f>Table46[[#This Row],[MOIS.]]*Table46[[#This Row],[NET WT KGS]]</f>
        <v>489960.89999999997</v>
      </c>
      <c r="AF702" s="18">
        <f>Table46[[#This Row],[KOR]]*Table46[[#This Row],[NET WT KGS]]</f>
        <v>1757577.69</v>
      </c>
      <c r="AG702">
        <f>Table46[[#This Row],[NET WT KGS]]*Table46[[#This Row],[NUT COUNT]]</f>
        <v>7454106</v>
      </c>
    </row>
    <row r="703" spans="1:33" x14ac:dyDescent="0.35">
      <c r="A703" s="32">
        <f t="shared" si="76"/>
        <v>701</v>
      </c>
      <c r="B703" s="65">
        <v>46132</v>
      </c>
      <c r="C703" s="65">
        <v>46132</v>
      </c>
      <c r="D703" s="66" t="s">
        <v>38</v>
      </c>
      <c r="E703" s="66" t="s">
        <v>258</v>
      </c>
      <c r="F703" s="67" t="s">
        <v>62</v>
      </c>
      <c r="G703" s="66"/>
      <c r="H703" s="66" t="s">
        <v>783</v>
      </c>
      <c r="I703" s="66" t="s">
        <v>213</v>
      </c>
      <c r="J703" s="66" t="s">
        <v>813</v>
      </c>
      <c r="K703" s="107" t="s">
        <v>797</v>
      </c>
      <c r="L703" s="66">
        <v>640</v>
      </c>
      <c r="M703" s="10">
        <v>35969</v>
      </c>
      <c r="N703" s="66">
        <v>531</v>
      </c>
      <c r="O703" s="68">
        <v>44220</v>
      </c>
      <c r="P703" s="51">
        <f>Table46[[#This Row],[GROSS WT KGS]]-Table46[[#This Row],[SACS]]</f>
        <v>43689</v>
      </c>
      <c r="Q703" s="66">
        <v>511</v>
      </c>
      <c r="R703" s="123">
        <v>0</v>
      </c>
      <c r="S703" s="66">
        <v>20</v>
      </c>
      <c r="T703" s="10">
        <f t="shared" si="82"/>
        <v>80</v>
      </c>
      <c r="U703" s="68">
        <f>Table46[[#This Row],[NET WT KGS]]-Table46[[#This Row],[Refraction]]</f>
        <v>43609</v>
      </c>
      <c r="V703" s="69">
        <v>510</v>
      </c>
      <c r="W703" s="69">
        <f>Table46[[#This Row],[PRICE]]*Table46[[#This Row],[PAID WT]]</f>
        <v>22240590</v>
      </c>
      <c r="X703" s="70">
        <v>9.3000000000000007</v>
      </c>
      <c r="Y703" s="71">
        <v>175</v>
      </c>
      <c r="Z703" s="70">
        <v>41.62</v>
      </c>
      <c r="AA703" s="72"/>
      <c r="AB703" s="66" t="s">
        <v>132</v>
      </c>
      <c r="AC703" s="73"/>
      <c r="AD703" s="103" t="s">
        <v>785</v>
      </c>
      <c r="AE703" s="18">
        <f>Table46[[#This Row],[MOIS.]]*Table46[[#This Row],[NET WT KGS]]</f>
        <v>406307.7</v>
      </c>
      <c r="AF703" s="18">
        <f>Table46[[#This Row],[KOR]]*Table46[[#This Row],[NET WT KGS]]</f>
        <v>1818336.18</v>
      </c>
      <c r="AG703">
        <f>Table46[[#This Row],[NET WT KGS]]*Table46[[#This Row],[NUT COUNT]]</f>
        <v>7645575</v>
      </c>
    </row>
    <row r="704" spans="1:33" x14ac:dyDescent="0.35">
      <c r="A704" s="32">
        <f t="shared" si="76"/>
        <v>702</v>
      </c>
      <c r="B704" s="91">
        <v>46132</v>
      </c>
      <c r="C704" s="91">
        <f>Table46[[#This Row],[DATE OF ARRIVAL]]</f>
        <v>46132</v>
      </c>
      <c r="D704" s="74"/>
      <c r="E704" s="74"/>
      <c r="F704" s="74" t="s">
        <v>40</v>
      </c>
      <c r="G704" s="74"/>
      <c r="H704" s="74" t="s">
        <v>154</v>
      </c>
      <c r="I704" s="74" t="s">
        <v>155</v>
      </c>
      <c r="J704" s="74" t="s">
        <v>814</v>
      </c>
      <c r="K704" s="74"/>
      <c r="L704" s="74"/>
      <c r="M704" s="74"/>
      <c r="N704" s="74"/>
      <c r="O704" s="79">
        <f t="shared" ref="O704:O714" si="83">P704+N704</f>
        <v>0</v>
      </c>
      <c r="P704" s="37"/>
      <c r="Q704" s="74"/>
      <c r="R704" s="80"/>
      <c r="S704" s="74"/>
      <c r="T704" s="36"/>
      <c r="U704" s="79">
        <f>Table46[[#This Row],[NET WT KGS]]-Table46[[#This Row],[Refraction]]</f>
        <v>0</v>
      </c>
      <c r="V704" s="81"/>
      <c r="W704" s="81">
        <f>Table46[[#This Row],[PRICE]]*Table46[[#This Row],[PAID WT]]</f>
        <v>0</v>
      </c>
      <c r="X704" s="82">
        <v>10.7</v>
      </c>
      <c r="Y704" s="83">
        <v>186</v>
      </c>
      <c r="Z704" s="82">
        <v>40.212359999999997</v>
      </c>
      <c r="AA704" s="84"/>
      <c r="AB704" s="74" t="s">
        <v>355</v>
      </c>
      <c r="AC704" s="92" t="s">
        <v>70</v>
      </c>
      <c r="AD704" s="85"/>
      <c r="AE704" s="18">
        <f>Table46[[#This Row],[MOIS.]]*Table46[[#This Row],[NET WT KGS]]</f>
        <v>0</v>
      </c>
      <c r="AF704" s="18">
        <f>Table46[[#This Row],[KOR]]*Table46[[#This Row],[NET WT KGS]]</f>
        <v>0</v>
      </c>
      <c r="AG704">
        <f>Table46[[#This Row],[NET WT KGS]]*Table46[[#This Row],[NUT COUNT]]</f>
        <v>0</v>
      </c>
    </row>
    <row r="705" spans="1:33" x14ac:dyDescent="0.35">
      <c r="A705" s="32">
        <f t="shared" si="76"/>
        <v>703</v>
      </c>
      <c r="B705" s="91">
        <v>46132</v>
      </c>
      <c r="C705" s="91">
        <f>Table46[[#This Row],[DATE OF ARRIVAL]]</f>
        <v>46132</v>
      </c>
      <c r="D705" s="74"/>
      <c r="E705" s="74"/>
      <c r="F705" s="74" t="s">
        <v>40</v>
      </c>
      <c r="G705" s="74"/>
      <c r="H705" s="74" t="s">
        <v>338</v>
      </c>
      <c r="I705" s="74" t="s">
        <v>317</v>
      </c>
      <c r="J705" s="74" t="s">
        <v>677</v>
      </c>
      <c r="K705" s="74"/>
      <c r="L705" s="74"/>
      <c r="M705" s="74"/>
      <c r="N705" s="74"/>
      <c r="O705" s="79">
        <f t="shared" si="83"/>
        <v>0</v>
      </c>
      <c r="P705" s="37"/>
      <c r="Q705" s="74"/>
      <c r="R705" s="80"/>
      <c r="S705" s="74"/>
      <c r="T705" s="36"/>
      <c r="U705" s="79">
        <f>Table46[[#This Row],[NET WT KGS]]-Table46[[#This Row],[Refraction]]</f>
        <v>0</v>
      </c>
      <c r="V705" s="81"/>
      <c r="W705" s="81">
        <f>Table46[[#This Row],[PRICE]]*Table46[[#This Row],[PAID WT]]</f>
        <v>0</v>
      </c>
      <c r="X705" s="82">
        <v>11.9</v>
      </c>
      <c r="Y705" s="83">
        <v>164</v>
      </c>
      <c r="Z705" s="82">
        <v>40.035989999999998</v>
      </c>
      <c r="AA705" s="84"/>
      <c r="AB705" s="74" t="s">
        <v>171</v>
      </c>
      <c r="AC705" s="92" t="s">
        <v>70</v>
      </c>
      <c r="AD705" s="85"/>
      <c r="AE705" s="18">
        <f>Table46[[#This Row],[MOIS.]]*Table46[[#This Row],[NET WT KGS]]</f>
        <v>0</v>
      </c>
      <c r="AF705" s="18">
        <f>Table46[[#This Row],[KOR]]*Table46[[#This Row],[NET WT KGS]]</f>
        <v>0</v>
      </c>
      <c r="AG705">
        <f>Table46[[#This Row],[NET WT KGS]]*Table46[[#This Row],[NUT COUNT]]</f>
        <v>0</v>
      </c>
    </row>
    <row r="706" spans="1:33" x14ac:dyDescent="0.35">
      <c r="A706" s="32">
        <f t="shared" si="76"/>
        <v>704</v>
      </c>
      <c r="B706" s="65">
        <v>46132</v>
      </c>
      <c r="C706" s="65">
        <v>46133</v>
      </c>
      <c r="D706" s="66" t="s">
        <v>38</v>
      </c>
      <c r="E706" s="66" t="s">
        <v>258</v>
      </c>
      <c r="F706" s="67" t="s">
        <v>40</v>
      </c>
      <c r="G706" s="66" t="s">
        <v>350</v>
      </c>
      <c r="H706" s="66" t="s">
        <v>364</v>
      </c>
      <c r="I706" s="67" t="str">
        <f>VLOOKUP(Table46[[#This Row],[SUPPLIERS NAME]],[1]AGING!X$3:Y$80,2,)</f>
        <v>DIS-007-SPA</v>
      </c>
      <c r="J706" s="66" t="s">
        <v>815</v>
      </c>
      <c r="K706" s="77" t="s">
        <v>426</v>
      </c>
      <c r="L706" s="102">
        <v>281</v>
      </c>
      <c r="M706" s="10">
        <v>33688</v>
      </c>
      <c r="N706" s="66">
        <v>485</v>
      </c>
      <c r="O706" s="68">
        <f t="shared" si="83"/>
        <v>41440</v>
      </c>
      <c r="P706" s="22">
        <v>40955</v>
      </c>
      <c r="Q706" s="66">
        <v>465</v>
      </c>
      <c r="R706" s="123">
        <v>0</v>
      </c>
      <c r="S706" s="66">
        <v>20</v>
      </c>
      <c r="T706" s="10">
        <f t="shared" ref="T706:T718" si="84">S706*4+R706*8</f>
        <v>80</v>
      </c>
      <c r="U706" s="68">
        <f>Table46[[#This Row],[NET WT KGS]]-Table46[[#This Row],[Refraction]]</f>
        <v>40875</v>
      </c>
      <c r="V706" s="69">
        <v>500</v>
      </c>
      <c r="W706" s="69">
        <f>Table46[[#This Row],[PRICE]]*Table46[[#This Row],[PAID WT]]</f>
        <v>20437500</v>
      </c>
      <c r="X706" s="70">
        <v>11.1</v>
      </c>
      <c r="Y706" s="71">
        <v>160</v>
      </c>
      <c r="Z706" s="70">
        <v>41.62</v>
      </c>
      <c r="AA706" s="72"/>
      <c r="AB706" s="66" t="s">
        <v>40</v>
      </c>
      <c r="AC706" s="73"/>
      <c r="AD706" s="103" t="s">
        <v>785</v>
      </c>
      <c r="AE706" s="18">
        <f>Table46[[#This Row],[MOIS.]]*Table46[[#This Row],[NET WT KGS]]</f>
        <v>454600.5</v>
      </c>
      <c r="AF706" s="18">
        <f>Table46[[#This Row],[KOR]]*Table46[[#This Row],[NET WT KGS]]</f>
        <v>1704547.0999999999</v>
      </c>
      <c r="AG706">
        <f>Table46[[#This Row],[NET WT KGS]]*Table46[[#This Row],[NUT COUNT]]</f>
        <v>6552800</v>
      </c>
    </row>
    <row r="707" spans="1:33" x14ac:dyDescent="0.35">
      <c r="A707" s="32">
        <f t="shared" si="76"/>
        <v>705</v>
      </c>
      <c r="B707" s="65">
        <v>46132</v>
      </c>
      <c r="C707" s="65">
        <v>46133</v>
      </c>
      <c r="D707" s="66" t="s">
        <v>38</v>
      </c>
      <c r="E707" s="66" t="s">
        <v>39</v>
      </c>
      <c r="F707" s="67" t="s">
        <v>40</v>
      </c>
      <c r="G707" s="66" t="s">
        <v>350</v>
      </c>
      <c r="H707" s="66" t="s">
        <v>202</v>
      </c>
      <c r="I707" s="67" t="str">
        <f>VLOOKUP(Table46[[#This Row],[SUPPLIERS NAME]],[1]AGING!X$3:Y$80,2,)</f>
        <v>LBA-012-KPE</v>
      </c>
      <c r="J707" s="66" t="s">
        <v>407</v>
      </c>
      <c r="K707" s="33" t="s">
        <v>205</v>
      </c>
      <c r="L707" s="66">
        <v>280</v>
      </c>
      <c r="M707" s="10">
        <v>82165</v>
      </c>
      <c r="N707" s="66">
        <v>537</v>
      </c>
      <c r="O707" s="68">
        <f t="shared" si="83"/>
        <v>42380</v>
      </c>
      <c r="P707" s="22">
        <v>41843</v>
      </c>
      <c r="Q707" s="66">
        <v>529</v>
      </c>
      <c r="R707" s="123">
        <v>0</v>
      </c>
      <c r="S707" s="66">
        <v>8</v>
      </c>
      <c r="T707" s="10">
        <f t="shared" si="84"/>
        <v>32</v>
      </c>
      <c r="U707" s="68">
        <f>Table46[[#This Row],[NET WT KGS]]-Table46[[#This Row],[Refraction]]</f>
        <v>41811</v>
      </c>
      <c r="V707" s="69">
        <v>505</v>
      </c>
      <c r="W707" s="69">
        <f>Table46[[#This Row],[PRICE]]*Table46[[#This Row],[PAID WT]]</f>
        <v>21114555</v>
      </c>
      <c r="X707" s="70">
        <v>8.5</v>
      </c>
      <c r="Y707" s="71">
        <v>179</v>
      </c>
      <c r="Z707" s="70">
        <v>42.15</v>
      </c>
      <c r="AA707" s="72"/>
      <c r="AB707" s="66" t="s">
        <v>182</v>
      </c>
      <c r="AC707" s="73"/>
      <c r="AD707" s="103" t="s">
        <v>785</v>
      </c>
      <c r="AE707" s="18">
        <f>Table46[[#This Row],[MOIS.]]*Table46[[#This Row],[NET WT KGS]]</f>
        <v>355665.5</v>
      </c>
      <c r="AF707" s="18">
        <f>Table46[[#This Row],[KOR]]*Table46[[#This Row],[NET WT KGS]]</f>
        <v>1763682.45</v>
      </c>
      <c r="AG707">
        <f>Table46[[#This Row],[NET WT KGS]]*Table46[[#This Row],[NUT COUNT]]</f>
        <v>7489897</v>
      </c>
    </row>
    <row r="708" spans="1:33" x14ac:dyDescent="0.35">
      <c r="A708" s="32">
        <f t="shared" ref="A708:A771" si="85">A707+1</f>
        <v>706</v>
      </c>
      <c r="B708" s="65">
        <v>46132</v>
      </c>
      <c r="C708" s="65">
        <v>46133</v>
      </c>
      <c r="D708" s="66" t="s">
        <v>38</v>
      </c>
      <c r="E708" s="66" t="s">
        <v>258</v>
      </c>
      <c r="F708" s="67" t="s">
        <v>40</v>
      </c>
      <c r="G708" s="66" t="s">
        <v>41</v>
      </c>
      <c r="H708" s="66" t="s">
        <v>399</v>
      </c>
      <c r="I708" s="67" t="str">
        <f>VLOOKUP(Table46[[#This Row],[SUPPLIERS NAME]],[1]AGING!X$3:Y$80,2,)</f>
        <v>DIS-031-ADA</v>
      </c>
      <c r="J708" s="66" t="s">
        <v>816</v>
      </c>
      <c r="K708" s="21" t="s">
        <v>748</v>
      </c>
      <c r="L708" s="66">
        <v>279</v>
      </c>
      <c r="M708" s="10">
        <v>21772</v>
      </c>
      <c r="N708" s="66">
        <v>249</v>
      </c>
      <c r="O708" s="68">
        <f t="shared" si="83"/>
        <v>22000</v>
      </c>
      <c r="P708" s="22">
        <v>21751</v>
      </c>
      <c r="Q708" s="66">
        <v>244</v>
      </c>
      <c r="R708" s="123">
        <v>0</v>
      </c>
      <c r="S708" s="66">
        <v>5</v>
      </c>
      <c r="T708" s="10">
        <f t="shared" si="84"/>
        <v>20</v>
      </c>
      <c r="U708" s="68">
        <f>Table46[[#This Row],[NET WT KGS]]-Table46[[#This Row],[Refraction]]</f>
        <v>21731</v>
      </c>
      <c r="V708" s="69">
        <v>500</v>
      </c>
      <c r="W708" s="69">
        <f>Table46[[#This Row],[PRICE]]*Table46[[#This Row],[PAID WT]]</f>
        <v>10865500</v>
      </c>
      <c r="X708" s="70">
        <v>8.5</v>
      </c>
      <c r="Y708" s="71">
        <v>192</v>
      </c>
      <c r="Z708" s="70">
        <v>41.44</v>
      </c>
      <c r="AA708" s="72"/>
      <c r="AB708" s="66" t="s">
        <v>499</v>
      </c>
      <c r="AC708" s="73"/>
      <c r="AD708" s="103" t="s">
        <v>785</v>
      </c>
      <c r="AE708" s="18">
        <f>Table46[[#This Row],[MOIS.]]*Table46[[#This Row],[NET WT KGS]]</f>
        <v>184883.5</v>
      </c>
      <c r="AF708" s="18">
        <f>Table46[[#This Row],[KOR]]*Table46[[#This Row],[NET WT KGS]]</f>
        <v>901361.44</v>
      </c>
      <c r="AG708">
        <f>Table46[[#This Row],[NET WT KGS]]*Table46[[#This Row],[NUT COUNT]]</f>
        <v>4176192</v>
      </c>
    </row>
    <row r="709" spans="1:33" x14ac:dyDescent="0.35">
      <c r="A709" s="32">
        <f t="shared" si="85"/>
        <v>707</v>
      </c>
      <c r="B709" s="65">
        <v>46132</v>
      </c>
      <c r="C709" s="65">
        <v>46133</v>
      </c>
      <c r="D709" s="66" t="s">
        <v>38</v>
      </c>
      <c r="E709" s="66" t="s">
        <v>258</v>
      </c>
      <c r="F709" s="67" t="s">
        <v>40</v>
      </c>
      <c r="G709" s="66" t="s">
        <v>350</v>
      </c>
      <c r="H709" s="67" t="s">
        <v>373</v>
      </c>
      <c r="I709" s="67" t="str">
        <f>VLOOKUP(Table46[[#This Row],[SUPPLIERS NAME]],[1]AGING!X$3:Y$80,2,)</f>
        <v>DIS-008-FOU</v>
      </c>
      <c r="J709" s="66" t="s">
        <v>434</v>
      </c>
      <c r="K709" s="57" t="s">
        <v>435</v>
      </c>
      <c r="L709" s="66">
        <v>276</v>
      </c>
      <c r="M709" s="10">
        <v>23657</v>
      </c>
      <c r="N709" s="66">
        <v>495</v>
      </c>
      <c r="O709" s="68">
        <f t="shared" si="83"/>
        <v>40820</v>
      </c>
      <c r="P709" s="22">
        <v>40325</v>
      </c>
      <c r="Q709" s="66">
        <v>488</v>
      </c>
      <c r="R709" s="123">
        <v>0</v>
      </c>
      <c r="S709" s="66">
        <v>7</v>
      </c>
      <c r="T709" s="10">
        <f t="shared" si="84"/>
        <v>28</v>
      </c>
      <c r="U709" s="68">
        <f>Table46[[#This Row],[NET WT KGS]]-Table46[[#This Row],[Refraction]]</f>
        <v>40297</v>
      </c>
      <c r="V709" s="69">
        <v>495</v>
      </c>
      <c r="W709" s="69">
        <f>Table46[[#This Row],[PRICE]]*Table46[[#This Row],[PAID WT]]</f>
        <v>19947015</v>
      </c>
      <c r="X709" s="70">
        <v>10.199999999999999</v>
      </c>
      <c r="Y709" s="71">
        <v>169</v>
      </c>
      <c r="Z709" s="70">
        <v>41.27</v>
      </c>
      <c r="AA709" s="72"/>
      <c r="AB709" s="66" t="s">
        <v>308</v>
      </c>
      <c r="AC709" s="73"/>
      <c r="AD709" s="103" t="s">
        <v>785</v>
      </c>
      <c r="AE709" s="18">
        <f>Table46[[#This Row],[MOIS.]]*Table46[[#This Row],[NET WT KGS]]</f>
        <v>411315</v>
      </c>
      <c r="AF709" s="18">
        <f>Table46[[#This Row],[KOR]]*Table46[[#This Row],[NET WT KGS]]</f>
        <v>1664212.7500000002</v>
      </c>
      <c r="AG709">
        <f>Table46[[#This Row],[NET WT KGS]]*Table46[[#This Row],[NUT COUNT]]</f>
        <v>6814925</v>
      </c>
    </row>
    <row r="710" spans="1:33" x14ac:dyDescent="0.35">
      <c r="A710" s="32">
        <f t="shared" si="85"/>
        <v>708</v>
      </c>
      <c r="B710" s="65">
        <v>46132</v>
      </c>
      <c r="C710" s="65">
        <v>46133</v>
      </c>
      <c r="D710" s="66" t="s">
        <v>38</v>
      </c>
      <c r="E710" s="66" t="s">
        <v>258</v>
      </c>
      <c r="F710" s="67" t="s">
        <v>40</v>
      </c>
      <c r="G710" s="66" t="s">
        <v>350</v>
      </c>
      <c r="H710" s="67" t="s">
        <v>373</v>
      </c>
      <c r="I710" s="67" t="str">
        <f>VLOOKUP(Table46[[#This Row],[SUPPLIERS NAME]],[1]AGING!X$3:Y$80,2,)</f>
        <v>DIS-008-FOU</v>
      </c>
      <c r="J710" s="66" t="s">
        <v>817</v>
      </c>
      <c r="K710" s="57" t="s">
        <v>435</v>
      </c>
      <c r="L710" s="66">
        <v>277</v>
      </c>
      <c r="M710" s="10">
        <v>23655</v>
      </c>
      <c r="N710" s="66">
        <v>444</v>
      </c>
      <c r="O710" s="68">
        <f t="shared" si="83"/>
        <v>39360</v>
      </c>
      <c r="P710" s="22">
        <v>38916</v>
      </c>
      <c r="Q710" s="66">
        <v>420</v>
      </c>
      <c r="R710" s="123">
        <v>24</v>
      </c>
      <c r="S710" s="66">
        <v>0</v>
      </c>
      <c r="T710" s="10">
        <f t="shared" si="84"/>
        <v>192</v>
      </c>
      <c r="U710" s="68">
        <f>Table46[[#This Row],[NET WT KGS]]-Table46[[#This Row],[Refraction]]</f>
        <v>38724</v>
      </c>
      <c r="V710" s="69">
        <v>495</v>
      </c>
      <c r="W710" s="69">
        <f>Table46[[#This Row],[PRICE]]*Table46[[#This Row],[PAID WT]]</f>
        <v>19168380</v>
      </c>
      <c r="X710" s="70">
        <v>11.3</v>
      </c>
      <c r="Y710" s="71">
        <v>159</v>
      </c>
      <c r="Z710" s="70">
        <v>41.44</v>
      </c>
      <c r="AA710" s="72"/>
      <c r="AB710" s="66" t="s">
        <v>308</v>
      </c>
      <c r="AC710" s="73"/>
      <c r="AD710" s="103" t="s">
        <v>785</v>
      </c>
      <c r="AE710" s="18">
        <f>Table46[[#This Row],[MOIS.]]*Table46[[#This Row],[NET WT KGS]]</f>
        <v>439750.80000000005</v>
      </c>
      <c r="AF710" s="18">
        <f>Table46[[#This Row],[KOR]]*Table46[[#This Row],[NET WT KGS]]</f>
        <v>1612679.0399999998</v>
      </c>
      <c r="AG710">
        <f>Table46[[#This Row],[NET WT KGS]]*Table46[[#This Row],[NUT COUNT]]</f>
        <v>6187644</v>
      </c>
    </row>
    <row r="711" spans="1:33" x14ac:dyDescent="0.35">
      <c r="A711" s="32">
        <f t="shared" si="85"/>
        <v>709</v>
      </c>
      <c r="B711" s="65">
        <v>46132</v>
      </c>
      <c r="C711" s="65">
        <v>46133</v>
      </c>
      <c r="D711" s="66" t="s">
        <v>38</v>
      </c>
      <c r="E711" s="66" t="s">
        <v>39</v>
      </c>
      <c r="F711" s="67" t="s">
        <v>40</v>
      </c>
      <c r="G711" s="66" t="s">
        <v>350</v>
      </c>
      <c r="H711" s="66" t="s">
        <v>112</v>
      </c>
      <c r="I711" s="67" t="str">
        <f>VLOOKUP(Table46[[#This Row],[SUPPLIERS NAME]],[1]AGING!X$3:Y$80,2,)</f>
        <v>LBA-015-OUM</v>
      </c>
      <c r="J711" s="66" t="s">
        <v>211</v>
      </c>
      <c r="K711" s="21" t="s">
        <v>115</v>
      </c>
      <c r="L711" s="66">
        <v>278</v>
      </c>
      <c r="M711" s="10">
        <v>31993</v>
      </c>
      <c r="N711" s="66">
        <v>524</v>
      </c>
      <c r="O711" s="68">
        <f t="shared" si="83"/>
        <v>43640</v>
      </c>
      <c r="P711" s="22">
        <v>43116</v>
      </c>
      <c r="Q711" s="66">
        <v>494</v>
      </c>
      <c r="R711" s="123">
        <v>30</v>
      </c>
      <c r="S711" s="66">
        <v>0</v>
      </c>
      <c r="T711" s="10">
        <f t="shared" si="84"/>
        <v>240</v>
      </c>
      <c r="U711" s="68">
        <f>Table46[[#This Row],[NET WT KGS]]-Table46[[#This Row],[Refraction]]</f>
        <v>42876</v>
      </c>
      <c r="V711" s="69">
        <v>495</v>
      </c>
      <c r="W711" s="69">
        <f>Table46[[#This Row],[PRICE]]*Table46[[#This Row],[PAID WT]]</f>
        <v>21223620</v>
      </c>
      <c r="X711" s="70">
        <v>11.7</v>
      </c>
      <c r="Y711" s="71">
        <v>169</v>
      </c>
      <c r="Z711" s="70">
        <v>41.44</v>
      </c>
      <c r="AA711" s="72"/>
      <c r="AB711" s="66" t="s">
        <v>40</v>
      </c>
      <c r="AC711" s="73"/>
      <c r="AD711" s="103" t="s">
        <v>785</v>
      </c>
      <c r="AE711" s="18">
        <f>Table46[[#This Row],[MOIS.]]*Table46[[#This Row],[NET WT KGS]]</f>
        <v>504457.19999999995</v>
      </c>
      <c r="AF711" s="18">
        <f>Table46[[#This Row],[KOR]]*Table46[[#This Row],[NET WT KGS]]</f>
        <v>1786727.0399999998</v>
      </c>
      <c r="AG711">
        <f>Table46[[#This Row],[NET WT KGS]]*Table46[[#This Row],[NUT COUNT]]</f>
        <v>7286604</v>
      </c>
    </row>
    <row r="712" spans="1:33" x14ac:dyDescent="0.35">
      <c r="A712" s="32">
        <f t="shared" si="85"/>
        <v>710</v>
      </c>
      <c r="B712" s="65">
        <v>46132</v>
      </c>
      <c r="C712" s="65">
        <v>46133</v>
      </c>
      <c r="D712" s="66" t="s">
        <v>38</v>
      </c>
      <c r="E712" s="66" t="s">
        <v>39</v>
      </c>
      <c r="F712" s="67" t="s">
        <v>40</v>
      </c>
      <c r="G712" s="66" t="s">
        <v>350</v>
      </c>
      <c r="H712" s="10" t="s">
        <v>94</v>
      </c>
      <c r="I712" s="67" t="str">
        <f>VLOOKUP(Table46[[#This Row],[SUPPLIERS NAME]],[1]AGING!X$3:Y$80,2,)</f>
        <v>LBA-013-DAG</v>
      </c>
      <c r="J712" s="66" t="s">
        <v>304</v>
      </c>
      <c r="K712" s="33" t="s">
        <v>97</v>
      </c>
      <c r="L712" s="66">
        <v>275</v>
      </c>
      <c r="M712" s="10">
        <v>19687</v>
      </c>
      <c r="N712" s="66">
        <v>542</v>
      </c>
      <c r="O712" s="68">
        <f t="shared" si="83"/>
        <v>46620</v>
      </c>
      <c r="P712" s="68">
        <v>46078</v>
      </c>
      <c r="Q712" s="66">
        <v>512</v>
      </c>
      <c r="R712" s="123">
        <v>30</v>
      </c>
      <c r="S712" s="66">
        <v>0</v>
      </c>
      <c r="T712" s="10">
        <f t="shared" si="84"/>
        <v>240</v>
      </c>
      <c r="U712" s="68">
        <f>Table46[[#This Row],[NET WT KGS]]-Table46[[#This Row],[Refraction]]</f>
        <v>45838</v>
      </c>
      <c r="V712" s="69">
        <v>495</v>
      </c>
      <c r="W712" s="69">
        <f>Table46[[#This Row],[PRICE]]*Table46[[#This Row],[PAID WT]]</f>
        <v>22689810</v>
      </c>
      <c r="X712" s="70">
        <v>12</v>
      </c>
      <c r="Y712" s="71">
        <v>160</v>
      </c>
      <c r="Z712" s="70">
        <v>40.21</v>
      </c>
      <c r="AA712" s="72"/>
      <c r="AB712" s="66" t="s">
        <v>78</v>
      </c>
      <c r="AC712" s="73"/>
      <c r="AD712" s="103" t="s">
        <v>785</v>
      </c>
      <c r="AE712" s="18">
        <f>Table46[[#This Row],[MOIS.]]*Table46[[#This Row],[NET WT KGS]]</f>
        <v>552936</v>
      </c>
      <c r="AF712" s="18">
        <f>Table46[[#This Row],[KOR]]*Table46[[#This Row],[NET WT KGS]]</f>
        <v>1852796.3800000001</v>
      </c>
      <c r="AG712">
        <f>Table46[[#This Row],[NET WT KGS]]*Table46[[#This Row],[NUT COUNT]]</f>
        <v>7372480</v>
      </c>
    </row>
    <row r="713" spans="1:33" x14ac:dyDescent="0.35">
      <c r="A713" s="32">
        <f t="shared" si="85"/>
        <v>711</v>
      </c>
      <c r="B713" s="65">
        <v>46132</v>
      </c>
      <c r="C713" s="65">
        <v>46133</v>
      </c>
      <c r="D713" s="66" t="s">
        <v>38</v>
      </c>
      <c r="E713" s="66" t="s">
        <v>39</v>
      </c>
      <c r="F713" s="67" t="s">
        <v>40</v>
      </c>
      <c r="G713" s="66" t="s">
        <v>350</v>
      </c>
      <c r="H713" s="67" t="s">
        <v>280</v>
      </c>
      <c r="I713" s="67" t="str">
        <f>VLOOKUP(Table46[[#This Row],[SUPPLIERS NAME]],[1]AGING!X$3:Y$80,2,)</f>
        <v>LBA-016-NOU</v>
      </c>
      <c r="J713" s="66" t="s">
        <v>424</v>
      </c>
      <c r="K713" s="21" t="s">
        <v>283</v>
      </c>
      <c r="L713" s="66">
        <v>274</v>
      </c>
      <c r="M713" s="10">
        <v>18445</v>
      </c>
      <c r="N713" s="66">
        <v>453</v>
      </c>
      <c r="O713" s="68">
        <f t="shared" si="83"/>
        <v>37900</v>
      </c>
      <c r="P713" s="68">
        <v>37447</v>
      </c>
      <c r="Q713" s="66">
        <v>435</v>
      </c>
      <c r="R713" s="123">
        <v>0</v>
      </c>
      <c r="S713" s="66">
        <v>18</v>
      </c>
      <c r="T713" s="10">
        <f t="shared" si="84"/>
        <v>72</v>
      </c>
      <c r="U713" s="68">
        <f>Table46[[#This Row],[NET WT KGS]]-Table46[[#This Row],[Refraction]]</f>
        <v>37375</v>
      </c>
      <c r="V713" s="69">
        <v>505</v>
      </c>
      <c r="W713" s="69">
        <f>Table46[[#This Row],[PRICE]]*Table46[[#This Row],[PAID WT]]</f>
        <v>18874375</v>
      </c>
      <c r="X713" s="70">
        <v>10.4</v>
      </c>
      <c r="Y713" s="71">
        <v>164</v>
      </c>
      <c r="Z713" s="70">
        <v>42.5</v>
      </c>
      <c r="AA713" s="72"/>
      <c r="AB713" s="66" t="s">
        <v>367</v>
      </c>
      <c r="AC713" s="73"/>
      <c r="AD713" s="103" t="s">
        <v>785</v>
      </c>
      <c r="AE713" s="18">
        <f>Table46[[#This Row],[MOIS.]]*Table46[[#This Row],[NET WT KGS]]</f>
        <v>389448.8</v>
      </c>
      <c r="AF713" s="18">
        <f>Table46[[#This Row],[KOR]]*Table46[[#This Row],[NET WT KGS]]</f>
        <v>1591497.5</v>
      </c>
      <c r="AG713">
        <f>Table46[[#This Row],[NET WT KGS]]*Table46[[#This Row],[NUT COUNT]]</f>
        <v>6141308</v>
      </c>
    </row>
    <row r="714" spans="1:33" x14ac:dyDescent="0.35">
      <c r="A714" s="32">
        <f t="shared" si="85"/>
        <v>712</v>
      </c>
      <c r="B714" s="65">
        <v>46132</v>
      </c>
      <c r="C714" s="65">
        <v>46133</v>
      </c>
      <c r="D714" s="66" t="s">
        <v>38</v>
      </c>
      <c r="E714" s="66" t="s">
        <v>39</v>
      </c>
      <c r="F714" s="67" t="s">
        <v>40</v>
      </c>
      <c r="G714" s="66" t="s">
        <v>350</v>
      </c>
      <c r="H714" s="66" t="s">
        <v>235</v>
      </c>
      <c r="I714" s="67" t="str">
        <f>VLOOKUP(Table46[[#This Row],[SUPPLIERS NAME]],[1]AGING!X$3:Y$80,2,)</f>
        <v>LBA-008-COB</v>
      </c>
      <c r="J714" s="66" t="s">
        <v>818</v>
      </c>
      <c r="K714" s="33" t="s">
        <v>238</v>
      </c>
      <c r="L714" s="66">
        <v>273</v>
      </c>
      <c r="M714" s="10">
        <v>82500</v>
      </c>
      <c r="N714" s="66">
        <v>464</v>
      </c>
      <c r="O714" s="68">
        <f t="shared" si="83"/>
        <v>38620</v>
      </c>
      <c r="P714" s="68">
        <v>38156</v>
      </c>
      <c r="Q714" s="66">
        <v>450</v>
      </c>
      <c r="R714" s="123">
        <v>0</v>
      </c>
      <c r="S714" s="66">
        <v>14</v>
      </c>
      <c r="T714" s="10">
        <f t="shared" si="84"/>
        <v>56</v>
      </c>
      <c r="U714" s="68">
        <f>Table46[[#This Row],[NET WT KGS]]-Table46[[#This Row],[Refraction]]</f>
        <v>38100</v>
      </c>
      <c r="V714" s="69">
        <v>505</v>
      </c>
      <c r="W714" s="69">
        <f>Table46[[#This Row],[PRICE]]*Table46[[#This Row],[PAID WT]]</f>
        <v>19240500</v>
      </c>
      <c r="X714" s="70">
        <v>10</v>
      </c>
      <c r="Y714" s="71">
        <v>166</v>
      </c>
      <c r="Z714" s="70">
        <v>41.09</v>
      </c>
      <c r="AA714" s="72"/>
      <c r="AB714" s="66" t="s">
        <v>58</v>
      </c>
      <c r="AC714" s="73"/>
      <c r="AD714" s="103" t="s">
        <v>785</v>
      </c>
      <c r="AE714" s="18">
        <f>Table46[[#This Row],[MOIS.]]*Table46[[#This Row],[NET WT KGS]]</f>
        <v>381560</v>
      </c>
      <c r="AF714" s="18">
        <f>Table46[[#This Row],[KOR]]*Table46[[#This Row],[NET WT KGS]]</f>
        <v>1567830.04</v>
      </c>
      <c r="AG714">
        <f>Table46[[#This Row],[NET WT KGS]]*Table46[[#This Row],[NUT COUNT]]</f>
        <v>6333896</v>
      </c>
    </row>
    <row r="715" spans="1:33" x14ac:dyDescent="0.35">
      <c r="A715" s="32">
        <f t="shared" si="85"/>
        <v>713</v>
      </c>
      <c r="B715" s="65">
        <v>46132</v>
      </c>
      <c r="C715" s="65">
        <v>46133</v>
      </c>
      <c r="D715" s="66" t="s">
        <v>38</v>
      </c>
      <c r="E715" s="66" t="s">
        <v>39</v>
      </c>
      <c r="F715" s="67" t="s">
        <v>62</v>
      </c>
      <c r="G715" s="66"/>
      <c r="H715" s="116" t="s">
        <v>128</v>
      </c>
      <c r="I715" s="67" t="str">
        <f>VLOOKUP(Table46[[#This Row],[SUPPLIERS NAME]],[1]AGING!X$3:Y$80,2,)</f>
        <v>LBA-002-SCA</v>
      </c>
      <c r="J715" s="66" t="s">
        <v>819</v>
      </c>
      <c r="K715" s="33" t="s">
        <v>131</v>
      </c>
      <c r="L715" s="66">
        <v>642</v>
      </c>
      <c r="M715" s="10">
        <v>78880</v>
      </c>
      <c r="N715" s="66">
        <v>605</v>
      </c>
      <c r="O715" s="68">
        <v>52560</v>
      </c>
      <c r="P715" s="93">
        <f>Table46[[#This Row],[GROSS WT KGS]]-Table46[[#This Row],[SACS]]</f>
        <v>51955</v>
      </c>
      <c r="Q715" s="66">
        <v>581</v>
      </c>
      <c r="R715" s="123">
        <v>24</v>
      </c>
      <c r="S715" s="66">
        <v>0</v>
      </c>
      <c r="T715" s="10">
        <f t="shared" si="84"/>
        <v>192</v>
      </c>
      <c r="U715" s="68">
        <f>Table46[[#This Row],[NET WT KGS]]-Table46[[#This Row],[Refraction]]</f>
        <v>51763</v>
      </c>
      <c r="V715" s="69">
        <v>515</v>
      </c>
      <c r="W715" s="69">
        <f>Table46[[#This Row],[PRICE]]*Table46[[#This Row],[PAID WT]]</f>
        <v>26657945</v>
      </c>
      <c r="X715" s="70">
        <v>11.4</v>
      </c>
      <c r="Y715" s="71">
        <v>183</v>
      </c>
      <c r="Z715" s="70">
        <v>42.24</v>
      </c>
      <c r="AA715" s="72"/>
      <c r="AB715" s="66" t="s">
        <v>132</v>
      </c>
      <c r="AC715" s="73"/>
      <c r="AD715" s="103" t="s">
        <v>785</v>
      </c>
      <c r="AE715" s="18">
        <f>Table46[[#This Row],[MOIS.]]*Table46[[#This Row],[NET WT KGS]]</f>
        <v>592287</v>
      </c>
      <c r="AF715" s="18">
        <f>Table46[[#This Row],[KOR]]*Table46[[#This Row],[NET WT KGS]]</f>
        <v>2194579.2000000002</v>
      </c>
      <c r="AG715">
        <f>Table46[[#This Row],[NET WT KGS]]*Table46[[#This Row],[NUT COUNT]]</f>
        <v>9507765</v>
      </c>
    </row>
    <row r="716" spans="1:33" x14ac:dyDescent="0.35">
      <c r="A716" s="32">
        <f t="shared" si="85"/>
        <v>714</v>
      </c>
      <c r="B716" s="20">
        <v>46132</v>
      </c>
      <c r="C716" s="20">
        <v>46133</v>
      </c>
      <c r="D716" s="10" t="s">
        <v>38</v>
      </c>
      <c r="E716" s="10" t="s">
        <v>39</v>
      </c>
      <c r="F716" s="50" t="s">
        <v>62</v>
      </c>
      <c r="G716" s="10"/>
      <c r="H716" s="117" t="s">
        <v>128</v>
      </c>
      <c r="I716" s="50" t="str">
        <f>VLOOKUP(Table46[[#This Row],[SUPPLIERS NAME]],[1]AGING!X$3:Y$80,2,)</f>
        <v>LBA-002-SCA</v>
      </c>
      <c r="J716" s="10" t="s">
        <v>820</v>
      </c>
      <c r="K716" s="33" t="s">
        <v>131</v>
      </c>
      <c r="L716" s="10">
        <v>643</v>
      </c>
      <c r="M716" s="10">
        <v>78879</v>
      </c>
      <c r="N716" s="10">
        <v>637</v>
      </c>
      <c r="O716" s="22">
        <v>52790</v>
      </c>
      <c r="P716" s="51">
        <f>Table46[[#This Row],[GROSS WT KGS]]-Table46[[#This Row],[SACS]]</f>
        <v>52153</v>
      </c>
      <c r="Q716" s="10">
        <v>613</v>
      </c>
      <c r="R716" s="122">
        <v>24</v>
      </c>
      <c r="S716" s="10">
        <v>0</v>
      </c>
      <c r="T716" s="10">
        <f t="shared" si="84"/>
        <v>192</v>
      </c>
      <c r="U716" s="22">
        <f>Table46[[#This Row],[NET WT KGS]]-Table46[[#This Row],[Refraction]]</f>
        <v>51961</v>
      </c>
      <c r="V716" s="23">
        <v>515</v>
      </c>
      <c r="W716" s="23">
        <f>Table46[[#This Row],[PRICE]]*Table46[[#This Row],[PAID WT]]</f>
        <v>26759915</v>
      </c>
      <c r="X716" s="24">
        <v>11.2</v>
      </c>
      <c r="Y716" s="25">
        <v>186</v>
      </c>
      <c r="Z716" s="24">
        <v>43.21</v>
      </c>
      <c r="AA716" s="26"/>
      <c r="AB716" s="66" t="s">
        <v>132</v>
      </c>
      <c r="AC716" s="27"/>
      <c r="AD716" s="63" t="s">
        <v>785</v>
      </c>
      <c r="AE716" s="18">
        <f>Table46[[#This Row],[MOIS.]]*Table46[[#This Row],[NET WT KGS]]</f>
        <v>584113.6</v>
      </c>
      <c r="AF716" s="18">
        <f>Table46[[#This Row],[KOR]]*Table46[[#This Row],[NET WT KGS]]</f>
        <v>2253531.13</v>
      </c>
      <c r="AG716">
        <f>Table46[[#This Row],[NET WT KGS]]*Table46[[#This Row],[NUT COUNT]]</f>
        <v>9700458</v>
      </c>
    </row>
    <row r="717" spans="1:33" x14ac:dyDescent="0.35">
      <c r="A717" s="32">
        <f t="shared" si="85"/>
        <v>715</v>
      </c>
      <c r="B717" s="20">
        <v>46133</v>
      </c>
      <c r="C717" s="20">
        <v>46133</v>
      </c>
      <c r="D717" s="10" t="s">
        <v>38</v>
      </c>
      <c r="E717" s="10" t="s">
        <v>258</v>
      </c>
      <c r="F717" s="50" t="s">
        <v>62</v>
      </c>
      <c r="G717" s="10"/>
      <c r="H717" s="10" t="s">
        <v>821</v>
      </c>
      <c r="I717" s="10" t="s">
        <v>219</v>
      </c>
      <c r="J717" s="10" t="s">
        <v>822</v>
      </c>
      <c r="K717" s="107" t="s">
        <v>823</v>
      </c>
      <c r="L717" s="10">
        <v>645</v>
      </c>
      <c r="M717" s="10">
        <v>36086</v>
      </c>
      <c r="N717" s="10">
        <v>413</v>
      </c>
      <c r="O717" s="22">
        <v>39220</v>
      </c>
      <c r="P717" s="51">
        <f>Table46[[#This Row],[GROSS WT KGS]]-Table46[[#This Row],[SACS]]</f>
        <v>38807</v>
      </c>
      <c r="Q717" s="10">
        <v>387</v>
      </c>
      <c r="R717" s="122">
        <v>26</v>
      </c>
      <c r="S717" s="10">
        <v>0</v>
      </c>
      <c r="T717" s="10">
        <f t="shared" si="84"/>
        <v>208</v>
      </c>
      <c r="U717" s="22">
        <f>Table46[[#This Row],[NET WT KGS]]-Table46[[#This Row],[Refraction]]</f>
        <v>38599</v>
      </c>
      <c r="V717" s="23">
        <v>515</v>
      </c>
      <c r="W717" s="23">
        <f>Table46[[#This Row],[PRICE]]*Table46[[#This Row],[PAID WT]]</f>
        <v>19878485</v>
      </c>
      <c r="X717" s="24">
        <v>11.8</v>
      </c>
      <c r="Y717" s="25">
        <v>168</v>
      </c>
      <c r="Z717" s="24">
        <v>42.59</v>
      </c>
      <c r="AA717" s="26"/>
      <c r="AB717" s="66" t="s">
        <v>458</v>
      </c>
      <c r="AC717" s="27"/>
      <c r="AD717" s="63" t="s">
        <v>785</v>
      </c>
      <c r="AE717" s="18">
        <f>Table46[[#This Row],[MOIS.]]*Table46[[#This Row],[NET WT KGS]]</f>
        <v>457922.60000000003</v>
      </c>
      <c r="AF717" s="18">
        <f>Table46[[#This Row],[KOR]]*Table46[[#This Row],[NET WT KGS]]</f>
        <v>1652790.1300000001</v>
      </c>
      <c r="AG717">
        <f>Table46[[#This Row],[NET WT KGS]]*Table46[[#This Row],[NUT COUNT]]</f>
        <v>6519576</v>
      </c>
    </row>
    <row r="718" spans="1:33" x14ac:dyDescent="0.35">
      <c r="A718" s="32">
        <f t="shared" si="85"/>
        <v>716</v>
      </c>
      <c r="B718" s="20">
        <v>46133</v>
      </c>
      <c r="C718" s="20">
        <v>46133</v>
      </c>
      <c r="D718" s="10" t="s">
        <v>38</v>
      </c>
      <c r="E718" s="10" t="s">
        <v>258</v>
      </c>
      <c r="F718" s="50" t="s">
        <v>62</v>
      </c>
      <c r="G718" s="10"/>
      <c r="H718" s="10" t="s">
        <v>724</v>
      </c>
      <c r="I718" s="50" t="str">
        <f>VLOOKUP(Table46[[#This Row],[SUPPLIERS NAME]],[1]AGING!X$3:Y$80,2,)</f>
        <v>DIS-029-CPA</v>
      </c>
      <c r="J718" s="10" t="s">
        <v>824</v>
      </c>
      <c r="K718" s="21" t="s">
        <v>726</v>
      </c>
      <c r="L718" s="10">
        <v>644</v>
      </c>
      <c r="M718" s="10">
        <v>30273</v>
      </c>
      <c r="N718" s="10">
        <v>692</v>
      </c>
      <c r="O718" s="22">
        <v>54410</v>
      </c>
      <c r="P718" s="51">
        <f>Table46[[#This Row],[GROSS WT KGS]]-Table46[[#This Row],[SACS]]</f>
        <v>53718</v>
      </c>
      <c r="Q718" s="10">
        <v>672</v>
      </c>
      <c r="R718" s="122">
        <v>0</v>
      </c>
      <c r="S718" s="10">
        <v>20</v>
      </c>
      <c r="T718" s="10">
        <f t="shared" si="84"/>
        <v>80</v>
      </c>
      <c r="U718" s="119">
        <f>Table46[[#This Row],[NET WT KGS]]-Table46[[#This Row],[Refraction]]</f>
        <v>53638</v>
      </c>
      <c r="V718" s="23">
        <v>515</v>
      </c>
      <c r="W718" s="23">
        <f>Table46[[#This Row],[PRICE]]*Table46[[#This Row],[PAID WT]]</f>
        <v>27623570</v>
      </c>
      <c r="X718" s="24">
        <v>10.199999999999999</v>
      </c>
      <c r="Y718" s="25">
        <v>185</v>
      </c>
      <c r="Z718" s="24">
        <v>43.29</v>
      </c>
      <c r="AA718" s="26"/>
      <c r="AB718" s="66" t="s">
        <v>132</v>
      </c>
      <c r="AC718" s="27"/>
      <c r="AD718" s="63" t="s">
        <v>785</v>
      </c>
      <c r="AE718" s="18">
        <f>Table46[[#This Row],[MOIS.]]*Table46[[#This Row],[NET WT KGS]]</f>
        <v>547923.6</v>
      </c>
      <c r="AF718" s="18">
        <f>Table46[[#This Row],[KOR]]*Table46[[#This Row],[NET WT KGS]]</f>
        <v>2325452.2199999997</v>
      </c>
      <c r="AG718">
        <f>Table46[[#This Row],[NET WT KGS]]*Table46[[#This Row],[NUT COUNT]]</f>
        <v>9937830</v>
      </c>
    </row>
    <row r="719" spans="1:33" x14ac:dyDescent="0.35">
      <c r="A719" s="32">
        <f t="shared" si="85"/>
        <v>717</v>
      </c>
      <c r="B719" s="35">
        <v>46133</v>
      </c>
      <c r="C719" s="35">
        <f>Table46[[#This Row],[DATE OF ARRIVAL]]</f>
        <v>46133</v>
      </c>
      <c r="D719" s="36"/>
      <c r="E719" s="36"/>
      <c r="F719" s="36" t="s">
        <v>40</v>
      </c>
      <c r="G719" s="36"/>
      <c r="H719" s="36" t="s">
        <v>364</v>
      </c>
      <c r="I719" s="36" t="s">
        <v>84</v>
      </c>
      <c r="J719" s="36" t="s">
        <v>825</v>
      </c>
      <c r="K719" s="106"/>
      <c r="L719" s="36"/>
      <c r="M719" s="36"/>
      <c r="N719" s="36"/>
      <c r="O719" s="37">
        <f t="shared" ref="O719:O726" si="86">P719+N719</f>
        <v>0</v>
      </c>
      <c r="P719" s="37"/>
      <c r="Q719" s="36"/>
      <c r="R719" s="86"/>
      <c r="S719" s="36"/>
      <c r="T719" s="36"/>
      <c r="U719" s="37">
        <f>Table46[[#This Row],[NET WT KGS]]-Table46[[#This Row],[Refraction]]</f>
        <v>0</v>
      </c>
      <c r="V719" s="38"/>
      <c r="W719" s="38">
        <f>Table46[[#This Row],[PRICE]]*Table46[[#This Row],[PAID WT]]</f>
        <v>0</v>
      </c>
      <c r="X719" s="39">
        <v>9</v>
      </c>
      <c r="Y719" s="40">
        <v>176</v>
      </c>
      <c r="Z719" s="39">
        <v>40.388730000000002</v>
      </c>
      <c r="AA719" s="41"/>
      <c r="AB719" s="74" t="s">
        <v>546</v>
      </c>
      <c r="AC719" s="42" t="s">
        <v>70</v>
      </c>
      <c r="AD719" s="28"/>
      <c r="AE719" s="18">
        <f>Table46[[#This Row],[MOIS.]]*Table46[[#This Row],[NET WT KGS]]</f>
        <v>0</v>
      </c>
      <c r="AF719" s="18">
        <f>Table46[[#This Row],[KOR]]*Table46[[#This Row],[NET WT KGS]]</f>
        <v>0</v>
      </c>
      <c r="AG719">
        <f>Table46[[#This Row],[NET WT KGS]]*Table46[[#This Row],[NUT COUNT]]</f>
        <v>0</v>
      </c>
    </row>
    <row r="720" spans="1:33" x14ac:dyDescent="0.35">
      <c r="A720" s="32">
        <f t="shared" si="85"/>
        <v>718</v>
      </c>
      <c r="B720" s="35">
        <v>46133</v>
      </c>
      <c r="C720" s="35">
        <f>Table46[[#This Row],[DATE OF ARRIVAL]]</f>
        <v>46133</v>
      </c>
      <c r="D720" s="36"/>
      <c r="E720" s="36"/>
      <c r="F720" s="36" t="s">
        <v>40</v>
      </c>
      <c r="G720" s="36"/>
      <c r="H720" s="36" t="s">
        <v>335</v>
      </c>
      <c r="I720" s="36" t="s">
        <v>66</v>
      </c>
      <c r="J720" s="36" t="s">
        <v>826</v>
      </c>
      <c r="K720" s="106"/>
      <c r="L720" s="36"/>
      <c r="M720" s="36"/>
      <c r="N720" s="36"/>
      <c r="O720" s="37">
        <f t="shared" si="86"/>
        <v>0</v>
      </c>
      <c r="P720" s="37"/>
      <c r="Q720" s="36"/>
      <c r="R720" s="86"/>
      <c r="S720" s="36"/>
      <c r="T720" s="36"/>
      <c r="U720" s="37">
        <f>Table46[[#This Row],[NET WT KGS]]-Table46[[#This Row],[Refraction]]</f>
        <v>0</v>
      </c>
      <c r="V720" s="38"/>
      <c r="W720" s="38">
        <f>Table46[[#This Row],[PRICE]]*Table46[[#This Row],[PAID WT]]</f>
        <v>0</v>
      </c>
      <c r="X720" s="39">
        <v>12.2</v>
      </c>
      <c r="Y720" s="40">
        <v>163</v>
      </c>
      <c r="Z720" s="39">
        <v>40.212359999999997</v>
      </c>
      <c r="AA720" s="41"/>
      <c r="AB720" s="74" t="s">
        <v>40</v>
      </c>
      <c r="AC720" s="42" t="s">
        <v>70</v>
      </c>
      <c r="AD720" s="28"/>
      <c r="AE720" s="18">
        <f>Table46[[#This Row],[MOIS.]]*Table46[[#This Row],[NET WT KGS]]</f>
        <v>0</v>
      </c>
      <c r="AF720" s="18">
        <f>Table46[[#This Row],[KOR]]*Table46[[#This Row],[NET WT KGS]]</f>
        <v>0</v>
      </c>
      <c r="AG720">
        <f>Table46[[#This Row],[NET WT KGS]]*Table46[[#This Row],[NUT COUNT]]</f>
        <v>0</v>
      </c>
    </row>
    <row r="721" spans="1:33" x14ac:dyDescent="0.35">
      <c r="A721" s="32">
        <f t="shared" si="85"/>
        <v>719</v>
      </c>
      <c r="B721" s="35">
        <v>46133</v>
      </c>
      <c r="C721" s="35">
        <f>Table46[[#This Row],[DATE OF ARRIVAL]]</f>
        <v>46133</v>
      </c>
      <c r="D721" s="36"/>
      <c r="E721" s="36"/>
      <c r="F721" s="36" t="s">
        <v>40</v>
      </c>
      <c r="G721" s="36"/>
      <c r="H721" s="36" t="s">
        <v>154</v>
      </c>
      <c r="I721" s="36" t="s">
        <v>155</v>
      </c>
      <c r="J721" s="36" t="s">
        <v>698</v>
      </c>
      <c r="K721" s="106"/>
      <c r="L721" s="36"/>
      <c r="M721" s="36"/>
      <c r="N721" s="36"/>
      <c r="O721" s="37">
        <f t="shared" si="86"/>
        <v>0</v>
      </c>
      <c r="P721" s="37"/>
      <c r="Q721" s="36"/>
      <c r="R721" s="86"/>
      <c r="S721" s="36"/>
      <c r="T721" s="36"/>
      <c r="U721" s="37">
        <f>Table46[[#This Row],[NET WT KGS]]-Table46[[#This Row],[Refraction]]</f>
        <v>0</v>
      </c>
      <c r="V721" s="38"/>
      <c r="W721" s="38">
        <f>Table46[[#This Row],[PRICE]]*Table46[[#This Row],[PAID WT]]</f>
        <v>0</v>
      </c>
      <c r="X721" s="39">
        <v>10.5</v>
      </c>
      <c r="Y721" s="40">
        <v>178</v>
      </c>
      <c r="Z721" s="39">
        <v>39.85962</v>
      </c>
      <c r="AA721" s="41"/>
      <c r="AB721" s="74" t="s">
        <v>332</v>
      </c>
      <c r="AC721" s="42" t="s">
        <v>70</v>
      </c>
      <c r="AD721" s="28"/>
      <c r="AE721" s="18">
        <f>Table46[[#This Row],[MOIS.]]*Table46[[#This Row],[NET WT KGS]]</f>
        <v>0</v>
      </c>
      <c r="AF721" s="18">
        <f>Table46[[#This Row],[KOR]]*Table46[[#This Row],[NET WT KGS]]</f>
        <v>0</v>
      </c>
      <c r="AG721">
        <f>Table46[[#This Row],[NET WT KGS]]*Table46[[#This Row],[NUT COUNT]]</f>
        <v>0</v>
      </c>
    </row>
    <row r="722" spans="1:33" x14ac:dyDescent="0.35">
      <c r="A722" s="32">
        <f t="shared" si="85"/>
        <v>720</v>
      </c>
      <c r="B722" s="35">
        <v>46133</v>
      </c>
      <c r="C722" s="35">
        <f>Table46[[#This Row],[DATE OF ARRIVAL]]</f>
        <v>46133</v>
      </c>
      <c r="D722" s="36"/>
      <c r="E722" s="36"/>
      <c r="F722" s="36" t="s">
        <v>40</v>
      </c>
      <c r="G722" s="36"/>
      <c r="H722" s="36" t="s">
        <v>335</v>
      </c>
      <c r="I722" s="36" t="s">
        <v>66</v>
      </c>
      <c r="J722" s="36" t="s">
        <v>445</v>
      </c>
      <c r="K722" s="106"/>
      <c r="L722" s="36"/>
      <c r="M722" s="36"/>
      <c r="N722" s="36"/>
      <c r="O722" s="37">
        <f t="shared" si="86"/>
        <v>0</v>
      </c>
      <c r="P722" s="37"/>
      <c r="Q722" s="36"/>
      <c r="R722" s="86"/>
      <c r="S722" s="36"/>
      <c r="T722" s="36"/>
      <c r="U722" s="37">
        <f>Table46[[#This Row],[NET WT KGS]]-Table46[[#This Row],[Refraction]]</f>
        <v>0</v>
      </c>
      <c r="V722" s="38"/>
      <c r="W722" s="38">
        <f>Table46[[#This Row],[PRICE]]*Table46[[#This Row],[PAID WT]]</f>
        <v>0</v>
      </c>
      <c r="X722" s="39">
        <v>13.5</v>
      </c>
      <c r="Y722" s="40">
        <v>154</v>
      </c>
      <c r="Z722" s="39">
        <v>41.446950000000001</v>
      </c>
      <c r="AA722" s="41"/>
      <c r="AB722" s="74" t="s">
        <v>367</v>
      </c>
      <c r="AC722" s="42" t="s">
        <v>70</v>
      </c>
      <c r="AD722" s="28"/>
      <c r="AE722" s="18">
        <f>Table46[[#This Row],[MOIS.]]*Table46[[#This Row],[NET WT KGS]]</f>
        <v>0</v>
      </c>
      <c r="AF722" s="18">
        <f>Table46[[#This Row],[KOR]]*Table46[[#This Row],[NET WT KGS]]</f>
        <v>0</v>
      </c>
      <c r="AG722">
        <f>Table46[[#This Row],[NET WT KGS]]*Table46[[#This Row],[NUT COUNT]]</f>
        <v>0</v>
      </c>
    </row>
    <row r="723" spans="1:33" x14ac:dyDescent="0.35">
      <c r="A723" s="32">
        <f t="shared" si="85"/>
        <v>721</v>
      </c>
      <c r="B723" s="35">
        <v>46133</v>
      </c>
      <c r="C723" s="35">
        <f>Table46[[#This Row],[DATE OF ARRIVAL]]</f>
        <v>46133</v>
      </c>
      <c r="D723" s="36"/>
      <c r="E723" s="36"/>
      <c r="F723" s="36" t="s">
        <v>40</v>
      </c>
      <c r="G723" s="36"/>
      <c r="H723" s="36" t="s">
        <v>335</v>
      </c>
      <c r="I723" s="36" t="s">
        <v>66</v>
      </c>
      <c r="J723" s="36" t="s">
        <v>669</v>
      </c>
      <c r="K723" s="106"/>
      <c r="L723" s="36"/>
      <c r="M723" s="36"/>
      <c r="N723" s="36"/>
      <c r="O723" s="37">
        <f t="shared" si="86"/>
        <v>0</v>
      </c>
      <c r="P723" s="37"/>
      <c r="Q723" s="36"/>
      <c r="R723" s="86"/>
      <c r="S723" s="36"/>
      <c r="T723" s="36"/>
      <c r="U723" s="37">
        <f>Table46[[#This Row],[NET WT KGS]]-Table46[[#This Row],[Refraction]]</f>
        <v>0</v>
      </c>
      <c r="V723" s="38"/>
      <c r="W723" s="38">
        <f>Table46[[#This Row],[PRICE]]*Table46[[#This Row],[PAID WT]]</f>
        <v>0</v>
      </c>
      <c r="X723" s="39">
        <v>15.5</v>
      </c>
      <c r="Y723" s="40">
        <v>166</v>
      </c>
      <c r="Z723" s="39">
        <v>38.625030000000002</v>
      </c>
      <c r="AA723" s="41"/>
      <c r="AB723" s="74" t="s">
        <v>58</v>
      </c>
      <c r="AC723" s="42" t="s">
        <v>70</v>
      </c>
      <c r="AD723" s="28"/>
      <c r="AE723" s="18">
        <f>Table46[[#This Row],[MOIS.]]*Table46[[#This Row],[NET WT KGS]]</f>
        <v>0</v>
      </c>
      <c r="AF723" s="18">
        <f>Table46[[#This Row],[KOR]]*Table46[[#This Row],[NET WT KGS]]</f>
        <v>0</v>
      </c>
      <c r="AG723">
        <f>Table46[[#This Row],[NET WT KGS]]*Table46[[#This Row],[NUT COUNT]]</f>
        <v>0</v>
      </c>
    </row>
    <row r="724" spans="1:33" x14ac:dyDescent="0.35">
      <c r="A724" s="32">
        <f t="shared" si="85"/>
        <v>722</v>
      </c>
      <c r="B724" s="35">
        <v>46133</v>
      </c>
      <c r="C724" s="35">
        <f>Table46[[#This Row],[DATE OF ARRIVAL]]</f>
        <v>46133</v>
      </c>
      <c r="D724" s="36"/>
      <c r="E724" s="36"/>
      <c r="F724" s="36" t="s">
        <v>62</v>
      </c>
      <c r="G724" s="36"/>
      <c r="H724" s="36" t="s">
        <v>193</v>
      </c>
      <c r="I724" s="36" t="s">
        <v>194</v>
      </c>
      <c r="J724" s="36" t="s">
        <v>827</v>
      </c>
      <c r="K724" s="106"/>
      <c r="L724" s="36"/>
      <c r="M724" s="36"/>
      <c r="N724" s="36"/>
      <c r="O724" s="37">
        <f t="shared" si="86"/>
        <v>0</v>
      </c>
      <c r="P724" s="37"/>
      <c r="Q724" s="36"/>
      <c r="R724" s="86"/>
      <c r="S724" s="36"/>
      <c r="T724" s="36"/>
      <c r="U724" s="37">
        <f>Table46[[#This Row],[NET WT KGS]]-Table46[[#This Row],[Refraction]]</f>
        <v>0</v>
      </c>
      <c r="V724" s="38"/>
      <c r="W724" s="38">
        <f>Table46[[#This Row],[PRICE]]*Table46[[#This Row],[PAID WT]]</f>
        <v>0</v>
      </c>
      <c r="X724" s="39">
        <v>12.7</v>
      </c>
      <c r="Y724" s="40">
        <v>184</v>
      </c>
      <c r="Z724" s="39">
        <v>39.85</v>
      </c>
      <c r="AA724" s="41"/>
      <c r="AB724" s="74" t="s">
        <v>132</v>
      </c>
      <c r="AC724" s="42" t="s">
        <v>70</v>
      </c>
      <c r="AD724" s="99"/>
      <c r="AE724" s="18">
        <f>Table46[[#This Row],[MOIS.]]*Table46[[#This Row],[NET WT KGS]]</f>
        <v>0</v>
      </c>
      <c r="AF724" s="18">
        <f>Table46[[#This Row],[KOR]]*Table46[[#This Row],[NET WT KGS]]</f>
        <v>0</v>
      </c>
      <c r="AG724">
        <f>Table46[[#This Row],[NET WT KGS]]*Table46[[#This Row],[NUT COUNT]]</f>
        <v>0</v>
      </c>
    </row>
    <row r="725" spans="1:33" x14ac:dyDescent="0.35">
      <c r="A725" s="32">
        <f t="shared" si="85"/>
        <v>723</v>
      </c>
      <c r="B725" s="20">
        <v>46133</v>
      </c>
      <c r="C725" s="20">
        <v>46134</v>
      </c>
      <c r="D725" s="10" t="s">
        <v>38</v>
      </c>
      <c r="E725" s="10" t="s">
        <v>39</v>
      </c>
      <c r="F725" s="50" t="s">
        <v>40</v>
      </c>
      <c r="G725" s="10" t="s">
        <v>41</v>
      </c>
      <c r="H725" s="10" t="s">
        <v>235</v>
      </c>
      <c r="I725" s="50" t="str">
        <f>VLOOKUP(Table46[[#This Row],[SUPPLIERS NAME]],[1]AGING!X$3:Y$80,2,)</f>
        <v>LBA-008-COB</v>
      </c>
      <c r="J725" s="10" t="s">
        <v>828</v>
      </c>
      <c r="K725" s="33" t="s">
        <v>238</v>
      </c>
      <c r="L725" s="10">
        <v>286</v>
      </c>
      <c r="M725" s="10">
        <v>67796</v>
      </c>
      <c r="N725" s="10">
        <v>464</v>
      </c>
      <c r="O725" s="22">
        <f t="shared" si="86"/>
        <v>41660</v>
      </c>
      <c r="P725" s="22">
        <v>41196</v>
      </c>
      <c r="Q725" s="10">
        <v>451</v>
      </c>
      <c r="R725" s="122">
        <v>0</v>
      </c>
      <c r="S725" s="10">
        <v>13</v>
      </c>
      <c r="T725" s="10">
        <f t="shared" ref="T725:T733" si="87">S725*4+R725*8</f>
        <v>52</v>
      </c>
      <c r="U725" s="22">
        <f>Table46[[#This Row],[NET WT KGS]]-Table46[[#This Row],[Refraction]]</f>
        <v>41144</v>
      </c>
      <c r="V725" s="23">
        <v>500</v>
      </c>
      <c r="W725" s="23">
        <f>Table46[[#This Row],[PRICE]]*Table46[[#This Row],[PAID WT]]</f>
        <v>20572000</v>
      </c>
      <c r="X725" s="24">
        <v>9.1999999999999993</v>
      </c>
      <c r="Y725" s="25">
        <v>159</v>
      </c>
      <c r="Z725" s="24">
        <v>41.44</v>
      </c>
      <c r="AA725" s="26"/>
      <c r="AB725" s="66" t="s">
        <v>46</v>
      </c>
      <c r="AC725" s="27"/>
      <c r="AD725" s="63" t="s">
        <v>785</v>
      </c>
      <c r="AE725" s="18">
        <f>Table46[[#This Row],[MOIS.]]*Table46[[#This Row],[NET WT KGS]]</f>
        <v>379003.19999999995</v>
      </c>
      <c r="AF725" s="18">
        <f>Table46[[#This Row],[KOR]]*Table46[[#This Row],[NET WT KGS]]</f>
        <v>1707162.24</v>
      </c>
      <c r="AG725">
        <f>Table46[[#This Row],[NET WT KGS]]*Table46[[#This Row],[NUT COUNT]]</f>
        <v>6550164</v>
      </c>
    </row>
    <row r="726" spans="1:33" x14ac:dyDescent="0.35">
      <c r="A726" s="32">
        <f t="shared" si="85"/>
        <v>724</v>
      </c>
      <c r="B726" s="20">
        <v>46133</v>
      </c>
      <c r="C726" s="20">
        <v>46134</v>
      </c>
      <c r="D726" s="10" t="s">
        <v>38</v>
      </c>
      <c r="E726" s="10" t="s">
        <v>39</v>
      </c>
      <c r="F726" s="50" t="s">
        <v>40</v>
      </c>
      <c r="G726" s="10" t="s">
        <v>350</v>
      </c>
      <c r="H726" s="50" t="s">
        <v>280</v>
      </c>
      <c r="I726" s="50" t="str">
        <f>VLOOKUP(Table46[[#This Row],[SUPPLIERS NAME]],[1]AGING!X$3:Y$80,2,)</f>
        <v>LBA-016-NOU</v>
      </c>
      <c r="J726" s="10" t="s">
        <v>471</v>
      </c>
      <c r="K726" s="21" t="s">
        <v>283</v>
      </c>
      <c r="L726" s="10">
        <v>284</v>
      </c>
      <c r="M726" s="10">
        <v>18443</v>
      </c>
      <c r="N726" s="10">
        <v>462</v>
      </c>
      <c r="O726" s="22">
        <f t="shared" si="86"/>
        <v>39180</v>
      </c>
      <c r="P726" s="22">
        <v>38718</v>
      </c>
      <c r="Q726" s="10">
        <v>442</v>
      </c>
      <c r="R726" s="122">
        <v>0</v>
      </c>
      <c r="S726" s="10">
        <v>20</v>
      </c>
      <c r="T726" s="10">
        <f t="shared" si="87"/>
        <v>80</v>
      </c>
      <c r="U726" s="22">
        <f>Table46[[#This Row],[NET WT KGS]]-Table46[[#This Row],[Refraction]]</f>
        <v>38638</v>
      </c>
      <c r="V726" s="23">
        <v>490</v>
      </c>
      <c r="W726" s="23">
        <f>Table46[[#This Row],[PRICE]]*Table46[[#This Row],[PAID WT]]</f>
        <v>18932620</v>
      </c>
      <c r="X726" s="24">
        <v>10.4</v>
      </c>
      <c r="Y726" s="25">
        <v>160</v>
      </c>
      <c r="Z726" s="24">
        <v>41.62</v>
      </c>
      <c r="AA726" s="26"/>
      <c r="AB726" s="66" t="s">
        <v>284</v>
      </c>
      <c r="AC726" s="27"/>
      <c r="AD726" s="63" t="s">
        <v>785</v>
      </c>
      <c r="AE726" s="18">
        <f>Table46[[#This Row],[MOIS.]]*Table46[[#This Row],[NET WT KGS]]</f>
        <v>402667.2</v>
      </c>
      <c r="AF726" s="18">
        <f>Table46[[#This Row],[KOR]]*Table46[[#This Row],[NET WT KGS]]</f>
        <v>1611443.16</v>
      </c>
      <c r="AG726">
        <f>Table46[[#This Row],[NET WT KGS]]*Table46[[#This Row],[NUT COUNT]]</f>
        <v>6194880</v>
      </c>
    </row>
    <row r="727" spans="1:33" x14ac:dyDescent="0.35">
      <c r="A727" s="32">
        <f t="shared" si="85"/>
        <v>725</v>
      </c>
      <c r="B727" s="20">
        <v>46133</v>
      </c>
      <c r="C727" s="20">
        <v>46134</v>
      </c>
      <c r="D727" s="10" t="s">
        <v>38</v>
      </c>
      <c r="E727" s="10" t="s">
        <v>39</v>
      </c>
      <c r="F727" s="50" t="s">
        <v>62</v>
      </c>
      <c r="G727" s="10"/>
      <c r="H727" s="117" t="s">
        <v>128</v>
      </c>
      <c r="I727" s="50" t="str">
        <f>VLOOKUP(Table46[[#This Row],[SUPPLIERS NAME]],[1]AGING!X$3:Y$80,2,)</f>
        <v>LBA-002-SCA</v>
      </c>
      <c r="J727" s="10" t="s">
        <v>829</v>
      </c>
      <c r="K727" s="33" t="s">
        <v>131</v>
      </c>
      <c r="L727" s="10">
        <v>646</v>
      </c>
      <c r="M727" s="10">
        <v>78891</v>
      </c>
      <c r="N727" s="10">
        <v>592</v>
      </c>
      <c r="O727" s="22">
        <v>48900</v>
      </c>
      <c r="P727" s="51">
        <f>Table46[[#This Row],[GROSS WT KGS]]-Table46[[#This Row],[SACS]]</f>
        <v>48308</v>
      </c>
      <c r="Q727" s="10">
        <v>572</v>
      </c>
      <c r="R727" s="122">
        <v>0</v>
      </c>
      <c r="S727" s="10">
        <v>20</v>
      </c>
      <c r="T727" s="10">
        <f t="shared" si="87"/>
        <v>80</v>
      </c>
      <c r="U727" s="22">
        <f>Table46[[#This Row],[NET WT KGS]]-Table46[[#This Row],[Refraction]]</f>
        <v>48228</v>
      </c>
      <c r="V727" s="23">
        <v>515</v>
      </c>
      <c r="W727" s="23">
        <f>Table46[[#This Row],[PRICE]]*Table46[[#This Row],[PAID WT]]</f>
        <v>24837420</v>
      </c>
      <c r="X727" s="24">
        <v>10.5</v>
      </c>
      <c r="Y727" s="25">
        <v>183</v>
      </c>
      <c r="Z727" s="24">
        <v>42.76</v>
      </c>
      <c r="AA727" s="26"/>
      <c r="AB727" s="66" t="s">
        <v>132</v>
      </c>
      <c r="AC727" s="27"/>
      <c r="AD727" s="63" t="s">
        <v>785</v>
      </c>
      <c r="AE727" s="18">
        <f>Table46[[#This Row],[MOIS.]]*Table46[[#This Row],[NET WT KGS]]</f>
        <v>507234</v>
      </c>
      <c r="AF727" s="18">
        <f>Table46[[#This Row],[KOR]]*Table46[[#This Row],[NET WT KGS]]</f>
        <v>2065650.0799999998</v>
      </c>
      <c r="AG727">
        <f>Table46[[#This Row],[NET WT KGS]]*Table46[[#This Row],[NUT COUNT]]</f>
        <v>8840364</v>
      </c>
    </row>
    <row r="728" spans="1:33" x14ac:dyDescent="0.35">
      <c r="A728" s="32">
        <f t="shared" si="85"/>
        <v>726</v>
      </c>
      <c r="B728" s="20">
        <v>46133</v>
      </c>
      <c r="C728" s="20">
        <v>46134</v>
      </c>
      <c r="D728" s="10" t="s">
        <v>38</v>
      </c>
      <c r="E728" s="10" t="s">
        <v>39</v>
      </c>
      <c r="F728" s="50" t="s">
        <v>62</v>
      </c>
      <c r="G728" s="10"/>
      <c r="H728" s="117" t="s">
        <v>128</v>
      </c>
      <c r="I728" s="50" t="str">
        <f>VLOOKUP(Table46[[#This Row],[SUPPLIERS NAME]],[1]AGING!X$3:Y$80,2,)</f>
        <v>LBA-002-SCA</v>
      </c>
      <c r="J728" s="10" t="s">
        <v>467</v>
      </c>
      <c r="K728" s="33" t="s">
        <v>131</v>
      </c>
      <c r="L728" s="10">
        <v>647</v>
      </c>
      <c r="M728" s="10">
        <v>78888</v>
      </c>
      <c r="N728" s="10">
        <v>587</v>
      </c>
      <c r="O728" s="22">
        <v>51770</v>
      </c>
      <c r="P728" s="51">
        <f>Table46[[#This Row],[GROSS WT KGS]]-Table46[[#This Row],[SACS]]</f>
        <v>51183</v>
      </c>
      <c r="Q728" s="10">
        <v>552</v>
      </c>
      <c r="R728" s="122">
        <v>35</v>
      </c>
      <c r="S728" s="10">
        <v>0</v>
      </c>
      <c r="T728" s="10">
        <f t="shared" si="87"/>
        <v>280</v>
      </c>
      <c r="U728" s="22">
        <f>Table46[[#This Row],[NET WT KGS]]-Table46[[#This Row],[Refraction]]</f>
        <v>50903</v>
      </c>
      <c r="V728" s="23">
        <v>515</v>
      </c>
      <c r="W728" s="23">
        <f>Table46[[#This Row],[PRICE]]*Table46[[#This Row],[PAID WT]]</f>
        <v>26215045</v>
      </c>
      <c r="X728" s="24">
        <v>12.1</v>
      </c>
      <c r="Y728" s="25">
        <v>186</v>
      </c>
      <c r="Z728" s="24">
        <v>44.09</v>
      </c>
      <c r="AA728" s="26"/>
      <c r="AB728" s="66" t="s">
        <v>132</v>
      </c>
      <c r="AC728" s="27"/>
      <c r="AD728" s="63" t="s">
        <v>785</v>
      </c>
      <c r="AE728" s="18">
        <f>Table46[[#This Row],[MOIS.]]*Table46[[#This Row],[NET WT KGS]]</f>
        <v>619314.29999999993</v>
      </c>
      <c r="AF728" s="18">
        <f>Table46[[#This Row],[KOR]]*Table46[[#This Row],[NET WT KGS]]</f>
        <v>2256658.4700000002</v>
      </c>
      <c r="AG728">
        <f>Table46[[#This Row],[NET WT KGS]]*Table46[[#This Row],[NUT COUNT]]</f>
        <v>9520038</v>
      </c>
    </row>
    <row r="729" spans="1:33" x14ac:dyDescent="0.35">
      <c r="A729" s="32">
        <f t="shared" si="85"/>
        <v>727</v>
      </c>
      <c r="B729" s="20">
        <v>46134</v>
      </c>
      <c r="C729" s="20">
        <v>46134</v>
      </c>
      <c r="D729" s="10" t="s">
        <v>38</v>
      </c>
      <c r="E729" s="10" t="s">
        <v>39</v>
      </c>
      <c r="F729" s="50" t="s">
        <v>40</v>
      </c>
      <c r="G729" s="10" t="s">
        <v>41</v>
      </c>
      <c r="H729" s="10" t="s">
        <v>338</v>
      </c>
      <c r="I729" s="50" t="str">
        <f>VLOOKUP(Table46[[#This Row],[SUPPLIERS NAME]],[1]AGING!X$3:Y$80,2,)</f>
        <v>LBA-018-COP</v>
      </c>
      <c r="J729" s="10" t="s">
        <v>695</v>
      </c>
      <c r="K729" s="57" t="s">
        <v>340</v>
      </c>
      <c r="L729" s="10">
        <v>288</v>
      </c>
      <c r="M729" s="10">
        <v>19995</v>
      </c>
      <c r="N729" s="10">
        <v>454</v>
      </c>
      <c r="O729" s="22">
        <f t="shared" ref="O729:O742" si="88">P729+N729</f>
        <v>37920</v>
      </c>
      <c r="P729" s="22">
        <v>37466</v>
      </c>
      <c r="Q729" s="10">
        <v>439</v>
      </c>
      <c r="R729" s="122">
        <v>0</v>
      </c>
      <c r="S729" s="10">
        <v>15</v>
      </c>
      <c r="T729" s="10">
        <f t="shared" si="87"/>
        <v>60</v>
      </c>
      <c r="U729" s="22">
        <f>Table46[[#This Row],[NET WT KGS]]-Table46[[#This Row],[Refraction]]</f>
        <v>37406</v>
      </c>
      <c r="V729" s="23">
        <v>505</v>
      </c>
      <c r="W729" s="23">
        <f>Table46[[#This Row],[PRICE]]*Table46[[#This Row],[PAID WT]]</f>
        <v>18890030</v>
      </c>
      <c r="X729" s="24">
        <v>9.9</v>
      </c>
      <c r="Y729" s="25">
        <v>176</v>
      </c>
      <c r="Z729" s="24">
        <v>41.27</v>
      </c>
      <c r="AA729" s="26"/>
      <c r="AB729" s="66" t="s">
        <v>171</v>
      </c>
      <c r="AC729" s="27"/>
      <c r="AD729" s="63" t="s">
        <v>785</v>
      </c>
      <c r="AE729" s="18">
        <f>Table46[[#This Row],[MOIS.]]*Table46[[#This Row],[NET WT KGS]]</f>
        <v>370913.4</v>
      </c>
      <c r="AF729" s="18">
        <f>Table46[[#This Row],[KOR]]*Table46[[#This Row],[NET WT KGS]]</f>
        <v>1546221.82</v>
      </c>
      <c r="AG729">
        <f>Table46[[#This Row],[NET WT KGS]]*Table46[[#This Row],[NUT COUNT]]</f>
        <v>6594016</v>
      </c>
    </row>
    <row r="730" spans="1:33" x14ac:dyDescent="0.35">
      <c r="A730" s="32">
        <f t="shared" si="85"/>
        <v>728</v>
      </c>
      <c r="B730" s="20">
        <v>46134</v>
      </c>
      <c r="C730" s="20">
        <v>46134</v>
      </c>
      <c r="D730" s="10" t="s">
        <v>38</v>
      </c>
      <c r="E730" s="10" t="s">
        <v>39</v>
      </c>
      <c r="F730" s="50" t="s">
        <v>40</v>
      </c>
      <c r="G730" s="10" t="s">
        <v>350</v>
      </c>
      <c r="H730" s="10" t="s">
        <v>154</v>
      </c>
      <c r="I730" s="50" t="str">
        <f>VLOOKUP(Table46[[#This Row],[SUPPLIERS NAME]],[1]AGING!X$3:Y$80,2,)</f>
        <v>LBA-010-CAP</v>
      </c>
      <c r="J730" s="10" t="s">
        <v>830</v>
      </c>
      <c r="K730" s="33" t="s">
        <v>157</v>
      </c>
      <c r="L730" s="10">
        <v>287</v>
      </c>
      <c r="M730" s="10">
        <v>87094</v>
      </c>
      <c r="N730" s="10">
        <v>284</v>
      </c>
      <c r="O730" s="22">
        <f t="shared" si="88"/>
        <v>20860</v>
      </c>
      <c r="P730" s="22">
        <v>20576</v>
      </c>
      <c r="Q730" s="10">
        <v>252</v>
      </c>
      <c r="R730" s="122">
        <v>32</v>
      </c>
      <c r="S730" s="10">
        <v>0</v>
      </c>
      <c r="T730" s="10">
        <f t="shared" si="87"/>
        <v>256</v>
      </c>
      <c r="U730" s="22">
        <f>Table46[[#This Row],[NET WT KGS]]-Table46[[#This Row],[Refraction]]</f>
        <v>20320</v>
      </c>
      <c r="V730" s="23">
        <v>490</v>
      </c>
      <c r="W730" s="23">
        <f>Table46[[#This Row],[PRICE]]*Table46[[#This Row],[PAID WT]]</f>
        <v>9956800</v>
      </c>
      <c r="X730" s="24">
        <v>12.4</v>
      </c>
      <c r="Y730" s="25">
        <v>164</v>
      </c>
      <c r="Z730" s="24">
        <v>41.44</v>
      </c>
      <c r="AA730" s="26"/>
      <c r="AB730" s="66" t="s">
        <v>58</v>
      </c>
      <c r="AC730" s="27"/>
      <c r="AD730" s="63" t="s">
        <v>785</v>
      </c>
      <c r="AE730" s="18">
        <f>Table46[[#This Row],[MOIS.]]*Table46[[#This Row],[NET WT KGS]]</f>
        <v>255142.39999999999</v>
      </c>
      <c r="AF730" s="18">
        <f>Table46[[#This Row],[KOR]]*Table46[[#This Row],[NET WT KGS]]</f>
        <v>852669.43999999994</v>
      </c>
      <c r="AG730">
        <f>Table46[[#This Row],[NET WT KGS]]*Table46[[#This Row],[NUT COUNT]]</f>
        <v>3374464</v>
      </c>
    </row>
    <row r="731" spans="1:33" x14ac:dyDescent="0.35">
      <c r="A731" s="32">
        <f t="shared" si="85"/>
        <v>729</v>
      </c>
      <c r="B731" s="20">
        <v>46134</v>
      </c>
      <c r="C731" s="20">
        <v>46134</v>
      </c>
      <c r="D731" s="10" t="s">
        <v>38</v>
      </c>
      <c r="E731" s="10" t="s">
        <v>39</v>
      </c>
      <c r="F731" s="50" t="s">
        <v>40</v>
      </c>
      <c r="G731" s="10" t="s">
        <v>41</v>
      </c>
      <c r="H731" s="10" t="s">
        <v>338</v>
      </c>
      <c r="I731" s="50" t="str">
        <f>VLOOKUP(Table46[[#This Row],[SUPPLIERS NAME]],[1]AGING!X$3:Y$80,2,)</f>
        <v>LBA-018-COP</v>
      </c>
      <c r="J731" s="10" t="s">
        <v>831</v>
      </c>
      <c r="K731" s="57" t="s">
        <v>340</v>
      </c>
      <c r="L731" s="10">
        <v>285</v>
      </c>
      <c r="M731" s="10">
        <v>19859</v>
      </c>
      <c r="N731" s="10">
        <v>461</v>
      </c>
      <c r="O731" s="22">
        <f t="shared" si="88"/>
        <v>39560</v>
      </c>
      <c r="P731" s="22">
        <v>39099</v>
      </c>
      <c r="Q731" s="10">
        <v>449</v>
      </c>
      <c r="R731" s="122">
        <v>0</v>
      </c>
      <c r="S731" s="10">
        <v>12</v>
      </c>
      <c r="T731" s="10">
        <f t="shared" si="87"/>
        <v>48</v>
      </c>
      <c r="U731" s="22">
        <f>Table46[[#This Row],[NET WT KGS]]-Table46[[#This Row],[Refraction]]</f>
        <v>39051</v>
      </c>
      <c r="V731" s="23">
        <v>500</v>
      </c>
      <c r="W731" s="23">
        <f>Table46[[#This Row],[PRICE]]*Table46[[#This Row],[PAID WT]]</f>
        <v>19525500</v>
      </c>
      <c r="X731" s="24">
        <v>9.1</v>
      </c>
      <c r="Y731" s="25">
        <v>168</v>
      </c>
      <c r="Z731" s="24">
        <v>41.09</v>
      </c>
      <c r="AA731" s="26"/>
      <c r="AB731" s="66" t="s">
        <v>171</v>
      </c>
      <c r="AC731" s="27"/>
      <c r="AD731" s="63" t="s">
        <v>785</v>
      </c>
      <c r="AE731" s="18">
        <f>Table46[[#This Row],[MOIS.]]*Table46[[#This Row],[NET WT KGS]]</f>
        <v>355800.89999999997</v>
      </c>
      <c r="AF731" s="18">
        <f>Table46[[#This Row],[KOR]]*Table46[[#This Row],[NET WT KGS]]</f>
        <v>1606577.9100000001</v>
      </c>
      <c r="AG731">
        <f>Table46[[#This Row],[NET WT KGS]]*Table46[[#This Row],[NUT COUNT]]</f>
        <v>6568632</v>
      </c>
    </row>
    <row r="732" spans="1:33" x14ac:dyDescent="0.35">
      <c r="A732" s="32">
        <f t="shared" si="85"/>
        <v>730</v>
      </c>
      <c r="B732" s="20">
        <v>46134</v>
      </c>
      <c r="C732" s="20">
        <v>46134</v>
      </c>
      <c r="D732" s="10" t="s">
        <v>38</v>
      </c>
      <c r="E732" s="10" t="s">
        <v>39</v>
      </c>
      <c r="F732" s="50" t="s">
        <v>40</v>
      </c>
      <c r="G732" s="10" t="s">
        <v>350</v>
      </c>
      <c r="H732" s="10" t="s">
        <v>338</v>
      </c>
      <c r="I732" s="50" t="str">
        <f>VLOOKUP(Table46[[#This Row],[SUPPLIERS NAME]],[1]AGING!X$3:Y$80,2,)</f>
        <v>LBA-018-COP</v>
      </c>
      <c r="J732" s="10" t="s">
        <v>832</v>
      </c>
      <c r="K732" s="57" t="s">
        <v>340</v>
      </c>
      <c r="L732" s="10">
        <v>283</v>
      </c>
      <c r="M732" s="10">
        <v>18633</v>
      </c>
      <c r="N732" s="10">
        <v>456</v>
      </c>
      <c r="O732" s="22">
        <f t="shared" si="88"/>
        <v>38880</v>
      </c>
      <c r="P732" s="22">
        <v>38424</v>
      </c>
      <c r="Q732" s="10">
        <v>432</v>
      </c>
      <c r="R732" s="122">
        <v>24</v>
      </c>
      <c r="S732" s="10">
        <v>0</v>
      </c>
      <c r="T732" s="10">
        <f t="shared" si="87"/>
        <v>192</v>
      </c>
      <c r="U732" s="22">
        <f>Table46[[#This Row],[NET WT KGS]]-Table46[[#This Row],[Refraction]]</f>
        <v>38232</v>
      </c>
      <c r="V732" s="23">
        <v>505</v>
      </c>
      <c r="W732" s="23">
        <f>Table46[[#This Row],[PRICE]]*Table46[[#This Row],[PAID WT]]</f>
        <v>19307160</v>
      </c>
      <c r="X732" s="24">
        <v>11.2</v>
      </c>
      <c r="Y732" s="25">
        <v>152</v>
      </c>
      <c r="Z732" s="24">
        <v>41.09</v>
      </c>
      <c r="AA732" s="26"/>
      <c r="AB732" s="66" t="s">
        <v>284</v>
      </c>
      <c r="AC732" s="27"/>
      <c r="AD732" s="63" t="s">
        <v>785</v>
      </c>
      <c r="AE732" s="18">
        <f>Table46[[#This Row],[MOIS.]]*Table46[[#This Row],[NET WT KGS]]</f>
        <v>430348.79999999999</v>
      </c>
      <c r="AF732" s="18">
        <f>Table46[[#This Row],[KOR]]*Table46[[#This Row],[NET WT KGS]]</f>
        <v>1578842.1600000001</v>
      </c>
      <c r="AG732">
        <f>Table46[[#This Row],[NET WT KGS]]*Table46[[#This Row],[NUT COUNT]]</f>
        <v>5840448</v>
      </c>
    </row>
    <row r="733" spans="1:33" x14ac:dyDescent="0.35">
      <c r="A733" s="32">
        <f t="shared" si="85"/>
        <v>731</v>
      </c>
      <c r="B733" s="20">
        <v>46134</v>
      </c>
      <c r="C733" s="20">
        <v>46134</v>
      </c>
      <c r="D733" s="10" t="s">
        <v>38</v>
      </c>
      <c r="E733" s="10" t="s">
        <v>39</v>
      </c>
      <c r="F733" s="50" t="s">
        <v>40</v>
      </c>
      <c r="G733" s="10" t="s">
        <v>350</v>
      </c>
      <c r="H733" s="50" t="s">
        <v>123</v>
      </c>
      <c r="I733" s="50" t="str">
        <f>VLOOKUP(Table46[[#This Row],[SUPPLIERS NAME]],[1]AGING!X$3:Y$80,2,)</f>
        <v>LBA-011-ASR</v>
      </c>
      <c r="J733" s="10" t="s">
        <v>770</v>
      </c>
      <c r="K733" s="21" t="s">
        <v>161</v>
      </c>
      <c r="L733" s="10">
        <v>282</v>
      </c>
      <c r="M733" s="10">
        <v>31627</v>
      </c>
      <c r="N733" s="10">
        <v>243</v>
      </c>
      <c r="O733" s="22">
        <f t="shared" si="88"/>
        <v>20660</v>
      </c>
      <c r="P733" s="22">
        <v>20417</v>
      </c>
      <c r="Q733" s="10">
        <v>228</v>
      </c>
      <c r="R733" s="122">
        <v>15</v>
      </c>
      <c r="S733" s="10">
        <v>0</v>
      </c>
      <c r="T733" s="10">
        <f t="shared" si="87"/>
        <v>120</v>
      </c>
      <c r="U733" s="22">
        <f>Table46[[#This Row],[NET WT KGS]]-Table46[[#This Row],[Refraction]]</f>
        <v>20297</v>
      </c>
      <c r="V733" s="23">
        <v>495</v>
      </c>
      <c r="W733" s="23">
        <f>Table46[[#This Row],[PRICE]]*Table46[[#This Row],[PAID WT]]</f>
        <v>10047015</v>
      </c>
      <c r="X733" s="24">
        <v>12.6</v>
      </c>
      <c r="Y733" s="25">
        <v>172</v>
      </c>
      <c r="Z733" s="24">
        <v>41.79</v>
      </c>
      <c r="AA733" s="26"/>
      <c r="AB733" s="66" t="s">
        <v>58</v>
      </c>
      <c r="AC733" s="27"/>
      <c r="AD733" s="63" t="s">
        <v>785</v>
      </c>
      <c r="AE733" s="18">
        <f>Table46[[#This Row],[MOIS.]]*Table46[[#This Row],[NET WT KGS]]</f>
        <v>257254.19999999998</v>
      </c>
      <c r="AF733" s="18">
        <f>Table46[[#This Row],[KOR]]*Table46[[#This Row],[NET WT KGS]]</f>
        <v>853226.42999999993</v>
      </c>
      <c r="AG733">
        <f>Table46[[#This Row],[NET WT KGS]]*Table46[[#This Row],[NUT COUNT]]</f>
        <v>3511724</v>
      </c>
    </row>
    <row r="734" spans="1:33" x14ac:dyDescent="0.35">
      <c r="A734" s="32">
        <f t="shared" si="85"/>
        <v>732</v>
      </c>
      <c r="B734" s="35">
        <v>46134</v>
      </c>
      <c r="C734" s="35">
        <f>Table46[[#This Row],[DATE OF ARRIVAL]]</f>
        <v>46134</v>
      </c>
      <c r="D734" s="36"/>
      <c r="E734" s="36"/>
      <c r="F734" s="36" t="s">
        <v>40</v>
      </c>
      <c r="G734" s="36"/>
      <c r="H734" s="36" t="s">
        <v>402</v>
      </c>
      <c r="I734" s="36" t="s">
        <v>209</v>
      </c>
      <c r="J734" s="36" t="s">
        <v>833</v>
      </c>
      <c r="K734" s="106"/>
      <c r="L734" s="36"/>
      <c r="M734" s="36"/>
      <c r="N734" s="36"/>
      <c r="O734" s="37">
        <f t="shared" si="88"/>
        <v>0</v>
      </c>
      <c r="P734" s="37"/>
      <c r="Q734" s="36"/>
      <c r="R734" s="86"/>
      <c r="S734" s="36"/>
      <c r="T734" s="36"/>
      <c r="U734" s="37">
        <f>Table46[[#This Row],[NET WT KGS]]-Table46[[#This Row],[Refraction]]</f>
        <v>0</v>
      </c>
      <c r="V734" s="38"/>
      <c r="W734" s="38">
        <f>Table46[[#This Row],[PRICE]]*Table46[[#This Row],[PAID WT]]</f>
        <v>0</v>
      </c>
      <c r="X734" s="39">
        <v>12.7</v>
      </c>
      <c r="Y734" s="40">
        <v>161</v>
      </c>
      <c r="Z734" s="39">
        <v>37.743180000000002</v>
      </c>
      <c r="AA734" s="41"/>
      <c r="AB734" s="74" t="s">
        <v>367</v>
      </c>
      <c r="AC734" s="42" t="s">
        <v>70</v>
      </c>
      <c r="AD734" s="28"/>
      <c r="AE734" s="18">
        <f>Table46[[#This Row],[MOIS.]]*Table46[[#This Row],[NET WT KGS]]</f>
        <v>0</v>
      </c>
      <c r="AF734" s="18">
        <f>Table46[[#This Row],[KOR]]*Table46[[#This Row],[NET WT KGS]]</f>
        <v>0</v>
      </c>
      <c r="AG734">
        <f>Table46[[#This Row],[NET WT KGS]]*Table46[[#This Row],[NUT COUNT]]</f>
        <v>0</v>
      </c>
    </row>
    <row r="735" spans="1:33" x14ac:dyDescent="0.35">
      <c r="A735" s="32">
        <f t="shared" si="85"/>
        <v>733</v>
      </c>
      <c r="B735" s="35">
        <v>46134</v>
      </c>
      <c r="C735" s="35">
        <f>Table46[[#This Row],[DATE OF ARRIVAL]]</f>
        <v>46134</v>
      </c>
      <c r="D735" s="36"/>
      <c r="E735" s="36"/>
      <c r="F735" s="36" t="s">
        <v>40</v>
      </c>
      <c r="G735" s="36"/>
      <c r="H735" s="36" t="s">
        <v>338</v>
      </c>
      <c r="I735" s="36" t="s">
        <v>317</v>
      </c>
      <c r="J735" s="36" t="s">
        <v>834</v>
      </c>
      <c r="K735" s="106"/>
      <c r="L735" s="36"/>
      <c r="M735" s="36"/>
      <c r="N735" s="36"/>
      <c r="O735" s="37">
        <f t="shared" si="88"/>
        <v>0</v>
      </c>
      <c r="P735" s="37"/>
      <c r="Q735" s="36"/>
      <c r="R735" s="86"/>
      <c r="S735" s="36"/>
      <c r="T735" s="36"/>
      <c r="U735" s="37">
        <f>Table46[[#This Row],[NET WT KGS]]-Table46[[#This Row],[Refraction]]</f>
        <v>0</v>
      </c>
      <c r="V735" s="38"/>
      <c r="W735" s="38">
        <f>Table46[[#This Row],[PRICE]]*Table46[[#This Row],[PAID WT]]</f>
        <v>0</v>
      </c>
      <c r="X735" s="39">
        <v>10.3</v>
      </c>
      <c r="Y735" s="40">
        <v>160</v>
      </c>
      <c r="Z735" s="39">
        <v>38.09592</v>
      </c>
      <c r="AA735" s="41"/>
      <c r="AB735" s="74" t="s">
        <v>284</v>
      </c>
      <c r="AC735" s="42" t="s">
        <v>70</v>
      </c>
      <c r="AD735" s="28"/>
      <c r="AE735" s="18">
        <f>Table46[[#This Row],[MOIS.]]*Table46[[#This Row],[NET WT KGS]]</f>
        <v>0</v>
      </c>
      <c r="AF735" s="18">
        <f>Table46[[#This Row],[KOR]]*Table46[[#This Row],[NET WT KGS]]</f>
        <v>0</v>
      </c>
      <c r="AG735">
        <f>Table46[[#This Row],[NET WT KGS]]*Table46[[#This Row],[NUT COUNT]]</f>
        <v>0</v>
      </c>
    </row>
    <row r="736" spans="1:33" x14ac:dyDescent="0.35">
      <c r="A736" s="32">
        <f t="shared" si="85"/>
        <v>734</v>
      </c>
      <c r="B736" s="35">
        <v>46134</v>
      </c>
      <c r="C736" s="35">
        <f>Table46[[#This Row],[DATE OF ARRIVAL]]</f>
        <v>46134</v>
      </c>
      <c r="D736" s="36"/>
      <c r="E736" s="36"/>
      <c r="F736" s="36" t="s">
        <v>40</v>
      </c>
      <c r="G736" s="36"/>
      <c r="H736" s="36" t="s">
        <v>123</v>
      </c>
      <c r="I736" s="36" t="s">
        <v>124</v>
      </c>
      <c r="J736" s="36" t="s">
        <v>835</v>
      </c>
      <c r="K736" s="106"/>
      <c r="L736" s="36"/>
      <c r="M736" s="36"/>
      <c r="N736" s="36"/>
      <c r="O736" s="37">
        <f t="shared" si="88"/>
        <v>0</v>
      </c>
      <c r="P736" s="37"/>
      <c r="Q736" s="36"/>
      <c r="R736" s="86"/>
      <c r="S736" s="36"/>
      <c r="T736" s="36"/>
      <c r="U736" s="37">
        <f>Table46[[#This Row],[NET WT KGS]]-Table46[[#This Row],[Refraction]]</f>
        <v>0</v>
      </c>
      <c r="V736" s="38"/>
      <c r="W736" s="38">
        <f>Table46[[#This Row],[PRICE]]*Table46[[#This Row],[PAID WT]]</f>
        <v>0</v>
      </c>
      <c r="X736" s="39">
        <v>12.5</v>
      </c>
      <c r="Y736" s="40">
        <v>161</v>
      </c>
      <c r="Z736" s="39">
        <v>37.037700000000001</v>
      </c>
      <c r="AA736" s="41"/>
      <c r="AB736" s="74" t="s">
        <v>40</v>
      </c>
      <c r="AC736" s="42" t="s">
        <v>70</v>
      </c>
      <c r="AD736" s="28"/>
      <c r="AE736" s="18">
        <f>Table46[[#This Row],[MOIS.]]*Table46[[#This Row],[NET WT KGS]]</f>
        <v>0</v>
      </c>
      <c r="AF736" s="18">
        <f>Table46[[#This Row],[KOR]]*Table46[[#This Row],[NET WT KGS]]</f>
        <v>0</v>
      </c>
      <c r="AG736">
        <f>Table46[[#This Row],[NET WT KGS]]*Table46[[#This Row],[NUT COUNT]]</f>
        <v>0</v>
      </c>
    </row>
    <row r="737" spans="1:33" x14ac:dyDescent="0.35">
      <c r="A737" s="32">
        <f t="shared" si="85"/>
        <v>735</v>
      </c>
      <c r="B737" s="35">
        <v>46134</v>
      </c>
      <c r="C737" s="35">
        <f>Table46[[#This Row],[DATE OF ARRIVAL]]</f>
        <v>46134</v>
      </c>
      <c r="D737" s="36"/>
      <c r="E737" s="36"/>
      <c r="F737" s="36" t="s">
        <v>40</v>
      </c>
      <c r="G737" s="36"/>
      <c r="H737" s="36" t="s">
        <v>154</v>
      </c>
      <c r="I737" s="36" t="s">
        <v>155</v>
      </c>
      <c r="J737" s="36" t="s">
        <v>311</v>
      </c>
      <c r="K737" s="106"/>
      <c r="L737" s="36"/>
      <c r="M737" s="36"/>
      <c r="N737" s="36"/>
      <c r="O737" s="37">
        <f t="shared" si="88"/>
        <v>0</v>
      </c>
      <c r="P737" s="37"/>
      <c r="Q737" s="36"/>
      <c r="R737" s="86"/>
      <c r="S737" s="36"/>
      <c r="T737" s="36"/>
      <c r="U737" s="37">
        <f>Table46[[#This Row],[NET WT KGS]]-Table46[[#This Row],[Refraction]]</f>
        <v>0</v>
      </c>
      <c r="V737" s="38"/>
      <c r="W737" s="38">
        <f>Table46[[#This Row],[PRICE]]*Table46[[#This Row],[PAID WT]]</f>
        <v>0</v>
      </c>
      <c r="X737" s="39">
        <v>10</v>
      </c>
      <c r="Y737" s="40">
        <v>179</v>
      </c>
      <c r="Z737" s="39">
        <v>40.388730000000002</v>
      </c>
      <c r="AA737" s="41"/>
      <c r="AB737" s="74" t="s">
        <v>40</v>
      </c>
      <c r="AC737" s="42" t="s">
        <v>70</v>
      </c>
      <c r="AD737" s="28"/>
      <c r="AE737" s="18">
        <f>Table46[[#This Row],[MOIS.]]*Table46[[#This Row],[NET WT KGS]]</f>
        <v>0</v>
      </c>
      <c r="AF737" s="18">
        <f>Table46[[#This Row],[KOR]]*Table46[[#This Row],[NET WT KGS]]</f>
        <v>0</v>
      </c>
      <c r="AG737">
        <f>Table46[[#This Row],[NET WT KGS]]*Table46[[#This Row],[NUT COUNT]]</f>
        <v>0</v>
      </c>
    </row>
    <row r="738" spans="1:33" x14ac:dyDescent="0.35">
      <c r="A738" s="32">
        <f t="shared" si="85"/>
        <v>736</v>
      </c>
      <c r="B738" s="35">
        <v>46134</v>
      </c>
      <c r="C738" s="35">
        <f>Table46[[#This Row],[DATE OF ARRIVAL]]</f>
        <v>46134</v>
      </c>
      <c r="D738" s="36"/>
      <c r="E738" s="36"/>
      <c r="F738" s="36" t="s">
        <v>40</v>
      </c>
      <c r="G738" s="36"/>
      <c r="H738" s="36" t="s">
        <v>105</v>
      </c>
      <c r="I738" s="36" t="s">
        <v>106</v>
      </c>
      <c r="J738" s="36" t="s">
        <v>167</v>
      </c>
      <c r="K738" s="106"/>
      <c r="L738" s="36"/>
      <c r="M738" s="36"/>
      <c r="N738" s="36"/>
      <c r="O738" s="37">
        <f t="shared" si="88"/>
        <v>0</v>
      </c>
      <c r="P738" s="37"/>
      <c r="Q738" s="36"/>
      <c r="R738" s="86"/>
      <c r="S738" s="36"/>
      <c r="T738" s="36"/>
      <c r="U738" s="37">
        <f>Table46[[#This Row],[NET WT KGS]]-Table46[[#This Row],[Refraction]]</f>
        <v>0</v>
      </c>
      <c r="V738" s="38"/>
      <c r="W738" s="38">
        <f>Table46[[#This Row],[PRICE]]*Table46[[#This Row],[PAID WT]]</f>
        <v>0</v>
      </c>
      <c r="X738" s="39">
        <v>10.6</v>
      </c>
      <c r="Y738" s="40">
        <v>197</v>
      </c>
      <c r="Z738" s="39">
        <v>37.919550000000001</v>
      </c>
      <c r="AA738" s="41"/>
      <c r="AB738" s="74" t="s">
        <v>836</v>
      </c>
      <c r="AC738" s="42" t="s">
        <v>70</v>
      </c>
      <c r="AD738" s="28"/>
      <c r="AE738" s="18">
        <f>Table46[[#This Row],[MOIS.]]*Table46[[#This Row],[NET WT KGS]]</f>
        <v>0</v>
      </c>
      <c r="AF738" s="18">
        <f>Table46[[#This Row],[KOR]]*Table46[[#This Row],[NET WT KGS]]</f>
        <v>0</v>
      </c>
      <c r="AG738">
        <f>Table46[[#This Row],[NET WT KGS]]*Table46[[#This Row],[NUT COUNT]]</f>
        <v>0</v>
      </c>
    </row>
    <row r="739" spans="1:33" x14ac:dyDescent="0.35">
      <c r="A739" s="32">
        <f t="shared" si="85"/>
        <v>737</v>
      </c>
      <c r="B739" s="35">
        <v>46134</v>
      </c>
      <c r="C739" s="35">
        <f>Table46[[#This Row],[DATE OF ARRIVAL]]</f>
        <v>46134</v>
      </c>
      <c r="D739" s="36"/>
      <c r="E739" s="36"/>
      <c r="F739" s="36" t="s">
        <v>40</v>
      </c>
      <c r="G739" s="36"/>
      <c r="H739" s="36" t="s">
        <v>74</v>
      </c>
      <c r="I739" s="36" t="s">
        <v>75</v>
      </c>
      <c r="J739" s="36" t="s">
        <v>837</v>
      </c>
      <c r="K739" s="106"/>
      <c r="L739" s="36"/>
      <c r="M739" s="36"/>
      <c r="N739" s="36"/>
      <c r="O739" s="37">
        <f t="shared" si="88"/>
        <v>0</v>
      </c>
      <c r="P739" s="37"/>
      <c r="Q739" s="36"/>
      <c r="R739" s="86"/>
      <c r="S739" s="36"/>
      <c r="T739" s="36"/>
      <c r="U739" s="37">
        <f>Table46[[#This Row],[NET WT KGS]]-Table46[[#This Row],[Refraction]]</f>
        <v>0</v>
      </c>
      <c r="V739" s="38"/>
      <c r="W739" s="38">
        <f>Table46[[#This Row],[PRICE]]*Table46[[#This Row],[PAID WT]]</f>
        <v>0</v>
      </c>
      <c r="X739" s="39">
        <v>11.1</v>
      </c>
      <c r="Y739" s="40">
        <v>159</v>
      </c>
      <c r="Z739" s="39">
        <v>40.565100000000001</v>
      </c>
      <c r="AA739" s="41"/>
      <c r="AB739" s="74" t="s">
        <v>171</v>
      </c>
      <c r="AC739" s="42" t="s">
        <v>70</v>
      </c>
      <c r="AD739" s="28"/>
      <c r="AE739" s="18">
        <f>Table46[[#This Row],[MOIS.]]*Table46[[#This Row],[NET WT KGS]]</f>
        <v>0</v>
      </c>
      <c r="AF739" s="18">
        <f>Table46[[#This Row],[KOR]]*Table46[[#This Row],[NET WT KGS]]</f>
        <v>0</v>
      </c>
      <c r="AG739">
        <f>Table46[[#This Row],[NET WT KGS]]*Table46[[#This Row],[NUT COUNT]]</f>
        <v>0</v>
      </c>
    </row>
    <row r="740" spans="1:33" x14ac:dyDescent="0.35">
      <c r="A740" s="32">
        <f t="shared" si="85"/>
        <v>738</v>
      </c>
      <c r="B740" s="35">
        <v>46134</v>
      </c>
      <c r="C740" s="35">
        <f>Table46[[#This Row],[DATE OF ARRIVAL]]</f>
        <v>46134</v>
      </c>
      <c r="D740" s="36"/>
      <c r="E740" s="36"/>
      <c r="F740" s="36" t="s">
        <v>62</v>
      </c>
      <c r="G740" s="36"/>
      <c r="H740" s="36" t="s">
        <v>136</v>
      </c>
      <c r="I740" s="36" t="s">
        <v>137</v>
      </c>
      <c r="J740" s="36" t="s">
        <v>838</v>
      </c>
      <c r="K740" s="106"/>
      <c r="L740" s="36"/>
      <c r="M740" s="36"/>
      <c r="N740" s="36"/>
      <c r="O740" s="37">
        <f t="shared" si="88"/>
        <v>0</v>
      </c>
      <c r="P740" s="37"/>
      <c r="Q740" s="36"/>
      <c r="R740" s="86"/>
      <c r="S740" s="36"/>
      <c r="T740" s="36"/>
      <c r="U740" s="37">
        <f>Table46[[#This Row],[NET WT KGS]]-Table46[[#This Row],[Refraction]]</f>
        <v>0</v>
      </c>
      <c r="V740" s="38"/>
      <c r="W740" s="38">
        <f>Table46[[#This Row],[PRICE]]*Table46[[#This Row],[PAID WT]]</f>
        <v>0</v>
      </c>
      <c r="X740" s="39">
        <v>13.5</v>
      </c>
      <c r="Y740" s="40">
        <v>170</v>
      </c>
      <c r="Z740" s="39">
        <v>41.97</v>
      </c>
      <c r="AA740" s="41"/>
      <c r="AB740" s="74" t="s">
        <v>140</v>
      </c>
      <c r="AC740" s="42" t="s">
        <v>70</v>
      </c>
      <c r="AD740" s="99"/>
      <c r="AE740" s="18">
        <f>Table46[[#This Row],[MOIS.]]*Table46[[#This Row],[NET WT KGS]]</f>
        <v>0</v>
      </c>
      <c r="AF740" s="18">
        <f>Table46[[#This Row],[KOR]]*Table46[[#This Row],[NET WT KGS]]</f>
        <v>0</v>
      </c>
      <c r="AG740">
        <f>Table46[[#This Row],[NET WT KGS]]*Table46[[#This Row],[NUT COUNT]]</f>
        <v>0</v>
      </c>
    </row>
    <row r="741" spans="1:33" x14ac:dyDescent="0.35">
      <c r="A741" s="32">
        <f t="shared" si="85"/>
        <v>739</v>
      </c>
      <c r="B741" s="35">
        <v>46134</v>
      </c>
      <c r="C741" s="35">
        <f>Table46[[#This Row],[DATE OF ARRIVAL]]</f>
        <v>46134</v>
      </c>
      <c r="D741" s="36"/>
      <c r="E741" s="36"/>
      <c r="F741" s="36" t="s">
        <v>62</v>
      </c>
      <c r="G741" s="36"/>
      <c r="H741" s="36" t="s">
        <v>839</v>
      </c>
      <c r="I741" s="36" t="s">
        <v>250</v>
      </c>
      <c r="J741" s="36" t="s">
        <v>840</v>
      </c>
      <c r="K741" s="106"/>
      <c r="L741" s="36"/>
      <c r="M741" s="36"/>
      <c r="N741" s="36"/>
      <c r="O741" s="37">
        <f t="shared" si="88"/>
        <v>0</v>
      </c>
      <c r="P741" s="37"/>
      <c r="Q741" s="36"/>
      <c r="R741" s="86"/>
      <c r="S741" s="36"/>
      <c r="T741" s="36"/>
      <c r="U741" s="37">
        <f>Table46[[#This Row],[NET WT KGS]]-Table46[[#This Row],[Refraction]]</f>
        <v>0</v>
      </c>
      <c r="V741" s="38"/>
      <c r="W741" s="38">
        <f>Table46[[#This Row],[PRICE]]*Table46[[#This Row],[PAID WT]]</f>
        <v>0</v>
      </c>
      <c r="X741" s="39">
        <v>9.9</v>
      </c>
      <c r="Y741" s="40">
        <v>187</v>
      </c>
      <c r="Z741" s="39">
        <v>39.590000000000003</v>
      </c>
      <c r="AA741" s="41"/>
      <c r="AB741" s="74" t="s">
        <v>499</v>
      </c>
      <c r="AC741" s="42" t="s">
        <v>70</v>
      </c>
      <c r="AD741" s="99"/>
      <c r="AE741" s="18">
        <f>Table46[[#This Row],[MOIS.]]*Table46[[#This Row],[NET WT KGS]]</f>
        <v>0</v>
      </c>
      <c r="AF741" s="18">
        <f>Table46[[#This Row],[KOR]]*Table46[[#This Row],[NET WT KGS]]</f>
        <v>0</v>
      </c>
      <c r="AG741">
        <f>Table46[[#This Row],[NET WT KGS]]*Table46[[#This Row],[NUT COUNT]]</f>
        <v>0</v>
      </c>
    </row>
    <row r="742" spans="1:33" x14ac:dyDescent="0.35">
      <c r="A742" s="32">
        <f t="shared" si="85"/>
        <v>740</v>
      </c>
      <c r="B742" s="20">
        <v>46129</v>
      </c>
      <c r="C742" s="20">
        <v>46135</v>
      </c>
      <c r="D742" s="10" t="s">
        <v>38</v>
      </c>
      <c r="E742" s="10" t="s">
        <v>39</v>
      </c>
      <c r="F742" s="50" t="s">
        <v>40</v>
      </c>
      <c r="G742" s="10" t="s">
        <v>41</v>
      </c>
      <c r="H742" s="10" t="s">
        <v>338</v>
      </c>
      <c r="I742" s="50" t="str">
        <f>VLOOKUP(Table46[[#This Row],[SUPPLIERS NAME]],[1]AGING!X$3:Y$80,2,)</f>
        <v>LBA-018-COP</v>
      </c>
      <c r="J742" s="10" t="s">
        <v>365</v>
      </c>
      <c r="K742" s="57" t="s">
        <v>340</v>
      </c>
      <c r="L742" s="10">
        <v>291</v>
      </c>
      <c r="M742" s="10">
        <v>15481</v>
      </c>
      <c r="N742" s="10">
        <v>467</v>
      </c>
      <c r="O742" s="22">
        <f t="shared" si="88"/>
        <v>40760</v>
      </c>
      <c r="P742" s="22">
        <v>40293</v>
      </c>
      <c r="Q742" s="10">
        <v>441</v>
      </c>
      <c r="R742" s="122">
        <v>26</v>
      </c>
      <c r="S742" s="10">
        <v>0</v>
      </c>
      <c r="T742" s="10">
        <f t="shared" ref="T742:T753" si="89">S742*4+R742*8</f>
        <v>208</v>
      </c>
      <c r="U742" s="22">
        <f>Table46[[#This Row],[NET WT KGS]]-Table46[[#This Row],[Refraction]]</f>
        <v>40085</v>
      </c>
      <c r="V742" s="23">
        <v>510</v>
      </c>
      <c r="W742" s="23">
        <f>Table46[[#This Row],[PRICE]]*Table46[[#This Row],[PAID WT]]</f>
        <v>20443350</v>
      </c>
      <c r="X742" s="24">
        <v>11.1</v>
      </c>
      <c r="Y742" s="25">
        <v>164</v>
      </c>
      <c r="Z742" s="24">
        <v>42.68</v>
      </c>
      <c r="AA742" s="26"/>
      <c r="AB742" s="66" t="s">
        <v>284</v>
      </c>
      <c r="AC742" s="27"/>
      <c r="AD742" s="63" t="s">
        <v>785</v>
      </c>
      <c r="AE742" s="18">
        <f>Table46[[#This Row],[MOIS.]]*Table46[[#This Row],[NET WT KGS]]</f>
        <v>447252.3</v>
      </c>
      <c r="AF742" s="18">
        <f>Table46[[#This Row],[KOR]]*Table46[[#This Row],[NET WT KGS]]</f>
        <v>1719705.24</v>
      </c>
      <c r="AG742">
        <f>Table46[[#This Row],[NET WT KGS]]*Table46[[#This Row],[NUT COUNT]]</f>
        <v>6608052</v>
      </c>
    </row>
    <row r="743" spans="1:33" x14ac:dyDescent="0.35">
      <c r="A743" s="32">
        <f t="shared" si="85"/>
        <v>741</v>
      </c>
      <c r="B743" s="20">
        <v>46133</v>
      </c>
      <c r="C743" s="20">
        <v>46135</v>
      </c>
      <c r="D743" s="10" t="s">
        <v>38</v>
      </c>
      <c r="E743" s="10" t="s">
        <v>39</v>
      </c>
      <c r="F743" s="50" t="s">
        <v>62</v>
      </c>
      <c r="G743" s="10"/>
      <c r="H743" s="117" t="s">
        <v>128</v>
      </c>
      <c r="I743" s="50" t="str">
        <f>VLOOKUP(Table46[[#This Row],[SUPPLIERS NAME]],[1]AGING!X$3:Y$80,2,)</f>
        <v>LBA-002-SCA</v>
      </c>
      <c r="J743" s="10" t="s">
        <v>735</v>
      </c>
      <c r="K743" s="33" t="s">
        <v>131</v>
      </c>
      <c r="L743" s="10">
        <v>701</v>
      </c>
      <c r="M743" s="10">
        <v>78890</v>
      </c>
      <c r="N743" s="10">
        <v>628</v>
      </c>
      <c r="O743" s="22">
        <v>51070</v>
      </c>
      <c r="P743" s="51">
        <f>Table46[[#This Row],[GROSS WT KGS]]-Table46[[#This Row],[SACS]]</f>
        <v>50442</v>
      </c>
      <c r="Q743" s="10">
        <v>605</v>
      </c>
      <c r="R743" s="124">
        <v>0</v>
      </c>
      <c r="S743" s="10">
        <v>23</v>
      </c>
      <c r="T743" s="10">
        <f t="shared" si="89"/>
        <v>92</v>
      </c>
      <c r="U743" s="22">
        <f>Table46[[#This Row],[NET WT KGS]]-Table46[[#This Row],[Refraction]]</f>
        <v>50350</v>
      </c>
      <c r="V743" s="23">
        <v>515</v>
      </c>
      <c r="W743" s="23">
        <f>Table46[[#This Row],[PRICE]]*Table46[[#This Row],[PAID WT]]</f>
        <v>25930250</v>
      </c>
      <c r="X743" s="24">
        <v>13.6</v>
      </c>
      <c r="Y743" s="25">
        <v>183</v>
      </c>
      <c r="Z743" s="24">
        <v>43.38</v>
      </c>
      <c r="AA743" s="26"/>
      <c r="AB743" s="66" t="s">
        <v>841</v>
      </c>
      <c r="AC743" s="27"/>
      <c r="AD743" s="63" t="s">
        <v>785</v>
      </c>
      <c r="AE743" s="18">
        <f>Table46[[#This Row],[MOIS.]]*Table46[[#This Row],[NET WT KGS]]</f>
        <v>686011.2</v>
      </c>
      <c r="AF743" s="18">
        <f>Table46[[#This Row],[KOR]]*Table46[[#This Row],[NET WT KGS]]</f>
        <v>2188173.96</v>
      </c>
      <c r="AG743">
        <f>Table46[[#This Row],[NET WT KGS]]*Table46[[#This Row],[NUT COUNT]]</f>
        <v>9230886</v>
      </c>
    </row>
    <row r="744" spans="1:33" x14ac:dyDescent="0.35">
      <c r="A744" s="32">
        <f t="shared" si="85"/>
        <v>742</v>
      </c>
      <c r="B744" s="20">
        <v>46133</v>
      </c>
      <c r="C744" s="20">
        <v>46135</v>
      </c>
      <c r="D744" s="10" t="s">
        <v>38</v>
      </c>
      <c r="E744" s="10" t="s">
        <v>258</v>
      </c>
      <c r="F744" s="50" t="s">
        <v>62</v>
      </c>
      <c r="G744" s="10"/>
      <c r="H744" s="10" t="s">
        <v>724</v>
      </c>
      <c r="I744" s="50" t="str">
        <f>VLOOKUP(Table46[[#This Row],[SUPPLIERS NAME]],[1]AGING!X$3:Y$80,2,)</f>
        <v>DIS-029-CPA</v>
      </c>
      <c r="J744" s="10" t="s">
        <v>842</v>
      </c>
      <c r="K744" s="21" t="s">
        <v>726</v>
      </c>
      <c r="L744" s="10">
        <v>703</v>
      </c>
      <c r="M744" s="10">
        <v>30271</v>
      </c>
      <c r="N744" s="10">
        <v>580</v>
      </c>
      <c r="O744" s="22">
        <v>45550</v>
      </c>
      <c r="P744" s="51">
        <f>Table46[[#This Row],[GROSS WT KGS]]-Table46[[#This Row],[SACS]]</f>
        <v>44970</v>
      </c>
      <c r="Q744" s="10">
        <v>560</v>
      </c>
      <c r="R744" s="124">
        <v>0</v>
      </c>
      <c r="S744" s="10">
        <v>20</v>
      </c>
      <c r="T744" s="10">
        <f t="shared" si="89"/>
        <v>80</v>
      </c>
      <c r="U744" s="119">
        <f>Table46[[#This Row],[NET WT KGS]]-Table46[[#This Row],[Refraction]]</f>
        <v>44890</v>
      </c>
      <c r="V744" s="23">
        <v>515</v>
      </c>
      <c r="W744" s="23">
        <f>Table46[[#This Row],[PRICE]]*Table46[[#This Row],[PAID WT]]</f>
        <v>23118350</v>
      </c>
      <c r="X744" s="24">
        <v>10.3</v>
      </c>
      <c r="Y744" s="25">
        <v>178</v>
      </c>
      <c r="Z744" s="24">
        <v>42.41</v>
      </c>
      <c r="AA744" s="26"/>
      <c r="AB744" s="66" t="s">
        <v>132</v>
      </c>
      <c r="AC744" s="27"/>
      <c r="AD744" s="63" t="s">
        <v>785</v>
      </c>
      <c r="AE744" s="18">
        <f>Table46[[#This Row],[MOIS.]]*Table46[[#This Row],[NET WT KGS]]</f>
        <v>463191.00000000006</v>
      </c>
      <c r="AF744" s="18">
        <f>Table46[[#This Row],[KOR]]*Table46[[#This Row],[NET WT KGS]]</f>
        <v>1907177.7</v>
      </c>
      <c r="AG744">
        <f>Table46[[#This Row],[NET WT KGS]]*Table46[[#This Row],[NUT COUNT]]</f>
        <v>8004660</v>
      </c>
    </row>
    <row r="745" spans="1:33" x14ac:dyDescent="0.35">
      <c r="A745" s="32">
        <f t="shared" si="85"/>
        <v>743</v>
      </c>
      <c r="B745" s="20">
        <v>46133</v>
      </c>
      <c r="C745" s="20">
        <v>46135</v>
      </c>
      <c r="D745" s="10" t="s">
        <v>38</v>
      </c>
      <c r="E745" s="10" t="s">
        <v>258</v>
      </c>
      <c r="F745" s="50" t="s">
        <v>62</v>
      </c>
      <c r="G745" s="10"/>
      <c r="H745" s="10" t="s">
        <v>684</v>
      </c>
      <c r="I745" s="50" t="str">
        <f>VLOOKUP(Table46[[#This Row],[SUPPLIERS NAME]],[1]AGING!X$3:Y$80,2,)</f>
        <v>LBA-021-SAN</v>
      </c>
      <c r="J745" s="10" t="s">
        <v>791</v>
      </c>
      <c r="K745" s="121"/>
      <c r="L745" s="10">
        <v>704</v>
      </c>
      <c r="M745" s="66">
        <f>VLOOKUP(Table46[[#This Row],[REF.]],'[2]RCN INWARD FACTORY YAKRO 2026'!$F$4:$M$257,8,0)</f>
        <v>3191</v>
      </c>
      <c r="N745" s="10">
        <v>443</v>
      </c>
      <c r="O745" s="51">
        <v>39120</v>
      </c>
      <c r="P745" s="51">
        <f>Table46[[#This Row],[GROSS WT KGS]]-Table46[[#This Row],[SACS]]</f>
        <v>38677</v>
      </c>
      <c r="Q745" s="10">
        <v>420</v>
      </c>
      <c r="R745" s="124">
        <v>25</v>
      </c>
      <c r="S745" s="10">
        <v>0</v>
      </c>
      <c r="T745" s="10">
        <f t="shared" si="89"/>
        <v>200</v>
      </c>
      <c r="U745" s="22">
        <f>Table46[[#This Row],[NET WT KGS]]-Table46[[#This Row],[Refraction]]</f>
        <v>38477</v>
      </c>
      <c r="V745" s="23">
        <v>515</v>
      </c>
      <c r="W745" s="23">
        <f>Table46[[#This Row],[PRICE]]*Table46[[#This Row],[PAID WT]]</f>
        <v>19815655</v>
      </c>
      <c r="X745" s="24">
        <v>12.8</v>
      </c>
      <c r="Y745" s="25">
        <v>163</v>
      </c>
      <c r="Z745" s="24">
        <v>43.21</v>
      </c>
      <c r="AA745" s="26"/>
      <c r="AB745" s="66" t="s">
        <v>40</v>
      </c>
      <c r="AC745" s="27" t="s">
        <v>762</v>
      </c>
      <c r="AD745" s="63" t="s">
        <v>785</v>
      </c>
      <c r="AE745" s="18">
        <f>Table46[[#This Row],[MOIS.]]*Table46[[#This Row],[NET WT KGS]]</f>
        <v>495065.60000000003</v>
      </c>
      <c r="AF745" s="18">
        <f>Table46[[#This Row],[KOR]]*Table46[[#This Row],[NET WT KGS]]</f>
        <v>1671233.17</v>
      </c>
      <c r="AG745">
        <f>Table46[[#This Row],[NET WT KGS]]*Table46[[#This Row],[NUT COUNT]]</f>
        <v>6304351</v>
      </c>
    </row>
    <row r="746" spans="1:33" x14ac:dyDescent="0.35">
      <c r="A746" s="32">
        <f t="shared" si="85"/>
        <v>744</v>
      </c>
      <c r="B746" s="20">
        <v>46133</v>
      </c>
      <c r="C746" s="20">
        <v>46135</v>
      </c>
      <c r="D746" s="10" t="s">
        <v>38</v>
      </c>
      <c r="E746" s="10" t="s">
        <v>258</v>
      </c>
      <c r="F746" s="50" t="s">
        <v>62</v>
      </c>
      <c r="G746" s="10"/>
      <c r="H746" s="10" t="s">
        <v>603</v>
      </c>
      <c r="I746" s="50" t="str">
        <f>VLOOKUP(Table46[[#This Row],[SUPPLIERS NAME]],[1]AGING!X$3:Y$80,2,)</f>
        <v>DIS-023-ICF</v>
      </c>
      <c r="J746" s="10" t="s">
        <v>843</v>
      </c>
      <c r="K746" s="107" t="s">
        <v>605</v>
      </c>
      <c r="L746" s="10">
        <v>649</v>
      </c>
      <c r="M746" s="10">
        <v>82288</v>
      </c>
      <c r="N746" s="10">
        <v>258</v>
      </c>
      <c r="O746" s="22">
        <v>20490</v>
      </c>
      <c r="P746" s="51">
        <f>Table46[[#This Row],[GROSS WT KGS]]-Table46[[#This Row],[SACS]]</f>
        <v>20232</v>
      </c>
      <c r="Q746" s="10">
        <v>247</v>
      </c>
      <c r="R746" s="124">
        <v>0</v>
      </c>
      <c r="S746" s="10">
        <v>11</v>
      </c>
      <c r="T746" s="10">
        <f t="shared" si="89"/>
        <v>44</v>
      </c>
      <c r="U746" s="22">
        <f>Table46[[#This Row],[NET WT KGS]]-Table46[[#This Row],[Refraction]]</f>
        <v>20188</v>
      </c>
      <c r="V746" s="23">
        <v>510</v>
      </c>
      <c r="W746" s="23">
        <f>Table46[[#This Row],[PRICE]]*Table46[[#This Row],[PAID WT]]</f>
        <v>10295880</v>
      </c>
      <c r="X746" s="24">
        <v>9</v>
      </c>
      <c r="Y746" s="25">
        <v>181</v>
      </c>
      <c r="Z746" s="24">
        <v>41.97</v>
      </c>
      <c r="AA746" s="26"/>
      <c r="AB746" s="66" t="s">
        <v>351</v>
      </c>
      <c r="AC746" s="27"/>
      <c r="AD746" s="63" t="s">
        <v>785</v>
      </c>
      <c r="AE746" s="18">
        <f>Table46[[#This Row],[MOIS.]]*Table46[[#This Row],[NET WT KGS]]</f>
        <v>182088</v>
      </c>
      <c r="AF746" s="18">
        <f>Table46[[#This Row],[KOR]]*Table46[[#This Row],[NET WT KGS]]</f>
        <v>849137.03999999992</v>
      </c>
      <c r="AG746">
        <f>Table46[[#This Row],[NET WT KGS]]*Table46[[#This Row],[NUT COUNT]]</f>
        <v>3661992</v>
      </c>
    </row>
    <row r="747" spans="1:33" x14ac:dyDescent="0.35">
      <c r="A747" s="32">
        <f t="shared" si="85"/>
        <v>745</v>
      </c>
      <c r="B747" s="20">
        <v>46133</v>
      </c>
      <c r="C747" s="20">
        <v>46135</v>
      </c>
      <c r="D747" s="10" t="s">
        <v>38</v>
      </c>
      <c r="E747" s="10" t="s">
        <v>39</v>
      </c>
      <c r="F747" s="50" t="s">
        <v>62</v>
      </c>
      <c r="G747" s="10"/>
      <c r="H747" s="117" t="s">
        <v>128</v>
      </c>
      <c r="I747" s="50" t="str">
        <f>VLOOKUP(Table46[[#This Row],[SUPPLIERS NAME]],[1]AGING!X$3:Y$80,2,)</f>
        <v>LBA-002-SCA</v>
      </c>
      <c r="J747" s="10" t="s">
        <v>844</v>
      </c>
      <c r="K747" s="33" t="s">
        <v>131</v>
      </c>
      <c r="L747" s="10">
        <v>648</v>
      </c>
      <c r="M747" s="10">
        <v>78877</v>
      </c>
      <c r="N747" s="10">
        <v>517</v>
      </c>
      <c r="O747" s="22">
        <v>41670</v>
      </c>
      <c r="P747" s="51">
        <f>Table46[[#This Row],[GROSS WT KGS]]-Table46[[#This Row],[SACS]]</f>
        <v>41153</v>
      </c>
      <c r="Q747" s="10">
        <v>513</v>
      </c>
      <c r="R747" s="124">
        <v>24</v>
      </c>
      <c r="S747" s="10">
        <v>0</v>
      </c>
      <c r="T747" s="10">
        <f t="shared" si="89"/>
        <v>192</v>
      </c>
      <c r="U747" s="22">
        <f>Table46[[#This Row],[NET WT KGS]]-Table46[[#This Row],[Refraction]]</f>
        <v>40961</v>
      </c>
      <c r="V747" s="23">
        <v>515</v>
      </c>
      <c r="W747" s="23">
        <f>Table46[[#This Row],[PRICE]]*Table46[[#This Row],[PAID WT]]</f>
        <v>21094915</v>
      </c>
      <c r="X747" s="24">
        <v>11</v>
      </c>
      <c r="Y747" s="25">
        <v>187</v>
      </c>
      <c r="Z747" s="24">
        <v>42.32</v>
      </c>
      <c r="AA747" s="26"/>
      <c r="AB747" s="66" t="s">
        <v>132</v>
      </c>
      <c r="AC747" s="27"/>
      <c r="AD747" s="63" t="s">
        <v>785</v>
      </c>
      <c r="AE747" s="18">
        <f>Table46[[#This Row],[MOIS.]]*Table46[[#This Row],[NET WT KGS]]</f>
        <v>452683</v>
      </c>
      <c r="AF747" s="18">
        <f>Table46[[#This Row],[KOR]]*Table46[[#This Row],[NET WT KGS]]</f>
        <v>1741594.96</v>
      </c>
      <c r="AG747">
        <f>Table46[[#This Row],[NET WT KGS]]*Table46[[#This Row],[NUT COUNT]]</f>
        <v>7695611</v>
      </c>
    </row>
    <row r="748" spans="1:33" x14ac:dyDescent="0.35">
      <c r="A748" s="32">
        <f t="shared" si="85"/>
        <v>746</v>
      </c>
      <c r="B748" s="20">
        <v>46133</v>
      </c>
      <c r="C748" s="20">
        <v>46135</v>
      </c>
      <c r="D748" s="10" t="s">
        <v>38</v>
      </c>
      <c r="E748" s="10" t="s">
        <v>258</v>
      </c>
      <c r="F748" s="50" t="s">
        <v>62</v>
      </c>
      <c r="G748" s="10"/>
      <c r="H748" s="10" t="s">
        <v>502</v>
      </c>
      <c r="I748" s="50" t="str">
        <f>VLOOKUP(Table46[[#This Row],[SUPPLIERS NAME]],[1]AGING!X$3:Y$80,2,)</f>
        <v>DIS-027-BAO</v>
      </c>
      <c r="J748" s="10" t="s">
        <v>845</v>
      </c>
      <c r="K748" s="21" t="s">
        <v>697</v>
      </c>
      <c r="L748" s="10">
        <v>650</v>
      </c>
      <c r="M748" s="10">
        <v>23297</v>
      </c>
      <c r="N748" s="10">
        <v>488</v>
      </c>
      <c r="O748" s="22">
        <v>40820</v>
      </c>
      <c r="P748" s="51">
        <f>Table46[[#This Row],[GROSS WT KGS]]-Table46[[#This Row],[SACS]]</f>
        <v>40332</v>
      </c>
      <c r="Q748" s="10">
        <v>458</v>
      </c>
      <c r="R748" s="124">
        <v>0</v>
      </c>
      <c r="S748" s="10">
        <v>30</v>
      </c>
      <c r="T748" s="10">
        <f t="shared" si="89"/>
        <v>120</v>
      </c>
      <c r="U748" s="22">
        <f>Table46[[#This Row],[NET WT KGS]]-Table46[[#This Row],[Refraction]]</f>
        <v>40212</v>
      </c>
      <c r="V748" s="23">
        <v>515</v>
      </c>
      <c r="W748" s="23">
        <f>Table46[[#This Row],[PRICE]]*Table46[[#This Row],[PAID WT]]</f>
        <v>20709180</v>
      </c>
      <c r="X748" s="24">
        <v>9.9</v>
      </c>
      <c r="Y748" s="25">
        <v>177</v>
      </c>
      <c r="Z748" s="24">
        <v>43.47</v>
      </c>
      <c r="AA748" s="26"/>
      <c r="AB748" s="66" t="s">
        <v>546</v>
      </c>
      <c r="AC748" s="27"/>
      <c r="AD748" s="63" t="s">
        <v>785</v>
      </c>
      <c r="AE748" s="18">
        <f>Table46[[#This Row],[MOIS.]]*Table46[[#This Row],[NET WT KGS]]</f>
        <v>399286.8</v>
      </c>
      <c r="AF748" s="18">
        <f>Table46[[#This Row],[KOR]]*Table46[[#This Row],[NET WT KGS]]</f>
        <v>1753232.04</v>
      </c>
      <c r="AG748">
        <f>Table46[[#This Row],[NET WT KGS]]*Table46[[#This Row],[NUT COUNT]]</f>
        <v>7138764</v>
      </c>
    </row>
    <row r="749" spans="1:33" x14ac:dyDescent="0.35">
      <c r="A749" s="32">
        <f t="shared" si="85"/>
        <v>747</v>
      </c>
      <c r="B749" s="20">
        <v>46133</v>
      </c>
      <c r="C749" s="20">
        <v>46135</v>
      </c>
      <c r="D749" s="10" t="s">
        <v>38</v>
      </c>
      <c r="E749" s="10" t="s">
        <v>258</v>
      </c>
      <c r="F749" s="50" t="s">
        <v>62</v>
      </c>
      <c r="G749" s="10"/>
      <c r="H749" s="10" t="s">
        <v>846</v>
      </c>
      <c r="I749" s="50" t="s">
        <v>222</v>
      </c>
      <c r="J749" s="10" t="s">
        <v>847</v>
      </c>
      <c r="K749" s="107" t="s">
        <v>848</v>
      </c>
      <c r="L749" s="10">
        <v>702</v>
      </c>
      <c r="M749" s="10">
        <v>77674</v>
      </c>
      <c r="N749" s="10">
        <v>562</v>
      </c>
      <c r="O749" s="22">
        <v>50000</v>
      </c>
      <c r="P749" s="51">
        <f>Table46[[#This Row],[GROSS WT KGS]]-Table46[[#This Row],[SACS]]</f>
        <v>49438</v>
      </c>
      <c r="Q749" s="10">
        <v>534</v>
      </c>
      <c r="R749" s="124">
        <v>30</v>
      </c>
      <c r="S749" s="10">
        <v>0</v>
      </c>
      <c r="T749" s="10">
        <f t="shared" si="89"/>
        <v>240</v>
      </c>
      <c r="U749" s="22">
        <f>Table46[[#This Row],[NET WT KGS]]-Table46[[#This Row],[Refraction]]</f>
        <v>49198</v>
      </c>
      <c r="V749" s="23">
        <v>515</v>
      </c>
      <c r="W749" s="23">
        <f>Table46[[#This Row],[PRICE]]*Table46[[#This Row],[PAID WT]]</f>
        <v>25336970</v>
      </c>
      <c r="X749" s="24">
        <v>12.7</v>
      </c>
      <c r="Y749" s="25">
        <v>157</v>
      </c>
      <c r="Z749" s="24">
        <v>43.12</v>
      </c>
      <c r="AA749" s="26"/>
      <c r="AB749" s="66"/>
      <c r="AC749" s="27"/>
      <c r="AD749" s="63" t="s">
        <v>785</v>
      </c>
      <c r="AE749" s="18">
        <f>Table46[[#This Row],[MOIS.]]*Table46[[#This Row],[NET WT KGS]]</f>
        <v>627862.6</v>
      </c>
      <c r="AF749" s="18">
        <f>Table46[[#This Row],[KOR]]*Table46[[#This Row],[NET WT KGS]]</f>
        <v>2131766.56</v>
      </c>
      <c r="AG749">
        <f>Table46[[#This Row],[NET WT KGS]]*Table46[[#This Row],[NUT COUNT]]</f>
        <v>7761766</v>
      </c>
    </row>
    <row r="750" spans="1:33" x14ac:dyDescent="0.35">
      <c r="A750" s="32">
        <f t="shared" si="85"/>
        <v>748</v>
      </c>
      <c r="B750" s="20">
        <v>46134</v>
      </c>
      <c r="C750" s="20">
        <v>46135</v>
      </c>
      <c r="D750" s="10" t="s">
        <v>38</v>
      </c>
      <c r="E750" s="10" t="s">
        <v>39</v>
      </c>
      <c r="F750" s="50" t="s">
        <v>40</v>
      </c>
      <c r="G750" s="10" t="s">
        <v>350</v>
      </c>
      <c r="H750" s="10" t="s">
        <v>54</v>
      </c>
      <c r="I750" s="50" t="str">
        <f>VLOOKUP(Table46[[#This Row],[SUPPLIERS NAME]],[1]AGING!X$3:Y$80,2,)</f>
        <v>LBA-007-CAS</v>
      </c>
      <c r="J750" s="10" t="s">
        <v>849</v>
      </c>
      <c r="K750" s="33" t="s">
        <v>57</v>
      </c>
      <c r="L750" s="10">
        <v>289</v>
      </c>
      <c r="M750" s="10">
        <v>38397</v>
      </c>
      <c r="N750" s="10">
        <v>471</v>
      </c>
      <c r="O750" s="22">
        <f t="shared" ref="O750:O756" si="90">P750+N750</f>
        <v>41220</v>
      </c>
      <c r="P750" s="22">
        <v>40749</v>
      </c>
      <c r="Q750" s="10">
        <v>446</v>
      </c>
      <c r="R750" s="122">
        <v>25</v>
      </c>
      <c r="S750" s="10">
        <v>0</v>
      </c>
      <c r="T750" s="10">
        <f t="shared" si="89"/>
        <v>200</v>
      </c>
      <c r="U750" s="22">
        <f>Table46[[#This Row],[NET WT KGS]]-Table46[[#This Row],[Refraction]]</f>
        <v>40549</v>
      </c>
      <c r="V750" s="23">
        <v>490</v>
      </c>
      <c r="W750" s="23">
        <f>Table46[[#This Row],[PRICE]]*Table46[[#This Row],[PAID WT]]</f>
        <v>19869010</v>
      </c>
      <c r="X750" s="24">
        <v>11.9</v>
      </c>
      <c r="Y750" s="25">
        <v>166</v>
      </c>
      <c r="Z750" s="24">
        <v>41.09</v>
      </c>
      <c r="AA750" s="26"/>
      <c r="AB750" s="66" t="s">
        <v>58</v>
      </c>
      <c r="AC750" s="27"/>
      <c r="AD750" s="63" t="s">
        <v>785</v>
      </c>
      <c r="AE750" s="18">
        <f>Table46[[#This Row],[MOIS.]]*Table46[[#This Row],[NET WT KGS]]</f>
        <v>484913.10000000003</v>
      </c>
      <c r="AF750" s="18">
        <f>Table46[[#This Row],[KOR]]*Table46[[#This Row],[NET WT KGS]]</f>
        <v>1674376.4100000001</v>
      </c>
      <c r="AG750">
        <f>Table46[[#This Row],[NET WT KGS]]*Table46[[#This Row],[NUT COUNT]]</f>
        <v>6764334</v>
      </c>
    </row>
    <row r="751" spans="1:33" x14ac:dyDescent="0.35">
      <c r="A751" s="32">
        <f t="shared" si="85"/>
        <v>749</v>
      </c>
      <c r="B751" s="20">
        <v>46134</v>
      </c>
      <c r="C751" s="20">
        <v>46135</v>
      </c>
      <c r="D751" s="10" t="s">
        <v>38</v>
      </c>
      <c r="E751" s="10" t="s">
        <v>39</v>
      </c>
      <c r="F751" s="50" t="s">
        <v>40</v>
      </c>
      <c r="G751" s="10" t="s">
        <v>41</v>
      </c>
      <c r="H751" s="10" t="s">
        <v>154</v>
      </c>
      <c r="I751" s="50" t="str">
        <f>VLOOKUP(Table46[[#This Row],[SUPPLIERS NAME]],[1]AGING!X$3:Y$80,2,)</f>
        <v>LBA-010-CAP</v>
      </c>
      <c r="J751" s="10" t="s">
        <v>850</v>
      </c>
      <c r="K751" s="33" t="s">
        <v>157</v>
      </c>
      <c r="L751" s="10">
        <v>290</v>
      </c>
      <c r="M751" s="10">
        <v>80567</v>
      </c>
      <c r="N751" s="10">
        <v>562</v>
      </c>
      <c r="O751" s="22">
        <f t="shared" si="90"/>
        <v>51980</v>
      </c>
      <c r="P751" s="22">
        <v>51418</v>
      </c>
      <c r="Q751" s="10">
        <v>549</v>
      </c>
      <c r="R751" s="122">
        <v>0</v>
      </c>
      <c r="S751" s="10">
        <v>13</v>
      </c>
      <c r="T751" s="10">
        <f t="shared" si="89"/>
        <v>52</v>
      </c>
      <c r="U751" s="22">
        <f>Table46[[#This Row],[NET WT KGS]]-Table46[[#This Row],[Refraction]]</f>
        <v>51366</v>
      </c>
      <c r="V751" s="23">
        <v>490</v>
      </c>
      <c r="W751" s="23">
        <f>Table46[[#This Row],[PRICE]]*Table46[[#This Row],[PAID WT]]</f>
        <v>25169340</v>
      </c>
      <c r="X751" s="24">
        <v>9.6</v>
      </c>
      <c r="Y751" s="25">
        <v>188</v>
      </c>
      <c r="Z751" s="24">
        <v>41.62</v>
      </c>
      <c r="AA751" s="26"/>
      <c r="AB751" s="66" t="s">
        <v>851</v>
      </c>
      <c r="AC751" s="27"/>
      <c r="AD751" s="63" t="s">
        <v>785</v>
      </c>
      <c r="AE751" s="18">
        <f>Table46[[#This Row],[MOIS.]]*Table46[[#This Row],[NET WT KGS]]</f>
        <v>493612.79999999999</v>
      </c>
      <c r="AF751" s="18">
        <f>Table46[[#This Row],[KOR]]*Table46[[#This Row],[NET WT KGS]]</f>
        <v>2140017.1599999997</v>
      </c>
      <c r="AG751">
        <f>Table46[[#This Row],[NET WT KGS]]*Table46[[#This Row],[NUT COUNT]]</f>
        <v>9666584</v>
      </c>
    </row>
    <row r="752" spans="1:33" x14ac:dyDescent="0.35">
      <c r="A752" s="32">
        <f t="shared" si="85"/>
        <v>750</v>
      </c>
      <c r="B752" s="20">
        <v>46135</v>
      </c>
      <c r="C752" s="20">
        <v>46135</v>
      </c>
      <c r="D752" s="10" t="s">
        <v>38</v>
      </c>
      <c r="E752" s="10" t="s">
        <v>258</v>
      </c>
      <c r="F752" s="50" t="s">
        <v>40</v>
      </c>
      <c r="G752" s="10" t="s">
        <v>350</v>
      </c>
      <c r="H752" s="10" t="s">
        <v>364</v>
      </c>
      <c r="I752" s="50" t="str">
        <f>VLOOKUP(Table46[[#This Row],[SUPPLIERS NAME]],[1]AGING!X$3:Y$80,2,)</f>
        <v>DIS-007-SPA</v>
      </c>
      <c r="J752" s="10" t="s">
        <v>753</v>
      </c>
      <c r="K752" s="77" t="s">
        <v>426</v>
      </c>
      <c r="L752" s="90">
        <v>292</v>
      </c>
      <c r="M752" s="10">
        <v>33687</v>
      </c>
      <c r="N752" s="10">
        <v>566</v>
      </c>
      <c r="O752" s="22">
        <f t="shared" si="90"/>
        <v>46220</v>
      </c>
      <c r="P752" s="22">
        <v>45654</v>
      </c>
      <c r="Q752" s="10">
        <v>554</v>
      </c>
      <c r="R752" s="122">
        <v>0</v>
      </c>
      <c r="S752" s="10">
        <v>12</v>
      </c>
      <c r="T752" s="10">
        <f t="shared" si="89"/>
        <v>48</v>
      </c>
      <c r="U752" s="22">
        <f>Table46[[#This Row],[NET WT KGS]]-Table46[[#This Row],[Refraction]]</f>
        <v>45606</v>
      </c>
      <c r="V752" s="23">
        <v>505</v>
      </c>
      <c r="W752" s="23">
        <f>Table46[[#This Row],[PRICE]]*Table46[[#This Row],[PAID WT]]</f>
        <v>23031030</v>
      </c>
      <c r="X752" s="24">
        <v>7.6</v>
      </c>
      <c r="Y752" s="25">
        <v>161</v>
      </c>
      <c r="Z752" s="24">
        <v>43.21</v>
      </c>
      <c r="AA752" s="26"/>
      <c r="AB752" s="66" t="s">
        <v>367</v>
      </c>
      <c r="AC752" s="27"/>
      <c r="AD752" s="63" t="s">
        <v>785</v>
      </c>
      <c r="AE752" s="18">
        <f>Table46[[#This Row],[MOIS.]]*Table46[[#This Row],[NET WT KGS]]</f>
        <v>346970.39999999997</v>
      </c>
      <c r="AF752" s="18">
        <f>Table46[[#This Row],[KOR]]*Table46[[#This Row],[NET WT KGS]]</f>
        <v>1972709.34</v>
      </c>
      <c r="AG752">
        <f>Table46[[#This Row],[NET WT KGS]]*Table46[[#This Row],[NUT COUNT]]</f>
        <v>7350294</v>
      </c>
    </row>
    <row r="753" spans="1:33" x14ac:dyDescent="0.35">
      <c r="A753" s="32">
        <f t="shared" si="85"/>
        <v>751</v>
      </c>
      <c r="B753" s="20">
        <v>46135</v>
      </c>
      <c r="C753" s="20">
        <v>46135</v>
      </c>
      <c r="D753" s="10" t="s">
        <v>38</v>
      </c>
      <c r="E753" s="10" t="s">
        <v>258</v>
      </c>
      <c r="F753" s="50" t="s">
        <v>40</v>
      </c>
      <c r="G753" s="10" t="s">
        <v>350</v>
      </c>
      <c r="H753" s="10" t="s">
        <v>364</v>
      </c>
      <c r="I753" s="50" t="str">
        <f>VLOOKUP(Table46[[#This Row],[SUPPLIERS NAME]],[1]AGING!X$3:Y$80,2,)</f>
        <v>DIS-007-SPA</v>
      </c>
      <c r="J753" s="10" t="s">
        <v>852</v>
      </c>
      <c r="K753" s="77" t="s">
        <v>426</v>
      </c>
      <c r="L753" s="90">
        <v>293</v>
      </c>
      <c r="M753" s="10">
        <v>87010</v>
      </c>
      <c r="N753" s="10">
        <v>509</v>
      </c>
      <c r="O753" s="22">
        <f t="shared" si="90"/>
        <v>42880</v>
      </c>
      <c r="P753" s="22">
        <v>42371</v>
      </c>
      <c r="Q753" s="10">
        <v>498</v>
      </c>
      <c r="R753" s="122">
        <v>0</v>
      </c>
      <c r="S753" s="10">
        <v>11</v>
      </c>
      <c r="T753" s="10">
        <f t="shared" si="89"/>
        <v>44</v>
      </c>
      <c r="U753" s="22">
        <f>Table46[[#This Row],[NET WT KGS]]-Table46[[#This Row],[Refraction]]</f>
        <v>42327</v>
      </c>
      <c r="V753" s="23">
        <v>490</v>
      </c>
      <c r="W753" s="23">
        <f>Table46[[#This Row],[PRICE]]*Table46[[#This Row],[PAID WT]]</f>
        <v>20740230</v>
      </c>
      <c r="X753" s="24">
        <v>9.9</v>
      </c>
      <c r="Y753" s="25">
        <v>161</v>
      </c>
      <c r="Z753" s="24">
        <v>41.44</v>
      </c>
      <c r="AA753" s="26"/>
      <c r="AB753" s="66" t="s">
        <v>78</v>
      </c>
      <c r="AC753" s="27"/>
      <c r="AD753" s="63" t="s">
        <v>785</v>
      </c>
      <c r="AE753" s="18">
        <f>Table46[[#This Row],[MOIS.]]*Table46[[#This Row],[NET WT KGS]]</f>
        <v>419472.9</v>
      </c>
      <c r="AF753" s="18">
        <f>Table46[[#This Row],[KOR]]*Table46[[#This Row],[NET WT KGS]]</f>
        <v>1755854.24</v>
      </c>
      <c r="AG753">
        <f>Table46[[#This Row],[NET WT KGS]]*Table46[[#This Row],[NUT COUNT]]</f>
        <v>6821731</v>
      </c>
    </row>
    <row r="754" spans="1:33" x14ac:dyDescent="0.35">
      <c r="A754" s="32">
        <f t="shared" si="85"/>
        <v>752</v>
      </c>
      <c r="B754" s="35">
        <v>46135</v>
      </c>
      <c r="C754" s="35">
        <f>Table46[[#This Row],[DATE OF ARRIVAL]]</f>
        <v>46135</v>
      </c>
      <c r="D754" s="36"/>
      <c r="E754" s="36"/>
      <c r="F754" s="36" t="s">
        <v>40</v>
      </c>
      <c r="G754" s="36"/>
      <c r="H754" s="36" t="s">
        <v>399</v>
      </c>
      <c r="I754" s="36" t="s">
        <v>200</v>
      </c>
      <c r="J754" s="36" t="s">
        <v>853</v>
      </c>
      <c r="K754" s="106"/>
      <c r="L754" s="36"/>
      <c r="M754" s="36"/>
      <c r="N754" s="36"/>
      <c r="O754" s="37">
        <f t="shared" si="90"/>
        <v>0</v>
      </c>
      <c r="P754" s="37"/>
      <c r="Q754" s="36"/>
      <c r="R754" s="86"/>
      <c r="S754" s="36"/>
      <c r="T754" s="36"/>
      <c r="U754" s="37">
        <f>Table46[[#This Row],[NET WT KGS]]-Table46[[#This Row],[Refraction]]</f>
        <v>0</v>
      </c>
      <c r="V754" s="38"/>
      <c r="W754" s="38">
        <f>Table46[[#This Row],[PRICE]]*Table46[[#This Row],[PAID WT]]</f>
        <v>0</v>
      </c>
      <c r="X754" s="39">
        <v>12.1</v>
      </c>
      <c r="Y754" s="40">
        <v>167</v>
      </c>
      <c r="Z754" s="39">
        <v>41.094209999999997</v>
      </c>
      <c r="AA754" s="41"/>
      <c r="AB754" s="74" t="s">
        <v>58</v>
      </c>
      <c r="AC754" s="42" t="s">
        <v>70</v>
      </c>
      <c r="AD754" s="28"/>
      <c r="AE754" s="18">
        <f>Table46[[#This Row],[MOIS.]]*Table46[[#This Row],[NET WT KGS]]</f>
        <v>0</v>
      </c>
      <c r="AF754" s="18">
        <f>Table46[[#This Row],[KOR]]*Table46[[#This Row],[NET WT KGS]]</f>
        <v>0</v>
      </c>
      <c r="AG754">
        <f>Table46[[#This Row],[NET WT KGS]]*Table46[[#This Row],[NUT COUNT]]</f>
        <v>0</v>
      </c>
    </row>
    <row r="755" spans="1:33" x14ac:dyDescent="0.35">
      <c r="A755" s="32">
        <f t="shared" si="85"/>
        <v>753</v>
      </c>
      <c r="B755" s="35">
        <v>46135</v>
      </c>
      <c r="C755" s="35">
        <f>Table46[[#This Row],[DATE OF ARRIVAL]]</f>
        <v>46135</v>
      </c>
      <c r="D755" s="36"/>
      <c r="E755" s="36"/>
      <c r="F755" s="36" t="s">
        <v>40</v>
      </c>
      <c r="G755" s="36"/>
      <c r="H755" s="36" t="s">
        <v>154</v>
      </c>
      <c r="I755" s="36" t="s">
        <v>155</v>
      </c>
      <c r="J755" s="36" t="s">
        <v>814</v>
      </c>
      <c r="K755" s="106"/>
      <c r="L755" s="36"/>
      <c r="M755" s="36"/>
      <c r="N755" s="36"/>
      <c r="O755" s="37">
        <f t="shared" si="90"/>
        <v>0</v>
      </c>
      <c r="P755" s="37"/>
      <c r="Q755" s="36"/>
      <c r="R755" s="86"/>
      <c r="S755" s="36"/>
      <c r="T755" s="36"/>
      <c r="U755" s="37">
        <f>Table46[[#This Row],[NET WT KGS]]-Table46[[#This Row],[Refraction]]</f>
        <v>0</v>
      </c>
      <c r="V755" s="38"/>
      <c r="W755" s="38">
        <f>Table46[[#This Row],[PRICE]]*Table46[[#This Row],[PAID WT]]</f>
        <v>0</v>
      </c>
      <c r="X755" s="39">
        <v>10.1</v>
      </c>
      <c r="Y755" s="40">
        <v>179</v>
      </c>
      <c r="Z755" s="39">
        <v>38.09592</v>
      </c>
      <c r="AA755" s="41"/>
      <c r="AB755" s="74" t="s">
        <v>355</v>
      </c>
      <c r="AC755" s="42" t="s">
        <v>70</v>
      </c>
      <c r="AD755" s="28"/>
      <c r="AE755" s="18">
        <f>Table46[[#This Row],[MOIS.]]*Table46[[#This Row],[NET WT KGS]]</f>
        <v>0</v>
      </c>
      <c r="AF755" s="18">
        <f>Table46[[#This Row],[KOR]]*Table46[[#This Row],[NET WT KGS]]</f>
        <v>0</v>
      </c>
      <c r="AG755">
        <f>Table46[[#This Row],[NET WT KGS]]*Table46[[#This Row],[NUT COUNT]]</f>
        <v>0</v>
      </c>
    </row>
    <row r="756" spans="1:33" x14ac:dyDescent="0.35">
      <c r="A756" s="32">
        <f t="shared" si="85"/>
        <v>754</v>
      </c>
      <c r="B756" s="35">
        <v>46135</v>
      </c>
      <c r="C756" s="35">
        <f>Table46[[#This Row],[DATE OF ARRIVAL]]</f>
        <v>46135</v>
      </c>
      <c r="D756" s="36"/>
      <c r="E756" s="36"/>
      <c r="F756" s="36" t="s">
        <v>40</v>
      </c>
      <c r="G756" s="36"/>
      <c r="H756" s="36" t="s">
        <v>154</v>
      </c>
      <c r="I756" s="36" t="s">
        <v>155</v>
      </c>
      <c r="J756" s="36" t="s">
        <v>640</v>
      </c>
      <c r="K756" s="106"/>
      <c r="L756" s="36"/>
      <c r="M756" s="36"/>
      <c r="N756" s="36"/>
      <c r="O756" s="37">
        <f t="shared" si="90"/>
        <v>0</v>
      </c>
      <c r="P756" s="37"/>
      <c r="Q756" s="36"/>
      <c r="R756" s="86"/>
      <c r="S756" s="36"/>
      <c r="T756" s="36"/>
      <c r="U756" s="37">
        <f>Table46[[#This Row],[NET WT KGS]]-Table46[[#This Row],[Refraction]]</f>
        <v>0</v>
      </c>
      <c r="V756" s="38"/>
      <c r="W756" s="38">
        <f>Table46[[#This Row],[PRICE]]*Table46[[#This Row],[PAID WT]]</f>
        <v>0</v>
      </c>
      <c r="X756" s="39">
        <v>10.3</v>
      </c>
      <c r="Y756" s="40">
        <v>183</v>
      </c>
      <c r="Z756" s="39">
        <v>39.85962</v>
      </c>
      <c r="AA756" s="41"/>
      <c r="AB756" s="74" t="s">
        <v>40</v>
      </c>
      <c r="AC756" s="42" t="s">
        <v>70</v>
      </c>
      <c r="AD756" s="28"/>
      <c r="AE756" s="18">
        <f>Table46[[#This Row],[MOIS.]]*Table46[[#This Row],[NET WT KGS]]</f>
        <v>0</v>
      </c>
      <c r="AF756" s="18">
        <f>Table46[[#This Row],[KOR]]*Table46[[#This Row],[NET WT KGS]]</f>
        <v>0</v>
      </c>
      <c r="AG756">
        <f>Table46[[#This Row],[NET WT KGS]]*Table46[[#This Row],[NUT COUNT]]</f>
        <v>0</v>
      </c>
    </row>
    <row r="757" spans="1:33" x14ac:dyDescent="0.35">
      <c r="A757" s="32">
        <f t="shared" si="85"/>
        <v>755</v>
      </c>
      <c r="B757" s="20">
        <v>46134</v>
      </c>
      <c r="C757" s="20">
        <v>46136</v>
      </c>
      <c r="D757" s="10" t="s">
        <v>38</v>
      </c>
      <c r="E757" s="10" t="s">
        <v>39</v>
      </c>
      <c r="F757" s="50" t="s">
        <v>62</v>
      </c>
      <c r="G757" s="10"/>
      <c r="H757" s="10" t="s">
        <v>684</v>
      </c>
      <c r="I757" s="50" t="str">
        <f>VLOOKUP(Table46[[#This Row],[SUPPLIERS NAME]],[1]AGING!X$3:Y$80,2,)</f>
        <v>LBA-021-SAN</v>
      </c>
      <c r="J757" s="10" t="s">
        <v>854</v>
      </c>
      <c r="K757" s="121"/>
      <c r="L757" s="10">
        <v>705</v>
      </c>
      <c r="M757" s="66">
        <f>VLOOKUP(Table46[[#This Row],[REF.]],'[2]RCN INWARD FACTORY YAKRO 2026'!$F$4:$M$257,8,0)</f>
        <v>89784</v>
      </c>
      <c r="N757" s="10">
        <v>477</v>
      </c>
      <c r="O757" s="22">
        <v>39460</v>
      </c>
      <c r="P757" s="51">
        <f>Table46[[#This Row],[GROSS WT KGS]]-Table46[[#This Row],[SACS]]</f>
        <v>38983</v>
      </c>
      <c r="Q757" s="10">
        <v>470</v>
      </c>
      <c r="R757" s="122">
        <v>30</v>
      </c>
      <c r="S757" s="10">
        <v>0</v>
      </c>
      <c r="T757" s="10">
        <f t="shared" ref="T757:T774" si="91">S757*4+R757*8</f>
        <v>240</v>
      </c>
      <c r="U757" s="22">
        <f>Table46[[#This Row],[NET WT KGS]]-Table46[[#This Row],[Refraction]]</f>
        <v>38743</v>
      </c>
      <c r="V757" s="23">
        <v>515</v>
      </c>
      <c r="W757" s="23">
        <f>Table46[[#This Row],[PRICE]]*Table46[[#This Row],[PAID WT]]</f>
        <v>19952645</v>
      </c>
      <c r="X757" s="24">
        <v>12.5</v>
      </c>
      <c r="Y757" s="25">
        <v>164</v>
      </c>
      <c r="Z757" s="24">
        <v>43.03</v>
      </c>
      <c r="AA757" s="26"/>
      <c r="AB757" s="66" t="s">
        <v>58</v>
      </c>
      <c r="AC757" s="27" t="s">
        <v>720</v>
      </c>
      <c r="AD757" s="28"/>
      <c r="AE757" s="18">
        <f>Table46[[#This Row],[MOIS.]]*Table46[[#This Row],[NET WT KGS]]</f>
        <v>487287.5</v>
      </c>
      <c r="AF757" s="18">
        <f>Table46[[#This Row],[KOR]]*Table46[[#This Row],[NET WT KGS]]</f>
        <v>1677438.49</v>
      </c>
      <c r="AG757">
        <f>Table46[[#This Row],[NET WT KGS]]*Table46[[#This Row],[NUT COUNT]]</f>
        <v>6393212</v>
      </c>
    </row>
    <row r="758" spans="1:33" x14ac:dyDescent="0.35">
      <c r="A758" s="32">
        <f t="shared" si="85"/>
        <v>756</v>
      </c>
      <c r="B758" s="20">
        <v>46134</v>
      </c>
      <c r="C758" s="20">
        <v>46136</v>
      </c>
      <c r="D758" s="10" t="s">
        <v>38</v>
      </c>
      <c r="E758" s="10" t="s">
        <v>258</v>
      </c>
      <c r="F758" s="50" t="s">
        <v>62</v>
      </c>
      <c r="G758" s="10"/>
      <c r="H758" s="10" t="s">
        <v>684</v>
      </c>
      <c r="I758" s="50" t="str">
        <f>VLOOKUP(Table46[[#This Row],[SUPPLIERS NAME]],[1]AGING!X$3:Y$80,2,)</f>
        <v>LBA-021-SAN</v>
      </c>
      <c r="J758" s="10" t="s">
        <v>760</v>
      </c>
      <c r="K758" s="121"/>
      <c r="L758" s="10">
        <v>706</v>
      </c>
      <c r="M758" s="66">
        <f>VLOOKUP(Table46[[#This Row],[REF.]],'[2]RCN INWARD FACTORY YAKRO 2026'!$F$4:$M$257,8,0)</f>
        <v>65511</v>
      </c>
      <c r="N758" s="10">
        <v>540</v>
      </c>
      <c r="O758" s="22">
        <v>43950</v>
      </c>
      <c r="P758" s="51">
        <f>Table46[[#This Row],[GROSS WT KGS]]-Table46[[#This Row],[SACS]]</f>
        <v>43410</v>
      </c>
      <c r="Q758" s="10">
        <v>527</v>
      </c>
      <c r="R758" s="122">
        <v>30</v>
      </c>
      <c r="S758" s="10">
        <v>0</v>
      </c>
      <c r="T758" s="10">
        <f t="shared" si="91"/>
        <v>240</v>
      </c>
      <c r="U758" s="22">
        <f>Table46[[#This Row],[NET WT KGS]]-Table46[[#This Row],[Refraction]]</f>
        <v>43170</v>
      </c>
      <c r="V758" s="23">
        <v>515</v>
      </c>
      <c r="W758" s="23">
        <f>Table46[[#This Row],[PRICE]]*Table46[[#This Row],[PAID WT]]</f>
        <v>22232550</v>
      </c>
      <c r="X758" s="24">
        <v>14.7</v>
      </c>
      <c r="Y758" s="25">
        <v>166</v>
      </c>
      <c r="Z758" s="24">
        <v>43.91</v>
      </c>
      <c r="AA758" s="26"/>
      <c r="AB758" s="66" t="s">
        <v>150</v>
      </c>
      <c r="AC758" s="27" t="s">
        <v>855</v>
      </c>
      <c r="AD758" s="28"/>
      <c r="AE758" s="18">
        <f>Table46[[#This Row],[MOIS.]]*Table46[[#This Row],[NET WT KGS]]</f>
        <v>638127</v>
      </c>
      <c r="AF758" s="18">
        <f>Table46[[#This Row],[KOR]]*Table46[[#This Row],[NET WT KGS]]</f>
        <v>1906133.0999999999</v>
      </c>
      <c r="AG758">
        <f>Table46[[#This Row],[NET WT KGS]]*Table46[[#This Row],[NUT COUNT]]</f>
        <v>7206060</v>
      </c>
    </row>
    <row r="759" spans="1:33" x14ac:dyDescent="0.35">
      <c r="A759" s="32">
        <f t="shared" si="85"/>
        <v>757</v>
      </c>
      <c r="B759" s="20">
        <v>46134</v>
      </c>
      <c r="C759" s="20">
        <v>46136</v>
      </c>
      <c r="D759" s="10" t="s">
        <v>38</v>
      </c>
      <c r="E759" s="10" t="s">
        <v>39</v>
      </c>
      <c r="F759" s="50" t="s">
        <v>62</v>
      </c>
      <c r="G759" s="10"/>
      <c r="H759" s="10" t="s">
        <v>136</v>
      </c>
      <c r="I759" s="50" t="str">
        <f>VLOOKUP(Table46[[#This Row],[SUPPLIERS NAME]],[1]AGING!X$3:Y$80,2,)</f>
        <v>LBA-004-WEB</v>
      </c>
      <c r="J759" s="10" t="s">
        <v>789</v>
      </c>
      <c r="K759" s="21" t="s">
        <v>139</v>
      </c>
      <c r="L759" s="10">
        <v>707</v>
      </c>
      <c r="M759" s="10">
        <v>19784</v>
      </c>
      <c r="N759" s="10">
        <v>516</v>
      </c>
      <c r="O759" s="22">
        <v>43020</v>
      </c>
      <c r="P759" s="51">
        <f>Table46[[#This Row],[GROSS WT KGS]]-Table46[[#This Row],[SACS]]</f>
        <v>42504</v>
      </c>
      <c r="Q759" s="10">
        <v>508</v>
      </c>
      <c r="R759" s="122">
        <v>30</v>
      </c>
      <c r="S759" s="10">
        <v>0</v>
      </c>
      <c r="T759" s="10">
        <f t="shared" si="91"/>
        <v>240</v>
      </c>
      <c r="U759" s="22">
        <f>Table46[[#This Row],[NET WT KGS]]-Table46[[#This Row],[Refraction]]</f>
        <v>42264</v>
      </c>
      <c r="V759" s="23">
        <v>515</v>
      </c>
      <c r="W759" s="23">
        <f>Table46[[#This Row],[PRICE]]*Table46[[#This Row],[PAID WT]]</f>
        <v>21765960</v>
      </c>
      <c r="X759" s="24">
        <v>11.2</v>
      </c>
      <c r="Y759" s="25">
        <v>162</v>
      </c>
      <c r="Z759" s="24">
        <v>43.65</v>
      </c>
      <c r="AA759" s="26"/>
      <c r="AB759" s="66" t="s">
        <v>140</v>
      </c>
      <c r="AC759" s="27"/>
      <c r="AD759" s="28"/>
      <c r="AE759" s="18">
        <f>Table46[[#This Row],[MOIS.]]*Table46[[#This Row],[NET WT KGS]]</f>
        <v>476044.79999999999</v>
      </c>
      <c r="AF759" s="18">
        <f>Table46[[#This Row],[KOR]]*Table46[[#This Row],[NET WT KGS]]</f>
        <v>1855299.5999999999</v>
      </c>
      <c r="AG759">
        <f>Table46[[#This Row],[NET WT KGS]]*Table46[[#This Row],[NUT COUNT]]</f>
        <v>6885648</v>
      </c>
    </row>
    <row r="760" spans="1:33" x14ac:dyDescent="0.35">
      <c r="A760" s="32">
        <f t="shared" si="85"/>
        <v>758</v>
      </c>
      <c r="B760" s="20">
        <v>46134</v>
      </c>
      <c r="C760" s="20">
        <v>46136</v>
      </c>
      <c r="D760" s="10" t="s">
        <v>38</v>
      </c>
      <c r="E760" s="10" t="s">
        <v>39</v>
      </c>
      <c r="F760" s="50" t="s">
        <v>62</v>
      </c>
      <c r="G760" s="10"/>
      <c r="H760" s="117" t="s">
        <v>128</v>
      </c>
      <c r="I760" s="50" t="str">
        <f>VLOOKUP(Table46[[#This Row],[SUPPLIERS NAME]],[1]AGING!X$3:Y$80,2,)</f>
        <v>LBA-002-SCA</v>
      </c>
      <c r="J760" s="10" t="s">
        <v>856</v>
      </c>
      <c r="K760" s="33" t="s">
        <v>131</v>
      </c>
      <c r="L760" s="10">
        <v>709</v>
      </c>
      <c r="M760" s="10">
        <v>78905</v>
      </c>
      <c r="N760" s="10">
        <v>573</v>
      </c>
      <c r="O760" s="22">
        <v>47925</v>
      </c>
      <c r="P760" s="51">
        <f>Table46[[#This Row],[GROSS WT KGS]]-Table46[[#This Row],[SACS]]</f>
        <v>47352</v>
      </c>
      <c r="Q760" s="10">
        <v>569</v>
      </c>
      <c r="R760" s="122">
        <v>35</v>
      </c>
      <c r="S760" s="10">
        <v>0</v>
      </c>
      <c r="T760" s="10">
        <f t="shared" si="91"/>
        <v>280</v>
      </c>
      <c r="U760" s="22">
        <f>Table46[[#This Row],[NET WT KGS]]-Table46[[#This Row],[Refraction]]</f>
        <v>47072</v>
      </c>
      <c r="V760" s="23">
        <v>515</v>
      </c>
      <c r="W760" s="23">
        <f>Table46[[#This Row],[PRICE]]*Table46[[#This Row],[PAID WT]]</f>
        <v>24242080</v>
      </c>
      <c r="X760" s="24">
        <v>12.1</v>
      </c>
      <c r="Y760" s="25">
        <v>189</v>
      </c>
      <c r="Z760" s="24">
        <v>44.09</v>
      </c>
      <c r="AA760" s="26"/>
      <c r="AB760" s="66" t="s">
        <v>132</v>
      </c>
      <c r="AC760" s="27"/>
      <c r="AD760" s="28"/>
      <c r="AE760" s="18">
        <f>Table46[[#This Row],[MOIS.]]*Table46[[#This Row],[NET WT KGS]]</f>
        <v>572959.19999999995</v>
      </c>
      <c r="AF760" s="18">
        <f>Table46[[#This Row],[KOR]]*Table46[[#This Row],[NET WT KGS]]</f>
        <v>2087749.6800000002</v>
      </c>
      <c r="AG760">
        <f>Table46[[#This Row],[NET WT KGS]]*Table46[[#This Row],[NUT COUNT]]</f>
        <v>8949528</v>
      </c>
    </row>
    <row r="761" spans="1:33" x14ac:dyDescent="0.35">
      <c r="A761" s="32">
        <f t="shared" si="85"/>
        <v>759</v>
      </c>
      <c r="B761" s="20">
        <v>46135</v>
      </c>
      <c r="C761" s="20">
        <v>46136</v>
      </c>
      <c r="D761" s="10" t="s">
        <v>38</v>
      </c>
      <c r="E761" s="10" t="s">
        <v>258</v>
      </c>
      <c r="F761" s="50" t="s">
        <v>40</v>
      </c>
      <c r="G761" s="10" t="s">
        <v>350</v>
      </c>
      <c r="H761" s="10" t="s">
        <v>335</v>
      </c>
      <c r="I761" s="50" t="str">
        <f>VLOOKUP(Table46[[#This Row],[SUPPLIERS NAME]],[1]AGING!X$3:Y$80,2,)</f>
        <v>DIS-003-DEM</v>
      </c>
      <c r="J761" s="10" t="s">
        <v>857</v>
      </c>
      <c r="K761" s="57" t="s">
        <v>337</v>
      </c>
      <c r="L761" s="10">
        <v>294</v>
      </c>
      <c r="M761" s="10">
        <v>31754</v>
      </c>
      <c r="N761" s="10">
        <v>527</v>
      </c>
      <c r="O761" s="22">
        <f t="shared" ref="O761:O769" si="92">P761+N761</f>
        <v>40440</v>
      </c>
      <c r="P761" s="22">
        <v>39913</v>
      </c>
      <c r="Q761" s="10">
        <v>502</v>
      </c>
      <c r="R761" s="122">
        <v>25</v>
      </c>
      <c r="S761" s="10">
        <v>0</v>
      </c>
      <c r="T761" s="10">
        <f t="shared" si="91"/>
        <v>200</v>
      </c>
      <c r="U761" s="22">
        <f>Table46[[#This Row],[NET WT KGS]]-Table46[[#This Row],[Refraction]]</f>
        <v>39713</v>
      </c>
      <c r="V761" s="23">
        <v>490</v>
      </c>
      <c r="W761" s="23">
        <f>Table46[[#This Row],[PRICE]]*Table46[[#This Row],[PAID WT]]</f>
        <v>19459370</v>
      </c>
      <c r="X761" s="24">
        <v>11</v>
      </c>
      <c r="Y761" s="25">
        <v>154</v>
      </c>
      <c r="Z761" s="24">
        <v>41.09</v>
      </c>
      <c r="AA761" s="26"/>
      <c r="AB761" s="66" t="s">
        <v>40</v>
      </c>
      <c r="AC761" s="27"/>
      <c r="AD761" s="28"/>
      <c r="AE761" s="18">
        <f>Table46[[#This Row],[MOIS.]]*Table46[[#This Row],[NET WT KGS]]</f>
        <v>439043</v>
      </c>
      <c r="AF761" s="18">
        <f>Table46[[#This Row],[KOR]]*Table46[[#This Row],[NET WT KGS]]</f>
        <v>1640025.1700000002</v>
      </c>
      <c r="AG761">
        <f>Table46[[#This Row],[NET WT KGS]]*Table46[[#This Row],[NUT COUNT]]</f>
        <v>6146602</v>
      </c>
    </row>
    <row r="762" spans="1:33" x14ac:dyDescent="0.35">
      <c r="A762" s="32">
        <f t="shared" si="85"/>
        <v>760</v>
      </c>
      <c r="B762" s="20">
        <v>46135</v>
      </c>
      <c r="C762" s="20">
        <v>46136</v>
      </c>
      <c r="D762" s="10" t="s">
        <v>38</v>
      </c>
      <c r="E762" s="10" t="s">
        <v>258</v>
      </c>
      <c r="F762" s="50" t="s">
        <v>40</v>
      </c>
      <c r="G762" s="10" t="s">
        <v>350</v>
      </c>
      <c r="H762" s="10" t="s">
        <v>404</v>
      </c>
      <c r="I762" s="50" t="s">
        <v>225</v>
      </c>
      <c r="J762" s="10" t="s">
        <v>858</v>
      </c>
      <c r="K762" s="107" t="s">
        <v>859</v>
      </c>
      <c r="L762" s="10">
        <v>295</v>
      </c>
      <c r="M762" s="10">
        <v>22027</v>
      </c>
      <c r="N762" s="10">
        <v>536</v>
      </c>
      <c r="O762" s="22">
        <f t="shared" si="92"/>
        <v>44220</v>
      </c>
      <c r="P762" s="22">
        <v>43684</v>
      </c>
      <c r="Q762" s="10">
        <v>516</v>
      </c>
      <c r="R762" s="122">
        <v>20</v>
      </c>
      <c r="S762" s="10">
        <v>0</v>
      </c>
      <c r="T762" s="10">
        <f t="shared" si="91"/>
        <v>160</v>
      </c>
      <c r="U762" s="22">
        <f>Table46[[#This Row],[NET WT KGS]]-Table46[[#This Row],[Refraction]]</f>
        <v>43524</v>
      </c>
      <c r="V762" s="23">
        <v>490</v>
      </c>
      <c r="W762" s="23">
        <f>Table46[[#This Row],[PRICE]]*Table46[[#This Row],[PAID WT]]</f>
        <v>21326760</v>
      </c>
      <c r="X762" s="24">
        <v>9.9</v>
      </c>
      <c r="Y762" s="25">
        <v>158</v>
      </c>
      <c r="Z762" s="24">
        <v>41.97</v>
      </c>
      <c r="AA762" s="26"/>
      <c r="AB762" s="66" t="s">
        <v>78</v>
      </c>
      <c r="AC762" s="27"/>
      <c r="AD762" s="28"/>
      <c r="AE762" s="18">
        <f>Table46[[#This Row],[MOIS.]]*Table46[[#This Row],[NET WT KGS]]</f>
        <v>432471.60000000003</v>
      </c>
      <c r="AF762" s="18">
        <f>Table46[[#This Row],[KOR]]*Table46[[#This Row],[NET WT KGS]]</f>
        <v>1833417.48</v>
      </c>
      <c r="AG762">
        <f>Table46[[#This Row],[NET WT KGS]]*Table46[[#This Row],[NUT COUNT]]</f>
        <v>6902072</v>
      </c>
    </row>
    <row r="763" spans="1:33" x14ac:dyDescent="0.35">
      <c r="A763" s="32">
        <f t="shared" si="85"/>
        <v>761</v>
      </c>
      <c r="B763" s="20">
        <v>46135</v>
      </c>
      <c r="C763" s="20">
        <v>46136</v>
      </c>
      <c r="D763" s="10" t="s">
        <v>38</v>
      </c>
      <c r="E763" s="10" t="s">
        <v>39</v>
      </c>
      <c r="F763" s="50" t="s">
        <v>40</v>
      </c>
      <c r="G763" s="10" t="s">
        <v>350</v>
      </c>
      <c r="H763" s="10" t="s">
        <v>87</v>
      </c>
      <c r="I763" s="50" t="str">
        <f>VLOOKUP(Table46[[#This Row],[SUPPLIERS NAME]],[1]AGING!X$3:Y$80,2,)</f>
        <v>LBA-009-SCO</v>
      </c>
      <c r="J763" s="10" t="s">
        <v>860</v>
      </c>
      <c r="K763" s="33" t="s">
        <v>90</v>
      </c>
      <c r="L763" s="10">
        <v>296</v>
      </c>
      <c r="M763" s="10">
        <v>31708</v>
      </c>
      <c r="N763" s="10">
        <v>510</v>
      </c>
      <c r="O763" s="22">
        <f t="shared" si="92"/>
        <v>40400</v>
      </c>
      <c r="P763" s="22">
        <v>39890</v>
      </c>
      <c r="Q763" s="10">
        <v>490</v>
      </c>
      <c r="R763" s="122">
        <v>20</v>
      </c>
      <c r="S763" s="10">
        <v>0</v>
      </c>
      <c r="T763" s="10">
        <f t="shared" si="91"/>
        <v>160</v>
      </c>
      <c r="U763" s="22">
        <f>Table46[[#This Row],[NET WT KGS]]-Table46[[#This Row],[Refraction]]</f>
        <v>39730</v>
      </c>
      <c r="V763" s="23">
        <v>485</v>
      </c>
      <c r="W763" s="23">
        <f>Table46[[#This Row],[PRICE]]*Table46[[#This Row],[PAID WT]]</f>
        <v>19269050</v>
      </c>
      <c r="X763" s="24">
        <v>11.7</v>
      </c>
      <c r="Y763" s="25">
        <v>184</v>
      </c>
      <c r="Z763" s="24">
        <v>41.79</v>
      </c>
      <c r="AA763" s="26"/>
      <c r="AB763" s="66" t="s">
        <v>140</v>
      </c>
      <c r="AC763" s="27"/>
      <c r="AD763" s="28"/>
      <c r="AE763" s="18">
        <f>Table46[[#This Row],[MOIS.]]*Table46[[#This Row],[NET WT KGS]]</f>
        <v>466713</v>
      </c>
      <c r="AF763" s="18">
        <f>Table46[[#This Row],[KOR]]*Table46[[#This Row],[NET WT KGS]]</f>
        <v>1667003.0999999999</v>
      </c>
      <c r="AG763">
        <f>Table46[[#This Row],[NET WT KGS]]*Table46[[#This Row],[NUT COUNT]]</f>
        <v>7339760</v>
      </c>
    </row>
    <row r="764" spans="1:33" x14ac:dyDescent="0.35">
      <c r="A764" s="32">
        <f t="shared" si="85"/>
        <v>762</v>
      </c>
      <c r="B764" s="20">
        <v>46135</v>
      </c>
      <c r="C764" s="20">
        <v>46136</v>
      </c>
      <c r="D764" s="10" t="s">
        <v>38</v>
      </c>
      <c r="E764" s="10" t="s">
        <v>39</v>
      </c>
      <c r="F764" s="50" t="s">
        <v>40</v>
      </c>
      <c r="G764" s="10" t="s">
        <v>41</v>
      </c>
      <c r="H764" s="50" t="s">
        <v>123</v>
      </c>
      <c r="I764" s="50" t="str">
        <f>VLOOKUP(Table46[[#This Row],[SUPPLIERS NAME]],[1]AGING!X$3:Y$80,2,)</f>
        <v>LBA-011-ASR</v>
      </c>
      <c r="J764" s="10" t="s">
        <v>861</v>
      </c>
      <c r="K764" s="21" t="s">
        <v>161</v>
      </c>
      <c r="L764" s="10">
        <v>297</v>
      </c>
      <c r="M764" s="10">
        <v>32061</v>
      </c>
      <c r="N764" s="10">
        <v>225</v>
      </c>
      <c r="O764" s="22">
        <f t="shared" si="92"/>
        <v>19740</v>
      </c>
      <c r="P764" s="22">
        <v>19515</v>
      </c>
      <c r="Q764" s="10">
        <v>215</v>
      </c>
      <c r="R764" s="122">
        <v>10</v>
      </c>
      <c r="S764" s="10">
        <v>0</v>
      </c>
      <c r="T764" s="10">
        <f t="shared" si="91"/>
        <v>80</v>
      </c>
      <c r="U764" s="22">
        <f>Table46[[#This Row],[NET WT KGS]]-Table46[[#This Row],[Refraction]]</f>
        <v>19435</v>
      </c>
      <c r="V764" s="23">
        <v>510</v>
      </c>
      <c r="W764" s="23">
        <f>Table46[[#This Row],[PRICE]]*Table46[[#This Row],[PAID WT]]</f>
        <v>9911850</v>
      </c>
      <c r="X764" s="24">
        <v>11.2</v>
      </c>
      <c r="Y764" s="25">
        <v>154</v>
      </c>
      <c r="Z764" s="24">
        <v>42.32</v>
      </c>
      <c r="AA764" s="26"/>
      <c r="AB764" s="66" t="s">
        <v>40</v>
      </c>
      <c r="AC764" s="27"/>
      <c r="AD764" s="28"/>
      <c r="AE764" s="18">
        <f>Table46[[#This Row],[MOIS.]]*Table46[[#This Row],[NET WT KGS]]</f>
        <v>218568</v>
      </c>
      <c r="AF764" s="18">
        <f>Table46[[#This Row],[KOR]]*Table46[[#This Row],[NET WT KGS]]</f>
        <v>825874.8</v>
      </c>
      <c r="AG764">
        <f>Table46[[#This Row],[NET WT KGS]]*Table46[[#This Row],[NUT COUNT]]</f>
        <v>3005310</v>
      </c>
    </row>
    <row r="765" spans="1:33" x14ac:dyDescent="0.35">
      <c r="A765" s="32">
        <f t="shared" si="85"/>
        <v>763</v>
      </c>
      <c r="B765" s="20">
        <v>46135</v>
      </c>
      <c r="C765" s="20">
        <v>46136</v>
      </c>
      <c r="D765" s="10" t="s">
        <v>38</v>
      </c>
      <c r="E765" s="10" t="s">
        <v>258</v>
      </c>
      <c r="F765" s="50" t="s">
        <v>40</v>
      </c>
      <c r="G765" s="10" t="s">
        <v>350</v>
      </c>
      <c r="H765" s="10" t="s">
        <v>364</v>
      </c>
      <c r="I765" s="50" t="str">
        <f>VLOOKUP(Table46[[#This Row],[SUPPLIERS NAME]],[1]AGING!X$3:Y$80,2,)</f>
        <v>DIS-007-SPA</v>
      </c>
      <c r="J765" s="10" t="s">
        <v>445</v>
      </c>
      <c r="K765" s="77" t="s">
        <v>426</v>
      </c>
      <c r="L765" s="90">
        <v>298</v>
      </c>
      <c r="M765" s="10">
        <v>33684</v>
      </c>
      <c r="N765" s="10">
        <v>248</v>
      </c>
      <c r="O765" s="22">
        <f t="shared" si="92"/>
        <v>20840</v>
      </c>
      <c r="P765" s="22">
        <v>20592</v>
      </c>
      <c r="Q765" s="10">
        <v>218</v>
      </c>
      <c r="R765" s="122">
        <v>30</v>
      </c>
      <c r="S765" s="10">
        <v>0</v>
      </c>
      <c r="T765" s="10">
        <f t="shared" si="91"/>
        <v>240</v>
      </c>
      <c r="U765" s="22">
        <f>Table46[[#This Row],[NET WT KGS]]-Table46[[#This Row],[Refraction]]</f>
        <v>20352</v>
      </c>
      <c r="V765" s="23">
        <v>495</v>
      </c>
      <c r="W765" s="23">
        <f>Table46[[#This Row],[PRICE]]*Table46[[#This Row],[PAID WT]]</f>
        <v>10074240</v>
      </c>
      <c r="X765" s="24">
        <v>12.5</v>
      </c>
      <c r="Y765" s="25">
        <v>158</v>
      </c>
      <c r="Z765" s="24">
        <v>41.97</v>
      </c>
      <c r="AA765" s="26"/>
      <c r="AB765" s="66" t="s">
        <v>367</v>
      </c>
      <c r="AC765" s="27"/>
      <c r="AD765" s="28"/>
      <c r="AE765" s="18">
        <f>Table46[[#This Row],[MOIS.]]*Table46[[#This Row],[NET WT KGS]]</f>
        <v>257400</v>
      </c>
      <c r="AF765" s="18">
        <f>Table46[[#This Row],[KOR]]*Table46[[#This Row],[NET WT KGS]]</f>
        <v>864246.24</v>
      </c>
      <c r="AG765">
        <f>Table46[[#This Row],[NET WT KGS]]*Table46[[#This Row],[NUT COUNT]]</f>
        <v>3253536</v>
      </c>
    </row>
    <row r="766" spans="1:33" x14ac:dyDescent="0.35">
      <c r="A766" s="32">
        <f t="shared" si="85"/>
        <v>764</v>
      </c>
      <c r="B766" s="20">
        <v>46135</v>
      </c>
      <c r="C766" s="20">
        <v>46136</v>
      </c>
      <c r="D766" s="10" t="s">
        <v>38</v>
      </c>
      <c r="E766" s="10" t="s">
        <v>258</v>
      </c>
      <c r="F766" s="50" t="s">
        <v>40</v>
      </c>
      <c r="G766" s="10" t="s">
        <v>350</v>
      </c>
      <c r="H766" s="10" t="s">
        <v>259</v>
      </c>
      <c r="I766" s="50" t="str">
        <f>VLOOKUP(Table46[[#This Row],[SUPPLIERS NAME]],[1]AGING!X$3:Y$80,2,)</f>
        <v>DIS-002-COR</v>
      </c>
      <c r="J766" s="10" t="s">
        <v>862</v>
      </c>
      <c r="K766" s="33" t="s">
        <v>261</v>
      </c>
      <c r="L766" s="10">
        <v>299</v>
      </c>
      <c r="M766" s="10">
        <v>37812</v>
      </c>
      <c r="N766" s="10">
        <v>497</v>
      </c>
      <c r="O766" s="22">
        <f t="shared" si="92"/>
        <v>42160</v>
      </c>
      <c r="P766" s="22">
        <v>41663</v>
      </c>
      <c r="Q766" s="10">
        <v>485</v>
      </c>
      <c r="R766" s="122">
        <v>0</v>
      </c>
      <c r="S766" s="10">
        <v>12</v>
      </c>
      <c r="T766" s="10">
        <f t="shared" si="91"/>
        <v>48</v>
      </c>
      <c r="U766" s="22">
        <f>Table46[[#This Row],[NET WT KGS]]-Table46[[#This Row],[Refraction]]</f>
        <v>41615</v>
      </c>
      <c r="V766" s="23">
        <v>495</v>
      </c>
      <c r="W766" s="23">
        <f>Table46[[#This Row],[PRICE]]*Table46[[#This Row],[PAID WT]]</f>
        <v>20599425</v>
      </c>
      <c r="X766" s="24">
        <v>9.4</v>
      </c>
      <c r="Y766" s="25">
        <v>167</v>
      </c>
      <c r="Z766" s="24">
        <v>42.15</v>
      </c>
      <c r="AA766" s="26"/>
      <c r="AB766" s="66" t="s">
        <v>46</v>
      </c>
      <c r="AC766" s="27"/>
      <c r="AD766" s="28"/>
      <c r="AE766" s="18">
        <f>Table46[[#This Row],[MOIS.]]*Table46[[#This Row],[NET WT KGS]]</f>
        <v>391632.2</v>
      </c>
      <c r="AF766" s="18">
        <f>Table46[[#This Row],[KOR]]*Table46[[#This Row],[NET WT KGS]]</f>
        <v>1756095.45</v>
      </c>
      <c r="AG766">
        <f>Table46[[#This Row],[NET WT KGS]]*Table46[[#This Row],[NUT COUNT]]</f>
        <v>6957721</v>
      </c>
    </row>
    <row r="767" spans="1:33" x14ac:dyDescent="0.35">
      <c r="A767" s="32">
        <f t="shared" si="85"/>
        <v>765</v>
      </c>
      <c r="B767" s="20">
        <v>46135</v>
      </c>
      <c r="C767" s="20">
        <v>46136</v>
      </c>
      <c r="D767" s="10" t="s">
        <v>38</v>
      </c>
      <c r="E767" s="10" t="s">
        <v>258</v>
      </c>
      <c r="F767" s="50" t="s">
        <v>40</v>
      </c>
      <c r="G767" s="10" t="s">
        <v>350</v>
      </c>
      <c r="H767" s="10" t="s">
        <v>403</v>
      </c>
      <c r="I767" s="50" t="s">
        <v>228</v>
      </c>
      <c r="J767" s="10" t="s">
        <v>863</v>
      </c>
      <c r="K767" s="107" t="s">
        <v>864</v>
      </c>
      <c r="L767" s="10">
        <v>300</v>
      </c>
      <c r="M767" s="10">
        <v>5141</v>
      </c>
      <c r="N767" s="10">
        <v>630</v>
      </c>
      <c r="O767" s="22">
        <f t="shared" si="92"/>
        <v>48340</v>
      </c>
      <c r="P767" s="22">
        <v>47710</v>
      </c>
      <c r="Q767" s="10">
        <v>623</v>
      </c>
      <c r="R767" s="122">
        <v>0</v>
      </c>
      <c r="S767" s="10">
        <v>7</v>
      </c>
      <c r="T767" s="10">
        <f t="shared" si="91"/>
        <v>28</v>
      </c>
      <c r="U767" s="22">
        <f>Table46[[#This Row],[NET WT KGS]]-Table46[[#This Row],[Refraction]]</f>
        <v>47682</v>
      </c>
      <c r="V767" s="23">
        <v>490</v>
      </c>
      <c r="W767" s="23">
        <f>Table46[[#This Row],[PRICE]]*Table46[[#This Row],[PAID WT]]</f>
        <v>23364180</v>
      </c>
      <c r="X767" s="24">
        <v>9.1999999999999993</v>
      </c>
      <c r="Y767" s="25">
        <v>173</v>
      </c>
      <c r="Z767" s="24">
        <v>41.79</v>
      </c>
      <c r="AA767" s="26"/>
      <c r="AB767" s="66" t="s">
        <v>865</v>
      </c>
      <c r="AC767" s="27"/>
      <c r="AD767" s="28"/>
      <c r="AE767" s="18">
        <f>Table46[[#This Row],[MOIS.]]*Table46[[#This Row],[NET WT KGS]]</f>
        <v>438931.99999999994</v>
      </c>
      <c r="AF767" s="18">
        <f>Table46[[#This Row],[KOR]]*Table46[[#This Row],[NET WT KGS]]</f>
        <v>1993800.9</v>
      </c>
      <c r="AG767">
        <f>Table46[[#This Row],[NET WT KGS]]*Table46[[#This Row],[NUT COUNT]]</f>
        <v>8253830</v>
      </c>
    </row>
    <row r="768" spans="1:33" x14ac:dyDescent="0.35">
      <c r="A768" s="32">
        <f t="shared" si="85"/>
        <v>766</v>
      </c>
      <c r="B768" s="20">
        <v>46135</v>
      </c>
      <c r="C768" s="20">
        <v>46136</v>
      </c>
      <c r="D768" s="10" t="s">
        <v>38</v>
      </c>
      <c r="E768" s="10" t="s">
        <v>258</v>
      </c>
      <c r="F768" s="50" t="s">
        <v>40</v>
      </c>
      <c r="G768" s="10" t="s">
        <v>41</v>
      </c>
      <c r="H768" s="10" t="s">
        <v>403</v>
      </c>
      <c r="I768" s="50" t="s">
        <v>228</v>
      </c>
      <c r="J768" s="10" t="s">
        <v>866</v>
      </c>
      <c r="K768" s="107" t="s">
        <v>864</v>
      </c>
      <c r="L768" s="10">
        <v>351</v>
      </c>
      <c r="M768" s="10">
        <v>5878</v>
      </c>
      <c r="N768" s="10">
        <v>502</v>
      </c>
      <c r="O768" s="22">
        <f t="shared" si="92"/>
        <v>42640</v>
      </c>
      <c r="P768" s="22">
        <v>42138</v>
      </c>
      <c r="Q768" s="10">
        <v>482</v>
      </c>
      <c r="R768" s="122">
        <v>20</v>
      </c>
      <c r="S768" s="10">
        <v>0</v>
      </c>
      <c r="T768" s="10">
        <f t="shared" si="91"/>
        <v>160</v>
      </c>
      <c r="U768" s="22">
        <f>Table46[[#This Row],[NET WT KGS]]-Table46[[#This Row],[Refraction]]</f>
        <v>41978</v>
      </c>
      <c r="V768" s="23">
        <v>490</v>
      </c>
      <c r="W768" s="23">
        <f>Table46[[#This Row],[PRICE]]*Table46[[#This Row],[PAID WT]]</f>
        <v>20569220</v>
      </c>
      <c r="X768" s="24">
        <v>10.1</v>
      </c>
      <c r="Y768" s="25">
        <v>177</v>
      </c>
      <c r="Z768" s="24">
        <v>41.44</v>
      </c>
      <c r="AA768" s="26"/>
      <c r="AB768" s="66" t="s">
        <v>644</v>
      </c>
      <c r="AC768" s="27"/>
      <c r="AD768" s="28"/>
      <c r="AE768" s="18">
        <f>Table46[[#This Row],[MOIS.]]*Table46[[#This Row],[NET WT KGS]]</f>
        <v>425593.8</v>
      </c>
      <c r="AF768" s="18">
        <f>Table46[[#This Row],[KOR]]*Table46[[#This Row],[NET WT KGS]]</f>
        <v>1746198.72</v>
      </c>
      <c r="AG768">
        <f>Table46[[#This Row],[NET WT KGS]]*Table46[[#This Row],[NUT COUNT]]</f>
        <v>7458426</v>
      </c>
    </row>
    <row r="769" spans="1:33" x14ac:dyDescent="0.35">
      <c r="A769" s="32">
        <f t="shared" si="85"/>
        <v>767</v>
      </c>
      <c r="B769" s="20">
        <v>46135</v>
      </c>
      <c r="C769" s="20">
        <v>46136</v>
      </c>
      <c r="D769" s="10" t="s">
        <v>38</v>
      </c>
      <c r="E769" s="10" t="s">
        <v>39</v>
      </c>
      <c r="F769" s="50" t="s">
        <v>40</v>
      </c>
      <c r="G769" s="10" t="s">
        <v>350</v>
      </c>
      <c r="H769" s="10" t="s">
        <v>338</v>
      </c>
      <c r="I769" s="50" t="str">
        <f>VLOOKUP(Table46[[#This Row],[SUPPLIERS NAME]],[1]AGING!X$3:Y$80,2,)</f>
        <v>LBA-018-COP</v>
      </c>
      <c r="J769" s="10" t="s">
        <v>867</v>
      </c>
      <c r="K769" s="57" t="s">
        <v>340</v>
      </c>
      <c r="L769" s="10">
        <v>352</v>
      </c>
      <c r="M769" s="10">
        <v>15490</v>
      </c>
      <c r="N769" s="10">
        <v>468</v>
      </c>
      <c r="O769" s="22">
        <f t="shared" si="92"/>
        <v>40220</v>
      </c>
      <c r="P769" s="22">
        <v>39752</v>
      </c>
      <c r="Q769" s="10">
        <v>454</v>
      </c>
      <c r="R769" s="122">
        <v>0</v>
      </c>
      <c r="S769" s="10">
        <v>14</v>
      </c>
      <c r="T769" s="10">
        <f t="shared" si="91"/>
        <v>56</v>
      </c>
      <c r="U769" s="22">
        <f>Table46[[#This Row],[NET WT KGS]]-Table46[[#This Row],[Refraction]]</f>
        <v>39696</v>
      </c>
      <c r="V769" s="23">
        <v>510</v>
      </c>
      <c r="W769" s="23">
        <f>Table46[[#This Row],[PRICE]]*Table46[[#This Row],[PAID WT]]</f>
        <v>20244960</v>
      </c>
      <c r="X769" s="24">
        <v>9.4</v>
      </c>
      <c r="Y769" s="25">
        <v>169</v>
      </c>
      <c r="Z769" s="24">
        <v>42.85</v>
      </c>
      <c r="AA769" s="26"/>
      <c r="AB769" s="66" t="s">
        <v>171</v>
      </c>
      <c r="AC769" s="27"/>
      <c r="AD769" s="28"/>
      <c r="AE769" s="18">
        <f>Table46[[#This Row],[MOIS.]]*Table46[[#This Row],[NET WT KGS]]</f>
        <v>373668.8</v>
      </c>
      <c r="AF769" s="18">
        <f>Table46[[#This Row],[KOR]]*Table46[[#This Row],[NET WT KGS]]</f>
        <v>1703373.2</v>
      </c>
      <c r="AG769">
        <f>Table46[[#This Row],[NET WT KGS]]*Table46[[#This Row],[NUT COUNT]]</f>
        <v>6718088</v>
      </c>
    </row>
    <row r="770" spans="1:33" x14ac:dyDescent="0.35">
      <c r="A770" s="32">
        <f t="shared" si="85"/>
        <v>768</v>
      </c>
      <c r="B770" s="20">
        <v>46135</v>
      </c>
      <c r="C770" s="20">
        <v>46136</v>
      </c>
      <c r="D770" s="10" t="s">
        <v>38</v>
      </c>
      <c r="E770" s="10" t="s">
        <v>258</v>
      </c>
      <c r="F770" s="50" t="s">
        <v>62</v>
      </c>
      <c r="G770" s="10"/>
      <c r="H770" s="10" t="s">
        <v>783</v>
      </c>
      <c r="I770" s="50" t="str">
        <f>VLOOKUP(Table46[[#This Row],[SUPPLIERS NAME]],[1]AGING!X$3:Y$80,2,)</f>
        <v>DIS-034-OCE</v>
      </c>
      <c r="J770" s="10" t="s">
        <v>868</v>
      </c>
      <c r="K770" s="107" t="s">
        <v>797</v>
      </c>
      <c r="L770" s="10">
        <v>708</v>
      </c>
      <c r="M770" s="10">
        <v>35968</v>
      </c>
      <c r="N770" s="10">
        <v>584</v>
      </c>
      <c r="O770" s="22">
        <v>41550</v>
      </c>
      <c r="P770" s="51">
        <f>Table46[[#This Row],[GROSS WT KGS]]-Table46[[#This Row],[SACS]]</f>
        <v>40966</v>
      </c>
      <c r="Q770" s="10">
        <v>577</v>
      </c>
      <c r="R770" s="122">
        <v>29</v>
      </c>
      <c r="S770" s="10">
        <v>0</v>
      </c>
      <c r="T770" s="10">
        <f t="shared" si="91"/>
        <v>232</v>
      </c>
      <c r="U770" s="22">
        <f>Table46[[#This Row],[NET WT KGS]]-Table46[[#This Row],[Refraction]]</f>
        <v>40734</v>
      </c>
      <c r="V770" s="23">
        <v>510</v>
      </c>
      <c r="W770" s="23">
        <f>Table46[[#This Row],[PRICE]]*Table46[[#This Row],[PAID WT]]</f>
        <v>20774340</v>
      </c>
      <c r="X770" s="24">
        <v>12.5</v>
      </c>
      <c r="Y770" s="25">
        <v>179</v>
      </c>
      <c r="Z770" s="24">
        <v>42.41</v>
      </c>
      <c r="AA770" s="26"/>
      <c r="AB770" s="66" t="s">
        <v>869</v>
      </c>
      <c r="AC770" s="27"/>
      <c r="AD770" s="28"/>
      <c r="AE770" s="18">
        <f>Table46[[#This Row],[MOIS.]]*Table46[[#This Row],[NET WT KGS]]</f>
        <v>512075</v>
      </c>
      <c r="AF770" s="18">
        <f>Table46[[#This Row],[KOR]]*Table46[[#This Row],[NET WT KGS]]</f>
        <v>1737368.0599999998</v>
      </c>
      <c r="AG770">
        <f>Table46[[#This Row],[NET WT KGS]]*Table46[[#This Row],[NUT COUNT]]</f>
        <v>7332914</v>
      </c>
    </row>
    <row r="771" spans="1:33" x14ac:dyDescent="0.35">
      <c r="A771" s="32">
        <f t="shared" si="85"/>
        <v>769</v>
      </c>
      <c r="B771" s="20">
        <v>46135</v>
      </c>
      <c r="C771" s="20">
        <v>46136</v>
      </c>
      <c r="D771" s="10" t="s">
        <v>38</v>
      </c>
      <c r="E771" s="10" t="s">
        <v>258</v>
      </c>
      <c r="F771" s="50" t="s">
        <v>62</v>
      </c>
      <c r="G771" s="10"/>
      <c r="H771" s="10" t="s">
        <v>684</v>
      </c>
      <c r="I771" s="50" t="str">
        <f>VLOOKUP(Table46[[#This Row],[SUPPLIERS NAME]],[1]AGING!X$3:Y$80,2,)</f>
        <v>LBA-021-SAN</v>
      </c>
      <c r="J771" s="10" t="s">
        <v>870</v>
      </c>
      <c r="K771" s="121"/>
      <c r="L771" s="10">
        <v>710</v>
      </c>
      <c r="M771" s="66">
        <f>VLOOKUP(Table46[[#This Row],[REF.]],'[2]RCN INWARD FACTORY YAKRO 2026'!$F$4:$M$257,8,0)</f>
        <v>75865</v>
      </c>
      <c r="N771" s="10">
        <v>474</v>
      </c>
      <c r="O771" s="22">
        <v>40160</v>
      </c>
      <c r="P771" s="51">
        <f>Table46[[#This Row],[GROSS WT KGS]]-Table46[[#This Row],[SACS]]</f>
        <v>39686</v>
      </c>
      <c r="Q771" s="10">
        <v>453</v>
      </c>
      <c r="R771" s="122">
        <v>20</v>
      </c>
      <c r="S771" s="10">
        <v>0</v>
      </c>
      <c r="T771" s="10">
        <f t="shared" si="91"/>
        <v>160</v>
      </c>
      <c r="U771" s="22">
        <f>Table46[[#This Row],[NET WT KGS]]-Table46[[#This Row],[Refraction]]</f>
        <v>39526</v>
      </c>
      <c r="V771" s="23">
        <v>515</v>
      </c>
      <c r="W771" s="23">
        <f>Table46[[#This Row],[PRICE]]*Table46[[#This Row],[PAID WT]]</f>
        <v>20355890</v>
      </c>
      <c r="X771" s="24">
        <v>11.2</v>
      </c>
      <c r="Y771" s="25">
        <v>167</v>
      </c>
      <c r="Z771" s="24">
        <v>42.41</v>
      </c>
      <c r="AA771" s="26"/>
      <c r="AB771" s="66" t="s">
        <v>761</v>
      </c>
      <c r="AC771" s="27" t="s">
        <v>855</v>
      </c>
      <c r="AD771" s="28"/>
      <c r="AE771" s="18">
        <f>Table46[[#This Row],[MOIS.]]*Table46[[#This Row],[NET WT KGS]]</f>
        <v>444483.19999999995</v>
      </c>
      <c r="AF771" s="18">
        <f>Table46[[#This Row],[KOR]]*Table46[[#This Row],[NET WT KGS]]</f>
        <v>1683083.2599999998</v>
      </c>
      <c r="AG771">
        <f>Table46[[#This Row],[NET WT KGS]]*Table46[[#This Row],[NUT COUNT]]</f>
        <v>6627562</v>
      </c>
    </row>
    <row r="772" spans="1:33" x14ac:dyDescent="0.35">
      <c r="A772" s="32">
        <f t="shared" ref="A772:A835" si="93">A771+1</f>
        <v>770</v>
      </c>
      <c r="B772" s="20">
        <v>46135</v>
      </c>
      <c r="C772" s="20">
        <v>46136</v>
      </c>
      <c r="D772" s="10" t="s">
        <v>38</v>
      </c>
      <c r="E772" s="10" t="s">
        <v>39</v>
      </c>
      <c r="F772" s="50" t="s">
        <v>62</v>
      </c>
      <c r="G772" s="10"/>
      <c r="H772" s="10" t="s">
        <v>136</v>
      </c>
      <c r="I772" s="50" t="str">
        <f>VLOOKUP(Table46[[#This Row],[SUPPLIERS NAME]],[1]AGING!X$3:Y$80,2,)</f>
        <v>LBA-004-WEB</v>
      </c>
      <c r="J772" s="10" t="s">
        <v>795</v>
      </c>
      <c r="K772" s="21" t="s">
        <v>139</v>
      </c>
      <c r="L772" s="10">
        <v>711</v>
      </c>
      <c r="M772" s="10">
        <v>14</v>
      </c>
      <c r="N772" s="10">
        <v>443</v>
      </c>
      <c r="O772" s="22">
        <v>39740</v>
      </c>
      <c r="P772" s="51">
        <f>Table46[[#This Row],[GROSS WT KGS]]-Table46[[#This Row],[SACS]]</f>
        <v>39297</v>
      </c>
      <c r="Q772" s="10">
        <v>440</v>
      </c>
      <c r="R772" s="122">
        <v>70</v>
      </c>
      <c r="S772" s="10">
        <v>0</v>
      </c>
      <c r="T772" s="10">
        <f t="shared" si="91"/>
        <v>560</v>
      </c>
      <c r="U772" s="22">
        <f>Table46[[#This Row],[NET WT KGS]]-Table46[[#This Row],[Refraction]]</f>
        <v>38737</v>
      </c>
      <c r="V772" s="23">
        <v>515</v>
      </c>
      <c r="W772" s="23">
        <f>Table46[[#This Row],[PRICE]]*Table46[[#This Row],[PAID WT]]</f>
        <v>19949555</v>
      </c>
      <c r="X772" s="24">
        <v>13.6</v>
      </c>
      <c r="Y772" s="25">
        <v>183</v>
      </c>
      <c r="Z772" s="24">
        <v>43.38</v>
      </c>
      <c r="AA772" s="26"/>
      <c r="AB772" s="66" t="s">
        <v>841</v>
      </c>
      <c r="AC772" s="27"/>
      <c r="AD772" s="28"/>
      <c r="AE772" s="18">
        <f>Table46[[#This Row],[MOIS.]]*Table46[[#This Row],[NET WT KGS]]</f>
        <v>534439.19999999995</v>
      </c>
      <c r="AF772" s="18">
        <f>Table46[[#This Row],[KOR]]*Table46[[#This Row],[NET WT KGS]]</f>
        <v>1704703.86</v>
      </c>
      <c r="AG772">
        <f>Table46[[#This Row],[NET WT KGS]]*Table46[[#This Row],[NUT COUNT]]</f>
        <v>7191351</v>
      </c>
    </row>
    <row r="773" spans="1:33" x14ac:dyDescent="0.35">
      <c r="A773" s="32">
        <f t="shared" si="93"/>
        <v>771</v>
      </c>
      <c r="B773" s="20">
        <v>46135</v>
      </c>
      <c r="C773" s="20">
        <v>46136</v>
      </c>
      <c r="D773" s="10" t="s">
        <v>38</v>
      </c>
      <c r="E773" s="10" t="s">
        <v>258</v>
      </c>
      <c r="F773" s="50" t="s">
        <v>62</v>
      </c>
      <c r="G773" s="10"/>
      <c r="H773" s="10" t="s">
        <v>724</v>
      </c>
      <c r="I773" s="50" t="str">
        <f>VLOOKUP(Table46[[#This Row],[SUPPLIERS NAME]],[1]AGING!X$3:Y$80,2,)</f>
        <v>DIS-029-CPA</v>
      </c>
      <c r="J773" s="10" t="s">
        <v>871</v>
      </c>
      <c r="K773" s="21" t="s">
        <v>726</v>
      </c>
      <c r="L773" s="10">
        <v>712</v>
      </c>
      <c r="M773" s="10">
        <v>30269</v>
      </c>
      <c r="N773" s="10">
        <v>586</v>
      </c>
      <c r="O773" s="22">
        <v>44140</v>
      </c>
      <c r="P773" s="51">
        <f>Table46[[#This Row],[GROSS WT KGS]]-Table46[[#This Row],[SACS]]</f>
        <v>43554</v>
      </c>
      <c r="Q773" s="10">
        <v>566</v>
      </c>
      <c r="R773" s="122">
        <v>0</v>
      </c>
      <c r="S773" s="10">
        <v>20</v>
      </c>
      <c r="T773" s="10">
        <f t="shared" si="91"/>
        <v>80</v>
      </c>
      <c r="U773" s="119">
        <f>Table46[[#This Row],[NET WT KGS]]-Table46[[#This Row],[Refraction]]</f>
        <v>43474</v>
      </c>
      <c r="V773" s="23">
        <v>515</v>
      </c>
      <c r="W773" s="23">
        <f>Table46[[#This Row],[PRICE]]*Table46[[#This Row],[PAID WT]]</f>
        <v>22389110</v>
      </c>
      <c r="X773" s="24">
        <v>9.6</v>
      </c>
      <c r="Y773" s="25">
        <v>177</v>
      </c>
      <c r="Z773" s="24">
        <v>43.38</v>
      </c>
      <c r="AA773" s="26"/>
      <c r="AB773" s="66" t="s">
        <v>132</v>
      </c>
      <c r="AC773" s="27"/>
      <c r="AD773" s="28"/>
      <c r="AE773" s="18">
        <f>Table46[[#This Row],[MOIS.]]*Table46[[#This Row],[NET WT KGS]]</f>
        <v>418118.39999999997</v>
      </c>
      <c r="AF773" s="18">
        <f>Table46[[#This Row],[KOR]]*Table46[[#This Row],[NET WT KGS]]</f>
        <v>1889372.52</v>
      </c>
      <c r="AG773">
        <f>Table46[[#This Row],[NET WT KGS]]*Table46[[#This Row],[NUT COUNT]]</f>
        <v>7709058</v>
      </c>
    </row>
    <row r="774" spans="1:33" x14ac:dyDescent="0.35">
      <c r="A774" s="32">
        <f t="shared" si="93"/>
        <v>772</v>
      </c>
      <c r="B774" s="20">
        <v>46135</v>
      </c>
      <c r="C774" s="20">
        <v>46136</v>
      </c>
      <c r="D774" s="10" t="s">
        <v>38</v>
      </c>
      <c r="E774" s="10" t="s">
        <v>258</v>
      </c>
      <c r="F774" s="50" t="s">
        <v>62</v>
      </c>
      <c r="G774" s="10"/>
      <c r="H774" s="10" t="s">
        <v>724</v>
      </c>
      <c r="I774" s="50" t="str">
        <f>VLOOKUP(Table46[[#This Row],[SUPPLIERS NAME]],[1]AGING!X$3:Y$80,2,)</f>
        <v>DIS-029-CPA</v>
      </c>
      <c r="J774" s="10" t="s">
        <v>788</v>
      </c>
      <c r="K774" s="21" t="s">
        <v>726</v>
      </c>
      <c r="L774" s="10">
        <v>713</v>
      </c>
      <c r="M774" s="10">
        <v>30270</v>
      </c>
      <c r="N774" s="10">
        <v>510</v>
      </c>
      <c r="O774" s="22">
        <v>42570</v>
      </c>
      <c r="P774" s="51">
        <f>Table46[[#This Row],[GROSS WT KGS]]-Table46[[#This Row],[SACS]]</f>
        <v>42060</v>
      </c>
      <c r="Q774" s="10">
        <v>485</v>
      </c>
      <c r="R774" s="122">
        <v>0</v>
      </c>
      <c r="S774" s="10">
        <v>25</v>
      </c>
      <c r="T774" s="10">
        <f t="shared" si="91"/>
        <v>100</v>
      </c>
      <c r="U774" s="119">
        <f>Table46[[#This Row],[NET WT KGS]]-Table46[[#This Row],[Refraction]]</f>
        <v>41960</v>
      </c>
      <c r="V774" s="23">
        <v>515</v>
      </c>
      <c r="W774" s="23">
        <f>Table46[[#This Row],[PRICE]]*Table46[[#This Row],[PAID WT]]</f>
        <v>21609400</v>
      </c>
      <c r="X774" s="24">
        <v>10.6</v>
      </c>
      <c r="Y774" s="25">
        <v>184</v>
      </c>
      <c r="Z774" s="24">
        <v>43.29</v>
      </c>
      <c r="AA774" s="26"/>
      <c r="AB774" s="66" t="s">
        <v>132</v>
      </c>
      <c r="AC774" s="27"/>
      <c r="AD774" s="28"/>
      <c r="AE774" s="18">
        <f>Table46[[#This Row],[MOIS.]]*Table46[[#This Row],[NET WT KGS]]</f>
        <v>445836</v>
      </c>
      <c r="AF774" s="18">
        <f>Table46[[#This Row],[KOR]]*Table46[[#This Row],[NET WT KGS]]</f>
        <v>1820777.4</v>
      </c>
      <c r="AG774">
        <f>Table46[[#This Row],[NET WT KGS]]*Table46[[#This Row],[NUT COUNT]]</f>
        <v>7739040</v>
      </c>
    </row>
    <row r="775" spans="1:33" x14ac:dyDescent="0.35">
      <c r="A775" s="32">
        <f t="shared" si="93"/>
        <v>773</v>
      </c>
      <c r="B775" s="35">
        <v>46136</v>
      </c>
      <c r="C775" s="35">
        <f>Table46[[#This Row],[DATE OF ARRIVAL]]</f>
        <v>46136</v>
      </c>
      <c r="D775" s="36"/>
      <c r="E775" s="36"/>
      <c r="F775" s="36" t="s">
        <v>40</v>
      </c>
      <c r="G775" s="36"/>
      <c r="H775" s="36" t="s">
        <v>406</v>
      </c>
      <c r="I775" s="36" t="s">
        <v>263</v>
      </c>
      <c r="J775" s="36" t="s">
        <v>872</v>
      </c>
      <c r="K775" s="106"/>
      <c r="L775" s="36"/>
      <c r="M775" s="36"/>
      <c r="N775" s="36"/>
      <c r="O775" s="37">
        <f t="shared" ref="O775:O780" si="94">P775+N775</f>
        <v>0</v>
      </c>
      <c r="P775" s="37"/>
      <c r="Q775" s="36"/>
      <c r="R775" s="86"/>
      <c r="S775" s="36"/>
      <c r="T775" s="36"/>
      <c r="U775" s="37">
        <f>Table46[[#This Row],[NET WT KGS]]-Table46[[#This Row],[Refraction]]</f>
        <v>0</v>
      </c>
      <c r="V775" s="38"/>
      <c r="W775" s="38">
        <f>Table46[[#This Row],[PRICE]]*Table46[[#This Row],[PAID WT]]</f>
        <v>0</v>
      </c>
      <c r="X775" s="39">
        <v>11.8</v>
      </c>
      <c r="Y775" s="40">
        <v>184</v>
      </c>
      <c r="Z775" s="39">
        <v>41.094209999999997</v>
      </c>
      <c r="AA775" s="41"/>
      <c r="AB775" s="74" t="s">
        <v>40</v>
      </c>
      <c r="AC775" s="42" t="s">
        <v>70</v>
      </c>
      <c r="AD775" s="28"/>
      <c r="AE775" s="18">
        <f>Table46[[#This Row],[MOIS.]]*Table46[[#This Row],[NET WT KGS]]</f>
        <v>0</v>
      </c>
      <c r="AF775" s="18">
        <f>Table46[[#This Row],[KOR]]*Table46[[#This Row],[NET WT KGS]]</f>
        <v>0</v>
      </c>
      <c r="AG775">
        <f>Table46[[#This Row],[NET WT KGS]]*Table46[[#This Row],[NUT COUNT]]</f>
        <v>0</v>
      </c>
    </row>
    <row r="776" spans="1:33" x14ac:dyDescent="0.35">
      <c r="A776" s="32">
        <f t="shared" si="93"/>
        <v>774</v>
      </c>
      <c r="B776" s="35">
        <v>46136</v>
      </c>
      <c r="C776" s="35">
        <f>Table46[[#This Row],[DATE OF ARRIVAL]]</f>
        <v>46136</v>
      </c>
      <c r="D776" s="36"/>
      <c r="E776" s="36"/>
      <c r="F776" s="36" t="s">
        <v>40</v>
      </c>
      <c r="G776" s="36"/>
      <c r="H776" s="36" t="s">
        <v>335</v>
      </c>
      <c r="I776" s="36" t="s">
        <v>66</v>
      </c>
      <c r="J776" s="36" t="s">
        <v>873</v>
      </c>
      <c r="K776" s="106"/>
      <c r="L776" s="36"/>
      <c r="M776" s="36"/>
      <c r="N776" s="36"/>
      <c r="O776" s="37">
        <f t="shared" si="94"/>
        <v>0</v>
      </c>
      <c r="P776" s="37"/>
      <c r="Q776" s="36"/>
      <c r="R776" s="86"/>
      <c r="S776" s="36"/>
      <c r="T776" s="36"/>
      <c r="U776" s="37">
        <f>Table46[[#This Row],[NET WT KGS]]-Table46[[#This Row],[Refraction]]</f>
        <v>0</v>
      </c>
      <c r="V776" s="38"/>
      <c r="W776" s="38">
        <f>Table46[[#This Row],[PRICE]]*Table46[[#This Row],[PAID WT]]</f>
        <v>0</v>
      </c>
      <c r="X776" s="39">
        <v>10.7</v>
      </c>
      <c r="Y776" s="40">
        <v>159</v>
      </c>
      <c r="Z776" s="39">
        <v>41.094209999999997</v>
      </c>
      <c r="AA776" s="41"/>
      <c r="AB776" s="74" t="s">
        <v>58</v>
      </c>
      <c r="AC776" s="42" t="s">
        <v>70</v>
      </c>
      <c r="AD776" s="28"/>
      <c r="AE776" s="18">
        <f>Table46[[#This Row],[MOIS.]]*Table46[[#This Row],[NET WT KGS]]</f>
        <v>0</v>
      </c>
      <c r="AF776" s="18">
        <f>Table46[[#This Row],[KOR]]*Table46[[#This Row],[NET WT KGS]]</f>
        <v>0</v>
      </c>
      <c r="AG776">
        <f>Table46[[#This Row],[NET WT KGS]]*Table46[[#This Row],[NUT COUNT]]</f>
        <v>0</v>
      </c>
    </row>
    <row r="777" spans="1:33" x14ac:dyDescent="0.35">
      <c r="A777" s="32">
        <f t="shared" si="93"/>
        <v>775</v>
      </c>
      <c r="B777" s="35">
        <v>46136</v>
      </c>
      <c r="C777" s="35">
        <f>Table46[[#This Row],[DATE OF ARRIVAL]]</f>
        <v>46136</v>
      </c>
      <c r="D777" s="36"/>
      <c r="E777" s="36"/>
      <c r="F777" s="36" t="s">
        <v>40</v>
      </c>
      <c r="G777" s="36"/>
      <c r="H777" s="36" t="s">
        <v>381</v>
      </c>
      <c r="I777" s="36" t="s">
        <v>147</v>
      </c>
      <c r="J777" s="36" t="s">
        <v>664</v>
      </c>
      <c r="K777" s="106"/>
      <c r="L777" s="36"/>
      <c r="M777" s="36"/>
      <c r="N777" s="36"/>
      <c r="O777" s="37">
        <f t="shared" si="94"/>
        <v>0</v>
      </c>
      <c r="P777" s="37"/>
      <c r="Q777" s="36"/>
      <c r="R777" s="86"/>
      <c r="S777" s="36"/>
      <c r="T777" s="36"/>
      <c r="U777" s="37">
        <f>Table46[[#This Row],[NET WT KGS]]-Table46[[#This Row],[Refraction]]</f>
        <v>0</v>
      </c>
      <c r="V777" s="38"/>
      <c r="W777" s="38">
        <f>Table46[[#This Row],[PRICE]]*Table46[[#This Row],[PAID WT]]</f>
        <v>0</v>
      </c>
      <c r="X777" s="39">
        <v>10.9</v>
      </c>
      <c r="Y777" s="40">
        <v>157</v>
      </c>
      <c r="Z777" s="39">
        <v>41.094209999999997</v>
      </c>
      <c r="AA777" s="41"/>
      <c r="AB777" s="74" t="s">
        <v>367</v>
      </c>
      <c r="AC777" s="42" t="s">
        <v>70</v>
      </c>
      <c r="AD777" s="28"/>
      <c r="AE777" s="18">
        <f>Table46[[#This Row],[MOIS.]]*Table46[[#This Row],[NET WT KGS]]</f>
        <v>0</v>
      </c>
      <c r="AF777" s="18">
        <f>Table46[[#This Row],[KOR]]*Table46[[#This Row],[NET WT KGS]]</f>
        <v>0</v>
      </c>
      <c r="AG777">
        <f>Table46[[#This Row],[NET WT KGS]]*Table46[[#This Row],[NUT COUNT]]</f>
        <v>0</v>
      </c>
    </row>
    <row r="778" spans="1:33" x14ac:dyDescent="0.35">
      <c r="A778" s="32">
        <f t="shared" si="93"/>
        <v>776</v>
      </c>
      <c r="B778" s="35">
        <v>46136</v>
      </c>
      <c r="C778" s="35">
        <f>Table46[[#This Row],[DATE OF ARRIVAL]]</f>
        <v>46136</v>
      </c>
      <c r="D778" s="36"/>
      <c r="E778" s="36"/>
      <c r="F778" s="36" t="s">
        <v>40</v>
      </c>
      <c r="G778" s="36"/>
      <c r="H778" s="36" t="s">
        <v>94</v>
      </c>
      <c r="I778" s="36" t="s">
        <v>95</v>
      </c>
      <c r="J778" s="36" t="s">
        <v>874</v>
      </c>
      <c r="K778" s="106"/>
      <c r="L778" s="36"/>
      <c r="M778" s="36"/>
      <c r="N778" s="36"/>
      <c r="O778" s="37">
        <f t="shared" si="94"/>
        <v>0</v>
      </c>
      <c r="P778" s="37"/>
      <c r="Q778" s="36"/>
      <c r="R778" s="86"/>
      <c r="S778" s="36"/>
      <c r="T778" s="36"/>
      <c r="U778" s="37">
        <f>Table46[[#This Row],[NET WT KGS]]-Table46[[#This Row],[Refraction]]</f>
        <v>0</v>
      </c>
      <c r="V778" s="38"/>
      <c r="W778" s="38">
        <f>Table46[[#This Row],[PRICE]]*Table46[[#This Row],[PAID WT]]</f>
        <v>0</v>
      </c>
      <c r="X778" s="39">
        <v>10.8</v>
      </c>
      <c r="Y778" s="40">
        <v>168</v>
      </c>
      <c r="Z778" s="39">
        <v>41.094209999999997</v>
      </c>
      <c r="AA778" s="41"/>
      <c r="AB778" s="74" t="s">
        <v>78</v>
      </c>
      <c r="AC778" s="42" t="s">
        <v>70</v>
      </c>
      <c r="AD778" s="28"/>
      <c r="AE778" s="18">
        <f>Table46[[#This Row],[MOIS.]]*Table46[[#This Row],[NET WT KGS]]</f>
        <v>0</v>
      </c>
      <c r="AF778" s="18">
        <f>Table46[[#This Row],[KOR]]*Table46[[#This Row],[NET WT KGS]]</f>
        <v>0</v>
      </c>
      <c r="AG778">
        <f>Table46[[#This Row],[NET WT KGS]]*Table46[[#This Row],[NUT COUNT]]</f>
        <v>0</v>
      </c>
    </row>
    <row r="779" spans="1:33" x14ac:dyDescent="0.35">
      <c r="A779" s="32">
        <f t="shared" si="93"/>
        <v>777</v>
      </c>
      <c r="B779" s="35">
        <v>46136</v>
      </c>
      <c r="C779" s="35">
        <f>Table46[[#This Row],[DATE OF ARRIVAL]]</f>
        <v>46136</v>
      </c>
      <c r="D779" s="36"/>
      <c r="E779" s="36"/>
      <c r="F779" s="36" t="s">
        <v>40</v>
      </c>
      <c r="G779" s="74"/>
      <c r="H779" s="74" t="s">
        <v>123</v>
      </c>
      <c r="I779" s="36" t="s">
        <v>124</v>
      </c>
      <c r="J779" s="36" t="s">
        <v>875</v>
      </c>
      <c r="K779" s="106"/>
      <c r="L779" s="36"/>
      <c r="M779" s="74"/>
      <c r="N779" s="36"/>
      <c r="O779" s="37">
        <f t="shared" si="94"/>
        <v>0</v>
      </c>
      <c r="P779" s="37"/>
      <c r="Q779" s="36"/>
      <c r="R779" s="86"/>
      <c r="S779" s="36"/>
      <c r="T779" s="36"/>
      <c r="U779" s="37">
        <f>Table46[[#This Row],[NET WT KGS]]-Table46[[#This Row],[Refraction]]</f>
        <v>0</v>
      </c>
      <c r="V779" s="38"/>
      <c r="W779" s="38">
        <f>Table46[[#This Row],[PRICE]]*Table46[[#This Row],[PAID WT]]</f>
        <v>0</v>
      </c>
      <c r="X779" s="39">
        <v>11.4</v>
      </c>
      <c r="Y779" s="40">
        <v>187</v>
      </c>
      <c r="Z779" s="39">
        <v>37.566809999999997</v>
      </c>
      <c r="AA779" s="41"/>
      <c r="AB779" s="74" t="s">
        <v>876</v>
      </c>
      <c r="AC779" s="42" t="s">
        <v>70</v>
      </c>
      <c r="AD779" s="28"/>
      <c r="AE779" s="18">
        <f>Table46[[#This Row],[MOIS.]]*Table46[[#This Row],[NET WT KGS]]</f>
        <v>0</v>
      </c>
      <c r="AF779" s="18">
        <f>Table46[[#This Row],[KOR]]*Table46[[#This Row],[NET WT KGS]]</f>
        <v>0</v>
      </c>
      <c r="AG779">
        <f>Table46[[#This Row],[NET WT KGS]]*Table46[[#This Row],[NUT COUNT]]</f>
        <v>0</v>
      </c>
    </row>
    <row r="780" spans="1:33" x14ac:dyDescent="0.35">
      <c r="A780" s="32">
        <f t="shared" si="93"/>
        <v>778</v>
      </c>
      <c r="B780" s="35">
        <v>46136</v>
      </c>
      <c r="C780" s="35">
        <f>Table46[[#This Row],[DATE OF ARRIVAL]]</f>
        <v>46136</v>
      </c>
      <c r="D780" s="36"/>
      <c r="E780" s="36"/>
      <c r="F780" s="36" t="s">
        <v>62</v>
      </c>
      <c r="G780" s="36"/>
      <c r="H780" s="36" t="s">
        <v>839</v>
      </c>
      <c r="I780" s="36" t="s">
        <v>250</v>
      </c>
      <c r="J780" s="36" t="s">
        <v>877</v>
      </c>
      <c r="K780" s="106"/>
      <c r="L780" s="36"/>
      <c r="M780" s="36"/>
      <c r="N780" s="36"/>
      <c r="O780" s="37">
        <f t="shared" si="94"/>
        <v>0</v>
      </c>
      <c r="P780" s="37"/>
      <c r="Q780" s="36"/>
      <c r="R780" s="86"/>
      <c r="S780" s="36"/>
      <c r="T780" s="36"/>
      <c r="U780" s="37">
        <f>Table46[[#This Row],[NET WT KGS]]-Table46[[#This Row],[Refraction]]</f>
        <v>0</v>
      </c>
      <c r="V780" s="38"/>
      <c r="W780" s="38">
        <f>Table46[[#This Row],[PRICE]]*Table46[[#This Row],[PAID WT]]</f>
        <v>0</v>
      </c>
      <c r="X780" s="39">
        <v>10.3</v>
      </c>
      <c r="Y780" s="40">
        <v>161</v>
      </c>
      <c r="Z780" s="39">
        <v>41.35</v>
      </c>
      <c r="AA780" s="41"/>
      <c r="AB780" s="74" t="s">
        <v>678</v>
      </c>
      <c r="AC780" s="42" t="s">
        <v>70</v>
      </c>
      <c r="AD780" s="99"/>
      <c r="AE780" s="18">
        <f>Table46[[#This Row],[MOIS.]]*Table46[[#This Row],[NET WT KGS]]</f>
        <v>0</v>
      </c>
      <c r="AF780" s="18">
        <f>Table46[[#This Row],[KOR]]*Table46[[#This Row],[NET WT KGS]]</f>
        <v>0</v>
      </c>
      <c r="AG780">
        <f>Table46[[#This Row],[NET WT KGS]]*Table46[[#This Row],[NUT COUNT]]</f>
        <v>0</v>
      </c>
    </row>
    <row r="781" spans="1:33" x14ac:dyDescent="0.35">
      <c r="A781" s="32">
        <f t="shared" si="93"/>
        <v>779</v>
      </c>
      <c r="B781" s="20">
        <v>46135</v>
      </c>
      <c r="C781" s="20">
        <v>46137</v>
      </c>
      <c r="D781" s="10" t="s">
        <v>38</v>
      </c>
      <c r="E781" s="10" t="s">
        <v>39</v>
      </c>
      <c r="F781" s="50" t="s">
        <v>62</v>
      </c>
      <c r="G781" s="10"/>
      <c r="H781" s="117" t="s">
        <v>128</v>
      </c>
      <c r="I781" s="50" t="str">
        <f>VLOOKUP(Table46[[#This Row],[SUPPLIERS NAME]],[1]AGING!X$3:Y$80,2,)</f>
        <v>LBA-002-SCA</v>
      </c>
      <c r="J781" s="10" t="s">
        <v>723</v>
      </c>
      <c r="K781" s="33" t="s">
        <v>131</v>
      </c>
      <c r="L781" s="10">
        <v>716</v>
      </c>
      <c r="M781" s="10">
        <v>78882</v>
      </c>
      <c r="N781" s="10">
        <v>573</v>
      </c>
      <c r="O781" s="22">
        <v>47840</v>
      </c>
      <c r="P781" s="51">
        <f>Table46[[#This Row],[GROSS WT KGS]]-Table46[[#This Row],[SACS]]</f>
        <v>47267</v>
      </c>
      <c r="Q781" s="10">
        <v>570</v>
      </c>
      <c r="R781" s="124">
        <v>15</v>
      </c>
      <c r="S781" s="10">
        <v>0</v>
      </c>
      <c r="T781" s="10">
        <f t="shared" ref="T781:T821" si="95">S781*4+R781*8</f>
        <v>120</v>
      </c>
      <c r="U781" s="22">
        <f>Table46[[#This Row],[NET WT KGS]]-Table46[[#This Row],[Refraction]]</f>
        <v>47147</v>
      </c>
      <c r="V781" s="23">
        <v>515</v>
      </c>
      <c r="W781" s="23">
        <f>Table46[[#This Row],[PRICE]]*Table46[[#This Row],[PAID WT]]</f>
        <v>24280705</v>
      </c>
      <c r="X781" s="24">
        <v>10.4</v>
      </c>
      <c r="Y781" s="25">
        <v>175</v>
      </c>
      <c r="Z781" s="24">
        <v>43.65</v>
      </c>
      <c r="AA781" s="26"/>
      <c r="AB781" s="66" t="s">
        <v>132</v>
      </c>
      <c r="AC781" s="27"/>
      <c r="AD781" s="28"/>
      <c r="AE781" s="18">
        <f>Table46[[#This Row],[MOIS.]]*Table46[[#This Row],[NET WT KGS]]</f>
        <v>491576.8</v>
      </c>
      <c r="AF781" s="18">
        <f>Table46[[#This Row],[KOR]]*Table46[[#This Row],[NET WT KGS]]</f>
        <v>2063204.55</v>
      </c>
      <c r="AG781">
        <f>Table46[[#This Row],[NET WT KGS]]*Table46[[#This Row],[NUT COUNT]]</f>
        <v>8271725</v>
      </c>
    </row>
    <row r="782" spans="1:33" x14ac:dyDescent="0.35">
      <c r="A782" s="32">
        <f t="shared" si="93"/>
        <v>780</v>
      </c>
      <c r="B782" s="20">
        <v>46135</v>
      </c>
      <c r="C782" s="20">
        <v>46137</v>
      </c>
      <c r="D782" s="10" t="s">
        <v>38</v>
      </c>
      <c r="E782" s="10" t="s">
        <v>258</v>
      </c>
      <c r="F782" s="50" t="s">
        <v>62</v>
      </c>
      <c r="G782" s="10"/>
      <c r="H782" s="10" t="s">
        <v>684</v>
      </c>
      <c r="I782" s="50" t="str">
        <f>VLOOKUP(Table46[[#This Row],[SUPPLIERS NAME]],[1]AGING!X$3:Y$80,2,)</f>
        <v>LBA-021-SAN</v>
      </c>
      <c r="J782" s="10" t="s">
        <v>878</v>
      </c>
      <c r="K782" s="121"/>
      <c r="L782" s="10">
        <v>717</v>
      </c>
      <c r="M782" s="66">
        <f>VLOOKUP(Table46[[#This Row],[REF.]],'[2]RCN INWARD FACTORY YAKRO 2026'!$F$4:$M$257,8,0)</f>
        <v>31981</v>
      </c>
      <c r="N782" s="10">
        <v>552</v>
      </c>
      <c r="O782" s="22">
        <v>37050</v>
      </c>
      <c r="P782" s="51">
        <f>Table46[[#This Row],[GROSS WT KGS]]-Table46[[#This Row],[SACS]]</f>
        <v>36498</v>
      </c>
      <c r="Q782" s="10">
        <v>546</v>
      </c>
      <c r="R782" s="124">
        <v>30</v>
      </c>
      <c r="S782" s="10">
        <v>0</v>
      </c>
      <c r="T782" s="10">
        <f t="shared" si="95"/>
        <v>240</v>
      </c>
      <c r="U782" s="22">
        <f>Table46[[#This Row],[NET WT KGS]]-Table46[[#This Row],[Refraction]]</f>
        <v>36258</v>
      </c>
      <c r="V782" s="23">
        <v>510</v>
      </c>
      <c r="W782" s="23">
        <f>Table46[[#This Row],[PRICE]]*Table46[[#This Row],[PAID WT]]</f>
        <v>18491580</v>
      </c>
      <c r="X782" s="24">
        <v>13.3</v>
      </c>
      <c r="Y782" s="25">
        <v>164</v>
      </c>
      <c r="Z782" s="24">
        <v>42.32</v>
      </c>
      <c r="AA782" s="26"/>
      <c r="AB782" s="66"/>
      <c r="AC782" s="27" t="s">
        <v>855</v>
      </c>
      <c r="AD782" s="28"/>
      <c r="AE782" s="18">
        <f>Table46[[#This Row],[MOIS.]]*Table46[[#This Row],[NET WT KGS]]</f>
        <v>485423.4</v>
      </c>
      <c r="AF782" s="18">
        <f>Table46[[#This Row],[KOR]]*Table46[[#This Row],[NET WT KGS]]</f>
        <v>1544595.36</v>
      </c>
      <c r="AG782">
        <f>Table46[[#This Row],[NET WT KGS]]*Table46[[#This Row],[NUT COUNT]]</f>
        <v>5985672</v>
      </c>
    </row>
    <row r="783" spans="1:33" x14ac:dyDescent="0.35">
      <c r="A783" s="32">
        <f t="shared" si="93"/>
        <v>781</v>
      </c>
      <c r="B783" s="20">
        <v>46135</v>
      </c>
      <c r="C783" s="20">
        <v>46137</v>
      </c>
      <c r="D783" s="10" t="s">
        <v>38</v>
      </c>
      <c r="E783" s="10" t="s">
        <v>39</v>
      </c>
      <c r="F783" s="50" t="s">
        <v>62</v>
      </c>
      <c r="G783" s="10"/>
      <c r="H783" s="50" t="s">
        <v>280</v>
      </c>
      <c r="I783" s="50" t="str">
        <f>VLOOKUP(Table46[[#This Row],[SUPPLIERS NAME]],[1]AGING!X$3:Y$80,2,)</f>
        <v>LBA-016-NOU</v>
      </c>
      <c r="J783" s="10" t="s">
        <v>424</v>
      </c>
      <c r="K783" s="21" t="s">
        <v>283</v>
      </c>
      <c r="L783" s="10">
        <v>719</v>
      </c>
      <c r="M783" s="10">
        <v>18444</v>
      </c>
      <c r="N783" s="10">
        <v>502</v>
      </c>
      <c r="O783" s="22">
        <v>38820</v>
      </c>
      <c r="P783" s="51">
        <f>Table46[[#This Row],[GROSS WT KGS]]-Table46[[#This Row],[SACS]]</f>
        <v>38318</v>
      </c>
      <c r="Q783" s="10">
        <v>499</v>
      </c>
      <c r="R783" s="124">
        <v>20</v>
      </c>
      <c r="S783" s="10">
        <v>0</v>
      </c>
      <c r="T783" s="10">
        <f t="shared" si="95"/>
        <v>160</v>
      </c>
      <c r="U783" s="22">
        <f>Table46[[#This Row],[NET WT KGS]]-Table46[[#This Row],[Refraction]]</f>
        <v>38158</v>
      </c>
      <c r="V783" s="23">
        <v>500</v>
      </c>
      <c r="W783" s="23">
        <f>Table46[[#This Row],[PRICE]]*Table46[[#This Row],[PAID WT]]</f>
        <v>19079000</v>
      </c>
      <c r="X783" s="24">
        <v>10.7</v>
      </c>
      <c r="Y783" s="25">
        <v>185</v>
      </c>
      <c r="Z783" s="24">
        <v>41.71</v>
      </c>
      <c r="AA783" s="26"/>
      <c r="AB783" s="66" t="s">
        <v>132</v>
      </c>
      <c r="AC783" s="27"/>
      <c r="AD783" s="28"/>
      <c r="AE783" s="18">
        <f>Table46[[#This Row],[MOIS.]]*Table46[[#This Row],[NET WT KGS]]</f>
        <v>410002.6</v>
      </c>
      <c r="AF783" s="18">
        <f>Table46[[#This Row],[KOR]]*Table46[[#This Row],[NET WT KGS]]</f>
        <v>1598243.78</v>
      </c>
      <c r="AG783">
        <f>Table46[[#This Row],[NET WT KGS]]*Table46[[#This Row],[NUT COUNT]]</f>
        <v>7088830</v>
      </c>
    </row>
    <row r="784" spans="1:33" x14ac:dyDescent="0.35">
      <c r="A784" s="32">
        <f t="shared" si="93"/>
        <v>782</v>
      </c>
      <c r="B784" s="20">
        <v>46135</v>
      </c>
      <c r="C784" s="20">
        <v>46137</v>
      </c>
      <c r="D784" s="10" t="s">
        <v>38</v>
      </c>
      <c r="E784" s="10" t="s">
        <v>39</v>
      </c>
      <c r="F784" s="50" t="s">
        <v>62</v>
      </c>
      <c r="G784" s="10"/>
      <c r="H784" s="117" t="s">
        <v>128</v>
      </c>
      <c r="I784" s="50" t="str">
        <f>VLOOKUP(Table46[[#This Row],[SUPPLIERS NAME]],[1]AGING!X$3:Y$80,2,)</f>
        <v>LBA-002-SCA</v>
      </c>
      <c r="J784" s="10" t="s">
        <v>709</v>
      </c>
      <c r="K784" s="33" t="s">
        <v>131</v>
      </c>
      <c r="L784" s="10">
        <v>720</v>
      </c>
      <c r="M784" s="10">
        <v>78889</v>
      </c>
      <c r="N784" s="10">
        <v>512</v>
      </c>
      <c r="O784" s="22">
        <v>42050</v>
      </c>
      <c r="P784" s="51">
        <f>Table46[[#This Row],[GROSS WT KGS]]-Table46[[#This Row],[SACS]]</f>
        <v>41538</v>
      </c>
      <c r="Q784" s="10">
        <v>509</v>
      </c>
      <c r="R784" s="124">
        <v>20</v>
      </c>
      <c r="S784" s="10">
        <v>0</v>
      </c>
      <c r="T784" s="10">
        <f t="shared" si="95"/>
        <v>160</v>
      </c>
      <c r="U784" s="22">
        <f>Table46[[#This Row],[NET WT KGS]]-Table46[[#This Row],[Refraction]]</f>
        <v>41378</v>
      </c>
      <c r="V784" s="23">
        <v>515</v>
      </c>
      <c r="W784" s="23">
        <f>Table46[[#This Row],[PRICE]]*Table46[[#This Row],[PAID WT]]</f>
        <v>21309670</v>
      </c>
      <c r="X784" s="24">
        <v>11.6</v>
      </c>
      <c r="Y784" s="25">
        <v>186</v>
      </c>
      <c r="Z784" s="24">
        <v>44.44</v>
      </c>
      <c r="AA784" s="26"/>
      <c r="AB784" s="66" t="s">
        <v>132</v>
      </c>
      <c r="AC784" s="27"/>
      <c r="AD784" s="28"/>
      <c r="AE784" s="18">
        <f>Table46[[#This Row],[MOIS.]]*Table46[[#This Row],[NET WT KGS]]</f>
        <v>481840.8</v>
      </c>
      <c r="AF784" s="18">
        <f>Table46[[#This Row],[KOR]]*Table46[[#This Row],[NET WT KGS]]</f>
        <v>1845948.72</v>
      </c>
      <c r="AG784">
        <f>Table46[[#This Row],[NET WT KGS]]*Table46[[#This Row],[NUT COUNT]]</f>
        <v>7726068</v>
      </c>
    </row>
    <row r="785" spans="1:33" x14ac:dyDescent="0.35">
      <c r="A785" s="32">
        <f t="shared" si="93"/>
        <v>783</v>
      </c>
      <c r="B785" s="20">
        <v>46135</v>
      </c>
      <c r="C785" s="20">
        <v>46137</v>
      </c>
      <c r="D785" s="10" t="s">
        <v>38</v>
      </c>
      <c r="E785" s="10" t="s">
        <v>39</v>
      </c>
      <c r="F785" s="50" t="s">
        <v>62</v>
      </c>
      <c r="G785" s="10"/>
      <c r="H785" s="10" t="s">
        <v>154</v>
      </c>
      <c r="I785" s="50" t="str">
        <f>VLOOKUP(Table46[[#This Row],[SUPPLIERS NAME]],[1]AGING!X$3:Y$80,2,)</f>
        <v>LBA-010-CAP</v>
      </c>
      <c r="J785" s="10" t="s">
        <v>879</v>
      </c>
      <c r="K785" s="33" t="s">
        <v>157</v>
      </c>
      <c r="L785" s="10">
        <v>721</v>
      </c>
      <c r="M785" s="10">
        <v>87093</v>
      </c>
      <c r="N785" s="10">
        <v>496</v>
      </c>
      <c r="O785" s="22">
        <v>40130</v>
      </c>
      <c r="P785" s="51">
        <f>Table46[[#This Row],[GROSS WT KGS]]-Table46[[#This Row],[SACS]]</f>
        <v>39634</v>
      </c>
      <c r="Q785" s="10">
        <v>456</v>
      </c>
      <c r="R785" s="124">
        <v>40</v>
      </c>
      <c r="S785" s="10">
        <v>0</v>
      </c>
      <c r="T785" s="10">
        <f t="shared" si="95"/>
        <v>320</v>
      </c>
      <c r="U785" s="22">
        <f>Table46[[#This Row],[NET WT KGS]]-Table46[[#This Row],[Refraction]]</f>
        <v>39314</v>
      </c>
      <c r="V785" s="23">
        <v>495</v>
      </c>
      <c r="W785" s="23">
        <f>Table46[[#This Row],[PRICE]]*Table46[[#This Row],[PAID WT]]</f>
        <v>19460430</v>
      </c>
      <c r="X785" s="24">
        <v>12.1</v>
      </c>
      <c r="Y785" s="25">
        <v>182</v>
      </c>
      <c r="Z785" s="24">
        <v>41.71</v>
      </c>
      <c r="AA785" s="26"/>
      <c r="AB785" s="66" t="s">
        <v>880</v>
      </c>
      <c r="AC785" s="27"/>
      <c r="AD785" s="28"/>
      <c r="AE785" s="18">
        <f>Table46[[#This Row],[MOIS.]]*Table46[[#This Row],[NET WT KGS]]</f>
        <v>479571.39999999997</v>
      </c>
      <c r="AF785" s="18">
        <f>Table46[[#This Row],[KOR]]*Table46[[#This Row],[NET WT KGS]]</f>
        <v>1653134.1400000001</v>
      </c>
      <c r="AG785">
        <f>Table46[[#This Row],[NET WT KGS]]*Table46[[#This Row],[NUT COUNT]]</f>
        <v>7213388</v>
      </c>
    </row>
    <row r="786" spans="1:33" x14ac:dyDescent="0.35">
      <c r="A786" s="32">
        <f t="shared" si="93"/>
        <v>784</v>
      </c>
      <c r="B786" s="20">
        <v>46135</v>
      </c>
      <c r="C786" s="20">
        <v>46137</v>
      </c>
      <c r="D786" s="10" t="s">
        <v>38</v>
      </c>
      <c r="E786" s="10" t="s">
        <v>258</v>
      </c>
      <c r="F786" s="50" t="s">
        <v>62</v>
      </c>
      <c r="G786" s="10"/>
      <c r="H786" s="10" t="s">
        <v>502</v>
      </c>
      <c r="I786" s="50" t="str">
        <f>VLOOKUP(Table46[[#This Row],[SUPPLIERS NAME]],[1]AGING!X$3:Y$80,2,)</f>
        <v>DIS-027-BAO</v>
      </c>
      <c r="J786" s="10" t="s">
        <v>881</v>
      </c>
      <c r="K786" s="21" t="s">
        <v>697</v>
      </c>
      <c r="L786" s="10">
        <v>723</v>
      </c>
      <c r="M786" s="10">
        <v>83831</v>
      </c>
      <c r="N786" s="10">
        <v>485</v>
      </c>
      <c r="O786" s="22">
        <v>39570</v>
      </c>
      <c r="P786" s="51">
        <f>Table46[[#This Row],[GROSS WT KGS]]-Table46[[#This Row],[SACS]]</f>
        <v>39085</v>
      </c>
      <c r="Q786" s="10">
        <v>440</v>
      </c>
      <c r="R786" s="124">
        <v>45</v>
      </c>
      <c r="S786" s="10">
        <v>0</v>
      </c>
      <c r="T786" s="10">
        <f t="shared" si="95"/>
        <v>360</v>
      </c>
      <c r="U786" s="22">
        <f>Table46[[#This Row],[NET WT KGS]]-Table46[[#This Row],[Refraction]]</f>
        <v>38725</v>
      </c>
      <c r="V786" s="23">
        <v>515</v>
      </c>
      <c r="W786" s="23">
        <f>Table46[[#This Row],[PRICE]]*Table46[[#This Row],[PAID WT]]</f>
        <v>19943375</v>
      </c>
      <c r="X786" s="24">
        <v>12.9</v>
      </c>
      <c r="Y786" s="25">
        <v>167</v>
      </c>
      <c r="Z786" s="24">
        <v>44.18</v>
      </c>
      <c r="AA786" s="26"/>
      <c r="AB786" s="66" t="s">
        <v>178</v>
      </c>
      <c r="AC786" s="27"/>
      <c r="AD786" s="28"/>
      <c r="AE786" s="18">
        <f>Table46[[#This Row],[MOIS.]]*Table46[[#This Row],[NET WT KGS]]</f>
        <v>504196.5</v>
      </c>
      <c r="AF786" s="18">
        <f>Table46[[#This Row],[KOR]]*Table46[[#This Row],[NET WT KGS]]</f>
        <v>1726775.3</v>
      </c>
      <c r="AG786">
        <f>Table46[[#This Row],[NET WT KGS]]*Table46[[#This Row],[NUT COUNT]]</f>
        <v>6527195</v>
      </c>
    </row>
    <row r="787" spans="1:33" x14ac:dyDescent="0.35">
      <c r="A787" s="32">
        <f t="shared" si="93"/>
        <v>785</v>
      </c>
      <c r="B787" s="20">
        <v>46136</v>
      </c>
      <c r="C787" s="20">
        <v>46137</v>
      </c>
      <c r="D787" s="10" t="s">
        <v>38</v>
      </c>
      <c r="E787" s="10" t="s">
        <v>258</v>
      </c>
      <c r="F787" s="50" t="s">
        <v>40</v>
      </c>
      <c r="G787" s="10" t="s">
        <v>350</v>
      </c>
      <c r="H787" s="10" t="s">
        <v>372</v>
      </c>
      <c r="I787" s="50" t="str">
        <f>VLOOKUP(Table46[[#This Row],[SUPPLIERS NAME]],[1]AGING!X$3:Y$80,2,)</f>
        <v>DIS-006-DIE</v>
      </c>
      <c r="J787" s="10" t="s">
        <v>882</v>
      </c>
      <c r="K787" s="77" t="s">
        <v>421</v>
      </c>
      <c r="L787" s="10">
        <v>353</v>
      </c>
      <c r="M787" s="10">
        <v>29764</v>
      </c>
      <c r="N787" s="10">
        <v>241</v>
      </c>
      <c r="O787" s="22">
        <f t="shared" ref="O787:O792" si="96">P787+N787</f>
        <v>21140</v>
      </c>
      <c r="P787" s="51">
        <v>20899</v>
      </c>
      <c r="Q787" s="10">
        <v>231</v>
      </c>
      <c r="R787" s="124">
        <v>10</v>
      </c>
      <c r="S787" s="10">
        <v>0</v>
      </c>
      <c r="T787" s="10">
        <f t="shared" si="95"/>
        <v>80</v>
      </c>
      <c r="U787" s="22">
        <f>Table46[[#This Row],[NET WT KGS]]-Table46[[#This Row],[Refraction]]</f>
        <v>20819</v>
      </c>
      <c r="V787" s="23">
        <v>490</v>
      </c>
      <c r="W787" s="23">
        <f>Table46[[#This Row],[PRICE]]*Table46[[#This Row],[PAID WT]]</f>
        <v>10201310</v>
      </c>
      <c r="X787" s="24">
        <v>10.199999999999999</v>
      </c>
      <c r="Y787" s="25">
        <v>159</v>
      </c>
      <c r="Z787" s="24">
        <v>41.44</v>
      </c>
      <c r="AA787" s="26"/>
      <c r="AB787" s="66" t="s">
        <v>46</v>
      </c>
      <c r="AC787" s="27"/>
      <c r="AD787" s="28"/>
      <c r="AE787" s="18">
        <f>Table46[[#This Row],[MOIS.]]*Table46[[#This Row],[NET WT KGS]]</f>
        <v>213169.8</v>
      </c>
      <c r="AF787" s="18">
        <f>Table46[[#This Row],[KOR]]*Table46[[#This Row],[NET WT KGS]]</f>
        <v>866054.55999999994</v>
      </c>
      <c r="AG787">
        <f>Table46[[#This Row],[NET WT KGS]]*Table46[[#This Row],[NUT COUNT]]</f>
        <v>3322941</v>
      </c>
    </row>
    <row r="788" spans="1:33" x14ac:dyDescent="0.35">
      <c r="A788" s="32">
        <f t="shared" si="93"/>
        <v>786</v>
      </c>
      <c r="B788" s="20">
        <v>46136</v>
      </c>
      <c r="C788" s="20">
        <v>46137</v>
      </c>
      <c r="D788" s="10" t="s">
        <v>38</v>
      </c>
      <c r="E788" s="10" t="s">
        <v>39</v>
      </c>
      <c r="F788" s="50" t="s">
        <v>40</v>
      </c>
      <c r="G788" s="10" t="s">
        <v>350</v>
      </c>
      <c r="H788" s="50" t="s">
        <v>105</v>
      </c>
      <c r="I788" s="50" t="str">
        <f>VLOOKUP(Table46[[#This Row],[SUPPLIERS NAME]],[1]AGING!X$3:Y$80,2,)</f>
        <v>LBA-014-BAY</v>
      </c>
      <c r="J788" s="10" t="s">
        <v>883</v>
      </c>
      <c r="K788" s="33" t="s">
        <v>108</v>
      </c>
      <c r="L788" s="10">
        <v>354</v>
      </c>
      <c r="M788" s="10">
        <v>32839</v>
      </c>
      <c r="N788" s="10">
        <v>227</v>
      </c>
      <c r="O788" s="22">
        <f t="shared" si="96"/>
        <v>18580</v>
      </c>
      <c r="P788" s="22">
        <v>18353</v>
      </c>
      <c r="Q788" s="10">
        <v>215</v>
      </c>
      <c r="R788" s="124">
        <v>12</v>
      </c>
      <c r="S788" s="10">
        <v>0</v>
      </c>
      <c r="T788" s="10">
        <f t="shared" si="95"/>
        <v>96</v>
      </c>
      <c r="U788" s="22">
        <f>Table46[[#This Row],[NET WT KGS]]-Table46[[#This Row],[Refraction]]</f>
        <v>18257</v>
      </c>
      <c r="V788" s="23">
        <v>490</v>
      </c>
      <c r="W788" s="23">
        <f>Table46[[#This Row],[PRICE]]*Table46[[#This Row],[PAID WT]]</f>
        <v>8945930</v>
      </c>
      <c r="X788" s="24">
        <v>11.3</v>
      </c>
      <c r="Y788" s="25">
        <v>184</v>
      </c>
      <c r="Z788" s="24">
        <v>41.44</v>
      </c>
      <c r="AA788" s="26"/>
      <c r="AB788" s="66" t="s">
        <v>140</v>
      </c>
      <c r="AC788" s="27"/>
      <c r="AD788" s="28"/>
      <c r="AE788" s="18">
        <f>Table46[[#This Row],[MOIS.]]*Table46[[#This Row],[NET WT KGS]]</f>
        <v>207388.90000000002</v>
      </c>
      <c r="AF788" s="18">
        <f>Table46[[#This Row],[KOR]]*Table46[[#This Row],[NET WT KGS]]</f>
        <v>760548.32</v>
      </c>
      <c r="AG788">
        <f>Table46[[#This Row],[NET WT KGS]]*Table46[[#This Row],[NUT COUNT]]</f>
        <v>3376952</v>
      </c>
    </row>
    <row r="789" spans="1:33" x14ac:dyDescent="0.35">
      <c r="A789" s="32">
        <f t="shared" si="93"/>
        <v>787</v>
      </c>
      <c r="B789" s="20">
        <v>46136</v>
      </c>
      <c r="C789" s="20">
        <v>46137</v>
      </c>
      <c r="D789" s="10" t="s">
        <v>38</v>
      </c>
      <c r="E789" s="10" t="s">
        <v>258</v>
      </c>
      <c r="F789" s="50" t="s">
        <v>40</v>
      </c>
      <c r="G789" s="10" t="s">
        <v>350</v>
      </c>
      <c r="H789" s="50" t="s">
        <v>373</v>
      </c>
      <c r="I789" s="50" t="str">
        <f>VLOOKUP(Table46[[#This Row],[SUPPLIERS NAME]],[1]AGING!X$3:Y$80,2,)</f>
        <v>DIS-008-FOU</v>
      </c>
      <c r="J789" s="10" t="s">
        <v>434</v>
      </c>
      <c r="K789" s="57" t="s">
        <v>435</v>
      </c>
      <c r="L789" s="10">
        <v>355</v>
      </c>
      <c r="M789" s="10">
        <v>23653</v>
      </c>
      <c r="N789" s="10">
        <v>477</v>
      </c>
      <c r="O789" s="22">
        <f t="shared" si="96"/>
        <v>41120</v>
      </c>
      <c r="P789" s="22">
        <v>40643</v>
      </c>
      <c r="Q789" s="10">
        <v>472</v>
      </c>
      <c r="R789" s="124">
        <v>0</v>
      </c>
      <c r="S789" s="10">
        <v>5</v>
      </c>
      <c r="T789" s="10">
        <f t="shared" si="95"/>
        <v>20</v>
      </c>
      <c r="U789" s="22">
        <f>Table46[[#This Row],[NET WT KGS]]-Table46[[#This Row],[Refraction]]</f>
        <v>40623</v>
      </c>
      <c r="V789" s="23">
        <v>500</v>
      </c>
      <c r="W789" s="23">
        <f>Table46[[#This Row],[PRICE]]*Table46[[#This Row],[PAID WT]]</f>
        <v>20311500</v>
      </c>
      <c r="X789" s="24">
        <v>9.1</v>
      </c>
      <c r="Y789" s="25">
        <v>163</v>
      </c>
      <c r="Z789" s="24">
        <v>42.15</v>
      </c>
      <c r="AA789" s="26"/>
      <c r="AB789" s="66" t="s">
        <v>308</v>
      </c>
      <c r="AC789" s="27"/>
      <c r="AD789" s="28"/>
      <c r="AE789" s="18">
        <f>Table46[[#This Row],[MOIS.]]*Table46[[#This Row],[NET WT KGS]]</f>
        <v>369851.3</v>
      </c>
      <c r="AF789" s="18">
        <f>Table46[[#This Row],[KOR]]*Table46[[#This Row],[NET WT KGS]]</f>
        <v>1713102.45</v>
      </c>
      <c r="AG789">
        <f>Table46[[#This Row],[NET WT KGS]]*Table46[[#This Row],[NUT COUNT]]</f>
        <v>6624809</v>
      </c>
    </row>
    <row r="790" spans="1:33" x14ac:dyDescent="0.35">
      <c r="A790" s="32">
        <f t="shared" si="93"/>
        <v>788</v>
      </c>
      <c r="B790" s="65">
        <v>46136</v>
      </c>
      <c r="C790" s="20">
        <v>46137</v>
      </c>
      <c r="D790" s="66" t="s">
        <v>38</v>
      </c>
      <c r="E790" s="66" t="s">
        <v>39</v>
      </c>
      <c r="F790" s="67" t="s">
        <v>40</v>
      </c>
      <c r="G790" s="66" t="s">
        <v>350</v>
      </c>
      <c r="H790" s="66" t="s">
        <v>94</v>
      </c>
      <c r="I790" s="67" t="str">
        <f>VLOOKUP(Table46[[#This Row],[SUPPLIERS NAME]],[1]AGING!X$3:Y$80,2,)</f>
        <v>LBA-013-DAG</v>
      </c>
      <c r="J790" s="66" t="s">
        <v>884</v>
      </c>
      <c r="K790" s="33" t="s">
        <v>97</v>
      </c>
      <c r="L790" s="66">
        <v>356</v>
      </c>
      <c r="M790" s="10">
        <v>18679</v>
      </c>
      <c r="N790" s="66">
        <v>535</v>
      </c>
      <c r="O790" s="68">
        <f t="shared" si="96"/>
        <v>46840</v>
      </c>
      <c r="P790" s="68">
        <v>46305</v>
      </c>
      <c r="Q790" s="66">
        <v>515</v>
      </c>
      <c r="R790" s="125">
        <v>20</v>
      </c>
      <c r="S790" s="66">
        <v>0</v>
      </c>
      <c r="T790" s="66">
        <f t="shared" si="95"/>
        <v>160</v>
      </c>
      <c r="U790" s="68">
        <f>Table46[[#This Row],[NET WT KGS]]-Table46[[#This Row],[Refraction]]</f>
        <v>46145</v>
      </c>
      <c r="V790" s="69">
        <v>510</v>
      </c>
      <c r="W790" s="69">
        <f>Table46[[#This Row],[PRICE]]*Table46[[#This Row],[PAID WT]]</f>
        <v>23533950</v>
      </c>
      <c r="X790" s="70">
        <v>11</v>
      </c>
      <c r="Y790" s="71">
        <v>160</v>
      </c>
      <c r="Z790" s="70">
        <v>44.09</v>
      </c>
      <c r="AA790" s="72"/>
      <c r="AB790" s="66" t="s">
        <v>78</v>
      </c>
      <c r="AC790" s="73"/>
      <c r="AD790" s="85"/>
      <c r="AE790" s="18">
        <f>Table46[[#This Row],[MOIS.]]*Table46[[#This Row],[NET WT KGS]]</f>
        <v>509355</v>
      </c>
      <c r="AF790" s="18">
        <f>Table46[[#This Row],[KOR]]*Table46[[#This Row],[NET WT KGS]]</f>
        <v>2041587.4500000002</v>
      </c>
      <c r="AG790">
        <f>Table46[[#This Row],[NET WT KGS]]*Table46[[#This Row],[NUT COUNT]]</f>
        <v>7408800</v>
      </c>
    </row>
    <row r="791" spans="1:33" x14ac:dyDescent="0.35">
      <c r="A791" s="32">
        <f t="shared" si="93"/>
        <v>789</v>
      </c>
      <c r="B791" s="20">
        <v>46136</v>
      </c>
      <c r="C791" s="20">
        <v>46137</v>
      </c>
      <c r="D791" s="10" t="s">
        <v>38</v>
      </c>
      <c r="E791" s="10" t="s">
        <v>39</v>
      </c>
      <c r="F791" s="50" t="s">
        <v>40</v>
      </c>
      <c r="G791" s="10" t="s">
        <v>350</v>
      </c>
      <c r="H791" s="10" t="s">
        <v>338</v>
      </c>
      <c r="I791" s="50" t="str">
        <f>VLOOKUP(Table46[[#This Row],[SUPPLIERS NAME]],[1]AGING!X$3:Y$80,2,)</f>
        <v>LBA-018-COP</v>
      </c>
      <c r="J791" s="10" t="s">
        <v>885</v>
      </c>
      <c r="K791" s="57" t="s">
        <v>340</v>
      </c>
      <c r="L791" s="10">
        <v>357</v>
      </c>
      <c r="M791" s="10">
        <v>18635</v>
      </c>
      <c r="N791" s="10">
        <v>479</v>
      </c>
      <c r="O791" s="22">
        <f t="shared" si="96"/>
        <v>38780</v>
      </c>
      <c r="P791" s="22">
        <v>38301</v>
      </c>
      <c r="Q791" s="10">
        <v>454</v>
      </c>
      <c r="R791" s="124">
        <v>0</v>
      </c>
      <c r="S791" s="10">
        <v>25</v>
      </c>
      <c r="T791" s="10">
        <f t="shared" si="95"/>
        <v>100</v>
      </c>
      <c r="U791" s="22">
        <f>Table46[[#This Row],[NET WT KGS]]-Table46[[#This Row],[Refraction]]</f>
        <v>38201</v>
      </c>
      <c r="V791" s="23">
        <v>510</v>
      </c>
      <c r="W791" s="23">
        <f>Table46[[#This Row],[PRICE]]*Table46[[#This Row],[PAID WT]]</f>
        <v>19482510</v>
      </c>
      <c r="X791" s="24">
        <v>10.8</v>
      </c>
      <c r="Y791" s="25">
        <v>168</v>
      </c>
      <c r="Z791" s="24">
        <v>43.56</v>
      </c>
      <c r="AA791" s="26"/>
      <c r="AB791" s="10" t="s">
        <v>284</v>
      </c>
      <c r="AC791" s="27"/>
      <c r="AD791" s="28"/>
      <c r="AE791" s="18">
        <f>Table46[[#This Row],[MOIS.]]*Table46[[#This Row],[NET WT KGS]]</f>
        <v>413650.80000000005</v>
      </c>
      <c r="AF791" s="18">
        <f>Table46[[#This Row],[KOR]]*Table46[[#This Row],[NET WT KGS]]</f>
        <v>1668391.56</v>
      </c>
      <c r="AG791">
        <f>Table46[[#This Row],[NET WT KGS]]*Table46[[#This Row],[NUT COUNT]]</f>
        <v>6434568</v>
      </c>
    </row>
    <row r="792" spans="1:33" x14ac:dyDescent="0.35">
      <c r="A792" s="32">
        <f t="shared" si="93"/>
        <v>790</v>
      </c>
      <c r="B792" s="20">
        <v>46136</v>
      </c>
      <c r="C792" s="20">
        <v>46137</v>
      </c>
      <c r="D792" s="10" t="s">
        <v>38</v>
      </c>
      <c r="E792" s="10" t="s">
        <v>39</v>
      </c>
      <c r="F792" s="50" t="s">
        <v>40</v>
      </c>
      <c r="G792" s="10" t="s">
        <v>41</v>
      </c>
      <c r="H792" s="10" t="s">
        <v>338</v>
      </c>
      <c r="I792" s="126" t="str">
        <f>VLOOKUP(Table46[[#This Row],[SUPPLIERS NAME]],[1]AGING!X$3:Y$80,2,)</f>
        <v>LBA-018-COP</v>
      </c>
      <c r="J792" s="104" t="s">
        <v>886</v>
      </c>
      <c r="K792" s="57" t="s">
        <v>340</v>
      </c>
      <c r="L792" s="10">
        <v>358</v>
      </c>
      <c r="M792" s="10">
        <v>38500</v>
      </c>
      <c r="N792" s="10">
        <v>444</v>
      </c>
      <c r="O792" s="22">
        <f t="shared" si="96"/>
        <v>36180</v>
      </c>
      <c r="P792" s="22">
        <v>35736</v>
      </c>
      <c r="Q792" s="10">
        <v>432</v>
      </c>
      <c r="R792" s="124">
        <v>0</v>
      </c>
      <c r="S792" s="10">
        <v>12</v>
      </c>
      <c r="T792" s="10">
        <f t="shared" si="95"/>
        <v>48</v>
      </c>
      <c r="U792" s="22">
        <f>Table46[[#This Row],[NET WT KGS]]-Table46[[#This Row],[Refraction]]</f>
        <v>35688</v>
      </c>
      <c r="V792" s="48">
        <v>510</v>
      </c>
      <c r="W792" s="23">
        <f>Table46[[#This Row],[PRICE]]*Table46[[#This Row],[PAID WT]]</f>
        <v>18200880</v>
      </c>
      <c r="X792" s="24">
        <v>9.6</v>
      </c>
      <c r="Y792" s="25">
        <v>160</v>
      </c>
      <c r="Z792" s="24">
        <v>42.79</v>
      </c>
      <c r="AA792" s="26"/>
      <c r="AB792" s="10" t="s">
        <v>58</v>
      </c>
      <c r="AC792" s="27"/>
      <c r="AD792" s="28"/>
      <c r="AE792" s="18">
        <f>Table46[[#This Row],[MOIS.]]*Table46[[#This Row],[NET WT KGS]]</f>
        <v>343065.59999999998</v>
      </c>
      <c r="AF792" s="18">
        <f>Table46[[#This Row],[KOR]]*Table46[[#This Row],[NET WT KGS]]</f>
        <v>1529143.44</v>
      </c>
      <c r="AG792">
        <f>Table46[[#This Row],[NET WT KGS]]*Table46[[#This Row],[NUT COUNT]]</f>
        <v>5717760</v>
      </c>
    </row>
    <row r="793" spans="1:33" x14ac:dyDescent="0.35">
      <c r="A793" s="32">
        <f t="shared" si="93"/>
        <v>791</v>
      </c>
      <c r="B793" s="20">
        <v>46136</v>
      </c>
      <c r="C793" s="20">
        <v>46137</v>
      </c>
      <c r="D793" s="10" t="s">
        <v>38</v>
      </c>
      <c r="E793" s="10" t="s">
        <v>39</v>
      </c>
      <c r="F793" s="50" t="s">
        <v>62</v>
      </c>
      <c r="G793" s="10"/>
      <c r="H793" s="10" t="s">
        <v>286</v>
      </c>
      <c r="I793" s="50" t="str">
        <f>VLOOKUP(Table46[[#This Row],[SUPPLIERS NAME]],[1]AGING!X$3:Y$80,2,)</f>
        <v>LBA-017-DPV</v>
      </c>
      <c r="J793" s="10" t="s">
        <v>794</v>
      </c>
      <c r="K793" s="21" t="s">
        <v>289</v>
      </c>
      <c r="L793" s="10">
        <v>714</v>
      </c>
      <c r="M793" s="10">
        <v>37585</v>
      </c>
      <c r="N793" s="10">
        <v>532</v>
      </c>
      <c r="O793" s="22">
        <v>45520</v>
      </c>
      <c r="P793" s="51">
        <f>Table46[[#This Row],[GROSS WT KGS]]-Table46[[#This Row],[SACS]]</f>
        <v>44988</v>
      </c>
      <c r="Q793" s="10">
        <v>497</v>
      </c>
      <c r="R793" s="124">
        <v>20</v>
      </c>
      <c r="S793" s="10">
        <v>0</v>
      </c>
      <c r="T793" s="10">
        <f t="shared" si="95"/>
        <v>160</v>
      </c>
      <c r="U793" s="22">
        <f>Table46[[#This Row],[NET WT KGS]]-Table46[[#This Row],[Refraction]]</f>
        <v>44828</v>
      </c>
      <c r="V793" s="23">
        <v>515</v>
      </c>
      <c r="W793" s="23">
        <f>Table46[[#This Row],[PRICE]]*Table46[[#This Row],[PAID WT]]</f>
        <v>23086420</v>
      </c>
      <c r="X793" s="24">
        <v>10.5</v>
      </c>
      <c r="Y793" s="25">
        <v>167</v>
      </c>
      <c r="Z793" s="24">
        <v>43.21</v>
      </c>
      <c r="AA793" s="26"/>
      <c r="AB793" s="10"/>
      <c r="AC793" s="27"/>
      <c r="AD793" s="28"/>
      <c r="AE793" s="18">
        <f>Table46[[#This Row],[MOIS.]]*Table46[[#This Row],[NET WT KGS]]</f>
        <v>472374</v>
      </c>
      <c r="AF793" s="18">
        <f>Table46[[#This Row],[KOR]]*Table46[[#This Row],[NET WT KGS]]</f>
        <v>1943931.48</v>
      </c>
      <c r="AG793">
        <f>Table46[[#This Row],[NET WT KGS]]*Table46[[#This Row],[NUT COUNT]]</f>
        <v>7512996</v>
      </c>
    </row>
    <row r="794" spans="1:33" x14ac:dyDescent="0.35">
      <c r="A794" s="32">
        <f t="shared" si="93"/>
        <v>792</v>
      </c>
      <c r="B794" s="20">
        <v>46136</v>
      </c>
      <c r="C794" s="20">
        <v>46137</v>
      </c>
      <c r="D794" s="10" t="s">
        <v>38</v>
      </c>
      <c r="E794" s="10" t="s">
        <v>39</v>
      </c>
      <c r="F794" s="50" t="s">
        <v>62</v>
      </c>
      <c r="G794" s="10"/>
      <c r="H794" s="10" t="s">
        <v>684</v>
      </c>
      <c r="I794" s="50" t="str">
        <f>VLOOKUP(Table46[[#This Row],[SUPPLIERS NAME]],[1]AGING!X$3:Y$80,2,)</f>
        <v>LBA-021-SAN</v>
      </c>
      <c r="J794" s="10" t="s">
        <v>887</v>
      </c>
      <c r="K794" s="121"/>
      <c r="L794" s="10">
        <v>715</v>
      </c>
      <c r="M794" s="66">
        <f>VLOOKUP(Table46[[#This Row],[REF.]],'[2]RCN INWARD FACTORY YAKRO 2026'!$F$4:$M$257,8,0)</f>
        <v>32357</v>
      </c>
      <c r="N794" s="10">
        <v>506</v>
      </c>
      <c r="O794" s="22">
        <v>49120</v>
      </c>
      <c r="P794" s="51">
        <f>Table46[[#This Row],[GROSS WT KGS]]-Table46[[#This Row],[SACS]]</f>
        <v>48614</v>
      </c>
      <c r="Q794" s="10">
        <v>491</v>
      </c>
      <c r="R794" s="124">
        <v>20</v>
      </c>
      <c r="S794" s="10">
        <v>0</v>
      </c>
      <c r="T794" s="10">
        <f t="shared" si="95"/>
        <v>160</v>
      </c>
      <c r="U794" s="22">
        <f>Table46[[#This Row],[NET WT KGS]]-Table46[[#This Row],[Refraction]]</f>
        <v>48454</v>
      </c>
      <c r="V794" s="23">
        <v>515</v>
      </c>
      <c r="W794" s="23">
        <f>Table46[[#This Row],[PRICE]]*Table46[[#This Row],[PAID WT]]</f>
        <v>24953810</v>
      </c>
      <c r="X794" s="24">
        <v>10.3</v>
      </c>
      <c r="Y794" s="25">
        <v>161</v>
      </c>
      <c r="Z794" s="24">
        <v>41.35</v>
      </c>
      <c r="AA794" s="26"/>
      <c r="AB794" s="10"/>
      <c r="AC794" s="27" t="s">
        <v>762</v>
      </c>
      <c r="AD794" s="28"/>
      <c r="AE794" s="18">
        <f>Table46[[#This Row],[MOIS.]]*Table46[[#This Row],[NET WT KGS]]</f>
        <v>500724.2</v>
      </c>
      <c r="AF794" s="18">
        <f>Table46[[#This Row],[KOR]]*Table46[[#This Row],[NET WT KGS]]</f>
        <v>2010188.9000000001</v>
      </c>
      <c r="AG794">
        <f>Table46[[#This Row],[NET WT KGS]]*Table46[[#This Row],[NUT COUNT]]</f>
        <v>7826854</v>
      </c>
    </row>
    <row r="795" spans="1:33" x14ac:dyDescent="0.35">
      <c r="A795" s="32">
        <f t="shared" si="93"/>
        <v>793</v>
      </c>
      <c r="B795" s="20">
        <v>46136</v>
      </c>
      <c r="C795" s="20">
        <v>46137</v>
      </c>
      <c r="D795" s="10" t="s">
        <v>38</v>
      </c>
      <c r="E795" s="10" t="s">
        <v>258</v>
      </c>
      <c r="F795" s="50" t="s">
        <v>62</v>
      </c>
      <c r="G795" s="10"/>
      <c r="H795" s="10" t="s">
        <v>502</v>
      </c>
      <c r="I795" s="50" t="str">
        <f>VLOOKUP(Table46[[#This Row],[SUPPLIERS NAME]],[1]AGING!X$3:Y$80,2,)</f>
        <v>DIS-027-BAO</v>
      </c>
      <c r="J795" s="10" t="s">
        <v>888</v>
      </c>
      <c r="K795" s="21" t="s">
        <v>697</v>
      </c>
      <c r="L795" s="10">
        <v>718</v>
      </c>
      <c r="M795" s="10">
        <v>83830</v>
      </c>
      <c r="N795" s="10">
        <v>474</v>
      </c>
      <c r="O795" s="22">
        <v>40220</v>
      </c>
      <c r="P795" s="51">
        <f>Table46[[#This Row],[GROSS WT KGS]]-Table46[[#This Row],[SACS]]</f>
        <v>39746</v>
      </c>
      <c r="Q795" s="10">
        <v>452</v>
      </c>
      <c r="R795" s="124">
        <v>80</v>
      </c>
      <c r="S795" s="10">
        <v>0</v>
      </c>
      <c r="T795" s="10">
        <f t="shared" si="95"/>
        <v>640</v>
      </c>
      <c r="U795" s="22">
        <f>Table46[[#This Row],[NET WT KGS]]-Table46[[#This Row],[Refraction]]</f>
        <v>39106</v>
      </c>
      <c r="V795" s="23">
        <v>515</v>
      </c>
      <c r="W795" s="23">
        <f>Table46[[#This Row],[PRICE]]*Table46[[#This Row],[PAID WT]]</f>
        <v>20139590</v>
      </c>
      <c r="X795" s="24">
        <v>13.1</v>
      </c>
      <c r="Y795" s="25">
        <v>179</v>
      </c>
      <c r="Z795" s="24">
        <v>43.65</v>
      </c>
      <c r="AA795" s="26"/>
      <c r="AB795" s="10" t="s">
        <v>889</v>
      </c>
      <c r="AC795" s="27"/>
      <c r="AD795" s="28"/>
      <c r="AE795" s="18">
        <f>Table46[[#This Row],[MOIS.]]*Table46[[#This Row],[NET WT KGS]]</f>
        <v>520672.6</v>
      </c>
      <c r="AF795" s="18">
        <f>Table46[[#This Row],[KOR]]*Table46[[#This Row],[NET WT KGS]]</f>
        <v>1734912.9</v>
      </c>
      <c r="AG795">
        <f>Table46[[#This Row],[NET WT KGS]]*Table46[[#This Row],[NUT COUNT]]</f>
        <v>7114534</v>
      </c>
    </row>
    <row r="796" spans="1:33" x14ac:dyDescent="0.35">
      <c r="A796" s="32">
        <f t="shared" si="93"/>
        <v>794</v>
      </c>
      <c r="B796" s="20">
        <v>46136</v>
      </c>
      <c r="C796" s="20">
        <v>46137</v>
      </c>
      <c r="D796" s="10" t="s">
        <v>38</v>
      </c>
      <c r="E796" s="10" t="s">
        <v>39</v>
      </c>
      <c r="F796" s="50" t="s">
        <v>62</v>
      </c>
      <c r="G796" s="10"/>
      <c r="H796" s="10" t="s">
        <v>684</v>
      </c>
      <c r="I796" s="50" t="str">
        <f>VLOOKUP(Table46[[#This Row],[SUPPLIERS NAME]],[1]AGING!X$3:Y$80,2,)</f>
        <v>LBA-021-SAN</v>
      </c>
      <c r="J796" s="10" t="s">
        <v>890</v>
      </c>
      <c r="K796" s="121"/>
      <c r="L796" s="10">
        <v>722</v>
      </c>
      <c r="M796" s="66">
        <f>VLOOKUP(Table46[[#This Row],[REF.]],'[2]RCN INWARD FACTORY YAKRO 2026'!$F$4:$M$257,8,0)</f>
        <v>32358</v>
      </c>
      <c r="N796" s="10">
        <v>533</v>
      </c>
      <c r="O796" s="22">
        <v>46090</v>
      </c>
      <c r="P796" s="51">
        <f>Table46[[#This Row],[GROSS WT KGS]]-Table46[[#This Row],[SACS]]</f>
        <v>45557</v>
      </c>
      <c r="Q796" s="10">
        <v>503</v>
      </c>
      <c r="R796" s="124">
        <v>30</v>
      </c>
      <c r="S796" s="10">
        <v>0</v>
      </c>
      <c r="T796" s="10">
        <f t="shared" si="95"/>
        <v>240</v>
      </c>
      <c r="U796" s="22">
        <f>Table46[[#This Row],[NET WT KGS]]-Table46[[#This Row],[Refraction]]</f>
        <v>45317</v>
      </c>
      <c r="V796" s="23">
        <v>515</v>
      </c>
      <c r="W796" s="23">
        <f>Table46[[#This Row],[PRICE]]*Table46[[#This Row],[PAID WT]]</f>
        <v>23338255</v>
      </c>
      <c r="X796" s="24">
        <v>14.2</v>
      </c>
      <c r="Y796" s="25">
        <v>160</v>
      </c>
      <c r="Z796" s="24">
        <v>42.76</v>
      </c>
      <c r="AA796" s="26"/>
      <c r="AB796" s="10" t="s">
        <v>678</v>
      </c>
      <c r="AC796" s="27" t="s">
        <v>762</v>
      </c>
      <c r="AD796" s="28"/>
      <c r="AE796" s="18">
        <f>Table46[[#This Row],[MOIS.]]*Table46[[#This Row],[NET WT KGS]]</f>
        <v>646909.4</v>
      </c>
      <c r="AF796" s="18">
        <f>Table46[[#This Row],[KOR]]*Table46[[#This Row],[NET WT KGS]]</f>
        <v>1948017.3199999998</v>
      </c>
      <c r="AG796">
        <f>Table46[[#This Row],[NET WT KGS]]*Table46[[#This Row],[NUT COUNT]]</f>
        <v>7289120</v>
      </c>
    </row>
    <row r="797" spans="1:33" x14ac:dyDescent="0.35">
      <c r="A797" s="32">
        <f t="shared" si="93"/>
        <v>795</v>
      </c>
      <c r="B797" s="20">
        <v>46136</v>
      </c>
      <c r="C797" s="20">
        <v>46137</v>
      </c>
      <c r="D797" s="10" t="s">
        <v>38</v>
      </c>
      <c r="E797" s="10" t="s">
        <v>39</v>
      </c>
      <c r="F797" s="50" t="s">
        <v>62</v>
      </c>
      <c r="G797" s="10"/>
      <c r="H797" s="10" t="s">
        <v>136</v>
      </c>
      <c r="I797" s="50" t="str">
        <f>VLOOKUP(Table46[[#This Row],[SUPPLIERS NAME]],[1]AGING!X$3:Y$80,2,)</f>
        <v>LBA-004-WEB</v>
      </c>
      <c r="J797" s="10" t="s">
        <v>891</v>
      </c>
      <c r="K797" s="21" t="s">
        <v>139</v>
      </c>
      <c r="L797" s="10">
        <v>724</v>
      </c>
      <c r="M797" s="10">
        <v>19783</v>
      </c>
      <c r="N797" s="10">
        <v>501</v>
      </c>
      <c r="O797" s="22">
        <v>40790</v>
      </c>
      <c r="P797" s="51">
        <f>Table46[[#This Row],[GROSS WT KGS]]-Table46[[#This Row],[SACS]]</f>
        <v>40289</v>
      </c>
      <c r="Q797" s="10">
        <v>431</v>
      </c>
      <c r="R797" s="124">
        <v>70</v>
      </c>
      <c r="S797" s="10">
        <v>0</v>
      </c>
      <c r="T797" s="10">
        <f t="shared" si="95"/>
        <v>560</v>
      </c>
      <c r="U797" s="22">
        <f>Table46[[#This Row],[NET WT KGS]]-Table46[[#This Row],[Refraction]]</f>
        <v>39729</v>
      </c>
      <c r="V797" s="23">
        <v>515</v>
      </c>
      <c r="W797" s="23">
        <f>Table46[[#This Row],[PRICE]]*Table46[[#This Row],[PAID WT]]</f>
        <v>20460435</v>
      </c>
      <c r="X797" s="24">
        <v>13.5</v>
      </c>
      <c r="Y797" s="25">
        <v>171</v>
      </c>
      <c r="Z797" s="24">
        <v>44.62</v>
      </c>
      <c r="AA797" s="26"/>
      <c r="AB797" s="66" t="s">
        <v>551</v>
      </c>
      <c r="AC797" s="27"/>
      <c r="AD797" s="28"/>
      <c r="AE797" s="18">
        <f>Table46[[#This Row],[MOIS.]]*Table46[[#This Row],[NET WT KGS]]</f>
        <v>543901.5</v>
      </c>
      <c r="AF797" s="18">
        <f>Table46[[#This Row],[KOR]]*Table46[[#This Row],[NET WT KGS]]</f>
        <v>1797695.18</v>
      </c>
      <c r="AG797">
        <f>Table46[[#This Row],[NET WT KGS]]*Table46[[#This Row],[NUT COUNT]]</f>
        <v>6889419</v>
      </c>
    </row>
    <row r="798" spans="1:33" x14ac:dyDescent="0.35">
      <c r="A798" s="32">
        <f t="shared" si="93"/>
        <v>796</v>
      </c>
      <c r="B798" s="20">
        <v>46137</v>
      </c>
      <c r="C798" s="20">
        <v>46137</v>
      </c>
      <c r="D798" s="10" t="s">
        <v>38</v>
      </c>
      <c r="E798" s="10" t="s">
        <v>39</v>
      </c>
      <c r="F798" s="50" t="s">
        <v>40</v>
      </c>
      <c r="G798" s="10" t="s">
        <v>41</v>
      </c>
      <c r="H798" s="50" t="s">
        <v>105</v>
      </c>
      <c r="I798" s="50" t="str">
        <f>VLOOKUP(Table46[[#This Row],[SUPPLIERS NAME]],[1]AGING!X$3:Y$80,2,)</f>
        <v>LBA-014-BAY</v>
      </c>
      <c r="J798" s="10" t="s">
        <v>167</v>
      </c>
      <c r="K798" s="33" t="s">
        <v>108</v>
      </c>
      <c r="L798" s="10">
        <v>359</v>
      </c>
      <c r="M798" s="10">
        <v>31662</v>
      </c>
      <c r="N798" s="10">
        <v>235</v>
      </c>
      <c r="O798" s="22">
        <f t="shared" ref="O798:O813" si="97">P798+N798</f>
        <v>18580</v>
      </c>
      <c r="P798" s="22">
        <v>18345</v>
      </c>
      <c r="Q798" s="10">
        <v>210</v>
      </c>
      <c r="R798" s="124">
        <v>25</v>
      </c>
      <c r="S798" s="10">
        <v>0</v>
      </c>
      <c r="T798" s="10">
        <f t="shared" si="95"/>
        <v>200</v>
      </c>
      <c r="U798" s="22">
        <f>Table46[[#This Row],[NET WT KGS]]-Table46[[#This Row],[Refraction]]</f>
        <v>18145</v>
      </c>
      <c r="V798" s="23">
        <v>500</v>
      </c>
      <c r="W798" s="23">
        <f>Table46[[#This Row],[PRICE]]*Table46[[#This Row],[PAID WT]]</f>
        <v>9072500</v>
      </c>
      <c r="X798" s="24">
        <v>11.9</v>
      </c>
      <c r="Y798" s="25">
        <v>175</v>
      </c>
      <c r="Z798" s="24">
        <v>42.15</v>
      </c>
      <c r="AA798" s="26"/>
      <c r="AB798" s="66" t="s">
        <v>660</v>
      </c>
      <c r="AC798" s="27"/>
      <c r="AD798" s="28"/>
      <c r="AE798" s="18">
        <f>Table46[[#This Row],[MOIS.]]*Table46[[#This Row],[NET WT KGS]]</f>
        <v>218305.5</v>
      </c>
      <c r="AF798" s="18">
        <f>Table46[[#This Row],[KOR]]*Table46[[#This Row],[NET WT KGS]]</f>
        <v>773241.75</v>
      </c>
      <c r="AG798">
        <f>Table46[[#This Row],[NET WT KGS]]*Table46[[#This Row],[NUT COUNT]]</f>
        <v>3210375</v>
      </c>
    </row>
    <row r="799" spans="1:33" x14ac:dyDescent="0.35">
      <c r="A799" s="32">
        <f t="shared" si="93"/>
        <v>797</v>
      </c>
      <c r="B799" s="20">
        <v>46137</v>
      </c>
      <c r="C799" s="20">
        <v>46137</v>
      </c>
      <c r="D799" s="10" t="s">
        <v>38</v>
      </c>
      <c r="E799" s="10" t="s">
        <v>39</v>
      </c>
      <c r="F799" s="50" t="s">
        <v>40</v>
      </c>
      <c r="G799" s="10" t="s">
        <v>41</v>
      </c>
      <c r="H799" s="10" t="s">
        <v>338</v>
      </c>
      <c r="I799" s="50" t="str">
        <f>VLOOKUP(Table46[[#This Row],[SUPPLIERS NAME]],[1]AGING!X$3:Y$80,2,)</f>
        <v>LBA-018-COP</v>
      </c>
      <c r="J799" s="10" t="s">
        <v>892</v>
      </c>
      <c r="K799" s="57" t="s">
        <v>340</v>
      </c>
      <c r="L799" s="10">
        <v>360</v>
      </c>
      <c r="M799" s="10">
        <v>15483</v>
      </c>
      <c r="N799" s="10">
        <v>490</v>
      </c>
      <c r="O799" s="22">
        <f t="shared" si="97"/>
        <v>40620</v>
      </c>
      <c r="P799" s="22">
        <v>40130</v>
      </c>
      <c r="Q799" s="10">
        <v>475</v>
      </c>
      <c r="R799" s="124">
        <v>15</v>
      </c>
      <c r="S799" s="10">
        <v>0</v>
      </c>
      <c r="T799" s="10">
        <f t="shared" si="95"/>
        <v>120</v>
      </c>
      <c r="U799" s="22">
        <f>Table46[[#This Row],[NET WT KGS]]-Table46[[#This Row],[Refraction]]</f>
        <v>40010</v>
      </c>
      <c r="V799" s="23">
        <v>500</v>
      </c>
      <c r="W799" s="23">
        <f>Table46[[#This Row],[PRICE]]*Table46[[#This Row],[PAID WT]]</f>
        <v>20005000</v>
      </c>
      <c r="X799" s="24">
        <v>11</v>
      </c>
      <c r="Y799" s="25">
        <v>175</v>
      </c>
      <c r="Z799" s="24">
        <v>41.09</v>
      </c>
      <c r="AA799" s="26"/>
      <c r="AB799" s="10" t="s">
        <v>171</v>
      </c>
      <c r="AC799" s="27"/>
      <c r="AD799" s="28"/>
      <c r="AE799" s="18">
        <f>Table46[[#This Row],[MOIS.]]*Table46[[#This Row],[NET WT KGS]]</f>
        <v>441430</v>
      </c>
      <c r="AF799" s="18">
        <f>Table46[[#This Row],[KOR]]*Table46[[#This Row],[NET WT KGS]]</f>
        <v>1648941.7000000002</v>
      </c>
      <c r="AG799">
        <f>Table46[[#This Row],[NET WT KGS]]*Table46[[#This Row],[NUT COUNT]]</f>
        <v>7022750</v>
      </c>
    </row>
    <row r="800" spans="1:33" x14ac:dyDescent="0.35">
      <c r="A800" s="32">
        <f t="shared" si="93"/>
        <v>798</v>
      </c>
      <c r="B800" s="35">
        <v>46137</v>
      </c>
      <c r="C800" s="35">
        <f>Table46[[#This Row],[DATE OF ARRIVAL]]</f>
        <v>46137</v>
      </c>
      <c r="D800" s="36"/>
      <c r="E800" s="36"/>
      <c r="F800" s="36" t="s">
        <v>40</v>
      </c>
      <c r="G800" s="36"/>
      <c r="H800" s="36" t="s">
        <v>408</v>
      </c>
      <c r="I800" s="36" t="s">
        <v>267</v>
      </c>
      <c r="J800" s="106" t="s">
        <v>893</v>
      </c>
      <c r="K800" s="106"/>
      <c r="L800" s="36">
        <v>0</v>
      </c>
      <c r="M800" s="36"/>
      <c r="N800" s="36">
        <v>0</v>
      </c>
      <c r="O800" s="37">
        <v>0</v>
      </c>
      <c r="P800" s="37">
        <v>0</v>
      </c>
      <c r="Q800" s="36"/>
      <c r="R800" s="127"/>
      <c r="S800" s="36"/>
      <c r="T800" s="36"/>
      <c r="U800" s="37"/>
      <c r="V800" s="38"/>
      <c r="W800" s="38"/>
      <c r="X800" s="39">
        <v>10.7</v>
      </c>
      <c r="Y800" s="40">
        <v>182</v>
      </c>
      <c r="Z800" s="39">
        <v>39.683250000000001</v>
      </c>
      <c r="AA800" s="41"/>
      <c r="AB800" s="36" t="s">
        <v>415</v>
      </c>
      <c r="AC800" s="42" t="s">
        <v>70</v>
      </c>
      <c r="AD800" s="28"/>
      <c r="AE800" s="18"/>
      <c r="AF800" s="18"/>
    </row>
    <row r="801" spans="1:33" x14ac:dyDescent="0.35">
      <c r="A801" s="32">
        <f t="shared" si="93"/>
        <v>799</v>
      </c>
      <c r="B801" s="35">
        <v>46137</v>
      </c>
      <c r="C801" s="35">
        <f>Table46[[#This Row],[DATE OF ARRIVAL]]</f>
        <v>46137</v>
      </c>
      <c r="D801" s="36"/>
      <c r="E801" s="36"/>
      <c r="F801" s="36" t="s">
        <v>40</v>
      </c>
      <c r="G801" s="36"/>
      <c r="H801" s="36" t="s">
        <v>410</v>
      </c>
      <c r="I801" s="36" t="s">
        <v>270</v>
      </c>
      <c r="J801" s="106" t="s">
        <v>894</v>
      </c>
      <c r="K801" s="106"/>
      <c r="L801" s="36">
        <v>0</v>
      </c>
      <c r="M801" s="36"/>
      <c r="N801" s="36">
        <v>0</v>
      </c>
      <c r="O801" s="37">
        <v>0</v>
      </c>
      <c r="P801" s="37">
        <v>0</v>
      </c>
      <c r="Q801" s="36"/>
      <c r="R801" s="127"/>
      <c r="S801" s="36"/>
      <c r="T801" s="36"/>
      <c r="U801" s="37"/>
      <c r="V801" s="38"/>
      <c r="W801" s="38"/>
      <c r="X801" s="39">
        <v>11.4</v>
      </c>
      <c r="Y801" s="40">
        <v>157</v>
      </c>
      <c r="Z801" s="39">
        <v>41.446950000000001</v>
      </c>
      <c r="AA801" s="41"/>
      <c r="AB801" s="36" t="s">
        <v>46</v>
      </c>
      <c r="AC801" s="42" t="s">
        <v>70</v>
      </c>
      <c r="AD801" s="28"/>
      <c r="AE801" s="18"/>
      <c r="AF801" s="18"/>
    </row>
    <row r="802" spans="1:33" x14ac:dyDescent="0.35">
      <c r="A802" s="32">
        <f t="shared" si="93"/>
        <v>800</v>
      </c>
      <c r="B802" s="35">
        <v>46137</v>
      </c>
      <c r="C802" s="35">
        <f>Table46[[#This Row],[DATE OF ARRIVAL]]</f>
        <v>46137</v>
      </c>
      <c r="D802" s="36"/>
      <c r="E802" s="36"/>
      <c r="F802" s="36" t="s">
        <v>40</v>
      </c>
      <c r="G802" s="36"/>
      <c r="H802" s="36" t="s">
        <v>373</v>
      </c>
      <c r="I802" s="36" t="s">
        <v>92</v>
      </c>
      <c r="J802" s="106" t="s">
        <v>895</v>
      </c>
      <c r="K802" s="106"/>
      <c r="L802" s="36">
        <v>0</v>
      </c>
      <c r="M802" s="36"/>
      <c r="N802" s="36">
        <v>0</v>
      </c>
      <c r="O802" s="37">
        <v>0</v>
      </c>
      <c r="P802" s="37">
        <v>0</v>
      </c>
      <c r="Q802" s="36"/>
      <c r="R802" s="127"/>
      <c r="S802" s="36"/>
      <c r="T802" s="36"/>
      <c r="U802" s="37"/>
      <c r="V802" s="38"/>
      <c r="W802" s="38"/>
      <c r="X802" s="39">
        <v>12.3</v>
      </c>
      <c r="Y802" s="40">
        <v>159</v>
      </c>
      <c r="Z802" s="39">
        <v>40.212359999999997</v>
      </c>
      <c r="AA802" s="41"/>
      <c r="AB802" s="36" t="s">
        <v>171</v>
      </c>
      <c r="AC802" s="42" t="s">
        <v>70</v>
      </c>
      <c r="AD802" s="28"/>
      <c r="AE802" s="18"/>
      <c r="AF802" s="18"/>
    </row>
    <row r="803" spans="1:33" x14ac:dyDescent="0.35">
      <c r="A803" s="32">
        <f t="shared" si="93"/>
        <v>801</v>
      </c>
      <c r="B803" s="35">
        <v>46137</v>
      </c>
      <c r="C803" s="35">
        <f>Table46[[#This Row],[DATE OF ARRIVAL]]</f>
        <v>46137</v>
      </c>
      <c r="D803" s="36"/>
      <c r="E803" s="36"/>
      <c r="F803" s="36" t="s">
        <v>40</v>
      </c>
      <c r="G803" s="36"/>
      <c r="H803" s="36" t="s">
        <v>392</v>
      </c>
      <c r="I803" s="36" t="s">
        <v>183</v>
      </c>
      <c r="J803" s="106" t="s">
        <v>896</v>
      </c>
      <c r="K803" s="106"/>
      <c r="L803" s="36">
        <v>0</v>
      </c>
      <c r="M803" s="36"/>
      <c r="N803" s="36">
        <v>0</v>
      </c>
      <c r="O803" s="37">
        <v>0</v>
      </c>
      <c r="P803" s="37">
        <v>0</v>
      </c>
      <c r="Q803" s="36"/>
      <c r="R803" s="127"/>
      <c r="S803" s="36"/>
      <c r="T803" s="36"/>
      <c r="U803" s="37"/>
      <c r="V803" s="38"/>
      <c r="W803" s="38"/>
      <c r="X803" s="39">
        <v>10.8</v>
      </c>
      <c r="Y803" s="40">
        <v>179</v>
      </c>
      <c r="Z803" s="39">
        <v>37.919550000000001</v>
      </c>
      <c r="AA803" s="41"/>
      <c r="AB803" s="36" t="s">
        <v>607</v>
      </c>
      <c r="AC803" s="42" t="s">
        <v>70</v>
      </c>
      <c r="AD803" s="28"/>
      <c r="AE803" s="18"/>
      <c r="AF803" s="18"/>
    </row>
    <row r="804" spans="1:33" x14ac:dyDescent="0.35">
      <c r="A804" s="32">
        <f t="shared" si="93"/>
        <v>802</v>
      </c>
      <c r="B804" s="35">
        <v>46137</v>
      </c>
      <c r="C804" s="35">
        <f>Table46[[#This Row],[DATE OF ARRIVAL]]</f>
        <v>46137</v>
      </c>
      <c r="D804" s="36"/>
      <c r="E804" s="36"/>
      <c r="F804" s="36" t="s">
        <v>40</v>
      </c>
      <c r="G804" s="36"/>
      <c r="H804" s="36" t="s">
        <v>118</v>
      </c>
      <c r="I804" s="36" t="s">
        <v>119</v>
      </c>
      <c r="J804" s="106" t="s">
        <v>897</v>
      </c>
      <c r="K804" s="106"/>
      <c r="L804" s="36">
        <v>0</v>
      </c>
      <c r="M804" s="36"/>
      <c r="N804" s="36">
        <v>0</v>
      </c>
      <c r="O804" s="37">
        <v>0</v>
      </c>
      <c r="P804" s="37">
        <v>0</v>
      </c>
      <c r="Q804" s="36"/>
      <c r="R804" s="127"/>
      <c r="S804" s="36"/>
      <c r="T804" s="36"/>
      <c r="U804" s="37"/>
      <c r="V804" s="38"/>
      <c r="W804" s="38"/>
      <c r="X804" s="39">
        <v>8.4</v>
      </c>
      <c r="Y804" s="40">
        <v>162</v>
      </c>
      <c r="Z804" s="39">
        <v>38.272289999999998</v>
      </c>
      <c r="AA804" s="41"/>
      <c r="AB804" s="36" t="s">
        <v>610</v>
      </c>
      <c r="AC804" s="42" t="s">
        <v>70</v>
      </c>
      <c r="AD804" s="28"/>
      <c r="AE804" s="18"/>
      <c r="AF804" s="18"/>
    </row>
    <row r="805" spans="1:33" x14ac:dyDescent="0.35">
      <c r="A805" s="32">
        <f t="shared" si="93"/>
        <v>803</v>
      </c>
      <c r="B805" s="35">
        <v>46137</v>
      </c>
      <c r="C805" s="35">
        <f>Table46[[#This Row],[DATE OF ARRIVAL]]</f>
        <v>46137</v>
      </c>
      <c r="D805" s="36"/>
      <c r="E805" s="36"/>
      <c r="F805" s="36" t="s">
        <v>40</v>
      </c>
      <c r="G805" s="36"/>
      <c r="H805" s="36" t="s">
        <v>118</v>
      </c>
      <c r="I805" s="36" t="s">
        <v>119</v>
      </c>
      <c r="J805" s="106" t="s">
        <v>898</v>
      </c>
      <c r="K805" s="106"/>
      <c r="L805" s="36">
        <v>0</v>
      </c>
      <c r="M805" s="36"/>
      <c r="N805" s="36">
        <v>0</v>
      </c>
      <c r="O805" s="37">
        <v>0</v>
      </c>
      <c r="P805" s="37">
        <v>0</v>
      </c>
      <c r="Q805" s="36"/>
      <c r="R805" s="127"/>
      <c r="S805" s="36"/>
      <c r="T805" s="36"/>
      <c r="U805" s="37"/>
      <c r="V805" s="38"/>
      <c r="W805" s="38"/>
      <c r="X805" s="39">
        <v>8.4</v>
      </c>
      <c r="Y805" s="40">
        <v>160</v>
      </c>
      <c r="Z805" s="39">
        <v>37.919550000000001</v>
      </c>
      <c r="AA805" s="41"/>
      <c r="AB805" s="36" t="s">
        <v>610</v>
      </c>
      <c r="AC805" s="42" t="s">
        <v>70</v>
      </c>
      <c r="AD805" s="28"/>
      <c r="AE805" s="18"/>
      <c r="AF805" s="18"/>
    </row>
    <row r="806" spans="1:33" x14ac:dyDescent="0.35">
      <c r="A806" s="32">
        <f t="shared" si="93"/>
        <v>804</v>
      </c>
      <c r="B806" s="35">
        <v>46137</v>
      </c>
      <c r="C806" s="35">
        <f>Table46[[#This Row],[DATE OF ARRIVAL]]</f>
        <v>46137</v>
      </c>
      <c r="D806" s="36"/>
      <c r="E806" s="36"/>
      <c r="F806" s="36" t="s">
        <v>40</v>
      </c>
      <c r="G806" s="36"/>
      <c r="H806" s="36" t="s">
        <v>404</v>
      </c>
      <c r="I806" s="36" t="s">
        <v>225</v>
      </c>
      <c r="J806" s="106" t="s">
        <v>899</v>
      </c>
      <c r="K806" s="106"/>
      <c r="L806" s="36">
        <v>0</v>
      </c>
      <c r="M806" s="36"/>
      <c r="N806" s="36">
        <v>0</v>
      </c>
      <c r="O806" s="37">
        <v>0</v>
      </c>
      <c r="P806" s="37">
        <v>0</v>
      </c>
      <c r="Q806" s="36"/>
      <c r="R806" s="127"/>
      <c r="S806" s="36"/>
      <c r="T806" s="36"/>
      <c r="U806" s="37"/>
      <c r="V806" s="38"/>
      <c r="W806" s="38"/>
      <c r="X806" s="39">
        <v>10</v>
      </c>
      <c r="Y806" s="40">
        <v>164</v>
      </c>
      <c r="Z806" s="39">
        <v>41.094209999999997</v>
      </c>
      <c r="AA806" s="41"/>
      <c r="AB806" s="36" t="s">
        <v>40</v>
      </c>
      <c r="AC806" s="42" t="s">
        <v>70</v>
      </c>
      <c r="AD806" s="28"/>
      <c r="AE806" s="18"/>
      <c r="AF806" s="18"/>
    </row>
    <row r="807" spans="1:33" x14ac:dyDescent="0.35">
      <c r="A807" s="32">
        <f t="shared" si="93"/>
        <v>805</v>
      </c>
      <c r="B807" s="35">
        <v>46137</v>
      </c>
      <c r="C807" s="35">
        <f>Table46[[#This Row],[DATE OF ARRIVAL]]</f>
        <v>46137</v>
      </c>
      <c r="D807" s="36"/>
      <c r="E807" s="36"/>
      <c r="F807" s="36" t="s">
        <v>40</v>
      </c>
      <c r="G807" s="36"/>
      <c r="H807" s="36" t="s">
        <v>399</v>
      </c>
      <c r="I807" s="36" t="s">
        <v>200</v>
      </c>
      <c r="J807" s="106" t="s">
        <v>853</v>
      </c>
      <c r="K807" s="106"/>
      <c r="L807" s="36">
        <v>0</v>
      </c>
      <c r="M807" s="36"/>
      <c r="N807" s="36">
        <v>0</v>
      </c>
      <c r="O807" s="37">
        <v>0</v>
      </c>
      <c r="P807" s="37">
        <v>0</v>
      </c>
      <c r="Q807" s="36"/>
      <c r="R807" s="127"/>
      <c r="S807" s="36"/>
      <c r="T807" s="36"/>
      <c r="U807" s="37"/>
      <c r="V807" s="38"/>
      <c r="W807" s="38"/>
      <c r="X807" s="39">
        <v>10.9</v>
      </c>
      <c r="Y807" s="40">
        <v>164</v>
      </c>
      <c r="Z807" s="39">
        <v>41.446950000000001</v>
      </c>
      <c r="AA807" s="41"/>
      <c r="AB807" s="36" t="s">
        <v>58</v>
      </c>
      <c r="AC807" s="42" t="s">
        <v>70</v>
      </c>
      <c r="AD807" s="28"/>
      <c r="AE807" s="18"/>
      <c r="AF807" s="18"/>
    </row>
    <row r="808" spans="1:33" x14ac:dyDescent="0.35">
      <c r="A808" s="32">
        <f t="shared" si="93"/>
        <v>806</v>
      </c>
      <c r="B808" s="35">
        <v>46137</v>
      </c>
      <c r="C808" s="35">
        <f>Table46[[#This Row],[DATE OF ARRIVAL]]</f>
        <v>46137</v>
      </c>
      <c r="D808" s="36"/>
      <c r="E808" s="36"/>
      <c r="F808" s="36" t="s">
        <v>40</v>
      </c>
      <c r="G808" s="36"/>
      <c r="H808" s="36" t="s">
        <v>412</v>
      </c>
      <c r="I808" s="36" t="s">
        <v>273</v>
      </c>
      <c r="J808" s="106" t="s">
        <v>900</v>
      </c>
      <c r="K808" s="106"/>
      <c r="L808" s="36">
        <v>0</v>
      </c>
      <c r="M808" s="36"/>
      <c r="N808" s="36">
        <v>0</v>
      </c>
      <c r="O808" s="37">
        <v>0</v>
      </c>
      <c r="P808" s="37">
        <v>0</v>
      </c>
      <c r="Q808" s="36"/>
      <c r="R808" s="127"/>
      <c r="S808" s="36"/>
      <c r="T808" s="36"/>
      <c r="U808" s="37"/>
      <c r="V808" s="38"/>
      <c r="W808" s="38"/>
      <c r="X808" s="39">
        <v>9.9</v>
      </c>
      <c r="Y808" s="40">
        <v>158</v>
      </c>
      <c r="Z808" s="39">
        <v>40.212359999999997</v>
      </c>
      <c r="AA808" s="41"/>
      <c r="AB808" s="36" t="s">
        <v>212</v>
      </c>
      <c r="AC808" s="42" t="s">
        <v>70</v>
      </c>
      <c r="AD808" s="28"/>
      <c r="AE808" s="18"/>
      <c r="AF808" s="18"/>
    </row>
    <row r="809" spans="1:33" x14ac:dyDescent="0.35">
      <c r="A809" s="32">
        <f t="shared" si="93"/>
        <v>807</v>
      </c>
      <c r="B809" s="35">
        <v>46137</v>
      </c>
      <c r="C809" s="35">
        <f>Table46[[#This Row],[DATE OF ARRIVAL]]</f>
        <v>46137</v>
      </c>
      <c r="D809" s="36"/>
      <c r="E809" s="36"/>
      <c r="F809" s="36" t="s">
        <v>62</v>
      </c>
      <c r="G809" s="36"/>
      <c r="H809" s="36" t="s">
        <v>901</v>
      </c>
      <c r="I809" s="36" t="s">
        <v>252</v>
      </c>
      <c r="J809" s="36" t="s">
        <v>902</v>
      </c>
      <c r="K809" s="106"/>
      <c r="L809" s="36"/>
      <c r="M809" s="36"/>
      <c r="N809" s="36"/>
      <c r="O809" s="37">
        <f t="shared" si="97"/>
        <v>0</v>
      </c>
      <c r="P809" s="37">
        <v>0</v>
      </c>
      <c r="Q809" s="36"/>
      <c r="R809" s="124">
        <v>0</v>
      </c>
      <c r="S809" s="36"/>
      <c r="T809" s="10">
        <f t="shared" si="95"/>
        <v>0</v>
      </c>
      <c r="U809" s="37">
        <f>Table46[[#This Row],[NET WT KGS]]-Table46[[#This Row],[Refraction]]</f>
        <v>0</v>
      </c>
      <c r="V809" s="38"/>
      <c r="W809" s="38">
        <f>Table46[[#This Row],[PRICE]]*Table46[[#This Row],[PAID WT]]</f>
        <v>0</v>
      </c>
      <c r="X809" s="39">
        <v>13.3</v>
      </c>
      <c r="Y809" s="40">
        <v>175</v>
      </c>
      <c r="Z809" s="39">
        <v>39.33</v>
      </c>
      <c r="AA809" s="41"/>
      <c r="AB809" s="36" t="s">
        <v>458</v>
      </c>
      <c r="AC809" s="42" t="s">
        <v>70</v>
      </c>
      <c r="AD809" s="99"/>
      <c r="AE809" s="18">
        <f>Table46[[#This Row],[MOIS.]]*Table46[[#This Row],[NET WT KGS]]</f>
        <v>0</v>
      </c>
      <c r="AF809" s="18">
        <f>Table46[[#This Row],[KOR]]*Table46[[#This Row],[NET WT KGS]]</f>
        <v>0</v>
      </c>
      <c r="AG809">
        <f>Table46[[#This Row],[NET WT KGS]]*Table46[[#This Row],[NUT COUNT]]</f>
        <v>0</v>
      </c>
    </row>
    <row r="810" spans="1:33" x14ac:dyDescent="0.35">
      <c r="A810" s="32">
        <f t="shared" si="93"/>
        <v>808</v>
      </c>
      <c r="B810" s="35">
        <v>46137</v>
      </c>
      <c r="C810" s="35">
        <f>Table46[[#This Row],[DATE OF ARRIVAL]]</f>
        <v>46137</v>
      </c>
      <c r="D810" s="36"/>
      <c r="E810" s="36"/>
      <c r="F810" s="36" t="s">
        <v>62</v>
      </c>
      <c r="G810" s="36"/>
      <c r="H810" s="36" t="s">
        <v>413</v>
      </c>
      <c r="I810" s="36" t="s">
        <v>103</v>
      </c>
      <c r="J810" s="36" t="s">
        <v>903</v>
      </c>
      <c r="K810" s="106"/>
      <c r="L810" s="36"/>
      <c r="M810" s="36"/>
      <c r="N810" s="36"/>
      <c r="O810" s="37">
        <f t="shared" si="97"/>
        <v>0</v>
      </c>
      <c r="P810" s="37">
        <v>0</v>
      </c>
      <c r="Q810" s="36"/>
      <c r="R810" s="124">
        <v>0</v>
      </c>
      <c r="S810" s="36"/>
      <c r="T810" s="10">
        <f t="shared" si="95"/>
        <v>0</v>
      </c>
      <c r="U810" s="37">
        <f>Table46[[#This Row],[NET WT KGS]]-Table46[[#This Row],[Refraction]]</f>
        <v>0</v>
      </c>
      <c r="V810" s="38"/>
      <c r="W810" s="38">
        <f>Table46[[#This Row],[PRICE]]*Table46[[#This Row],[PAID WT]]</f>
        <v>0</v>
      </c>
      <c r="X810" s="39">
        <v>11.1</v>
      </c>
      <c r="Y810" s="40">
        <v>185</v>
      </c>
      <c r="Z810" s="39">
        <v>41.53</v>
      </c>
      <c r="AA810" s="41"/>
      <c r="AB810" s="36" t="s">
        <v>415</v>
      </c>
      <c r="AC810" s="42" t="s">
        <v>70</v>
      </c>
      <c r="AD810" s="99"/>
      <c r="AE810" s="18">
        <f>Table46[[#This Row],[MOIS.]]*Table46[[#This Row],[NET WT KGS]]</f>
        <v>0</v>
      </c>
      <c r="AF810" s="18">
        <f>Table46[[#This Row],[KOR]]*Table46[[#This Row],[NET WT KGS]]</f>
        <v>0</v>
      </c>
      <c r="AG810">
        <f>Table46[[#This Row],[NET WT KGS]]*Table46[[#This Row],[NUT COUNT]]</f>
        <v>0</v>
      </c>
    </row>
    <row r="811" spans="1:33" x14ac:dyDescent="0.35">
      <c r="A811" s="32">
        <f t="shared" si="93"/>
        <v>809</v>
      </c>
      <c r="B811" s="35">
        <v>46137</v>
      </c>
      <c r="C811" s="35">
        <f>Table46[[#This Row],[DATE OF ARRIVAL]]</f>
        <v>46137</v>
      </c>
      <c r="D811" s="36"/>
      <c r="E811" s="36"/>
      <c r="F811" s="36" t="s">
        <v>62</v>
      </c>
      <c r="G811" s="36"/>
      <c r="H811" s="36" t="s">
        <v>136</v>
      </c>
      <c r="I811" s="36" t="s">
        <v>137</v>
      </c>
      <c r="J811" s="36" t="s">
        <v>904</v>
      </c>
      <c r="K811" s="106"/>
      <c r="L811" s="36"/>
      <c r="M811" s="36"/>
      <c r="N811" s="36"/>
      <c r="O811" s="37">
        <f t="shared" si="97"/>
        <v>0</v>
      </c>
      <c r="P811" s="37">
        <v>0</v>
      </c>
      <c r="Q811" s="36"/>
      <c r="R811" s="124">
        <v>0</v>
      </c>
      <c r="S811" s="36"/>
      <c r="T811" s="10">
        <f t="shared" si="95"/>
        <v>0</v>
      </c>
      <c r="U811" s="37">
        <f>Table46[[#This Row],[NET WT KGS]]-Table46[[#This Row],[Refraction]]</f>
        <v>0</v>
      </c>
      <c r="V811" s="38"/>
      <c r="W811" s="38">
        <f>Table46[[#This Row],[PRICE]]*Table46[[#This Row],[PAID WT]]</f>
        <v>0</v>
      </c>
      <c r="X811" s="39">
        <v>11.1</v>
      </c>
      <c r="Y811" s="40">
        <v>190</v>
      </c>
      <c r="Z811" s="39">
        <v>40.380000000000003</v>
      </c>
      <c r="AA811" s="41"/>
      <c r="AB811" s="36" t="s">
        <v>703</v>
      </c>
      <c r="AC811" s="42" t="s">
        <v>70</v>
      </c>
      <c r="AD811" s="99"/>
      <c r="AE811" s="18">
        <f>Table46[[#This Row],[MOIS.]]*Table46[[#This Row],[NET WT KGS]]</f>
        <v>0</v>
      </c>
      <c r="AF811" s="18">
        <f>Table46[[#This Row],[KOR]]*Table46[[#This Row],[NET WT KGS]]</f>
        <v>0</v>
      </c>
      <c r="AG811">
        <f>Table46[[#This Row],[NET WT KGS]]*Table46[[#This Row],[NUT COUNT]]</f>
        <v>0</v>
      </c>
    </row>
    <row r="812" spans="1:33" x14ac:dyDescent="0.35">
      <c r="A812" s="32">
        <f t="shared" si="93"/>
        <v>810</v>
      </c>
      <c r="B812" s="35">
        <v>46137</v>
      </c>
      <c r="C812" s="35">
        <f>Table46[[#This Row],[DATE OF ARRIVAL]]</f>
        <v>46137</v>
      </c>
      <c r="D812" s="36"/>
      <c r="E812" s="36"/>
      <c r="F812" s="36" t="s">
        <v>62</v>
      </c>
      <c r="G812" s="36"/>
      <c r="H812" s="36" t="s">
        <v>684</v>
      </c>
      <c r="I812" s="36" t="s">
        <v>325</v>
      </c>
      <c r="J812" s="36" t="s">
        <v>905</v>
      </c>
      <c r="K812" s="106"/>
      <c r="L812" s="36"/>
      <c r="M812" s="36"/>
      <c r="N812" s="36"/>
      <c r="O812" s="37">
        <f t="shared" si="97"/>
        <v>0</v>
      </c>
      <c r="P812" s="37">
        <v>0</v>
      </c>
      <c r="Q812" s="36"/>
      <c r="R812" s="124">
        <v>0</v>
      </c>
      <c r="S812" s="36"/>
      <c r="T812" s="10">
        <f t="shared" si="95"/>
        <v>0</v>
      </c>
      <c r="U812" s="37">
        <f>Table46[[#This Row],[NET WT KGS]]-Table46[[#This Row],[Refraction]]</f>
        <v>0</v>
      </c>
      <c r="V812" s="38"/>
      <c r="W812" s="38">
        <f>Table46[[#This Row],[PRICE]]*Table46[[#This Row],[PAID WT]]</f>
        <v>0</v>
      </c>
      <c r="X812" s="39">
        <v>12.6</v>
      </c>
      <c r="Y812" s="40">
        <v>152</v>
      </c>
      <c r="Z812" s="39">
        <v>41.44</v>
      </c>
      <c r="AA812" s="41"/>
      <c r="AB812" s="36" t="s">
        <v>40</v>
      </c>
      <c r="AC812" s="42" t="s">
        <v>70</v>
      </c>
      <c r="AD812" s="99"/>
      <c r="AE812" s="18">
        <f>Table46[[#This Row],[MOIS.]]*Table46[[#This Row],[NET WT KGS]]</f>
        <v>0</v>
      </c>
      <c r="AF812" s="18">
        <f>Table46[[#This Row],[KOR]]*Table46[[#This Row],[NET WT KGS]]</f>
        <v>0</v>
      </c>
      <c r="AG812">
        <f>Table46[[#This Row],[NET WT KGS]]*Table46[[#This Row],[NUT COUNT]]</f>
        <v>0</v>
      </c>
    </row>
    <row r="813" spans="1:33" x14ac:dyDescent="0.35">
      <c r="A813" s="32">
        <f t="shared" si="93"/>
        <v>811</v>
      </c>
      <c r="B813" s="35">
        <v>46137</v>
      </c>
      <c r="C813" s="35">
        <f>Table46[[#This Row],[DATE OF ARRIVAL]]</f>
        <v>46137</v>
      </c>
      <c r="D813" s="36"/>
      <c r="E813" s="36"/>
      <c r="F813" s="36" t="s">
        <v>62</v>
      </c>
      <c r="G813" s="36"/>
      <c r="H813" s="36" t="s">
        <v>684</v>
      </c>
      <c r="I813" s="36" t="s">
        <v>325</v>
      </c>
      <c r="J813" s="36" t="s">
        <v>906</v>
      </c>
      <c r="K813" s="106"/>
      <c r="L813" s="36"/>
      <c r="M813" s="36"/>
      <c r="N813" s="36"/>
      <c r="O813" s="37">
        <f t="shared" si="97"/>
        <v>0</v>
      </c>
      <c r="P813" s="37">
        <v>0</v>
      </c>
      <c r="Q813" s="36"/>
      <c r="R813" s="124">
        <v>0</v>
      </c>
      <c r="S813" s="36"/>
      <c r="T813" s="10">
        <f t="shared" si="95"/>
        <v>0</v>
      </c>
      <c r="U813" s="37">
        <f>Table46[[#This Row],[NET WT KGS]]-Table46[[#This Row],[Refraction]]</f>
        <v>0</v>
      </c>
      <c r="V813" s="38"/>
      <c r="W813" s="38">
        <f>Table46[[#This Row],[PRICE]]*Table46[[#This Row],[PAID WT]]</f>
        <v>0</v>
      </c>
      <c r="X813" s="39">
        <v>17.8</v>
      </c>
      <c r="Y813" s="40">
        <v>163</v>
      </c>
      <c r="Z813" s="39">
        <v>41.53</v>
      </c>
      <c r="AA813" s="41"/>
      <c r="AB813" s="36" t="s">
        <v>40</v>
      </c>
      <c r="AC813" s="42" t="s">
        <v>70</v>
      </c>
      <c r="AD813" s="99"/>
      <c r="AE813" s="18">
        <f>Table46[[#This Row],[MOIS.]]*Table46[[#This Row],[NET WT KGS]]</f>
        <v>0</v>
      </c>
      <c r="AF813" s="18">
        <f>Table46[[#This Row],[KOR]]*Table46[[#This Row],[NET WT KGS]]</f>
        <v>0</v>
      </c>
      <c r="AG813">
        <f>Table46[[#This Row],[NET WT KGS]]*Table46[[#This Row],[NUT COUNT]]</f>
        <v>0</v>
      </c>
    </row>
    <row r="814" spans="1:33" x14ac:dyDescent="0.35">
      <c r="A814" s="32">
        <f t="shared" si="93"/>
        <v>812</v>
      </c>
      <c r="B814" s="35">
        <v>46138</v>
      </c>
      <c r="C814" s="35">
        <f>Table46[[#This Row],[DATE OF ARRIVAL]]</f>
        <v>46138</v>
      </c>
      <c r="D814" s="36"/>
      <c r="E814" s="36"/>
      <c r="F814" s="36" t="s">
        <v>40</v>
      </c>
      <c r="G814" s="36"/>
      <c r="H814" s="36" t="s">
        <v>338</v>
      </c>
      <c r="I814" s="36" t="s">
        <v>317</v>
      </c>
      <c r="J814" s="36" t="s">
        <v>907</v>
      </c>
      <c r="K814" s="106"/>
      <c r="L814" s="36"/>
      <c r="M814" s="36"/>
      <c r="N814" s="36"/>
      <c r="O814" s="37"/>
      <c r="P814" s="37"/>
      <c r="Q814" s="36"/>
      <c r="R814" s="124"/>
      <c r="S814" s="36"/>
      <c r="T814" s="10"/>
      <c r="U814" s="37"/>
      <c r="V814" s="38"/>
      <c r="W814" s="38"/>
      <c r="X814" s="39">
        <v>12.9</v>
      </c>
      <c r="Y814" s="40">
        <v>167</v>
      </c>
      <c r="Z814" s="39">
        <v>40.212359999999997</v>
      </c>
      <c r="AA814" s="41"/>
      <c r="AB814" s="36" t="s">
        <v>284</v>
      </c>
      <c r="AC814" s="42" t="s">
        <v>70</v>
      </c>
      <c r="AD814" s="99"/>
      <c r="AE814" s="18"/>
      <c r="AF814" s="18"/>
    </row>
    <row r="815" spans="1:33" x14ac:dyDescent="0.35">
      <c r="A815" s="32">
        <f t="shared" si="93"/>
        <v>813</v>
      </c>
      <c r="B815" s="20">
        <v>46133</v>
      </c>
      <c r="C815" s="20">
        <v>46138</v>
      </c>
      <c r="D815" s="10" t="s">
        <v>38</v>
      </c>
      <c r="E815" s="10" t="s">
        <v>258</v>
      </c>
      <c r="F815" s="50" t="s">
        <v>62</v>
      </c>
      <c r="G815" s="10"/>
      <c r="H815" s="10" t="s">
        <v>821</v>
      </c>
      <c r="I815" s="50" t="str">
        <f>VLOOKUP(Table46[[#This Row],[SUPPLIERS NAME]],[1]AGING!X$3:Y$80,2,)</f>
        <v>DIS-035-SNC</v>
      </c>
      <c r="J815" s="10" t="s">
        <v>822</v>
      </c>
      <c r="K815" s="107" t="s">
        <v>823</v>
      </c>
      <c r="L815" s="10">
        <v>725</v>
      </c>
      <c r="M815" s="66">
        <f>VLOOKUP(Table46[[#This Row],[REF.]],'[2]RCN INWARD FACTORY YAKRO 2026'!$F$4:$M$257,8,0)</f>
        <v>36095</v>
      </c>
      <c r="N815" s="10">
        <v>481</v>
      </c>
      <c r="O815" s="22">
        <v>40250</v>
      </c>
      <c r="P815" s="51">
        <f>Table46[[#This Row],[GROSS WT KGS]]-Table46[[#This Row],[SACS]]</f>
        <v>39769</v>
      </c>
      <c r="Q815" s="10">
        <f>Table46[[#This Row],[SACS]]-Table46[[#This Row],[Refraction]]</f>
        <v>273</v>
      </c>
      <c r="R815" s="124">
        <v>26</v>
      </c>
      <c r="S815" s="10">
        <v>0</v>
      </c>
      <c r="T815" s="10">
        <f t="shared" si="95"/>
        <v>208</v>
      </c>
      <c r="U815" s="22">
        <f>Table46[[#This Row],[NET WT KGS]]-Table46[[#This Row],[Refraction]]</f>
        <v>39561</v>
      </c>
      <c r="V815" s="23">
        <v>515</v>
      </c>
      <c r="W815" s="23">
        <f>Table46[[#This Row],[PRICE]]*Table46[[#This Row],[PAID WT]]</f>
        <v>20373915</v>
      </c>
      <c r="X815" s="24">
        <v>11.8</v>
      </c>
      <c r="Y815" s="25">
        <v>168</v>
      </c>
      <c r="Z815" s="24">
        <v>42.59</v>
      </c>
      <c r="AA815" s="26"/>
      <c r="AB815" s="10" t="s">
        <v>458</v>
      </c>
      <c r="AC815" s="27"/>
      <c r="AD815" s="28"/>
      <c r="AE815" s="18">
        <f>Table46[[#This Row],[MOIS.]]*Table46[[#This Row],[NET WT KGS]]</f>
        <v>469274.2</v>
      </c>
      <c r="AF815" s="18">
        <f>Table46[[#This Row],[KOR]]*Table46[[#This Row],[NET WT KGS]]</f>
        <v>1693761.7100000002</v>
      </c>
      <c r="AG815">
        <f>Table46[[#This Row],[NET WT KGS]]*Table46[[#This Row],[NUT COUNT]]</f>
        <v>6681192</v>
      </c>
    </row>
    <row r="816" spans="1:33" x14ac:dyDescent="0.35">
      <c r="A816" s="32">
        <f t="shared" si="93"/>
        <v>814</v>
      </c>
      <c r="B816" s="20">
        <v>46136</v>
      </c>
      <c r="C816" s="20">
        <v>46138</v>
      </c>
      <c r="D816" s="10" t="s">
        <v>38</v>
      </c>
      <c r="E816" s="10" t="s">
        <v>39</v>
      </c>
      <c r="F816" s="50" t="s">
        <v>62</v>
      </c>
      <c r="G816" s="10"/>
      <c r="H816" s="10" t="s">
        <v>684</v>
      </c>
      <c r="I816" s="50" t="str">
        <f>VLOOKUP(Table46[[#This Row],[SUPPLIERS NAME]],[1]AGING!X$3:Y$80,2,)</f>
        <v>LBA-021-SAN</v>
      </c>
      <c r="J816" s="10" t="s">
        <v>908</v>
      </c>
      <c r="K816" s="121"/>
      <c r="L816" s="10">
        <v>726</v>
      </c>
      <c r="M816" s="66">
        <f>VLOOKUP(Table46[[#This Row],[REF.]],'[2]RCN INWARD FACTORY YAKRO 2026'!$F$4:$M$257,8,0)</f>
        <v>87648</v>
      </c>
      <c r="N816" s="10">
        <v>497</v>
      </c>
      <c r="O816" s="22">
        <v>41880</v>
      </c>
      <c r="P816" s="51">
        <f>Table46[[#This Row],[GROSS WT KGS]]-Table46[[#This Row],[SACS]]</f>
        <v>41383</v>
      </c>
      <c r="Q816" s="10">
        <v>487</v>
      </c>
      <c r="R816" s="124">
        <v>10</v>
      </c>
      <c r="S816" s="10">
        <v>0</v>
      </c>
      <c r="T816" s="10">
        <f t="shared" si="95"/>
        <v>80</v>
      </c>
      <c r="U816" s="22">
        <f>Table46[[#This Row],[NET WT KGS]]-Table46[[#This Row],[Refraction]]</f>
        <v>41303</v>
      </c>
      <c r="V816" s="23">
        <v>510</v>
      </c>
      <c r="W816" s="23">
        <f>Table46[[#This Row],[PRICE]]*Table46[[#This Row],[PAID WT]]</f>
        <v>21064530</v>
      </c>
      <c r="X816" s="24">
        <v>10.8</v>
      </c>
      <c r="Y816" s="25">
        <v>175</v>
      </c>
      <c r="Z816" s="24">
        <v>43.65</v>
      </c>
      <c r="AA816" s="26"/>
      <c r="AB816" s="10" t="s">
        <v>358</v>
      </c>
      <c r="AC816" s="27" t="s">
        <v>720</v>
      </c>
      <c r="AD816" s="28"/>
      <c r="AE816" s="18">
        <f>Table46[[#This Row],[MOIS.]]*Table46[[#This Row],[NET WT KGS]]</f>
        <v>446936.4</v>
      </c>
      <c r="AF816" s="18">
        <f>Table46[[#This Row],[KOR]]*Table46[[#This Row],[NET WT KGS]]</f>
        <v>1806367.95</v>
      </c>
      <c r="AG816">
        <f>Table46[[#This Row],[NET WT KGS]]*Table46[[#This Row],[NUT COUNT]]</f>
        <v>7242025</v>
      </c>
    </row>
    <row r="817" spans="1:33" x14ac:dyDescent="0.35">
      <c r="A817" s="32">
        <f t="shared" si="93"/>
        <v>815</v>
      </c>
      <c r="B817" s="20">
        <v>46137</v>
      </c>
      <c r="C817" s="20">
        <v>46138</v>
      </c>
      <c r="D817" s="10" t="s">
        <v>38</v>
      </c>
      <c r="E817" s="10" t="s">
        <v>258</v>
      </c>
      <c r="F817" s="50" t="s">
        <v>40</v>
      </c>
      <c r="G817" s="10" t="s">
        <v>350</v>
      </c>
      <c r="H817" s="10" t="s">
        <v>381</v>
      </c>
      <c r="I817" s="50" t="str">
        <f>VLOOKUP(Table46[[#This Row],[SUPPLIERS NAME]],[1]AGING!X$3:Y$80,2,)</f>
        <v>DIS-017-MAS</v>
      </c>
      <c r="J817" s="10" t="s">
        <v>282</v>
      </c>
      <c r="K817" s="57" t="s">
        <v>524</v>
      </c>
      <c r="L817" s="10">
        <v>361</v>
      </c>
      <c r="M817" s="10">
        <v>34489</v>
      </c>
      <c r="N817" s="10">
        <v>496</v>
      </c>
      <c r="O817" s="22">
        <f t="shared" ref="O817:O833" si="98">P817+N817</f>
        <v>40600</v>
      </c>
      <c r="P817" s="22">
        <v>40104</v>
      </c>
      <c r="Q817" s="10">
        <v>471</v>
      </c>
      <c r="R817" s="124">
        <v>0</v>
      </c>
      <c r="S817" s="10">
        <v>25</v>
      </c>
      <c r="T817" s="10">
        <f t="shared" si="95"/>
        <v>100</v>
      </c>
      <c r="U817" s="22">
        <f>Table46[[#This Row],[NET WT KGS]]-Table46[[#This Row],[Refraction]]</f>
        <v>40004</v>
      </c>
      <c r="V817" s="23">
        <v>495</v>
      </c>
      <c r="W817" s="23">
        <f>Table46[[#This Row],[PRICE]]*Table46[[#This Row],[PAID WT]]</f>
        <v>19801980</v>
      </c>
      <c r="X817" s="24">
        <v>10.5</v>
      </c>
      <c r="Y817" s="25">
        <v>162</v>
      </c>
      <c r="Z817" s="24">
        <v>42.15</v>
      </c>
      <c r="AA817" s="26"/>
      <c r="AB817" s="10" t="s">
        <v>178</v>
      </c>
      <c r="AC817" s="27"/>
      <c r="AD817" s="28"/>
      <c r="AE817" s="18">
        <f>Table46[[#This Row],[MOIS.]]*Table46[[#This Row],[NET WT KGS]]</f>
        <v>421092</v>
      </c>
      <c r="AF817" s="18">
        <f>Table46[[#This Row],[KOR]]*Table46[[#This Row],[NET WT KGS]]</f>
        <v>1690383.5999999999</v>
      </c>
      <c r="AG817">
        <f>Table46[[#This Row],[NET WT KGS]]*Table46[[#This Row],[NUT COUNT]]</f>
        <v>6496848</v>
      </c>
    </row>
    <row r="818" spans="1:33" x14ac:dyDescent="0.35">
      <c r="A818" s="32">
        <f t="shared" si="93"/>
        <v>816</v>
      </c>
      <c r="B818" s="20">
        <v>46137</v>
      </c>
      <c r="C818" s="20">
        <v>46138</v>
      </c>
      <c r="D818" s="10" t="s">
        <v>38</v>
      </c>
      <c r="E818" s="10" t="s">
        <v>39</v>
      </c>
      <c r="F818" s="50" t="s">
        <v>40</v>
      </c>
      <c r="G818" s="10" t="s">
        <v>350</v>
      </c>
      <c r="H818" s="50" t="s">
        <v>280</v>
      </c>
      <c r="I818" s="50" t="str">
        <f>VLOOKUP(Table46[[#This Row],[SUPPLIERS NAME]],[1]AGING!X$3:Y$80,2,)</f>
        <v>LBA-016-NOU</v>
      </c>
      <c r="J818" s="10" t="s">
        <v>832</v>
      </c>
      <c r="K818" s="21" t="s">
        <v>283</v>
      </c>
      <c r="L818" s="10">
        <v>362</v>
      </c>
      <c r="M818" s="10">
        <v>18441</v>
      </c>
      <c r="N818" s="10">
        <v>529</v>
      </c>
      <c r="O818" s="22">
        <f t="shared" si="98"/>
        <v>42520</v>
      </c>
      <c r="P818" s="22">
        <v>41991</v>
      </c>
      <c r="Q818" s="10">
        <v>516</v>
      </c>
      <c r="R818" s="124">
        <v>0</v>
      </c>
      <c r="S818" s="10">
        <v>13</v>
      </c>
      <c r="T818" s="10">
        <f t="shared" si="95"/>
        <v>52</v>
      </c>
      <c r="U818" s="22">
        <f>Table46[[#This Row],[NET WT KGS]]-Table46[[#This Row],[Refraction]]</f>
        <v>41939</v>
      </c>
      <c r="V818" s="23">
        <v>495</v>
      </c>
      <c r="W818" s="23">
        <f>Table46[[#This Row],[PRICE]]*Table46[[#This Row],[PAID WT]]</f>
        <v>20759805</v>
      </c>
      <c r="X818" s="24">
        <v>10.199999999999999</v>
      </c>
      <c r="Y818" s="25">
        <v>160</v>
      </c>
      <c r="Z818" s="24">
        <v>41.09</v>
      </c>
      <c r="AA818" s="26"/>
      <c r="AB818" s="10" t="s">
        <v>284</v>
      </c>
      <c r="AC818" s="27"/>
      <c r="AD818" s="28"/>
      <c r="AE818" s="18">
        <f>Table46[[#This Row],[MOIS.]]*Table46[[#This Row],[NET WT KGS]]</f>
        <v>428308.19999999995</v>
      </c>
      <c r="AF818" s="18">
        <f>Table46[[#This Row],[KOR]]*Table46[[#This Row],[NET WT KGS]]</f>
        <v>1725410.1900000002</v>
      </c>
      <c r="AG818">
        <f>Table46[[#This Row],[NET WT KGS]]*Table46[[#This Row],[NUT COUNT]]</f>
        <v>6718560</v>
      </c>
    </row>
    <row r="819" spans="1:33" x14ac:dyDescent="0.35">
      <c r="A819" s="32">
        <f t="shared" si="93"/>
        <v>817</v>
      </c>
      <c r="B819" s="20">
        <v>46137</v>
      </c>
      <c r="C819" s="20">
        <v>46138</v>
      </c>
      <c r="D819" s="10" t="s">
        <v>38</v>
      </c>
      <c r="E819" s="10" t="s">
        <v>39</v>
      </c>
      <c r="F819" s="50" t="s">
        <v>40</v>
      </c>
      <c r="G819" s="10" t="s">
        <v>350</v>
      </c>
      <c r="H819" s="10" t="s">
        <v>202</v>
      </c>
      <c r="I819" s="50" t="str">
        <f>VLOOKUP(Table46[[#This Row],[SUPPLIERS NAME]],[1]AGING!X$3:Y$80,2,)</f>
        <v>LBA-012-KPE</v>
      </c>
      <c r="J819" s="10" t="s">
        <v>909</v>
      </c>
      <c r="K819" s="33" t="s">
        <v>205</v>
      </c>
      <c r="L819" s="10">
        <v>364</v>
      </c>
      <c r="M819" s="10">
        <v>32758</v>
      </c>
      <c r="N819" s="10">
        <v>218</v>
      </c>
      <c r="O819" s="22">
        <f t="shared" si="98"/>
        <v>19420</v>
      </c>
      <c r="P819" s="22">
        <v>19202</v>
      </c>
      <c r="Q819" s="10">
        <v>203</v>
      </c>
      <c r="R819" s="124">
        <v>15</v>
      </c>
      <c r="S819" s="10">
        <v>0</v>
      </c>
      <c r="T819" s="10">
        <f t="shared" si="95"/>
        <v>120</v>
      </c>
      <c r="U819" s="22">
        <f>Table46[[#This Row],[NET WT KGS]]-Table46[[#This Row],[Refraction]]</f>
        <v>19082</v>
      </c>
      <c r="V819" s="23">
        <v>495</v>
      </c>
      <c r="W819" s="23">
        <f>Table46[[#This Row],[PRICE]]*Table46[[#This Row],[PAID WT]]</f>
        <v>9445590</v>
      </c>
      <c r="X819" s="24">
        <v>11.9</v>
      </c>
      <c r="Y819" s="25">
        <v>164</v>
      </c>
      <c r="Z819" s="24">
        <v>41.97</v>
      </c>
      <c r="AA819" s="26"/>
      <c r="AB819" s="10" t="s">
        <v>40</v>
      </c>
      <c r="AC819" s="27"/>
      <c r="AD819" s="28"/>
      <c r="AE819" s="18">
        <f>Table46[[#This Row],[MOIS.]]*Table46[[#This Row],[NET WT KGS]]</f>
        <v>228503.80000000002</v>
      </c>
      <c r="AF819" s="18">
        <f>Table46[[#This Row],[KOR]]*Table46[[#This Row],[NET WT KGS]]</f>
        <v>805907.94</v>
      </c>
      <c r="AG819">
        <f>Table46[[#This Row],[NET WT KGS]]*Table46[[#This Row],[NUT COUNT]]</f>
        <v>3149128</v>
      </c>
    </row>
    <row r="820" spans="1:33" x14ac:dyDescent="0.35">
      <c r="A820" s="32">
        <f t="shared" si="93"/>
        <v>818</v>
      </c>
      <c r="B820" s="20">
        <v>46137</v>
      </c>
      <c r="C820" s="20">
        <v>46138</v>
      </c>
      <c r="D820" s="10" t="s">
        <v>38</v>
      </c>
      <c r="E820" s="10" t="s">
        <v>39</v>
      </c>
      <c r="F820" s="50" t="s">
        <v>40</v>
      </c>
      <c r="G820" s="10" t="s">
        <v>350</v>
      </c>
      <c r="H820" s="10" t="s">
        <v>154</v>
      </c>
      <c r="I820" s="50" t="str">
        <f>VLOOKUP(Table46[[#This Row],[SUPPLIERS NAME]],[1]AGING!X$3:Y$80,2,)</f>
        <v>LBA-010-CAP</v>
      </c>
      <c r="J820" s="10" t="s">
        <v>311</v>
      </c>
      <c r="K820" s="33" t="s">
        <v>157</v>
      </c>
      <c r="L820" s="10">
        <v>363</v>
      </c>
      <c r="M820" s="10">
        <v>87096</v>
      </c>
      <c r="N820" s="10">
        <v>405</v>
      </c>
      <c r="O820" s="22">
        <f t="shared" si="98"/>
        <v>33960</v>
      </c>
      <c r="P820" s="22">
        <v>33555</v>
      </c>
      <c r="Q820" s="10">
        <v>393</v>
      </c>
      <c r="R820" s="124">
        <v>0</v>
      </c>
      <c r="S820" s="10">
        <v>12</v>
      </c>
      <c r="T820" s="10">
        <f t="shared" si="95"/>
        <v>48</v>
      </c>
      <c r="U820" s="22">
        <f>Table46[[#This Row],[NET WT KGS]]-Table46[[#This Row],[Refraction]]</f>
        <v>33507</v>
      </c>
      <c r="V820" s="23">
        <v>495</v>
      </c>
      <c r="W820" s="23">
        <f>Table46[[#This Row],[PRICE]]*Table46[[#This Row],[PAID WT]]</f>
        <v>16585965</v>
      </c>
      <c r="X820" s="24">
        <v>10.3</v>
      </c>
      <c r="Y820" s="25">
        <v>165</v>
      </c>
      <c r="Z820" s="24">
        <v>41.79</v>
      </c>
      <c r="AA820" s="26"/>
      <c r="AB820" s="10" t="s">
        <v>58</v>
      </c>
      <c r="AC820" s="27"/>
      <c r="AD820" s="28"/>
      <c r="AE820" s="18">
        <f>Table46[[#This Row],[MOIS.]]*Table46[[#This Row],[NET WT KGS]]</f>
        <v>345616.5</v>
      </c>
      <c r="AF820" s="18">
        <f>Table46[[#This Row],[KOR]]*Table46[[#This Row],[NET WT KGS]]</f>
        <v>1402263.45</v>
      </c>
      <c r="AG820">
        <f>Table46[[#This Row],[NET WT KGS]]*Table46[[#This Row],[NUT COUNT]]</f>
        <v>5536575</v>
      </c>
    </row>
    <row r="821" spans="1:33" x14ac:dyDescent="0.35">
      <c r="A821" s="32">
        <f t="shared" si="93"/>
        <v>819</v>
      </c>
      <c r="B821" s="91">
        <v>46138</v>
      </c>
      <c r="C821" s="35">
        <f>Table46[[#This Row],[DATE OF ARRIVAL]]</f>
        <v>46138</v>
      </c>
      <c r="D821" s="74"/>
      <c r="E821" s="74"/>
      <c r="F821" s="36" t="s">
        <v>62</v>
      </c>
      <c r="G821" s="74"/>
      <c r="H821" s="74" t="s">
        <v>584</v>
      </c>
      <c r="I821" s="74" t="s">
        <v>165</v>
      </c>
      <c r="J821" s="74" t="s">
        <v>910</v>
      </c>
      <c r="K821" s="106"/>
      <c r="L821" s="74"/>
      <c r="M821" s="74"/>
      <c r="N821" s="74"/>
      <c r="O821" s="79">
        <f t="shared" si="98"/>
        <v>0</v>
      </c>
      <c r="P821" s="79"/>
      <c r="Q821" s="74"/>
      <c r="R821" s="124">
        <v>0</v>
      </c>
      <c r="S821" s="74"/>
      <c r="T821" s="10">
        <f t="shared" si="95"/>
        <v>0</v>
      </c>
      <c r="U821" s="79">
        <f>Table46[[#This Row],[NET WT KGS]]-Table46[[#This Row],[Refraction]]</f>
        <v>0</v>
      </c>
      <c r="V821" s="81"/>
      <c r="W821" s="81">
        <f>Table46[[#This Row],[PRICE]]*Table46[[#This Row],[PAID WT]]</f>
        <v>0</v>
      </c>
      <c r="X821" s="82">
        <v>12.4</v>
      </c>
      <c r="Y821" s="83">
        <v>179</v>
      </c>
      <c r="Z821" s="82">
        <v>40.119999999999997</v>
      </c>
      <c r="AA821" s="84"/>
      <c r="AB821" s="74" t="s">
        <v>351</v>
      </c>
      <c r="AC821" s="42" t="s">
        <v>70</v>
      </c>
      <c r="AD821" s="98"/>
      <c r="AE821" s="18">
        <f>Table46[[#This Row],[MOIS.]]*Table46[[#This Row],[NET WT KGS]]</f>
        <v>0</v>
      </c>
      <c r="AF821" s="18">
        <f>Table46[[#This Row],[KOR]]*Table46[[#This Row],[NET WT KGS]]</f>
        <v>0</v>
      </c>
      <c r="AG821">
        <f>Table46[[#This Row],[NET WT KGS]]*Table46[[#This Row],[NUT COUNT]]</f>
        <v>0</v>
      </c>
    </row>
    <row r="822" spans="1:33" x14ac:dyDescent="0.35">
      <c r="A822" s="32">
        <f t="shared" si="93"/>
        <v>820</v>
      </c>
      <c r="B822" s="91">
        <v>46139</v>
      </c>
      <c r="C822" s="35">
        <f>Table46[[#This Row],[DATE OF ARRIVAL]]</f>
        <v>46139</v>
      </c>
      <c r="D822" s="74"/>
      <c r="E822" s="74"/>
      <c r="F822" s="36" t="s">
        <v>62</v>
      </c>
      <c r="G822" s="74"/>
      <c r="H822" s="74" t="s">
        <v>687</v>
      </c>
      <c r="I822" s="74" t="str">
        <f>VLOOKUP(Table46[[#This Row],[SUPPLIERS NAME]],[1]AGING!X$3:Y$80,2,)</f>
        <v>DIS-025-SIM</v>
      </c>
      <c r="J822" s="74" t="s">
        <v>527</v>
      </c>
      <c r="K822" s="106"/>
      <c r="L822" s="74"/>
      <c r="M822" s="74"/>
      <c r="N822" s="74"/>
      <c r="O822" s="79">
        <f t="shared" si="98"/>
        <v>0</v>
      </c>
      <c r="P822" s="79"/>
      <c r="Q822" s="74"/>
      <c r="R822" s="124"/>
      <c r="S822" s="74"/>
      <c r="T822" s="10"/>
      <c r="U822" s="79">
        <f>Table46[[#This Row],[NET WT KGS]]-Table46[[#This Row],[Refraction]]</f>
        <v>0</v>
      </c>
      <c r="V822" s="81"/>
      <c r="W822" s="81">
        <f>Table46[[#This Row],[PRICE]]*Table46[[#This Row],[PAID WT]]</f>
        <v>0</v>
      </c>
      <c r="X822" s="82">
        <v>14</v>
      </c>
      <c r="Y822" s="83">
        <v>182</v>
      </c>
      <c r="Z822" s="82">
        <v>40.56</v>
      </c>
      <c r="AA822" s="84"/>
      <c r="AB822" s="74" t="s">
        <v>398</v>
      </c>
      <c r="AC822" s="92" t="s">
        <v>70</v>
      </c>
      <c r="AD822" s="98"/>
      <c r="AE822" s="18">
        <f>Table46[[#This Row],[MOIS.]]*Table46[[#This Row],[NET WT KGS]]</f>
        <v>0</v>
      </c>
      <c r="AF822" s="18">
        <f>Table46[[#This Row],[KOR]]*Table46[[#This Row],[NET WT KGS]]</f>
        <v>0</v>
      </c>
      <c r="AG822">
        <f>Table46[[#This Row],[NET WT KGS]]*Table46[[#This Row],[NUT COUNT]]</f>
        <v>0</v>
      </c>
    </row>
    <row r="823" spans="1:33" x14ac:dyDescent="0.35">
      <c r="A823" s="32">
        <f t="shared" si="93"/>
        <v>821</v>
      </c>
      <c r="B823" s="91">
        <v>46139</v>
      </c>
      <c r="C823" s="35">
        <f>Table46[[#This Row],[DATE OF ARRIVAL]]</f>
        <v>46139</v>
      </c>
      <c r="D823" s="74"/>
      <c r="E823" s="74"/>
      <c r="F823" s="36" t="s">
        <v>62</v>
      </c>
      <c r="G823" s="74"/>
      <c r="H823" s="36" t="s">
        <v>783</v>
      </c>
      <c r="I823" s="74" t="str">
        <f>VLOOKUP(Table46[[#This Row],[SUPPLIERS NAME]],[1]AGING!X$3:Y$80,2,)</f>
        <v>DIS-034-OCE</v>
      </c>
      <c r="J823" s="74" t="s">
        <v>911</v>
      </c>
      <c r="K823" s="106"/>
      <c r="L823" s="74"/>
      <c r="M823" s="74"/>
      <c r="N823" s="74"/>
      <c r="O823" s="79">
        <f t="shared" si="98"/>
        <v>0</v>
      </c>
      <c r="P823" s="79"/>
      <c r="Q823" s="74"/>
      <c r="R823" s="124"/>
      <c r="S823" s="74"/>
      <c r="T823" s="10"/>
      <c r="U823" s="79">
        <f>Table46[[#This Row],[NET WT KGS]]-Table46[[#This Row],[Refraction]]</f>
        <v>0</v>
      </c>
      <c r="V823" s="81"/>
      <c r="W823" s="81">
        <f>Table46[[#This Row],[PRICE]]*Table46[[#This Row],[PAID WT]]</f>
        <v>0</v>
      </c>
      <c r="X823" s="82">
        <v>12.5</v>
      </c>
      <c r="Y823" s="83">
        <v>169</v>
      </c>
      <c r="Z823" s="82">
        <v>40.909999999999997</v>
      </c>
      <c r="AA823" s="84"/>
      <c r="AB823" s="74" t="s">
        <v>415</v>
      </c>
      <c r="AC823" s="92" t="s">
        <v>70</v>
      </c>
      <c r="AD823" s="98"/>
      <c r="AE823" s="18">
        <f>Table46[[#This Row],[MOIS.]]*Table46[[#This Row],[NET WT KGS]]</f>
        <v>0</v>
      </c>
      <c r="AF823" s="18">
        <f>Table46[[#This Row],[KOR]]*Table46[[#This Row],[NET WT KGS]]</f>
        <v>0</v>
      </c>
      <c r="AG823">
        <f>Table46[[#This Row],[NET WT KGS]]*Table46[[#This Row],[NUT COUNT]]</f>
        <v>0</v>
      </c>
    </row>
    <row r="824" spans="1:33" x14ac:dyDescent="0.35">
      <c r="A824" s="32">
        <f t="shared" si="93"/>
        <v>822</v>
      </c>
      <c r="B824" s="91">
        <v>46139</v>
      </c>
      <c r="C824" s="35">
        <f>Table46[[#This Row],[DATE OF ARRIVAL]]</f>
        <v>46139</v>
      </c>
      <c r="D824" s="74"/>
      <c r="E824" s="74"/>
      <c r="F824" s="36" t="s">
        <v>62</v>
      </c>
      <c r="G824" s="74"/>
      <c r="H824" s="74" t="s">
        <v>724</v>
      </c>
      <c r="I824" s="74" t="str">
        <f>VLOOKUP(Table46[[#This Row],[SUPPLIERS NAME]],[1]AGING!X$3:Y$80,2,)</f>
        <v>DIS-029-CPA</v>
      </c>
      <c r="J824" s="74" t="s">
        <v>766</v>
      </c>
      <c r="K824" s="106"/>
      <c r="L824" s="74"/>
      <c r="M824" s="74"/>
      <c r="N824" s="74"/>
      <c r="O824" s="79">
        <f t="shared" si="98"/>
        <v>0</v>
      </c>
      <c r="P824" s="79"/>
      <c r="Q824" s="74"/>
      <c r="R824" s="124"/>
      <c r="S824" s="74"/>
      <c r="T824" s="10"/>
      <c r="U824" s="79">
        <f>Table46[[#This Row],[NET WT KGS]]-Table46[[#This Row],[Refraction]]</f>
        <v>0</v>
      </c>
      <c r="V824" s="81"/>
      <c r="W824" s="81">
        <f>Table46[[#This Row],[PRICE]]*Table46[[#This Row],[PAID WT]]</f>
        <v>0</v>
      </c>
      <c r="X824" s="82">
        <v>11.6</v>
      </c>
      <c r="Y824" s="83">
        <v>186</v>
      </c>
      <c r="Z824" s="82">
        <v>41.09</v>
      </c>
      <c r="AA824" s="84"/>
      <c r="AB824" s="74" t="s">
        <v>132</v>
      </c>
      <c r="AC824" s="92" t="s">
        <v>70</v>
      </c>
      <c r="AD824" s="98"/>
      <c r="AE824" s="18">
        <f>Table46[[#This Row],[MOIS.]]*Table46[[#This Row],[NET WT KGS]]</f>
        <v>0</v>
      </c>
      <c r="AF824" s="18">
        <f>Table46[[#This Row],[KOR]]*Table46[[#This Row],[NET WT KGS]]</f>
        <v>0</v>
      </c>
      <c r="AG824">
        <f>Table46[[#This Row],[NET WT KGS]]*Table46[[#This Row],[NUT COUNT]]</f>
        <v>0</v>
      </c>
    </row>
    <row r="825" spans="1:33" x14ac:dyDescent="0.35">
      <c r="A825" s="32">
        <f t="shared" si="93"/>
        <v>823</v>
      </c>
      <c r="B825" s="91">
        <v>46139</v>
      </c>
      <c r="C825" s="35">
        <f>Table46[[#This Row],[DATE OF ARRIVAL]]</f>
        <v>46139</v>
      </c>
      <c r="D825" s="74"/>
      <c r="E825" s="74"/>
      <c r="F825" s="74" t="s">
        <v>40</v>
      </c>
      <c r="G825" s="74"/>
      <c r="H825" s="74" t="s">
        <v>154</v>
      </c>
      <c r="I825" s="74" t="s">
        <v>155</v>
      </c>
      <c r="J825" s="74" t="s">
        <v>912</v>
      </c>
      <c r="K825" s="106"/>
      <c r="L825" s="74"/>
      <c r="M825" s="74"/>
      <c r="N825" s="74"/>
      <c r="O825" s="79"/>
      <c r="P825" s="79"/>
      <c r="Q825" s="74"/>
      <c r="R825" s="124"/>
      <c r="S825" s="74"/>
      <c r="T825" s="10"/>
      <c r="U825" s="79"/>
      <c r="V825" s="81"/>
      <c r="W825" s="81"/>
      <c r="X825" s="82">
        <v>12.6</v>
      </c>
      <c r="Y825" s="83">
        <v>151</v>
      </c>
      <c r="Z825" s="82">
        <v>38.801400000000001</v>
      </c>
      <c r="AA825" s="84"/>
      <c r="AB825" s="74" t="s">
        <v>150</v>
      </c>
      <c r="AC825" s="92" t="s">
        <v>70</v>
      </c>
      <c r="AD825" s="98"/>
      <c r="AE825" s="18"/>
      <c r="AF825" s="18"/>
    </row>
    <row r="826" spans="1:33" x14ac:dyDescent="0.35">
      <c r="A826" s="32">
        <f t="shared" si="93"/>
        <v>824</v>
      </c>
      <c r="B826" s="91">
        <v>46139</v>
      </c>
      <c r="C826" s="35">
        <f>Table46[[#This Row],[DATE OF ARRIVAL]]</f>
        <v>46139</v>
      </c>
      <c r="D826" s="74"/>
      <c r="E826" s="74"/>
      <c r="F826" s="74" t="s">
        <v>40</v>
      </c>
      <c r="G826" s="74"/>
      <c r="H826" s="74" t="s">
        <v>42</v>
      </c>
      <c r="I826" s="74" t="s">
        <v>43</v>
      </c>
      <c r="J826" s="74" t="s">
        <v>913</v>
      </c>
      <c r="K826" s="106"/>
      <c r="L826" s="74"/>
      <c r="M826" s="74"/>
      <c r="N826" s="74"/>
      <c r="O826" s="79"/>
      <c r="P826" s="79"/>
      <c r="Q826" s="74"/>
      <c r="R826" s="124"/>
      <c r="S826" s="74"/>
      <c r="T826" s="10"/>
      <c r="U826" s="79"/>
      <c r="V826" s="81"/>
      <c r="W826" s="81"/>
      <c r="X826" s="82">
        <v>10.7</v>
      </c>
      <c r="Y826" s="83">
        <v>180</v>
      </c>
      <c r="Z826" s="82">
        <v>40.212359999999997</v>
      </c>
      <c r="AA826" s="84"/>
      <c r="AB826" s="74" t="s">
        <v>40</v>
      </c>
      <c r="AC826" s="92" t="s">
        <v>70</v>
      </c>
      <c r="AD826" s="98"/>
      <c r="AE826" s="18"/>
      <c r="AF826" s="18"/>
    </row>
    <row r="827" spans="1:33" x14ac:dyDescent="0.35">
      <c r="A827" s="32">
        <f t="shared" si="93"/>
        <v>825</v>
      </c>
      <c r="B827" s="91">
        <v>46139</v>
      </c>
      <c r="C827" s="35">
        <f>Table46[[#This Row],[DATE OF ARRIVAL]]</f>
        <v>46139</v>
      </c>
      <c r="D827" s="74"/>
      <c r="E827" s="74"/>
      <c r="F827" s="74" t="s">
        <v>40</v>
      </c>
      <c r="G827" s="74"/>
      <c r="H827" s="74" t="s">
        <v>123</v>
      </c>
      <c r="I827" s="74" t="s">
        <v>124</v>
      </c>
      <c r="J827" s="74" t="s">
        <v>742</v>
      </c>
      <c r="K827" s="106"/>
      <c r="L827" s="74"/>
      <c r="M827" s="74"/>
      <c r="N827" s="74"/>
      <c r="O827" s="79"/>
      <c r="P827" s="79"/>
      <c r="Q827" s="74"/>
      <c r="R827" s="124"/>
      <c r="S827" s="74"/>
      <c r="T827" s="10"/>
      <c r="U827" s="79"/>
      <c r="V827" s="81"/>
      <c r="W827" s="81"/>
      <c r="X827" s="82">
        <v>16</v>
      </c>
      <c r="Y827" s="83">
        <v>154</v>
      </c>
      <c r="Z827" s="82">
        <v>39.154139999999998</v>
      </c>
      <c r="AA827" s="84"/>
      <c r="AB827" s="74" t="s">
        <v>40</v>
      </c>
      <c r="AC827" s="92" t="s">
        <v>70</v>
      </c>
      <c r="AD827" s="98"/>
      <c r="AE827" s="18"/>
      <c r="AF827" s="18"/>
    </row>
    <row r="828" spans="1:33" x14ac:dyDescent="0.35">
      <c r="A828" s="32">
        <f t="shared" si="93"/>
        <v>826</v>
      </c>
      <c r="B828" s="20">
        <v>46138</v>
      </c>
      <c r="C828" s="20">
        <v>46139</v>
      </c>
      <c r="D828" s="66" t="s">
        <v>38</v>
      </c>
      <c r="E828" s="66" t="s">
        <v>39</v>
      </c>
      <c r="F828" s="67" t="s">
        <v>40</v>
      </c>
      <c r="G828" s="66" t="s">
        <v>350</v>
      </c>
      <c r="H828" s="66" t="s">
        <v>154</v>
      </c>
      <c r="I828" s="50" t="str">
        <f>VLOOKUP(Table46[[#This Row],[SUPPLIERS NAME]],[1]AGING!X$3:Y$80,2,)</f>
        <v>LBA-010-CAP</v>
      </c>
      <c r="J828" s="66" t="s">
        <v>914</v>
      </c>
      <c r="K828" s="33" t="s">
        <v>157</v>
      </c>
      <c r="L828" s="66">
        <v>365</v>
      </c>
      <c r="M828" s="10">
        <v>87097</v>
      </c>
      <c r="N828" s="66">
        <v>689</v>
      </c>
      <c r="O828" s="68">
        <f t="shared" si="98"/>
        <v>57120</v>
      </c>
      <c r="P828" s="68">
        <v>56431</v>
      </c>
      <c r="Q828" s="66">
        <v>609</v>
      </c>
      <c r="R828" s="124">
        <v>80</v>
      </c>
      <c r="S828" s="66">
        <v>0</v>
      </c>
      <c r="T828" s="10">
        <f t="shared" ref="T828:T856" si="99">S828*4+R828*8</f>
        <v>640</v>
      </c>
      <c r="U828" s="68">
        <f>Table46[[#This Row],[NET WT KGS]]-Table46[[#This Row],[Refraction]]</f>
        <v>55791</v>
      </c>
      <c r="V828" s="69">
        <v>510</v>
      </c>
      <c r="W828" s="69">
        <f>Table46[[#This Row],[PRICE]]*Table46[[#This Row],[PAID WT]]</f>
        <v>28453410</v>
      </c>
      <c r="X828" s="70">
        <v>13.1</v>
      </c>
      <c r="Y828" s="71">
        <v>161</v>
      </c>
      <c r="Z828" s="70">
        <v>43.05</v>
      </c>
      <c r="AA828" s="72"/>
      <c r="AB828" s="66" t="s">
        <v>40</v>
      </c>
      <c r="AC828" s="73"/>
      <c r="AD828" s="85"/>
      <c r="AE828" s="18">
        <f>Table46[[#This Row],[MOIS.]]*Table46[[#This Row],[NET WT KGS]]</f>
        <v>739246.1</v>
      </c>
      <c r="AF828" s="18">
        <f>Table46[[#This Row],[KOR]]*Table46[[#This Row],[NET WT KGS]]</f>
        <v>2429354.5499999998</v>
      </c>
      <c r="AG828">
        <f>Table46[[#This Row],[NET WT KGS]]*Table46[[#This Row],[NUT COUNT]]</f>
        <v>9085391</v>
      </c>
    </row>
    <row r="829" spans="1:33" x14ac:dyDescent="0.35">
      <c r="A829" s="32">
        <f t="shared" si="93"/>
        <v>827</v>
      </c>
      <c r="B829" s="20">
        <v>46138</v>
      </c>
      <c r="C829" s="20">
        <v>46139</v>
      </c>
      <c r="D829" s="66" t="s">
        <v>38</v>
      </c>
      <c r="E829" s="66" t="s">
        <v>39</v>
      </c>
      <c r="F829" s="67" t="s">
        <v>40</v>
      </c>
      <c r="G829" s="66" t="s">
        <v>350</v>
      </c>
      <c r="H829" s="66" t="s">
        <v>118</v>
      </c>
      <c r="I829" s="50" t="str">
        <f>VLOOKUP(Table46[[#This Row],[SUPPLIERS NAME]],[1]AGING!X$3:Y$80,2,)</f>
        <v>LBA-001-SOC</v>
      </c>
      <c r="J829" s="66" t="s">
        <v>915</v>
      </c>
      <c r="K829" s="33" t="s">
        <v>266</v>
      </c>
      <c r="L829" s="66">
        <v>366</v>
      </c>
      <c r="M829" s="10">
        <v>37643</v>
      </c>
      <c r="N829" s="66">
        <v>472</v>
      </c>
      <c r="O829" s="68">
        <f t="shared" si="98"/>
        <v>40620</v>
      </c>
      <c r="P829" s="68">
        <v>40148</v>
      </c>
      <c r="Q829" s="66">
        <v>460</v>
      </c>
      <c r="R829" s="125">
        <v>0</v>
      </c>
      <c r="S829" s="66">
        <v>12</v>
      </c>
      <c r="T829" s="10">
        <f t="shared" si="99"/>
        <v>48</v>
      </c>
      <c r="U829" s="68">
        <f>Table46[[#This Row],[NET WT KGS]]-Table46[[#This Row],[Refraction]]</f>
        <v>40100</v>
      </c>
      <c r="V829" s="69">
        <v>495</v>
      </c>
      <c r="W829" s="69">
        <f>Table46[[#This Row],[PRICE]]*Table46[[#This Row],[PAID WT]]</f>
        <v>19849500</v>
      </c>
      <c r="X829" s="70">
        <v>8.6</v>
      </c>
      <c r="Y829" s="71">
        <v>176</v>
      </c>
      <c r="Z829" s="70">
        <v>41.27</v>
      </c>
      <c r="AA829" s="72"/>
      <c r="AB829" s="66" t="s">
        <v>46</v>
      </c>
      <c r="AC829" s="73"/>
      <c r="AD829" s="85"/>
      <c r="AE829" s="18">
        <f>Table46[[#This Row],[MOIS.]]*Table46[[#This Row],[NET WT KGS]]</f>
        <v>345272.8</v>
      </c>
      <c r="AF829" s="18">
        <f>Table46[[#This Row],[KOR]]*Table46[[#This Row],[NET WT KGS]]</f>
        <v>1656907.9600000002</v>
      </c>
      <c r="AG829">
        <f>Table46[[#This Row],[NET WT KGS]]*Table46[[#This Row],[NUT COUNT]]</f>
        <v>7066048</v>
      </c>
    </row>
    <row r="830" spans="1:33" x14ac:dyDescent="0.35">
      <c r="A830" s="32">
        <f t="shared" si="93"/>
        <v>828</v>
      </c>
      <c r="B830" s="20">
        <v>46138</v>
      </c>
      <c r="C830" s="20">
        <v>46139</v>
      </c>
      <c r="D830" s="66" t="s">
        <v>38</v>
      </c>
      <c r="E830" s="66" t="s">
        <v>39</v>
      </c>
      <c r="F830" s="67" t="s">
        <v>40</v>
      </c>
      <c r="G830" s="66" t="s">
        <v>350</v>
      </c>
      <c r="H830" s="66" t="s">
        <v>154</v>
      </c>
      <c r="I830" s="50" t="str">
        <f>VLOOKUP(Table46[[#This Row],[SUPPLIERS NAME]],[1]AGING!X$3:Y$80,2,)</f>
        <v>LBA-010-CAP</v>
      </c>
      <c r="J830" s="66" t="s">
        <v>737</v>
      </c>
      <c r="K830" s="33" t="s">
        <v>157</v>
      </c>
      <c r="L830" s="66">
        <v>367</v>
      </c>
      <c r="M830" s="10">
        <v>60725</v>
      </c>
      <c r="N830" s="66">
        <v>432</v>
      </c>
      <c r="O830" s="68">
        <f t="shared" si="98"/>
        <v>33300</v>
      </c>
      <c r="P830" s="68">
        <v>32868</v>
      </c>
      <c r="Q830" s="66">
        <v>392</v>
      </c>
      <c r="R830" s="125">
        <v>40</v>
      </c>
      <c r="S830" s="66">
        <v>0</v>
      </c>
      <c r="T830" s="10">
        <f t="shared" si="99"/>
        <v>320</v>
      </c>
      <c r="U830" s="68">
        <f>Table46[[#This Row],[NET WT KGS]]-Table46[[#This Row],[Refraction]]</f>
        <v>32548</v>
      </c>
      <c r="V830" s="69">
        <v>505</v>
      </c>
      <c r="W830" s="69">
        <f>Table46[[#This Row],[PRICE]]*Table46[[#This Row],[PAID WT]]</f>
        <v>16436740</v>
      </c>
      <c r="X830" s="70">
        <v>12.3</v>
      </c>
      <c r="Y830" s="71">
        <v>163</v>
      </c>
      <c r="Z830" s="70">
        <v>42.5</v>
      </c>
      <c r="AA830" s="72"/>
      <c r="AB830" s="66" t="s">
        <v>355</v>
      </c>
      <c r="AC830" s="73"/>
      <c r="AD830" s="85"/>
      <c r="AE830" s="18">
        <f>Table46[[#This Row],[MOIS.]]*Table46[[#This Row],[NET WT KGS]]</f>
        <v>404276.4</v>
      </c>
      <c r="AF830" s="18">
        <f>Table46[[#This Row],[KOR]]*Table46[[#This Row],[NET WT KGS]]</f>
        <v>1396890</v>
      </c>
      <c r="AG830">
        <f>Table46[[#This Row],[NET WT KGS]]*Table46[[#This Row],[NUT COUNT]]</f>
        <v>5357484</v>
      </c>
    </row>
    <row r="831" spans="1:33" x14ac:dyDescent="0.35">
      <c r="A831" s="32">
        <f t="shared" si="93"/>
        <v>829</v>
      </c>
      <c r="B831" s="20">
        <v>46139</v>
      </c>
      <c r="C831" s="20">
        <v>46139</v>
      </c>
      <c r="D831" s="66" t="s">
        <v>38</v>
      </c>
      <c r="E831" s="66" t="s">
        <v>39</v>
      </c>
      <c r="F831" s="67" t="s">
        <v>40</v>
      </c>
      <c r="G831" s="66" t="s">
        <v>350</v>
      </c>
      <c r="H831" s="66" t="s">
        <v>338</v>
      </c>
      <c r="I831" s="50" t="str">
        <f>VLOOKUP(Table46[[#This Row],[SUPPLIERS NAME]],[1]AGING!X$3:Y$80,2,)</f>
        <v>LBA-018-COP</v>
      </c>
      <c r="J831" s="66" t="s">
        <v>752</v>
      </c>
      <c r="K831" s="57" t="s">
        <v>340</v>
      </c>
      <c r="L831" s="66">
        <v>368</v>
      </c>
      <c r="M831" s="10">
        <v>37026</v>
      </c>
      <c r="N831" s="66">
        <v>406</v>
      </c>
      <c r="O831" s="68">
        <f t="shared" si="98"/>
        <v>32160</v>
      </c>
      <c r="P831" s="68">
        <v>31754</v>
      </c>
      <c r="Q831" s="66">
        <v>406</v>
      </c>
      <c r="R831" s="125">
        <v>0</v>
      </c>
      <c r="S831" s="66">
        <v>0</v>
      </c>
      <c r="T831" s="10">
        <f t="shared" si="99"/>
        <v>0</v>
      </c>
      <c r="U831" s="68">
        <f>Table46[[#This Row],[NET WT KGS]]-Table46[[#This Row],[Refraction]]</f>
        <v>31754</v>
      </c>
      <c r="V831" s="69">
        <v>500</v>
      </c>
      <c r="W831" s="69">
        <f>Table46[[#This Row],[PRICE]]*Table46[[#This Row],[PAID WT]]</f>
        <v>15877000</v>
      </c>
      <c r="X831" s="70">
        <v>12</v>
      </c>
      <c r="Y831" s="71">
        <v>162</v>
      </c>
      <c r="Z831" s="70">
        <v>41.97</v>
      </c>
      <c r="AA831" s="72"/>
      <c r="AB831" s="66" t="s">
        <v>429</v>
      </c>
      <c r="AC831" s="73"/>
      <c r="AD831" s="85"/>
      <c r="AE831" s="18">
        <f>Table46[[#This Row],[MOIS.]]*Table46[[#This Row],[NET WT KGS]]</f>
        <v>381048</v>
      </c>
      <c r="AF831" s="18">
        <f>Table46[[#This Row],[KOR]]*Table46[[#This Row],[NET WT KGS]]</f>
        <v>1332715.3799999999</v>
      </c>
      <c r="AG831">
        <f>Table46[[#This Row],[NET WT KGS]]*Table46[[#This Row],[NUT COUNT]]</f>
        <v>5144148</v>
      </c>
    </row>
    <row r="832" spans="1:33" x14ac:dyDescent="0.35">
      <c r="A832" s="32">
        <f t="shared" si="93"/>
        <v>830</v>
      </c>
      <c r="B832" s="20">
        <v>46139</v>
      </c>
      <c r="C832" s="20">
        <v>46139</v>
      </c>
      <c r="D832" s="66" t="s">
        <v>38</v>
      </c>
      <c r="E832" s="66" t="s">
        <v>39</v>
      </c>
      <c r="F832" s="67" t="s">
        <v>40</v>
      </c>
      <c r="G832" s="66" t="s">
        <v>41</v>
      </c>
      <c r="H832" s="67" t="s">
        <v>123</v>
      </c>
      <c r="I832" s="67" t="str">
        <f>VLOOKUP(Table46[[#This Row],[SUPPLIERS NAME]],[1]AGING!X$3:Y$80,2,)</f>
        <v>LBA-011-ASR</v>
      </c>
      <c r="J832" s="66" t="s">
        <v>459</v>
      </c>
      <c r="K832" s="21" t="s">
        <v>161</v>
      </c>
      <c r="L832" s="66">
        <v>369</v>
      </c>
      <c r="M832" s="10">
        <v>32068</v>
      </c>
      <c r="N832" s="66">
        <v>668</v>
      </c>
      <c r="O832" s="68">
        <f t="shared" si="98"/>
        <v>53240</v>
      </c>
      <c r="P832" s="68">
        <v>52572</v>
      </c>
      <c r="Q832" s="66">
        <v>638</v>
      </c>
      <c r="R832" s="125">
        <v>30</v>
      </c>
      <c r="S832" s="66">
        <v>0</v>
      </c>
      <c r="T832" s="10">
        <f t="shared" si="99"/>
        <v>240</v>
      </c>
      <c r="U832" s="68">
        <f>Table46[[#This Row],[NET WT KGS]]-Table46[[#This Row],[Refraction]]</f>
        <v>52332</v>
      </c>
      <c r="V832" s="69">
        <v>495</v>
      </c>
      <c r="W832" s="69">
        <f>Table46[[#This Row],[PRICE]]*Table46[[#This Row],[PAID WT]]</f>
        <v>25904340</v>
      </c>
      <c r="X832" s="70">
        <v>11.4</v>
      </c>
      <c r="Y832" s="71">
        <v>183</v>
      </c>
      <c r="Z832" s="70">
        <v>41.09</v>
      </c>
      <c r="AA832" s="72"/>
      <c r="AB832" s="66" t="s">
        <v>40</v>
      </c>
      <c r="AC832" s="73"/>
      <c r="AD832" s="85"/>
      <c r="AE832" s="18">
        <f>Table46[[#This Row],[MOIS.]]*Table46[[#This Row],[NET WT KGS]]</f>
        <v>599320.80000000005</v>
      </c>
      <c r="AF832" s="18">
        <f>Table46[[#This Row],[KOR]]*Table46[[#This Row],[NET WT KGS]]</f>
        <v>2160183.48</v>
      </c>
      <c r="AG832">
        <f>Table46[[#This Row],[NET WT KGS]]*Table46[[#This Row],[NUT COUNT]]</f>
        <v>9620676</v>
      </c>
    </row>
    <row r="833" spans="1:33" x14ac:dyDescent="0.35">
      <c r="A833" s="32">
        <f t="shared" si="93"/>
        <v>831</v>
      </c>
      <c r="B833" s="20">
        <v>46139</v>
      </c>
      <c r="C833" s="20">
        <v>46139</v>
      </c>
      <c r="D833" s="66" t="s">
        <v>38</v>
      </c>
      <c r="E833" s="66" t="s">
        <v>39</v>
      </c>
      <c r="F833" s="67" t="s">
        <v>40</v>
      </c>
      <c r="G833" s="66" t="s">
        <v>41</v>
      </c>
      <c r="H833" s="66" t="s">
        <v>112</v>
      </c>
      <c r="I833" s="67" t="str">
        <f>VLOOKUP(Table46[[#This Row],[SUPPLIERS NAME]],[1]AGING!X$3:Y$80,2,)</f>
        <v>LBA-015-OUM</v>
      </c>
      <c r="J833" s="66" t="s">
        <v>366</v>
      </c>
      <c r="K833" s="21" t="s">
        <v>115</v>
      </c>
      <c r="L833" s="66">
        <v>370</v>
      </c>
      <c r="M833" s="10">
        <v>31992</v>
      </c>
      <c r="N833" s="66">
        <v>398</v>
      </c>
      <c r="O833" s="68">
        <f t="shared" si="98"/>
        <v>31760</v>
      </c>
      <c r="P833" s="68">
        <v>31362</v>
      </c>
      <c r="Q833" s="66">
        <v>385</v>
      </c>
      <c r="R833" s="125">
        <v>0</v>
      </c>
      <c r="S833" s="66">
        <v>13</v>
      </c>
      <c r="T833" s="10">
        <f t="shared" si="99"/>
        <v>52</v>
      </c>
      <c r="U833" s="68">
        <f>Table46[[#This Row],[NET WT KGS]]-Table46[[#This Row],[Refraction]]</f>
        <v>31310</v>
      </c>
      <c r="V833" s="69">
        <v>495</v>
      </c>
      <c r="W833" s="69">
        <f>Table46[[#This Row],[PRICE]]*Table46[[#This Row],[PAID WT]]</f>
        <v>15498450</v>
      </c>
      <c r="X833" s="70">
        <v>9.4</v>
      </c>
      <c r="Y833" s="71">
        <v>179</v>
      </c>
      <c r="Z833" s="70">
        <v>41.27</v>
      </c>
      <c r="AA833" s="72"/>
      <c r="AB833" s="66" t="s">
        <v>132</v>
      </c>
      <c r="AC833" s="73"/>
      <c r="AD833" s="85"/>
      <c r="AE833" s="18">
        <f>Table46[[#This Row],[MOIS.]]*Table46[[#This Row],[NET WT KGS]]</f>
        <v>294802.8</v>
      </c>
      <c r="AF833" s="18">
        <f>Table46[[#This Row],[KOR]]*Table46[[#This Row],[NET WT KGS]]</f>
        <v>1294309.74</v>
      </c>
      <c r="AG833">
        <f>Table46[[#This Row],[NET WT KGS]]*Table46[[#This Row],[NUT COUNT]]</f>
        <v>5613798</v>
      </c>
    </row>
    <row r="834" spans="1:33" x14ac:dyDescent="0.35">
      <c r="A834" s="32">
        <f t="shared" si="93"/>
        <v>832</v>
      </c>
      <c r="B834" s="65">
        <v>46137</v>
      </c>
      <c r="C834" s="20">
        <v>46139</v>
      </c>
      <c r="D834" s="66" t="s">
        <v>38</v>
      </c>
      <c r="E834" s="66" t="s">
        <v>39</v>
      </c>
      <c r="F834" s="67" t="s">
        <v>62</v>
      </c>
      <c r="G834" s="66"/>
      <c r="H834" s="117" t="s">
        <v>128</v>
      </c>
      <c r="I834" s="67" t="str">
        <f>VLOOKUP(Table46[[#This Row],[SUPPLIERS NAME]],[1]AGING!X$3:Y$80,2,)</f>
        <v>LBA-002-SCA</v>
      </c>
      <c r="J834" s="66" t="s">
        <v>844</v>
      </c>
      <c r="K834" s="33" t="s">
        <v>131</v>
      </c>
      <c r="L834" s="66">
        <v>727</v>
      </c>
      <c r="M834" s="66">
        <f>VLOOKUP(Table46[[#This Row],[REF.]],'[2]RCN INWARD FACTORY YAKRO 2026'!$F$4:$M$257,8,0)</f>
        <v>78883</v>
      </c>
      <c r="N834" s="66">
        <v>492</v>
      </c>
      <c r="O834" s="68">
        <v>39790</v>
      </c>
      <c r="P834" s="51">
        <f>Table46[[#This Row],[GROSS WT KGS]]-Table46[[#This Row],[SACS]]</f>
        <v>39298</v>
      </c>
      <c r="Q834" s="66">
        <v>483</v>
      </c>
      <c r="R834" s="125">
        <v>20</v>
      </c>
      <c r="S834" s="66">
        <v>0</v>
      </c>
      <c r="T834" s="10">
        <f t="shared" si="99"/>
        <v>160</v>
      </c>
      <c r="U834" s="68">
        <f>Table46[[#This Row],[NET WT KGS]]-Table46[[#This Row],[Refraction]]</f>
        <v>39138</v>
      </c>
      <c r="V834" s="69">
        <v>515</v>
      </c>
      <c r="W834" s="69">
        <f>Table46[[#This Row],[PRICE]]*Table46[[#This Row],[PAID WT]]</f>
        <v>20156070</v>
      </c>
      <c r="X834" s="70">
        <v>11.5</v>
      </c>
      <c r="Y834" s="71">
        <v>178</v>
      </c>
      <c r="Z834" s="70">
        <v>43.73</v>
      </c>
      <c r="AA834" s="72"/>
      <c r="AB834" s="66" t="s">
        <v>132</v>
      </c>
      <c r="AC834" s="73"/>
      <c r="AD834" s="85"/>
      <c r="AE834" s="18">
        <f>Table46[[#This Row],[MOIS.]]*Table46[[#This Row],[NET WT KGS]]</f>
        <v>451927</v>
      </c>
      <c r="AF834" s="18">
        <f>Table46[[#This Row],[KOR]]*Table46[[#This Row],[NET WT KGS]]</f>
        <v>1718501.5399999998</v>
      </c>
      <c r="AG834">
        <f>Table46[[#This Row],[NET WT KGS]]*Table46[[#This Row],[NUT COUNT]]</f>
        <v>6995044</v>
      </c>
    </row>
    <row r="835" spans="1:33" x14ac:dyDescent="0.35">
      <c r="A835" s="32">
        <f t="shared" si="93"/>
        <v>833</v>
      </c>
      <c r="B835" s="65">
        <v>46137</v>
      </c>
      <c r="C835" s="20">
        <v>46139</v>
      </c>
      <c r="D835" s="66" t="s">
        <v>38</v>
      </c>
      <c r="E835" s="66" t="s">
        <v>39</v>
      </c>
      <c r="F835" s="50" t="s">
        <v>62</v>
      </c>
      <c r="G835" s="66"/>
      <c r="H835" s="10" t="s">
        <v>684</v>
      </c>
      <c r="I835" s="67" t="str">
        <f>VLOOKUP(Table46[[#This Row],[SUPPLIERS NAME]],[1]AGING!X$3:Y$80,2,)</f>
        <v>LBA-021-SAN</v>
      </c>
      <c r="J835" s="10" t="s">
        <v>916</v>
      </c>
      <c r="K835" s="66"/>
      <c r="L835" s="10">
        <v>728</v>
      </c>
      <c r="M835" s="66">
        <f>VLOOKUP(Table46[[#This Row],[REF.]],'[2]RCN INWARD FACTORY YAKRO 2026'!$F$4:$M$257,8,0)</f>
        <v>89242</v>
      </c>
      <c r="N835" s="10">
        <v>591</v>
      </c>
      <c r="O835" s="22">
        <v>50570</v>
      </c>
      <c r="P835" s="51">
        <f>Table46[[#This Row],[GROSS WT KGS]]-Table46[[#This Row],[SACS]]</f>
        <v>49979</v>
      </c>
      <c r="Q835" s="10">
        <v>576</v>
      </c>
      <c r="R835" s="125">
        <v>20</v>
      </c>
      <c r="S835" s="10">
        <v>0</v>
      </c>
      <c r="T835" s="10">
        <f t="shared" si="99"/>
        <v>160</v>
      </c>
      <c r="U835" s="22">
        <f>Table46[[#This Row],[NET WT KGS]]-Table46[[#This Row],[Refraction]]</f>
        <v>49819</v>
      </c>
      <c r="V835" s="23">
        <v>505</v>
      </c>
      <c r="W835" s="23">
        <f>Table46[[#This Row],[PRICE]]*Table46[[#This Row],[PAID WT]]</f>
        <v>25158595</v>
      </c>
      <c r="X835" s="24">
        <v>11.7</v>
      </c>
      <c r="Y835" s="25">
        <v>160</v>
      </c>
      <c r="Z835" s="24">
        <v>44.18</v>
      </c>
      <c r="AA835" s="26"/>
      <c r="AB835" s="10" t="s">
        <v>58</v>
      </c>
      <c r="AC835" s="27" t="s">
        <v>720</v>
      </c>
      <c r="AD835" s="28"/>
      <c r="AE835" s="18">
        <f>Table46[[#This Row],[MOIS.]]*Table46[[#This Row],[NET WT KGS]]</f>
        <v>584754.29999999993</v>
      </c>
      <c r="AF835" s="18">
        <f>Table46[[#This Row],[KOR]]*Table46[[#This Row],[NET WT KGS]]</f>
        <v>2208072.2200000002</v>
      </c>
      <c r="AG835">
        <f>Table46[[#This Row],[NET WT KGS]]*Table46[[#This Row],[NUT COUNT]]</f>
        <v>7996640</v>
      </c>
    </row>
    <row r="836" spans="1:33" x14ac:dyDescent="0.35">
      <c r="A836" s="32">
        <f t="shared" ref="A836:A899" si="100">A835+1</f>
        <v>834</v>
      </c>
      <c r="B836" s="65">
        <v>46137</v>
      </c>
      <c r="C836" s="20">
        <v>46139</v>
      </c>
      <c r="D836" s="66" t="s">
        <v>38</v>
      </c>
      <c r="E836" s="66" t="s">
        <v>39</v>
      </c>
      <c r="F836" s="50" t="s">
        <v>62</v>
      </c>
      <c r="G836" s="10"/>
      <c r="H836" s="117" t="s">
        <v>128</v>
      </c>
      <c r="I836" s="67" t="str">
        <f>VLOOKUP(Table46[[#This Row],[SUPPLIERS NAME]],[1]AGING!X$3:Y$80,2,)</f>
        <v>LBA-002-SCA</v>
      </c>
      <c r="J836" s="10" t="s">
        <v>917</v>
      </c>
      <c r="K836" s="33" t="s">
        <v>131</v>
      </c>
      <c r="L836" s="10">
        <v>729</v>
      </c>
      <c r="M836" s="10">
        <v>78884</v>
      </c>
      <c r="N836" s="10">
        <v>601</v>
      </c>
      <c r="O836" s="22">
        <v>51800</v>
      </c>
      <c r="P836" s="51">
        <f>Table46[[#This Row],[GROSS WT KGS]]-Table46[[#This Row],[SACS]]</f>
        <v>51199</v>
      </c>
      <c r="Q836" s="10">
        <v>592</v>
      </c>
      <c r="R836" s="125">
        <v>30</v>
      </c>
      <c r="S836" s="10">
        <v>0</v>
      </c>
      <c r="T836" s="10">
        <f t="shared" si="99"/>
        <v>240</v>
      </c>
      <c r="U836" s="22">
        <f>Table46[[#This Row],[NET WT KGS]]-Table46[[#This Row],[Refraction]]</f>
        <v>50959</v>
      </c>
      <c r="V836" s="23">
        <v>490</v>
      </c>
      <c r="W836" s="23">
        <f>Table46[[#This Row],[PRICE]]*Table46[[#This Row],[PAID WT]]</f>
        <v>24969910</v>
      </c>
      <c r="X836" s="24">
        <v>12.1</v>
      </c>
      <c r="Y836" s="25">
        <v>173</v>
      </c>
      <c r="Z836" s="24">
        <v>41.62</v>
      </c>
      <c r="AA836" s="26"/>
      <c r="AB836" s="10" t="s">
        <v>132</v>
      </c>
      <c r="AC836" s="27"/>
      <c r="AD836" s="28"/>
      <c r="AE836" s="18">
        <f>Table46[[#This Row],[MOIS.]]*Table46[[#This Row],[NET WT KGS]]</f>
        <v>619507.9</v>
      </c>
      <c r="AF836" s="18">
        <f>Table46[[#This Row],[KOR]]*Table46[[#This Row],[NET WT KGS]]</f>
        <v>2130902.38</v>
      </c>
      <c r="AG836">
        <f>Table46[[#This Row],[NET WT KGS]]*Table46[[#This Row],[NUT COUNT]]</f>
        <v>8857427</v>
      </c>
    </row>
    <row r="837" spans="1:33" x14ac:dyDescent="0.35">
      <c r="A837" s="32">
        <f t="shared" si="100"/>
        <v>835</v>
      </c>
      <c r="B837" s="65">
        <v>46138</v>
      </c>
      <c r="C837" s="20">
        <v>46139</v>
      </c>
      <c r="D837" s="66" t="s">
        <v>38</v>
      </c>
      <c r="E837" s="10" t="s">
        <v>258</v>
      </c>
      <c r="F837" s="50" t="s">
        <v>62</v>
      </c>
      <c r="G837" s="10"/>
      <c r="H837" s="10" t="s">
        <v>724</v>
      </c>
      <c r="I837" s="67" t="str">
        <f>VLOOKUP(Table46[[#This Row],[SUPPLIERS NAME]],[1]AGING!X$3:Y$80,2,)</f>
        <v>DIS-029-CPA</v>
      </c>
      <c r="J837" s="10" t="s">
        <v>824</v>
      </c>
      <c r="K837" s="21" t="s">
        <v>726</v>
      </c>
      <c r="L837" s="10">
        <v>730</v>
      </c>
      <c r="M837" s="10">
        <v>28997</v>
      </c>
      <c r="N837" s="10">
        <v>660</v>
      </c>
      <c r="O837" s="22">
        <v>54860</v>
      </c>
      <c r="P837" s="51">
        <f>Table46[[#This Row],[GROSS WT KGS]]-Table46[[#This Row],[SACS]]</f>
        <v>54200</v>
      </c>
      <c r="Q837" s="10">
        <v>647</v>
      </c>
      <c r="R837" s="125">
        <v>0</v>
      </c>
      <c r="S837" s="10">
        <v>15</v>
      </c>
      <c r="T837" s="10">
        <f t="shared" si="99"/>
        <v>60</v>
      </c>
      <c r="U837" s="119">
        <f>Table46[[#This Row],[NET WT KGS]]-Table46[[#This Row],[Refraction]]</f>
        <v>54140</v>
      </c>
      <c r="V837" s="23">
        <v>515</v>
      </c>
      <c r="W837" s="23">
        <f>Table46[[#This Row],[PRICE]]*Table46[[#This Row],[PAID WT]]</f>
        <v>27882100</v>
      </c>
      <c r="X837" s="24">
        <v>9.5</v>
      </c>
      <c r="Y837" s="25">
        <v>190</v>
      </c>
      <c r="Z837" s="24">
        <v>42.59</v>
      </c>
      <c r="AA837" s="26"/>
      <c r="AB837" s="10" t="s">
        <v>132</v>
      </c>
      <c r="AC837" s="27"/>
      <c r="AD837" s="28"/>
      <c r="AE837" s="18">
        <f>Table46[[#This Row],[MOIS.]]*Table46[[#This Row],[NET WT KGS]]</f>
        <v>514900</v>
      </c>
      <c r="AF837" s="18">
        <f>Table46[[#This Row],[KOR]]*Table46[[#This Row],[NET WT KGS]]</f>
        <v>2308378</v>
      </c>
      <c r="AG837">
        <f>Table46[[#This Row],[NET WT KGS]]*Table46[[#This Row],[NUT COUNT]]</f>
        <v>10298000</v>
      </c>
    </row>
    <row r="838" spans="1:33" x14ac:dyDescent="0.35">
      <c r="A838" s="32">
        <f t="shared" si="100"/>
        <v>836</v>
      </c>
      <c r="B838" s="65">
        <v>46137</v>
      </c>
      <c r="C838" s="20">
        <v>46139</v>
      </c>
      <c r="D838" s="66" t="s">
        <v>38</v>
      </c>
      <c r="E838" s="10" t="s">
        <v>39</v>
      </c>
      <c r="F838" s="50" t="s">
        <v>62</v>
      </c>
      <c r="G838" s="66"/>
      <c r="H838" s="10" t="s">
        <v>684</v>
      </c>
      <c r="I838" s="67" t="str">
        <f>VLOOKUP(Table46[[#This Row],[SUPPLIERS NAME]],[1]AGING!X$3:Y$80,2,)</f>
        <v>LBA-021-SAN</v>
      </c>
      <c r="J838" s="10" t="s">
        <v>918</v>
      </c>
      <c r="K838" s="66"/>
      <c r="L838" s="10">
        <v>731</v>
      </c>
      <c r="M838" s="66">
        <f>VLOOKUP(Table46[[#This Row],[REF.]],'[2]RCN INWARD FACTORY YAKRO 2026'!$F$4:$M$257,8,0)</f>
        <v>19800</v>
      </c>
      <c r="N838" s="10">
        <v>426</v>
      </c>
      <c r="O838" s="22">
        <v>38110</v>
      </c>
      <c r="P838" s="51">
        <f>Table46[[#This Row],[GROSS WT KGS]]-Table46[[#This Row],[SACS]]</f>
        <v>37684</v>
      </c>
      <c r="Q838" s="10">
        <v>420</v>
      </c>
      <c r="R838" s="125">
        <v>30</v>
      </c>
      <c r="S838" s="10">
        <v>0</v>
      </c>
      <c r="T838" s="10">
        <f t="shared" si="99"/>
        <v>240</v>
      </c>
      <c r="U838" s="22">
        <f>Table46[[#This Row],[NET WT KGS]]-Table46[[#This Row],[Refraction]]</f>
        <v>37444</v>
      </c>
      <c r="V838" s="23">
        <v>505</v>
      </c>
      <c r="W838" s="23">
        <f>Table46[[#This Row],[PRICE]]*Table46[[#This Row],[PAID WT]]</f>
        <v>18909220</v>
      </c>
      <c r="X838" s="24">
        <v>12.9</v>
      </c>
      <c r="Y838" s="25">
        <v>158</v>
      </c>
      <c r="Z838" s="24">
        <v>43.58</v>
      </c>
      <c r="AA838" s="26"/>
      <c r="AB838" s="10" t="s">
        <v>284</v>
      </c>
      <c r="AC838" s="27" t="s">
        <v>919</v>
      </c>
      <c r="AD838" s="28"/>
      <c r="AE838" s="18">
        <f>Table46[[#This Row],[MOIS.]]*Table46[[#This Row],[NET WT KGS]]</f>
        <v>486123.60000000003</v>
      </c>
      <c r="AF838" s="18">
        <f>Table46[[#This Row],[KOR]]*Table46[[#This Row],[NET WT KGS]]</f>
        <v>1642268.72</v>
      </c>
      <c r="AG838">
        <f>Table46[[#This Row],[NET WT KGS]]*Table46[[#This Row],[NUT COUNT]]</f>
        <v>5954072</v>
      </c>
    </row>
    <row r="839" spans="1:33" x14ac:dyDescent="0.35">
      <c r="A839" s="32">
        <f t="shared" si="100"/>
        <v>837</v>
      </c>
      <c r="B839" s="65">
        <v>46137</v>
      </c>
      <c r="C839" s="20">
        <v>46139</v>
      </c>
      <c r="D839" s="66" t="s">
        <v>38</v>
      </c>
      <c r="E839" s="10" t="s">
        <v>39</v>
      </c>
      <c r="F839" s="50" t="s">
        <v>62</v>
      </c>
      <c r="G839" s="66"/>
      <c r="H839" s="116" t="s">
        <v>128</v>
      </c>
      <c r="I839" s="67" t="str">
        <f>VLOOKUP(Table46[[#This Row],[SUPPLIERS NAME]],[1]AGING!X$3:Y$80,2,)</f>
        <v>LBA-002-SCA</v>
      </c>
      <c r="J839" s="66" t="s">
        <v>920</v>
      </c>
      <c r="K839" s="33" t="s">
        <v>131</v>
      </c>
      <c r="L839" s="66">
        <v>733</v>
      </c>
      <c r="M839" s="10">
        <v>78885</v>
      </c>
      <c r="N839" s="66">
        <v>507</v>
      </c>
      <c r="O839" s="68">
        <v>42050</v>
      </c>
      <c r="P839" s="51">
        <f>Table46[[#This Row],[GROSS WT KGS]]-Table46[[#This Row],[SACS]]</f>
        <v>41543</v>
      </c>
      <c r="Q839" s="66">
        <v>495</v>
      </c>
      <c r="R839" s="125">
        <v>15</v>
      </c>
      <c r="S839" s="66">
        <v>0</v>
      </c>
      <c r="T839" s="10">
        <f t="shared" si="99"/>
        <v>120</v>
      </c>
      <c r="U839" s="68">
        <f>Table46[[#This Row],[NET WT KGS]]-Table46[[#This Row],[Refraction]]</f>
        <v>41423</v>
      </c>
      <c r="V839" s="69">
        <v>515</v>
      </c>
      <c r="W839" s="69">
        <f>Table46[[#This Row],[PRICE]]*Table46[[#This Row],[PAID WT]]</f>
        <v>21332845</v>
      </c>
      <c r="X839" s="70">
        <v>10.5</v>
      </c>
      <c r="Y839" s="71">
        <v>184</v>
      </c>
      <c r="Z839" s="70">
        <v>42.94</v>
      </c>
      <c r="AA839" s="72"/>
      <c r="AB839" s="66" t="s">
        <v>132</v>
      </c>
      <c r="AC839" s="73"/>
      <c r="AD839" s="85"/>
      <c r="AE839" s="18">
        <f>Table46[[#This Row],[MOIS.]]*Table46[[#This Row],[NET WT KGS]]</f>
        <v>436201.5</v>
      </c>
      <c r="AF839" s="18">
        <f>Table46[[#This Row],[KOR]]*Table46[[#This Row],[NET WT KGS]]</f>
        <v>1783856.42</v>
      </c>
      <c r="AG839">
        <f>Table46[[#This Row],[NET WT KGS]]*Table46[[#This Row],[NUT COUNT]]</f>
        <v>7643912</v>
      </c>
    </row>
    <row r="840" spans="1:33" x14ac:dyDescent="0.35">
      <c r="A840" s="32">
        <f t="shared" si="100"/>
        <v>838</v>
      </c>
      <c r="B840" s="65">
        <v>46138</v>
      </c>
      <c r="C840" s="20">
        <v>46139</v>
      </c>
      <c r="D840" s="66" t="s">
        <v>38</v>
      </c>
      <c r="E840" s="66" t="s">
        <v>258</v>
      </c>
      <c r="F840" s="50" t="s">
        <v>62</v>
      </c>
      <c r="G840" s="66"/>
      <c r="H840" s="66" t="s">
        <v>502</v>
      </c>
      <c r="I840" s="67" t="str">
        <f>VLOOKUP(Table46[[#This Row],[SUPPLIERS NAME]],[1]AGING!X$3:Y$80,2,)</f>
        <v>DIS-027-BAO</v>
      </c>
      <c r="J840" s="66" t="s">
        <v>921</v>
      </c>
      <c r="K840" s="21" t="s">
        <v>697</v>
      </c>
      <c r="L840" s="66">
        <v>732</v>
      </c>
      <c r="M840" s="10">
        <v>23295</v>
      </c>
      <c r="N840" s="66">
        <v>450</v>
      </c>
      <c r="O840" s="68">
        <v>42060</v>
      </c>
      <c r="P840" s="51">
        <f>Table46[[#This Row],[GROSS WT KGS]]-Table46[[#This Row],[SACS]]</f>
        <v>41610</v>
      </c>
      <c r="Q840" s="66">
        <v>440</v>
      </c>
      <c r="R840" s="125">
        <v>0</v>
      </c>
      <c r="S840" s="66">
        <v>10</v>
      </c>
      <c r="T840" s="10">
        <f t="shared" si="99"/>
        <v>40</v>
      </c>
      <c r="U840" s="68">
        <f>Table46[[#This Row],[NET WT KGS]]-Table46[[#This Row],[Refraction]]</f>
        <v>41570</v>
      </c>
      <c r="V840" s="69">
        <v>515</v>
      </c>
      <c r="W840" s="69">
        <f>Table46[[#This Row],[PRICE]]*Table46[[#This Row],[PAID WT]]</f>
        <v>21408550</v>
      </c>
      <c r="X840" s="70">
        <v>10.1</v>
      </c>
      <c r="Y840" s="71">
        <v>176</v>
      </c>
      <c r="Z840" s="70">
        <v>42.85</v>
      </c>
      <c r="AA840" s="72"/>
      <c r="AB840" s="66" t="s">
        <v>546</v>
      </c>
      <c r="AC840" s="73"/>
      <c r="AD840" s="85"/>
      <c r="AE840" s="18">
        <f>Table46[[#This Row],[MOIS.]]*Table46[[#This Row],[NET WT KGS]]</f>
        <v>420261</v>
      </c>
      <c r="AF840" s="18">
        <f>Table46[[#This Row],[KOR]]*Table46[[#This Row],[NET WT KGS]]</f>
        <v>1782988.5</v>
      </c>
      <c r="AG840">
        <f>Table46[[#This Row],[NET WT KGS]]*Table46[[#This Row],[NUT COUNT]]</f>
        <v>7323360</v>
      </c>
    </row>
    <row r="841" spans="1:33" x14ac:dyDescent="0.35">
      <c r="A841" s="32">
        <f t="shared" si="100"/>
        <v>839</v>
      </c>
      <c r="B841" s="65">
        <v>46138</v>
      </c>
      <c r="C841" s="20">
        <v>46139</v>
      </c>
      <c r="D841" s="66" t="s">
        <v>38</v>
      </c>
      <c r="E841" s="66" t="s">
        <v>39</v>
      </c>
      <c r="F841" s="50" t="s">
        <v>62</v>
      </c>
      <c r="G841" s="66"/>
      <c r="H841" s="116" t="s">
        <v>128</v>
      </c>
      <c r="I841" s="67" t="str">
        <f>VLOOKUP(Table46[[#This Row],[SUPPLIERS NAME]],[1]AGING!X$3:Y$80,2,)</f>
        <v>LBA-002-SCA</v>
      </c>
      <c r="J841" s="66" t="s">
        <v>735</v>
      </c>
      <c r="K841" s="33" t="s">
        <v>131</v>
      </c>
      <c r="L841" s="66">
        <v>734</v>
      </c>
      <c r="M841" s="10">
        <v>78896</v>
      </c>
      <c r="N841" s="66">
        <v>565</v>
      </c>
      <c r="O841" s="68">
        <v>52000</v>
      </c>
      <c r="P841" s="51">
        <f>Table46[[#This Row],[GROSS WT KGS]]-Table46[[#This Row],[SACS]]</f>
        <v>51435</v>
      </c>
      <c r="Q841" s="66">
        <v>558</v>
      </c>
      <c r="R841" s="125">
        <v>20</v>
      </c>
      <c r="S841" s="66">
        <v>0</v>
      </c>
      <c r="T841" s="10">
        <f t="shared" si="99"/>
        <v>160</v>
      </c>
      <c r="U841" s="68">
        <f>Table46[[#This Row],[NET WT KGS]]-Table46[[#This Row],[Refraction]]</f>
        <v>51275</v>
      </c>
      <c r="V841" s="69">
        <v>515</v>
      </c>
      <c r="W841" s="69">
        <f>Table46[[#This Row],[PRICE]]*Table46[[#This Row],[PAID WT]]</f>
        <v>26406625</v>
      </c>
      <c r="X841" s="70">
        <v>11.1</v>
      </c>
      <c r="Y841" s="71">
        <v>181</v>
      </c>
      <c r="Z841" s="70">
        <v>43.82</v>
      </c>
      <c r="AA841" s="72"/>
      <c r="AB841" s="66" t="s">
        <v>132</v>
      </c>
      <c r="AC841" s="73"/>
      <c r="AD841" s="85"/>
      <c r="AE841" s="18">
        <f>Table46[[#This Row],[MOIS.]]*Table46[[#This Row],[NET WT KGS]]</f>
        <v>570928.5</v>
      </c>
      <c r="AF841" s="18">
        <f>Table46[[#This Row],[KOR]]*Table46[[#This Row],[NET WT KGS]]</f>
        <v>2253881.7000000002</v>
      </c>
      <c r="AG841">
        <f>Table46[[#This Row],[NET WT KGS]]*Table46[[#This Row],[NUT COUNT]]</f>
        <v>9309735</v>
      </c>
    </row>
    <row r="842" spans="1:33" x14ac:dyDescent="0.35">
      <c r="A842" s="32">
        <f t="shared" si="100"/>
        <v>840</v>
      </c>
      <c r="B842" s="20">
        <v>46139</v>
      </c>
      <c r="C842" s="20">
        <v>46139</v>
      </c>
      <c r="D842" s="66" t="s">
        <v>38</v>
      </c>
      <c r="E842" s="66" t="s">
        <v>258</v>
      </c>
      <c r="F842" s="50" t="s">
        <v>62</v>
      </c>
      <c r="G842" s="66"/>
      <c r="H842" s="66" t="s">
        <v>922</v>
      </c>
      <c r="I842" s="67" t="s">
        <v>231</v>
      </c>
      <c r="J842" s="66" t="s">
        <v>923</v>
      </c>
      <c r="K842" s="21" t="s">
        <v>924</v>
      </c>
      <c r="L842" s="66">
        <v>735</v>
      </c>
      <c r="M842" s="10">
        <v>35051</v>
      </c>
      <c r="N842" s="66">
        <v>564</v>
      </c>
      <c r="O842" s="68">
        <v>48740</v>
      </c>
      <c r="P842" s="51">
        <f>Table46[[#This Row],[GROSS WT KGS]]-Table46[[#This Row],[SACS]]</f>
        <v>48176</v>
      </c>
      <c r="Q842" s="66">
        <v>556</v>
      </c>
      <c r="R842" s="125">
        <v>10</v>
      </c>
      <c r="S842" s="66">
        <v>0</v>
      </c>
      <c r="T842" s="10">
        <f t="shared" si="99"/>
        <v>80</v>
      </c>
      <c r="U842" s="68">
        <f>Table46[[#This Row],[NET WT KGS]]-Table46[[#This Row],[Refraction]]</f>
        <v>48096</v>
      </c>
      <c r="V842" s="69">
        <v>505</v>
      </c>
      <c r="W842" s="69">
        <f>Table46[[#This Row],[PRICE]]*Table46[[#This Row],[PAID WT]]</f>
        <v>24288480</v>
      </c>
      <c r="X842" s="70">
        <v>10.6</v>
      </c>
      <c r="Y842" s="71">
        <v>179</v>
      </c>
      <c r="Z842" s="70">
        <v>44.25</v>
      </c>
      <c r="AA842" s="72"/>
      <c r="AB842" s="66" t="s">
        <v>925</v>
      </c>
      <c r="AC842" s="73"/>
      <c r="AD842" s="85"/>
      <c r="AE842" s="18">
        <f>Table46[[#This Row],[MOIS.]]*Table46[[#This Row],[NET WT KGS]]</f>
        <v>510665.6</v>
      </c>
      <c r="AF842" s="18">
        <f>Table46[[#This Row],[KOR]]*Table46[[#This Row],[NET WT KGS]]</f>
        <v>2131788</v>
      </c>
      <c r="AG842">
        <f>Table46[[#This Row],[NET WT KGS]]*Table46[[#This Row],[NUT COUNT]]</f>
        <v>8623504</v>
      </c>
    </row>
    <row r="843" spans="1:33" x14ac:dyDescent="0.35">
      <c r="A843" s="32">
        <f t="shared" si="100"/>
        <v>841</v>
      </c>
      <c r="B843" s="20">
        <v>46139</v>
      </c>
      <c r="C843" s="20">
        <v>46140</v>
      </c>
      <c r="D843" s="66" t="s">
        <v>38</v>
      </c>
      <c r="E843" s="66" t="s">
        <v>39</v>
      </c>
      <c r="F843" s="67" t="s">
        <v>40</v>
      </c>
      <c r="G843" s="66" t="s">
        <v>350</v>
      </c>
      <c r="H843" s="67" t="s">
        <v>123</v>
      </c>
      <c r="I843" s="67" t="str">
        <f>VLOOKUP(Table46[[#This Row],[SUPPLIERS NAME]],[1]AGING!X$3:Y$80,2,)</f>
        <v>LBA-011-ASR</v>
      </c>
      <c r="J843" s="66" t="s">
        <v>926</v>
      </c>
      <c r="K843" s="21" t="s">
        <v>161</v>
      </c>
      <c r="L843" s="66">
        <v>373</v>
      </c>
      <c r="M843" s="10">
        <v>88495</v>
      </c>
      <c r="N843" s="66">
        <v>489</v>
      </c>
      <c r="O843" s="68">
        <f t="shared" ref="O843:O848" si="101">P843+N843</f>
        <v>40820</v>
      </c>
      <c r="P843" s="68">
        <v>40331</v>
      </c>
      <c r="Q843" s="66">
        <v>479</v>
      </c>
      <c r="R843" s="125">
        <v>10</v>
      </c>
      <c r="S843" s="66">
        <v>0</v>
      </c>
      <c r="T843" s="10">
        <f t="shared" si="99"/>
        <v>80</v>
      </c>
      <c r="U843" s="68">
        <f>Table46[[#This Row],[NET WT KGS]]-Table46[[#This Row],[Refraction]]</f>
        <v>40251</v>
      </c>
      <c r="V843" s="69">
        <v>500</v>
      </c>
      <c r="W843" s="69">
        <f>Table46[[#This Row],[PRICE]]*Table46[[#This Row],[PAID WT]]</f>
        <v>20125500</v>
      </c>
      <c r="X843" s="70">
        <v>10.199999999999999</v>
      </c>
      <c r="Y843" s="71">
        <v>166</v>
      </c>
      <c r="Z843" s="70">
        <v>41.27</v>
      </c>
      <c r="AA843" s="72"/>
      <c r="AB843" s="66" t="s">
        <v>212</v>
      </c>
      <c r="AC843" s="73"/>
      <c r="AD843" s="85"/>
      <c r="AE843" s="18">
        <f>Table46[[#This Row],[MOIS.]]*Table46[[#This Row],[NET WT KGS]]</f>
        <v>411376.19999999995</v>
      </c>
      <c r="AF843" s="18">
        <f>Table46[[#This Row],[KOR]]*Table46[[#This Row],[NET WT KGS]]</f>
        <v>1664460.37</v>
      </c>
      <c r="AG843">
        <f>Table46[[#This Row],[NET WT KGS]]*Table46[[#This Row],[NUT COUNT]]</f>
        <v>6694946</v>
      </c>
    </row>
    <row r="844" spans="1:33" x14ac:dyDescent="0.35">
      <c r="A844" s="32">
        <f t="shared" si="100"/>
        <v>842</v>
      </c>
      <c r="B844" s="20">
        <v>46139</v>
      </c>
      <c r="C844" s="20">
        <v>46140</v>
      </c>
      <c r="D844" s="66" t="s">
        <v>38</v>
      </c>
      <c r="E844" s="10" t="s">
        <v>39</v>
      </c>
      <c r="F844" s="67" t="s">
        <v>40</v>
      </c>
      <c r="G844" s="10" t="s">
        <v>350</v>
      </c>
      <c r="H844" s="50" t="s">
        <v>123</v>
      </c>
      <c r="I844" s="67" t="str">
        <f>VLOOKUP(Table46[[#This Row],[SUPPLIERS NAME]],[1]AGING!X$3:Y$80,2,)</f>
        <v>LBA-011-ASR</v>
      </c>
      <c r="J844" s="10" t="s">
        <v>645</v>
      </c>
      <c r="K844" s="21" t="s">
        <v>161</v>
      </c>
      <c r="L844" s="66">
        <v>372</v>
      </c>
      <c r="M844" s="10">
        <v>31907</v>
      </c>
      <c r="N844" s="10">
        <v>556</v>
      </c>
      <c r="O844" s="22">
        <f t="shared" si="101"/>
        <v>48160</v>
      </c>
      <c r="P844" s="22">
        <v>47604</v>
      </c>
      <c r="Q844" s="10">
        <v>526</v>
      </c>
      <c r="R844" s="125">
        <v>30</v>
      </c>
      <c r="S844" s="10">
        <v>0</v>
      </c>
      <c r="T844" s="10">
        <f t="shared" si="99"/>
        <v>240</v>
      </c>
      <c r="U844" s="22">
        <f>Table46[[#This Row],[NET WT KGS]]-Table46[[#This Row],[Refraction]]</f>
        <v>47364</v>
      </c>
      <c r="V844" s="23">
        <v>495</v>
      </c>
      <c r="W844" s="23">
        <f>Table46[[#This Row],[PRICE]]*Table46[[#This Row],[PAID WT]]</f>
        <v>23445180</v>
      </c>
      <c r="X844" s="24">
        <v>11.3</v>
      </c>
      <c r="Y844" s="25">
        <v>160</v>
      </c>
      <c r="Z844" s="24">
        <v>41.09</v>
      </c>
      <c r="AA844" s="26"/>
      <c r="AB844" s="10" t="s">
        <v>583</v>
      </c>
      <c r="AC844" s="27"/>
      <c r="AD844" s="28"/>
      <c r="AE844" s="18">
        <f>Table46[[#This Row],[MOIS.]]*Table46[[#This Row],[NET WT KGS]]</f>
        <v>537925.20000000007</v>
      </c>
      <c r="AF844" s="18">
        <f>Table46[[#This Row],[KOR]]*Table46[[#This Row],[NET WT KGS]]</f>
        <v>1956048.36</v>
      </c>
      <c r="AG844">
        <f>Table46[[#This Row],[NET WT KGS]]*Table46[[#This Row],[NUT COUNT]]</f>
        <v>7616640</v>
      </c>
    </row>
    <row r="845" spans="1:33" x14ac:dyDescent="0.35">
      <c r="A845" s="32">
        <f t="shared" si="100"/>
        <v>843</v>
      </c>
      <c r="B845" s="20">
        <v>46139</v>
      </c>
      <c r="C845" s="20">
        <v>46140</v>
      </c>
      <c r="D845" s="66" t="s">
        <v>38</v>
      </c>
      <c r="E845" s="10" t="s">
        <v>39</v>
      </c>
      <c r="F845" s="67" t="s">
        <v>40</v>
      </c>
      <c r="G845" s="10" t="s">
        <v>350</v>
      </c>
      <c r="H845" s="50" t="s">
        <v>123</v>
      </c>
      <c r="I845" s="67" t="str">
        <f>VLOOKUP(Table46[[#This Row],[SUPPLIERS NAME]],[1]AGING!X$3:Y$80,2,)</f>
        <v>LBA-011-ASR</v>
      </c>
      <c r="J845" s="10" t="s">
        <v>613</v>
      </c>
      <c r="K845" s="21" t="s">
        <v>161</v>
      </c>
      <c r="L845" s="66">
        <v>371</v>
      </c>
      <c r="M845" s="10">
        <v>34068</v>
      </c>
      <c r="N845" s="10">
        <v>519</v>
      </c>
      <c r="O845" s="22">
        <f t="shared" si="101"/>
        <v>40740</v>
      </c>
      <c r="P845" s="22">
        <v>40221</v>
      </c>
      <c r="Q845" s="10">
        <v>505</v>
      </c>
      <c r="R845" s="128"/>
      <c r="S845" s="10">
        <v>14</v>
      </c>
      <c r="T845" s="10">
        <f t="shared" si="99"/>
        <v>56</v>
      </c>
      <c r="U845" s="22">
        <f>Table46[[#This Row],[NET WT KGS]]-Table46[[#This Row],[Refraction]]</f>
        <v>40165</v>
      </c>
      <c r="V845" s="23">
        <v>500</v>
      </c>
      <c r="W845" s="23">
        <f>Table46[[#This Row],[PRICE]]*Table46[[#This Row],[PAID WT]]</f>
        <v>20082500</v>
      </c>
      <c r="X845" s="24">
        <v>10.3</v>
      </c>
      <c r="Y845" s="25">
        <v>184</v>
      </c>
      <c r="Z845" s="24">
        <v>41.79</v>
      </c>
      <c r="AA845" s="26"/>
      <c r="AB845" s="10" t="s">
        <v>876</v>
      </c>
      <c r="AC845" s="27"/>
      <c r="AD845" s="28"/>
      <c r="AE845" s="18">
        <f>Table46[[#This Row],[MOIS.]]*Table46[[#This Row],[NET WT KGS]]</f>
        <v>414276.30000000005</v>
      </c>
      <c r="AF845" s="18">
        <f>Table46[[#This Row],[KOR]]*Table46[[#This Row],[NET WT KGS]]</f>
        <v>1680835.5899999999</v>
      </c>
      <c r="AG845">
        <f>Table46[[#This Row],[NET WT KGS]]*Table46[[#This Row],[NUT COUNT]]</f>
        <v>7400664</v>
      </c>
    </row>
    <row r="846" spans="1:33" x14ac:dyDescent="0.35">
      <c r="A846" s="32">
        <f t="shared" si="100"/>
        <v>844</v>
      </c>
      <c r="B846" s="20">
        <v>46140</v>
      </c>
      <c r="C846" s="20">
        <v>46140</v>
      </c>
      <c r="D846" s="66" t="s">
        <v>38</v>
      </c>
      <c r="E846" s="66" t="s">
        <v>39</v>
      </c>
      <c r="F846" s="67" t="s">
        <v>40</v>
      </c>
      <c r="G846" s="66" t="s">
        <v>350</v>
      </c>
      <c r="H846" s="66" t="s">
        <v>338</v>
      </c>
      <c r="I846" s="67" t="str">
        <f>VLOOKUP(Table46[[#This Row],[SUPPLIERS NAME]],[1]AGING!X$3:Y$80,2,)</f>
        <v>LBA-018-COP</v>
      </c>
      <c r="J846" s="66" t="s">
        <v>927</v>
      </c>
      <c r="K846" s="57" t="s">
        <v>340</v>
      </c>
      <c r="L846" s="66">
        <v>374</v>
      </c>
      <c r="M846" s="10">
        <v>15485</v>
      </c>
      <c r="N846" s="66">
        <v>481</v>
      </c>
      <c r="O846" s="68">
        <f t="shared" si="101"/>
        <v>40180</v>
      </c>
      <c r="P846" s="68">
        <v>39699</v>
      </c>
      <c r="Q846" s="66">
        <v>451</v>
      </c>
      <c r="R846" s="125">
        <v>30</v>
      </c>
      <c r="S846" s="66">
        <v>0</v>
      </c>
      <c r="T846" s="10">
        <f t="shared" si="99"/>
        <v>240</v>
      </c>
      <c r="U846" s="68">
        <f>Table46[[#This Row],[NET WT KGS]]-Table46[[#This Row],[Refraction]]</f>
        <v>39459</v>
      </c>
      <c r="V846" s="69">
        <v>490</v>
      </c>
      <c r="W846" s="69">
        <f>Table46[[#This Row],[PRICE]]*Table46[[#This Row],[PAID WT]]</f>
        <v>19334910</v>
      </c>
      <c r="X846" s="70">
        <v>12.4</v>
      </c>
      <c r="Y846" s="71">
        <v>167</v>
      </c>
      <c r="Z846" s="70">
        <v>41.27</v>
      </c>
      <c r="AA846" s="72"/>
      <c r="AB846" s="66" t="s">
        <v>171</v>
      </c>
      <c r="AC846" s="73"/>
      <c r="AD846" s="85"/>
      <c r="AE846" s="18">
        <f>Table46[[#This Row],[MOIS.]]*Table46[[#This Row],[NET WT KGS]]</f>
        <v>492267.60000000003</v>
      </c>
      <c r="AF846" s="18">
        <f>Table46[[#This Row],[KOR]]*Table46[[#This Row],[NET WT KGS]]</f>
        <v>1638377.7300000002</v>
      </c>
      <c r="AG846">
        <f>Table46[[#This Row],[NET WT KGS]]*Table46[[#This Row],[NUT COUNT]]</f>
        <v>6629733</v>
      </c>
    </row>
    <row r="847" spans="1:33" x14ac:dyDescent="0.35">
      <c r="A847" s="32">
        <f t="shared" si="100"/>
        <v>845</v>
      </c>
      <c r="B847" s="20">
        <v>46140</v>
      </c>
      <c r="C847" s="20">
        <v>46140</v>
      </c>
      <c r="D847" s="66" t="s">
        <v>38</v>
      </c>
      <c r="E847" s="66" t="s">
        <v>39</v>
      </c>
      <c r="F847" s="67" t="s">
        <v>40</v>
      </c>
      <c r="G847" s="66" t="s">
        <v>350</v>
      </c>
      <c r="H847" s="66" t="s">
        <v>112</v>
      </c>
      <c r="I847" s="67" t="str">
        <f>VLOOKUP(Table46[[#This Row],[SUPPLIERS NAME]],[1]AGING!X$3:Y$80,2,)</f>
        <v>LBA-015-OUM</v>
      </c>
      <c r="J847" s="66" t="s">
        <v>366</v>
      </c>
      <c r="K847" s="21" t="s">
        <v>115</v>
      </c>
      <c r="L847" s="66">
        <v>375</v>
      </c>
      <c r="M847" s="10">
        <v>34020</v>
      </c>
      <c r="N847" s="66">
        <v>399</v>
      </c>
      <c r="O847" s="68">
        <f t="shared" si="101"/>
        <v>33040</v>
      </c>
      <c r="P847" s="68">
        <v>32641</v>
      </c>
      <c r="Q847" s="66">
        <v>391</v>
      </c>
      <c r="R847" s="129"/>
      <c r="S847" s="66">
        <v>8</v>
      </c>
      <c r="T847" s="10">
        <f t="shared" si="99"/>
        <v>32</v>
      </c>
      <c r="U847" s="68">
        <f>Table46[[#This Row],[NET WT KGS]]-Table46[[#This Row],[Refraction]]</f>
        <v>32609</v>
      </c>
      <c r="V847" s="69">
        <v>490</v>
      </c>
      <c r="W847" s="69">
        <f>Table46[[#This Row],[PRICE]]*Table46[[#This Row],[PAID WT]]</f>
        <v>15978410</v>
      </c>
      <c r="X847" s="70">
        <v>8.3000000000000007</v>
      </c>
      <c r="Y847" s="71">
        <v>153</v>
      </c>
      <c r="Z847" s="70">
        <v>41.09</v>
      </c>
      <c r="AA847" s="72"/>
      <c r="AB847" s="66" t="s">
        <v>132</v>
      </c>
      <c r="AC847" s="73"/>
      <c r="AD847" s="85"/>
      <c r="AE847" s="18">
        <f>Table46[[#This Row],[MOIS.]]*Table46[[#This Row],[NET WT KGS]]</f>
        <v>270920.30000000005</v>
      </c>
      <c r="AF847" s="18">
        <f>Table46[[#This Row],[KOR]]*Table46[[#This Row],[NET WT KGS]]</f>
        <v>1341218.6900000002</v>
      </c>
      <c r="AG847">
        <f>Table46[[#This Row],[NET WT KGS]]*Table46[[#This Row],[NUT COUNT]]</f>
        <v>4994073</v>
      </c>
    </row>
    <row r="848" spans="1:33" x14ac:dyDescent="0.35">
      <c r="A848" s="32">
        <f t="shared" si="100"/>
        <v>846</v>
      </c>
      <c r="B848" s="20">
        <v>46140</v>
      </c>
      <c r="C848" s="20">
        <v>46140</v>
      </c>
      <c r="D848" s="66" t="s">
        <v>38</v>
      </c>
      <c r="E848" s="66" t="s">
        <v>39</v>
      </c>
      <c r="F848" s="67" t="s">
        <v>40</v>
      </c>
      <c r="G848" s="66" t="s">
        <v>41</v>
      </c>
      <c r="H848" s="67" t="s">
        <v>280</v>
      </c>
      <c r="I848" s="67" t="str">
        <f>VLOOKUP(Table46[[#This Row],[SUPPLIERS NAME]],[1]AGING!X$3:Y$80,2,)</f>
        <v>LBA-016-NOU</v>
      </c>
      <c r="J848" s="66" t="s">
        <v>928</v>
      </c>
      <c r="K848" s="21" t="s">
        <v>283</v>
      </c>
      <c r="L848" s="66">
        <v>376</v>
      </c>
      <c r="M848" s="10">
        <v>18442</v>
      </c>
      <c r="N848" s="66">
        <v>458</v>
      </c>
      <c r="O848" s="68">
        <f t="shared" si="101"/>
        <v>36420</v>
      </c>
      <c r="P848" s="68">
        <v>35962</v>
      </c>
      <c r="Q848" s="66">
        <v>443</v>
      </c>
      <c r="R848" s="125">
        <v>15</v>
      </c>
      <c r="S848" s="66">
        <v>0</v>
      </c>
      <c r="T848" s="10">
        <f t="shared" si="99"/>
        <v>120</v>
      </c>
      <c r="U848" s="68">
        <f>Table46[[#This Row],[NET WT KGS]]-Table46[[#This Row],[Refraction]]</f>
        <v>35842</v>
      </c>
      <c r="V848" s="69">
        <v>480</v>
      </c>
      <c r="W848" s="69">
        <f>Table46[[#This Row],[PRICE]]*Table46[[#This Row],[PAID WT]]</f>
        <v>17204160</v>
      </c>
      <c r="X848" s="70">
        <v>11.3</v>
      </c>
      <c r="Y848" s="71">
        <v>160</v>
      </c>
      <c r="Z848" s="70">
        <v>41.79</v>
      </c>
      <c r="AA848" s="72"/>
      <c r="AB848" s="66" t="s">
        <v>58</v>
      </c>
      <c r="AC848" s="73"/>
      <c r="AD848" s="85"/>
      <c r="AE848" s="18">
        <f>Table46[[#This Row],[MOIS.]]*Table46[[#This Row],[NET WT KGS]]</f>
        <v>406370.60000000003</v>
      </c>
      <c r="AF848" s="18">
        <f>Table46[[#This Row],[KOR]]*Table46[[#This Row],[NET WT KGS]]</f>
        <v>1502851.98</v>
      </c>
      <c r="AG848">
        <f>Table46[[#This Row],[NET WT KGS]]*Table46[[#This Row],[NUT COUNT]]</f>
        <v>5753920</v>
      </c>
    </row>
    <row r="849" spans="1:33" x14ac:dyDescent="0.35">
      <c r="A849" s="32">
        <f t="shared" si="100"/>
        <v>847</v>
      </c>
      <c r="B849" s="20">
        <v>46137</v>
      </c>
      <c r="C849" s="20">
        <v>46140</v>
      </c>
      <c r="D849" s="66" t="s">
        <v>38</v>
      </c>
      <c r="E849" s="66" t="s">
        <v>39</v>
      </c>
      <c r="F849" s="67" t="s">
        <v>62</v>
      </c>
      <c r="G849" s="66"/>
      <c r="H849" s="66" t="s">
        <v>684</v>
      </c>
      <c r="I849" s="67" t="str">
        <f>VLOOKUP(Table46[[#This Row],[SUPPLIERS NAME]],[1]AGING!X$3:Y$80,2,)</f>
        <v>LBA-021-SAN</v>
      </c>
      <c r="J849" s="66" t="s">
        <v>929</v>
      </c>
      <c r="K849" s="66"/>
      <c r="L849" s="66">
        <v>736</v>
      </c>
      <c r="M849" s="66">
        <v>32360</v>
      </c>
      <c r="N849" s="66">
        <v>525</v>
      </c>
      <c r="O849" s="68">
        <v>46420</v>
      </c>
      <c r="P849" s="51">
        <f>Table46[[#This Row],[GROSS WT KGS]]-Table46[[#This Row],[SACS]]</f>
        <v>45895</v>
      </c>
      <c r="Q849" s="66">
        <v>506</v>
      </c>
      <c r="R849" s="125">
        <v>20</v>
      </c>
      <c r="S849" s="66">
        <v>0</v>
      </c>
      <c r="T849" s="10">
        <f t="shared" si="99"/>
        <v>160</v>
      </c>
      <c r="U849" s="68">
        <f>Table46[[#This Row],[NET WT KGS]]-Table46[[#This Row],[Refraction]]</f>
        <v>45735</v>
      </c>
      <c r="V849" s="69">
        <v>510</v>
      </c>
      <c r="W849" s="69">
        <f>Table46[[#This Row],[PRICE]]*Table46[[#This Row],[PAID WT]]</f>
        <v>23324850</v>
      </c>
      <c r="X849" s="70">
        <v>11.4</v>
      </c>
      <c r="Y849" s="71">
        <v>180</v>
      </c>
      <c r="Z849" s="70">
        <v>43.38</v>
      </c>
      <c r="AA849" s="72"/>
      <c r="AB849" s="66" t="s">
        <v>40</v>
      </c>
      <c r="AC849" s="27" t="s">
        <v>762</v>
      </c>
      <c r="AD849" s="85"/>
      <c r="AE849" s="18">
        <f>Table46[[#This Row],[MOIS.]]*Table46[[#This Row],[NET WT KGS]]</f>
        <v>523203</v>
      </c>
      <c r="AF849" s="18">
        <f>Table46[[#This Row],[KOR]]*Table46[[#This Row],[NET WT KGS]]</f>
        <v>1990925.1</v>
      </c>
      <c r="AG849">
        <f>Table46[[#This Row],[NET WT KGS]]*Table46[[#This Row],[NUT COUNT]]</f>
        <v>8261100</v>
      </c>
    </row>
    <row r="850" spans="1:33" x14ac:dyDescent="0.35">
      <c r="A850" s="32">
        <f t="shared" si="100"/>
        <v>848</v>
      </c>
      <c r="B850" s="20">
        <v>46139</v>
      </c>
      <c r="C850" s="20">
        <v>46140</v>
      </c>
      <c r="D850" s="66" t="s">
        <v>38</v>
      </c>
      <c r="E850" s="66" t="s">
        <v>39</v>
      </c>
      <c r="F850" s="67" t="s">
        <v>62</v>
      </c>
      <c r="G850" s="66"/>
      <c r="H850" s="116" t="s">
        <v>128</v>
      </c>
      <c r="I850" s="67" t="str">
        <f>VLOOKUP(Table46[[#This Row],[SUPPLIERS NAME]],[1]AGING!X$3:Y$80,2,)</f>
        <v>LBA-002-SCA</v>
      </c>
      <c r="J850" s="66" t="s">
        <v>930</v>
      </c>
      <c r="K850" s="33" t="s">
        <v>131</v>
      </c>
      <c r="L850" s="66">
        <v>739</v>
      </c>
      <c r="M850" s="10">
        <v>78895</v>
      </c>
      <c r="N850" s="66">
        <v>494</v>
      </c>
      <c r="O850" s="68">
        <v>41910</v>
      </c>
      <c r="P850" s="51">
        <f>Table46[[#This Row],[GROSS WT KGS]]-Table46[[#This Row],[SACS]]</f>
        <v>41416</v>
      </c>
      <c r="Q850" s="66">
        <f>Table46[[#This Row],[SACS]]-Table46[[#This Row],[HUMID SACS]]</f>
        <v>469</v>
      </c>
      <c r="R850" s="125">
        <v>25</v>
      </c>
      <c r="S850" s="66">
        <v>0</v>
      </c>
      <c r="T850" s="10">
        <f t="shared" si="99"/>
        <v>200</v>
      </c>
      <c r="U850" s="68">
        <f>Table46[[#This Row],[NET WT KGS]]-Table46[[#This Row],[Refraction]]</f>
        <v>41216</v>
      </c>
      <c r="V850" s="69">
        <v>485</v>
      </c>
      <c r="W850" s="69">
        <f>Table46[[#This Row],[PRICE]]*Table46[[#This Row],[PAID WT]]</f>
        <v>19989760</v>
      </c>
      <c r="X850" s="70">
        <v>11.1</v>
      </c>
      <c r="Y850" s="71">
        <v>192</v>
      </c>
      <c r="Z850" s="70">
        <v>42.59</v>
      </c>
      <c r="AA850" s="72"/>
      <c r="AB850" s="66" t="s">
        <v>132</v>
      </c>
      <c r="AC850" s="73"/>
      <c r="AD850" s="85"/>
      <c r="AE850" s="18">
        <f>Table46[[#This Row],[MOIS.]]*Table46[[#This Row],[NET WT KGS]]</f>
        <v>459717.6</v>
      </c>
      <c r="AF850" s="18">
        <f>Table46[[#This Row],[KOR]]*Table46[[#This Row],[NET WT KGS]]</f>
        <v>1763907.4400000002</v>
      </c>
      <c r="AG850">
        <f>Table46[[#This Row],[NET WT KGS]]*Table46[[#This Row],[NUT COUNT]]</f>
        <v>7951872</v>
      </c>
    </row>
    <row r="851" spans="1:33" x14ac:dyDescent="0.35">
      <c r="A851" s="32">
        <f t="shared" si="100"/>
        <v>849</v>
      </c>
      <c r="B851" s="20">
        <v>46139</v>
      </c>
      <c r="C851" s="20">
        <v>46140</v>
      </c>
      <c r="D851" s="66" t="s">
        <v>38</v>
      </c>
      <c r="E851" s="66" t="s">
        <v>39</v>
      </c>
      <c r="F851" s="50" t="s">
        <v>62</v>
      </c>
      <c r="G851" s="10"/>
      <c r="H851" s="117" t="s">
        <v>128</v>
      </c>
      <c r="I851" s="67" t="str">
        <f>VLOOKUP(Table46[[#This Row],[SUPPLIERS NAME]],[1]AGING!X$3:Y$80,2,)</f>
        <v>LBA-002-SCA</v>
      </c>
      <c r="J851" s="10" t="s">
        <v>931</v>
      </c>
      <c r="K851" s="33" t="s">
        <v>131</v>
      </c>
      <c r="L851" s="10">
        <v>740</v>
      </c>
      <c r="M851" s="10">
        <v>78894</v>
      </c>
      <c r="N851" s="10">
        <v>531</v>
      </c>
      <c r="O851" s="22">
        <v>45790</v>
      </c>
      <c r="P851" s="51">
        <f>Table46[[#This Row],[GROSS WT KGS]]-Table46[[#This Row],[SACS]]</f>
        <v>45259</v>
      </c>
      <c r="Q851" s="66">
        <f>Table46[[#This Row],[SACS]]-Table46[[#This Row],[HUMID SACS]]</f>
        <v>491</v>
      </c>
      <c r="R851" s="124">
        <v>40</v>
      </c>
      <c r="S851" s="10">
        <v>0</v>
      </c>
      <c r="T851" s="10">
        <f t="shared" si="99"/>
        <v>320</v>
      </c>
      <c r="U851" s="22">
        <f>Table46[[#This Row],[NET WT KGS]]-Table46[[#This Row],[Refraction]]</f>
        <v>44939</v>
      </c>
      <c r="V851" s="23">
        <v>490</v>
      </c>
      <c r="W851" s="23">
        <f>Table46[[#This Row],[PRICE]]*Table46[[#This Row],[PAID WT]]</f>
        <v>22020110</v>
      </c>
      <c r="X851" s="24">
        <v>12.4</v>
      </c>
      <c r="Y851" s="25">
        <v>175</v>
      </c>
      <c r="Z851" s="24">
        <v>43.73</v>
      </c>
      <c r="AA851" s="26"/>
      <c r="AB851" s="10" t="s">
        <v>132</v>
      </c>
      <c r="AC851" s="27"/>
      <c r="AD851" s="28"/>
      <c r="AE851" s="18">
        <f>Table46[[#This Row],[MOIS.]]*Table46[[#This Row],[NET WT KGS]]</f>
        <v>561211.6</v>
      </c>
      <c r="AF851" s="18">
        <f>Table46[[#This Row],[KOR]]*Table46[[#This Row],[NET WT KGS]]</f>
        <v>1979176.0699999998</v>
      </c>
      <c r="AG851">
        <f>Table46[[#This Row],[NET WT KGS]]*Table46[[#This Row],[NUT COUNT]]</f>
        <v>7920325</v>
      </c>
    </row>
    <row r="852" spans="1:33" x14ac:dyDescent="0.35">
      <c r="A852" s="32">
        <f t="shared" si="100"/>
        <v>850</v>
      </c>
      <c r="B852" s="20">
        <v>46139</v>
      </c>
      <c r="C852" s="20">
        <v>46140</v>
      </c>
      <c r="D852" s="66" t="s">
        <v>38</v>
      </c>
      <c r="E852" s="66" t="s">
        <v>39</v>
      </c>
      <c r="F852" s="67" t="s">
        <v>62</v>
      </c>
      <c r="G852" s="66"/>
      <c r="H852" s="66" t="s">
        <v>684</v>
      </c>
      <c r="I852" s="67" t="str">
        <f>VLOOKUP(Table46[[#This Row],[SUPPLIERS NAME]],[1]AGING!X$3:Y$80,2,)</f>
        <v>LBA-021-SAN</v>
      </c>
      <c r="J852" s="66" t="s">
        <v>932</v>
      </c>
      <c r="K852" s="66"/>
      <c r="L852" s="66">
        <v>737</v>
      </c>
      <c r="M852" s="66">
        <v>39822</v>
      </c>
      <c r="N852" s="66">
        <v>558</v>
      </c>
      <c r="O852" s="68">
        <v>44470</v>
      </c>
      <c r="P852" s="51">
        <f>Table46[[#This Row],[GROSS WT KGS]]-Table46[[#This Row],[SACS]]</f>
        <v>43912</v>
      </c>
      <c r="Q852" s="66">
        <v>536</v>
      </c>
      <c r="R852" s="125">
        <v>20</v>
      </c>
      <c r="S852" s="66">
        <v>0</v>
      </c>
      <c r="T852" s="10">
        <f t="shared" si="99"/>
        <v>160</v>
      </c>
      <c r="U852" s="68">
        <f>Table46[[#This Row],[NET WT KGS]]-Table46[[#This Row],[Refraction]]</f>
        <v>43752</v>
      </c>
      <c r="V852" s="69">
        <v>505</v>
      </c>
      <c r="W852" s="69">
        <f>Table46[[#This Row],[PRICE]]*Table46[[#This Row],[PAID WT]]</f>
        <v>22094760</v>
      </c>
      <c r="X852" s="70">
        <v>11.9</v>
      </c>
      <c r="Y852" s="71">
        <v>168</v>
      </c>
      <c r="Z852" s="70">
        <v>42.06</v>
      </c>
      <c r="AA852" s="72"/>
      <c r="AB852" s="66" t="s">
        <v>40</v>
      </c>
      <c r="AC852" s="27" t="s">
        <v>762</v>
      </c>
      <c r="AD852" s="85"/>
      <c r="AE852" s="18">
        <f>Table46[[#This Row],[MOIS.]]*Table46[[#This Row],[NET WT KGS]]</f>
        <v>522552.8</v>
      </c>
      <c r="AF852" s="18">
        <f>Table46[[#This Row],[KOR]]*Table46[[#This Row],[NET WT KGS]]</f>
        <v>1846938.7200000002</v>
      </c>
      <c r="AG852">
        <f>Table46[[#This Row],[NET WT KGS]]*Table46[[#This Row],[NUT COUNT]]</f>
        <v>7377216</v>
      </c>
    </row>
    <row r="853" spans="1:33" x14ac:dyDescent="0.35">
      <c r="A853" s="32">
        <f t="shared" si="100"/>
        <v>851</v>
      </c>
      <c r="B853" s="20">
        <v>46139</v>
      </c>
      <c r="C853" s="20">
        <v>46140</v>
      </c>
      <c r="D853" s="66" t="s">
        <v>38</v>
      </c>
      <c r="E853" s="66" t="s">
        <v>39</v>
      </c>
      <c r="F853" s="67" t="s">
        <v>62</v>
      </c>
      <c r="G853" s="66"/>
      <c r="H853" s="66" t="s">
        <v>286</v>
      </c>
      <c r="I853" s="67" t="str">
        <f>VLOOKUP(Table46[[#This Row],[SUPPLIERS NAME]],[1]AGING!X$3:Y$80,2,)</f>
        <v>LBA-017-DPV</v>
      </c>
      <c r="J853" s="66" t="s">
        <v>933</v>
      </c>
      <c r="K853" s="21" t="s">
        <v>289</v>
      </c>
      <c r="L853" s="66">
        <v>738</v>
      </c>
      <c r="M853" s="10">
        <v>37589</v>
      </c>
      <c r="N853" s="66">
        <v>563</v>
      </c>
      <c r="O853" s="68">
        <v>39970</v>
      </c>
      <c r="P853" s="51">
        <f>Table46[[#This Row],[GROSS WT KGS]]-Table46[[#This Row],[SACS]]</f>
        <v>39407</v>
      </c>
      <c r="Q853" s="66">
        <f>Table46[[#This Row],[SACS]]-Table46[[#This Row],[HUMID SACS]]</f>
        <v>513</v>
      </c>
      <c r="R853" s="125">
        <v>50</v>
      </c>
      <c r="S853" s="66">
        <v>0</v>
      </c>
      <c r="T853" s="10">
        <f t="shared" si="99"/>
        <v>400</v>
      </c>
      <c r="U853" s="68">
        <f>Table46[[#This Row],[NET WT KGS]]-Table46[[#This Row],[Refraction]]</f>
        <v>39007</v>
      </c>
      <c r="V853" s="69">
        <v>495</v>
      </c>
      <c r="W853" s="69">
        <f>Table46[[#This Row],[PRICE]]*Table46[[#This Row],[PAID WT]]</f>
        <v>19308465</v>
      </c>
      <c r="X853" s="70">
        <v>13.7</v>
      </c>
      <c r="Y853" s="71">
        <v>164</v>
      </c>
      <c r="Z853" s="70">
        <v>43.91</v>
      </c>
      <c r="AA853" s="72"/>
      <c r="AB853" s="66" t="s">
        <v>46</v>
      </c>
      <c r="AC853" s="73"/>
      <c r="AD853" s="85"/>
      <c r="AE853" s="18">
        <f>Table46[[#This Row],[MOIS.]]*Table46[[#This Row],[NET WT KGS]]</f>
        <v>539875.9</v>
      </c>
      <c r="AF853" s="18">
        <f>Table46[[#This Row],[KOR]]*Table46[[#This Row],[NET WT KGS]]</f>
        <v>1730361.3699999999</v>
      </c>
      <c r="AG853">
        <f>Table46[[#This Row],[NET WT KGS]]*Table46[[#This Row],[NUT COUNT]]</f>
        <v>6462748</v>
      </c>
    </row>
    <row r="854" spans="1:33" x14ac:dyDescent="0.35">
      <c r="A854" s="32">
        <f t="shared" si="100"/>
        <v>852</v>
      </c>
      <c r="B854" s="20">
        <v>46139</v>
      </c>
      <c r="C854" s="20">
        <v>46140</v>
      </c>
      <c r="D854" s="66" t="s">
        <v>38</v>
      </c>
      <c r="E854" s="66" t="s">
        <v>39</v>
      </c>
      <c r="F854" s="67" t="s">
        <v>62</v>
      </c>
      <c r="G854" s="66"/>
      <c r="H854" s="116" t="s">
        <v>128</v>
      </c>
      <c r="I854" s="67" t="str">
        <f>VLOOKUP(Table46[[#This Row],[SUPPLIERS NAME]],[1]AGING!X$3:Y$80,2,)</f>
        <v>LBA-002-SCA</v>
      </c>
      <c r="J854" s="66" t="s">
        <v>934</v>
      </c>
      <c r="K854" s="33" t="s">
        <v>131</v>
      </c>
      <c r="L854" s="66">
        <v>741</v>
      </c>
      <c r="M854" s="10">
        <v>78904</v>
      </c>
      <c r="N854" s="66">
        <v>474</v>
      </c>
      <c r="O854" s="68">
        <v>39900</v>
      </c>
      <c r="P854" s="51">
        <f>Table46[[#This Row],[GROSS WT KGS]]-Table46[[#This Row],[SACS]]</f>
        <v>39426</v>
      </c>
      <c r="Q854" s="66">
        <f>Table46[[#This Row],[SACS]]-Table46[[#This Row],[HUMID SACS]]</f>
        <v>464</v>
      </c>
      <c r="R854" s="125">
        <v>10</v>
      </c>
      <c r="S854" s="66">
        <v>0</v>
      </c>
      <c r="T854" s="10">
        <f t="shared" si="99"/>
        <v>80</v>
      </c>
      <c r="U854" s="68">
        <f>Table46[[#This Row],[NET WT KGS]]-Table46[[#This Row],[Refraction]]</f>
        <v>39346</v>
      </c>
      <c r="V854" s="69">
        <v>485</v>
      </c>
      <c r="W854" s="69">
        <f>Table46[[#This Row],[PRICE]]*Table46[[#This Row],[PAID WT]]</f>
        <v>19082810</v>
      </c>
      <c r="X854" s="70">
        <v>10.5</v>
      </c>
      <c r="Y854" s="71">
        <v>167</v>
      </c>
      <c r="Z854" s="70">
        <v>42.94</v>
      </c>
      <c r="AA854" s="72"/>
      <c r="AB854" s="66" t="s">
        <v>132</v>
      </c>
      <c r="AC854" s="73"/>
      <c r="AD854" s="85"/>
      <c r="AE854" s="18">
        <f>Table46[[#This Row],[MOIS.]]*Table46[[#This Row],[NET WT KGS]]</f>
        <v>413973</v>
      </c>
      <c r="AF854" s="18">
        <f>Table46[[#This Row],[KOR]]*Table46[[#This Row],[NET WT KGS]]</f>
        <v>1692952.44</v>
      </c>
      <c r="AG854">
        <f>Table46[[#This Row],[NET WT KGS]]*Table46[[#This Row],[NUT COUNT]]</f>
        <v>6584142</v>
      </c>
    </row>
    <row r="855" spans="1:33" x14ac:dyDescent="0.35">
      <c r="A855" s="32">
        <f t="shared" si="100"/>
        <v>853</v>
      </c>
      <c r="B855" s="20">
        <v>46138</v>
      </c>
      <c r="C855" s="20">
        <v>46140</v>
      </c>
      <c r="D855" s="66" t="s">
        <v>38</v>
      </c>
      <c r="E855" s="66" t="s">
        <v>39</v>
      </c>
      <c r="F855" s="67" t="s">
        <v>62</v>
      </c>
      <c r="G855" s="66"/>
      <c r="H855" s="66" t="s">
        <v>684</v>
      </c>
      <c r="I855" s="67" t="str">
        <f>VLOOKUP(Table46[[#This Row],[SUPPLIERS NAME]],[1]AGING!X$3:Y$80,2,)</f>
        <v>LBA-021-SAN</v>
      </c>
      <c r="J855" s="66" t="s">
        <v>935</v>
      </c>
      <c r="K855" s="66"/>
      <c r="L855" s="66">
        <v>742</v>
      </c>
      <c r="M855" s="66">
        <v>37965</v>
      </c>
      <c r="N855" s="66">
        <v>515</v>
      </c>
      <c r="O855" s="68">
        <v>43880</v>
      </c>
      <c r="P855" s="51">
        <f>Table46[[#This Row],[GROSS WT KGS]]-Table46[[#This Row],[SACS]]</f>
        <v>43365</v>
      </c>
      <c r="Q855" s="66">
        <f>Table46[[#This Row],[SACS]]-Table46[[#This Row],[HUMID SACS]]</f>
        <v>485</v>
      </c>
      <c r="R855" s="125">
        <v>30</v>
      </c>
      <c r="S855" s="66">
        <v>0</v>
      </c>
      <c r="T855" s="10">
        <f t="shared" si="99"/>
        <v>240</v>
      </c>
      <c r="U855" s="68">
        <f>Table46[[#This Row],[NET WT KGS]]-Table46[[#This Row],[Refraction]]</f>
        <v>43125</v>
      </c>
      <c r="V855" s="69">
        <v>505</v>
      </c>
      <c r="W855" s="69">
        <f>Table46[[#This Row],[PRICE]]*Table46[[#This Row],[PAID WT]]</f>
        <v>21778125</v>
      </c>
      <c r="X855" s="70">
        <v>12.6</v>
      </c>
      <c r="Y855" s="71">
        <v>175</v>
      </c>
      <c r="Z855" s="70">
        <v>42.06</v>
      </c>
      <c r="AA855" s="72"/>
      <c r="AB855" s="66" t="s">
        <v>58</v>
      </c>
      <c r="AC855" s="73" t="s">
        <v>686</v>
      </c>
      <c r="AD855" s="85"/>
      <c r="AE855" s="18">
        <f>Table46[[#This Row],[MOIS.]]*Table46[[#This Row],[NET WT KGS]]</f>
        <v>546399</v>
      </c>
      <c r="AF855" s="18">
        <f>Table46[[#This Row],[KOR]]*Table46[[#This Row],[NET WT KGS]]</f>
        <v>1823931.9000000001</v>
      </c>
      <c r="AG855">
        <f>Table46[[#This Row],[NET WT KGS]]*Table46[[#This Row],[NUT COUNT]]</f>
        <v>7588875</v>
      </c>
    </row>
    <row r="856" spans="1:33" x14ac:dyDescent="0.35">
      <c r="A856" s="32">
        <f t="shared" si="100"/>
        <v>854</v>
      </c>
      <c r="B856" s="20">
        <v>46140</v>
      </c>
      <c r="C856" s="20">
        <v>46140</v>
      </c>
      <c r="D856" s="66" t="s">
        <v>38</v>
      </c>
      <c r="E856" s="66" t="s">
        <v>39</v>
      </c>
      <c r="F856" s="130" t="s">
        <v>62</v>
      </c>
      <c r="G856" s="131"/>
      <c r="H856" s="130" t="s">
        <v>936</v>
      </c>
      <c r="I856" s="130" t="s">
        <v>329</v>
      </c>
      <c r="J856" s="10" t="s">
        <v>937</v>
      </c>
      <c r="K856" s="66"/>
      <c r="L856" s="10">
        <v>0</v>
      </c>
      <c r="M856" s="66">
        <v>0</v>
      </c>
      <c r="N856" s="10">
        <v>1530</v>
      </c>
      <c r="O856" s="22">
        <f t="shared" ref="O856:O871" si="102">P856+N856</f>
        <v>116480</v>
      </c>
      <c r="P856" s="51">
        <v>114950</v>
      </c>
      <c r="Q856" s="10"/>
      <c r="R856" s="125"/>
      <c r="S856" s="66">
        <v>0</v>
      </c>
      <c r="T856" s="10">
        <f t="shared" si="99"/>
        <v>0</v>
      </c>
      <c r="U856" s="22">
        <f>Table46[[#This Row],[NET WT KGS]]-Table46[[#This Row],[Refraction]]</f>
        <v>114950</v>
      </c>
      <c r="V856" s="23">
        <v>525</v>
      </c>
      <c r="W856" s="23">
        <f>Table46[[#This Row],[PRICE]]*Table46[[#This Row],[PAID WT]]</f>
        <v>60348750</v>
      </c>
      <c r="X856" s="24">
        <v>8</v>
      </c>
      <c r="Y856" s="25">
        <v>175</v>
      </c>
      <c r="Z856" s="24">
        <v>45</v>
      </c>
      <c r="AA856" s="26"/>
      <c r="AB856" s="10" t="s">
        <v>938</v>
      </c>
      <c r="AC856" s="27"/>
      <c r="AD856" s="28"/>
      <c r="AE856" s="18">
        <f>Table46[[#This Row],[MOIS.]]*Table46[[#This Row],[NET WT KGS]]</f>
        <v>919600</v>
      </c>
      <c r="AF856" s="18">
        <f>Table46[[#This Row],[KOR]]*Table46[[#This Row],[NET WT KGS]]</f>
        <v>5172750</v>
      </c>
      <c r="AG856">
        <f>Table46[[#This Row],[NET WT KGS]]*Table46[[#This Row],[NUT COUNT]]</f>
        <v>20116250</v>
      </c>
    </row>
    <row r="857" spans="1:33" x14ac:dyDescent="0.35">
      <c r="A857" s="32">
        <f t="shared" si="100"/>
        <v>855</v>
      </c>
      <c r="B857" s="35">
        <v>46140</v>
      </c>
      <c r="C857" s="35">
        <f>Table46[[#This Row],[DATE OF ARRIVAL]]</f>
        <v>46140</v>
      </c>
      <c r="D857" s="74"/>
      <c r="E857" s="74"/>
      <c r="F857" s="74" t="s">
        <v>40</v>
      </c>
      <c r="G857" s="74"/>
      <c r="H857" s="74" t="s">
        <v>338</v>
      </c>
      <c r="I857" s="36" t="s">
        <v>317</v>
      </c>
      <c r="J857" s="74" t="s">
        <v>939</v>
      </c>
      <c r="K857" s="74"/>
      <c r="L857" s="74"/>
      <c r="M857" s="74"/>
      <c r="N857" s="74"/>
      <c r="O857" s="79"/>
      <c r="P857" s="79"/>
      <c r="Q857" s="74"/>
      <c r="R857" s="132"/>
      <c r="S857" s="74"/>
      <c r="T857" s="36"/>
      <c r="U857" s="79"/>
      <c r="V857" s="81"/>
      <c r="W857" s="81"/>
      <c r="X857" s="82">
        <v>8.8000000000000007</v>
      </c>
      <c r="Y857" s="83">
        <v>168</v>
      </c>
      <c r="Z857" s="82">
        <v>39.506880000000002</v>
      </c>
      <c r="AA857" s="84"/>
      <c r="AB857" s="74" t="s">
        <v>284</v>
      </c>
      <c r="AC857" s="42" t="s">
        <v>70</v>
      </c>
      <c r="AD857" s="85"/>
      <c r="AE857" s="18"/>
      <c r="AF857" s="18"/>
    </row>
    <row r="858" spans="1:33" x14ac:dyDescent="0.35">
      <c r="A858" s="32">
        <f t="shared" si="100"/>
        <v>856</v>
      </c>
      <c r="B858" s="35">
        <v>46140</v>
      </c>
      <c r="C858" s="35">
        <f>Table46[[#This Row],[DATE OF ARRIVAL]]</f>
        <v>46140</v>
      </c>
      <c r="D858" s="74"/>
      <c r="E858" s="74"/>
      <c r="F858" s="74" t="s">
        <v>40</v>
      </c>
      <c r="G858" s="74"/>
      <c r="H858" s="74" t="s">
        <v>112</v>
      </c>
      <c r="I858" s="36" t="s">
        <v>113</v>
      </c>
      <c r="J858" s="74" t="s">
        <v>897</v>
      </c>
      <c r="K858" s="74"/>
      <c r="L858" s="74"/>
      <c r="M858" s="74"/>
      <c r="N858" s="74"/>
      <c r="O858" s="79"/>
      <c r="P858" s="79"/>
      <c r="Q858" s="74"/>
      <c r="R858" s="132"/>
      <c r="S858" s="74"/>
      <c r="T858" s="36"/>
      <c r="U858" s="79"/>
      <c r="V858" s="81"/>
      <c r="W858" s="81"/>
      <c r="X858" s="82">
        <v>7.9</v>
      </c>
      <c r="Y858" s="83">
        <v>168</v>
      </c>
      <c r="Z858" s="82">
        <v>38.448659999999997</v>
      </c>
      <c r="AA858" s="84"/>
      <c r="AB858" s="74" t="s">
        <v>58</v>
      </c>
      <c r="AC858" s="42" t="s">
        <v>70</v>
      </c>
      <c r="AD858" s="85"/>
      <c r="AE858" s="18"/>
      <c r="AF858" s="18"/>
    </row>
    <row r="859" spans="1:33" x14ac:dyDescent="0.35">
      <c r="A859" s="32">
        <f t="shared" si="100"/>
        <v>857</v>
      </c>
      <c r="B859" s="35">
        <v>46140</v>
      </c>
      <c r="C859" s="35">
        <f>Table46[[#This Row],[DATE OF ARRIVAL]]</f>
        <v>46140</v>
      </c>
      <c r="D859" s="74"/>
      <c r="E859" s="74"/>
      <c r="F859" s="74" t="s">
        <v>40</v>
      </c>
      <c r="G859" s="74"/>
      <c r="H859" s="74" t="s">
        <v>202</v>
      </c>
      <c r="I859" s="36" t="s">
        <v>203</v>
      </c>
      <c r="J859" s="74" t="s">
        <v>940</v>
      </c>
      <c r="K859" s="74"/>
      <c r="L859" s="74"/>
      <c r="M859" s="74"/>
      <c r="N859" s="74"/>
      <c r="O859" s="79"/>
      <c r="P859" s="79"/>
      <c r="Q859" s="74"/>
      <c r="R859" s="132"/>
      <c r="S859" s="74"/>
      <c r="T859" s="36"/>
      <c r="U859" s="79"/>
      <c r="V859" s="81"/>
      <c r="W859" s="81"/>
      <c r="X859" s="82">
        <v>11.6</v>
      </c>
      <c r="Y859" s="83">
        <v>161</v>
      </c>
      <c r="Z859" s="82">
        <v>41.094209999999997</v>
      </c>
      <c r="AA859" s="84"/>
      <c r="AB859" s="74" t="s">
        <v>40</v>
      </c>
      <c r="AC859" s="42" t="s">
        <v>70</v>
      </c>
      <c r="AD859" s="85"/>
      <c r="AE859" s="18"/>
      <c r="AF859" s="18"/>
    </row>
    <row r="860" spans="1:33" x14ac:dyDescent="0.35">
      <c r="A860" s="32">
        <f t="shared" si="100"/>
        <v>858</v>
      </c>
      <c r="B860" s="35">
        <v>46140</v>
      </c>
      <c r="C860" s="35">
        <f>Table46[[#This Row],[DATE OF ARRIVAL]]</f>
        <v>46140</v>
      </c>
      <c r="D860" s="74"/>
      <c r="E860" s="74"/>
      <c r="F860" s="74" t="s">
        <v>40</v>
      </c>
      <c r="G860" s="74"/>
      <c r="H860" s="74" t="s">
        <v>112</v>
      </c>
      <c r="I860" s="36" t="s">
        <v>113</v>
      </c>
      <c r="J860" s="74" t="s">
        <v>898</v>
      </c>
      <c r="K860" s="74"/>
      <c r="L860" s="74"/>
      <c r="M860" s="74"/>
      <c r="N860" s="74"/>
      <c r="O860" s="79"/>
      <c r="P860" s="79"/>
      <c r="Q860" s="74"/>
      <c r="R860" s="132"/>
      <c r="S860" s="74"/>
      <c r="T860" s="36"/>
      <c r="U860" s="79"/>
      <c r="V860" s="81"/>
      <c r="W860" s="81"/>
      <c r="X860" s="82">
        <v>8.3000000000000007</v>
      </c>
      <c r="Y860" s="83">
        <v>151</v>
      </c>
      <c r="Z860" s="82">
        <v>38.97777</v>
      </c>
      <c r="AA860" s="84"/>
      <c r="AB860" s="74" t="s">
        <v>865</v>
      </c>
      <c r="AC860" s="42" t="s">
        <v>70</v>
      </c>
      <c r="AD860" s="85"/>
      <c r="AE860" s="18"/>
      <c r="AF860" s="18"/>
    </row>
    <row r="861" spans="1:33" x14ac:dyDescent="0.35">
      <c r="A861" s="32">
        <f t="shared" si="100"/>
        <v>859</v>
      </c>
      <c r="B861" s="35">
        <v>46140</v>
      </c>
      <c r="C861" s="35">
        <f>Table46[[#This Row],[DATE OF ARRIVAL]]</f>
        <v>46140</v>
      </c>
      <c r="D861" s="74"/>
      <c r="E861" s="74"/>
      <c r="F861" s="74" t="s">
        <v>40</v>
      </c>
      <c r="G861" s="74"/>
      <c r="H861" s="74" t="s">
        <v>280</v>
      </c>
      <c r="I861" s="36" t="s">
        <v>281</v>
      </c>
      <c r="J861" s="74" t="s">
        <v>941</v>
      </c>
      <c r="K861" s="74"/>
      <c r="L861" s="74"/>
      <c r="M861" s="74"/>
      <c r="N861" s="74"/>
      <c r="O861" s="79"/>
      <c r="P861" s="79"/>
      <c r="Q861" s="74"/>
      <c r="R861" s="132"/>
      <c r="S861" s="74"/>
      <c r="T861" s="36"/>
      <c r="U861" s="79"/>
      <c r="V861" s="81"/>
      <c r="W861" s="81"/>
      <c r="X861" s="82">
        <v>13.2</v>
      </c>
      <c r="Y861" s="83">
        <v>158</v>
      </c>
      <c r="Z861" s="82">
        <v>40.565100000000001</v>
      </c>
      <c r="AA861" s="84"/>
      <c r="AB861" s="74" t="s">
        <v>284</v>
      </c>
      <c r="AC861" s="42" t="s">
        <v>70</v>
      </c>
      <c r="AD861" s="85"/>
      <c r="AE861" s="18"/>
      <c r="AF861" s="18"/>
    </row>
    <row r="862" spans="1:33" x14ac:dyDescent="0.35">
      <c r="A862" s="32">
        <f t="shared" si="100"/>
        <v>860</v>
      </c>
      <c r="B862" s="35">
        <v>46140</v>
      </c>
      <c r="C862" s="35">
        <f>Table46[[#This Row],[DATE OF ARRIVAL]]</f>
        <v>46140</v>
      </c>
      <c r="D862" s="74"/>
      <c r="E862" s="74"/>
      <c r="F862" s="74" t="s">
        <v>40</v>
      </c>
      <c r="G862" s="74"/>
      <c r="H862" s="74" t="s">
        <v>105</v>
      </c>
      <c r="I862" s="36" t="s">
        <v>106</v>
      </c>
      <c r="J862" s="74" t="s">
        <v>942</v>
      </c>
      <c r="K862" s="74"/>
      <c r="L862" s="74"/>
      <c r="M862" s="74"/>
      <c r="N862" s="74"/>
      <c r="O862" s="79"/>
      <c r="P862" s="79"/>
      <c r="Q862" s="74"/>
      <c r="R862" s="132"/>
      <c r="S862" s="74"/>
      <c r="T862" s="36"/>
      <c r="U862" s="79"/>
      <c r="V862" s="81"/>
      <c r="W862" s="81"/>
      <c r="X862" s="82">
        <v>12.2</v>
      </c>
      <c r="Y862" s="83">
        <v>174</v>
      </c>
      <c r="Z862" s="82">
        <v>40.212359999999997</v>
      </c>
      <c r="AA862" s="84"/>
      <c r="AB862" s="74" t="s">
        <v>458</v>
      </c>
      <c r="AC862" s="42" t="s">
        <v>70</v>
      </c>
      <c r="AD862" s="85"/>
      <c r="AE862" s="18"/>
      <c r="AF862" s="18"/>
    </row>
    <row r="863" spans="1:33" x14ac:dyDescent="0.35">
      <c r="A863" s="32">
        <f t="shared" si="100"/>
        <v>861</v>
      </c>
      <c r="B863" s="35">
        <v>46140</v>
      </c>
      <c r="C863" s="35">
        <f>Table46[[#This Row],[DATE OF ARRIVAL]]</f>
        <v>46140</v>
      </c>
      <c r="D863" s="74"/>
      <c r="E863" s="74"/>
      <c r="F863" s="74" t="s">
        <v>62</v>
      </c>
      <c r="G863" s="74"/>
      <c r="H863" s="74" t="s">
        <v>684</v>
      </c>
      <c r="I863" s="36" t="str">
        <f>VLOOKUP(Table46[[#This Row],[SUPPLIERS NAME]],[1]AGING!X$3:Y$80,2,)</f>
        <v>LBA-021-SAN</v>
      </c>
      <c r="J863" s="74" t="s">
        <v>943</v>
      </c>
      <c r="K863" s="74"/>
      <c r="L863" s="74"/>
      <c r="M863" s="74"/>
      <c r="N863" s="74"/>
      <c r="O863" s="79">
        <f t="shared" si="102"/>
        <v>0</v>
      </c>
      <c r="P863" s="79"/>
      <c r="Q863" s="74"/>
      <c r="R863" s="132"/>
      <c r="S863" s="74"/>
      <c r="T863" s="36"/>
      <c r="U863" s="79">
        <f>Table46[[#This Row],[NET WT KGS]]-Table46[[#This Row],[Refraction]]</f>
        <v>0</v>
      </c>
      <c r="V863" s="81"/>
      <c r="W863" s="81">
        <f>Table46[[#This Row],[PRICE]]*Table46[[#This Row],[PAID WT]]</f>
        <v>0</v>
      </c>
      <c r="X863" s="82">
        <v>8.6</v>
      </c>
      <c r="Y863" s="83">
        <v>166</v>
      </c>
      <c r="Z863" s="82">
        <v>40.299999999999997</v>
      </c>
      <c r="AA863" s="84"/>
      <c r="AB863" s="74" t="s">
        <v>140</v>
      </c>
      <c r="AC863" s="42" t="s">
        <v>70</v>
      </c>
      <c r="AD863" s="92" t="s">
        <v>855</v>
      </c>
      <c r="AE863" s="18">
        <f>Table46[[#This Row],[MOIS.]]*Table46[[#This Row],[NET WT KGS]]</f>
        <v>0</v>
      </c>
      <c r="AF863" s="18">
        <f>Table46[[#This Row],[KOR]]*Table46[[#This Row],[NET WT KGS]]</f>
        <v>0</v>
      </c>
      <c r="AG863">
        <f>Table46[[#This Row],[NET WT KGS]]*Table46[[#This Row],[NUT COUNT]]</f>
        <v>0</v>
      </c>
    </row>
    <row r="864" spans="1:33" x14ac:dyDescent="0.35">
      <c r="A864" s="32">
        <f t="shared" si="100"/>
        <v>862</v>
      </c>
      <c r="B864" s="35">
        <v>46141</v>
      </c>
      <c r="C864" s="35">
        <f>Table46[[#This Row],[DATE OF ARRIVAL]]</f>
        <v>46141</v>
      </c>
      <c r="D864" s="74"/>
      <c r="E864" s="74"/>
      <c r="F864" s="74" t="s">
        <v>62</v>
      </c>
      <c r="G864" s="74"/>
      <c r="H864" s="36" t="s">
        <v>259</v>
      </c>
      <c r="I864" s="36" t="str">
        <f>VLOOKUP(Table46[[#This Row],[SUPPLIERS NAME]],[1]AGING!X$3:Y$80,2,)</f>
        <v>DIS-002-COR</v>
      </c>
      <c r="J864" s="74" t="s">
        <v>944</v>
      </c>
      <c r="K864" s="74"/>
      <c r="L864" s="74"/>
      <c r="M864" s="74"/>
      <c r="N864" s="74"/>
      <c r="O864" s="79">
        <f t="shared" si="102"/>
        <v>0</v>
      </c>
      <c r="P864" s="79"/>
      <c r="Q864" s="74"/>
      <c r="R864" s="132"/>
      <c r="S864" s="74"/>
      <c r="T864" s="36"/>
      <c r="U864" s="79">
        <f>Table46[[#This Row],[NET WT KGS]]-Table46[[#This Row],[Refraction]]</f>
        <v>0</v>
      </c>
      <c r="V864" s="81"/>
      <c r="W864" s="81">
        <f>Table46[[#This Row],[PRICE]]*Table46[[#This Row],[PAID WT]]</f>
        <v>0</v>
      </c>
      <c r="X864" s="82">
        <v>15.1</v>
      </c>
      <c r="Y864" s="83">
        <v>160</v>
      </c>
      <c r="Z864" s="82">
        <v>42.94</v>
      </c>
      <c r="AA864" s="84"/>
      <c r="AB864" s="74" t="s">
        <v>46</v>
      </c>
      <c r="AC864" s="92" t="s">
        <v>70</v>
      </c>
      <c r="AD864" s="85"/>
      <c r="AE864" s="18">
        <f>Table46[[#This Row],[MOIS.]]*Table46[[#This Row],[NET WT KGS]]</f>
        <v>0</v>
      </c>
      <c r="AF864" s="18">
        <f>Table46[[#This Row],[KOR]]*Table46[[#This Row],[NET WT KGS]]</f>
        <v>0</v>
      </c>
      <c r="AG864">
        <f>Table46[[#This Row],[NET WT KGS]]*Table46[[#This Row],[NUT COUNT]]</f>
        <v>0</v>
      </c>
    </row>
    <row r="865" spans="1:33" x14ac:dyDescent="0.35">
      <c r="A865" s="32">
        <f t="shared" si="100"/>
        <v>863</v>
      </c>
      <c r="B865" s="35">
        <v>46141</v>
      </c>
      <c r="C865" s="35">
        <f>Table46[[#This Row],[DATE OF ARRIVAL]]</f>
        <v>46141</v>
      </c>
      <c r="D865" s="74"/>
      <c r="E865" s="74"/>
      <c r="F865" s="74" t="s">
        <v>40</v>
      </c>
      <c r="G865" s="74"/>
      <c r="H865" s="74" t="s">
        <v>123</v>
      </c>
      <c r="I865" s="74" t="s">
        <v>124</v>
      </c>
      <c r="J865" s="74" t="s">
        <v>945</v>
      </c>
      <c r="K865" s="74"/>
      <c r="L865" s="74"/>
      <c r="M865" s="74"/>
      <c r="N865" s="74"/>
      <c r="O865" s="79"/>
      <c r="P865" s="79"/>
      <c r="Q865" s="74"/>
      <c r="R865" s="132"/>
      <c r="S865" s="74"/>
      <c r="T865" s="36"/>
      <c r="U865" s="79"/>
      <c r="V865" s="81"/>
      <c r="W865" s="81"/>
      <c r="X865" s="82">
        <v>10.9</v>
      </c>
      <c r="Y865" s="83">
        <v>183</v>
      </c>
      <c r="Z865" s="82">
        <v>38.625030000000002</v>
      </c>
      <c r="AA865" s="84"/>
      <c r="AB865" s="74" t="s">
        <v>429</v>
      </c>
      <c r="AC865" s="92" t="s">
        <v>70</v>
      </c>
      <c r="AD865" s="85"/>
      <c r="AE865" s="18"/>
      <c r="AF865" s="18"/>
    </row>
    <row r="866" spans="1:33" x14ac:dyDescent="0.35">
      <c r="A866" s="32">
        <f t="shared" si="100"/>
        <v>864</v>
      </c>
      <c r="B866" s="35">
        <v>46141</v>
      </c>
      <c r="C866" s="35">
        <f>Table46[[#This Row],[DATE OF ARRIVAL]]</f>
        <v>46141</v>
      </c>
      <c r="D866" s="74"/>
      <c r="E866" s="74"/>
      <c r="F866" s="74" t="s">
        <v>40</v>
      </c>
      <c r="G866" s="74"/>
      <c r="H866" s="74" t="s">
        <v>338</v>
      </c>
      <c r="I866" s="74" t="s">
        <v>317</v>
      </c>
      <c r="J866" s="74" t="s">
        <v>946</v>
      </c>
      <c r="K866" s="74"/>
      <c r="L866" s="74"/>
      <c r="M866" s="74"/>
      <c r="N866" s="74"/>
      <c r="O866" s="79"/>
      <c r="P866" s="79"/>
      <c r="Q866" s="74"/>
      <c r="R866" s="132"/>
      <c r="S866" s="74"/>
      <c r="T866" s="36"/>
      <c r="U866" s="79"/>
      <c r="V866" s="81"/>
      <c r="W866" s="81"/>
      <c r="X866" s="82">
        <v>14</v>
      </c>
      <c r="Y866" s="83">
        <v>172</v>
      </c>
      <c r="Z866" s="82">
        <v>39.85962</v>
      </c>
      <c r="AA866" s="84"/>
      <c r="AB866" s="74" t="s">
        <v>284</v>
      </c>
      <c r="AC866" s="92" t="s">
        <v>70</v>
      </c>
      <c r="AD866" s="85"/>
      <c r="AE866" s="18"/>
      <c r="AF866" s="18"/>
    </row>
    <row r="867" spans="1:33" x14ac:dyDescent="0.35">
      <c r="A867" s="32">
        <f t="shared" si="100"/>
        <v>865</v>
      </c>
      <c r="B867" s="20">
        <v>46141</v>
      </c>
      <c r="C867" s="20">
        <v>46141</v>
      </c>
      <c r="D867" s="66" t="s">
        <v>38</v>
      </c>
      <c r="E867" s="66" t="s">
        <v>39</v>
      </c>
      <c r="F867" s="67" t="s">
        <v>40</v>
      </c>
      <c r="G867" s="66" t="s">
        <v>350</v>
      </c>
      <c r="H867" s="66" t="s">
        <v>338</v>
      </c>
      <c r="I867" s="67" t="str">
        <f>VLOOKUP(Table46[[#This Row],[SUPPLIERS NAME]],[1]AGING!X$3:Y$80,2,)</f>
        <v>LBA-018-COP</v>
      </c>
      <c r="J867" s="66" t="s">
        <v>482</v>
      </c>
      <c r="K867" s="57" t="s">
        <v>340</v>
      </c>
      <c r="L867" s="66">
        <v>378</v>
      </c>
      <c r="M867" s="10">
        <v>18810</v>
      </c>
      <c r="N867" s="66">
        <v>471</v>
      </c>
      <c r="O867" s="68">
        <f t="shared" si="102"/>
        <v>39100</v>
      </c>
      <c r="P867" s="68">
        <v>38629</v>
      </c>
      <c r="Q867" s="66">
        <v>431</v>
      </c>
      <c r="R867" s="125">
        <v>40</v>
      </c>
      <c r="S867" s="66">
        <v>0</v>
      </c>
      <c r="T867" s="10">
        <f t="shared" ref="T867:T891" si="103">S867*4+R867*8</f>
        <v>320</v>
      </c>
      <c r="U867" s="68">
        <f>Table46[[#This Row],[NET WT KGS]]-Table46[[#This Row],[Refraction]]</f>
        <v>38309</v>
      </c>
      <c r="V867" s="69">
        <v>485</v>
      </c>
      <c r="W867" s="69">
        <f>Table46[[#This Row],[PRICE]]*Table46[[#This Row],[PAID WT]]</f>
        <v>18579865</v>
      </c>
      <c r="X867" s="70">
        <v>11.7</v>
      </c>
      <c r="Y867" s="71">
        <v>163</v>
      </c>
      <c r="Z867" s="70">
        <v>41.62</v>
      </c>
      <c r="AA867" s="72"/>
      <c r="AB867" s="66" t="s">
        <v>284</v>
      </c>
      <c r="AC867" s="73"/>
      <c r="AD867" s="85"/>
      <c r="AE867" s="18">
        <f>Table46[[#This Row],[MOIS.]]*Table46[[#This Row],[NET WT KGS]]</f>
        <v>451959.3</v>
      </c>
      <c r="AF867" s="18">
        <f>Table46[[#This Row],[KOR]]*Table46[[#This Row],[NET WT KGS]]</f>
        <v>1607738.98</v>
      </c>
      <c r="AG867">
        <f>Table46[[#This Row],[NET WT KGS]]*Table46[[#This Row],[NUT COUNT]]</f>
        <v>6296527</v>
      </c>
    </row>
    <row r="868" spans="1:33" x14ac:dyDescent="0.35">
      <c r="A868" s="32">
        <f t="shared" si="100"/>
        <v>866</v>
      </c>
      <c r="B868" s="20">
        <v>46140</v>
      </c>
      <c r="C868" s="20">
        <v>46141</v>
      </c>
      <c r="D868" s="66" t="s">
        <v>38</v>
      </c>
      <c r="E868" s="66" t="s">
        <v>39</v>
      </c>
      <c r="F868" s="67" t="s">
        <v>40</v>
      </c>
      <c r="G868" s="66" t="s">
        <v>350</v>
      </c>
      <c r="H868" s="67" t="s">
        <v>280</v>
      </c>
      <c r="I868" s="67" t="str">
        <f>VLOOKUP(Table46[[#This Row],[SUPPLIERS NAME]],[1]AGING!X$3:Y$80,2,)</f>
        <v>LBA-016-NOU</v>
      </c>
      <c r="J868" s="66" t="s">
        <v>947</v>
      </c>
      <c r="K868" s="21" t="s">
        <v>283</v>
      </c>
      <c r="L868" s="66">
        <v>377</v>
      </c>
      <c r="M868" s="10">
        <v>18781</v>
      </c>
      <c r="N868" s="66">
        <v>549</v>
      </c>
      <c r="O868" s="68">
        <f t="shared" si="102"/>
        <v>45040</v>
      </c>
      <c r="P868" s="68">
        <v>44491</v>
      </c>
      <c r="Q868" s="66">
        <v>529</v>
      </c>
      <c r="R868" s="125">
        <v>0</v>
      </c>
      <c r="S868" s="66">
        <v>20</v>
      </c>
      <c r="T868" s="10">
        <f t="shared" si="103"/>
        <v>80</v>
      </c>
      <c r="U868" s="68">
        <f>Table46[[#This Row],[NET WT KGS]]-Table46[[#This Row],[Refraction]]</f>
        <v>44411</v>
      </c>
      <c r="V868" s="69">
        <v>480</v>
      </c>
      <c r="W868" s="69">
        <f>Table46[[#This Row],[PRICE]]*Table46[[#This Row],[PAID WT]]</f>
        <v>21317280</v>
      </c>
      <c r="X868" s="70">
        <v>9.9</v>
      </c>
      <c r="Y868" s="71">
        <v>158</v>
      </c>
      <c r="Z868" s="70">
        <v>42.15</v>
      </c>
      <c r="AA868" s="72"/>
      <c r="AB868" s="66" t="s">
        <v>284</v>
      </c>
      <c r="AC868" s="73"/>
      <c r="AD868" s="85"/>
      <c r="AE868" s="18">
        <f>Table46[[#This Row],[MOIS.]]*Table46[[#This Row],[NET WT KGS]]</f>
        <v>440460.9</v>
      </c>
      <c r="AF868" s="18">
        <f>Table46[[#This Row],[KOR]]*Table46[[#This Row],[NET WT KGS]]</f>
        <v>1875295.65</v>
      </c>
      <c r="AG868">
        <f>Table46[[#This Row],[NET WT KGS]]*Table46[[#This Row],[NUT COUNT]]</f>
        <v>7029578</v>
      </c>
    </row>
    <row r="869" spans="1:33" x14ac:dyDescent="0.35">
      <c r="A869" s="32">
        <f t="shared" si="100"/>
        <v>867</v>
      </c>
      <c r="B869" s="20">
        <v>46141</v>
      </c>
      <c r="C869" s="20">
        <v>46141</v>
      </c>
      <c r="D869" s="66" t="s">
        <v>38</v>
      </c>
      <c r="E869" s="66" t="s">
        <v>39</v>
      </c>
      <c r="F869" s="67" t="s">
        <v>40</v>
      </c>
      <c r="G869" s="66" t="s">
        <v>41</v>
      </c>
      <c r="H869" s="67" t="s">
        <v>105</v>
      </c>
      <c r="I869" s="67" t="str">
        <f>VLOOKUP(Table46[[#This Row],[SUPPLIERS NAME]],[1]AGING!X$3:Y$80,2,)</f>
        <v>LBA-014-BAY</v>
      </c>
      <c r="J869" s="66" t="s">
        <v>948</v>
      </c>
      <c r="K869" s="33" t="s">
        <v>108</v>
      </c>
      <c r="L869" s="66">
        <v>379</v>
      </c>
      <c r="M869" s="10">
        <v>85114</v>
      </c>
      <c r="N869" s="66">
        <v>111</v>
      </c>
      <c r="O869" s="68">
        <f t="shared" si="102"/>
        <v>9260</v>
      </c>
      <c r="P869" s="68">
        <v>9149</v>
      </c>
      <c r="Q869" s="66">
        <v>91</v>
      </c>
      <c r="R869" s="125">
        <v>20</v>
      </c>
      <c r="S869" s="66">
        <v>0</v>
      </c>
      <c r="T869" s="10">
        <f t="shared" si="103"/>
        <v>160</v>
      </c>
      <c r="U869" s="68">
        <f>Table46[[#This Row],[NET WT KGS]]-Table46[[#This Row],[Refraction]]</f>
        <v>8989</v>
      </c>
      <c r="V869" s="69">
        <v>480</v>
      </c>
      <c r="W869" s="69">
        <f>Table46[[#This Row],[PRICE]]*Table46[[#This Row],[PAID WT]]</f>
        <v>4314720</v>
      </c>
      <c r="X869" s="70">
        <v>11.1</v>
      </c>
      <c r="Y869" s="71">
        <v>176</v>
      </c>
      <c r="Z869" s="70">
        <v>41.44</v>
      </c>
      <c r="AA869" s="72"/>
      <c r="AB869" s="66" t="s">
        <v>429</v>
      </c>
      <c r="AC869" s="73"/>
      <c r="AD869" s="85"/>
      <c r="AE869" s="18">
        <f>Table46[[#This Row],[MOIS.]]*Table46[[#This Row],[NET WT KGS]]</f>
        <v>101553.9</v>
      </c>
      <c r="AF869" s="18">
        <f>Table46[[#This Row],[KOR]]*Table46[[#This Row],[NET WT KGS]]</f>
        <v>379134.56</v>
      </c>
      <c r="AG869">
        <f>Table46[[#This Row],[NET WT KGS]]*Table46[[#This Row],[NUT COUNT]]</f>
        <v>1610224</v>
      </c>
    </row>
    <row r="870" spans="1:33" x14ac:dyDescent="0.35">
      <c r="A870" s="32">
        <f t="shared" si="100"/>
        <v>868</v>
      </c>
      <c r="B870" s="20">
        <v>46141</v>
      </c>
      <c r="C870" s="20">
        <v>46141</v>
      </c>
      <c r="D870" s="66" t="s">
        <v>38</v>
      </c>
      <c r="E870" s="66" t="s">
        <v>39</v>
      </c>
      <c r="F870" s="67" t="s">
        <v>40</v>
      </c>
      <c r="G870" s="66" t="s">
        <v>41</v>
      </c>
      <c r="H870" s="66" t="s">
        <v>74</v>
      </c>
      <c r="I870" s="67" t="str">
        <f>VLOOKUP(Table46[[#This Row],[SUPPLIERS NAME]],[1]AGING!X$3:Y$80,2,)</f>
        <v>LBA-003-HER</v>
      </c>
      <c r="J870" s="66" t="s">
        <v>949</v>
      </c>
      <c r="K870" s="33" t="s">
        <v>77</v>
      </c>
      <c r="L870" s="66">
        <v>380</v>
      </c>
      <c r="M870" s="10">
        <v>18624</v>
      </c>
      <c r="N870" s="66">
        <v>551</v>
      </c>
      <c r="O870" s="68">
        <f t="shared" si="102"/>
        <v>46420</v>
      </c>
      <c r="P870" s="68">
        <v>45869</v>
      </c>
      <c r="Q870" s="66">
        <v>511</v>
      </c>
      <c r="R870" s="125">
        <v>40</v>
      </c>
      <c r="S870" s="66">
        <v>0</v>
      </c>
      <c r="T870" s="10">
        <f t="shared" si="103"/>
        <v>320</v>
      </c>
      <c r="U870" s="68">
        <f>Table46[[#This Row],[NET WT KGS]]-Table46[[#This Row],[Refraction]]</f>
        <v>45549</v>
      </c>
      <c r="V870" s="69">
        <v>480</v>
      </c>
      <c r="W870" s="69">
        <f>Table46[[#This Row],[PRICE]]*Table46[[#This Row],[PAID WT]]</f>
        <v>21863520</v>
      </c>
      <c r="X870" s="70">
        <v>12.4</v>
      </c>
      <c r="Y870" s="71">
        <v>157</v>
      </c>
      <c r="Z870" s="70">
        <v>41.09</v>
      </c>
      <c r="AA870" s="72"/>
      <c r="AB870" s="66" t="s">
        <v>78</v>
      </c>
      <c r="AC870" s="73"/>
      <c r="AD870" s="85"/>
      <c r="AE870" s="18">
        <f>Table46[[#This Row],[MOIS.]]*Table46[[#This Row],[NET WT KGS]]</f>
        <v>568775.6</v>
      </c>
      <c r="AF870" s="18">
        <f>Table46[[#This Row],[KOR]]*Table46[[#This Row],[NET WT KGS]]</f>
        <v>1884757.2100000002</v>
      </c>
      <c r="AG870">
        <f>Table46[[#This Row],[NET WT KGS]]*Table46[[#This Row],[NUT COUNT]]</f>
        <v>7201433</v>
      </c>
    </row>
    <row r="871" spans="1:33" x14ac:dyDescent="0.35">
      <c r="A871" s="32">
        <f t="shared" si="100"/>
        <v>869</v>
      </c>
      <c r="B871" s="20">
        <v>46141</v>
      </c>
      <c r="C871" s="20">
        <v>46141</v>
      </c>
      <c r="D871" s="66" t="s">
        <v>38</v>
      </c>
      <c r="E871" s="66" t="s">
        <v>39</v>
      </c>
      <c r="F871" s="67" t="s">
        <v>40</v>
      </c>
      <c r="G871" s="66" t="s">
        <v>350</v>
      </c>
      <c r="H871" s="66" t="s">
        <v>338</v>
      </c>
      <c r="I871" s="67" t="str">
        <f>VLOOKUP(Table46[[#This Row],[SUPPLIERS NAME]],[1]AGING!X$3:Y$80,2,)</f>
        <v>LBA-018-COP</v>
      </c>
      <c r="J871" s="66" t="s">
        <v>950</v>
      </c>
      <c r="K871" s="57" t="s">
        <v>340</v>
      </c>
      <c r="L871" s="66">
        <v>381</v>
      </c>
      <c r="M871" s="10">
        <v>15486</v>
      </c>
      <c r="N871" s="66">
        <v>461</v>
      </c>
      <c r="O871" s="68">
        <f t="shared" si="102"/>
        <v>41640</v>
      </c>
      <c r="P871" s="68">
        <v>41179</v>
      </c>
      <c r="Q871" s="66">
        <v>426</v>
      </c>
      <c r="R871" s="125">
        <v>35</v>
      </c>
      <c r="S871" s="66">
        <v>0</v>
      </c>
      <c r="T871" s="10">
        <f t="shared" si="103"/>
        <v>280</v>
      </c>
      <c r="U871" s="68">
        <f>Table46[[#This Row],[NET WT KGS]]-Table46[[#This Row],[Refraction]]</f>
        <v>40899</v>
      </c>
      <c r="V871" s="69">
        <v>485</v>
      </c>
      <c r="W871" s="69">
        <f>Table46[[#This Row],[PRICE]]*Table46[[#This Row],[PAID WT]]</f>
        <v>19836015</v>
      </c>
      <c r="X871" s="70">
        <v>11.6</v>
      </c>
      <c r="Y871" s="71">
        <v>162</v>
      </c>
      <c r="Z871" s="70">
        <v>41.27</v>
      </c>
      <c r="AA871" s="72"/>
      <c r="AB871" s="66" t="s">
        <v>171</v>
      </c>
      <c r="AC871" s="73"/>
      <c r="AD871" s="85"/>
      <c r="AE871" s="18">
        <f>Table46[[#This Row],[MOIS.]]*Table46[[#This Row],[NET WT KGS]]</f>
        <v>477676.39999999997</v>
      </c>
      <c r="AF871" s="18">
        <f>Table46[[#This Row],[KOR]]*Table46[[#This Row],[NET WT KGS]]</f>
        <v>1699457.33</v>
      </c>
      <c r="AG871">
        <f>Table46[[#This Row],[NET WT KGS]]*Table46[[#This Row],[NUT COUNT]]</f>
        <v>6670998</v>
      </c>
    </row>
    <row r="872" spans="1:33" x14ac:dyDescent="0.35">
      <c r="A872" s="32">
        <f t="shared" si="100"/>
        <v>870</v>
      </c>
      <c r="B872" s="20">
        <v>46139</v>
      </c>
      <c r="C872" s="20">
        <v>46141</v>
      </c>
      <c r="D872" s="66" t="s">
        <v>38</v>
      </c>
      <c r="E872" s="66" t="s">
        <v>39</v>
      </c>
      <c r="F872" s="50" t="s">
        <v>62</v>
      </c>
      <c r="G872" s="10"/>
      <c r="H872" s="10" t="s">
        <v>136</v>
      </c>
      <c r="I872" s="67" t="str">
        <f>VLOOKUP(Table46[[#This Row],[SUPPLIERS NAME]],[1]AGING!X$3:Y$80,2,)</f>
        <v>LBA-004-WEB</v>
      </c>
      <c r="J872" s="10" t="s">
        <v>951</v>
      </c>
      <c r="K872" s="21" t="s">
        <v>139</v>
      </c>
      <c r="L872" s="10">
        <v>743</v>
      </c>
      <c r="M872" s="10">
        <v>773</v>
      </c>
      <c r="N872" s="10">
        <v>531</v>
      </c>
      <c r="O872" s="22">
        <v>43680</v>
      </c>
      <c r="P872" s="51">
        <f>Table46[[#This Row],[GROSS WT KGS]]-Table46[[#This Row],[SACS]]</f>
        <v>43149</v>
      </c>
      <c r="Q872" s="10">
        <v>516</v>
      </c>
      <c r="R872" s="125">
        <v>30</v>
      </c>
      <c r="S872" s="66">
        <v>0</v>
      </c>
      <c r="T872" s="10">
        <f t="shared" si="103"/>
        <v>240</v>
      </c>
      <c r="U872" s="22">
        <f>Table46[[#This Row],[NET WT KGS]]-Table46[[#This Row],[Refraction]]</f>
        <v>42909</v>
      </c>
      <c r="V872" s="23">
        <v>490</v>
      </c>
      <c r="W872" s="23">
        <f>Table46[[#This Row],[PRICE]]*Table46[[#This Row],[PAID WT]]</f>
        <v>21025410</v>
      </c>
      <c r="X872" s="24">
        <v>11.2</v>
      </c>
      <c r="Y872" s="25">
        <v>185</v>
      </c>
      <c r="Z872" s="24">
        <v>43.65</v>
      </c>
      <c r="AA872" s="26"/>
      <c r="AB872" s="10" t="s">
        <v>637</v>
      </c>
      <c r="AC872" s="27"/>
      <c r="AD872" s="28"/>
      <c r="AE872" s="18">
        <f>Table46[[#This Row],[MOIS.]]*Table46[[#This Row],[NET WT KGS]]</f>
        <v>483268.8</v>
      </c>
      <c r="AF872" s="18">
        <f>Table46[[#This Row],[KOR]]*Table46[[#This Row],[NET WT KGS]]</f>
        <v>1883453.8499999999</v>
      </c>
      <c r="AG872">
        <f>Table46[[#This Row],[NET WT KGS]]*Table46[[#This Row],[NUT COUNT]]</f>
        <v>7982565</v>
      </c>
    </row>
    <row r="873" spans="1:33" x14ac:dyDescent="0.35">
      <c r="A873" s="32">
        <f t="shared" si="100"/>
        <v>871</v>
      </c>
      <c r="B873" s="20">
        <v>46138</v>
      </c>
      <c r="C873" s="20">
        <v>46141</v>
      </c>
      <c r="D873" s="66" t="s">
        <v>38</v>
      </c>
      <c r="E873" s="66" t="s">
        <v>39</v>
      </c>
      <c r="F873" s="50" t="s">
        <v>62</v>
      </c>
      <c r="G873" s="66"/>
      <c r="H873" s="66" t="s">
        <v>684</v>
      </c>
      <c r="I873" s="67" t="str">
        <f>VLOOKUP(Table46[[#This Row],[SUPPLIERS NAME]],[1]AGING!X$3:Y$80,2,)</f>
        <v>LBA-021-SAN</v>
      </c>
      <c r="J873" s="10" t="s">
        <v>952</v>
      </c>
      <c r="K873" s="66"/>
      <c r="L873" s="10">
        <v>744</v>
      </c>
      <c r="M873" s="66">
        <v>89248</v>
      </c>
      <c r="N873" s="10">
        <v>604</v>
      </c>
      <c r="O873" s="22">
        <v>50190</v>
      </c>
      <c r="P873" s="51">
        <f>Table46[[#This Row],[GROSS WT KGS]]-Table46[[#This Row],[SACS]]</f>
        <v>49586</v>
      </c>
      <c r="Q873" s="10">
        <v>583</v>
      </c>
      <c r="R873" s="125">
        <v>20</v>
      </c>
      <c r="S873" s="66">
        <v>0</v>
      </c>
      <c r="T873" s="10">
        <f t="shared" si="103"/>
        <v>160</v>
      </c>
      <c r="U873" s="22">
        <f>Table46[[#This Row],[NET WT KGS]]-Table46[[#This Row],[Refraction]]</f>
        <v>49426</v>
      </c>
      <c r="V873" s="23">
        <v>505</v>
      </c>
      <c r="W873" s="23">
        <f>Table46[[#This Row],[PRICE]]*Table46[[#This Row],[PAID WT]]</f>
        <v>24960130</v>
      </c>
      <c r="X873" s="24">
        <v>11.6</v>
      </c>
      <c r="Y873" s="25">
        <v>177</v>
      </c>
      <c r="Z873" s="24">
        <v>43.21</v>
      </c>
      <c r="AA873" s="26"/>
      <c r="AB873" s="10" t="s">
        <v>58</v>
      </c>
      <c r="AC873" s="27" t="s">
        <v>720</v>
      </c>
      <c r="AD873" s="28"/>
      <c r="AE873" s="18">
        <f>Table46[[#This Row],[MOIS.]]*Table46[[#This Row],[NET WT KGS]]</f>
        <v>575197.6</v>
      </c>
      <c r="AF873" s="18">
        <f>Table46[[#This Row],[KOR]]*Table46[[#This Row],[NET WT KGS]]</f>
        <v>2142611.06</v>
      </c>
      <c r="AG873">
        <f>Table46[[#This Row],[NET WT KGS]]*Table46[[#This Row],[NUT COUNT]]</f>
        <v>8776722</v>
      </c>
    </row>
    <row r="874" spans="1:33" x14ac:dyDescent="0.35">
      <c r="A874" s="32">
        <f t="shared" si="100"/>
        <v>872</v>
      </c>
      <c r="B874" s="20">
        <v>46138</v>
      </c>
      <c r="C874" s="20">
        <v>46141</v>
      </c>
      <c r="D874" s="66" t="s">
        <v>38</v>
      </c>
      <c r="E874" s="66" t="s">
        <v>258</v>
      </c>
      <c r="F874" s="50" t="s">
        <v>62</v>
      </c>
      <c r="G874" s="66"/>
      <c r="H874" s="66" t="s">
        <v>413</v>
      </c>
      <c r="I874" s="67" t="str">
        <f>VLOOKUP(Table46[[#This Row],[SUPPLIERS NAME]],[1]AGING!X$3:Y$80,2,)</f>
        <v>DIS-010-SAH</v>
      </c>
      <c r="J874" s="66" t="s">
        <v>953</v>
      </c>
      <c r="K874" s="107" t="s">
        <v>792</v>
      </c>
      <c r="L874" s="66">
        <v>745</v>
      </c>
      <c r="M874" s="10">
        <v>28914</v>
      </c>
      <c r="N874" s="66">
        <v>482</v>
      </c>
      <c r="O874" s="68">
        <v>41060</v>
      </c>
      <c r="P874" s="51">
        <f>Table46[[#This Row],[GROSS WT KGS]]-Table46[[#This Row],[SACS]]</f>
        <v>40578</v>
      </c>
      <c r="Q874" s="66">
        <f>Table46[[#This Row],[SACS]]-Table46[[#This Row],[HUMID SACS]]</f>
        <v>452</v>
      </c>
      <c r="R874" s="125">
        <v>30</v>
      </c>
      <c r="S874" s="66">
        <v>0</v>
      </c>
      <c r="T874" s="10">
        <f t="shared" si="103"/>
        <v>240</v>
      </c>
      <c r="U874" s="68">
        <f>Table46[[#This Row],[NET WT KGS]]-Table46[[#This Row],[Refraction]]</f>
        <v>40338</v>
      </c>
      <c r="V874" s="69">
        <v>495</v>
      </c>
      <c r="W874" s="69">
        <f>Table46[[#This Row],[PRICE]]*Table46[[#This Row],[PAID WT]]</f>
        <v>19967310</v>
      </c>
      <c r="X874" s="70">
        <v>11.1</v>
      </c>
      <c r="Y874" s="71">
        <v>186</v>
      </c>
      <c r="Z874" s="70">
        <v>44.62</v>
      </c>
      <c r="AA874" s="72"/>
      <c r="AB874" s="66" t="s">
        <v>793</v>
      </c>
      <c r="AC874" s="73"/>
      <c r="AD874" s="85"/>
      <c r="AE874" s="18">
        <f>Table46[[#This Row],[MOIS.]]*Table46[[#This Row],[NET WT KGS]]</f>
        <v>450415.8</v>
      </c>
      <c r="AF874" s="18">
        <f>Table46[[#This Row],[KOR]]*Table46[[#This Row],[NET WT KGS]]</f>
        <v>1810590.3599999999</v>
      </c>
      <c r="AG874">
        <f>Table46[[#This Row],[NET WT KGS]]*Table46[[#This Row],[NUT COUNT]]</f>
        <v>7547508</v>
      </c>
    </row>
    <row r="875" spans="1:33" x14ac:dyDescent="0.35">
      <c r="A875" s="32">
        <f t="shared" si="100"/>
        <v>873</v>
      </c>
      <c r="B875" s="20">
        <v>46138</v>
      </c>
      <c r="C875" s="20">
        <v>46141</v>
      </c>
      <c r="D875" s="66" t="s">
        <v>38</v>
      </c>
      <c r="E875" s="66" t="s">
        <v>39</v>
      </c>
      <c r="F875" s="50" t="s">
        <v>62</v>
      </c>
      <c r="G875" s="66"/>
      <c r="H875" s="116" t="s">
        <v>128</v>
      </c>
      <c r="I875" s="67" t="str">
        <f>VLOOKUP(Table46[[#This Row],[SUPPLIERS NAME]],[1]AGING!X$3:Y$80,2,)</f>
        <v>LBA-002-SCA</v>
      </c>
      <c r="J875" s="66" t="s">
        <v>954</v>
      </c>
      <c r="K875" s="33" t="s">
        <v>131</v>
      </c>
      <c r="L875" s="66">
        <v>746</v>
      </c>
      <c r="M875" s="10">
        <v>78897</v>
      </c>
      <c r="N875" s="66">
        <v>651</v>
      </c>
      <c r="O875" s="68">
        <v>53760</v>
      </c>
      <c r="P875" s="51">
        <f>Table46[[#This Row],[GROSS WT KGS]]-Table46[[#This Row],[SACS]]</f>
        <v>53109</v>
      </c>
      <c r="Q875" s="66">
        <f>Table46[[#This Row],[SACS]]-Table46[[#This Row],[HUMID SACS]]</f>
        <v>616</v>
      </c>
      <c r="R875" s="125">
        <v>35</v>
      </c>
      <c r="S875" s="66">
        <v>0</v>
      </c>
      <c r="T875" s="10">
        <f t="shared" si="103"/>
        <v>280</v>
      </c>
      <c r="U875" s="68">
        <f>Table46[[#This Row],[NET WT KGS]]-Table46[[#This Row],[Refraction]]</f>
        <v>52829</v>
      </c>
      <c r="V875" s="69">
        <v>495</v>
      </c>
      <c r="W875" s="69">
        <f>Table46[[#This Row],[PRICE]]*Table46[[#This Row],[PAID WT]]</f>
        <v>26150355</v>
      </c>
      <c r="X875" s="70">
        <v>11.9</v>
      </c>
      <c r="Y875" s="71">
        <v>172</v>
      </c>
      <c r="Z875" s="70">
        <v>43.12</v>
      </c>
      <c r="AA875" s="72"/>
      <c r="AB875" s="66" t="s">
        <v>132</v>
      </c>
      <c r="AC875" s="73"/>
      <c r="AD875" s="85"/>
      <c r="AE875" s="18">
        <f>Table46[[#This Row],[MOIS.]]*Table46[[#This Row],[NET WT KGS]]</f>
        <v>631997.1</v>
      </c>
      <c r="AF875" s="18">
        <f>Table46[[#This Row],[KOR]]*Table46[[#This Row],[NET WT KGS]]</f>
        <v>2290060.08</v>
      </c>
      <c r="AG875">
        <f>Table46[[#This Row],[NET WT KGS]]*Table46[[#This Row],[NUT COUNT]]</f>
        <v>9134748</v>
      </c>
    </row>
    <row r="876" spans="1:33" x14ac:dyDescent="0.35">
      <c r="A876" s="32">
        <f t="shared" si="100"/>
        <v>874</v>
      </c>
      <c r="B876" s="20">
        <v>46140</v>
      </c>
      <c r="C876" s="20">
        <v>46141</v>
      </c>
      <c r="D876" s="66" t="s">
        <v>38</v>
      </c>
      <c r="E876" s="66" t="s">
        <v>39</v>
      </c>
      <c r="F876" s="50" t="s">
        <v>62</v>
      </c>
      <c r="G876" s="66"/>
      <c r="H876" s="66" t="s">
        <v>286</v>
      </c>
      <c r="I876" s="67" t="str">
        <f>VLOOKUP(Table46[[#This Row],[SUPPLIERS NAME]],[1]AGING!X$3:Y$80,2,)</f>
        <v>LBA-017-DPV</v>
      </c>
      <c r="J876" s="66" t="s">
        <v>673</v>
      </c>
      <c r="K876" s="21" t="s">
        <v>289</v>
      </c>
      <c r="L876" s="66">
        <v>747</v>
      </c>
      <c r="M876" s="10">
        <v>37577</v>
      </c>
      <c r="N876" s="66">
        <v>501</v>
      </c>
      <c r="O876" s="68">
        <v>45450</v>
      </c>
      <c r="P876" s="51">
        <f>Table46[[#This Row],[GROSS WT KGS]]-Table46[[#This Row],[SACS]]</f>
        <v>44949</v>
      </c>
      <c r="Q876" s="66">
        <f>Table46[[#This Row],[SACS]]-Table46[[#This Row],[HUMID SACS]]</f>
        <v>461</v>
      </c>
      <c r="R876" s="125">
        <v>40</v>
      </c>
      <c r="S876" s="66">
        <v>0</v>
      </c>
      <c r="T876" s="10">
        <f t="shared" si="103"/>
        <v>320</v>
      </c>
      <c r="U876" s="68">
        <f>Table46[[#This Row],[NET WT KGS]]-Table46[[#This Row],[Refraction]]</f>
        <v>44629</v>
      </c>
      <c r="V876" s="69">
        <v>495</v>
      </c>
      <c r="W876" s="69">
        <f>Table46[[#This Row],[PRICE]]*Table46[[#This Row],[PAID WT]]</f>
        <v>22091355</v>
      </c>
      <c r="X876" s="70">
        <v>12.5</v>
      </c>
      <c r="Y876" s="71">
        <v>165</v>
      </c>
      <c r="Z876" s="70">
        <v>43.47</v>
      </c>
      <c r="AA876" s="72"/>
      <c r="AB876" s="66" t="s">
        <v>46</v>
      </c>
      <c r="AC876" s="73"/>
      <c r="AD876" s="85"/>
      <c r="AE876" s="18">
        <f>Table46[[#This Row],[MOIS.]]*Table46[[#This Row],[NET WT KGS]]</f>
        <v>561862.5</v>
      </c>
      <c r="AF876" s="18">
        <f>Table46[[#This Row],[KOR]]*Table46[[#This Row],[NET WT KGS]]</f>
        <v>1953933.03</v>
      </c>
      <c r="AG876">
        <f>Table46[[#This Row],[NET WT KGS]]*Table46[[#This Row],[NUT COUNT]]</f>
        <v>7416585</v>
      </c>
    </row>
    <row r="877" spans="1:33" x14ac:dyDescent="0.35">
      <c r="A877" s="32">
        <f t="shared" si="100"/>
        <v>875</v>
      </c>
      <c r="B877" s="20">
        <v>46140</v>
      </c>
      <c r="C877" s="20">
        <v>46141</v>
      </c>
      <c r="D877" s="66" t="s">
        <v>38</v>
      </c>
      <c r="E877" s="66" t="s">
        <v>258</v>
      </c>
      <c r="F877" s="50" t="s">
        <v>62</v>
      </c>
      <c r="G877" s="66"/>
      <c r="H877" s="66" t="s">
        <v>259</v>
      </c>
      <c r="I877" s="67" t="str">
        <f>VLOOKUP(Table46[[#This Row],[SUPPLIERS NAME]],[1]AGING!X$3:Y$80,2,)</f>
        <v>DIS-002-COR</v>
      </c>
      <c r="J877" s="66" t="s">
        <v>955</v>
      </c>
      <c r="K877" s="33" t="s">
        <v>261</v>
      </c>
      <c r="L877" s="66">
        <v>748</v>
      </c>
      <c r="M877" s="10">
        <v>37813</v>
      </c>
      <c r="N877" s="66">
        <v>463</v>
      </c>
      <c r="O877" s="68">
        <v>40440</v>
      </c>
      <c r="P877" s="51">
        <f>Table46[[#This Row],[GROSS WT KGS]]-Table46[[#This Row],[SACS]]</f>
        <v>39977</v>
      </c>
      <c r="Q877" s="66">
        <f>Table46[[#This Row],[SACS]]-Table46[[#This Row],[HUMID SACS]]</f>
        <v>413</v>
      </c>
      <c r="R877" s="125">
        <v>50</v>
      </c>
      <c r="S877" s="66">
        <v>0</v>
      </c>
      <c r="T877" s="10">
        <f t="shared" si="103"/>
        <v>400</v>
      </c>
      <c r="U877" s="68">
        <f>Table46[[#This Row],[NET WT KGS]]-Table46[[#This Row],[Refraction]]</f>
        <v>39577</v>
      </c>
      <c r="V877" s="69">
        <v>490</v>
      </c>
      <c r="W877" s="69">
        <f>Table46[[#This Row],[PRICE]]*Table46[[#This Row],[PAID WT]]</f>
        <v>19392730</v>
      </c>
      <c r="X877" s="70">
        <v>12.7</v>
      </c>
      <c r="Y877" s="71">
        <v>163</v>
      </c>
      <c r="Z877" s="70">
        <v>42.85</v>
      </c>
      <c r="AA877" s="72"/>
      <c r="AB877" s="66" t="s">
        <v>46</v>
      </c>
      <c r="AC877" s="73"/>
      <c r="AD877" s="85"/>
      <c r="AE877" s="18">
        <f>Table46[[#This Row],[MOIS.]]*Table46[[#This Row],[NET WT KGS]]</f>
        <v>507707.89999999997</v>
      </c>
      <c r="AF877" s="18">
        <f>Table46[[#This Row],[KOR]]*Table46[[#This Row],[NET WT KGS]]</f>
        <v>1713014.45</v>
      </c>
      <c r="AG877">
        <f>Table46[[#This Row],[NET WT KGS]]*Table46[[#This Row],[NUT COUNT]]</f>
        <v>6516251</v>
      </c>
    </row>
    <row r="878" spans="1:33" x14ac:dyDescent="0.35">
      <c r="A878" s="32">
        <f t="shared" si="100"/>
        <v>876</v>
      </c>
      <c r="B878" s="20">
        <v>46142</v>
      </c>
      <c r="C878" s="20">
        <v>46142</v>
      </c>
      <c r="D878" s="66" t="s">
        <v>38</v>
      </c>
      <c r="E878" s="66" t="s">
        <v>39</v>
      </c>
      <c r="F878" s="67" t="s">
        <v>40</v>
      </c>
      <c r="G878" s="66" t="s">
        <v>350</v>
      </c>
      <c r="H878" s="66" t="s">
        <v>338</v>
      </c>
      <c r="I878" s="67" t="str">
        <f>VLOOKUP(Table46[[#This Row],[SUPPLIERS NAME]],[1]AGING!X$3:Y$80,2,)</f>
        <v>LBA-018-COP</v>
      </c>
      <c r="J878" s="66" t="s">
        <v>956</v>
      </c>
      <c r="K878" s="57" t="s">
        <v>340</v>
      </c>
      <c r="L878" s="66">
        <v>382</v>
      </c>
      <c r="M878" s="10">
        <v>18735</v>
      </c>
      <c r="N878" s="66">
        <v>467</v>
      </c>
      <c r="O878" s="68">
        <f>P878+N878</f>
        <v>40380</v>
      </c>
      <c r="P878" s="68">
        <v>39913</v>
      </c>
      <c r="Q878" s="66">
        <v>457</v>
      </c>
      <c r="R878" s="125">
        <v>0</v>
      </c>
      <c r="S878" s="123">
        <v>10</v>
      </c>
      <c r="T878" s="10">
        <f t="shared" si="103"/>
        <v>40</v>
      </c>
      <c r="U878" s="68">
        <f>Table46[[#This Row],[NET WT KGS]]-Table46[[#This Row],[Refraction]]</f>
        <v>39873</v>
      </c>
      <c r="V878" s="69">
        <v>480</v>
      </c>
      <c r="W878" s="69">
        <f>Table46[[#This Row],[PRICE]]*Table46[[#This Row],[PAID WT]]</f>
        <v>19139040</v>
      </c>
      <c r="X878" s="70">
        <v>9.3000000000000007</v>
      </c>
      <c r="Y878" s="71">
        <v>171</v>
      </c>
      <c r="Z878" s="70">
        <v>41.09</v>
      </c>
      <c r="AA878" s="72"/>
      <c r="AB878" s="66" t="s">
        <v>284</v>
      </c>
      <c r="AC878" s="73"/>
      <c r="AD878" s="85"/>
      <c r="AE878" s="18">
        <f>Table46[[#This Row],[MOIS.]]*Table46[[#This Row],[NET WT KGS]]</f>
        <v>371190.9</v>
      </c>
      <c r="AF878" s="18">
        <f>Table46[[#This Row],[KOR]]*Table46[[#This Row],[NET WT KGS]]</f>
        <v>1640025.1700000002</v>
      </c>
      <c r="AG878">
        <f>Table46[[#This Row],[NET WT KGS]]*Table46[[#This Row],[NUT COUNT]]</f>
        <v>6825123</v>
      </c>
    </row>
    <row r="879" spans="1:33" x14ac:dyDescent="0.35">
      <c r="A879" s="32">
        <f t="shared" si="100"/>
        <v>877</v>
      </c>
      <c r="B879" s="20">
        <v>46142</v>
      </c>
      <c r="C879" s="20">
        <v>46142</v>
      </c>
      <c r="D879" s="66" t="s">
        <v>38</v>
      </c>
      <c r="E879" s="66" t="s">
        <v>39</v>
      </c>
      <c r="F879" s="50" t="s">
        <v>40</v>
      </c>
      <c r="G879" s="10" t="s">
        <v>350</v>
      </c>
      <c r="H879" s="67" t="s">
        <v>280</v>
      </c>
      <c r="I879" s="67" t="str">
        <f>VLOOKUP(Table46[[#This Row],[SUPPLIERS NAME]],[1]AGING!X$3:Y$80,2,)</f>
        <v>LBA-016-NOU</v>
      </c>
      <c r="J879" s="10" t="s">
        <v>957</v>
      </c>
      <c r="K879" s="21" t="s">
        <v>283</v>
      </c>
      <c r="L879" s="10">
        <v>383</v>
      </c>
      <c r="M879" s="10">
        <v>18761</v>
      </c>
      <c r="N879" s="10">
        <v>512</v>
      </c>
      <c r="O879" s="22">
        <f>P879+N879</f>
        <v>44840</v>
      </c>
      <c r="P879" s="22">
        <v>44328</v>
      </c>
      <c r="Q879" s="10">
        <v>496</v>
      </c>
      <c r="R879" s="125">
        <v>0</v>
      </c>
      <c r="S879" s="122">
        <v>16</v>
      </c>
      <c r="T879" s="10">
        <f t="shared" si="103"/>
        <v>64</v>
      </c>
      <c r="U879" s="22">
        <f>Table46[[#This Row],[NET WT KGS]]-Table46[[#This Row],[Refraction]]</f>
        <v>44264</v>
      </c>
      <c r="V879" s="23">
        <v>475</v>
      </c>
      <c r="W879" s="23">
        <f>Table46[[#This Row],[PRICE]]*Table46[[#This Row],[PAID WT]]</f>
        <v>21025400</v>
      </c>
      <c r="X879" s="24">
        <v>10.199999999999999</v>
      </c>
      <c r="Y879" s="25">
        <v>161</v>
      </c>
      <c r="Z879" s="24">
        <v>42.15</v>
      </c>
      <c r="AA879" s="26"/>
      <c r="AB879" s="10" t="s">
        <v>78</v>
      </c>
      <c r="AC879" s="27"/>
      <c r="AD879" s="28"/>
      <c r="AE879" s="18">
        <f>Table46[[#This Row],[MOIS.]]*Table46[[#This Row],[NET WT KGS]]</f>
        <v>452145.6</v>
      </c>
      <c r="AF879" s="18">
        <f>Table46[[#This Row],[KOR]]*Table46[[#This Row],[NET WT KGS]]</f>
        <v>1868425.2</v>
      </c>
      <c r="AG879">
        <f>Table46[[#This Row],[NET WT KGS]]*Table46[[#This Row],[NUT COUNT]]</f>
        <v>7136808</v>
      </c>
    </row>
    <row r="880" spans="1:33" x14ac:dyDescent="0.35">
      <c r="A880" s="32">
        <f t="shared" si="100"/>
        <v>878</v>
      </c>
      <c r="B880" s="20">
        <v>46142</v>
      </c>
      <c r="C880" s="20">
        <v>46142</v>
      </c>
      <c r="D880" s="66" t="s">
        <v>38</v>
      </c>
      <c r="E880" s="66" t="s">
        <v>39</v>
      </c>
      <c r="F880" s="50" t="s">
        <v>40</v>
      </c>
      <c r="G880" s="10" t="s">
        <v>350</v>
      </c>
      <c r="H880" s="66" t="s">
        <v>112</v>
      </c>
      <c r="I880" s="67" t="str">
        <f>VLOOKUP(Table46[[#This Row],[SUPPLIERS NAME]],[1]AGING!X$3:Y$80,2,)</f>
        <v>LBA-015-OUM</v>
      </c>
      <c r="J880" s="10" t="s">
        <v>522</v>
      </c>
      <c r="K880" s="21" t="s">
        <v>115</v>
      </c>
      <c r="L880" s="10">
        <v>384</v>
      </c>
      <c r="M880" s="10">
        <v>31996</v>
      </c>
      <c r="N880" s="10">
        <v>537</v>
      </c>
      <c r="O880" s="22">
        <f>P880+N880</f>
        <v>43300</v>
      </c>
      <c r="P880" s="22">
        <v>42763</v>
      </c>
      <c r="Q880" s="10">
        <v>529</v>
      </c>
      <c r="R880" s="125">
        <v>0</v>
      </c>
      <c r="S880" s="122">
        <v>8</v>
      </c>
      <c r="T880" s="10">
        <f t="shared" si="103"/>
        <v>32</v>
      </c>
      <c r="U880" s="22">
        <f>Table46[[#This Row],[NET WT KGS]]-Table46[[#This Row],[Refraction]]</f>
        <v>42731</v>
      </c>
      <c r="V880" s="23">
        <v>475</v>
      </c>
      <c r="W880" s="23">
        <f>Table46[[#This Row],[PRICE]]*Table46[[#This Row],[PAID WT]]</f>
        <v>20297225</v>
      </c>
      <c r="X880" s="24">
        <v>7.9</v>
      </c>
      <c r="Y880" s="25">
        <v>172</v>
      </c>
      <c r="Z880" s="24">
        <v>42.15</v>
      </c>
      <c r="AA880" s="26"/>
      <c r="AB880" s="10" t="s">
        <v>58</v>
      </c>
      <c r="AC880" s="27"/>
      <c r="AD880" s="28"/>
      <c r="AE880" s="18">
        <f>Table46[[#This Row],[MOIS.]]*Table46[[#This Row],[NET WT KGS]]</f>
        <v>337827.7</v>
      </c>
      <c r="AF880" s="18">
        <f>Table46[[#This Row],[KOR]]*Table46[[#This Row],[NET WT KGS]]</f>
        <v>1802460.45</v>
      </c>
      <c r="AG880">
        <f>Table46[[#This Row],[NET WT KGS]]*Table46[[#This Row],[NUT COUNT]]</f>
        <v>7355236</v>
      </c>
    </row>
    <row r="881" spans="1:33" x14ac:dyDescent="0.35">
      <c r="A881" s="32">
        <f t="shared" si="100"/>
        <v>879</v>
      </c>
      <c r="B881" s="20">
        <v>46142</v>
      </c>
      <c r="C881" s="20">
        <v>46142</v>
      </c>
      <c r="D881" s="66" t="s">
        <v>38</v>
      </c>
      <c r="E881" s="66" t="s">
        <v>39</v>
      </c>
      <c r="F881" s="50" t="s">
        <v>40</v>
      </c>
      <c r="G881" s="10" t="s">
        <v>41</v>
      </c>
      <c r="H881" s="67" t="s">
        <v>123</v>
      </c>
      <c r="I881" s="67" t="str">
        <f>VLOOKUP(Table46[[#This Row],[SUPPLIERS NAME]],[1]AGING!X$3:Y$80,2,)</f>
        <v>LBA-011-ASR</v>
      </c>
      <c r="J881" s="10" t="s">
        <v>645</v>
      </c>
      <c r="K881" s="21" t="s">
        <v>161</v>
      </c>
      <c r="L881" s="10">
        <v>385</v>
      </c>
      <c r="M881" s="10">
        <v>32070</v>
      </c>
      <c r="N881" s="10">
        <v>568</v>
      </c>
      <c r="O881" s="22">
        <f>P881+N881</f>
        <v>47480</v>
      </c>
      <c r="P881" s="22">
        <v>46912</v>
      </c>
      <c r="Q881" s="10">
        <v>556</v>
      </c>
      <c r="R881" s="125">
        <v>0</v>
      </c>
      <c r="S881" s="122">
        <v>12</v>
      </c>
      <c r="T881" s="10">
        <f t="shared" si="103"/>
        <v>48</v>
      </c>
      <c r="U881" s="22">
        <f>Table46[[#This Row],[NET WT KGS]]-Table46[[#This Row],[Refraction]]</f>
        <v>46864</v>
      </c>
      <c r="V881" s="23">
        <v>480</v>
      </c>
      <c r="W881" s="23">
        <f>Table46[[#This Row],[PRICE]]*Table46[[#This Row],[PAID WT]]</f>
        <v>22494720</v>
      </c>
      <c r="X881" s="24">
        <v>9</v>
      </c>
      <c r="Y881" s="25">
        <v>174</v>
      </c>
      <c r="Z881" s="24">
        <v>41.27</v>
      </c>
      <c r="AA881" s="26"/>
      <c r="AB881" s="10" t="s">
        <v>660</v>
      </c>
      <c r="AC881" s="27"/>
      <c r="AD881" s="28"/>
      <c r="AE881" s="18">
        <f>Table46[[#This Row],[MOIS.]]*Table46[[#This Row],[NET WT KGS]]</f>
        <v>422208</v>
      </c>
      <c r="AF881" s="18">
        <f>Table46[[#This Row],[KOR]]*Table46[[#This Row],[NET WT KGS]]</f>
        <v>1936058.2400000002</v>
      </c>
      <c r="AG881">
        <f>Table46[[#This Row],[NET WT KGS]]*Table46[[#This Row],[NUT COUNT]]</f>
        <v>8162688</v>
      </c>
    </row>
    <row r="882" spans="1:33" x14ac:dyDescent="0.35">
      <c r="A882" s="32">
        <f t="shared" si="100"/>
        <v>880</v>
      </c>
      <c r="B882" s="133">
        <v>46141</v>
      </c>
      <c r="C882" s="133">
        <v>46142</v>
      </c>
      <c r="D882" s="134" t="s">
        <v>38</v>
      </c>
      <c r="E882" s="104" t="s">
        <v>258</v>
      </c>
      <c r="F882" s="126" t="s">
        <v>62</v>
      </c>
      <c r="G882" s="134"/>
      <c r="H882" s="134" t="s">
        <v>684</v>
      </c>
      <c r="I882" s="118" t="str">
        <f>VLOOKUP(Table46[[#This Row],[SUPPLIERS NAME]],[1]AGING!X$3:Y$80,2,)</f>
        <v>LBA-021-SAN</v>
      </c>
      <c r="J882" s="104" t="s">
        <v>958</v>
      </c>
      <c r="K882" s="134"/>
      <c r="L882" s="104">
        <v>750</v>
      </c>
      <c r="M882" s="134">
        <v>14643</v>
      </c>
      <c r="N882" s="104">
        <v>453</v>
      </c>
      <c r="O882" s="89">
        <v>40480</v>
      </c>
      <c r="P882" s="62">
        <f>Table46[[#This Row],[GROSS WT KGS]]-Table46[[#This Row],[SACS]]</f>
        <v>40027</v>
      </c>
      <c r="Q882" s="134">
        <f>Table46[[#This Row],[SACS]]-Table46[[#This Row],[HUMID SACS]]</f>
        <v>423</v>
      </c>
      <c r="R882" s="135">
        <v>30</v>
      </c>
      <c r="S882" s="136">
        <v>0</v>
      </c>
      <c r="T882" s="104">
        <f t="shared" si="103"/>
        <v>240</v>
      </c>
      <c r="U882" s="89">
        <f>Table46[[#This Row],[NET WT KGS]]-Table46[[#This Row],[Refraction]]</f>
        <v>39787</v>
      </c>
      <c r="V882" s="137">
        <v>475</v>
      </c>
      <c r="W882" s="137">
        <f>Table46[[#This Row],[PRICE]]*Table46[[#This Row],[PAID WT]]</f>
        <v>18898825</v>
      </c>
      <c r="X882" s="43">
        <v>12.6</v>
      </c>
      <c r="Y882" s="138">
        <v>163</v>
      </c>
      <c r="Z882" s="43">
        <v>42.32</v>
      </c>
      <c r="AA882" s="43"/>
      <c r="AB882" s="104" t="s">
        <v>676</v>
      </c>
      <c r="AC882" s="139" t="s">
        <v>959</v>
      </c>
      <c r="AD882" s="140"/>
      <c r="AE882" s="18">
        <f>Table46[[#This Row],[MOIS.]]*Table46[[#This Row],[NET WT KGS]]</f>
        <v>504340.2</v>
      </c>
      <c r="AF882" s="18">
        <f>Table46[[#This Row],[KOR]]*Table46[[#This Row],[NET WT KGS]]</f>
        <v>1693942.64</v>
      </c>
      <c r="AG882">
        <f>Table46[[#This Row],[NET WT KGS]]*Table46[[#This Row],[NUT COUNT]]</f>
        <v>6524401</v>
      </c>
    </row>
    <row r="883" spans="1:33" x14ac:dyDescent="0.35">
      <c r="A883" s="32">
        <f t="shared" si="100"/>
        <v>881</v>
      </c>
      <c r="B883" s="20">
        <v>46141</v>
      </c>
      <c r="C883" s="20">
        <v>46142</v>
      </c>
      <c r="D883" s="66" t="s">
        <v>38</v>
      </c>
      <c r="E883" s="10" t="s">
        <v>258</v>
      </c>
      <c r="F883" s="50" t="s">
        <v>62</v>
      </c>
      <c r="G883" s="66"/>
      <c r="H883" s="66" t="s">
        <v>960</v>
      </c>
      <c r="I883" s="50" t="s">
        <v>239</v>
      </c>
      <c r="J883" s="66" t="s">
        <v>961</v>
      </c>
      <c r="K883" s="21" t="s">
        <v>962</v>
      </c>
      <c r="L883" s="66">
        <v>749</v>
      </c>
      <c r="M883" s="10">
        <v>2582</v>
      </c>
      <c r="N883" s="66">
        <v>234</v>
      </c>
      <c r="O883" s="68">
        <v>19580</v>
      </c>
      <c r="P883" s="51">
        <f>Table46[[#This Row],[GROSS WT KGS]]-Table46[[#This Row],[SACS]]</f>
        <v>19346</v>
      </c>
      <c r="Q883" s="66">
        <f>Table46[[#This Row],[SACS]]-Table46[[#This Row],[HUMID SACS]]</f>
        <v>224</v>
      </c>
      <c r="R883" s="125">
        <v>10</v>
      </c>
      <c r="S883" s="123">
        <v>0</v>
      </c>
      <c r="T883" s="10">
        <f t="shared" si="103"/>
        <v>80</v>
      </c>
      <c r="U883" s="68">
        <f>Table46[[#This Row],[NET WT KGS]]-Table46[[#This Row],[Refraction]]</f>
        <v>19266</v>
      </c>
      <c r="V883" s="69">
        <v>485</v>
      </c>
      <c r="W883" s="69">
        <f>Table46[[#This Row],[PRICE]]*Table46[[#This Row],[PAID WT]]</f>
        <v>9344010</v>
      </c>
      <c r="X883" s="70">
        <v>10.1</v>
      </c>
      <c r="Y883" s="71">
        <v>179</v>
      </c>
      <c r="Z883" s="70">
        <v>42.59</v>
      </c>
      <c r="AA883" s="72"/>
      <c r="AB883" s="66" t="s">
        <v>963</v>
      </c>
      <c r="AC883" s="73"/>
      <c r="AD883" s="85"/>
      <c r="AE883" s="18">
        <f>Table46[[#This Row],[MOIS.]]*Table46[[#This Row],[NET WT KGS]]</f>
        <v>195394.6</v>
      </c>
      <c r="AF883" s="18">
        <f>Table46[[#This Row],[KOR]]*Table46[[#This Row],[NET WT KGS]]</f>
        <v>823946.14</v>
      </c>
      <c r="AG883">
        <f>Table46[[#This Row],[NET WT KGS]]*Table46[[#This Row],[NUT COUNT]]</f>
        <v>3462934</v>
      </c>
    </row>
    <row r="884" spans="1:33" x14ac:dyDescent="0.35">
      <c r="A884" s="32">
        <f t="shared" si="100"/>
        <v>882</v>
      </c>
      <c r="B884" s="20">
        <v>46139</v>
      </c>
      <c r="C884" s="20">
        <v>46142</v>
      </c>
      <c r="D884" s="66" t="s">
        <v>38</v>
      </c>
      <c r="E884" s="10" t="s">
        <v>258</v>
      </c>
      <c r="F884" s="50" t="s">
        <v>62</v>
      </c>
      <c r="G884" s="10"/>
      <c r="H884" s="10" t="s">
        <v>724</v>
      </c>
      <c r="I884" s="67" t="str">
        <f>VLOOKUP(Table46[[#This Row],[SUPPLIERS NAME]],[1]AGING!X$3:Y$80,2,)</f>
        <v>DIS-029-CPA</v>
      </c>
      <c r="J884" s="10" t="s">
        <v>725</v>
      </c>
      <c r="K884" s="21" t="s">
        <v>726</v>
      </c>
      <c r="L884" s="10">
        <v>401</v>
      </c>
      <c r="M884" s="10">
        <v>28996</v>
      </c>
      <c r="N884" s="10">
        <v>591</v>
      </c>
      <c r="O884" s="22">
        <v>47530</v>
      </c>
      <c r="P884" s="51">
        <f>Table46[[#This Row],[GROSS WT KGS]]-Table46[[#This Row],[SACS]]</f>
        <v>46939</v>
      </c>
      <c r="Q884" s="66">
        <f>Table46[[#This Row],[SACS]]-Table46[[#This Row],[HUMID SACS]]</f>
        <v>561</v>
      </c>
      <c r="R884" s="125">
        <v>30</v>
      </c>
      <c r="S884" s="122">
        <v>0</v>
      </c>
      <c r="T884" s="10">
        <f t="shared" si="103"/>
        <v>240</v>
      </c>
      <c r="U884" s="119">
        <f>Table46[[#This Row],[NET WT KGS]]-Table46[[#This Row],[Refraction]]</f>
        <v>46699</v>
      </c>
      <c r="V884" s="23">
        <v>485</v>
      </c>
      <c r="W884" s="23">
        <f>Table46[[#This Row],[PRICE]]*Table46[[#This Row],[PAID WT]]</f>
        <v>22649015</v>
      </c>
      <c r="X884" s="24">
        <v>11.6</v>
      </c>
      <c r="Y884" s="25">
        <v>186</v>
      </c>
      <c r="Z884" s="24">
        <v>41.09</v>
      </c>
      <c r="AA884" s="26"/>
      <c r="AB884" s="10" t="s">
        <v>132</v>
      </c>
      <c r="AC884" s="27"/>
      <c r="AD884" s="28"/>
      <c r="AE884" s="18">
        <f>Table46[[#This Row],[MOIS.]]*Table46[[#This Row],[NET WT KGS]]</f>
        <v>544492.4</v>
      </c>
      <c r="AF884" s="18">
        <f>Table46[[#This Row],[KOR]]*Table46[[#This Row],[NET WT KGS]]</f>
        <v>1928723.5100000002</v>
      </c>
      <c r="AG884">
        <f>Table46[[#This Row],[NET WT KGS]]*Table46[[#This Row],[NUT COUNT]]</f>
        <v>8730654</v>
      </c>
    </row>
    <row r="885" spans="1:33" x14ac:dyDescent="0.35">
      <c r="A885" s="32">
        <f t="shared" si="100"/>
        <v>883</v>
      </c>
      <c r="B885" s="20">
        <v>46141</v>
      </c>
      <c r="C885" s="20">
        <v>46142</v>
      </c>
      <c r="D885" s="66" t="s">
        <v>38</v>
      </c>
      <c r="E885" s="10" t="s">
        <v>39</v>
      </c>
      <c r="F885" s="50" t="s">
        <v>62</v>
      </c>
      <c r="G885" s="10"/>
      <c r="H885" s="116" t="s">
        <v>128</v>
      </c>
      <c r="I885" s="67" t="str">
        <f>VLOOKUP(Table46[[#This Row],[SUPPLIERS NAME]],[1]AGING!X$3:Y$80,2,)</f>
        <v>LBA-002-SCA</v>
      </c>
      <c r="J885" s="10" t="s">
        <v>964</v>
      </c>
      <c r="K885" s="33" t="s">
        <v>131</v>
      </c>
      <c r="L885" s="10">
        <v>408</v>
      </c>
      <c r="M885" s="10">
        <v>78899</v>
      </c>
      <c r="N885" s="10">
        <v>555</v>
      </c>
      <c r="O885" s="22">
        <v>51620</v>
      </c>
      <c r="P885" s="51">
        <f>Table46[[#This Row],[GROSS WT KGS]]-Table46[[#This Row],[SACS]]</f>
        <v>51065</v>
      </c>
      <c r="Q885" s="141">
        <f>Table46[[#This Row],[SACS]]-Table46[[#This Row],[HUMID SACS]]-Table46[[#This Row],[Sacs déchirés]]</f>
        <v>535</v>
      </c>
      <c r="R885" s="125">
        <v>20</v>
      </c>
      <c r="S885" s="122">
        <v>0</v>
      </c>
      <c r="T885" s="10">
        <f t="shared" si="103"/>
        <v>160</v>
      </c>
      <c r="U885" s="22">
        <f>Table46[[#This Row],[NET WT KGS]]-Table46[[#This Row],[Refraction]]</f>
        <v>50905</v>
      </c>
      <c r="V885" s="23">
        <v>485</v>
      </c>
      <c r="W885" s="23">
        <f>Table46[[#This Row],[PRICE]]*Table46[[#This Row],[PAID WT]]</f>
        <v>24688925</v>
      </c>
      <c r="X885" s="24">
        <v>10.9</v>
      </c>
      <c r="Y885" s="25">
        <v>171</v>
      </c>
      <c r="Z885" s="24">
        <v>41.88</v>
      </c>
      <c r="AA885" s="26"/>
      <c r="AB885" s="10" t="s">
        <v>132</v>
      </c>
      <c r="AC885" s="27"/>
      <c r="AD885" s="28"/>
      <c r="AE885" s="18">
        <f>Table46[[#This Row],[MOIS.]]*Table46[[#This Row],[NET WT KGS]]</f>
        <v>556608.5</v>
      </c>
      <c r="AF885" s="18">
        <f>Table46[[#This Row],[KOR]]*Table46[[#This Row],[NET WT KGS]]</f>
        <v>2138602.2000000002</v>
      </c>
      <c r="AG885">
        <f>Table46[[#This Row],[NET WT KGS]]*Table46[[#This Row],[NUT COUNT]]</f>
        <v>8732115</v>
      </c>
    </row>
    <row r="886" spans="1:33" x14ac:dyDescent="0.35">
      <c r="A886" s="32">
        <f t="shared" si="100"/>
        <v>884</v>
      </c>
      <c r="B886" s="20">
        <v>46141</v>
      </c>
      <c r="C886" s="20">
        <v>46142</v>
      </c>
      <c r="D886" s="66" t="s">
        <v>38</v>
      </c>
      <c r="E886" s="10" t="s">
        <v>39</v>
      </c>
      <c r="F886" s="50" t="s">
        <v>62</v>
      </c>
      <c r="G886" s="66"/>
      <c r="H886" s="66" t="s">
        <v>684</v>
      </c>
      <c r="I886" s="67" t="str">
        <f>VLOOKUP(Table46[[#This Row],[SUPPLIERS NAME]],[1]AGING!X$3:Y$80,2,)</f>
        <v>LBA-021-SAN</v>
      </c>
      <c r="J886" s="10" t="s">
        <v>965</v>
      </c>
      <c r="K886" s="66"/>
      <c r="L886" s="10">
        <v>402</v>
      </c>
      <c r="M886" s="66">
        <v>39825</v>
      </c>
      <c r="N886" s="10">
        <v>463</v>
      </c>
      <c r="O886" s="22">
        <v>37190</v>
      </c>
      <c r="P886" s="51">
        <f>Table46[[#This Row],[GROSS WT KGS]]-Table46[[#This Row],[SACS]]</f>
        <v>36727</v>
      </c>
      <c r="Q886" s="141">
        <f>Table46[[#This Row],[SACS]]-Table46[[#This Row],[HUMID SACS]]-Table46[[#This Row],[Sacs déchirés]]</f>
        <v>433</v>
      </c>
      <c r="R886" s="125">
        <v>30</v>
      </c>
      <c r="S886" s="122">
        <v>0</v>
      </c>
      <c r="T886" s="10">
        <f t="shared" si="103"/>
        <v>240</v>
      </c>
      <c r="U886" s="22">
        <f>Table46[[#This Row],[NET WT KGS]]-Table46[[#This Row],[Refraction]]</f>
        <v>36487</v>
      </c>
      <c r="V886" s="23">
        <v>500</v>
      </c>
      <c r="W886" s="23">
        <f>Table46[[#This Row],[PRICE]]*Table46[[#This Row],[PAID WT]]</f>
        <v>18243500</v>
      </c>
      <c r="X886" s="24">
        <v>13.7</v>
      </c>
      <c r="Y886" s="25">
        <v>170</v>
      </c>
      <c r="Z886" s="24">
        <v>42.85</v>
      </c>
      <c r="AA886" s="26"/>
      <c r="AB886" s="10" t="s">
        <v>40</v>
      </c>
      <c r="AC886" s="27" t="s">
        <v>762</v>
      </c>
      <c r="AD886" s="28"/>
      <c r="AE886" s="18">
        <f>Table46[[#This Row],[MOIS.]]*Table46[[#This Row],[NET WT KGS]]</f>
        <v>503159.89999999997</v>
      </c>
      <c r="AF886" s="18">
        <f>Table46[[#This Row],[KOR]]*Table46[[#This Row],[NET WT KGS]]</f>
        <v>1573751.95</v>
      </c>
      <c r="AG886">
        <f>Table46[[#This Row],[NET WT KGS]]*Table46[[#This Row],[NUT COUNT]]</f>
        <v>6243590</v>
      </c>
    </row>
    <row r="887" spans="1:33" x14ac:dyDescent="0.35">
      <c r="A887" s="32">
        <f t="shared" si="100"/>
        <v>885</v>
      </c>
      <c r="B887" s="20">
        <v>46141</v>
      </c>
      <c r="C887" s="20">
        <v>46142</v>
      </c>
      <c r="D887" s="66" t="s">
        <v>38</v>
      </c>
      <c r="E887" s="10" t="s">
        <v>39</v>
      </c>
      <c r="F887" s="50" t="s">
        <v>62</v>
      </c>
      <c r="G887" s="66"/>
      <c r="H887" s="116" t="s">
        <v>128</v>
      </c>
      <c r="I887" s="67" t="str">
        <f>VLOOKUP(Table46[[#This Row],[SUPPLIERS NAME]],[1]AGING!X$3:Y$80,2,)</f>
        <v>LBA-002-SCA</v>
      </c>
      <c r="J887" s="66" t="s">
        <v>920</v>
      </c>
      <c r="K887" s="33" t="s">
        <v>131</v>
      </c>
      <c r="L887" s="66">
        <v>407</v>
      </c>
      <c r="M887" s="10">
        <v>78900</v>
      </c>
      <c r="N887" s="66">
        <v>479</v>
      </c>
      <c r="O887" s="68">
        <v>39980</v>
      </c>
      <c r="P887" s="51">
        <f>Table46[[#This Row],[GROSS WT KGS]]-Table46[[#This Row],[SACS]]</f>
        <v>39501</v>
      </c>
      <c r="Q887" s="141">
        <f>Table46[[#This Row],[SACS]]-Table46[[#This Row],[HUMID SACS]]-Table46[[#This Row],[Sacs déchirés]]</f>
        <v>459</v>
      </c>
      <c r="R887" s="125">
        <v>20</v>
      </c>
      <c r="S887" s="123">
        <v>0</v>
      </c>
      <c r="T887" s="10">
        <f t="shared" si="103"/>
        <v>160</v>
      </c>
      <c r="U887" s="68">
        <f>Table46[[#This Row],[NET WT KGS]]-Table46[[#This Row],[Refraction]]</f>
        <v>39341</v>
      </c>
      <c r="V887" s="69">
        <v>490</v>
      </c>
      <c r="W887" s="69">
        <f>Table46[[#This Row],[PRICE]]*Table46[[#This Row],[PAID WT]]</f>
        <v>19277090</v>
      </c>
      <c r="X887" s="70">
        <v>10.8</v>
      </c>
      <c r="Y887" s="71">
        <v>180</v>
      </c>
      <c r="Z887" s="70">
        <v>44</v>
      </c>
      <c r="AA887" s="72"/>
      <c r="AB887" s="66" t="s">
        <v>132</v>
      </c>
      <c r="AC887" s="73"/>
      <c r="AD887" s="85"/>
      <c r="AE887" s="18">
        <f>Table46[[#This Row],[MOIS.]]*Table46[[#This Row],[NET WT KGS]]</f>
        <v>426610.80000000005</v>
      </c>
      <c r="AF887" s="18">
        <f>Table46[[#This Row],[KOR]]*Table46[[#This Row],[NET WT KGS]]</f>
        <v>1738044</v>
      </c>
      <c r="AG887">
        <f>Table46[[#This Row],[NET WT KGS]]*Table46[[#This Row],[NUT COUNT]]</f>
        <v>7110180</v>
      </c>
    </row>
    <row r="888" spans="1:33" x14ac:dyDescent="0.35">
      <c r="A888" s="32">
        <f t="shared" si="100"/>
        <v>886</v>
      </c>
      <c r="B888" s="20">
        <v>46141</v>
      </c>
      <c r="C888" s="20">
        <v>46142</v>
      </c>
      <c r="D888" s="66" t="s">
        <v>38</v>
      </c>
      <c r="E888" s="10" t="s">
        <v>39</v>
      </c>
      <c r="F888" s="50" t="s">
        <v>62</v>
      </c>
      <c r="G888" s="10"/>
      <c r="H888" s="66" t="s">
        <v>922</v>
      </c>
      <c r="I888" s="67" t="str">
        <f>VLOOKUP(Table46[[#This Row],[SUPPLIERS NAME]],[1]AGING!X$3:Y$80,2,)</f>
        <v>DIS-039-ADD</v>
      </c>
      <c r="J888" s="10" t="s">
        <v>966</v>
      </c>
      <c r="K888" s="21" t="s">
        <v>924</v>
      </c>
      <c r="L888" s="10">
        <v>403</v>
      </c>
      <c r="M888" s="10">
        <v>35052</v>
      </c>
      <c r="N888" s="10">
        <v>455</v>
      </c>
      <c r="O888" s="22">
        <v>39150</v>
      </c>
      <c r="P888" s="51">
        <f>Table46[[#This Row],[GROSS WT KGS]]-Table46[[#This Row],[SACS]]</f>
        <v>38695</v>
      </c>
      <c r="Q888" s="141">
        <f>Table46[[#This Row],[SACS]]-Table46[[#This Row],[HUMID SACS]]-Table46[[#This Row],[Sacs déchirés]]</f>
        <v>425</v>
      </c>
      <c r="R888" s="125">
        <v>30</v>
      </c>
      <c r="S888" s="122">
        <v>0</v>
      </c>
      <c r="T888" s="10">
        <f t="shared" si="103"/>
        <v>240</v>
      </c>
      <c r="U888" s="22">
        <f>Table46[[#This Row],[NET WT KGS]]-Table46[[#This Row],[Refraction]]</f>
        <v>38455</v>
      </c>
      <c r="V888" s="23">
        <v>500</v>
      </c>
      <c r="W888" s="23">
        <f>Table46[[#This Row],[PRICE]]*Table46[[#This Row],[PAID WT]]</f>
        <v>19227500</v>
      </c>
      <c r="X888" s="24">
        <v>11.7</v>
      </c>
      <c r="Y888" s="25">
        <v>180</v>
      </c>
      <c r="Z888" s="24">
        <v>44.18</v>
      </c>
      <c r="AA888" s="26"/>
      <c r="AB888" s="10" t="s">
        <v>967</v>
      </c>
      <c r="AC888" s="27"/>
      <c r="AD888" s="28"/>
      <c r="AE888" s="18">
        <f>Table46[[#This Row],[MOIS.]]*Table46[[#This Row],[NET WT KGS]]</f>
        <v>452731.5</v>
      </c>
      <c r="AF888" s="18">
        <f>Table46[[#This Row],[KOR]]*Table46[[#This Row],[NET WT KGS]]</f>
        <v>1709545.1</v>
      </c>
      <c r="AG888">
        <f>Table46[[#This Row],[NET WT KGS]]*Table46[[#This Row],[NUT COUNT]]</f>
        <v>6965100</v>
      </c>
    </row>
    <row r="889" spans="1:33" x14ac:dyDescent="0.35">
      <c r="A889" s="32">
        <f t="shared" si="100"/>
        <v>887</v>
      </c>
      <c r="B889" s="20">
        <v>46142</v>
      </c>
      <c r="C889" s="20">
        <v>46142</v>
      </c>
      <c r="D889" s="66" t="s">
        <v>38</v>
      </c>
      <c r="E889" s="66" t="s">
        <v>258</v>
      </c>
      <c r="F889" s="50" t="s">
        <v>62</v>
      </c>
      <c r="G889" s="66"/>
      <c r="H889" s="66" t="s">
        <v>502</v>
      </c>
      <c r="I889" s="67" t="str">
        <f>VLOOKUP(Table46[[#This Row],[SUPPLIERS NAME]],[1]AGING!X$3:Y$80,2,)</f>
        <v>DIS-027-BAO</v>
      </c>
      <c r="J889" s="66" t="s">
        <v>968</v>
      </c>
      <c r="K889" s="21" t="s">
        <v>697</v>
      </c>
      <c r="L889" s="66">
        <v>404</v>
      </c>
      <c r="M889" s="10">
        <v>62874</v>
      </c>
      <c r="N889" s="66">
        <v>469</v>
      </c>
      <c r="O889" s="68">
        <v>40420</v>
      </c>
      <c r="P889" s="51">
        <f>Table46[[#This Row],[GROSS WT KGS]]-Table46[[#This Row],[SACS]]</f>
        <v>39951</v>
      </c>
      <c r="Q889" s="141">
        <f>Table46[[#This Row],[SACS]]-Table46[[#This Row],[HUMID SACS]]-Table46[[#This Row],[Sacs déchirés]]</f>
        <v>459</v>
      </c>
      <c r="R889" s="125">
        <v>0</v>
      </c>
      <c r="S889" s="123">
        <v>10</v>
      </c>
      <c r="T889" s="10">
        <f t="shared" si="103"/>
        <v>40</v>
      </c>
      <c r="U889" s="68">
        <f>Table46[[#This Row],[NET WT KGS]]-Table46[[#This Row],[Refraction]]</f>
        <v>39911</v>
      </c>
      <c r="V889" s="69">
        <v>485</v>
      </c>
      <c r="W889" s="69">
        <f>Table46[[#This Row],[PRICE]]*Table46[[#This Row],[PAID WT]]</f>
        <v>19356835</v>
      </c>
      <c r="X889" s="70">
        <v>9.4</v>
      </c>
      <c r="Y889" s="71">
        <v>183</v>
      </c>
      <c r="Z889" s="70">
        <v>44</v>
      </c>
      <c r="AA889" s="72"/>
      <c r="AB889" s="66" t="s">
        <v>546</v>
      </c>
      <c r="AC889" s="73"/>
      <c r="AD889" s="85"/>
      <c r="AE889" s="18">
        <f>Table46[[#This Row],[MOIS.]]*Table46[[#This Row],[NET WT KGS]]</f>
        <v>375539.4</v>
      </c>
      <c r="AF889" s="18">
        <f>Table46[[#This Row],[KOR]]*Table46[[#This Row],[NET WT KGS]]</f>
        <v>1757844</v>
      </c>
      <c r="AG889">
        <f>Table46[[#This Row],[NET WT KGS]]*Table46[[#This Row],[NUT COUNT]]</f>
        <v>7311033</v>
      </c>
    </row>
    <row r="890" spans="1:33" x14ac:dyDescent="0.35">
      <c r="A890" s="32">
        <f t="shared" si="100"/>
        <v>888</v>
      </c>
      <c r="B890" s="20">
        <v>46140</v>
      </c>
      <c r="C890" s="20">
        <v>46142</v>
      </c>
      <c r="D890" s="66" t="s">
        <v>38</v>
      </c>
      <c r="E890" s="10" t="s">
        <v>39</v>
      </c>
      <c r="F890" s="50" t="s">
        <v>62</v>
      </c>
      <c r="G890" s="66"/>
      <c r="H890" s="66" t="s">
        <v>684</v>
      </c>
      <c r="I890" s="67" t="str">
        <f>VLOOKUP(Table46[[#This Row],[SUPPLIERS NAME]],[1]AGING!X$3:Y$80,2,)</f>
        <v>LBA-021-SAN</v>
      </c>
      <c r="J890" s="10" t="s">
        <v>969</v>
      </c>
      <c r="K890" s="66"/>
      <c r="L890" s="10">
        <v>406</v>
      </c>
      <c r="M890" s="66">
        <v>37964</v>
      </c>
      <c r="N890" s="10">
        <v>499</v>
      </c>
      <c r="O890" s="22">
        <v>40090</v>
      </c>
      <c r="P890" s="51">
        <f>Table46[[#This Row],[GROSS WT KGS]]-Table46[[#This Row],[SACS]]</f>
        <v>39591</v>
      </c>
      <c r="Q890" s="141">
        <f>Table46[[#This Row],[SACS]]-Table46[[#This Row],[HUMID SACS]]-Table46[[#This Row],[Sacs déchirés]]</f>
        <v>489</v>
      </c>
      <c r="R890" s="125">
        <v>10</v>
      </c>
      <c r="S890" s="122">
        <v>0</v>
      </c>
      <c r="T890" s="10">
        <f t="shared" si="103"/>
        <v>80</v>
      </c>
      <c r="U890" s="22">
        <f>Table46[[#This Row],[NET WT KGS]]-Table46[[#This Row],[Refraction]]</f>
        <v>39511</v>
      </c>
      <c r="V890" s="23">
        <v>505</v>
      </c>
      <c r="W890" s="23">
        <f>Table46[[#This Row],[PRICE]]*Table46[[#This Row],[PAID WT]]</f>
        <v>19953055</v>
      </c>
      <c r="X890" s="24">
        <v>10.7</v>
      </c>
      <c r="Y890" s="25">
        <v>175</v>
      </c>
      <c r="Z890" s="24">
        <v>42.76</v>
      </c>
      <c r="AA890" s="26"/>
      <c r="AB890" s="10" t="s">
        <v>58</v>
      </c>
      <c r="AC890" s="73" t="s">
        <v>686</v>
      </c>
      <c r="AD890" s="28"/>
      <c r="AE890" s="18">
        <f>Table46[[#This Row],[MOIS.]]*Table46[[#This Row],[NET WT KGS]]</f>
        <v>423623.69999999995</v>
      </c>
      <c r="AF890" s="18">
        <f>Table46[[#This Row],[KOR]]*Table46[[#This Row],[NET WT KGS]]</f>
        <v>1692911.16</v>
      </c>
      <c r="AG890">
        <f>Table46[[#This Row],[NET WT KGS]]*Table46[[#This Row],[NUT COUNT]]</f>
        <v>6928425</v>
      </c>
    </row>
    <row r="891" spans="1:33" x14ac:dyDescent="0.35">
      <c r="A891" s="32">
        <f t="shared" si="100"/>
        <v>889</v>
      </c>
      <c r="B891" s="20">
        <v>46141</v>
      </c>
      <c r="C891" s="20">
        <v>46142</v>
      </c>
      <c r="D891" s="66" t="s">
        <v>38</v>
      </c>
      <c r="E891" s="10" t="s">
        <v>258</v>
      </c>
      <c r="F891" s="50" t="s">
        <v>62</v>
      </c>
      <c r="G891" s="10"/>
      <c r="H891" s="10" t="s">
        <v>603</v>
      </c>
      <c r="I891" s="67" t="str">
        <f>VLOOKUP(Table46[[#This Row],[SUPPLIERS NAME]],[1]AGING!X$3:Y$80,2,)</f>
        <v>DIS-023-ICF</v>
      </c>
      <c r="J891" s="10" t="s">
        <v>970</v>
      </c>
      <c r="K891" s="107" t="s">
        <v>605</v>
      </c>
      <c r="L891" s="10">
        <v>405</v>
      </c>
      <c r="M891" s="10">
        <v>83413</v>
      </c>
      <c r="N891" s="10">
        <v>595</v>
      </c>
      <c r="O891" s="22">
        <v>40850</v>
      </c>
      <c r="P891" s="51">
        <f>Table46[[#This Row],[GROSS WT KGS]]-Table46[[#This Row],[SACS]]</f>
        <v>40255</v>
      </c>
      <c r="Q891" s="141">
        <f>Table46[[#This Row],[SACS]]-Table46[[#This Row],[HUMID SACS]]-Table46[[#This Row],[Sacs déchirés]]</f>
        <v>565</v>
      </c>
      <c r="R891" s="125">
        <v>30</v>
      </c>
      <c r="S891" s="122">
        <v>0</v>
      </c>
      <c r="T891" s="10">
        <f t="shared" si="103"/>
        <v>240</v>
      </c>
      <c r="U891" s="22">
        <f>Table46[[#This Row],[NET WT KGS]]-Table46[[#This Row],[Refraction]]</f>
        <v>40015</v>
      </c>
      <c r="V891" s="23">
        <v>485</v>
      </c>
      <c r="W891" s="23">
        <f>Table46[[#This Row],[PRICE]]*Table46[[#This Row],[PAID WT]]</f>
        <v>19407275</v>
      </c>
      <c r="X891" s="24">
        <v>12</v>
      </c>
      <c r="Y891" s="25">
        <v>192</v>
      </c>
      <c r="Z891" s="24">
        <v>41.97</v>
      </c>
      <c r="AA891" s="26"/>
      <c r="AB891" s="10" t="s">
        <v>415</v>
      </c>
      <c r="AC891" s="27"/>
      <c r="AD891" s="28"/>
      <c r="AE891" s="18">
        <f>Table46[[#This Row],[MOIS.]]*Table46[[#This Row],[NET WT KGS]]</f>
        <v>483060</v>
      </c>
      <c r="AF891" s="18">
        <f>Table46[[#This Row],[KOR]]*Table46[[#This Row],[NET WT KGS]]</f>
        <v>1689502.3499999999</v>
      </c>
      <c r="AG891">
        <f>Table46[[#This Row],[NET WT KGS]]*Table46[[#This Row],[NUT COUNT]]</f>
        <v>7728960</v>
      </c>
    </row>
    <row r="892" spans="1:33" x14ac:dyDescent="0.35">
      <c r="A892" s="32">
        <f t="shared" si="100"/>
        <v>890</v>
      </c>
      <c r="B892" s="35">
        <v>46142</v>
      </c>
      <c r="C892" s="91">
        <f>Table46[[#This Row],[DATE OF ARRIVAL]]</f>
        <v>46142</v>
      </c>
      <c r="D892" s="74"/>
      <c r="E892" s="74"/>
      <c r="F892" s="36" t="s">
        <v>62</v>
      </c>
      <c r="G892" s="74"/>
      <c r="H892" s="74" t="s">
        <v>502</v>
      </c>
      <c r="I892" s="74" t="str">
        <f>VLOOKUP(Table46[[#This Row],[SUPPLIERS NAME]],[1]AGING!X$3:Y$80,2,)</f>
        <v>DIS-027-BAO</v>
      </c>
      <c r="J892" s="74" t="s">
        <v>728</v>
      </c>
      <c r="K892" s="66"/>
      <c r="L892" s="74"/>
      <c r="M892" s="74"/>
      <c r="N892" s="74"/>
      <c r="O892" s="79">
        <f>P892+N892</f>
        <v>0</v>
      </c>
      <c r="P892" s="79"/>
      <c r="Q892" s="142"/>
      <c r="R892" s="132"/>
      <c r="S892" s="143"/>
      <c r="T892" s="36"/>
      <c r="U892" s="79">
        <f>Table46[[#This Row],[NET WT KGS]]-Table46[[#This Row],[Refraction]]</f>
        <v>0</v>
      </c>
      <c r="V892" s="81"/>
      <c r="W892" s="81">
        <f>Table46[[#This Row],[PRICE]]*Table46[[#This Row],[PAID WT]]</f>
        <v>0</v>
      </c>
      <c r="X892" s="82">
        <v>14.6</v>
      </c>
      <c r="Y892" s="83">
        <v>171</v>
      </c>
      <c r="Z892" s="82">
        <v>39.770000000000003</v>
      </c>
      <c r="AA892" s="72"/>
      <c r="AB892" s="74" t="s">
        <v>358</v>
      </c>
      <c r="AC892" s="92" t="s">
        <v>70</v>
      </c>
      <c r="AD892" s="85"/>
      <c r="AE892" s="18">
        <f>Table46[[#This Row],[MOIS.]]*Table46[[#This Row],[NET WT KGS]]</f>
        <v>0</v>
      </c>
      <c r="AF892" s="18">
        <f>Table46[[#This Row],[KOR]]*Table46[[#This Row],[NET WT KGS]]</f>
        <v>0</v>
      </c>
      <c r="AG892">
        <f>Table46[[#This Row],[NET WT KGS]]*Table46[[#This Row],[NUT COUNT]]</f>
        <v>0</v>
      </c>
    </row>
    <row r="893" spans="1:33" x14ac:dyDescent="0.35">
      <c r="A893" s="32">
        <f t="shared" si="100"/>
        <v>891</v>
      </c>
      <c r="B893" s="35">
        <v>46142</v>
      </c>
      <c r="C893" s="91">
        <f>Table46[[#This Row],[DATE OF ARRIVAL]]</f>
        <v>46142</v>
      </c>
      <c r="D893" s="74"/>
      <c r="E893" s="74"/>
      <c r="F893" s="36" t="s">
        <v>62</v>
      </c>
      <c r="G893" s="74"/>
      <c r="H893" s="74" t="s">
        <v>684</v>
      </c>
      <c r="I893" s="74" t="str">
        <f>VLOOKUP(Table46[[#This Row],[SUPPLIERS NAME]],[1]AGING!X$3:Y$80,2,)</f>
        <v>LBA-021-SAN</v>
      </c>
      <c r="J893" s="74" t="s">
        <v>943</v>
      </c>
      <c r="K893" s="66"/>
      <c r="L893" s="74"/>
      <c r="M893" s="74"/>
      <c r="N893" s="74"/>
      <c r="O893" s="79">
        <f>P893+N893</f>
        <v>0</v>
      </c>
      <c r="P893" s="79"/>
      <c r="Q893" s="142"/>
      <c r="R893" s="132"/>
      <c r="S893" s="143"/>
      <c r="T893" s="36"/>
      <c r="U893" s="79">
        <f>Table46[[#This Row],[NET WT KGS]]-Table46[[#This Row],[Refraction]]</f>
        <v>0</v>
      </c>
      <c r="V893" s="81"/>
      <c r="W893" s="81">
        <f>Table46[[#This Row],[PRICE]]*Table46[[#This Row],[PAID WT]]</f>
        <v>0</v>
      </c>
      <c r="X893" s="82">
        <v>8.6999999999999993</v>
      </c>
      <c r="Y893" s="83">
        <v>163</v>
      </c>
      <c r="Z893" s="82">
        <v>40.82</v>
      </c>
      <c r="AA893" s="72"/>
      <c r="AB893" s="74" t="s">
        <v>140</v>
      </c>
      <c r="AC893" s="92" t="s">
        <v>70</v>
      </c>
      <c r="AD893" s="85"/>
      <c r="AE893" s="18">
        <f>Table46[[#This Row],[MOIS.]]*Table46[[#This Row],[NET WT KGS]]</f>
        <v>0</v>
      </c>
      <c r="AF893" s="18">
        <f>Table46[[#This Row],[KOR]]*Table46[[#This Row],[NET WT KGS]]</f>
        <v>0</v>
      </c>
      <c r="AG893">
        <f>Table46[[#This Row],[NET WT KGS]]*Table46[[#This Row],[NUT COUNT]]</f>
        <v>0</v>
      </c>
    </row>
    <row r="894" spans="1:33" x14ac:dyDescent="0.35">
      <c r="A894" s="32">
        <f t="shared" si="100"/>
        <v>892</v>
      </c>
      <c r="B894" s="91">
        <v>46142</v>
      </c>
      <c r="C894" s="91">
        <f>Table46[[#This Row],[DATE OF ARRIVAL]]</f>
        <v>46142</v>
      </c>
      <c r="D894" s="74"/>
      <c r="E894" s="74"/>
      <c r="F894" s="74" t="s">
        <v>40</v>
      </c>
      <c r="G894" s="74"/>
      <c r="H894" s="74" t="s">
        <v>154</v>
      </c>
      <c r="I894" s="74" t="s">
        <v>155</v>
      </c>
      <c r="J894" s="74" t="s">
        <v>814</v>
      </c>
      <c r="K894" s="66"/>
      <c r="L894" s="74"/>
      <c r="M894" s="74"/>
      <c r="N894" s="74"/>
      <c r="O894" s="79"/>
      <c r="P894" s="79"/>
      <c r="Q894" s="142"/>
      <c r="R894" s="132"/>
      <c r="S894" s="143"/>
      <c r="T894" s="36"/>
      <c r="U894" s="79"/>
      <c r="V894" s="81"/>
      <c r="W894" s="81"/>
      <c r="X894" s="82">
        <v>11.2</v>
      </c>
      <c r="Y894" s="83">
        <v>172</v>
      </c>
      <c r="Z894" s="82">
        <v>37.390439999999998</v>
      </c>
      <c r="AA894" s="72"/>
      <c r="AB894" s="74" t="s">
        <v>355</v>
      </c>
      <c r="AC894" s="92" t="s">
        <v>70</v>
      </c>
      <c r="AD894" s="85"/>
      <c r="AE894" s="18"/>
      <c r="AF894" s="18"/>
    </row>
    <row r="895" spans="1:33" x14ac:dyDescent="0.35">
      <c r="A895" s="32">
        <f t="shared" si="100"/>
        <v>893</v>
      </c>
      <c r="B895" s="91">
        <v>46142</v>
      </c>
      <c r="C895" s="91">
        <f>Table46[[#This Row],[DATE OF ARRIVAL]]</f>
        <v>46142</v>
      </c>
      <c r="D895" s="74"/>
      <c r="E895" s="74"/>
      <c r="F895" s="74" t="s">
        <v>40</v>
      </c>
      <c r="G895" s="74"/>
      <c r="H895" s="74" t="s">
        <v>123</v>
      </c>
      <c r="I895" s="74" t="s">
        <v>124</v>
      </c>
      <c r="J895" s="74" t="s">
        <v>971</v>
      </c>
      <c r="K895" s="66"/>
      <c r="L895" s="74"/>
      <c r="M895" s="74"/>
      <c r="N895" s="74"/>
      <c r="O895" s="79"/>
      <c r="P895" s="79"/>
      <c r="Q895" s="142"/>
      <c r="R895" s="132"/>
      <c r="S895" s="143"/>
      <c r="T895" s="36"/>
      <c r="U895" s="79"/>
      <c r="V895" s="81"/>
      <c r="W895" s="81"/>
      <c r="X895" s="82">
        <v>12.5</v>
      </c>
      <c r="Y895" s="83">
        <v>163</v>
      </c>
      <c r="Z895" s="82">
        <v>40.212359999999997</v>
      </c>
      <c r="AA895" s="72"/>
      <c r="AB895" s="74" t="s">
        <v>367</v>
      </c>
      <c r="AC895" s="92" t="s">
        <v>70</v>
      </c>
      <c r="AD895" s="85"/>
      <c r="AE895" s="18"/>
      <c r="AF895" s="18"/>
    </row>
    <row r="896" spans="1:33" x14ac:dyDescent="0.35">
      <c r="A896" s="32">
        <f t="shared" si="100"/>
        <v>894</v>
      </c>
      <c r="B896" s="91">
        <v>46142</v>
      </c>
      <c r="C896" s="91">
        <f>Table46[[#This Row],[DATE OF ARRIVAL]]</f>
        <v>46142</v>
      </c>
      <c r="D896" s="74"/>
      <c r="E896" s="74"/>
      <c r="F896" s="74" t="s">
        <v>40</v>
      </c>
      <c r="G896" s="74"/>
      <c r="H896" s="74" t="s">
        <v>112</v>
      </c>
      <c r="I896" s="74" t="s">
        <v>113</v>
      </c>
      <c r="J896" s="74" t="s">
        <v>972</v>
      </c>
      <c r="K896" s="66"/>
      <c r="L896" s="74"/>
      <c r="M896" s="74"/>
      <c r="N896" s="74"/>
      <c r="O896" s="79"/>
      <c r="P896" s="79"/>
      <c r="Q896" s="142"/>
      <c r="R896" s="132"/>
      <c r="S896" s="143"/>
      <c r="T896" s="36"/>
      <c r="U896" s="79"/>
      <c r="V896" s="81"/>
      <c r="W896" s="81"/>
      <c r="X896" s="82">
        <v>11.3</v>
      </c>
      <c r="Y896" s="83">
        <v>176</v>
      </c>
      <c r="Z896" s="82">
        <v>38.272289999999998</v>
      </c>
      <c r="AA896" s="72"/>
      <c r="AB896" s="74" t="s">
        <v>40</v>
      </c>
      <c r="AC896" s="92" t="s">
        <v>70</v>
      </c>
      <c r="AD896" s="85"/>
      <c r="AE896" s="18"/>
      <c r="AF896" s="18"/>
    </row>
    <row r="897" spans="1:33" x14ac:dyDescent="0.35">
      <c r="A897" s="32">
        <f t="shared" si="100"/>
        <v>895</v>
      </c>
      <c r="B897" s="91">
        <v>46142</v>
      </c>
      <c r="C897" s="91">
        <f>Table46[[#This Row],[DATE OF ARRIVAL]]</f>
        <v>46142</v>
      </c>
      <c r="D897" s="74"/>
      <c r="E897" s="74"/>
      <c r="F897" s="74" t="s">
        <v>40</v>
      </c>
      <c r="G897" s="74"/>
      <c r="H897" s="74" t="s">
        <v>123</v>
      </c>
      <c r="I897" s="74" t="s">
        <v>124</v>
      </c>
      <c r="J897" s="74" t="s">
        <v>973</v>
      </c>
      <c r="K897" s="66"/>
      <c r="L897" s="74"/>
      <c r="M897" s="74"/>
      <c r="N897" s="74"/>
      <c r="O897" s="79"/>
      <c r="P897" s="79"/>
      <c r="Q897" s="142"/>
      <c r="R897" s="132"/>
      <c r="S897" s="143"/>
      <c r="T897" s="36"/>
      <c r="U897" s="79"/>
      <c r="V897" s="81"/>
      <c r="W897" s="81"/>
      <c r="X897" s="82">
        <v>12.7</v>
      </c>
      <c r="Y897" s="83">
        <v>166</v>
      </c>
      <c r="Z897" s="82">
        <v>40.565100000000001</v>
      </c>
      <c r="AA897" s="72"/>
      <c r="AB897" s="74" t="s">
        <v>358</v>
      </c>
      <c r="AC897" s="92" t="s">
        <v>70</v>
      </c>
      <c r="AD897" s="85"/>
      <c r="AE897" s="18"/>
      <c r="AF897" s="18"/>
    </row>
    <row r="898" spans="1:33" x14ac:dyDescent="0.35">
      <c r="A898" s="32">
        <f t="shared" si="100"/>
        <v>896</v>
      </c>
      <c r="B898" s="65">
        <v>46144</v>
      </c>
      <c r="C898" s="65">
        <v>46144</v>
      </c>
      <c r="D898" s="66" t="s">
        <v>38</v>
      </c>
      <c r="E898" s="66" t="s">
        <v>39</v>
      </c>
      <c r="F898" s="67" t="s">
        <v>40</v>
      </c>
      <c r="G898" s="66" t="s">
        <v>350</v>
      </c>
      <c r="H898" s="66" t="s">
        <v>74</v>
      </c>
      <c r="I898" s="67" t="str">
        <f>VLOOKUP(Table46[[#This Row],[SUPPLIERS NAME]],[1]AGING!X$3:Y$80,2,)</f>
        <v>LBA-003-HER</v>
      </c>
      <c r="J898" s="66" t="s">
        <v>269</v>
      </c>
      <c r="K898" s="33" t="s">
        <v>77</v>
      </c>
      <c r="L898" s="66">
        <v>386</v>
      </c>
      <c r="M898" s="10">
        <v>18615</v>
      </c>
      <c r="N898" s="66">
        <v>546</v>
      </c>
      <c r="O898" s="68">
        <f>P898+N898</f>
        <v>45740</v>
      </c>
      <c r="P898" s="68">
        <v>45194</v>
      </c>
      <c r="Q898" s="66">
        <v>511</v>
      </c>
      <c r="R898" s="125">
        <v>35</v>
      </c>
      <c r="S898" s="123">
        <v>0</v>
      </c>
      <c r="T898" s="10">
        <f t="shared" ref="T898:T955" si="104">S898*4+R898*8</f>
        <v>280</v>
      </c>
      <c r="U898" s="68">
        <f>Table46[[#This Row],[NET WT KGS]]-Table46[[#This Row],[Refraction]]</f>
        <v>44914</v>
      </c>
      <c r="V898" s="69">
        <v>460</v>
      </c>
      <c r="W898" s="69">
        <f>Table46[[#This Row],[PRICE]]*Table46[[#This Row],[PAID WT]]</f>
        <v>20660440</v>
      </c>
      <c r="X898" s="70">
        <v>11.4</v>
      </c>
      <c r="Y898" s="71">
        <v>169</v>
      </c>
      <c r="Z898" s="70">
        <v>40.380000000000003</v>
      </c>
      <c r="AA898" s="72"/>
      <c r="AB898" s="66" t="s">
        <v>78</v>
      </c>
      <c r="AC898" s="73"/>
      <c r="AD898" s="85"/>
      <c r="AE898" s="18">
        <f>Table46[[#This Row],[MOIS.]]*Table46[[#This Row],[NET WT KGS]]</f>
        <v>515211.60000000003</v>
      </c>
      <c r="AF898" s="18">
        <f>Table46[[#This Row],[KOR]]*Table46[[#This Row],[NET WT KGS]]</f>
        <v>1824933.7200000002</v>
      </c>
      <c r="AG898">
        <f>Table46[[#This Row],[NET WT KGS]]*Table46[[#This Row],[NUT COUNT]]</f>
        <v>7637786</v>
      </c>
    </row>
    <row r="899" spans="1:33" x14ac:dyDescent="0.35">
      <c r="A899" s="32">
        <f t="shared" si="100"/>
        <v>897</v>
      </c>
      <c r="B899" s="65">
        <v>46144</v>
      </c>
      <c r="C899" s="65">
        <v>46144</v>
      </c>
      <c r="D899" s="66" t="s">
        <v>38</v>
      </c>
      <c r="E899" s="66" t="s">
        <v>39</v>
      </c>
      <c r="F899" s="67" t="s">
        <v>40</v>
      </c>
      <c r="G899" s="66" t="s">
        <v>350</v>
      </c>
      <c r="H899" s="66" t="s">
        <v>338</v>
      </c>
      <c r="I899" s="67" t="str">
        <f>VLOOKUP(Table46[[#This Row],[SUPPLIERS NAME]],[1]AGING!X$3:Y$80,2,)</f>
        <v>LBA-018-COP</v>
      </c>
      <c r="J899" s="66" t="s">
        <v>974</v>
      </c>
      <c r="K899" s="57" t="s">
        <v>340</v>
      </c>
      <c r="L899" s="66">
        <v>387</v>
      </c>
      <c r="M899" s="10">
        <v>18736</v>
      </c>
      <c r="N899" s="66">
        <v>462</v>
      </c>
      <c r="O899" s="68">
        <f>P899+N899</f>
        <v>38260</v>
      </c>
      <c r="P899" s="68">
        <v>37798</v>
      </c>
      <c r="Q899" s="66">
        <v>442</v>
      </c>
      <c r="R899" s="125">
        <v>20</v>
      </c>
      <c r="S899" s="123">
        <v>0</v>
      </c>
      <c r="T899" s="10">
        <f t="shared" si="104"/>
        <v>160</v>
      </c>
      <c r="U899" s="68">
        <f>Table46[[#This Row],[NET WT KGS]]-Table46[[#This Row],[Refraction]]</f>
        <v>37638</v>
      </c>
      <c r="V899" s="69">
        <v>470</v>
      </c>
      <c r="W899" s="69">
        <f>Table46[[#This Row],[PRICE]]*Table46[[#This Row],[PAID WT]]</f>
        <v>17689860</v>
      </c>
      <c r="X899" s="70">
        <v>10.7</v>
      </c>
      <c r="Y899" s="71">
        <v>163</v>
      </c>
      <c r="Z899" s="70">
        <v>41.27</v>
      </c>
      <c r="AA899" s="72"/>
      <c r="AB899" s="66" t="s">
        <v>284</v>
      </c>
      <c r="AC899" s="73"/>
      <c r="AD899" s="85"/>
      <c r="AE899" s="18">
        <f>Table46[[#This Row],[MOIS.]]*Table46[[#This Row],[NET WT KGS]]</f>
        <v>404438.6</v>
      </c>
      <c r="AF899" s="18">
        <f>Table46[[#This Row],[KOR]]*Table46[[#This Row],[NET WT KGS]]</f>
        <v>1559923.4600000002</v>
      </c>
      <c r="AG899">
        <f>Table46[[#This Row],[NET WT KGS]]*Table46[[#This Row],[NUT COUNT]]</f>
        <v>6161074</v>
      </c>
    </row>
    <row r="900" spans="1:33" x14ac:dyDescent="0.35">
      <c r="A900" s="32">
        <f t="shared" ref="A900:A963" si="105">A899+1</f>
        <v>898</v>
      </c>
      <c r="B900" s="65">
        <v>46144</v>
      </c>
      <c r="C900" s="65">
        <v>46144</v>
      </c>
      <c r="D900" s="66" t="s">
        <v>38</v>
      </c>
      <c r="E900" s="66" t="s">
        <v>39</v>
      </c>
      <c r="F900" s="67" t="s">
        <v>40</v>
      </c>
      <c r="G900" s="66" t="s">
        <v>350</v>
      </c>
      <c r="H900" s="67" t="s">
        <v>123</v>
      </c>
      <c r="I900" s="67" t="str">
        <f>VLOOKUP(Table46[[#This Row],[SUPPLIERS NAME]],[1]AGING!X$3:Y$80,2,)</f>
        <v>LBA-011-ASR</v>
      </c>
      <c r="J900" s="66" t="s">
        <v>975</v>
      </c>
      <c r="K900" s="21" t="s">
        <v>161</v>
      </c>
      <c r="L900" s="66">
        <v>388</v>
      </c>
      <c r="M900" s="10">
        <v>32066</v>
      </c>
      <c r="N900" s="66">
        <v>530</v>
      </c>
      <c r="O900" s="68">
        <f>P900+N900</f>
        <v>45800</v>
      </c>
      <c r="P900" s="68">
        <v>45270</v>
      </c>
      <c r="Q900" s="66">
        <v>520</v>
      </c>
      <c r="R900" s="125">
        <v>0</v>
      </c>
      <c r="S900" s="123">
        <v>10</v>
      </c>
      <c r="T900" s="10">
        <f t="shared" si="104"/>
        <v>40</v>
      </c>
      <c r="U900" s="68">
        <f>Table46[[#This Row],[NET WT KGS]]-Table46[[#This Row],[Refraction]]</f>
        <v>45230</v>
      </c>
      <c r="V900" s="69">
        <v>470</v>
      </c>
      <c r="W900" s="69">
        <f>Table46[[#This Row],[PRICE]]*Table46[[#This Row],[PAID WT]]</f>
        <v>21258100</v>
      </c>
      <c r="X900" s="70">
        <v>9.4</v>
      </c>
      <c r="Y900" s="71">
        <v>185</v>
      </c>
      <c r="Z900" s="70">
        <v>41.44</v>
      </c>
      <c r="AA900" s="72"/>
      <c r="AB900" s="66" t="s">
        <v>513</v>
      </c>
      <c r="AC900" s="73"/>
      <c r="AD900" s="85"/>
      <c r="AE900" s="18">
        <f>Table46[[#This Row],[MOIS.]]*Table46[[#This Row],[NET WT KGS]]</f>
        <v>425538</v>
      </c>
      <c r="AF900" s="18">
        <f>Table46[[#This Row],[KOR]]*Table46[[#This Row],[NET WT KGS]]</f>
        <v>1875988.7999999998</v>
      </c>
      <c r="AG900">
        <f>Table46[[#This Row],[NET WT KGS]]*Table46[[#This Row],[NUT COUNT]]</f>
        <v>8374950</v>
      </c>
    </row>
    <row r="901" spans="1:33" x14ac:dyDescent="0.35">
      <c r="A901" s="32">
        <f t="shared" si="105"/>
        <v>899</v>
      </c>
      <c r="B901" s="20">
        <v>46141</v>
      </c>
      <c r="C901" s="65">
        <v>46144</v>
      </c>
      <c r="D901" s="66" t="s">
        <v>38</v>
      </c>
      <c r="E901" s="66" t="s">
        <v>258</v>
      </c>
      <c r="F901" s="67" t="s">
        <v>62</v>
      </c>
      <c r="G901" s="66"/>
      <c r="H901" s="66" t="s">
        <v>976</v>
      </c>
      <c r="I901" s="66" t="s">
        <v>233</v>
      </c>
      <c r="J901" s="66" t="s">
        <v>977</v>
      </c>
      <c r="K901" s="21" t="s">
        <v>978</v>
      </c>
      <c r="L901" s="66">
        <v>409</v>
      </c>
      <c r="M901" s="10">
        <v>39786</v>
      </c>
      <c r="N901" s="66">
        <v>572</v>
      </c>
      <c r="O901" s="68">
        <v>50930</v>
      </c>
      <c r="P901" s="51">
        <f>Table46[[#This Row],[GROSS WT KGS]]-Table46[[#This Row],[SACS]]</f>
        <v>50358</v>
      </c>
      <c r="Q901" s="66">
        <f>Table46[[#This Row],[SACS]]-Table46[[#This Row],[HUMID SACS]]</f>
        <v>552</v>
      </c>
      <c r="R901" s="125">
        <v>20</v>
      </c>
      <c r="S901" s="123">
        <v>0</v>
      </c>
      <c r="T901" s="10">
        <f t="shared" si="104"/>
        <v>160</v>
      </c>
      <c r="U901" s="68">
        <f>Table46[[#This Row],[NET WT KGS]]-Table46[[#This Row],[Refraction]]</f>
        <v>50198</v>
      </c>
      <c r="V901" s="144">
        <v>485</v>
      </c>
      <c r="W901" s="69">
        <f>Table46[[#This Row],[PRICE]]*Table46[[#This Row],[PAID WT]]</f>
        <v>24346030</v>
      </c>
      <c r="X901" s="70">
        <v>11.9</v>
      </c>
      <c r="Y901" s="71">
        <v>170</v>
      </c>
      <c r="Z901" s="70">
        <v>44.35</v>
      </c>
      <c r="AA901" s="72"/>
      <c r="AB901" s="66" t="s">
        <v>979</v>
      </c>
      <c r="AC901" s="73"/>
      <c r="AD901" s="85"/>
      <c r="AE901" s="18">
        <f>Table46[[#This Row],[MOIS.]]*Table46[[#This Row],[NET WT KGS]]</f>
        <v>599260.20000000007</v>
      </c>
      <c r="AF901" s="18">
        <f>Table46[[#This Row],[KOR]]*Table46[[#This Row],[NET WT KGS]]</f>
        <v>2233377.3000000003</v>
      </c>
      <c r="AG901">
        <f>Table46[[#This Row],[NET WT KGS]]*Table46[[#This Row],[NUT COUNT]]</f>
        <v>8560860</v>
      </c>
    </row>
    <row r="902" spans="1:33" x14ac:dyDescent="0.35">
      <c r="A902" s="32">
        <f t="shared" si="105"/>
        <v>900</v>
      </c>
      <c r="B902" s="20">
        <v>46142</v>
      </c>
      <c r="C902" s="65">
        <v>46144</v>
      </c>
      <c r="D902" s="66" t="s">
        <v>38</v>
      </c>
      <c r="E902" s="66" t="s">
        <v>39</v>
      </c>
      <c r="F902" s="67" t="s">
        <v>62</v>
      </c>
      <c r="G902" s="66"/>
      <c r="H902" s="66" t="s">
        <v>193</v>
      </c>
      <c r="I902" s="67" t="str">
        <f>VLOOKUP(Table46[[#This Row],[SUPPLIERS NAME]],[1]AGING!X$3:Y$80,2,)</f>
        <v>LBA-005-JAV</v>
      </c>
      <c r="J902" s="66" t="s">
        <v>980</v>
      </c>
      <c r="K902" s="33" t="s">
        <v>196</v>
      </c>
      <c r="L902" s="66">
        <v>410</v>
      </c>
      <c r="M902" s="10">
        <v>87107</v>
      </c>
      <c r="N902" s="66">
        <v>667</v>
      </c>
      <c r="O902" s="68">
        <v>53170</v>
      </c>
      <c r="P902" s="51">
        <f>Table46[[#This Row],[GROSS WT KGS]]-Table46[[#This Row],[SACS]]</f>
        <v>52503</v>
      </c>
      <c r="Q902" s="66">
        <f>Table46[[#This Row],[SACS]]-Table46[[#This Row],[HUMID SACS]]-Table46[[#This Row],[Sacs déchirés]]</f>
        <v>657</v>
      </c>
      <c r="R902" s="125">
        <v>0</v>
      </c>
      <c r="S902" s="123">
        <v>10</v>
      </c>
      <c r="T902" s="10">
        <f t="shared" si="104"/>
        <v>40</v>
      </c>
      <c r="U902" s="68">
        <f>Table46[[#This Row],[NET WT KGS]]-Table46[[#This Row],[Refraction]]</f>
        <v>52463</v>
      </c>
      <c r="V902" s="69">
        <v>485</v>
      </c>
      <c r="W902" s="69">
        <f>Table46[[#This Row],[PRICE]]*Table46[[#This Row],[PAID WT]]</f>
        <v>25444555</v>
      </c>
      <c r="X902" s="70">
        <v>10.1</v>
      </c>
      <c r="Y902" s="71">
        <v>183</v>
      </c>
      <c r="Z902" s="70">
        <v>44.18</v>
      </c>
      <c r="AA902" s="72"/>
      <c r="AB902" s="66" t="s">
        <v>132</v>
      </c>
      <c r="AC902" s="73"/>
      <c r="AD902" s="85"/>
      <c r="AE902" s="18">
        <f>Table46[[#This Row],[MOIS.]]*Table46[[#This Row],[NET WT KGS]]</f>
        <v>530280.29999999993</v>
      </c>
      <c r="AF902" s="18">
        <f>Table46[[#This Row],[KOR]]*Table46[[#This Row],[NET WT KGS]]</f>
        <v>2319582.54</v>
      </c>
      <c r="AG902">
        <f>Table46[[#This Row],[NET WT KGS]]*Table46[[#This Row],[NUT COUNT]]</f>
        <v>9608049</v>
      </c>
    </row>
    <row r="903" spans="1:33" x14ac:dyDescent="0.35">
      <c r="A903" s="32">
        <f t="shared" si="105"/>
        <v>901</v>
      </c>
      <c r="B903" s="20">
        <v>46142</v>
      </c>
      <c r="C903" s="65">
        <v>46144</v>
      </c>
      <c r="D903" s="66" t="s">
        <v>38</v>
      </c>
      <c r="E903" s="66" t="s">
        <v>39</v>
      </c>
      <c r="F903" s="67" t="s">
        <v>62</v>
      </c>
      <c r="G903" s="66"/>
      <c r="H903" s="66" t="s">
        <v>684</v>
      </c>
      <c r="I903" s="67" t="str">
        <f>VLOOKUP(Table46[[#This Row],[SUPPLIERS NAME]],[1]AGING!X$3:Y$80,2,)</f>
        <v>LBA-021-SAN</v>
      </c>
      <c r="J903" s="66" t="s">
        <v>981</v>
      </c>
      <c r="K903" s="66"/>
      <c r="L903" s="66">
        <v>411</v>
      </c>
      <c r="M903" s="66">
        <v>89243</v>
      </c>
      <c r="N903" s="66">
        <v>428</v>
      </c>
      <c r="O903" s="68">
        <v>35780</v>
      </c>
      <c r="P903" s="51">
        <f>Table46[[#This Row],[GROSS WT KGS]]-Table46[[#This Row],[SACS]]</f>
        <v>35352</v>
      </c>
      <c r="Q903" s="66">
        <f>Table46[[#This Row],[SACS]]-Table46[[#This Row],[HUMID SACS]]-Table46[[#This Row],[Sacs déchirés]]</f>
        <v>408</v>
      </c>
      <c r="R903" s="125">
        <v>20</v>
      </c>
      <c r="S903" s="123">
        <v>0</v>
      </c>
      <c r="T903" s="10">
        <f t="shared" si="104"/>
        <v>160</v>
      </c>
      <c r="U903" s="68">
        <f>Table46[[#This Row],[NET WT KGS]]-Table46[[#This Row],[Refraction]]</f>
        <v>35192</v>
      </c>
      <c r="V903" s="69">
        <v>500</v>
      </c>
      <c r="W903" s="69">
        <f>Table46[[#This Row],[PRICE]]*Table46[[#This Row],[PAID WT]]</f>
        <v>17596000</v>
      </c>
      <c r="X903" s="70">
        <v>11.8</v>
      </c>
      <c r="Y903" s="71">
        <v>163</v>
      </c>
      <c r="Z903" s="70">
        <v>42.5</v>
      </c>
      <c r="AA903" s="72"/>
      <c r="AB903" s="66" t="s">
        <v>150</v>
      </c>
      <c r="AC903" s="73" t="s">
        <v>720</v>
      </c>
      <c r="AD903" s="85"/>
      <c r="AE903" s="18">
        <f>Table46[[#This Row],[MOIS.]]*Table46[[#This Row],[NET WT KGS]]</f>
        <v>417153.60000000003</v>
      </c>
      <c r="AF903" s="18">
        <f>Table46[[#This Row],[KOR]]*Table46[[#This Row],[NET WT KGS]]</f>
        <v>1502460</v>
      </c>
      <c r="AG903">
        <f>Table46[[#This Row],[NET WT KGS]]*Table46[[#This Row],[NUT COUNT]]</f>
        <v>5762376</v>
      </c>
    </row>
    <row r="904" spans="1:33" x14ac:dyDescent="0.35">
      <c r="A904" s="32">
        <f t="shared" si="105"/>
        <v>902</v>
      </c>
      <c r="B904" s="20">
        <v>46142</v>
      </c>
      <c r="C904" s="65">
        <v>46144</v>
      </c>
      <c r="D904" s="66" t="s">
        <v>38</v>
      </c>
      <c r="E904" s="66" t="s">
        <v>258</v>
      </c>
      <c r="F904" s="67" t="s">
        <v>62</v>
      </c>
      <c r="G904" s="66"/>
      <c r="H904" s="66" t="s">
        <v>502</v>
      </c>
      <c r="I904" s="67" t="str">
        <f>VLOOKUP(Table46[[#This Row],[SUPPLIERS NAME]],[1]AGING!X$3:Y$80,2,)</f>
        <v>DIS-027-BAO</v>
      </c>
      <c r="J904" s="66" t="s">
        <v>982</v>
      </c>
      <c r="K904" s="21" t="s">
        <v>697</v>
      </c>
      <c r="L904" s="66">
        <v>412</v>
      </c>
      <c r="M904" s="10">
        <v>83832</v>
      </c>
      <c r="N904" s="66">
        <v>523</v>
      </c>
      <c r="O904" s="68">
        <v>40570</v>
      </c>
      <c r="P904" s="51">
        <f>Table46[[#This Row],[GROSS WT KGS]]-Table46[[#This Row],[SACS]]</f>
        <v>40047</v>
      </c>
      <c r="Q904" s="66">
        <f>Table46[[#This Row],[SACS]]-Table46[[#This Row],[HUMID SACS]]-Table46[[#This Row],[Sacs déchirés]]</f>
        <v>483</v>
      </c>
      <c r="R904" s="125">
        <v>40</v>
      </c>
      <c r="S904" s="123">
        <v>0</v>
      </c>
      <c r="T904" s="10">
        <f t="shared" si="104"/>
        <v>320</v>
      </c>
      <c r="U904" s="68">
        <f>Table46[[#This Row],[NET WT KGS]]-Table46[[#This Row],[Refraction]]</f>
        <v>39727</v>
      </c>
      <c r="V904" s="69">
        <v>475</v>
      </c>
      <c r="W904" s="69">
        <f>Table46[[#This Row],[PRICE]]*Table46[[#This Row],[PAID WT]]</f>
        <v>18870325</v>
      </c>
      <c r="X904" s="70">
        <v>12.6</v>
      </c>
      <c r="Y904" s="71">
        <v>169</v>
      </c>
      <c r="Z904" s="70">
        <v>43.21</v>
      </c>
      <c r="AA904" s="72"/>
      <c r="AB904" s="66" t="s">
        <v>178</v>
      </c>
      <c r="AC904" s="73"/>
      <c r="AD904" s="85"/>
      <c r="AE904" s="18">
        <f>Table46[[#This Row],[MOIS.]]*Table46[[#This Row],[NET WT KGS]]</f>
        <v>504592.2</v>
      </c>
      <c r="AF904" s="18">
        <f>Table46[[#This Row],[KOR]]*Table46[[#This Row],[NET WT KGS]]</f>
        <v>1730430.87</v>
      </c>
      <c r="AG904">
        <f>Table46[[#This Row],[NET WT KGS]]*Table46[[#This Row],[NUT COUNT]]</f>
        <v>6767943</v>
      </c>
    </row>
    <row r="905" spans="1:33" x14ac:dyDescent="0.35">
      <c r="A905" s="32">
        <f t="shared" si="105"/>
        <v>903</v>
      </c>
      <c r="B905" s="20">
        <v>46142</v>
      </c>
      <c r="C905" s="65">
        <v>46144</v>
      </c>
      <c r="D905" s="66" t="s">
        <v>38</v>
      </c>
      <c r="E905" s="66" t="s">
        <v>39</v>
      </c>
      <c r="F905" s="67" t="s">
        <v>62</v>
      </c>
      <c r="G905" s="66"/>
      <c r="H905" s="66" t="s">
        <v>684</v>
      </c>
      <c r="I905" s="67" t="str">
        <f>VLOOKUP(Table46[[#This Row],[SUPPLIERS NAME]],[1]AGING!X$3:Y$80,2,)</f>
        <v>LBA-021-SAN</v>
      </c>
      <c r="J905" s="66" t="s">
        <v>983</v>
      </c>
      <c r="K905" s="66"/>
      <c r="L905" s="66">
        <v>413</v>
      </c>
      <c r="M905" s="66">
        <v>13554</v>
      </c>
      <c r="N905" s="66">
        <v>494</v>
      </c>
      <c r="O905" s="68">
        <v>39680</v>
      </c>
      <c r="P905" s="51">
        <f>Table46[[#This Row],[GROSS WT KGS]]-Table46[[#This Row],[SACS]]</f>
        <v>39186</v>
      </c>
      <c r="Q905" s="141">
        <f>Table46[[#This Row],[SACS]]-Table46[[#This Row],[HUMID SACS]]-Table46[[#This Row],[Sacs déchirés]]</f>
        <v>464</v>
      </c>
      <c r="R905" s="125">
        <v>30</v>
      </c>
      <c r="S905" s="123">
        <v>0</v>
      </c>
      <c r="T905" s="10">
        <f t="shared" si="104"/>
        <v>240</v>
      </c>
      <c r="U905" s="68">
        <f>Table46[[#This Row],[NET WT KGS]]-Table46[[#This Row],[Refraction]]</f>
        <v>38946</v>
      </c>
      <c r="V905" s="69">
        <v>495</v>
      </c>
      <c r="W905" s="69">
        <f>Table46[[#This Row],[PRICE]]*Table46[[#This Row],[PAID WT]]</f>
        <v>19278270</v>
      </c>
      <c r="X905" s="70">
        <v>11.7</v>
      </c>
      <c r="Y905" s="71">
        <v>182</v>
      </c>
      <c r="Z905" s="70">
        <v>43.29</v>
      </c>
      <c r="AA905" s="72"/>
      <c r="AB905" s="66" t="s">
        <v>750</v>
      </c>
      <c r="AC905" s="73" t="s">
        <v>984</v>
      </c>
      <c r="AD905" s="85"/>
      <c r="AE905" s="18">
        <f>Table46[[#This Row],[MOIS.]]*Table46[[#This Row],[NET WT KGS]]</f>
        <v>458476.19999999995</v>
      </c>
      <c r="AF905" s="18">
        <f>Table46[[#This Row],[KOR]]*Table46[[#This Row],[NET WT KGS]]</f>
        <v>1696361.94</v>
      </c>
      <c r="AG905">
        <f>Table46[[#This Row],[NET WT KGS]]*Table46[[#This Row],[NUT COUNT]]</f>
        <v>7131852</v>
      </c>
    </row>
    <row r="906" spans="1:33" x14ac:dyDescent="0.35">
      <c r="A906" s="32">
        <f t="shared" si="105"/>
        <v>904</v>
      </c>
      <c r="B906" s="65">
        <v>46144</v>
      </c>
      <c r="C906" s="65">
        <v>46144</v>
      </c>
      <c r="D906" s="66" t="s">
        <v>38</v>
      </c>
      <c r="E906" s="10" t="s">
        <v>39</v>
      </c>
      <c r="F906" s="67" t="s">
        <v>62</v>
      </c>
      <c r="G906" s="66"/>
      <c r="H906" s="10" t="s">
        <v>684</v>
      </c>
      <c r="I906" s="67" t="str">
        <f>VLOOKUP(Table46[[#This Row],[SUPPLIERS NAME]],[1]AGING!X$3:Y$80,2,)</f>
        <v>LBA-021-SAN</v>
      </c>
      <c r="J906" s="10" t="s">
        <v>985</v>
      </c>
      <c r="K906" s="66"/>
      <c r="L906" s="10">
        <v>414</v>
      </c>
      <c r="M906" s="66">
        <v>14644</v>
      </c>
      <c r="N906" s="10">
        <v>489</v>
      </c>
      <c r="O906" s="22">
        <v>41420</v>
      </c>
      <c r="P906" s="51">
        <f>Table46[[#This Row],[GROSS WT KGS]]-Table46[[#This Row],[SACS]]</f>
        <v>40931</v>
      </c>
      <c r="Q906" s="141">
        <f>Table46[[#This Row],[SACS]]-Table46[[#This Row],[HUMID SACS]]-Table46[[#This Row],[Sacs déchirés]]</f>
        <v>439</v>
      </c>
      <c r="R906" s="125">
        <v>50</v>
      </c>
      <c r="S906" s="122">
        <v>0</v>
      </c>
      <c r="T906" s="10">
        <f t="shared" si="104"/>
        <v>400</v>
      </c>
      <c r="U906" s="22">
        <f>Table46[[#This Row],[NET WT KGS]]-Table46[[#This Row],[Refraction]]</f>
        <v>40531</v>
      </c>
      <c r="V906" s="69">
        <v>475</v>
      </c>
      <c r="W906" s="23">
        <f>Table46[[#This Row],[PRICE]]*Table46[[#This Row],[PAID WT]]</f>
        <v>19252225</v>
      </c>
      <c r="X906" s="24">
        <v>11.2</v>
      </c>
      <c r="Y906" s="25">
        <v>174</v>
      </c>
      <c r="Z906" s="24">
        <v>44.26</v>
      </c>
      <c r="AA906" s="26"/>
      <c r="AB906" s="10" t="s">
        <v>171</v>
      </c>
      <c r="AC906" s="27" t="s">
        <v>959</v>
      </c>
      <c r="AD906" s="28"/>
      <c r="AE906" s="18">
        <f>Table46[[#This Row],[MOIS.]]*Table46[[#This Row],[NET WT KGS]]</f>
        <v>458427.19999999995</v>
      </c>
      <c r="AF906" s="18">
        <f>Table46[[#This Row],[KOR]]*Table46[[#This Row],[NET WT KGS]]</f>
        <v>1811606.0599999998</v>
      </c>
      <c r="AG906">
        <f>Table46[[#This Row],[NET WT KGS]]*Table46[[#This Row],[NUT COUNT]]</f>
        <v>7121994</v>
      </c>
    </row>
    <row r="907" spans="1:33" x14ac:dyDescent="0.35">
      <c r="A907" s="32">
        <f t="shared" si="105"/>
        <v>905</v>
      </c>
      <c r="B907" s="91">
        <v>46144</v>
      </c>
      <c r="C907" s="91">
        <f>Table46[[#This Row],[DATE OF ARRIVAL]]</f>
        <v>46144</v>
      </c>
      <c r="D907" s="74"/>
      <c r="E907" s="36"/>
      <c r="F907" s="74" t="s">
        <v>40</v>
      </c>
      <c r="G907" s="74"/>
      <c r="H907" s="74" t="s">
        <v>338</v>
      </c>
      <c r="I907" s="74" t="s">
        <v>317</v>
      </c>
      <c r="J907" s="74" t="s">
        <v>986</v>
      </c>
      <c r="K907" s="74"/>
      <c r="L907" s="74"/>
      <c r="M907" s="74"/>
      <c r="N907" s="74"/>
      <c r="O907" s="79"/>
      <c r="P907" s="79"/>
      <c r="Q907" s="142"/>
      <c r="R907" s="132"/>
      <c r="S907" s="143"/>
      <c r="T907" s="36"/>
      <c r="U907" s="79"/>
      <c r="V907" s="81"/>
      <c r="W907" s="81"/>
      <c r="X907" s="82">
        <v>11</v>
      </c>
      <c r="Y907" s="83">
        <v>157</v>
      </c>
      <c r="Z907" s="82">
        <v>40.035989999999998</v>
      </c>
      <c r="AA907" s="84"/>
      <c r="AB907" s="74" t="s">
        <v>58</v>
      </c>
      <c r="AC907" s="92" t="s">
        <v>70</v>
      </c>
      <c r="AD907" s="85"/>
      <c r="AE907" s="18"/>
      <c r="AF907" s="18"/>
    </row>
    <row r="908" spans="1:33" x14ac:dyDescent="0.35">
      <c r="A908" s="32">
        <f t="shared" si="105"/>
        <v>906</v>
      </c>
      <c r="B908" s="91">
        <v>46144</v>
      </c>
      <c r="C908" s="91">
        <f>Table46[[#This Row],[DATE OF ARRIVAL]]</f>
        <v>46144</v>
      </c>
      <c r="D908" s="74"/>
      <c r="E908" s="36"/>
      <c r="F908" s="74" t="s">
        <v>40</v>
      </c>
      <c r="G908" s="74"/>
      <c r="H908" s="74" t="s">
        <v>338</v>
      </c>
      <c r="I908" s="74" t="s">
        <v>317</v>
      </c>
      <c r="J908" s="74" t="s">
        <v>987</v>
      </c>
      <c r="K908" s="74"/>
      <c r="L908" s="74"/>
      <c r="M908" s="74"/>
      <c r="N908" s="74"/>
      <c r="O908" s="79"/>
      <c r="P908" s="79"/>
      <c r="Q908" s="142"/>
      <c r="R908" s="132"/>
      <c r="S908" s="143"/>
      <c r="T908" s="36"/>
      <c r="U908" s="79"/>
      <c r="V908" s="81"/>
      <c r="W908" s="81"/>
      <c r="X908" s="82">
        <v>9.9</v>
      </c>
      <c r="Y908" s="83">
        <v>160</v>
      </c>
      <c r="Z908" s="82">
        <v>39.154139999999998</v>
      </c>
      <c r="AA908" s="84"/>
      <c r="AB908" s="74" t="s">
        <v>284</v>
      </c>
      <c r="AC908" s="92" t="s">
        <v>70</v>
      </c>
      <c r="AD908" s="85"/>
      <c r="AE908" s="18"/>
      <c r="AF908" s="18"/>
    </row>
    <row r="909" spans="1:33" x14ac:dyDescent="0.35">
      <c r="A909" s="32">
        <f t="shared" si="105"/>
        <v>907</v>
      </c>
      <c r="B909" s="65">
        <v>46144</v>
      </c>
      <c r="C909" s="65">
        <v>46145</v>
      </c>
      <c r="D909" s="66" t="s">
        <v>38</v>
      </c>
      <c r="E909" s="10" t="s">
        <v>39</v>
      </c>
      <c r="F909" s="67" t="s">
        <v>40</v>
      </c>
      <c r="G909" s="66" t="s">
        <v>41</v>
      </c>
      <c r="H909" s="67" t="s">
        <v>123</v>
      </c>
      <c r="I909" s="67" t="str">
        <f>VLOOKUP(Table46[[#This Row],[SUPPLIERS NAME]],[1]AGING!X$3:Y$80,2,)</f>
        <v>LBA-011-ASR</v>
      </c>
      <c r="J909" s="66" t="s">
        <v>988</v>
      </c>
      <c r="K909" s="21" t="s">
        <v>161</v>
      </c>
      <c r="L909" s="66">
        <v>395</v>
      </c>
      <c r="M909" s="10">
        <v>32067</v>
      </c>
      <c r="N909" s="66">
        <v>344</v>
      </c>
      <c r="O909" s="68">
        <f t="shared" ref="O909:O916" si="106">P909+N909</f>
        <v>29980</v>
      </c>
      <c r="P909" s="68">
        <v>29636</v>
      </c>
      <c r="Q909" s="66">
        <v>333</v>
      </c>
      <c r="R909" s="125">
        <v>0</v>
      </c>
      <c r="S909" s="123">
        <v>11</v>
      </c>
      <c r="T909" s="10">
        <f t="shared" si="104"/>
        <v>44</v>
      </c>
      <c r="U909" s="68">
        <f>Table46[[#This Row],[NET WT KGS]]-Table46[[#This Row],[Refraction]]</f>
        <v>29592</v>
      </c>
      <c r="V909" s="69">
        <v>465</v>
      </c>
      <c r="W909" s="69">
        <f>Table46[[#This Row],[PRICE]]*Table46[[#This Row],[PAID WT]]</f>
        <v>13760280</v>
      </c>
      <c r="X909" s="70">
        <v>10</v>
      </c>
      <c r="Y909" s="71">
        <v>164</v>
      </c>
      <c r="Z909" s="70">
        <v>42.85</v>
      </c>
      <c r="AA909" s="72"/>
      <c r="AB909" s="66" t="s">
        <v>367</v>
      </c>
      <c r="AC909" s="73"/>
      <c r="AD909" s="85"/>
      <c r="AE909" s="18">
        <f>Table46[[#This Row],[MOIS.]]*Table46[[#This Row],[NET WT KGS]]</f>
        <v>296360</v>
      </c>
      <c r="AF909" s="18">
        <f>Table46[[#This Row],[KOR]]*Table46[[#This Row],[NET WT KGS]]</f>
        <v>1269902.6000000001</v>
      </c>
      <c r="AG909">
        <f>Table46[[#This Row],[NET WT KGS]]*Table46[[#This Row],[NUT COUNT]]</f>
        <v>4860304</v>
      </c>
    </row>
    <row r="910" spans="1:33" x14ac:dyDescent="0.35">
      <c r="A910" s="32">
        <f t="shared" si="105"/>
        <v>908</v>
      </c>
      <c r="B910" s="20">
        <v>46142</v>
      </c>
      <c r="C910" s="65">
        <v>46145</v>
      </c>
      <c r="D910" s="66" t="s">
        <v>38</v>
      </c>
      <c r="E910" s="10" t="s">
        <v>39</v>
      </c>
      <c r="F910" s="67" t="s">
        <v>40</v>
      </c>
      <c r="G910" s="66" t="s">
        <v>350</v>
      </c>
      <c r="H910" s="67" t="s">
        <v>280</v>
      </c>
      <c r="I910" s="67" t="str">
        <f>VLOOKUP(Table46[[#This Row],[SUPPLIERS NAME]],[1]AGING!X$3:Y$80,2,)</f>
        <v>LBA-016-NOU</v>
      </c>
      <c r="J910" s="66" t="s">
        <v>282</v>
      </c>
      <c r="K910" s="21" t="s">
        <v>283</v>
      </c>
      <c r="L910" s="66">
        <v>394</v>
      </c>
      <c r="M910" s="10">
        <v>18782</v>
      </c>
      <c r="N910" s="66">
        <v>569</v>
      </c>
      <c r="O910" s="68">
        <f t="shared" si="106"/>
        <v>46920</v>
      </c>
      <c r="P910" s="68">
        <v>46351</v>
      </c>
      <c r="Q910" s="66">
        <v>559</v>
      </c>
      <c r="R910" s="125">
        <v>0</v>
      </c>
      <c r="S910" s="123">
        <v>10</v>
      </c>
      <c r="T910" s="10">
        <f t="shared" si="104"/>
        <v>40</v>
      </c>
      <c r="U910" s="68">
        <f>Table46[[#This Row],[NET WT KGS]]-Table46[[#This Row],[Refraction]]</f>
        <v>46311</v>
      </c>
      <c r="V910" s="69">
        <v>460</v>
      </c>
      <c r="W910" s="69">
        <f>Table46[[#This Row],[PRICE]]*Table46[[#This Row],[PAID WT]]</f>
        <v>21303060</v>
      </c>
      <c r="X910" s="70">
        <v>10.199999999999999</v>
      </c>
      <c r="Y910" s="71">
        <v>161</v>
      </c>
      <c r="Z910" s="70">
        <v>42.15</v>
      </c>
      <c r="AA910" s="72"/>
      <c r="AB910" s="66" t="s">
        <v>78</v>
      </c>
      <c r="AC910" s="73"/>
      <c r="AD910" s="85"/>
      <c r="AE910" s="18">
        <f>Table46[[#This Row],[MOIS.]]*Table46[[#This Row],[NET WT KGS]]</f>
        <v>472780.19999999995</v>
      </c>
      <c r="AF910" s="18">
        <f>Table46[[#This Row],[KOR]]*Table46[[#This Row],[NET WT KGS]]</f>
        <v>1953694.65</v>
      </c>
      <c r="AG910">
        <f>Table46[[#This Row],[NET WT KGS]]*Table46[[#This Row],[NUT COUNT]]</f>
        <v>7462511</v>
      </c>
    </row>
    <row r="911" spans="1:33" x14ac:dyDescent="0.35">
      <c r="A911" s="32">
        <f t="shared" si="105"/>
        <v>909</v>
      </c>
      <c r="B911" s="65">
        <v>46144</v>
      </c>
      <c r="C911" s="65">
        <v>46145</v>
      </c>
      <c r="D911" s="66" t="s">
        <v>38</v>
      </c>
      <c r="E911" s="10" t="s">
        <v>39</v>
      </c>
      <c r="F911" s="67" t="s">
        <v>40</v>
      </c>
      <c r="G911" s="66" t="s">
        <v>350</v>
      </c>
      <c r="H911" s="67" t="s">
        <v>123</v>
      </c>
      <c r="I911" s="67" t="str">
        <f>VLOOKUP(Table46[[#This Row],[SUPPLIERS NAME]],[1]AGING!X$3:Y$80,2,)</f>
        <v>LBA-011-ASR</v>
      </c>
      <c r="J911" s="66" t="s">
        <v>858</v>
      </c>
      <c r="K911" s="21" t="s">
        <v>161</v>
      </c>
      <c r="L911" s="66">
        <v>393</v>
      </c>
      <c r="M911" s="10">
        <v>22035</v>
      </c>
      <c r="N911" s="66">
        <v>582</v>
      </c>
      <c r="O911" s="68">
        <f t="shared" si="106"/>
        <v>47880</v>
      </c>
      <c r="P911" s="68">
        <v>47298</v>
      </c>
      <c r="Q911" s="66">
        <v>570</v>
      </c>
      <c r="R911" s="125">
        <v>0</v>
      </c>
      <c r="S911" s="123">
        <v>12</v>
      </c>
      <c r="T911" s="10">
        <f t="shared" si="104"/>
        <v>48</v>
      </c>
      <c r="U911" s="68">
        <f>Table46[[#This Row],[NET WT KGS]]-Table46[[#This Row],[Refraction]]</f>
        <v>47250</v>
      </c>
      <c r="V911" s="69">
        <v>465</v>
      </c>
      <c r="W911" s="69">
        <f>Table46[[#This Row],[PRICE]]*Table46[[#This Row],[PAID WT]]</f>
        <v>21971250</v>
      </c>
      <c r="X911" s="70">
        <v>9.5</v>
      </c>
      <c r="Y911" s="71">
        <v>177</v>
      </c>
      <c r="Z911" s="70">
        <v>41.27</v>
      </c>
      <c r="AA911" s="72"/>
      <c r="AB911" s="66" t="s">
        <v>58</v>
      </c>
      <c r="AC911" s="73"/>
      <c r="AD911" s="85"/>
      <c r="AE911" s="18">
        <f>Table46[[#This Row],[MOIS.]]*Table46[[#This Row],[NET WT KGS]]</f>
        <v>449331</v>
      </c>
      <c r="AF911" s="18">
        <f>Table46[[#This Row],[KOR]]*Table46[[#This Row],[NET WT KGS]]</f>
        <v>1951988.4600000002</v>
      </c>
      <c r="AG911">
        <f>Table46[[#This Row],[NET WT KGS]]*Table46[[#This Row],[NUT COUNT]]</f>
        <v>8371746</v>
      </c>
    </row>
    <row r="912" spans="1:33" x14ac:dyDescent="0.35">
      <c r="A912" s="32">
        <f t="shared" si="105"/>
        <v>910</v>
      </c>
      <c r="B912" s="65">
        <v>46144</v>
      </c>
      <c r="C912" s="65">
        <v>46145</v>
      </c>
      <c r="D912" s="66" t="s">
        <v>38</v>
      </c>
      <c r="E912" s="10" t="s">
        <v>39</v>
      </c>
      <c r="F912" s="67" t="s">
        <v>40</v>
      </c>
      <c r="G912" s="66" t="s">
        <v>41</v>
      </c>
      <c r="H912" s="66" t="s">
        <v>112</v>
      </c>
      <c r="I912" s="67" t="str">
        <f>VLOOKUP(Table46[[#This Row],[SUPPLIERS NAME]],[1]AGING!X$3:Y$80,2,)</f>
        <v>LBA-015-OUM</v>
      </c>
      <c r="J912" s="66" t="s">
        <v>114</v>
      </c>
      <c r="K912" s="21" t="s">
        <v>115</v>
      </c>
      <c r="L912" s="66">
        <v>392</v>
      </c>
      <c r="M912" s="10">
        <v>31995</v>
      </c>
      <c r="N912" s="66">
        <v>632</v>
      </c>
      <c r="O912" s="68">
        <f t="shared" si="106"/>
        <v>52200</v>
      </c>
      <c r="P912" s="68">
        <v>51568</v>
      </c>
      <c r="Q912" s="66">
        <v>622</v>
      </c>
      <c r="R912" s="125">
        <v>0</v>
      </c>
      <c r="S912" s="123">
        <v>10</v>
      </c>
      <c r="T912" s="10">
        <f t="shared" si="104"/>
        <v>40</v>
      </c>
      <c r="U912" s="68">
        <f>Table46[[#This Row],[NET WT KGS]]-Table46[[#This Row],[Refraction]]</f>
        <v>51528</v>
      </c>
      <c r="V912" s="69">
        <v>460</v>
      </c>
      <c r="W912" s="69">
        <f>Table46[[#This Row],[PRICE]]*Table46[[#This Row],[PAID WT]]</f>
        <v>23702880</v>
      </c>
      <c r="X912" s="70">
        <v>8.9</v>
      </c>
      <c r="Y912" s="71">
        <v>177</v>
      </c>
      <c r="Z912" s="70">
        <v>42.5</v>
      </c>
      <c r="AA912" s="72"/>
      <c r="AB912" s="66" t="s">
        <v>132</v>
      </c>
      <c r="AC912" s="73"/>
      <c r="AD912" s="85"/>
      <c r="AE912" s="18">
        <f>Table46[[#This Row],[MOIS.]]*Table46[[#This Row],[NET WT KGS]]</f>
        <v>458955.2</v>
      </c>
      <c r="AF912" s="18">
        <f>Table46[[#This Row],[KOR]]*Table46[[#This Row],[NET WT KGS]]</f>
        <v>2191640</v>
      </c>
      <c r="AG912">
        <f>Table46[[#This Row],[NET WT KGS]]*Table46[[#This Row],[NUT COUNT]]</f>
        <v>9127536</v>
      </c>
    </row>
    <row r="913" spans="1:41" x14ac:dyDescent="0.35">
      <c r="A913" s="32">
        <f t="shared" si="105"/>
        <v>911</v>
      </c>
      <c r="B913" s="65">
        <v>46144</v>
      </c>
      <c r="C913" s="65">
        <v>46145</v>
      </c>
      <c r="D913" s="66" t="s">
        <v>38</v>
      </c>
      <c r="E913" s="10" t="s">
        <v>39</v>
      </c>
      <c r="F913" s="67" t="s">
        <v>40</v>
      </c>
      <c r="G913" s="66" t="s">
        <v>350</v>
      </c>
      <c r="H913" s="66" t="s">
        <v>338</v>
      </c>
      <c r="I913" s="67" t="str">
        <f>VLOOKUP(Table46[[#This Row],[SUPPLIERS NAME]],[1]AGING!X$3:Y$80,2,)</f>
        <v>LBA-018-COP</v>
      </c>
      <c r="J913" s="66" t="s">
        <v>339</v>
      </c>
      <c r="K913" s="57" t="s">
        <v>340</v>
      </c>
      <c r="L913" s="66">
        <v>391</v>
      </c>
      <c r="M913" s="10">
        <v>18732</v>
      </c>
      <c r="N913" s="66">
        <v>477</v>
      </c>
      <c r="O913" s="68">
        <f t="shared" si="106"/>
        <v>39260</v>
      </c>
      <c r="P913" s="68">
        <v>38783</v>
      </c>
      <c r="Q913" s="66">
        <v>447</v>
      </c>
      <c r="R913" s="125">
        <v>30</v>
      </c>
      <c r="S913" s="123">
        <v>0</v>
      </c>
      <c r="T913" s="10">
        <f t="shared" si="104"/>
        <v>240</v>
      </c>
      <c r="U913" s="68">
        <f>Table46[[#This Row],[NET WT KGS]]-Table46[[#This Row],[Refraction]]</f>
        <v>38543</v>
      </c>
      <c r="V913" s="69">
        <v>475</v>
      </c>
      <c r="W913" s="69">
        <f>Table46[[#This Row],[PRICE]]*Table46[[#This Row],[PAID WT]]</f>
        <v>18307925</v>
      </c>
      <c r="X913" s="70">
        <v>11</v>
      </c>
      <c r="Y913" s="71">
        <v>159</v>
      </c>
      <c r="Z913" s="70">
        <v>42.15</v>
      </c>
      <c r="AA913" s="72"/>
      <c r="AB913" s="66" t="s">
        <v>284</v>
      </c>
      <c r="AC913" s="73"/>
      <c r="AD913" s="85"/>
      <c r="AE913" s="18">
        <f>Table46[[#This Row],[MOIS.]]*Table46[[#This Row],[NET WT KGS]]</f>
        <v>426613</v>
      </c>
      <c r="AF913" s="18">
        <f>Table46[[#This Row],[KOR]]*Table46[[#This Row],[NET WT KGS]]</f>
        <v>1634703.45</v>
      </c>
      <c r="AG913">
        <f>Table46[[#This Row],[NET WT KGS]]*Table46[[#This Row],[NUT COUNT]]</f>
        <v>6166497</v>
      </c>
    </row>
    <row r="914" spans="1:41" x14ac:dyDescent="0.35">
      <c r="A914" s="32">
        <f t="shared" si="105"/>
        <v>912</v>
      </c>
      <c r="B914" s="65">
        <v>46144</v>
      </c>
      <c r="C914" s="65">
        <v>46145</v>
      </c>
      <c r="D914" s="66" t="s">
        <v>38</v>
      </c>
      <c r="E914" s="10" t="s">
        <v>39</v>
      </c>
      <c r="F914" s="67" t="s">
        <v>40</v>
      </c>
      <c r="G914" s="10" t="s">
        <v>350</v>
      </c>
      <c r="H914" s="10" t="s">
        <v>338</v>
      </c>
      <c r="I914" s="67" t="str">
        <f>VLOOKUP(Table46[[#This Row],[SUPPLIERS NAME]],[1]AGING!X$3:Y$80,2,)</f>
        <v>LBA-018-COP</v>
      </c>
      <c r="J914" s="10" t="s">
        <v>867</v>
      </c>
      <c r="K914" s="57" t="s">
        <v>340</v>
      </c>
      <c r="L914" s="10">
        <v>390</v>
      </c>
      <c r="M914" s="10">
        <v>19882</v>
      </c>
      <c r="N914" s="10">
        <v>460</v>
      </c>
      <c r="O914" s="22">
        <f t="shared" si="106"/>
        <v>39820</v>
      </c>
      <c r="P914" s="22">
        <v>39360</v>
      </c>
      <c r="Q914" s="10">
        <v>440</v>
      </c>
      <c r="R914" s="125">
        <v>20</v>
      </c>
      <c r="S914" s="122">
        <v>0</v>
      </c>
      <c r="T914" s="10">
        <f t="shared" si="104"/>
        <v>160</v>
      </c>
      <c r="U914" s="22">
        <f>Table46[[#This Row],[NET WT KGS]]-Table46[[#This Row],[Refraction]]</f>
        <v>39200</v>
      </c>
      <c r="V914" s="69">
        <v>475</v>
      </c>
      <c r="W914" s="23">
        <f>Table46[[#This Row],[PRICE]]*Table46[[#This Row],[PAID WT]]</f>
        <v>18620000</v>
      </c>
      <c r="X914" s="24">
        <v>10.8</v>
      </c>
      <c r="Y914" s="25">
        <v>168</v>
      </c>
      <c r="Z914" s="24">
        <v>41.27</v>
      </c>
      <c r="AA914" s="26"/>
      <c r="AB914" s="10" t="s">
        <v>171</v>
      </c>
      <c r="AC914" s="27"/>
      <c r="AD914" s="28"/>
      <c r="AE914" s="18">
        <f>Table46[[#This Row],[MOIS.]]*Table46[[#This Row],[NET WT KGS]]</f>
        <v>425088</v>
      </c>
      <c r="AF914" s="18">
        <f>Table46[[#This Row],[KOR]]*Table46[[#This Row],[NET WT KGS]]</f>
        <v>1624387.2000000002</v>
      </c>
      <c r="AG914">
        <f>Table46[[#This Row],[NET WT KGS]]*Table46[[#This Row],[NUT COUNT]]</f>
        <v>6612480</v>
      </c>
    </row>
    <row r="915" spans="1:41" x14ac:dyDescent="0.35">
      <c r="A915" s="32">
        <f t="shared" si="105"/>
        <v>913</v>
      </c>
      <c r="B915" s="65">
        <v>46144</v>
      </c>
      <c r="C915" s="65">
        <v>46145</v>
      </c>
      <c r="D915" s="66" t="s">
        <v>38</v>
      </c>
      <c r="E915" s="10" t="s">
        <v>39</v>
      </c>
      <c r="F915" s="67" t="s">
        <v>40</v>
      </c>
      <c r="G915" s="66" t="s">
        <v>350</v>
      </c>
      <c r="H915" s="67" t="s">
        <v>123</v>
      </c>
      <c r="I915" s="67" t="str">
        <f>VLOOKUP(Table46[[#This Row],[SUPPLIERS NAME]],[1]AGING!X$3:Y$80,2,)</f>
        <v>LBA-011-ASR</v>
      </c>
      <c r="J915" s="66" t="s">
        <v>645</v>
      </c>
      <c r="K915" s="21" t="s">
        <v>161</v>
      </c>
      <c r="L915" s="66">
        <v>389</v>
      </c>
      <c r="M915" s="10">
        <v>84378</v>
      </c>
      <c r="N915" s="66">
        <v>490</v>
      </c>
      <c r="O915" s="68">
        <f t="shared" si="106"/>
        <v>43180</v>
      </c>
      <c r="P915" s="68">
        <v>42690</v>
      </c>
      <c r="Q915" s="66">
        <v>460</v>
      </c>
      <c r="R915" s="125">
        <v>30</v>
      </c>
      <c r="S915" s="123">
        <v>0</v>
      </c>
      <c r="T915" s="10">
        <f t="shared" si="104"/>
        <v>240</v>
      </c>
      <c r="U915" s="68">
        <f>Table46[[#This Row],[NET WT KGS]]-Table46[[#This Row],[Refraction]]</f>
        <v>42450</v>
      </c>
      <c r="V915" s="69">
        <v>470</v>
      </c>
      <c r="W915" s="69">
        <f>Table46[[#This Row],[PRICE]]*Table46[[#This Row],[PAID WT]]</f>
        <v>19951500</v>
      </c>
      <c r="X915" s="70">
        <v>11.2</v>
      </c>
      <c r="Y915" s="71">
        <v>170</v>
      </c>
      <c r="Z915" s="70">
        <v>43.21</v>
      </c>
      <c r="AA915" s="72"/>
      <c r="AB915" s="66" t="s">
        <v>40</v>
      </c>
      <c r="AC915" s="73"/>
      <c r="AD915" s="85"/>
      <c r="AE915" s="18">
        <f>Table46[[#This Row],[MOIS.]]*Table46[[#This Row],[NET WT KGS]]</f>
        <v>478127.99999999994</v>
      </c>
      <c r="AF915" s="18">
        <f>Table46[[#This Row],[KOR]]*Table46[[#This Row],[NET WT KGS]]</f>
        <v>1844634.9000000001</v>
      </c>
      <c r="AG915">
        <f>Table46[[#This Row],[NET WT KGS]]*Table46[[#This Row],[NUT COUNT]]</f>
        <v>7257300</v>
      </c>
    </row>
    <row r="916" spans="1:41" x14ac:dyDescent="0.35">
      <c r="A916" s="32">
        <f t="shared" si="105"/>
        <v>914</v>
      </c>
      <c r="B916" s="65">
        <v>46144</v>
      </c>
      <c r="C916" s="65">
        <v>46145</v>
      </c>
      <c r="D916" s="66" t="s">
        <v>38</v>
      </c>
      <c r="E916" s="10" t="s">
        <v>39</v>
      </c>
      <c r="F916" s="67" t="s">
        <v>40</v>
      </c>
      <c r="G916" s="66" t="s">
        <v>41</v>
      </c>
      <c r="H916" s="66" t="s">
        <v>112</v>
      </c>
      <c r="I916" s="67" t="str">
        <f>VLOOKUP(Table46[[#This Row],[SUPPLIERS NAME]],[1]AGING!X$3:Y$80,2,)</f>
        <v>LBA-015-OUM</v>
      </c>
      <c r="J916" s="66" t="s">
        <v>366</v>
      </c>
      <c r="K916" s="21" t="s">
        <v>115</v>
      </c>
      <c r="L916" s="66">
        <v>396</v>
      </c>
      <c r="M916" s="10">
        <v>34015</v>
      </c>
      <c r="N916" s="66">
        <v>415</v>
      </c>
      <c r="O916" s="68">
        <f t="shared" si="106"/>
        <v>34320</v>
      </c>
      <c r="P916" s="68">
        <v>33905</v>
      </c>
      <c r="Q916" s="66">
        <v>405</v>
      </c>
      <c r="R916" s="125">
        <v>0</v>
      </c>
      <c r="S916" s="123">
        <v>10</v>
      </c>
      <c r="T916" s="10">
        <f t="shared" si="104"/>
        <v>40</v>
      </c>
      <c r="U916" s="68">
        <f>Table46[[#This Row],[NET WT KGS]]-Table46[[#This Row],[Refraction]]</f>
        <v>33865</v>
      </c>
      <c r="V916" s="69">
        <v>460</v>
      </c>
      <c r="W916" s="69">
        <f>Table46[[#This Row],[PRICE]]*Table46[[#This Row],[PAID WT]]</f>
        <v>15577900</v>
      </c>
      <c r="X916" s="70">
        <v>8.4</v>
      </c>
      <c r="Y916" s="71">
        <v>176</v>
      </c>
      <c r="Z916" s="70">
        <v>41.97</v>
      </c>
      <c r="AA916" s="72"/>
      <c r="AB916" s="66" t="s">
        <v>58</v>
      </c>
      <c r="AC916" s="73"/>
      <c r="AD916" s="85"/>
      <c r="AE916" s="18">
        <f>Table46[[#This Row],[MOIS.]]*Table46[[#This Row],[NET WT KGS]]</f>
        <v>284802</v>
      </c>
      <c r="AF916" s="18">
        <f>Table46[[#This Row],[KOR]]*Table46[[#This Row],[NET WT KGS]]</f>
        <v>1422992.8499999999</v>
      </c>
      <c r="AG916">
        <f>Table46[[#This Row],[NET WT KGS]]*Table46[[#This Row],[NUT COUNT]]</f>
        <v>5967280</v>
      </c>
    </row>
    <row r="917" spans="1:41" x14ac:dyDescent="0.35">
      <c r="A917" s="32">
        <f t="shared" si="105"/>
        <v>915</v>
      </c>
      <c r="B917" s="65">
        <v>46144</v>
      </c>
      <c r="C917" s="65">
        <v>46145</v>
      </c>
      <c r="D917" s="66" t="s">
        <v>38</v>
      </c>
      <c r="E917" s="66" t="s">
        <v>258</v>
      </c>
      <c r="F917" s="67" t="s">
        <v>62</v>
      </c>
      <c r="G917" s="66"/>
      <c r="H917" s="66" t="s">
        <v>724</v>
      </c>
      <c r="I917" s="67" t="str">
        <f>VLOOKUP(Table46[[#This Row],[SUPPLIERS NAME]],[1]AGING!X$3:Y$80,2,)</f>
        <v>DIS-029-CPA</v>
      </c>
      <c r="J917" s="66" t="s">
        <v>725</v>
      </c>
      <c r="K917" s="21" t="s">
        <v>726</v>
      </c>
      <c r="L917" s="66">
        <v>415</v>
      </c>
      <c r="M917" s="10">
        <v>28995</v>
      </c>
      <c r="N917" s="66">
        <v>564</v>
      </c>
      <c r="O917" s="68">
        <v>52190</v>
      </c>
      <c r="P917" s="51">
        <f>Table46[[#This Row],[GROSS WT KGS]]-Table46[[#This Row],[SACS]]</f>
        <v>51626</v>
      </c>
      <c r="Q917" s="66">
        <f>Table46[[#This Row],[SACS]]-Table46[[#This Row],[HUMID SACS]]</f>
        <v>514</v>
      </c>
      <c r="R917" s="125">
        <v>50</v>
      </c>
      <c r="S917" s="123">
        <v>0</v>
      </c>
      <c r="T917" s="10">
        <f t="shared" si="104"/>
        <v>400</v>
      </c>
      <c r="U917" s="115">
        <f>Table46[[#This Row],[NET WT KGS]]-Table46[[#This Row],[Refraction]]</f>
        <v>51226</v>
      </c>
      <c r="V917" s="69">
        <v>465</v>
      </c>
      <c r="W917" s="69">
        <f>Table46[[#This Row],[PRICE]]*Table46[[#This Row],[PAID WT]]</f>
        <v>23820090</v>
      </c>
      <c r="X917" s="70">
        <v>12.1</v>
      </c>
      <c r="Y917" s="71">
        <v>166</v>
      </c>
      <c r="Z917" s="70">
        <v>43.12</v>
      </c>
      <c r="AA917" s="72"/>
      <c r="AB917" s="66" t="s">
        <v>132</v>
      </c>
      <c r="AC917" s="73"/>
      <c r="AD917" s="85"/>
      <c r="AE917" s="18">
        <f>Table46[[#This Row],[MOIS.]]*Table46[[#This Row],[NET WT KGS]]</f>
        <v>624674.6</v>
      </c>
      <c r="AF917" s="18">
        <f>Table46[[#This Row],[KOR]]*Table46[[#This Row],[NET WT KGS]]</f>
        <v>2226113.1199999996</v>
      </c>
      <c r="AG917">
        <f>Table46[[#This Row],[NET WT KGS]]*Table46[[#This Row],[NUT COUNT]]</f>
        <v>8569916</v>
      </c>
    </row>
    <row r="918" spans="1:41" x14ac:dyDescent="0.35">
      <c r="A918" s="32">
        <f t="shared" si="105"/>
        <v>916</v>
      </c>
      <c r="B918" s="65">
        <v>46144</v>
      </c>
      <c r="C918" s="65">
        <v>46145</v>
      </c>
      <c r="D918" s="66" t="s">
        <v>38</v>
      </c>
      <c r="E918" s="66" t="s">
        <v>39</v>
      </c>
      <c r="F918" s="67" t="s">
        <v>62</v>
      </c>
      <c r="G918" s="66"/>
      <c r="H918" s="66" t="s">
        <v>193</v>
      </c>
      <c r="I918" s="67" t="str">
        <f>VLOOKUP(Table46[[#This Row],[SUPPLIERS NAME]],[1]AGING!X$3:Y$80,2,)</f>
        <v>LBA-005-JAV</v>
      </c>
      <c r="J918" s="66" t="s">
        <v>811</v>
      </c>
      <c r="K918" s="33" t="s">
        <v>196</v>
      </c>
      <c r="L918" s="66">
        <v>418</v>
      </c>
      <c r="M918" s="10">
        <v>87106</v>
      </c>
      <c r="N918" s="66">
        <v>643</v>
      </c>
      <c r="O918" s="68">
        <v>53020</v>
      </c>
      <c r="P918" s="51">
        <f>Table46[[#This Row],[GROSS WT KGS]]-Table46[[#This Row],[SACS]]</f>
        <v>52377</v>
      </c>
      <c r="Q918" s="66">
        <f>Table46[[#This Row],[SACS]]-Table46[[#This Row],[HUMID SACS]]</f>
        <v>623</v>
      </c>
      <c r="R918" s="125">
        <v>20</v>
      </c>
      <c r="S918" s="123">
        <v>0</v>
      </c>
      <c r="T918" s="10">
        <f t="shared" si="104"/>
        <v>160</v>
      </c>
      <c r="U918" s="68">
        <f>Table46[[#This Row],[NET WT KGS]]-Table46[[#This Row],[Refraction]]</f>
        <v>52217</v>
      </c>
      <c r="V918" s="69">
        <v>475</v>
      </c>
      <c r="W918" s="69">
        <f>Table46[[#This Row],[PRICE]]*Table46[[#This Row],[PAID WT]]</f>
        <v>24803075</v>
      </c>
      <c r="X918" s="70">
        <v>10.6</v>
      </c>
      <c r="Y918" s="71">
        <v>176</v>
      </c>
      <c r="Z918" s="70">
        <v>42.59</v>
      </c>
      <c r="AA918" s="72"/>
      <c r="AB918" s="66" t="s">
        <v>132</v>
      </c>
      <c r="AC918" s="73"/>
      <c r="AD918" s="85"/>
      <c r="AE918" s="18">
        <f>Table46[[#This Row],[MOIS.]]*Table46[[#This Row],[NET WT KGS]]</f>
        <v>555196.19999999995</v>
      </c>
      <c r="AF918" s="18">
        <f>Table46[[#This Row],[KOR]]*Table46[[#This Row],[NET WT KGS]]</f>
        <v>2230736.4300000002</v>
      </c>
      <c r="AG918">
        <f>Table46[[#This Row],[NET WT KGS]]*Table46[[#This Row],[NUT COUNT]]</f>
        <v>9218352</v>
      </c>
    </row>
    <row r="919" spans="1:41" x14ac:dyDescent="0.35">
      <c r="A919" s="32">
        <f t="shared" si="105"/>
        <v>917</v>
      </c>
      <c r="B919" s="65">
        <v>46144</v>
      </c>
      <c r="C919" s="65">
        <v>46145</v>
      </c>
      <c r="D919" s="66" t="s">
        <v>38</v>
      </c>
      <c r="E919" s="66" t="s">
        <v>39</v>
      </c>
      <c r="F919" s="67" t="s">
        <v>62</v>
      </c>
      <c r="G919" s="66"/>
      <c r="H919" s="116" t="s">
        <v>128</v>
      </c>
      <c r="I919" s="67" t="str">
        <f>VLOOKUP(Table46[[#This Row],[SUPPLIERS NAME]],[1]AGING!X$3:Y$80,2,)</f>
        <v>LBA-002-SCA</v>
      </c>
      <c r="J919" s="66" t="s">
        <v>735</v>
      </c>
      <c r="K919" s="33" t="s">
        <v>131</v>
      </c>
      <c r="L919" s="66">
        <v>417</v>
      </c>
      <c r="M919" s="10">
        <v>78902</v>
      </c>
      <c r="N919" s="66">
        <v>607</v>
      </c>
      <c r="O919" s="68">
        <v>52470</v>
      </c>
      <c r="P919" s="51">
        <f>Table46[[#This Row],[GROSS WT KGS]]-Table46[[#This Row],[SACS]]</f>
        <v>51863</v>
      </c>
      <c r="Q919" s="66">
        <f>Table46[[#This Row],[SACS]]-Table46[[#This Row],[HUMID SACS]]</f>
        <v>602</v>
      </c>
      <c r="R919" s="125">
        <v>5</v>
      </c>
      <c r="S919" s="123">
        <v>0</v>
      </c>
      <c r="T919" s="10">
        <f t="shared" si="104"/>
        <v>40</v>
      </c>
      <c r="U919" s="68">
        <f>Table46[[#This Row],[NET WT KGS]]-Table46[[#This Row],[Refraction]]</f>
        <v>51823</v>
      </c>
      <c r="V919" s="69">
        <v>465</v>
      </c>
      <c r="W919" s="69">
        <f>Table46[[#This Row],[PRICE]]*Table46[[#This Row],[PAID WT]]</f>
        <v>24097695</v>
      </c>
      <c r="X919" s="70">
        <v>10.4</v>
      </c>
      <c r="Y919" s="71">
        <v>183</v>
      </c>
      <c r="Z919" s="70">
        <v>43.38</v>
      </c>
      <c r="AA919" s="72"/>
      <c r="AB919" s="66" t="s">
        <v>132</v>
      </c>
      <c r="AC919" s="73"/>
      <c r="AD919" s="85"/>
      <c r="AE919" s="18">
        <f>Table46[[#This Row],[MOIS.]]*Table46[[#This Row],[NET WT KGS]]</f>
        <v>539375.20000000007</v>
      </c>
      <c r="AF919" s="18">
        <f>Table46[[#This Row],[KOR]]*Table46[[#This Row],[NET WT KGS]]</f>
        <v>2249816.94</v>
      </c>
      <c r="AG919">
        <f>Table46[[#This Row],[NET WT KGS]]*Table46[[#This Row],[NUT COUNT]]</f>
        <v>9490929</v>
      </c>
    </row>
    <row r="920" spans="1:41" x14ac:dyDescent="0.35">
      <c r="A920" s="32">
        <f t="shared" si="105"/>
        <v>918</v>
      </c>
      <c r="B920" s="65">
        <v>46144</v>
      </c>
      <c r="C920" s="65">
        <v>46145</v>
      </c>
      <c r="D920" s="66" t="s">
        <v>38</v>
      </c>
      <c r="E920" s="66" t="s">
        <v>258</v>
      </c>
      <c r="F920" s="67" t="s">
        <v>62</v>
      </c>
      <c r="G920" s="66"/>
      <c r="H920" s="66" t="s">
        <v>821</v>
      </c>
      <c r="I920" s="67" t="str">
        <f>VLOOKUP(Table46[[#This Row],[SUPPLIERS NAME]],[1]AGING!X$3:Y$80,2,)</f>
        <v>DIS-035-SNC</v>
      </c>
      <c r="J920" s="66" t="s">
        <v>604</v>
      </c>
      <c r="K920" s="107" t="s">
        <v>823</v>
      </c>
      <c r="L920" s="66">
        <v>416</v>
      </c>
      <c r="M920" s="66">
        <f>VLOOKUP(Table46[[#This Row],[REF.]],'[2]RCN INWARD FACTORY YAKRO 2026'!$F$4:$M$257,8,0)</f>
        <v>36087</v>
      </c>
      <c r="N920" s="66">
        <v>496</v>
      </c>
      <c r="O920" s="68">
        <v>41420</v>
      </c>
      <c r="P920" s="51">
        <f>Table46[[#This Row],[GROSS WT KGS]]-Table46[[#This Row],[SACS]]</f>
        <v>40924</v>
      </c>
      <c r="Q920" s="66">
        <f>Table46[[#This Row],[SACS]]-Table46[[#This Row],[HUMID SACS]]</f>
        <v>446</v>
      </c>
      <c r="R920" s="125">
        <v>50</v>
      </c>
      <c r="S920" s="123">
        <v>0</v>
      </c>
      <c r="T920" s="10">
        <f t="shared" si="104"/>
        <v>400</v>
      </c>
      <c r="U920" s="68">
        <f>Table46[[#This Row],[NET WT KGS]]-Table46[[#This Row],[Refraction]]</f>
        <v>40524</v>
      </c>
      <c r="V920" s="69">
        <v>470</v>
      </c>
      <c r="W920" s="69">
        <f>Table46[[#This Row],[PRICE]]*Table46[[#This Row],[PAID WT]]</f>
        <v>19046280</v>
      </c>
      <c r="X920" s="70">
        <v>12.1</v>
      </c>
      <c r="Y920" s="71">
        <v>172</v>
      </c>
      <c r="Z920" s="70">
        <v>44.09</v>
      </c>
      <c r="AA920" s="72"/>
      <c r="AB920" s="66" t="s">
        <v>458</v>
      </c>
      <c r="AC920" s="73"/>
      <c r="AD920" s="85"/>
      <c r="AE920" s="18">
        <f>Table46[[#This Row],[MOIS.]]*Table46[[#This Row],[NET WT KGS]]</f>
        <v>495180.39999999997</v>
      </c>
      <c r="AF920" s="18">
        <f>Table46[[#This Row],[KOR]]*Table46[[#This Row],[NET WT KGS]]</f>
        <v>1804339.1600000001</v>
      </c>
      <c r="AG920">
        <f>Table46[[#This Row],[NET WT KGS]]*Table46[[#This Row],[NUT COUNT]]</f>
        <v>7038928</v>
      </c>
      <c r="AJ920">
        <v>39600</v>
      </c>
      <c r="AK920">
        <f>AJ920-Table46[[#This Row],[SACS]]-Table46[[#This Row],[Refraction]]</f>
        <v>38704</v>
      </c>
      <c r="AL920">
        <v>470</v>
      </c>
      <c r="AM920" s="18">
        <f>AK920*AL920</f>
        <v>18190880</v>
      </c>
      <c r="AN920" s="59">
        <f>Table46[[#This Row],[AMOUNT]]-AM920</f>
        <v>855400</v>
      </c>
      <c r="AO920" s="145">
        <f>Table46[[#This Row],[PAID WT]]-AK920</f>
        <v>1820</v>
      </c>
    </row>
    <row r="921" spans="1:41" x14ac:dyDescent="0.35">
      <c r="A921" s="32">
        <f t="shared" si="105"/>
        <v>919</v>
      </c>
      <c r="B921" s="91">
        <v>46145</v>
      </c>
      <c r="C921" s="91">
        <f>Table46[[#This Row],[DATE OF ARRIVAL]]</f>
        <v>46145</v>
      </c>
      <c r="D921" s="74"/>
      <c r="E921" s="74"/>
      <c r="F921" s="74" t="s">
        <v>40</v>
      </c>
      <c r="G921" s="74"/>
      <c r="H921" s="74" t="s">
        <v>280</v>
      </c>
      <c r="I921" s="74" t="s">
        <v>281</v>
      </c>
      <c r="J921" s="74" t="s">
        <v>941</v>
      </c>
      <c r="K921" s="74"/>
      <c r="L921" s="74"/>
      <c r="M921" s="74"/>
      <c r="N921" s="74"/>
      <c r="O921" s="79"/>
      <c r="P921" s="79"/>
      <c r="Q921" s="74"/>
      <c r="R921" s="132"/>
      <c r="S921" s="143"/>
      <c r="T921" s="36"/>
      <c r="U921" s="79"/>
      <c r="V921" s="81"/>
      <c r="W921" s="81"/>
      <c r="X921" s="82">
        <v>8.4</v>
      </c>
      <c r="Y921" s="83">
        <v>160</v>
      </c>
      <c r="Z921" s="82">
        <v>41.270580000000002</v>
      </c>
      <c r="AA921" s="84"/>
      <c r="AB921" s="74" t="s">
        <v>284</v>
      </c>
      <c r="AC921" s="92" t="s">
        <v>70</v>
      </c>
      <c r="AD921" s="85"/>
      <c r="AE921" s="18"/>
      <c r="AF921" s="18"/>
      <c r="AM921" s="1">
        <f>W920/AK920</f>
        <v>492.10107482430755</v>
      </c>
    </row>
    <row r="922" spans="1:41" x14ac:dyDescent="0.35">
      <c r="A922" s="32">
        <f t="shared" si="105"/>
        <v>920</v>
      </c>
      <c r="B922" s="91">
        <v>46145</v>
      </c>
      <c r="C922" s="91">
        <f>Table46[[#This Row],[DATE OF ARRIVAL]]</f>
        <v>46145</v>
      </c>
      <c r="D922" s="74"/>
      <c r="E922" s="74"/>
      <c r="F922" s="74" t="s">
        <v>40</v>
      </c>
      <c r="G922" s="74"/>
      <c r="H922" s="74" t="s">
        <v>202</v>
      </c>
      <c r="I922" s="74" t="s">
        <v>305</v>
      </c>
      <c r="J922" s="74" t="s">
        <v>989</v>
      </c>
      <c r="K922" s="74"/>
      <c r="L922" s="74"/>
      <c r="M922" s="74"/>
      <c r="N922" s="74"/>
      <c r="O922" s="79"/>
      <c r="P922" s="79"/>
      <c r="Q922" s="74"/>
      <c r="R922" s="132"/>
      <c r="S922" s="143"/>
      <c r="T922" s="36"/>
      <c r="U922" s="79"/>
      <c r="V922" s="81"/>
      <c r="W922" s="81"/>
      <c r="X922" s="82">
        <v>9</v>
      </c>
      <c r="Y922" s="83">
        <v>179</v>
      </c>
      <c r="Z922" s="82">
        <v>41.446950000000001</v>
      </c>
      <c r="AA922" s="84"/>
      <c r="AB922" s="74" t="s">
        <v>324</v>
      </c>
      <c r="AC922" s="92" t="s">
        <v>70</v>
      </c>
      <c r="AD922" s="85"/>
      <c r="AE922" s="18"/>
      <c r="AF922" s="18"/>
    </row>
    <row r="923" spans="1:41" x14ac:dyDescent="0.35">
      <c r="A923" s="32">
        <f t="shared" si="105"/>
        <v>921</v>
      </c>
      <c r="B923" s="91">
        <v>46145</v>
      </c>
      <c r="C923" s="91">
        <f>Table46[[#This Row],[DATE OF ARRIVAL]]</f>
        <v>46145</v>
      </c>
      <c r="D923" s="74"/>
      <c r="E923" s="74"/>
      <c r="F923" s="74" t="s">
        <v>40</v>
      </c>
      <c r="G923" s="74"/>
      <c r="H923" s="74" t="s">
        <v>123</v>
      </c>
      <c r="I923" s="74" t="s">
        <v>124</v>
      </c>
      <c r="J923" s="74" t="s">
        <v>990</v>
      </c>
      <c r="K923" s="74"/>
      <c r="L923" s="74"/>
      <c r="M923" s="74"/>
      <c r="N923" s="74"/>
      <c r="O923" s="79"/>
      <c r="P923" s="79"/>
      <c r="Q923" s="74"/>
      <c r="R923" s="132"/>
      <c r="S923" s="143"/>
      <c r="T923" s="36"/>
      <c r="U923" s="79"/>
      <c r="V923" s="81"/>
      <c r="W923" s="81"/>
      <c r="X923" s="82">
        <v>9.4</v>
      </c>
      <c r="Y923" s="83">
        <v>173</v>
      </c>
      <c r="Z923" s="82">
        <v>39.330509999999997</v>
      </c>
      <c r="AA923" s="84"/>
      <c r="AB923" s="74" t="s">
        <v>58</v>
      </c>
      <c r="AC923" s="92" t="s">
        <v>70</v>
      </c>
      <c r="AD923" s="85"/>
      <c r="AE923" s="18"/>
      <c r="AF923" s="18"/>
    </row>
    <row r="924" spans="1:41" x14ac:dyDescent="0.35">
      <c r="A924" s="32">
        <f t="shared" si="105"/>
        <v>922</v>
      </c>
      <c r="B924" s="91">
        <v>46145</v>
      </c>
      <c r="C924" s="91">
        <f>Table46[[#This Row],[DATE OF ARRIVAL]]</f>
        <v>46145</v>
      </c>
      <c r="D924" s="74"/>
      <c r="E924" s="74"/>
      <c r="F924" s="74" t="s">
        <v>40</v>
      </c>
      <c r="G924" s="74"/>
      <c r="H924" s="74" t="s">
        <v>112</v>
      </c>
      <c r="I924" s="74" t="s">
        <v>113</v>
      </c>
      <c r="J924" s="74" t="s">
        <v>913</v>
      </c>
      <c r="K924" s="74"/>
      <c r="L924" s="74"/>
      <c r="M924" s="74"/>
      <c r="N924" s="74"/>
      <c r="O924" s="79"/>
      <c r="P924" s="79"/>
      <c r="Q924" s="74"/>
      <c r="R924" s="132"/>
      <c r="S924" s="143"/>
      <c r="T924" s="36"/>
      <c r="U924" s="79"/>
      <c r="V924" s="81"/>
      <c r="W924" s="81"/>
      <c r="X924" s="82">
        <v>8.6999999999999993</v>
      </c>
      <c r="Y924" s="83">
        <v>180</v>
      </c>
      <c r="Z924" s="82">
        <v>41.094209999999997</v>
      </c>
      <c r="AA924" s="84"/>
      <c r="AB924" s="74" t="s">
        <v>40</v>
      </c>
      <c r="AC924" s="92" t="s">
        <v>70</v>
      </c>
      <c r="AD924" s="85"/>
      <c r="AE924" s="18"/>
      <c r="AF924" s="18"/>
    </row>
    <row r="925" spans="1:41" x14ac:dyDescent="0.35">
      <c r="A925" s="32">
        <f t="shared" si="105"/>
        <v>923</v>
      </c>
      <c r="B925" s="91">
        <v>46145</v>
      </c>
      <c r="C925" s="91">
        <f>Table46[[#This Row],[DATE OF ARRIVAL]]</f>
        <v>46145</v>
      </c>
      <c r="D925" s="74"/>
      <c r="E925" s="74"/>
      <c r="F925" s="74" t="s">
        <v>40</v>
      </c>
      <c r="G925" s="74"/>
      <c r="H925" s="74" t="s">
        <v>123</v>
      </c>
      <c r="I925" s="74" t="s">
        <v>124</v>
      </c>
      <c r="J925" s="74" t="s">
        <v>991</v>
      </c>
      <c r="K925" s="74"/>
      <c r="L925" s="74"/>
      <c r="M925" s="74"/>
      <c r="N925" s="74"/>
      <c r="O925" s="79"/>
      <c r="P925" s="79"/>
      <c r="Q925" s="74"/>
      <c r="R925" s="132"/>
      <c r="S925" s="143"/>
      <c r="T925" s="36"/>
      <c r="U925" s="79"/>
      <c r="V925" s="81"/>
      <c r="W925" s="81"/>
      <c r="X925" s="82">
        <v>11</v>
      </c>
      <c r="Y925" s="83">
        <v>167</v>
      </c>
      <c r="Z925" s="82">
        <v>38.09592</v>
      </c>
      <c r="AA925" s="84"/>
      <c r="AB925" s="74" t="s">
        <v>367</v>
      </c>
      <c r="AC925" s="92" t="s">
        <v>70</v>
      </c>
      <c r="AD925" s="85"/>
      <c r="AE925" s="18"/>
      <c r="AF925" s="18"/>
    </row>
    <row r="926" spans="1:41" x14ac:dyDescent="0.35">
      <c r="A926" s="32">
        <f t="shared" si="105"/>
        <v>924</v>
      </c>
      <c r="B926" s="91">
        <v>46145</v>
      </c>
      <c r="C926" s="91">
        <f>Table46[[#This Row],[DATE OF ARRIVAL]]</f>
        <v>46145</v>
      </c>
      <c r="D926" s="74"/>
      <c r="E926" s="74"/>
      <c r="F926" s="74" t="s">
        <v>40</v>
      </c>
      <c r="G926" s="74"/>
      <c r="H926" s="74" t="s">
        <v>123</v>
      </c>
      <c r="I926" s="74" t="s">
        <v>124</v>
      </c>
      <c r="J926" s="74" t="s">
        <v>992</v>
      </c>
      <c r="K926" s="74"/>
      <c r="L926" s="74"/>
      <c r="M926" s="74"/>
      <c r="N926" s="74"/>
      <c r="O926" s="79"/>
      <c r="P926" s="79"/>
      <c r="Q926" s="74"/>
      <c r="R926" s="132"/>
      <c r="S926" s="143"/>
      <c r="T926" s="36"/>
      <c r="U926" s="79"/>
      <c r="V926" s="81"/>
      <c r="W926" s="81"/>
      <c r="X926" s="82">
        <v>8.4</v>
      </c>
      <c r="Y926" s="83">
        <v>187</v>
      </c>
      <c r="Z926" s="82">
        <v>34.921259999999997</v>
      </c>
      <c r="AA926" s="84"/>
      <c r="AB926" s="74" t="s">
        <v>132</v>
      </c>
      <c r="AC926" s="92" t="s">
        <v>70</v>
      </c>
      <c r="AD926" s="85"/>
      <c r="AE926" s="18"/>
      <c r="AF926" s="18"/>
    </row>
    <row r="927" spans="1:41" x14ac:dyDescent="0.35">
      <c r="A927" s="32">
        <f t="shared" si="105"/>
        <v>925</v>
      </c>
      <c r="B927" s="91">
        <v>46145</v>
      </c>
      <c r="C927" s="91">
        <f>Table46[[#This Row],[DATE OF ARRIVAL]]</f>
        <v>46145</v>
      </c>
      <c r="D927" s="74"/>
      <c r="E927" s="74"/>
      <c r="F927" s="74" t="s">
        <v>40</v>
      </c>
      <c r="G927" s="74"/>
      <c r="H927" s="74" t="s">
        <v>123</v>
      </c>
      <c r="I927" s="74" t="s">
        <v>124</v>
      </c>
      <c r="J927" s="74" t="s">
        <v>993</v>
      </c>
      <c r="K927" s="74"/>
      <c r="L927" s="74"/>
      <c r="M927" s="74"/>
      <c r="N927" s="74"/>
      <c r="O927" s="79"/>
      <c r="P927" s="79"/>
      <c r="Q927" s="74"/>
      <c r="R927" s="132"/>
      <c r="S927" s="143"/>
      <c r="T927" s="36"/>
      <c r="U927" s="79"/>
      <c r="V927" s="81"/>
      <c r="W927" s="81"/>
      <c r="X927" s="82">
        <v>10.7</v>
      </c>
      <c r="Y927" s="83">
        <v>178</v>
      </c>
      <c r="Z927" s="82">
        <v>38.625030000000002</v>
      </c>
      <c r="AA927" s="84"/>
      <c r="AB927" s="74" t="s">
        <v>178</v>
      </c>
      <c r="AC927" s="92" t="s">
        <v>70</v>
      </c>
      <c r="AD927" s="85"/>
      <c r="AE927" s="18"/>
      <c r="AF927" s="18"/>
    </row>
    <row r="928" spans="1:41" x14ac:dyDescent="0.35">
      <c r="A928" s="32">
        <f t="shared" si="105"/>
        <v>926</v>
      </c>
      <c r="B928" s="91">
        <v>46145</v>
      </c>
      <c r="C928" s="91">
        <f>Table46[[#This Row],[DATE OF ARRIVAL]]</f>
        <v>46145</v>
      </c>
      <c r="D928" s="74"/>
      <c r="E928" s="74"/>
      <c r="F928" s="74" t="s">
        <v>40</v>
      </c>
      <c r="G928" s="74"/>
      <c r="H928" s="74" t="s">
        <v>123</v>
      </c>
      <c r="I928" s="74" t="s">
        <v>124</v>
      </c>
      <c r="J928" s="74" t="s">
        <v>994</v>
      </c>
      <c r="K928" s="74"/>
      <c r="L928" s="74"/>
      <c r="M928" s="74"/>
      <c r="N928" s="74"/>
      <c r="O928" s="79"/>
      <c r="P928" s="79"/>
      <c r="Q928" s="74"/>
      <c r="R928" s="132"/>
      <c r="S928" s="143"/>
      <c r="T928" s="36"/>
      <c r="U928" s="79"/>
      <c r="V928" s="81"/>
      <c r="W928" s="81"/>
      <c r="X928" s="82">
        <v>12.7</v>
      </c>
      <c r="Y928" s="83">
        <v>158</v>
      </c>
      <c r="Z928" s="82">
        <v>39.85962</v>
      </c>
      <c r="AA928" s="84"/>
      <c r="AB928" s="74" t="s">
        <v>46</v>
      </c>
      <c r="AC928" s="92" t="s">
        <v>70</v>
      </c>
      <c r="AD928" s="85"/>
      <c r="AE928" s="18"/>
      <c r="AF928" s="18"/>
    </row>
    <row r="929" spans="1:33" x14ac:dyDescent="0.35">
      <c r="A929" s="32">
        <f t="shared" si="105"/>
        <v>927</v>
      </c>
      <c r="B929" s="65">
        <v>46145</v>
      </c>
      <c r="C929" s="65">
        <v>46146</v>
      </c>
      <c r="D929" s="66" t="s">
        <v>38</v>
      </c>
      <c r="E929" s="66" t="s">
        <v>39</v>
      </c>
      <c r="F929" s="67" t="s">
        <v>40</v>
      </c>
      <c r="G929" s="66" t="s">
        <v>350</v>
      </c>
      <c r="H929" s="66" t="s">
        <v>154</v>
      </c>
      <c r="I929" s="67" t="str">
        <f>VLOOKUP(Table46[[#This Row],[SUPPLIERS NAME]],[1]AGING!X$3:Y$80,2,)</f>
        <v>LBA-010-CAP</v>
      </c>
      <c r="J929" s="66" t="s">
        <v>639</v>
      </c>
      <c r="K929" s="33" t="s">
        <v>157</v>
      </c>
      <c r="L929" s="66">
        <v>398</v>
      </c>
      <c r="M929" s="10">
        <v>87046</v>
      </c>
      <c r="N929" s="66">
        <v>482</v>
      </c>
      <c r="O929" s="68">
        <f t="shared" ref="O929:O934" si="107">P929+N929</f>
        <v>40900</v>
      </c>
      <c r="P929" s="68">
        <v>40418</v>
      </c>
      <c r="Q929" s="66">
        <v>469</v>
      </c>
      <c r="R929" s="66">
        <v>0</v>
      </c>
      <c r="S929" s="123">
        <v>13</v>
      </c>
      <c r="T929" s="10">
        <f t="shared" si="104"/>
        <v>52</v>
      </c>
      <c r="U929" s="68">
        <f>Table46[[#This Row],[NET WT KGS]]-Table46[[#This Row],[Refraction]]</f>
        <v>40366</v>
      </c>
      <c r="V929" s="69">
        <v>465</v>
      </c>
      <c r="W929" s="69">
        <f>Table46[[#This Row],[PRICE]]*Table46[[#This Row],[PAID WT]]</f>
        <v>18770190</v>
      </c>
      <c r="X929" s="70">
        <v>9.3000000000000007</v>
      </c>
      <c r="Y929" s="71">
        <v>158</v>
      </c>
      <c r="Z929" s="70">
        <v>42.32</v>
      </c>
      <c r="AA929" s="72"/>
      <c r="AB929" s="66" t="s">
        <v>40</v>
      </c>
      <c r="AC929" s="73"/>
      <c r="AD929" s="85"/>
      <c r="AE929" s="18">
        <f>Table46[[#This Row],[MOIS.]]*Table46[[#This Row],[NET WT KGS]]</f>
        <v>375887.4</v>
      </c>
      <c r="AF929" s="18">
        <f>Table46[[#This Row],[KOR]]*Table46[[#This Row],[NET WT KGS]]</f>
        <v>1710489.76</v>
      </c>
      <c r="AG929">
        <f>Table46[[#This Row],[NET WT KGS]]*Table46[[#This Row],[NUT COUNT]]</f>
        <v>6386044</v>
      </c>
    </row>
    <row r="930" spans="1:33" x14ac:dyDescent="0.35">
      <c r="A930" s="32">
        <f t="shared" si="105"/>
        <v>928</v>
      </c>
      <c r="B930" s="65">
        <v>46145</v>
      </c>
      <c r="C930" s="65">
        <v>46146</v>
      </c>
      <c r="D930" s="66" t="s">
        <v>38</v>
      </c>
      <c r="E930" s="66" t="s">
        <v>39</v>
      </c>
      <c r="F930" s="67" t="s">
        <v>40</v>
      </c>
      <c r="G930" s="66" t="s">
        <v>350</v>
      </c>
      <c r="H930" s="66" t="s">
        <v>202</v>
      </c>
      <c r="I930" s="67" t="str">
        <f>VLOOKUP(Table46[[#This Row],[SUPPLIERS NAME]],[1]AGING!X$3:Y$80,2,)</f>
        <v>LBA-012-KPE</v>
      </c>
      <c r="J930" s="66" t="s">
        <v>773</v>
      </c>
      <c r="K930" s="33" t="s">
        <v>205</v>
      </c>
      <c r="L930" s="66">
        <v>397</v>
      </c>
      <c r="M930" s="10">
        <v>32757</v>
      </c>
      <c r="N930" s="66">
        <v>488</v>
      </c>
      <c r="O930" s="68">
        <f t="shared" si="107"/>
        <v>41020</v>
      </c>
      <c r="P930" s="68">
        <v>40532</v>
      </c>
      <c r="Q930" s="66">
        <v>476</v>
      </c>
      <c r="R930" s="66">
        <v>0</v>
      </c>
      <c r="S930" s="123">
        <v>12</v>
      </c>
      <c r="T930" s="10">
        <f t="shared" si="104"/>
        <v>48</v>
      </c>
      <c r="U930" s="68">
        <f>Table46[[#This Row],[NET WT KGS]]-Table46[[#This Row],[Refraction]]</f>
        <v>40484</v>
      </c>
      <c r="V930" s="69">
        <v>460</v>
      </c>
      <c r="W930" s="69">
        <f>Table46[[#This Row],[PRICE]]*Table46[[#This Row],[PAID WT]]</f>
        <v>18622640</v>
      </c>
      <c r="X930" s="70">
        <v>9.8000000000000007</v>
      </c>
      <c r="Y930" s="71">
        <v>158</v>
      </c>
      <c r="Z930" s="70">
        <v>41.62</v>
      </c>
      <c r="AA930" s="72"/>
      <c r="AB930" s="66" t="s">
        <v>367</v>
      </c>
      <c r="AC930" s="73"/>
      <c r="AD930" s="85"/>
      <c r="AE930" s="18">
        <f>Table46[[#This Row],[MOIS.]]*Table46[[#This Row],[NET WT KGS]]</f>
        <v>397213.60000000003</v>
      </c>
      <c r="AF930" s="18">
        <f>Table46[[#This Row],[KOR]]*Table46[[#This Row],[NET WT KGS]]</f>
        <v>1686941.8399999999</v>
      </c>
      <c r="AG930">
        <f>Table46[[#This Row],[NET WT KGS]]*Table46[[#This Row],[NUT COUNT]]</f>
        <v>6404056</v>
      </c>
    </row>
    <row r="931" spans="1:33" x14ac:dyDescent="0.35">
      <c r="A931" s="32">
        <f t="shared" si="105"/>
        <v>929</v>
      </c>
      <c r="B931" s="65">
        <v>46146</v>
      </c>
      <c r="C931" s="65">
        <v>46146</v>
      </c>
      <c r="D931" s="66" t="s">
        <v>38</v>
      </c>
      <c r="E931" s="66" t="s">
        <v>39</v>
      </c>
      <c r="F931" s="67" t="s">
        <v>40</v>
      </c>
      <c r="G931" s="66" t="s">
        <v>350</v>
      </c>
      <c r="H931" s="66" t="s">
        <v>112</v>
      </c>
      <c r="I931" s="67" t="str">
        <f>VLOOKUP(Table46[[#This Row],[SUPPLIERS NAME]],[1]AGING!X$3:Y$80,2,)</f>
        <v>LBA-015-OUM</v>
      </c>
      <c r="J931" s="66" t="s">
        <v>366</v>
      </c>
      <c r="K931" s="21" t="s">
        <v>115</v>
      </c>
      <c r="L931" s="66">
        <v>399</v>
      </c>
      <c r="M931" s="10">
        <v>31999</v>
      </c>
      <c r="N931" s="66">
        <v>417</v>
      </c>
      <c r="O931" s="68">
        <f t="shared" si="107"/>
        <v>33660</v>
      </c>
      <c r="P931" s="68">
        <v>33243</v>
      </c>
      <c r="Q931" s="66">
        <v>409</v>
      </c>
      <c r="R931" s="66">
        <v>0</v>
      </c>
      <c r="S931" s="123">
        <v>8</v>
      </c>
      <c r="T931" s="10">
        <f t="shared" si="104"/>
        <v>32</v>
      </c>
      <c r="U931" s="68">
        <f>Table46[[#This Row],[NET WT KGS]]-Table46[[#This Row],[Refraction]]</f>
        <v>33211</v>
      </c>
      <c r="V931" s="69">
        <v>460</v>
      </c>
      <c r="W931" s="69">
        <f>Table46[[#This Row],[PRICE]]*Table46[[#This Row],[PAID WT]]</f>
        <v>15277060</v>
      </c>
      <c r="X931" s="70">
        <v>8.3000000000000007</v>
      </c>
      <c r="Y931" s="71">
        <v>185</v>
      </c>
      <c r="Z931" s="70">
        <v>41.97</v>
      </c>
      <c r="AA931" s="72"/>
      <c r="AB931" s="66" t="s">
        <v>40</v>
      </c>
      <c r="AC931" s="73"/>
      <c r="AD931" s="85"/>
      <c r="AE931" s="18">
        <f>Table46[[#This Row],[MOIS.]]*Table46[[#This Row],[NET WT KGS]]</f>
        <v>275916.90000000002</v>
      </c>
      <c r="AF931" s="18">
        <f>Table46[[#This Row],[KOR]]*Table46[[#This Row],[NET WT KGS]]</f>
        <v>1395208.71</v>
      </c>
      <c r="AG931">
        <f>Table46[[#This Row],[NET WT KGS]]*Table46[[#This Row],[NUT COUNT]]</f>
        <v>6149955</v>
      </c>
    </row>
    <row r="932" spans="1:33" x14ac:dyDescent="0.35">
      <c r="A932" s="32">
        <f t="shared" si="105"/>
        <v>930</v>
      </c>
      <c r="B932" s="65">
        <v>46146</v>
      </c>
      <c r="C932" s="65">
        <v>46146</v>
      </c>
      <c r="D932" s="66" t="s">
        <v>38</v>
      </c>
      <c r="E932" s="66" t="s">
        <v>39</v>
      </c>
      <c r="F932" s="67" t="s">
        <v>40</v>
      </c>
      <c r="G932" s="66" t="s">
        <v>350</v>
      </c>
      <c r="H932" s="66" t="s">
        <v>338</v>
      </c>
      <c r="I932" s="67" t="str">
        <f>VLOOKUP(Table46[[#This Row],[SUPPLIERS NAME]],[1]AGING!X$3:Y$80,2,)</f>
        <v>LBA-018-COP</v>
      </c>
      <c r="J932" s="66" t="s">
        <v>867</v>
      </c>
      <c r="K932" s="57" t="s">
        <v>340</v>
      </c>
      <c r="L932" s="66">
        <v>400</v>
      </c>
      <c r="M932" s="10">
        <v>18796</v>
      </c>
      <c r="N932" s="66">
        <v>443</v>
      </c>
      <c r="O932" s="68">
        <f t="shared" si="107"/>
        <v>38960</v>
      </c>
      <c r="P932" s="68">
        <v>38517</v>
      </c>
      <c r="Q932" s="66">
        <v>413</v>
      </c>
      <c r="R932" s="66">
        <v>30</v>
      </c>
      <c r="S932" s="123">
        <v>0</v>
      </c>
      <c r="T932" s="10">
        <f t="shared" si="104"/>
        <v>240</v>
      </c>
      <c r="U932" s="68">
        <f>Table46[[#This Row],[NET WT KGS]]-Table46[[#This Row],[Refraction]]</f>
        <v>38277</v>
      </c>
      <c r="V932" s="69">
        <v>470</v>
      </c>
      <c r="W932" s="69">
        <f>Table46[[#This Row],[PRICE]]*Table46[[#This Row],[PAID WT]]</f>
        <v>17990190</v>
      </c>
      <c r="X932" s="70">
        <v>11.8</v>
      </c>
      <c r="Y932" s="71">
        <v>160</v>
      </c>
      <c r="Z932" s="70">
        <v>42.15</v>
      </c>
      <c r="AA932" s="72"/>
      <c r="AB932" s="66" t="s">
        <v>284</v>
      </c>
      <c r="AC932" s="73"/>
      <c r="AD932" s="85"/>
      <c r="AE932" s="18">
        <f>Table46[[#This Row],[MOIS.]]*Table46[[#This Row],[NET WT KGS]]</f>
        <v>454500.60000000003</v>
      </c>
      <c r="AF932" s="18">
        <f>Table46[[#This Row],[KOR]]*Table46[[#This Row],[NET WT KGS]]</f>
        <v>1623491.55</v>
      </c>
      <c r="AG932">
        <f>Table46[[#This Row],[NET WT KGS]]*Table46[[#This Row],[NUT COUNT]]</f>
        <v>6162720</v>
      </c>
    </row>
    <row r="933" spans="1:33" x14ac:dyDescent="0.35">
      <c r="A933" s="32">
        <f t="shared" si="105"/>
        <v>931</v>
      </c>
      <c r="B933" s="65">
        <v>46146</v>
      </c>
      <c r="C933" s="65">
        <v>46146</v>
      </c>
      <c r="D933" s="66" t="s">
        <v>38</v>
      </c>
      <c r="E933" s="66" t="s">
        <v>39</v>
      </c>
      <c r="F933" s="67" t="s">
        <v>40</v>
      </c>
      <c r="G933" s="66" t="s">
        <v>350</v>
      </c>
      <c r="H933" s="67" t="s">
        <v>105</v>
      </c>
      <c r="I933" s="67" t="str">
        <f>VLOOKUP(Table46[[#This Row],[SUPPLIERS NAME]],[1]AGING!X$3:Y$80,2,)</f>
        <v>LBA-014-BAY</v>
      </c>
      <c r="J933" s="66" t="s">
        <v>167</v>
      </c>
      <c r="K933" s="33" t="s">
        <v>108</v>
      </c>
      <c r="L933" s="66">
        <v>301</v>
      </c>
      <c r="M933" s="10">
        <v>32834</v>
      </c>
      <c r="N933" s="66">
        <v>155</v>
      </c>
      <c r="O933" s="68">
        <f t="shared" si="107"/>
        <v>13180</v>
      </c>
      <c r="P933" s="68">
        <v>13025</v>
      </c>
      <c r="Q933" s="66">
        <v>147</v>
      </c>
      <c r="R933" s="66">
        <v>0</v>
      </c>
      <c r="S933" s="123">
        <v>8</v>
      </c>
      <c r="T933" s="10">
        <f t="shared" si="104"/>
        <v>32</v>
      </c>
      <c r="U933" s="68">
        <f>Table46[[#This Row],[NET WT KGS]]-Table46[[#This Row],[Refraction]]</f>
        <v>12993</v>
      </c>
      <c r="V933" s="69">
        <v>470</v>
      </c>
      <c r="W933" s="69">
        <f>Table46[[#This Row],[PRICE]]*Table46[[#This Row],[PAID WT]]</f>
        <v>6106710</v>
      </c>
      <c r="X933" s="70">
        <v>10.4</v>
      </c>
      <c r="Y933" s="71">
        <v>157</v>
      </c>
      <c r="Z933" s="70">
        <v>42.32</v>
      </c>
      <c r="AA933" s="72"/>
      <c r="AB933" s="66" t="s">
        <v>212</v>
      </c>
      <c r="AC933" s="73"/>
      <c r="AD933" s="85"/>
      <c r="AE933" s="18">
        <f>Table46[[#This Row],[MOIS.]]*Table46[[#This Row],[NET WT KGS]]</f>
        <v>135460</v>
      </c>
      <c r="AF933" s="18">
        <f>Table46[[#This Row],[KOR]]*Table46[[#This Row],[NET WT KGS]]</f>
        <v>551218</v>
      </c>
      <c r="AG933">
        <f>Table46[[#This Row],[NET WT KGS]]*Table46[[#This Row],[NUT COUNT]]</f>
        <v>2044925</v>
      </c>
    </row>
    <row r="934" spans="1:33" x14ac:dyDescent="0.35">
      <c r="A934" s="32">
        <f t="shared" si="105"/>
        <v>932</v>
      </c>
      <c r="B934" s="65">
        <v>46146</v>
      </c>
      <c r="C934" s="65">
        <v>46146</v>
      </c>
      <c r="D934" s="66" t="s">
        <v>38</v>
      </c>
      <c r="E934" s="66" t="s">
        <v>39</v>
      </c>
      <c r="F934" s="67" t="s">
        <v>40</v>
      </c>
      <c r="G934" s="66" t="s">
        <v>350</v>
      </c>
      <c r="H934" s="66" t="s">
        <v>338</v>
      </c>
      <c r="I934" s="67" t="str">
        <f>VLOOKUP(Table46[[#This Row],[SUPPLIERS NAME]],[1]AGING!X$3:Y$80,2,)</f>
        <v>LBA-018-COP</v>
      </c>
      <c r="J934" s="66" t="s">
        <v>339</v>
      </c>
      <c r="K934" s="57" t="s">
        <v>340</v>
      </c>
      <c r="L934" s="66">
        <v>302</v>
      </c>
      <c r="M934" s="10">
        <v>18794</v>
      </c>
      <c r="N934" s="66">
        <v>475</v>
      </c>
      <c r="O934" s="68">
        <f t="shared" si="107"/>
        <v>38800</v>
      </c>
      <c r="P934" s="68">
        <v>38325</v>
      </c>
      <c r="Q934" s="66">
        <v>463</v>
      </c>
      <c r="R934" s="66">
        <v>0</v>
      </c>
      <c r="S934" s="123">
        <v>12</v>
      </c>
      <c r="T934" s="10">
        <f t="shared" si="104"/>
        <v>48</v>
      </c>
      <c r="U934" s="68">
        <f>Table46[[#This Row],[NET WT KGS]]-Table46[[#This Row],[Refraction]]</f>
        <v>38277</v>
      </c>
      <c r="V934" s="69">
        <v>470</v>
      </c>
      <c r="W934" s="69">
        <f>Table46[[#This Row],[PRICE]]*Table46[[#This Row],[PAID WT]]</f>
        <v>17990190</v>
      </c>
      <c r="X934" s="70">
        <v>8</v>
      </c>
      <c r="Y934" s="71">
        <v>167</v>
      </c>
      <c r="Z934" s="70">
        <v>42.32</v>
      </c>
      <c r="AA934" s="72"/>
      <c r="AB934" s="66" t="s">
        <v>284</v>
      </c>
      <c r="AC934" s="73"/>
      <c r="AD934" s="85"/>
      <c r="AE934" s="18">
        <f>Table46[[#This Row],[MOIS.]]*Table46[[#This Row],[NET WT KGS]]</f>
        <v>306600</v>
      </c>
      <c r="AF934" s="18">
        <f>Table46[[#This Row],[KOR]]*Table46[[#This Row],[NET WT KGS]]</f>
        <v>1621914</v>
      </c>
      <c r="AG934">
        <f>Table46[[#This Row],[NET WT KGS]]*Table46[[#This Row],[NUT COUNT]]</f>
        <v>6400275</v>
      </c>
    </row>
    <row r="935" spans="1:33" x14ac:dyDescent="0.35">
      <c r="A935" s="32">
        <f t="shared" si="105"/>
        <v>933</v>
      </c>
      <c r="B935" s="65">
        <v>46144</v>
      </c>
      <c r="C935" s="65">
        <v>46146</v>
      </c>
      <c r="D935" s="66" t="s">
        <v>38</v>
      </c>
      <c r="E935" s="66" t="s">
        <v>39</v>
      </c>
      <c r="F935" s="67" t="s">
        <v>62</v>
      </c>
      <c r="G935" s="66"/>
      <c r="H935" s="116" t="s">
        <v>128</v>
      </c>
      <c r="I935" s="67" t="str">
        <f>VLOOKUP(Table46[[#This Row],[SUPPLIERS NAME]],[1]AGING!X$3:Y$80,2,)</f>
        <v>LBA-002-SCA</v>
      </c>
      <c r="J935" s="66" t="s">
        <v>917</v>
      </c>
      <c r="K935" s="33" t="s">
        <v>131</v>
      </c>
      <c r="L935" s="66">
        <v>419</v>
      </c>
      <c r="M935" s="10">
        <v>78901</v>
      </c>
      <c r="N935" s="66">
        <v>693</v>
      </c>
      <c r="O935" s="68">
        <v>57010</v>
      </c>
      <c r="P935" s="51">
        <f>Table46[[#This Row],[GROSS WT KGS]]-Table46[[#This Row],[SACS]]</f>
        <v>56317</v>
      </c>
      <c r="Q935" s="66">
        <v>673</v>
      </c>
      <c r="R935" s="66">
        <v>20</v>
      </c>
      <c r="S935" s="123">
        <v>0</v>
      </c>
      <c r="T935" s="10">
        <f t="shared" si="104"/>
        <v>160</v>
      </c>
      <c r="U935" s="68">
        <f>Table46[[#This Row],[NET WT KGS]]-Table46[[#This Row],[Refraction]]</f>
        <v>56157</v>
      </c>
      <c r="V935" s="69">
        <v>465</v>
      </c>
      <c r="W935" s="69">
        <f>Table46[[#This Row],[PRICE]]*Table46[[#This Row],[PAID WT]]</f>
        <v>26113005</v>
      </c>
      <c r="X935" s="70">
        <v>10.5</v>
      </c>
      <c r="Y935" s="71">
        <v>172</v>
      </c>
      <c r="Z935" s="70">
        <v>44.35</v>
      </c>
      <c r="AA935" s="72"/>
      <c r="AB935" s="66" t="s">
        <v>132</v>
      </c>
      <c r="AC935" s="73"/>
      <c r="AD935" s="85"/>
      <c r="AE935" s="18">
        <f>Table46[[#This Row],[MOIS.]]*Table46[[#This Row],[NET WT KGS]]</f>
        <v>591328.5</v>
      </c>
      <c r="AF935" s="18">
        <f>Table46[[#This Row],[KOR]]*Table46[[#This Row],[NET WT KGS]]</f>
        <v>2497658.9500000002</v>
      </c>
      <c r="AG935">
        <f>Table46[[#This Row],[NET WT KGS]]*Table46[[#This Row],[NUT COUNT]]</f>
        <v>9686524</v>
      </c>
    </row>
    <row r="936" spans="1:33" x14ac:dyDescent="0.35">
      <c r="A936" s="32">
        <f t="shared" si="105"/>
        <v>934</v>
      </c>
      <c r="B936" s="20">
        <v>46142</v>
      </c>
      <c r="C936" s="65">
        <v>46146</v>
      </c>
      <c r="D936" s="66" t="s">
        <v>38</v>
      </c>
      <c r="E936" s="66" t="s">
        <v>39</v>
      </c>
      <c r="F936" s="67" t="s">
        <v>62</v>
      </c>
      <c r="G936" s="66"/>
      <c r="H936" s="66" t="s">
        <v>684</v>
      </c>
      <c r="I936" s="67" t="str">
        <f>VLOOKUP(Table46[[#This Row],[SUPPLIERS NAME]],[1]AGING!X$3:Y$80,2,)</f>
        <v>LBA-021-SAN</v>
      </c>
      <c r="J936" s="66" t="s">
        <v>995</v>
      </c>
      <c r="K936" s="66" t="s">
        <v>996</v>
      </c>
      <c r="L936" s="66">
        <v>420</v>
      </c>
      <c r="M936" s="66">
        <v>89244</v>
      </c>
      <c r="N936" s="66">
        <v>593</v>
      </c>
      <c r="O936" s="68">
        <v>46470</v>
      </c>
      <c r="P936" s="51">
        <f>Table46[[#This Row],[GROSS WT KGS]]-Table46[[#This Row],[SACS]]</f>
        <v>45877</v>
      </c>
      <c r="Q936" s="66">
        <v>563</v>
      </c>
      <c r="R936" s="66">
        <v>30</v>
      </c>
      <c r="S936" s="123">
        <v>0</v>
      </c>
      <c r="T936" s="10">
        <f t="shared" si="104"/>
        <v>240</v>
      </c>
      <c r="U936" s="68">
        <f>Table46[[#This Row],[NET WT KGS]]-Table46[[#This Row],[Refraction]]</f>
        <v>45637</v>
      </c>
      <c r="V936" s="69">
        <v>495</v>
      </c>
      <c r="W936" s="69">
        <f>Table46[[#This Row],[PRICE]]*Table46[[#This Row],[PAID WT]]</f>
        <v>22590315</v>
      </c>
      <c r="X936" s="70">
        <v>13.2</v>
      </c>
      <c r="Y936" s="71">
        <v>159</v>
      </c>
      <c r="Z936" s="70">
        <v>43.29</v>
      </c>
      <c r="AA936" s="72"/>
      <c r="AB936" s="66" t="s">
        <v>58</v>
      </c>
      <c r="AC936" s="73" t="s">
        <v>720</v>
      </c>
      <c r="AD936" s="85"/>
      <c r="AE936" s="18">
        <f>Table46[[#This Row],[MOIS.]]*Table46[[#This Row],[NET WT KGS]]</f>
        <v>605576.4</v>
      </c>
      <c r="AF936" s="18">
        <f>Table46[[#This Row],[KOR]]*Table46[[#This Row],[NET WT KGS]]</f>
        <v>1986015.33</v>
      </c>
      <c r="AG936">
        <f>Table46[[#This Row],[NET WT KGS]]*Table46[[#This Row],[NUT COUNT]]</f>
        <v>7294443</v>
      </c>
    </row>
    <row r="937" spans="1:33" x14ac:dyDescent="0.35">
      <c r="A937" s="32">
        <f t="shared" si="105"/>
        <v>935</v>
      </c>
      <c r="B937" s="20">
        <v>46142</v>
      </c>
      <c r="C937" s="65">
        <v>46146</v>
      </c>
      <c r="D937" s="66" t="s">
        <v>38</v>
      </c>
      <c r="E937" s="66" t="s">
        <v>39</v>
      </c>
      <c r="F937" s="67" t="s">
        <v>62</v>
      </c>
      <c r="G937" s="66"/>
      <c r="H937" s="10" t="s">
        <v>684</v>
      </c>
      <c r="I937" s="67" t="str">
        <f>VLOOKUP(Table46[[#This Row],[SUPPLIERS NAME]],[1]AGING!X$3:Y$80,2,)</f>
        <v>LBA-021-SAN</v>
      </c>
      <c r="J937" s="10" t="s">
        <v>719</v>
      </c>
      <c r="K937" s="66" t="s">
        <v>996</v>
      </c>
      <c r="L937" s="10">
        <v>421</v>
      </c>
      <c r="M937" s="66">
        <v>89245</v>
      </c>
      <c r="N937" s="10">
        <v>616</v>
      </c>
      <c r="O937" s="22">
        <v>49160</v>
      </c>
      <c r="P937" s="51">
        <f>Table46[[#This Row],[GROSS WT KGS]]-Table46[[#This Row],[SACS]]</f>
        <v>48544</v>
      </c>
      <c r="Q937" s="10">
        <v>606</v>
      </c>
      <c r="R937" s="66">
        <v>10</v>
      </c>
      <c r="S937" s="122">
        <v>0</v>
      </c>
      <c r="T937" s="10">
        <f t="shared" si="104"/>
        <v>80</v>
      </c>
      <c r="U937" s="22">
        <f>Table46[[#This Row],[NET WT KGS]]-Table46[[#This Row],[Refraction]]</f>
        <v>48464</v>
      </c>
      <c r="V937" s="69">
        <v>495</v>
      </c>
      <c r="W937" s="23">
        <f>Table46[[#This Row],[PRICE]]*Table46[[#This Row],[PAID WT]]</f>
        <v>23989680</v>
      </c>
      <c r="X937" s="24">
        <v>11.4</v>
      </c>
      <c r="Y937" s="25">
        <v>162</v>
      </c>
      <c r="Z937" s="24">
        <v>42.06</v>
      </c>
      <c r="AA937" s="26"/>
      <c r="AB937" s="10" t="s">
        <v>46</v>
      </c>
      <c r="AC937" s="73" t="s">
        <v>720</v>
      </c>
      <c r="AD937" s="28"/>
      <c r="AE937" s="18">
        <f>Table46[[#This Row],[MOIS.]]*Table46[[#This Row],[NET WT KGS]]</f>
        <v>553401.59999999998</v>
      </c>
      <c r="AF937" s="18">
        <f>Table46[[#This Row],[KOR]]*Table46[[#This Row],[NET WT KGS]]</f>
        <v>2041760.6400000001</v>
      </c>
      <c r="AG937">
        <f>Table46[[#This Row],[NET WT KGS]]*Table46[[#This Row],[NUT COUNT]]</f>
        <v>7864128</v>
      </c>
    </row>
    <row r="938" spans="1:33" x14ac:dyDescent="0.35">
      <c r="A938" s="32">
        <f t="shared" si="105"/>
        <v>936</v>
      </c>
      <c r="B938" s="65">
        <v>46144</v>
      </c>
      <c r="C938" s="65">
        <v>46146</v>
      </c>
      <c r="D938" s="66" t="s">
        <v>38</v>
      </c>
      <c r="E938" s="66" t="s">
        <v>258</v>
      </c>
      <c r="F938" s="67" t="s">
        <v>62</v>
      </c>
      <c r="G938" s="146"/>
      <c r="H938" s="67" t="s">
        <v>392</v>
      </c>
      <c r="I938" s="67" t="str">
        <f>VLOOKUP(Table46[[#This Row],[SUPPLIERS NAME]],[1]AGING!X$3:Y$80,2,)</f>
        <v>DIS-026-MOA</v>
      </c>
      <c r="J938" s="66" t="s">
        <v>997</v>
      </c>
      <c r="K938" s="21" t="s">
        <v>694</v>
      </c>
      <c r="L938" s="66">
        <v>422</v>
      </c>
      <c r="M938" s="146" t="s">
        <v>998</v>
      </c>
      <c r="N938" s="66">
        <v>487</v>
      </c>
      <c r="O938" s="68">
        <v>40230</v>
      </c>
      <c r="P938" s="51">
        <f>Table46[[#This Row],[GROSS WT KGS]]-Table46[[#This Row],[SACS]]</f>
        <v>39743</v>
      </c>
      <c r="Q938" s="141">
        <f>Table46[[#This Row],[SACS]]-Table46[[#This Row],[Sacs déchirés]]</f>
        <v>462</v>
      </c>
      <c r="R938" s="66">
        <v>0</v>
      </c>
      <c r="S938" s="123">
        <v>25</v>
      </c>
      <c r="T938" s="10">
        <f t="shared" si="104"/>
        <v>100</v>
      </c>
      <c r="U938" s="68">
        <f>Table46[[#This Row],[NET WT KGS]]-Table46[[#This Row],[Refraction]]</f>
        <v>39643</v>
      </c>
      <c r="V938" s="69">
        <v>485</v>
      </c>
      <c r="W938" s="69">
        <f>Table46[[#This Row],[PRICE]]*Table46[[#This Row],[PAID WT]]</f>
        <v>19226855</v>
      </c>
      <c r="X938" s="70">
        <v>8.5</v>
      </c>
      <c r="Y938" s="71">
        <v>191</v>
      </c>
      <c r="Z938" s="70">
        <v>42.5</v>
      </c>
      <c r="AA938" s="72"/>
      <c r="AB938" s="66" t="s">
        <v>607</v>
      </c>
      <c r="AC938" s="73"/>
      <c r="AD938" s="85"/>
      <c r="AE938" s="18">
        <f>Table46[[#This Row],[MOIS.]]*Table46[[#This Row],[NET WT KGS]]</f>
        <v>337815.5</v>
      </c>
      <c r="AF938" s="18">
        <f>Table46[[#This Row],[KOR]]*Table46[[#This Row],[NET WT KGS]]</f>
        <v>1689077.5</v>
      </c>
      <c r="AG938">
        <f>Table46[[#This Row],[NET WT KGS]]*Table46[[#This Row],[NUT COUNT]]</f>
        <v>7590913</v>
      </c>
    </row>
    <row r="939" spans="1:33" x14ac:dyDescent="0.35">
      <c r="A939" s="32">
        <f t="shared" si="105"/>
        <v>937</v>
      </c>
      <c r="B939" s="65">
        <v>46144</v>
      </c>
      <c r="C939" s="65">
        <v>46146</v>
      </c>
      <c r="D939" s="66" t="s">
        <v>38</v>
      </c>
      <c r="E939" s="66" t="s">
        <v>258</v>
      </c>
      <c r="F939" s="67" t="s">
        <v>62</v>
      </c>
      <c r="G939" s="66"/>
      <c r="H939" s="66" t="s">
        <v>821</v>
      </c>
      <c r="I939" s="67" t="str">
        <f>VLOOKUP(Table46[[#This Row],[SUPPLIERS NAME]],[1]AGING!X$3:Y$80,2,)</f>
        <v>DIS-035-SNC</v>
      </c>
      <c r="J939" s="66" t="s">
        <v>999</v>
      </c>
      <c r="K939" s="107" t="s">
        <v>823</v>
      </c>
      <c r="L939" s="66">
        <v>423</v>
      </c>
      <c r="M939" s="10">
        <v>36093</v>
      </c>
      <c r="N939" s="66">
        <v>579</v>
      </c>
      <c r="O939" s="68">
        <v>50440</v>
      </c>
      <c r="P939" s="51">
        <f>Table46[[#This Row],[GROSS WT KGS]]-Table46[[#This Row],[SACS]]</f>
        <v>49861</v>
      </c>
      <c r="Q939" s="66">
        <v>529</v>
      </c>
      <c r="R939" s="66">
        <v>50</v>
      </c>
      <c r="S939" s="123">
        <v>0</v>
      </c>
      <c r="T939" s="10">
        <f t="shared" si="104"/>
        <v>400</v>
      </c>
      <c r="U939" s="68">
        <f>Table46[[#This Row],[NET WT KGS]]-Table46[[#This Row],[Refraction]]</f>
        <v>49461</v>
      </c>
      <c r="V939" s="69">
        <v>465</v>
      </c>
      <c r="W939" s="69">
        <f>Table46[[#This Row],[PRICE]]*Table46[[#This Row],[PAID WT]]</f>
        <v>22999365</v>
      </c>
      <c r="X939" s="70">
        <v>14.1</v>
      </c>
      <c r="Y939" s="71">
        <v>172</v>
      </c>
      <c r="Z939" s="70">
        <v>44.7</v>
      </c>
      <c r="AA939" s="72"/>
      <c r="AB939" s="66" t="s">
        <v>499</v>
      </c>
      <c r="AC939" s="73"/>
      <c r="AD939" s="85"/>
      <c r="AE939" s="18">
        <f>Table46[[#This Row],[MOIS.]]*Table46[[#This Row],[NET WT KGS]]</f>
        <v>703040.1</v>
      </c>
      <c r="AF939" s="18">
        <f>Table46[[#This Row],[KOR]]*Table46[[#This Row],[NET WT KGS]]</f>
        <v>2228786.7000000002</v>
      </c>
      <c r="AG939">
        <f>Table46[[#This Row],[NET WT KGS]]*Table46[[#This Row],[NUT COUNT]]</f>
        <v>8576092</v>
      </c>
    </row>
    <row r="940" spans="1:33" x14ac:dyDescent="0.35">
      <c r="A940" s="32">
        <f t="shared" si="105"/>
        <v>938</v>
      </c>
      <c r="B940" s="65">
        <v>46145</v>
      </c>
      <c r="C940" s="65">
        <v>46146</v>
      </c>
      <c r="D940" s="66" t="s">
        <v>38</v>
      </c>
      <c r="E940" s="10" t="s">
        <v>39</v>
      </c>
      <c r="F940" s="50" t="s">
        <v>62</v>
      </c>
      <c r="G940" s="10"/>
      <c r="H940" s="10" t="s">
        <v>136</v>
      </c>
      <c r="I940" s="67" t="str">
        <f>VLOOKUP(Table46[[#This Row],[SUPPLIERS NAME]],[1]AGING!X$3:Y$80,2,)</f>
        <v>LBA-004-WEB</v>
      </c>
      <c r="J940" s="10" t="s">
        <v>1000</v>
      </c>
      <c r="K940" s="21" t="s">
        <v>139</v>
      </c>
      <c r="L940" s="10">
        <v>424</v>
      </c>
      <c r="M940" s="10">
        <v>83399</v>
      </c>
      <c r="N940" s="10">
        <v>500</v>
      </c>
      <c r="O940" s="22">
        <v>42260</v>
      </c>
      <c r="P940" s="51">
        <f>Table46[[#This Row],[GROSS WT KGS]]-Table46[[#This Row],[SACS]]</f>
        <v>41760</v>
      </c>
      <c r="Q940" s="10">
        <v>450</v>
      </c>
      <c r="R940" s="66">
        <v>50</v>
      </c>
      <c r="S940" s="122">
        <v>0</v>
      </c>
      <c r="T940" s="10">
        <f t="shared" si="104"/>
        <v>400</v>
      </c>
      <c r="U940" s="22">
        <f>Table46[[#This Row],[NET WT KGS]]-Table46[[#This Row],[Refraction]]</f>
        <v>41360</v>
      </c>
      <c r="V940" s="69">
        <v>465</v>
      </c>
      <c r="W940" s="23">
        <f>Table46[[#This Row],[PRICE]]*Table46[[#This Row],[PAID WT]]</f>
        <v>19232400</v>
      </c>
      <c r="X940" s="24">
        <v>12.2</v>
      </c>
      <c r="Y940" s="25">
        <v>174</v>
      </c>
      <c r="Z940" s="24">
        <v>43.82</v>
      </c>
      <c r="AA940" s="26"/>
      <c r="AB940" s="10" t="s">
        <v>140</v>
      </c>
      <c r="AC940" s="27"/>
      <c r="AD940" s="28"/>
      <c r="AE940" s="18">
        <f>Table46[[#This Row],[MOIS.]]*Table46[[#This Row],[NET WT KGS]]</f>
        <v>509471.99999999994</v>
      </c>
      <c r="AF940" s="18">
        <f>Table46[[#This Row],[KOR]]*Table46[[#This Row],[NET WT KGS]]</f>
        <v>1829923.2</v>
      </c>
      <c r="AG940">
        <f>Table46[[#This Row],[NET WT KGS]]*Table46[[#This Row],[NUT COUNT]]</f>
        <v>7266240</v>
      </c>
    </row>
    <row r="941" spans="1:33" x14ac:dyDescent="0.35">
      <c r="A941" s="32">
        <f t="shared" si="105"/>
        <v>939</v>
      </c>
      <c r="B941" s="91">
        <v>46146</v>
      </c>
      <c r="C941" s="91">
        <f>Table46[[#This Row],[DATE OF ARRIVAL]]</f>
        <v>46146</v>
      </c>
      <c r="D941" s="74"/>
      <c r="E941" s="74"/>
      <c r="F941" s="74" t="s">
        <v>40</v>
      </c>
      <c r="G941" s="74"/>
      <c r="H941" s="74" t="s">
        <v>123</v>
      </c>
      <c r="I941" s="74" t="s">
        <v>124</v>
      </c>
      <c r="J941" s="74" t="s">
        <v>1001</v>
      </c>
      <c r="K941" s="74"/>
      <c r="L941" s="74"/>
      <c r="M941" s="74"/>
      <c r="N941" s="74"/>
      <c r="O941" s="79"/>
      <c r="P941" s="79"/>
      <c r="Q941" s="74"/>
      <c r="R941" s="74"/>
      <c r="S941" s="143"/>
      <c r="T941" s="36"/>
      <c r="U941" s="79"/>
      <c r="V941" s="81"/>
      <c r="W941" s="81"/>
      <c r="X941" s="82">
        <v>7.1</v>
      </c>
      <c r="Y941" s="83">
        <v>194</v>
      </c>
      <c r="Z941" s="82">
        <v>38.09592</v>
      </c>
      <c r="AA941" s="84"/>
      <c r="AB941" s="36" t="s">
        <v>644</v>
      </c>
      <c r="AC941" s="92" t="s">
        <v>70</v>
      </c>
      <c r="AD941" s="85"/>
      <c r="AE941" s="18"/>
      <c r="AF941" s="18"/>
    </row>
    <row r="942" spans="1:33" x14ac:dyDescent="0.35">
      <c r="A942" s="32">
        <f t="shared" si="105"/>
        <v>940</v>
      </c>
      <c r="B942" s="91">
        <v>46146</v>
      </c>
      <c r="C942" s="91">
        <f>Table46[[#This Row],[DATE OF ARRIVAL]]</f>
        <v>46146</v>
      </c>
      <c r="D942" s="74"/>
      <c r="E942" s="74"/>
      <c r="F942" s="74" t="s">
        <v>40</v>
      </c>
      <c r="G942" s="74"/>
      <c r="H942" s="74" t="s">
        <v>123</v>
      </c>
      <c r="I942" s="74" t="s">
        <v>124</v>
      </c>
      <c r="J942" s="74" t="s">
        <v>1002</v>
      </c>
      <c r="K942" s="74"/>
      <c r="L942" s="74"/>
      <c r="M942" s="74"/>
      <c r="N942" s="74"/>
      <c r="O942" s="79"/>
      <c r="P942" s="79"/>
      <c r="Q942" s="74"/>
      <c r="R942" s="74"/>
      <c r="S942" s="143"/>
      <c r="T942" s="36"/>
      <c r="U942" s="79"/>
      <c r="V942" s="81"/>
      <c r="W942" s="81"/>
      <c r="X942" s="82">
        <v>9.1999999999999993</v>
      </c>
      <c r="Y942" s="83">
        <v>175</v>
      </c>
      <c r="Z942" s="82">
        <v>40.212359999999997</v>
      </c>
      <c r="AA942" s="84"/>
      <c r="AB942" s="74" t="s">
        <v>284</v>
      </c>
      <c r="AC942" s="92" t="s">
        <v>70</v>
      </c>
      <c r="AD942" s="85"/>
      <c r="AE942" s="18"/>
      <c r="AF942" s="18"/>
    </row>
    <row r="943" spans="1:33" x14ac:dyDescent="0.35">
      <c r="A943" s="32">
        <f t="shared" si="105"/>
        <v>941</v>
      </c>
      <c r="B943" s="91">
        <v>46146</v>
      </c>
      <c r="C943" s="91">
        <f>Table46[[#This Row],[DATE OF ARRIVAL]]</f>
        <v>46146</v>
      </c>
      <c r="D943" s="74"/>
      <c r="E943" s="74"/>
      <c r="F943" s="74" t="s">
        <v>40</v>
      </c>
      <c r="G943" s="74"/>
      <c r="H943" s="74" t="s">
        <v>338</v>
      </c>
      <c r="I943" s="74" t="s">
        <v>317</v>
      </c>
      <c r="J943" s="74" t="s">
        <v>1003</v>
      </c>
      <c r="K943" s="74"/>
      <c r="L943" s="74"/>
      <c r="M943" s="74"/>
      <c r="N943" s="74"/>
      <c r="O943" s="79"/>
      <c r="P943" s="79"/>
      <c r="Q943" s="74"/>
      <c r="R943" s="74"/>
      <c r="S943" s="143"/>
      <c r="T943" s="36"/>
      <c r="U943" s="79"/>
      <c r="V943" s="81"/>
      <c r="W943" s="81"/>
      <c r="X943" s="82">
        <v>17.8</v>
      </c>
      <c r="Y943" s="83">
        <v>157</v>
      </c>
      <c r="Z943" s="82">
        <v>38.97777</v>
      </c>
      <c r="AA943" s="84"/>
      <c r="AB943" s="74" t="s">
        <v>171</v>
      </c>
      <c r="AC943" s="92" t="s">
        <v>70</v>
      </c>
      <c r="AD943" s="85"/>
      <c r="AE943" s="18"/>
      <c r="AF943" s="18"/>
    </row>
    <row r="944" spans="1:33" x14ac:dyDescent="0.35">
      <c r="A944" s="32">
        <f t="shared" si="105"/>
        <v>942</v>
      </c>
      <c r="B944" s="91">
        <v>46146</v>
      </c>
      <c r="C944" s="91">
        <f>Table46[[#This Row],[DATE OF ARRIVAL]]</f>
        <v>46146</v>
      </c>
      <c r="D944" s="74"/>
      <c r="E944" s="74"/>
      <c r="F944" s="74" t="s">
        <v>40</v>
      </c>
      <c r="G944" s="74"/>
      <c r="H944" s="74" t="s">
        <v>154</v>
      </c>
      <c r="I944" s="74" t="s">
        <v>155</v>
      </c>
      <c r="J944" s="74" t="s">
        <v>1004</v>
      </c>
      <c r="K944" s="74"/>
      <c r="L944" s="74"/>
      <c r="M944" s="74"/>
      <c r="N944" s="74"/>
      <c r="O944" s="79"/>
      <c r="P944" s="79"/>
      <c r="Q944" s="74"/>
      <c r="R944" s="74"/>
      <c r="S944" s="143"/>
      <c r="T944" s="36"/>
      <c r="U944" s="79"/>
      <c r="V944" s="81"/>
      <c r="W944" s="81"/>
      <c r="X944" s="82">
        <v>12.1</v>
      </c>
      <c r="Y944" s="83">
        <v>167</v>
      </c>
      <c r="Z944" s="82">
        <v>40.035989999999998</v>
      </c>
      <c r="AA944" s="84"/>
      <c r="AB944" s="74" t="s">
        <v>40</v>
      </c>
      <c r="AC944" s="92" t="s">
        <v>70</v>
      </c>
      <c r="AD944" s="85"/>
      <c r="AE944" s="18"/>
      <c r="AF944" s="18"/>
    </row>
    <row r="945" spans="1:33" x14ac:dyDescent="0.35">
      <c r="A945" s="32">
        <f t="shared" si="105"/>
        <v>943</v>
      </c>
      <c r="B945" s="91">
        <v>46146</v>
      </c>
      <c r="C945" s="91">
        <f>Table46[[#This Row],[DATE OF ARRIVAL]]</f>
        <v>46146</v>
      </c>
      <c r="D945" s="74"/>
      <c r="E945" s="74"/>
      <c r="F945" s="74" t="s">
        <v>40</v>
      </c>
      <c r="G945" s="74"/>
      <c r="H945" s="74" t="s">
        <v>280</v>
      </c>
      <c r="I945" s="74" t="s">
        <v>281</v>
      </c>
      <c r="J945" s="74" t="s">
        <v>1005</v>
      </c>
      <c r="K945" s="74"/>
      <c r="L945" s="74"/>
      <c r="M945" s="74"/>
      <c r="N945" s="74"/>
      <c r="O945" s="79"/>
      <c r="P945" s="79"/>
      <c r="Q945" s="74"/>
      <c r="R945" s="74"/>
      <c r="S945" s="143"/>
      <c r="T945" s="36"/>
      <c r="U945" s="79"/>
      <c r="V945" s="81"/>
      <c r="W945" s="81"/>
      <c r="X945" s="82">
        <v>11.5</v>
      </c>
      <c r="Y945" s="83">
        <v>170</v>
      </c>
      <c r="Z945" s="82">
        <v>40.035989999999998</v>
      </c>
      <c r="AA945" s="84"/>
      <c r="AB945" s="74" t="s">
        <v>284</v>
      </c>
      <c r="AC945" s="92" t="s">
        <v>70</v>
      </c>
      <c r="AD945" s="85"/>
      <c r="AE945" s="18"/>
      <c r="AF945" s="18"/>
    </row>
    <row r="946" spans="1:33" x14ac:dyDescent="0.35">
      <c r="A946" s="32">
        <f t="shared" si="105"/>
        <v>944</v>
      </c>
      <c r="B946" s="65">
        <v>46146</v>
      </c>
      <c r="C946" s="65">
        <v>46147</v>
      </c>
      <c r="D946" s="66" t="s">
        <v>38</v>
      </c>
      <c r="E946" s="66" t="s">
        <v>39</v>
      </c>
      <c r="F946" s="67" t="s">
        <v>40</v>
      </c>
      <c r="G946" s="66" t="s">
        <v>350</v>
      </c>
      <c r="H946" s="67" t="s">
        <v>123</v>
      </c>
      <c r="I946" s="67" t="str">
        <f>VLOOKUP(Table46[[#This Row],[SUPPLIERS NAME]],[1]AGING!X$3:Y$80,2,)</f>
        <v>LBA-011-ASR</v>
      </c>
      <c r="J946" s="66" t="s">
        <v>652</v>
      </c>
      <c r="K946" s="21" t="s">
        <v>161</v>
      </c>
      <c r="L946" s="66">
        <v>303</v>
      </c>
      <c r="M946" s="10">
        <v>32069</v>
      </c>
      <c r="N946" s="66">
        <v>584</v>
      </c>
      <c r="O946" s="68">
        <f>P946+N946</f>
        <v>48960</v>
      </c>
      <c r="P946" s="68">
        <v>48376</v>
      </c>
      <c r="Q946" s="66">
        <v>569</v>
      </c>
      <c r="R946" s="66">
        <v>0</v>
      </c>
      <c r="S946" s="123">
        <v>15</v>
      </c>
      <c r="T946" s="10">
        <f t="shared" si="104"/>
        <v>60</v>
      </c>
      <c r="U946" s="68">
        <f>Table46[[#This Row],[NET WT KGS]]-Table46[[#This Row],[Refraction]]</f>
        <v>48316</v>
      </c>
      <c r="V946" s="69">
        <v>470</v>
      </c>
      <c r="W946" s="69">
        <f>Table46[[#This Row],[PRICE]]*Table46[[#This Row],[PAID WT]]</f>
        <v>22708520</v>
      </c>
      <c r="X946" s="70">
        <v>10.6</v>
      </c>
      <c r="Y946" s="71">
        <v>173</v>
      </c>
      <c r="Z946" s="70">
        <v>41.97</v>
      </c>
      <c r="AA946" s="72"/>
      <c r="AB946" s="66" t="s">
        <v>358</v>
      </c>
      <c r="AC946" s="73"/>
      <c r="AD946" s="85"/>
      <c r="AE946" s="18">
        <f>Table46[[#This Row],[MOIS.]]*Table46[[#This Row],[NET WT KGS]]</f>
        <v>512785.6</v>
      </c>
      <c r="AF946" s="18">
        <f>Table46[[#This Row],[KOR]]*Table46[[#This Row],[NET WT KGS]]</f>
        <v>2030340.72</v>
      </c>
      <c r="AG946">
        <f>Table46[[#This Row],[NET WT KGS]]*Table46[[#This Row],[NUT COUNT]]</f>
        <v>8369048</v>
      </c>
    </row>
    <row r="947" spans="1:33" x14ac:dyDescent="0.35">
      <c r="A947" s="32">
        <f t="shared" si="105"/>
        <v>945</v>
      </c>
      <c r="B947" s="65">
        <v>46146</v>
      </c>
      <c r="C947" s="65">
        <v>46147</v>
      </c>
      <c r="D947" s="66" t="s">
        <v>38</v>
      </c>
      <c r="E947" s="66" t="s">
        <v>39</v>
      </c>
      <c r="F947" s="67" t="s">
        <v>40</v>
      </c>
      <c r="G947" s="66" t="s">
        <v>350</v>
      </c>
      <c r="H947" s="67" t="s">
        <v>280</v>
      </c>
      <c r="I947" s="67" t="str">
        <f>VLOOKUP(Table46[[#This Row],[SUPPLIERS NAME]],[1]AGING!X$3:Y$80,2,)</f>
        <v>LBA-016-NOU</v>
      </c>
      <c r="J947" s="66" t="s">
        <v>619</v>
      </c>
      <c r="K947" s="21" t="s">
        <v>283</v>
      </c>
      <c r="L947" s="66">
        <v>304</v>
      </c>
      <c r="M947" s="10">
        <v>18783</v>
      </c>
      <c r="N947" s="66">
        <v>485</v>
      </c>
      <c r="O947" s="68">
        <f>P947+N947</f>
        <v>41820</v>
      </c>
      <c r="P947" s="68">
        <v>41335</v>
      </c>
      <c r="Q947" s="66">
        <v>475</v>
      </c>
      <c r="R947" s="66">
        <v>0</v>
      </c>
      <c r="S947" s="123">
        <v>10</v>
      </c>
      <c r="T947" s="10">
        <f t="shared" si="104"/>
        <v>40</v>
      </c>
      <c r="U947" s="68">
        <f>Table46[[#This Row],[NET WT KGS]]-Table46[[#This Row],[Refraction]]</f>
        <v>41295</v>
      </c>
      <c r="V947" s="69">
        <v>465</v>
      </c>
      <c r="W947" s="69">
        <f>Table46[[#This Row],[PRICE]]*Table46[[#This Row],[PAID WT]]</f>
        <v>19202175</v>
      </c>
      <c r="X947" s="70">
        <v>9.6</v>
      </c>
      <c r="Y947" s="71">
        <v>162</v>
      </c>
      <c r="Z947" s="70">
        <v>41.79</v>
      </c>
      <c r="AA947" s="72"/>
      <c r="AB947" s="66" t="s">
        <v>284</v>
      </c>
      <c r="AC947" s="73"/>
      <c r="AD947" s="85"/>
      <c r="AE947" s="18">
        <f>Table46[[#This Row],[MOIS.]]*Table46[[#This Row],[NET WT KGS]]</f>
        <v>396816</v>
      </c>
      <c r="AF947" s="18">
        <f>Table46[[#This Row],[KOR]]*Table46[[#This Row],[NET WT KGS]]</f>
        <v>1727389.65</v>
      </c>
      <c r="AG947">
        <f>Table46[[#This Row],[NET WT KGS]]*Table46[[#This Row],[NUT COUNT]]</f>
        <v>6696270</v>
      </c>
    </row>
    <row r="948" spans="1:33" x14ac:dyDescent="0.35">
      <c r="A948" s="32">
        <f t="shared" si="105"/>
        <v>946</v>
      </c>
      <c r="B948" s="65">
        <v>46146</v>
      </c>
      <c r="C948" s="65">
        <v>46147</v>
      </c>
      <c r="D948" s="66" t="s">
        <v>38</v>
      </c>
      <c r="E948" s="66" t="s">
        <v>39</v>
      </c>
      <c r="F948" s="67" t="s">
        <v>40</v>
      </c>
      <c r="G948" s="66" t="s">
        <v>350</v>
      </c>
      <c r="H948" s="66" t="s">
        <v>112</v>
      </c>
      <c r="I948" s="67" t="str">
        <f>VLOOKUP(Table46[[#This Row],[SUPPLIERS NAME]],[1]AGING!X$3:Y$80,2,)</f>
        <v>LBA-015-OUM</v>
      </c>
      <c r="J948" s="66" t="s">
        <v>1006</v>
      </c>
      <c r="K948" s="21" t="s">
        <v>115</v>
      </c>
      <c r="L948" s="66">
        <v>305</v>
      </c>
      <c r="M948" s="10">
        <v>31994</v>
      </c>
      <c r="N948" s="66">
        <v>587</v>
      </c>
      <c r="O948" s="68">
        <f>P948+N948</f>
        <v>49100</v>
      </c>
      <c r="P948" s="68">
        <v>48513</v>
      </c>
      <c r="Q948" s="66">
        <v>567</v>
      </c>
      <c r="R948" s="66">
        <v>20</v>
      </c>
      <c r="S948" s="123">
        <v>0</v>
      </c>
      <c r="T948" s="10">
        <f t="shared" si="104"/>
        <v>160</v>
      </c>
      <c r="U948" s="68">
        <f>Table46[[#This Row],[NET WT KGS]]-Table46[[#This Row],[Refraction]]</f>
        <v>48353</v>
      </c>
      <c r="V948" s="69">
        <v>465</v>
      </c>
      <c r="W948" s="69">
        <f>Table46[[#This Row],[PRICE]]*Table46[[#This Row],[PAID WT]]</f>
        <v>22484145</v>
      </c>
      <c r="X948" s="70">
        <v>11</v>
      </c>
      <c r="Y948" s="71">
        <v>181</v>
      </c>
      <c r="Z948" s="70">
        <v>42.15</v>
      </c>
      <c r="AA948" s="72"/>
      <c r="AB948" s="66" t="s">
        <v>171</v>
      </c>
      <c r="AC948" s="73"/>
      <c r="AD948" s="85"/>
      <c r="AE948" s="18">
        <f>Table46[[#This Row],[MOIS.]]*Table46[[#This Row],[NET WT KGS]]</f>
        <v>533643</v>
      </c>
      <c r="AF948" s="18">
        <f>Table46[[#This Row],[KOR]]*Table46[[#This Row],[NET WT KGS]]</f>
        <v>2044822.95</v>
      </c>
      <c r="AG948">
        <f>Table46[[#This Row],[NET WT KGS]]*Table46[[#This Row],[NUT COUNT]]</f>
        <v>8780853</v>
      </c>
    </row>
    <row r="949" spans="1:33" x14ac:dyDescent="0.35">
      <c r="A949" s="32">
        <f t="shared" si="105"/>
        <v>947</v>
      </c>
      <c r="B949" s="65">
        <v>46146</v>
      </c>
      <c r="C949" s="65">
        <v>46147</v>
      </c>
      <c r="D949" s="66" t="s">
        <v>38</v>
      </c>
      <c r="E949" s="66" t="s">
        <v>39</v>
      </c>
      <c r="F949" s="67" t="s">
        <v>40</v>
      </c>
      <c r="G949" s="66" t="s">
        <v>350</v>
      </c>
      <c r="H949" s="66" t="s">
        <v>42</v>
      </c>
      <c r="I949" s="67" t="str">
        <f>VLOOKUP(Table46[[#This Row],[SUPPLIERS NAME]],[1]AGING!X$3:Y$80,2,)</f>
        <v>LBA-006-IMA</v>
      </c>
      <c r="J949" s="66" t="s">
        <v>522</v>
      </c>
      <c r="K949" s="21" t="s">
        <v>45</v>
      </c>
      <c r="L949" s="66">
        <v>306</v>
      </c>
      <c r="M949" s="10">
        <v>13117</v>
      </c>
      <c r="N949" s="66">
        <v>576</v>
      </c>
      <c r="O949" s="68">
        <f>P949+N949</f>
        <v>45540</v>
      </c>
      <c r="P949" s="68">
        <v>44964</v>
      </c>
      <c r="Q949" s="66">
        <v>568</v>
      </c>
      <c r="R949" s="66">
        <v>0</v>
      </c>
      <c r="S949" s="123">
        <v>8</v>
      </c>
      <c r="T949" s="10">
        <f t="shared" si="104"/>
        <v>32</v>
      </c>
      <c r="U949" s="68">
        <f>Table46[[#This Row],[NET WT KGS]]-Table46[[#This Row],[Refraction]]</f>
        <v>44932</v>
      </c>
      <c r="V949" s="69">
        <v>460</v>
      </c>
      <c r="W949" s="69">
        <f>Table46[[#This Row],[PRICE]]*Table46[[#This Row],[PAID WT]]</f>
        <v>20668720</v>
      </c>
      <c r="X949" s="70">
        <v>8</v>
      </c>
      <c r="Y949" s="71">
        <v>177</v>
      </c>
      <c r="Z949" s="70">
        <v>41.62</v>
      </c>
      <c r="AA949" s="72"/>
      <c r="AB949" s="66" t="s">
        <v>40</v>
      </c>
      <c r="AC949" s="73"/>
      <c r="AD949" s="85"/>
      <c r="AE949" s="18">
        <f>Table46[[#This Row],[MOIS.]]*Table46[[#This Row],[NET WT KGS]]</f>
        <v>359712</v>
      </c>
      <c r="AF949" s="18">
        <f>Table46[[#This Row],[KOR]]*Table46[[#This Row],[NET WT KGS]]</f>
        <v>1871401.68</v>
      </c>
      <c r="AG949">
        <f>Table46[[#This Row],[NET WT KGS]]*Table46[[#This Row],[NUT COUNT]]</f>
        <v>7958628</v>
      </c>
    </row>
    <row r="950" spans="1:33" x14ac:dyDescent="0.35">
      <c r="A950" s="32">
        <f t="shared" si="105"/>
        <v>948</v>
      </c>
      <c r="B950" s="65">
        <v>46145</v>
      </c>
      <c r="C950" s="65">
        <v>46147</v>
      </c>
      <c r="D950" s="66" t="s">
        <v>38</v>
      </c>
      <c r="E950" s="66" t="s">
        <v>39</v>
      </c>
      <c r="F950" s="67" t="s">
        <v>62</v>
      </c>
      <c r="G950" s="66"/>
      <c r="H950" s="66" t="s">
        <v>136</v>
      </c>
      <c r="I950" s="67" t="str">
        <f>VLOOKUP(Table46[[#This Row],[SUPPLIERS NAME]],[1]AGING!X$3:Y$80,2,)</f>
        <v>LBA-004-WEB</v>
      </c>
      <c r="J950" s="66" t="s">
        <v>951</v>
      </c>
      <c r="K950" s="21" t="s">
        <v>1007</v>
      </c>
      <c r="L950" s="66">
        <v>427</v>
      </c>
      <c r="M950" s="66">
        <f>VLOOKUP(Table46[[#This Row],[REF.]],'[2]RCN INWARD FACTORY YAKRO 2026'!$F$4:$M$257,8,0)</f>
        <v>16</v>
      </c>
      <c r="N950" s="66">
        <v>522</v>
      </c>
      <c r="O950" s="68">
        <v>44340</v>
      </c>
      <c r="P950" s="51">
        <f>Table46[[#This Row],[GROSS WT KGS]]-Table46[[#This Row],[SACS]]</f>
        <v>43818</v>
      </c>
      <c r="Q950" s="66">
        <v>462</v>
      </c>
      <c r="R950" s="66">
        <v>60</v>
      </c>
      <c r="S950" s="123">
        <v>0</v>
      </c>
      <c r="T950" s="10">
        <f t="shared" si="104"/>
        <v>480</v>
      </c>
      <c r="U950" s="68">
        <f>Table46[[#This Row],[NET WT KGS]]-Table46[[#This Row],[Refraction]]</f>
        <v>43338</v>
      </c>
      <c r="V950" s="69">
        <v>465</v>
      </c>
      <c r="W950" s="69">
        <f>Table46[[#This Row],[PRICE]]*Table46[[#This Row],[PAID WT]]</f>
        <v>20152170</v>
      </c>
      <c r="X950" s="70">
        <v>12.1</v>
      </c>
      <c r="Y950" s="71">
        <v>178</v>
      </c>
      <c r="Z950" s="70">
        <v>42.59</v>
      </c>
      <c r="AA950" s="72"/>
      <c r="AB950" s="66" t="s">
        <v>1008</v>
      </c>
      <c r="AC950" s="73" t="s">
        <v>1009</v>
      </c>
      <c r="AD950" s="85"/>
      <c r="AE950" s="18">
        <f>Table46[[#This Row],[MOIS.]]*Table46[[#This Row],[NET WT KGS]]</f>
        <v>530197.79999999993</v>
      </c>
      <c r="AF950" s="18">
        <f>Table46[[#This Row],[KOR]]*Table46[[#This Row],[NET WT KGS]]</f>
        <v>1866208.62</v>
      </c>
      <c r="AG950">
        <f>Table46[[#This Row],[NET WT KGS]]*Table46[[#This Row],[NUT COUNT]]</f>
        <v>7799604</v>
      </c>
    </row>
    <row r="951" spans="1:33" x14ac:dyDescent="0.35">
      <c r="A951" s="32">
        <f t="shared" si="105"/>
        <v>949</v>
      </c>
      <c r="B951" s="65">
        <v>46144</v>
      </c>
      <c r="C951" s="65">
        <v>46147</v>
      </c>
      <c r="D951" s="66" t="s">
        <v>38</v>
      </c>
      <c r="E951" s="66" t="s">
        <v>39</v>
      </c>
      <c r="F951" s="67" t="s">
        <v>62</v>
      </c>
      <c r="G951" s="66"/>
      <c r="H951" s="66" t="s">
        <v>286</v>
      </c>
      <c r="I951" s="67" t="str">
        <f>VLOOKUP(Table46[[#This Row],[SUPPLIERS NAME]],[1]AGING!X$3:Y$80,2,)</f>
        <v>LBA-017-DPV</v>
      </c>
      <c r="J951" s="66" t="s">
        <v>794</v>
      </c>
      <c r="K951" s="21" t="s">
        <v>289</v>
      </c>
      <c r="L951" s="66">
        <v>425</v>
      </c>
      <c r="M951" s="10">
        <v>37590</v>
      </c>
      <c r="N951" s="66">
        <v>485</v>
      </c>
      <c r="O951" s="68">
        <v>45610</v>
      </c>
      <c r="P951" s="51">
        <f>Table46[[#This Row],[GROSS WT KGS]]-Table46[[#This Row],[SACS]]</f>
        <v>45125</v>
      </c>
      <c r="Q951" s="66">
        <v>445</v>
      </c>
      <c r="R951" s="66">
        <v>40</v>
      </c>
      <c r="S951" s="123">
        <v>0</v>
      </c>
      <c r="T951" s="10">
        <f t="shared" si="104"/>
        <v>320</v>
      </c>
      <c r="U951" s="68">
        <f>Table46[[#This Row],[NET WT KGS]]-Table46[[#This Row],[Refraction]]</f>
        <v>44805</v>
      </c>
      <c r="V951" s="69">
        <v>465</v>
      </c>
      <c r="W951" s="69">
        <f>Table46[[#This Row],[PRICE]]*Table46[[#This Row],[PAID WT]]</f>
        <v>20834325</v>
      </c>
      <c r="X951" s="70">
        <v>12.7</v>
      </c>
      <c r="Y951" s="71">
        <v>162</v>
      </c>
      <c r="Z951" s="70">
        <v>42.85</v>
      </c>
      <c r="AA951" s="72"/>
      <c r="AB951" s="66" t="s">
        <v>46</v>
      </c>
      <c r="AC951" s="73"/>
      <c r="AD951" s="85"/>
      <c r="AE951" s="18">
        <f>Table46[[#This Row],[MOIS.]]*Table46[[#This Row],[NET WT KGS]]</f>
        <v>573087.5</v>
      </c>
      <c r="AF951" s="18">
        <f>Table46[[#This Row],[KOR]]*Table46[[#This Row],[NET WT KGS]]</f>
        <v>1933606.25</v>
      </c>
      <c r="AG951">
        <f>Table46[[#This Row],[NET WT KGS]]*Table46[[#This Row],[NUT COUNT]]</f>
        <v>7310250</v>
      </c>
    </row>
    <row r="952" spans="1:33" x14ac:dyDescent="0.35">
      <c r="A952" s="32">
        <f t="shared" si="105"/>
        <v>950</v>
      </c>
      <c r="B952" s="65">
        <v>46144</v>
      </c>
      <c r="C952" s="65">
        <v>46147</v>
      </c>
      <c r="D952" s="66" t="s">
        <v>38</v>
      </c>
      <c r="E952" s="66" t="s">
        <v>39</v>
      </c>
      <c r="F952" s="67" t="s">
        <v>62</v>
      </c>
      <c r="G952" s="66"/>
      <c r="H952" s="116" t="s">
        <v>128</v>
      </c>
      <c r="I952" s="67" t="str">
        <f>VLOOKUP(Table46[[#This Row],[SUPPLIERS NAME]],[1]AGING!X$3:Y$80,2,)</f>
        <v>LBA-002-SCA</v>
      </c>
      <c r="J952" s="66" t="s">
        <v>1010</v>
      </c>
      <c r="K952" s="21" t="s">
        <v>1011</v>
      </c>
      <c r="L952" s="66">
        <v>428</v>
      </c>
      <c r="M952" s="10">
        <v>78909</v>
      </c>
      <c r="N952" s="66">
        <v>642</v>
      </c>
      <c r="O952" s="68">
        <v>52430</v>
      </c>
      <c r="P952" s="51">
        <f>Table46[[#This Row],[GROSS WT KGS]]-Table46[[#This Row],[SACS]]</f>
        <v>51788</v>
      </c>
      <c r="Q952" s="66">
        <v>632</v>
      </c>
      <c r="R952" s="66">
        <v>10</v>
      </c>
      <c r="S952" s="123">
        <v>0</v>
      </c>
      <c r="T952" s="10">
        <f t="shared" si="104"/>
        <v>80</v>
      </c>
      <c r="U952" s="68">
        <f>Table46[[#This Row],[NET WT KGS]]-Table46[[#This Row],[Refraction]]</f>
        <v>51708</v>
      </c>
      <c r="V952" s="69">
        <v>465</v>
      </c>
      <c r="W952" s="69">
        <f>Table46[[#This Row],[PRICE]]*Table46[[#This Row],[PAID WT]]</f>
        <v>24044220</v>
      </c>
      <c r="X952" s="70">
        <v>10.4</v>
      </c>
      <c r="Y952" s="71">
        <v>188</v>
      </c>
      <c r="Z952" s="70">
        <v>41.09</v>
      </c>
      <c r="AA952" s="72"/>
      <c r="AB952" s="66" t="s">
        <v>132</v>
      </c>
      <c r="AC952" s="73"/>
      <c r="AD952" s="85"/>
      <c r="AE952" s="18">
        <f>Table46[[#This Row],[MOIS.]]*Table46[[#This Row],[NET WT KGS]]</f>
        <v>538595.20000000007</v>
      </c>
      <c r="AF952" s="18">
        <f>Table46[[#This Row],[KOR]]*Table46[[#This Row],[NET WT KGS]]</f>
        <v>2127968.9200000004</v>
      </c>
      <c r="AG952">
        <f>Table46[[#This Row],[NET WT KGS]]*Table46[[#This Row],[NUT COUNT]]</f>
        <v>9736144</v>
      </c>
    </row>
    <row r="953" spans="1:33" x14ac:dyDescent="0.35">
      <c r="A953" s="32">
        <f t="shared" si="105"/>
        <v>951</v>
      </c>
      <c r="B953" s="65">
        <v>46146</v>
      </c>
      <c r="C953" s="65">
        <v>46147</v>
      </c>
      <c r="D953" s="66" t="s">
        <v>38</v>
      </c>
      <c r="E953" s="66" t="s">
        <v>258</v>
      </c>
      <c r="F953" s="67" t="s">
        <v>62</v>
      </c>
      <c r="G953" s="66"/>
      <c r="H953" s="66" t="s">
        <v>724</v>
      </c>
      <c r="I953" s="67" t="str">
        <f>VLOOKUP(Table46[[#This Row],[SUPPLIERS NAME]],[1]AGING!X$3:Y$80,2,)</f>
        <v>DIS-029-CPA</v>
      </c>
      <c r="J953" s="66" t="s">
        <v>725</v>
      </c>
      <c r="K953" s="21" t="s">
        <v>726</v>
      </c>
      <c r="L953" s="66">
        <v>426</v>
      </c>
      <c r="M953" s="10">
        <v>87037</v>
      </c>
      <c r="N953" s="66">
        <v>643</v>
      </c>
      <c r="O953" s="68">
        <v>59530</v>
      </c>
      <c r="P953" s="51">
        <f>Table46[[#This Row],[GROSS WT KGS]]-Table46[[#This Row],[SACS]]</f>
        <v>58887</v>
      </c>
      <c r="Q953" s="66">
        <v>613</v>
      </c>
      <c r="R953" s="66">
        <v>30</v>
      </c>
      <c r="S953" s="123">
        <v>0</v>
      </c>
      <c r="T953" s="10">
        <f t="shared" si="104"/>
        <v>240</v>
      </c>
      <c r="U953" s="68">
        <f>Table46[[#This Row],[NET WT KGS]]-Table46[[#This Row],[Refraction]]</f>
        <v>58647</v>
      </c>
      <c r="V953" s="69">
        <v>465</v>
      </c>
      <c r="W953" s="69">
        <f>Table46[[#This Row],[PRICE]]*Table46[[#This Row],[PAID WT]]</f>
        <v>27270855</v>
      </c>
      <c r="X953" s="70">
        <v>11.5</v>
      </c>
      <c r="Y953" s="71">
        <v>181</v>
      </c>
      <c r="Z953" s="70">
        <v>42.68</v>
      </c>
      <c r="AA953" s="72"/>
      <c r="AB953" s="66" t="s">
        <v>132</v>
      </c>
      <c r="AC953" s="73"/>
      <c r="AD953" s="85"/>
      <c r="AE953" s="18">
        <f>Table46[[#This Row],[MOIS.]]*Table46[[#This Row],[NET WT KGS]]</f>
        <v>677200.5</v>
      </c>
      <c r="AF953" s="18">
        <f>Table46[[#This Row],[KOR]]*Table46[[#This Row],[NET WT KGS]]</f>
        <v>2513297.16</v>
      </c>
      <c r="AG953">
        <f>Table46[[#This Row],[NET WT KGS]]*Table46[[#This Row],[NUT COUNT]]</f>
        <v>10658547</v>
      </c>
    </row>
    <row r="954" spans="1:33" x14ac:dyDescent="0.35">
      <c r="A954" s="32">
        <f t="shared" si="105"/>
        <v>952</v>
      </c>
      <c r="B954" s="65">
        <v>46146</v>
      </c>
      <c r="C954" s="65">
        <v>46147</v>
      </c>
      <c r="D954" s="66" t="s">
        <v>38</v>
      </c>
      <c r="E954" s="66" t="s">
        <v>39</v>
      </c>
      <c r="F954" s="67" t="s">
        <v>62</v>
      </c>
      <c r="G954" s="66"/>
      <c r="H954" s="66" t="s">
        <v>136</v>
      </c>
      <c r="I954" s="67" t="str">
        <f>VLOOKUP(Table46[[#This Row],[SUPPLIERS NAME]],[1]AGING!X$3:Y$80,2,)</f>
        <v>LBA-004-WEB</v>
      </c>
      <c r="J954" s="66" t="s">
        <v>891</v>
      </c>
      <c r="K954" s="21" t="s">
        <v>139</v>
      </c>
      <c r="L954" s="66">
        <v>429</v>
      </c>
      <c r="M954" s="10">
        <v>18946</v>
      </c>
      <c r="N954" s="66">
        <v>503</v>
      </c>
      <c r="O954" s="68">
        <v>41510</v>
      </c>
      <c r="P954" s="51">
        <f>Table46[[#This Row],[GROSS WT KGS]]-Table46[[#This Row],[SACS]]</f>
        <v>41007</v>
      </c>
      <c r="Q954" s="66">
        <v>448</v>
      </c>
      <c r="R954" s="66">
        <v>55</v>
      </c>
      <c r="S954" s="123">
        <v>0</v>
      </c>
      <c r="T954" s="10">
        <f>S954*4+R954*8</f>
        <v>440</v>
      </c>
      <c r="U954" s="68">
        <f>Table46[[#This Row],[NET WT KGS]]-Table46[[#This Row],[Refraction]]</f>
        <v>40567</v>
      </c>
      <c r="V954" s="69">
        <v>465</v>
      </c>
      <c r="W954" s="69">
        <f>Table46[[#This Row],[PRICE]]*Table46[[#This Row],[PAID WT]]</f>
        <v>18863655</v>
      </c>
      <c r="X954" s="70">
        <v>12.6</v>
      </c>
      <c r="Y954" s="71">
        <v>173</v>
      </c>
      <c r="Z954" s="70">
        <v>43.91</v>
      </c>
      <c r="AA954" s="72"/>
      <c r="AB954" s="66" t="s">
        <v>140</v>
      </c>
      <c r="AC954" s="73"/>
      <c r="AD954" s="85"/>
      <c r="AE954" s="18">
        <f>Table46[[#This Row],[MOIS.]]*Table46[[#This Row],[NET WT KGS]]</f>
        <v>516688.2</v>
      </c>
      <c r="AF954" s="18">
        <f>Table46[[#This Row],[KOR]]*Table46[[#This Row],[NET WT KGS]]</f>
        <v>1800617.3699999999</v>
      </c>
      <c r="AG954">
        <f>Table46[[#This Row],[NET WT KGS]]*Table46[[#This Row],[NUT COUNT]]</f>
        <v>7094211</v>
      </c>
    </row>
    <row r="955" spans="1:33" x14ac:dyDescent="0.35">
      <c r="A955" s="32">
        <f t="shared" si="105"/>
        <v>953</v>
      </c>
      <c r="B955" s="65">
        <v>46145</v>
      </c>
      <c r="C955" s="65">
        <v>46147</v>
      </c>
      <c r="D955" s="66" t="s">
        <v>38</v>
      </c>
      <c r="E955" s="66" t="s">
        <v>39</v>
      </c>
      <c r="F955" s="67" t="s">
        <v>62</v>
      </c>
      <c r="G955" s="66"/>
      <c r="H955" s="66" t="s">
        <v>684</v>
      </c>
      <c r="I955" s="67" t="str">
        <f>VLOOKUP(Table46[[#This Row],[SUPPLIERS NAME]],[1]AGING!X$3:Y$80,2,)</f>
        <v>LBA-021-SAN</v>
      </c>
      <c r="J955" s="66" t="s">
        <v>1012</v>
      </c>
      <c r="K955" s="21" t="s">
        <v>1013</v>
      </c>
      <c r="L955" s="66">
        <v>430</v>
      </c>
      <c r="M955" s="66">
        <v>39835</v>
      </c>
      <c r="N955" s="66">
        <v>554</v>
      </c>
      <c r="O955" s="68">
        <v>47340</v>
      </c>
      <c r="P955" s="51">
        <f>Table46[[#This Row],[GROSS WT KGS]]-Table46[[#This Row],[SACS]]</f>
        <v>46786</v>
      </c>
      <c r="Q955" s="66">
        <v>524</v>
      </c>
      <c r="R955" s="66">
        <v>30</v>
      </c>
      <c r="S955" s="123">
        <v>0</v>
      </c>
      <c r="T955" s="10">
        <f t="shared" si="104"/>
        <v>240</v>
      </c>
      <c r="U955" s="68">
        <f>Table46[[#This Row],[NET WT KGS]]-Table46[[#This Row],[Refraction]]</f>
        <v>46546</v>
      </c>
      <c r="V955" s="69">
        <v>500</v>
      </c>
      <c r="W955" s="69">
        <f>Table46[[#This Row],[PRICE]]*Table46[[#This Row],[PAID WT]]</f>
        <v>23273000</v>
      </c>
      <c r="X955" s="70">
        <v>12.4</v>
      </c>
      <c r="Y955" s="71">
        <v>168</v>
      </c>
      <c r="Z955" s="70">
        <v>42.41</v>
      </c>
      <c r="AA955" s="72"/>
      <c r="AB955" s="66" t="s">
        <v>40</v>
      </c>
      <c r="AC955" s="27" t="s">
        <v>762</v>
      </c>
      <c r="AD955" s="85"/>
      <c r="AE955" s="18">
        <f>Table46[[#This Row],[MOIS.]]*Table46[[#This Row],[NET WT KGS]]</f>
        <v>580146.4</v>
      </c>
      <c r="AF955" s="18">
        <f>Table46[[#This Row],[KOR]]*Table46[[#This Row],[NET WT KGS]]</f>
        <v>1984194.2599999998</v>
      </c>
      <c r="AG955">
        <f>Table46[[#This Row],[NET WT KGS]]*Table46[[#This Row],[NUT COUNT]]</f>
        <v>7860048</v>
      </c>
    </row>
    <row r="956" spans="1:33" x14ac:dyDescent="0.35">
      <c r="A956" s="32">
        <f t="shared" si="105"/>
        <v>954</v>
      </c>
      <c r="B956" s="91">
        <v>46147</v>
      </c>
      <c r="C956" s="91">
        <f>Table46[[#This Row],[DATE OF ARRIVAL]]</f>
        <v>46147</v>
      </c>
      <c r="D956" s="74"/>
      <c r="E956" s="74"/>
      <c r="F956" s="74" t="s">
        <v>40</v>
      </c>
      <c r="G956" s="74"/>
      <c r="H956" s="74" t="s">
        <v>123</v>
      </c>
      <c r="I956" s="74" t="s">
        <v>124</v>
      </c>
      <c r="J956" s="74" t="s">
        <v>1014</v>
      </c>
      <c r="K956" s="147"/>
      <c r="L956" s="74"/>
      <c r="M956" s="74"/>
      <c r="N956" s="74"/>
      <c r="O956" s="79"/>
      <c r="P956" s="37"/>
      <c r="Q956" s="74"/>
      <c r="R956" s="74"/>
      <c r="S956" s="143"/>
      <c r="T956" s="36"/>
      <c r="U956" s="79"/>
      <c r="V956" s="81"/>
      <c r="W956" s="81"/>
      <c r="X956" s="82">
        <v>8.1</v>
      </c>
      <c r="Y956" s="83">
        <v>163</v>
      </c>
      <c r="Z956" s="82">
        <v>40.212359999999997</v>
      </c>
      <c r="AA956" s="84"/>
      <c r="AB956" s="74" t="s">
        <v>212</v>
      </c>
      <c r="AC956" s="92" t="s">
        <v>70</v>
      </c>
      <c r="AD956" s="85"/>
      <c r="AE956" s="18"/>
      <c r="AF956" s="18"/>
    </row>
    <row r="957" spans="1:33" x14ac:dyDescent="0.35">
      <c r="A957" s="32">
        <f t="shared" si="105"/>
        <v>955</v>
      </c>
      <c r="B957" s="91">
        <v>46147</v>
      </c>
      <c r="C957" s="91">
        <f>Table46[[#This Row],[DATE OF ARRIVAL]]</f>
        <v>46147</v>
      </c>
      <c r="D957" s="74"/>
      <c r="E957" s="74"/>
      <c r="F957" s="74" t="s">
        <v>40</v>
      </c>
      <c r="G957" s="74"/>
      <c r="H957" s="74" t="s">
        <v>123</v>
      </c>
      <c r="I957" s="74" t="s">
        <v>124</v>
      </c>
      <c r="J957" s="74" t="s">
        <v>1015</v>
      </c>
      <c r="K957" s="147"/>
      <c r="L957" s="74"/>
      <c r="M957" s="74"/>
      <c r="N957" s="74"/>
      <c r="O957" s="79"/>
      <c r="P957" s="37"/>
      <c r="Q957" s="74"/>
      <c r="R957" s="74"/>
      <c r="S957" s="143"/>
      <c r="T957" s="36"/>
      <c r="U957" s="79"/>
      <c r="V957" s="81"/>
      <c r="W957" s="81"/>
      <c r="X957" s="82">
        <v>10.4</v>
      </c>
      <c r="Y957" s="83">
        <v>176</v>
      </c>
      <c r="Z957" s="82">
        <v>35.274000000000001</v>
      </c>
      <c r="AA957" s="84"/>
      <c r="AB957" s="74" t="s">
        <v>40</v>
      </c>
      <c r="AC957" s="92" t="s">
        <v>70</v>
      </c>
      <c r="AD957" s="85"/>
      <c r="AE957" s="18"/>
      <c r="AF957" s="18"/>
    </row>
    <row r="958" spans="1:33" x14ac:dyDescent="0.35">
      <c r="A958" s="32">
        <f t="shared" si="105"/>
        <v>956</v>
      </c>
      <c r="B958" s="91">
        <v>46147</v>
      </c>
      <c r="C958" s="91">
        <f>Table46[[#This Row],[DATE OF ARRIVAL]]</f>
        <v>46147</v>
      </c>
      <c r="D958" s="74"/>
      <c r="E958" s="74"/>
      <c r="F958" s="74" t="s">
        <v>40</v>
      </c>
      <c r="G958" s="74"/>
      <c r="H958" s="74" t="s">
        <v>123</v>
      </c>
      <c r="I958" s="74" t="s">
        <v>124</v>
      </c>
      <c r="J958" s="74" t="s">
        <v>1016</v>
      </c>
      <c r="K958" s="147"/>
      <c r="L958" s="74"/>
      <c r="M958" s="74"/>
      <c r="N958" s="74"/>
      <c r="O958" s="79"/>
      <c r="P958" s="37"/>
      <c r="Q958" s="74"/>
      <c r="R958" s="74"/>
      <c r="S958" s="143"/>
      <c r="T958" s="36"/>
      <c r="U958" s="79"/>
      <c r="V958" s="81"/>
      <c r="W958" s="81"/>
      <c r="X958" s="82">
        <v>10.4</v>
      </c>
      <c r="Y958" s="83">
        <v>186</v>
      </c>
      <c r="Z958" s="82">
        <v>34.215780000000002</v>
      </c>
      <c r="AA958" s="84"/>
      <c r="AB958" s="74" t="s">
        <v>499</v>
      </c>
      <c r="AC958" s="92" t="s">
        <v>70</v>
      </c>
      <c r="AD958" s="85"/>
      <c r="AE958" s="18"/>
      <c r="AF958" s="18"/>
    </row>
    <row r="959" spans="1:33" x14ac:dyDescent="0.35">
      <c r="A959" s="32">
        <f t="shared" si="105"/>
        <v>957</v>
      </c>
      <c r="B959" s="91">
        <v>46147</v>
      </c>
      <c r="C959" s="91">
        <f>Table46[[#This Row],[DATE OF ARRIVAL]]</f>
        <v>46147</v>
      </c>
      <c r="D959" s="74"/>
      <c r="E959" s="74"/>
      <c r="F959" s="74" t="s">
        <v>40</v>
      </c>
      <c r="G959" s="74"/>
      <c r="H959" s="74" t="s">
        <v>338</v>
      </c>
      <c r="I959" s="74" t="s">
        <v>317</v>
      </c>
      <c r="J959" s="74" t="s">
        <v>1017</v>
      </c>
      <c r="K959" s="147"/>
      <c r="L959" s="74"/>
      <c r="M959" s="74"/>
      <c r="N959" s="74"/>
      <c r="O959" s="79"/>
      <c r="P959" s="37"/>
      <c r="Q959" s="74"/>
      <c r="R959" s="74"/>
      <c r="S959" s="143"/>
      <c r="T959" s="36"/>
      <c r="U959" s="79"/>
      <c r="V959" s="81"/>
      <c r="W959" s="81"/>
      <c r="X959" s="82">
        <v>8.9</v>
      </c>
      <c r="Y959" s="83">
        <v>152</v>
      </c>
      <c r="Z959" s="82">
        <v>39.85962</v>
      </c>
      <c r="AA959" s="84"/>
      <c r="AB959" s="74" t="s">
        <v>284</v>
      </c>
      <c r="AC959" s="92" t="s">
        <v>70</v>
      </c>
      <c r="AD959" s="85"/>
      <c r="AE959" s="18"/>
      <c r="AF959" s="18"/>
    </row>
    <row r="960" spans="1:33" x14ac:dyDescent="0.35">
      <c r="A960" s="32">
        <f t="shared" si="105"/>
        <v>958</v>
      </c>
      <c r="B960" s="91">
        <v>46147</v>
      </c>
      <c r="C960" s="91">
        <f>Table46[[#This Row],[DATE OF ARRIVAL]]</f>
        <v>46147</v>
      </c>
      <c r="D960" s="74"/>
      <c r="E960" s="74"/>
      <c r="F960" s="74" t="s">
        <v>40</v>
      </c>
      <c r="G960" s="74"/>
      <c r="H960" s="74" t="s">
        <v>338</v>
      </c>
      <c r="I960" s="74" t="s">
        <v>317</v>
      </c>
      <c r="J960" s="74" t="s">
        <v>1018</v>
      </c>
      <c r="K960" s="147"/>
      <c r="L960" s="74"/>
      <c r="M960" s="74"/>
      <c r="N960" s="74"/>
      <c r="O960" s="79"/>
      <c r="P960" s="37"/>
      <c r="Q960" s="74"/>
      <c r="R960" s="74"/>
      <c r="S960" s="143"/>
      <c r="T960" s="36"/>
      <c r="U960" s="79"/>
      <c r="V960" s="81"/>
      <c r="W960" s="81"/>
      <c r="X960" s="82">
        <v>9.8000000000000007</v>
      </c>
      <c r="Y960" s="83">
        <v>158</v>
      </c>
      <c r="Z960" s="82">
        <v>39.330509999999997</v>
      </c>
      <c r="AA960" s="84"/>
      <c r="AB960" s="74" t="s">
        <v>284</v>
      </c>
      <c r="AC960" s="92" t="s">
        <v>70</v>
      </c>
      <c r="AD960" s="85"/>
      <c r="AE960" s="18"/>
      <c r="AF960" s="18"/>
    </row>
    <row r="961" spans="1:33" x14ac:dyDescent="0.35">
      <c r="A961" s="32">
        <f t="shared" si="105"/>
        <v>959</v>
      </c>
      <c r="B961" s="91">
        <v>46148</v>
      </c>
      <c r="C961" s="91">
        <f>Table46[[#This Row],[DATE OF ARRIVAL]]</f>
        <v>46148</v>
      </c>
      <c r="D961" s="74"/>
      <c r="E961" s="74"/>
      <c r="F961" s="74" t="s">
        <v>40</v>
      </c>
      <c r="G961" s="74"/>
      <c r="H961" s="74" t="s">
        <v>154</v>
      </c>
      <c r="I961" s="74" t="s">
        <v>155</v>
      </c>
      <c r="J961" s="74" t="s">
        <v>311</v>
      </c>
      <c r="K961" s="147"/>
      <c r="L961" s="74"/>
      <c r="M961" s="74"/>
      <c r="N961" s="74"/>
      <c r="O961" s="79"/>
      <c r="P961" s="37"/>
      <c r="Q961" s="74"/>
      <c r="R961" s="74"/>
      <c r="S961" s="143"/>
      <c r="T961" s="36"/>
      <c r="U961" s="79"/>
      <c r="V961" s="81"/>
      <c r="W961" s="81"/>
      <c r="X961" s="82">
        <v>10.3</v>
      </c>
      <c r="Y961" s="83">
        <v>165</v>
      </c>
      <c r="Z961" s="82">
        <v>40.035989999999998</v>
      </c>
      <c r="AA961" s="84"/>
      <c r="AB961" s="74" t="s">
        <v>40</v>
      </c>
      <c r="AC961" s="92" t="s">
        <v>70</v>
      </c>
      <c r="AD961" s="85"/>
      <c r="AE961" s="18"/>
      <c r="AF961" s="18"/>
    </row>
    <row r="962" spans="1:33" x14ac:dyDescent="0.35">
      <c r="A962" s="32">
        <f t="shared" si="105"/>
        <v>960</v>
      </c>
      <c r="B962" s="65">
        <v>46145</v>
      </c>
      <c r="C962" s="65">
        <v>46148</v>
      </c>
      <c r="D962" s="66" t="s">
        <v>38</v>
      </c>
      <c r="E962" s="66" t="s">
        <v>39</v>
      </c>
      <c r="F962" s="67" t="s">
        <v>62</v>
      </c>
      <c r="G962" s="66"/>
      <c r="H962" s="116" t="s">
        <v>128</v>
      </c>
      <c r="I962" s="67" t="str">
        <f>VLOOKUP(Table46[[#This Row],[SUPPLIERS NAME]],[1]AGING!X$3:Y$80,2,)</f>
        <v>LBA-002-SCA</v>
      </c>
      <c r="J962" s="66" t="s">
        <v>779</v>
      </c>
      <c r="K962" s="21" t="s">
        <v>1011</v>
      </c>
      <c r="L962" s="66">
        <v>431</v>
      </c>
      <c r="M962" s="10">
        <v>78903</v>
      </c>
      <c r="N962" s="66">
        <v>655</v>
      </c>
      <c r="O962" s="68">
        <v>51050</v>
      </c>
      <c r="P962" s="51">
        <f>Table46[[#This Row],[GROSS WT KGS]]-Table46[[#This Row],[SACS]]</f>
        <v>50395</v>
      </c>
      <c r="Q962" s="66">
        <v>640</v>
      </c>
      <c r="R962" s="66">
        <v>0</v>
      </c>
      <c r="S962" s="123">
        <v>15</v>
      </c>
      <c r="T962" s="10">
        <f t="shared" ref="T962:T1002" si="108">S962*4+R962*8</f>
        <v>60</v>
      </c>
      <c r="U962" s="68">
        <f>Table46[[#This Row],[NET WT KGS]]-Table46[[#This Row],[Refraction]]</f>
        <v>50335</v>
      </c>
      <c r="V962" s="69">
        <v>465</v>
      </c>
      <c r="W962" s="69">
        <f>Table46[[#This Row],[PRICE]]*Table46[[#This Row],[PAID WT]]</f>
        <v>23405775</v>
      </c>
      <c r="X962" s="70">
        <v>9.6999999999999993</v>
      </c>
      <c r="Y962" s="71">
        <v>185</v>
      </c>
      <c r="Z962" s="70">
        <v>41.44</v>
      </c>
      <c r="AA962" s="72"/>
      <c r="AB962" s="66" t="s">
        <v>132</v>
      </c>
      <c r="AC962" s="73"/>
      <c r="AD962" s="85"/>
      <c r="AE962" s="18">
        <f>Table46[[#This Row],[MOIS.]]*Table46[[#This Row],[NET WT KGS]]</f>
        <v>488831.49999999994</v>
      </c>
      <c r="AF962" s="18">
        <f>Table46[[#This Row],[KOR]]*Table46[[#This Row],[NET WT KGS]]</f>
        <v>2088368.7999999998</v>
      </c>
      <c r="AG962">
        <f>Table46[[#This Row],[NET WT KGS]]*Table46[[#This Row],[NUT COUNT]]</f>
        <v>9323075</v>
      </c>
    </row>
    <row r="963" spans="1:33" x14ac:dyDescent="0.35">
      <c r="A963" s="32">
        <f t="shared" si="105"/>
        <v>961</v>
      </c>
      <c r="B963" s="65">
        <v>46146</v>
      </c>
      <c r="C963" s="65">
        <v>46148</v>
      </c>
      <c r="D963" s="66" t="s">
        <v>38</v>
      </c>
      <c r="E963" s="66" t="s">
        <v>39</v>
      </c>
      <c r="F963" s="67" t="s">
        <v>62</v>
      </c>
      <c r="G963" s="10"/>
      <c r="H963" s="117" t="s">
        <v>128</v>
      </c>
      <c r="I963" s="67" t="str">
        <f>VLOOKUP(Table46[[#This Row],[SUPPLIERS NAME]],[1]AGING!X$3:Y$80,2,)</f>
        <v>LBA-002-SCA</v>
      </c>
      <c r="J963" s="10" t="s">
        <v>920</v>
      </c>
      <c r="K963" s="21" t="s">
        <v>1011</v>
      </c>
      <c r="L963" s="10">
        <v>432</v>
      </c>
      <c r="M963" s="10">
        <v>66427</v>
      </c>
      <c r="N963" s="10">
        <v>507</v>
      </c>
      <c r="O963" s="22">
        <v>41350</v>
      </c>
      <c r="P963" s="51">
        <f>Table46[[#This Row],[GROSS WT KGS]]-Table46[[#This Row],[SACS]]</f>
        <v>40843</v>
      </c>
      <c r="Q963" s="10">
        <v>487</v>
      </c>
      <c r="R963" s="10">
        <v>0</v>
      </c>
      <c r="S963" s="122">
        <v>20</v>
      </c>
      <c r="T963" s="10">
        <f t="shared" si="108"/>
        <v>80</v>
      </c>
      <c r="U963" s="22">
        <f>Table46[[#This Row],[NET WT KGS]]-Table46[[#This Row],[Refraction]]</f>
        <v>40763</v>
      </c>
      <c r="V963" s="69">
        <v>465</v>
      </c>
      <c r="W963" s="23">
        <f>Table46[[#This Row],[PRICE]]*Table46[[#This Row],[PAID WT]]</f>
        <v>18954795</v>
      </c>
      <c r="X963" s="24">
        <v>10.3</v>
      </c>
      <c r="Y963" s="25">
        <v>185</v>
      </c>
      <c r="Z963" s="24">
        <v>41.79</v>
      </c>
      <c r="AA963" s="26"/>
      <c r="AB963" s="10" t="s">
        <v>132</v>
      </c>
      <c r="AC963" s="27"/>
      <c r="AD963" s="28"/>
      <c r="AE963" s="18">
        <f>Table46[[#This Row],[MOIS.]]*Table46[[#This Row],[NET WT KGS]]</f>
        <v>420682.9</v>
      </c>
      <c r="AF963" s="18">
        <f>Table46[[#This Row],[KOR]]*Table46[[#This Row],[NET WT KGS]]</f>
        <v>1706828.97</v>
      </c>
      <c r="AG963">
        <f>Table46[[#This Row],[NET WT KGS]]*Table46[[#This Row],[NUT COUNT]]</f>
        <v>7555955</v>
      </c>
    </row>
    <row r="964" spans="1:33" x14ac:dyDescent="0.35">
      <c r="A964" s="32">
        <f t="shared" ref="A964:A988" si="109">A963+1</f>
        <v>962</v>
      </c>
      <c r="B964" s="65">
        <v>46146</v>
      </c>
      <c r="C964" s="65">
        <v>46148</v>
      </c>
      <c r="D964" s="66" t="s">
        <v>38</v>
      </c>
      <c r="E964" s="66" t="s">
        <v>258</v>
      </c>
      <c r="F964" s="67" t="s">
        <v>62</v>
      </c>
      <c r="G964" s="66"/>
      <c r="H964" s="66" t="s">
        <v>603</v>
      </c>
      <c r="I964" s="67" t="str">
        <f>VLOOKUP(Table46[[#This Row],[SUPPLIERS NAME]],[1]AGING!X$3:Y$80,2,)</f>
        <v>DIS-023-ICF</v>
      </c>
      <c r="J964" s="66" t="s">
        <v>1019</v>
      </c>
      <c r="K964" s="107" t="s">
        <v>605</v>
      </c>
      <c r="L964" s="66">
        <v>434</v>
      </c>
      <c r="M964" s="10">
        <v>87145</v>
      </c>
      <c r="N964" s="66">
        <v>431</v>
      </c>
      <c r="O964" s="68">
        <v>36510</v>
      </c>
      <c r="P964" s="51">
        <f>Table46[[#This Row],[GROSS WT KGS]]-Table46[[#This Row],[SACS]]</f>
        <v>36079</v>
      </c>
      <c r="Q964" s="66">
        <v>421</v>
      </c>
      <c r="R964" s="66">
        <v>0</v>
      </c>
      <c r="S964" s="123">
        <v>10</v>
      </c>
      <c r="T964" s="10">
        <f t="shared" si="108"/>
        <v>40</v>
      </c>
      <c r="U964" s="68">
        <f>Table46[[#This Row],[NET WT KGS]]-Table46[[#This Row],[Refraction]]</f>
        <v>36039</v>
      </c>
      <c r="V964" s="69">
        <v>465</v>
      </c>
      <c r="W964" s="69">
        <f>Table46[[#This Row],[PRICE]]*Table46[[#This Row],[PAID WT]]</f>
        <v>16758135</v>
      </c>
      <c r="X964" s="70">
        <v>9.8000000000000007</v>
      </c>
      <c r="Y964" s="71">
        <v>179</v>
      </c>
      <c r="Z964" s="70">
        <v>42.06</v>
      </c>
      <c r="AA964" s="72"/>
      <c r="AB964" s="66" t="s">
        <v>880</v>
      </c>
      <c r="AC964" s="73"/>
      <c r="AD964" s="85"/>
      <c r="AE964" s="18">
        <f>Table46[[#This Row],[MOIS.]]*Table46[[#This Row],[NET WT KGS]]</f>
        <v>353574.2</v>
      </c>
      <c r="AF964" s="18">
        <f>Table46[[#This Row],[KOR]]*Table46[[#This Row],[NET WT KGS]]</f>
        <v>1517482.74</v>
      </c>
      <c r="AG964">
        <f>Table46[[#This Row],[NET WT KGS]]*Table46[[#This Row],[NUT COUNT]]</f>
        <v>6458141</v>
      </c>
    </row>
    <row r="965" spans="1:33" x14ac:dyDescent="0.35">
      <c r="A965" s="32">
        <f t="shared" si="109"/>
        <v>963</v>
      </c>
      <c r="B965" s="65">
        <v>46146</v>
      </c>
      <c r="C965" s="65">
        <v>46148</v>
      </c>
      <c r="D965" s="66" t="s">
        <v>38</v>
      </c>
      <c r="E965" s="66" t="s">
        <v>258</v>
      </c>
      <c r="F965" s="67" t="s">
        <v>62</v>
      </c>
      <c r="G965" s="66"/>
      <c r="H965" s="66" t="s">
        <v>821</v>
      </c>
      <c r="I965" s="67" t="str">
        <f>VLOOKUP(Table46[[#This Row],[SUPPLIERS NAME]],[1]AGING!X$3:Y$80,2,)</f>
        <v>DIS-035-SNC</v>
      </c>
      <c r="J965" s="66" t="s">
        <v>970</v>
      </c>
      <c r="K965" s="107" t="s">
        <v>823</v>
      </c>
      <c r="L965" s="66">
        <v>433</v>
      </c>
      <c r="M965" s="10">
        <v>36092</v>
      </c>
      <c r="N965" s="66">
        <v>438</v>
      </c>
      <c r="O965" s="68">
        <v>36360</v>
      </c>
      <c r="P965" s="51">
        <f>Table46[[#This Row],[GROSS WT KGS]]-Table46[[#This Row],[SACS]]</f>
        <v>35922</v>
      </c>
      <c r="Q965" s="66">
        <v>398</v>
      </c>
      <c r="R965" s="66">
        <v>40</v>
      </c>
      <c r="S965" s="123">
        <v>0</v>
      </c>
      <c r="T965" s="10">
        <f t="shared" si="108"/>
        <v>320</v>
      </c>
      <c r="U965" s="68">
        <f>Table46[[#This Row],[NET WT KGS]]-Table46[[#This Row],[Refraction]]</f>
        <v>35602</v>
      </c>
      <c r="V965" s="69">
        <v>465</v>
      </c>
      <c r="W965" s="69">
        <f>Table46[[#This Row],[PRICE]]*Table46[[#This Row],[PAID WT]]</f>
        <v>16554930</v>
      </c>
      <c r="X965" s="70">
        <v>12.3</v>
      </c>
      <c r="Y965" s="71">
        <v>170</v>
      </c>
      <c r="Z965" s="70">
        <v>43.12</v>
      </c>
      <c r="AA965" s="72"/>
      <c r="AB965" s="66" t="s">
        <v>458</v>
      </c>
      <c r="AC965" s="73"/>
      <c r="AD965" s="85"/>
      <c r="AE965" s="18">
        <f>Table46[[#This Row],[MOIS.]]*Table46[[#This Row],[NET WT KGS]]</f>
        <v>441840.60000000003</v>
      </c>
      <c r="AF965" s="18">
        <f>Table46[[#This Row],[KOR]]*Table46[[#This Row],[NET WT KGS]]</f>
        <v>1548956.64</v>
      </c>
      <c r="AG965">
        <f>Table46[[#This Row],[NET WT KGS]]*Table46[[#This Row],[NUT COUNT]]</f>
        <v>6106740</v>
      </c>
    </row>
    <row r="966" spans="1:33" x14ac:dyDescent="0.35">
      <c r="A966" s="32">
        <f t="shared" si="109"/>
        <v>964</v>
      </c>
      <c r="B966" s="65">
        <v>46146</v>
      </c>
      <c r="C966" s="65">
        <v>46148</v>
      </c>
      <c r="D966" s="66" t="s">
        <v>38</v>
      </c>
      <c r="E966" s="66" t="s">
        <v>258</v>
      </c>
      <c r="F966" s="67" t="s">
        <v>62</v>
      </c>
      <c r="G966" s="66"/>
      <c r="H966" s="67" t="s">
        <v>392</v>
      </c>
      <c r="I966" s="67" t="str">
        <f>VLOOKUP(Table46[[#This Row],[SUPPLIERS NAME]],[1]AGING!X$3:Y$80,2,)</f>
        <v>DIS-026-MOA</v>
      </c>
      <c r="J966" s="66" t="s">
        <v>1020</v>
      </c>
      <c r="K966" s="21" t="s">
        <v>694</v>
      </c>
      <c r="L966" s="66">
        <v>436</v>
      </c>
      <c r="M966" s="10">
        <v>31508</v>
      </c>
      <c r="N966" s="66">
        <v>576</v>
      </c>
      <c r="O966" s="68">
        <v>47370</v>
      </c>
      <c r="P966" s="51">
        <f>Table46[[#This Row],[GROSS WT KGS]]-Table46[[#This Row],[SACS]]</f>
        <v>46794</v>
      </c>
      <c r="Q966" s="66">
        <v>566</v>
      </c>
      <c r="R966" s="66">
        <v>0</v>
      </c>
      <c r="S966" s="123">
        <v>10</v>
      </c>
      <c r="T966" s="10">
        <f t="shared" si="108"/>
        <v>40</v>
      </c>
      <c r="U966" s="68">
        <f>Table46[[#This Row],[NET WT KGS]]-Table46[[#This Row],[Refraction]]</f>
        <v>46754</v>
      </c>
      <c r="V966" s="69">
        <v>465</v>
      </c>
      <c r="W966" s="69">
        <f>Table46[[#This Row],[PRICE]]*Table46[[#This Row],[PAID WT]]</f>
        <v>21740610</v>
      </c>
      <c r="X966" s="70">
        <v>9.8000000000000007</v>
      </c>
      <c r="Y966" s="71">
        <v>188</v>
      </c>
      <c r="Z966" s="70">
        <v>43.03</v>
      </c>
      <c r="AA966" s="72"/>
      <c r="AB966" s="66" t="s">
        <v>324</v>
      </c>
      <c r="AC966" s="73"/>
      <c r="AD966" s="85"/>
      <c r="AE966" s="18">
        <f>Table46[[#This Row],[MOIS.]]*Table46[[#This Row],[NET WT KGS]]</f>
        <v>458581.2</v>
      </c>
      <c r="AF966" s="18">
        <f>Table46[[#This Row],[KOR]]*Table46[[#This Row],[NET WT KGS]]</f>
        <v>2013545.82</v>
      </c>
      <c r="AG966">
        <f>Table46[[#This Row],[NET WT KGS]]*Table46[[#This Row],[NUT COUNT]]</f>
        <v>8797272</v>
      </c>
    </row>
    <row r="967" spans="1:33" x14ac:dyDescent="0.35">
      <c r="A967" s="32">
        <f t="shared" si="109"/>
        <v>965</v>
      </c>
      <c r="B967" s="65">
        <v>46146</v>
      </c>
      <c r="C967" s="65">
        <v>46148</v>
      </c>
      <c r="D967" s="66" t="s">
        <v>38</v>
      </c>
      <c r="E967" s="66" t="s">
        <v>258</v>
      </c>
      <c r="F967" s="67" t="s">
        <v>62</v>
      </c>
      <c r="G967" s="66"/>
      <c r="H967" s="66" t="s">
        <v>724</v>
      </c>
      <c r="I967" s="67" t="str">
        <f>VLOOKUP(Table46[[#This Row],[SUPPLIERS NAME]],[1]AGING!X$3:Y$80,2,)</f>
        <v>DIS-029-CPA</v>
      </c>
      <c r="J967" s="66" t="s">
        <v>824</v>
      </c>
      <c r="K967" s="21" t="s">
        <v>726</v>
      </c>
      <c r="L967" s="66">
        <v>435</v>
      </c>
      <c r="M967" s="10">
        <v>30275</v>
      </c>
      <c r="N967" s="66">
        <v>667</v>
      </c>
      <c r="O967" s="68">
        <v>54250</v>
      </c>
      <c r="P967" s="51">
        <f>Table46[[#This Row],[GROSS WT KGS]]-Table46[[#This Row],[SACS]]</f>
        <v>53583</v>
      </c>
      <c r="Q967" s="66">
        <v>647</v>
      </c>
      <c r="R967" s="66">
        <v>20</v>
      </c>
      <c r="S967" s="123">
        <v>0</v>
      </c>
      <c r="T967" s="10">
        <f t="shared" si="108"/>
        <v>160</v>
      </c>
      <c r="U967" s="68">
        <f>Table46[[#This Row],[NET WT KGS]]-Table46[[#This Row],[Refraction]]</f>
        <v>53423</v>
      </c>
      <c r="V967" s="69">
        <v>465</v>
      </c>
      <c r="W967" s="69">
        <f>Table46[[#This Row],[PRICE]]*Table46[[#This Row],[PAID WT]]</f>
        <v>24841695</v>
      </c>
      <c r="X967" s="70">
        <v>11.3</v>
      </c>
      <c r="Y967" s="71">
        <v>190</v>
      </c>
      <c r="Z967" s="70">
        <v>41.62</v>
      </c>
      <c r="AA967" s="72"/>
      <c r="AB967" s="66" t="s">
        <v>132</v>
      </c>
      <c r="AC967" s="73"/>
      <c r="AD967" s="85"/>
      <c r="AE967" s="18">
        <f>Table46[[#This Row],[MOIS.]]*Table46[[#This Row],[NET WT KGS]]</f>
        <v>605487.9</v>
      </c>
      <c r="AF967" s="18">
        <f>Table46[[#This Row],[KOR]]*Table46[[#This Row],[NET WT KGS]]</f>
        <v>2230124.46</v>
      </c>
      <c r="AG967">
        <f>Table46[[#This Row],[NET WT KGS]]*Table46[[#This Row],[NUT COUNT]]</f>
        <v>10180770</v>
      </c>
    </row>
    <row r="968" spans="1:33" x14ac:dyDescent="0.35">
      <c r="A968" s="32">
        <f t="shared" si="109"/>
        <v>966</v>
      </c>
      <c r="B968" s="65">
        <v>46146</v>
      </c>
      <c r="C968" s="65">
        <v>46149</v>
      </c>
      <c r="D968" s="66" t="s">
        <v>38</v>
      </c>
      <c r="E968" s="66" t="s">
        <v>39</v>
      </c>
      <c r="F968" s="67" t="s">
        <v>62</v>
      </c>
      <c r="G968" s="66"/>
      <c r="H968" s="116" t="s">
        <v>128</v>
      </c>
      <c r="I968" s="67" t="str">
        <f>VLOOKUP(Table46[[#This Row],[SUPPLIERS NAME]],[1]AGING!X$3:Y$80,2,)</f>
        <v>LBA-002-SCA</v>
      </c>
      <c r="J968" s="66" t="s">
        <v>1021</v>
      </c>
      <c r="K968" s="21" t="s">
        <v>1011</v>
      </c>
      <c r="L968" s="66">
        <v>437</v>
      </c>
      <c r="M968" s="10">
        <v>70332</v>
      </c>
      <c r="N968" s="66">
        <v>538</v>
      </c>
      <c r="O968" s="68">
        <v>43650</v>
      </c>
      <c r="P968" s="51">
        <f>Table46[[#This Row],[GROSS WT KGS]]-Table46[[#This Row],[SACS]]</f>
        <v>43112</v>
      </c>
      <c r="Q968" s="66">
        <v>523</v>
      </c>
      <c r="R968" s="66">
        <v>0</v>
      </c>
      <c r="S968" s="123">
        <v>15</v>
      </c>
      <c r="T968" s="10">
        <f t="shared" si="108"/>
        <v>60</v>
      </c>
      <c r="U968" s="68">
        <f>Table46[[#This Row],[NET WT KGS]]-Table46[[#This Row],[Refraction]]</f>
        <v>43052</v>
      </c>
      <c r="V968" s="69">
        <v>454</v>
      </c>
      <c r="W968" s="69">
        <f>Table46[[#This Row],[PRICE]]*Table46[[#This Row],[PAID WT]]</f>
        <v>19545608</v>
      </c>
      <c r="X968" s="70">
        <v>8.4</v>
      </c>
      <c r="Y968" s="71">
        <v>190</v>
      </c>
      <c r="Z968" s="70">
        <v>42.85</v>
      </c>
      <c r="AA968" s="72"/>
      <c r="AB968" s="66" t="s">
        <v>132</v>
      </c>
      <c r="AC968" s="73"/>
      <c r="AD968" s="85"/>
      <c r="AE968" s="18">
        <f>Table46[[#This Row],[MOIS.]]*Table46[[#This Row],[NET WT KGS]]</f>
        <v>362140.8</v>
      </c>
      <c r="AF968" s="18">
        <f>Table46[[#This Row],[KOR]]*Table46[[#This Row],[NET WT KGS]]</f>
        <v>1847349.2</v>
      </c>
      <c r="AG968">
        <f>Table46[[#This Row],[NET WT KGS]]*Table46[[#This Row],[NUT COUNT]]</f>
        <v>8191280</v>
      </c>
    </row>
    <row r="969" spans="1:33" x14ac:dyDescent="0.35">
      <c r="A969" s="32">
        <f t="shared" si="109"/>
        <v>967</v>
      </c>
      <c r="B969" s="65">
        <v>46146</v>
      </c>
      <c r="C969" s="65">
        <v>46149</v>
      </c>
      <c r="D969" s="66" t="s">
        <v>38</v>
      </c>
      <c r="E969" s="66" t="s">
        <v>258</v>
      </c>
      <c r="F969" s="67" t="s">
        <v>62</v>
      </c>
      <c r="G969" s="66"/>
      <c r="H969" s="10" t="s">
        <v>846</v>
      </c>
      <c r="I969" s="67" t="str">
        <f>VLOOKUP(Table46[[#This Row],[SUPPLIERS NAME]],[1]AGING!X$3:Y$80,2,)</f>
        <v>DIS-036-SEY</v>
      </c>
      <c r="J969" s="66" t="s">
        <v>1022</v>
      </c>
      <c r="K969" s="107" t="s">
        <v>848</v>
      </c>
      <c r="L969" s="66">
        <v>438</v>
      </c>
      <c r="M969" s="10">
        <v>87081</v>
      </c>
      <c r="N969" s="66">
        <v>436</v>
      </c>
      <c r="O969" s="68">
        <v>36850</v>
      </c>
      <c r="P969" s="51">
        <f>Table46[[#This Row],[GROSS WT KGS]]-Table46[[#This Row],[SACS]]</f>
        <v>36414</v>
      </c>
      <c r="Q969" s="66">
        <v>396</v>
      </c>
      <c r="R969" s="66">
        <v>40</v>
      </c>
      <c r="S969" s="123">
        <v>0</v>
      </c>
      <c r="T969" s="10">
        <f t="shared" si="108"/>
        <v>320</v>
      </c>
      <c r="U969" s="68">
        <f>Table46[[#This Row],[NET WT KGS]]-Table46[[#This Row],[Refraction]]</f>
        <v>36094</v>
      </c>
      <c r="V969" s="69">
        <v>460</v>
      </c>
      <c r="W969" s="69">
        <f>Table46[[#This Row],[PRICE]]*Table46[[#This Row],[PAID WT]]</f>
        <v>16603240</v>
      </c>
      <c r="X969" s="70">
        <v>11.8</v>
      </c>
      <c r="Y969" s="71">
        <v>163</v>
      </c>
      <c r="Z969" s="70">
        <v>42.85</v>
      </c>
      <c r="AA969" s="72"/>
      <c r="AB969" s="66" t="s">
        <v>40</v>
      </c>
      <c r="AC969" s="73"/>
      <c r="AD969" s="85"/>
      <c r="AE969" s="18">
        <f>Table46[[#This Row],[MOIS.]]*Table46[[#This Row],[NET WT KGS]]</f>
        <v>429685.2</v>
      </c>
      <c r="AF969" s="18">
        <f>Table46[[#This Row],[KOR]]*Table46[[#This Row],[NET WT KGS]]</f>
        <v>1560339.9000000001</v>
      </c>
      <c r="AG969">
        <f>Table46[[#This Row],[NET WT KGS]]*Table46[[#This Row],[NUT COUNT]]</f>
        <v>5935482</v>
      </c>
    </row>
    <row r="970" spans="1:33" x14ac:dyDescent="0.35">
      <c r="A970" s="32">
        <f t="shared" si="109"/>
        <v>968</v>
      </c>
      <c r="B970" s="65">
        <v>46148</v>
      </c>
      <c r="C970" s="65">
        <v>46149</v>
      </c>
      <c r="D970" s="66" t="s">
        <v>38</v>
      </c>
      <c r="E970" s="66" t="s">
        <v>39</v>
      </c>
      <c r="F970" s="67" t="s">
        <v>62</v>
      </c>
      <c r="G970" s="66"/>
      <c r="H970" s="67" t="s">
        <v>574</v>
      </c>
      <c r="I970" s="67" t="str">
        <f>VLOOKUP(Table46[[#This Row],[SUPPLIERS NAME]],[1]AGING!X$3:Y$80,2,)</f>
        <v>LBA-022-NEG</v>
      </c>
      <c r="J970" s="66" t="s">
        <v>1023</v>
      </c>
      <c r="K970" s="33" t="s">
        <v>576</v>
      </c>
      <c r="L970" s="66">
        <v>439</v>
      </c>
      <c r="M970" s="10">
        <v>77598</v>
      </c>
      <c r="N970" s="66">
        <v>677</v>
      </c>
      <c r="O970" s="68">
        <v>52640</v>
      </c>
      <c r="P970" s="51">
        <f>Table46[[#This Row],[GROSS WT KGS]]-Table46[[#This Row],[SACS]]</f>
        <v>51963</v>
      </c>
      <c r="Q970" s="66">
        <v>657</v>
      </c>
      <c r="R970" s="66">
        <v>20</v>
      </c>
      <c r="S970" s="123">
        <v>0</v>
      </c>
      <c r="T970" s="10">
        <f t="shared" si="108"/>
        <v>160</v>
      </c>
      <c r="U970" s="68">
        <f>Table46[[#This Row],[NET WT KGS]]-Table46[[#This Row],[Refraction]]</f>
        <v>51803</v>
      </c>
      <c r="V970" s="69">
        <v>530</v>
      </c>
      <c r="W970" s="69">
        <f>Table46[[#This Row],[PRICE]]*Table46[[#This Row],[PAID WT]]</f>
        <v>27455590</v>
      </c>
      <c r="X970" s="70">
        <v>10.5</v>
      </c>
      <c r="Y970" s="71">
        <v>168</v>
      </c>
      <c r="Z970" s="70">
        <v>44.26</v>
      </c>
      <c r="AA970" s="72"/>
      <c r="AB970" s="66" t="s">
        <v>750</v>
      </c>
      <c r="AC970" s="73"/>
      <c r="AD970" s="85"/>
      <c r="AE970" s="18">
        <f>Table46[[#This Row],[MOIS.]]*Table46[[#This Row],[NET WT KGS]]</f>
        <v>545611.5</v>
      </c>
      <c r="AF970" s="18">
        <f>Table46[[#This Row],[KOR]]*Table46[[#This Row],[NET WT KGS]]</f>
        <v>2299882.38</v>
      </c>
      <c r="AG970">
        <f>Table46[[#This Row],[NET WT KGS]]*Table46[[#This Row],[NUT COUNT]]</f>
        <v>8729784</v>
      </c>
    </row>
    <row r="971" spans="1:33" x14ac:dyDescent="0.35">
      <c r="A971" s="32">
        <f t="shared" si="109"/>
        <v>969</v>
      </c>
      <c r="B971" s="65">
        <v>46144</v>
      </c>
      <c r="C971" s="65">
        <v>46150</v>
      </c>
      <c r="D971" s="66" t="s">
        <v>38</v>
      </c>
      <c r="E971" s="66" t="s">
        <v>39</v>
      </c>
      <c r="F971" s="67" t="s">
        <v>62</v>
      </c>
      <c r="G971" s="66"/>
      <c r="H971" s="66" t="s">
        <v>684</v>
      </c>
      <c r="I971" s="67" t="str">
        <f>VLOOKUP(Table46[[#This Row],[SUPPLIERS NAME]],[1]AGING!X$3:Y$80,2,)</f>
        <v>LBA-021-SAN</v>
      </c>
      <c r="J971" s="66" t="s">
        <v>1024</v>
      </c>
      <c r="K971" s="21"/>
      <c r="L971" s="66">
        <v>440</v>
      </c>
      <c r="M971" s="66">
        <v>39833</v>
      </c>
      <c r="N971" s="66">
        <v>479</v>
      </c>
      <c r="O971" s="68">
        <v>43380</v>
      </c>
      <c r="P971" s="51">
        <f>Table46[[#This Row],[GROSS WT KGS]]-Table46[[#This Row],[SACS]]</f>
        <v>42901</v>
      </c>
      <c r="Q971" s="66">
        <v>449</v>
      </c>
      <c r="R971" s="66">
        <v>30</v>
      </c>
      <c r="S971" s="123">
        <v>0</v>
      </c>
      <c r="T971" s="10">
        <f t="shared" si="108"/>
        <v>240</v>
      </c>
      <c r="U971" s="68">
        <f>Table46[[#This Row],[NET WT KGS]]-Table46[[#This Row],[Refraction]]</f>
        <v>42661</v>
      </c>
      <c r="V971" s="69">
        <v>475</v>
      </c>
      <c r="W971" s="69">
        <f>Table46[[#This Row],[PRICE]]*Table46[[#This Row],[PAID WT]]</f>
        <v>20263975</v>
      </c>
      <c r="X971" s="70">
        <v>12.2</v>
      </c>
      <c r="Y971" s="71">
        <v>165</v>
      </c>
      <c r="Z971" s="70">
        <v>41.71</v>
      </c>
      <c r="AA971" s="72"/>
      <c r="AB971" s="66" t="s">
        <v>40</v>
      </c>
      <c r="AC971" s="73" t="s">
        <v>762</v>
      </c>
      <c r="AD971" s="85"/>
      <c r="AE971" s="18">
        <f>Table46[[#This Row],[MOIS.]]*Table46[[#This Row],[NET WT KGS]]</f>
        <v>523392.19999999995</v>
      </c>
      <c r="AF971" s="18">
        <f>Table46[[#This Row],[KOR]]*Table46[[#This Row],[NET WT KGS]]</f>
        <v>1789400.71</v>
      </c>
      <c r="AG971">
        <f>Table46[[#This Row],[NET WT KGS]]*Table46[[#This Row],[NUT COUNT]]</f>
        <v>7078665</v>
      </c>
    </row>
    <row r="972" spans="1:33" x14ac:dyDescent="0.35">
      <c r="A972" s="32">
        <f t="shared" si="109"/>
        <v>970</v>
      </c>
      <c r="B972" s="65">
        <v>46146</v>
      </c>
      <c r="C972" s="65">
        <v>46150</v>
      </c>
      <c r="D972" s="66" t="s">
        <v>38</v>
      </c>
      <c r="E972" s="66" t="s">
        <v>39</v>
      </c>
      <c r="F972" s="67" t="s">
        <v>62</v>
      </c>
      <c r="G972" s="66"/>
      <c r="H972" s="10" t="s">
        <v>684</v>
      </c>
      <c r="I972" s="67" t="str">
        <f>VLOOKUP(Table46[[#This Row],[SUPPLIERS NAME]],[1]AGING!X$3:Y$80,2,)</f>
        <v>LBA-021-SAN</v>
      </c>
      <c r="J972" s="10" t="s">
        <v>1025</v>
      </c>
      <c r="K972" s="66"/>
      <c r="L972" s="10">
        <v>441</v>
      </c>
      <c r="M972" s="66">
        <v>89077</v>
      </c>
      <c r="N972" s="10">
        <v>590</v>
      </c>
      <c r="O972" s="22">
        <v>47800</v>
      </c>
      <c r="P972" s="51">
        <f>Table46[[#This Row],[GROSS WT KGS]]-Table46[[#This Row],[SACS]]</f>
        <v>47210</v>
      </c>
      <c r="Q972" s="10">
        <v>580</v>
      </c>
      <c r="R972" s="10">
        <v>0</v>
      </c>
      <c r="S972" s="122">
        <v>10</v>
      </c>
      <c r="T972" s="10">
        <f t="shared" si="108"/>
        <v>40</v>
      </c>
      <c r="U972" s="22">
        <f>Table46[[#This Row],[NET WT KGS]]-Table46[[#This Row],[Refraction]]</f>
        <v>47170</v>
      </c>
      <c r="V972" s="69">
        <v>495</v>
      </c>
      <c r="W972" s="23">
        <f>Table46[[#This Row],[PRICE]]*Table46[[#This Row],[PAID WT]]</f>
        <v>23349150</v>
      </c>
      <c r="X972" s="24">
        <v>8.5</v>
      </c>
      <c r="Y972" s="25">
        <v>183</v>
      </c>
      <c r="Z972" s="24">
        <v>43.65</v>
      </c>
      <c r="AA972" s="26"/>
      <c r="AB972" s="10" t="s">
        <v>1026</v>
      </c>
      <c r="AC972" s="27" t="s">
        <v>720</v>
      </c>
      <c r="AD972" s="28"/>
      <c r="AE972" s="18">
        <f>Table46[[#This Row],[MOIS.]]*Table46[[#This Row],[NET WT KGS]]</f>
        <v>401285</v>
      </c>
      <c r="AF972" s="18">
        <f>Table46[[#This Row],[KOR]]*Table46[[#This Row],[NET WT KGS]]</f>
        <v>2060716.5</v>
      </c>
      <c r="AG972">
        <f>Table46[[#This Row],[NET WT KGS]]*Table46[[#This Row],[NUT COUNT]]</f>
        <v>8639430</v>
      </c>
    </row>
    <row r="973" spans="1:33" x14ac:dyDescent="0.35">
      <c r="A973" s="32">
        <f t="shared" si="109"/>
        <v>971</v>
      </c>
      <c r="B973" s="65">
        <v>46149</v>
      </c>
      <c r="C973" s="65">
        <v>46150</v>
      </c>
      <c r="D973" s="66" t="s">
        <v>38</v>
      </c>
      <c r="E973" s="66" t="s">
        <v>39</v>
      </c>
      <c r="F973" s="67" t="s">
        <v>62</v>
      </c>
      <c r="G973" s="66"/>
      <c r="H973" s="116" t="s">
        <v>128</v>
      </c>
      <c r="I973" s="67" t="str">
        <f>VLOOKUP(Table46[[#This Row],[SUPPLIERS NAME]],[1]AGING!X$3:Y$80,2,)</f>
        <v>LBA-002-SCA</v>
      </c>
      <c r="J973" s="66" t="s">
        <v>803</v>
      </c>
      <c r="K973" s="21" t="s">
        <v>1011</v>
      </c>
      <c r="L973" s="66">
        <v>442</v>
      </c>
      <c r="M973" s="10">
        <v>78898</v>
      </c>
      <c r="N973" s="66">
        <v>524</v>
      </c>
      <c r="O973" s="68">
        <v>41140</v>
      </c>
      <c r="P973" s="51">
        <f>Table46[[#This Row],[GROSS WT KGS]]-Table46[[#This Row],[SACS]]</f>
        <v>40616</v>
      </c>
      <c r="Q973" s="66">
        <v>514</v>
      </c>
      <c r="R973" s="66">
        <v>0</v>
      </c>
      <c r="S973" s="123">
        <v>14</v>
      </c>
      <c r="T973" s="10">
        <f t="shared" si="108"/>
        <v>56</v>
      </c>
      <c r="U973" s="68">
        <f>Table46[[#This Row],[NET WT KGS]]-Table46[[#This Row],[Refraction]]</f>
        <v>40560</v>
      </c>
      <c r="V973" s="69">
        <v>454</v>
      </c>
      <c r="W973" s="69">
        <f>Table46[[#This Row],[PRICE]]*Table46[[#This Row],[PAID WT]]</f>
        <v>18414240</v>
      </c>
      <c r="X973" s="70">
        <v>9.8000000000000007</v>
      </c>
      <c r="Y973" s="71">
        <v>180</v>
      </c>
      <c r="Z973" s="70">
        <v>42.15</v>
      </c>
      <c r="AA973" s="72"/>
      <c r="AB973" s="66" t="s">
        <v>132</v>
      </c>
      <c r="AC973" s="73"/>
      <c r="AD973" s="85"/>
      <c r="AE973" s="18">
        <f>Table46[[#This Row],[MOIS.]]*Table46[[#This Row],[NET WT KGS]]</f>
        <v>398036.80000000005</v>
      </c>
      <c r="AF973" s="18">
        <f>Table46[[#This Row],[KOR]]*Table46[[#This Row],[NET WT KGS]]</f>
        <v>1711964.4</v>
      </c>
      <c r="AG973">
        <f>Table46[[#This Row],[NET WT KGS]]*Table46[[#This Row],[NUT COUNT]]</f>
        <v>7310880</v>
      </c>
    </row>
    <row r="974" spans="1:33" x14ac:dyDescent="0.35">
      <c r="A974" s="32">
        <f t="shared" si="109"/>
        <v>972</v>
      </c>
      <c r="B974" s="65">
        <v>46150</v>
      </c>
      <c r="C974" s="65">
        <v>46150</v>
      </c>
      <c r="D974" s="66" t="s">
        <v>38</v>
      </c>
      <c r="E974" s="66" t="s">
        <v>258</v>
      </c>
      <c r="F974" s="67" t="s">
        <v>62</v>
      </c>
      <c r="G974" s="66"/>
      <c r="H974" s="67" t="s">
        <v>392</v>
      </c>
      <c r="I974" s="67" t="str">
        <f>VLOOKUP(Table46[[#This Row],[SUPPLIERS NAME]],[1]AGING!X$3:Y$80,2,)</f>
        <v>DIS-026-MOA</v>
      </c>
      <c r="J974" s="66" t="s">
        <v>1027</v>
      </c>
      <c r="K974" s="21" t="s">
        <v>694</v>
      </c>
      <c r="L974" s="66">
        <v>443</v>
      </c>
      <c r="M974" s="10">
        <v>31509</v>
      </c>
      <c r="N974" s="66">
        <v>588</v>
      </c>
      <c r="O974" s="68">
        <v>49150</v>
      </c>
      <c r="P974" s="51">
        <f>Table46[[#This Row],[GROSS WT KGS]]-Table46[[#This Row],[SACS]]</f>
        <v>48562</v>
      </c>
      <c r="Q974" s="66">
        <v>548</v>
      </c>
      <c r="R974" s="66">
        <v>40</v>
      </c>
      <c r="S974" s="123">
        <v>0</v>
      </c>
      <c r="T974" s="10">
        <f t="shared" si="108"/>
        <v>320</v>
      </c>
      <c r="U974" s="68">
        <f>Table46[[#This Row],[NET WT KGS]]-Table46[[#This Row],[Refraction]]</f>
        <v>48242</v>
      </c>
      <c r="V974" s="69">
        <v>454</v>
      </c>
      <c r="W974" s="69">
        <f>Table46[[#This Row],[PRICE]]*Table46[[#This Row],[PAID WT]]</f>
        <v>21901868</v>
      </c>
      <c r="X974" s="70">
        <v>11.2</v>
      </c>
      <c r="Y974" s="71">
        <v>178</v>
      </c>
      <c r="Z974" s="70">
        <v>43.21</v>
      </c>
      <c r="AA974" s="72"/>
      <c r="AB974" s="66" t="s">
        <v>324</v>
      </c>
      <c r="AC974" s="73"/>
      <c r="AD974" s="85"/>
      <c r="AE974" s="18">
        <f>Table46[[#This Row],[MOIS.]]*Table46[[#This Row],[NET WT KGS]]</f>
        <v>543894.4</v>
      </c>
      <c r="AF974" s="18">
        <f>Table46[[#This Row],[KOR]]*Table46[[#This Row],[NET WT KGS]]</f>
        <v>2098364.02</v>
      </c>
      <c r="AG974">
        <f>Table46[[#This Row],[NET WT KGS]]*Table46[[#This Row],[NUT COUNT]]</f>
        <v>8644036</v>
      </c>
    </row>
    <row r="975" spans="1:33" x14ac:dyDescent="0.35">
      <c r="A975" s="32">
        <f t="shared" si="109"/>
        <v>973</v>
      </c>
      <c r="B975" s="20">
        <v>46157</v>
      </c>
      <c r="C975" s="20">
        <v>46157</v>
      </c>
      <c r="D975" s="66" t="s">
        <v>38</v>
      </c>
      <c r="E975" s="66" t="s">
        <v>258</v>
      </c>
      <c r="F975" s="67" t="s">
        <v>62</v>
      </c>
      <c r="G975" s="66"/>
      <c r="H975" s="67" t="s">
        <v>392</v>
      </c>
      <c r="I975" s="67" t="str">
        <f>VLOOKUP(Table46[[#This Row],[SUPPLIERS NAME]],[1]AGING!X$3:Y$80,2,)</f>
        <v>DIS-026-MOA</v>
      </c>
      <c r="J975" s="10" t="s">
        <v>1028</v>
      </c>
      <c r="K975" s="21" t="s">
        <v>694</v>
      </c>
      <c r="L975" s="10">
        <v>444</v>
      </c>
      <c r="M975" s="66">
        <v>31510</v>
      </c>
      <c r="N975" s="10">
        <v>536</v>
      </c>
      <c r="O975" s="22">
        <v>43350</v>
      </c>
      <c r="P975" s="51">
        <f>Table46[[#This Row],[GROSS WT KGS]]-Table46[[#This Row],[SACS]]</f>
        <v>42814</v>
      </c>
      <c r="Q975" s="10">
        <v>536</v>
      </c>
      <c r="R975" s="10">
        <v>0</v>
      </c>
      <c r="S975" s="124">
        <v>0</v>
      </c>
      <c r="T975" s="10">
        <f t="shared" si="108"/>
        <v>0</v>
      </c>
      <c r="U975" s="22">
        <f>Table46[[#This Row],[NET WT KGS]]-Table46[[#This Row],[Refraction]]</f>
        <v>42814</v>
      </c>
      <c r="V975" s="23">
        <v>420</v>
      </c>
      <c r="W975" s="23">
        <f>Table46[[#This Row],[PRICE]]*Table46[[#This Row],[PAID WT]]</f>
        <v>17981880</v>
      </c>
      <c r="X975" s="24">
        <v>9.8000000000000007</v>
      </c>
      <c r="Y975" s="25">
        <v>168</v>
      </c>
      <c r="Z975" s="24">
        <v>43.12</v>
      </c>
      <c r="AA975" s="26"/>
      <c r="AB975" s="10" t="s">
        <v>324</v>
      </c>
      <c r="AC975" s="27"/>
      <c r="AD975" s="28"/>
      <c r="AE975" s="18">
        <f>Table46[[#This Row],[MOIS.]]*Table46[[#This Row],[NET WT KGS]]</f>
        <v>419577.2</v>
      </c>
      <c r="AF975" s="18">
        <f>Table46[[#This Row],[KOR]]*Table46[[#This Row],[NET WT KGS]]</f>
        <v>1846139.68</v>
      </c>
      <c r="AG975">
        <f>Table46[[#This Row],[NET WT KGS]]*Table46[[#This Row],[NUT COUNT]]</f>
        <v>7192752</v>
      </c>
    </row>
    <row r="976" spans="1:33" x14ac:dyDescent="0.35">
      <c r="A976" s="32">
        <f t="shared" si="109"/>
        <v>974</v>
      </c>
      <c r="B976" s="20">
        <v>46162</v>
      </c>
      <c r="C976" s="20">
        <v>46162</v>
      </c>
      <c r="D976" s="66" t="s">
        <v>38</v>
      </c>
      <c r="E976" s="10" t="s">
        <v>258</v>
      </c>
      <c r="F976" s="67" t="s">
        <v>62</v>
      </c>
      <c r="G976" s="67"/>
      <c r="H976" s="50" t="s">
        <v>392</v>
      </c>
      <c r="I976" s="67" t="str">
        <f>VLOOKUP(Table46[[#This Row],[SUPPLIERS NAME]],[1]AGING!X$3:Y$80,2,)</f>
        <v>DIS-026-MOA</v>
      </c>
      <c r="J976" s="10" t="s">
        <v>1029</v>
      </c>
      <c r="K976" s="21" t="s">
        <v>694</v>
      </c>
      <c r="L976" s="10">
        <v>445</v>
      </c>
      <c r="M976" s="66">
        <v>31512</v>
      </c>
      <c r="N976" s="10">
        <v>551</v>
      </c>
      <c r="O976" s="22">
        <v>39750</v>
      </c>
      <c r="P976" s="51">
        <f>Table46[[#This Row],[GROSS WT KGS]]-Table46[[#This Row],[SACS]]</f>
        <v>39199</v>
      </c>
      <c r="Q976" s="10">
        <v>526</v>
      </c>
      <c r="R976" s="10">
        <v>0</v>
      </c>
      <c r="S976" s="124">
        <v>25</v>
      </c>
      <c r="T976" s="10">
        <f t="shared" si="108"/>
        <v>100</v>
      </c>
      <c r="U976" s="22">
        <f>Table46[[#This Row],[NET WT KGS]]-Table46[[#This Row],[Refraction]]</f>
        <v>39099</v>
      </c>
      <c r="V976" s="23">
        <v>420</v>
      </c>
      <c r="W976" s="23">
        <f>Table46[[#This Row],[PRICE]]*Table46[[#This Row],[PAID WT]]</f>
        <v>16421580</v>
      </c>
      <c r="X976" s="24">
        <v>10.8</v>
      </c>
      <c r="Y976" s="25">
        <v>181</v>
      </c>
      <c r="Z976" s="24">
        <v>41.97</v>
      </c>
      <c r="AA976" s="26"/>
      <c r="AB976" s="10" t="s">
        <v>1030</v>
      </c>
      <c r="AC976" s="27"/>
      <c r="AD976" s="28"/>
      <c r="AE976" s="18">
        <f>Table46[[#This Row],[MOIS.]]*Table46[[#This Row],[NET WT KGS]]</f>
        <v>423349.2</v>
      </c>
      <c r="AF976" s="18">
        <f>Table46[[#This Row],[KOR]]*Table46[[#This Row],[NET WT KGS]]</f>
        <v>1645182.03</v>
      </c>
      <c r="AG976">
        <f>Table46[[#This Row],[NET WT KGS]]*Table46[[#This Row],[NUT COUNT]]</f>
        <v>7095019</v>
      </c>
    </row>
    <row r="977" spans="1:36" x14ac:dyDescent="0.35">
      <c r="A977" s="32">
        <f t="shared" si="109"/>
        <v>975</v>
      </c>
      <c r="B977" s="20">
        <v>46162</v>
      </c>
      <c r="C977" s="20">
        <v>46163</v>
      </c>
      <c r="D977" s="66" t="s">
        <v>38</v>
      </c>
      <c r="E977" s="10" t="s">
        <v>258</v>
      </c>
      <c r="F977" s="67" t="s">
        <v>62</v>
      </c>
      <c r="G977" s="67"/>
      <c r="H977" s="50" t="s">
        <v>392</v>
      </c>
      <c r="I977" s="67" t="str">
        <f>VLOOKUP(Table46[[#This Row],[SUPPLIERS NAME]],[1]AGING!X$3:Y$80,2,)</f>
        <v>DIS-026-MOA</v>
      </c>
      <c r="J977" s="10" t="s">
        <v>1031</v>
      </c>
      <c r="K977" s="21" t="s">
        <v>694</v>
      </c>
      <c r="L977" s="10">
        <v>446</v>
      </c>
      <c r="M977" s="66">
        <v>31511</v>
      </c>
      <c r="N977" s="10">
        <v>467</v>
      </c>
      <c r="O977" s="22">
        <v>37920</v>
      </c>
      <c r="P977" s="51">
        <f>Table46[[#This Row],[GROSS WT KGS]]-Table46[[#This Row],[SACS]]</f>
        <v>37453</v>
      </c>
      <c r="Q977" s="10">
        <v>417</v>
      </c>
      <c r="R977" s="10">
        <v>0</v>
      </c>
      <c r="S977" s="124">
        <v>50</v>
      </c>
      <c r="T977" s="10">
        <f t="shared" si="108"/>
        <v>200</v>
      </c>
      <c r="U977" s="22">
        <f>Table46[[#This Row],[NET WT KGS]]-Table46[[#This Row],[Refraction]]</f>
        <v>37253</v>
      </c>
      <c r="V977" s="23">
        <v>415</v>
      </c>
      <c r="W977" s="23">
        <f>Table46[[#This Row],[PRICE]]*Table46[[#This Row],[PAID WT]]</f>
        <v>15459995</v>
      </c>
      <c r="X977" s="24">
        <v>11.2</v>
      </c>
      <c r="Y977" s="25">
        <v>173</v>
      </c>
      <c r="Z977" s="24">
        <v>41.35</v>
      </c>
      <c r="AA977" s="26"/>
      <c r="AB977" s="10" t="s">
        <v>1030</v>
      </c>
      <c r="AC977" s="27"/>
      <c r="AD977" s="28"/>
      <c r="AE977" s="18">
        <f>Table46[[#This Row],[MOIS.]]*Table46[[#This Row],[NET WT KGS]]</f>
        <v>419473.6</v>
      </c>
      <c r="AF977" s="18">
        <f>Table46[[#This Row],[KOR]]*Table46[[#This Row],[NET WT KGS]]</f>
        <v>1548681.55</v>
      </c>
      <c r="AG977">
        <f>Table46[[#This Row],[NET WT KGS]]*Table46[[#This Row],[NUT COUNT]]</f>
        <v>6479369</v>
      </c>
    </row>
    <row r="978" spans="1:36" x14ac:dyDescent="0.35">
      <c r="A978" s="148">
        <f t="shared" si="109"/>
        <v>976</v>
      </c>
      <c r="B978" s="20">
        <v>46163</v>
      </c>
      <c r="C978" s="20">
        <v>46163</v>
      </c>
      <c r="D978" s="66" t="s">
        <v>38</v>
      </c>
      <c r="E978" s="10" t="s">
        <v>258</v>
      </c>
      <c r="F978" s="67" t="s">
        <v>62</v>
      </c>
      <c r="G978" s="67"/>
      <c r="H978" s="66" t="s">
        <v>922</v>
      </c>
      <c r="I978" s="67" t="str">
        <f>VLOOKUP(Table46[[#This Row],[SUPPLIERS NAME]],[1]AGING!X$3:Y$80,2,)</f>
        <v>DIS-039-ADD</v>
      </c>
      <c r="J978" s="66" t="s">
        <v>1032</v>
      </c>
      <c r="K978" s="21" t="s">
        <v>924</v>
      </c>
      <c r="L978" s="66">
        <v>447</v>
      </c>
      <c r="M978" s="66">
        <v>35056</v>
      </c>
      <c r="N978" s="66">
        <v>516</v>
      </c>
      <c r="O978" s="68">
        <v>45840</v>
      </c>
      <c r="P978" s="51">
        <f>Table46[[#This Row],[GROSS WT KGS]]-Table46[[#This Row],[SACS]]</f>
        <v>45324</v>
      </c>
      <c r="Q978" s="66">
        <v>476</v>
      </c>
      <c r="R978" s="10">
        <v>0</v>
      </c>
      <c r="S978" s="66">
        <v>40</v>
      </c>
      <c r="T978" s="10">
        <f t="shared" si="108"/>
        <v>160</v>
      </c>
      <c r="U978" s="68">
        <f>Table46[[#This Row],[NET WT KGS]]-Table46[[#This Row],[Refraction]]</f>
        <v>45164</v>
      </c>
      <c r="V978" s="69">
        <v>420</v>
      </c>
      <c r="W978" s="69">
        <f>Table46[[#This Row],[PRICE]]*Table46[[#This Row],[PAID WT]]</f>
        <v>18968880</v>
      </c>
      <c r="X978" s="70">
        <v>9.8000000000000007</v>
      </c>
      <c r="Y978" s="71">
        <v>178</v>
      </c>
      <c r="Z978" s="70">
        <v>42.41</v>
      </c>
      <c r="AA978" s="72"/>
      <c r="AB978" s="66" t="s">
        <v>967</v>
      </c>
      <c r="AC978" s="73"/>
      <c r="AD978" s="85"/>
      <c r="AE978" s="18">
        <f>Table46[[#This Row],[MOIS.]]*Table46[[#This Row],[NET WT KGS]]</f>
        <v>444175.2</v>
      </c>
      <c r="AF978" s="18">
        <f>Table46[[#This Row],[KOR]]*Table46[[#This Row],[NET WT KGS]]</f>
        <v>1922190.8399999999</v>
      </c>
      <c r="AG978">
        <f>Table46[[#This Row],[NET WT KGS]]*Table46[[#This Row],[NUT COUNT]]</f>
        <v>8067672</v>
      </c>
    </row>
    <row r="979" spans="1:36" x14ac:dyDescent="0.35">
      <c r="A979" s="32">
        <f t="shared" si="109"/>
        <v>977</v>
      </c>
      <c r="B979" s="20">
        <v>46168</v>
      </c>
      <c r="C979" s="20">
        <v>46168</v>
      </c>
      <c r="D979" s="66" t="s">
        <v>38</v>
      </c>
      <c r="E979" s="10" t="s">
        <v>258</v>
      </c>
      <c r="F979" s="67" t="s">
        <v>62</v>
      </c>
      <c r="G979" s="67"/>
      <c r="H979" s="10" t="s">
        <v>724</v>
      </c>
      <c r="I979" s="67" t="str">
        <f>VLOOKUP(Table46[[#This Row],[SUPPLIERS NAME]],[1]AGING!X$3:Y$80,2,)</f>
        <v>DIS-029-CPA</v>
      </c>
      <c r="J979" s="10" t="s">
        <v>725</v>
      </c>
      <c r="K979" s="21" t="str">
        <f>VLOOKUP(Table46[[#This Row],[LBA CODE]],AP$2:AQ$76,2,0)</f>
        <v>0429-0462</v>
      </c>
      <c r="L979" s="10">
        <v>448</v>
      </c>
      <c r="M979" s="66">
        <v>87036</v>
      </c>
      <c r="N979" s="10">
        <v>710</v>
      </c>
      <c r="O979" s="22">
        <v>55860</v>
      </c>
      <c r="P979" s="51">
        <f>Table46[[#This Row],[GROSS WT KGS]]-Table46[[#This Row],[SACS]]</f>
        <v>55150</v>
      </c>
      <c r="Q979" s="10">
        <v>690</v>
      </c>
      <c r="R979" s="10">
        <v>0</v>
      </c>
      <c r="S979" s="10">
        <v>20</v>
      </c>
      <c r="T979" s="10">
        <f t="shared" si="108"/>
        <v>80</v>
      </c>
      <c r="U979" s="22">
        <f>Table46[[#This Row],[NET WT KGS]]-Table46[[#This Row],[Refraction]]</f>
        <v>55070</v>
      </c>
      <c r="V979" s="69">
        <v>420</v>
      </c>
      <c r="W979" s="23">
        <f>Table46[[#This Row],[PRICE]]*Table46[[#This Row],[PAID WT]]</f>
        <v>23129400</v>
      </c>
      <c r="X979" s="24">
        <v>9.1</v>
      </c>
      <c r="Y979" s="25">
        <v>180</v>
      </c>
      <c r="Z979" s="24">
        <v>42.15</v>
      </c>
      <c r="AA979" s="26"/>
      <c r="AB979" s="10" t="s">
        <v>132</v>
      </c>
      <c r="AC979" s="27"/>
      <c r="AD979" s="28"/>
      <c r="AE979" s="18">
        <f>Table46[[#This Row],[MOIS.]]*Table46[[#This Row],[NET WT KGS]]</f>
        <v>501865</v>
      </c>
      <c r="AF979" s="18">
        <f>Table46[[#This Row],[KOR]]*Table46[[#This Row],[NET WT KGS]]</f>
        <v>2324572.5</v>
      </c>
      <c r="AG979">
        <f>Table46[[#This Row],[NET WT KGS]]*Table46[[#This Row],[NUT COUNT]]</f>
        <v>9927000</v>
      </c>
    </row>
    <row r="980" spans="1:36" x14ac:dyDescent="0.35">
      <c r="A980" s="32">
        <f t="shared" si="109"/>
        <v>978</v>
      </c>
      <c r="B980" s="20">
        <v>46172</v>
      </c>
      <c r="C980" s="20">
        <v>46173</v>
      </c>
      <c r="D980" s="66" t="s">
        <v>38</v>
      </c>
      <c r="E980" s="10" t="s">
        <v>258</v>
      </c>
      <c r="F980" s="67" t="s">
        <v>62</v>
      </c>
      <c r="G980" s="149"/>
      <c r="H980" s="10" t="s">
        <v>724</v>
      </c>
      <c r="I980" s="67" t="str">
        <f>VLOOKUP(Table46[[#This Row],[SUPPLIERS NAME]],[1]AGING!X$3:Y$80,2,)</f>
        <v>DIS-029-CPA</v>
      </c>
      <c r="J980" s="10" t="s">
        <v>725</v>
      </c>
      <c r="K980" s="21" t="str">
        <f>VLOOKUP(Table46[[#This Row],[LBA CODE]],AP$2:AQ$76,2,0)</f>
        <v>0429-0462</v>
      </c>
      <c r="L980" s="10">
        <v>449</v>
      </c>
      <c r="M980" s="66">
        <v>87130</v>
      </c>
      <c r="N980" s="10">
        <v>734</v>
      </c>
      <c r="O980" s="22">
        <v>56200</v>
      </c>
      <c r="P980" s="51">
        <f>Table46[[#This Row],[GROSS WT KGS]]-Table46[[#This Row],[SACS]]</f>
        <v>55466</v>
      </c>
      <c r="Q980" s="150">
        <v>724</v>
      </c>
      <c r="R980" s="10">
        <v>0</v>
      </c>
      <c r="S980" s="10">
        <v>10</v>
      </c>
      <c r="T980" s="10">
        <f t="shared" si="108"/>
        <v>40</v>
      </c>
      <c r="U980" s="22">
        <f>Table46[[#This Row],[NET WT KGS]]-Table46[[#This Row],[Refraction]]</f>
        <v>55426</v>
      </c>
      <c r="V980" s="23">
        <v>420</v>
      </c>
      <c r="W980" s="23">
        <f>Table46[[#This Row],[PRICE]]*Table46[[#This Row],[PAID WT]]</f>
        <v>23278920</v>
      </c>
      <c r="X980" s="24">
        <v>10.1</v>
      </c>
      <c r="Y980" s="25">
        <v>164</v>
      </c>
      <c r="Z980" s="24">
        <v>41.88</v>
      </c>
      <c r="AA980" s="26"/>
      <c r="AB980" s="10" t="s">
        <v>132</v>
      </c>
      <c r="AC980" s="27"/>
      <c r="AD980" s="28"/>
      <c r="AE980" s="18">
        <f>Table46[[#This Row],[MOIS.]]*Table46[[#This Row],[NET WT KGS]]</f>
        <v>560206.6</v>
      </c>
      <c r="AF980" s="18">
        <f>Table46[[#This Row],[KOR]]*Table46[[#This Row],[NET WT KGS]]</f>
        <v>2322916.08</v>
      </c>
      <c r="AG980">
        <f>Table46[[#This Row],[NET WT KGS]]*Table46[[#This Row],[NUT COUNT]]</f>
        <v>9096424</v>
      </c>
    </row>
    <row r="981" spans="1:36" x14ac:dyDescent="0.35">
      <c r="A981" s="32">
        <f t="shared" si="109"/>
        <v>979</v>
      </c>
      <c r="B981" s="20">
        <v>46185</v>
      </c>
      <c r="C981" s="20">
        <v>46186</v>
      </c>
      <c r="D981" s="66" t="s">
        <v>38</v>
      </c>
      <c r="E981" s="10" t="s">
        <v>258</v>
      </c>
      <c r="F981" s="67" t="s">
        <v>62</v>
      </c>
      <c r="G981" s="149"/>
      <c r="H981" s="66" t="s">
        <v>413</v>
      </c>
      <c r="I981" s="67" t="str">
        <f>VLOOKUP(Table46[[#This Row],[SUPPLIERS NAME]],[1]AGING!X$3:Y$80,2,)</f>
        <v>DIS-010-SAH</v>
      </c>
      <c r="J981" s="10" t="s">
        <v>1033</v>
      </c>
      <c r="K981" s="21" t="s">
        <v>792</v>
      </c>
      <c r="L981" s="10">
        <v>952</v>
      </c>
      <c r="M981" s="66">
        <v>30581</v>
      </c>
      <c r="N981" s="10">
        <v>523</v>
      </c>
      <c r="O981" s="22">
        <v>37730</v>
      </c>
      <c r="P981" s="51">
        <f>Table46[[#This Row],[GROSS WT KGS]]-Table46[[#This Row],[SACS]]</f>
        <v>37207</v>
      </c>
      <c r="Q981" s="150">
        <v>513</v>
      </c>
      <c r="R981" s="10">
        <v>0</v>
      </c>
      <c r="S981" s="10">
        <v>10</v>
      </c>
      <c r="T981" s="10">
        <f t="shared" si="108"/>
        <v>40</v>
      </c>
      <c r="U981" s="22">
        <f>Table46[[#This Row],[NET WT KGS]]-Table46[[#This Row],[Refraction]]</f>
        <v>37167</v>
      </c>
      <c r="V981" s="23">
        <v>370</v>
      </c>
      <c r="W981" s="23">
        <f>Table46[[#This Row],[PRICE]]*Table46[[#This Row],[PAID WT]]</f>
        <v>13751790</v>
      </c>
      <c r="X981" s="24">
        <v>10</v>
      </c>
      <c r="Y981" s="25">
        <v>183</v>
      </c>
      <c r="Z981" s="24">
        <v>39.85</v>
      </c>
      <c r="AA981" s="26"/>
      <c r="AB981" s="10" t="s">
        <v>415</v>
      </c>
      <c r="AC981" s="27"/>
      <c r="AD981" s="28"/>
      <c r="AE981" s="18">
        <f>Table46[[#This Row],[MOIS.]]*Table46[[#This Row],[NET WT KGS]]</f>
        <v>372070</v>
      </c>
      <c r="AF981" s="18">
        <f>Table46[[#This Row],[KOR]]*Table46[[#This Row],[NET WT KGS]]</f>
        <v>1482698.95</v>
      </c>
      <c r="AG981">
        <f>Table46[[#This Row],[NET WT KGS]]*Table46[[#This Row],[NUT COUNT]]</f>
        <v>6808881</v>
      </c>
    </row>
    <row r="982" spans="1:36" x14ac:dyDescent="0.35">
      <c r="A982" s="148">
        <f t="shared" si="109"/>
        <v>980</v>
      </c>
      <c r="B982" s="20">
        <v>46185</v>
      </c>
      <c r="C982" s="20">
        <v>46186</v>
      </c>
      <c r="D982" s="66" t="s">
        <v>38</v>
      </c>
      <c r="E982" s="10" t="s">
        <v>258</v>
      </c>
      <c r="F982" s="67" t="s">
        <v>62</v>
      </c>
      <c r="G982" s="149"/>
      <c r="H982" s="66" t="s">
        <v>603</v>
      </c>
      <c r="I982" s="67" t="str">
        <f>VLOOKUP(Table46[[#This Row],[SUPPLIERS NAME]],[1]AGING!X$3:Y$80,2,)</f>
        <v>DIS-023-ICF</v>
      </c>
      <c r="J982" s="66" t="s">
        <v>1034</v>
      </c>
      <c r="K982" s="21" t="str">
        <f>VLOOKUP(Table46[[#This Row],[LBA CODE]],AP$2:AQ$76,2,0)</f>
        <v>0401-0177</v>
      </c>
      <c r="L982" s="66">
        <v>953</v>
      </c>
      <c r="M982" s="66">
        <v>87102</v>
      </c>
      <c r="N982" s="66">
        <v>524</v>
      </c>
      <c r="O982" s="68">
        <v>34490</v>
      </c>
      <c r="P982" s="51">
        <f>Table46[[#This Row],[GROSS WT KGS]]-Table46[[#This Row],[SACS]]</f>
        <v>33966</v>
      </c>
      <c r="Q982" s="151">
        <v>519</v>
      </c>
      <c r="R982" s="10">
        <v>0</v>
      </c>
      <c r="S982" s="66">
        <v>5</v>
      </c>
      <c r="T982" s="10">
        <f t="shared" si="108"/>
        <v>20</v>
      </c>
      <c r="U982" s="68">
        <f>Table46[[#This Row],[NET WT KGS]]-Table46[[#This Row],[Refraction]]</f>
        <v>33946</v>
      </c>
      <c r="V982" s="69">
        <v>360</v>
      </c>
      <c r="W982" s="69">
        <f>Table46[[#This Row],[PRICE]]*Table46[[#This Row],[PAID WT]]</f>
        <v>12220560</v>
      </c>
      <c r="X982" s="70">
        <v>9.6</v>
      </c>
      <c r="Y982" s="71">
        <v>178</v>
      </c>
      <c r="Z982" s="70">
        <v>38.44</v>
      </c>
      <c r="AA982" s="72"/>
      <c r="AB982" s="10" t="s">
        <v>606</v>
      </c>
      <c r="AC982" s="73"/>
      <c r="AD982" s="85"/>
      <c r="AE982" s="18">
        <f>Table46[[#This Row],[MOIS.]]*Table46[[#This Row],[NET WT KGS]]</f>
        <v>326073.59999999998</v>
      </c>
      <c r="AF982" s="18">
        <f>Table46[[#This Row],[KOR]]*Table46[[#This Row],[NET WT KGS]]</f>
        <v>1305653.04</v>
      </c>
      <c r="AG982">
        <f>Table46[[#This Row],[NET WT KGS]]*Table46[[#This Row],[NUT COUNT]]</f>
        <v>6045948</v>
      </c>
    </row>
    <row r="983" spans="1:36" x14ac:dyDescent="0.35">
      <c r="A983" s="32">
        <f t="shared" si="109"/>
        <v>981</v>
      </c>
      <c r="B983" s="20">
        <v>46191</v>
      </c>
      <c r="C983" s="20">
        <v>46191</v>
      </c>
      <c r="D983" s="66" t="s">
        <v>38</v>
      </c>
      <c r="E983" s="10" t="s">
        <v>258</v>
      </c>
      <c r="F983" s="67" t="s">
        <v>62</v>
      </c>
      <c r="G983" s="149"/>
      <c r="H983" s="66" t="s">
        <v>413</v>
      </c>
      <c r="I983" s="67" t="str">
        <f>VLOOKUP(Table46[[#This Row],[SUPPLIERS NAME]],[1]AGING!X$3:Y$80,2,)</f>
        <v>DIS-010-SAH</v>
      </c>
      <c r="J983" s="10" t="s">
        <v>1035</v>
      </c>
      <c r="K983" s="21" t="s">
        <v>792</v>
      </c>
      <c r="L983" s="10">
        <v>954</v>
      </c>
      <c r="M983" s="66">
        <v>28967</v>
      </c>
      <c r="N983" s="10">
        <v>346</v>
      </c>
      <c r="O983" s="22">
        <v>28220</v>
      </c>
      <c r="P983" s="51">
        <f>Table46[[#This Row],[GROSS WT KGS]]-Table46[[#This Row],[SACS]]</f>
        <v>27874</v>
      </c>
      <c r="Q983" s="150">
        <v>342</v>
      </c>
      <c r="R983" s="10">
        <v>0</v>
      </c>
      <c r="S983" s="10">
        <v>4</v>
      </c>
      <c r="T983" s="10">
        <f t="shared" si="108"/>
        <v>16</v>
      </c>
      <c r="U983" s="22">
        <f>Table46[[#This Row],[NET WT KGS]]-Table46[[#This Row],[Refraction]]</f>
        <v>27858</v>
      </c>
      <c r="V983" s="23">
        <v>330</v>
      </c>
      <c r="W983" s="23">
        <f>Table46[[#This Row],[PRICE]]*Table46[[#This Row],[PAID WT]]</f>
        <v>9193140</v>
      </c>
      <c r="X983" s="24">
        <v>9.5</v>
      </c>
      <c r="Y983" s="25">
        <v>185</v>
      </c>
      <c r="Z983" s="24">
        <v>37.03</v>
      </c>
      <c r="AA983" s="26"/>
      <c r="AB983" s="10" t="s">
        <v>1036</v>
      </c>
      <c r="AC983" s="27"/>
      <c r="AD983" s="28"/>
      <c r="AE983" s="18">
        <f>Table46[[#This Row],[MOIS.]]*Table46[[#This Row],[NET WT KGS]]</f>
        <v>264803</v>
      </c>
      <c r="AF983" s="18">
        <f>Table46[[#This Row],[KOR]]*Table46[[#This Row],[NET WT KGS]]</f>
        <v>1032174.2200000001</v>
      </c>
      <c r="AG983">
        <f>Table46[[#This Row],[NET WT KGS]]*Table46[[#This Row],[NUT COUNT]]</f>
        <v>5156690</v>
      </c>
    </row>
    <row r="984" spans="1:36" x14ac:dyDescent="0.35">
      <c r="A984" s="32">
        <f t="shared" si="109"/>
        <v>982</v>
      </c>
      <c r="B984" s="20">
        <v>46199</v>
      </c>
      <c r="C984" s="20">
        <v>46199</v>
      </c>
      <c r="D984" s="66" t="s">
        <v>38</v>
      </c>
      <c r="E984" s="10" t="s">
        <v>258</v>
      </c>
      <c r="F984" s="67" t="s">
        <v>62</v>
      </c>
      <c r="G984" s="149"/>
      <c r="H984" s="10" t="s">
        <v>1037</v>
      </c>
      <c r="I984" s="67" t="s">
        <v>1038</v>
      </c>
      <c r="J984" s="10" t="s">
        <v>1039</v>
      </c>
      <c r="K984" s="66" t="s">
        <v>1040</v>
      </c>
      <c r="L984" s="10">
        <v>955</v>
      </c>
      <c r="M984" s="66">
        <v>87080</v>
      </c>
      <c r="N984" s="10">
        <v>473</v>
      </c>
      <c r="O984" s="22">
        <v>42310</v>
      </c>
      <c r="P984" s="51">
        <f>Table46[[#This Row],[GROSS WT KGS]]-Table46[[#This Row],[SACS]]</f>
        <v>41837</v>
      </c>
      <c r="Q984" s="150">
        <f>Table46[[#This Row],[SACS]]</f>
        <v>473</v>
      </c>
      <c r="R984" s="10">
        <v>0</v>
      </c>
      <c r="S984" s="10">
        <v>0</v>
      </c>
      <c r="T984" s="10">
        <f t="shared" si="108"/>
        <v>0</v>
      </c>
      <c r="U984" s="22">
        <f>Table46[[#This Row],[NET WT KGS]]-Table46[[#This Row],[Refraction]]</f>
        <v>41837</v>
      </c>
      <c r="V984" s="23">
        <v>390</v>
      </c>
      <c r="W984" s="23">
        <f>Table46[[#This Row],[PRICE]]*Table46[[#This Row],[PAID WT]]</f>
        <v>16316430</v>
      </c>
      <c r="X984" s="24">
        <v>9.3000000000000007</v>
      </c>
      <c r="Y984" s="25">
        <v>180</v>
      </c>
      <c r="Z984" s="24">
        <v>39.770000000000003</v>
      </c>
      <c r="AA984" s="26"/>
      <c r="AB984" s="10" t="s">
        <v>499</v>
      </c>
      <c r="AC984" s="27"/>
      <c r="AD984" s="28"/>
      <c r="AE984" s="18">
        <f>Table46[[#This Row],[MOIS.]]*Table46[[#This Row],[NET WT KGS]]</f>
        <v>389084.10000000003</v>
      </c>
      <c r="AF984" s="18">
        <f>Table46[[#This Row],[KOR]]*Table46[[#This Row],[NET WT KGS]]</f>
        <v>1663857.4900000002</v>
      </c>
      <c r="AG984">
        <f>Table46[[#This Row],[NET WT KGS]]*Table46[[#This Row],[NUT COUNT]]</f>
        <v>7530660</v>
      </c>
    </row>
    <row r="985" spans="1:36" x14ac:dyDescent="0.35">
      <c r="A985" s="32">
        <f t="shared" si="109"/>
        <v>983</v>
      </c>
      <c r="B985" s="20">
        <v>46199</v>
      </c>
      <c r="C985" s="20">
        <v>46199</v>
      </c>
      <c r="D985" s="66" t="s">
        <v>38</v>
      </c>
      <c r="E985" s="10" t="s">
        <v>258</v>
      </c>
      <c r="F985" s="67" t="s">
        <v>62</v>
      </c>
      <c r="G985" s="149"/>
      <c r="H985" s="66" t="s">
        <v>603</v>
      </c>
      <c r="I985" s="67" t="str">
        <f>VLOOKUP(Table46[[#This Row],[SUPPLIERS NAME]],[1]AGING!X$3:Y$80,2,)</f>
        <v>DIS-023-ICF</v>
      </c>
      <c r="J985" s="10" t="s">
        <v>1034</v>
      </c>
      <c r="K985" s="21" t="str">
        <f>VLOOKUP(Table46[[#This Row],[LBA CODE]],AP$2:AQ$76,2,0)</f>
        <v>0401-0177</v>
      </c>
      <c r="L985" s="10">
        <v>956</v>
      </c>
      <c r="M985" s="66">
        <v>87090</v>
      </c>
      <c r="N985" s="10">
        <v>406</v>
      </c>
      <c r="O985" s="22">
        <v>30850</v>
      </c>
      <c r="P985" s="51">
        <f>Table46[[#This Row],[GROSS WT KGS]]-Table46[[#This Row],[SACS]]</f>
        <v>30444</v>
      </c>
      <c r="Q985" s="10">
        <v>406</v>
      </c>
      <c r="R985" s="10">
        <v>0</v>
      </c>
      <c r="S985" s="10">
        <v>0</v>
      </c>
      <c r="T985" s="10">
        <f t="shared" si="108"/>
        <v>0</v>
      </c>
      <c r="U985" s="22">
        <f>Table46[[#This Row],[NET WT KGS]]-Table46[[#This Row],[Refraction]]</f>
        <v>30444</v>
      </c>
      <c r="V985" s="23">
        <v>355</v>
      </c>
      <c r="W985" s="23">
        <f>Table46[[#This Row],[PRICE]]*Table46[[#This Row],[PAID WT]]</f>
        <v>10807620</v>
      </c>
      <c r="X985" s="24">
        <v>8.5</v>
      </c>
      <c r="Y985" s="25">
        <v>160</v>
      </c>
      <c r="Z985" s="24">
        <v>38.71</v>
      </c>
      <c r="AA985" s="26"/>
      <c r="AB985" s="10" t="s">
        <v>415</v>
      </c>
      <c r="AC985" s="27"/>
      <c r="AD985" s="28"/>
      <c r="AE985" s="18">
        <f>Table46[[#This Row],[MOIS.]]*Table46[[#This Row],[NET WT KGS]]</f>
        <v>258774</v>
      </c>
      <c r="AF985" s="18">
        <f>Table46[[#This Row],[KOR]]*Table46[[#This Row],[NET WT KGS]]</f>
        <v>1178487.24</v>
      </c>
      <c r="AG985">
        <f>Table46[[#This Row],[NET WT KGS]]*Table46[[#This Row],[NUT COUNT]]</f>
        <v>4871040</v>
      </c>
    </row>
    <row r="986" spans="1:36" x14ac:dyDescent="0.35">
      <c r="A986" s="32">
        <f t="shared" si="109"/>
        <v>984</v>
      </c>
      <c r="B986" s="20">
        <v>46215</v>
      </c>
      <c r="C986" s="20">
        <v>46215</v>
      </c>
      <c r="D986" s="66" t="s">
        <v>38</v>
      </c>
      <c r="E986" s="10" t="s">
        <v>258</v>
      </c>
      <c r="F986" s="67" t="s">
        <v>62</v>
      </c>
      <c r="G986" s="149"/>
      <c r="H986" s="10" t="s">
        <v>783</v>
      </c>
      <c r="I986" s="67" t="str">
        <f>VLOOKUP(Table46[[#This Row],[SUPPLIERS NAME]],[1]AGING!X$3:Y$80,2,)</f>
        <v>DIS-034-OCE</v>
      </c>
      <c r="J986" s="10" t="s">
        <v>1041</v>
      </c>
      <c r="K986" s="21" t="s">
        <v>797</v>
      </c>
      <c r="L986" s="10">
        <v>963</v>
      </c>
      <c r="M986" s="66">
        <v>87030</v>
      </c>
      <c r="N986" s="10">
        <v>400</v>
      </c>
      <c r="O986" s="22">
        <v>31960</v>
      </c>
      <c r="P986" s="51">
        <f>Table46[[#This Row],[GROSS WT KGS]]-Table46[[#This Row],[SACS]]</f>
        <v>31560</v>
      </c>
      <c r="Q986" s="150">
        <v>400</v>
      </c>
      <c r="R986" s="10">
        <v>0</v>
      </c>
      <c r="S986" s="10">
        <v>0</v>
      </c>
      <c r="T986" s="10">
        <f t="shared" si="108"/>
        <v>0</v>
      </c>
      <c r="U986" s="22">
        <f>Table46[[#This Row],[NET WT KGS]]-Table46[[#This Row],[Refraction]]</f>
        <v>31560</v>
      </c>
      <c r="V986" s="23">
        <v>415</v>
      </c>
      <c r="W986" s="23">
        <f>Table46[[#This Row],[PRICE]]*Table46[[#This Row],[PAID WT]]</f>
        <v>13097400</v>
      </c>
      <c r="X986" s="24">
        <v>8.1999999999999993</v>
      </c>
      <c r="Y986" s="25">
        <v>181</v>
      </c>
      <c r="Z986" s="24">
        <v>38.799999999999997</v>
      </c>
      <c r="AA986" s="26"/>
      <c r="AB986" s="10" t="s">
        <v>1042</v>
      </c>
      <c r="AC986" s="27"/>
      <c r="AD986" s="28"/>
      <c r="AE986" s="18">
        <f>Table46[[#This Row],[MOIS.]]*Table46[[#This Row],[NET WT KGS]]</f>
        <v>258791.99999999997</v>
      </c>
      <c r="AF986" s="18">
        <f>Table46[[#This Row],[KOR]]*Table46[[#This Row],[NET WT KGS]]</f>
        <v>1224528</v>
      </c>
      <c r="AG986">
        <f>Table46[[#This Row],[NET WT KGS]]*Table46[[#This Row],[NUT COUNT]]</f>
        <v>5712360</v>
      </c>
      <c r="AI986" s="8"/>
      <c r="AJ986" s="8"/>
    </row>
    <row r="987" spans="1:36" x14ac:dyDescent="0.35">
      <c r="A987" s="32">
        <f t="shared" si="109"/>
        <v>985</v>
      </c>
      <c r="B987" s="20">
        <v>46215</v>
      </c>
      <c r="C987" s="20">
        <v>46215</v>
      </c>
      <c r="D987" s="66" t="s">
        <v>38</v>
      </c>
      <c r="E987" s="10" t="s">
        <v>258</v>
      </c>
      <c r="F987" s="67" t="s">
        <v>62</v>
      </c>
      <c r="G987" s="149"/>
      <c r="H987" s="10" t="s">
        <v>783</v>
      </c>
      <c r="I987" s="67" t="str">
        <f>VLOOKUP(Table46[[#This Row],[SUPPLIERS NAME]],[1]AGING!X$3:Y$80,2,)</f>
        <v>DIS-034-OCE</v>
      </c>
      <c r="J987" s="10" t="s">
        <v>1043</v>
      </c>
      <c r="K987" s="21" t="s">
        <v>797</v>
      </c>
      <c r="L987" s="10">
        <v>964</v>
      </c>
      <c r="M987" s="66">
        <v>87028</v>
      </c>
      <c r="N987" s="10">
        <v>545</v>
      </c>
      <c r="O987" s="22">
        <v>40780</v>
      </c>
      <c r="P987" s="51">
        <f>Table46[[#This Row],[GROSS WT KGS]]-Table46[[#This Row],[SACS]]</f>
        <v>40235</v>
      </c>
      <c r="Q987" s="150">
        <v>545</v>
      </c>
      <c r="R987" s="10">
        <v>0</v>
      </c>
      <c r="S987" s="10">
        <v>0</v>
      </c>
      <c r="T987" s="10">
        <f t="shared" si="108"/>
        <v>0</v>
      </c>
      <c r="U987" s="22">
        <f>Table46[[#This Row],[NET WT KGS]]-Table46[[#This Row],[Refraction]]</f>
        <v>40235</v>
      </c>
      <c r="V987" s="23">
        <v>415</v>
      </c>
      <c r="W987" s="23">
        <f>Table46[[#This Row],[PRICE]]*Table46[[#This Row],[PAID WT]]</f>
        <v>16697525</v>
      </c>
      <c r="X987" s="24">
        <v>8.8000000000000007</v>
      </c>
      <c r="Y987" s="25">
        <v>190</v>
      </c>
      <c r="Z987" s="24">
        <v>40.56</v>
      </c>
      <c r="AA987" s="26"/>
      <c r="AB987" s="10" t="s">
        <v>1042</v>
      </c>
      <c r="AC987" s="27"/>
      <c r="AD987" s="28"/>
      <c r="AE987" s="18">
        <f>Table46[[#This Row],[MOIS.]]*Table46[[#This Row],[NET WT KGS]]</f>
        <v>354068</v>
      </c>
      <c r="AF987" s="18">
        <f>Table46[[#This Row],[KOR]]*Table46[[#This Row],[NET WT KGS]]</f>
        <v>1631931.6</v>
      </c>
      <c r="AG987">
        <f>Table46[[#This Row],[NET WT KGS]]*Table46[[#This Row],[NUT COUNT]]</f>
        <v>7644650</v>
      </c>
      <c r="AI987" s="8"/>
      <c r="AJ987" s="8"/>
    </row>
    <row r="988" spans="1:36" x14ac:dyDescent="0.35">
      <c r="A988" s="32">
        <f t="shared" si="109"/>
        <v>986</v>
      </c>
      <c r="B988" s="20">
        <v>46216</v>
      </c>
      <c r="C988" s="20">
        <v>46216</v>
      </c>
      <c r="D988" s="66" t="s">
        <v>38</v>
      </c>
      <c r="E988" s="10" t="s">
        <v>258</v>
      </c>
      <c r="F988" s="67" t="s">
        <v>62</v>
      </c>
      <c r="G988" s="149"/>
      <c r="H988" s="10" t="s">
        <v>783</v>
      </c>
      <c r="I988" s="67" t="str">
        <f>VLOOKUP(Table46[[#This Row],[SUPPLIERS NAME]],[1]AGING!X$3:Y$80,2,)</f>
        <v>DIS-034-OCE</v>
      </c>
      <c r="J988" s="10" t="s">
        <v>1044</v>
      </c>
      <c r="K988" s="21" t="s">
        <v>797</v>
      </c>
      <c r="L988" s="10">
        <v>965</v>
      </c>
      <c r="M988" s="66">
        <v>87029</v>
      </c>
      <c r="N988" s="10">
        <v>327</v>
      </c>
      <c r="O988" s="22">
        <v>26820</v>
      </c>
      <c r="P988" s="51">
        <f>Table46[[#This Row],[GROSS WT KGS]]-Table46[[#This Row],[SACS]]</f>
        <v>26493</v>
      </c>
      <c r="Q988" s="150">
        <v>327</v>
      </c>
      <c r="R988" s="10">
        <v>0</v>
      </c>
      <c r="S988" s="10">
        <v>0</v>
      </c>
      <c r="T988" s="10">
        <f t="shared" si="108"/>
        <v>0</v>
      </c>
      <c r="U988" s="22">
        <f>Table46[[#This Row],[NET WT KGS]]-Table46[[#This Row],[Refraction]]</f>
        <v>26493</v>
      </c>
      <c r="V988" s="23">
        <v>415</v>
      </c>
      <c r="W988" s="23">
        <f>Table46[[#This Row],[PRICE]]*Table46[[#This Row],[PAID WT]]</f>
        <v>10994595</v>
      </c>
      <c r="X988" s="24">
        <v>8.6</v>
      </c>
      <c r="Y988" s="25">
        <v>183</v>
      </c>
      <c r="Z988" s="24">
        <v>40.119999999999997</v>
      </c>
      <c r="AA988" s="26"/>
      <c r="AB988" s="10" t="s">
        <v>1042</v>
      </c>
      <c r="AC988" s="27"/>
      <c r="AD988" s="28"/>
      <c r="AE988" s="18">
        <f>Table46[[#This Row],[MOIS.]]*Table46[[#This Row],[NET WT KGS]]</f>
        <v>227839.8</v>
      </c>
      <c r="AF988" s="18">
        <f>Table46[[#This Row],[KOR]]*Table46[[#This Row],[NET WT KGS]]</f>
        <v>1062899.1599999999</v>
      </c>
      <c r="AG988">
        <f>Table46[[#This Row],[NET WT KGS]]*Table46[[#This Row],[NUT COUNT]]</f>
        <v>4848219</v>
      </c>
      <c r="AI988" s="8"/>
      <c r="AJ988" s="8"/>
    </row>
    <row r="989" spans="1:36" x14ac:dyDescent="0.35">
      <c r="AI989" s="1"/>
      <c r="AJ989" s="1"/>
    </row>
  </sheetData>
  <dataConsolidate/>
  <conditionalFormatting sqref="M2:M988">
    <cfRule type="duplicateValues" dxfId="95" priority="1"/>
  </conditionalFormatting>
  <pageMargins left="0.7" right="0.7" top="0.75" bottom="0.75" header="0.3" footer="0.3"/>
  <pageSetup orientation="portrait" r:id="rId5"/>
  <legacyDrawing r:id="rId6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OFFLOADINGS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2026-07-24T10:10:30Z</dcterms:created>
  <dcterms:modified xsi:type="dcterms:W3CDTF">2026-07-24T10:12:14Z</dcterms:modified>
</cp:coreProperties>
</file>