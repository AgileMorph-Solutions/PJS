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JS\PJS Documents\PJS SOP's &amp; Formats\Maintenance Formats\"/>
    </mc:Choice>
  </mc:AlternateContent>
  <xr:revisionPtr revIDLastSave="0" documentId="13_ncr:1_{C4733703-A378-4E3C-91A3-736264D5C501}" xr6:coauthVersionLast="47" xr6:coauthVersionMax="47" xr10:uidLastSave="{00000000-0000-0000-0000-000000000000}"/>
  <bookViews>
    <workbookView xWindow="-108" yWindow="-108" windowWidth="23256" windowHeight="13896" xr2:uid="{A505F510-032B-40FB-8E3E-F9B78BEE92F2}"/>
  </bookViews>
  <sheets>
    <sheet name="Water Consump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15" i="1" l="1"/>
  <c r="C625" i="1"/>
  <c r="C635" i="1"/>
  <c r="C645" i="1"/>
  <c r="C486" i="1"/>
  <c r="C496" i="1"/>
  <c r="C506" i="1"/>
  <c r="C516" i="1"/>
  <c r="C526" i="1"/>
  <c r="C536" i="1"/>
  <c r="C546" i="1"/>
  <c r="C556" i="1"/>
  <c r="C566" i="1"/>
  <c r="C576" i="1"/>
  <c r="C586" i="1"/>
  <c r="C596" i="1"/>
  <c r="C606" i="1"/>
  <c r="C616" i="1"/>
  <c r="C626" i="1"/>
  <c r="C636" i="1"/>
  <c r="C646" i="1"/>
  <c r="C487" i="1"/>
  <c r="C497" i="1"/>
  <c r="C507" i="1"/>
  <c r="C517" i="1"/>
  <c r="C527" i="1"/>
  <c r="C537" i="1"/>
  <c r="C547" i="1"/>
  <c r="C557" i="1"/>
  <c r="C567" i="1"/>
  <c r="C577" i="1"/>
  <c r="C587" i="1"/>
  <c r="C597" i="1"/>
  <c r="C607" i="1"/>
  <c r="C617" i="1"/>
  <c r="C627" i="1"/>
  <c r="C637" i="1"/>
  <c r="C647" i="1"/>
  <c r="C488" i="1"/>
  <c r="C498" i="1"/>
  <c r="C508" i="1"/>
  <c r="C518" i="1"/>
  <c r="C528" i="1"/>
  <c r="C538" i="1"/>
  <c r="C548" i="1"/>
  <c r="C558" i="1"/>
  <c r="C568" i="1"/>
  <c r="C578" i="1"/>
  <c r="C588" i="1"/>
  <c r="C598" i="1"/>
  <c r="C608" i="1"/>
  <c r="C618" i="1"/>
  <c r="C628" i="1"/>
  <c r="C638" i="1"/>
  <c r="C648" i="1"/>
  <c r="C489" i="1"/>
  <c r="C499" i="1"/>
  <c r="C509" i="1"/>
  <c r="C519" i="1"/>
  <c r="C529" i="1"/>
  <c r="C539" i="1"/>
  <c r="C549" i="1"/>
  <c r="C559" i="1"/>
  <c r="C569" i="1"/>
  <c r="C579" i="1"/>
  <c r="C589" i="1"/>
  <c r="C599" i="1"/>
  <c r="C609" i="1"/>
  <c r="C619" i="1"/>
  <c r="C629" i="1"/>
  <c r="C639" i="1"/>
  <c r="C649" i="1"/>
  <c r="C490" i="1"/>
  <c r="C500" i="1"/>
  <c r="C510" i="1"/>
  <c r="C520" i="1"/>
  <c r="C530" i="1"/>
  <c r="C540" i="1"/>
  <c r="C550" i="1"/>
  <c r="C560" i="1"/>
  <c r="C570" i="1"/>
  <c r="C580" i="1"/>
  <c r="C590" i="1"/>
  <c r="C600" i="1"/>
  <c r="C610" i="1"/>
  <c r="C620" i="1"/>
  <c r="C630" i="1"/>
  <c r="C640" i="1"/>
  <c r="C650" i="1"/>
  <c r="C491" i="1"/>
  <c r="C501" i="1"/>
  <c r="C511" i="1"/>
  <c r="C521" i="1"/>
  <c r="C531" i="1"/>
  <c r="C541" i="1"/>
  <c r="C551" i="1"/>
  <c r="C561" i="1"/>
  <c r="C571" i="1"/>
  <c r="C581" i="1"/>
  <c r="C591" i="1"/>
  <c r="C601" i="1"/>
  <c r="C611" i="1"/>
  <c r="C621" i="1"/>
  <c r="C631" i="1"/>
  <c r="C641" i="1"/>
  <c r="C651" i="1"/>
  <c r="C492" i="1"/>
  <c r="C502" i="1"/>
  <c r="C512" i="1"/>
  <c r="C522" i="1"/>
  <c r="C532" i="1"/>
  <c r="C542" i="1"/>
  <c r="C552" i="1"/>
  <c r="C562" i="1"/>
  <c r="C572" i="1"/>
  <c r="C582" i="1"/>
  <c r="C592" i="1"/>
  <c r="C602" i="1"/>
  <c r="C612" i="1"/>
  <c r="C622" i="1"/>
  <c r="C632" i="1"/>
  <c r="C642" i="1"/>
  <c r="C652" i="1"/>
  <c r="C493" i="1"/>
  <c r="C503" i="1"/>
  <c r="C513" i="1"/>
  <c r="C523" i="1"/>
  <c r="C533" i="1"/>
  <c r="C543" i="1"/>
  <c r="C553" i="1"/>
  <c r="C563" i="1"/>
  <c r="C573" i="1"/>
  <c r="C583" i="1"/>
  <c r="C593" i="1"/>
  <c r="C603" i="1"/>
  <c r="C613" i="1"/>
  <c r="C623" i="1"/>
  <c r="C633" i="1"/>
  <c r="C643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D615" i="1"/>
  <c r="D625" i="1"/>
  <c r="D635" i="1"/>
  <c r="D645" i="1"/>
  <c r="D486" i="1"/>
  <c r="D496" i="1"/>
  <c r="D506" i="1"/>
  <c r="D516" i="1"/>
  <c r="D526" i="1"/>
  <c r="D536" i="1"/>
  <c r="D546" i="1"/>
  <c r="D556" i="1"/>
  <c r="D566" i="1"/>
  <c r="D576" i="1"/>
  <c r="D586" i="1"/>
  <c r="D596" i="1"/>
  <c r="D606" i="1"/>
  <c r="D616" i="1"/>
  <c r="D626" i="1"/>
  <c r="D636" i="1"/>
  <c r="D646" i="1"/>
  <c r="D487" i="1"/>
  <c r="D497" i="1"/>
  <c r="D507" i="1"/>
  <c r="D517" i="1"/>
  <c r="D527" i="1"/>
  <c r="D537" i="1"/>
  <c r="D547" i="1"/>
  <c r="D557" i="1"/>
  <c r="D567" i="1"/>
  <c r="D577" i="1"/>
  <c r="D587" i="1"/>
  <c r="D597" i="1"/>
  <c r="D607" i="1"/>
  <c r="D617" i="1"/>
  <c r="D627" i="1"/>
  <c r="D637" i="1"/>
  <c r="D647" i="1"/>
  <c r="D488" i="1"/>
  <c r="D498" i="1"/>
  <c r="D508" i="1"/>
  <c r="D518" i="1"/>
  <c r="D528" i="1"/>
  <c r="D538" i="1"/>
  <c r="D548" i="1"/>
  <c r="D558" i="1"/>
  <c r="D568" i="1"/>
  <c r="D578" i="1"/>
  <c r="D588" i="1"/>
  <c r="D598" i="1"/>
  <c r="D608" i="1"/>
  <c r="D618" i="1"/>
  <c r="D628" i="1"/>
  <c r="D638" i="1"/>
  <c r="D648" i="1"/>
  <c r="D489" i="1"/>
  <c r="D499" i="1"/>
  <c r="D509" i="1"/>
  <c r="D519" i="1"/>
  <c r="D529" i="1"/>
  <c r="D539" i="1"/>
  <c r="D549" i="1"/>
  <c r="D559" i="1"/>
  <c r="D569" i="1"/>
  <c r="D579" i="1"/>
  <c r="D589" i="1"/>
  <c r="D599" i="1"/>
  <c r="D609" i="1"/>
  <c r="D619" i="1"/>
  <c r="D629" i="1"/>
  <c r="D639" i="1"/>
  <c r="D649" i="1"/>
  <c r="D490" i="1"/>
  <c r="D500" i="1"/>
  <c r="D510" i="1"/>
  <c r="D520" i="1"/>
  <c r="D530" i="1"/>
  <c r="D540" i="1"/>
  <c r="D550" i="1"/>
  <c r="D560" i="1"/>
  <c r="D570" i="1"/>
  <c r="D580" i="1"/>
  <c r="D590" i="1"/>
  <c r="D600" i="1"/>
  <c r="D610" i="1"/>
  <c r="D620" i="1"/>
  <c r="D630" i="1"/>
  <c r="D640" i="1"/>
  <c r="D650" i="1"/>
  <c r="D491" i="1"/>
  <c r="D501" i="1"/>
  <c r="D511" i="1"/>
  <c r="D521" i="1"/>
  <c r="D531" i="1"/>
  <c r="D541" i="1"/>
  <c r="D551" i="1"/>
  <c r="D561" i="1"/>
  <c r="D571" i="1"/>
  <c r="D581" i="1"/>
  <c r="D591" i="1"/>
  <c r="D601" i="1"/>
  <c r="D611" i="1"/>
  <c r="D621" i="1"/>
  <c r="D631" i="1"/>
  <c r="D641" i="1"/>
  <c r="D651" i="1"/>
  <c r="D492" i="1"/>
  <c r="D502" i="1"/>
  <c r="D512" i="1"/>
  <c r="D522" i="1"/>
  <c r="D532" i="1"/>
  <c r="D542" i="1"/>
  <c r="D552" i="1"/>
  <c r="D562" i="1"/>
  <c r="D572" i="1"/>
  <c r="D582" i="1"/>
  <c r="D592" i="1"/>
  <c r="D602" i="1"/>
  <c r="D612" i="1"/>
  <c r="D622" i="1"/>
  <c r="D632" i="1"/>
  <c r="D642" i="1"/>
  <c r="D652" i="1"/>
  <c r="D493" i="1"/>
  <c r="D503" i="1"/>
  <c r="D513" i="1"/>
  <c r="D523" i="1"/>
  <c r="D533" i="1"/>
  <c r="D543" i="1"/>
  <c r="D553" i="1"/>
  <c r="D563" i="1"/>
  <c r="D573" i="1"/>
  <c r="D583" i="1"/>
  <c r="D593" i="1"/>
  <c r="D603" i="1"/>
  <c r="D613" i="1"/>
  <c r="D623" i="1"/>
  <c r="D633" i="1"/>
  <c r="D643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E615" i="1"/>
  <c r="E625" i="1"/>
  <c r="E635" i="1"/>
  <c r="E645" i="1"/>
  <c r="E486" i="1"/>
  <c r="E496" i="1"/>
  <c r="E506" i="1"/>
  <c r="E516" i="1"/>
  <c r="E526" i="1"/>
  <c r="E536" i="1"/>
  <c r="E546" i="1"/>
  <c r="E556" i="1"/>
  <c r="E566" i="1"/>
  <c r="E576" i="1"/>
  <c r="E586" i="1"/>
  <c r="E596" i="1"/>
  <c r="E606" i="1"/>
  <c r="E616" i="1"/>
  <c r="E626" i="1"/>
  <c r="E636" i="1"/>
  <c r="E646" i="1"/>
  <c r="E487" i="1"/>
  <c r="E497" i="1"/>
  <c r="E507" i="1"/>
  <c r="E517" i="1"/>
  <c r="E527" i="1"/>
  <c r="E537" i="1"/>
  <c r="E547" i="1"/>
  <c r="E557" i="1"/>
  <c r="E567" i="1"/>
  <c r="E577" i="1"/>
  <c r="E587" i="1"/>
  <c r="E597" i="1"/>
  <c r="E607" i="1"/>
  <c r="E617" i="1"/>
  <c r="E627" i="1"/>
  <c r="E637" i="1"/>
  <c r="E647" i="1"/>
  <c r="E488" i="1"/>
  <c r="E498" i="1"/>
  <c r="E508" i="1"/>
  <c r="E518" i="1"/>
  <c r="E528" i="1"/>
  <c r="E538" i="1"/>
  <c r="E548" i="1"/>
  <c r="E558" i="1"/>
  <c r="E568" i="1"/>
  <c r="E578" i="1"/>
  <c r="E588" i="1"/>
  <c r="E598" i="1"/>
  <c r="E608" i="1"/>
  <c r="E618" i="1"/>
  <c r="E628" i="1"/>
  <c r="E638" i="1"/>
  <c r="E648" i="1"/>
  <c r="E489" i="1"/>
  <c r="E499" i="1"/>
  <c r="E509" i="1"/>
  <c r="E519" i="1"/>
  <c r="E529" i="1"/>
  <c r="E539" i="1"/>
  <c r="E549" i="1"/>
  <c r="E559" i="1"/>
  <c r="E569" i="1"/>
  <c r="E579" i="1"/>
  <c r="E589" i="1"/>
  <c r="E599" i="1"/>
  <c r="E609" i="1"/>
  <c r="E619" i="1"/>
  <c r="E629" i="1"/>
  <c r="E639" i="1"/>
  <c r="E649" i="1"/>
  <c r="E490" i="1"/>
  <c r="E500" i="1"/>
  <c r="E510" i="1"/>
  <c r="E520" i="1"/>
  <c r="E530" i="1"/>
  <c r="E540" i="1"/>
  <c r="E550" i="1"/>
  <c r="E560" i="1"/>
  <c r="E570" i="1"/>
  <c r="E580" i="1"/>
  <c r="E590" i="1"/>
  <c r="E600" i="1"/>
  <c r="E610" i="1"/>
  <c r="E620" i="1"/>
  <c r="E630" i="1"/>
  <c r="E640" i="1"/>
  <c r="E650" i="1"/>
  <c r="E491" i="1"/>
  <c r="E501" i="1"/>
  <c r="E511" i="1"/>
  <c r="E521" i="1"/>
  <c r="E531" i="1"/>
  <c r="E541" i="1"/>
  <c r="E551" i="1"/>
  <c r="E561" i="1"/>
  <c r="E571" i="1"/>
  <c r="E581" i="1"/>
  <c r="E591" i="1"/>
  <c r="E601" i="1"/>
  <c r="E611" i="1"/>
  <c r="E621" i="1"/>
  <c r="E631" i="1"/>
  <c r="E641" i="1"/>
  <c r="E651" i="1"/>
  <c r="E492" i="1"/>
  <c r="E502" i="1"/>
  <c r="E512" i="1"/>
  <c r="E522" i="1"/>
  <c r="E532" i="1"/>
  <c r="E542" i="1"/>
  <c r="E552" i="1"/>
  <c r="E562" i="1"/>
  <c r="E572" i="1"/>
  <c r="E582" i="1"/>
  <c r="E592" i="1"/>
  <c r="E602" i="1"/>
  <c r="E612" i="1"/>
  <c r="E622" i="1"/>
  <c r="E632" i="1"/>
  <c r="E642" i="1"/>
  <c r="E652" i="1"/>
  <c r="E493" i="1"/>
  <c r="E503" i="1"/>
  <c r="E513" i="1"/>
  <c r="E523" i="1"/>
  <c r="E533" i="1"/>
  <c r="E543" i="1"/>
  <c r="E553" i="1"/>
  <c r="E563" i="1"/>
  <c r="E573" i="1"/>
  <c r="E583" i="1"/>
  <c r="E593" i="1"/>
  <c r="E603" i="1"/>
  <c r="E613" i="1"/>
  <c r="E623" i="1"/>
  <c r="E633" i="1"/>
  <c r="E643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G615" i="1"/>
  <c r="G625" i="1"/>
  <c r="G635" i="1"/>
  <c r="G645" i="1"/>
  <c r="G486" i="1"/>
  <c r="G496" i="1"/>
  <c r="G506" i="1"/>
  <c r="G516" i="1"/>
  <c r="G526" i="1"/>
  <c r="G536" i="1"/>
  <c r="G546" i="1"/>
  <c r="G556" i="1"/>
  <c r="G566" i="1"/>
  <c r="G576" i="1"/>
  <c r="G586" i="1"/>
  <c r="G596" i="1"/>
  <c r="G606" i="1"/>
  <c r="G616" i="1"/>
  <c r="G626" i="1"/>
  <c r="G636" i="1"/>
  <c r="G646" i="1"/>
  <c r="G487" i="1"/>
  <c r="G497" i="1"/>
  <c r="G507" i="1"/>
  <c r="G517" i="1"/>
  <c r="G527" i="1"/>
  <c r="G537" i="1"/>
  <c r="G547" i="1"/>
  <c r="G557" i="1"/>
  <c r="G567" i="1"/>
  <c r="G577" i="1"/>
  <c r="G587" i="1"/>
  <c r="G597" i="1"/>
  <c r="G607" i="1"/>
  <c r="G617" i="1"/>
  <c r="G627" i="1"/>
  <c r="G637" i="1"/>
  <c r="G647" i="1"/>
  <c r="G488" i="1"/>
  <c r="G498" i="1"/>
  <c r="G508" i="1"/>
  <c r="G518" i="1"/>
  <c r="G528" i="1"/>
  <c r="G538" i="1"/>
  <c r="G548" i="1"/>
  <c r="G558" i="1"/>
  <c r="G568" i="1"/>
  <c r="G578" i="1"/>
  <c r="G588" i="1"/>
  <c r="G598" i="1"/>
  <c r="G608" i="1"/>
  <c r="G618" i="1"/>
  <c r="G628" i="1"/>
  <c r="G638" i="1"/>
  <c r="G648" i="1"/>
  <c r="G489" i="1"/>
  <c r="G499" i="1"/>
  <c r="G509" i="1"/>
  <c r="G519" i="1"/>
  <c r="G529" i="1"/>
  <c r="G539" i="1"/>
  <c r="G549" i="1"/>
  <c r="G559" i="1"/>
  <c r="G569" i="1"/>
  <c r="G579" i="1"/>
  <c r="G589" i="1"/>
  <c r="G599" i="1"/>
  <c r="G609" i="1"/>
  <c r="G619" i="1"/>
  <c r="G629" i="1"/>
  <c r="G639" i="1"/>
  <c r="G649" i="1"/>
  <c r="G490" i="1"/>
  <c r="G500" i="1"/>
  <c r="G510" i="1"/>
  <c r="G520" i="1"/>
  <c r="G530" i="1"/>
  <c r="G540" i="1"/>
  <c r="G550" i="1"/>
  <c r="G560" i="1"/>
  <c r="G570" i="1"/>
  <c r="G580" i="1"/>
  <c r="G590" i="1"/>
  <c r="G600" i="1"/>
  <c r="G610" i="1"/>
  <c r="G620" i="1"/>
  <c r="G630" i="1"/>
  <c r="G640" i="1"/>
  <c r="G650" i="1"/>
  <c r="G491" i="1"/>
  <c r="G501" i="1"/>
  <c r="G511" i="1"/>
  <c r="G521" i="1"/>
  <c r="G531" i="1"/>
  <c r="G541" i="1"/>
  <c r="G551" i="1"/>
  <c r="G561" i="1"/>
  <c r="G571" i="1"/>
  <c r="G581" i="1"/>
  <c r="G591" i="1"/>
  <c r="G601" i="1"/>
  <c r="G611" i="1"/>
  <c r="G621" i="1"/>
  <c r="G631" i="1"/>
  <c r="G641" i="1"/>
  <c r="G651" i="1"/>
  <c r="G492" i="1"/>
  <c r="G502" i="1"/>
  <c r="G512" i="1"/>
  <c r="G522" i="1"/>
  <c r="G532" i="1"/>
  <c r="G542" i="1"/>
  <c r="G552" i="1"/>
  <c r="G562" i="1"/>
  <c r="G572" i="1"/>
  <c r="G582" i="1"/>
  <c r="G592" i="1"/>
  <c r="G602" i="1"/>
  <c r="G612" i="1"/>
  <c r="G622" i="1"/>
  <c r="G632" i="1"/>
  <c r="G642" i="1"/>
  <c r="G652" i="1"/>
  <c r="G493" i="1"/>
  <c r="G503" i="1"/>
  <c r="G513" i="1"/>
  <c r="G523" i="1"/>
  <c r="G533" i="1"/>
  <c r="G543" i="1"/>
  <c r="G553" i="1"/>
  <c r="G563" i="1"/>
  <c r="G573" i="1"/>
  <c r="G583" i="1"/>
  <c r="G593" i="1"/>
  <c r="G603" i="1"/>
  <c r="G613" i="1"/>
  <c r="G623" i="1"/>
  <c r="G633" i="1"/>
  <c r="G643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C484" i="1" l="1"/>
  <c r="C494" i="1"/>
  <c r="C504" i="1"/>
  <c r="C514" i="1"/>
  <c r="C524" i="1"/>
  <c r="C534" i="1"/>
  <c r="C544" i="1"/>
  <c r="C554" i="1"/>
  <c r="C564" i="1"/>
  <c r="C574" i="1"/>
  <c r="C584" i="1"/>
  <c r="C594" i="1"/>
  <c r="C604" i="1"/>
  <c r="C614" i="1"/>
  <c r="C624" i="1"/>
  <c r="C634" i="1"/>
  <c r="C644" i="1"/>
  <c r="C485" i="1"/>
  <c r="C495" i="1"/>
  <c r="C505" i="1"/>
  <c r="C515" i="1"/>
  <c r="C525" i="1"/>
  <c r="C535" i="1"/>
  <c r="C545" i="1"/>
  <c r="C555" i="1"/>
  <c r="C565" i="1"/>
  <c r="C575" i="1"/>
  <c r="C585" i="1"/>
  <c r="C595" i="1"/>
  <c r="C605" i="1"/>
  <c r="D484" i="1"/>
  <c r="D494" i="1"/>
  <c r="D504" i="1"/>
  <c r="D514" i="1"/>
  <c r="D524" i="1"/>
  <c r="D534" i="1"/>
  <c r="D544" i="1"/>
  <c r="D554" i="1"/>
  <c r="D564" i="1"/>
  <c r="D574" i="1"/>
  <c r="D584" i="1"/>
  <c r="D594" i="1"/>
  <c r="D604" i="1"/>
  <c r="D614" i="1"/>
  <c r="D624" i="1"/>
  <c r="D634" i="1"/>
  <c r="D644" i="1"/>
  <c r="D485" i="1"/>
  <c r="D495" i="1"/>
  <c r="D505" i="1"/>
  <c r="D515" i="1"/>
  <c r="D525" i="1"/>
  <c r="D535" i="1"/>
  <c r="D545" i="1"/>
  <c r="D555" i="1"/>
  <c r="D565" i="1"/>
  <c r="D575" i="1"/>
  <c r="D585" i="1"/>
  <c r="D595" i="1"/>
  <c r="D605" i="1"/>
  <c r="E484" i="1"/>
  <c r="E494" i="1"/>
  <c r="E504" i="1"/>
  <c r="E514" i="1"/>
  <c r="E524" i="1"/>
  <c r="E534" i="1"/>
  <c r="E544" i="1"/>
  <c r="E554" i="1"/>
  <c r="E564" i="1"/>
  <c r="E574" i="1"/>
  <c r="E584" i="1"/>
  <c r="E594" i="1"/>
  <c r="E604" i="1"/>
  <c r="E614" i="1"/>
  <c r="E624" i="1"/>
  <c r="E634" i="1"/>
  <c r="E644" i="1"/>
  <c r="E485" i="1"/>
  <c r="E495" i="1"/>
  <c r="E505" i="1"/>
  <c r="E515" i="1"/>
  <c r="E525" i="1"/>
  <c r="E535" i="1"/>
  <c r="E545" i="1"/>
  <c r="E555" i="1"/>
  <c r="E565" i="1"/>
  <c r="E575" i="1"/>
  <c r="E585" i="1"/>
  <c r="E595" i="1"/>
  <c r="E605" i="1"/>
  <c r="G484" i="1"/>
  <c r="G494" i="1"/>
  <c r="G504" i="1"/>
  <c r="G514" i="1"/>
  <c r="G524" i="1"/>
  <c r="G534" i="1"/>
  <c r="G544" i="1"/>
  <c r="G554" i="1"/>
  <c r="G564" i="1"/>
  <c r="G574" i="1"/>
  <c r="G584" i="1"/>
  <c r="G594" i="1"/>
  <c r="G604" i="1"/>
  <c r="G614" i="1"/>
  <c r="G624" i="1"/>
  <c r="G634" i="1"/>
  <c r="G644" i="1"/>
  <c r="G485" i="1"/>
  <c r="G495" i="1"/>
  <c r="G505" i="1"/>
  <c r="G515" i="1"/>
  <c r="G525" i="1"/>
  <c r="G535" i="1"/>
  <c r="G545" i="1"/>
  <c r="G555" i="1"/>
  <c r="G565" i="1"/>
  <c r="G575" i="1"/>
  <c r="G585" i="1"/>
  <c r="G595" i="1"/>
  <c r="G605" i="1"/>
  <c r="C193" i="1"/>
  <c r="C203" i="1"/>
  <c r="C213" i="1"/>
  <c r="C223" i="1"/>
  <c r="C233" i="1"/>
  <c r="C243" i="1"/>
  <c r="C253" i="1"/>
  <c r="C263" i="1"/>
  <c r="C273" i="1"/>
  <c r="C283" i="1"/>
  <c r="C293" i="1"/>
  <c r="C303" i="1"/>
  <c r="C313" i="1"/>
  <c r="C323" i="1"/>
  <c r="C333" i="1"/>
  <c r="C343" i="1"/>
  <c r="C353" i="1"/>
  <c r="C363" i="1"/>
  <c r="C373" i="1"/>
  <c r="C383" i="1"/>
  <c r="C393" i="1"/>
  <c r="C403" i="1"/>
  <c r="C413" i="1"/>
  <c r="C423" i="1"/>
  <c r="C433" i="1"/>
  <c r="C443" i="1"/>
  <c r="C453" i="1"/>
  <c r="C463" i="1"/>
  <c r="C473" i="1"/>
  <c r="C483" i="1"/>
  <c r="D193" i="1"/>
  <c r="D203" i="1"/>
  <c r="D213" i="1"/>
  <c r="D223" i="1"/>
  <c r="D233" i="1"/>
  <c r="D243" i="1"/>
  <c r="D253" i="1"/>
  <c r="D263" i="1"/>
  <c r="D273" i="1"/>
  <c r="D283" i="1"/>
  <c r="D293" i="1"/>
  <c r="D303" i="1"/>
  <c r="D313" i="1"/>
  <c r="D323" i="1"/>
  <c r="D333" i="1"/>
  <c r="D343" i="1"/>
  <c r="D353" i="1"/>
  <c r="D363" i="1"/>
  <c r="D373" i="1"/>
  <c r="D383" i="1"/>
  <c r="D393" i="1"/>
  <c r="D403" i="1"/>
  <c r="D413" i="1"/>
  <c r="D423" i="1"/>
  <c r="D433" i="1"/>
  <c r="D443" i="1"/>
  <c r="D453" i="1"/>
  <c r="D463" i="1"/>
  <c r="D473" i="1"/>
  <c r="D483" i="1"/>
  <c r="E193" i="1"/>
  <c r="E203" i="1"/>
  <c r="E213" i="1"/>
  <c r="E223" i="1"/>
  <c r="E233" i="1"/>
  <c r="E243" i="1"/>
  <c r="E253" i="1"/>
  <c r="E263" i="1"/>
  <c r="E273" i="1"/>
  <c r="E283" i="1"/>
  <c r="E293" i="1"/>
  <c r="E303" i="1"/>
  <c r="E313" i="1"/>
  <c r="E323" i="1"/>
  <c r="E333" i="1"/>
  <c r="E343" i="1"/>
  <c r="E353" i="1"/>
  <c r="E363" i="1"/>
  <c r="E373" i="1"/>
  <c r="E383" i="1"/>
  <c r="E393" i="1"/>
  <c r="E403" i="1"/>
  <c r="E413" i="1"/>
  <c r="E423" i="1"/>
  <c r="E433" i="1"/>
  <c r="E443" i="1"/>
  <c r="E453" i="1"/>
  <c r="E463" i="1"/>
  <c r="E473" i="1"/>
  <c r="E483" i="1"/>
  <c r="G193" i="1"/>
  <c r="G203" i="1"/>
  <c r="G213" i="1"/>
  <c r="G223" i="1"/>
  <c r="G233" i="1"/>
  <c r="G243" i="1"/>
  <c r="G253" i="1"/>
  <c r="G263" i="1"/>
  <c r="G273" i="1"/>
  <c r="G283" i="1"/>
  <c r="G293" i="1"/>
  <c r="G303" i="1"/>
  <c r="G313" i="1"/>
  <c r="G323" i="1"/>
  <c r="G333" i="1"/>
  <c r="G343" i="1"/>
  <c r="G353" i="1"/>
  <c r="G363" i="1"/>
  <c r="G373" i="1"/>
  <c r="G383" i="1"/>
  <c r="G393" i="1"/>
  <c r="G403" i="1"/>
  <c r="G413" i="1"/>
  <c r="G423" i="1"/>
  <c r="G433" i="1"/>
  <c r="G443" i="1"/>
  <c r="G453" i="1"/>
  <c r="G463" i="1"/>
  <c r="G473" i="1"/>
  <c r="G483" i="1"/>
  <c r="C192" i="1"/>
  <c r="C202" i="1"/>
  <c r="C212" i="1"/>
  <c r="C222" i="1"/>
  <c r="C232" i="1"/>
  <c r="C242" i="1"/>
  <c r="C252" i="1"/>
  <c r="C262" i="1"/>
  <c r="C272" i="1"/>
  <c r="C282" i="1"/>
  <c r="C292" i="1"/>
  <c r="C302" i="1"/>
  <c r="C312" i="1"/>
  <c r="C322" i="1"/>
  <c r="C332" i="1"/>
  <c r="C342" i="1"/>
  <c r="C352" i="1"/>
  <c r="C362" i="1"/>
  <c r="C372" i="1"/>
  <c r="C382" i="1"/>
  <c r="C392" i="1"/>
  <c r="C402" i="1"/>
  <c r="C412" i="1"/>
  <c r="C422" i="1"/>
  <c r="C432" i="1"/>
  <c r="C442" i="1"/>
  <c r="C452" i="1"/>
  <c r="C462" i="1"/>
  <c r="C472" i="1"/>
  <c r="C482" i="1"/>
  <c r="D192" i="1"/>
  <c r="D202" i="1"/>
  <c r="D212" i="1"/>
  <c r="D222" i="1"/>
  <c r="D232" i="1"/>
  <c r="D242" i="1"/>
  <c r="D252" i="1"/>
  <c r="D262" i="1"/>
  <c r="D272" i="1"/>
  <c r="D282" i="1"/>
  <c r="D292" i="1"/>
  <c r="D302" i="1"/>
  <c r="D312" i="1"/>
  <c r="D322" i="1"/>
  <c r="D332" i="1"/>
  <c r="D342" i="1"/>
  <c r="D352" i="1"/>
  <c r="D362" i="1"/>
  <c r="D372" i="1"/>
  <c r="D382" i="1"/>
  <c r="D392" i="1"/>
  <c r="D402" i="1"/>
  <c r="D412" i="1"/>
  <c r="D422" i="1"/>
  <c r="D432" i="1"/>
  <c r="D442" i="1"/>
  <c r="D452" i="1"/>
  <c r="D462" i="1"/>
  <c r="D472" i="1"/>
  <c r="D482" i="1"/>
  <c r="E192" i="1"/>
  <c r="E202" i="1"/>
  <c r="E212" i="1"/>
  <c r="E222" i="1"/>
  <c r="E232" i="1"/>
  <c r="E242" i="1"/>
  <c r="E252" i="1"/>
  <c r="E262" i="1"/>
  <c r="E272" i="1"/>
  <c r="E282" i="1"/>
  <c r="E292" i="1"/>
  <c r="E302" i="1"/>
  <c r="E312" i="1"/>
  <c r="E322" i="1"/>
  <c r="E332" i="1"/>
  <c r="E342" i="1"/>
  <c r="E352" i="1"/>
  <c r="E362" i="1"/>
  <c r="E372" i="1"/>
  <c r="E382" i="1"/>
  <c r="E392" i="1"/>
  <c r="E402" i="1"/>
  <c r="E412" i="1"/>
  <c r="E422" i="1"/>
  <c r="E432" i="1"/>
  <c r="E442" i="1"/>
  <c r="E452" i="1"/>
  <c r="E462" i="1"/>
  <c r="E472" i="1"/>
  <c r="E482" i="1"/>
  <c r="G192" i="1"/>
  <c r="G202" i="1"/>
  <c r="G212" i="1"/>
  <c r="G222" i="1"/>
  <c r="G232" i="1"/>
  <c r="G242" i="1"/>
  <c r="G252" i="1"/>
  <c r="G262" i="1"/>
  <c r="G272" i="1"/>
  <c r="G282" i="1"/>
  <c r="G292" i="1"/>
  <c r="G302" i="1"/>
  <c r="G312" i="1"/>
  <c r="G322" i="1"/>
  <c r="G332" i="1"/>
  <c r="G342" i="1"/>
  <c r="G352" i="1"/>
  <c r="G362" i="1"/>
  <c r="G372" i="1"/>
  <c r="G382" i="1"/>
  <c r="G392" i="1"/>
  <c r="G402" i="1"/>
  <c r="G412" i="1"/>
  <c r="G422" i="1"/>
  <c r="G432" i="1"/>
  <c r="G442" i="1"/>
  <c r="G452" i="1"/>
  <c r="G462" i="1"/>
  <c r="G472" i="1"/>
  <c r="G482" i="1"/>
  <c r="C191" i="1"/>
  <c r="C201" i="1"/>
  <c r="C211" i="1"/>
  <c r="C221" i="1"/>
  <c r="C231" i="1"/>
  <c r="C241" i="1"/>
  <c r="C251" i="1"/>
  <c r="C261" i="1"/>
  <c r="C271" i="1"/>
  <c r="C281" i="1"/>
  <c r="C291" i="1"/>
  <c r="C301" i="1"/>
  <c r="C311" i="1"/>
  <c r="C321" i="1"/>
  <c r="C331" i="1"/>
  <c r="C341" i="1"/>
  <c r="C351" i="1"/>
  <c r="C361" i="1"/>
  <c r="C371" i="1"/>
  <c r="C381" i="1"/>
  <c r="C391" i="1"/>
  <c r="C401" i="1"/>
  <c r="C411" i="1"/>
  <c r="C421" i="1"/>
  <c r="C431" i="1"/>
  <c r="C441" i="1"/>
  <c r="C451" i="1"/>
  <c r="C461" i="1"/>
  <c r="C471" i="1"/>
  <c r="C481" i="1"/>
  <c r="D191" i="1"/>
  <c r="D201" i="1"/>
  <c r="D211" i="1"/>
  <c r="D221" i="1"/>
  <c r="D231" i="1"/>
  <c r="D241" i="1"/>
  <c r="D251" i="1"/>
  <c r="D261" i="1"/>
  <c r="D271" i="1"/>
  <c r="D281" i="1"/>
  <c r="D291" i="1"/>
  <c r="D301" i="1"/>
  <c r="D311" i="1"/>
  <c r="D321" i="1"/>
  <c r="D331" i="1"/>
  <c r="D341" i="1"/>
  <c r="D351" i="1"/>
  <c r="D361" i="1"/>
  <c r="D371" i="1"/>
  <c r="D381" i="1"/>
  <c r="D391" i="1"/>
  <c r="D401" i="1"/>
  <c r="D411" i="1"/>
  <c r="D421" i="1"/>
  <c r="D431" i="1"/>
  <c r="D441" i="1"/>
  <c r="D451" i="1"/>
  <c r="D461" i="1"/>
  <c r="D471" i="1"/>
  <c r="D481" i="1"/>
  <c r="E191" i="1"/>
  <c r="E201" i="1"/>
  <c r="E211" i="1"/>
  <c r="E221" i="1"/>
  <c r="E231" i="1"/>
  <c r="E241" i="1"/>
  <c r="E251" i="1"/>
  <c r="E261" i="1"/>
  <c r="E271" i="1"/>
  <c r="E281" i="1"/>
  <c r="E291" i="1"/>
  <c r="E301" i="1"/>
  <c r="E311" i="1"/>
  <c r="E321" i="1"/>
  <c r="E331" i="1"/>
  <c r="E341" i="1"/>
  <c r="E351" i="1"/>
  <c r="E361" i="1"/>
  <c r="E371" i="1"/>
  <c r="E381" i="1"/>
  <c r="E391" i="1"/>
  <c r="E401" i="1"/>
  <c r="E411" i="1"/>
  <c r="E421" i="1"/>
  <c r="E431" i="1"/>
  <c r="E441" i="1"/>
  <c r="E451" i="1"/>
  <c r="E461" i="1"/>
  <c r="E471" i="1"/>
  <c r="E481" i="1"/>
  <c r="G191" i="1"/>
  <c r="G201" i="1"/>
  <c r="G211" i="1"/>
  <c r="G221" i="1"/>
  <c r="G231" i="1"/>
  <c r="G241" i="1"/>
  <c r="G251" i="1"/>
  <c r="G261" i="1"/>
  <c r="G271" i="1"/>
  <c r="G281" i="1"/>
  <c r="G291" i="1"/>
  <c r="G301" i="1"/>
  <c r="G311" i="1"/>
  <c r="G321" i="1"/>
  <c r="G331" i="1"/>
  <c r="G341" i="1"/>
  <c r="G351" i="1"/>
  <c r="G361" i="1"/>
  <c r="G371" i="1"/>
  <c r="G381" i="1"/>
  <c r="G391" i="1"/>
  <c r="G401" i="1"/>
  <c r="G411" i="1"/>
  <c r="G421" i="1"/>
  <c r="G431" i="1"/>
  <c r="G441" i="1"/>
  <c r="G451" i="1"/>
  <c r="G461" i="1"/>
  <c r="G471" i="1"/>
  <c r="G481" i="1"/>
  <c r="C190" i="1"/>
  <c r="C200" i="1"/>
  <c r="C210" i="1"/>
  <c r="C220" i="1"/>
  <c r="C230" i="1"/>
  <c r="C240" i="1"/>
  <c r="C250" i="1"/>
  <c r="C260" i="1"/>
  <c r="C270" i="1"/>
  <c r="C280" i="1"/>
  <c r="C290" i="1"/>
  <c r="C300" i="1"/>
  <c r="C310" i="1"/>
  <c r="C320" i="1"/>
  <c r="C330" i="1"/>
  <c r="C340" i="1"/>
  <c r="C350" i="1"/>
  <c r="C360" i="1"/>
  <c r="C370" i="1"/>
  <c r="C380" i="1"/>
  <c r="C390" i="1"/>
  <c r="C400" i="1"/>
  <c r="C410" i="1"/>
  <c r="C420" i="1"/>
  <c r="C430" i="1"/>
  <c r="C440" i="1"/>
  <c r="C450" i="1"/>
  <c r="C460" i="1"/>
  <c r="C470" i="1"/>
  <c r="C480" i="1"/>
  <c r="D190" i="1"/>
  <c r="D200" i="1"/>
  <c r="D210" i="1"/>
  <c r="D220" i="1"/>
  <c r="D230" i="1"/>
  <c r="D240" i="1"/>
  <c r="D250" i="1"/>
  <c r="D260" i="1"/>
  <c r="D270" i="1"/>
  <c r="D280" i="1"/>
  <c r="D290" i="1"/>
  <c r="D300" i="1"/>
  <c r="D310" i="1"/>
  <c r="D320" i="1"/>
  <c r="D330" i="1"/>
  <c r="D340" i="1"/>
  <c r="D350" i="1"/>
  <c r="D360" i="1"/>
  <c r="D370" i="1"/>
  <c r="D380" i="1"/>
  <c r="D390" i="1"/>
  <c r="D400" i="1"/>
  <c r="D410" i="1"/>
  <c r="D420" i="1"/>
  <c r="D430" i="1"/>
  <c r="D440" i="1"/>
  <c r="D450" i="1"/>
  <c r="D460" i="1"/>
  <c r="D470" i="1"/>
  <c r="D480" i="1"/>
  <c r="E190" i="1"/>
  <c r="E200" i="1"/>
  <c r="E210" i="1"/>
  <c r="E220" i="1"/>
  <c r="E230" i="1"/>
  <c r="E240" i="1"/>
  <c r="E250" i="1"/>
  <c r="E260" i="1"/>
  <c r="E270" i="1"/>
  <c r="E280" i="1"/>
  <c r="E290" i="1"/>
  <c r="E300" i="1"/>
  <c r="E310" i="1"/>
  <c r="E320" i="1"/>
  <c r="E330" i="1"/>
  <c r="E340" i="1"/>
  <c r="E350" i="1"/>
  <c r="E360" i="1"/>
  <c r="E370" i="1"/>
  <c r="E380" i="1"/>
  <c r="E390" i="1"/>
  <c r="E400" i="1"/>
  <c r="E410" i="1"/>
  <c r="E420" i="1"/>
  <c r="E430" i="1"/>
  <c r="E440" i="1"/>
  <c r="E450" i="1"/>
  <c r="E460" i="1"/>
  <c r="E470" i="1"/>
  <c r="E480" i="1"/>
  <c r="G190" i="1"/>
  <c r="G200" i="1"/>
  <c r="G210" i="1"/>
  <c r="G220" i="1"/>
  <c r="G230" i="1"/>
  <c r="G240" i="1"/>
  <c r="G250" i="1"/>
  <c r="G260" i="1"/>
  <c r="G270" i="1"/>
  <c r="G280" i="1"/>
  <c r="G290" i="1"/>
  <c r="G300" i="1"/>
  <c r="G310" i="1"/>
  <c r="G320" i="1"/>
  <c r="G330" i="1"/>
  <c r="G340" i="1"/>
  <c r="G350" i="1"/>
  <c r="G360" i="1"/>
  <c r="G370" i="1"/>
  <c r="G380" i="1"/>
  <c r="G390" i="1"/>
  <c r="G400" i="1"/>
  <c r="G410" i="1"/>
  <c r="G420" i="1"/>
  <c r="G430" i="1"/>
  <c r="G440" i="1"/>
  <c r="G450" i="1"/>
  <c r="G460" i="1"/>
  <c r="G470" i="1"/>
  <c r="G480" i="1"/>
  <c r="C189" i="1"/>
  <c r="C199" i="1"/>
  <c r="C209" i="1"/>
  <c r="C219" i="1"/>
  <c r="C229" i="1"/>
  <c r="C239" i="1"/>
  <c r="C249" i="1"/>
  <c r="C259" i="1"/>
  <c r="C269" i="1"/>
  <c r="C279" i="1"/>
  <c r="C289" i="1"/>
  <c r="C299" i="1"/>
  <c r="C309" i="1"/>
  <c r="C319" i="1"/>
  <c r="C329" i="1"/>
  <c r="C339" i="1"/>
  <c r="C349" i="1"/>
  <c r="C359" i="1"/>
  <c r="C369" i="1"/>
  <c r="C379" i="1"/>
  <c r="C389" i="1"/>
  <c r="C399" i="1"/>
  <c r="C409" i="1"/>
  <c r="C419" i="1"/>
  <c r="C429" i="1"/>
  <c r="C439" i="1"/>
  <c r="C449" i="1"/>
  <c r="C459" i="1"/>
  <c r="C469" i="1"/>
  <c r="C479" i="1"/>
  <c r="D189" i="1"/>
  <c r="D199" i="1"/>
  <c r="D209" i="1"/>
  <c r="D219" i="1"/>
  <c r="D229" i="1"/>
  <c r="D239" i="1"/>
  <c r="D249" i="1"/>
  <c r="D259" i="1"/>
  <c r="D269" i="1"/>
  <c r="D279" i="1"/>
  <c r="D289" i="1"/>
  <c r="D299" i="1"/>
  <c r="D309" i="1"/>
  <c r="D319" i="1"/>
  <c r="D329" i="1"/>
  <c r="D339" i="1"/>
  <c r="D349" i="1"/>
  <c r="D359" i="1"/>
  <c r="D369" i="1"/>
  <c r="D379" i="1"/>
  <c r="D389" i="1"/>
  <c r="D399" i="1"/>
  <c r="D409" i="1"/>
  <c r="D419" i="1"/>
  <c r="D429" i="1"/>
  <c r="D439" i="1"/>
  <c r="D449" i="1"/>
  <c r="D459" i="1"/>
  <c r="D469" i="1"/>
  <c r="D479" i="1"/>
  <c r="E189" i="1"/>
  <c r="E199" i="1"/>
  <c r="E209" i="1"/>
  <c r="E219" i="1"/>
  <c r="E229" i="1"/>
  <c r="E239" i="1"/>
  <c r="E249" i="1"/>
  <c r="E259" i="1"/>
  <c r="E269" i="1"/>
  <c r="E279" i="1"/>
  <c r="E289" i="1"/>
  <c r="E299" i="1"/>
  <c r="E309" i="1"/>
  <c r="E319" i="1"/>
  <c r="E329" i="1"/>
  <c r="E339" i="1"/>
  <c r="E349" i="1"/>
  <c r="E359" i="1"/>
  <c r="E369" i="1"/>
  <c r="E379" i="1"/>
  <c r="E389" i="1"/>
  <c r="E399" i="1"/>
  <c r="E409" i="1"/>
  <c r="E419" i="1"/>
  <c r="E429" i="1"/>
  <c r="E439" i="1"/>
  <c r="E449" i="1"/>
  <c r="E459" i="1"/>
  <c r="E469" i="1"/>
  <c r="E479" i="1"/>
  <c r="G189" i="1"/>
  <c r="G199" i="1"/>
  <c r="G209" i="1"/>
  <c r="G219" i="1"/>
  <c r="G229" i="1"/>
  <c r="G239" i="1"/>
  <c r="G249" i="1"/>
  <c r="G259" i="1"/>
  <c r="G269" i="1"/>
  <c r="G279" i="1"/>
  <c r="G289" i="1"/>
  <c r="G299" i="1"/>
  <c r="G309" i="1"/>
  <c r="G319" i="1"/>
  <c r="G329" i="1"/>
  <c r="G339" i="1"/>
  <c r="G349" i="1"/>
  <c r="G359" i="1"/>
  <c r="G369" i="1"/>
  <c r="G379" i="1"/>
  <c r="G389" i="1"/>
  <c r="G399" i="1"/>
  <c r="G409" i="1"/>
  <c r="G419" i="1"/>
  <c r="G429" i="1"/>
  <c r="G439" i="1"/>
  <c r="G449" i="1"/>
  <c r="G459" i="1"/>
  <c r="G469" i="1"/>
  <c r="G479" i="1"/>
  <c r="C328" i="1"/>
  <c r="C338" i="1"/>
  <c r="C348" i="1"/>
  <c r="C358" i="1"/>
  <c r="C368" i="1"/>
  <c r="C378" i="1"/>
  <c r="C388" i="1"/>
  <c r="C398" i="1"/>
  <c r="C408" i="1"/>
  <c r="C418" i="1"/>
  <c r="C428" i="1"/>
  <c r="C438" i="1"/>
  <c r="C448" i="1"/>
  <c r="C458" i="1"/>
  <c r="C468" i="1"/>
  <c r="C478" i="1"/>
  <c r="D328" i="1"/>
  <c r="D338" i="1"/>
  <c r="D348" i="1"/>
  <c r="D358" i="1"/>
  <c r="D368" i="1"/>
  <c r="D378" i="1"/>
  <c r="D388" i="1"/>
  <c r="D398" i="1"/>
  <c r="D408" i="1"/>
  <c r="D418" i="1"/>
  <c r="D428" i="1"/>
  <c r="D438" i="1"/>
  <c r="D448" i="1"/>
  <c r="D458" i="1"/>
  <c r="D468" i="1"/>
  <c r="D478" i="1"/>
  <c r="E328" i="1"/>
  <c r="E338" i="1"/>
  <c r="E348" i="1"/>
  <c r="E358" i="1"/>
  <c r="E368" i="1"/>
  <c r="E378" i="1"/>
  <c r="E388" i="1"/>
  <c r="E398" i="1"/>
  <c r="E408" i="1"/>
  <c r="E418" i="1"/>
  <c r="E428" i="1"/>
  <c r="E438" i="1"/>
  <c r="E448" i="1"/>
  <c r="E458" i="1"/>
  <c r="E468" i="1"/>
  <c r="E478" i="1"/>
  <c r="G328" i="1"/>
  <c r="G338" i="1"/>
  <c r="G348" i="1"/>
  <c r="G358" i="1"/>
  <c r="G368" i="1"/>
  <c r="G378" i="1"/>
  <c r="G388" i="1"/>
  <c r="G398" i="1"/>
  <c r="G408" i="1"/>
  <c r="G418" i="1"/>
  <c r="G428" i="1"/>
  <c r="G438" i="1"/>
  <c r="G448" i="1"/>
  <c r="G458" i="1"/>
  <c r="G468" i="1"/>
  <c r="G478" i="1"/>
  <c r="G4" i="1" l="1"/>
  <c r="G14" i="1"/>
  <c r="G24" i="1"/>
  <c r="G34" i="1"/>
  <c r="G44" i="1"/>
  <c r="G54" i="1"/>
  <c r="G64" i="1"/>
  <c r="G74" i="1"/>
  <c r="G84" i="1"/>
  <c r="G94" i="1"/>
  <c r="G104" i="1"/>
  <c r="G114" i="1"/>
  <c r="G124" i="1"/>
  <c r="G134" i="1"/>
  <c r="G144" i="1"/>
  <c r="G154" i="1"/>
  <c r="G164" i="1"/>
  <c r="G174" i="1"/>
  <c r="G5" i="1"/>
  <c r="G15" i="1"/>
  <c r="G25" i="1"/>
  <c r="G35" i="1"/>
  <c r="G45" i="1"/>
  <c r="G55" i="1"/>
  <c r="G65" i="1"/>
  <c r="G75" i="1"/>
  <c r="G85" i="1"/>
  <c r="G95" i="1"/>
  <c r="G105" i="1"/>
  <c r="G115" i="1"/>
  <c r="G125" i="1"/>
  <c r="G135" i="1"/>
  <c r="G145" i="1"/>
  <c r="G155" i="1"/>
  <c r="G165" i="1"/>
  <c r="G175" i="1"/>
  <c r="G6" i="1"/>
  <c r="G16" i="1"/>
  <c r="G26" i="1"/>
  <c r="G36" i="1"/>
  <c r="G46" i="1"/>
  <c r="G56" i="1"/>
  <c r="G66" i="1"/>
  <c r="G76" i="1"/>
  <c r="G86" i="1"/>
  <c r="G96" i="1"/>
  <c r="G106" i="1"/>
  <c r="G116" i="1"/>
  <c r="G126" i="1"/>
  <c r="G136" i="1"/>
  <c r="G146" i="1"/>
  <c r="G156" i="1"/>
  <c r="G166" i="1"/>
  <c r="G176" i="1"/>
  <c r="G7" i="1"/>
  <c r="G17" i="1"/>
  <c r="G27" i="1"/>
  <c r="G37" i="1"/>
  <c r="G47" i="1"/>
  <c r="G57" i="1"/>
  <c r="G67" i="1"/>
  <c r="G77" i="1"/>
  <c r="G87" i="1"/>
  <c r="G97" i="1"/>
  <c r="G107" i="1"/>
  <c r="G117" i="1"/>
  <c r="G127" i="1"/>
  <c r="G137" i="1"/>
  <c r="G147" i="1"/>
  <c r="G157" i="1"/>
  <c r="G167" i="1"/>
  <c r="G177" i="1"/>
  <c r="G8" i="1"/>
  <c r="G18" i="1"/>
  <c r="G28" i="1"/>
  <c r="G38" i="1"/>
  <c r="G48" i="1"/>
  <c r="G58" i="1"/>
  <c r="G68" i="1"/>
  <c r="G78" i="1"/>
  <c r="G88" i="1"/>
  <c r="G98" i="1"/>
  <c r="G108" i="1"/>
  <c r="G118" i="1"/>
  <c r="G128" i="1"/>
  <c r="G138" i="1"/>
  <c r="G148" i="1"/>
  <c r="G158" i="1"/>
  <c r="G168" i="1"/>
  <c r="G178" i="1"/>
  <c r="G9" i="1"/>
  <c r="G19" i="1"/>
  <c r="G29" i="1"/>
  <c r="G39" i="1"/>
  <c r="G49" i="1"/>
  <c r="G59" i="1"/>
  <c r="G69" i="1"/>
  <c r="G79" i="1"/>
  <c r="G89" i="1"/>
  <c r="G99" i="1"/>
  <c r="G109" i="1"/>
  <c r="G119" i="1"/>
  <c r="G129" i="1"/>
  <c r="G139" i="1"/>
  <c r="G149" i="1"/>
  <c r="G159" i="1"/>
  <c r="G169" i="1"/>
  <c r="G179" i="1"/>
  <c r="G10" i="1"/>
  <c r="G20" i="1"/>
  <c r="G30" i="1"/>
  <c r="G40" i="1"/>
  <c r="G50" i="1"/>
  <c r="G60" i="1"/>
  <c r="G70" i="1"/>
  <c r="G80" i="1"/>
  <c r="G90" i="1"/>
  <c r="G100" i="1"/>
  <c r="G110" i="1"/>
  <c r="G120" i="1"/>
  <c r="G130" i="1"/>
  <c r="G140" i="1"/>
  <c r="G150" i="1"/>
  <c r="G160" i="1"/>
  <c r="G170" i="1"/>
  <c r="G180" i="1"/>
  <c r="G11" i="1"/>
  <c r="G21" i="1"/>
  <c r="G31" i="1"/>
  <c r="G41" i="1"/>
  <c r="G51" i="1"/>
  <c r="G61" i="1"/>
  <c r="G71" i="1"/>
  <c r="G81" i="1"/>
  <c r="G91" i="1"/>
  <c r="G101" i="1"/>
  <c r="G111" i="1"/>
  <c r="G121" i="1"/>
  <c r="G131" i="1"/>
  <c r="G141" i="1"/>
  <c r="G151" i="1"/>
  <c r="G161" i="1"/>
  <c r="G171" i="1"/>
  <c r="G181" i="1"/>
  <c r="G12" i="1"/>
  <c r="G22" i="1"/>
  <c r="G32" i="1"/>
  <c r="G42" i="1"/>
  <c r="G52" i="1"/>
  <c r="G62" i="1"/>
  <c r="G72" i="1"/>
  <c r="G82" i="1"/>
  <c r="G92" i="1"/>
  <c r="G102" i="1"/>
  <c r="G112" i="1"/>
  <c r="G122" i="1"/>
  <c r="G132" i="1"/>
  <c r="G142" i="1"/>
  <c r="G152" i="1"/>
  <c r="G162" i="1"/>
  <c r="G172" i="1"/>
  <c r="G182" i="1"/>
  <c r="G13" i="1"/>
  <c r="G23" i="1"/>
  <c r="G33" i="1"/>
  <c r="G43" i="1"/>
  <c r="G53" i="1"/>
  <c r="G63" i="1"/>
  <c r="G73" i="1"/>
  <c r="G83" i="1"/>
  <c r="G93" i="1"/>
  <c r="G103" i="1"/>
  <c r="G113" i="1"/>
  <c r="G123" i="1"/>
  <c r="G133" i="1"/>
  <c r="G143" i="1"/>
  <c r="G153" i="1"/>
  <c r="G163" i="1"/>
  <c r="G173" i="1"/>
  <c r="G183" i="1"/>
  <c r="G184" i="1"/>
  <c r="G194" i="1"/>
  <c r="G204" i="1"/>
  <c r="G214" i="1"/>
  <c r="G224" i="1"/>
  <c r="G234" i="1"/>
  <c r="G244" i="1"/>
  <c r="G254" i="1"/>
  <c r="G264" i="1"/>
  <c r="G274" i="1"/>
  <c r="G284" i="1"/>
  <c r="G294" i="1"/>
  <c r="G304" i="1"/>
  <c r="G314" i="1"/>
  <c r="G324" i="1"/>
  <c r="G334" i="1"/>
  <c r="G344" i="1"/>
  <c r="G354" i="1"/>
  <c r="G364" i="1"/>
  <c r="G374" i="1"/>
  <c r="G384" i="1"/>
  <c r="G394" i="1"/>
  <c r="G404" i="1"/>
  <c r="G414" i="1"/>
  <c r="G424" i="1"/>
  <c r="G434" i="1"/>
  <c r="G444" i="1"/>
  <c r="G454" i="1"/>
  <c r="G464" i="1"/>
  <c r="G474" i="1"/>
  <c r="G185" i="1"/>
  <c r="G195" i="1"/>
  <c r="G205" i="1"/>
  <c r="G215" i="1"/>
  <c r="G225" i="1"/>
  <c r="G235" i="1"/>
  <c r="G245" i="1"/>
  <c r="G255" i="1"/>
  <c r="G265" i="1"/>
  <c r="G275" i="1"/>
  <c r="G285" i="1"/>
  <c r="G295" i="1"/>
  <c r="G305" i="1"/>
  <c r="G315" i="1"/>
  <c r="G325" i="1"/>
  <c r="G335" i="1"/>
  <c r="G345" i="1"/>
  <c r="G355" i="1"/>
  <c r="G365" i="1"/>
  <c r="G375" i="1"/>
  <c r="G385" i="1"/>
  <c r="G395" i="1"/>
  <c r="G405" i="1"/>
  <c r="G415" i="1"/>
  <c r="G425" i="1"/>
  <c r="G435" i="1"/>
  <c r="G445" i="1"/>
  <c r="G455" i="1"/>
  <c r="G465" i="1"/>
  <c r="G475" i="1"/>
  <c r="G186" i="1"/>
  <c r="G196" i="1"/>
  <c r="G206" i="1"/>
  <c r="G216" i="1"/>
  <c r="G226" i="1"/>
  <c r="G236" i="1"/>
  <c r="G246" i="1"/>
  <c r="G256" i="1"/>
  <c r="G266" i="1"/>
  <c r="G276" i="1"/>
  <c r="G286" i="1"/>
  <c r="G296" i="1"/>
  <c r="G306" i="1"/>
  <c r="G316" i="1"/>
  <c r="G326" i="1"/>
  <c r="G336" i="1"/>
  <c r="G346" i="1"/>
  <c r="G356" i="1"/>
  <c r="G366" i="1"/>
  <c r="G376" i="1"/>
  <c r="G386" i="1"/>
  <c r="G396" i="1"/>
  <c r="G406" i="1"/>
  <c r="G416" i="1"/>
  <c r="G426" i="1"/>
  <c r="G436" i="1"/>
  <c r="G446" i="1"/>
  <c r="G456" i="1"/>
  <c r="G466" i="1"/>
  <c r="G476" i="1"/>
  <c r="G187" i="1"/>
  <c r="G197" i="1"/>
  <c r="G207" i="1"/>
  <c r="G217" i="1"/>
  <c r="G227" i="1"/>
  <c r="G237" i="1"/>
  <c r="G247" i="1"/>
  <c r="G257" i="1"/>
  <c r="G267" i="1"/>
  <c r="G277" i="1"/>
  <c r="G287" i="1"/>
  <c r="G297" i="1"/>
  <c r="G307" i="1"/>
  <c r="G317" i="1"/>
  <c r="G327" i="1"/>
  <c r="G337" i="1"/>
  <c r="G347" i="1"/>
  <c r="G357" i="1"/>
  <c r="G367" i="1"/>
  <c r="G377" i="1"/>
  <c r="G387" i="1"/>
  <c r="G397" i="1"/>
  <c r="G407" i="1"/>
  <c r="G417" i="1"/>
  <c r="G427" i="1"/>
  <c r="G437" i="1"/>
  <c r="G447" i="1"/>
  <c r="G457" i="1"/>
  <c r="G467" i="1"/>
  <c r="G477" i="1"/>
  <c r="G188" i="1"/>
  <c r="G198" i="1"/>
  <c r="G208" i="1"/>
  <c r="G218" i="1"/>
  <c r="G228" i="1"/>
  <c r="G238" i="1"/>
  <c r="G248" i="1"/>
  <c r="G258" i="1"/>
  <c r="G268" i="1"/>
  <c r="G278" i="1"/>
  <c r="G288" i="1"/>
  <c r="G298" i="1"/>
  <c r="G308" i="1"/>
  <c r="G318" i="1"/>
  <c r="C318" i="1" l="1"/>
  <c r="D318" i="1"/>
  <c r="E318" i="1"/>
  <c r="C14" i="1"/>
  <c r="D14" i="1"/>
  <c r="E14" i="1"/>
  <c r="C5" i="1"/>
  <c r="D5" i="1"/>
  <c r="E5" i="1"/>
  <c r="C65" i="1"/>
  <c r="D65" i="1"/>
  <c r="E65" i="1"/>
  <c r="C125" i="1"/>
  <c r="D125" i="1"/>
  <c r="E125" i="1"/>
  <c r="C6" i="1"/>
  <c r="D6" i="1"/>
  <c r="E6" i="1"/>
  <c r="C66" i="1"/>
  <c r="D66" i="1"/>
  <c r="E66" i="1"/>
  <c r="C126" i="1"/>
  <c r="D126" i="1"/>
  <c r="E126" i="1"/>
  <c r="C7" i="1"/>
  <c r="D7" i="1"/>
  <c r="E7" i="1"/>
  <c r="C67" i="1"/>
  <c r="D67" i="1"/>
  <c r="E67" i="1"/>
  <c r="C127" i="1"/>
  <c r="D127" i="1"/>
  <c r="E127" i="1"/>
  <c r="C8" i="1"/>
  <c r="D8" i="1"/>
  <c r="E8" i="1"/>
  <c r="C68" i="1"/>
  <c r="D68" i="1"/>
  <c r="E68" i="1"/>
  <c r="C128" i="1"/>
  <c r="D128" i="1"/>
  <c r="E128" i="1"/>
  <c r="C9" i="1"/>
  <c r="D9" i="1"/>
  <c r="E9" i="1"/>
  <c r="C69" i="1"/>
  <c r="D69" i="1"/>
  <c r="E69" i="1"/>
  <c r="C129" i="1"/>
  <c r="D129" i="1"/>
  <c r="E129" i="1"/>
  <c r="C10" i="1"/>
  <c r="D10" i="1"/>
  <c r="E10" i="1"/>
  <c r="C70" i="1"/>
  <c r="D70" i="1"/>
  <c r="E70" i="1"/>
  <c r="C130" i="1"/>
  <c r="D130" i="1"/>
  <c r="E130" i="1"/>
  <c r="C11" i="1"/>
  <c r="D11" i="1"/>
  <c r="E11" i="1"/>
  <c r="C71" i="1"/>
  <c r="D71" i="1"/>
  <c r="E71" i="1"/>
  <c r="C131" i="1"/>
  <c r="D131" i="1"/>
  <c r="E131" i="1"/>
  <c r="C12" i="1"/>
  <c r="D12" i="1"/>
  <c r="E12" i="1"/>
  <c r="C72" i="1"/>
  <c r="D72" i="1"/>
  <c r="E72" i="1"/>
  <c r="C132" i="1"/>
  <c r="D132" i="1"/>
  <c r="E132" i="1"/>
  <c r="C13" i="1"/>
  <c r="D13" i="1"/>
  <c r="E13" i="1"/>
  <c r="C73" i="1"/>
  <c r="D73" i="1"/>
  <c r="E73" i="1"/>
  <c r="C133" i="1"/>
  <c r="D133" i="1"/>
  <c r="E133" i="1"/>
  <c r="C184" i="1"/>
  <c r="D184" i="1"/>
  <c r="E184" i="1"/>
  <c r="C244" i="1"/>
  <c r="D244" i="1"/>
  <c r="E244" i="1"/>
  <c r="C304" i="1"/>
  <c r="D304" i="1"/>
  <c r="E304" i="1"/>
  <c r="C364" i="1"/>
  <c r="D364" i="1"/>
  <c r="E364" i="1"/>
  <c r="C424" i="1"/>
  <c r="D424" i="1"/>
  <c r="E424" i="1"/>
  <c r="C185" i="1"/>
  <c r="D185" i="1"/>
  <c r="E185" i="1"/>
  <c r="C245" i="1"/>
  <c r="D245" i="1"/>
  <c r="E245" i="1"/>
  <c r="C305" i="1"/>
  <c r="D305" i="1"/>
  <c r="E305" i="1"/>
  <c r="C21" i="1"/>
  <c r="D21" i="1"/>
  <c r="E21" i="1"/>
  <c r="C81" i="1"/>
  <c r="D81" i="1"/>
  <c r="E81" i="1"/>
  <c r="C141" i="1"/>
  <c r="D141" i="1"/>
  <c r="E141" i="1"/>
  <c r="C22" i="1"/>
  <c r="D22" i="1"/>
  <c r="E22" i="1"/>
  <c r="C82" i="1"/>
  <c r="D82" i="1"/>
  <c r="E82" i="1"/>
  <c r="C142" i="1"/>
  <c r="D142" i="1"/>
  <c r="E142" i="1"/>
  <c r="C23" i="1"/>
  <c r="D23" i="1"/>
  <c r="E23" i="1"/>
  <c r="C83" i="1"/>
  <c r="D83" i="1"/>
  <c r="E83" i="1"/>
  <c r="C143" i="1"/>
  <c r="D143" i="1"/>
  <c r="E143" i="1"/>
  <c r="C194" i="1"/>
  <c r="D194" i="1"/>
  <c r="E194" i="1"/>
  <c r="C254" i="1"/>
  <c r="D254" i="1"/>
  <c r="E254" i="1"/>
  <c r="C314" i="1"/>
  <c r="D314" i="1"/>
  <c r="E314" i="1"/>
  <c r="C374" i="1"/>
  <c r="D374" i="1"/>
  <c r="E374" i="1"/>
  <c r="C434" i="1"/>
  <c r="D434" i="1"/>
  <c r="E434" i="1"/>
  <c r="C195" i="1"/>
  <c r="D195" i="1"/>
  <c r="E195" i="1"/>
  <c r="C255" i="1"/>
  <c r="D255" i="1"/>
  <c r="E255" i="1"/>
  <c r="C315" i="1"/>
  <c r="D315" i="1"/>
  <c r="E315" i="1"/>
  <c r="C31" i="1"/>
  <c r="D31" i="1"/>
  <c r="E31" i="1"/>
  <c r="C91" i="1"/>
  <c r="D91" i="1"/>
  <c r="E91" i="1"/>
  <c r="C151" i="1"/>
  <c r="D151" i="1"/>
  <c r="E151" i="1"/>
  <c r="C32" i="1"/>
  <c r="D32" i="1"/>
  <c r="E32" i="1"/>
  <c r="C92" i="1"/>
  <c r="D92" i="1"/>
  <c r="E92" i="1"/>
  <c r="C152" i="1"/>
  <c r="D152" i="1"/>
  <c r="E152" i="1"/>
  <c r="C33" i="1"/>
  <c r="D33" i="1"/>
  <c r="E33" i="1"/>
  <c r="C93" i="1"/>
  <c r="D93" i="1"/>
  <c r="E93" i="1"/>
  <c r="C153" i="1"/>
  <c r="D153" i="1"/>
  <c r="E153" i="1"/>
  <c r="C204" i="1"/>
  <c r="D204" i="1"/>
  <c r="E204" i="1"/>
  <c r="C264" i="1"/>
  <c r="D264" i="1"/>
  <c r="E264" i="1"/>
  <c r="C324" i="1"/>
  <c r="D324" i="1"/>
  <c r="E324" i="1"/>
  <c r="C384" i="1"/>
  <c r="D384" i="1"/>
  <c r="E384" i="1"/>
  <c r="C444" i="1"/>
  <c r="D444" i="1"/>
  <c r="E444" i="1"/>
  <c r="C205" i="1"/>
  <c r="D205" i="1"/>
  <c r="E205" i="1"/>
  <c r="C265" i="1"/>
  <c r="D265" i="1"/>
  <c r="E265" i="1"/>
  <c r="C325" i="1"/>
  <c r="D325" i="1"/>
  <c r="E325" i="1"/>
  <c r="C41" i="1"/>
  <c r="D41" i="1"/>
  <c r="E41" i="1"/>
  <c r="C101" i="1"/>
  <c r="D101" i="1"/>
  <c r="E101" i="1"/>
  <c r="C161" i="1"/>
  <c r="D161" i="1"/>
  <c r="E161" i="1"/>
  <c r="C42" i="1"/>
  <c r="D42" i="1"/>
  <c r="E42" i="1"/>
  <c r="C102" i="1"/>
  <c r="D102" i="1"/>
  <c r="E102" i="1"/>
  <c r="C162" i="1"/>
  <c r="D162" i="1"/>
  <c r="E162" i="1"/>
  <c r="C43" i="1"/>
  <c r="D43" i="1"/>
  <c r="E43" i="1"/>
  <c r="C103" i="1"/>
  <c r="D103" i="1"/>
  <c r="E103" i="1"/>
  <c r="C163" i="1"/>
  <c r="D163" i="1"/>
  <c r="E163" i="1"/>
  <c r="C214" i="1"/>
  <c r="D214" i="1"/>
  <c r="E214" i="1"/>
  <c r="C274" i="1"/>
  <c r="D274" i="1"/>
  <c r="E274" i="1"/>
  <c r="C334" i="1"/>
  <c r="D334" i="1"/>
  <c r="E334" i="1"/>
  <c r="C394" i="1"/>
  <c r="D394" i="1"/>
  <c r="E394" i="1"/>
  <c r="C454" i="1"/>
  <c r="D454" i="1"/>
  <c r="E454" i="1"/>
  <c r="C215" i="1"/>
  <c r="D215" i="1"/>
  <c r="E215" i="1"/>
  <c r="C275" i="1"/>
  <c r="D275" i="1"/>
  <c r="E275" i="1"/>
  <c r="C335" i="1"/>
  <c r="D335" i="1"/>
  <c r="E335" i="1"/>
  <c r="C51" i="1"/>
  <c r="D51" i="1"/>
  <c r="E51" i="1"/>
  <c r="C111" i="1"/>
  <c r="D111" i="1"/>
  <c r="E111" i="1"/>
  <c r="C171" i="1"/>
  <c r="D171" i="1"/>
  <c r="E171" i="1"/>
  <c r="C52" i="1"/>
  <c r="D52" i="1"/>
  <c r="E52" i="1"/>
  <c r="C112" i="1"/>
  <c r="D112" i="1"/>
  <c r="E112" i="1"/>
  <c r="C172" i="1"/>
  <c r="D172" i="1"/>
  <c r="E172" i="1"/>
  <c r="C53" i="1"/>
  <c r="D53" i="1"/>
  <c r="E53" i="1"/>
  <c r="C113" i="1"/>
  <c r="D113" i="1"/>
  <c r="E113" i="1"/>
  <c r="C173" i="1"/>
  <c r="D173" i="1"/>
  <c r="E173" i="1"/>
  <c r="C224" i="1"/>
  <c r="D224" i="1"/>
  <c r="E224" i="1"/>
  <c r="C284" i="1"/>
  <c r="D284" i="1"/>
  <c r="E284" i="1"/>
  <c r="C344" i="1"/>
  <c r="D344" i="1"/>
  <c r="E344" i="1"/>
  <c r="C404" i="1"/>
  <c r="D404" i="1"/>
  <c r="E404" i="1"/>
  <c r="C464" i="1"/>
  <c r="D464" i="1"/>
  <c r="E464" i="1"/>
  <c r="C225" i="1"/>
  <c r="D225" i="1"/>
  <c r="E225" i="1"/>
  <c r="C285" i="1"/>
  <c r="D285" i="1"/>
  <c r="E285" i="1"/>
  <c r="C345" i="1"/>
  <c r="D345" i="1"/>
  <c r="E345" i="1"/>
  <c r="C134" i="1"/>
  <c r="D134" i="1"/>
  <c r="E134" i="1"/>
  <c r="C15" i="1"/>
  <c r="D15" i="1"/>
  <c r="E15" i="1"/>
  <c r="C75" i="1"/>
  <c r="D75" i="1"/>
  <c r="E75" i="1"/>
  <c r="C135" i="1"/>
  <c r="D135" i="1"/>
  <c r="E135" i="1"/>
  <c r="C16" i="1"/>
  <c r="D16" i="1"/>
  <c r="E16" i="1"/>
  <c r="C76" i="1"/>
  <c r="D76" i="1"/>
  <c r="E76" i="1"/>
  <c r="C136" i="1"/>
  <c r="D136" i="1"/>
  <c r="E136" i="1"/>
  <c r="C17" i="1"/>
  <c r="D17" i="1"/>
  <c r="E17" i="1"/>
  <c r="C77" i="1"/>
  <c r="D77" i="1"/>
  <c r="E77" i="1"/>
  <c r="C137" i="1"/>
  <c r="D137" i="1"/>
  <c r="E137" i="1"/>
  <c r="C18" i="1"/>
  <c r="D18" i="1"/>
  <c r="E18" i="1"/>
  <c r="C78" i="1"/>
  <c r="D78" i="1"/>
  <c r="E78" i="1"/>
  <c r="C138" i="1"/>
  <c r="D138" i="1"/>
  <c r="E138" i="1"/>
  <c r="C19" i="1"/>
  <c r="D19" i="1"/>
  <c r="E19" i="1"/>
  <c r="C79" i="1"/>
  <c r="D79" i="1"/>
  <c r="E79" i="1"/>
  <c r="C139" i="1"/>
  <c r="D139" i="1"/>
  <c r="E139" i="1"/>
  <c r="C20" i="1"/>
  <c r="D20" i="1"/>
  <c r="E20" i="1"/>
  <c r="C80" i="1"/>
  <c r="D80" i="1"/>
  <c r="E80" i="1"/>
  <c r="C140" i="1"/>
  <c r="D140" i="1"/>
  <c r="E140" i="1"/>
  <c r="C61" i="1"/>
  <c r="D61" i="1"/>
  <c r="E61" i="1"/>
  <c r="C121" i="1"/>
  <c r="D121" i="1"/>
  <c r="E121" i="1"/>
  <c r="C181" i="1"/>
  <c r="D181" i="1"/>
  <c r="E181" i="1"/>
  <c r="C62" i="1"/>
  <c r="D62" i="1"/>
  <c r="E62" i="1"/>
  <c r="C122" i="1"/>
  <c r="D122" i="1"/>
  <c r="E122" i="1"/>
  <c r="C182" i="1"/>
  <c r="D182" i="1"/>
  <c r="E182" i="1"/>
  <c r="C63" i="1"/>
  <c r="D63" i="1"/>
  <c r="E63" i="1"/>
  <c r="C123" i="1"/>
  <c r="D123" i="1"/>
  <c r="E123" i="1"/>
  <c r="C183" i="1"/>
  <c r="D183" i="1"/>
  <c r="E183" i="1"/>
  <c r="C234" i="1"/>
  <c r="D234" i="1"/>
  <c r="E234" i="1"/>
  <c r="C294" i="1"/>
  <c r="D294" i="1"/>
  <c r="E294" i="1"/>
  <c r="C354" i="1"/>
  <c r="D354" i="1"/>
  <c r="E354" i="1"/>
  <c r="C414" i="1"/>
  <c r="D414" i="1"/>
  <c r="E414" i="1"/>
  <c r="C474" i="1"/>
  <c r="D474" i="1"/>
  <c r="E474" i="1"/>
  <c r="C235" i="1"/>
  <c r="D235" i="1"/>
  <c r="E235" i="1"/>
  <c r="C295" i="1"/>
  <c r="D295" i="1"/>
  <c r="E295" i="1"/>
  <c r="C355" i="1"/>
  <c r="D355" i="1"/>
  <c r="E355" i="1"/>
  <c r="C144" i="1"/>
  <c r="D144" i="1"/>
  <c r="E144" i="1"/>
  <c r="C25" i="1"/>
  <c r="D25" i="1"/>
  <c r="E25" i="1"/>
  <c r="C85" i="1"/>
  <c r="D85" i="1"/>
  <c r="E85" i="1"/>
  <c r="C145" i="1"/>
  <c r="D145" i="1"/>
  <c r="E145" i="1"/>
  <c r="C26" i="1"/>
  <c r="D26" i="1"/>
  <c r="E26" i="1"/>
  <c r="C86" i="1"/>
  <c r="D86" i="1"/>
  <c r="E86" i="1"/>
  <c r="C146" i="1"/>
  <c r="D146" i="1"/>
  <c r="E146" i="1"/>
  <c r="C27" i="1"/>
  <c r="D27" i="1"/>
  <c r="E27" i="1"/>
  <c r="C87" i="1"/>
  <c r="D87" i="1"/>
  <c r="E87" i="1"/>
  <c r="C147" i="1"/>
  <c r="D147" i="1"/>
  <c r="E147" i="1"/>
  <c r="C28" i="1"/>
  <c r="D28" i="1"/>
  <c r="E28" i="1"/>
  <c r="C88" i="1"/>
  <c r="D88" i="1"/>
  <c r="E88" i="1"/>
  <c r="C148" i="1"/>
  <c r="D148" i="1"/>
  <c r="E148" i="1"/>
  <c r="C29" i="1"/>
  <c r="D29" i="1"/>
  <c r="E29" i="1"/>
  <c r="C89" i="1"/>
  <c r="D89" i="1"/>
  <c r="E89" i="1"/>
  <c r="C149" i="1"/>
  <c r="D149" i="1"/>
  <c r="E149" i="1"/>
  <c r="C30" i="1"/>
  <c r="D30" i="1"/>
  <c r="E30" i="1"/>
  <c r="C90" i="1"/>
  <c r="D90" i="1"/>
  <c r="E90" i="1"/>
  <c r="C150" i="1"/>
  <c r="D150" i="1"/>
  <c r="E150" i="1"/>
  <c r="C154" i="1"/>
  <c r="D154" i="1"/>
  <c r="E154" i="1"/>
  <c r="C35" i="1"/>
  <c r="D35" i="1"/>
  <c r="E35" i="1"/>
  <c r="C95" i="1"/>
  <c r="D95" i="1"/>
  <c r="E95" i="1"/>
  <c r="C155" i="1"/>
  <c r="D155" i="1"/>
  <c r="E155" i="1"/>
  <c r="C36" i="1"/>
  <c r="D36" i="1"/>
  <c r="E36" i="1"/>
  <c r="C96" i="1"/>
  <c r="D96" i="1"/>
  <c r="E96" i="1"/>
  <c r="C156" i="1"/>
  <c r="D156" i="1"/>
  <c r="E156" i="1"/>
  <c r="C37" i="1"/>
  <c r="D37" i="1"/>
  <c r="E37" i="1"/>
  <c r="C97" i="1"/>
  <c r="D97" i="1"/>
  <c r="E97" i="1"/>
  <c r="C157" i="1"/>
  <c r="D157" i="1"/>
  <c r="E157" i="1"/>
  <c r="C38" i="1"/>
  <c r="D38" i="1"/>
  <c r="E38" i="1"/>
  <c r="C98" i="1"/>
  <c r="D98" i="1"/>
  <c r="E98" i="1"/>
  <c r="C158" i="1"/>
  <c r="D158" i="1"/>
  <c r="E158" i="1"/>
  <c r="C39" i="1"/>
  <c r="D39" i="1"/>
  <c r="E39" i="1"/>
  <c r="C99" i="1"/>
  <c r="D99" i="1"/>
  <c r="E99" i="1"/>
  <c r="C159" i="1"/>
  <c r="D159" i="1"/>
  <c r="E159" i="1"/>
  <c r="C40" i="1"/>
  <c r="D40" i="1"/>
  <c r="E40" i="1"/>
  <c r="C100" i="1"/>
  <c r="D100" i="1"/>
  <c r="E100" i="1"/>
  <c r="C160" i="1"/>
  <c r="D160" i="1"/>
  <c r="E160" i="1"/>
  <c r="C164" i="1"/>
  <c r="D164" i="1"/>
  <c r="E164" i="1"/>
  <c r="C45" i="1"/>
  <c r="D45" i="1"/>
  <c r="E45" i="1"/>
  <c r="C105" i="1"/>
  <c r="D105" i="1"/>
  <c r="E105" i="1"/>
  <c r="C165" i="1"/>
  <c r="D165" i="1"/>
  <c r="E165" i="1"/>
  <c r="C46" i="1"/>
  <c r="D46" i="1"/>
  <c r="E46" i="1"/>
  <c r="C106" i="1"/>
  <c r="D106" i="1"/>
  <c r="E106" i="1"/>
  <c r="C166" i="1"/>
  <c r="D166" i="1"/>
  <c r="E166" i="1"/>
  <c r="C47" i="1"/>
  <c r="D47" i="1"/>
  <c r="E47" i="1"/>
  <c r="C107" i="1"/>
  <c r="D107" i="1"/>
  <c r="E107" i="1"/>
  <c r="C167" i="1"/>
  <c r="D167" i="1"/>
  <c r="E167" i="1"/>
  <c r="C48" i="1"/>
  <c r="D48" i="1"/>
  <c r="E48" i="1"/>
  <c r="C108" i="1"/>
  <c r="D108" i="1"/>
  <c r="E108" i="1"/>
  <c r="C168" i="1"/>
  <c r="D168" i="1"/>
  <c r="E168" i="1"/>
  <c r="C49" i="1"/>
  <c r="D49" i="1"/>
  <c r="E49" i="1"/>
  <c r="C109" i="1"/>
  <c r="D109" i="1"/>
  <c r="E109" i="1"/>
  <c r="C169" i="1"/>
  <c r="D169" i="1"/>
  <c r="E169" i="1"/>
  <c r="C50" i="1"/>
  <c r="D50" i="1"/>
  <c r="E50" i="1"/>
  <c r="C110" i="1"/>
  <c r="D110" i="1"/>
  <c r="E110" i="1"/>
  <c r="C170" i="1"/>
  <c r="D170" i="1"/>
  <c r="E170" i="1"/>
  <c r="C24" i="1"/>
  <c r="D24" i="1"/>
  <c r="E24" i="1"/>
  <c r="C34" i="1"/>
  <c r="D34" i="1"/>
  <c r="E34" i="1"/>
  <c r="C44" i="1"/>
  <c r="D44" i="1"/>
  <c r="E44" i="1"/>
  <c r="C54" i="1"/>
  <c r="D54" i="1"/>
  <c r="E54" i="1"/>
  <c r="C64" i="1"/>
  <c r="D64" i="1"/>
  <c r="E64" i="1"/>
  <c r="C74" i="1"/>
  <c r="D74" i="1"/>
  <c r="E74" i="1"/>
  <c r="C84" i="1"/>
  <c r="D84" i="1"/>
  <c r="E84" i="1"/>
  <c r="C94" i="1"/>
  <c r="D94" i="1"/>
  <c r="E94" i="1"/>
  <c r="C104" i="1"/>
  <c r="D104" i="1"/>
  <c r="E104" i="1"/>
  <c r="C114" i="1"/>
  <c r="D114" i="1"/>
  <c r="E114" i="1"/>
  <c r="C124" i="1"/>
  <c r="D124" i="1"/>
  <c r="E124" i="1"/>
  <c r="C174" i="1"/>
  <c r="D174" i="1"/>
  <c r="E174" i="1"/>
  <c r="C55" i="1"/>
  <c r="D55" i="1"/>
  <c r="E55" i="1"/>
  <c r="C115" i="1"/>
  <c r="D115" i="1"/>
  <c r="E115" i="1"/>
  <c r="C175" i="1"/>
  <c r="D175" i="1"/>
  <c r="E175" i="1"/>
  <c r="C56" i="1"/>
  <c r="D56" i="1"/>
  <c r="E56" i="1"/>
  <c r="C116" i="1"/>
  <c r="D116" i="1"/>
  <c r="E116" i="1"/>
  <c r="C176" i="1"/>
  <c r="D176" i="1"/>
  <c r="E176" i="1"/>
  <c r="C57" i="1"/>
  <c r="D57" i="1"/>
  <c r="E57" i="1"/>
  <c r="C117" i="1"/>
  <c r="D117" i="1"/>
  <c r="E117" i="1"/>
  <c r="C177" i="1"/>
  <c r="D177" i="1"/>
  <c r="E177" i="1"/>
  <c r="C58" i="1"/>
  <c r="D58" i="1"/>
  <c r="E58" i="1"/>
  <c r="C118" i="1"/>
  <c r="D118" i="1"/>
  <c r="E118" i="1"/>
  <c r="C178" i="1"/>
  <c r="D178" i="1"/>
  <c r="E178" i="1"/>
  <c r="C59" i="1"/>
  <c r="D59" i="1"/>
  <c r="E59" i="1"/>
  <c r="C119" i="1"/>
  <c r="D119" i="1"/>
  <c r="E119" i="1"/>
  <c r="C179" i="1"/>
  <c r="D179" i="1"/>
  <c r="E179" i="1"/>
  <c r="C60" i="1"/>
  <c r="D60" i="1"/>
  <c r="E60" i="1"/>
  <c r="C120" i="1"/>
  <c r="D120" i="1"/>
  <c r="E120" i="1"/>
  <c r="C180" i="1"/>
  <c r="D180" i="1"/>
  <c r="E180" i="1"/>
  <c r="C365" i="1"/>
  <c r="D365" i="1"/>
  <c r="E365" i="1"/>
  <c r="C375" i="1"/>
  <c r="D375" i="1"/>
  <c r="E375" i="1"/>
  <c r="C385" i="1"/>
  <c r="D385" i="1"/>
  <c r="E385" i="1"/>
  <c r="C395" i="1"/>
  <c r="D395" i="1"/>
  <c r="E395" i="1"/>
  <c r="C405" i="1"/>
  <c r="D405" i="1"/>
  <c r="E405" i="1"/>
  <c r="C415" i="1"/>
  <c r="D415" i="1"/>
  <c r="E415" i="1"/>
  <c r="C425" i="1"/>
  <c r="D425" i="1"/>
  <c r="E425" i="1"/>
  <c r="C435" i="1"/>
  <c r="D435" i="1"/>
  <c r="E435" i="1"/>
  <c r="C445" i="1"/>
  <c r="D445" i="1"/>
  <c r="E445" i="1"/>
  <c r="C455" i="1"/>
  <c r="D455" i="1"/>
  <c r="E455" i="1"/>
  <c r="C465" i="1"/>
  <c r="D465" i="1"/>
  <c r="E465" i="1"/>
  <c r="C475" i="1"/>
  <c r="D475" i="1"/>
  <c r="E475" i="1"/>
  <c r="C186" i="1"/>
  <c r="D186" i="1"/>
  <c r="E186" i="1"/>
  <c r="C196" i="1"/>
  <c r="D196" i="1"/>
  <c r="E196" i="1"/>
  <c r="C206" i="1"/>
  <c r="D206" i="1"/>
  <c r="E206" i="1"/>
  <c r="C216" i="1"/>
  <c r="D216" i="1"/>
  <c r="E216" i="1"/>
  <c r="C226" i="1"/>
  <c r="D226" i="1"/>
  <c r="E226" i="1"/>
  <c r="C236" i="1"/>
  <c r="D236" i="1"/>
  <c r="E236" i="1"/>
  <c r="C246" i="1"/>
  <c r="D246" i="1"/>
  <c r="E246" i="1"/>
  <c r="C256" i="1"/>
  <c r="D256" i="1"/>
  <c r="E256" i="1"/>
  <c r="C266" i="1"/>
  <c r="D266" i="1"/>
  <c r="E266" i="1"/>
  <c r="C276" i="1"/>
  <c r="D276" i="1"/>
  <c r="E276" i="1"/>
  <c r="C286" i="1"/>
  <c r="D286" i="1"/>
  <c r="E286" i="1"/>
  <c r="C296" i="1"/>
  <c r="D296" i="1"/>
  <c r="E296" i="1"/>
  <c r="C306" i="1"/>
  <c r="D306" i="1"/>
  <c r="E306" i="1"/>
  <c r="C316" i="1"/>
  <c r="D316" i="1"/>
  <c r="E316" i="1"/>
  <c r="C326" i="1"/>
  <c r="D326" i="1"/>
  <c r="E326" i="1"/>
  <c r="C336" i="1"/>
  <c r="D336" i="1"/>
  <c r="E336" i="1"/>
  <c r="C346" i="1"/>
  <c r="D346" i="1"/>
  <c r="E346" i="1"/>
  <c r="C356" i="1"/>
  <c r="D356" i="1"/>
  <c r="E356" i="1"/>
  <c r="C366" i="1"/>
  <c r="D366" i="1"/>
  <c r="E366" i="1"/>
  <c r="C376" i="1"/>
  <c r="D376" i="1"/>
  <c r="E376" i="1"/>
  <c r="C386" i="1"/>
  <c r="D386" i="1"/>
  <c r="E386" i="1"/>
  <c r="C396" i="1"/>
  <c r="D396" i="1"/>
  <c r="E396" i="1"/>
  <c r="C406" i="1"/>
  <c r="D406" i="1"/>
  <c r="E406" i="1"/>
  <c r="C416" i="1"/>
  <c r="D416" i="1"/>
  <c r="E416" i="1"/>
  <c r="C426" i="1"/>
  <c r="D426" i="1"/>
  <c r="E426" i="1"/>
  <c r="C436" i="1"/>
  <c r="D436" i="1"/>
  <c r="E436" i="1"/>
  <c r="C446" i="1"/>
  <c r="D446" i="1"/>
  <c r="E446" i="1"/>
  <c r="C456" i="1"/>
  <c r="D456" i="1"/>
  <c r="E456" i="1"/>
  <c r="C466" i="1"/>
  <c r="D466" i="1"/>
  <c r="E466" i="1"/>
  <c r="C476" i="1"/>
  <c r="D476" i="1"/>
  <c r="E476" i="1"/>
  <c r="C187" i="1"/>
  <c r="D187" i="1"/>
  <c r="E187" i="1"/>
  <c r="C197" i="1"/>
  <c r="D197" i="1"/>
  <c r="E197" i="1"/>
  <c r="C207" i="1"/>
  <c r="D207" i="1"/>
  <c r="E207" i="1"/>
  <c r="C217" i="1"/>
  <c r="D217" i="1"/>
  <c r="E217" i="1"/>
  <c r="C227" i="1"/>
  <c r="D227" i="1"/>
  <c r="E227" i="1"/>
  <c r="C237" i="1"/>
  <c r="D237" i="1"/>
  <c r="E237" i="1"/>
  <c r="C247" i="1"/>
  <c r="D247" i="1"/>
  <c r="E247" i="1"/>
  <c r="C257" i="1"/>
  <c r="D257" i="1"/>
  <c r="E257" i="1"/>
  <c r="C267" i="1"/>
  <c r="D267" i="1"/>
  <c r="E267" i="1"/>
  <c r="C277" i="1"/>
  <c r="D277" i="1"/>
  <c r="E277" i="1"/>
  <c r="C287" i="1"/>
  <c r="D287" i="1"/>
  <c r="E287" i="1"/>
  <c r="C297" i="1"/>
  <c r="D297" i="1"/>
  <c r="E297" i="1"/>
  <c r="C307" i="1"/>
  <c r="D307" i="1"/>
  <c r="E307" i="1"/>
  <c r="C317" i="1"/>
  <c r="D317" i="1"/>
  <c r="E317" i="1"/>
  <c r="C327" i="1"/>
  <c r="D327" i="1"/>
  <c r="E327" i="1"/>
  <c r="C337" i="1"/>
  <c r="D337" i="1"/>
  <c r="E337" i="1"/>
  <c r="C347" i="1"/>
  <c r="D347" i="1"/>
  <c r="E347" i="1"/>
  <c r="C357" i="1"/>
  <c r="D357" i="1"/>
  <c r="E357" i="1"/>
  <c r="C367" i="1"/>
  <c r="D367" i="1"/>
  <c r="E367" i="1"/>
  <c r="C377" i="1"/>
  <c r="D377" i="1"/>
  <c r="E377" i="1"/>
  <c r="C387" i="1"/>
  <c r="D387" i="1"/>
  <c r="E387" i="1"/>
  <c r="C397" i="1"/>
  <c r="D397" i="1"/>
  <c r="E397" i="1"/>
  <c r="C407" i="1"/>
  <c r="D407" i="1"/>
  <c r="E407" i="1"/>
  <c r="C417" i="1"/>
  <c r="D417" i="1"/>
  <c r="E417" i="1"/>
  <c r="C427" i="1"/>
  <c r="D427" i="1"/>
  <c r="E427" i="1"/>
  <c r="C437" i="1"/>
  <c r="D437" i="1"/>
  <c r="E437" i="1"/>
  <c r="C447" i="1"/>
  <c r="D447" i="1"/>
  <c r="E447" i="1"/>
  <c r="C457" i="1"/>
  <c r="D457" i="1"/>
  <c r="E457" i="1"/>
  <c r="C467" i="1"/>
  <c r="D467" i="1"/>
  <c r="E467" i="1"/>
  <c r="C477" i="1"/>
  <c r="D477" i="1"/>
  <c r="E477" i="1"/>
  <c r="C188" i="1"/>
  <c r="D188" i="1"/>
  <c r="E188" i="1"/>
  <c r="C198" i="1"/>
  <c r="D198" i="1"/>
  <c r="E198" i="1"/>
  <c r="C208" i="1"/>
  <c r="D208" i="1"/>
  <c r="E208" i="1"/>
  <c r="C218" i="1"/>
  <c r="D218" i="1"/>
  <c r="E218" i="1"/>
  <c r="C228" i="1"/>
  <c r="D228" i="1"/>
  <c r="E228" i="1"/>
  <c r="C238" i="1"/>
  <c r="D238" i="1"/>
  <c r="E238" i="1"/>
  <c r="C248" i="1"/>
  <c r="D248" i="1"/>
  <c r="E248" i="1"/>
  <c r="C258" i="1"/>
  <c r="D258" i="1"/>
  <c r="E258" i="1"/>
  <c r="C268" i="1"/>
  <c r="D268" i="1"/>
  <c r="E268" i="1"/>
  <c r="C278" i="1"/>
  <c r="D278" i="1"/>
  <c r="E278" i="1"/>
  <c r="C288" i="1"/>
  <c r="D288" i="1"/>
  <c r="E288" i="1"/>
  <c r="C298" i="1"/>
  <c r="D298" i="1"/>
  <c r="E298" i="1"/>
  <c r="C308" i="1"/>
  <c r="D308" i="1"/>
  <c r="E308" i="1"/>
  <c r="E4" i="1" l="1"/>
  <c r="D4" i="1"/>
  <c r="C4" i="1"/>
</calcChain>
</file>

<file path=xl/sharedStrings.xml><?xml version="1.0" encoding="utf-8"?>
<sst xmlns="http://schemas.openxmlformats.org/spreadsheetml/2006/main" count="678" uniqueCount="27">
  <si>
    <t>Date</t>
  </si>
  <si>
    <t>Remarks</t>
  </si>
  <si>
    <t>Day</t>
  </si>
  <si>
    <t>Week</t>
  </si>
  <si>
    <t>Month</t>
  </si>
  <si>
    <t>Reading (Hrs)</t>
  </si>
  <si>
    <t>Code</t>
  </si>
  <si>
    <t>H254805XS</t>
  </si>
  <si>
    <t>Compressor-01</t>
  </si>
  <si>
    <t>Compressor-02</t>
  </si>
  <si>
    <t>Compressor-03</t>
  </si>
  <si>
    <t>Compressor-04</t>
  </si>
  <si>
    <t>Compressor-05</t>
  </si>
  <si>
    <t>Compressor-06</t>
  </si>
  <si>
    <t>Compressor-07</t>
  </si>
  <si>
    <t>Compressor-08</t>
  </si>
  <si>
    <t>Compressor-09</t>
  </si>
  <si>
    <t>Compressor-10</t>
  </si>
  <si>
    <t>Compressor</t>
  </si>
  <si>
    <t>H254805AI</t>
  </si>
  <si>
    <t>H254805RT</t>
  </si>
  <si>
    <t>H254805HT</t>
  </si>
  <si>
    <t>H254803IH</t>
  </si>
  <si>
    <t>H254806XS</t>
  </si>
  <si>
    <t>H254803HV</t>
  </si>
  <si>
    <t>H254805IL</t>
  </si>
  <si>
    <t>H254802IL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</si>
</sst>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.0_);_(* \(#,##0.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5">
    <xf numFmtId="0" fontId="0" fillId="0" borderId="0" xfId="0"/>
    <xf numFmtId="1" fontId="0" fillId="0" borderId="0" xfId="0" applyNumberFormat="1"/>
    <xf numFmtId="0" fontId="1" fillId="0" borderId="0" xfId="0" applyFont="1"/>
    <xf numFmtId="1" fontId="1" fillId="0" borderId="0" xfId="0" applyNumberFormat="1" applyFont="1"/>
    <xf numFmtId="0" fontId="0" fillId="0" borderId="0" xfId="0" applyAlignment="1">
      <alignment horizontal="right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" fontId="0" fillId="0" borderId="2" xfId="0" applyNumberFormat="1" applyBorder="1"/>
    <xf numFmtId="14" fontId="0" fillId="0" borderId="1" xfId="0" applyNumberFormat="1" applyBorder="1" applyAlignment="1">
      <alignment horizontal="right"/>
    </xf>
    <xf numFmtId="1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3" xfId="0" applyBorder="1"/>
    <xf numFmtId="14" fontId="0" fillId="0" borderId="8" xfId="0" applyNumberFormat="1" applyBorder="1" applyAlignment="1">
      <alignment horizontal="right"/>
    </xf>
    <xf numFmtId="1" fontId="0" fillId="0" borderId="8" xfId="0" applyNumberFormat="1" applyBorder="1" applyAlignment="1">
      <alignment horizontal="right"/>
    </xf>
    <xf numFmtId="0" fontId="0" fillId="0" borderId="9" xfId="0" applyBorder="1"/>
    <xf numFmtId="0" fontId="0" fillId="0" borderId="1" xfId="0" applyBorder="1" applyAlignment="1">
      <alignment horizontal="right"/>
    </xf>
    <xf numFmtId="0" fontId="0" fillId="0" borderId="8" xfId="0" applyBorder="1" applyAlignment="1">
      <alignment horizontal="right"/>
    </xf>
    <xf numFmtId="166" fontId="0" fillId="0" borderId="0" xfId="1" applyNumberFormat="1" applyFont="1"/>
    <xf numFmtId="166" fontId="2" fillId="0" borderId="5" xfId="1" applyNumberFormat="1" applyFont="1" applyBorder="1" applyAlignment="1">
      <alignment horizontal="center" vertical="center"/>
    </xf>
    <xf numFmtId="166" fontId="0" fillId="0" borderId="1" xfId="1" applyNumberFormat="1" applyFont="1" applyBorder="1"/>
    <xf numFmtId="14" fontId="0" fillId="0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0" fontId="0" fillId="0" borderId="1" xfId="0" applyFill="1" applyBorder="1"/>
    <xf numFmtId="0" fontId="0" fillId="0" borderId="1" xfId="0" applyNumberFormat="1" applyFill="1" applyBorder="1" applyAlignment="1">
      <alignment horizontal="right"/>
    </xf>
    <xf numFmtId="166" fontId="0" fillId="0" borderId="1" xfId="1" applyNumberFormat="1" applyFont="1" applyFill="1" applyBorder="1"/>
    <xf numFmtId="0" fontId="0" fillId="0" borderId="3" xfId="0" applyFill="1" applyBorder="1"/>
    <xf numFmtId="16" fontId="0" fillId="0" borderId="2" xfId="0" applyNumberFormat="1" applyFill="1" applyBorder="1"/>
    <xf numFmtId="16" fontId="0" fillId="0" borderId="7" xfId="0" applyNumberFormat="1" applyFill="1" applyBorder="1"/>
    <xf numFmtId="14" fontId="0" fillId="0" borderId="8" xfId="0" applyNumberFormat="1" applyFill="1" applyBorder="1" applyAlignment="1">
      <alignment horizontal="right"/>
    </xf>
    <xf numFmtId="1" fontId="0" fillId="0" borderId="8" xfId="0" applyNumberFormat="1" applyFill="1" applyBorder="1" applyAlignment="1">
      <alignment horizontal="right"/>
    </xf>
    <xf numFmtId="0" fontId="0" fillId="0" borderId="8" xfId="0" applyNumberFormat="1" applyFill="1" applyBorder="1" applyAlignment="1">
      <alignment horizontal="right"/>
    </xf>
    <xf numFmtId="166" fontId="0" fillId="0" borderId="8" xfId="1" applyNumberFormat="1" applyFont="1" applyFill="1" applyBorder="1"/>
    <xf numFmtId="0" fontId="0" fillId="0" borderId="9" xfId="0" applyFill="1" applyBorder="1"/>
    <xf numFmtId="0" fontId="0" fillId="0" borderId="2" xfId="0" applyFill="1" applyBorder="1"/>
  </cellXfs>
  <cellStyles count="2">
    <cellStyle name="Comma" xfId="1" builtinId="3"/>
    <cellStyle name="Normal" xfId="0" builtinId="0"/>
  </cellStyles>
  <dxfs count="13">
    <dxf>
      <numFmt numFmtId="166" formatCode="_(* #,##0.0_);_(* \(#,##0.0\);_(* &quot;-&quot;??_);_(@_)"/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numFmt numFmtId="19" formatCode="dd/mm/yy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 outline="0">
        <top style="hair">
          <color indexed="64"/>
        </top>
      </border>
    </dxf>
    <dxf>
      <border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42FA36-AED0-4255-A5A5-CB2E6E41CDFB}" name="Table1" displayName="Table1" ref="B3:I800" totalsRowShown="0" headerRowDxfId="12" dataDxfId="10" headerRowBorderDxfId="11" tableBorderDxfId="9" totalsRowBorderDxfId="8">
  <autoFilter ref="B3:I800" xr:uid="{AD42FA36-AED0-4255-A5A5-CB2E6E41CDFB}"/>
  <sortState xmlns:xlrd2="http://schemas.microsoft.com/office/spreadsheetml/2017/richdata2" ref="B4:I800">
    <sortCondition ref="B653:B800"/>
  </sortState>
  <tableColumns count="8">
    <tableColumn id="1" xr3:uid="{1CA059EA-DAC6-4E1D-BF22-536DFE646A42}" name="Date" dataDxfId="7"/>
    <tableColumn id="2" xr3:uid="{CE3009D0-84B4-4BF5-871B-7FFC95E8A098}" name="Day" dataDxfId="6">
      <calculatedColumnFormula>TEXT(B4,"DDD")</calculatedColumnFormula>
    </tableColumn>
    <tableColumn id="3" xr3:uid="{9E999892-219B-4825-996D-580F68FDF49C}" name="Week" dataDxfId="5">
      <calculatedColumnFormula>WEEKNUM(B4)</calculatedColumnFormula>
    </tableColumn>
    <tableColumn id="4" xr3:uid="{05B03863-9E3C-49C1-98A9-F29586C56E36}" name="Month" dataDxfId="4">
      <calculatedColumnFormula>TEXT(B4,"mmm-yy")</calculatedColumnFormula>
    </tableColumn>
    <tableColumn id="5" xr3:uid="{26D2FC4F-D4B9-4399-BE49-DD0CC55402D6}" name="Compressor" dataDxfId="2"/>
    <tableColumn id="6" xr3:uid="{1C2FF240-7A36-430C-AFFD-7EEAF4DE50AE}" name="Code" dataDxfId="1">
      <calculatedColumnFormula>IFERROR(VLOOKUP(Table1[[#This Row],[Compressor]],$K$9:$L$18,2,FALSE),"0")</calculatedColumnFormula>
    </tableColumn>
    <tableColumn id="7" xr3:uid="{81F04EFB-68B6-4348-9D17-89428A0D3617}" name="Reading (Hrs)" dataDxfId="0" dataCellStyle="Comma"/>
    <tableColumn id="8" xr3:uid="{35064C8C-93EF-4B88-8E94-D9A776C401CC}" name="Remarks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2D498-4E6C-4C0B-B2EB-BEC2DCFA8E43}">
  <sheetPr>
    <tabColor theme="4" tint="0.39997558519241921"/>
  </sheetPr>
  <dimension ref="B2:V800"/>
  <sheetViews>
    <sheetView tabSelected="1" topLeftCell="A617" zoomScale="70" workbookViewId="0">
      <selection activeCell="K636" sqref="K636"/>
    </sheetView>
  </sheetViews>
  <sheetFormatPr defaultRowHeight="14.4" x14ac:dyDescent="0.3"/>
  <cols>
    <col min="2" max="2" width="11.88671875" bestFit="1" customWidth="1"/>
    <col min="3" max="3" width="11.109375" bestFit="1" customWidth="1"/>
    <col min="4" max="4" width="12.77734375" bestFit="1" customWidth="1"/>
    <col min="5" max="5" width="13.88671875" bestFit="1" customWidth="1"/>
    <col min="6" max="6" width="18.6640625" bestFit="1" customWidth="1"/>
    <col min="7" max="7" width="12.21875" bestFit="1" customWidth="1"/>
    <col min="8" max="8" width="21.33203125" style="18" bestFit="1" customWidth="1"/>
    <col min="9" max="9" width="38.6640625" bestFit="1" customWidth="1"/>
    <col min="10" max="10" width="10.109375" customWidth="1"/>
    <col min="11" max="11" width="15.109375" customWidth="1"/>
    <col min="12" max="12" width="11.77734375" customWidth="1"/>
    <col min="13" max="13" width="21.109375" customWidth="1"/>
    <col min="14" max="14" width="9.88671875" customWidth="1"/>
    <col min="15" max="15" width="15.33203125" customWidth="1"/>
    <col min="16" max="16" width="11.44140625" customWidth="1"/>
    <col min="17" max="17" width="15.44140625" customWidth="1"/>
    <col min="19" max="19" width="22.77734375" bestFit="1" customWidth="1"/>
    <col min="20" max="20" width="9.5546875" bestFit="1" customWidth="1"/>
  </cols>
  <sheetData>
    <row r="2" spans="2:22" x14ac:dyDescent="0.3">
      <c r="T2" s="2"/>
      <c r="V2" s="3"/>
    </row>
    <row r="3" spans="2:22" ht="15.6" x14ac:dyDescent="0.3">
      <c r="B3" s="5" t="s">
        <v>0</v>
      </c>
      <c r="C3" s="6" t="s">
        <v>2</v>
      </c>
      <c r="D3" s="6" t="s">
        <v>3</v>
      </c>
      <c r="E3" s="6" t="s">
        <v>4</v>
      </c>
      <c r="F3" s="6" t="s">
        <v>18</v>
      </c>
      <c r="G3" s="6" t="s">
        <v>6</v>
      </c>
      <c r="H3" s="19" t="s">
        <v>5</v>
      </c>
      <c r="I3" s="7" t="s">
        <v>1</v>
      </c>
    </row>
    <row r="4" spans="2:22" x14ac:dyDescent="0.3">
      <c r="B4" s="8">
        <v>46156</v>
      </c>
      <c r="C4" s="9" t="str">
        <f>TEXT(B4,"DDD")</f>
        <v>Thu</v>
      </c>
      <c r="D4" s="10">
        <f>WEEKNUM(B4)</f>
        <v>20</v>
      </c>
      <c r="E4" s="10" t="str">
        <f>TEXT(B4,"mmm-yy")</f>
        <v>May-26</v>
      </c>
      <c r="F4" s="11" t="s">
        <v>8</v>
      </c>
      <c r="G4" s="16" t="str">
        <f>IFERROR(VLOOKUP(Table1[[#This Row],[Compressor]],$K$9:$L$18,2,FALSE),"0")</f>
        <v>H254805XS</v>
      </c>
      <c r="H4" s="20">
        <v>6</v>
      </c>
      <c r="I4" s="12"/>
    </row>
    <row r="5" spans="2:22" x14ac:dyDescent="0.3">
      <c r="B5" s="8">
        <v>46156</v>
      </c>
      <c r="C5" s="9" t="str">
        <f>TEXT(B5,"DDD")</f>
        <v>Thu</v>
      </c>
      <c r="D5" s="10">
        <f>WEEKNUM(B5)</f>
        <v>20</v>
      </c>
      <c r="E5" s="10" t="str">
        <f>TEXT(B5,"mmm-yy")</f>
        <v>May-26</v>
      </c>
      <c r="F5" s="11" t="s">
        <v>9</v>
      </c>
      <c r="G5" s="16" t="str">
        <f>IFERROR(VLOOKUP(Table1[[#This Row],[Compressor]],$K$9:$L$18,2,FALSE),"0")</f>
        <v>H254805AI</v>
      </c>
      <c r="H5" s="20">
        <v>7</v>
      </c>
      <c r="I5" s="12"/>
      <c r="P5" s="1"/>
    </row>
    <row r="6" spans="2:22" x14ac:dyDescent="0.3">
      <c r="B6" s="8">
        <v>46156</v>
      </c>
      <c r="C6" s="9" t="str">
        <f>TEXT(B6,"DDD")</f>
        <v>Thu</v>
      </c>
      <c r="D6" s="10">
        <f>WEEKNUM(B6)</f>
        <v>20</v>
      </c>
      <c r="E6" s="10" t="str">
        <f>TEXT(B6,"mmm-yy")</f>
        <v>May-26</v>
      </c>
      <c r="F6" s="11" t="s">
        <v>10</v>
      </c>
      <c r="G6" s="16" t="str">
        <f>IFERROR(VLOOKUP(Table1[[#This Row],[Compressor]],$K$9:$L$18,2,FALSE),"0")</f>
        <v>H254805RT</v>
      </c>
      <c r="H6" s="20">
        <v>3</v>
      </c>
      <c r="I6" s="12"/>
    </row>
    <row r="7" spans="2:22" x14ac:dyDescent="0.3">
      <c r="B7" s="8">
        <v>46156</v>
      </c>
      <c r="C7" s="9" t="str">
        <f>TEXT(B7,"DDD")</f>
        <v>Thu</v>
      </c>
      <c r="D7" s="10">
        <f>WEEKNUM(B7)</f>
        <v>20</v>
      </c>
      <c r="E7" s="10" t="str">
        <f>TEXT(B7,"mmm-yy")</f>
        <v>May-26</v>
      </c>
      <c r="F7" s="11" t="s">
        <v>11</v>
      </c>
      <c r="G7" s="16" t="str">
        <f>IFERROR(VLOOKUP(Table1[[#This Row],[Compressor]],$K$9:$L$18,2,FALSE),"0")</f>
        <v>H254805HT</v>
      </c>
      <c r="H7" s="20">
        <v>2</v>
      </c>
      <c r="I7" s="12"/>
      <c r="P7" s="4"/>
    </row>
    <row r="8" spans="2:22" x14ac:dyDescent="0.3">
      <c r="B8" s="8">
        <v>46156</v>
      </c>
      <c r="C8" s="9" t="str">
        <f>TEXT(B8,"DDD")</f>
        <v>Thu</v>
      </c>
      <c r="D8" s="10">
        <f>WEEKNUM(B8)</f>
        <v>20</v>
      </c>
      <c r="E8" s="10" t="str">
        <f>TEXT(B8,"mmm-yy")</f>
        <v>May-26</v>
      </c>
      <c r="F8" s="11" t="s">
        <v>12</v>
      </c>
      <c r="G8" s="16" t="str">
        <f>IFERROR(VLOOKUP(Table1[[#This Row],[Compressor]],$K$9:$L$18,2,FALSE),"0")</f>
        <v>H254803IH</v>
      </c>
      <c r="H8" s="20">
        <v>1</v>
      </c>
      <c r="I8" s="12"/>
      <c r="Q8" s="1"/>
    </row>
    <row r="9" spans="2:22" x14ac:dyDescent="0.3">
      <c r="B9" s="8">
        <v>46156</v>
      </c>
      <c r="C9" s="9" t="str">
        <f>TEXT(B9,"DDD")</f>
        <v>Thu</v>
      </c>
      <c r="D9" s="10">
        <f>WEEKNUM(B9)</f>
        <v>20</v>
      </c>
      <c r="E9" s="10" t="str">
        <f>TEXT(B9,"mmm-yy")</f>
        <v>May-26</v>
      </c>
      <c r="F9" s="11" t="s">
        <v>13</v>
      </c>
      <c r="G9" s="16" t="str">
        <f>IFERROR(VLOOKUP(Table1[[#This Row],[Compressor]],$K$9:$L$18,2,FALSE),"0")</f>
        <v>H254806XS</v>
      </c>
      <c r="H9" s="20">
        <v>2</v>
      </c>
      <c r="I9" s="12"/>
      <c r="K9" t="s">
        <v>8</v>
      </c>
      <c r="L9" t="s">
        <v>7</v>
      </c>
    </row>
    <row r="10" spans="2:22" x14ac:dyDescent="0.3">
      <c r="B10" s="8">
        <v>46156</v>
      </c>
      <c r="C10" s="9" t="str">
        <f>TEXT(B10,"DDD")</f>
        <v>Thu</v>
      </c>
      <c r="D10" s="10">
        <f>WEEKNUM(B10)</f>
        <v>20</v>
      </c>
      <c r="E10" s="10" t="str">
        <f>TEXT(B10,"mmm-yy")</f>
        <v>May-26</v>
      </c>
      <c r="F10" s="11" t="s">
        <v>14</v>
      </c>
      <c r="G10" s="16" t="str">
        <f>IFERROR(VLOOKUP(Table1[[#This Row],[Compressor]],$K$9:$L$18,2,FALSE),"0")</f>
        <v>H254803HV</v>
      </c>
      <c r="H10" s="20">
        <v>2</v>
      </c>
      <c r="I10" s="12"/>
      <c r="K10" t="s">
        <v>9</v>
      </c>
      <c r="L10" t="s">
        <v>19</v>
      </c>
    </row>
    <row r="11" spans="2:22" x14ac:dyDescent="0.3">
      <c r="B11" s="8">
        <v>46156</v>
      </c>
      <c r="C11" s="9" t="str">
        <f>TEXT(B11,"DDD")</f>
        <v>Thu</v>
      </c>
      <c r="D11" s="10">
        <f>WEEKNUM(B11)</f>
        <v>20</v>
      </c>
      <c r="E11" s="10" t="str">
        <f>TEXT(B11,"mmm-yy")</f>
        <v>May-26</v>
      </c>
      <c r="F11" s="11" t="s">
        <v>15</v>
      </c>
      <c r="G11" s="16" t="str">
        <f>IFERROR(VLOOKUP(Table1[[#This Row],[Compressor]],$K$9:$L$18,2,FALSE),"0")</f>
        <v>H254805HT</v>
      </c>
      <c r="H11" s="20">
        <v>3</v>
      </c>
      <c r="I11" s="12"/>
      <c r="K11" t="s">
        <v>10</v>
      </c>
      <c r="L11" t="s">
        <v>20</v>
      </c>
    </row>
    <row r="12" spans="2:22" x14ac:dyDescent="0.3">
      <c r="B12" s="8">
        <v>46156</v>
      </c>
      <c r="C12" s="9" t="str">
        <f>TEXT(B12,"DDD")</f>
        <v>Thu</v>
      </c>
      <c r="D12" s="10">
        <f>WEEKNUM(B12)</f>
        <v>20</v>
      </c>
      <c r="E12" s="10" t="str">
        <f>TEXT(B12,"mmm-yy")</f>
        <v>May-26</v>
      </c>
      <c r="F12" s="11" t="s">
        <v>16</v>
      </c>
      <c r="G12" s="16" t="str">
        <f>IFERROR(VLOOKUP(Table1[[#This Row],[Compressor]],$K$9:$L$18,2,FALSE),"0")</f>
        <v>H254805IL</v>
      </c>
      <c r="H12" s="20">
        <v>2</v>
      </c>
      <c r="I12" s="12"/>
      <c r="K12" t="s">
        <v>11</v>
      </c>
      <c r="L12" t="s">
        <v>21</v>
      </c>
    </row>
    <row r="13" spans="2:22" x14ac:dyDescent="0.3">
      <c r="B13" s="8">
        <v>46156</v>
      </c>
      <c r="C13" s="9" t="str">
        <f>TEXT(B13,"DDD")</f>
        <v>Thu</v>
      </c>
      <c r="D13" s="10">
        <f>WEEKNUM(B13)</f>
        <v>20</v>
      </c>
      <c r="E13" s="10" t="str">
        <f>TEXT(B13,"mmm-yy")</f>
        <v>May-26</v>
      </c>
      <c r="F13" s="11" t="s">
        <v>17</v>
      </c>
      <c r="G13" s="16" t="str">
        <f>IFERROR(VLOOKUP(Table1[[#This Row],[Compressor]],$K$9:$L$18,2,FALSE),"0")</f>
        <v>H254802IL</v>
      </c>
      <c r="H13" s="20">
        <v>3</v>
      </c>
      <c r="I13" s="12"/>
      <c r="K13" t="s">
        <v>12</v>
      </c>
      <c r="L13" t="s">
        <v>22</v>
      </c>
    </row>
    <row r="14" spans="2:22" x14ac:dyDescent="0.3">
      <c r="B14" s="8">
        <v>46157</v>
      </c>
      <c r="C14" s="9" t="str">
        <f>TEXT(B14,"DDD")</f>
        <v>Fri</v>
      </c>
      <c r="D14" s="10">
        <f>WEEKNUM(B14)</f>
        <v>20</v>
      </c>
      <c r="E14" s="10" t="str">
        <f>TEXT(B14,"mmm-yy")</f>
        <v>May-26</v>
      </c>
      <c r="F14" s="11" t="s">
        <v>8</v>
      </c>
      <c r="G14" s="16" t="str">
        <f>IFERROR(VLOOKUP(Table1[[#This Row],[Compressor]],$K$9:$L$18,2,FALSE),"0")</f>
        <v>H254805XS</v>
      </c>
      <c r="H14" s="20">
        <v>6</v>
      </c>
      <c r="I14" s="12"/>
      <c r="K14" t="s">
        <v>13</v>
      </c>
      <c r="L14" t="s">
        <v>23</v>
      </c>
    </row>
    <row r="15" spans="2:22" x14ac:dyDescent="0.3">
      <c r="B15" s="8">
        <v>46157</v>
      </c>
      <c r="C15" s="9" t="str">
        <f>TEXT(B15,"DDD")</f>
        <v>Fri</v>
      </c>
      <c r="D15" s="10">
        <f>WEEKNUM(B15)</f>
        <v>20</v>
      </c>
      <c r="E15" s="10" t="str">
        <f>TEXT(B15,"mmm-yy")</f>
        <v>May-26</v>
      </c>
      <c r="F15" s="11" t="s">
        <v>9</v>
      </c>
      <c r="G15" s="16" t="str">
        <f>IFERROR(VLOOKUP(Table1[[#This Row],[Compressor]],$K$9:$L$18,2,FALSE),"0")</f>
        <v>H254805AI</v>
      </c>
      <c r="H15" s="20">
        <v>9</v>
      </c>
      <c r="I15" s="12"/>
      <c r="K15" t="s">
        <v>14</v>
      </c>
      <c r="L15" t="s">
        <v>24</v>
      </c>
    </row>
    <row r="16" spans="2:22" x14ac:dyDescent="0.3">
      <c r="B16" s="8">
        <v>46157</v>
      </c>
      <c r="C16" s="9" t="str">
        <f>TEXT(B16,"DDD")</f>
        <v>Fri</v>
      </c>
      <c r="D16" s="10">
        <f>WEEKNUM(B16)</f>
        <v>20</v>
      </c>
      <c r="E16" s="10" t="str">
        <f>TEXT(B16,"mmm-yy")</f>
        <v>May-26</v>
      </c>
      <c r="F16" s="11" t="s">
        <v>10</v>
      </c>
      <c r="G16" s="16" t="str">
        <f>IFERROR(VLOOKUP(Table1[[#This Row],[Compressor]],$K$9:$L$18,2,FALSE),"0")</f>
        <v>H254805RT</v>
      </c>
      <c r="H16" s="20">
        <v>3</v>
      </c>
      <c r="I16" s="12"/>
      <c r="K16" t="s">
        <v>15</v>
      </c>
      <c r="L16" t="s">
        <v>21</v>
      </c>
    </row>
    <row r="17" spans="2:12" x14ac:dyDescent="0.3">
      <c r="B17" s="8">
        <v>46157</v>
      </c>
      <c r="C17" s="9" t="str">
        <f>TEXT(B17,"DDD")</f>
        <v>Fri</v>
      </c>
      <c r="D17" s="10">
        <f>WEEKNUM(B17)</f>
        <v>20</v>
      </c>
      <c r="E17" s="10" t="str">
        <f>TEXT(B17,"mmm-yy")</f>
        <v>May-26</v>
      </c>
      <c r="F17" s="11" t="s">
        <v>11</v>
      </c>
      <c r="G17" s="16" t="str">
        <f>IFERROR(VLOOKUP(Table1[[#This Row],[Compressor]],$K$9:$L$18,2,FALSE),"0")</f>
        <v>H254805HT</v>
      </c>
      <c r="H17" s="20">
        <v>2</v>
      </c>
      <c r="I17" s="12"/>
      <c r="K17" t="s">
        <v>16</v>
      </c>
      <c r="L17" t="s">
        <v>25</v>
      </c>
    </row>
    <row r="18" spans="2:12" x14ac:dyDescent="0.3">
      <c r="B18" s="8">
        <v>46157</v>
      </c>
      <c r="C18" s="9" t="str">
        <f>TEXT(B18,"DDD")</f>
        <v>Fri</v>
      </c>
      <c r="D18" s="10">
        <f>WEEKNUM(B18)</f>
        <v>20</v>
      </c>
      <c r="E18" s="10" t="str">
        <f>TEXT(B18,"mmm-yy")</f>
        <v>May-26</v>
      </c>
      <c r="F18" s="11" t="s">
        <v>12</v>
      </c>
      <c r="G18" s="16" t="str">
        <f>IFERROR(VLOOKUP(Table1[[#This Row],[Compressor]],$K$9:$L$18,2,FALSE),"0")</f>
        <v>H254803IH</v>
      </c>
      <c r="H18" s="20">
        <v>1</v>
      </c>
      <c r="I18" s="12"/>
      <c r="K18" t="s">
        <v>17</v>
      </c>
      <c r="L18" t="s">
        <v>26</v>
      </c>
    </row>
    <row r="19" spans="2:12" x14ac:dyDescent="0.3">
      <c r="B19" s="8">
        <v>46157</v>
      </c>
      <c r="C19" s="9" t="str">
        <f>TEXT(B19,"DDD")</f>
        <v>Fri</v>
      </c>
      <c r="D19" s="10">
        <f>WEEKNUM(B19)</f>
        <v>20</v>
      </c>
      <c r="E19" s="10" t="str">
        <f>TEXT(B19,"mmm-yy")</f>
        <v>May-26</v>
      </c>
      <c r="F19" s="11" t="s">
        <v>13</v>
      </c>
      <c r="G19" s="16" t="str">
        <f>IFERROR(VLOOKUP(Table1[[#This Row],[Compressor]],$K$9:$L$18,2,FALSE),"0")</f>
        <v>H254806XS</v>
      </c>
      <c r="H19" s="20">
        <v>2</v>
      </c>
      <c r="I19" s="12"/>
    </row>
    <row r="20" spans="2:12" x14ac:dyDescent="0.3">
      <c r="B20" s="8">
        <v>46157</v>
      </c>
      <c r="C20" s="9" t="str">
        <f>TEXT(B20,"DDD")</f>
        <v>Fri</v>
      </c>
      <c r="D20" s="10">
        <f>WEEKNUM(B20)</f>
        <v>20</v>
      </c>
      <c r="E20" s="10" t="str">
        <f>TEXT(B20,"mmm-yy")</f>
        <v>May-26</v>
      </c>
      <c r="F20" s="11" t="s">
        <v>14</v>
      </c>
      <c r="G20" s="16" t="str">
        <f>IFERROR(VLOOKUP(Table1[[#This Row],[Compressor]],$K$9:$L$18,2,FALSE),"0")</f>
        <v>H254803HV</v>
      </c>
      <c r="H20" s="20">
        <v>2</v>
      </c>
      <c r="I20" s="12"/>
    </row>
    <row r="21" spans="2:12" x14ac:dyDescent="0.3">
      <c r="B21" s="8">
        <v>46157</v>
      </c>
      <c r="C21" s="9" t="str">
        <f>TEXT(B21,"DDD")</f>
        <v>Fri</v>
      </c>
      <c r="D21" s="10">
        <f>WEEKNUM(B21)</f>
        <v>20</v>
      </c>
      <c r="E21" s="10" t="str">
        <f>TEXT(B21,"mmm-yy")</f>
        <v>May-26</v>
      </c>
      <c r="F21" s="11" t="s">
        <v>15</v>
      </c>
      <c r="G21" s="16" t="str">
        <f>IFERROR(VLOOKUP(Table1[[#This Row],[Compressor]],$K$9:$L$18,2,FALSE),"0")</f>
        <v>H254805HT</v>
      </c>
      <c r="H21" s="20">
        <v>3</v>
      </c>
      <c r="I21" s="12"/>
    </row>
    <row r="22" spans="2:12" x14ac:dyDescent="0.3">
      <c r="B22" s="8">
        <v>46157</v>
      </c>
      <c r="C22" s="9" t="str">
        <f>TEXT(B22,"DDD")</f>
        <v>Fri</v>
      </c>
      <c r="D22" s="10">
        <f>WEEKNUM(B22)</f>
        <v>20</v>
      </c>
      <c r="E22" s="10" t="str">
        <f>TEXT(B22,"mmm-yy")</f>
        <v>May-26</v>
      </c>
      <c r="F22" s="11" t="s">
        <v>16</v>
      </c>
      <c r="G22" s="16" t="str">
        <f>IFERROR(VLOOKUP(Table1[[#This Row],[Compressor]],$K$9:$L$18,2,FALSE),"0")</f>
        <v>H254805IL</v>
      </c>
      <c r="H22" s="20">
        <v>2</v>
      </c>
      <c r="I22" s="12"/>
    </row>
    <row r="23" spans="2:12" x14ac:dyDescent="0.3">
      <c r="B23" s="8">
        <v>46157</v>
      </c>
      <c r="C23" s="9" t="str">
        <f>TEXT(B23,"DDD")</f>
        <v>Fri</v>
      </c>
      <c r="D23" s="10">
        <f>WEEKNUM(B23)</f>
        <v>20</v>
      </c>
      <c r="E23" s="10" t="str">
        <f>TEXT(B23,"mmm-yy")</f>
        <v>May-26</v>
      </c>
      <c r="F23" s="11" t="s">
        <v>17</v>
      </c>
      <c r="G23" s="16" t="str">
        <f>IFERROR(VLOOKUP(Table1[[#This Row],[Compressor]],$K$9:$L$18,2,FALSE),"0")</f>
        <v>H254802IL</v>
      </c>
      <c r="H23" s="20">
        <v>3</v>
      </c>
      <c r="I23" s="12"/>
    </row>
    <row r="24" spans="2:12" x14ac:dyDescent="0.3">
      <c r="B24" s="8">
        <v>46158</v>
      </c>
      <c r="C24" s="9" t="str">
        <f>TEXT(B24,"DDD")</f>
        <v>Sat</v>
      </c>
      <c r="D24" s="10">
        <f>WEEKNUM(B24)</f>
        <v>20</v>
      </c>
      <c r="E24" s="10" t="str">
        <f>TEXT(B24,"mmm-yy")</f>
        <v>May-26</v>
      </c>
      <c r="F24" s="11" t="s">
        <v>8</v>
      </c>
      <c r="G24" s="16" t="str">
        <f>IFERROR(VLOOKUP(Table1[[#This Row],[Compressor]],$K$9:$L$18,2,FALSE),"0")</f>
        <v>H254805XS</v>
      </c>
      <c r="H24" s="20">
        <v>6</v>
      </c>
      <c r="I24" s="12"/>
    </row>
    <row r="25" spans="2:12" x14ac:dyDescent="0.3">
      <c r="B25" s="8">
        <v>46158</v>
      </c>
      <c r="C25" s="9" t="str">
        <f>TEXT(B25,"DDD")</f>
        <v>Sat</v>
      </c>
      <c r="D25" s="10">
        <f>WEEKNUM(B25)</f>
        <v>20</v>
      </c>
      <c r="E25" s="10" t="str">
        <f>TEXT(B25,"mmm-yy")</f>
        <v>May-26</v>
      </c>
      <c r="F25" s="11" t="s">
        <v>9</v>
      </c>
      <c r="G25" s="16" t="str">
        <f>IFERROR(VLOOKUP(Table1[[#This Row],[Compressor]],$K$9:$L$18,2,FALSE),"0")</f>
        <v>H254805AI</v>
      </c>
      <c r="H25" s="20">
        <v>10</v>
      </c>
      <c r="I25" s="12"/>
    </row>
    <row r="26" spans="2:12" x14ac:dyDescent="0.3">
      <c r="B26" s="8">
        <v>46158</v>
      </c>
      <c r="C26" s="9" t="str">
        <f>TEXT(B26,"DDD")</f>
        <v>Sat</v>
      </c>
      <c r="D26" s="10">
        <f>WEEKNUM(B26)</f>
        <v>20</v>
      </c>
      <c r="E26" s="10" t="str">
        <f>TEXT(B26,"mmm-yy")</f>
        <v>May-26</v>
      </c>
      <c r="F26" s="11" t="s">
        <v>10</v>
      </c>
      <c r="G26" s="16" t="str">
        <f>IFERROR(VLOOKUP(Table1[[#This Row],[Compressor]],$K$9:$L$18,2,FALSE),"0")</f>
        <v>H254805RT</v>
      </c>
      <c r="H26" s="20">
        <v>3</v>
      </c>
      <c r="I26" s="12"/>
    </row>
    <row r="27" spans="2:12" x14ac:dyDescent="0.3">
      <c r="B27" s="8">
        <v>46158</v>
      </c>
      <c r="C27" s="9" t="str">
        <f>TEXT(B27,"DDD")</f>
        <v>Sat</v>
      </c>
      <c r="D27" s="10">
        <f>WEEKNUM(B27)</f>
        <v>20</v>
      </c>
      <c r="E27" s="10" t="str">
        <f>TEXT(B27,"mmm-yy")</f>
        <v>May-26</v>
      </c>
      <c r="F27" s="11" t="s">
        <v>11</v>
      </c>
      <c r="G27" s="16" t="str">
        <f>IFERROR(VLOOKUP(Table1[[#This Row],[Compressor]],$K$9:$L$18,2,FALSE),"0")</f>
        <v>H254805HT</v>
      </c>
      <c r="H27" s="20">
        <v>2</v>
      </c>
      <c r="I27" s="12"/>
    </row>
    <row r="28" spans="2:12" x14ac:dyDescent="0.3">
      <c r="B28" s="8">
        <v>46158</v>
      </c>
      <c r="C28" s="9" t="str">
        <f>TEXT(B28,"DDD")</f>
        <v>Sat</v>
      </c>
      <c r="D28" s="10">
        <f>WEEKNUM(B28)</f>
        <v>20</v>
      </c>
      <c r="E28" s="10" t="str">
        <f>TEXT(B28,"mmm-yy")</f>
        <v>May-26</v>
      </c>
      <c r="F28" s="11" t="s">
        <v>12</v>
      </c>
      <c r="G28" s="16" t="str">
        <f>IFERROR(VLOOKUP(Table1[[#This Row],[Compressor]],$K$9:$L$18,2,FALSE),"0")</f>
        <v>H254803IH</v>
      </c>
      <c r="H28" s="20">
        <v>1</v>
      </c>
      <c r="I28" s="12"/>
    </row>
    <row r="29" spans="2:12" x14ac:dyDescent="0.3">
      <c r="B29" s="8">
        <v>46158</v>
      </c>
      <c r="C29" s="9" t="str">
        <f>TEXT(B29,"DDD")</f>
        <v>Sat</v>
      </c>
      <c r="D29" s="10">
        <f>WEEKNUM(B29)</f>
        <v>20</v>
      </c>
      <c r="E29" s="10" t="str">
        <f>TEXT(B29,"mmm-yy")</f>
        <v>May-26</v>
      </c>
      <c r="F29" s="11" t="s">
        <v>13</v>
      </c>
      <c r="G29" s="16" t="str">
        <f>IFERROR(VLOOKUP(Table1[[#This Row],[Compressor]],$K$9:$L$18,2,FALSE),"0")</f>
        <v>H254806XS</v>
      </c>
      <c r="H29" s="20">
        <v>2</v>
      </c>
      <c r="I29" s="12"/>
    </row>
    <row r="30" spans="2:12" x14ac:dyDescent="0.3">
      <c r="B30" s="8">
        <v>46158</v>
      </c>
      <c r="C30" s="9" t="str">
        <f>TEXT(B30,"DDD")</f>
        <v>Sat</v>
      </c>
      <c r="D30" s="10">
        <f>WEEKNUM(B30)</f>
        <v>20</v>
      </c>
      <c r="E30" s="10" t="str">
        <f>TEXT(B30,"mmm-yy")</f>
        <v>May-26</v>
      </c>
      <c r="F30" s="11" t="s">
        <v>14</v>
      </c>
      <c r="G30" s="16" t="str">
        <f>IFERROR(VLOOKUP(Table1[[#This Row],[Compressor]],$K$9:$L$18,2,FALSE),"0")</f>
        <v>H254803HV</v>
      </c>
      <c r="H30" s="20">
        <v>2</v>
      </c>
      <c r="I30" s="12"/>
    </row>
    <row r="31" spans="2:12" x14ac:dyDescent="0.3">
      <c r="B31" s="8">
        <v>46158</v>
      </c>
      <c r="C31" s="9" t="str">
        <f>TEXT(B31,"DDD")</f>
        <v>Sat</v>
      </c>
      <c r="D31" s="10">
        <f>WEEKNUM(B31)</f>
        <v>20</v>
      </c>
      <c r="E31" s="10" t="str">
        <f>TEXT(B31,"mmm-yy")</f>
        <v>May-26</v>
      </c>
      <c r="F31" s="11" t="s">
        <v>15</v>
      </c>
      <c r="G31" s="16" t="str">
        <f>IFERROR(VLOOKUP(Table1[[#This Row],[Compressor]],$K$9:$L$18,2,FALSE),"0")</f>
        <v>H254805HT</v>
      </c>
      <c r="H31" s="20">
        <v>3</v>
      </c>
      <c r="I31" s="12"/>
    </row>
    <row r="32" spans="2:12" x14ac:dyDescent="0.3">
      <c r="B32" s="8">
        <v>46158</v>
      </c>
      <c r="C32" s="9" t="str">
        <f>TEXT(B32,"DDD")</f>
        <v>Sat</v>
      </c>
      <c r="D32" s="10">
        <f>WEEKNUM(B32)</f>
        <v>20</v>
      </c>
      <c r="E32" s="10" t="str">
        <f>TEXT(B32,"mmm-yy")</f>
        <v>May-26</v>
      </c>
      <c r="F32" s="11" t="s">
        <v>16</v>
      </c>
      <c r="G32" s="16" t="str">
        <f>IFERROR(VLOOKUP(Table1[[#This Row],[Compressor]],$K$9:$L$18,2,FALSE),"0")</f>
        <v>H254805IL</v>
      </c>
      <c r="H32" s="20">
        <v>2</v>
      </c>
      <c r="I32" s="12"/>
    </row>
    <row r="33" spans="2:9" x14ac:dyDescent="0.3">
      <c r="B33" s="8">
        <v>46158</v>
      </c>
      <c r="C33" s="9" t="str">
        <f>TEXT(B33,"DDD")</f>
        <v>Sat</v>
      </c>
      <c r="D33" s="10">
        <f>WEEKNUM(B33)</f>
        <v>20</v>
      </c>
      <c r="E33" s="10" t="str">
        <f>TEXT(B33,"mmm-yy")</f>
        <v>May-26</v>
      </c>
      <c r="F33" s="11" t="s">
        <v>17</v>
      </c>
      <c r="G33" s="16" t="str">
        <f>IFERROR(VLOOKUP(Table1[[#This Row],[Compressor]],$K$9:$L$18,2,FALSE),"0")</f>
        <v>H254802IL</v>
      </c>
      <c r="H33" s="20">
        <v>3</v>
      </c>
      <c r="I33" s="12"/>
    </row>
    <row r="34" spans="2:9" x14ac:dyDescent="0.3">
      <c r="B34" s="8">
        <v>46159</v>
      </c>
      <c r="C34" s="9" t="str">
        <f>TEXT(B34,"DDD")</f>
        <v>Sun</v>
      </c>
      <c r="D34" s="10">
        <f>WEEKNUM(B34)</f>
        <v>21</v>
      </c>
      <c r="E34" s="10" t="str">
        <f>TEXT(B34,"mmm-yy")</f>
        <v>May-26</v>
      </c>
      <c r="F34" s="11" t="s">
        <v>8</v>
      </c>
      <c r="G34" s="16" t="str">
        <f>IFERROR(VLOOKUP(Table1[[#This Row],[Compressor]],$K$9:$L$18,2,FALSE),"0")</f>
        <v>H254805XS</v>
      </c>
      <c r="H34" s="20">
        <v>0</v>
      </c>
      <c r="I34" s="12"/>
    </row>
    <row r="35" spans="2:9" x14ac:dyDescent="0.3">
      <c r="B35" s="8">
        <v>46159</v>
      </c>
      <c r="C35" s="9" t="str">
        <f>TEXT(B35,"DDD")</f>
        <v>Sun</v>
      </c>
      <c r="D35" s="10">
        <f>WEEKNUM(B35)</f>
        <v>21</v>
      </c>
      <c r="E35" s="10" t="str">
        <f>TEXT(B35,"mmm-yy")</f>
        <v>May-26</v>
      </c>
      <c r="F35" s="11" t="s">
        <v>9</v>
      </c>
      <c r="G35" s="16" t="str">
        <f>IFERROR(VLOOKUP(Table1[[#This Row],[Compressor]],$K$9:$L$18,2,FALSE),"0")</f>
        <v>H254805AI</v>
      </c>
      <c r="H35" s="20">
        <v>0</v>
      </c>
      <c r="I35" s="12"/>
    </row>
    <row r="36" spans="2:9" x14ac:dyDescent="0.3">
      <c r="B36" s="8">
        <v>46159</v>
      </c>
      <c r="C36" s="9" t="str">
        <f>TEXT(B36,"DDD")</f>
        <v>Sun</v>
      </c>
      <c r="D36" s="10">
        <f>WEEKNUM(B36)</f>
        <v>21</v>
      </c>
      <c r="E36" s="10" t="str">
        <f>TEXT(B36,"mmm-yy")</f>
        <v>May-26</v>
      </c>
      <c r="F36" s="11" t="s">
        <v>10</v>
      </c>
      <c r="G36" s="16" t="str">
        <f>IFERROR(VLOOKUP(Table1[[#This Row],[Compressor]],$K$9:$L$18,2,FALSE),"0")</f>
        <v>H254805RT</v>
      </c>
      <c r="H36" s="20">
        <v>0</v>
      </c>
      <c r="I36" s="12"/>
    </row>
    <row r="37" spans="2:9" x14ac:dyDescent="0.3">
      <c r="B37" s="8">
        <v>46159</v>
      </c>
      <c r="C37" s="9" t="str">
        <f>TEXT(B37,"DDD")</f>
        <v>Sun</v>
      </c>
      <c r="D37" s="10">
        <f>WEEKNUM(B37)</f>
        <v>21</v>
      </c>
      <c r="E37" s="10" t="str">
        <f>TEXT(B37,"mmm-yy")</f>
        <v>May-26</v>
      </c>
      <c r="F37" s="11" t="s">
        <v>11</v>
      </c>
      <c r="G37" s="16" t="str">
        <f>IFERROR(VLOOKUP(Table1[[#This Row],[Compressor]],$K$9:$L$18,2,FALSE),"0")</f>
        <v>H254805HT</v>
      </c>
      <c r="H37" s="20">
        <v>0</v>
      </c>
      <c r="I37" s="12"/>
    </row>
    <row r="38" spans="2:9" x14ac:dyDescent="0.3">
      <c r="B38" s="8">
        <v>46159</v>
      </c>
      <c r="C38" s="9" t="str">
        <f>TEXT(B38,"DDD")</f>
        <v>Sun</v>
      </c>
      <c r="D38" s="10">
        <f>WEEKNUM(B38)</f>
        <v>21</v>
      </c>
      <c r="E38" s="10" t="str">
        <f>TEXT(B38,"mmm-yy")</f>
        <v>May-26</v>
      </c>
      <c r="F38" s="11" t="s">
        <v>12</v>
      </c>
      <c r="G38" s="16" t="str">
        <f>IFERROR(VLOOKUP(Table1[[#This Row],[Compressor]],$K$9:$L$18,2,FALSE),"0")</f>
        <v>H254803IH</v>
      </c>
      <c r="H38" s="20">
        <v>0</v>
      </c>
      <c r="I38" s="12"/>
    </row>
    <row r="39" spans="2:9" x14ac:dyDescent="0.3">
      <c r="B39" s="8">
        <v>46159</v>
      </c>
      <c r="C39" s="9" t="str">
        <f>TEXT(B39,"DDD")</f>
        <v>Sun</v>
      </c>
      <c r="D39" s="10">
        <f>WEEKNUM(B39)</f>
        <v>21</v>
      </c>
      <c r="E39" s="10" t="str">
        <f>TEXT(B39,"mmm-yy")</f>
        <v>May-26</v>
      </c>
      <c r="F39" s="11" t="s">
        <v>13</v>
      </c>
      <c r="G39" s="16" t="str">
        <f>IFERROR(VLOOKUP(Table1[[#This Row],[Compressor]],$K$9:$L$18,2,FALSE),"0")</f>
        <v>H254806XS</v>
      </c>
      <c r="H39" s="20">
        <v>0</v>
      </c>
      <c r="I39" s="12"/>
    </row>
    <row r="40" spans="2:9" x14ac:dyDescent="0.3">
      <c r="B40" s="8">
        <v>46159</v>
      </c>
      <c r="C40" s="9" t="str">
        <f>TEXT(B40,"DDD")</f>
        <v>Sun</v>
      </c>
      <c r="D40" s="10">
        <f>WEEKNUM(B40)</f>
        <v>21</v>
      </c>
      <c r="E40" s="10" t="str">
        <f>TEXT(B40,"mmm-yy")</f>
        <v>May-26</v>
      </c>
      <c r="F40" s="11" t="s">
        <v>14</v>
      </c>
      <c r="G40" s="16" t="str">
        <f>IFERROR(VLOOKUP(Table1[[#This Row],[Compressor]],$K$9:$L$18,2,FALSE),"0")</f>
        <v>H254803HV</v>
      </c>
      <c r="H40" s="20">
        <v>0</v>
      </c>
      <c r="I40" s="12"/>
    </row>
    <row r="41" spans="2:9" x14ac:dyDescent="0.3">
      <c r="B41" s="8">
        <v>46159</v>
      </c>
      <c r="C41" s="9" t="str">
        <f>TEXT(B41,"DDD")</f>
        <v>Sun</v>
      </c>
      <c r="D41" s="10">
        <f>WEEKNUM(B41)</f>
        <v>21</v>
      </c>
      <c r="E41" s="10" t="str">
        <f>TEXT(B41,"mmm-yy")</f>
        <v>May-26</v>
      </c>
      <c r="F41" s="11" t="s">
        <v>15</v>
      </c>
      <c r="G41" s="16" t="str">
        <f>IFERROR(VLOOKUP(Table1[[#This Row],[Compressor]],$K$9:$L$18,2,FALSE),"0")</f>
        <v>H254805HT</v>
      </c>
      <c r="H41" s="20">
        <v>0</v>
      </c>
      <c r="I41" s="12"/>
    </row>
    <row r="42" spans="2:9" x14ac:dyDescent="0.3">
      <c r="B42" s="8">
        <v>46159</v>
      </c>
      <c r="C42" s="9" t="str">
        <f>TEXT(B42,"DDD")</f>
        <v>Sun</v>
      </c>
      <c r="D42" s="10">
        <f>WEEKNUM(B42)</f>
        <v>21</v>
      </c>
      <c r="E42" s="10" t="str">
        <f>TEXT(B42,"mmm-yy")</f>
        <v>May-26</v>
      </c>
      <c r="F42" s="11" t="s">
        <v>16</v>
      </c>
      <c r="G42" s="16" t="str">
        <f>IFERROR(VLOOKUP(Table1[[#This Row],[Compressor]],$K$9:$L$18,2,FALSE),"0")</f>
        <v>H254805IL</v>
      </c>
      <c r="H42" s="20">
        <v>0</v>
      </c>
      <c r="I42" s="12"/>
    </row>
    <row r="43" spans="2:9" x14ac:dyDescent="0.3">
      <c r="B43" s="8">
        <v>46159</v>
      </c>
      <c r="C43" s="9" t="str">
        <f>TEXT(B43,"DDD")</f>
        <v>Sun</v>
      </c>
      <c r="D43" s="10">
        <f>WEEKNUM(B43)</f>
        <v>21</v>
      </c>
      <c r="E43" s="10" t="str">
        <f>TEXT(B43,"mmm-yy")</f>
        <v>May-26</v>
      </c>
      <c r="F43" s="11" t="s">
        <v>17</v>
      </c>
      <c r="G43" s="16" t="str">
        <f>IFERROR(VLOOKUP(Table1[[#This Row],[Compressor]],$K$9:$L$18,2,FALSE),"0")</f>
        <v>H254802IL</v>
      </c>
      <c r="H43" s="20">
        <v>0</v>
      </c>
      <c r="I43" s="12"/>
    </row>
    <row r="44" spans="2:9" x14ac:dyDescent="0.3">
      <c r="B44" s="8">
        <v>46160</v>
      </c>
      <c r="C44" s="9" t="str">
        <f>TEXT(B44,"DDD")</f>
        <v>Mon</v>
      </c>
      <c r="D44" s="10">
        <f>WEEKNUM(B44)</f>
        <v>21</v>
      </c>
      <c r="E44" s="10" t="str">
        <f>TEXT(B44,"mmm-yy")</f>
        <v>May-26</v>
      </c>
      <c r="F44" s="11" t="s">
        <v>8</v>
      </c>
      <c r="G44" s="16" t="str">
        <f>IFERROR(VLOOKUP(Table1[[#This Row],[Compressor]],$K$9:$L$18,2,FALSE),"0")</f>
        <v>H254805XS</v>
      </c>
      <c r="H44" s="20">
        <v>8</v>
      </c>
      <c r="I44" s="12"/>
    </row>
    <row r="45" spans="2:9" x14ac:dyDescent="0.3">
      <c r="B45" s="8">
        <v>46160</v>
      </c>
      <c r="C45" s="9" t="str">
        <f>TEXT(B45,"DDD")</f>
        <v>Mon</v>
      </c>
      <c r="D45" s="10">
        <f>WEEKNUM(B45)</f>
        <v>21</v>
      </c>
      <c r="E45" s="10" t="str">
        <f>TEXT(B45,"mmm-yy")</f>
        <v>May-26</v>
      </c>
      <c r="F45" s="11" t="s">
        <v>9</v>
      </c>
      <c r="G45" s="16" t="str">
        <f>IFERROR(VLOOKUP(Table1[[#This Row],[Compressor]],$K$9:$L$18,2,FALSE),"0")</f>
        <v>H254805AI</v>
      </c>
      <c r="H45" s="20">
        <v>16</v>
      </c>
      <c r="I45" s="12"/>
    </row>
    <row r="46" spans="2:9" x14ac:dyDescent="0.3">
      <c r="B46" s="8">
        <v>46160</v>
      </c>
      <c r="C46" s="9" t="str">
        <f>TEXT(B46,"DDD")</f>
        <v>Mon</v>
      </c>
      <c r="D46" s="10">
        <f>WEEKNUM(B46)</f>
        <v>21</v>
      </c>
      <c r="E46" s="10" t="str">
        <f>TEXT(B46,"mmm-yy")</f>
        <v>May-26</v>
      </c>
      <c r="F46" s="11" t="s">
        <v>10</v>
      </c>
      <c r="G46" s="16" t="str">
        <f>IFERROR(VLOOKUP(Table1[[#This Row],[Compressor]],$K$9:$L$18,2,FALSE),"0")</f>
        <v>H254805RT</v>
      </c>
      <c r="H46" s="20">
        <v>3</v>
      </c>
      <c r="I46" s="12"/>
    </row>
    <row r="47" spans="2:9" x14ac:dyDescent="0.3">
      <c r="B47" s="8">
        <v>46160</v>
      </c>
      <c r="C47" s="9" t="str">
        <f>TEXT(B47,"DDD")</f>
        <v>Mon</v>
      </c>
      <c r="D47" s="10">
        <f>WEEKNUM(B47)</f>
        <v>21</v>
      </c>
      <c r="E47" s="10" t="str">
        <f>TEXT(B47,"mmm-yy")</f>
        <v>May-26</v>
      </c>
      <c r="F47" s="11" t="s">
        <v>11</v>
      </c>
      <c r="G47" s="16" t="str">
        <f>IFERROR(VLOOKUP(Table1[[#This Row],[Compressor]],$K$9:$L$18,2,FALSE),"0")</f>
        <v>H254805HT</v>
      </c>
      <c r="H47" s="20">
        <v>2</v>
      </c>
      <c r="I47" s="12"/>
    </row>
    <row r="48" spans="2:9" x14ac:dyDescent="0.3">
      <c r="B48" s="8">
        <v>46160</v>
      </c>
      <c r="C48" s="9" t="str">
        <f>TEXT(B48,"DDD")</f>
        <v>Mon</v>
      </c>
      <c r="D48" s="10">
        <f>WEEKNUM(B48)</f>
        <v>21</v>
      </c>
      <c r="E48" s="10" t="str">
        <f>TEXT(B48,"mmm-yy")</f>
        <v>May-26</v>
      </c>
      <c r="F48" s="11" t="s">
        <v>12</v>
      </c>
      <c r="G48" s="16" t="str">
        <f>IFERROR(VLOOKUP(Table1[[#This Row],[Compressor]],$K$9:$L$18,2,FALSE),"0")</f>
        <v>H254803IH</v>
      </c>
      <c r="H48" s="20">
        <v>1</v>
      </c>
      <c r="I48" s="12"/>
    </row>
    <row r="49" spans="2:9" x14ac:dyDescent="0.3">
      <c r="B49" s="8">
        <v>46160</v>
      </c>
      <c r="C49" s="9" t="str">
        <f>TEXT(B49,"DDD")</f>
        <v>Mon</v>
      </c>
      <c r="D49" s="10">
        <f>WEEKNUM(B49)</f>
        <v>21</v>
      </c>
      <c r="E49" s="10" t="str">
        <f>TEXT(B49,"mmm-yy")</f>
        <v>May-26</v>
      </c>
      <c r="F49" s="11" t="s">
        <v>13</v>
      </c>
      <c r="G49" s="16" t="str">
        <f>IFERROR(VLOOKUP(Table1[[#This Row],[Compressor]],$K$9:$L$18,2,FALSE),"0")</f>
        <v>H254806XS</v>
      </c>
      <c r="H49" s="20">
        <v>2</v>
      </c>
      <c r="I49" s="12"/>
    </row>
    <row r="50" spans="2:9" x14ac:dyDescent="0.3">
      <c r="B50" s="8">
        <v>46160</v>
      </c>
      <c r="C50" s="9" t="str">
        <f>TEXT(B50,"DDD")</f>
        <v>Mon</v>
      </c>
      <c r="D50" s="10">
        <f>WEEKNUM(B50)</f>
        <v>21</v>
      </c>
      <c r="E50" s="10" t="str">
        <f>TEXT(B50,"mmm-yy")</f>
        <v>May-26</v>
      </c>
      <c r="F50" s="11" t="s">
        <v>14</v>
      </c>
      <c r="G50" s="16" t="str">
        <f>IFERROR(VLOOKUP(Table1[[#This Row],[Compressor]],$K$9:$L$18,2,FALSE),"0")</f>
        <v>H254803HV</v>
      </c>
      <c r="H50" s="20">
        <v>2</v>
      </c>
      <c r="I50" s="12"/>
    </row>
    <row r="51" spans="2:9" x14ac:dyDescent="0.3">
      <c r="B51" s="8">
        <v>46160</v>
      </c>
      <c r="C51" s="9" t="str">
        <f>TEXT(B51,"DDD")</f>
        <v>Mon</v>
      </c>
      <c r="D51" s="10">
        <f>WEEKNUM(B51)</f>
        <v>21</v>
      </c>
      <c r="E51" s="10" t="str">
        <f>TEXT(B51,"mmm-yy")</f>
        <v>May-26</v>
      </c>
      <c r="F51" s="11" t="s">
        <v>15</v>
      </c>
      <c r="G51" s="16" t="str">
        <f>IFERROR(VLOOKUP(Table1[[#This Row],[Compressor]],$K$9:$L$18,2,FALSE),"0")</f>
        <v>H254805HT</v>
      </c>
      <c r="H51" s="20">
        <v>3</v>
      </c>
      <c r="I51" s="12"/>
    </row>
    <row r="52" spans="2:9" x14ac:dyDescent="0.3">
      <c r="B52" s="8">
        <v>46160</v>
      </c>
      <c r="C52" s="9" t="str">
        <f>TEXT(B52,"DDD")</f>
        <v>Mon</v>
      </c>
      <c r="D52" s="10">
        <f>WEEKNUM(B52)</f>
        <v>21</v>
      </c>
      <c r="E52" s="10" t="str">
        <f>TEXT(B52,"mmm-yy")</f>
        <v>May-26</v>
      </c>
      <c r="F52" s="11" t="s">
        <v>16</v>
      </c>
      <c r="G52" s="16" t="str">
        <f>IFERROR(VLOOKUP(Table1[[#This Row],[Compressor]],$K$9:$L$18,2,FALSE),"0")</f>
        <v>H254805IL</v>
      </c>
      <c r="H52" s="20">
        <v>2</v>
      </c>
      <c r="I52" s="12"/>
    </row>
    <row r="53" spans="2:9" x14ac:dyDescent="0.3">
      <c r="B53" s="8">
        <v>46160</v>
      </c>
      <c r="C53" s="9" t="str">
        <f>TEXT(B53,"DDD")</f>
        <v>Mon</v>
      </c>
      <c r="D53" s="10">
        <f>WEEKNUM(B53)</f>
        <v>21</v>
      </c>
      <c r="E53" s="10" t="str">
        <f>TEXT(B53,"mmm-yy")</f>
        <v>May-26</v>
      </c>
      <c r="F53" s="11" t="s">
        <v>17</v>
      </c>
      <c r="G53" s="16" t="str">
        <f>IFERROR(VLOOKUP(Table1[[#This Row],[Compressor]],$K$9:$L$18,2,FALSE),"0")</f>
        <v>H254802IL</v>
      </c>
      <c r="H53" s="20">
        <v>3</v>
      </c>
      <c r="I53" s="12"/>
    </row>
    <row r="54" spans="2:9" x14ac:dyDescent="0.3">
      <c r="B54" s="8">
        <v>46161</v>
      </c>
      <c r="C54" s="9" t="str">
        <f>TEXT(B54,"DDD")</f>
        <v>Tue</v>
      </c>
      <c r="D54" s="10">
        <f>WEEKNUM(B54)</f>
        <v>21</v>
      </c>
      <c r="E54" s="10" t="str">
        <f>TEXT(B54,"mmm-yy")</f>
        <v>May-26</v>
      </c>
      <c r="F54" s="11" t="s">
        <v>8</v>
      </c>
      <c r="G54" s="16" t="str">
        <f>IFERROR(VLOOKUP(Table1[[#This Row],[Compressor]],$K$9:$L$18,2,FALSE),"0")</f>
        <v>H254805XS</v>
      </c>
      <c r="H54" s="20">
        <v>9</v>
      </c>
      <c r="I54" s="12"/>
    </row>
    <row r="55" spans="2:9" x14ac:dyDescent="0.3">
      <c r="B55" s="8">
        <v>46161</v>
      </c>
      <c r="C55" s="9" t="str">
        <f>TEXT(B55,"DDD")</f>
        <v>Tue</v>
      </c>
      <c r="D55" s="10">
        <f>WEEKNUM(B55)</f>
        <v>21</v>
      </c>
      <c r="E55" s="10" t="str">
        <f>TEXT(B55,"mmm-yy")</f>
        <v>May-26</v>
      </c>
      <c r="F55" s="11" t="s">
        <v>9</v>
      </c>
      <c r="G55" s="16" t="str">
        <f>IFERROR(VLOOKUP(Table1[[#This Row],[Compressor]],$K$9:$L$18,2,FALSE),"0")</f>
        <v>H254805AI</v>
      </c>
      <c r="H55" s="20">
        <v>18</v>
      </c>
      <c r="I55" s="12"/>
    </row>
    <row r="56" spans="2:9" x14ac:dyDescent="0.3">
      <c r="B56" s="8">
        <v>46161</v>
      </c>
      <c r="C56" s="9" t="str">
        <f>TEXT(B56,"DDD")</f>
        <v>Tue</v>
      </c>
      <c r="D56" s="10">
        <f>WEEKNUM(B56)</f>
        <v>21</v>
      </c>
      <c r="E56" s="10" t="str">
        <f>TEXT(B56,"mmm-yy")</f>
        <v>May-26</v>
      </c>
      <c r="F56" s="11" t="s">
        <v>10</v>
      </c>
      <c r="G56" s="16" t="str">
        <f>IFERROR(VLOOKUP(Table1[[#This Row],[Compressor]],$K$9:$L$18,2,FALSE),"0")</f>
        <v>H254805RT</v>
      </c>
      <c r="H56" s="20">
        <v>3</v>
      </c>
      <c r="I56" s="12"/>
    </row>
    <row r="57" spans="2:9" x14ac:dyDescent="0.3">
      <c r="B57" s="8">
        <v>46161</v>
      </c>
      <c r="C57" s="9" t="str">
        <f>TEXT(B57,"DDD")</f>
        <v>Tue</v>
      </c>
      <c r="D57" s="10">
        <f>WEEKNUM(B57)</f>
        <v>21</v>
      </c>
      <c r="E57" s="10" t="str">
        <f>TEXT(B57,"mmm-yy")</f>
        <v>May-26</v>
      </c>
      <c r="F57" s="11" t="s">
        <v>11</v>
      </c>
      <c r="G57" s="16" t="str">
        <f>IFERROR(VLOOKUP(Table1[[#This Row],[Compressor]],$K$9:$L$18,2,FALSE),"0")</f>
        <v>H254805HT</v>
      </c>
      <c r="H57" s="20">
        <v>2</v>
      </c>
      <c r="I57" s="12"/>
    </row>
    <row r="58" spans="2:9" x14ac:dyDescent="0.3">
      <c r="B58" s="8">
        <v>46161</v>
      </c>
      <c r="C58" s="9" t="str">
        <f>TEXT(B58,"DDD")</f>
        <v>Tue</v>
      </c>
      <c r="D58" s="10">
        <f>WEEKNUM(B58)</f>
        <v>21</v>
      </c>
      <c r="E58" s="10" t="str">
        <f>TEXT(B58,"mmm-yy")</f>
        <v>May-26</v>
      </c>
      <c r="F58" s="11" t="s">
        <v>12</v>
      </c>
      <c r="G58" s="16" t="str">
        <f>IFERROR(VLOOKUP(Table1[[#This Row],[Compressor]],$K$9:$L$18,2,FALSE),"0")</f>
        <v>H254803IH</v>
      </c>
      <c r="H58" s="20">
        <v>1</v>
      </c>
      <c r="I58" s="12"/>
    </row>
    <row r="59" spans="2:9" x14ac:dyDescent="0.3">
      <c r="B59" s="8">
        <v>46161</v>
      </c>
      <c r="C59" s="9" t="str">
        <f>TEXT(B59,"DDD")</f>
        <v>Tue</v>
      </c>
      <c r="D59" s="10">
        <f>WEEKNUM(B59)</f>
        <v>21</v>
      </c>
      <c r="E59" s="10" t="str">
        <f>TEXT(B59,"mmm-yy")</f>
        <v>May-26</v>
      </c>
      <c r="F59" s="11" t="s">
        <v>13</v>
      </c>
      <c r="G59" s="16" t="str">
        <f>IFERROR(VLOOKUP(Table1[[#This Row],[Compressor]],$K$9:$L$18,2,FALSE),"0")</f>
        <v>H254806XS</v>
      </c>
      <c r="H59" s="20">
        <v>2</v>
      </c>
      <c r="I59" s="12"/>
    </row>
    <row r="60" spans="2:9" x14ac:dyDescent="0.3">
      <c r="B60" s="8">
        <v>46161</v>
      </c>
      <c r="C60" s="9" t="str">
        <f>TEXT(B60,"DDD")</f>
        <v>Tue</v>
      </c>
      <c r="D60" s="10">
        <f>WEEKNUM(B60)</f>
        <v>21</v>
      </c>
      <c r="E60" s="10" t="str">
        <f>TEXT(B60,"mmm-yy")</f>
        <v>May-26</v>
      </c>
      <c r="F60" s="11" t="s">
        <v>14</v>
      </c>
      <c r="G60" s="16" t="str">
        <f>IFERROR(VLOOKUP(Table1[[#This Row],[Compressor]],$K$9:$L$18,2,FALSE),"0")</f>
        <v>H254803HV</v>
      </c>
      <c r="H60" s="20">
        <v>2</v>
      </c>
      <c r="I60" s="12"/>
    </row>
    <row r="61" spans="2:9" x14ac:dyDescent="0.3">
      <c r="B61" s="8">
        <v>46161</v>
      </c>
      <c r="C61" s="9" t="str">
        <f>TEXT(B61,"DDD")</f>
        <v>Tue</v>
      </c>
      <c r="D61" s="10">
        <f>WEEKNUM(B61)</f>
        <v>21</v>
      </c>
      <c r="E61" s="10" t="str">
        <f>TEXT(B61,"mmm-yy")</f>
        <v>May-26</v>
      </c>
      <c r="F61" s="11" t="s">
        <v>15</v>
      </c>
      <c r="G61" s="16" t="str">
        <f>IFERROR(VLOOKUP(Table1[[#This Row],[Compressor]],$K$9:$L$18,2,FALSE),"0")</f>
        <v>H254805HT</v>
      </c>
      <c r="H61" s="20">
        <v>3</v>
      </c>
      <c r="I61" s="12"/>
    </row>
    <row r="62" spans="2:9" x14ac:dyDescent="0.3">
      <c r="B62" s="8">
        <v>46161</v>
      </c>
      <c r="C62" s="9" t="str">
        <f>TEXT(B62,"DDD")</f>
        <v>Tue</v>
      </c>
      <c r="D62" s="10">
        <f>WEEKNUM(B62)</f>
        <v>21</v>
      </c>
      <c r="E62" s="10" t="str">
        <f>TEXT(B62,"mmm-yy")</f>
        <v>May-26</v>
      </c>
      <c r="F62" s="11" t="s">
        <v>16</v>
      </c>
      <c r="G62" s="16" t="str">
        <f>IFERROR(VLOOKUP(Table1[[#This Row],[Compressor]],$K$9:$L$18,2,FALSE),"0")</f>
        <v>H254805IL</v>
      </c>
      <c r="H62" s="20">
        <v>2</v>
      </c>
      <c r="I62" s="12"/>
    </row>
    <row r="63" spans="2:9" x14ac:dyDescent="0.3">
      <c r="B63" s="8">
        <v>46161</v>
      </c>
      <c r="C63" s="9" t="str">
        <f>TEXT(B63,"DDD")</f>
        <v>Tue</v>
      </c>
      <c r="D63" s="10">
        <f>WEEKNUM(B63)</f>
        <v>21</v>
      </c>
      <c r="E63" s="10" t="str">
        <f>TEXT(B63,"mmm-yy")</f>
        <v>May-26</v>
      </c>
      <c r="F63" s="11" t="s">
        <v>17</v>
      </c>
      <c r="G63" s="16" t="str">
        <f>IFERROR(VLOOKUP(Table1[[#This Row],[Compressor]],$K$9:$L$18,2,FALSE),"0")</f>
        <v>H254802IL</v>
      </c>
      <c r="H63" s="20">
        <v>3</v>
      </c>
      <c r="I63" s="12"/>
    </row>
    <row r="64" spans="2:9" x14ac:dyDescent="0.3">
      <c r="B64" s="8">
        <v>46162</v>
      </c>
      <c r="C64" s="9" t="str">
        <f>TEXT(B64,"DDD")</f>
        <v>Wed</v>
      </c>
      <c r="D64" s="10">
        <f>WEEKNUM(B64)</f>
        <v>21</v>
      </c>
      <c r="E64" s="10" t="str">
        <f>TEXT(B64,"mmm-yy")</f>
        <v>May-26</v>
      </c>
      <c r="F64" s="11" t="s">
        <v>8</v>
      </c>
      <c r="G64" s="16" t="str">
        <f>IFERROR(VLOOKUP(Table1[[#This Row],[Compressor]],$K$9:$L$18,2,FALSE),"0")</f>
        <v>H254805XS</v>
      </c>
      <c r="H64" s="20">
        <v>9</v>
      </c>
      <c r="I64" s="12"/>
    </row>
    <row r="65" spans="2:9" x14ac:dyDescent="0.3">
      <c r="B65" s="8">
        <v>46162</v>
      </c>
      <c r="C65" s="9" t="str">
        <f>TEXT(B65,"DDD")</f>
        <v>Wed</v>
      </c>
      <c r="D65" s="10">
        <f>WEEKNUM(B65)</f>
        <v>21</v>
      </c>
      <c r="E65" s="10" t="str">
        <f>TEXT(B65,"mmm-yy")</f>
        <v>May-26</v>
      </c>
      <c r="F65" s="11" t="s">
        <v>9</v>
      </c>
      <c r="G65" s="16" t="str">
        <f>IFERROR(VLOOKUP(Table1[[#This Row],[Compressor]],$K$9:$L$18,2,FALSE),"0")</f>
        <v>H254805AI</v>
      </c>
      <c r="H65" s="20">
        <v>20</v>
      </c>
      <c r="I65" s="12"/>
    </row>
    <row r="66" spans="2:9" x14ac:dyDescent="0.3">
      <c r="B66" s="8">
        <v>46162</v>
      </c>
      <c r="C66" s="9" t="str">
        <f>TEXT(B66,"DDD")</f>
        <v>Wed</v>
      </c>
      <c r="D66" s="10">
        <f>WEEKNUM(B66)</f>
        <v>21</v>
      </c>
      <c r="E66" s="10" t="str">
        <f>TEXT(B66,"mmm-yy")</f>
        <v>May-26</v>
      </c>
      <c r="F66" s="11" t="s">
        <v>10</v>
      </c>
      <c r="G66" s="16" t="str">
        <f>IFERROR(VLOOKUP(Table1[[#This Row],[Compressor]],$K$9:$L$18,2,FALSE),"0")</f>
        <v>H254805RT</v>
      </c>
      <c r="H66" s="20">
        <v>3</v>
      </c>
      <c r="I66" s="12"/>
    </row>
    <row r="67" spans="2:9" x14ac:dyDescent="0.3">
      <c r="B67" s="8">
        <v>46162</v>
      </c>
      <c r="C67" s="9" t="str">
        <f>TEXT(B67,"DDD")</f>
        <v>Wed</v>
      </c>
      <c r="D67" s="10">
        <f>WEEKNUM(B67)</f>
        <v>21</v>
      </c>
      <c r="E67" s="10" t="str">
        <f>TEXT(B67,"mmm-yy")</f>
        <v>May-26</v>
      </c>
      <c r="F67" s="11" t="s">
        <v>11</v>
      </c>
      <c r="G67" s="16" t="str">
        <f>IFERROR(VLOOKUP(Table1[[#This Row],[Compressor]],$K$9:$L$18,2,FALSE),"0")</f>
        <v>H254805HT</v>
      </c>
      <c r="H67" s="20">
        <v>2</v>
      </c>
      <c r="I67" s="12"/>
    </row>
    <row r="68" spans="2:9" x14ac:dyDescent="0.3">
      <c r="B68" s="8">
        <v>46162</v>
      </c>
      <c r="C68" s="9" t="str">
        <f>TEXT(B68,"DDD")</f>
        <v>Wed</v>
      </c>
      <c r="D68" s="10">
        <f>WEEKNUM(B68)</f>
        <v>21</v>
      </c>
      <c r="E68" s="10" t="str">
        <f>TEXT(B68,"mmm-yy")</f>
        <v>May-26</v>
      </c>
      <c r="F68" s="11" t="s">
        <v>12</v>
      </c>
      <c r="G68" s="16" t="str">
        <f>IFERROR(VLOOKUP(Table1[[#This Row],[Compressor]],$K$9:$L$18,2,FALSE),"0")</f>
        <v>H254803IH</v>
      </c>
      <c r="H68" s="20">
        <v>1</v>
      </c>
      <c r="I68" s="12"/>
    </row>
    <row r="69" spans="2:9" x14ac:dyDescent="0.3">
      <c r="B69" s="8">
        <v>46162</v>
      </c>
      <c r="C69" s="9" t="str">
        <f>TEXT(B69,"DDD")</f>
        <v>Wed</v>
      </c>
      <c r="D69" s="10">
        <f>WEEKNUM(B69)</f>
        <v>21</v>
      </c>
      <c r="E69" s="10" t="str">
        <f>TEXT(B69,"mmm-yy")</f>
        <v>May-26</v>
      </c>
      <c r="F69" s="11" t="s">
        <v>13</v>
      </c>
      <c r="G69" s="16" t="str">
        <f>IFERROR(VLOOKUP(Table1[[#This Row],[Compressor]],$K$9:$L$18,2,FALSE),"0")</f>
        <v>H254806XS</v>
      </c>
      <c r="H69" s="20">
        <v>2</v>
      </c>
      <c r="I69" s="12"/>
    </row>
    <row r="70" spans="2:9" x14ac:dyDescent="0.3">
      <c r="B70" s="8">
        <v>46162</v>
      </c>
      <c r="C70" s="9" t="str">
        <f>TEXT(B70,"DDD")</f>
        <v>Wed</v>
      </c>
      <c r="D70" s="10">
        <f>WEEKNUM(B70)</f>
        <v>21</v>
      </c>
      <c r="E70" s="10" t="str">
        <f>TEXT(B70,"mmm-yy")</f>
        <v>May-26</v>
      </c>
      <c r="F70" s="11" t="s">
        <v>14</v>
      </c>
      <c r="G70" s="16" t="str">
        <f>IFERROR(VLOOKUP(Table1[[#This Row],[Compressor]],$K$9:$L$18,2,FALSE),"0")</f>
        <v>H254803HV</v>
      </c>
      <c r="H70" s="20">
        <v>2</v>
      </c>
      <c r="I70" s="12"/>
    </row>
    <row r="71" spans="2:9" x14ac:dyDescent="0.3">
      <c r="B71" s="8">
        <v>46162</v>
      </c>
      <c r="C71" s="9" t="str">
        <f>TEXT(B71,"DDD")</f>
        <v>Wed</v>
      </c>
      <c r="D71" s="10">
        <f>WEEKNUM(B71)</f>
        <v>21</v>
      </c>
      <c r="E71" s="10" t="str">
        <f>TEXT(B71,"mmm-yy")</f>
        <v>May-26</v>
      </c>
      <c r="F71" s="11" t="s">
        <v>15</v>
      </c>
      <c r="G71" s="16" t="str">
        <f>IFERROR(VLOOKUP(Table1[[#This Row],[Compressor]],$K$9:$L$18,2,FALSE),"0")</f>
        <v>H254805HT</v>
      </c>
      <c r="H71" s="20">
        <v>3</v>
      </c>
      <c r="I71" s="12"/>
    </row>
    <row r="72" spans="2:9" x14ac:dyDescent="0.3">
      <c r="B72" s="8">
        <v>46162</v>
      </c>
      <c r="C72" s="9" t="str">
        <f>TEXT(B72,"DDD")</f>
        <v>Wed</v>
      </c>
      <c r="D72" s="10">
        <f>WEEKNUM(B72)</f>
        <v>21</v>
      </c>
      <c r="E72" s="10" t="str">
        <f>TEXT(B72,"mmm-yy")</f>
        <v>May-26</v>
      </c>
      <c r="F72" s="11" t="s">
        <v>16</v>
      </c>
      <c r="G72" s="16" t="str">
        <f>IFERROR(VLOOKUP(Table1[[#This Row],[Compressor]],$K$9:$L$18,2,FALSE),"0")</f>
        <v>H254805IL</v>
      </c>
      <c r="H72" s="20">
        <v>2</v>
      </c>
      <c r="I72" s="12"/>
    </row>
    <row r="73" spans="2:9" x14ac:dyDescent="0.3">
      <c r="B73" s="8">
        <v>46162</v>
      </c>
      <c r="C73" s="9" t="str">
        <f>TEXT(B73,"DDD")</f>
        <v>Wed</v>
      </c>
      <c r="D73" s="10">
        <f>WEEKNUM(B73)</f>
        <v>21</v>
      </c>
      <c r="E73" s="10" t="str">
        <f>TEXT(B73,"mmm-yy")</f>
        <v>May-26</v>
      </c>
      <c r="F73" s="11" t="s">
        <v>17</v>
      </c>
      <c r="G73" s="16" t="str">
        <f>IFERROR(VLOOKUP(Table1[[#This Row],[Compressor]],$K$9:$L$18,2,FALSE),"0")</f>
        <v>H254802IL</v>
      </c>
      <c r="H73" s="20">
        <v>3</v>
      </c>
      <c r="I73" s="12"/>
    </row>
    <row r="74" spans="2:9" x14ac:dyDescent="0.3">
      <c r="B74" s="8">
        <v>46163</v>
      </c>
      <c r="C74" s="9" t="str">
        <f>TEXT(B74,"DDD")</f>
        <v>Thu</v>
      </c>
      <c r="D74" s="10">
        <f>WEEKNUM(B74)</f>
        <v>21</v>
      </c>
      <c r="E74" s="10" t="str">
        <f>TEXT(B74,"mmm-yy")</f>
        <v>May-26</v>
      </c>
      <c r="F74" s="11" t="s">
        <v>8</v>
      </c>
      <c r="G74" s="16" t="str">
        <f>IFERROR(VLOOKUP(Table1[[#This Row],[Compressor]],$K$9:$L$18,2,FALSE),"0")</f>
        <v>H254805XS</v>
      </c>
      <c r="H74" s="20">
        <v>9</v>
      </c>
      <c r="I74" s="12"/>
    </row>
    <row r="75" spans="2:9" x14ac:dyDescent="0.3">
      <c r="B75" s="8">
        <v>46163</v>
      </c>
      <c r="C75" s="9" t="str">
        <f>TEXT(B75,"DDD")</f>
        <v>Thu</v>
      </c>
      <c r="D75" s="10">
        <f>WEEKNUM(B75)</f>
        <v>21</v>
      </c>
      <c r="E75" s="10" t="str">
        <f>TEXT(B75,"mmm-yy")</f>
        <v>May-26</v>
      </c>
      <c r="F75" s="11" t="s">
        <v>9</v>
      </c>
      <c r="G75" s="16" t="str">
        <f>IFERROR(VLOOKUP(Table1[[#This Row],[Compressor]],$K$9:$L$18,2,FALSE),"0")</f>
        <v>H254805AI</v>
      </c>
      <c r="H75" s="20">
        <v>21</v>
      </c>
      <c r="I75" s="12"/>
    </row>
    <row r="76" spans="2:9" x14ac:dyDescent="0.3">
      <c r="B76" s="8">
        <v>46163</v>
      </c>
      <c r="C76" s="9" t="str">
        <f>TEXT(B76,"DDD")</f>
        <v>Thu</v>
      </c>
      <c r="D76" s="10">
        <f>WEEKNUM(B76)</f>
        <v>21</v>
      </c>
      <c r="E76" s="10" t="str">
        <f>TEXT(B76,"mmm-yy")</f>
        <v>May-26</v>
      </c>
      <c r="F76" s="11" t="s">
        <v>10</v>
      </c>
      <c r="G76" s="16" t="str">
        <f>IFERROR(VLOOKUP(Table1[[#This Row],[Compressor]],$K$9:$L$18,2,FALSE),"0")</f>
        <v>H254805RT</v>
      </c>
      <c r="H76" s="20">
        <v>4</v>
      </c>
      <c r="I76" s="12"/>
    </row>
    <row r="77" spans="2:9" x14ac:dyDescent="0.3">
      <c r="B77" s="8">
        <v>46163</v>
      </c>
      <c r="C77" s="9" t="str">
        <f>TEXT(B77,"DDD")</f>
        <v>Thu</v>
      </c>
      <c r="D77" s="10">
        <f>WEEKNUM(B77)</f>
        <v>21</v>
      </c>
      <c r="E77" s="10" t="str">
        <f>TEXT(B77,"mmm-yy")</f>
        <v>May-26</v>
      </c>
      <c r="F77" s="11" t="s">
        <v>11</v>
      </c>
      <c r="G77" s="16" t="str">
        <f>IFERROR(VLOOKUP(Table1[[#This Row],[Compressor]],$K$9:$L$18,2,FALSE),"0")</f>
        <v>H254805HT</v>
      </c>
      <c r="H77" s="20">
        <v>3</v>
      </c>
      <c r="I77" s="12"/>
    </row>
    <row r="78" spans="2:9" x14ac:dyDescent="0.3">
      <c r="B78" s="8">
        <v>46163</v>
      </c>
      <c r="C78" s="9" t="str">
        <f>TEXT(B78,"DDD")</f>
        <v>Thu</v>
      </c>
      <c r="D78" s="10">
        <f>WEEKNUM(B78)</f>
        <v>21</v>
      </c>
      <c r="E78" s="10" t="str">
        <f>TEXT(B78,"mmm-yy")</f>
        <v>May-26</v>
      </c>
      <c r="F78" s="11" t="s">
        <v>12</v>
      </c>
      <c r="G78" s="16" t="str">
        <f>IFERROR(VLOOKUP(Table1[[#This Row],[Compressor]],$K$9:$L$18,2,FALSE),"0")</f>
        <v>H254803IH</v>
      </c>
      <c r="H78" s="20">
        <v>1</v>
      </c>
      <c r="I78" s="12"/>
    </row>
    <row r="79" spans="2:9" x14ac:dyDescent="0.3">
      <c r="B79" s="8">
        <v>46163</v>
      </c>
      <c r="C79" s="9" t="str">
        <f>TEXT(B79,"DDD")</f>
        <v>Thu</v>
      </c>
      <c r="D79" s="10">
        <f>WEEKNUM(B79)</f>
        <v>21</v>
      </c>
      <c r="E79" s="10" t="str">
        <f>TEXT(B79,"mmm-yy")</f>
        <v>May-26</v>
      </c>
      <c r="F79" s="11" t="s">
        <v>13</v>
      </c>
      <c r="G79" s="16" t="str">
        <f>IFERROR(VLOOKUP(Table1[[#This Row],[Compressor]],$K$9:$L$18,2,FALSE),"0")</f>
        <v>H254806XS</v>
      </c>
      <c r="H79" s="20">
        <v>2</v>
      </c>
      <c r="I79" s="12"/>
    </row>
    <row r="80" spans="2:9" x14ac:dyDescent="0.3">
      <c r="B80" s="8">
        <v>46163</v>
      </c>
      <c r="C80" s="9" t="str">
        <f>TEXT(B80,"DDD")</f>
        <v>Thu</v>
      </c>
      <c r="D80" s="10">
        <f>WEEKNUM(B80)</f>
        <v>21</v>
      </c>
      <c r="E80" s="10" t="str">
        <f>TEXT(B80,"mmm-yy")</f>
        <v>May-26</v>
      </c>
      <c r="F80" s="11" t="s">
        <v>14</v>
      </c>
      <c r="G80" s="16" t="str">
        <f>IFERROR(VLOOKUP(Table1[[#This Row],[Compressor]],$K$9:$L$18,2,FALSE),"0")</f>
        <v>H254803HV</v>
      </c>
      <c r="H80" s="20">
        <v>2</v>
      </c>
      <c r="I80" s="12"/>
    </row>
    <row r="81" spans="2:9" x14ac:dyDescent="0.3">
      <c r="B81" s="8">
        <v>46163</v>
      </c>
      <c r="C81" s="9" t="str">
        <f>TEXT(B81,"DDD")</f>
        <v>Thu</v>
      </c>
      <c r="D81" s="10">
        <f>WEEKNUM(B81)</f>
        <v>21</v>
      </c>
      <c r="E81" s="10" t="str">
        <f>TEXT(B81,"mmm-yy")</f>
        <v>May-26</v>
      </c>
      <c r="F81" s="11" t="s">
        <v>15</v>
      </c>
      <c r="G81" s="16" t="str">
        <f>IFERROR(VLOOKUP(Table1[[#This Row],[Compressor]],$K$9:$L$18,2,FALSE),"0")</f>
        <v>H254805HT</v>
      </c>
      <c r="H81" s="20">
        <v>3</v>
      </c>
      <c r="I81" s="12"/>
    </row>
    <row r="82" spans="2:9" x14ac:dyDescent="0.3">
      <c r="B82" s="8">
        <v>46163</v>
      </c>
      <c r="C82" s="9" t="str">
        <f>TEXT(B82,"DDD")</f>
        <v>Thu</v>
      </c>
      <c r="D82" s="10">
        <f>WEEKNUM(B82)</f>
        <v>21</v>
      </c>
      <c r="E82" s="10" t="str">
        <f>TEXT(B82,"mmm-yy")</f>
        <v>May-26</v>
      </c>
      <c r="F82" s="11" t="s">
        <v>16</v>
      </c>
      <c r="G82" s="16" t="str">
        <f>IFERROR(VLOOKUP(Table1[[#This Row],[Compressor]],$K$9:$L$18,2,FALSE),"0")</f>
        <v>H254805IL</v>
      </c>
      <c r="H82" s="20">
        <v>2</v>
      </c>
      <c r="I82" s="12"/>
    </row>
    <row r="83" spans="2:9" x14ac:dyDescent="0.3">
      <c r="B83" s="8">
        <v>46163</v>
      </c>
      <c r="C83" s="9" t="str">
        <f>TEXT(B83,"DDD")</f>
        <v>Thu</v>
      </c>
      <c r="D83" s="10">
        <f>WEEKNUM(B83)</f>
        <v>21</v>
      </c>
      <c r="E83" s="10" t="str">
        <f>TEXT(B83,"mmm-yy")</f>
        <v>May-26</v>
      </c>
      <c r="F83" s="11" t="s">
        <v>17</v>
      </c>
      <c r="G83" s="16" t="str">
        <f>IFERROR(VLOOKUP(Table1[[#This Row],[Compressor]],$K$9:$L$18,2,FALSE),"0")</f>
        <v>H254802IL</v>
      </c>
      <c r="H83" s="20">
        <v>3</v>
      </c>
      <c r="I83" s="12"/>
    </row>
    <row r="84" spans="2:9" x14ac:dyDescent="0.3">
      <c r="B84" s="8">
        <v>46164</v>
      </c>
      <c r="C84" s="9" t="str">
        <f>TEXT(B84,"DDD")</f>
        <v>Fri</v>
      </c>
      <c r="D84" s="10">
        <f>WEEKNUM(B84)</f>
        <v>21</v>
      </c>
      <c r="E84" s="10" t="str">
        <f>TEXT(B84,"mmm-yy")</f>
        <v>May-26</v>
      </c>
      <c r="F84" s="11" t="s">
        <v>8</v>
      </c>
      <c r="G84" s="16" t="str">
        <f>IFERROR(VLOOKUP(Table1[[#This Row],[Compressor]],$K$9:$L$18,2,FALSE),"0")</f>
        <v>H254805XS</v>
      </c>
      <c r="H84" s="20">
        <v>9</v>
      </c>
      <c r="I84" s="12"/>
    </row>
    <row r="85" spans="2:9" x14ac:dyDescent="0.3">
      <c r="B85" s="8">
        <v>46164</v>
      </c>
      <c r="C85" s="9" t="str">
        <f>TEXT(B85,"DDD")</f>
        <v>Fri</v>
      </c>
      <c r="D85" s="10">
        <f>WEEKNUM(B85)</f>
        <v>21</v>
      </c>
      <c r="E85" s="10" t="str">
        <f>TEXT(B85,"mmm-yy")</f>
        <v>May-26</v>
      </c>
      <c r="F85" s="11" t="s">
        <v>9</v>
      </c>
      <c r="G85" s="16" t="str">
        <f>IFERROR(VLOOKUP(Table1[[#This Row],[Compressor]],$K$9:$L$18,2,FALSE),"0")</f>
        <v>H254805AI</v>
      </c>
      <c r="H85" s="20">
        <v>21</v>
      </c>
      <c r="I85" s="12"/>
    </row>
    <row r="86" spans="2:9" x14ac:dyDescent="0.3">
      <c r="B86" s="8">
        <v>46164</v>
      </c>
      <c r="C86" s="9" t="str">
        <f>TEXT(B86,"DDD")</f>
        <v>Fri</v>
      </c>
      <c r="D86" s="10">
        <f>WEEKNUM(B86)</f>
        <v>21</v>
      </c>
      <c r="E86" s="10" t="str">
        <f>TEXT(B86,"mmm-yy")</f>
        <v>May-26</v>
      </c>
      <c r="F86" s="11" t="s">
        <v>10</v>
      </c>
      <c r="G86" s="16" t="str">
        <f>IFERROR(VLOOKUP(Table1[[#This Row],[Compressor]],$K$9:$L$18,2,FALSE),"0")</f>
        <v>H254805RT</v>
      </c>
      <c r="H86" s="20">
        <v>5</v>
      </c>
      <c r="I86" s="12"/>
    </row>
    <row r="87" spans="2:9" x14ac:dyDescent="0.3">
      <c r="B87" s="8">
        <v>46164</v>
      </c>
      <c r="C87" s="9" t="str">
        <f>TEXT(B87,"DDD")</f>
        <v>Fri</v>
      </c>
      <c r="D87" s="10">
        <f>WEEKNUM(B87)</f>
        <v>21</v>
      </c>
      <c r="E87" s="10" t="str">
        <f>TEXT(B87,"mmm-yy")</f>
        <v>May-26</v>
      </c>
      <c r="F87" s="11" t="s">
        <v>11</v>
      </c>
      <c r="G87" s="16" t="str">
        <f>IFERROR(VLOOKUP(Table1[[#This Row],[Compressor]],$K$9:$L$18,2,FALSE),"0")</f>
        <v>H254805HT</v>
      </c>
      <c r="H87" s="20">
        <v>4</v>
      </c>
      <c r="I87" s="12"/>
    </row>
    <row r="88" spans="2:9" x14ac:dyDescent="0.3">
      <c r="B88" s="8">
        <v>46164</v>
      </c>
      <c r="C88" s="9" t="str">
        <f>TEXT(B88,"DDD")</f>
        <v>Fri</v>
      </c>
      <c r="D88" s="10">
        <f>WEEKNUM(B88)</f>
        <v>21</v>
      </c>
      <c r="E88" s="10" t="str">
        <f>TEXT(B88,"mmm-yy")</f>
        <v>May-26</v>
      </c>
      <c r="F88" s="11" t="s">
        <v>12</v>
      </c>
      <c r="G88" s="16" t="str">
        <f>IFERROR(VLOOKUP(Table1[[#This Row],[Compressor]],$K$9:$L$18,2,FALSE),"0")</f>
        <v>H254803IH</v>
      </c>
      <c r="H88" s="20">
        <v>1</v>
      </c>
      <c r="I88" s="12"/>
    </row>
    <row r="89" spans="2:9" x14ac:dyDescent="0.3">
      <c r="B89" s="8">
        <v>46164</v>
      </c>
      <c r="C89" s="9" t="str">
        <f>TEXT(B89,"DDD")</f>
        <v>Fri</v>
      </c>
      <c r="D89" s="10">
        <f>WEEKNUM(B89)</f>
        <v>21</v>
      </c>
      <c r="E89" s="10" t="str">
        <f>TEXT(B89,"mmm-yy")</f>
        <v>May-26</v>
      </c>
      <c r="F89" s="11" t="s">
        <v>13</v>
      </c>
      <c r="G89" s="16" t="str">
        <f>IFERROR(VLOOKUP(Table1[[#This Row],[Compressor]],$K$9:$L$18,2,FALSE),"0")</f>
        <v>H254806XS</v>
      </c>
      <c r="H89" s="20">
        <v>2</v>
      </c>
      <c r="I89" s="12"/>
    </row>
    <row r="90" spans="2:9" x14ac:dyDescent="0.3">
      <c r="B90" s="8">
        <v>46164</v>
      </c>
      <c r="C90" s="9" t="str">
        <f>TEXT(B90,"DDD")</f>
        <v>Fri</v>
      </c>
      <c r="D90" s="10">
        <f>WEEKNUM(B90)</f>
        <v>21</v>
      </c>
      <c r="E90" s="10" t="str">
        <f>TEXT(B90,"mmm-yy")</f>
        <v>May-26</v>
      </c>
      <c r="F90" s="11" t="s">
        <v>14</v>
      </c>
      <c r="G90" s="16" t="str">
        <f>IFERROR(VLOOKUP(Table1[[#This Row],[Compressor]],$K$9:$L$18,2,FALSE),"0")</f>
        <v>H254803HV</v>
      </c>
      <c r="H90" s="20">
        <v>2</v>
      </c>
      <c r="I90" s="12"/>
    </row>
    <row r="91" spans="2:9" x14ac:dyDescent="0.3">
      <c r="B91" s="8">
        <v>46164</v>
      </c>
      <c r="C91" s="9" t="str">
        <f>TEXT(B91,"DDD")</f>
        <v>Fri</v>
      </c>
      <c r="D91" s="10">
        <f>WEEKNUM(B91)</f>
        <v>21</v>
      </c>
      <c r="E91" s="10" t="str">
        <f>TEXT(B91,"mmm-yy")</f>
        <v>May-26</v>
      </c>
      <c r="F91" s="11" t="s">
        <v>15</v>
      </c>
      <c r="G91" s="16" t="str">
        <f>IFERROR(VLOOKUP(Table1[[#This Row],[Compressor]],$K$9:$L$18,2,FALSE),"0")</f>
        <v>H254805HT</v>
      </c>
      <c r="H91" s="20">
        <v>3</v>
      </c>
      <c r="I91" s="12"/>
    </row>
    <row r="92" spans="2:9" x14ac:dyDescent="0.3">
      <c r="B92" s="8">
        <v>46164</v>
      </c>
      <c r="C92" s="9" t="str">
        <f>TEXT(B92,"DDD")</f>
        <v>Fri</v>
      </c>
      <c r="D92" s="10">
        <f>WEEKNUM(B92)</f>
        <v>21</v>
      </c>
      <c r="E92" s="10" t="str">
        <f>TEXT(B92,"mmm-yy")</f>
        <v>May-26</v>
      </c>
      <c r="F92" s="11" t="s">
        <v>16</v>
      </c>
      <c r="G92" s="16" t="str">
        <f>IFERROR(VLOOKUP(Table1[[#This Row],[Compressor]],$K$9:$L$18,2,FALSE),"0")</f>
        <v>H254805IL</v>
      </c>
      <c r="H92" s="20">
        <v>2</v>
      </c>
      <c r="I92" s="12"/>
    </row>
    <row r="93" spans="2:9" x14ac:dyDescent="0.3">
      <c r="B93" s="8">
        <v>46164</v>
      </c>
      <c r="C93" s="9" t="str">
        <f>TEXT(B93,"DDD")</f>
        <v>Fri</v>
      </c>
      <c r="D93" s="10">
        <f>WEEKNUM(B93)</f>
        <v>21</v>
      </c>
      <c r="E93" s="10" t="str">
        <f>TEXT(B93,"mmm-yy")</f>
        <v>May-26</v>
      </c>
      <c r="F93" s="11" t="s">
        <v>17</v>
      </c>
      <c r="G93" s="16" t="str">
        <f>IFERROR(VLOOKUP(Table1[[#This Row],[Compressor]],$K$9:$L$18,2,FALSE),"0")</f>
        <v>H254802IL</v>
      </c>
      <c r="H93" s="20">
        <v>3</v>
      </c>
      <c r="I93" s="12"/>
    </row>
    <row r="94" spans="2:9" x14ac:dyDescent="0.3">
      <c r="B94" s="8">
        <v>46165</v>
      </c>
      <c r="C94" s="9" t="str">
        <f>TEXT(B94,"DDD")</f>
        <v>Sat</v>
      </c>
      <c r="D94" s="10">
        <f>WEEKNUM(B94)</f>
        <v>21</v>
      </c>
      <c r="E94" s="10" t="str">
        <f>TEXT(B94,"mmm-yy")</f>
        <v>May-26</v>
      </c>
      <c r="F94" s="11" t="s">
        <v>8</v>
      </c>
      <c r="G94" s="16" t="str">
        <f>IFERROR(VLOOKUP(Table1[[#This Row],[Compressor]],$K$9:$L$18,2,FALSE),"0")</f>
        <v>H254805XS</v>
      </c>
      <c r="H94" s="20">
        <v>10</v>
      </c>
      <c r="I94" s="12"/>
    </row>
    <row r="95" spans="2:9" x14ac:dyDescent="0.3">
      <c r="B95" s="8">
        <v>46165</v>
      </c>
      <c r="C95" s="9" t="str">
        <f>TEXT(B95,"DDD")</f>
        <v>Sat</v>
      </c>
      <c r="D95" s="10">
        <f>WEEKNUM(B95)</f>
        <v>21</v>
      </c>
      <c r="E95" s="10" t="str">
        <f>TEXT(B95,"mmm-yy")</f>
        <v>May-26</v>
      </c>
      <c r="F95" s="11" t="s">
        <v>9</v>
      </c>
      <c r="G95" s="16" t="str">
        <f>IFERROR(VLOOKUP(Table1[[#This Row],[Compressor]],$K$9:$L$18,2,FALSE),"0")</f>
        <v>H254805AI</v>
      </c>
      <c r="H95" s="20">
        <v>23</v>
      </c>
      <c r="I95" s="12"/>
    </row>
    <row r="96" spans="2:9" x14ac:dyDescent="0.3">
      <c r="B96" s="8">
        <v>46165</v>
      </c>
      <c r="C96" s="9" t="str">
        <f>TEXT(B96,"DDD")</f>
        <v>Sat</v>
      </c>
      <c r="D96" s="10">
        <f>WEEKNUM(B96)</f>
        <v>21</v>
      </c>
      <c r="E96" s="10" t="str">
        <f>TEXT(B96,"mmm-yy")</f>
        <v>May-26</v>
      </c>
      <c r="F96" s="11" t="s">
        <v>10</v>
      </c>
      <c r="G96" s="16" t="str">
        <f>IFERROR(VLOOKUP(Table1[[#This Row],[Compressor]],$K$9:$L$18,2,FALSE),"0")</f>
        <v>H254805RT</v>
      </c>
      <c r="H96" s="20">
        <v>7</v>
      </c>
      <c r="I96" s="12"/>
    </row>
    <row r="97" spans="2:9" x14ac:dyDescent="0.3">
      <c r="B97" s="8">
        <v>46165</v>
      </c>
      <c r="C97" s="9" t="str">
        <f>TEXT(B97,"DDD")</f>
        <v>Sat</v>
      </c>
      <c r="D97" s="10">
        <f>WEEKNUM(B97)</f>
        <v>21</v>
      </c>
      <c r="E97" s="10" t="str">
        <f>TEXT(B97,"mmm-yy")</f>
        <v>May-26</v>
      </c>
      <c r="F97" s="11" t="s">
        <v>11</v>
      </c>
      <c r="G97" s="16" t="str">
        <f>IFERROR(VLOOKUP(Table1[[#This Row],[Compressor]],$K$9:$L$18,2,FALSE),"0")</f>
        <v>H254805HT</v>
      </c>
      <c r="H97" s="20">
        <v>7</v>
      </c>
      <c r="I97" s="12"/>
    </row>
    <row r="98" spans="2:9" x14ac:dyDescent="0.3">
      <c r="B98" s="8">
        <v>46165</v>
      </c>
      <c r="C98" s="9" t="str">
        <f>TEXT(B98,"DDD")</f>
        <v>Sat</v>
      </c>
      <c r="D98" s="10">
        <f>WEEKNUM(B98)</f>
        <v>21</v>
      </c>
      <c r="E98" s="10" t="str">
        <f>TEXT(B98,"mmm-yy")</f>
        <v>May-26</v>
      </c>
      <c r="F98" s="11" t="s">
        <v>12</v>
      </c>
      <c r="G98" s="16" t="str">
        <f>IFERROR(VLOOKUP(Table1[[#This Row],[Compressor]],$K$9:$L$18,2,FALSE),"0")</f>
        <v>H254803IH</v>
      </c>
      <c r="H98" s="20">
        <v>1</v>
      </c>
      <c r="I98" s="12"/>
    </row>
    <row r="99" spans="2:9" x14ac:dyDescent="0.3">
      <c r="B99" s="8">
        <v>46165</v>
      </c>
      <c r="C99" s="9" t="str">
        <f>TEXT(B99,"DDD")</f>
        <v>Sat</v>
      </c>
      <c r="D99" s="10">
        <f>WEEKNUM(B99)</f>
        <v>21</v>
      </c>
      <c r="E99" s="10" t="str">
        <f>TEXT(B99,"mmm-yy")</f>
        <v>May-26</v>
      </c>
      <c r="F99" s="11" t="s">
        <v>13</v>
      </c>
      <c r="G99" s="16" t="str">
        <f>IFERROR(VLOOKUP(Table1[[#This Row],[Compressor]],$K$9:$L$18,2,FALSE),"0")</f>
        <v>H254806XS</v>
      </c>
      <c r="H99" s="20">
        <v>2</v>
      </c>
      <c r="I99" s="12"/>
    </row>
    <row r="100" spans="2:9" x14ac:dyDescent="0.3">
      <c r="B100" s="8">
        <v>46165</v>
      </c>
      <c r="C100" s="9" t="str">
        <f>TEXT(B100,"DDD")</f>
        <v>Sat</v>
      </c>
      <c r="D100" s="10">
        <f>WEEKNUM(B100)</f>
        <v>21</v>
      </c>
      <c r="E100" s="10" t="str">
        <f>TEXT(B100,"mmm-yy")</f>
        <v>May-26</v>
      </c>
      <c r="F100" s="11" t="s">
        <v>14</v>
      </c>
      <c r="G100" s="16" t="str">
        <f>IFERROR(VLOOKUP(Table1[[#This Row],[Compressor]],$K$9:$L$18,2,FALSE),"0")</f>
        <v>H254803HV</v>
      </c>
      <c r="H100" s="20">
        <v>2</v>
      </c>
      <c r="I100" s="12"/>
    </row>
    <row r="101" spans="2:9" x14ac:dyDescent="0.3">
      <c r="B101" s="8">
        <v>46165</v>
      </c>
      <c r="C101" s="9" t="str">
        <f>TEXT(B101,"DDD")</f>
        <v>Sat</v>
      </c>
      <c r="D101" s="10">
        <f>WEEKNUM(B101)</f>
        <v>21</v>
      </c>
      <c r="E101" s="10" t="str">
        <f>TEXT(B101,"mmm-yy")</f>
        <v>May-26</v>
      </c>
      <c r="F101" s="11" t="s">
        <v>15</v>
      </c>
      <c r="G101" s="16" t="str">
        <f>IFERROR(VLOOKUP(Table1[[#This Row],[Compressor]],$K$9:$L$18,2,FALSE),"0")</f>
        <v>H254805HT</v>
      </c>
      <c r="H101" s="20">
        <v>3</v>
      </c>
      <c r="I101" s="12"/>
    </row>
    <row r="102" spans="2:9" x14ac:dyDescent="0.3">
      <c r="B102" s="8">
        <v>46165</v>
      </c>
      <c r="C102" s="9" t="str">
        <f>TEXT(B102,"DDD")</f>
        <v>Sat</v>
      </c>
      <c r="D102" s="10">
        <f>WEEKNUM(B102)</f>
        <v>21</v>
      </c>
      <c r="E102" s="10" t="str">
        <f>TEXT(B102,"mmm-yy")</f>
        <v>May-26</v>
      </c>
      <c r="F102" s="11" t="s">
        <v>16</v>
      </c>
      <c r="G102" s="16" t="str">
        <f>IFERROR(VLOOKUP(Table1[[#This Row],[Compressor]],$K$9:$L$18,2,FALSE),"0")</f>
        <v>H254805IL</v>
      </c>
      <c r="H102" s="20">
        <v>2</v>
      </c>
      <c r="I102" s="12"/>
    </row>
    <row r="103" spans="2:9" x14ac:dyDescent="0.3">
      <c r="B103" s="8">
        <v>46165</v>
      </c>
      <c r="C103" s="9" t="str">
        <f>TEXT(B103,"DDD")</f>
        <v>Sat</v>
      </c>
      <c r="D103" s="10">
        <f>WEEKNUM(B103)</f>
        <v>21</v>
      </c>
      <c r="E103" s="10" t="str">
        <f>TEXT(B103,"mmm-yy")</f>
        <v>May-26</v>
      </c>
      <c r="F103" s="11" t="s">
        <v>17</v>
      </c>
      <c r="G103" s="16" t="str">
        <f>IFERROR(VLOOKUP(Table1[[#This Row],[Compressor]],$K$9:$L$18,2,FALSE),"0")</f>
        <v>H254802IL</v>
      </c>
      <c r="H103" s="20">
        <v>3</v>
      </c>
      <c r="I103" s="12"/>
    </row>
    <row r="104" spans="2:9" x14ac:dyDescent="0.3">
      <c r="B104" s="8">
        <v>46166</v>
      </c>
      <c r="C104" s="9" t="str">
        <f>TEXT(B104,"DDD")</f>
        <v>Sun</v>
      </c>
      <c r="D104" s="10">
        <f>WEEKNUM(B104)</f>
        <v>22</v>
      </c>
      <c r="E104" s="10" t="str">
        <f>TEXT(B104,"mmm-yy")</f>
        <v>May-26</v>
      </c>
      <c r="F104" s="11" t="s">
        <v>8</v>
      </c>
      <c r="G104" s="16" t="str">
        <f>IFERROR(VLOOKUP(Table1[[#This Row],[Compressor]],$K$9:$L$18,2,FALSE),"0")</f>
        <v>H254805XS</v>
      </c>
      <c r="H104" s="20">
        <v>10</v>
      </c>
      <c r="I104" s="12"/>
    </row>
    <row r="105" spans="2:9" x14ac:dyDescent="0.3">
      <c r="B105" s="8">
        <v>46166</v>
      </c>
      <c r="C105" s="9" t="str">
        <f>TEXT(B105,"DDD")</f>
        <v>Sun</v>
      </c>
      <c r="D105" s="10">
        <f>WEEKNUM(B105)</f>
        <v>22</v>
      </c>
      <c r="E105" s="10" t="str">
        <f>TEXT(B105,"mmm-yy")</f>
        <v>May-26</v>
      </c>
      <c r="F105" s="11" t="s">
        <v>9</v>
      </c>
      <c r="G105" s="16" t="str">
        <f>IFERROR(VLOOKUP(Table1[[#This Row],[Compressor]],$K$9:$L$18,2,FALSE),"0")</f>
        <v>H254805AI</v>
      </c>
      <c r="H105" s="20">
        <v>23</v>
      </c>
      <c r="I105" s="12"/>
    </row>
    <row r="106" spans="2:9" x14ac:dyDescent="0.3">
      <c r="B106" s="8">
        <v>46166</v>
      </c>
      <c r="C106" s="9" t="str">
        <f>TEXT(B106,"DDD")</f>
        <v>Sun</v>
      </c>
      <c r="D106" s="10">
        <f>WEEKNUM(B106)</f>
        <v>22</v>
      </c>
      <c r="E106" s="10" t="str">
        <f>TEXT(B106,"mmm-yy")</f>
        <v>May-26</v>
      </c>
      <c r="F106" s="11" t="s">
        <v>10</v>
      </c>
      <c r="G106" s="16" t="str">
        <f>IFERROR(VLOOKUP(Table1[[#This Row],[Compressor]],$K$9:$L$18,2,FALSE),"0")</f>
        <v>H254805RT</v>
      </c>
      <c r="H106" s="20">
        <v>8</v>
      </c>
      <c r="I106" s="12"/>
    </row>
    <row r="107" spans="2:9" x14ac:dyDescent="0.3">
      <c r="B107" s="8">
        <v>46166</v>
      </c>
      <c r="C107" s="9" t="str">
        <f>TEXT(B107,"DDD")</f>
        <v>Sun</v>
      </c>
      <c r="D107" s="10">
        <f>WEEKNUM(B107)</f>
        <v>22</v>
      </c>
      <c r="E107" s="10" t="str">
        <f>TEXT(B107,"mmm-yy")</f>
        <v>May-26</v>
      </c>
      <c r="F107" s="11" t="s">
        <v>11</v>
      </c>
      <c r="G107" s="16" t="str">
        <f>IFERROR(VLOOKUP(Table1[[#This Row],[Compressor]],$K$9:$L$18,2,FALSE),"0")</f>
        <v>H254805HT</v>
      </c>
      <c r="H107" s="20">
        <v>10</v>
      </c>
      <c r="I107" s="12"/>
    </row>
    <row r="108" spans="2:9" x14ac:dyDescent="0.3">
      <c r="B108" s="8">
        <v>46166</v>
      </c>
      <c r="C108" s="9" t="str">
        <f>TEXT(B108,"DDD")</f>
        <v>Sun</v>
      </c>
      <c r="D108" s="10">
        <f>WEEKNUM(B108)</f>
        <v>22</v>
      </c>
      <c r="E108" s="10" t="str">
        <f>TEXT(B108,"mmm-yy")</f>
        <v>May-26</v>
      </c>
      <c r="F108" s="11" t="s">
        <v>12</v>
      </c>
      <c r="G108" s="16" t="str">
        <f>IFERROR(VLOOKUP(Table1[[#This Row],[Compressor]],$K$9:$L$18,2,FALSE),"0")</f>
        <v>H254803IH</v>
      </c>
      <c r="H108" s="20">
        <v>1</v>
      </c>
      <c r="I108" s="12"/>
    </row>
    <row r="109" spans="2:9" x14ac:dyDescent="0.3">
      <c r="B109" s="8">
        <v>46166</v>
      </c>
      <c r="C109" s="9" t="str">
        <f>TEXT(B109,"DDD")</f>
        <v>Sun</v>
      </c>
      <c r="D109" s="10">
        <f>WEEKNUM(B109)</f>
        <v>22</v>
      </c>
      <c r="E109" s="10" t="str">
        <f>TEXT(B109,"mmm-yy")</f>
        <v>May-26</v>
      </c>
      <c r="F109" s="11" t="s">
        <v>13</v>
      </c>
      <c r="G109" s="16" t="str">
        <f>IFERROR(VLOOKUP(Table1[[#This Row],[Compressor]],$K$9:$L$18,2,FALSE),"0")</f>
        <v>H254806XS</v>
      </c>
      <c r="H109" s="20">
        <v>2</v>
      </c>
      <c r="I109" s="12"/>
    </row>
    <row r="110" spans="2:9" x14ac:dyDescent="0.3">
      <c r="B110" s="8">
        <v>46166</v>
      </c>
      <c r="C110" s="9" t="str">
        <f>TEXT(B110,"DDD")</f>
        <v>Sun</v>
      </c>
      <c r="D110" s="10">
        <f>WEEKNUM(B110)</f>
        <v>22</v>
      </c>
      <c r="E110" s="10" t="str">
        <f>TEXT(B110,"mmm-yy")</f>
        <v>May-26</v>
      </c>
      <c r="F110" s="11" t="s">
        <v>14</v>
      </c>
      <c r="G110" s="16" t="str">
        <f>IFERROR(VLOOKUP(Table1[[#This Row],[Compressor]],$K$9:$L$18,2,FALSE),"0")</f>
        <v>H254803HV</v>
      </c>
      <c r="H110" s="20">
        <v>2</v>
      </c>
      <c r="I110" s="12"/>
    </row>
    <row r="111" spans="2:9" x14ac:dyDescent="0.3">
      <c r="B111" s="8">
        <v>46166</v>
      </c>
      <c r="C111" s="9" t="str">
        <f>TEXT(B111,"DDD")</f>
        <v>Sun</v>
      </c>
      <c r="D111" s="10">
        <f>WEEKNUM(B111)</f>
        <v>22</v>
      </c>
      <c r="E111" s="10" t="str">
        <f>TEXT(B111,"mmm-yy")</f>
        <v>May-26</v>
      </c>
      <c r="F111" s="11" t="s">
        <v>15</v>
      </c>
      <c r="G111" s="16" t="str">
        <f>IFERROR(VLOOKUP(Table1[[#This Row],[Compressor]],$K$9:$L$18,2,FALSE),"0")</f>
        <v>H254805HT</v>
      </c>
      <c r="H111" s="20">
        <v>3</v>
      </c>
      <c r="I111" s="12"/>
    </row>
    <row r="112" spans="2:9" x14ac:dyDescent="0.3">
      <c r="B112" s="8">
        <v>46166</v>
      </c>
      <c r="C112" s="9" t="str">
        <f>TEXT(B112,"DDD")</f>
        <v>Sun</v>
      </c>
      <c r="D112" s="10">
        <f>WEEKNUM(B112)</f>
        <v>22</v>
      </c>
      <c r="E112" s="10" t="str">
        <f>TEXT(B112,"mmm-yy")</f>
        <v>May-26</v>
      </c>
      <c r="F112" s="11" t="s">
        <v>16</v>
      </c>
      <c r="G112" s="16" t="str">
        <f>IFERROR(VLOOKUP(Table1[[#This Row],[Compressor]],$K$9:$L$18,2,FALSE),"0")</f>
        <v>H254805IL</v>
      </c>
      <c r="H112" s="20">
        <v>2</v>
      </c>
      <c r="I112" s="12"/>
    </row>
    <row r="113" spans="2:9" x14ac:dyDescent="0.3">
      <c r="B113" s="8">
        <v>46166</v>
      </c>
      <c r="C113" s="9" t="str">
        <f>TEXT(B113,"DDD")</f>
        <v>Sun</v>
      </c>
      <c r="D113" s="10">
        <f>WEEKNUM(B113)</f>
        <v>22</v>
      </c>
      <c r="E113" s="10" t="str">
        <f>TEXT(B113,"mmm-yy")</f>
        <v>May-26</v>
      </c>
      <c r="F113" s="11" t="s">
        <v>17</v>
      </c>
      <c r="G113" s="16" t="str">
        <f>IFERROR(VLOOKUP(Table1[[#This Row],[Compressor]],$K$9:$L$18,2,FALSE),"0")</f>
        <v>H254802IL</v>
      </c>
      <c r="H113" s="20">
        <v>3</v>
      </c>
      <c r="I113" s="12"/>
    </row>
    <row r="114" spans="2:9" x14ac:dyDescent="0.3">
      <c r="B114" s="8">
        <v>46167</v>
      </c>
      <c r="C114" s="9" t="str">
        <f>TEXT(B114,"DDD")</f>
        <v>Mon</v>
      </c>
      <c r="D114" s="10">
        <f>WEEKNUM(B114)</f>
        <v>22</v>
      </c>
      <c r="E114" s="10" t="str">
        <f>TEXT(B114,"mmm-yy")</f>
        <v>May-26</v>
      </c>
      <c r="F114" s="11" t="s">
        <v>8</v>
      </c>
      <c r="G114" s="16" t="str">
        <f>IFERROR(VLOOKUP(Table1[[#This Row],[Compressor]],$K$9:$L$18,2,FALSE),"0")</f>
        <v>H254805XS</v>
      </c>
      <c r="H114" s="20">
        <v>10</v>
      </c>
      <c r="I114" s="12"/>
    </row>
    <row r="115" spans="2:9" x14ac:dyDescent="0.3">
      <c r="B115" s="8">
        <v>46167</v>
      </c>
      <c r="C115" s="9" t="str">
        <f>TEXT(B115,"DDD")</f>
        <v>Mon</v>
      </c>
      <c r="D115" s="10">
        <f>WEEKNUM(B115)</f>
        <v>22</v>
      </c>
      <c r="E115" s="10" t="str">
        <f>TEXT(B115,"mmm-yy")</f>
        <v>May-26</v>
      </c>
      <c r="F115" s="11" t="s">
        <v>9</v>
      </c>
      <c r="G115" s="16" t="str">
        <f>IFERROR(VLOOKUP(Table1[[#This Row],[Compressor]],$K$9:$L$18,2,FALSE),"0")</f>
        <v>H254805AI</v>
      </c>
      <c r="H115" s="20">
        <v>23</v>
      </c>
      <c r="I115" s="12"/>
    </row>
    <row r="116" spans="2:9" x14ac:dyDescent="0.3">
      <c r="B116" s="8">
        <v>46167</v>
      </c>
      <c r="C116" s="9" t="str">
        <f>TEXT(B116,"DDD")</f>
        <v>Mon</v>
      </c>
      <c r="D116" s="10">
        <f>WEEKNUM(B116)</f>
        <v>22</v>
      </c>
      <c r="E116" s="10" t="str">
        <f>TEXT(B116,"mmm-yy")</f>
        <v>May-26</v>
      </c>
      <c r="F116" s="11" t="s">
        <v>10</v>
      </c>
      <c r="G116" s="16" t="str">
        <f>IFERROR(VLOOKUP(Table1[[#This Row],[Compressor]],$K$9:$L$18,2,FALSE),"0")</f>
        <v>H254805RT</v>
      </c>
      <c r="H116" s="20">
        <v>8</v>
      </c>
      <c r="I116" s="12"/>
    </row>
    <row r="117" spans="2:9" x14ac:dyDescent="0.3">
      <c r="B117" s="8">
        <v>46167</v>
      </c>
      <c r="C117" s="9" t="str">
        <f>TEXT(B117,"DDD")</f>
        <v>Mon</v>
      </c>
      <c r="D117" s="10">
        <f>WEEKNUM(B117)</f>
        <v>22</v>
      </c>
      <c r="E117" s="10" t="str">
        <f>TEXT(B117,"mmm-yy")</f>
        <v>May-26</v>
      </c>
      <c r="F117" s="11" t="s">
        <v>11</v>
      </c>
      <c r="G117" s="16" t="str">
        <f>IFERROR(VLOOKUP(Table1[[#This Row],[Compressor]],$K$9:$L$18,2,FALSE),"0")</f>
        <v>H254805HT</v>
      </c>
      <c r="H117" s="20">
        <v>10</v>
      </c>
      <c r="I117" s="12"/>
    </row>
    <row r="118" spans="2:9" x14ac:dyDescent="0.3">
      <c r="B118" s="8">
        <v>46167</v>
      </c>
      <c r="C118" s="9" t="str">
        <f>TEXT(B118,"DDD")</f>
        <v>Mon</v>
      </c>
      <c r="D118" s="10">
        <f>WEEKNUM(B118)</f>
        <v>22</v>
      </c>
      <c r="E118" s="10" t="str">
        <f>TEXT(B118,"mmm-yy")</f>
        <v>May-26</v>
      </c>
      <c r="F118" s="11" t="s">
        <v>12</v>
      </c>
      <c r="G118" s="16" t="str">
        <f>IFERROR(VLOOKUP(Table1[[#This Row],[Compressor]],$K$9:$L$18,2,FALSE),"0")</f>
        <v>H254803IH</v>
      </c>
      <c r="H118" s="20">
        <v>1</v>
      </c>
      <c r="I118" s="12"/>
    </row>
    <row r="119" spans="2:9" x14ac:dyDescent="0.3">
      <c r="B119" s="8">
        <v>46167</v>
      </c>
      <c r="C119" s="9" t="str">
        <f>TEXT(B119,"DDD")</f>
        <v>Mon</v>
      </c>
      <c r="D119" s="10">
        <f>WEEKNUM(B119)</f>
        <v>22</v>
      </c>
      <c r="E119" s="10" t="str">
        <f>TEXT(B119,"mmm-yy")</f>
        <v>May-26</v>
      </c>
      <c r="F119" s="11" t="s">
        <v>13</v>
      </c>
      <c r="G119" s="16" t="str">
        <f>IFERROR(VLOOKUP(Table1[[#This Row],[Compressor]],$K$9:$L$18,2,FALSE),"0")</f>
        <v>H254806XS</v>
      </c>
      <c r="H119" s="20">
        <v>2</v>
      </c>
      <c r="I119" s="12"/>
    </row>
    <row r="120" spans="2:9" x14ac:dyDescent="0.3">
      <c r="B120" s="8">
        <v>46167</v>
      </c>
      <c r="C120" s="9" t="str">
        <f>TEXT(B120,"DDD")</f>
        <v>Mon</v>
      </c>
      <c r="D120" s="10">
        <f>WEEKNUM(B120)</f>
        <v>22</v>
      </c>
      <c r="E120" s="10" t="str">
        <f>TEXT(B120,"mmm-yy")</f>
        <v>May-26</v>
      </c>
      <c r="F120" s="11" t="s">
        <v>14</v>
      </c>
      <c r="G120" s="16" t="str">
        <f>IFERROR(VLOOKUP(Table1[[#This Row],[Compressor]],$K$9:$L$18,2,FALSE),"0")</f>
        <v>H254803HV</v>
      </c>
      <c r="H120" s="20">
        <v>2</v>
      </c>
      <c r="I120" s="12"/>
    </row>
    <row r="121" spans="2:9" x14ac:dyDescent="0.3">
      <c r="B121" s="8">
        <v>46167</v>
      </c>
      <c r="C121" s="9" t="str">
        <f>TEXT(B121,"DDD")</f>
        <v>Mon</v>
      </c>
      <c r="D121" s="10">
        <f>WEEKNUM(B121)</f>
        <v>22</v>
      </c>
      <c r="E121" s="10" t="str">
        <f>TEXT(B121,"mmm-yy")</f>
        <v>May-26</v>
      </c>
      <c r="F121" s="11" t="s">
        <v>15</v>
      </c>
      <c r="G121" s="16" t="str">
        <f>IFERROR(VLOOKUP(Table1[[#This Row],[Compressor]],$K$9:$L$18,2,FALSE),"0")</f>
        <v>H254805HT</v>
      </c>
      <c r="H121" s="20">
        <v>3</v>
      </c>
      <c r="I121" s="12"/>
    </row>
    <row r="122" spans="2:9" x14ac:dyDescent="0.3">
      <c r="B122" s="8">
        <v>46167</v>
      </c>
      <c r="C122" s="9" t="str">
        <f>TEXT(B122,"DDD")</f>
        <v>Mon</v>
      </c>
      <c r="D122" s="10">
        <f>WEEKNUM(B122)</f>
        <v>22</v>
      </c>
      <c r="E122" s="10" t="str">
        <f>TEXT(B122,"mmm-yy")</f>
        <v>May-26</v>
      </c>
      <c r="F122" s="11" t="s">
        <v>16</v>
      </c>
      <c r="G122" s="16" t="str">
        <f>IFERROR(VLOOKUP(Table1[[#This Row],[Compressor]],$K$9:$L$18,2,FALSE),"0")</f>
        <v>H254805IL</v>
      </c>
      <c r="H122" s="20">
        <v>2</v>
      </c>
      <c r="I122" s="12"/>
    </row>
    <row r="123" spans="2:9" x14ac:dyDescent="0.3">
      <c r="B123" s="8">
        <v>46167</v>
      </c>
      <c r="C123" s="9" t="str">
        <f>TEXT(B123,"DDD")</f>
        <v>Mon</v>
      </c>
      <c r="D123" s="10">
        <f>WEEKNUM(B123)</f>
        <v>22</v>
      </c>
      <c r="E123" s="10" t="str">
        <f>TEXT(B123,"mmm-yy")</f>
        <v>May-26</v>
      </c>
      <c r="F123" s="11" t="s">
        <v>17</v>
      </c>
      <c r="G123" s="16" t="str">
        <f>IFERROR(VLOOKUP(Table1[[#This Row],[Compressor]],$K$9:$L$18,2,FALSE),"0")</f>
        <v>H254802IL</v>
      </c>
      <c r="H123" s="20">
        <v>3</v>
      </c>
      <c r="I123" s="12"/>
    </row>
    <row r="124" spans="2:9" x14ac:dyDescent="0.3">
      <c r="B124" s="8">
        <v>46168</v>
      </c>
      <c r="C124" s="9" t="str">
        <f>TEXT(B124,"DDD")</f>
        <v>Tue</v>
      </c>
      <c r="D124" s="10">
        <f>WEEKNUM(B124)</f>
        <v>22</v>
      </c>
      <c r="E124" s="10" t="str">
        <f>TEXT(B124,"mmm-yy")</f>
        <v>May-26</v>
      </c>
      <c r="F124" s="11" t="s">
        <v>8</v>
      </c>
      <c r="G124" s="16" t="str">
        <f>IFERROR(VLOOKUP(Table1[[#This Row],[Compressor]],$K$9:$L$18,2,FALSE),"0")</f>
        <v>H254805XS</v>
      </c>
      <c r="H124" s="20">
        <v>10</v>
      </c>
      <c r="I124" s="12"/>
    </row>
    <row r="125" spans="2:9" x14ac:dyDescent="0.3">
      <c r="B125" s="8">
        <v>46168</v>
      </c>
      <c r="C125" s="9" t="str">
        <f>TEXT(B125,"DDD")</f>
        <v>Tue</v>
      </c>
      <c r="D125" s="10">
        <f>WEEKNUM(B125)</f>
        <v>22</v>
      </c>
      <c r="E125" s="10" t="str">
        <f>TEXT(B125,"mmm-yy")</f>
        <v>May-26</v>
      </c>
      <c r="F125" s="11" t="s">
        <v>9</v>
      </c>
      <c r="G125" s="16" t="str">
        <f>IFERROR(VLOOKUP(Table1[[#This Row],[Compressor]],$K$9:$L$18,2,FALSE),"0")</f>
        <v>H254805AI</v>
      </c>
      <c r="H125" s="20">
        <v>23</v>
      </c>
      <c r="I125" s="12"/>
    </row>
    <row r="126" spans="2:9" x14ac:dyDescent="0.3">
      <c r="B126" s="8">
        <v>46168</v>
      </c>
      <c r="C126" s="9" t="str">
        <f>TEXT(B126,"DDD")</f>
        <v>Tue</v>
      </c>
      <c r="D126" s="10">
        <f>WEEKNUM(B126)</f>
        <v>22</v>
      </c>
      <c r="E126" s="10" t="str">
        <f>TEXT(B126,"mmm-yy")</f>
        <v>May-26</v>
      </c>
      <c r="F126" s="11" t="s">
        <v>10</v>
      </c>
      <c r="G126" s="16" t="str">
        <f>IFERROR(VLOOKUP(Table1[[#This Row],[Compressor]],$K$9:$L$18,2,FALSE),"0")</f>
        <v>H254805RT</v>
      </c>
      <c r="H126" s="20">
        <v>12</v>
      </c>
      <c r="I126" s="12"/>
    </row>
    <row r="127" spans="2:9" x14ac:dyDescent="0.3">
      <c r="B127" s="8">
        <v>46168</v>
      </c>
      <c r="C127" s="9" t="str">
        <f>TEXT(B127,"DDD")</f>
        <v>Tue</v>
      </c>
      <c r="D127" s="10">
        <f>WEEKNUM(B127)</f>
        <v>22</v>
      </c>
      <c r="E127" s="10" t="str">
        <f>TEXT(B127,"mmm-yy")</f>
        <v>May-26</v>
      </c>
      <c r="F127" s="11" t="s">
        <v>11</v>
      </c>
      <c r="G127" s="16" t="str">
        <f>IFERROR(VLOOKUP(Table1[[#This Row],[Compressor]],$K$9:$L$18,2,FALSE),"0")</f>
        <v>H254805HT</v>
      </c>
      <c r="H127" s="20">
        <v>14</v>
      </c>
      <c r="I127" s="12"/>
    </row>
    <row r="128" spans="2:9" x14ac:dyDescent="0.3">
      <c r="B128" s="8">
        <v>46168</v>
      </c>
      <c r="C128" s="9" t="str">
        <f>TEXT(B128,"DDD")</f>
        <v>Tue</v>
      </c>
      <c r="D128" s="10">
        <f>WEEKNUM(B128)</f>
        <v>22</v>
      </c>
      <c r="E128" s="10" t="str">
        <f>TEXT(B128,"mmm-yy")</f>
        <v>May-26</v>
      </c>
      <c r="F128" s="11" t="s">
        <v>12</v>
      </c>
      <c r="G128" s="16" t="str">
        <f>IFERROR(VLOOKUP(Table1[[#This Row],[Compressor]],$K$9:$L$18,2,FALSE),"0")</f>
        <v>H254803IH</v>
      </c>
      <c r="H128" s="20">
        <v>1</v>
      </c>
      <c r="I128" s="12"/>
    </row>
    <row r="129" spans="2:9" x14ac:dyDescent="0.3">
      <c r="B129" s="8">
        <v>46168</v>
      </c>
      <c r="C129" s="9" t="str">
        <f>TEXT(B129,"DDD")</f>
        <v>Tue</v>
      </c>
      <c r="D129" s="10">
        <f>WEEKNUM(B129)</f>
        <v>22</v>
      </c>
      <c r="E129" s="10" t="str">
        <f>TEXT(B129,"mmm-yy")</f>
        <v>May-26</v>
      </c>
      <c r="F129" s="11" t="s">
        <v>13</v>
      </c>
      <c r="G129" s="16" t="str">
        <f>IFERROR(VLOOKUP(Table1[[#This Row],[Compressor]],$K$9:$L$18,2,FALSE),"0")</f>
        <v>H254806XS</v>
      </c>
      <c r="H129" s="20">
        <v>2</v>
      </c>
      <c r="I129" s="12"/>
    </row>
    <row r="130" spans="2:9" x14ac:dyDescent="0.3">
      <c r="B130" s="8">
        <v>46168</v>
      </c>
      <c r="C130" s="9" t="str">
        <f>TEXT(B130,"DDD")</f>
        <v>Tue</v>
      </c>
      <c r="D130" s="10">
        <f>WEEKNUM(B130)</f>
        <v>22</v>
      </c>
      <c r="E130" s="10" t="str">
        <f>TEXT(B130,"mmm-yy")</f>
        <v>May-26</v>
      </c>
      <c r="F130" s="11" t="s">
        <v>14</v>
      </c>
      <c r="G130" s="16" t="str">
        <f>IFERROR(VLOOKUP(Table1[[#This Row],[Compressor]],$K$9:$L$18,2,FALSE),"0")</f>
        <v>H254803HV</v>
      </c>
      <c r="H130" s="20">
        <v>2</v>
      </c>
      <c r="I130" s="12"/>
    </row>
    <row r="131" spans="2:9" x14ac:dyDescent="0.3">
      <c r="B131" s="8">
        <v>46168</v>
      </c>
      <c r="C131" s="9" t="str">
        <f>TEXT(B131,"DDD")</f>
        <v>Tue</v>
      </c>
      <c r="D131" s="10">
        <f>WEEKNUM(B131)</f>
        <v>22</v>
      </c>
      <c r="E131" s="10" t="str">
        <f>TEXT(B131,"mmm-yy")</f>
        <v>May-26</v>
      </c>
      <c r="F131" s="11" t="s">
        <v>15</v>
      </c>
      <c r="G131" s="16" t="str">
        <f>IFERROR(VLOOKUP(Table1[[#This Row],[Compressor]],$K$9:$L$18,2,FALSE),"0")</f>
        <v>H254805HT</v>
      </c>
      <c r="H131" s="20">
        <v>3</v>
      </c>
      <c r="I131" s="12"/>
    </row>
    <row r="132" spans="2:9" x14ac:dyDescent="0.3">
      <c r="B132" s="8">
        <v>46168</v>
      </c>
      <c r="C132" s="9" t="str">
        <f>TEXT(B132,"DDD")</f>
        <v>Tue</v>
      </c>
      <c r="D132" s="10">
        <f>WEEKNUM(B132)</f>
        <v>22</v>
      </c>
      <c r="E132" s="10" t="str">
        <f>TEXT(B132,"mmm-yy")</f>
        <v>May-26</v>
      </c>
      <c r="F132" s="11" t="s">
        <v>16</v>
      </c>
      <c r="G132" s="16" t="str">
        <f>IFERROR(VLOOKUP(Table1[[#This Row],[Compressor]],$K$9:$L$18,2,FALSE),"0")</f>
        <v>H254805IL</v>
      </c>
      <c r="H132" s="20">
        <v>2</v>
      </c>
      <c r="I132" s="12"/>
    </row>
    <row r="133" spans="2:9" x14ac:dyDescent="0.3">
      <c r="B133" s="8">
        <v>46168</v>
      </c>
      <c r="C133" s="9" t="str">
        <f>TEXT(B133,"DDD")</f>
        <v>Tue</v>
      </c>
      <c r="D133" s="10">
        <f>WEEKNUM(B133)</f>
        <v>22</v>
      </c>
      <c r="E133" s="10" t="str">
        <f>TEXT(B133,"mmm-yy")</f>
        <v>May-26</v>
      </c>
      <c r="F133" s="11" t="s">
        <v>17</v>
      </c>
      <c r="G133" s="16" t="str">
        <f>IFERROR(VLOOKUP(Table1[[#This Row],[Compressor]],$K$9:$L$18,2,FALSE),"0")</f>
        <v>H254802IL</v>
      </c>
      <c r="H133" s="20">
        <v>3</v>
      </c>
      <c r="I133" s="12"/>
    </row>
    <row r="134" spans="2:9" x14ac:dyDescent="0.3">
      <c r="B134" s="8">
        <v>46169</v>
      </c>
      <c r="C134" s="9" t="str">
        <f>TEXT(B134,"DDD")</f>
        <v>Wed</v>
      </c>
      <c r="D134" s="10">
        <f>WEEKNUM(B134)</f>
        <v>22</v>
      </c>
      <c r="E134" s="10" t="str">
        <f>TEXT(B134,"mmm-yy")</f>
        <v>May-26</v>
      </c>
      <c r="F134" s="11" t="s">
        <v>8</v>
      </c>
      <c r="G134" s="16" t="str">
        <f>IFERROR(VLOOKUP(Table1[[#This Row],[Compressor]],$K$9:$L$18,2,FALSE),"0")</f>
        <v>H254805XS</v>
      </c>
      <c r="H134" s="20">
        <v>10</v>
      </c>
      <c r="I134" s="12"/>
    </row>
    <row r="135" spans="2:9" x14ac:dyDescent="0.3">
      <c r="B135" s="8">
        <v>46169</v>
      </c>
      <c r="C135" s="9" t="str">
        <f>TEXT(B135,"DDD")</f>
        <v>Wed</v>
      </c>
      <c r="D135" s="10">
        <f>WEEKNUM(B135)</f>
        <v>22</v>
      </c>
      <c r="E135" s="10" t="str">
        <f>TEXT(B135,"mmm-yy")</f>
        <v>May-26</v>
      </c>
      <c r="F135" s="11" t="s">
        <v>9</v>
      </c>
      <c r="G135" s="16" t="str">
        <f>IFERROR(VLOOKUP(Table1[[#This Row],[Compressor]],$K$9:$L$18,2,FALSE),"0")</f>
        <v>H254805AI</v>
      </c>
      <c r="H135" s="20">
        <v>23</v>
      </c>
      <c r="I135" s="12"/>
    </row>
    <row r="136" spans="2:9" x14ac:dyDescent="0.3">
      <c r="B136" s="8">
        <v>46169</v>
      </c>
      <c r="C136" s="9" t="str">
        <f>TEXT(B136,"DDD")</f>
        <v>Wed</v>
      </c>
      <c r="D136" s="10">
        <f>WEEKNUM(B136)</f>
        <v>22</v>
      </c>
      <c r="E136" s="10" t="str">
        <f>TEXT(B136,"mmm-yy")</f>
        <v>May-26</v>
      </c>
      <c r="F136" s="11" t="s">
        <v>10</v>
      </c>
      <c r="G136" s="16" t="str">
        <f>IFERROR(VLOOKUP(Table1[[#This Row],[Compressor]],$K$9:$L$18,2,FALSE),"0")</f>
        <v>H254805RT</v>
      </c>
      <c r="H136" s="20">
        <v>14</v>
      </c>
      <c r="I136" s="12"/>
    </row>
    <row r="137" spans="2:9" x14ac:dyDescent="0.3">
      <c r="B137" s="8">
        <v>46169</v>
      </c>
      <c r="C137" s="9" t="str">
        <f>TEXT(B137,"DDD")</f>
        <v>Wed</v>
      </c>
      <c r="D137" s="10">
        <f>WEEKNUM(B137)</f>
        <v>22</v>
      </c>
      <c r="E137" s="10" t="str">
        <f>TEXT(B137,"mmm-yy")</f>
        <v>May-26</v>
      </c>
      <c r="F137" s="11" t="s">
        <v>11</v>
      </c>
      <c r="G137" s="16" t="str">
        <f>IFERROR(VLOOKUP(Table1[[#This Row],[Compressor]],$K$9:$L$18,2,FALSE),"0")</f>
        <v>H254805HT</v>
      </c>
      <c r="H137" s="20">
        <v>14</v>
      </c>
      <c r="I137" s="12"/>
    </row>
    <row r="138" spans="2:9" x14ac:dyDescent="0.3">
      <c r="B138" s="8">
        <v>46169</v>
      </c>
      <c r="C138" s="9" t="str">
        <f>TEXT(B138,"DDD")</f>
        <v>Wed</v>
      </c>
      <c r="D138" s="10">
        <f>WEEKNUM(B138)</f>
        <v>22</v>
      </c>
      <c r="E138" s="10" t="str">
        <f>TEXT(B138,"mmm-yy")</f>
        <v>May-26</v>
      </c>
      <c r="F138" s="11" t="s">
        <v>12</v>
      </c>
      <c r="G138" s="16" t="str">
        <f>IFERROR(VLOOKUP(Table1[[#This Row],[Compressor]],$K$9:$L$18,2,FALSE),"0")</f>
        <v>H254803IH</v>
      </c>
      <c r="H138" s="20">
        <v>1</v>
      </c>
      <c r="I138" s="12"/>
    </row>
    <row r="139" spans="2:9" x14ac:dyDescent="0.3">
      <c r="B139" s="8">
        <v>46169</v>
      </c>
      <c r="C139" s="9" t="str">
        <f>TEXT(B139,"DDD")</f>
        <v>Wed</v>
      </c>
      <c r="D139" s="10">
        <f>WEEKNUM(B139)</f>
        <v>22</v>
      </c>
      <c r="E139" s="10" t="str">
        <f>TEXT(B139,"mmm-yy")</f>
        <v>May-26</v>
      </c>
      <c r="F139" s="11" t="s">
        <v>13</v>
      </c>
      <c r="G139" s="16" t="str">
        <f>IFERROR(VLOOKUP(Table1[[#This Row],[Compressor]],$K$9:$L$18,2,FALSE),"0")</f>
        <v>H254806XS</v>
      </c>
      <c r="H139" s="20">
        <v>2</v>
      </c>
      <c r="I139" s="12"/>
    </row>
    <row r="140" spans="2:9" x14ac:dyDescent="0.3">
      <c r="B140" s="8">
        <v>46169</v>
      </c>
      <c r="C140" s="9" t="str">
        <f>TEXT(B140,"DDD")</f>
        <v>Wed</v>
      </c>
      <c r="D140" s="10">
        <f>WEEKNUM(B140)</f>
        <v>22</v>
      </c>
      <c r="E140" s="10" t="str">
        <f>TEXT(B140,"mmm-yy")</f>
        <v>May-26</v>
      </c>
      <c r="F140" s="11" t="s">
        <v>14</v>
      </c>
      <c r="G140" s="16" t="str">
        <f>IFERROR(VLOOKUP(Table1[[#This Row],[Compressor]],$K$9:$L$18,2,FALSE),"0")</f>
        <v>H254803HV</v>
      </c>
      <c r="H140" s="20">
        <v>2</v>
      </c>
      <c r="I140" s="12"/>
    </row>
    <row r="141" spans="2:9" x14ac:dyDescent="0.3">
      <c r="B141" s="8">
        <v>46169</v>
      </c>
      <c r="C141" s="9" t="str">
        <f>TEXT(B141,"DDD")</f>
        <v>Wed</v>
      </c>
      <c r="D141" s="10">
        <f>WEEKNUM(B141)</f>
        <v>22</v>
      </c>
      <c r="E141" s="10" t="str">
        <f>TEXT(B141,"mmm-yy")</f>
        <v>May-26</v>
      </c>
      <c r="F141" s="11" t="s">
        <v>15</v>
      </c>
      <c r="G141" s="16" t="str">
        <f>IFERROR(VLOOKUP(Table1[[#This Row],[Compressor]],$K$9:$L$18,2,FALSE),"0")</f>
        <v>H254805HT</v>
      </c>
      <c r="H141" s="20">
        <v>3</v>
      </c>
      <c r="I141" s="12"/>
    </row>
    <row r="142" spans="2:9" x14ac:dyDescent="0.3">
      <c r="B142" s="8">
        <v>46169</v>
      </c>
      <c r="C142" s="9" t="str">
        <f>TEXT(B142,"DDD")</f>
        <v>Wed</v>
      </c>
      <c r="D142" s="10">
        <f>WEEKNUM(B142)</f>
        <v>22</v>
      </c>
      <c r="E142" s="10" t="str">
        <f>TEXT(B142,"mmm-yy")</f>
        <v>May-26</v>
      </c>
      <c r="F142" s="11" t="s">
        <v>16</v>
      </c>
      <c r="G142" s="16" t="str">
        <f>IFERROR(VLOOKUP(Table1[[#This Row],[Compressor]],$K$9:$L$18,2,FALSE),"0")</f>
        <v>H254805IL</v>
      </c>
      <c r="H142" s="20">
        <v>2</v>
      </c>
      <c r="I142" s="12"/>
    </row>
    <row r="143" spans="2:9" x14ac:dyDescent="0.3">
      <c r="B143" s="8">
        <v>46169</v>
      </c>
      <c r="C143" s="9" t="str">
        <f>TEXT(B143,"DDD")</f>
        <v>Wed</v>
      </c>
      <c r="D143" s="10">
        <f>WEEKNUM(B143)</f>
        <v>22</v>
      </c>
      <c r="E143" s="10" t="str">
        <f>TEXT(B143,"mmm-yy")</f>
        <v>May-26</v>
      </c>
      <c r="F143" s="11" t="s">
        <v>17</v>
      </c>
      <c r="G143" s="16" t="str">
        <f>IFERROR(VLOOKUP(Table1[[#This Row],[Compressor]],$K$9:$L$18,2,FALSE),"0")</f>
        <v>H254802IL</v>
      </c>
      <c r="H143" s="20">
        <v>3</v>
      </c>
      <c r="I143" s="12"/>
    </row>
    <row r="144" spans="2:9" x14ac:dyDescent="0.3">
      <c r="B144" s="8">
        <v>46170</v>
      </c>
      <c r="C144" s="9" t="str">
        <f>TEXT(B144,"DDD")</f>
        <v>Thu</v>
      </c>
      <c r="D144" s="10">
        <f>WEEKNUM(B144)</f>
        <v>22</v>
      </c>
      <c r="E144" s="10" t="str">
        <f>TEXT(B144,"mmm-yy")</f>
        <v>May-26</v>
      </c>
      <c r="F144" s="11" t="s">
        <v>8</v>
      </c>
      <c r="G144" s="16" t="str">
        <f>IFERROR(VLOOKUP(Table1[[#This Row],[Compressor]],$K$9:$L$18,2,FALSE),"0")</f>
        <v>H254805XS</v>
      </c>
      <c r="H144" s="20">
        <v>10</v>
      </c>
      <c r="I144" s="12"/>
    </row>
    <row r="145" spans="2:9" x14ac:dyDescent="0.3">
      <c r="B145" s="8">
        <v>46170</v>
      </c>
      <c r="C145" s="9" t="str">
        <f>TEXT(B145,"DDD")</f>
        <v>Thu</v>
      </c>
      <c r="D145" s="10">
        <f>WEEKNUM(B145)</f>
        <v>22</v>
      </c>
      <c r="E145" s="10" t="str">
        <f>TEXT(B145,"mmm-yy")</f>
        <v>May-26</v>
      </c>
      <c r="F145" s="11" t="s">
        <v>9</v>
      </c>
      <c r="G145" s="16" t="str">
        <f>IFERROR(VLOOKUP(Table1[[#This Row],[Compressor]],$K$9:$L$18,2,FALSE),"0")</f>
        <v>H254805AI</v>
      </c>
      <c r="H145" s="20">
        <v>23</v>
      </c>
      <c r="I145" s="12"/>
    </row>
    <row r="146" spans="2:9" x14ac:dyDescent="0.3">
      <c r="B146" s="8">
        <v>46170</v>
      </c>
      <c r="C146" s="9" t="str">
        <f>TEXT(B146,"DDD")</f>
        <v>Thu</v>
      </c>
      <c r="D146" s="10">
        <f>WEEKNUM(B146)</f>
        <v>22</v>
      </c>
      <c r="E146" s="10" t="str">
        <f>TEXT(B146,"mmm-yy")</f>
        <v>May-26</v>
      </c>
      <c r="F146" s="11" t="s">
        <v>10</v>
      </c>
      <c r="G146" s="16" t="str">
        <f>IFERROR(VLOOKUP(Table1[[#This Row],[Compressor]],$K$9:$L$18,2,FALSE),"0")</f>
        <v>H254805RT</v>
      </c>
      <c r="H146" s="20">
        <v>19</v>
      </c>
      <c r="I146" s="12"/>
    </row>
    <row r="147" spans="2:9" x14ac:dyDescent="0.3">
      <c r="B147" s="8">
        <v>46170</v>
      </c>
      <c r="C147" s="9" t="str">
        <f>TEXT(B147,"DDD")</f>
        <v>Thu</v>
      </c>
      <c r="D147" s="10">
        <f>WEEKNUM(B147)</f>
        <v>22</v>
      </c>
      <c r="E147" s="10" t="str">
        <f>TEXT(B147,"mmm-yy")</f>
        <v>May-26</v>
      </c>
      <c r="F147" s="11" t="s">
        <v>11</v>
      </c>
      <c r="G147" s="16" t="str">
        <f>IFERROR(VLOOKUP(Table1[[#This Row],[Compressor]],$K$9:$L$18,2,FALSE),"0")</f>
        <v>H254805HT</v>
      </c>
      <c r="H147" s="20">
        <v>19</v>
      </c>
      <c r="I147" s="12"/>
    </row>
    <row r="148" spans="2:9" x14ac:dyDescent="0.3">
      <c r="B148" s="8">
        <v>46170</v>
      </c>
      <c r="C148" s="9" t="str">
        <f>TEXT(B148,"DDD")</f>
        <v>Thu</v>
      </c>
      <c r="D148" s="10">
        <f>WEEKNUM(B148)</f>
        <v>22</v>
      </c>
      <c r="E148" s="10" t="str">
        <f>TEXT(B148,"mmm-yy")</f>
        <v>May-26</v>
      </c>
      <c r="F148" s="11" t="s">
        <v>12</v>
      </c>
      <c r="G148" s="16" t="str">
        <f>IFERROR(VLOOKUP(Table1[[#This Row],[Compressor]],$K$9:$L$18,2,FALSE),"0")</f>
        <v>H254803IH</v>
      </c>
      <c r="H148" s="20">
        <v>1</v>
      </c>
      <c r="I148" s="12"/>
    </row>
    <row r="149" spans="2:9" x14ac:dyDescent="0.3">
      <c r="B149" s="8">
        <v>46170</v>
      </c>
      <c r="C149" s="9" t="str">
        <f>TEXT(B149,"DDD")</f>
        <v>Thu</v>
      </c>
      <c r="D149" s="10">
        <f>WEEKNUM(B149)</f>
        <v>22</v>
      </c>
      <c r="E149" s="10" t="str">
        <f>TEXT(B149,"mmm-yy")</f>
        <v>May-26</v>
      </c>
      <c r="F149" s="11" t="s">
        <v>13</v>
      </c>
      <c r="G149" s="16" t="str">
        <f>IFERROR(VLOOKUP(Table1[[#This Row],[Compressor]],$K$9:$L$18,2,FALSE),"0")</f>
        <v>H254806XS</v>
      </c>
      <c r="H149" s="20">
        <v>2</v>
      </c>
      <c r="I149" s="12"/>
    </row>
    <row r="150" spans="2:9" x14ac:dyDescent="0.3">
      <c r="B150" s="8">
        <v>46170</v>
      </c>
      <c r="C150" s="9" t="str">
        <f>TEXT(B150,"DDD")</f>
        <v>Thu</v>
      </c>
      <c r="D150" s="10">
        <f>WEEKNUM(B150)</f>
        <v>22</v>
      </c>
      <c r="E150" s="10" t="str">
        <f>TEXT(B150,"mmm-yy")</f>
        <v>May-26</v>
      </c>
      <c r="F150" s="11" t="s">
        <v>14</v>
      </c>
      <c r="G150" s="16" t="str">
        <f>IFERROR(VLOOKUP(Table1[[#This Row],[Compressor]],$K$9:$L$18,2,FALSE),"0")</f>
        <v>H254803HV</v>
      </c>
      <c r="H150" s="20">
        <v>2</v>
      </c>
      <c r="I150" s="12"/>
    </row>
    <row r="151" spans="2:9" x14ac:dyDescent="0.3">
      <c r="B151" s="8">
        <v>46170</v>
      </c>
      <c r="C151" s="9" t="str">
        <f>TEXT(B151,"DDD")</f>
        <v>Thu</v>
      </c>
      <c r="D151" s="10">
        <f>WEEKNUM(B151)</f>
        <v>22</v>
      </c>
      <c r="E151" s="10" t="str">
        <f>TEXT(B151,"mmm-yy")</f>
        <v>May-26</v>
      </c>
      <c r="F151" s="11" t="s">
        <v>15</v>
      </c>
      <c r="G151" s="16" t="str">
        <f>IFERROR(VLOOKUP(Table1[[#This Row],[Compressor]],$K$9:$L$18,2,FALSE),"0")</f>
        <v>H254805HT</v>
      </c>
      <c r="H151" s="20">
        <v>3</v>
      </c>
      <c r="I151" s="12"/>
    </row>
    <row r="152" spans="2:9" x14ac:dyDescent="0.3">
      <c r="B152" s="8">
        <v>46170</v>
      </c>
      <c r="C152" s="9" t="str">
        <f>TEXT(B152,"DDD")</f>
        <v>Thu</v>
      </c>
      <c r="D152" s="10">
        <f>WEEKNUM(B152)</f>
        <v>22</v>
      </c>
      <c r="E152" s="10" t="str">
        <f>TEXT(B152,"mmm-yy")</f>
        <v>May-26</v>
      </c>
      <c r="F152" s="11" t="s">
        <v>16</v>
      </c>
      <c r="G152" s="16" t="str">
        <f>IFERROR(VLOOKUP(Table1[[#This Row],[Compressor]],$K$9:$L$18,2,FALSE),"0")</f>
        <v>H254805IL</v>
      </c>
      <c r="H152" s="20">
        <v>2</v>
      </c>
      <c r="I152" s="12"/>
    </row>
    <row r="153" spans="2:9" x14ac:dyDescent="0.3">
      <c r="B153" s="8">
        <v>46170</v>
      </c>
      <c r="C153" s="9" t="str">
        <f>TEXT(B153,"DDD")</f>
        <v>Thu</v>
      </c>
      <c r="D153" s="10">
        <f>WEEKNUM(B153)</f>
        <v>22</v>
      </c>
      <c r="E153" s="10" t="str">
        <f>TEXT(B153,"mmm-yy")</f>
        <v>May-26</v>
      </c>
      <c r="F153" s="11" t="s">
        <v>17</v>
      </c>
      <c r="G153" s="16" t="str">
        <f>IFERROR(VLOOKUP(Table1[[#This Row],[Compressor]],$K$9:$L$18,2,FALSE),"0")</f>
        <v>H254802IL</v>
      </c>
      <c r="H153" s="20">
        <v>3</v>
      </c>
      <c r="I153" s="12"/>
    </row>
    <row r="154" spans="2:9" x14ac:dyDescent="0.3">
      <c r="B154" s="8">
        <v>46171</v>
      </c>
      <c r="C154" s="9" t="str">
        <f>TEXT(B154,"DDD")</f>
        <v>Fri</v>
      </c>
      <c r="D154" s="10">
        <f>WEEKNUM(B154)</f>
        <v>22</v>
      </c>
      <c r="E154" s="10" t="str">
        <f>TEXT(B154,"mmm-yy")</f>
        <v>May-26</v>
      </c>
      <c r="F154" s="11" t="s">
        <v>8</v>
      </c>
      <c r="G154" s="16" t="str">
        <f>IFERROR(VLOOKUP(Table1[[#This Row],[Compressor]],$K$9:$L$18,2,FALSE),"0")</f>
        <v>H254805XS</v>
      </c>
      <c r="H154" s="20">
        <v>10</v>
      </c>
      <c r="I154" s="12"/>
    </row>
    <row r="155" spans="2:9" x14ac:dyDescent="0.3">
      <c r="B155" s="8">
        <v>46171</v>
      </c>
      <c r="C155" s="9" t="str">
        <f>TEXT(B155,"DDD")</f>
        <v>Fri</v>
      </c>
      <c r="D155" s="10">
        <f>WEEKNUM(B155)</f>
        <v>22</v>
      </c>
      <c r="E155" s="10" t="str">
        <f>TEXT(B155,"mmm-yy")</f>
        <v>May-26</v>
      </c>
      <c r="F155" s="11" t="s">
        <v>9</v>
      </c>
      <c r="G155" s="16" t="str">
        <f>IFERROR(VLOOKUP(Table1[[#This Row],[Compressor]],$K$9:$L$18,2,FALSE),"0")</f>
        <v>H254805AI</v>
      </c>
      <c r="H155" s="20">
        <v>23</v>
      </c>
      <c r="I155" s="12"/>
    </row>
    <row r="156" spans="2:9" x14ac:dyDescent="0.3">
      <c r="B156" s="8">
        <v>46171</v>
      </c>
      <c r="C156" s="9" t="str">
        <f>TEXT(B156,"DDD")</f>
        <v>Fri</v>
      </c>
      <c r="D156" s="10">
        <f>WEEKNUM(B156)</f>
        <v>22</v>
      </c>
      <c r="E156" s="10" t="str">
        <f>TEXT(B156,"mmm-yy")</f>
        <v>May-26</v>
      </c>
      <c r="F156" s="11" t="s">
        <v>10</v>
      </c>
      <c r="G156" s="16" t="str">
        <f>IFERROR(VLOOKUP(Table1[[#This Row],[Compressor]],$K$9:$L$18,2,FALSE),"0")</f>
        <v>H254805RT</v>
      </c>
      <c r="H156" s="20">
        <v>22</v>
      </c>
      <c r="I156" s="12"/>
    </row>
    <row r="157" spans="2:9" x14ac:dyDescent="0.3">
      <c r="B157" s="8">
        <v>46171</v>
      </c>
      <c r="C157" s="9" t="str">
        <f>TEXT(B157,"DDD")</f>
        <v>Fri</v>
      </c>
      <c r="D157" s="10">
        <f>WEEKNUM(B157)</f>
        <v>22</v>
      </c>
      <c r="E157" s="10" t="str">
        <f>TEXT(B157,"mmm-yy")</f>
        <v>May-26</v>
      </c>
      <c r="F157" s="11" t="s">
        <v>11</v>
      </c>
      <c r="G157" s="16" t="str">
        <f>IFERROR(VLOOKUP(Table1[[#This Row],[Compressor]],$K$9:$L$18,2,FALSE),"0")</f>
        <v>H254805HT</v>
      </c>
      <c r="H157" s="20">
        <v>22</v>
      </c>
      <c r="I157" s="12"/>
    </row>
    <row r="158" spans="2:9" x14ac:dyDescent="0.3">
      <c r="B158" s="8">
        <v>46171</v>
      </c>
      <c r="C158" s="9" t="str">
        <f>TEXT(B158,"DDD")</f>
        <v>Fri</v>
      </c>
      <c r="D158" s="10">
        <f>WEEKNUM(B158)</f>
        <v>22</v>
      </c>
      <c r="E158" s="10" t="str">
        <f>TEXT(B158,"mmm-yy")</f>
        <v>May-26</v>
      </c>
      <c r="F158" s="11" t="s">
        <v>12</v>
      </c>
      <c r="G158" s="16" t="str">
        <f>IFERROR(VLOOKUP(Table1[[#This Row],[Compressor]],$K$9:$L$18,2,FALSE),"0")</f>
        <v>H254803IH</v>
      </c>
      <c r="H158" s="20">
        <v>1</v>
      </c>
      <c r="I158" s="12"/>
    </row>
    <row r="159" spans="2:9" x14ac:dyDescent="0.3">
      <c r="B159" s="8">
        <v>46171</v>
      </c>
      <c r="C159" s="9" t="str">
        <f>TEXT(B159,"DDD")</f>
        <v>Fri</v>
      </c>
      <c r="D159" s="10">
        <f>WEEKNUM(B159)</f>
        <v>22</v>
      </c>
      <c r="E159" s="10" t="str">
        <f>TEXT(B159,"mmm-yy")</f>
        <v>May-26</v>
      </c>
      <c r="F159" s="11" t="s">
        <v>13</v>
      </c>
      <c r="G159" s="16" t="str">
        <f>IFERROR(VLOOKUP(Table1[[#This Row],[Compressor]],$K$9:$L$18,2,FALSE),"0")</f>
        <v>H254806XS</v>
      </c>
      <c r="H159" s="20">
        <v>2</v>
      </c>
      <c r="I159" s="12"/>
    </row>
    <row r="160" spans="2:9" x14ac:dyDescent="0.3">
      <c r="B160" s="8">
        <v>46171</v>
      </c>
      <c r="C160" s="9" t="str">
        <f>TEXT(B160,"DDD")</f>
        <v>Fri</v>
      </c>
      <c r="D160" s="10">
        <f>WEEKNUM(B160)</f>
        <v>22</v>
      </c>
      <c r="E160" s="10" t="str">
        <f>TEXT(B160,"mmm-yy")</f>
        <v>May-26</v>
      </c>
      <c r="F160" s="11" t="s">
        <v>14</v>
      </c>
      <c r="G160" s="16" t="str">
        <f>IFERROR(VLOOKUP(Table1[[#This Row],[Compressor]],$K$9:$L$18,2,FALSE),"0")</f>
        <v>H254803HV</v>
      </c>
      <c r="H160" s="20">
        <v>2</v>
      </c>
      <c r="I160" s="12"/>
    </row>
    <row r="161" spans="2:9" x14ac:dyDescent="0.3">
      <c r="B161" s="8">
        <v>46171</v>
      </c>
      <c r="C161" s="9" t="str">
        <f>TEXT(B161,"DDD")</f>
        <v>Fri</v>
      </c>
      <c r="D161" s="10">
        <f>WEEKNUM(B161)</f>
        <v>22</v>
      </c>
      <c r="E161" s="10" t="str">
        <f>TEXT(B161,"mmm-yy")</f>
        <v>May-26</v>
      </c>
      <c r="F161" s="11" t="s">
        <v>15</v>
      </c>
      <c r="G161" s="16" t="str">
        <f>IFERROR(VLOOKUP(Table1[[#This Row],[Compressor]],$K$9:$L$18,2,FALSE),"0")</f>
        <v>H254805HT</v>
      </c>
      <c r="H161" s="20">
        <v>3</v>
      </c>
      <c r="I161" s="12"/>
    </row>
    <row r="162" spans="2:9" x14ac:dyDescent="0.3">
      <c r="B162" s="8">
        <v>46171</v>
      </c>
      <c r="C162" s="9" t="str">
        <f>TEXT(B162,"DDD")</f>
        <v>Fri</v>
      </c>
      <c r="D162" s="10">
        <f>WEEKNUM(B162)</f>
        <v>22</v>
      </c>
      <c r="E162" s="10" t="str">
        <f>TEXT(B162,"mmm-yy")</f>
        <v>May-26</v>
      </c>
      <c r="F162" s="11" t="s">
        <v>16</v>
      </c>
      <c r="G162" s="16" t="str">
        <f>IFERROR(VLOOKUP(Table1[[#This Row],[Compressor]],$K$9:$L$18,2,FALSE),"0")</f>
        <v>H254805IL</v>
      </c>
      <c r="H162" s="20">
        <v>2</v>
      </c>
      <c r="I162" s="12"/>
    </row>
    <row r="163" spans="2:9" x14ac:dyDescent="0.3">
      <c r="B163" s="8">
        <v>46171</v>
      </c>
      <c r="C163" s="9" t="str">
        <f>TEXT(B163,"DDD")</f>
        <v>Fri</v>
      </c>
      <c r="D163" s="10">
        <f>WEEKNUM(B163)</f>
        <v>22</v>
      </c>
      <c r="E163" s="10" t="str">
        <f>TEXT(B163,"mmm-yy")</f>
        <v>May-26</v>
      </c>
      <c r="F163" s="11" t="s">
        <v>17</v>
      </c>
      <c r="G163" s="16" t="str">
        <f>IFERROR(VLOOKUP(Table1[[#This Row],[Compressor]],$K$9:$L$18,2,FALSE),"0")</f>
        <v>H254802IL</v>
      </c>
      <c r="H163" s="20">
        <v>3</v>
      </c>
      <c r="I163" s="12"/>
    </row>
    <row r="164" spans="2:9" x14ac:dyDescent="0.3">
      <c r="B164" s="8">
        <v>46172</v>
      </c>
      <c r="C164" s="9" t="str">
        <f>TEXT(B164,"DDD")</f>
        <v>Sat</v>
      </c>
      <c r="D164" s="10">
        <f>WEEKNUM(B164)</f>
        <v>22</v>
      </c>
      <c r="E164" s="10" t="str">
        <f>TEXT(B164,"mmm-yy")</f>
        <v>May-26</v>
      </c>
      <c r="F164" s="11" t="s">
        <v>8</v>
      </c>
      <c r="G164" s="16" t="str">
        <f>IFERROR(VLOOKUP(Table1[[#This Row],[Compressor]],$K$9:$L$18,2,FALSE),"0")</f>
        <v>H254805XS</v>
      </c>
      <c r="H164" s="20">
        <v>10</v>
      </c>
      <c r="I164" s="12"/>
    </row>
    <row r="165" spans="2:9" x14ac:dyDescent="0.3">
      <c r="B165" s="8">
        <v>46172</v>
      </c>
      <c r="C165" s="9" t="str">
        <f>TEXT(B165,"DDD")</f>
        <v>Sat</v>
      </c>
      <c r="D165" s="10">
        <f>WEEKNUM(B165)</f>
        <v>22</v>
      </c>
      <c r="E165" s="10" t="str">
        <f>TEXT(B165,"mmm-yy")</f>
        <v>May-26</v>
      </c>
      <c r="F165" s="11" t="s">
        <v>9</v>
      </c>
      <c r="G165" s="16" t="str">
        <f>IFERROR(VLOOKUP(Table1[[#This Row],[Compressor]],$K$9:$L$18,2,FALSE),"0")</f>
        <v>H254805AI</v>
      </c>
      <c r="H165" s="20">
        <v>23</v>
      </c>
      <c r="I165" s="12"/>
    </row>
    <row r="166" spans="2:9" x14ac:dyDescent="0.3">
      <c r="B166" s="8">
        <v>46172</v>
      </c>
      <c r="C166" s="9" t="str">
        <f>TEXT(B166,"DDD")</f>
        <v>Sat</v>
      </c>
      <c r="D166" s="10">
        <f>WEEKNUM(B166)</f>
        <v>22</v>
      </c>
      <c r="E166" s="10" t="str">
        <f>TEXT(B166,"mmm-yy")</f>
        <v>May-26</v>
      </c>
      <c r="F166" s="11" t="s">
        <v>10</v>
      </c>
      <c r="G166" s="16" t="str">
        <f>IFERROR(VLOOKUP(Table1[[#This Row],[Compressor]],$K$9:$L$18,2,FALSE),"0")</f>
        <v>H254805RT</v>
      </c>
      <c r="H166" s="20">
        <v>27</v>
      </c>
      <c r="I166" s="12"/>
    </row>
    <row r="167" spans="2:9" x14ac:dyDescent="0.3">
      <c r="B167" s="8">
        <v>46172</v>
      </c>
      <c r="C167" s="9" t="str">
        <f>TEXT(B167,"DDD")</f>
        <v>Sat</v>
      </c>
      <c r="D167" s="10">
        <f>WEEKNUM(B167)</f>
        <v>22</v>
      </c>
      <c r="E167" s="10" t="str">
        <f>TEXT(B167,"mmm-yy")</f>
        <v>May-26</v>
      </c>
      <c r="F167" s="11" t="s">
        <v>11</v>
      </c>
      <c r="G167" s="16" t="str">
        <f>IFERROR(VLOOKUP(Table1[[#This Row],[Compressor]],$K$9:$L$18,2,FALSE),"0")</f>
        <v>H254805HT</v>
      </c>
      <c r="H167" s="20">
        <v>27</v>
      </c>
      <c r="I167" s="12"/>
    </row>
    <row r="168" spans="2:9" x14ac:dyDescent="0.3">
      <c r="B168" s="8">
        <v>46172</v>
      </c>
      <c r="C168" s="9" t="str">
        <f>TEXT(B168,"DDD")</f>
        <v>Sat</v>
      </c>
      <c r="D168" s="10">
        <f>WEEKNUM(B168)</f>
        <v>22</v>
      </c>
      <c r="E168" s="10" t="str">
        <f>TEXT(B168,"mmm-yy")</f>
        <v>May-26</v>
      </c>
      <c r="F168" s="11" t="s">
        <v>12</v>
      </c>
      <c r="G168" s="16" t="str">
        <f>IFERROR(VLOOKUP(Table1[[#This Row],[Compressor]],$K$9:$L$18,2,FALSE),"0")</f>
        <v>H254803IH</v>
      </c>
      <c r="H168" s="20">
        <v>1</v>
      </c>
      <c r="I168" s="12"/>
    </row>
    <row r="169" spans="2:9" x14ac:dyDescent="0.3">
      <c r="B169" s="8">
        <v>46172</v>
      </c>
      <c r="C169" s="9" t="str">
        <f>TEXT(B169,"DDD")</f>
        <v>Sat</v>
      </c>
      <c r="D169" s="10">
        <f>WEEKNUM(B169)</f>
        <v>22</v>
      </c>
      <c r="E169" s="10" t="str">
        <f>TEXT(B169,"mmm-yy")</f>
        <v>May-26</v>
      </c>
      <c r="F169" s="11" t="s">
        <v>13</v>
      </c>
      <c r="G169" s="16" t="str">
        <f>IFERROR(VLOOKUP(Table1[[#This Row],[Compressor]],$K$9:$L$18,2,FALSE),"0")</f>
        <v>H254806XS</v>
      </c>
      <c r="H169" s="20">
        <v>2</v>
      </c>
      <c r="I169" s="12"/>
    </row>
    <row r="170" spans="2:9" x14ac:dyDescent="0.3">
      <c r="B170" s="8">
        <v>46172</v>
      </c>
      <c r="C170" s="9" t="str">
        <f>TEXT(B170,"DDD")</f>
        <v>Sat</v>
      </c>
      <c r="D170" s="10">
        <f>WEEKNUM(B170)</f>
        <v>22</v>
      </c>
      <c r="E170" s="10" t="str">
        <f>TEXT(B170,"mmm-yy")</f>
        <v>May-26</v>
      </c>
      <c r="F170" s="11" t="s">
        <v>14</v>
      </c>
      <c r="G170" s="16" t="str">
        <f>IFERROR(VLOOKUP(Table1[[#This Row],[Compressor]],$K$9:$L$18,2,FALSE),"0")</f>
        <v>H254803HV</v>
      </c>
      <c r="H170" s="20">
        <v>2</v>
      </c>
      <c r="I170" s="12"/>
    </row>
    <row r="171" spans="2:9" x14ac:dyDescent="0.3">
      <c r="B171" s="8">
        <v>46172</v>
      </c>
      <c r="C171" s="9" t="str">
        <f>TEXT(B171,"DDD")</f>
        <v>Sat</v>
      </c>
      <c r="D171" s="10">
        <f>WEEKNUM(B171)</f>
        <v>22</v>
      </c>
      <c r="E171" s="10" t="str">
        <f>TEXT(B171,"mmm-yy")</f>
        <v>May-26</v>
      </c>
      <c r="F171" s="11" t="s">
        <v>15</v>
      </c>
      <c r="G171" s="16" t="str">
        <f>IFERROR(VLOOKUP(Table1[[#This Row],[Compressor]],$K$9:$L$18,2,FALSE),"0")</f>
        <v>H254805HT</v>
      </c>
      <c r="H171" s="20">
        <v>3</v>
      </c>
      <c r="I171" s="12"/>
    </row>
    <row r="172" spans="2:9" x14ac:dyDescent="0.3">
      <c r="B172" s="8">
        <v>46172</v>
      </c>
      <c r="C172" s="9" t="str">
        <f>TEXT(B172,"DDD")</f>
        <v>Sat</v>
      </c>
      <c r="D172" s="10">
        <f>WEEKNUM(B172)</f>
        <v>22</v>
      </c>
      <c r="E172" s="10" t="str">
        <f>TEXT(B172,"mmm-yy")</f>
        <v>May-26</v>
      </c>
      <c r="F172" s="11" t="s">
        <v>16</v>
      </c>
      <c r="G172" s="16" t="str">
        <f>IFERROR(VLOOKUP(Table1[[#This Row],[Compressor]],$K$9:$L$18,2,FALSE),"0")</f>
        <v>H254805IL</v>
      </c>
      <c r="H172" s="20">
        <v>2</v>
      </c>
      <c r="I172" s="12"/>
    </row>
    <row r="173" spans="2:9" x14ac:dyDescent="0.3">
      <c r="B173" s="8">
        <v>46172</v>
      </c>
      <c r="C173" s="9" t="str">
        <f>TEXT(B173,"DDD")</f>
        <v>Sat</v>
      </c>
      <c r="D173" s="10">
        <f>WEEKNUM(B173)</f>
        <v>22</v>
      </c>
      <c r="E173" s="10" t="str">
        <f>TEXT(B173,"mmm-yy")</f>
        <v>May-26</v>
      </c>
      <c r="F173" s="11" t="s">
        <v>17</v>
      </c>
      <c r="G173" s="16" t="str">
        <f>IFERROR(VLOOKUP(Table1[[#This Row],[Compressor]],$K$9:$L$18,2,FALSE),"0")</f>
        <v>H254802IL</v>
      </c>
      <c r="H173" s="20">
        <v>3</v>
      </c>
      <c r="I173" s="12"/>
    </row>
    <row r="174" spans="2:9" x14ac:dyDescent="0.3">
      <c r="B174" s="8">
        <v>46173</v>
      </c>
      <c r="C174" s="9" t="str">
        <f>TEXT(B174,"DDD")</f>
        <v>Sun</v>
      </c>
      <c r="D174" s="10">
        <f>WEEKNUM(B174)</f>
        <v>23</v>
      </c>
      <c r="E174" s="10" t="str">
        <f>TEXT(B174,"mmm-yy")</f>
        <v>May-26</v>
      </c>
      <c r="F174" s="11" t="s">
        <v>8</v>
      </c>
      <c r="G174" s="16" t="str">
        <f>IFERROR(VLOOKUP(Table1[[#This Row],[Compressor]],$K$9:$L$18,2,FALSE),"0")</f>
        <v>H254805XS</v>
      </c>
      <c r="H174" s="20">
        <v>10</v>
      </c>
      <c r="I174" s="12"/>
    </row>
    <row r="175" spans="2:9" x14ac:dyDescent="0.3">
      <c r="B175" s="8">
        <v>46173</v>
      </c>
      <c r="C175" s="9" t="str">
        <f>TEXT(B175,"DDD")</f>
        <v>Sun</v>
      </c>
      <c r="D175" s="10">
        <f>WEEKNUM(B175)</f>
        <v>23</v>
      </c>
      <c r="E175" s="10" t="str">
        <f>TEXT(B175,"mmm-yy")</f>
        <v>May-26</v>
      </c>
      <c r="F175" s="11" t="s">
        <v>9</v>
      </c>
      <c r="G175" s="16" t="str">
        <f>IFERROR(VLOOKUP(Table1[[#This Row],[Compressor]],$K$9:$L$18,2,FALSE),"0")</f>
        <v>H254805AI</v>
      </c>
      <c r="H175" s="20">
        <v>23</v>
      </c>
      <c r="I175" s="12"/>
    </row>
    <row r="176" spans="2:9" x14ac:dyDescent="0.3">
      <c r="B176" s="8">
        <v>46173</v>
      </c>
      <c r="C176" s="9" t="str">
        <f>TEXT(B176,"DDD")</f>
        <v>Sun</v>
      </c>
      <c r="D176" s="10">
        <f>WEEKNUM(B176)</f>
        <v>23</v>
      </c>
      <c r="E176" s="10" t="str">
        <f>TEXT(B176,"mmm-yy")</f>
        <v>May-26</v>
      </c>
      <c r="F176" s="11" t="s">
        <v>10</v>
      </c>
      <c r="G176" s="16" t="str">
        <f>IFERROR(VLOOKUP(Table1[[#This Row],[Compressor]],$K$9:$L$18,2,FALSE),"0")</f>
        <v>H254805RT</v>
      </c>
      <c r="H176" s="20">
        <v>29</v>
      </c>
      <c r="I176" s="12"/>
    </row>
    <row r="177" spans="2:9" x14ac:dyDescent="0.3">
      <c r="B177" s="8">
        <v>46173</v>
      </c>
      <c r="C177" s="9" t="str">
        <f>TEXT(B177,"DDD")</f>
        <v>Sun</v>
      </c>
      <c r="D177" s="10">
        <f>WEEKNUM(B177)</f>
        <v>23</v>
      </c>
      <c r="E177" s="10" t="str">
        <f>TEXT(B177,"mmm-yy")</f>
        <v>May-26</v>
      </c>
      <c r="F177" s="11" t="s">
        <v>11</v>
      </c>
      <c r="G177" s="16" t="str">
        <f>IFERROR(VLOOKUP(Table1[[#This Row],[Compressor]],$K$9:$L$18,2,FALSE),"0")</f>
        <v>H254805HT</v>
      </c>
      <c r="H177" s="20">
        <v>31</v>
      </c>
      <c r="I177" s="12"/>
    </row>
    <row r="178" spans="2:9" x14ac:dyDescent="0.3">
      <c r="B178" s="8">
        <v>46173</v>
      </c>
      <c r="C178" s="9" t="str">
        <f>TEXT(B178,"DDD")</f>
        <v>Sun</v>
      </c>
      <c r="D178" s="10">
        <f>WEEKNUM(B178)</f>
        <v>23</v>
      </c>
      <c r="E178" s="10" t="str">
        <f>TEXT(B178,"mmm-yy")</f>
        <v>May-26</v>
      </c>
      <c r="F178" s="11" t="s">
        <v>12</v>
      </c>
      <c r="G178" s="16" t="str">
        <f>IFERROR(VLOOKUP(Table1[[#This Row],[Compressor]],$K$9:$L$18,2,FALSE),"0")</f>
        <v>H254803IH</v>
      </c>
      <c r="H178" s="20">
        <v>1</v>
      </c>
      <c r="I178" s="12"/>
    </row>
    <row r="179" spans="2:9" x14ac:dyDescent="0.3">
      <c r="B179" s="8">
        <v>46173</v>
      </c>
      <c r="C179" s="9" t="str">
        <f>TEXT(B179,"DDD")</f>
        <v>Sun</v>
      </c>
      <c r="D179" s="10">
        <f>WEEKNUM(B179)</f>
        <v>23</v>
      </c>
      <c r="E179" s="10" t="str">
        <f>TEXT(B179,"mmm-yy")</f>
        <v>May-26</v>
      </c>
      <c r="F179" s="11" t="s">
        <v>13</v>
      </c>
      <c r="G179" s="16" t="str">
        <f>IFERROR(VLOOKUP(Table1[[#This Row],[Compressor]],$K$9:$L$18,2,FALSE),"0")</f>
        <v>H254806XS</v>
      </c>
      <c r="H179" s="20">
        <v>2</v>
      </c>
      <c r="I179" s="12"/>
    </row>
    <row r="180" spans="2:9" x14ac:dyDescent="0.3">
      <c r="B180" s="8">
        <v>46173</v>
      </c>
      <c r="C180" s="9" t="str">
        <f>TEXT(B180,"DDD")</f>
        <v>Sun</v>
      </c>
      <c r="D180" s="10">
        <f>WEEKNUM(B180)</f>
        <v>23</v>
      </c>
      <c r="E180" s="10" t="str">
        <f>TEXT(B180,"mmm-yy")</f>
        <v>May-26</v>
      </c>
      <c r="F180" s="11" t="s">
        <v>14</v>
      </c>
      <c r="G180" s="16" t="str">
        <f>IFERROR(VLOOKUP(Table1[[#This Row],[Compressor]],$K$9:$L$18,2,FALSE),"0")</f>
        <v>H254803HV</v>
      </c>
      <c r="H180" s="20">
        <v>2</v>
      </c>
      <c r="I180" s="12"/>
    </row>
    <row r="181" spans="2:9" x14ac:dyDescent="0.3">
      <c r="B181" s="8">
        <v>46173</v>
      </c>
      <c r="C181" s="9" t="str">
        <f>TEXT(B181,"DDD")</f>
        <v>Sun</v>
      </c>
      <c r="D181" s="10">
        <f>WEEKNUM(B181)</f>
        <v>23</v>
      </c>
      <c r="E181" s="10" t="str">
        <f>TEXT(B181,"mmm-yy")</f>
        <v>May-26</v>
      </c>
      <c r="F181" s="11" t="s">
        <v>15</v>
      </c>
      <c r="G181" s="16" t="str">
        <f>IFERROR(VLOOKUP(Table1[[#This Row],[Compressor]],$K$9:$L$18,2,FALSE),"0")</f>
        <v>H254805HT</v>
      </c>
      <c r="H181" s="20">
        <v>3</v>
      </c>
      <c r="I181" s="12"/>
    </row>
    <row r="182" spans="2:9" x14ac:dyDescent="0.3">
      <c r="B182" s="8">
        <v>46173</v>
      </c>
      <c r="C182" s="9" t="str">
        <f>TEXT(B182,"DDD")</f>
        <v>Sun</v>
      </c>
      <c r="D182" s="10">
        <f>WEEKNUM(B182)</f>
        <v>23</v>
      </c>
      <c r="E182" s="10" t="str">
        <f>TEXT(B182,"mmm-yy")</f>
        <v>May-26</v>
      </c>
      <c r="F182" s="11" t="s">
        <v>16</v>
      </c>
      <c r="G182" s="16" t="str">
        <f>IFERROR(VLOOKUP(Table1[[#This Row],[Compressor]],$K$9:$L$18,2,FALSE),"0")</f>
        <v>H254805IL</v>
      </c>
      <c r="H182" s="20">
        <v>2</v>
      </c>
      <c r="I182" s="12"/>
    </row>
    <row r="183" spans="2:9" x14ac:dyDescent="0.3">
      <c r="B183" s="8">
        <v>46173</v>
      </c>
      <c r="C183" s="9" t="str">
        <f>TEXT(B183,"DDD")</f>
        <v>Sun</v>
      </c>
      <c r="D183" s="10">
        <f>WEEKNUM(B183)</f>
        <v>23</v>
      </c>
      <c r="E183" s="10" t="str">
        <f>TEXT(B183,"mmm-yy")</f>
        <v>May-26</v>
      </c>
      <c r="F183" s="11" t="s">
        <v>17</v>
      </c>
      <c r="G183" s="16" t="str">
        <f>IFERROR(VLOOKUP(Table1[[#This Row],[Compressor]],$K$9:$L$18,2,FALSE),"0")</f>
        <v>H254802IL</v>
      </c>
      <c r="H183" s="20">
        <v>3</v>
      </c>
      <c r="I183" s="12"/>
    </row>
    <row r="184" spans="2:9" x14ac:dyDescent="0.3">
      <c r="B184" s="8">
        <v>46174</v>
      </c>
      <c r="C184" s="9" t="str">
        <f>TEXT(B184,"DDD")</f>
        <v>Mon</v>
      </c>
      <c r="D184" s="10">
        <f>WEEKNUM(B184)</f>
        <v>23</v>
      </c>
      <c r="E184" s="10" t="str">
        <f>TEXT(B184,"mmm-yy")</f>
        <v>Jun-26</v>
      </c>
      <c r="F184" s="11" t="s">
        <v>8</v>
      </c>
      <c r="G184" s="16" t="str">
        <f>IFERROR(VLOOKUP(Table1[[#This Row],[Compressor]],$K$9:$L$18,2,FALSE),"0")</f>
        <v>H254805XS</v>
      </c>
      <c r="H184" s="20">
        <v>10</v>
      </c>
      <c r="I184" s="12"/>
    </row>
    <row r="185" spans="2:9" x14ac:dyDescent="0.3">
      <c r="B185" s="8">
        <v>46174</v>
      </c>
      <c r="C185" s="9" t="str">
        <f>TEXT(B185,"DDD")</f>
        <v>Mon</v>
      </c>
      <c r="D185" s="10">
        <f>WEEKNUM(B185)</f>
        <v>23</v>
      </c>
      <c r="E185" s="10" t="str">
        <f>TEXT(B185,"mmm-yy")</f>
        <v>Jun-26</v>
      </c>
      <c r="F185" s="11" t="s">
        <v>9</v>
      </c>
      <c r="G185" s="16" t="str">
        <f>IFERROR(VLOOKUP(Table1[[#This Row],[Compressor]],$K$9:$L$18,2,FALSE),"0")</f>
        <v>H254805AI</v>
      </c>
      <c r="H185" s="20">
        <v>23</v>
      </c>
      <c r="I185" s="12"/>
    </row>
    <row r="186" spans="2:9" x14ac:dyDescent="0.3">
      <c r="B186" s="8">
        <v>46174</v>
      </c>
      <c r="C186" s="9" t="str">
        <f>TEXT(B186,"DDD")</f>
        <v>Mon</v>
      </c>
      <c r="D186" s="10">
        <f>WEEKNUM(B186)</f>
        <v>23</v>
      </c>
      <c r="E186" s="10" t="str">
        <f>TEXT(B186,"mmm-yy")</f>
        <v>Jun-26</v>
      </c>
      <c r="F186" s="11" t="s">
        <v>10</v>
      </c>
      <c r="G186" s="16" t="str">
        <f>IFERROR(VLOOKUP(Table1[[#This Row],[Compressor]],$K$9:$L$18,2,FALSE),"0")</f>
        <v>H254805RT</v>
      </c>
      <c r="H186" s="20">
        <v>29</v>
      </c>
      <c r="I186" s="12"/>
    </row>
    <row r="187" spans="2:9" x14ac:dyDescent="0.3">
      <c r="B187" s="8">
        <v>46174</v>
      </c>
      <c r="C187" s="9" t="str">
        <f>TEXT(B187,"DDD")</f>
        <v>Mon</v>
      </c>
      <c r="D187" s="10">
        <f>WEEKNUM(B187)</f>
        <v>23</v>
      </c>
      <c r="E187" s="10" t="str">
        <f>TEXT(B187,"mmm-yy")</f>
        <v>Jun-26</v>
      </c>
      <c r="F187" s="11" t="s">
        <v>11</v>
      </c>
      <c r="G187" s="16" t="str">
        <f>IFERROR(VLOOKUP(Table1[[#This Row],[Compressor]],$K$9:$L$18,2,FALSE),"0")</f>
        <v>H254805HT</v>
      </c>
      <c r="H187" s="20">
        <v>31</v>
      </c>
      <c r="I187" s="12"/>
    </row>
    <row r="188" spans="2:9" x14ac:dyDescent="0.3">
      <c r="B188" s="8">
        <v>46174</v>
      </c>
      <c r="C188" s="9" t="str">
        <f>TEXT(B188,"DDD")</f>
        <v>Mon</v>
      </c>
      <c r="D188" s="10">
        <f>WEEKNUM(B188)</f>
        <v>23</v>
      </c>
      <c r="E188" s="10" t="str">
        <f>TEXT(B188,"mmm-yy")</f>
        <v>Jun-26</v>
      </c>
      <c r="F188" s="11" t="s">
        <v>12</v>
      </c>
      <c r="G188" s="16" t="str">
        <f>IFERROR(VLOOKUP(Table1[[#This Row],[Compressor]],$K$9:$L$18,2,FALSE),"0")</f>
        <v>H254803IH</v>
      </c>
      <c r="H188" s="20">
        <v>2</v>
      </c>
      <c r="I188" s="12"/>
    </row>
    <row r="189" spans="2:9" x14ac:dyDescent="0.3">
      <c r="B189" s="27">
        <v>46174</v>
      </c>
      <c r="C189" s="21" t="str">
        <f>TEXT(B189,"DDD")</f>
        <v>Mon</v>
      </c>
      <c r="D189" s="22">
        <f>WEEKNUM(B189)</f>
        <v>23</v>
      </c>
      <c r="E189" s="22" t="str">
        <f>TEXT(B189,"mmm-yy")</f>
        <v>Jun-26</v>
      </c>
      <c r="F189" s="11" t="s">
        <v>13</v>
      </c>
      <c r="G189" s="24" t="str">
        <f>IFERROR(VLOOKUP(Table1[[#This Row],[Compressor]],$K$9:$L$18,2,FALSE),"0")</f>
        <v>H254806XS</v>
      </c>
      <c r="H189" s="25">
        <v>8</v>
      </c>
      <c r="I189" s="26"/>
    </row>
    <row r="190" spans="2:9" x14ac:dyDescent="0.3">
      <c r="B190" s="27">
        <v>46174</v>
      </c>
      <c r="C190" s="21" t="str">
        <f>TEXT(B190,"DDD")</f>
        <v>Mon</v>
      </c>
      <c r="D190" s="22">
        <f>WEEKNUM(B190)</f>
        <v>23</v>
      </c>
      <c r="E190" s="22" t="str">
        <f>TEXT(B190,"mmm-yy")</f>
        <v>Jun-26</v>
      </c>
      <c r="F190" s="11" t="s">
        <v>14</v>
      </c>
      <c r="G190" s="24" t="str">
        <f>IFERROR(VLOOKUP(Table1[[#This Row],[Compressor]],$K$9:$L$18,2,FALSE),"0")</f>
        <v>H254803HV</v>
      </c>
      <c r="H190" s="25">
        <v>2</v>
      </c>
      <c r="I190" s="26"/>
    </row>
    <row r="191" spans="2:9" x14ac:dyDescent="0.3">
      <c r="B191" s="27">
        <v>46174</v>
      </c>
      <c r="C191" s="21" t="str">
        <f>TEXT(B191,"DDD")</f>
        <v>Mon</v>
      </c>
      <c r="D191" s="22">
        <f>WEEKNUM(B191)</f>
        <v>23</v>
      </c>
      <c r="E191" s="22" t="str">
        <f>TEXT(B191,"mmm-yy")</f>
        <v>Jun-26</v>
      </c>
      <c r="F191" s="11" t="s">
        <v>15</v>
      </c>
      <c r="G191" s="24" t="str">
        <f>IFERROR(VLOOKUP(Table1[[#This Row],[Compressor]],$K$9:$L$18,2,FALSE),"0")</f>
        <v>H254805HT</v>
      </c>
      <c r="H191" s="25">
        <v>3</v>
      </c>
      <c r="I191" s="26"/>
    </row>
    <row r="192" spans="2:9" x14ac:dyDescent="0.3">
      <c r="B192" s="27">
        <v>46174</v>
      </c>
      <c r="C192" s="21" t="str">
        <f>TEXT(B192,"DDD")</f>
        <v>Mon</v>
      </c>
      <c r="D192" s="22">
        <f>WEEKNUM(B192)</f>
        <v>23</v>
      </c>
      <c r="E192" s="22" t="str">
        <f>TEXT(B192,"mmm-yy")</f>
        <v>Jun-26</v>
      </c>
      <c r="F192" s="11" t="s">
        <v>16</v>
      </c>
      <c r="G192" s="24" t="str">
        <f>IFERROR(VLOOKUP(Table1[[#This Row],[Compressor]],$K$9:$L$18,2,FALSE),"0")</f>
        <v>H254805IL</v>
      </c>
      <c r="H192" s="25">
        <v>2</v>
      </c>
      <c r="I192" s="26"/>
    </row>
    <row r="193" spans="2:9" x14ac:dyDescent="0.3">
      <c r="B193" s="27">
        <v>46174</v>
      </c>
      <c r="C193" s="21" t="str">
        <f>TEXT(B193,"DDD")</f>
        <v>Mon</v>
      </c>
      <c r="D193" s="22">
        <f>WEEKNUM(B193)</f>
        <v>23</v>
      </c>
      <c r="E193" s="22" t="str">
        <f>TEXT(B193,"mmm-yy")</f>
        <v>Jun-26</v>
      </c>
      <c r="F193" s="11" t="s">
        <v>17</v>
      </c>
      <c r="G193" s="24" t="str">
        <f>IFERROR(VLOOKUP(Table1[[#This Row],[Compressor]],$K$9:$L$18,2,FALSE),"0")</f>
        <v>H254802IL</v>
      </c>
      <c r="H193" s="25">
        <v>3</v>
      </c>
      <c r="I193" s="26"/>
    </row>
    <row r="194" spans="2:9" x14ac:dyDescent="0.3">
      <c r="B194" s="8">
        <v>46175</v>
      </c>
      <c r="C194" s="9" t="str">
        <f>TEXT(B194,"DDD")</f>
        <v>Tue</v>
      </c>
      <c r="D194" s="10">
        <f>WEEKNUM(B194)</f>
        <v>23</v>
      </c>
      <c r="E194" s="10" t="str">
        <f>TEXT(B194,"mmm-yy")</f>
        <v>Jun-26</v>
      </c>
      <c r="F194" s="11" t="s">
        <v>8</v>
      </c>
      <c r="G194" s="16" t="str">
        <f>IFERROR(VLOOKUP(Table1[[#This Row],[Compressor]],$K$9:$L$18,2,FALSE),"0")</f>
        <v>H254805XS</v>
      </c>
      <c r="H194" s="20">
        <v>10</v>
      </c>
      <c r="I194" s="12"/>
    </row>
    <row r="195" spans="2:9" x14ac:dyDescent="0.3">
      <c r="B195" s="8">
        <v>46175</v>
      </c>
      <c r="C195" s="9" t="str">
        <f>TEXT(B195,"DDD")</f>
        <v>Tue</v>
      </c>
      <c r="D195" s="10">
        <f>WEEKNUM(B195)</f>
        <v>23</v>
      </c>
      <c r="E195" s="10" t="str">
        <f>TEXT(B195,"mmm-yy")</f>
        <v>Jun-26</v>
      </c>
      <c r="F195" s="11" t="s">
        <v>9</v>
      </c>
      <c r="G195" s="16" t="str">
        <f>IFERROR(VLOOKUP(Table1[[#This Row],[Compressor]],$K$9:$L$18,2,FALSE),"0")</f>
        <v>H254805AI</v>
      </c>
      <c r="H195" s="20">
        <v>23</v>
      </c>
      <c r="I195" s="12"/>
    </row>
    <row r="196" spans="2:9" x14ac:dyDescent="0.3">
      <c r="B196" s="8">
        <v>46175</v>
      </c>
      <c r="C196" s="9" t="str">
        <f>TEXT(B196,"DDD")</f>
        <v>Tue</v>
      </c>
      <c r="D196" s="10">
        <f>WEEKNUM(B196)</f>
        <v>23</v>
      </c>
      <c r="E196" s="10" t="str">
        <f>TEXT(B196,"mmm-yy")</f>
        <v>Jun-26</v>
      </c>
      <c r="F196" s="11" t="s">
        <v>10</v>
      </c>
      <c r="G196" s="16" t="str">
        <f>IFERROR(VLOOKUP(Table1[[#This Row],[Compressor]],$K$9:$L$18,2,FALSE),"0")</f>
        <v>H254805RT</v>
      </c>
      <c r="H196" s="20">
        <v>29</v>
      </c>
      <c r="I196" s="12"/>
    </row>
    <row r="197" spans="2:9" x14ac:dyDescent="0.3">
      <c r="B197" s="8">
        <v>46175</v>
      </c>
      <c r="C197" s="9" t="str">
        <f>TEXT(B197,"DDD")</f>
        <v>Tue</v>
      </c>
      <c r="D197" s="10">
        <f>WEEKNUM(B197)</f>
        <v>23</v>
      </c>
      <c r="E197" s="10" t="str">
        <f>TEXT(B197,"mmm-yy")</f>
        <v>Jun-26</v>
      </c>
      <c r="F197" s="11" t="s">
        <v>11</v>
      </c>
      <c r="G197" s="16" t="str">
        <f>IFERROR(VLOOKUP(Table1[[#This Row],[Compressor]],$K$9:$L$18,2,FALSE),"0")</f>
        <v>H254805HT</v>
      </c>
      <c r="H197" s="20">
        <v>31</v>
      </c>
      <c r="I197" s="12"/>
    </row>
    <row r="198" spans="2:9" x14ac:dyDescent="0.3">
      <c r="B198" s="8">
        <v>46175</v>
      </c>
      <c r="C198" s="9" t="str">
        <f>TEXT(B198,"DDD")</f>
        <v>Tue</v>
      </c>
      <c r="D198" s="10">
        <f>WEEKNUM(B198)</f>
        <v>23</v>
      </c>
      <c r="E198" s="10" t="str">
        <f>TEXT(B198,"mmm-yy")</f>
        <v>Jun-26</v>
      </c>
      <c r="F198" s="11" t="s">
        <v>12</v>
      </c>
      <c r="G198" s="16" t="str">
        <f>IFERROR(VLOOKUP(Table1[[#This Row],[Compressor]],$K$9:$L$18,2,FALSE),"0")</f>
        <v>H254803IH</v>
      </c>
      <c r="H198" s="20">
        <v>4</v>
      </c>
      <c r="I198" s="12"/>
    </row>
    <row r="199" spans="2:9" x14ac:dyDescent="0.3">
      <c r="B199" s="27">
        <v>46175</v>
      </c>
      <c r="C199" s="21" t="str">
        <f>TEXT(B199,"DDD")</f>
        <v>Tue</v>
      </c>
      <c r="D199" s="22">
        <f>WEEKNUM(B199)</f>
        <v>23</v>
      </c>
      <c r="E199" s="22" t="str">
        <f>TEXT(B199,"mmm-yy")</f>
        <v>Jun-26</v>
      </c>
      <c r="F199" s="11" t="s">
        <v>13</v>
      </c>
      <c r="G199" s="24" t="str">
        <f>IFERROR(VLOOKUP(Table1[[#This Row],[Compressor]],$K$9:$L$18,2,FALSE),"0")</f>
        <v>H254806XS</v>
      </c>
      <c r="H199" s="25">
        <v>10</v>
      </c>
      <c r="I199" s="26"/>
    </row>
    <row r="200" spans="2:9" x14ac:dyDescent="0.3">
      <c r="B200" s="27">
        <v>46175</v>
      </c>
      <c r="C200" s="21" t="str">
        <f>TEXT(B200,"DDD")</f>
        <v>Tue</v>
      </c>
      <c r="D200" s="22">
        <f>WEEKNUM(B200)</f>
        <v>23</v>
      </c>
      <c r="E200" s="22" t="str">
        <f>TEXT(B200,"mmm-yy")</f>
        <v>Jun-26</v>
      </c>
      <c r="F200" s="11" t="s">
        <v>14</v>
      </c>
      <c r="G200" s="24" t="str">
        <f>IFERROR(VLOOKUP(Table1[[#This Row],[Compressor]],$K$9:$L$18,2,FALSE),"0")</f>
        <v>H254803HV</v>
      </c>
      <c r="H200" s="25">
        <v>2</v>
      </c>
      <c r="I200" s="26"/>
    </row>
    <row r="201" spans="2:9" x14ac:dyDescent="0.3">
      <c r="B201" s="27">
        <v>46175</v>
      </c>
      <c r="C201" s="21" t="str">
        <f>TEXT(B201,"DDD")</f>
        <v>Tue</v>
      </c>
      <c r="D201" s="22">
        <f>WEEKNUM(B201)</f>
        <v>23</v>
      </c>
      <c r="E201" s="22" t="str">
        <f>TEXT(B201,"mmm-yy")</f>
        <v>Jun-26</v>
      </c>
      <c r="F201" s="11" t="s">
        <v>15</v>
      </c>
      <c r="G201" s="24" t="str">
        <f>IFERROR(VLOOKUP(Table1[[#This Row],[Compressor]],$K$9:$L$18,2,FALSE),"0")</f>
        <v>H254805HT</v>
      </c>
      <c r="H201" s="25">
        <v>3</v>
      </c>
      <c r="I201" s="26"/>
    </row>
    <row r="202" spans="2:9" x14ac:dyDescent="0.3">
      <c r="B202" s="27">
        <v>46175</v>
      </c>
      <c r="C202" s="21" t="str">
        <f>TEXT(B202,"DDD")</f>
        <v>Tue</v>
      </c>
      <c r="D202" s="22">
        <f>WEEKNUM(B202)</f>
        <v>23</v>
      </c>
      <c r="E202" s="22" t="str">
        <f>TEXT(B202,"mmm-yy")</f>
        <v>Jun-26</v>
      </c>
      <c r="F202" s="11" t="s">
        <v>16</v>
      </c>
      <c r="G202" s="24" t="str">
        <f>IFERROR(VLOOKUP(Table1[[#This Row],[Compressor]],$K$9:$L$18,2,FALSE),"0")</f>
        <v>H254805IL</v>
      </c>
      <c r="H202" s="25">
        <v>2</v>
      </c>
      <c r="I202" s="26"/>
    </row>
    <row r="203" spans="2:9" x14ac:dyDescent="0.3">
      <c r="B203" s="27">
        <v>46175</v>
      </c>
      <c r="C203" s="21" t="str">
        <f>TEXT(B203,"DDD")</f>
        <v>Tue</v>
      </c>
      <c r="D203" s="22">
        <f>WEEKNUM(B203)</f>
        <v>23</v>
      </c>
      <c r="E203" s="22" t="str">
        <f>TEXT(B203,"mmm-yy")</f>
        <v>Jun-26</v>
      </c>
      <c r="F203" s="11" t="s">
        <v>17</v>
      </c>
      <c r="G203" s="24" t="str">
        <f>IFERROR(VLOOKUP(Table1[[#This Row],[Compressor]],$K$9:$L$18,2,FALSE),"0")</f>
        <v>H254802IL</v>
      </c>
      <c r="H203" s="25">
        <v>3</v>
      </c>
      <c r="I203" s="26"/>
    </row>
    <row r="204" spans="2:9" x14ac:dyDescent="0.3">
      <c r="B204" s="8">
        <v>46176</v>
      </c>
      <c r="C204" s="9" t="str">
        <f>TEXT(B204,"DDD")</f>
        <v>Wed</v>
      </c>
      <c r="D204" s="10">
        <f>WEEKNUM(B204)</f>
        <v>23</v>
      </c>
      <c r="E204" s="10" t="str">
        <f>TEXT(B204,"mmm-yy")</f>
        <v>Jun-26</v>
      </c>
      <c r="F204" s="11" t="s">
        <v>8</v>
      </c>
      <c r="G204" s="16" t="str">
        <f>IFERROR(VLOOKUP(Table1[[#This Row],[Compressor]],$K$9:$L$18,2,FALSE),"0")</f>
        <v>H254805XS</v>
      </c>
      <c r="H204" s="20">
        <v>10</v>
      </c>
      <c r="I204" s="12"/>
    </row>
    <row r="205" spans="2:9" x14ac:dyDescent="0.3">
      <c r="B205" s="8">
        <v>46176</v>
      </c>
      <c r="C205" s="9" t="str">
        <f>TEXT(B205,"DDD")</f>
        <v>Wed</v>
      </c>
      <c r="D205" s="10">
        <f>WEEKNUM(B205)</f>
        <v>23</v>
      </c>
      <c r="E205" s="10" t="str">
        <f>TEXT(B205,"mmm-yy")</f>
        <v>Jun-26</v>
      </c>
      <c r="F205" s="11" t="s">
        <v>9</v>
      </c>
      <c r="G205" s="16" t="str">
        <f>IFERROR(VLOOKUP(Table1[[#This Row],[Compressor]],$K$9:$L$18,2,FALSE),"0")</f>
        <v>H254805AI</v>
      </c>
      <c r="H205" s="20">
        <v>23</v>
      </c>
      <c r="I205" s="12"/>
    </row>
    <row r="206" spans="2:9" x14ac:dyDescent="0.3">
      <c r="B206" s="8">
        <v>46176</v>
      </c>
      <c r="C206" s="9" t="str">
        <f>TEXT(B206,"DDD")</f>
        <v>Wed</v>
      </c>
      <c r="D206" s="10">
        <f>WEEKNUM(B206)</f>
        <v>23</v>
      </c>
      <c r="E206" s="10" t="str">
        <f>TEXT(B206,"mmm-yy")</f>
        <v>Jun-26</v>
      </c>
      <c r="F206" s="11" t="s">
        <v>10</v>
      </c>
      <c r="G206" s="16" t="str">
        <f>IFERROR(VLOOKUP(Table1[[#This Row],[Compressor]],$K$9:$L$18,2,FALSE),"0")</f>
        <v>H254805RT</v>
      </c>
      <c r="H206" s="20">
        <v>29</v>
      </c>
      <c r="I206" s="12"/>
    </row>
    <row r="207" spans="2:9" x14ac:dyDescent="0.3">
      <c r="B207" s="8">
        <v>46176</v>
      </c>
      <c r="C207" s="9" t="str">
        <f>TEXT(B207,"DDD")</f>
        <v>Wed</v>
      </c>
      <c r="D207" s="10">
        <f>WEEKNUM(B207)</f>
        <v>23</v>
      </c>
      <c r="E207" s="10" t="str">
        <f>TEXT(B207,"mmm-yy")</f>
        <v>Jun-26</v>
      </c>
      <c r="F207" s="11" t="s">
        <v>11</v>
      </c>
      <c r="G207" s="16" t="str">
        <f>IFERROR(VLOOKUP(Table1[[#This Row],[Compressor]],$K$9:$L$18,2,FALSE),"0")</f>
        <v>H254805HT</v>
      </c>
      <c r="H207" s="20">
        <v>31</v>
      </c>
      <c r="I207" s="12"/>
    </row>
    <row r="208" spans="2:9" x14ac:dyDescent="0.3">
      <c r="B208" s="8">
        <v>46176</v>
      </c>
      <c r="C208" s="9" t="str">
        <f>TEXT(B208,"DDD")</f>
        <v>Wed</v>
      </c>
      <c r="D208" s="10">
        <f>WEEKNUM(B208)</f>
        <v>23</v>
      </c>
      <c r="E208" s="10" t="str">
        <f>TEXT(B208,"mmm-yy")</f>
        <v>Jun-26</v>
      </c>
      <c r="F208" s="11" t="s">
        <v>12</v>
      </c>
      <c r="G208" s="16" t="str">
        <f>IFERROR(VLOOKUP(Table1[[#This Row],[Compressor]],$K$9:$L$18,2,FALSE),"0")</f>
        <v>H254803IH</v>
      </c>
      <c r="H208" s="20">
        <v>6</v>
      </c>
      <c r="I208" s="12"/>
    </row>
    <row r="209" spans="2:9" x14ac:dyDescent="0.3">
      <c r="B209" s="27">
        <v>46176</v>
      </c>
      <c r="C209" s="21" t="str">
        <f>TEXT(B209,"DDD")</f>
        <v>Wed</v>
      </c>
      <c r="D209" s="22">
        <f>WEEKNUM(B209)</f>
        <v>23</v>
      </c>
      <c r="E209" s="22" t="str">
        <f>TEXT(B209,"mmm-yy")</f>
        <v>Jun-26</v>
      </c>
      <c r="F209" s="11" t="s">
        <v>13</v>
      </c>
      <c r="G209" s="24" t="str">
        <f>IFERROR(VLOOKUP(Table1[[#This Row],[Compressor]],$K$9:$L$18,2,FALSE),"0")</f>
        <v>H254806XS</v>
      </c>
      <c r="H209" s="25">
        <v>15</v>
      </c>
      <c r="I209" s="26"/>
    </row>
    <row r="210" spans="2:9" x14ac:dyDescent="0.3">
      <c r="B210" s="27">
        <v>46176</v>
      </c>
      <c r="C210" s="21" t="str">
        <f>TEXT(B210,"DDD")</f>
        <v>Wed</v>
      </c>
      <c r="D210" s="22">
        <f>WEEKNUM(B210)</f>
        <v>23</v>
      </c>
      <c r="E210" s="22" t="str">
        <f>TEXT(B210,"mmm-yy")</f>
        <v>Jun-26</v>
      </c>
      <c r="F210" s="11" t="s">
        <v>14</v>
      </c>
      <c r="G210" s="24" t="str">
        <f>IFERROR(VLOOKUP(Table1[[#This Row],[Compressor]],$K$9:$L$18,2,FALSE),"0")</f>
        <v>H254803HV</v>
      </c>
      <c r="H210" s="25">
        <v>2</v>
      </c>
      <c r="I210" s="26"/>
    </row>
    <row r="211" spans="2:9" x14ac:dyDescent="0.3">
      <c r="B211" s="27">
        <v>46176</v>
      </c>
      <c r="C211" s="21" t="str">
        <f>TEXT(B211,"DDD")</f>
        <v>Wed</v>
      </c>
      <c r="D211" s="22">
        <f>WEEKNUM(B211)</f>
        <v>23</v>
      </c>
      <c r="E211" s="22" t="str">
        <f>TEXT(B211,"mmm-yy")</f>
        <v>Jun-26</v>
      </c>
      <c r="F211" s="11" t="s">
        <v>15</v>
      </c>
      <c r="G211" s="24" t="str">
        <f>IFERROR(VLOOKUP(Table1[[#This Row],[Compressor]],$K$9:$L$18,2,FALSE),"0")</f>
        <v>H254805HT</v>
      </c>
      <c r="H211" s="25">
        <v>3</v>
      </c>
      <c r="I211" s="26"/>
    </row>
    <row r="212" spans="2:9" x14ac:dyDescent="0.3">
      <c r="B212" s="27">
        <v>46176</v>
      </c>
      <c r="C212" s="21" t="str">
        <f>TEXT(B212,"DDD")</f>
        <v>Wed</v>
      </c>
      <c r="D212" s="22">
        <f>WEEKNUM(B212)</f>
        <v>23</v>
      </c>
      <c r="E212" s="22" t="str">
        <f>TEXT(B212,"mmm-yy")</f>
        <v>Jun-26</v>
      </c>
      <c r="F212" s="11" t="s">
        <v>16</v>
      </c>
      <c r="G212" s="24" t="str">
        <f>IFERROR(VLOOKUP(Table1[[#This Row],[Compressor]],$K$9:$L$18,2,FALSE),"0")</f>
        <v>H254805IL</v>
      </c>
      <c r="H212" s="25">
        <v>2</v>
      </c>
      <c r="I212" s="26"/>
    </row>
    <row r="213" spans="2:9" x14ac:dyDescent="0.3">
      <c r="B213" s="27">
        <v>46176</v>
      </c>
      <c r="C213" s="21" t="str">
        <f>TEXT(B213,"DDD")</f>
        <v>Wed</v>
      </c>
      <c r="D213" s="22">
        <f>WEEKNUM(B213)</f>
        <v>23</v>
      </c>
      <c r="E213" s="22" t="str">
        <f>TEXT(B213,"mmm-yy")</f>
        <v>Jun-26</v>
      </c>
      <c r="F213" s="11" t="s">
        <v>17</v>
      </c>
      <c r="G213" s="24" t="str">
        <f>IFERROR(VLOOKUP(Table1[[#This Row],[Compressor]],$K$9:$L$18,2,FALSE),"0")</f>
        <v>H254802IL</v>
      </c>
      <c r="H213" s="25">
        <v>3</v>
      </c>
      <c r="I213" s="26"/>
    </row>
    <row r="214" spans="2:9" x14ac:dyDescent="0.3">
      <c r="B214" s="8">
        <v>46177</v>
      </c>
      <c r="C214" s="9" t="str">
        <f>TEXT(B214,"DDD")</f>
        <v>Thu</v>
      </c>
      <c r="D214" s="10">
        <f>WEEKNUM(B214)</f>
        <v>23</v>
      </c>
      <c r="E214" s="10" t="str">
        <f>TEXT(B214,"mmm-yy")</f>
        <v>Jun-26</v>
      </c>
      <c r="F214" s="11" t="s">
        <v>8</v>
      </c>
      <c r="G214" s="16" t="str">
        <f>IFERROR(VLOOKUP(Table1[[#This Row],[Compressor]],$K$9:$L$18,2,FALSE),"0")</f>
        <v>H254805XS</v>
      </c>
      <c r="H214" s="20">
        <v>10</v>
      </c>
      <c r="I214" s="12"/>
    </row>
    <row r="215" spans="2:9" x14ac:dyDescent="0.3">
      <c r="B215" s="8">
        <v>46177</v>
      </c>
      <c r="C215" s="9" t="str">
        <f>TEXT(B215,"DDD")</f>
        <v>Thu</v>
      </c>
      <c r="D215" s="10">
        <f>WEEKNUM(B215)</f>
        <v>23</v>
      </c>
      <c r="E215" s="10" t="str">
        <f>TEXT(B215,"mmm-yy")</f>
        <v>Jun-26</v>
      </c>
      <c r="F215" s="11" t="s">
        <v>9</v>
      </c>
      <c r="G215" s="16" t="str">
        <f>IFERROR(VLOOKUP(Table1[[#This Row],[Compressor]],$K$9:$L$18,2,FALSE),"0")</f>
        <v>H254805AI</v>
      </c>
      <c r="H215" s="20">
        <v>23</v>
      </c>
      <c r="I215" s="12"/>
    </row>
    <row r="216" spans="2:9" x14ac:dyDescent="0.3">
      <c r="B216" s="8">
        <v>46177</v>
      </c>
      <c r="C216" s="9" t="str">
        <f>TEXT(B216,"DDD")</f>
        <v>Thu</v>
      </c>
      <c r="D216" s="10">
        <f>WEEKNUM(B216)</f>
        <v>23</v>
      </c>
      <c r="E216" s="10" t="str">
        <f>TEXT(B216,"mmm-yy")</f>
        <v>Jun-26</v>
      </c>
      <c r="F216" s="11" t="s">
        <v>10</v>
      </c>
      <c r="G216" s="16" t="str">
        <f>IFERROR(VLOOKUP(Table1[[#This Row],[Compressor]],$K$9:$L$18,2,FALSE),"0")</f>
        <v>H254805RT</v>
      </c>
      <c r="H216" s="20">
        <v>29</v>
      </c>
      <c r="I216" s="12"/>
    </row>
    <row r="217" spans="2:9" x14ac:dyDescent="0.3">
      <c r="B217" s="8">
        <v>46177</v>
      </c>
      <c r="C217" s="9" t="str">
        <f>TEXT(B217,"DDD")</f>
        <v>Thu</v>
      </c>
      <c r="D217" s="10">
        <f>WEEKNUM(B217)</f>
        <v>23</v>
      </c>
      <c r="E217" s="10" t="str">
        <f>TEXT(B217,"mmm-yy")</f>
        <v>Jun-26</v>
      </c>
      <c r="F217" s="11" t="s">
        <v>11</v>
      </c>
      <c r="G217" s="16" t="str">
        <f>IFERROR(VLOOKUP(Table1[[#This Row],[Compressor]],$K$9:$L$18,2,FALSE),"0")</f>
        <v>H254805HT</v>
      </c>
      <c r="H217" s="20">
        <v>31</v>
      </c>
      <c r="I217" s="12"/>
    </row>
    <row r="218" spans="2:9" x14ac:dyDescent="0.3">
      <c r="B218" s="8">
        <v>46177</v>
      </c>
      <c r="C218" s="9" t="str">
        <f>TEXT(B218,"DDD")</f>
        <v>Thu</v>
      </c>
      <c r="D218" s="10">
        <f>WEEKNUM(B218)</f>
        <v>23</v>
      </c>
      <c r="E218" s="10" t="str">
        <f>TEXT(B218,"mmm-yy")</f>
        <v>Jun-26</v>
      </c>
      <c r="F218" s="11" t="s">
        <v>12</v>
      </c>
      <c r="G218" s="16" t="str">
        <f>IFERROR(VLOOKUP(Table1[[#This Row],[Compressor]],$K$9:$L$18,2,FALSE),"0")</f>
        <v>H254803IH</v>
      </c>
      <c r="H218" s="20">
        <v>8</v>
      </c>
      <c r="I218" s="12"/>
    </row>
    <row r="219" spans="2:9" x14ac:dyDescent="0.3">
      <c r="B219" s="27">
        <v>46177</v>
      </c>
      <c r="C219" s="21" t="str">
        <f>TEXT(B219,"DDD")</f>
        <v>Thu</v>
      </c>
      <c r="D219" s="22">
        <f>WEEKNUM(B219)</f>
        <v>23</v>
      </c>
      <c r="E219" s="22" t="str">
        <f>TEXT(B219,"mmm-yy")</f>
        <v>Jun-26</v>
      </c>
      <c r="F219" s="11" t="s">
        <v>13</v>
      </c>
      <c r="G219" s="24" t="str">
        <f>IFERROR(VLOOKUP(Table1[[#This Row],[Compressor]],$K$9:$L$18,2,FALSE),"0")</f>
        <v>H254806XS</v>
      </c>
      <c r="H219" s="25">
        <v>21</v>
      </c>
      <c r="I219" s="26"/>
    </row>
    <row r="220" spans="2:9" x14ac:dyDescent="0.3">
      <c r="B220" s="27">
        <v>46177</v>
      </c>
      <c r="C220" s="21" t="str">
        <f>TEXT(B220,"DDD")</f>
        <v>Thu</v>
      </c>
      <c r="D220" s="22">
        <f>WEEKNUM(B220)</f>
        <v>23</v>
      </c>
      <c r="E220" s="22" t="str">
        <f>TEXT(B220,"mmm-yy")</f>
        <v>Jun-26</v>
      </c>
      <c r="F220" s="11" t="s">
        <v>14</v>
      </c>
      <c r="G220" s="24" t="str">
        <f>IFERROR(VLOOKUP(Table1[[#This Row],[Compressor]],$K$9:$L$18,2,FALSE),"0")</f>
        <v>H254803HV</v>
      </c>
      <c r="H220" s="25">
        <v>2</v>
      </c>
      <c r="I220" s="26"/>
    </row>
    <row r="221" spans="2:9" x14ac:dyDescent="0.3">
      <c r="B221" s="27">
        <v>46177</v>
      </c>
      <c r="C221" s="21" t="str">
        <f>TEXT(B221,"DDD")</f>
        <v>Thu</v>
      </c>
      <c r="D221" s="22">
        <f>WEEKNUM(B221)</f>
        <v>23</v>
      </c>
      <c r="E221" s="22" t="str">
        <f>TEXT(B221,"mmm-yy")</f>
        <v>Jun-26</v>
      </c>
      <c r="F221" s="11" t="s">
        <v>15</v>
      </c>
      <c r="G221" s="24" t="str">
        <f>IFERROR(VLOOKUP(Table1[[#This Row],[Compressor]],$K$9:$L$18,2,FALSE),"0")</f>
        <v>H254805HT</v>
      </c>
      <c r="H221" s="25">
        <v>3</v>
      </c>
      <c r="I221" s="26"/>
    </row>
    <row r="222" spans="2:9" x14ac:dyDescent="0.3">
      <c r="B222" s="27">
        <v>46177</v>
      </c>
      <c r="C222" s="21" t="str">
        <f>TEXT(B222,"DDD")</f>
        <v>Thu</v>
      </c>
      <c r="D222" s="22">
        <f>WEEKNUM(B222)</f>
        <v>23</v>
      </c>
      <c r="E222" s="22" t="str">
        <f>TEXT(B222,"mmm-yy")</f>
        <v>Jun-26</v>
      </c>
      <c r="F222" s="11" t="s">
        <v>16</v>
      </c>
      <c r="G222" s="24" t="str">
        <f>IFERROR(VLOOKUP(Table1[[#This Row],[Compressor]],$K$9:$L$18,2,FALSE),"0")</f>
        <v>H254805IL</v>
      </c>
      <c r="H222" s="25">
        <v>2</v>
      </c>
      <c r="I222" s="26"/>
    </row>
    <row r="223" spans="2:9" x14ac:dyDescent="0.3">
      <c r="B223" s="27">
        <v>46177</v>
      </c>
      <c r="C223" s="21" t="str">
        <f>TEXT(B223,"DDD")</f>
        <v>Thu</v>
      </c>
      <c r="D223" s="22">
        <f>WEEKNUM(B223)</f>
        <v>23</v>
      </c>
      <c r="E223" s="22" t="str">
        <f>TEXT(B223,"mmm-yy")</f>
        <v>Jun-26</v>
      </c>
      <c r="F223" s="11" t="s">
        <v>17</v>
      </c>
      <c r="G223" s="24" t="str">
        <f>IFERROR(VLOOKUP(Table1[[#This Row],[Compressor]],$K$9:$L$18,2,FALSE),"0")</f>
        <v>H254802IL</v>
      </c>
      <c r="H223" s="25">
        <v>3</v>
      </c>
      <c r="I223" s="26"/>
    </row>
    <row r="224" spans="2:9" x14ac:dyDescent="0.3">
      <c r="B224" s="8">
        <v>46178</v>
      </c>
      <c r="C224" s="9" t="str">
        <f>TEXT(B224,"DDD")</f>
        <v>Fri</v>
      </c>
      <c r="D224" s="10">
        <f>WEEKNUM(B224)</f>
        <v>23</v>
      </c>
      <c r="E224" s="10" t="str">
        <f>TEXT(B224,"mmm-yy")</f>
        <v>Jun-26</v>
      </c>
      <c r="F224" s="11" t="s">
        <v>8</v>
      </c>
      <c r="G224" s="16" t="str">
        <f>IFERROR(VLOOKUP(Table1[[#This Row],[Compressor]],$K$9:$L$18,2,FALSE),"0")</f>
        <v>H254805XS</v>
      </c>
      <c r="H224" s="20">
        <v>10</v>
      </c>
      <c r="I224" s="12"/>
    </row>
    <row r="225" spans="2:9" x14ac:dyDescent="0.3">
      <c r="B225" s="8">
        <v>46178</v>
      </c>
      <c r="C225" s="9" t="str">
        <f>TEXT(B225,"DDD")</f>
        <v>Fri</v>
      </c>
      <c r="D225" s="10">
        <f>WEEKNUM(B225)</f>
        <v>23</v>
      </c>
      <c r="E225" s="10" t="str">
        <f>TEXT(B225,"mmm-yy")</f>
        <v>Jun-26</v>
      </c>
      <c r="F225" s="11" t="s">
        <v>9</v>
      </c>
      <c r="G225" s="16" t="str">
        <f>IFERROR(VLOOKUP(Table1[[#This Row],[Compressor]],$K$9:$L$18,2,FALSE),"0")</f>
        <v>H254805AI</v>
      </c>
      <c r="H225" s="20">
        <v>23</v>
      </c>
      <c r="I225" s="12"/>
    </row>
    <row r="226" spans="2:9" x14ac:dyDescent="0.3">
      <c r="B226" s="8">
        <v>46178</v>
      </c>
      <c r="C226" s="9" t="str">
        <f>TEXT(B226,"DDD")</f>
        <v>Fri</v>
      </c>
      <c r="D226" s="10">
        <f>WEEKNUM(B226)</f>
        <v>23</v>
      </c>
      <c r="E226" s="10" t="str">
        <f>TEXT(B226,"mmm-yy")</f>
        <v>Jun-26</v>
      </c>
      <c r="F226" s="11" t="s">
        <v>10</v>
      </c>
      <c r="G226" s="16" t="str">
        <f>IFERROR(VLOOKUP(Table1[[#This Row],[Compressor]],$K$9:$L$18,2,FALSE),"0")</f>
        <v>H254805RT</v>
      </c>
      <c r="H226" s="20">
        <v>29</v>
      </c>
      <c r="I226" s="12"/>
    </row>
    <row r="227" spans="2:9" x14ac:dyDescent="0.3">
      <c r="B227" s="8">
        <v>46178</v>
      </c>
      <c r="C227" s="9" t="str">
        <f>TEXT(B227,"DDD")</f>
        <v>Fri</v>
      </c>
      <c r="D227" s="10">
        <f>WEEKNUM(B227)</f>
        <v>23</v>
      </c>
      <c r="E227" s="10" t="str">
        <f>TEXT(B227,"mmm-yy")</f>
        <v>Jun-26</v>
      </c>
      <c r="F227" s="11" t="s">
        <v>11</v>
      </c>
      <c r="G227" s="16" t="str">
        <f>IFERROR(VLOOKUP(Table1[[#This Row],[Compressor]],$K$9:$L$18,2,FALSE),"0")</f>
        <v>H254805HT</v>
      </c>
      <c r="H227" s="20">
        <v>31</v>
      </c>
      <c r="I227" s="12"/>
    </row>
    <row r="228" spans="2:9" x14ac:dyDescent="0.3">
      <c r="B228" s="8">
        <v>46178</v>
      </c>
      <c r="C228" s="9" t="str">
        <f>TEXT(B228,"DDD")</f>
        <v>Fri</v>
      </c>
      <c r="D228" s="10">
        <f>WEEKNUM(B228)</f>
        <v>23</v>
      </c>
      <c r="E228" s="10" t="str">
        <f>TEXT(B228,"mmm-yy")</f>
        <v>Jun-26</v>
      </c>
      <c r="F228" s="11" t="s">
        <v>12</v>
      </c>
      <c r="G228" s="16" t="str">
        <f>IFERROR(VLOOKUP(Table1[[#This Row],[Compressor]],$K$9:$L$18,2,FALSE),"0")</f>
        <v>H254803IH</v>
      </c>
      <c r="H228" s="20">
        <v>12</v>
      </c>
      <c r="I228" s="12"/>
    </row>
    <row r="229" spans="2:9" x14ac:dyDescent="0.3">
      <c r="B229" s="27">
        <v>46178</v>
      </c>
      <c r="C229" s="21" t="str">
        <f>TEXT(B229,"DDD")</f>
        <v>Fri</v>
      </c>
      <c r="D229" s="22">
        <f>WEEKNUM(B229)</f>
        <v>23</v>
      </c>
      <c r="E229" s="22" t="str">
        <f>TEXT(B229,"mmm-yy")</f>
        <v>Jun-26</v>
      </c>
      <c r="F229" s="11" t="s">
        <v>13</v>
      </c>
      <c r="G229" s="24" t="str">
        <f>IFERROR(VLOOKUP(Table1[[#This Row],[Compressor]],$K$9:$L$18,2,FALSE),"0")</f>
        <v>H254806XS</v>
      </c>
      <c r="H229" s="25">
        <v>25</v>
      </c>
      <c r="I229" s="26"/>
    </row>
    <row r="230" spans="2:9" x14ac:dyDescent="0.3">
      <c r="B230" s="27">
        <v>46178</v>
      </c>
      <c r="C230" s="21" t="str">
        <f>TEXT(B230,"DDD")</f>
        <v>Fri</v>
      </c>
      <c r="D230" s="22">
        <f>WEEKNUM(B230)</f>
        <v>23</v>
      </c>
      <c r="E230" s="22" t="str">
        <f>TEXT(B230,"mmm-yy")</f>
        <v>Jun-26</v>
      </c>
      <c r="F230" s="11" t="s">
        <v>14</v>
      </c>
      <c r="G230" s="24" t="str">
        <f>IFERROR(VLOOKUP(Table1[[#This Row],[Compressor]],$K$9:$L$18,2,FALSE),"0")</f>
        <v>H254803HV</v>
      </c>
      <c r="H230" s="25">
        <v>2</v>
      </c>
      <c r="I230" s="26"/>
    </row>
    <row r="231" spans="2:9" x14ac:dyDescent="0.3">
      <c r="B231" s="27">
        <v>46178</v>
      </c>
      <c r="C231" s="21" t="str">
        <f>TEXT(B231,"DDD")</f>
        <v>Fri</v>
      </c>
      <c r="D231" s="22">
        <f>WEEKNUM(B231)</f>
        <v>23</v>
      </c>
      <c r="E231" s="22" t="str">
        <f>TEXT(B231,"mmm-yy")</f>
        <v>Jun-26</v>
      </c>
      <c r="F231" s="11" t="s">
        <v>15</v>
      </c>
      <c r="G231" s="24" t="str">
        <f>IFERROR(VLOOKUP(Table1[[#This Row],[Compressor]],$K$9:$L$18,2,FALSE),"0")</f>
        <v>H254805HT</v>
      </c>
      <c r="H231" s="25">
        <v>3</v>
      </c>
      <c r="I231" s="26"/>
    </row>
    <row r="232" spans="2:9" x14ac:dyDescent="0.3">
      <c r="B232" s="27">
        <v>46178</v>
      </c>
      <c r="C232" s="21" t="str">
        <f>TEXT(B232,"DDD")</f>
        <v>Fri</v>
      </c>
      <c r="D232" s="22">
        <f>WEEKNUM(B232)</f>
        <v>23</v>
      </c>
      <c r="E232" s="22" t="str">
        <f>TEXT(B232,"mmm-yy")</f>
        <v>Jun-26</v>
      </c>
      <c r="F232" s="11" t="s">
        <v>16</v>
      </c>
      <c r="G232" s="24" t="str">
        <f>IFERROR(VLOOKUP(Table1[[#This Row],[Compressor]],$K$9:$L$18,2,FALSE),"0")</f>
        <v>H254805IL</v>
      </c>
      <c r="H232" s="25">
        <v>2</v>
      </c>
      <c r="I232" s="26"/>
    </row>
    <row r="233" spans="2:9" x14ac:dyDescent="0.3">
      <c r="B233" s="27">
        <v>46178</v>
      </c>
      <c r="C233" s="21" t="str">
        <f>TEXT(B233,"DDD")</f>
        <v>Fri</v>
      </c>
      <c r="D233" s="22">
        <f>WEEKNUM(B233)</f>
        <v>23</v>
      </c>
      <c r="E233" s="22" t="str">
        <f>TEXT(B233,"mmm-yy")</f>
        <v>Jun-26</v>
      </c>
      <c r="F233" s="11" t="s">
        <v>17</v>
      </c>
      <c r="G233" s="24" t="str">
        <f>IFERROR(VLOOKUP(Table1[[#This Row],[Compressor]],$K$9:$L$18,2,FALSE),"0")</f>
        <v>H254802IL</v>
      </c>
      <c r="H233" s="25">
        <v>3</v>
      </c>
      <c r="I233" s="26"/>
    </row>
    <row r="234" spans="2:9" x14ac:dyDescent="0.3">
      <c r="B234" s="8">
        <v>46179</v>
      </c>
      <c r="C234" s="9" t="str">
        <f>TEXT(B234,"DDD")</f>
        <v>Sat</v>
      </c>
      <c r="D234" s="10">
        <f>WEEKNUM(B234)</f>
        <v>23</v>
      </c>
      <c r="E234" s="10" t="str">
        <f>TEXT(B234,"mmm-yy")</f>
        <v>Jun-26</v>
      </c>
      <c r="F234" s="11" t="s">
        <v>8</v>
      </c>
      <c r="G234" s="16" t="str">
        <f>IFERROR(VLOOKUP(Table1[[#This Row],[Compressor]],$K$9:$L$18,2,FALSE),"0")</f>
        <v>H254805XS</v>
      </c>
      <c r="H234" s="20">
        <v>10</v>
      </c>
      <c r="I234" s="12"/>
    </row>
    <row r="235" spans="2:9" x14ac:dyDescent="0.3">
      <c r="B235" s="8">
        <v>46179</v>
      </c>
      <c r="C235" s="9" t="str">
        <f>TEXT(B235,"DDD")</f>
        <v>Sat</v>
      </c>
      <c r="D235" s="10">
        <f>WEEKNUM(B235)</f>
        <v>23</v>
      </c>
      <c r="E235" s="10" t="str">
        <f>TEXT(B235,"mmm-yy")</f>
        <v>Jun-26</v>
      </c>
      <c r="F235" s="11" t="s">
        <v>9</v>
      </c>
      <c r="G235" s="16" t="str">
        <f>IFERROR(VLOOKUP(Table1[[#This Row],[Compressor]],$K$9:$L$18,2,FALSE),"0")</f>
        <v>H254805AI</v>
      </c>
      <c r="H235" s="20">
        <v>23</v>
      </c>
      <c r="I235" s="12"/>
    </row>
    <row r="236" spans="2:9" x14ac:dyDescent="0.3">
      <c r="B236" s="8">
        <v>46179</v>
      </c>
      <c r="C236" s="9" t="str">
        <f>TEXT(B236,"DDD")</f>
        <v>Sat</v>
      </c>
      <c r="D236" s="10">
        <f>WEEKNUM(B236)</f>
        <v>23</v>
      </c>
      <c r="E236" s="10" t="str">
        <f>TEXT(B236,"mmm-yy")</f>
        <v>Jun-26</v>
      </c>
      <c r="F236" s="11" t="s">
        <v>10</v>
      </c>
      <c r="G236" s="16" t="str">
        <f>IFERROR(VLOOKUP(Table1[[#This Row],[Compressor]],$K$9:$L$18,2,FALSE),"0")</f>
        <v>H254805RT</v>
      </c>
      <c r="H236" s="20">
        <v>29</v>
      </c>
      <c r="I236" s="12"/>
    </row>
    <row r="237" spans="2:9" x14ac:dyDescent="0.3">
      <c r="B237" s="8">
        <v>46179</v>
      </c>
      <c r="C237" s="9" t="str">
        <f>TEXT(B237,"DDD")</f>
        <v>Sat</v>
      </c>
      <c r="D237" s="10">
        <f>WEEKNUM(B237)</f>
        <v>23</v>
      </c>
      <c r="E237" s="10" t="str">
        <f>TEXT(B237,"mmm-yy")</f>
        <v>Jun-26</v>
      </c>
      <c r="F237" s="11" t="s">
        <v>11</v>
      </c>
      <c r="G237" s="16" t="str">
        <f>IFERROR(VLOOKUP(Table1[[#This Row],[Compressor]],$K$9:$L$18,2,FALSE),"0")</f>
        <v>H254805HT</v>
      </c>
      <c r="H237" s="20">
        <v>31</v>
      </c>
      <c r="I237" s="12"/>
    </row>
    <row r="238" spans="2:9" x14ac:dyDescent="0.3">
      <c r="B238" s="8">
        <v>46179</v>
      </c>
      <c r="C238" s="9" t="str">
        <f>TEXT(B238,"DDD")</f>
        <v>Sat</v>
      </c>
      <c r="D238" s="10">
        <f>WEEKNUM(B238)</f>
        <v>23</v>
      </c>
      <c r="E238" s="10" t="str">
        <f>TEXT(B238,"mmm-yy")</f>
        <v>Jun-26</v>
      </c>
      <c r="F238" s="11" t="s">
        <v>12</v>
      </c>
      <c r="G238" s="16" t="str">
        <f>IFERROR(VLOOKUP(Table1[[#This Row],[Compressor]],$K$9:$L$18,2,FALSE),"0")</f>
        <v>H254803IH</v>
      </c>
      <c r="H238" s="20">
        <v>17</v>
      </c>
      <c r="I238" s="12"/>
    </row>
    <row r="239" spans="2:9" x14ac:dyDescent="0.3">
      <c r="B239" s="27">
        <v>46179</v>
      </c>
      <c r="C239" s="21" t="str">
        <f>TEXT(B239,"DDD")</f>
        <v>Sat</v>
      </c>
      <c r="D239" s="22">
        <f>WEEKNUM(B239)</f>
        <v>23</v>
      </c>
      <c r="E239" s="22" t="str">
        <f>TEXT(B239,"mmm-yy")</f>
        <v>Jun-26</v>
      </c>
      <c r="F239" s="11" t="s">
        <v>13</v>
      </c>
      <c r="G239" s="24" t="str">
        <f>IFERROR(VLOOKUP(Table1[[#This Row],[Compressor]],$K$9:$L$18,2,FALSE),"0")</f>
        <v>H254806XS</v>
      </c>
      <c r="H239" s="25">
        <v>30</v>
      </c>
      <c r="I239" s="26"/>
    </row>
    <row r="240" spans="2:9" x14ac:dyDescent="0.3">
      <c r="B240" s="27">
        <v>46179</v>
      </c>
      <c r="C240" s="21" t="str">
        <f>TEXT(B240,"DDD")</f>
        <v>Sat</v>
      </c>
      <c r="D240" s="22">
        <f>WEEKNUM(B240)</f>
        <v>23</v>
      </c>
      <c r="E240" s="22" t="str">
        <f>TEXT(B240,"mmm-yy")</f>
        <v>Jun-26</v>
      </c>
      <c r="F240" s="11" t="s">
        <v>14</v>
      </c>
      <c r="G240" s="24" t="str">
        <f>IFERROR(VLOOKUP(Table1[[#This Row],[Compressor]],$K$9:$L$18,2,FALSE),"0")</f>
        <v>H254803HV</v>
      </c>
      <c r="H240" s="25">
        <v>2</v>
      </c>
      <c r="I240" s="26"/>
    </row>
    <row r="241" spans="2:9" x14ac:dyDescent="0.3">
      <c r="B241" s="27">
        <v>46179</v>
      </c>
      <c r="C241" s="21" t="str">
        <f>TEXT(B241,"DDD")</f>
        <v>Sat</v>
      </c>
      <c r="D241" s="22">
        <f>WEEKNUM(B241)</f>
        <v>23</v>
      </c>
      <c r="E241" s="22" t="str">
        <f>TEXT(B241,"mmm-yy")</f>
        <v>Jun-26</v>
      </c>
      <c r="F241" s="11" t="s">
        <v>15</v>
      </c>
      <c r="G241" s="24" t="str">
        <f>IFERROR(VLOOKUP(Table1[[#This Row],[Compressor]],$K$9:$L$18,2,FALSE),"0")</f>
        <v>H254805HT</v>
      </c>
      <c r="H241" s="25">
        <v>3</v>
      </c>
      <c r="I241" s="26"/>
    </row>
    <row r="242" spans="2:9" x14ac:dyDescent="0.3">
      <c r="B242" s="27">
        <v>46179</v>
      </c>
      <c r="C242" s="21" t="str">
        <f>TEXT(B242,"DDD")</f>
        <v>Sat</v>
      </c>
      <c r="D242" s="22">
        <f>WEEKNUM(B242)</f>
        <v>23</v>
      </c>
      <c r="E242" s="22" t="str">
        <f>TEXT(B242,"mmm-yy")</f>
        <v>Jun-26</v>
      </c>
      <c r="F242" s="11" t="s">
        <v>16</v>
      </c>
      <c r="G242" s="24" t="str">
        <f>IFERROR(VLOOKUP(Table1[[#This Row],[Compressor]],$K$9:$L$18,2,FALSE),"0")</f>
        <v>H254805IL</v>
      </c>
      <c r="H242" s="25">
        <v>2</v>
      </c>
      <c r="I242" s="26"/>
    </row>
    <row r="243" spans="2:9" x14ac:dyDescent="0.3">
      <c r="B243" s="27">
        <v>46179</v>
      </c>
      <c r="C243" s="21" t="str">
        <f>TEXT(B243,"DDD")</f>
        <v>Sat</v>
      </c>
      <c r="D243" s="22">
        <f>WEEKNUM(B243)</f>
        <v>23</v>
      </c>
      <c r="E243" s="22" t="str">
        <f>TEXT(B243,"mmm-yy")</f>
        <v>Jun-26</v>
      </c>
      <c r="F243" s="11" t="s">
        <v>17</v>
      </c>
      <c r="G243" s="24" t="str">
        <f>IFERROR(VLOOKUP(Table1[[#This Row],[Compressor]],$K$9:$L$18,2,FALSE),"0")</f>
        <v>H254802IL</v>
      </c>
      <c r="H243" s="25">
        <v>3</v>
      </c>
      <c r="I243" s="26"/>
    </row>
    <row r="244" spans="2:9" x14ac:dyDescent="0.3">
      <c r="B244" s="8">
        <v>46180</v>
      </c>
      <c r="C244" s="9" t="str">
        <f>TEXT(B244,"DDD")</f>
        <v>Sun</v>
      </c>
      <c r="D244" s="10">
        <f>WEEKNUM(B244)</f>
        <v>24</v>
      </c>
      <c r="E244" s="10" t="str">
        <f>TEXT(B244,"mmm-yy")</f>
        <v>Jun-26</v>
      </c>
      <c r="F244" s="11" t="s">
        <v>8</v>
      </c>
      <c r="G244" s="16" t="str">
        <f>IFERROR(VLOOKUP(Table1[[#This Row],[Compressor]],$K$9:$L$18,2,FALSE),"0")</f>
        <v>H254805XS</v>
      </c>
      <c r="H244" s="20">
        <v>10</v>
      </c>
      <c r="I244" s="12"/>
    </row>
    <row r="245" spans="2:9" x14ac:dyDescent="0.3">
      <c r="B245" s="8">
        <v>46180</v>
      </c>
      <c r="C245" s="9" t="str">
        <f>TEXT(B245,"DDD")</f>
        <v>Sun</v>
      </c>
      <c r="D245" s="10">
        <f>WEEKNUM(B245)</f>
        <v>24</v>
      </c>
      <c r="E245" s="10" t="str">
        <f>TEXT(B245,"mmm-yy")</f>
        <v>Jun-26</v>
      </c>
      <c r="F245" s="11" t="s">
        <v>9</v>
      </c>
      <c r="G245" s="16" t="str">
        <f>IFERROR(VLOOKUP(Table1[[#This Row],[Compressor]],$K$9:$L$18,2,FALSE),"0")</f>
        <v>H254805AI</v>
      </c>
      <c r="H245" s="20">
        <v>23</v>
      </c>
      <c r="I245" s="12"/>
    </row>
    <row r="246" spans="2:9" x14ac:dyDescent="0.3">
      <c r="B246" s="8">
        <v>46180</v>
      </c>
      <c r="C246" s="9" t="str">
        <f>TEXT(B246,"DDD")</f>
        <v>Sun</v>
      </c>
      <c r="D246" s="10">
        <f>WEEKNUM(B246)</f>
        <v>24</v>
      </c>
      <c r="E246" s="10" t="str">
        <f>TEXT(B246,"mmm-yy")</f>
        <v>Jun-26</v>
      </c>
      <c r="F246" s="11" t="s">
        <v>10</v>
      </c>
      <c r="G246" s="16" t="str">
        <f>IFERROR(VLOOKUP(Table1[[#This Row],[Compressor]],$K$9:$L$18,2,FALSE),"0")</f>
        <v>H254805RT</v>
      </c>
      <c r="H246" s="20">
        <v>29</v>
      </c>
      <c r="I246" s="12"/>
    </row>
    <row r="247" spans="2:9" x14ac:dyDescent="0.3">
      <c r="B247" s="8">
        <v>46180</v>
      </c>
      <c r="C247" s="9" t="str">
        <f>TEXT(B247,"DDD")</f>
        <v>Sun</v>
      </c>
      <c r="D247" s="10">
        <f>WEEKNUM(B247)</f>
        <v>24</v>
      </c>
      <c r="E247" s="10" t="str">
        <f>TEXT(B247,"mmm-yy")</f>
        <v>Jun-26</v>
      </c>
      <c r="F247" s="11" t="s">
        <v>11</v>
      </c>
      <c r="G247" s="16" t="str">
        <f>IFERROR(VLOOKUP(Table1[[#This Row],[Compressor]],$K$9:$L$18,2,FALSE),"0")</f>
        <v>H254805HT</v>
      </c>
      <c r="H247" s="20">
        <v>31</v>
      </c>
      <c r="I247" s="12"/>
    </row>
    <row r="248" spans="2:9" x14ac:dyDescent="0.3">
      <c r="B248" s="8">
        <v>46180</v>
      </c>
      <c r="C248" s="9" t="str">
        <f>TEXT(B248,"DDD")</f>
        <v>Sun</v>
      </c>
      <c r="D248" s="10">
        <f>WEEKNUM(B248)</f>
        <v>24</v>
      </c>
      <c r="E248" s="10" t="str">
        <f>TEXT(B248,"mmm-yy")</f>
        <v>Jun-26</v>
      </c>
      <c r="F248" s="11" t="s">
        <v>12</v>
      </c>
      <c r="G248" s="16" t="str">
        <f>IFERROR(VLOOKUP(Table1[[#This Row],[Compressor]],$K$9:$L$18,2,FALSE),"0")</f>
        <v>H254803IH</v>
      </c>
      <c r="H248" s="20">
        <v>18</v>
      </c>
      <c r="I248" s="12"/>
    </row>
    <row r="249" spans="2:9" x14ac:dyDescent="0.3">
      <c r="B249" s="27">
        <v>46180</v>
      </c>
      <c r="C249" s="21" t="str">
        <f>TEXT(B249,"DDD")</f>
        <v>Sun</v>
      </c>
      <c r="D249" s="22">
        <f>WEEKNUM(B249)</f>
        <v>24</v>
      </c>
      <c r="E249" s="22" t="str">
        <f>TEXT(B249,"mmm-yy")</f>
        <v>Jun-26</v>
      </c>
      <c r="F249" s="11" t="s">
        <v>13</v>
      </c>
      <c r="G249" s="24" t="str">
        <f>IFERROR(VLOOKUP(Table1[[#This Row],[Compressor]],$K$9:$L$18,2,FALSE),"0")</f>
        <v>H254806XS</v>
      </c>
      <c r="H249" s="25">
        <v>31</v>
      </c>
      <c r="I249" s="26"/>
    </row>
    <row r="250" spans="2:9" x14ac:dyDescent="0.3">
      <c r="B250" s="27">
        <v>46180</v>
      </c>
      <c r="C250" s="21" t="str">
        <f>TEXT(B250,"DDD")</f>
        <v>Sun</v>
      </c>
      <c r="D250" s="22">
        <f>WEEKNUM(B250)</f>
        <v>24</v>
      </c>
      <c r="E250" s="22" t="str">
        <f>TEXT(B250,"mmm-yy")</f>
        <v>Jun-26</v>
      </c>
      <c r="F250" s="11" t="s">
        <v>14</v>
      </c>
      <c r="G250" s="24" t="str">
        <f>IFERROR(VLOOKUP(Table1[[#This Row],[Compressor]],$K$9:$L$18,2,FALSE),"0")</f>
        <v>H254803HV</v>
      </c>
      <c r="H250" s="25">
        <v>2</v>
      </c>
      <c r="I250" s="26"/>
    </row>
    <row r="251" spans="2:9" x14ac:dyDescent="0.3">
      <c r="B251" s="27">
        <v>46180</v>
      </c>
      <c r="C251" s="21" t="str">
        <f>TEXT(B251,"DDD")</f>
        <v>Sun</v>
      </c>
      <c r="D251" s="22">
        <f>WEEKNUM(B251)</f>
        <v>24</v>
      </c>
      <c r="E251" s="22" t="str">
        <f>TEXT(B251,"mmm-yy")</f>
        <v>Jun-26</v>
      </c>
      <c r="F251" s="11" t="s">
        <v>15</v>
      </c>
      <c r="G251" s="24" t="str">
        <f>IFERROR(VLOOKUP(Table1[[#This Row],[Compressor]],$K$9:$L$18,2,FALSE),"0")</f>
        <v>H254805HT</v>
      </c>
      <c r="H251" s="25">
        <v>3</v>
      </c>
      <c r="I251" s="26"/>
    </row>
    <row r="252" spans="2:9" x14ac:dyDescent="0.3">
      <c r="B252" s="27">
        <v>46180</v>
      </c>
      <c r="C252" s="21" t="str">
        <f>TEXT(B252,"DDD")</f>
        <v>Sun</v>
      </c>
      <c r="D252" s="22">
        <f>WEEKNUM(B252)</f>
        <v>24</v>
      </c>
      <c r="E252" s="22" t="str">
        <f>TEXT(B252,"mmm-yy")</f>
        <v>Jun-26</v>
      </c>
      <c r="F252" s="11" t="s">
        <v>16</v>
      </c>
      <c r="G252" s="24" t="str">
        <f>IFERROR(VLOOKUP(Table1[[#This Row],[Compressor]],$K$9:$L$18,2,FALSE),"0")</f>
        <v>H254805IL</v>
      </c>
      <c r="H252" s="25">
        <v>2</v>
      </c>
      <c r="I252" s="26"/>
    </row>
    <row r="253" spans="2:9" x14ac:dyDescent="0.3">
      <c r="B253" s="27">
        <v>46180</v>
      </c>
      <c r="C253" s="21" t="str">
        <f>TEXT(B253,"DDD")</f>
        <v>Sun</v>
      </c>
      <c r="D253" s="22">
        <f>WEEKNUM(B253)</f>
        <v>24</v>
      </c>
      <c r="E253" s="22" t="str">
        <f>TEXT(B253,"mmm-yy")</f>
        <v>Jun-26</v>
      </c>
      <c r="F253" s="11" t="s">
        <v>17</v>
      </c>
      <c r="G253" s="24" t="str">
        <f>IFERROR(VLOOKUP(Table1[[#This Row],[Compressor]],$K$9:$L$18,2,FALSE),"0")</f>
        <v>H254802IL</v>
      </c>
      <c r="H253" s="25">
        <v>3</v>
      </c>
      <c r="I253" s="26"/>
    </row>
    <row r="254" spans="2:9" x14ac:dyDescent="0.3">
      <c r="B254" s="8">
        <v>46181</v>
      </c>
      <c r="C254" s="9" t="str">
        <f>TEXT(B254,"DDD")</f>
        <v>Mon</v>
      </c>
      <c r="D254" s="10">
        <f>WEEKNUM(B254)</f>
        <v>24</v>
      </c>
      <c r="E254" s="10" t="str">
        <f>TEXT(B254,"mmm-yy")</f>
        <v>Jun-26</v>
      </c>
      <c r="F254" s="11" t="s">
        <v>8</v>
      </c>
      <c r="G254" s="16" t="str">
        <f>IFERROR(VLOOKUP(Table1[[#This Row],[Compressor]],$K$9:$L$18,2,FALSE),"0")</f>
        <v>H254805XS</v>
      </c>
      <c r="H254" s="20">
        <v>10</v>
      </c>
      <c r="I254" s="12"/>
    </row>
    <row r="255" spans="2:9" x14ac:dyDescent="0.3">
      <c r="B255" s="8">
        <v>46181</v>
      </c>
      <c r="C255" s="9" t="str">
        <f>TEXT(B255,"DDD")</f>
        <v>Mon</v>
      </c>
      <c r="D255" s="10">
        <f>WEEKNUM(B255)</f>
        <v>24</v>
      </c>
      <c r="E255" s="10" t="str">
        <f>TEXT(B255,"mmm-yy")</f>
        <v>Jun-26</v>
      </c>
      <c r="F255" s="11" t="s">
        <v>9</v>
      </c>
      <c r="G255" s="16" t="str">
        <f>IFERROR(VLOOKUP(Table1[[#This Row],[Compressor]],$K$9:$L$18,2,FALSE),"0")</f>
        <v>H254805AI</v>
      </c>
      <c r="H255" s="20">
        <v>23</v>
      </c>
      <c r="I255" s="12"/>
    </row>
    <row r="256" spans="2:9" x14ac:dyDescent="0.3">
      <c r="B256" s="8">
        <v>46181</v>
      </c>
      <c r="C256" s="9" t="str">
        <f>TEXT(B256,"DDD")</f>
        <v>Mon</v>
      </c>
      <c r="D256" s="10">
        <f>WEEKNUM(B256)</f>
        <v>24</v>
      </c>
      <c r="E256" s="10" t="str">
        <f>TEXT(B256,"mmm-yy")</f>
        <v>Jun-26</v>
      </c>
      <c r="F256" s="11" t="s">
        <v>10</v>
      </c>
      <c r="G256" s="16" t="str">
        <f>IFERROR(VLOOKUP(Table1[[#This Row],[Compressor]],$K$9:$L$18,2,FALSE),"0")</f>
        <v>H254805RT</v>
      </c>
      <c r="H256" s="20">
        <v>29</v>
      </c>
      <c r="I256" s="12"/>
    </row>
    <row r="257" spans="2:9" x14ac:dyDescent="0.3">
      <c r="B257" s="8">
        <v>46181</v>
      </c>
      <c r="C257" s="9" t="str">
        <f>TEXT(B257,"DDD")</f>
        <v>Mon</v>
      </c>
      <c r="D257" s="10">
        <f>WEEKNUM(B257)</f>
        <v>24</v>
      </c>
      <c r="E257" s="10" t="str">
        <f>TEXT(B257,"mmm-yy")</f>
        <v>Jun-26</v>
      </c>
      <c r="F257" s="11" t="s">
        <v>11</v>
      </c>
      <c r="G257" s="16" t="str">
        <f>IFERROR(VLOOKUP(Table1[[#This Row],[Compressor]],$K$9:$L$18,2,FALSE),"0")</f>
        <v>H254805HT</v>
      </c>
      <c r="H257" s="20">
        <v>31</v>
      </c>
      <c r="I257" s="12"/>
    </row>
    <row r="258" spans="2:9" x14ac:dyDescent="0.3">
      <c r="B258" s="8">
        <v>46181</v>
      </c>
      <c r="C258" s="9" t="str">
        <f>TEXT(B258,"DDD")</f>
        <v>Mon</v>
      </c>
      <c r="D258" s="10">
        <f>WEEKNUM(B258)</f>
        <v>24</v>
      </c>
      <c r="E258" s="10" t="str">
        <f>TEXT(B258,"mmm-yy")</f>
        <v>Jun-26</v>
      </c>
      <c r="F258" s="11" t="s">
        <v>12</v>
      </c>
      <c r="G258" s="16" t="str">
        <f>IFERROR(VLOOKUP(Table1[[#This Row],[Compressor]],$K$9:$L$18,2,FALSE),"0")</f>
        <v>H254803IH</v>
      </c>
      <c r="H258" s="20">
        <v>19</v>
      </c>
      <c r="I258" s="12"/>
    </row>
    <row r="259" spans="2:9" x14ac:dyDescent="0.3">
      <c r="B259" s="27">
        <v>46181</v>
      </c>
      <c r="C259" s="21" t="str">
        <f>TEXT(B259,"DDD")</f>
        <v>Mon</v>
      </c>
      <c r="D259" s="22">
        <f>WEEKNUM(B259)</f>
        <v>24</v>
      </c>
      <c r="E259" s="22" t="str">
        <f>TEXT(B259,"mmm-yy")</f>
        <v>Jun-26</v>
      </c>
      <c r="F259" s="11" t="s">
        <v>13</v>
      </c>
      <c r="G259" s="24" t="str">
        <f>IFERROR(VLOOKUP(Table1[[#This Row],[Compressor]],$K$9:$L$18,2,FALSE),"0")</f>
        <v>H254806XS</v>
      </c>
      <c r="H259" s="25">
        <v>38</v>
      </c>
      <c r="I259" s="26"/>
    </row>
    <row r="260" spans="2:9" x14ac:dyDescent="0.3">
      <c r="B260" s="27">
        <v>46181</v>
      </c>
      <c r="C260" s="21" t="str">
        <f>TEXT(B260,"DDD")</f>
        <v>Mon</v>
      </c>
      <c r="D260" s="22">
        <f>WEEKNUM(B260)</f>
        <v>24</v>
      </c>
      <c r="E260" s="22" t="str">
        <f>TEXT(B260,"mmm-yy")</f>
        <v>Jun-26</v>
      </c>
      <c r="F260" s="11" t="s">
        <v>14</v>
      </c>
      <c r="G260" s="24" t="str">
        <f>IFERROR(VLOOKUP(Table1[[#This Row],[Compressor]],$K$9:$L$18,2,FALSE),"0")</f>
        <v>H254803HV</v>
      </c>
      <c r="H260" s="25">
        <v>2</v>
      </c>
      <c r="I260" s="26"/>
    </row>
    <row r="261" spans="2:9" x14ac:dyDescent="0.3">
      <c r="B261" s="27">
        <v>46181</v>
      </c>
      <c r="C261" s="21" t="str">
        <f>TEXT(B261,"DDD")</f>
        <v>Mon</v>
      </c>
      <c r="D261" s="22">
        <f>WEEKNUM(B261)</f>
        <v>24</v>
      </c>
      <c r="E261" s="22" t="str">
        <f>TEXT(B261,"mmm-yy")</f>
        <v>Jun-26</v>
      </c>
      <c r="F261" s="11" t="s">
        <v>15</v>
      </c>
      <c r="G261" s="24" t="str">
        <f>IFERROR(VLOOKUP(Table1[[#This Row],[Compressor]],$K$9:$L$18,2,FALSE),"0")</f>
        <v>H254805HT</v>
      </c>
      <c r="H261" s="25">
        <v>3</v>
      </c>
      <c r="I261" s="26"/>
    </row>
    <row r="262" spans="2:9" x14ac:dyDescent="0.3">
      <c r="B262" s="27">
        <v>46181</v>
      </c>
      <c r="C262" s="21" t="str">
        <f>TEXT(B262,"DDD")</f>
        <v>Mon</v>
      </c>
      <c r="D262" s="22">
        <f>WEEKNUM(B262)</f>
        <v>24</v>
      </c>
      <c r="E262" s="22" t="str">
        <f>TEXT(B262,"mmm-yy")</f>
        <v>Jun-26</v>
      </c>
      <c r="F262" s="11" t="s">
        <v>16</v>
      </c>
      <c r="G262" s="24" t="str">
        <f>IFERROR(VLOOKUP(Table1[[#This Row],[Compressor]],$K$9:$L$18,2,FALSE),"0")</f>
        <v>H254805IL</v>
      </c>
      <c r="H262" s="25">
        <v>2</v>
      </c>
      <c r="I262" s="26"/>
    </row>
    <row r="263" spans="2:9" x14ac:dyDescent="0.3">
      <c r="B263" s="27">
        <v>46181</v>
      </c>
      <c r="C263" s="21" t="str">
        <f>TEXT(B263,"DDD")</f>
        <v>Mon</v>
      </c>
      <c r="D263" s="22">
        <f>WEEKNUM(B263)</f>
        <v>24</v>
      </c>
      <c r="E263" s="22" t="str">
        <f>TEXT(B263,"mmm-yy")</f>
        <v>Jun-26</v>
      </c>
      <c r="F263" s="11" t="s">
        <v>17</v>
      </c>
      <c r="G263" s="24" t="str">
        <f>IFERROR(VLOOKUP(Table1[[#This Row],[Compressor]],$K$9:$L$18,2,FALSE),"0")</f>
        <v>H254802IL</v>
      </c>
      <c r="H263" s="25">
        <v>3</v>
      </c>
      <c r="I263" s="26"/>
    </row>
    <row r="264" spans="2:9" x14ac:dyDescent="0.3">
      <c r="B264" s="8">
        <v>46182</v>
      </c>
      <c r="C264" s="9" t="str">
        <f>TEXT(B264,"DDD")</f>
        <v>Tue</v>
      </c>
      <c r="D264" s="10">
        <f>WEEKNUM(B264)</f>
        <v>24</v>
      </c>
      <c r="E264" s="10" t="str">
        <f>TEXT(B264,"mmm-yy")</f>
        <v>Jun-26</v>
      </c>
      <c r="F264" s="11" t="s">
        <v>8</v>
      </c>
      <c r="G264" s="16" t="str">
        <f>IFERROR(VLOOKUP(Table1[[#This Row],[Compressor]],$K$9:$L$18,2,FALSE),"0")</f>
        <v>H254805XS</v>
      </c>
      <c r="H264" s="20">
        <v>10</v>
      </c>
      <c r="I264" s="12"/>
    </row>
    <row r="265" spans="2:9" x14ac:dyDescent="0.3">
      <c r="B265" s="8">
        <v>46182</v>
      </c>
      <c r="C265" s="9" t="str">
        <f>TEXT(B265,"DDD")</f>
        <v>Tue</v>
      </c>
      <c r="D265" s="10">
        <f>WEEKNUM(B265)</f>
        <v>24</v>
      </c>
      <c r="E265" s="10" t="str">
        <f>TEXT(B265,"mmm-yy")</f>
        <v>Jun-26</v>
      </c>
      <c r="F265" s="11" t="s">
        <v>9</v>
      </c>
      <c r="G265" s="16" t="str">
        <f>IFERROR(VLOOKUP(Table1[[#This Row],[Compressor]],$K$9:$L$18,2,FALSE),"0")</f>
        <v>H254805AI</v>
      </c>
      <c r="H265" s="20">
        <v>23</v>
      </c>
      <c r="I265" s="12"/>
    </row>
    <row r="266" spans="2:9" x14ac:dyDescent="0.3">
      <c r="B266" s="8">
        <v>46182</v>
      </c>
      <c r="C266" s="9" t="str">
        <f>TEXT(B266,"DDD")</f>
        <v>Tue</v>
      </c>
      <c r="D266" s="10">
        <f>WEEKNUM(B266)</f>
        <v>24</v>
      </c>
      <c r="E266" s="10" t="str">
        <f>TEXT(B266,"mmm-yy")</f>
        <v>Jun-26</v>
      </c>
      <c r="F266" s="11" t="s">
        <v>10</v>
      </c>
      <c r="G266" s="16" t="str">
        <f>IFERROR(VLOOKUP(Table1[[#This Row],[Compressor]],$K$9:$L$18,2,FALSE),"0")</f>
        <v>H254805RT</v>
      </c>
      <c r="H266" s="20">
        <v>29</v>
      </c>
      <c r="I266" s="12"/>
    </row>
    <row r="267" spans="2:9" x14ac:dyDescent="0.3">
      <c r="B267" s="8">
        <v>46182</v>
      </c>
      <c r="C267" s="9" t="str">
        <f>TEXT(B267,"DDD")</f>
        <v>Tue</v>
      </c>
      <c r="D267" s="10">
        <f>WEEKNUM(B267)</f>
        <v>24</v>
      </c>
      <c r="E267" s="10" t="str">
        <f>TEXT(B267,"mmm-yy")</f>
        <v>Jun-26</v>
      </c>
      <c r="F267" s="11" t="s">
        <v>11</v>
      </c>
      <c r="G267" s="16" t="str">
        <f>IFERROR(VLOOKUP(Table1[[#This Row],[Compressor]],$K$9:$L$18,2,FALSE),"0")</f>
        <v>H254805HT</v>
      </c>
      <c r="H267" s="20">
        <v>31</v>
      </c>
      <c r="I267" s="12"/>
    </row>
    <row r="268" spans="2:9" x14ac:dyDescent="0.3">
      <c r="B268" s="8">
        <v>46182</v>
      </c>
      <c r="C268" s="9" t="str">
        <f>TEXT(B268,"DDD")</f>
        <v>Tue</v>
      </c>
      <c r="D268" s="10">
        <f>WEEKNUM(B268)</f>
        <v>24</v>
      </c>
      <c r="E268" s="10" t="str">
        <f>TEXT(B268,"mmm-yy")</f>
        <v>Jun-26</v>
      </c>
      <c r="F268" s="11" t="s">
        <v>12</v>
      </c>
      <c r="G268" s="16" t="str">
        <f>IFERROR(VLOOKUP(Table1[[#This Row],[Compressor]],$K$9:$L$18,2,FALSE),"0")</f>
        <v>H254803IH</v>
      </c>
      <c r="H268" s="20">
        <v>23</v>
      </c>
      <c r="I268" s="12"/>
    </row>
    <row r="269" spans="2:9" x14ac:dyDescent="0.3">
      <c r="B269" s="27">
        <v>46182</v>
      </c>
      <c r="C269" s="21" t="str">
        <f>TEXT(B269,"DDD")</f>
        <v>Tue</v>
      </c>
      <c r="D269" s="22">
        <f>WEEKNUM(B269)</f>
        <v>24</v>
      </c>
      <c r="E269" s="22" t="str">
        <f>TEXT(B269,"mmm-yy")</f>
        <v>Jun-26</v>
      </c>
      <c r="F269" s="11" t="s">
        <v>13</v>
      </c>
      <c r="G269" s="24" t="str">
        <f>IFERROR(VLOOKUP(Table1[[#This Row],[Compressor]],$K$9:$L$18,2,FALSE),"0")</f>
        <v>H254806XS</v>
      </c>
      <c r="H269" s="25">
        <v>42</v>
      </c>
      <c r="I269" s="26"/>
    </row>
    <row r="270" spans="2:9" x14ac:dyDescent="0.3">
      <c r="B270" s="27">
        <v>46182</v>
      </c>
      <c r="C270" s="21" t="str">
        <f>TEXT(B270,"DDD")</f>
        <v>Tue</v>
      </c>
      <c r="D270" s="22">
        <f>WEEKNUM(B270)</f>
        <v>24</v>
      </c>
      <c r="E270" s="22" t="str">
        <f>TEXT(B270,"mmm-yy")</f>
        <v>Jun-26</v>
      </c>
      <c r="F270" s="11" t="s">
        <v>14</v>
      </c>
      <c r="G270" s="24" t="str">
        <f>IFERROR(VLOOKUP(Table1[[#This Row],[Compressor]],$K$9:$L$18,2,FALSE),"0")</f>
        <v>H254803HV</v>
      </c>
      <c r="H270" s="25">
        <v>2</v>
      </c>
      <c r="I270" s="26"/>
    </row>
    <row r="271" spans="2:9" x14ac:dyDescent="0.3">
      <c r="B271" s="27">
        <v>46182</v>
      </c>
      <c r="C271" s="21" t="str">
        <f>TEXT(B271,"DDD")</f>
        <v>Tue</v>
      </c>
      <c r="D271" s="22">
        <f>WEEKNUM(B271)</f>
        <v>24</v>
      </c>
      <c r="E271" s="22" t="str">
        <f>TEXT(B271,"mmm-yy")</f>
        <v>Jun-26</v>
      </c>
      <c r="F271" s="11" t="s">
        <v>15</v>
      </c>
      <c r="G271" s="24" t="str">
        <f>IFERROR(VLOOKUP(Table1[[#This Row],[Compressor]],$K$9:$L$18,2,FALSE),"0")</f>
        <v>H254805HT</v>
      </c>
      <c r="H271" s="25">
        <v>3</v>
      </c>
      <c r="I271" s="26"/>
    </row>
    <row r="272" spans="2:9" x14ac:dyDescent="0.3">
      <c r="B272" s="27">
        <v>46182</v>
      </c>
      <c r="C272" s="21" t="str">
        <f>TEXT(B272,"DDD")</f>
        <v>Tue</v>
      </c>
      <c r="D272" s="22">
        <f>WEEKNUM(B272)</f>
        <v>24</v>
      </c>
      <c r="E272" s="22" t="str">
        <f>TEXT(B272,"mmm-yy")</f>
        <v>Jun-26</v>
      </c>
      <c r="F272" s="11" t="s">
        <v>16</v>
      </c>
      <c r="G272" s="24" t="str">
        <f>IFERROR(VLOOKUP(Table1[[#This Row],[Compressor]],$K$9:$L$18,2,FALSE),"0")</f>
        <v>H254805IL</v>
      </c>
      <c r="H272" s="25">
        <v>2</v>
      </c>
      <c r="I272" s="26"/>
    </row>
    <row r="273" spans="2:9" x14ac:dyDescent="0.3">
      <c r="B273" s="27">
        <v>46182</v>
      </c>
      <c r="C273" s="21" t="str">
        <f>TEXT(B273,"DDD")</f>
        <v>Tue</v>
      </c>
      <c r="D273" s="22">
        <f>WEEKNUM(B273)</f>
        <v>24</v>
      </c>
      <c r="E273" s="22" t="str">
        <f>TEXT(B273,"mmm-yy")</f>
        <v>Jun-26</v>
      </c>
      <c r="F273" s="11" t="s">
        <v>17</v>
      </c>
      <c r="G273" s="24" t="str">
        <f>IFERROR(VLOOKUP(Table1[[#This Row],[Compressor]],$K$9:$L$18,2,FALSE),"0")</f>
        <v>H254802IL</v>
      </c>
      <c r="H273" s="25">
        <v>3</v>
      </c>
      <c r="I273" s="26"/>
    </row>
    <row r="274" spans="2:9" x14ac:dyDescent="0.3">
      <c r="B274" s="8">
        <v>46183</v>
      </c>
      <c r="C274" s="9" t="str">
        <f>TEXT(B274,"DDD")</f>
        <v>Wed</v>
      </c>
      <c r="D274" s="10">
        <f>WEEKNUM(B274)</f>
        <v>24</v>
      </c>
      <c r="E274" s="10" t="str">
        <f>TEXT(B274,"mmm-yy")</f>
        <v>Jun-26</v>
      </c>
      <c r="F274" s="11" t="s">
        <v>8</v>
      </c>
      <c r="G274" s="16" t="str">
        <f>IFERROR(VLOOKUP(Table1[[#This Row],[Compressor]],$K$9:$L$18,2,FALSE),"0")</f>
        <v>H254805XS</v>
      </c>
      <c r="H274" s="20">
        <v>10</v>
      </c>
      <c r="I274" s="12"/>
    </row>
    <row r="275" spans="2:9" x14ac:dyDescent="0.3">
      <c r="B275" s="8">
        <v>46183</v>
      </c>
      <c r="C275" s="9" t="str">
        <f>TEXT(B275,"DDD")</f>
        <v>Wed</v>
      </c>
      <c r="D275" s="10">
        <f>WEEKNUM(B275)</f>
        <v>24</v>
      </c>
      <c r="E275" s="10" t="str">
        <f>TEXT(B275,"mmm-yy")</f>
        <v>Jun-26</v>
      </c>
      <c r="F275" s="11" t="s">
        <v>9</v>
      </c>
      <c r="G275" s="16" t="str">
        <f>IFERROR(VLOOKUP(Table1[[#This Row],[Compressor]],$K$9:$L$18,2,FALSE),"0")</f>
        <v>H254805AI</v>
      </c>
      <c r="H275" s="20">
        <v>23</v>
      </c>
      <c r="I275" s="12"/>
    </row>
    <row r="276" spans="2:9" x14ac:dyDescent="0.3">
      <c r="B276" s="8">
        <v>46183</v>
      </c>
      <c r="C276" s="9" t="str">
        <f>TEXT(B276,"DDD")</f>
        <v>Wed</v>
      </c>
      <c r="D276" s="10">
        <f>WEEKNUM(B276)</f>
        <v>24</v>
      </c>
      <c r="E276" s="10" t="str">
        <f>TEXT(B276,"mmm-yy")</f>
        <v>Jun-26</v>
      </c>
      <c r="F276" s="11" t="s">
        <v>10</v>
      </c>
      <c r="G276" s="16" t="str">
        <f>IFERROR(VLOOKUP(Table1[[#This Row],[Compressor]],$K$9:$L$18,2,FALSE),"0")</f>
        <v>H254805RT</v>
      </c>
      <c r="H276" s="20">
        <v>29</v>
      </c>
      <c r="I276" s="12"/>
    </row>
    <row r="277" spans="2:9" x14ac:dyDescent="0.3">
      <c r="B277" s="8">
        <v>46183</v>
      </c>
      <c r="C277" s="9" t="str">
        <f>TEXT(B277,"DDD")</f>
        <v>Wed</v>
      </c>
      <c r="D277" s="10">
        <f>WEEKNUM(B277)</f>
        <v>24</v>
      </c>
      <c r="E277" s="10" t="str">
        <f>TEXT(B277,"mmm-yy")</f>
        <v>Jun-26</v>
      </c>
      <c r="F277" s="11" t="s">
        <v>11</v>
      </c>
      <c r="G277" s="16" t="str">
        <f>IFERROR(VLOOKUP(Table1[[#This Row],[Compressor]],$K$9:$L$18,2,FALSE),"0")</f>
        <v>H254805HT</v>
      </c>
      <c r="H277" s="20">
        <v>31</v>
      </c>
      <c r="I277" s="12"/>
    </row>
    <row r="278" spans="2:9" x14ac:dyDescent="0.3">
      <c r="B278" s="8">
        <v>46183</v>
      </c>
      <c r="C278" s="9" t="str">
        <f>TEXT(B278,"DDD")</f>
        <v>Wed</v>
      </c>
      <c r="D278" s="10">
        <f>WEEKNUM(B278)</f>
        <v>24</v>
      </c>
      <c r="E278" s="10" t="str">
        <f>TEXT(B278,"mmm-yy")</f>
        <v>Jun-26</v>
      </c>
      <c r="F278" s="11" t="s">
        <v>12</v>
      </c>
      <c r="G278" s="16" t="str">
        <f>IFERROR(VLOOKUP(Table1[[#This Row],[Compressor]],$K$9:$L$18,2,FALSE),"0")</f>
        <v>H254803IH</v>
      </c>
      <c r="H278" s="20">
        <v>24</v>
      </c>
      <c r="I278" s="12"/>
    </row>
    <row r="279" spans="2:9" x14ac:dyDescent="0.3">
      <c r="B279" s="27">
        <v>46183</v>
      </c>
      <c r="C279" s="21" t="str">
        <f>TEXT(B279,"DDD")</f>
        <v>Wed</v>
      </c>
      <c r="D279" s="22">
        <f>WEEKNUM(B279)</f>
        <v>24</v>
      </c>
      <c r="E279" s="22" t="str">
        <f>TEXT(B279,"mmm-yy")</f>
        <v>Jun-26</v>
      </c>
      <c r="F279" s="11" t="s">
        <v>13</v>
      </c>
      <c r="G279" s="24" t="str">
        <f>IFERROR(VLOOKUP(Table1[[#This Row],[Compressor]],$K$9:$L$18,2,FALSE),"0")</f>
        <v>H254806XS</v>
      </c>
      <c r="H279" s="25">
        <v>50</v>
      </c>
      <c r="I279" s="26"/>
    </row>
    <row r="280" spans="2:9" x14ac:dyDescent="0.3">
      <c r="B280" s="27">
        <v>46183</v>
      </c>
      <c r="C280" s="21" t="str">
        <f>TEXT(B280,"DDD")</f>
        <v>Wed</v>
      </c>
      <c r="D280" s="22">
        <f>WEEKNUM(B280)</f>
        <v>24</v>
      </c>
      <c r="E280" s="22" t="str">
        <f>TEXT(B280,"mmm-yy")</f>
        <v>Jun-26</v>
      </c>
      <c r="F280" s="11" t="s">
        <v>14</v>
      </c>
      <c r="G280" s="24" t="str">
        <f>IFERROR(VLOOKUP(Table1[[#This Row],[Compressor]],$K$9:$L$18,2,FALSE),"0")</f>
        <v>H254803HV</v>
      </c>
      <c r="H280" s="25">
        <v>2</v>
      </c>
      <c r="I280" s="26"/>
    </row>
    <row r="281" spans="2:9" x14ac:dyDescent="0.3">
      <c r="B281" s="27">
        <v>46183</v>
      </c>
      <c r="C281" s="21" t="str">
        <f>TEXT(B281,"DDD")</f>
        <v>Wed</v>
      </c>
      <c r="D281" s="22">
        <f>WEEKNUM(B281)</f>
        <v>24</v>
      </c>
      <c r="E281" s="22" t="str">
        <f>TEXT(B281,"mmm-yy")</f>
        <v>Jun-26</v>
      </c>
      <c r="F281" s="11" t="s">
        <v>15</v>
      </c>
      <c r="G281" s="24" t="str">
        <f>IFERROR(VLOOKUP(Table1[[#This Row],[Compressor]],$K$9:$L$18,2,FALSE),"0")</f>
        <v>H254805HT</v>
      </c>
      <c r="H281" s="25">
        <v>3</v>
      </c>
      <c r="I281" s="26"/>
    </row>
    <row r="282" spans="2:9" x14ac:dyDescent="0.3">
      <c r="B282" s="27">
        <v>46183</v>
      </c>
      <c r="C282" s="21" t="str">
        <f>TEXT(B282,"DDD")</f>
        <v>Wed</v>
      </c>
      <c r="D282" s="22">
        <f>WEEKNUM(B282)</f>
        <v>24</v>
      </c>
      <c r="E282" s="22" t="str">
        <f>TEXT(B282,"mmm-yy")</f>
        <v>Jun-26</v>
      </c>
      <c r="F282" s="11" t="s">
        <v>16</v>
      </c>
      <c r="G282" s="24" t="str">
        <f>IFERROR(VLOOKUP(Table1[[#This Row],[Compressor]],$K$9:$L$18,2,FALSE),"0")</f>
        <v>H254805IL</v>
      </c>
      <c r="H282" s="25">
        <v>2</v>
      </c>
      <c r="I282" s="26"/>
    </row>
    <row r="283" spans="2:9" x14ac:dyDescent="0.3">
      <c r="B283" s="27">
        <v>46183</v>
      </c>
      <c r="C283" s="21" t="str">
        <f>TEXT(B283,"DDD")</f>
        <v>Wed</v>
      </c>
      <c r="D283" s="22">
        <f>WEEKNUM(B283)</f>
        <v>24</v>
      </c>
      <c r="E283" s="22" t="str">
        <f>TEXT(B283,"mmm-yy")</f>
        <v>Jun-26</v>
      </c>
      <c r="F283" s="11" t="s">
        <v>17</v>
      </c>
      <c r="G283" s="24" t="str">
        <f>IFERROR(VLOOKUP(Table1[[#This Row],[Compressor]],$K$9:$L$18,2,FALSE),"0")</f>
        <v>H254802IL</v>
      </c>
      <c r="H283" s="25">
        <v>3</v>
      </c>
      <c r="I283" s="26"/>
    </row>
    <row r="284" spans="2:9" x14ac:dyDescent="0.3">
      <c r="B284" s="8">
        <v>46184</v>
      </c>
      <c r="C284" s="9" t="str">
        <f>TEXT(B284,"DDD")</f>
        <v>Thu</v>
      </c>
      <c r="D284" s="10">
        <f>WEEKNUM(B284)</f>
        <v>24</v>
      </c>
      <c r="E284" s="10" t="str">
        <f>TEXT(B284,"mmm-yy")</f>
        <v>Jun-26</v>
      </c>
      <c r="F284" s="11" t="s">
        <v>8</v>
      </c>
      <c r="G284" s="16" t="str">
        <f>IFERROR(VLOOKUP(Table1[[#This Row],[Compressor]],$K$9:$L$18,2,FALSE),"0")</f>
        <v>H254805XS</v>
      </c>
      <c r="H284" s="20">
        <v>10</v>
      </c>
      <c r="I284" s="12"/>
    </row>
    <row r="285" spans="2:9" x14ac:dyDescent="0.3">
      <c r="B285" s="8">
        <v>46184</v>
      </c>
      <c r="C285" s="9" t="str">
        <f>TEXT(B285,"DDD")</f>
        <v>Thu</v>
      </c>
      <c r="D285" s="10">
        <f>WEEKNUM(B285)</f>
        <v>24</v>
      </c>
      <c r="E285" s="10" t="str">
        <f>TEXT(B285,"mmm-yy")</f>
        <v>Jun-26</v>
      </c>
      <c r="F285" s="11" t="s">
        <v>9</v>
      </c>
      <c r="G285" s="16" t="str">
        <f>IFERROR(VLOOKUP(Table1[[#This Row],[Compressor]],$K$9:$L$18,2,FALSE),"0")</f>
        <v>H254805AI</v>
      </c>
      <c r="H285" s="20">
        <v>23</v>
      </c>
      <c r="I285" s="12"/>
    </row>
    <row r="286" spans="2:9" x14ac:dyDescent="0.3">
      <c r="B286" s="8">
        <v>46184</v>
      </c>
      <c r="C286" s="9" t="str">
        <f>TEXT(B286,"DDD")</f>
        <v>Thu</v>
      </c>
      <c r="D286" s="10">
        <f>WEEKNUM(B286)</f>
        <v>24</v>
      </c>
      <c r="E286" s="10" t="str">
        <f>TEXT(B286,"mmm-yy")</f>
        <v>Jun-26</v>
      </c>
      <c r="F286" s="11" t="s">
        <v>10</v>
      </c>
      <c r="G286" s="16" t="str">
        <f>IFERROR(VLOOKUP(Table1[[#This Row],[Compressor]],$K$9:$L$18,2,FALSE),"0")</f>
        <v>H254805RT</v>
      </c>
      <c r="H286" s="20">
        <v>29</v>
      </c>
      <c r="I286" s="12"/>
    </row>
    <row r="287" spans="2:9" x14ac:dyDescent="0.3">
      <c r="B287" s="8">
        <v>46184</v>
      </c>
      <c r="C287" s="9" t="str">
        <f>TEXT(B287,"DDD")</f>
        <v>Thu</v>
      </c>
      <c r="D287" s="10">
        <f>WEEKNUM(B287)</f>
        <v>24</v>
      </c>
      <c r="E287" s="10" t="str">
        <f>TEXT(B287,"mmm-yy")</f>
        <v>Jun-26</v>
      </c>
      <c r="F287" s="11" t="s">
        <v>11</v>
      </c>
      <c r="G287" s="16" t="str">
        <f>IFERROR(VLOOKUP(Table1[[#This Row],[Compressor]],$K$9:$L$18,2,FALSE),"0")</f>
        <v>H254805HT</v>
      </c>
      <c r="H287" s="20">
        <v>31</v>
      </c>
      <c r="I287" s="12"/>
    </row>
    <row r="288" spans="2:9" x14ac:dyDescent="0.3">
      <c r="B288" s="8">
        <v>46184</v>
      </c>
      <c r="C288" s="9" t="str">
        <f>TEXT(B288,"DDD")</f>
        <v>Thu</v>
      </c>
      <c r="D288" s="10">
        <f>WEEKNUM(B288)</f>
        <v>24</v>
      </c>
      <c r="E288" s="10" t="str">
        <f>TEXT(B288,"mmm-yy")</f>
        <v>Jun-26</v>
      </c>
      <c r="F288" s="11" t="s">
        <v>12</v>
      </c>
      <c r="G288" s="16" t="str">
        <f>IFERROR(VLOOKUP(Table1[[#This Row],[Compressor]],$K$9:$L$18,2,FALSE),"0")</f>
        <v>H254803IH</v>
      </c>
      <c r="H288" s="20">
        <v>27</v>
      </c>
      <c r="I288" s="12"/>
    </row>
    <row r="289" spans="2:9" x14ac:dyDescent="0.3">
      <c r="B289" s="27">
        <v>46184</v>
      </c>
      <c r="C289" s="21" t="str">
        <f>TEXT(B289,"DDD")</f>
        <v>Thu</v>
      </c>
      <c r="D289" s="22">
        <f>WEEKNUM(B289)</f>
        <v>24</v>
      </c>
      <c r="E289" s="22" t="str">
        <f>TEXT(B289,"mmm-yy")</f>
        <v>Jun-26</v>
      </c>
      <c r="F289" s="11" t="s">
        <v>13</v>
      </c>
      <c r="G289" s="24" t="str">
        <f>IFERROR(VLOOKUP(Table1[[#This Row],[Compressor]],$K$9:$L$18,2,FALSE),"0")</f>
        <v>H254806XS</v>
      </c>
      <c r="H289" s="25">
        <v>56</v>
      </c>
      <c r="I289" s="26"/>
    </row>
    <row r="290" spans="2:9" x14ac:dyDescent="0.3">
      <c r="B290" s="27">
        <v>46184</v>
      </c>
      <c r="C290" s="21" t="str">
        <f>TEXT(B290,"DDD")</f>
        <v>Thu</v>
      </c>
      <c r="D290" s="22">
        <f>WEEKNUM(B290)</f>
        <v>24</v>
      </c>
      <c r="E290" s="22" t="str">
        <f>TEXT(B290,"mmm-yy")</f>
        <v>Jun-26</v>
      </c>
      <c r="F290" s="11" t="s">
        <v>14</v>
      </c>
      <c r="G290" s="24" t="str">
        <f>IFERROR(VLOOKUP(Table1[[#This Row],[Compressor]],$K$9:$L$18,2,FALSE),"0")</f>
        <v>H254803HV</v>
      </c>
      <c r="H290" s="25">
        <v>2</v>
      </c>
      <c r="I290" s="26"/>
    </row>
    <row r="291" spans="2:9" x14ac:dyDescent="0.3">
      <c r="B291" s="27">
        <v>46184</v>
      </c>
      <c r="C291" s="21" t="str">
        <f>TEXT(B291,"DDD")</f>
        <v>Thu</v>
      </c>
      <c r="D291" s="22">
        <f>WEEKNUM(B291)</f>
        <v>24</v>
      </c>
      <c r="E291" s="22" t="str">
        <f>TEXT(B291,"mmm-yy")</f>
        <v>Jun-26</v>
      </c>
      <c r="F291" s="11" t="s">
        <v>15</v>
      </c>
      <c r="G291" s="24" t="str">
        <f>IFERROR(VLOOKUP(Table1[[#This Row],[Compressor]],$K$9:$L$18,2,FALSE),"0")</f>
        <v>H254805HT</v>
      </c>
      <c r="H291" s="25">
        <v>3</v>
      </c>
      <c r="I291" s="26"/>
    </row>
    <row r="292" spans="2:9" x14ac:dyDescent="0.3">
      <c r="B292" s="27">
        <v>46184</v>
      </c>
      <c r="C292" s="21" t="str">
        <f>TEXT(B292,"DDD")</f>
        <v>Thu</v>
      </c>
      <c r="D292" s="22">
        <f>WEEKNUM(B292)</f>
        <v>24</v>
      </c>
      <c r="E292" s="22" t="str">
        <f>TEXT(B292,"mmm-yy")</f>
        <v>Jun-26</v>
      </c>
      <c r="F292" s="11" t="s">
        <v>16</v>
      </c>
      <c r="G292" s="24" t="str">
        <f>IFERROR(VLOOKUP(Table1[[#This Row],[Compressor]],$K$9:$L$18,2,FALSE),"0")</f>
        <v>H254805IL</v>
      </c>
      <c r="H292" s="25">
        <v>2</v>
      </c>
      <c r="I292" s="26"/>
    </row>
    <row r="293" spans="2:9" x14ac:dyDescent="0.3">
      <c r="B293" s="27">
        <v>46184</v>
      </c>
      <c r="C293" s="21" t="str">
        <f>TEXT(B293,"DDD")</f>
        <v>Thu</v>
      </c>
      <c r="D293" s="22">
        <f>WEEKNUM(B293)</f>
        <v>24</v>
      </c>
      <c r="E293" s="22" t="str">
        <f>TEXT(B293,"mmm-yy")</f>
        <v>Jun-26</v>
      </c>
      <c r="F293" s="11" t="s">
        <v>17</v>
      </c>
      <c r="G293" s="24" t="str">
        <f>IFERROR(VLOOKUP(Table1[[#This Row],[Compressor]],$K$9:$L$18,2,FALSE),"0")</f>
        <v>H254802IL</v>
      </c>
      <c r="H293" s="25">
        <v>3</v>
      </c>
      <c r="I293" s="26"/>
    </row>
    <row r="294" spans="2:9" x14ac:dyDescent="0.3">
      <c r="B294" s="8">
        <v>46185</v>
      </c>
      <c r="C294" s="9" t="str">
        <f>TEXT(B294,"DDD")</f>
        <v>Fri</v>
      </c>
      <c r="D294" s="10">
        <f>WEEKNUM(B294)</f>
        <v>24</v>
      </c>
      <c r="E294" s="10" t="str">
        <f>TEXT(B294,"mmm-yy")</f>
        <v>Jun-26</v>
      </c>
      <c r="F294" s="11" t="s">
        <v>8</v>
      </c>
      <c r="G294" s="16" t="str">
        <f>IFERROR(VLOOKUP(Table1[[#This Row],[Compressor]],$K$9:$L$18,2,FALSE),"0")</f>
        <v>H254805XS</v>
      </c>
      <c r="H294" s="20">
        <v>10</v>
      </c>
      <c r="I294" s="12"/>
    </row>
    <row r="295" spans="2:9" x14ac:dyDescent="0.3">
      <c r="B295" s="8">
        <v>46185</v>
      </c>
      <c r="C295" s="9" t="str">
        <f>TEXT(B295,"DDD")</f>
        <v>Fri</v>
      </c>
      <c r="D295" s="10">
        <f>WEEKNUM(B295)</f>
        <v>24</v>
      </c>
      <c r="E295" s="10" t="str">
        <f>TEXT(B295,"mmm-yy")</f>
        <v>Jun-26</v>
      </c>
      <c r="F295" s="11" t="s">
        <v>9</v>
      </c>
      <c r="G295" s="16" t="str">
        <f>IFERROR(VLOOKUP(Table1[[#This Row],[Compressor]],$K$9:$L$18,2,FALSE),"0")</f>
        <v>H254805AI</v>
      </c>
      <c r="H295" s="20">
        <v>23</v>
      </c>
      <c r="I295" s="12"/>
    </row>
    <row r="296" spans="2:9" x14ac:dyDescent="0.3">
      <c r="B296" s="8">
        <v>46185</v>
      </c>
      <c r="C296" s="9" t="str">
        <f>TEXT(B296,"DDD")</f>
        <v>Fri</v>
      </c>
      <c r="D296" s="10">
        <f>WEEKNUM(B296)</f>
        <v>24</v>
      </c>
      <c r="E296" s="10" t="str">
        <f>TEXT(B296,"mmm-yy")</f>
        <v>Jun-26</v>
      </c>
      <c r="F296" s="11" t="s">
        <v>10</v>
      </c>
      <c r="G296" s="16" t="str">
        <f>IFERROR(VLOOKUP(Table1[[#This Row],[Compressor]],$K$9:$L$18,2,FALSE),"0")</f>
        <v>H254805RT</v>
      </c>
      <c r="H296" s="20">
        <v>29</v>
      </c>
      <c r="I296" s="12"/>
    </row>
    <row r="297" spans="2:9" x14ac:dyDescent="0.3">
      <c r="B297" s="8">
        <v>46185</v>
      </c>
      <c r="C297" s="9" t="str">
        <f>TEXT(B297,"DDD")</f>
        <v>Fri</v>
      </c>
      <c r="D297" s="10">
        <f>WEEKNUM(B297)</f>
        <v>24</v>
      </c>
      <c r="E297" s="10" t="str">
        <f>TEXT(B297,"mmm-yy")</f>
        <v>Jun-26</v>
      </c>
      <c r="F297" s="11" t="s">
        <v>11</v>
      </c>
      <c r="G297" s="16" t="str">
        <f>IFERROR(VLOOKUP(Table1[[#This Row],[Compressor]],$K$9:$L$18,2,FALSE),"0")</f>
        <v>H254805HT</v>
      </c>
      <c r="H297" s="20">
        <v>31</v>
      </c>
      <c r="I297" s="12"/>
    </row>
    <row r="298" spans="2:9" x14ac:dyDescent="0.3">
      <c r="B298" s="8">
        <v>46185</v>
      </c>
      <c r="C298" s="9" t="str">
        <f>TEXT(B298,"DDD")</f>
        <v>Fri</v>
      </c>
      <c r="D298" s="10">
        <f>WEEKNUM(B298)</f>
        <v>24</v>
      </c>
      <c r="E298" s="10" t="str">
        <f>TEXT(B298,"mmm-yy")</f>
        <v>Jun-26</v>
      </c>
      <c r="F298" s="11" t="s">
        <v>12</v>
      </c>
      <c r="G298" s="16" t="str">
        <f>IFERROR(VLOOKUP(Table1[[#This Row],[Compressor]],$K$9:$L$18,2,FALSE),"0")</f>
        <v>H254803IH</v>
      </c>
      <c r="H298" s="20">
        <v>31</v>
      </c>
      <c r="I298" s="12"/>
    </row>
    <row r="299" spans="2:9" x14ac:dyDescent="0.3">
      <c r="B299" s="27">
        <v>46185</v>
      </c>
      <c r="C299" s="21" t="str">
        <f>TEXT(B299,"DDD")</f>
        <v>Fri</v>
      </c>
      <c r="D299" s="22">
        <f>WEEKNUM(B299)</f>
        <v>24</v>
      </c>
      <c r="E299" s="22" t="str">
        <f>TEXT(B299,"mmm-yy")</f>
        <v>Jun-26</v>
      </c>
      <c r="F299" s="11" t="s">
        <v>13</v>
      </c>
      <c r="G299" s="24" t="str">
        <f>IFERROR(VLOOKUP(Table1[[#This Row],[Compressor]],$K$9:$L$18,2,FALSE),"0")</f>
        <v>H254806XS</v>
      </c>
      <c r="H299" s="25">
        <v>61</v>
      </c>
      <c r="I299" s="26"/>
    </row>
    <row r="300" spans="2:9" x14ac:dyDescent="0.3">
      <c r="B300" s="27">
        <v>46185</v>
      </c>
      <c r="C300" s="21" t="str">
        <f>TEXT(B300,"DDD")</f>
        <v>Fri</v>
      </c>
      <c r="D300" s="22">
        <f>WEEKNUM(B300)</f>
        <v>24</v>
      </c>
      <c r="E300" s="22" t="str">
        <f>TEXT(B300,"mmm-yy")</f>
        <v>Jun-26</v>
      </c>
      <c r="F300" s="11" t="s">
        <v>14</v>
      </c>
      <c r="G300" s="24" t="str">
        <f>IFERROR(VLOOKUP(Table1[[#This Row],[Compressor]],$K$9:$L$18,2,FALSE),"0")</f>
        <v>H254803HV</v>
      </c>
      <c r="H300" s="25">
        <v>2</v>
      </c>
      <c r="I300" s="26"/>
    </row>
    <row r="301" spans="2:9" x14ac:dyDescent="0.3">
      <c r="B301" s="27">
        <v>46185</v>
      </c>
      <c r="C301" s="21" t="str">
        <f>TEXT(B301,"DDD")</f>
        <v>Fri</v>
      </c>
      <c r="D301" s="22">
        <f>WEEKNUM(B301)</f>
        <v>24</v>
      </c>
      <c r="E301" s="22" t="str">
        <f>TEXT(B301,"mmm-yy")</f>
        <v>Jun-26</v>
      </c>
      <c r="F301" s="11" t="s">
        <v>15</v>
      </c>
      <c r="G301" s="24" t="str">
        <f>IFERROR(VLOOKUP(Table1[[#This Row],[Compressor]],$K$9:$L$18,2,FALSE),"0")</f>
        <v>H254805HT</v>
      </c>
      <c r="H301" s="25">
        <v>3</v>
      </c>
      <c r="I301" s="26"/>
    </row>
    <row r="302" spans="2:9" x14ac:dyDescent="0.3">
      <c r="B302" s="27">
        <v>46185</v>
      </c>
      <c r="C302" s="21" t="str">
        <f>TEXT(B302,"DDD")</f>
        <v>Fri</v>
      </c>
      <c r="D302" s="22">
        <f>WEEKNUM(B302)</f>
        <v>24</v>
      </c>
      <c r="E302" s="22" t="str">
        <f>TEXT(B302,"mmm-yy")</f>
        <v>Jun-26</v>
      </c>
      <c r="F302" s="11" t="s">
        <v>16</v>
      </c>
      <c r="G302" s="24" t="str">
        <f>IFERROR(VLOOKUP(Table1[[#This Row],[Compressor]],$K$9:$L$18,2,FALSE),"0")</f>
        <v>H254805IL</v>
      </c>
      <c r="H302" s="25">
        <v>2</v>
      </c>
      <c r="I302" s="26"/>
    </row>
    <row r="303" spans="2:9" x14ac:dyDescent="0.3">
      <c r="B303" s="27">
        <v>46185</v>
      </c>
      <c r="C303" s="21" t="str">
        <f>TEXT(B303,"DDD")</f>
        <v>Fri</v>
      </c>
      <c r="D303" s="22">
        <f>WEEKNUM(B303)</f>
        <v>24</v>
      </c>
      <c r="E303" s="22" t="str">
        <f>TEXT(B303,"mmm-yy")</f>
        <v>Jun-26</v>
      </c>
      <c r="F303" s="11" t="s">
        <v>17</v>
      </c>
      <c r="G303" s="24" t="str">
        <f>IFERROR(VLOOKUP(Table1[[#This Row],[Compressor]],$K$9:$L$18,2,FALSE),"0")</f>
        <v>H254802IL</v>
      </c>
      <c r="H303" s="25">
        <v>3</v>
      </c>
      <c r="I303" s="26"/>
    </row>
    <row r="304" spans="2:9" x14ac:dyDescent="0.3">
      <c r="B304" s="8">
        <v>46186</v>
      </c>
      <c r="C304" s="9" t="str">
        <f>TEXT(B304,"DDD")</f>
        <v>Sat</v>
      </c>
      <c r="D304" s="10">
        <f>WEEKNUM(B304)</f>
        <v>24</v>
      </c>
      <c r="E304" s="10" t="str">
        <f>TEXT(B304,"mmm-yy")</f>
        <v>Jun-26</v>
      </c>
      <c r="F304" s="11" t="s">
        <v>8</v>
      </c>
      <c r="G304" s="16" t="str">
        <f>IFERROR(VLOOKUP(Table1[[#This Row],[Compressor]],$K$9:$L$18,2,FALSE),"0")</f>
        <v>H254805XS</v>
      </c>
      <c r="H304" s="20">
        <v>10</v>
      </c>
      <c r="I304" s="12"/>
    </row>
    <row r="305" spans="2:9" x14ac:dyDescent="0.3">
      <c r="B305" s="8">
        <v>46186</v>
      </c>
      <c r="C305" s="9" t="str">
        <f>TEXT(B305,"DDD")</f>
        <v>Sat</v>
      </c>
      <c r="D305" s="10">
        <f>WEEKNUM(B305)</f>
        <v>24</v>
      </c>
      <c r="E305" s="10" t="str">
        <f>TEXT(B305,"mmm-yy")</f>
        <v>Jun-26</v>
      </c>
      <c r="F305" s="11" t="s">
        <v>9</v>
      </c>
      <c r="G305" s="16" t="str">
        <f>IFERROR(VLOOKUP(Table1[[#This Row],[Compressor]],$K$9:$L$18,2,FALSE),"0")</f>
        <v>H254805AI</v>
      </c>
      <c r="H305" s="20">
        <v>23</v>
      </c>
      <c r="I305" s="12"/>
    </row>
    <row r="306" spans="2:9" x14ac:dyDescent="0.3">
      <c r="B306" s="8">
        <v>46186</v>
      </c>
      <c r="C306" s="9" t="str">
        <f>TEXT(B306,"DDD")</f>
        <v>Sat</v>
      </c>
      <c r="D306" s="10">
        <f>WEEKNUM(B306)</f>
        <v>24</v>
      </c>
      <c r="E306" s="10" t="str">
        <f>TEXT(B306,"mmm-yy")</f>
        <v>Jun-26</v>
      </c>
      <c r="F306" s="11" t="s">
        <v>10</v>
      </c>
      <c r="G306" s="16" t="str">
        <f>IFERROR(VLOOKUP(Table1[[#This Row],[Compressor]],$K$9:$L$18,2,FALSE),"0")</f>
        <v>H254805RT</v>
      </c>
      <c r="H306" s="20">
        <v>29</v>
      </c>
      <c r="I306" s="12"/>
    </row>
    <row r="307" spans="2:9" x14ac:dyDescent="0.3">
      <c r="B307" s="8">
        <v>46186</v>
      </c>
      <c r="C307" s="9" t="str">
        <f>TEXT(B307,"DDD")</f>
        <v>Sat</v>
      </c>
      <c r="D307" s="10">
        <f>WEEKNUM(B307)</f>
        <v>24</v>
      </c>
      <c r="E307" s="10" t="str">
        <f>TEXT(B307,"mmm-yy")</f>
        <v>Jun-26</v>
      </c>
      <c r="F307" s="11" t="s">
        <v>11</v>
      </c>
      <c r="G307" s="16" t="str">
        <f>IFERROR(VLOOKUP(Table1[[#This Row],[Compressor]],$K$9:$L$18,2,FALSE),"0")</f>
        <v>H254805HT</v>
      </c>
      <c r="H307" s="20">
        <v>31</v>
      </c>
      <c r="I307" s="12"/>
    </row>
    <row r="308" spans="2:9" x14ac:dyDescent="0.3">
      <c r="B308" s="8">
        <v>46186</v>
      </c>
      <c r="C308" s="9" t="str">
        <f>TEXT(B308,"DDD")</f>
        <v>Sat</v>
      </c>
      <c r="D308" s="10">
        <f>WEEKNUM(B308)</f>
        <v>24</v>
      </c>
      <c r="E308" s="10" t="str">
        <f>TEXT(B308,"mmm-yy")</f>
        <v>Jun-26</v>
      </c>
      <c r="F308" s="11" t="s">
        <v>12</v>
      </c>
      <c r="G308" s="16" t="str">
        <f>IFERROR(VLOOKUP(Table1[[#This Row],[Compressor]],$K$9:$L$18,2,FALSE),"0")</f>
        <v>H254803IH</v>
      </c>
      <c r="H308" s="20">
        <v>32</v>
      </c>
      <c r="I308" s="12"/>
    </row>
    <row r="309" spans="2:9" x14ac:dyDescent="0.3">
      <c r="B309" s="27">
        <v>46186</v>
      </c>
      <c r="C309" s="21" t="str">
        <f>TEXT(B309,"DDD")</f>
        <v>Sat</v>
      </c>
      <c r="D309" s="22">
        <f>WEEKNUM(B309)</f>
        <v>24</v>
      </c>
      <c r="E309" s="22" t="str">
        <f>TEXT(B309,"mmm-yy")</f>
        <v>Jun-26</v>
      </c>
      <c r="F309" s="11" t="s">
        <v>13</v>
      </c>
      <c r="G309" s="24" t="str">
        <f>IFERROR(VLOOKUP(Table1[[#This Row],[Compressor]],$K$9:$L$18,2,FALSE),"0")</f>
        <v>H254806XS</v>
      </c>
      <c r="H309" s="25">
        <v>65</v>
      </c>
      <c r="I309" s="26"/>
    </row>
    <row r="310" spans="2:9" x14ac:dyDescent="0.3">
      <c r="B310" s="27">
        <v>46186</v>
      </c>
      <c r="C310" s="21" t="str">
        <f>TEXT(B310,"DDD")</f>
        <v>Sat</v>
      </c>
      <c r="D310" s="22">
        <f>WEEKNUM(B310)</f>
        <v>24</v>
      </c>
      <c r="E310" s="22" t="str">
        <f>TEXT(B310,"mmm-yy")</f>
        <v>Jun-26</v>
      </c>
      <c r="F310" s="11" t="s">
        <v>14</v>
      </c>
      <c r="G310" s="24" t="str">
        <f>IFERROR(VLOOKUP(Table1[[#This Row],[Compressor]],$K$9:$L$18,2,FALSE),"0")</f>
        <v>H254803HV</v>
      </c>
      <c r="H310" s="25">
        <v>2</v>
      </c>
      <c r="I310" s="26"/>
    </row>
    <row r="311" spans="2:9" x14ac:dyDescent="0.3">
      <c r="B311" s="27">
        <v>46186</v>
      </c>
      <c r="C311" s="21" t="str">
        <f>TEXT(B311,"DDD")</f>
        <v>Sat</v>
      </c>
      <c r="D311" s="22">
        <f>WEEKNUM(B311)</f>
        <v>24</v>
      </c>
      <c r="E311" s="22" t="str">
        <f>TEXT(B311,"mmm-yy")</f>
        <v>Jun-26</v>
      </c>
      <c r="F311" s="11" t="s">
        <v>15</v>
      </c>
      <c r="G311" s="24" t="str">
        <f>IFERROR(VLOOKUP(Table1[[#This Row],[Compressor]],$K$9:$L$18,2,FALSE),"0")</f>
        <v>H254805HT</v>
      </c>
      <c r="H311" s="25">
        <v>3</v>
      </c>
      <c r="I311" s="26"/>
    </row>
    <row r="312" spans="2:9" x14ac:dyDescent="0.3">
      <c r="B312" s="27">
        <v>46186</v>
      </c>
      <c r="C312" s="21" t="str">
        <f>TEXT(B312,"DDD")</f>
        <v>Sat</v>
      </c>
      <c r="D312" s="22">
        <f>WEEKNUM(B312)</f>
        <v>24</v>
      </c>
      <c r="E312" s="22" t="str">
        <f>TEXT(B312,"mmm-yy")</f>
        <v>Jun-26</v>
      </c>
      <c r="F312" s="11" t="s">
        <v>16</v>
      </c>
      <c r="G312" s="24" t="str">
        <f>IFERROR(VLOOKUP(Table1[[#This Row],[Compressor]],$K$9:$L$18,2,FALSE),"0")</f>
        <v>H254805IL</v>
      </c>
      <c r="H312" s="25">
        <v>2</v>
      </c>
      <c r="I312" s="26"/>
    </row>
    <row r="313" spans="2:9" x14ac:dyDescent="0.3">
      <c r="B313" s="27">
        <v>46186</v>
      </c>
      <c r="C313" s="21" t="str">
        <f>TEXT(B313,"DDD")</f>
        <v>Sat</v>
      </c>
      <c r="D313" s="22">
        <f>WEEKNUM(B313)</f>
        <v>24</v>
      </c>
      <c r="E313" s="22" t="str">
        <f>TEXT(B313,"mmm-yy")</f>
        <v>Jun-26</v>
      </c>
      <c r="F313" s="11" t="s">
        <v>17</v>
      </c>
      <c r="G313" s="24" t="str">
        <f>IFERROR(VLOOKUP(Table1[[#This Row],[Compressor]],$K$9:$L$18,2,FALSE),"0")</f>
        <v>H254802IL</v>
      </c>
      <c r="H313" s="25">
        <v>3</v>
      </c>
      <c r="I313" s="26"/>
    </row>
    <row r="314" spans="2:9" x14ac:dyDescent="0.3">
      <c r="B314" s="8">
        <v>46187</v>
      </c>
      <c r="C314" s="9" t="str">
        <f>TEXT(B314,"DDD")</f>
        <v>Sun</v>
      </c>
      <c r="D314" s="10">
        <f>WEEKNUM(B314)</f>
        <v>25</v>
      </c>
      <c r="E314" s="10" t="str">
        <f>TEXT(B314,"mmm-yy")</f>
        <v>Jun-26</v>
      </c>
      <c r="F314" s="11" t="s">
        <v>8</v>
      </c>
      <c r="G314" s="16" t="str">
        <f>IFERROR(VLOOKUP(Table1[[#This Row],[Compressor]],$K$9:$L$18,2,FALSE),"0")</f>
        <v>H254805XS</v>
      </c>
      <c r="H314" s="20">
        <v>10</v>
      </c>
      <c r="I314" s="12"/>
    </row>
    <row r="315" spans="2:9" x14ac:dyDescent="0.3">
      <c r="B315" s="8">
        <v>46187</v>
      </c>
      <c r="C315" s="9" t="str">
        <f>TEXT(B315,"DDD")</f>
        <v>Sun</v>
      </c>
      <c r="D315" s="10">
        <f>WEEKNUM(B315)</f>
        <v>25</v>
      </c>
      <c r="E315" s="10" t="str">
        <f>TEXT(B315,"mmm-yy")</f>
        <v>Jun-26</v>
      </c>
      <c r="F315" s="11" t="s">
        <v>9</v>
      </c>
      <c r="G315" s="16" t="str">
        <f>IFERROR(VLOOKUP(Table1[[#This Row],[Compressor]],$K$9:$L$18,2,FALSE),"0")</f>
        <v>H254805AI</v>
      </c>
      <c r="H315" s="20">
        <v>23</v>
      </c>
      <c r="I315" s="12"/>
    </row>
    <row r="316" spans="2:9" x14ac:dyDescent="0.3">
      <c r="B316" s="8">
        <v>46187</v>
      </c>
      <c r="C316" s="9" t="str">
        <f>TEXT(B316,"DDD")</f>
        <v>Sun</v>
      </c>
      <c r="D316" s="10">
        <f>WEEKNUM(B316)</f>
        <v>25</v>
      </c>
      <c r="E316" s="10" t="str">
        <f>TEXT(B316,"mmm-yy")</f>
        <v>Jun-26</v>
      </c>
      <c r="F316" s="11" t="s">
        <v>10</v>
      </c>
      <c r="G316" s="16" t="str">
        <f>IFERROR(VLOOKUP(Table1[[#This Row],[Compressor]],$K$9:$L$18,2,FALSE),"0")</f>
        <v>H254805RT</v>
      </c>
      <c r="H316" s="20">
        <v>29</v>
      </c>
      <c r="I316" s="12"/>
    </row>
    <row r="317" spans="2:9" x14ac:dyDescent="0.3">
      <c r="B317" s="8">
        <v>46187</v>
      </c>
      <c r="C317" s="13" t="str">
        <f>TEXT(B317,"DDD")</f>
        <v>Sun</v>
      </c>
      <c r="D317" s="14">
        <f>WEEKNUM(B317)</f>
        <v>25</v>
      </c>
      <c r="E317" s="14" t="str">
        <f>TEXT(B317,"mmm-yy")</f>
        <v>Jun-26</v>
      </c>
      <c r="F317" s="11" t="s">
        <v>11</v>
      </c>
      <c r="G317" s="17" t="str">
        <f>IFERROR(VLOOKUP(Table1[[#This Row],[Compressor]],$K$9:$L$18,2,FALSE),"0")</f>
        <v>H254805HT</v>
      </c>
      <c r="H317" s="20">
        <v>31</v>
      </c>
      <c r="I317" s="15"/>
    </row>
    <row r="318" spans="2:9" x14ac:dyDescent="0.3">
      <c r="B318" s="8">
        <v>46187</v>
      </c>
      <c r="C318" s="9" t="str">
        <f>TEXT(B318,"DDD")</f>
        <v>Sun</v>
      </c>
      <c r="D318" s="10">
        <f>WEEKNUM(B318)</f>
        <v>25</v>
      </c>
      <c r="E318" s="10" t="str">
        <f>TEXT(B318,"mmm-yy")</f>
        <v>Jun-26</v>
      </c>
      <c r="F318" s="11" t="s">
        <v>12</v>
      </c>
      <c r="G318" s="16" t="str">
        <f>IFERROR(VLOOKUP(Table1[[#This Row],[Compressor]],$K$9:$L$18,2,FALSE),"0")</f>
        <v>H254803IH</v>
      </c>
      <c r="H318" s="20">
        <v>32</v>
      </c>
      <c r="I318" s="12"/>
    </row>
    <row r="319" spans="2:9" x14ac:dyDescent="0.3">
      <c r="B319" s="27">
        <v>46187</v>
      </c>
      <c r="C319" s="21" t="str">
        <f>TEXT(B319,"DDD")</f>
        <v>Sun</v>
      </c>
      <c r="D319" s="22">
        <f>WEEKNUM(B319)</f>
        <v>25</v>
      </c>
      <c r="E319" s="22" t="str">
        <f>TEXT(B319,"mmm-yy")</f>
        <v>Jun-26</v>
      </c>
      <c r="F319" s="11" t="s">
        <v>13</v>
      </c>
      <c r="G319" s="24" t="str">
        <f>IFERROR(VLOOKUP(Table1[[#This Row],[Compressor]],$K$9:$L$18,2,FALSE),"0")</f>
        <v>H254806XS</v>
      </c>
      <c r="H319" s="25">
        <v>65</v>
      </c>
      <c r="I319" s="26"/>
    </row>
    <row r="320" spans="2:9" x14ac:dyDescent="0.3">
      <c r="B320" s="27">
        <v>46187</v>
      </c>
      <c r="C320" s="21" t="str">
        <f>TEXT(B320,"DDD")</f>
        <v>Sun</v>
      </c>
      <c r="D320" s="22">
        <f>WEEKNUM(B320)</f>
        <v>25</v>
      </c>
      <c r="E320" s="22" t="str">
        <f>TEXT(B320,"mmm-yy")</f>
        <v>Jun-26</v>
      </c>
      <c r="F320" s="11" t="s">
        <v>14</v>
      </c>
      <c r="G320" s="24" t="str">
        <f>IFERROR(VLOOKUP(Table1[[#This Row],[Compressor]],$K$9:$L$18,2,FALSE),"0")</f>
        <v>H254803HV</v>
      </c>
      <c r="H320" s="25">
        <v>5</v>
      </c>
      <c r="I320" s="26"/>
    </row>
    <row r="321" spans="2:9" x14ac:dyDescent="0.3">
      <c r="B321" s="27">
        <v>46187</v>
      </c>
      <c r="C321" s="21" t="str">
        <f>TEXT(B321,"DDD")</f>
        <v>Sun</v>
      </c>
      <c r="D321" s="22">
        <f>WEEKNUM(B321)</f>
        <v>25</v>
      </c>
      <c r="E321" s="22" t="str">
        <f>TEXT(B321,"mmm-yy")</f>
        <v>Jun-26</v>
      </c>
      <c r="F321" s="11" t="s">
        <v>15</v>
      </c>
      <c r="G321" s="24" t="str">
        <f>IFERROR(VLOOKUP(Table1[[#This Row],[Compressor]],$K$9:$L$18,2,FALSE),"0")</f>
        <v>H254805HT</v>
      </c>
      <c r="H321" s="25">
        <v>3</v>
      </c>
      <c r="I321" s="26"/>
    </row>
    <row r="322" spans="2:9" x14ac:dyDescent="0.3">
      <c r="B322" s="27">
        <v>46187</v>
      </c>
      <c r="C322" s="21" t="str">
        <f>TEXT(B322,"DDD")</f>
        <v>Sun</v>
      </c>
      <c r="D322" s="22">
        <f>WEEKNUM(B322)</f>
        <v>25</v>
      </c>
      <c r="E322" s="22" t="str">
        <f>TEXT(B322,"mmm-yy")</f>
        <v>Jun-26</v>
      </c>
      <c r="F322" s="11" t="s">
        <v>16</v>
      </c>
      <c r="G322" s="24" t="str">
        <f>IFERROR(VLOOKUP(Table1[[#This Row],[Compressor]],$K$9:$L$18,2,FALSE),"0")</f>
        <v>H254805IL</v>
      </c>
      <c r="H322" s="25">
        <v>2</v>
      </c>
      <c r="I322" s="26"/>
    </row>
    <row r="323" spans="2:9" x14ac:dyDescent="0.3">
      <c r="B323" s="27">
        <v>46187</v>
      </c>
      <c r="C323" s="21" t="str">
        <f>TEXT(B323,"DDD")</f>
        <v>Sun</v>
      </c>
      <c r="D323" s="22">
        <f>WEEKNUM(B323)</f>
        <v>25</v>
      </c>
      <c r="E323" s="22" t="str">
        <f>TEXT(B323,"mmm-yy")</f>
        <v>Jun-26</v>
      </c>
      <c r="F323" s="11" t="s">
        <v>17</v>
      </c>
      <c r="G323" s="24" t="str">
        <f>IFERROR(VLOOKUP(Table1[[#This Row],[Compressor]],$K$9:$L$18,2,FALSE),"0")</f>
        <v>H254802IL</v>
      </c>
      <c r="H323" s="25">
        <v>3</v>
      </c>
      <c r="I323" s="26"/>
    </row>
    <row r="324" spans="2:9" x14ac:dyDescent="0.3">
      <c r="B324" s="8">
        <v>46188</v>
      </c>
      <c r="C324" s="9" t="str">
        <f>TEXT(B324,"DDD")</f>
        <v>Mon</v>
      </c>
      <c r="D324" s="10">
        <f>WEEKNUM(B324)</f>
        <v>25</v>
      </c>
      <c r="E324" s="10" t="str">
        <f>TEXT(B324,"mmm-yy")</f>
        <v>Jun-26</v>
      </c>
      <c r="F324" s="11" t="s">
        <v>8</v>
      </c>
      <c r="G324" s="16" t="str">
        <f>IFERROR(VLOOKUP(Table1[[#This Row],[Compressor]],$K$9:$L$18,2,FALSE),"0")</f>
        <v>H254805XS</v>
      </c>
      <c r="H324" s="20">
        <v>10</v>
      </c>
      <c r="I324" s="12"/>
    </row>
    <row r="325" spans="2:9" x14ac:dyDescent="0.3">
      <c r="B325" s="8">
        <v>46188</v>
      </c>
      <c r="C325" s="9" t="str">
        <f>TEXT(B325,"DDD")</f>
        <v>Mon</v>
      </c>
      <c r="D325" s="10">
        <f>WEEKNUM(B325)</f>
        <v>25</v>
      </c>
      <c r="E325" s="10" t="str">
        <f>TEXT(B325,"mmm-yy")</f>
        <v>Jun-26</v>
      </c>
      <c r="F325" s="11" t="s">
        <v>9</v>
      </c>
      <c r="G325" s="16" t="str">
        <f>IFERROR(VLOOKUP(Table1[[#This Row],[Compressor]],$K$9:$L$18,2,FALSE),"0")</f>
        <v>H254805AI</v>
      </c>
      <c r="H325" s="20">
        <v>23</v>
      </c>
      <c r="I325" s="12"/>
    </row>
    <row r="326" spans="2:9" x14ac:dyDescent="0.3">
      <c r="B326" s="8">
        <v>46188</v>
      </c>
      <c r="C326" s="9" t="str">
        <f>TEXT(B326,"DDD")</f>
        <v>Mon</v>
      </c>
      <c r="D326" s="10">
        <f>WEEKNUM(B326)</f>
        <v>25</v>
      </c>
      <c r="E326" s="10" t="str">
        <f>TEXT(B326,"mmm-yy")</f>
        <v>Jun-26</v>
      </c>
      <c r="F326" s="11" t="s">
        <v>10</v>
      </c>
      <c r="G326" s="16" t="str">
        <f>IFERROR(VLOOKUP(Table1[[#This Row],[Compressor]],$K$9:$L$18,2,FALSE),"0")</f>
        <v>H254805RT</v>
      </c>
      <c r="H326" s="20">
        <v>29</v>
      </c>
      <c r="I326" s="12"/>
    </row>
    <row r="327" spans="2:9" x14ac:dyDescent="0.3">
      <c r="B327" s="8">
        <v>46188</v>
      </c>
      <c r="C327" s="9" t="str">
        <f>TEXT(B327,"DDD")</f>
        <v>Mon</v>
      </c>
      <c r="D327" s="10">
        <f>WEEKNUM(B327)</f>
        <v>25</v>
      </c>
      <c r="E327" s="10" t="str">
        <f>TEXT(B327,"mmm-yy")</f>
        <v>Jun-26</v>
      </c>
      <c r="F327" s="11" t="s">
        <v>11</v>
      </c>
      <c r="G327" s="16" t="str">
        <f>IFERROR(VLOOKUP(Table1[[#This Row],[Compressor]],$K$9:$L$18,2,FALSE),"0")</f>
        <v>H254805HT</v>
      </c>
      <c r="H327" s="20">
        <v>31</v>
      </c>
      <c r="I327" s="12"/>
    </row>
    <row r="328" spans="2:9" x14ac:dyDescent="0.3">
      <c r="B328" s="8">
        <v>46188</v>
      </c>
      <c r="C328" s="21" t="str">
        <f>TEXT(B328,"DDD")</f>
        <v>Mon</v>
      </c>
      <c r="D328" s="22">
        <f>WEEKNUM(B328)</f>
        <v>25</v>
      </c>
      <c r="E328" s="22" t="str">
        <f>TEXT(B328,"mmm-yy")</f>
        <v>Jun-26</v>
      </c>
      <c r="F328" s="11" t="s">
        <v>12</v>
      </c>
      <c r="G328" s="24" t="str">
        <f>IFERROR(VLOOKUP(Table1[[#This Row],[Compressor]],$K$9:$L$18,2,FALSE),"0")</f>
        <v>H254803IH</v>
      </c>
      <c r="H328" s="25">
        <v>32</v>
      </c>
      <c r="I328" s="26"/>
    </row>
    <row r="329" spans="2:9" x14ac:dyDescent="0.3">
      <c r="B329" s="27">
        <v>46188</v>
      </c>
      <c r="C329" s="21" t="str">
        <f>TEXT(B329,"DDD")</f>
        <v>Mon</v>
      </c>
      <c r="D329" s="22">
        <f>WEEKNUM(B329)</f>
        <v>25</v>
      </c>
      <c r="E329" s="22" t="str">
        <f>TEXT(B329,"mmm-yy")</f>
        <v>Jun-26</v>
      </c>
      <c r="F329" s="11" t="s">
        <v>13</v>
      </c>
      <c r="G329" s="24" t="str">
        <f>IFERROR(VLOOKUP(Table1[[#This Row],[Compressor]],$K$9:$L$18,2,FALSE),"0")</f>
        <v>H254806XS</v>
      </c>
      <c r="H329" s="25">
        <v>67</v>
      </c>
      <c r="I329" s="26"/>
    </row>
    <row r="330" spans="2:9" x14ac:dyDescent="0.3">
      <c r="B330" s="27">
        <v>46188</v>
      </c>
      <c r="C330" s="21" t="str">
        <f>TEXT(B330,"DDD")</f>
        <v>Mon</v>
      </c>
      <c r="D330" s="22">
        <f>WEEKNUM(B330)</f>
        <v>25</v>
      </c>
      <c r="E330" s="22" t="str">
        <f>TEXT(B330,"mmm-yy")</f>
        <v>Jun-26</v>
      </c>
      <c r="F330" s="11" t="s">
        <v>14</v>
      </c>
      <c r="G330" s="24" t="str">
        <f>IFERROR(VLOOKUP(Table1[[#This Row],[Compressor]],$K$9:$L$18,2,FALSE),"0")</f>
        <v>H254803HV</v>
      </c>
      <c r="H330" s="25">
        <v>8</v>
      </c>
      <c r="I330" s="26"/>
    </row>
    <row r="331" spans="2:9" x14ac:dyDescent="0.3">
      <c r="B331" s="27">
        <v>46188</v>
      </c>
      <c r="C331" s="21" t="str">
        <f>TEXT(B331,"DDD")</f>
        <v>Mon</v>
      </c>
      <c r="D331" s="22">
        <f>WEEKNUM(B331)</f>
        <v>25</v>
      </c>
      <c r="E331" s="22" t="str">
        <f>TEXT(B331,"mmm-yy")</f>
        <v>Jun-26</v>
      </c>
      <c r="F331" s="11" t="s">
        <v>15</v>
      </c>
      <c r="G331" s="24" t="str">
        <f>IFERROR(VLOOKUP(Table1[[#This Row],[Compressor]],$K$9:$L$18,2,FALSE),"0")</f>
        <v>H254805HT</v>
      </c>
      <c r="H331" s="25">
        <v>12</v>
      </c>
      <c r="I331" s="26"/>
    </row>
    <row r="332" spans="2:9" x14ac:dyDescent="0.3">
      <c r="B332" s="27">
        <v>46188</v>
      </c>
      <c r="C332" s="21" t="str">
        <f>TEXT(B332,"DDD")</f>
        <v>Mon</v>
      </c>
      <c r="D332" s="22">
        <f>WEEKNUM(B332)</f>
        <v>25</v>
      </c>
      <c r="E332" s="22" t="str">
        <f>TEXT(B332,"mmm-yy")</f>
        <v>Jun-26</v>
      </c>
      <c r="F332" s="11" t="s">
        <v>16</v>
      </c>
      <c r="G332" s="24" t="str">
        <f>IFERROR(VLOOKUP(Table1[[#This Row],[Compressor]],$K$9:$L$18,2,FALSE),"0")</f>
        <v>H254805IL</v>
      </c>
      <c r="H332" s="25">
        <v>2</v>
      </c>
      <c r="I332" s="26"/>
    </row>
    <row r="333" spans="2:9" x14ac:dyDescent="0.3">
      <c r="B333" s="27">
        <v>46188</v>
      </c>
      <c r="C333" s="21" t="str">
        <f>TEXT(B333,"DDD")</f>
        <v>Mon</v>
      </c>
      <c r="D333" s="22">
        <f>WEEKNUM(B333)</f>
        <v>25</v>
      </c>
      <c r="E333" s="22" t="str">
        <f>TEXT(B333,"mmm-yy")</f>
        <v>Jun-26</v>
      </c>
      <c r="F333" s="11" t="s">
        <v>17</v>
      </c>
      <c r="G333" s="24" t="str">
        <f>IFERROR(VLOOKUP(Table1[[#This Row],[Compressor]],$K$9:$L$18,2,FALSE),"0")</f>
        <v>H254802IL</v>
      </c>
      <c r="H333" s="25">
        <v>3</v>
      </c>
      <c r="I333" s="26"/>
    </row>
    <row r="334" spans="2:9" x14ac:dyDescent="0.3">
      <c r="B334" s="8">
        <v>46189</v>
      </c>
      <c r="C334" s="9" t="str">
        <f>TEXT(B334,"DDD")</f>
        <v>Tue</v>
      </c>
      <c r="D334" s="10">
        <f>WEEKNUM(B334)</f>
        <v>25</v>
      </c>
      <c r="E334" s="10" t="str">
        <f>TEXT(B334,"mmm-yy")</f>
        <v>Jun-26</v>
      </c>
      <c r="F334" s="11" t="s">
        <v>8</v>
      </c>
      <c r="G334" s="16" t="str">
        <f>IFERROR(VLOOKUP(Table1[[#This Row],[Compressor]],$K$9:$L$18,2,FALSE),"0")</f>
        <v>H254805XS</v>
      </c>
      <c r="H334" s="20">
        <v>10</v>
      </c>
      <c r="I334" s="12"/>
    </row>
    <row r="335" spans="2:9" x14ac:dyDescent="0.3">
      <c r="B335" s="8">
        <v>46189</v>
      </c>
      <c r="C335" s="9" t="str">
        <f>TEXT(B335,"DDD")</f>
        <v>Tue</v>
      </c>
      <c r="D335" s="10">
        <f>WEEKNUM(B335)</f>
        <v>25</v>
      </c>
      <c r="E335" s="10" t="str">
        <f>TEXT(B335,"mmm-yy")</f>
        <v>Jun-26</v>
      </c>
      <c r="F335" s="11" t="s">
        <v>9</v>
      </c>
      <c r="G335" s="16" t="str">
        <f>IFERROR(VLOOKUP(Table1[[#This Row],[Compressor]],$K$9:$L$18,2,FALSE),"0")</f>
        <v>H254805AI</v>
      </c>
      <c r="H335" s="20">
        <v>23</v>
      </c>
      <c r="I335" s="12"/>
    </row>
    <row r="336" spans="2:9" x14ac:dyDescent="0.3">
      <c r="B336" s="8">
        <v>46189</v>
      </c>
      <c r="C336" s="9" t="str">
        <f>TEXT(B336,"DDD")</f>
        <v>Tue</v>
      </c>
      <c r="D336" s="10">
        <f>WEEKNUM(B336)</f>
        <v>25</v>
      </c>
      <c r="E336" s="10" t="str">
        <f>TEXT(B336,"mmm-yy")</f>
        <v>Jun-26</v>
      </c>
      <c r="F336" s="11" t="s">
        <v>10</v>
      </c>
      <c r="G336" s="16" t="str">
        <f>IFERROR(VLOOKUP(Table1[[#This Row],[Compressor]],$K$9:$L$18,2,FALSE),"0")</f>
        <v>H254805RT</v>
      </c>
      <c r="H336" s="20">
        <v>29</v>
      </c>
      <c r="I336" s="12"/>
    </row>
    <row r="337" spans="2:9" x14ac:dyDescent="0.3">
      <c r="B337" s="8">
        <v>46189</v>
      </c>
      <c r="C337" s="9" t="str">
        <f>TEXT(B337,"DDD")</f>
        <v>Tue</v>
      </c>
      <c r="D337" s="10">
        <f>WEEKNUM(B337)</f>
        <v>25</v>
      </c>
      <c r="E337" s="10" t="str">
        <f>TEXT(B337,"mmm-yy")</f>
        <v>Jun-26</v>
      </c>
      <c r="F337" s="11" t="s">
        <v>11</v>
      </c>
      <c r="G337" s="16" t="str">
        <f>IFERROR(VLOOKUP(Table1[[#This Row],[Compressor]],$K$9:$L$18,2,FALSE),"0")</f>
        <v>H254805HT</v>
      </c>
      <c r="H337" s="20">
        <v>31</v>
      </c>
      <c r="I337" s="12"/>
    </row>
    <row r="338" spans="2:9" x14ac:dyDescent="0.3">
      <c r="B338" s="8">
        <v>46189</v>
      </c>
      <c r="C338" s="21" t="str">
        <f>TEXT(B338,"DDD")</f>
        <v>Tue</v>
      </c>
      <c r="D338" s="22">
        <f>WEEKNUM(B338)</f>
        <v>25</v>
      </c>
      <c r="E338" s="22" t="str">
        <f>TEXT(B338,"mmm-yy")</f>
        <v>Jun-26</v>
      </c>
      <c r="F338" s="11" t="s">
        <v>12</v>
      </c>
      <c r="G338" s="24" t="str">
        <f>IFERROR(VLOOKUP(Table1[[#This Row],[Compressor]],$K$9:$L$18,2,FALSE),"0")</f>
        <v>H254803IH</v>
      </c>
      <c r="H338" s="25">
        <v>32</v>
      </c>
      <c r="I338" s="26"/>
    </row>
    <row r="339" spans="2:9" x14ac:dyDescent="0.3">
      <c r="B339" s="27">
        <v>46189</v>
      </c>
      <c r="C339" s="21" t="str">
        <f>TEXT(B339,"DDD")</f>
        <v>Tue</v>
      </c>
      <c r="D339" s="22">
        <f>WEEKNUM(B339)</f>
        <v>25</v>
      </c>
      <c r="E339" s="22" t="str">
        <f>TEXT(B339,"mmm-yy")</f>
        <v>Jun-26</v>
      </c>
      <c r="F339" s="11" t="s">
        <v>13</v>
      </c>
      <c r="G339" s="24" t="str">
        <f>IFERROR(VLOOKUP(Table1[[#This Row],[Compressor]],$K$9:$L$18,2,FALSE),"0")</f>
        <v>H254806XS</v>
      </c>
      <c r="H339" s="25">
        <v>79</v>
      </c>
      <c r="I339" s="26"/>
    </row>
    <row r="340" spans="2:9" x14ac:dyDescent="0.3">
      <c r="B340" s="27">
        <v>46189</v>
      </c>
      <c r="C340" s="21" t="str">
        <f>TEXT(B340,"DDD")</f>
        <v>Tue</v>
      </c>
      <c r="D340" s="22">
        <f>WEEKNUM(B340)</f>
        <v>25</v>
      </c>
      <c r="E340" s="22" t="str">
        <f>TEXT(B340,"mmm-yy")</f>
        <v>Jun-26</v>
      </c>
      <c r="F340" s="11" t="s">
        <v>14</v>
      </c>
      <c r="G340" s="24" t="str">
        <f>IFERROR(VLOOKUP(Table1[[#This Row],[Compressor]],$K$9:$L$18,2,FALSE),"0")</f>
        <v>H254803HV</v>
      </c>
      <c r="H340" s="25">
        <v>10</v>
      </c>
      <c r="I340" s="26"/>
    </row>
    <row r="341" spans="2:9" x14ac:dyDescent="0.3">
      <c r="B341" s="27">
        <v>46189</v>
      </c>
      <c r="C341" s="21" t="str">
        <f>TEXT(B341,"DDD")</f>
        <v>Tue</v>
      </c>
      <c r="D341" s="22">
        <f>WEEKNUM(B341)</f>
        <v>25</v>
      </c>
      <c r="E341" s="22" t="str">
        <f>TEXT(B341,"mmm-yy")</f>
        <v>Jun-26</v>
      </c>
      <c r="F341" s="11" t="s">
        <v>15</v>
      </c>
      <c r="G341" s="24" t="str">
        <f>IFERROR(VLOOKUP(Table1[[#This Row],[Compressor]],$K$9:$L$18,2,FALSE),"0")</f>
        <v>H254805HT</v>
      </c>
      <c r="H341" s="25">
        <v>12</v>
      </c>
      <c r="I341" s="26"/>
    </row>
    <row r="342" spans="2:9" x14ac:dyDescent="0.3">
      <c r="B342" s="27">
        <v>46189</v>
      </c>
      <c r="C342" s="21" t="str">
        <f>TEXT(B342,"DDD")</f>
        <v>Tue</v>
      </c>
      <c r="D342" s="22">
        <f>WEEKNUM(B342)</f>
        <v>25</v>
      </c>
      <c r="E342" s="22" t="str">
        <f>TEXT(B342,"mmm-yy")</f>
        <v>Jun-26</v>
      </c>
      <c r="F342" s="11" t="s">
        <v>16</v>
      </c>
      <c r="G342" s="24" t="str">
        <f>IFERROR(VLOOKUP(Table1[[#This Row],[Compressor]],$K$9:$L$18,2,FALSE),"0")</f>
        <v>H254805IL</v>
      </c>
      <c r="H342" s="25">
        <v>2</v>
      </c>
      <c r="I342" s="26"/>
    </row>
    <row r="343" spans="2:9" x14ac:dyDescent="0.3">
      <c r="B343" s="27">
        <v>46189</v>
      </c>
      <c r="C343" s="21" t="str">
        <f>TEXT(B343,"DDD")</f>
        <v>Tue</v>
      </c>
      <c r="D343" s="22">
        <f>WEEKNUM(B343)</f>
        <v>25</v>
      </c>
      <c r="E343" s="22" t="str">
        <f>TEXT(B343,"mmm-yy")</f>
        <v>Jun-26</v>
      </c>
      <c r="F343" s="11" t="s">
        <v>17</v>
      </c>
      <c r="G343" s="24" t="str">
        <f>IFERROR(VLOOKUP(Table1[[#This Row],[Compressor]],$K$9:$L$18,2,FALSE),"0")</f>
        <v>H254802IL</v>
      </c>
      <c r="H343" s="25">
        <v>3</v>
      </c>
      <c r="I343" s="26"/>
    </row>
    <row r="344" spans="2:9" x14ac:dyDescent="0.3">
      <c r="B344" s="8">
        <v>46190</v>
      </c>
      <c r="C344" s="9" t="str">
        <f>TEXT(B344,"DDD")</f>
        <v>Wed</v>
      </c>
      <c r="D344" s="10">
        <f>WEEKNUM(B344)</f>
        <v>25</v>
      </c>
      <c r="E344" s="10" t="str">
        <f>TEXT(B344,"mmm-yy")</f>
        <v>Jun-26</v>
      </c>
      <c r="F344" s="11" t="s">
        <v>8</v>
      </c>
      <c r="G344" s="16" t="str">
        <f>IFERROR(VLOOKUP(Table1[[#This Row],[Compressor]],$K$9:$L$18,2,FALSE),"0")</f>
        <v>H254805XS</v>
      </c>
      <c r="H344" s="20">
        <v>10</v>
      </c>
      <c r="I344" s="12"/>
    </row>
    <row r="345" spans="2:9" x14ac:dyDescent="0.3">
      <c r="B345" s="8">
        <v>46190</v>
      </c>
      <c r="C345" s="9" t="str">
        <f>TEXT(B345,"DDD")</f>
        <v>Wed</v>
      </c>
      <c r="D345" s="10">
        <f>WEEKNUM(B345)</f>
        <v>25</v>
      </c>
      <c r="E345" s="10" t="str">
        <f>TEXT(B345,"mmm-yy")</f>
        <v>Jun-26</v>
      </c>
      <c r="F345" s="11" t="s">
        <v>9</v>
      </c>
      <c r="G345" s="16" t="str">
        <f>IFERROR(VLOOKUP(Table1[[#This Row],[Compressor]],$K$9:$L$18,2,FALSE),"0")</f>
        <v>H254805AI</v>
      </c>
      <c r="H345" s="20">
        <v>23</v>
      </c>
      <c r="I345" s="12"/>
    </row>
    <row r="346" spans="2:9" x14ac:dyDescent="0.3">
      <c r="B346" s="8">
        <v>46190</v>
      </c>
      <c r="C346" s="9" t="str">
        <f>TEXT(B346,"DDD")</f>
        <v>Wed</v>
      </c>
      <c r="D346" s="10">
        <f>WEEKNUM(B346)</f>
        <v>25</v>
      </c>
      <c r="E346" s="10" t="str">
        <f>TEXT(B346,"mmm-yy")</f>
        <v>Jun-26</v>
      </c>
      <c r="F346" s="11" t="s">
        <v>10</v>
      </c>
      <c r="G346" s="16" t="str">
        <f>IFERROR(VLOOKUP(Table1[[#This Row],[Compressor]],$K$9:$L$18,2,FALSE),"0")</f>
        <v>H254805RT</v>
      </c>
      <c r="H346" s="20">
        <v>29</v>
      </c>
      <c r="I346" s="12"/>
    </row>
    <row r="347" spans="2:9" x14ac:dyDescent="0.3">
      <c r="B347" s="8">
        <v>46190</v>
      </c>
      <c r="C347" s="9" t="str">
        <f>TEXT(B347,"DDD")</f>
        <v>Wed</v>
      </c>
      <c r="D347" s="10">
        <f>WEEKNUM(B347)</f>
        <v>25</v>
      </c>
      <c r="E347" s="10" t="str">
        <f>TEXT(B347,"mmm-yy")</f>
        <v>Jun-26</v>
      </c>
      <c r="F347" s="11" t="s">
        <v>11</v>
      </c>
      <c r="G347" s="16" t="str">
        <f>IFERROR(VLOOKUP(Table1[[#This Row],[Compressor]],$K$9:$L$18,2,FALSE),"0")</f>
        <v>H254805HT</v>
      </c>
      <c r="H347" s="20">
        <v>31</v>
      </c>
      <c r="I347" s="12"/>
    </row>
    <row r="348" spans="2:9" x14ac:dyDescent="0.3">
      <c r="B348" s="8">
        <v>46190</v>
      </c>
      <c r="C348" s="21" t="str">
        <f>TEXT(B348,"DDD")</f>
        <v>Wed</v>
      </c>
      <c r="D348" s="22">
        <f>WEEKNUM(B348)</f>
        <v>25</v>
      </c>
      <c r="E348" s="22" t="str">
        <f>TEXT(B348,"mmm-yy")</f>
        <v>Jun-26</v>
      </c>
      <c r="F348" s="11" t="s">
        <v>12</v>
      </c>
      <c r="G348" s="24" t="str">
        <f>IFERROR(VLOOKUP(Table1[[#This Row],[Compressor]],$K$9:$L$18,2,FALSE),"0")</f>
        <v>H254803IH</v>
      </c>
      <c r="H348" s="25">
        <v>32</v>
      </c>
      <c r="I348" s="26"/>
    </row>
    <row r="349" spans="2:9" x14ac:dyDescent="0.3">
      <c r="B349" s="27">
        <v>46190</v>
      </c>
      <c r="C349" s="21" t="str">
        <f>TEXT(B349,"DDD")</f>
        <v>Wed</v>
      </c>
      <c r="D349" s="22">
        <f>WEEKNUM(B349)</f>
        <v>25</v>
      </c>
      <c r="E349" s="22" t="str">
        <f>TEXT(B349,"mmm-yy")</f>
        <v>Jun-26</v>
      </c>
      <c r="F349" s="11" t="s">
        <v>13</v>
      </c>
      <c r="G349" s="24" t="str">
        <f>IFERROR(VLOOKUP(Table1[[#This Row],[Compressor]],$K$9:$L$18,2,FALSE),"0")</f>
        <v>H254806XS</v>
      </c>
      <c r="H349" s="25">
        <v>94</v>
      </c>
      <c r="I349" s="26"/>
    </row>
    <row r="350" spans="2:9" x14ac:dyDescent="0.3">
      <c r="B350" s="27">
        <v>46190</v>
      </c>
      <c r="C350" s="21" t="str">
        <f>TEXT(B350,"DDD")</f>
        <v>Wed</v>
      </c>
      <c r="D350" s="22">
        <f>WEEKNUM(B350)</f>
        <v>25</v>
      </c>
      <c r="E350" s="22" t="str">
        <f>TEXT(B350,"mmm-yy")</f>
        <v>Jun-26</v>
      </c>
      <c r="F350" s="11" t="s">
        <v>14</v>
      </c>
      <c r="G350" s="24" t="str">
        <f>IFERROR(VLOOKUP(Table1[[#This Row],[Compressor]],$K$9:$L$18,2,FALSE),"0")</f>
        <v>H254803HV</v>
      </c>
      <c r="H350" s="25">
        <v>14</v>
      </c>
      <c r="I350" s="26"/>
    </row>
    <row r="351" spans="2:9" x14ac:dyDescent="0.3">
      <c r="B351" s="27">
        <v>46190</v>
      </c>
      <c r="C351" s="21" t="str">
        <f>TEXT(B351,"DDD")</f>
        <v>Wed</v>
      </c>
      <c r="D351" s="22">
        <f>WEEKNUM(B351)</f>
        <v>25</v>
      </c>
      <c r="E351" s="22" t="str">
        <f>TEXT(B351,"mmm-yy")</f>
        <v>Jun-26</v>
      </c>
      <c r="F351" s="11" t="s">
        <v>15</v>
      </c>
      <c r="G351" s="24" t="str">
        <f>IFERROR(VLOOKUP(Table1[[#This Row],[Compressor]],$K$9:$L$18,2,FALSE),"0")</f>
        <v>H254805HT</v>
      </c>
      <c r="H351" s="25">
        <v>12</v>
      </c>
      <c r="I351" s="26"/>
    </row>
    <row r="352" spans="2:9" x14ac:dyDescent="0.3">
      <c r="B352" s="27">
        <v>46190</v>
      </c>
      <c r="C352" s="21" t="str">
        <f>TEXT(B352,"DDD")</f>
        <v>Wed</v>
      </c>
      <c r="D352" s="22">
        <f>WEEKNUM(B352)</f>
        <v>25</v>
      </c>
      <c r="E352" s="22" t="str">
        <f>TEXT(B352,"mmm-yy")</f>
        <v>Jun-26</v>
      </c>
      <c r="F352" s="11" t="s">
        <v>16</v>
      </c>
      <c r="G352" s="24" t="str">
        <f>IFERROR(VLOOKUP(Table1[[#This Row],[Compressor]],$K$9:$L$18,2,FALSE),"0")</f>
        <v>H254805IL</v>
      </c>
      <c r="H352" s="25">
        <v>2</v>
      </c>
      <c r="I352" s="26"/>
    </row>
    <row r="353" spans="2:9" x14ac:dyDescent="0.3">
      <c r="B353" s="27">
        <v>46190</v>
      </c>
      <c r="C353" s="21" t="str">
        <f>TEXT(B353,"DDD")</f>
        <v>Wed</v>
      </c>
      <c r="D353" s="22">
        <f>WEEKNUM(B353)</f>
        <v>25</v>
      </c>
      <c r="E353" s="22" t="str">
        <f>TEXT(B353,"mmm-yy")</f>
        <v>Jun-26</v>
      </c>
      <c r="F353" s="11" t="s">
        <v>17</v>
      </c>
      <c r="G353" s="24" t="str">
        <f>IFERROR(VLOOKUP(Table1[[#This Row],[Compressor]],$K$9:$L$18,2,FALSE),"0")</f>
        <v>H254802IL</v>
      </c>
      <c r="H353" s="25">
        <v>3</v>
      </c>
      <c r="I353" s="26"/>
    </row>
    <row r="354" spans="2:9" x14ac:dyDescent="0.3">
      <c r="B354" s="8">
        <v>46191</v>
      </c>
      <c r="C354" s="9" t="str">
        <f>TEXT(B354,"DDD")</f>
        <v>Thu</v>
      </c>
      <c r="D354" s="10">
        <f>WEEKNUM(B354)</f>
        <v>25</v>
      </c>
      <c r="E354" s="10" t="str">
        <f>TEXT(B354,"mmm-yy")</f>
        <v>Jun-26</v>
      </c>
      <c r="F354" s="11" t="s">
        <v>8</v>
      </c>
      <c r="G354" s="16" t="str">
        <f>IFERROR(VLOOKUP(Table1[[#This Row],[Compressor]],$K$9:$L$18,2,FALSE),"0")</f>
        <v>H254805XS</v>
      </c>
      <c r="H354" s="20">
        <v>10</v>
      </c>
      <c r="I354" s="12"/>
    </row>
    <row r="355" spans="2:9" x14ac:dyDescent="0.3">
      <c r="B355" s="8">
        <v>46191</v>
      </c>
      <c r="C355" s="9" t="str">
        <f>TEXT(B355,"DDD")</f>
        <v>Thu</v>
      </c>
      <c r="D355" s="10">
        <f>WEEKNUM(B355)</f>
        <v>25</v>
      </c>
      <c r="E355" s="10" t="str">
        <f>TEXT(B355,"mmm-yy")</f>
        <v>Jun-26</v>
      </c>
      <c r="F355" s="11" t="s">
        <v>9</v>
      </c>
      <c r="G355" s="16" t="str">
        <f>IFERROR(VLOOKUP(Table1[[#This Row],[Compressor]],$K$9:$L$18,2,FALSE),"0")</f>
        <v>H254805AI</v>
      </c>
      <c r="H355" s="20">
        <v>23</v>
      </c>
      <c r="I355" s="12"/>
    </row>
    <row r="356" spans="2:9" x14ac:dyDescent="0.3">
      <c r="B356" s="8">
        <v>46191</v>
      </c>
      <c r="C356" s="9" t="str">
        <f>TEXT(B356,"DDD")</f>
        <v>Thu</v>
      </c>
      <c r="D356" s="10">
        <f>WEEKNUM(B356)</f>
        <v>25</v>
      </c>
      <c r="E356" s="10" t="str">
        <f>TEXT(B356,"mmm-yy")</f>
        <v>Jun-26</v>
      </c>
      <c r="F356" s="11" t="s">
        <v>10</v>
      </c>
      <c r="G356" s="16" t="str">
        <f>IFERROR(VLOOKUP(Table1[[#This Row],[Compressor]],$K$9:$L$18,2,FALSE),"0")</f>
        <v>H254805RT</v>
      </c>
      <c r="H356" s="20">
        <v>29</v>
      </c>
      <c r="I356" s="12"/>
    </row>
    <row r="357" spans="2:9" x14ac:dyDescent="0.3">
      <c r="B357" s="8">
        <v>46191</v>
      </c>
      <c r="C357" s="9" t="str">
        <f>TEXT(B357,"DDD")</f>
        <v>Thu</v>
      </c>
      <c r="D357" s="10">
        <f>WEEKNUM(B357)</f>
        <v>25</v>
      </c>
      <c r="E357" s="10" t="str">
        <f>TEXT(B357,"mmm-yy")</f>
        <v>Jun-26</v>
      </c>
      <c r="F357" s="11" t="s">
        <v>11</v>
      </c>
      <c r="G357" s="16" t="str">
        <f>IFERROR(VLOOKUP(Table1[[#This Row],[Compressor]],$K$9:$L$18,2,FALSE),"0")</f>
        <v>H254805HT</v>
      </c>
      <c r="H357" s="20">
        <v>31</v>
      </c>
      <c r="I357" s="12"/>
    </row>
    <row r="358" spans="2:9" x14ac:dyDescent="0.3">
      <c r="B358" s="8">
        <v>46191</v>
      </c>
      <c r="C358" s="21" t="str">
        <f>TEXT(B358,"DDD")</f>
        <v>Thu</v>
      </c>
      <c r="D358" s="22">
        <f>WEEKNUM(B358)</f>
        <v>25</v>
      </c>
      <c r="E358" s="22" t="str">
        <f>TEXT(B358,"mmm-yy")</f>
        <v>Jun-26</v>
      </c>
      <c r="F358" s="11" t="s">
        <v>12</v>
      </c>
      <c r="G358" s="24" t="str">
        <f>IFERROR(VLOOKUP(Table1[[#This Row],[Compressor]],$K$9:$L$18,2,FALSE),"0")</f>
        <v>H254803IH</v>
      </c>
      <c r="H358" s="25">
        <v>32</v>
      </c>
      <c r="I358" s="26"/>
    </row>
    <row r="359" spans="2:9" x14ac:dyDescent="0.3">
      <c r="B359" s="27">
        <v>46191</v>
      </c>
      <c r="C359" s="21" t="str">
        <f>TEXT(B359,"DDD")</f>
        <v>Thu</v>
      </c>
      <c r="D359" s="22">
        <f>WEEKNUM(B359)</f>
        <v>25</v>
      </c>
      <c r="E359" s="22" t="str">
        <f>TEXT(B359,"mmm-yy")</f>
        <v>Jun-26</v>
      </c>
      <c r="F359" s="11" t="s">
        <v>13</v>
      </c>
      <c r="G359" s="24" t="str">
        <f>IFERROR(VLOOKUP(Table1[[#This Row],[Compressor]],$K$9:$L$18,2,FALSE),"0")</f>
        <v>H254806XS</v>
      </c>
      <c r="H359" s="25">
        <v>102</v>
      </c>
      <c r="I359" s="26"/>
    </row>
    <row r="360" spans="2:9" x14ac:dyDescent="0.3">
      <c r="B360" s="27">
        <v>46191</v>
      </c>
      <c r="C360" s="21" t="str">
        <f>TEXT(B360,"DDD")</f>
        <v>Thu</v>
      </c>
      <c r="D360" s="22">
        <f>WEEKNUM(B360)</f>
        <v>25</v>
      </c>
      <c r="E360" s="22" t="str">
        <f>TEXT(B360,"mmm-yy")</f>
        <v>Jun-26</v>
      </c>
      <c r="F360" s="11" t="s">
        <v>14</v>
      </c>
      <c r="G360" s="24" t="str">
        <f>IFERROR(VLOOKUP(Table1[[#This Row],[Compressor]],$K$9:$L$18,2,FALSE),"0")</f>
        <v>H254803HV</v>
      </c>
      <c r="H360" s="25">
        <v>17</v>
      </c>
      <c r="I360" s="26"/>
    </row>
    <row r="361" spans="2:9" x14ac:dyDescent="0.3">
      <c r="B361" s="27">
        <v>46191</v>
      </c>
      <c r="C361" s="21" t="str">
        <f>TEXT(B361,"DDD")</f>
        <v>Thu</v>
      </c>
      <c r="D361" s="22">
        <f>WEEKNUM(B361)</f>
        <v>25</v>
      </c>
      <c r="E361" s="22" t="str">
        <f>TEXT(B361,"mmm-yy")</f>
        <v>Jun-26</v>
      </c>
      <c r="F361" s="11" t="s">
        <v>15</v>
      </c>
      <c r="G361" s="24" t="str">
        <f>IFERROR(VLOOKUP(Table1[[#This Row],[Compressor]],$K$9:$L$18,2,FALSE),"0")</f>
        <v>H254805HT</v>
      </c>
      <c r="H361" s="25">
        <v>12</v>
      </c>
      <c r="I361" s="26"/>
    </row>
    <row r="362" spans="2:9" x14ac:dyDescent="0.3">
      <c r="B362" s="27">
        <v>46191</v>
      </c>
      <c r="C362" s="21" t="str">
        <f>TEXT(B362,"DDD")</f>
        <v>Thu</v>
      </c>
      <c r="D362" s="22">
        <f>WEEKNUM(B362)</f>
        <v>25</v>
      </c>
      <c r="E362" s="22" t="str">
        <f>TEXT(B362,"mmm-yy")</f>
        <v>Jun-26</v>
      </c>
      <c r="F362" s="11" t="s">
        <v>16</v>
      </c>
      <c r="G362" s="24" t="str">
        <f>IFERROR(VLOOKUP(Table1[[#This Row],[Compressor]],$K$9:$L$18,2,FALSE),"0")</f>
        <v>H254805IL</v>
      </c>
      <c r="H362" s="25">
        <v>2</v>
      </c>
      <c r="I362" s="26"/>
    </row>
    <row r="363" spans="2:9" x14ac:dyDescent="0.3">
      <c r="B363" s="28">
        <v>46191</v>
      </c>
      <c r="C363" s="29" t="str">
        <f>TEXT(B363,"DDD")</f>
        <v>Thu</v>
      </c>
      <c r="D363" s="30">
        <f>WEEKNUM(B363)</f>
        <v>25</v>
      </c>
      <c r="E363" s="30" t="str">
        <f>TEXT(B363,"mmm-yy")</f>
        <v>Jun-26</v>
      </c>
      <c r="F363" s="11" t="s">
        <v>17</v>
      </c>
      <c r="G363" s="31" t="str">
        <f>IFERROR(VLOOKUP(Table1[[#This Row],[Compressor]],$K$9:$L$18,2,FALSE),"0")</f>
        <v>H254802IL</v>
      </c>
      <c r="H363" s="32">
        <v>3</v>
      </c>
      <c r="I363" s="33"/>
    </row>
    <row r="364" spans="2:9" x14ac:dyDescent="0.3">
      <c r="B364" s="8">
        <v>46192</v>
      </c>
      <c r="C364" s="9" t="str">
        <f>TEXT(B364,"DDD")</f>
        <v>Fri</v>
      </c>
      <c r="D364" s="10">
        <f>WEEKNUM(B364)</f>
        <v>25</v>
      </c>
      <c r="E364" s="10" t="str">
        <f>TEXT(B364,"mmm-yy")</f>
        <v>Jun-26</v>
      </c>
      <c r="F364" s="11" t="s">
        <v>8</v>
      </c>
      <c r="G364" s="16" t="str">
        <f>IFERROR(VLOOKUP(Table1[[#This Row],[Compressor]],$K$9:$L$18,2,FALSE),"0")</f>
        <v>H254805XS</v>
      </c>
      <c r="H364" s="20">
        <v>10</v>
      </c>
      <c r="I364" s="12"/>
    </row>
    <row r="365" spans="2:9" x14ac:dyDescent="0.3">
      <c r="B365" s="8">
        <v>46192</v>
      </c>
      <c r="C365" s="9" t="str">
        <f>TEXT(B365,"DDD")</f>
        <v>Fri</v>
      </c>
      <c r="D365" s="10">
        <f>WEEKNUM(B365)</f>
        <v>25</v>
      </c>
      <c r="E365" s="10" t="str">
        <f>TEXT(B365,"mmm-yy")</f>
        <v>Jun-26</v>
      </c>
      <c r="F365" s="11" t="s">
        <v>9</v>
      </c>
      <c r="G365" s="16" t="str">
        <f>IFERROR(VLOOKUP(Table1[[#This Row],[Compressor]],$K$9:$L$18,2,FALSE),"0")</f>
        <v>H254805AI</v>
      </c>
      <c r="H365" s="20">
        <v>23</v>
      </c>
      <c r="I365" s="12"/>
    </row>
    <row r="366" spans="2:9" x14ac:dyDescent="0.3">
      <c r="B366" s="8">
        <v>46192</v>
      </c>
      <c r="C366" s="9" t="str">
        <f>TEXT(B366,"DDD")</f>
        <v>Fri</v>
      </c>
      <c r="D366" s="10">
        <f>WEEKNUM(B366)</f>
        <v>25</v>
      </c>
      <c r="E366" s="10" t="str">
        <f>TEXT(B366,"mmm-yy")</f>
        <v>Jun-26</v>
      </c>
      <c r="F366" s="11" t="s">
        <v>10</v>
      </c>
      <c r="G366" s="16" t="str">
        <f>IFERROR(VLOOKUP(Table1[[#This Row],[Compressor]],$K$9:$L$18,2,FALSE),"0")</f>
        <v>H254805RT</v>
      </c>
      <c r="H366" s="20">
        <v>29</v>
      </c>
      <c r="I366" s="12"/>
    </row>
    <row r="367" spans="2:9" x14ac:dyDescent="0.3">
      <c r="B367" s="8">
        <v>46192</v>
      </c>
      <c r="C367" s="9" t="str">
        <f>TEXT(B367,"DDD")</f>
        <v>Fri</v>
      </c>
      <c r="D367" s="10">
        <f>WEEKNUM(B367)</f>
        <v>25</v>
      </c>
      <c r="E367" s="10" t="str">
        <f>TEXT(B367,"mmm-yy")</f>
        <v>Jun-26</v>
      </c>
      <c r="F367" s="11" t="s">
        <v>11</v>
      </c>
      <c r="G367" s="16" t="str">
        <f>IFERROR(VLOOKUP(Table1[[#This Row],[Compressor]],$K$9:$L$18,2,FALSE),"0")</f>
        <v>H254805HT</v>
      </c>
      <c r="H367" s="20">
        <v>31</v>
      </c>
      <c r="I367" s="12"/>
    </row>
    <row r="368" spans="2:9" x14ac:dyDescent="0.3">
      <c r="B368" s="8">
        <v>46192</v>
      </c>
      <c r="C368" s="21" t="str">
        <f>TEXT(B368,"DDD")</f>
        <v>Fri</v>
      </c>
      <c r="D368" s="22">
        <f>WEEKNUM(B368)</f>
        <v>25</v>
      </c>
      <c r="E368" s="22" t="str">
        <f>TEXT(B368,"mmm-yy")</f>
        <v>Jun-26</v>
      </c>
      <c r="F368" s="11" t="s">
        <v>12</v>
      </c>
      <c r="G368" s="24" t="str">
        <f>IFERROR(VLOOKUP(Table1[[#This Row],[Compressor]],$K$9:$L$18,2,FALSE),"0")</f>
        <v>H254803IH</v>
      </c>
      <c r="H368" s="25">
        <v>32</v>
      </c>
      <c r="I368" s="26"/>
    </row>
    <row r="369" spans="2:9" x14ac:dyDescent="0.3">
      <c r="B369" s="27">
        <v>46192</v>
      </c>
      <c r="C369" s="21" t="str">
        <f>TEXT(B369,"DDD")</f>
        <v>Fri</v>
      </c>
      <c r="D369" s="22">
        <f>WEEKNUM(B369)</f>
        <v>25</v>
      </c>
      <c r="E369" s="22" t="str">
        <f>TEXT(B369,"mmm-yy")</f>
        <v>Jun-26</v>
      </c>
      <c r="F369" s="11" t="s">
        <v>13</v>
      </c>
      <c r="G369" s="24" t="str">
        <f>IFERROR(VLOOKUP(Table1[[#This Row],[Compressor]],$K$9:$L$18,2,FALSE),"0")</f>
        <v>H254806XS</v>
      </c>
      <c r="H369" s="25">
        <v>102</v>
      </c>
      <c r="I369" s="26"/>
    </row>
    <row r="370" spans="2:9" x14ac:dyDescent="0.3">
      <c r="B370" s="27">
        <v>46192</v>
      </c>
      <c r="C370" s="21" t="str">
        <f>TEXT(B370,"DDD")</f>
        <v>Fri</v>
      </c>
      <c r="D370" s="22">
        <f>WEEKNUM(B370)</f>
        <v>25</v>
      </c>
      <c r="E370" s="22" t="str">
        <f>TEXT(B370,"mmm-yy")</f>
        <v>Jun-26</v>
      </c>
      <c r="F370" s="11" t="s">
        <v>14</v>
      </c>
      <c r="G370" s="24" t="str">
        <f>IFERROR(VLOOKUP(Table1[[#This Row],[Compressor]],$K$9:$L$18,2,FALSE),"0")</f>
        <v>H254803HV</v>
      </c>
      <c r="H370" s="25">
        <v>17</v>
      </c>
      <c r="I370" s="26"/>
    </row>
    <row r="371" spans="2:9" x14ac:dyDescent="0.3">
      <c r="B371" s="27">
        <v>46192</v>
      </c>
      <c r="C371" s="21" t="str">
        <f>TEXT(B371,"DDD")</f>
        <v>Fri</v>
      </c>
      <c r="D371" s="22">
        <f>WEEKNUM(B371)</f>
        <v>25</v>
      </c>
      <c r="E371" s="22" t="str">
        <f>TEXT(B371,"mmm-yy")</f>
        <v>Jun-26</v>
      </c>
      <c r="F371" s="11" t="s">
        <v>15</v>
      </c>
      <c r="G371" s="24" t="str">
        <f>IFERROR(VLOOKUP(Table1[[#This Row],[Compressor]],$K$9:$L$18,2,FALSE),"0")</f>
        <v>H254805HT</v>
      </c>
      <c r="H371" s="25">
        <v>16</v>
      </c>
      <c r="I371" s="26"/>
    </row>
    <row r="372" spans="2:9" x14ac:dyDescent="0.3">
      <c r="B372" s="27">
        <v>46192</v>
      </c>
      <c r="C372" s="21" t="str">
        <f>TEXT(B372,"DDD")</f>
        <v>Fri</v>
      </c>
      <c r="D372" s="22">
        <f>WEEKNUM(B372)</f>
        <v>25</v>
      </c>
      <c r="E372" s="22" t="str">
        <f>TEXT(B372,"mmm-yy")</f>
        <v>Jun-26</v>
      </c>
      <c r="F372" s="11" t="s">
        <v>16</v>
      </c>
      <c r="G372" s="24" t="str">
        <f>IFERROR(VLOOKUP(Table1[[#This Row],[Compressor]],$K$9:$L$18,2,FALSE),"0")</f>
        <v>H254805IL</v>
      </c>
      <c r="H372" s="25">
        <v>2</v>
      </c>
      <c r="I372" s="26"/>
    </row>
    <row r="373" spans="2:9" x14ac:dyDescent="0.3">
      <c r="B373" s="27">
        <v>46192</v>
      </c>
      <c r="C373" s="21" t="str">
        <f>TEXT(B373,"DDD")</f>
        <v>Fri</v>
      </c>
      <c r="D373" s="22">
        <f>WEEKNUM(B373)</f>
        <v>25</v>
      </c>
      <c r="E373" s="22" t="str">
        <f>TEXT(B373,"mmm-yy")</f>
        <v>Jun-26</v>
      </c>
      <c r="F373" s="11" t="s">
        <v>17</v>
      </c>
      <c r="G373" s="24" t="str">
        <f>IFERROR(VLOOKUP(Table1[[#This Row],[Compressor]],$K$9:$L$18,2,FALSE),"0")</f>
        <v>H254802IL</v>
      </c>
      <c r="H373" s="25">
        <v>3</v>
      </c>
      <c r="I373" s="26"/>
    </row>
    <row r="374" spans="2:9" x14ac:dyDescent="0.3">
      <c r="B374" s="8">
        <v>46193</v>
      </c>
      <c r="C374" s="9" t="str">
        <f>TEXT(B374,"DDD")</f>
        <v>Sat</v>
      </c>
      <c r="D374" s="10">
        <f>WEEKNUM(B374)</f>
        <v>25</v>
      </c>
      <c r="E374" s="10" t="str">
        <f>TEXT(B374,"mmm-yy")</f>
        <v>Jun-26</v>
      </c>
      <c r="F374" s="11" t="s">
        <v>8</v>
      </c>
      <c r="G374" s="16" t="str">
        <f>IFERROR(VLOOKUP(Table1[[#This Row],[Compressor]],$K$9:$L$18,2,FALSE),"0")</f>
        <v>H254805XS</v>
      </c>
      <c r="H374" s="20">
        <v>10</v>
      </c>
      <c r="I374" s="12"/>
    </row>
    <row r="375" spans="2:9" x14ac:dyDescent="0.3">
      <c r="B375" s="8">
        <v>46193</v>
      </c>
      <c r="C375" s="9" t="str">
        <f>TEXT(B375,"DDD")</f>
        <v>Sat</v>
      </c>
      <c r="D375" s="10">
        <f>WEEKNUM(B375)</f>
        <v>25</v>
      </c>
      <c r="E375" s="10" t="str">
        <f>TEXT(B375,"mmm-yy")</f>
        <v>Jun-26</v>
      </c>
      <c r="F375" s="11" t="s">
        <v>9</v>
      </c>
      <c r="G375" s="16" t="str">
        <f>IFERROR(VLOOKUP(Table1[[#This Row],[Compressor]],$K$9:$L$18,2,FALSE),"0")</f>
        <v>H254805AI</v>
      </c>
      <c r="H375" s="20">
        <v>23</v>
      </c>
      <c r="I375" s="12"/>
    </row>
    <row r="376" spans="2:9" x14ac:dyDescent="0.3">
      <c r="B376" s="8">
        <v>46193</v>
      </c>
      <c r="C376" s="9" t="str">
        <f>TEXT(B376,"DDD")</f>
        <v>Sat</v>
      </c>
      <c r="D376" s="10">
        <f>WEEKNUM(B376)</f>
        <v>25</v>
      </c>
      <c r="E376" s="10" t="str">
        <f>TEXT(B376,"mmm-yy")</f>
        <v>Jun-26</v>
      </c>
      <c r="F376" s="11" t="s">
        <v>10</v>
      </c>
      <c r="G376" s="16" t="str">
        <f>IFERROR(VLOOKUP(Table1[[#This Row],[Compressor]],$K$9:$L$18,2,FALSE),"0")</f>
        <v>H254805RT</v>
      </c>
      <c r="H376" s="20">
        <v>29</v>
      </c>
      <c r="I376" s="12"/>
    </row>
    <row r="377" spans="2:9" x14ac:dyDescent="0.3">
      <c r="B377" s="8">
        <v>46193</v>
      </c>
      <c r="C377" s="9" t="str">
        <f>TEXT(B377,"DDD")</f>
        <v>Sat</v>
      </c>
      <c r="D377" s="10">
        <f>WEEKNUM(B377)</f>
        <v>25</v>
      </c>
      <c r="E377" s="10" t="str">
        <f>TEXT(B377,"mmm-yy")</f>
        <v>Jun-26</v>
      </c>
      <c r="F377" s="11" t="s">
        <v>11</v>
      </c>
      <c r="G377" s="16" t="str">
        <f>IFERROR(VLOOKUP(Table1[[#This Row],[Compressor]],$K$9:$L$18,2,FALSE),"0")</f>
        <v>H254805HT</v>
      </c>
      <c r="H377" s="20">
        <v>31</v>
      </c>
      <c r="I377" s="12"/>
    </row>
    <row r="378" spans="2:9" x14ac:dyDescent="0.3">
      <c r="B378" s="8">
        <v>46193</v>
      </c>
      <c r="C378" s="21" t="str">
        <f>TEXT(B378,"DDD")</f>
        <v>Sat</v>
      </c>
      <c r="D378" s="22">
        <f>WEEKNUM(B378)</f>
        <v>25</v>
      </c>
      <c r="E378" s="22" t="str">
        <f>TEXT(B378,"mmm-yy")</f>
        <v>Jun-26</v>
      </c>
      <c r="F378" s="11" t="s">
        <v>12</v>
      </c>
      <c r="G378" s="24" t="str">
        <f>IFERROR(VLOOKUP(Table1[[#This Row],[Compressor]],$K$9:$L$18,2,FALSE),"0")</f>
        <v>H254803IH</v>
      </c>
      <c r="H378" s="25">
        <v>32</v>
      </c>
      <c r="I378" s="26"/>
    </row>
    <row r="379" spans="2:9" x14ac:dyDescent="0.3">
      <c r="B379" s="27">
        <v>46193</v>
      </c>
      <c r="C379" s="21" t="str">
        <f>TEXT(B379,"DDD")</f>
        <v>Sat</v>
      </c>
      <c r="D379" s="22">
        <f>WEEKNUM(B379)</f>
        <v>25</v>
      </c>
      <c r="E379" s="22" t="str">
        <f>TEXT(B379,"mmm-yy")</f>
        <v>Jun-26</v>
      </c>
      <c r="F379" s="11" t="s">
        <v>13</v>
      </c>
      <c r="G379" s="24" t="str">
        <f>IFERROR(VLOOKUP(Table1[[#This Row],[Compressor]],$K$9:$L$18,2,FALSE),"0")</f>
        <v>H254806XS</v>
      </c>
      <c r="H379" s="25">
        <v>102</v>
      </c>
      <c r="I379" s="26"/>
    </row>
    <row r="380" spans="2:9" x14ac:dyDescent="0.3">
      <c r="B380" s="27">
        <v>46193</v>
      </c>
      <c r="C380" s="21" t="str">
        <f>TEXT(B380,"DDD")</f>
        <v>Sat</v>
      </c>
      <c r="D380" s="22">
        <f>WEEKNUM(B380)</f>
        <v>25</v>
      </c>
      <c r="E380" s="22" t="str">
        <f>TEXT(B380,"mmm-yy")</f>
        <v>Jun-26</v>
      </c>
      <c r="F380" s="11" t="s">
        <v>14</v>
      </c>
      <c r="G380" s="24" t="str">
        <f>IFERROR(VLOOKUP(Table1[[#This Row],[Compressor]],$K$9:$L$18,2,FALSE),"0")</f>
        <v>H254803HV</v>
      </c>
      <c r="H380" s="25">
        <v>17</v>
      </c>
      <c r="I380" s="26"/>
    </row>
    <row r="381" spans="2:9" x14ac:dyDescent="0.3">
      <c r="B381" s="27">
        <v>46193</v>
      </c>
      <c r="C381" s="21" t="str">
        <f>TEXT(B381,"DDD")</f>
        <v>Sat</v>
      </c>
      <c r="D381" s="22">
        <f>WEEKNUM(B381)</f>
        <v>25</v>
      </c>
      <c r="E381" s="22" t="str">
        <f>TEXT(B381,"mmm-yy")</f>
        <v>Jun-26</v>
      </c>
      <c r="F381" s="11" t="s">
        <v>15</v>
      </c>
      <c r="G381" s="24" t="str">
        <f>IFERROR(VLOOKUP(Table1[[#This Row],[Compressor]],$K$9:$L$18,2,FALSE),"0")</f>
        <v>H254805HT</v>
      </c>
      <c r="H381" s="25">
        <v>16</v>
      </c>
      <c r="I381" s="26"/>
    </row>
    <row r="382" spans="2:9" x14ac:dyDescent="0.3">
      <c r="B382" s="27">
        <v>46193</v>
      </c>
      <c r="C382" s="21" t="str">
        <f>TEXT(B382,"DDD")</f>
        <v>Sat</v>
      </c>
      <c r="D382" s="22">
        <f>WEEKNUM(B382)</f>
        <v>25</v>
      </c>
      <c r="E382" s="22" t="str">
        <f>TEXT(B382,"mmm-yy")</f>
        <v>Jun-26</v>
      </c>
      <c r="F382" s="11" t="s">
        <v>16</v>
      </c>
      <c r="G382" s="24" t="str">
        <f>IFERROR(VLOOKUP(Table1[[#This Row],[Compressor]],$K$9:$L$18,2,FALSE),"0")</f>
        <v>H254805IL</v>
      </c>
      <c r="H382" s="25">
        <v>2</v>
      </c>
      <c r="I382" s="26"/>
    </row>
    <row r="383" spans="2:9" x14ac:dyDescent="0.3">
      <c r="B383" s="27">
        <v>46193</v>
      </c>
      <c r="C383" s="21" t="str">
        <f>TEXT(B383,"DDD")</f>
        <v>Sat</v>
      </c>
      <c r="D383" s="22">
        <f>WEEKNUM(B383)</f>
        <v>25</v>
      </c>
      <c r="E383" s="22" t="str">
        <f>TEXT(B383,"mmm-yy")</f>
        <v>Jun-26</v>
      </c>
      <c r="F383" s="11" t="s">
        <v>17</v>
      </c>
      <c r="G383" s="24" t="str">
        <f>IFERROR(VLOOKUP(Table1[[#This Row],[Compressor]],$K$9:$L$18,2,FALSE),"0")</f>
        <v>H254802IL</v>
      </c>
      <c r="H383" s="25">
        <v>3</v>
      </c>
      <c r="I383" s="26"/>
    </row>
    <row r="384" spans="2:9" x14ac:dyDescent="0.3">
      <c r="B384" s="8">
        <v>46194</v>
      </c>
      <c r="C384" s="9" t="str">
        <f>TEXT(B384,"DDD")</f>
        <v>Sun</v>
      </c>
      <c r="D384" s="10">
        <f>WEEKNUM(B384)</f>
        <v>26</v>
      </c>
      <c r="E384" s="10" t="str">
        <f>TEXT(B384,"mmm-yy")</f>
        <v>Jun-26</v>
      </c>
      <c r="F384" s="11" t="s">
        <v>8</v>
      </c>
      <c r="G384" s="16" t="str">
        <f>IFERROR(VLOOKUP(Table1[[#This Row],[Compressor]],$K$9:$L$18,2,FALSE),"0")</f>
        <v>H254805XS</v>
      </c>
      <c r="H384" s="20">
        <v>10</v>
      </c>
      <c r="I384" s="12"/>
    </row>
    <row r="385" spans="2:9" x14ac:dyDescent="0.3">
      <c r="B385" s="8">
        <v>46194</v>
      </c>
      <c r="C385" s="9" t="str">
        <f>TEXT(B385,"DDD")</f>
        <v>Sun</v>
      </c>
      <c r="D385" s="10">
        <f>WEEKNUM(B385)</f>
        <v>26</v>
      </c>
      <c r="E385" s="10" t="str">
        <f>TEXT(B385,"mmm-yy")</f>
        <v>Jun-26</v>
      </c>
      <c r="F385" s="11" t="s">
        <v>9</v>
      </c>
      <c r="G385" s="16" t="str">
        <f>IFERROR(VLOOKUP(Table1[[#This Row],[Compressor]],$K$9:$L$18,2,FALSE),"0")</f>
        <v>H254805AI</v>
      </c>
      <c r="H385" s="20">
        <v>23</v>
      </c>
      <c r="I385" s="12"/>
    </row>
    <row r="386" spans="2:9" x14ac:dyDescent="0.3">
      <c r="B386" s="8">
        <v>46194</v>
      </c>
      <c r="C386" s="9" t="str">
        <f>TEXT(B386,"DDD")</f>
        <v>Sun</v>
      </c>
      <c r="D386" s="10">
        <f>WEEKNUM(B386)</f>
        <v>26</v>
      </c>
      <c r="E386" s="10" t="str">
        <f>TEXT(B386,"mmm-yy")</f>
        <v>Jun-26</v>
      </c>
      <c r="F386" s="11" t="s">
        <v>10</v>
      </c>
      <c r="G386" s="16" t="str">
        <f>IFERROR(VLOOKUP(Table1[[#This Row],[Compressor]],$K$9:$L$18,2,FALSE),"0")</f>
        <v>H254805RT</v>
      </c>
      <c r="H386" s="20">
        <v>29</v>
      </c>
      <c r="I386" s="12"/>
    </row>
    <row r="387" spans="2:9" x14ac:dyDescent="0.3">
      <c r="B387" s="8">
        <v>46194</v>
      </c>
      <c r="C387" s="9" t="str">
        <f>TEXT(B387,"DDD")</f>
        <v>Sun</v>
      </c>
      <c r="D387" s="10">
        <f>WEEKNUM(B387)</f>
        <v>26</v>
      </c>
      <c r="E387" s="10" t="str">
        <f>TEXT(B387,"mmm-yy")</f>
        <v>Jun-26</v>
      </c>
      <c r="F387" s="11" t="s">
        <v>11</v>
      </c>
      <c r="G387" s="16" t="str">
        <f>IFERROR(VLOOKUP(Table1[[#This Row],[Compressor]],$K$9:$L$18,2,FALSE),"0")</f>
        <v>H254805HT</v>
      </c>
      <c r="H387" s="20">
        <v>31</v>
      </c>
      <c r="I387" s="12"/>
    </row>
    <row r="388" spans="2:9" x14ac:dyDescent="0.3">
      <c r="B388" s="8">
        <v>46194</v>
      </c>
      <c r="C388" s="21" t="str">
        <f>TEXT(B388,"DDD")</f>
        <v>Sun</v>
      </c>
      <c r="D388" s="22">
        <f>WEEKNUM(B388)</f>
        <v>26</v>
      </c>
      <c r="E388" s="22" t="str">
        <f>TEXT(B388,"mmm-yy")</f>
        <v>Jun-26</v>
      </c>
      <c r="F388" s="11" t="s">
        <v>12</v>
      </c>
      <c r="G388" s="24" t="str">
        <f>IFERROR(VLOOKUP(Table1[[#This Row],[Compressor]],$K$9:$L$18,2,FALSE),"0")</f>
        <v>H254803IH</v>
      </c>
      <c r="H388" s="25">
        <v>32</v>
      </c>
      <c r="I388" s="26"/>
    </row>
    <row r="389" spans="2:9" x14ac:dyDescent="0.3">
      <c r="B389" s="27">
        <v>46194</v>
      </c>
      <c r="C389" s="21" t="str">
        <f>TEXT(B389,"DDD")</f>
        <v>Sun</v>
      </c>
      <c r="D389" s="22">
        <f>WEEKNUM(B389)</f>
        <v>26</v>
      </c>
      <c r="E389" s="22" t="str">
        <f>TEXT(B389,"mmm-yy")</f>
        <v>Jun-26</v>
      </c>
      <c r="F389" s="11" t="s">
        <v>13</v>
      </c>
      <c r="G389" s="24" t="str">
        <f>IFERROR(VLOOKUP(Table1[[#This Row],[Compressor]],$K$9:$L$18,2,FALSE),"0")</f>
        <v>H254806XS</v>
      </c>
      <c r="H389" s="25">
        <v>102</v>
      </c>
      <c r="I389" s="26"/>
    </row>
    <row r="390" spans="2:9" x14ac:dyDescent="0.3">
      <c r="B390" s="27">
        <v>46194</v>
      </c>
      <c r="C390" s="21" t="str">
        <f>TEXT(B390,"DDD")</f>
        <v>Sun</v>
      </c>
      <c r="D390" s="22">
        <f>WEEKNUM(B390)</f>
        <v>26</v>
      </c>
      <c r="E390" s="22" t="str">
        <f>TEXT(B390,"mmm-yy")</f>
        <v>Jun-26</v>
      </c>
      <c r="F390" s="11" t="s">
        <v>14</v>
      </c>
      <c r="G390" s="24" t="str">
        <f>IFERROR(VLOOKUP(Table1[[#This Row],[Compressor]],$K$9:$L$18,2,FALSE),"0")</f>
        <v>H254803HV</v>
      </c>
      <c r="H390" s="25">
        <v>19</v>
      </c>
      <c r="I390" s="26"/>
    </row>
    <row r="391" spans="2:9" x14ac:dyDescent="0.3">
      <c r="B391" s="27">
        <v>46194</v>
      </c>
      <c r="C391" s="21" t="str">
        <f>TEXT(B391,"DDD")</f>
        <v>Sun</v>
      </c>
      <c r="D391" s="22">
        <f>WEEKNUM(B391)</f>
        <v>26</v>
      </c>
      <c r="E391" s="22" t="str">
        <f>TEXT(B391,"mmm-yy")</f>
        <v>Jun-26</v>
      </c>
      <c r="F391" s="11" t="s">
        <v>15</v>
      </c>
      <c r="G391" s="24" t="str">
        <f>IFERROR(VLOOKUP(Table1[[#This Row],[Compressor]],$K$9:$L$18,2,FALSE),"0")</f>
        <v>H254805HT</v>
      </c>
      <c r="H391" s="25">
        <v>24</v>
      </c>
      <c r="I391" s="26"/>
    </row>
    <row r="392" spans="2:9" x14ac:dyDescent="0.3">
      <c r="B392" s="27">
        <v>46194</v>
      </c>
      <c r="C392" s="21" t="str">
        <f>TEXT(B392,"DDD")</f>
        <v>Sun</v>
      </c>
      <c r="D392" s="22">
        <f>WEEKNUM(B392)</f>
        <v>26</v>
      </c>
      <c r="E392" s="22" t="str">
        <f>TEXT(B392,"mmm-yy")</f>
        <v>Jun-26</v>
      </c>
      <c r="F392" s="11" t="s">
        <v>16</v>
      </c>
      <c r="G392" s="24" t="str">
        <f>IFERROR(VLOOKUP(Table1[[#This Row],[Compressor]],$K$9:$L$18,2,FALSE),"0")</f>
        <v>H254805IL</v>
      </c>
      <c r="H392" s="25">
        <v>2</v>
      </c>
      <c r="I392" s="26"/>
    </row>
    <row r="393" spans="2:9" x14ac:dyDescent="0.3">
      <c r="B393" s="28">
        <v>46194</v>
      </c>
      <c r="C393" s="29" t="str">
        <f>TEXT(B393,"DDD")</f>
        <v>Sun</v>
      </c>
      <c r="D393" s="30">
        <f>WEEKNUM(B393)</f>
        <v>26</v>
      </c>
      <c r="E393" s="30" t="str">
        <f>TEXT(B393,"mmm-yy")</f>
        <v>Jun-26</v>
      </c>
      <c r="F393" s="11" t="s">
        <v>17</v>
      </c>
      <c r="G393" s="31" t="str">
        <f>IFERROR(VLOOKUP(Table1[[#This Row],[Compressor]],$K$9:$L$18,2,FALSE),"0")</f>
        <v>H254802IL</v>
      </c>
      <c r="H393" s="32">
        <v>3</v>
      </c>
      <c r="I393" s="33"/>
    </row>
    <row r="394" spans="2:9" x14ac:dyDescent="0.3">
      <c r="B394" s="8">
        <v>46195</v>
      </c>
      <c r="C394" s="9" t="str">
        <f>TEXT(B394,"DDD")</f>
        <v>Mon</v>
      </c>
      <c r="D394" s="10">
        <f>WEEKNUM(B394)</f>
        <v>26</v>
      </c>
      <c r="E394" s="10" t="str">
        <f>TEXT(B394,"mmm-yy")</f>
        <v>Jun-26</v>
      </c>
      <c r="F394" s="11" t="s">
        <v>8</v>
      </c>
      <c r="G394" s="16" t="str">
        <f>IFERROR(VLOOKUP(Table1[[#This Row],[Compressor]],$K$9:$L$18,2,FALSE),"0")</f>
        <v>H254805XS</v>
      </c>
      <c r="H394" s="20">
        <v>10</v>
      </c>
      <c r="I394" s="12"/>
    </row>
    <row r="395" spans="2:9" x14ac:dyDescent="0.3">
      <c r="B395" s="8">
        <v>46195</v>
      </c>
      <c r="C395" s="9" t="str">
        <f>TEXT(B395,"DDD")</f>
        <v>Mon</v>
      </c>
      <c r="D395" s="10">
        <f>WEEKNUM(B395)</f>
        <v>26</v>
      </c>
      <c r="E395" s="10" t="str">
        <f>TEXT(B395,"mmm-yy")</f>
        <v>Jun-26</v>
      </c>
      <c r="F395" s="11" t="s">
        <v>9</v>
      </c>
      <c r="G395" s="16" t="str">
        <f>IFERROR(VLOOKUP(Table1[[#This Row],[Compressor]],$K$9:$L$18,2,FALSE),"0")</f>
        <v>H254805AI</v>
      </c>
      <c r="H395" s="20">
        <v>23</v>
      </c>
      <c r="I395" s="12"/>
    </row>
    <row r="396" spans="2:9" x14ac:dyDescent="0.3">
      <c r="B396" s="8">
        <v>46195</v>
      </c>
      <c r="C396" s="9" t="str">
        <f>TEXT(B396,"DDD")</f>
        <v>Mon</v>
      </c>
      <c r="D396" s="10">
        <f>WEEKNUM(B396)</f>
        <v>26</v>
      </c>
      <c r="E396" s="10" t="str">
        <f>TEXT(B396,"mmm-yy")</f>
        <v>Jun-26</v>
      </c>
      <c r="F396" s="11" t="s">
        <v>10</v>
      </c>
      <c r="G396" s="16" t="str">
        <f>IFERROR(VLOOKUP(Table1[[#This Row],[Compressor]],$K$9:$L$18,2,FALSE),"0")</f>
        <v>H254805RT</v>
      </c>
      <c r="H396" s="20">
        <v>29</v>
      </c>
      <c r="I396" s="12"/>
    </row>
    <row r="397" spans="2:9" x14ac:dyDescent="0.3">
      <c r="B397" s="8">
        <v>46195</v>
      </c>
      <c r="C397" s="9" t="str">
        <f>TEXT(B397,"DDD")</f>
        <v>Mon</v>
      </c>
      <c r="D397" s="10">
        <f>WEEKNUM(B397)</f>
        <v>26</v>
      </c>
      <c r="E397" s="10" t="str">
        <f>TEXT(B397,"mmm-yy")</f>
        <v>Jun-26</v>
      </c>
      <c r="F397" s="11" t="s">
        <v>11</v>
      </c>
      <c r="G397" s="16" t="str">
        <f>IFERROR(VLOOKUP(Table1[[#This Row],[Compressor]],$K$9:$L$18,2,FALSE),"0")</f>
        <v>H254805HT</v>
      </c>
      <c r="H397" s="20">
        <v>31</v>
      </c>
      <c r="I397" s="12"/>
    </row>
    <row r="398" spans="2:9" x14ac:dyDescent="0.3">
      <c r="B398" s="8">
        <v>46195</v>
      </c>
      <c r="C398" s="21" t="str">
        <f>TEXT(B398,"DDD")</f>
        <v>Mon</v>
      </c>
      <c r="D398" s="22">
        <f>WEEKNUM(B398)</f>
        <v>26</v>
      </c>
      <c r="E398" s="22" t="str">
        <f>TEXT(B398,"mmm-yy")</f>
        <v>Jun-26</v>
      </c>
      <c r="F398" s="11" t="s">
        <v>12</v>
      </c>
      <c r="G398" s="24" t="str">
        <f>IFERROR(VLOOKUP(Table1[[#This Row],[Compressor]],$K$9:$L$18,2,FALSE),"0")</f>
        <v>H254803IH</v>
      </c>
      <c r="H398" s="25">
        <v>32</v>
      </c>
      <c r="I398" s="26"/>
    </row>
    <row r="399" spans="2:9" x14ac:dyDescent="0.3">
      <c r="B399" s="27">
        <v>46195</v>
      </c>
      <c r="C399" s="21" t="str">
        <f>TEXT(B399,"DDD")</f>
        <v>Mon</v>
      </c>
      <c r="D399" s="22">
        <f>WEEKNUM(B399)</f>
        <v>26</v>
      </c>
      <c r="E399" s="22" t="str">
        <f>TEXT(B399,"mmm-yy")</f>
        <v>Jun-26</v>
      </c>
      <c r="F399" s="11" t="s">
        <v>13</v>
      </c>
      <c r="G399" s="24" t="str">
        <f>IFERROR(VLOOKUP(Table1[[#This Row],[Compressor]],$K$9:$L$18,2,FALSE),"0")</f>
        <v>H254806XS</v>
      </c>
      <c r="H399" s="25">
        <v>102</v>
      </c>
      <c r="I399" s="26"/>
    </row>
    <row r="400" spans="2:9" x14ac:dyDescent="0.3">
      <c r="B400" s="27">
        <v>46195</v>
      </c>
      <c r="C400" s="21" t="str">
        <f>TEXT(B400,"DDD")</f>
        <v>Mon</v>
      </c>
      <c r="D400" s="22">
        <f>WEEKNUM(B400)</f>
        <v>26</v>
      </c>
      <c r="E400" s="22" t="str">
        <f>TEXT(B400,"mmm-yy")</f>
        <v>Jun-26</v>
      </c>
      <c r="F400" s="11" t="s">
        <v>14</v>
      </c>
      <c r="G400" s="24" t="str">
        <f>IFERROR(VLOOKUP(Table1[[#This Row],[Compressor]],$K$9:$L$18,2,FALSE),"0")</f>
        <v>H254803HV</v>
      </c>
      <c r="H400" s="25">
        <v>19</v>
      </c>
      <c r="I400" s="26"/>
    </row>
    <row r="401" spans="2:9" x14ac:dyDescent="0.3">
      <c r="B401" s="27">
        <v>46195</v>
      </c>
      <c r="C401" s="21" t="str">
        <f>TEXT(B401,"DDD")</f>
        <v>Mon</v>
      </c>
      <c r="D401" s="22">
        <f>WEEKNUM(B401)</f>
        <v>26</v>
      </c>
      <c r="E401" s="22" t="str">
        <f>TEXT(B401,"mmm-yy")</f>
        <v>Jun-26</v>
      </c>
      <c r="F401" s="11" t="s">
        <v>15</v>
      </c>
      <c r="G401" s="24" t="str">
        <f>IFERROR(VLOOKUP(Table1[[#This Row],[Compressor]],$K$9:$L$18,2,FALSE),"0")</f>
        <v>H254805HT</v>
      </c>
      <c r="H401" s="25">
        <v>26</v>
      </c>
      <c r="I401" s="26"/>
    </row>
    <row r="402" spans="2:9" x14ac:dyDescent="0.3">
      <c r="B402" s="27">
        <v>46195</v>
      </c>
      <c r="C402" s="21" t="str">
        <f>TEXT(B402,"DDD")</f>
        <v>Mon</v>
      </c>
      <c r="D402" s="22">
        <f>WEEKNUM(B402)</f>
        <v>26</v>
      </c>
      <c r="E402" s="22" t="str">
        <f>TEXT(B402,"mmm-yy")</f>
        <v>Jun-26</v>
      </c>
      <c r="F402" s="11" t="s">
        <v>16</v>
      </c>
      <c r="G402" s="24" t="str">
        <f>IFERROR(VLOOKUP(Table1[[#This Row],[Compressor]],$K$9:$L$18,2,FALSE),"0")</f>
        <v>H254805IL</v>
      </c>
      <c r="H402" s="25">
        <v>2</v>
      </c>
      <c r="I402" s="26"/>
    </row>
    <row r="403" spans="2:9" x14ac:dyDescent="0.3">
      <c r="B403" s="27">
        <v>46195</v>
      </c>
      <c r="C403" s="21" t="str">
        <f>TEXT(B403,"DDD")</f>
        <v>Mon</v>
      </c>
      <c r="D403" s="22">
        <f>WEEKNUM(B403)</f>
        <v>26</v>
      </c>
      <c r="E403" s="22" t="str">
        <f>TEXT(B403,"mmm-yy")</f>
        <v>Jun-26</v>
      </c>
      <c r="F403" s="11" t="s">
        <v>17</v>
      </c>
      <c r="G403" s="24" t="str">
        <f>IFERROR(VLOOKUP(Table1[[#This Row],[Compressor]],$K$9:$L$18,2,FALSE),"0")</f>
        <v>H254802IL</v>
      </c>
      <c r="H403" s="25">
        <v>3</v>
      </c>
      <c r="I403" s="26"/>
    </row>
    <row r="404" spans="2:9" x14ac:dyDescent="0.3">
      <c r="B404" s="8">
        <v>46196</v>
      </c>
      <c r="C404" s="9" t="str">
        <f>TEXT(B404,"DDD")</f>
        <v>Tue</v>
      </c>
      <c r="D404" s="10">
        <f>WEEKNUM(B404)</f>
        <v>26</v>
      </c>
      <c r="E404" s="10" t="str">
        <f>TEXT(B404,"mmm-yy")</f>
        <v>Jun-26</v>
      </c>
      <c r="F404" s="11" t="s">
        <v>8</v>
      </c>
      <c r="G404" s="16" t="str">
        <f>IFERROR(VLOOKUP(Table1[[#This Row],[Compressor]],$K$9:$L$18,2,FALSE),"0")</f>
        <v>H254805XS</v>
      </c>
      <c r="H404" s="20">
        <v>10</v>
      </c>
      <c r="I404" s="12"/>
    </row>
    <row r="405" spans="2:9" x14ac:dyDescent="0.3">
      <c r="B405" s="8">
        <v>46196</v>
      </c>
      <c r="C405" s="9" t="str">
        <f>TEXT(B405,"DDD")</f>
        <v>Tue</v>
      </c>
      <c r="D405" s="10">
        <f>WEEKNUM(B405)</f>
        <v>26</v>
      </c>
      <c r="E405" s="10" t="str">
        <f>TEXT(B405,"mmm-yy")</f>
        <v>Jun-26</v>
      </c>
      <c r="F405" s="11" t="s">
        <v>9</v>
      </c>
      <c r="G405" s="16" t="str">
        <f>IFERROR(VLOOKUP(Table1[[#This Row],[Compressor]],$K$9:$L$18,2,FALSE),"0")</f>
        <v>H254805AI</v>
      </c>
      <c r="H405" s="20">
        <v>23</v>
      </c>
      <c r="I405" s="12"/>
    </row>
    <row r="406" spans="2:9" x14ac:dyDescent="0.3">
      <c r="B406" s="8">
        <v>46196</v>
      </c>
      <c r="C406" s="9" t="str">
        <f>TEXT(B406,"DDD")</f>
        <v>Tue</v>
      </c>
      <c r="D406" s="10">
        <f>WEEKNUM(B406)</f>
        <v>26</v>
      </c>
      <c r="E406" s="10" t="str">
        <f>TEXT(B406,"mmm-yy")</f>
        <v>Jun-26</v>
      </c>
      <c r="F406" s="11" t="s">
        <v>10</v>
      </c>
      <c r="G406" s="16" t="str">
        <f>IFERROR(VLOOKUP(Table1[[#This Row],[Compressor]],$K$9:$L$18,2,FALSE),"0")</f>
        <v>H254805RT</v>
      </c>
      <c r="H406" s="20">
        <v>29</v>
      </c>
      <c r="I406" s="12"/>
    </row>
    <row r="407" spans="2:9" x14ac:dyDescent="0.3">
      <c r="B407" s="8">
        <v>46196</v>
      </c>
      <c r="C407" s="9" t="str">
        <f>TEXT(B407,"DDD")</f>
        <v>Tue</v>
      </c>
      <c r="D407" s="10">
        <f>WEEKNUM(B407)</f>
        <v>26</v>
      </c>
      <c r="E407" s="10" t="str">
        <f>TEXT(B407,"mmm-yy")</f>
        <v>Jun-26</v>
      </c>
      <c r="F407" s="11" t="s">
        <v>11</v>
      </c>
      <c r="G407" s="16" t="str">
        <f>IFERROR(VLOOKUP(Table1[[#This Row],[Compressor]],$K$9:$L$18,2,FALSE),"0")</f>
        <v>H254805HT</v>
      </c>
      <c r="H407" s="20">
        <v>31</v>
      </c>
      <c r="I407" s="12"/>
    </row>
    <row r="408" spans="2:9" x14ac:dyDescent="0.3">
      <c r="B408" s="8">
        <v>46196</v>
      </c>
      <c r="C408" s="21" t="str">
        <f>TEXT(B408,"DDD")</f>
        <v>Tue</v>
      </c>
      <c r="D408" s="22">
        <f>WEEKNUM(B408)</f>
        <v>26</v>
      </c>
      <c r="E408" s="22" t="str">
        <f>TEXT(B408,"mmm-yy")</f>
        <v>Jun-26</v>
      </c>
      <c r="F408" s="11" t="s">
        <v>12</v>
      </c>
      <c r="G408" s="24" t="str">
        <f>IFERROR(VLOOKUP(Table1[[#This Row],[Compressor]],$K$9:$L$18,2,FALSE),"0")</f>
        <v>H254803IH</v>
      </c>
      <c r="H408" s="25">
        <v>32</v>
      </c>
      <c r="I408" s="26"/>
    </row>
    <row r="409" spans="2:9" x14ac:dyDescent="0.3">
      <c r="B409" s="27">
        <v>46196</v>
      </c>
      <c r="C409" s="21" t="str">
        <f>TEXT(B409,"DDD")</f>
        <v>Tue</v>
      </c>
      <c r="D409" s="22">
        <f>WEEKNUM(B409)</f>
        <v>26</v>
      </c>
      <c r="E409" s="22" t="str">
        <f>TEXT(B409,"mmm-yy")</f>
        <v>Jun-26</v>
      </c>
      <c r="F409" s="11" t="s">
        <v>13</v>
      </c>
      <c r="G409" s="24" t="str">
        <f>IFERROR(VLOOKUP(Table1[[#This Row],[Compressor]],$K$9:$L$18,2,FALSE),"0")</f>
        <v>H254806XS</v>
      </c>
      <c r="H409" s="25">
        <v>102</v>
      </c>
      <c r="I409" s="26"/>
    </row>
    <row r="410" spans="2:9" x14ac:dyDescent="0.3">
      <c r="B410" s="27">
        <v>46196</v>
      </c>
      <c r="C410" s="21" t="str">
        <f>TEXT(B410,"DDD")</f>
        <v>Tue</v>
      </c>
      <c r="D410" s="22">
        <f>WEEKNUM(B410)</f>
        <v>26</v>
      </c>
      <c r="E410" s="22" t="str">
        <f>TEXT(B410,"mmm-yy")</f>
        <v>Jun-26</v>
      </c>
      <c r="F410" s="11" t="s">
        <v>14</v>
      </c>
      <c r="G410" s="24" t="str">
        <f>IFERROR(VLOOKUP(Table1[[#This Row],[Compressor]],$K$9:$L$18,2,FALSE),"0")</f>
        <v>H254803HV</v>
      </c>
      <c r="H410" s="25">
        <v>19</v>
      </c>
      <c r="I410" s="26"/>
    </row>
    <row r="411" spans="2:9" x14ac:dyDescent="0.3">
      <c r="B411" s="27">
        <v>46196</v>
      </c>
      <c r="C411" s="21" t="str">
        <f>TEXT(B411,"DDD")</f>
        <v>Tue</v>
      </c>
      <c r="D411" s="22">
        <f>WEEKNUM(B411)</f>
        <v>26</v>
      </c>
      <c r="E411" s="22" t="str">
        <f>TEXT(B411,"mmm-yy")</f>
        <v>Jun-26</v>
      </c>
      <c r="F411" s="11" t="s">
        <v>15</v>
      </c>
      <c r="G411" s="24" t="str">
        <f>IFERROR(VLOOKUP(Table1[[#This Row],[Compressor]],$K$9:$L$18,2,FALSE),"0")</f>
        <v>H254805HT</v>
      </c>
      <c r="H411" s="25">
        <v>37</v>
      </c>
      <c r="I411" s="26"/>
    </row>
    <row r="412" spans="2:9" x14ac:dyDescent="0.3">
      <c r="B412" s="27">
        <v>46196</v>
      </c>
      <c r="C412" s="21" t="str">
        <f>TEXT(B412,"DDD")</f>
        <v>Tue</v>
      </c>
      <c r="D412" s="22">
        <f>WEEKNUM(B412)</f>
        <v>26</v>
      </c>
      <c r="E412" s="22" t="str">
        <f>TEXT(B412,"mmm-yy")</f>
        <v>Jun-26</v>
      </c>
      <c r="F412" s="11" t="s">
        <v>16</v>
      </c>
      <c r="G412" s="24" t="str">
        <f>IFERROR(VLOOKUP(Table1[[#This Row],[Compressor]],$K$9:$L$18,2,FALSE),"0")</f>
        <v>H254805IL</v>
      </c>
      <c r="H412" s="25">
        <v>6</v>
      </c>
      <c r="I412" s="26"/>
    </row>
    <row r="413" spans="2:9" x14ac:dyDescent="0.3">
      <c r="B413" s="27">
        <v>46196</v>
      </c>
      <c r="C413" s="21" t="str">
        <f>TEXT(B413,"DDD")</f>
        <v>Tue</v>
      </c>
      <c r="D413" s="22">
        <f>WEEKNUM(B413)</f>
        <v>26</v>
      </c>
      <c r="E413" s="22" t="str">
        <f>TEXT(B413,"mmm-yy")</f>
        <v>Jun-26</v>
      </c>
      <c r="F413" s="11" t="s">
        <v>17</v>
      </c>
      <c r="G413" s="24" t="str">
        <f>IFERROR(VLOOKUP(Table1[[#This Row],[Compressor]],$K$9:$L$18,2,FALSE),"0")</f>
        <v>H254802IL</v>
      </c>
      <c r="H413" s="25">
        <v>3</v>
      </c>
      <c r="I413" s="26"/>
    </row>
    <row r="414" spans="2:9" x14ac:dyDescent="0.3">
      <c r="B414" s="8">
        <v>46197</v>
      </c>
      <c r="C414" s="9" t="str">
        <f>TEXT(B414,"DDD")</f>
        <v>Wed</v>
      </c>
      <c r="D414" s="10">
        <f>WEEKNUM(B414)</f>
        <v>26</v>
      </c>
      <c r="E414" s="10" t="str">
        <f>TEXT(B414,"mmm-yy")</f>
        <v>Jun-26</v>
      </c>
      <c r="F414" s="11" t="s">
        <v>8</v>
      </c>
      <c r="G414" s="16" t="str">
        <f>IFERROR(VLOOKUP(Table1[[#This Row],[Compressor]],$K$9:$L$18,2,FALSE),"0")</f>
        <v>H254805XS</v>
      </c>
      <c r="H414" s="20">
        <v>10</v>
      </c>
      <c r="I414" s="12"/>
    </row>
    <row r="415" spans="2:9" x14ac:dyDescent="0.3">
      <c r="B415" s="8">
        <v>46197</v>
      </c>
      <c r="C415" s="9" t="str">
        <f>TEXT(B415,"DDD")</f>
        <v>Wed</v>
      </c>
      <c r="D415" s="10">
        <f>WEEKNUM(B415)</f>
        <v>26</v>
      </c>
      <c r="E415" s="10" t="str">
        <f>TEXT(B415,"mmm-yy")</f>
        <v>Jun-26</v>
      </c>
      <c r="F415" s="11" t="s">
        <v>9</v>
      </c>
      <c r="G415" s="16" t="str">
        <f>IFERROR(VLOOKUP(Table1[[#This Row],[Compressor]],$K$9:$L$18,2,FALSE),"0")</f>
        <v>H254805AI</v>
      </c>
      <c r="H415" s="20">
        <v>23</v>
      </c>
      <c r="I415" s="12"/>
    </row>
    <row r="416" spans="2:9" x14ac:dyDescent="0.3">
      <c r="B416" s="8">
        <v>46197</v>
      </c>
      <c r="C416" s="9" t="str">
        <f>TEXT(B416,"DDD")</f>
        <v>Wed</v>
      </c>
      <c r="D416" s="10">
        <f>WEEKNUM(B416)</f>
        <v>26</v>
      </c>
      <c r="E416" s="10" t="str">
        <f>TEXT(B416,"mmm-yy")</f>
        <v>Jun-26</v>
      </c>
      <c r="F416" s="11" t="s">
        <v>10</v>
      </c>
      <c r="G416" s="16" t="str">
        <f>IFERROR(VLOOKUP(Table1[[#This Row],[Compressor]],$K$9:$L$18,2,FALSE),"0")</f>
        <v>H254805RT</v>
      </c>
      <c r="H416" s="20">
        <v>29</v>
      </c>
      <c r="I416" s="12"/>
    </row>
    <row r="417" spans="2:9" x14ac:dyDescent="0.3">
      <c r="B417" s="8">
        <v>46197</v>
      </c>
      <c r="C417" s="9" t="str">
        <f>TEXT(B417,"DDD")</f>
        <v>Wed</v>
      </c>
      <c r="D417" s="10">
        <f>WEEKNUM(B417)</f>
        <v>26</v>
      </c>
      <c r="E417" s="10" t="str">
        <f>TEXT(B417,"mmm-yy")</f>
        <v>Jun-26</v>
      </c>
      <c r="F417" s="11" t="s">
        <v>11</v>
      </c>
      <c r="G417" s="16" t="str">
        <f>IFERROR(VLOOKUP(Table1[[#This Row],[Compressor]],$K$9:$L$18,2,FALSE),"0")</f>
        <v>H254805HT</v>
      </c>
      <c r="H417" s="20">
        <v>31</v>
      </c>
      <c r="I417" s="12"/>
    </row>
    <row r="418" spans="2:9" x14ac:dyDescent="0.3">
      <c r="B418" s="8">
        <v>46197</v>
      </c>
      <c r="C418" s="21" t="str">
        <f>TEXT(B418,"DDD")</f>
        <v>Wed</v>
      </c>
      <c r="D418" s="22">
        <f>WEEKNUM(B418)</f>
        <v>26</v>
      </c>
      <c r="E418" s="22" t="str">
        <f>TEXT(B418,"mmm-yy")</f>
        <v>Jun-26</v>
      </c>
      <c r="F418" s="11" t="s">
        <v>12</v>
      </c>
      <c r="G418" s="24" t="str">
        <f>IFERROR(VLOOKUP(Table1[[#This Row],[Compressor]],$K$9:$L$18,2,FALSE),"0")</f>
        <v>H254803IH</v>
      </c>
      <c r="H418" s="25">
        <v>32</v>
      </c>
      <c r="I418" s="26"/>
    </row>
    <row r="419" spans="2:9" x14ac:dyDescent="0.3">
      <c r="B419" s="27">
        <v>46197</v>
      </c>
      <c r="C419" s="21" t="str">
        <f>TEXT(B419,"DDD")</f>
        <v>Wed</v>
      </c>
      <c r="D419" s="22">
        <f>WEEKNUM(B419)</f>
        <v>26</v>
      </c>
      <c r="E419" s="22" t="str">
        <f>TEXT(B419,"mmm-yy")</f>
        <v>Jun-26</v>
      </c>
      <c r="F419" s="11" t="s">
        <v>13</v>
      </c>
      <c r="G419" s="24" t="str">
        <f>IFERROR(VLOOKUP(Table1[[#This Row],[Compressor]],$K$9:$L$18,2,FALSE),"0")</f>
        <v>H254806XS</v>
      </c>
      <c r="H419" s="25">
        <v>102</v>
      </c>
      <c r="I419" s="26"/>
    </row>
    <row r="420" spans="2:9" x14ac:dyDescent="0.3">
      <c r="B420" s="27">
        <v>46197</v>
      </c>
      <c r="C420" s="21" t="str">
        <f>TEXT(B420,"DDD")</f>
        <v>Wed</v>
      </c>
      <c r="D420" s="22">
        <f>WEEKNUM(B420)</f>
        <v>26</v>
      </c>
      <c r="E420" s="22" t="str">
        <f>TEXT(B420,"mmm-yy")</f>
        <v>Jun-26</v>
      </c>
      <c r="F420" s="11" t="s">
        <v>14</v>
      </c>
      <c r="G420" s="24" t="str">
        <f>IFERROR(VLOOKUP(Table1[[#This Row],[Compressor]],$K$9:$L$18,2,FALSE),"0")</f>
        <v>H254803HV</v>
      </c>
      <c r="H420" s="25">
        <v>19</v>
      </c>
      <c r="I420" s="26"/>
    </row>
    <row r="421" spans="2:9" x14ac:dyDescent="0.3">
      <c r="B421" s="27">
        <v>46197</v>
      </c>
      <c r="C421" s="21" t="str">
        <f>TEXT(B421,"DDD")</f>
        <v>Wed</v>
      </c>
      <c r="D421" s="22">
        <f>WEEKNUM(B421)</f>
        <v>26</v>
      </c>
      <c r="E421" s="22" t="str">
        <f>TEXT(B421,"mmm-yy")</f>
        <v>Jun-26</v>
      </c>
      <c r="F421" s="11" t="s">
        <v>15</v>
      </c>
      <c r="G421" s="24" t="str">
        <f>IFERROR(VLOOKUP(Table1[[#This Row],[Compressor]],$K$9:$L$18,2,FALSE),"0")</f>
        <v>H254805HT</v>
      </c>
      <c r="H421" s="25">
        <v>47</v>
      </c>
      <c r="I421" s="26"/>
    </row>
    <row r="422" spans="2:9" x14ac:dyDescent="0.3">
      <c r="B422" s="27">
        <v>46197</v>
      </c>
      <c r="C422" s="21" t="str">
        <f>TEXT(B422,"DDD")</f>
        <v>Wed</v>
      </c>
      <c r="D422" s="22">
        <f>WEEKNUM(B422)</f>
        <v>26</v>
      </c>
      <c r="E422" s="22" t="str">
        <f>TEXT(B422,"mmm-yy")</f>
        <v>Jun-26</v>
      </c>
      <c r="F422" s="11" t="s">
        <v>16</v>
      </c>
      <c r="G422" s="24" t="str">
        <f>IFERROR(VLOOKUP(Table1[[#This Row],[Compressor]],$K$9:$L$18,2,FALSE),"0")</f>
        <v>H254805IL</v>
      </c>
      <c r="H422" s="25">
        <v>10</v>
      </c>
      <c r="I422" s="26"/>
    </row>
    <row r="423" spans="2:9" x14ac:dyDescent="0.3">
      <c r="B423" s="28">
        <v>46197</v>
      </c>
      <c r="C423" s="29" t="str">
        <f>TEXT(B423,"DDD")</f>
        <v>Wed</v>
      </c>
      <c r="D423" s="30">
        <f>WEEKNUM(B423)</f>
        <v>26</v>
      </c>
      <c r="E423" s="30" t="str">
        <f>TEXT(B423,"mmm-yy")</f>
        <v>Jun-26</v>
      </c>
      <c r="F423" s="11" t="s">
        <v>17</v>
      </c>
      <c r="G423" s="31" t="str">
        <f>IFERROR(VLOOKUP(Table1[[#This Row],[Compressor]],$K$9:$L$18,2,FALSE),"0")</f>
        <v>H254802IL</v>
      </c>
      <c r="H423" s="32">
        <v>3</v>
      </c>
      <c r="I423" s="33"/>
    </row>
    <row r="424" spans="2:9" x14ac:dyDescent="0.3">
      <c r="B424" s="8">
        <v>46198</v>
      </c>
      <c r="C424" s="9" t="str">
        <f>TEXT(B424,"DDD")</f>
        <v>Thu</v>
      </c>
      <c r="D424" s="10">
        <f>WEEKNUM(B424)</f>
        <v>26</v>
      </c>
      <c r="E424" s="10" t="str">
        <f>TEXT(B424,"mmm-yy")</f>
        <v>Jun-26</v>
      </c>
      <c r="F424" s="11" t="s">
        <v>8</v>
      </c>
      <c r="G424" s="16" t="str">
        <f>IFERROR(VLOOKUP(Table1[[#This Row],[Compressor]],$K$9:$L$18,2,FALSE),"0")</f>
        <v>H254805XS</v>
      </c>
      <c r="H424" s="20">
        <v>10</v>
      </c>
      <c r="I424" s="12"/>
    </row>
    <row r="425" spans="2:9" x14ac:dyDescent="0.3">
      <c r="B425" s="8">
        <v>46198</v>
      </c>
      <c r="C425" s="9" t="str">
        <f>TEXT(B425,"DDD")</f>
        <v>Thu</v>
      </c>
      <c r="D425" s="10">
        <f>WEEKNUM(B425)</f>
        <v>26</v>
      </c>
      <c r="E425" s="10" t="str">
        <f>TEXT(B425,"mmm-yy")</f>
        <v>Jun-26</v>
      </c>
      <c r="F425" s="11" t="s">
        <v>9</v>
      </c>
      <c r="G425" s="16" t="str">
        <f>IFERROR(VLOOKUP(Table1[[#This Row],[Compressor]],$K$9:$L$18,2,FALSE),"0")</f>
        <v>H254805AI</v>
      </c>
      <c r="H425" s="20">
        <v>23</v>
      </c>
      <c r="I425" s="12"/>
    </row>
    <row r="426" spans="2:9" x14ac:dyDescent="0.3">
      <c r="B426" s="8">
        <v>46198</v>
      </c>
      <c r="C426" s="9" t="str">
        <f>TEXT(B426,"DDD")</f>
        <v>Thu</v>
      </c>
      <c r="D426" s="10">
        <f>WEEKNUM(B426)</f>
        <v>26</v>
      </c>
      <c r="E426" s="10" t="str">
        <f>TEXT(B426,"mmm-yy")</f>
        <v>Jun-26</v>
      </c>
      <c r="F426" s="11" t="s">
        <v>10</v>
      </c>
      <c r="G426" s="16" t="str">
        <f>IFERROR(VLOOKUP(Table1[[#This Row],[Compressor]],$K$9:$L$18,2,FALSE),"0")</f>
        <v>H254805RT</v>
      </c>
      <c r="H426" s="20">
        <v>29</v>
      </c>
      <c r="I426" s="12"/>
    </row>
    <row r="427" spans="2:9" x14ac:dyDescent="0.3">
      <c r="B427" s="8">
        <v>46198</v>
      </c>
      <c r="C427" s="9" t="str">
        <f>TEXT(B427,"DDD")</f>
        <v>Thu</v>
      </c>
      <c r="D427" s="10">
        <f>WEEKNUM(B427)</f>
        <v>26</v>
      </c>
      <c r="E427" s="10" t="str">
        <f>TEXT(B427,"mmm-yy")</f>
        <v>Jun-26</v>
      </c>
      <c r="F427" s="11" t="s">
        <v>11</v>
      </c>
      <c r="G427" s="16" t="str">
        <f>IFERROR(VLOOKUP(Table1[[#This Row],[Compressor]],$K$9:$L$18,2,FALSE),"0")</f>
        <v>H254805HT</v>
      </c>
      <c r="H427" s="20">
        <v>31</v>
      </c>
      <c r="I427" s="12"/>
    </row>
    <row r="428" spans="2:9" x14ac:dyDescent="0.3">
      <c r="B428" s="8">
        <v>46198</v>
      </c>
      <c r="C428" s="21" t="str">
        <f>TEXT(B428,"DDD")</f>
        <v>Thu</v>
      </c>
      <c r="D428" s="22">
        <f>WEEKNUM(B428)</f>
        <v>26</v>
      </c>
      <c r="E428" s="22" t="str">
        <f>TEXT(B428,"mmm-yy")</f>
        <v>Jun-26</v>
      </c>
      <c r="F428" s="11" t="s">
        <v>12</v>
      </c>
      <c r="G428" s="24" t="str">
        <f>IFERROR(VLOOKUP(Table1[[#This Row],[Compressor]],$K$9:$L$18,2,FALSE),"0")</f>
        <v>H254803IH</v>
      </c>
      <c r="H428" s="25">
        <v>32</v>
      </c>
      <c r="I428" s="26"/>
    </row>
    <row r="429" spans="2:9" x14ac:dyDescent="0.3">
      <c r="B429" s="27">
        <v>46198</v>
      </c>
      <c r="C429" s="21" t="str">
        <f>TEXT(B429,"DDD")</f>
        <v>Thu</v>
      </c>
      <c r="D429" s="22">
        <f>WEEKNUM(B429)</f>
        <v>26</v>
      </c>
      <c r="E429" s="22" t="str">
        <f>TEXT(B429,"mmm-yy")</f>
        <v>Jun-26</v>
      </c>
      <c r="F429" s="11" t="s">
        <v>13</v>
      </c>
      <c r="G429" s="24" t="str">
        <f>IFERROR(VLOOKUP(Table1[[#This Row],[Compressor]],$K$9:$L$18,2,FALSE),"0")</f>
        <v>H254806XS</v>
      </c>
      <c r="H429" s="25">
        <v>102</v>
      </c>
      <c r="I429" s="26"/>
    </row>
    <row r="430" spans="2:9" x14ac:dyDescent="0.3">
      <c r="B430" s="27">
        <v>46198</v>
      </c>
      <c r="C430" s="21" t="str">
        <f>TEXT(B430,"DDD")</f>
        <v>Thu</v>
      </c>
      <c r="D430" s="22">
        <f>WEEKNUM(B430)</f>
        <v>26</v>
      </c>
      <c r="E430" s="22" t="str">
        <f>TEXT(B430,"mmm-yy")</f>
        <v>Jun-26</v>
      </c>
      <c r="F430" s="11" t="s">
        <v>14</v>
      </c>
      <c r="G430" s="24" t="str">
        <f>IFERROR(VLOOKUP(Table1[[#This Row],[Compressor]],$K$9:$L$18,2,FALSE),"0")</f>
        <v>H254803HV</v>
      </c>
      <c r="H430" s="25">
        <v>23</v>
      </c>
      <c r="I430" s="26"/>
    </row>
    <row r="431" spans="2:9" x14ac:dyDescent="0.3">
      <c r="B431" s="27">
        <v>46198</v>
      </c>
      <c r="C431" s="21" t="str">
        <f>TEXT(B431,"DDD")</f>
        <v>Thu</v>
      </c>
      <c r="D431" s="22">
        <f>WEEKNUM(B431)</f>
        <v>26</v>
      </c>
      <c r="E431" s="22" t="str">
        <f>TEXT(B431,"mmm-yy")</f>
        <v>Jun-26</v>
      </c>
      <c r="F431" s="11" t="s">
        <v>15</v>
      </c>
      <c r="G431" s="24" t="str">
        <f>IFERROR(VLOOKUP(Table1[[#This Row],[Compressor]],$K$9:$L$18,2,FALSE),"0")</f>
        <v>H254805HT</v>
      </c>
      <c r="H431" s="25">
        <v>57</v>
      </c>
      <c r="I431" s="26"/>
    </row>
    <row r="432" spans="2:9" x14ac:dyDescent="0.3">
      <c r="B432" s="27">
        <v>46198</v>
      </c>
      <c r="C432" s="21" t="str">
        <f>TEXT(B432,"DDD")</f>
        <v>Thu</v>
      </c>
      <c r="D432" s="22">
        <f>WEEKNUM(B432)</f>
        <v>26</v>
      </c>
      <c r="E432" s="22" t="str">
        <f>TEXT(B432,"mmm-yy")</f>
        <v>Jun-26</v>
      </c>
      <c r="F432" s="11" t="s">
        <v>16</v>
      </c>
      <c r="G432" s="24" t="str">
        <f>IFERROR(VLOOKUP(Table1[[#This Row],[Compressor]],$K$9:$L$18,2,FALSE),"0")</f>
        <v>H254805IL</v>
      </c>
      <c r="H432" s="25">
        <v>14</v>
      </c>
      <c r="I432" s="26"/>
    </row>
    <row r="433" spans="2:9" x14ac:dyDescent="0.3">
      <c r="B433" s="27">
        <v>46198</v>
      </c>
      <c r="C433" s="21" t="str">
        <f>TEXT(B433,"DDD")</f>
        <v>Thu</v>
      </c>
      <c r="D433" s="22">
        <f>WEEKNUM(B433)</f>
        <v>26</v>
      </c>
      <c r="E433" s="22" t="str">
        <f>TEXT(B433,"mmm-yy")</f>
        <v>Jun-26</v>
      </c>
      <c r="F433" s="11" t="s">
        <v>17</v>
      </c>
      <c r="G433" s="24" t="str">
        <f>IFERROR(VLOOKUP(Table1[[#This Row],[Compressor]],$K$9:$L$18,2,FALSE),"0")</f>
        <v>H254802IL</v>
      </c>
      <c r="H433" s="25">
        <v>3</v>
      </c>
      <c r="I433" s="26"/>
    </row>
    <row r="434" spans="2:9" x14ac:dyDescent="0.3">
      <c r="B434" s="8">
        <v>46199</v>
      </c>
      <c r="C434" s="9" t="str">
        <f>TEXT(B434,"DDD")</f>
        <v>Fri</v>
      </c>
      <c r="D434" s="10">
        <f>WEEKNUM(B434)</f>
        <v>26</v>
      </c>
      <c r="E434" s="10" t="str">
        <f>TEXT(B434,"mmm-yy")</f>
        <v>Jun-26</v>
      </c>
      <c r="F434" s="11" t="s">
        <v>8</v>
      </c>
      <c r="G434" s="16" t="str">
        <f>IFERROR(VLOOKUP(Table1[[#This Row],[Compressor]],$K$9:$L$18,2,FALSE),"0")</f>
        <v>H254805XS</v>
      </c>
      <c r="H434" s="20">
        <v>10</v>
      </c>
      <c r="I434" s="12"/>
    </row>
    <row r="435" spans="2:9" x14ac:dyDescent="0.3">
      <c r="B435" s="8">
        <v>46199</v>
      </c>
      <c r="C435" s="9" t="str">
        <f>TEXT(B435,"DDD")</f>
        <v>Fri</v>
      </c>
      <c r="D435" s="10">
        <f>WEEKNUM(B435)</f>
        <v>26</v>
      </c>
      <c r="E435" s="10" t="str">
        <f>TEXT(B435,"mmm-yy")</f>
        <v>Jun-26</v>
      </c>
      <c r="F435" s="11" t="s">
        <v>9</v>
      </c>
      <c r="G435" s="16" t="str">
        <f>IFERROR(VLOOKUP(Table1[[#This Row],[Compressor]],$K$9:$L$18,2,FALSE),"0")</f>
        <v>H254805AI</v>
      </c>
      <c r="H435" s="20">
        <v>23</v>
      </c>
      <c r="I435" s="12"/>
    </row>
    <row r="436" spans="2:9" x14ac:dyDescent="0.3">
      <c r="B436" s="8">
        <v>46199</v>
      </c>
      <c r="C436" s="9" t="str">
        <f>TEXT(B436,"DDD")</f>
        <v>Fri</v>
      </c>
      <c r="D436" s="10">
        <f>WEEKNUM(B436)</f>
        <v>26</v>
      </c>
      <c r="E436" s="10" t="str">
        <f>TEXT(B436,"mmm-yy")</f>
        <v>Jun-26</v>
      </c>
      <c r="F436" s="11" t="s">
        <v>10</v>
      </c>
      <c r="G436" s="16" t="str">
        <f>IFERROR(VLOOKUP(Table1[[#This Row],[Compressor]],$K$9:$L$18,2,FALSE),"0")</f>
        <v>H254805RT</v>
      </c>
      <c r="H436" s="20">
        <v>29</v>
      </c>
      <c r="I436" s="12"/>
    </row>
    <row r="437" spans="2:9" x14ac:dyDescent="0.3">
      <c r="B437" s="8">
        <v>46199</v>
      </c>
      <c r="C437" s="9" t="str">
        <f>TEXT(B437,"DDD")</f>
        <v>Fri</v>
      </c>
      <c r="D437" s="10">
        <f>WEEKNUM(B437)</f>
        <v>26</v>
      </c>
      <c r="E437" s="10" t="str">
        <f>TEXT(B437,"mmm-yy")</f>
        <v>Jun-26</v>
      </c>
      <c r="F437" s="11" t="s">
        <v>11</v>
      </c>
      <c r="G437" s="16" t="str">
        <f>IFERROR(VLOOKUP(Table1[[#This Row],[Compressor]],$K$9:$L$18,2,FALSE),"0")</f>
        <v>H254805HT</v>
      </c>
      <c r="H437" s="20">
        <v>31</v>
      </c>
      <c r="I437" s="12"/>
    </row>
    <row r="438" spans="2:9" x14ac:dyDescent="0.3">
      <c r="B438" s="8">
        <v>46199</v>
      </c>
      <c r="C438" s="21" t="str">
        <f>TEXT(B438,"DDD")</f>
        <v>Fri</v>
      </c>
      <c r="D438" s="22">
        <f>WEEKNUM(B438)</f>
        <v>26</v>
      </c>
      <c r="E438" s="22" t="str">
        <f>TEXT(B438,"mmm-yy")</f>
        <v>Jun-26</v>
      </c>
      <c r="F438" s="11" t="s">
        <v>12</v>
      </c>
      <c r="G438" s="24" t="str">
        <f>IFERROR(VLOOKUP(Table1[[#This Row],[Compressor]],$K$9:$L$18,2,FALSE),"0")</f>
        <v>H254803IH</v>
      </c>
      <c r="H438" s="25">
        <v>32</v>
      </c>
      <c r="I438" s="26"/>
    </row>
    <row r="439" spans="2:9" x14ac:dyDescent="0.3">
      <c r="B439" s="27">
        <v>46199</v>
      </c>
      <c r="C439" s="21" t="str">
        <f>TEXT(B439,"DDD")</f>
        <v>Fri</v>
      </c>
      <c r="D439" s="22">
        <f>WEEKNUM(B439)</f>
        <v>26</v>
      </c>
      <c r="E439" s="22" t="str">
        <f>TEXT(B439,"mmm-yy")</f>
        <v>Jun-26</v>
      </c>
      <c r="F439" s="11" t="s">
        <v>13</v>
      </c>
      <c r="G439" s="24" t="str">
        <f>IFERROR(VLOOKUP(Table1[[#This Row],[Compressor]],$K$9:$L$18,2,FALSE),"0")</f>
        <v>H254806XS</v>
      </c>
      <c r="H439" s="25">
        <v>102</v>
      </c>
      <c r="I439" s="26"/>
    </row>
    <row r="440" spans="2:9" x14ac:dyDescent="0.3">
      <c r="B440" s="27">
        <v>46199</v>
      </c>
      <c r="C440" s="21" t="str">
        <f>TEXT(B440,"DDD")</f>
        <v>Fri</v>
      </c>
      <c r="D440" s="22">
        <f>WEEKNUM(B440)</f>
        <v>26</v>
      </c>
      <c r="E440" s="22" t="str">
        <f>TEXT(B440,"mmm-yy")</f>
        <v>Jun-26</v>
      </c>
      <c r="F440" s="11" t="s">
        <v>14</v>
      </c>
      <c r="G440" s="24" t="str">
        <f>IFERROR(VLOOKUP(Table1[[#This Row],[Compressor]],$K$9:$L$18,2,FALSE),"0")</f>
        <v>H254803HV</v>
      </c>
      <c r="H440" s="25">
        <v>23</v>
      </c>
      <c r="I440" s="26"/>
    </row>
    <row r="441" spans="2:9" x14ac:dyDescent="0.3">
      <c r="B441" s="27">
        <v>46199</v>
      </c>
      <c r="C441" s="21" t="str">
        <f>TEXT(B441,"DDD")</f>
        <v>Fri</v>
      </c>
      <c r="D441" s="22">
        <f>WEEKNUM(B441)</f>
        <v>26</v>
      </c>
      <c r="E441" s="22" t="str">
        <f>TEXT(B441,"mmm-yy")</f>
        <v>Jun-26</v>
      </c>
      <c r="F441" s="11" t="s">
        <v>15</v>
      </c>
      <c r="G441" s="24" t="str">
        <f>IFERROR(VLOOKUP(Table1[[#This Row],[Compressor]],$K$9:$L$18,2,FALSE),"0")</f>
        <v>H254805HT</v>
      </c>
      <c r="H441" s="25">
        <v>66</v>
      </c>
      <c r="I441" s="26"/>
    </row>
    <row r="442" spans="2:9" x14ac:dyDescent="0.3">
      <c r="B442" s="27">
        <v>46199</v>
      </c>
      <c r="C442" s="21" t="str">
        <f>TEXT(B442,"DDD")</f>
        <v>Fri</v>
      </c>
      <c r="D442" s="22">
        <f>WEEKNUM(B442)</f>
        <v>26</v>
      </c>
      <c r="E442" s="22" t="str">
        <f>TEXT(B442,"mmm-yy")</f>
        <v>Jun-26</v>
      </c>
      <c r="F442" s="11" t="s">
        <v>16</v>
      </c>
      <c r="G442" s="24" t="str">
        <f>IFERROR(VLOOKUP(Table1[[#This Row],[Compressor]],$K$9:$L$18,2,FALSE),"0")</f>
        <v>H254805IL</v>
      </c>
      <c r="H442" s="25">
        <v>16</v>
      </c>
      <c r="I442" s="26"/>
    </row>
    <row r="443" spans="2:9" x14ac:dyDescent="0.3">
      <c r="B443" s="27">
        <v>46199</v>
      </c>
      <c r="C443" s="21" t="str">
        <f>TEXT(B443,"DDD")</f>
        <v>Fri</v>
      </c>
      <c r="D443" s="22">
        <f>WEEKNUM(B443)</f>
        <v>26</v>
      </c>
      <c r="E443" s="22" t="str">
        <f>TEXT(B443,"mmm-yy")</f>
        <v>Jun-26</v>
      </c>
      <c r="F443" s="11" t="s">
        <v>17</v>
      </c>
      <c r="G443" s="24" t="str">
        <f>IFERROR(VLOOKUP(Table1[[#This Row],[Compressor]],$K$9:$L$18,2,FALSE),"0")</f>
        <v>H254802IL</v>
      </c>
      <c r="H443" s="25">
        <v>3</v>
      </c>
      <c r="I443" s="26"/>
    </row>
    <row r="444" spans="2:9" x14ac:dyDescent="0.3">
      <c r="B444" s="8">
        <v>46200</v>
      </c>
      <c r="C444" s="9" t="str">
        <f>TEXT(B444,"DDD")</f>
        <v>Sat</v>
      </c>
      <c r="D444" s="10">
        <f>WEEKNUM(B444)</f>
        <v>26</v>
      </c>
      <c r="E444" s="10" t="str">
        <f>TEXT(B444,"mmm-yy")</f>
        <v>Jun-26</v>
      </c>
      <c r="F444" s="11" t="s">
        <v>8</v>
      </c>
      <c r="G444" s="16" t="str">
        <f>IFERROR(VLOOKUP(Table1[[#This Row],[Compressor]],$K$9:$L$18,2,FALSE),"0")</f>
        <v>H254805XS</v>
      </c>
      <c r="H444" s="20">
        <v>10</v>
      </c>
      <c r="I444" s="12"/>
    </row>
    <row r="445" spans="2:9" x14ac:dyDescent="0.3">
      <c r="B445" s="8">
        <v>46200</v>
      </c>
      <c r="C445" s="9" t="str">
        <f>TEXT(B445,"DDD")</f>
        <v>Sat</v>
      </c>
      <c r="D445" s="10">
        <f>WEEKNUM(B445)</f>
        <v>26</v>
      </c>
      <c r="E445" s="10" t="str">
        <f>TEXT(B445,"mmm-yy")</f>
        <v>Jun-26</v>
      </c>
      <c r="F445" s="11" t="s">
        <v>9</v>
      </c>
      <c r="G445" s="16" t="str">
        <f>IFERROR(VLOOKUP(Table1[[#This Row],[Compressor]],$K$9:$L$18,2,FALSE),"0")</f>
        <v>H254805AI</v>
      </c>
      <c r="H445" s="20">
        <v>23</v>
      </c>
      <c r="I445" s="12"/>
    </row>
    <row r="446" spans="2:9" x14ac:dyDescent="0.3">
      <c r="B446" s="8">
        <v>46200</v>
      </c>
      <c r="C446" s="9" t="str">
        <f>TEXT(B446,"DDD")</f>
        <v>Sat</v>
      </c>
      <c r="D446" s="10">
        <f>WEEKNUM(B446)</f>
        <v>26</v>
      </c>
      <c r="E446" s="10" t="str">
        <f>TEXT(B446,"mmm-yy")</f>
        <v>Jun-26</v>
      </c>
      <c r="F446" s="11" t="s">
        <v>10</v>
      </c>
      <c r="G446" s="16" t="str">
        <f>IFERROR(VLOOKUP(Table1[[#This Row],[Compressor]],$K$9:$L$18,2,FALSE),"0")</f>
        <v>H254805RT</v>
      </c>
      <c r="H446" s="20">
        <v>29</v>
      </c>
      <c r="I446" s="12"/>
    </row>
    <row r="447" spans="2:9" x14ac:dyDescent="0.3">
      <c r="B447" s="8">
        <v>46200</v>
      </c>
      <c r="C447" s="9" t="str">
        <f>TEXT(B447,"DDD")</f>
        <v>Sat</v>
      </c>
      <c r="D447" s="10">
        <f>WEEKNUM(B447)</f>
        <v>26</v>
      </c>
      <c r="E447" s="10" t="str">
        <f>TEXT(B447,"mmm-yy")</f>
        <v>Jun-26</v>
      </c>
      <c r="F447" s="11" t="s">
        <v>11</v>
      </c>
      <c r="G447" s="16" t="str">
        <f>IFERROR(VLOOKUP(Table1[[#This Row],[Compressor]],$K$9:$L$18,2,FALSE),"0")</f>
        <v>H254805HT</v>
      </c>
      <c r="H447" s="20">
        <v>31</v>
      </c>
      <c r="I447" s="12"/>
    </row>
    <row r="448" spans="2:9" x14ac:dyDescent="0.3">
      <c r="B448" s="8">
        <v>46200</v>
      </c>
      <c r="C448" s="21" t="str">
        <f>TEXT(B448,"DDD")</f>
        <v>Sat</v>
      </c>
      <c r="D448" s="22">
        <f>WEEKNUM(B448)</f>
        <v>26</v>
      </c>
      <c r="E448" s="22" t="str">
        <f>TEXT(B448,"mmm-yy")</f>
        <v>Jun-26</v>
      </c>
      <c r="F448" s="11" t="s">
        <v>12</v>
      </c>
      <c r="G448" s="24" t="str">
        <f>IFERROR(VLOOKUP(Table1[[#This Row],[Compressor]],$K$9:$L$18,2,FALSE),"0")</f>
        <v>H254803IH</v>
      </c>
      <c r="H448" s="25">
        <v>32</v>
      </c>
      <c r="I448" s="26"/>
    </row>
    <row r="449" spans="2:9" x14ac:dyDescent="0.3">
      <c r="B449" s="27">
        <v>46200</v>
      </c>
      <c r="C449" s="21" t="str">
        <f>TEXT(B449,"DDD")</f>
        <v>Sat</v>
      </c>
      <c r="D449" s="22">
        <f>WEEKNUM(B449)</f>
        <v>26</v>
      </c>
      <c r="E449" s="22" t="str">
        <f>TEXT(B449,"mmm-yy")</f>
        <v>Jun-26</v>
      </c>
      <c r="F449" s="11" t="s">
        <v>13</v>
      </c>
      <c r="G449" s="24" t="str">
        <f>IFERROR(VLOOKUP(Table1[[#This Row],[Compressor]],$K$9:$L$18,2,FALSE),"0")</f>
        <v>H254806XS</v>
      </c>
      <c r="H449" s="25">
        <v>102</v>
      </c>
      <c r="I449" s="26"/>
    </row>
    <row r="450" spans="2:9" x14ac:dyDescent="0.3">
      <c r="B450" s="27">
        <v>46200</v>
      </c>
      <c r="C450" s="21" t="str">
        <f>TEXT(B450,"DDD")</f>
        <v>Sat</v>
      </c>
      <c r="D450" s="22">
        <f>WEEKNUM(B450)</f>
        <v>26</v>
      </c>
      <c r="E450" s="22" t="str">
        <f>TEXT(B450,"mmm-yy")</f>
        <v>Jun-26</v>
      </c>
      <c r="F450" s="11" t="s">
        <v>14</v>
      </c>
      <c r="G450" s="24" t="str">
        <f>IFERROR(VLOOKUP(Table1[[#This Row],[Compressor]],$K$9:$L$18,2,FALSE),"0")</f>
        <v>H254803HV</v>
      </c>
      <c r="H450" s="25">
        <v>23</v>
      </c>
      <c r="I450" s="26"/>
    </row>
    <row r="451" spans="2:9" x14ac:dyDescent="0.3">
      <c r="B451" s="27">
        <v>46200</v>
      </c>
      <c r="C451" s="21" t="str">
        <f>TEXT(B451,"DDD")</f>
        <v>Sat</v>
      </c>
      <c r="D451" s="22">
        <f>WEEKNUM(B451)</f>
        <v>26</v>
      </c>
      <c r="E451" s="22" t="str">
        <f>TEXT(B451,"mmm-yy")</f>
        <v>Jun-26</v>
      </c>
      <c r="F451" s="11" t="s">
        <v>15</v>
      </c>
      <c r="G451" s="24" t="str">
        <f>IFERROR(VLOOKUP(Table1[[#This Row],[Compressor]],$K$9:$L$18,2,FALSE),"0")</f>
        <v>H254805HT</v>
      </c>
      <c r="H451" s="25">
        <v>72</v>
      </c>
      <c r="I451" s="26"/>
    </row>
    <row r="452" spans="2:9" x14ac:dyDescent="0.3">
      <c r="B452" s="27">
        <v>46200</v>
      </c>
      <c r="C452" s="21" t="str">
        <f>TEXT(B452,"DDD")</f>
        <v>Sat</v>
      </c>
      <c r="D452" s="22">
        <f>WEEKNUM(B452)</f>
        <v>26</v>
      </c>
      <c r="E452" s="22" t="str">
        <f>TEXT(B452,"mmm-yy")</f>
        <v>Jun-26</v>
      </c>
      <c r="F452" s="11" t="s">
        <v>16</v>
      </c>
      <c r="G452" s="24" t="str">
        <f>IFERROR(VLOOKUP(Table1[[#This Row],[Compressor]],$K$9:$L$18,2,FALSE),"0")</f>
        <v>H254805IL</v>
      </c>
      <c r="H452" s="25">
        <v>17</v>
      </c>
      <c r="I452" s="26"/>
    </row>
    <row r="453" spans="2:9" x14ac:dyDescent="0.3">
      <c r="B453" s="28">
        <v>46200</v>
      </c>
      <c r="C453" s="29" t="str">
        <f>TEXT(B453,"DDD")</f>
        <v>Sat</v>
      </c>
      <c r="D453" s="30">
        <f>WEEKNUM(B453)</f>
        <v>26</v>
      </c>
      <c r="E453" s="30" t="str">
        <f>TEXT(B453,"mmm-yy")</f>
        <v>Jun-26</v>
      </c>
      <c r="F453" s="11" t="s">
        <v>17</v>
      </c>
      <c r="G453" s="31" t="str">
        <f>IFERROR(VLOOKUP(Table1[[#This Row],[Compressor]],$K$9:$L$18,2,FALSE),"0")</f>
        <v>H254802IL</v>
      </c>
      <c r="H453" s="32">
        <v>3</v>
      </c>
      <c r="I453" s="33"/>
    </row>
    <row r="454" spans="2:9" x14ac:dyDescent="0.3">
      <c r="B454" s="8">
        <v>46201</v>
      </c>
      <c r="C454" s="9" t="str">
        <f>TEXT(B454,"DDD")</f>
        <v>Sun</v>
      </c>
      <c r="D454" s="10">
        <f>WEEKNUM(B454)</f>
        <v>27</v>
      </c>
      <c r="E454" s="10" t="str">
        <f>TEXT(B454,"mmm-yy")</f>
        <v>Jun-26</v>
      </c>
      <c r="F454" s="11" t="s">
        <v>8</v>
      </c>
      <c r="G454" s="16" t="str">
        <f>IFERROR(VLOOKUP(Table1[[#This Row],[Compressor]],$K$9:$L$18,2,FALSE),"0")</f>
        <v>H254805XS</v>
      </c>
      <c r="H454" s="20">
        <v>10</v>
      </c>
      <c r="I454" s="12"/>
    </row>
    <row r="455" spans="2:9" x14ac:dyDescent="0.3">
      <c r="B455" s="8">
        <v>46201</v>
      </c>
      <c r="C455" s="9" t="str">
        <f>TEXT(B455,"DDD")</f>
        <v>Sun</v>
      </c>
      <c r="D455" s="10">
        <f>WEEKNUM(B455)</f>
        <v>27</v>
      </c>
      <c r="E455" s="10" t="str">
        <f>TEXT(B455,"mmm-yy")</f>
        <v>Jun-26</v>
      </c>
      <c r="F455" s="11" t="s">
        <v>9</v>
      </c>
      <c r="G455" s="16" t="str">
        <f>IFERROR(VLOOKUP(Table1[[#This Row],[Compressor]],$K$9:$L$18,2,FALSE),"0")</f>
        <v>H254805AI</v>
      </c>
      <c r="H455" s="20">
        <v>23</v>
      </c>
      <c r="I455" s="12"/>
    </row>
    <row r="456" spans="2:9" x14ac:dyDescent="0.3">
      <c r="B456" s="8">
        <v>46201</v>
      </c>
      <c r="C456" s="9" t="str">
        <f>TEXT(B456,"DDD")</f>
        <v>Sun</v>
      </c>
      <c r="D456" s="10">
        <f>WEEKNUM(B456)</f>
        <v>27</v>
      </c>
      <c r="E456" s="10" t="str">
        <f>TEXT(B456,"mmm-yy")</f>
        <v>Jun-26</v>
      </c>
      <c r="F456" s="11" t="s">
        <v>10</v>
      </c>
      <c r="G456" s="16" t="str">
        <f>IFERROR(VLOOKUP(Table1[[#This Row],[Compressor]],$K$9:$L$18,2,FALSE),"0")</f>
        <v>H254805RT</v>
      </c>
      <c r="H456" s="20">
        <v>29</v>
      </c>
      <c r="I456" s="12"/>
    </row>
    <row r="457" spans="2:9" x14ac:dyDescent="0.3">
      <c r="B457" s="8">
        <v>46201</v>
      </c>
      <c r="C457" s="9" t="str">
        <f>TEXT(B457,"DDD")</f>
        <v>Sun</v>
      </c>
      <c r="D457" s="10">
        <f>WEEKNUM(B457)</f>
        <v>27</v>
      </c>
      <c r="E457" s="10" t="str">
        <f>TEXT(B457,"mmm-yy")</f>
        <v>Jun-26</v>
      </c>
      <c r="F457" s="11" t="s">
        <v>11</v>
      </c>
      <c r="G457" s="16" t="str">
        <f>IFERROR(VLOOKUP(Table1[[#This Row],[Compressor]],$K$9:$L$18,2,FALSE),"0")</f>
        <v>H254805HT</v>
      </c>
      <c r="H457" s="20">
        <v>31</v>
      </c>
      <c r="I457" s="12"/>
    </row>
    <row r="458" spans="2:9" x14ac:dyDescent="0.3">
      <c r="B458" s="8">
        <v>46201</v>
      </c>
      <c r="C458" s="21" t="str">
        <f>TEXT(B458,"DDD")</f>
        <v>Sun</v>
      </c>
      <c r="D458" s="22">
        <f>WEEKNUM(B458)</f>
        <v>27</v>
      </c>
      <c r="E458" s="22" t="str">
        <f>TEXT(B458,"mmm-yy")</f>
        <v>Jun-26</v>
      </c>
      <c r="F458" s="11" t="s">
        <v>12</v>
      </c>
      <c r="G458" s="24" t="str">
        <f>IFERROR(VLOOKUP(Table1[[#This Row],[Compressor]],$K$9:$L$18,2,FALSE),"0")</f>
        <v>H254803IH</v>
      </c>
      <c r="H458" s="25">
        <v>32</v>
      </c>
      <c r="I458" s="26"/>
    </row>
    <row r="459" spans="2:9" x14ac:dyDescent="0.3">
      <c r="B459" s="27">
        <v>46201</v>
      </c>
      <c r="C459" s="21" t="str">
        <f>TEXT(B459,"DDD")</f>
        <v>Sun</v>
      </c>
      <c r="D459" s="22">
        <f>WEEKNUM(B459)</f>
        <v>27</v>
      </c>
      <c r="E459" s="22" t="str">
        <f>TEXT(B459,"mmm-yy")</f>
        <v>Jun-26</v>
      </c>
      <c r="F459" s="11" t="s">
        <v>13</v>
      </c>
      <c r="G459" s="24" t="str">
        <f>IFERROR(VLOOKUP(Table1[[#This Row],[Compressor]],$K$9:$L$18,2,FALSE),"0")</f>
        <v>H254806XS</v>
      </c>
      <c r="H459" s="25">
        <v>102</v>
      </c>
      <c r="I459" s="26"/>
    </row>
    <row r="460" spans="2:9" x14ac:dyDescent="0.3">
      <c r="B460" s="27">
        <v>46201</v>
      </c>
      <c r="C460" s="21" t="str">
        <f>TEXT(B460,"DDD")</f>
        <v>Sun</v>
      </c>
      <c r="D460" s="22">
        <f>WEEKNUM(B460)</f>
        <v>27</v>
      </c>
      <c r="E460" s="22" t="str">
        <f>TEXT(B460,"mmm-yy")</f>
        <v>Jun-26</v>
      </c>
      <c r="F460" s="11" t="s">
        <v>14</v>
      </c>
      <c r="G460" s="24" t="str">
        <f>IFERROR(VLOOKUP(Table1[[#This Row],[Compressor]],$K$9:$L$18,2,FALSE),"0")</f>
        <v>H254803HV</v>
      </c>
      <c r="H460" s="25">
        <v>23</v>
      </c>
      <c r="I460" s="26"/>
    </row>
    <row r="461" spans="2:9" x14ac:dyDescent="0.3">
      <c r="B461" s="27">
        <v>46201</v>
      </c>
      <c r="C461" s="21" t="str">
        <f>TEXT(B461,"DDD")</f>
        <v>Sun</v>
      </c>
      <c r="D461" s="22">
        <f>WEEKNUM(B461)</f>
        <v>27</v>
      </c>
      <c r="E461" s="22" t="str">
        <f>TEXT(B461,"mmm-yy")</f>
        <v>Jun-26</v>
      </c>
      <c r="F461" s="11" t="s">
        <v>15</v>
      </c>
      <c r="G461" s="24" t="str">
        <f>IFERROR(VLOOKUP(Table1[[#This Row],[Compressor]],$K$9:$L$18,2,FALSE),"0")</f>
        <v>H254805HT</v>
      </c>
      <c r="H461" s="25">
        <v>82</v>
      </c>
      <c r="I461" s="26"/>
    </row>
    <row r="462" spans="2:9" x14ac:dyDescent="0.3">
      <c r="B462" s="27">
        <v>46201</v>
      </c>
      <c r="C462" s="21" t="str">
        <f>TEXT(B462,"DDD")</f>
        <v>Sun</v>
      </c>
      <c r="D462" s="22">
        <f>WEEKNUM(B462)</f>
        <v>27</v>
      </c>
      <c r="E462" s="22" t="str">
        <f>TEXT(B462,"mmm-yy")</f>
        <v>Jun-26</v>
      </c>
      <c r="F462" s="11" t="s">
        <v>16</v>
      </c>
      <c r="G462" s="24" t="str">
        <f>IFERROR(VLOOKUP(Table1[[#This Row],[Compressor]],$K$9:$L$18,2,FALSE),"0")</f>
        <v>H254805IL</v>
      </c>
      <c r="H462" s="25">
        <v>19</v>
      </c>
      <c r="I462" s="26"/>
    </row>
    <row r="463" spans="2:9" x14ac:dyDescent="0.3">
      <c r="B463" s="27">
        <v>46201</v>
      </c>
      <c r="C463" s="21" t="str">
        <f>TEXT(B463,"DDD")</f>
        <v>Sun</v>
      </c>
      <c r="D463" s="22">
        <f>WEEKNUM(B463)</f>
        <v>27</v>
      </c>
      <c r="E463" s="22" t="str">
        <f>TEXT(B463,"mmm-yy")</f>
        <v>Jun-26</v>
      </c>
      <c r="F463" s="11" t="s">
        <v>17</v>
      </c>
      <c r="G463" s="24" t="str">
        <f>IFERROR(VLOOKUP(Table1[[#This Row],[Compressor]],$K$9:$L$18,2,FALSE),"0")</f>
        <v>H254802IL</v>
      </c>
      <c r="H463" s="25">
        <v>3</v>
      </c>
      <c r="I463" s="26"/>
    </row>
    <row r="464" spans="2:9" x14ac:dyDescent="0.3">
      <c r="B464" s="8">
        <v>46202</v>
      </c>
      <c r="C464" s="9" t="str">
        <f>TEXT(B464,"DDD")</f>
        <v>Mon</v>
      </c>
      <c r="D464" s="10">
        <f>WEEKNUM(B464)</f>
        <v>27</v>
      </c>
      <c r="E464" s="10" t="str">
        <f>TEXT(B464,"mmm-yy")</f>
        <v>Jun-26</v>
      </c>
      <c r="F464" s="11" t="s">
        <v>8</v>
      </c>
      <c r="G464" s="16" t="str">
        <f>IFERROR(VLOOKUP(Table1[[#This Row],[Compressor]],$K$9:$L$18,2,FALSE),"0")</f>
        <v>H254805XS</v>
      </c>
      <c r="H464" s="20">
        <v>10</v>
      </c>
      <c r="I464" s="12"/>
    </row>
    <row r="465" spans="2:9" x14ac:dyDescent="0.3">
      <c r="B465" s="8">
        <v>46202</v>
      </c>
      <c r="C465" s="9" t="str">
        <f>TEXT(B465,"DDD")</f>
        <v>Mon</v>
      </c>
      <c r="D465" s="10">
        <f>WEEKNUM(B465)</f>
        <v>27</v>
      </c>
      <c r="E465" s="10" t="str">
        <f>TEXT(B465,"mmm-yy")</f>
        <v>Jun-26</v>
      </c>
      <c r="F465" s="11" t="s">
        <v>9</v>
      </c>
      <c r="G465" s="16" t="str">
        <f>IFERROR(VLOOKUP(Table1[[#This Row],[Compressor]],$K$9:$L$18,2,FALSE),"0")</f>
        <v>H254805AI</v>
      </c>
      <c r="H465" s="20">
        <v>23</v>
      </c>
      <c r="I465" s="12"/>
    </row>
    <row r="466" spans="2:9" x14ac:dyDescent="0.3">
      <c r="B466" s="8">
        <v>46202</v>
      </c>
      <c r="C466" s="9" t="str">
        <f>TEXT(B466,"DDD")</f>
        <v>Mon</v>
      </c>
      <c r="D466" s="10">
        <f>WEEKNUM(B466)</f>
        <v>27</v>
      </c>
      <c r="E466" s="10" t="str">
        <f>TEXT(B466,"mmm-yy")</f>
        <v>Jun-26</v>
      </c>
      <c r="F466" s="11" t="s">
        <v>10</v>
      </c>
      <c r="G466" s="16" t="str">
        <f>IFERROR(VLOOKUP(Table1[[#This Row],[Compressor]],$K$9:$L$18,2,FALSE),"0")</f>
        <v>H254805RT</v>
      </c>
      <c r="H466" s="20">
        <v>29</v>
      </c>
      <c r="I466" s="12"/>
    </row>
    <row r="467" spans="2:9" x14ac:dyDescent="0.3">
      <c r="B467" s="8">
        <v>46202</v>
      </c>
      <c r="C467" s="9" t="str">
        <f>TEXT(B467,"DDD")</f>
        <v>Mon</v>
      </c>
      <c r="D467" s="10">
        <f>WEEKNUM(B467)</f>
        <v>27</v>
      </c>
      <c r="E467" s="10" t="str">
        <f>TEXT(B467,"mmm-yy")</f>
        <v>Jun-26</v>
      </c>
      <c r="F467" s="11" t="s">
        <v>11</v>
      </c>
      <c r="G467" s="16" t="str">
        <f>IFERROR(VLOOKUP(Table1[[#This Row],[Compressor]],$K$9:$L$18,2,FALSE),"0")</f>
        <v>H254805HT</v>
      </c>
      <c r="H467" s="20">
        <v>31</v>
      </c>
      <c r="I467" s="12"/>
    </row>
    <row r="468" spans="2:9" x14ac:dyDescent="0.3">
      <c r="B468" s="8">
        <v>46202</v>
      </c>
      <c r="C468" s="21" t="str">
        <f>TEXT(B468,"DDD")</f>
        <v>Mon</v>
      </c>
      <c r="D468" s="22">
        <f>WEEKNUM(B468)</f>
        <v>27</v>
      </c>
      <c r="E468" s="22" t="str">
        <f>TEXT(B468,"mmm-yy")</f>
        <v>Jun-26</v>
      </c>
      <c r="F468" s="11" t="s">
        <v>12</v>
      </c>
      <c r="G468" s="24" t="str">
        <f>IFERROR(VLOOKUP(Table1[[#This Row],[Compressor]],$K$9:$L$18,2,FALSE),"0")</f>
        <v>H254803IH</v>
      </c>
      <c r="H468" s="25">
        <v>32</v>
      </c>
      <c r="I468" s="26"/>
    </row>
    <row r="469" spans="2:9" x14ac:dyDescent="0.3">
      <c r="B469" s="27">
        <v>46202</v>
      </c>
      <c r="C469" s="21" t="str">
        <f>TEXT(B469,"DDD")</f>
        <v>Mon</v>
      </c>
      <c r="D469" s="22">
        <f>WEEKNUM(B469)</f>
        <v>27</v>
      </c>
      <c r="E469" s="22" t="str">
        <f>TEXT(B469,"mmm-yy")</f>
        <v>Jun-26</v>
      </c>
      <c r="F469" s="11" t="s">
        <v>13</v>
      </c>
      <c r="G469" s="24" t="str">
        <f>IFERROR(VLOOKUP(Table1[[#This Row],[Compressor]],$K$9:$L$18,2,FALSE),"0")</f>
        <v>H254806XS</v>
      </c>
      <c r="H469" s="25">
        <v>102</v>
      </c>
      <c r="I469" s="26"/>
    </row>
    <row r="470" spans="2:9" x14ac:dyDescent="0.3">
      <c r="B470" s="27">
        <v>46202</v>
      </c>
      <c r="C470" s="21" t="str">
        <f>TEXT(B470,"DDD")</f>
        <v>Mon</v>
      </c>
      <c r="D470" s="22">
        <f>WEEKNUM(B470)</f>
        <v>27</v>
      </c>
      <c r="E470" s="22" t="str">
        <f>TEXT(B470,"mmm-yy")</f>
        <v>Jun-26</v>
      </c>
      <c r="F470" s="11" t="s">
        <v>14</v>
      </c>
      <c r="G470" s="24" t="str">
        <f>IFERROR(VLOOKUP(Table1[[#This Row],[Compressor]],$K$9:$L$18,2,FALSE),"0")</f>
        <v>H254803HV</v>
      </c>
      <c r="H470" s="25">
        <v>23</v>
      </c>
      <c r="I470" s="26"/>
    </row>
    <row r="471" spans="2:9" x14ac:dyDescent="0.3">
      <c r="B471" s="27">
        <v>46202</v>
      </c>
      <c r="C471" s="21" t="str">
        <f>TEXT(B471,"DDD")</f>
        <v>Mon</v>
      </c>
      <c r="D471" s="22">
        <f>WEEKNUM(B471)</f>
        <v>27</v>
      </c>
      <c r="E471" s="22" t="str">
        <f>TEXT(B471,"mmm-yy")</f>
        <v>Jun-26</v>
      </c>
      <c r="F471" s="11" t="s">
        <v>15</v>
      </c>
      <c r="G471" s="24" t="str">
        <f>IFERROR(VLOOKUP(Table1[[#This Row],[Compressor]],$K$9:$L$18,2,FALSE),"0")</f>
        <v>H254805HT</v>
      </c>
      <c r="H471" s="25">
        <v>84</v>
      </c>
      <c r="I471" s="26"/>
    </row>
    <row r="472" spans="2:9" x14ac:dyDescent="0.3">
      <c r="B472" s="27">
        <v>46202</v>
      </c>
      <c r="C472" s="21" t="str">
        <f>TEXT(B472,"DDD")</f>
        <v>Mon</v>
      </c>
      <c r="D472" s="22">
        <f>WEEKNUM(B472)</f>
        <v>27</v>
      </c>
      <c r="E472" s="22" t="str">
        <f>TEXT(B472,"mmm-yy")</f>
        <v>Jun-26</v>
      </c>
      <c r="F472" s="11" t="s">
        <v>16</v>
      </c>
      <c r="G472" s="24" t="str">
        <f>IFERROR(VLOOKUP(Table1[[#This Row],[Compressor]],$K$9:$L$18,2,FALSE),"0")</f>
        <v>H254805IL</v>
      </c>
      <c r="H472" s="25">
        <v>19</v>
      </c>
      <c r="I472" s="26"/>
    </row>
    <row r="473" spans="2:9" x14ac:dyDescent="0.3">
      <c r="B473" s="27">
        <v>46202</v>
      </c>
      <c r="C473" s="21" t="str">
        <f>TEXT(B473,"DDD")</f>
        <v>Mon</v>
      </c>
      <c r="D473" s="22">
        <f>WEEKNUM(B473)</f>
        <v>27</v>
      </c>
      <c r="E473" s="22" t="str">
        <f>TEXT(B473,"mmm-yy")</f>
        <v>Jun-26</v>
      </c>
      <c r="F473" s="11" t="s">
        <v>17</v>
      </c>
      <c r="G473" s="24" t="str">
        <f>IFERROR(VLOOKUP(Table1[[#This Row],[Compressor]],$K$9:$L$18,2,FALSE),"0")</f>
        <v>H254802IL</v>
      </c>
      <c r="H473" s="25">
        <v>3</v>
      </c>
      <c r="I473" s="26"/>
    </row>
    <row r="474" spans="2:9" x14ac:dyDescent="0.3">
      <c r="B474" s="8">
        <v>46203</v>
      </c>
      <c r="C474" s="9" t="str">
        <f>TEXT(B474,"DDD")</f>
        <v>Tue</v>
      </c>
      <c r="D474" s="10">
        <f>WEEKNUM(B474)</f>
        <v>27</v>
      </c>
      <c r="E474" s="10" t="str">
        <f>TEXT(B474,"mmm-yy")</f>
        <v>Jun-26</v>
      </c>
      <c r="F474" s="11" t="s">
        <v>8</v>
      </c>
      <c r="G474" s="16" t="str">
        <f>IFERROR(VLOOKUP(Table1[[#This Row],[Compressor]],$K$9:$L$18,2,FALSE),"0")</f>
        <v>H254805XS</v>
      </c>
      <c r="H474" s="20">
        <v>10</v>
      </c>
      <c r="I474" s="12"/>
    </row>
    <row r="475" spans="2:9" x14ac:dyDescent="0.3">
      <c r="B475" s="8">
        <v>46203</v>
      </c>
      <c r="C475" s="9" t="str">
        <f>TEXT(B475,"DDD")</f>
        <v>Tue</v>
      </c>
      <c r="D475" s="10">
        <f>WEEKNUM(B475)</f>
        <v>27</v>
      </c>
      <c r="E475" s="10" t="str">
        <f>TEXT(B475,"mmm-yy")</f>
        <v>Jun-26</v>
      </c>
      <c r="F475" s="11" t="s">
        <v>9</v>
      </c>
      <c r="G475" s="16" t="str">
        <f>IFERROR(VLOOKUP(Table1[[#This Row],[Compressor]],$K$9:$L$18,2,FALSE),"0")</f>
        <v>H254805AI</v>
      </c>
      <c r="H475" s="20">
        <v>23</v>
      </c>
      <c r="I475" s="12"/>
    </row>
    <row r="476" spans="2:9" x14ac:dyDescent="0.3">
      <c r="B476" s="8">
        <v>46203</v>
      </c>
      <c r="C476" s="9" t="str">
        <f>TEXT(B476,"DDD")</f>
        <v>Tue</v>
      </c>
      <c r="D476" s="10">
        <f>WEEKNUM(B476)</f>
        <v>27</v>
      </c>
      <c r="E476" s="10" t="str">
        <f>TEXT(B476,"mmm-yy")</f>
        <v>Jun-26</v>
      </c>
      <c r="F476" s="11" t="s">
        <v>10</v>
      </c>
      <c r="G476" s="16" t="str">
        <f>IFERROR(VLOOKUP(Table1[[#This Row],[Compressor]],$K$9:$L$18,2,FALSE),"0")</f>
        <v>H254805RT</v>
      </c>
      <c r="H476" s="20">
        <v>29</v>
      </c>
      <c r="I476" s="12"/>
    </row>
    <row r="477" spans="2:9" x14ac:dyDescent="0.3">
      <c r="B477" s="8">
        <v>46203</v>
      </c>
      <c r="C477" s="9" t="str">
        <f>TEXT(B477,"DDD")</f>
        <v>Tue</v>
      </c>
      <c r="D477" s="10">
        <f>WEEKNUM(B477)</f>
        <v>27</v>
      </c>
      <c r="E477" s="10" t="str">
        <f>TEXT(B477,"mmm-yy")</f>
        <v>Jun-26</v>
      </c>
      <c r="F477" s="11" t="s">
        <v>11</v>
      </c>
      <c r="G477" s="16" t="str">
        <f>IFERROR(VLOOKUP(Table1[[#This Row],[Compressor]],$K$9:$L$18,2,FALSE),"0")</f>
        <v>H254805HT</v>
      </c>
      <c r="H477" s="20">
        <v>31</v>
      </c>
      <c r="I477" s="12"/>
    </row>
    <row r="478" spans="2:9" x14ac:dyDescent="0.3">
      <c r="B478" s="8">
        <v>46203</v>
      </c>
      <c r="C478" s="21" t="str">
        <f>TEXT(B478,"DDD")</f>
        <v>Tue</v>
      </c>
      <c r="D478" s="22">
        <f>WEEKNUM(B478)</f>
        <v>27</v>
      </c>
      <c r="E478" s="22" t="str">
        <f>TEXT(B478,"mmm-yy")</f>
        <v>Jun-26</v>
      </c>
      <c r="F478" s="11" t="s">
        <v>12</v>
      </c>
      <c r="G478" s="24" t="str">
        <f>IFERROR(VLOOKUP(Table1[[#This Row],[Compressor]],$K$9:$L$18,2,FALSE),"0")</f>
        <v>H254803IH</v>
      </c>
      <c r="H478" s="25">
        <v>32</v>
      </c>
      <c r="I478" s="26"/>
    </row>
    <row r="479" spans="2:9" x14ac:dyDescent="0.3">
      <c r="B479" s="27">
        <v>46203</v>
      </c>
      <c r="C479" s="21" t="str">
        <f>TEXT(B479,"DDD")</f>
        <v>Tue</v>
      </c>
      <c r="D479" s="22">
        <f>WEEKNUM(B479)</f>
        <v>27</v>
      </c>
      <c r="E479" s="22" t="str">
        <f>TEXT(B479,"mmm-yy")</f>
        <v>Jun-26</v>
      </c>
      <c r="F479" s="11" t="s">
        <v>13</v>
      </c>
      <c r="G479" s="24" t="str">
        <f>IFERROR(VLOOKUP(Table1[[#This Row],[Compressor]],$K$9:$L$18,2,FALSE),"0")</f>
        <v>H254806XS</v>
      </c>
      <c r="H479" s="25">
        <v>102</v>
      </c>
      <c r="I479" s="26"/>
    </row>
    <row r="480" spans="2:9" x14ac:dyDescent="0.3">
      <c r="B480" s="27">
        <v>46203</v>
      </c>
      <c r="C480" s="21" t="str">
        <f>TEXT(B480,"DDD")</f>
        <v>Tue</v>
      </c>
      <c r="D480" s="22">
        <f>WEEKNUM(B480)</f>
        <v>27</v>
      </c>
      <c r="E480" s="22" t="str">
        <f>TEXT(B480,"mmm-yy")</f>
        <v>Jun-26</v>
      </c>
      <c r="F480" s="11" t="s">
        <v>14</v>
      </c>
      <c r="G480" s="24" t="str">
        <f>IFERROR(VLOOKUP(Table1[[#This Row],[Compressor]],$K$9:$L$18,2,FALSE),"0")</f>
        <v>H254803HV</v>
      </c>
      <c r="H480" s="25">
        <v>24</v>
      </c>
      <c r="I480" s="26"/>
    </row>
    <row r="481" spans="2:9" x14ac:dyDescent="0.3">
      <c r="B481" s="27">
        <v>46203</v>
      </c>
      <c r="C481" s="21" t="str">
        <f>TEXT(B481,"DDD")</f>
        <v>Tue</v>
      </c>
      <c r="D481" s="22">
        <f>WEEKNUM(B481)</f>
        <v>27</v>
      </c>
      <c r="E481" s="22" t="str">
        <f>TEXT(B481,"mmm-yy")</f>
        <v>Jun-26</v>
      </c>
      <c r="F481" s="11" t="s">
        <v>15</v>
      </c>
      <c r="G481" s="24" t="str">
        <f>IFERROR(VLOOKUP(Table1[[#This Row],[Compressor]],$K$9:$L$18,2,FALSE),"0")</f>
        <v>H254805HT</v>
      </c>
      <c r="H481" s="25">
        <v>92</v>
      </c>
      <c r="I481" s="26"/>
    </row>
    <row r="482" spans="2:9" x14ac:dyDescent="0.3">
      <c r="B482" s="27">
        <v>46203</v>
      </c>
      <c r="C482" s="21" t="str">
        <f>TEXT(B482,"DDD")</f>
        <v>Tue</v>
      </c>
      <c r="D482" s="22">
        <f>WEEKNUM(B482)</f>
        <v>27</v>
      </c>
      <c r="E482" s="22" t="str">
        <f>TEXT(B482,"mmm-yy")</f>
        <v>Jun-26</v>
      </c>
      <c r="F482" s="11" t="s">
        <v>16</v>
      </c>
      <c r="G482" s="24" t="str">
        <f>IFERROR(VLOOKUP(Table1[[#This Row],[Compressor]],$K$9:$L$18,2,FALSE),"0")</f>
        <v>H254805IL</v>
      </c>
      <c r="H482" s="25">
        <v>19</v>
      </c>
      <c r="I482" s="26"/>
    </row>
    <row r="483" spans="2:9" x14ac:dyDescent="0.3">
      <c r="B483" s="28">
        <v>46203</v>
      </c>
      <c r="C483" s="29" t="str">
        <f>TEXT(B483,"DDD")</f>
        <v>Tue</v>
      </c>
      <c r="D483" s="30">
        <f>WEEKNUM(B483)</f>
        <v>27</v>
      </c>
      <c r="E483" s="30" t="str">
        <f>TEXT(B483,"mmm-yy")</f>
        <v>Jun-26</v>
      </c>
      <c r="F483" s="11" t="s">
        <v>17</v>
      </c>
      <c r="G483" s="31" t="str">
        <f>IFERROR(VLOOKUP(Table1[[#This Row],[Compressor]],$K$9:$L$18,2,FALSE),"0")</f>
        <v>H254802IL</v>
      </c>
      <c r="H483" s="32">
        <v>3</v>
      </c>
      <c r="I483" s="33"/>
    </row>
    <row r="484" spans="2:9" x14ac:dyDescent="0.3">
      <c r="B484" s="27">
        <v>46204</v>
      </c>
      <c r="C484" s="21" t="str">
        <f>TEXT(B484,"DDD")</f>
        <v>Wed</v>
      </c>
      <c r="D484" s="22">
        <f>WEEKNUM(B484)</f>
        <v>27</v>
      </c>
      <c r="E484" s="22" t="str">
        <f>TEXT(B484,"mmm-yy")</f>
        <v>Jul-26</v>
      </c>
      <c r="F484" s="11" t="s">
        <v>8</v>
      </c>
      <c r="G484" s="24" t="str">
        <f>IFERROR(VLOOKUP(Table1[[#This Row],[Compressor]],$K$9:$L$18,2,FALSE),"0")</f>
        <v>H254805XS</v>
      </c>
      <c r="H484" s="25">
        <v>10</v>
      </c>
      <c r="I484" s="26"/>
    </row>
    <row r="485" spans="2:9" x14ac:dyDescent="0.3">
      <c r="B485" s="27">
        <v>46204</v>
      </c>
      <c r="C485" s="21" t="str">
        <f>TEXT(B485,"DDD")</f>
        <v>Wed</v>
      </c>
      <c r="D485" s="22">
        <f>WEEKNUM(B485)</f>
        <v>27</v>
      </c>
      <c r="E485" s="22" t="str">
        <f>TEXT(B485,"mmm-yy")</f>
        <v>Jul-26</v>
      </c>
      <c r="F485" s="11" t="s">
        <v>9</v>
      </c>
      <c r="G485" s="24" t="str">
        <f>IFERROR(VLOOKUP(Table1[[#This Row],[Compressor]],$K$9:$L$18,2,FALSE),"0")</f>
        <v>H254805AI</v>
      </c>
      <c r="H485" s="25">
        <v>23</v>
      </c>
      <c r="I485" s="26"/>
    </row>
    <row r="486" spans="2:9" x14ac:dyDescent="0.3">
      <c r="B486" s="27">
        <v>46204</v>
      </c>
      <c r="C486" s="21" t="str">
        <f>TEXT(B486,"DDD")</f>
        <v>Wed</v>
      </c>
      <c r="D486" s="22">
        <f>WEEKNUM(B486)</f>
        <v>27</v>
      </c>
      <c r="E486" s="22" t="str">
        <f>TEXT(B486,"mmm-yy")</f>
        <v>Jul-26</v>
      </c>
      <c r="F486" s="11" t="s">
        <v>10</v>
      </c>
      <c r="G486" s="24" t="str">
        <f>IFERROR(VLOOKUP(Table1[[#This Row],[Compressor]],$K$9:$L$18,2,FALSE),"0")</f>
        <v>H254805RT</v>
      </c>
      <c r="H486" s="25">
        <v>29</v>
      </c>
      <c r="I486" s="26"/>
    </row>
    <row r="487" spans="2:9" x14ac:dyDescent="0.3">
      <c r="B487" s="27">
        <v>46204</v>
      </c>
      <c r="C487" s="21" t="str">
        <f>TEXT(B487,"DDD")</f>
        <v>Wed</v>
      </c>
      <c r="D487" s="22">
        <f>WEEKNUM(B487)</f>
        <v>27</v>
      </c>
      <c r="E487" s="22" t="str">
        <f>TEXT(B487,"mmm-yy")</f>
        <v>Jul-26</v>
      </c>
      <c r="F487" s="11" t="s">
        <v>11</v>
      </c>
      <c r="G487" s="24" t="str">
        <f>IFERROR(VLOOKUP(Table1[[#This Row],[Compressor]],$K$9:$L$18,2,FALSE),"0")</f>
        <v>H254805HT</v>
      </c>
      <c r="H487" s="25">
        <v>31</v>
      </c>
      <c r="I487" s="26"/>
    </row>
    <row r="488" spans="2:9" x14ac:dyDescent="0.3">
      <c r="B488" s="27">
        <v>46204</v>
      </c>
      <c r="C488" s="21" t="str">
        <f>TEXT(B488,"DDD")</f>
        <v>Wed</v>
      </c>
      <c r="D488" s="22">
        <f>WEEKNUM(B488)</f>
        <v>27</v>
      </c>
      <c r="E488" s="22" t="str">
        <f>TEXT(B488,"mmm-yy")</f>
        <v>Jul-26</v>
      </c>
      <c r="F488" s="11" t="s">
        <v>12</v>
      </c>
      <c r="G488" s="24" t="str">
        <f>IFERROR(VLOOKUP(Table1[[#This Row],[Compressor]],$K$9:$L$18,2,FALSE),"0")</f>
        <v>H254803IH</v>
      </c>
      <c r="H488" s="25">
        <v>32</v>
      </c>
      <c r="I488" s="26"/>
    </row>
    <row r="489" spans="2:9" x14ac:dyDescent="0.3">
      <c r="B489" s="27">
        <v>46204</v>
      </c>
      <c r="C489" s="21" t="str">
        <f>TEXT(B489,"DDD")</f>
        <v>Wed</v>
      </c>
      <c r="D489" s="22">
        <f>WEEKNUM(B489)</f>
        <v>27</v>
      </c>
      <c r="E489" s="22" t="str">
        <f>TEXT(B489,"mmm-yy")</f>
        <v>Jul-26</v>
      </c>
      <c r="F489" s="11" t="s">
        <v>13</v>
      </c>
      <c r="G489" s="24" t="str">
        <f>IFERROR(VLOOKUP(Table1[[#This Row],[Compressor]],$K$9:$L$18,2,FALSE),"0")</f>
        <v>H254806XS</v>
      </c>
      <c r="H489" s="25">
        <v>102</v>
      </c>
      <c r="I489" s="26"/>
    </row>
    <row r="490" spans="2:9" x14ac:dyDescent="0.3">
      <c r="B490" s="27">
        <v>46204</v>
      </c>
      <c r="C490" s="21" t="str">
        <f>TEXT(B490,"DDD")</f>
        <v>Wed</v>
      </c>
      <c r="D490" s="22">
        <f>WEEKNUM(B490)</f>
        <v>27</v>
      </c>
      <c r="E490" s="22" t="str">
        <f>TEXT(B490,"mmm-yy")</f>
        <v>Jul-26</v>
      </c>
      <c r="F490" s="11" t="s">
        <v>14</v>
      </c>
      <c r="G490" s="24" t="str">
        <f>IFERROR(VLOOKUP(Table1[[#This Row],[Compressor]],$K$9:$L$18,2,FALSE),"0")</f>
        <v>H254803HV</v>
      </c>
      <c r="H490" s="25">
        <v>24</v>
      </c>
      <c r="I490" s="26"/>
    </row>
    <row r="491" spans="2:9" x14ac:dyDescent="0.3">
      <c r="B491" s="27">
        <v>46204</v>
      </c>
      <c r="C491" s="21" t="str">
        <f>TEXT(B491,"DDD")</f>
        <v>Wed</v>
      </c>
      <c r="D491" s="22">
        <f>WEEKNUM(B491)</f>
        <v>27</v>
      </c>
      <c r="E491" s="22" t="str">
        <f>TEXT(B491,"mmm-yy")</f>
        <v>Jul-26</v>
      </c>
      <c r="F491" s="11" t="s">
        <v>15</v>
      </c>
      <c r="G491" s="24" t="str">
        <f>IFERROR(VLOOKUP(Table1[[#This Row],[Compressor]],$K$9:$L$18,2,FALSE),"0")</f>
        <v>H254805HT</v>
      </c>
      <c r="H491" s="25">
        <v>92</v>
      </c>
      <c r="I491" s="26"/>
    </row>
    <row r="492" spans="2:9" x14ac:dyDescent="0.3">
      <c r="B492" s="27">
        <v>46204</v>
      </c>
      <c r="C492" s="21" t="str">
        <f>TEXT(B492,"DDD")</f>
        <v>Wed</v>
      </c>
      <c r="D492" s="22">
        <f>WEEKNUM(B492)</f>
        <v>27</v>
      </c>
      <c r="E492" s="22" t="str">
        <f>TEXT(B492,"mmm-yy")</f>
        <v>Jul-26</v>
      </c>
      <c r="F492" s="11" t="s">
        <v>16</v>
      </c>
      <c r="G492" s="24" t="str">
        <f>IFERROR(VLOOKUP(Table1[[#This Row],[Compressor]],$K$9:$L$18,2,FALSE),"0")</f>
        <v>H254805IL</v>
      </c>
      <c r="H492" s="25">
        <v>19</v>
      </c>
      <c r="I492" s="26"/>
    </row>
    <row r="493" spans="2:9" x14ac:dyDescent="0.3">
      <c r="B493" s="27">
        <v>46204</v>
      </c>
      <c r="C493" s="21" t="str">
        <f>TEXT(B493,"DDD")</f>
        <v>Wed</v>
      </c>
      <c r="D493" s="22">
        <f>WEEKNUM(B493)</f>
        <v>27</v>
      </c>
      <c r="E493" s="22" t="str">
        <f>TEXT(B493,"mmm-yy")</f>
        <v>Jul-26</v>
      </c>
      <c r="F493" s="11" t="s">
        <v>17</v>
      </c>
      <c r="G493" s="24" t="str">
        <f>IFERROR(VLOOKUP(Table1[[#This Row],[Compressor]],$K$9:$L$18,2,FALSE),"0")</f>
        <v>H254802IL</v>
      </c>
      <c r="H493" s="25">
        <v>3</v>
      </c>
      <c r="I493" s="26"/>
    </row>
    <row r="494" spans="2:9" x14ac:dyDescent="0.3">
      <c r="B494" s="27">
        <v>46205</v>
      </c>
      <c r="C494" s="21" t="str">
        <f>TEXT(B494,"DDD")</f>
        <v>Thu</v>
      </c>
      <c r="D494" s="22">
        <f>WEEKNUM(B494)</f>
        <v>27</v>
      </c>
      <c r="E494" s="22" t="str">
        <f>TEXT(B494,"mmm-yy")</f>
        <v>Jul-26</v>
      </c>
      <c r="F494" s="11" t="s">
        <v>8</v>
      </c>
      <c r="G494" s="24" t="str">
        <f>IFERROR(VLOOKUP(Table1[[#This Row],[Compressor]],$K$9:$L$18,2,FALSE),"0")</f>
        <v>H254805XS</v>
      </c>
      <c r="H494" s="25">
        <v>10</v>
      </c>
      <c r="I494" s="26"/>
    </row>
    <row r="495" spans="2:9" x14ac:dyDescent="0.3">
      <c r="B495" s="27">
        <v>46205</v>
      </c>
      <c r="C495" s="21" t="str">
        <f>TEXT(B495,"DDD")</f>
        <v>Thu</v>
      </c>
      <c r="D495" s="22">
        <f>WEEKNUM(B495)</f>
        <v>27</v>
      </c>
      <c r="E495" s="22" t="str">
        <f>TEXT(B495,"mmm-yy")</f>
        <v>Jul-26</v>
      </c>
      <c r="F495" s="11" t="s">
        <v>9</v>
      </c>
      <c r="G495" s="24" t="str">
        <f>IFERROR(VLOOKUP(Table1[[#This Row],[Compressor]],$K$9:$L$18,2,FALSE),"0")</f>
        <v>H254805AI</v>
      </c>
      <c r="H495" s="25">
        <v>23</v>
      </c>
      <c r="I495" s="26"/>
    </row>
    <row r="496" spans="2:9" x14ac:dyDescent="0.3">
      <c r="B496" s="27">
        <v>46205</v>
      </c>
      <c r="C496" s="21" t="str">
        <f>TEXT(B496,"DDD")</f>
        <v>Thu</v>
      </c>
      <c r="D496" s="22">
        <f>WEEKNUM(B496)</f>
        <v>27</v>
      </c>
      <c r="E496" s="22" t="str">
        <f>TEXT(B496,"mmm-yy")</f>
        <v>Jul-26</v>
      </c>
      <c r="F496" s="11" t="s">
        <v>10</v>
      </c>
      <c r="G496" s="24" t="str">
        <f>IFERROR(VLOOKUP(Table1[[#This Row],[Compressor]],$K$9:$L$18,2,FALSE),"0")</f>
        <v>H254805RT</v>
      </c>
      <c r="H496" s="25">
        <v>29</v>
      </c>
      <c r="I496" s="26"/>
    </row>
    <row r="497" spans="2:9" x14ac:dyDescent="0.3">
      <c r="B497" s="27">
        <v>46205</v>
      </c>
      <c r="C497" s="21" t="str">
        <f>TEXT(B497,"DDD")</f>
        <v>Thu</v>
      </c>
      <c r="D497" s="22">
        <f>WEEKNUM(B497)</f>
        <v>27</v>
      </c>
      <c r="E497" s="22" t="str">
        <f>TEXT(B497,"mmm-yy")</f>
        <v>Jul-26</v>
      </c>
      <c r="F497" s="11" t="s">
        <v>11</v>
      </c>
      <c r="G497" s="24" t="str">
        <f>IFERROR(VLOOKUP(Table1[[#This Row],[Compressor]],$K$9:$L$18,2,FALSE),"0")</f>
        <v>H254805HT</v>
      </c>
      <c r="H497" s="25">
        <v>31</v>
      </c>
      <c r="I497" s="26"/>
    </row>
    <row r="498" spans="2:9" x14ac:dyDescent="0.3">
      <c r="B498" s="27">
        <v>46205</v>
      </c>
      <c r="C498" s="21" t="str">
        <f>TEXT(B498,"DDD")</f>
        <v>Thu</v>
      </c>
      <c r="D498" s="22">
        <f>WEEKNUM(B498)</f>
        <v>27</v>
      </c>
      <c r="E498" s="22" t="str">
        <f>TEXT(B498,"mmm-yy")</f>
        <v>Jul-26</v>
      </c>
      <c r="F498" s="11" t="s">
        <v>12</v>
      </c>
      <c r="G498" s="24" t="str">
        <f>IFERROR(VLOOKUP(Table1[[#This Row],[Compressor]],$K$9:$L$18,2,FALSE),"0")</f>
        <v>H254803IH</v>
      </c>
      <c r="H498" s="25">
        <v>32</v>
      </c>
      <c r="I498" s="26"/>
    </row>
    <row r="499" spans="2:9" x14ac:dyDescent="0.3">
      <c r="B499" s="27">
        <v>46205</v>
      </c>
      <c r="C499" s="21" t="str">
        <f>TEXT(B499,"DDD")</f>
        <v>Thu</v>
      </c>
      <c r="D499" s="22">
        <f>WEEKNUM(B499)</f>
        <v>27</v>
      </c>
      <c r="E499" s="22" t="str">
        <f>TEXT(B499,"mmm-yy")</f>
        <v>Jul-26</v>
      </c>
      <c r="F499" s="11" t="s">
        <v>13</v>
      </c>
      <c r="G499" s="24" t="str">
        <f>IFERROR(VLOOKUP(Table1[[#This Row],[Compressor]],$K$9:$L$18,2,FALSE),"0")</f>
        <v>H254806XS</v>
      </c>
      <c r="H499" s="25">
        <v>102</v>
      </c>
      <c r="I499" s="26"/>
    </row>
    <row r="500" spans="2:9" x14ac:dyDescent="0.3">
      <c r="B500" s="27">
        <v>46205</v>
      </c>
      <c r="C500" s="21" t="str">
        <f>TEXT(B500,"DDD")</f>
        <v>Thu</v>
      </c>
      <c r="D500" s="22">
        <f>WEEKNUM(B500)</f>
        <v>27</v>
      </c>
      <c r="E500" s="22" t="str">
        <f>TEXT(B500,"mmm-yy")</f>
        <v>Jul-26</v>
      </c>
      <c r="F500" s="11" t="s">
        <v>14</v>
      </c>
      <c r="G500" s="24" t="str">
        <f>IFERROR(VLOOKUP(Table1[[#This Row],[Compressor]],$K$9:$L$18,2,FALSE),"0")</f>
        <v>H254803HV</v>
      </c>
      <c r="H500" s="25">
        <v>25</v>
      </c>
      <c r="I500" s="26"/>
    </row>
    <row r="501" spans="2:9" x14ac:dyDescent="0.3">
      <c r="B501" s="27">
        <v>46205</v>
      </c>
      <c r="C501" s="21" t="str">
        <f>TEXT(B501,"DDD")</f>
        <v>Thu</v>
      </c>
      <c r="D501" s="22">
        <f>WEEKNUM(B501)</f>
        <v>27</v>
      </c>
      <c r="E501" s="22" t="str">
        <f>TEXT(B501,"mmm-yy")</f>
        <v>Jul-26</v>
      </c>
      <c r="F501" s="11" t="s">
        <v>15</v>
      </c>
      <c r="G501" s="24" t="str">
        <f>IFERROR(VLOOKUP(Table1[[#This Row],[Compressor]],$K$9:$L$18,2,FALSE),"0")</f>
        <v>H254805HT</v>
      </c>
      <c r="H501" s="25">
        <v>101</v>
      </c>
      <c r="I501" s="26"/>
    </row>
    <row r="502" spans="2:9" x14ac:dyDescent="0.3">
      <c r="B502" s="27">
        <v>46205</v>
      </c>
      <c r="C502" s="21" t="str">
        <f>TEXT(B502,"DDD")</f>
        <v>Thu</v>
      </c>
      <c r="D502" s="22">
        <f>WEEKNUM(B502)</f>
        <v>27</v>
      </c>
      <c r="E502" s="22" t="str">
        <f>TEXT(B502,"mmm-yy")</f>
        <v>Jul-26</v>
      </c>
      <c r="F502" s="11" t="s">
        <v>16</v>
      </c>
      <c r="G502" s="24" t="str">
        <f>IFERROR(VLOOKUP(Table1[[#This Row],[Compressor]],$K$9:$L$18,2,FALSE),"0")</f>
        <v>H254805IL</v>
      </c>
      <c r="H502" s="25">
        <v>19</v>
      </c>
      <c r="I502" s="26"/>
    </row>
    <row r="503" spans="2:9" x14ac:dyDescent="0.3">
      <c r="B503" s="27">
        <v>46205</v>
      </c>
      <c r="C503" s="21" t="str">
        <f>TEXT(B503,"DDD")</f>
        <v>Thu</v>
      </c>
      <c r="D503" s="22">
        <f>WEEKNUM(B503)</f>
        <v>27</v>
      </c>
      <c r="E503" s="22" t="str">
        <f>TEXT(B503,"mmm-yy")</f>
        <v>Jul-26</v>
      </c>
      <c r="F503" s="11" t="s">
        <v>17</v>
      </c>
      <c r="G503" s="24" t="str">
        <f>IFERROR(VLOOKUP(Table1[[#This Row],[Compressor]],$K$9:$L$18,2,FALSE),"0")</f>
        <v>H254802IL</v>
      </c>
      <c r="H503" s="25">
        <v>3</v>
      </c>
      <c r="I503" s="26"/>
    </row>
    <row r="504" spans="2:9" x14ac:dyDescent="0.3">
      <c r="B504" s="27">
        <v>46206</v>
      </c>
      <c r="C504" s="21" t="str">
        <f>TEXT(B504,"DDD")</f>
        <v>Fri</v>
      </c>
      <c r="D504" s="22">
        <f>WEEKNUM(B504)</f>
        <v>27</v>
      </c>
      <c r="E504" s="22" t="str">
        <f>TEXT(B504,"mmm-yy")</f>
        <v>Jul-26</v>
      </c>
      <c r="F504" s="11" t="s">
        <v>8</v>
      </c>
      <c r="G504" s="24" t="str">
        <f>IFERROR(VLOOKUP(Table1[[#This Row],[Compressor]],$K$9:$L$18,2,FALSE),"0")</f>
        <v>H254805XS</v>
      </c>
      <c r="H504" s="25">
        <v>10</v>
      </c>
      <c r="I504" s="26"/>
    </row>
    <row r="505" spans="2:9" x14ac:dyDescent="0.3">
      <c r="B505" s="27">
        <v>46206</v>
      </c>
      <c r="C505" s="21" t="str">
        <f>TEXT(B505,"DDD")</f>
        <v>Fri</v>
      </c>
      <c r="D505" s="22">
        <f>WEEKNUM(B505)</f>
        <v>27</v>
      </c>
      <c r="E505" s="22" t="str">
        <f>TEXT(B505,"mmm-yy")</f>
        <v>Jul-26</v>
      </c>
      <c r="F505" s="11" t="s">
        <v>9</v>
      </c>
      <c r="G505" s="24" t="str">
        <f>IFERROR(VLOOKUP(Table1[[#This Row],[Compressor]],$K$9:$L$18,2,FALSE),"0")</f>
        <v>H254805AI</v>
      </c>
      <c r="H505" s="25">
        <v>23</v>
      </c>
      <c r="I505" s="26"/>
    </row>
    <row r="506" spans="2:9" x14ac:dyDescent="0.3">
      <c r="B506" s="27">
        <v>46206</v>
      </c>
      <c r="C506" s="21" t="str">
        <f>TEXT(B506,"DDD")</f>
        <v>Fri</v>
      </c>
      <c r="D506" s="22">
        <f>WEEKNUM(B506)</f>
        <v>27</v>
      </c>
      <c r="E506" s="22" t="str">
        <f>TEXT(B506,"mmm-yy")</f>
        <v>Jul-26</v>
      </c>
      <c r="F506" s="11" t="s">
        <v>10</v>
      </c>
      <c r="G506" s="24" t="str">
        <f>IFERROR(VLOOKUP(Table1[[#This Row],[Compressor]],$K$9:$L$18,2,FALSE),"0")</f>
        <v>H254805RT</v>
      </c>
      <c r="H506" s="25">
        <v>29</v>
      </c>
      <c r="I506" s="26"/>
    </row>
    <row r="507" spans="2:9" x14ac:dyDescent="0.3">
      <c r="B507" s="27">
        <v>46206</v>
      </c>
      <c r="C507" s="21" t="str">
        <f>TEXT(B507,"DDD")</f>
        <v>Fri</v>
      </c>
      <c r="D507" s="22">
        <f>WEEKNUM(B507)</f>
        <v>27</v>
      </c>
      <c r="E507" s="22" t="str">
        <f>TEXT(B507,"mmm-yy")</f>
        <v>Jul-26</v>
      </c>
      <c r="F507" s="11" t="s">
        <v>11</v>
      </c>
      <c r="G507" s="24" t="str">
        <f>IFERROR(VLOOKUP(Table1[[#This Row],[Compressor]],$K$9:$L$18,2,FALSE),"0")</f>
        <v>H254805HT</v>
      </c>
      <c r="H507" s="25">
        <v>31</v>
      </c>
      <c r="I507" s="26"/>
    </row>
    <row r="508" spans="2:9" x14ac:dyDescent="0.3">
      <c r="B508" s="27">
        <v>46206</v>
      </c>
      <c r="C508" s="21" t="str">
        <f>TEXT(B508,"DDD")</f>
        <v>Fri</v>
      </c>
      <c r="D508" s="22">
        <f>WEEKNUM(B508)</f>
        <v>27</v>
      </c>
      <c r="E508" s="22" t="str">
        <f>TEXT(B508,"mmm-yy")</f>
        <v>Jul-26</v>
      </c>
      <c r="F508" s="11" t="s">
        <v>12</v>
      </c>
      <c r="G508" s="24" t="str">
        <f>IFERROR(VLOOKUP(Table1[[#This Row],[Compressor]],$K$9:$L$18,2,FALSE),"0")</f>
        <v>H254803IH</v>
      </c>
      <c r="H508" s="25">
        <v>32</v>
      </c>
      <c r="I508" s="26"/>
    </row>
    <row r="509" spans="2:9" x14ac:dyDescent="0.3">
      <c r="B509" s="27">
        <v>46206</v>
      </c>
      <c r="C509" s="21" t="str">
        <f>TEXT(B509,"DDD")</f>
        <v>Fri</v>
      </c>
      <c r="D509" s="22">
        <f>WEEKNUM(B509)</f>
        <v>27</v>
      </c>
      <c r="E509" s="22" t="str">
        <f>TEXT(B509,"mmm-yy")</f>
        <v>Jul-26</v>
      </c>
      <c r="F509" s="11" t="s">
        <v>13</v>
      </c>
      <c r="G509" s="24" t="str">
        <f>IFERROR(VLOOKUP(Table1[[#This Row],[Compressor]],$K$9:$L$18,2,FALSE),"0")</f>
        <v>H254806XS</v>
      </c>
      <c r="H509" s="25">
        <v>102</v>
      </c>
      <c r="I509" s="26"/>
    </row>
    <row r="510" spans="2:9" x14ac:dyDescent="0.3">
      <c r="B510" s="27">
        <v>46206</v>
      </c>
      <c r="C510" s="21" t="str">
        <f>TEXT(B510,"DDD")</f>
        <v>Fri</v>
      </c>
      <c r="D510" s="22">
        <f>WEEKNUM(B510)</f>
        <v>27</v>
      </c>
      <c r="E510" s="22" t="str">
        <f>TEXT(B510,"mmm-yy")</f>
        <v>Jul-26</v>
      </c>
      <c r="F510" s="11" t="s">
        <v>14</v>
      </c>
      <c r="G510" s="24" t="str">
        <f>IFERROR(VLOOKUP(Table1[[#This Row],[Compressor]],$K$9:$L$18,2,FALSE),"0")</f>
        <v>H254803HV</v>
      </c>
      <c r="H510" s="25">
        <v>27</v>
      </c>
      <c r="I510" s="26"/>
    </row>
    <row r="511" spans="2:9" x14ac:dyDescent="0.3">
      <c r="B511" s="27">
        <v>46206</v>
      </c>
      <c r="C511" s="21" t="str">
        <f>TEXT(B511,"DDD")</f>
        <v>Fri</v>
      </c>
      <c r="D511" s="22">
        <f>WEEKNUM(B511)</f>
        <v>27</v>
      </c>
      <c r="E511" s="22" t="str">
        <f>TEXT(B511,"mmm-yy")</f>
        <v>Jul-26</v>
      </c>
      <c r="F511" s="11" t="s">
        <v>15</v>
      </c>
      <c r="G511" s="24" t="str">
        <f>IFERROR(VLOOKUP(Table1[[#This Row],[Compressor]],$K$9:$L$18,2,FALSE),"0")</f>
        <v>H254805HT</v>
      </c>
      <c r="H511" s="25">
        <v>109</v>
      </c>
      <c r="I511" s="26"/>
    </row>
    <row r="512" spans="2:9" x14ac:dyDescent="0.3">
      <c r="B512" s="27">
        <v>46206</v>
      </c>
      <c r="C512" s="21" t="str">
        <f>TEXT(B512,"DDD")</f>
        <v>Fri</v>
      </c>
      <c r="D512" s="22">
        <f>WEEKNUM(B512)</f>
        <v>27</v>
      </c>
      <c r="E512" s="22" t="str">
        <f>TEXT(B512,"mmm-yy")</f>
        <v>Jul-26</v>
      </c>
      <c r="F512" s="11" t="s">
        <v>16</v>
      </c>
      <c r="G512" s="24" t="str">
        <f>IFERROR(VLOOKUP(Table1[[#This Row],[Compressor]],$K$9:$L$18,2,FALSE),"0")</f>
        <v>H254805IL</v>
      </c>
      <c r="H512" s="25">
        <v>19</v>
      </c>
      <c r="I512" s="26"/>
    </row>
    <row r="513" spans="2:9" x14ac:dyDescent="0.3">
      <c r="B513" s="27">
        <v>46206</v>
      </c>
      <c r="C513" s="29" t="str">
        <f>TEXT(B513,"DDD")</f>
        <v>Fri</v>
      </c>
      <c r="D513" s="30">
        <f>WEEKNUM(B513)</f>
        <v>27</v>
      </c>
      <c r="E513" s="30" t="str">
        <f>TEXT(B513,"mmm-yy")</f>
        <v>Jul-26</v>
      </c>
      <c r="F513" s="11" t="s">
        <v>17</v>
      </c>
      <c r="G513" s="31" t="str">
        <f>IFERROR(VLOOKUP(Table1[[#This Row],[Compressor]],$K$9:$L$18,2,FALSE),"0")</f>
        <v>H254802IL</v>
      </c>
      <c r="H513" s="32">
        <v>3</v>
      </c>
      <c r="I513" s="33"/>
    </row>
    <row r="514" spans="2:9" x14ac:dyDescent="0.3">
      <c r="B514" s="27">
        <v>46207</v>
      </c>
      <c r="C514" s="21" t="str">
        <f>TEXT(B514,"DDD")</f>
        <v>Sat</v>
      </c>
      <c r="D514" s="22">
        <f>WEEKNUM(B514)</f>
        <v>27</v>
      </c>
      <c r="E514" s="22" t="str">
        <f>TEXT(B514,"mmm-yy")</f>
        <v>Jul-26</v>
      </c>
      <c r="F514" s="11" t="s">
        <v>8</v>
      </c>
      <c r="G514" s="24" t="str">
        <f>IFERROR(VLOOKUP(Table1[[#This Row],[Compressor]],$K$9:$L$18,2,FALSE),"0")</f>
        <v>H254805XS</v>
      </c>
      <c r="H514" s="25">
        <v>10</v>
      </c>
      <c r="I514" s="33"/>
    </row>
    <row r="515" spans="2:9" x14ac:dyDescent="0.3">
      <c r="B515" s="27">
        <v>46207</v>
      </c>
      <c r="C515" s="21" t="str">
        <f>TEXT(B515,"DDD")</f>
        <v>Sat</v>
      </c>
      <c r="D515" s="22">
        <f>WEEKNUM(B515)</f>
        <v>27</v>
      </c>
      <c r="E515" s="22" t="str">
        <f>TEXT(B515,"mmm-yy")</f>
        <v>Jul-26</v>
      </c>
      <c r="F515" s="11" t="s">
        <v>9</v>
      </c>
      <c r="G515" s="24" t="str">
        <f>IFERROR(VLOOKUP(Table1[[#This Row],[Compressor]],$K$9:$L$18,2,FALSE),"0")</f>
        <v>H254805AI</v>
      </c>
      <c r="H515" s="25">
        <v>23</v>
      </c>
      <c r="I515" s="33"/>
    </row>
    <row r="516" spans="2:9" x14ac:dyDescent="0.3">
      <c r="B516" s="27">
        <v>46207</v>
      </c>
      <c r="C516" s="21" t="str">
        <f>TEXT(B516,"DDD")</f>
        <v>Sat</v>
      </c>
      <c r="D516" s="22">
        <f>WEEKNUM(B516)</f>
        <v>27</v>
      </c>
      <c r="E516" s="22" t="str">
        <f>TEXT(B516,"mmm-yy")</f>
        <v>Jul-26</v>
      </c>
      <c r="F516" s="11" t="s">
        <v>10</v>
      </c>
      <c r="G516" s="24" t="str">
        <f>IFERROR(VLOOKUP(Table1[[#This Row],[Compressor]],$K$9:$L$18,2,FALSE),"0")</f>
        <v>H254805RT</v>
      </c>
      <c r="H516" s="25">
        <v>29</v>
      </c>
      <c r="I516" s="33"/>
    </row>
    <row r="517" spans="2:9" x14ac:dyDescent="0.3">
      <c r="B517" s="27">
        <v>46207</v>
      </c>
      <c r="C517" s="21" t="str">
        <f>TEXT(B517,"DDD")</f>
        <v>Sat</v>
      </c>
      <c r="D517" s="22">
        <f>WEEKNUM(B517)</f>
        <v>27</v>
      </c>
      <c r="E517" s="22" t="str">
        <f>TEXT(B517,"mmm-yy")</f>
        <v>Jul-26</v>
      </c>
      <c r="F517" s="11" t="s">
        <v>11</v>
      </c>
      <c r="G517" s="24" t="str">
        <f>IFERROR(VLOOKUP(Table1[[#This Row],[Compressor]],$K$9:$L$18,2,FALSE),"0")</f>
        <v>H254805HT</v>
      </c>
      <c r="H517" s="25">
        <v>31</v>
      </c>
      <c r="I517" s="33"/>
    </row>
    <row r="518" spans="2:9" x14ac:dyDescent="0.3">
      <c r="B518" s="27">
        <v>46207</v>
      </c>
      <c r="C518" s="21" t="str">
        <f>TEXT(B518,"DDD")</f>
        <v>Sat</v>
      </c>
      <c r="D518" s="22">
        <f>WEEKNUM(B518)</f>
        <v>27</v>
      </c>
      <c r="E518" s="22" t="str">
        <f>TEXT(B518,"mmm-yy")</f>
        <v>Jul-26</v>
      </c>
      <c r="F518" s="11" t="s">
        <v>12</v>
      </c>
      <c r="G518" s="24" t="str">
        <f>IFERROR(VLOOKUP(Table1[[#This Row],[Compressor]],$K$9:$L$18,2,FALSE),"0")</f>
        <v>H254803IH</v>
      </c>
      <c r="H518" s="25">
        <v>32</v>
      </c>
      <c r="I518" s="33"/>
    </row>
    <row r="519" spans="2:9" x14ac:dyDescent="0.3">
      <c r="B519" s="27">
        <v>46207</v>
      </c>
      <c r="C519" s="21" t="str">
        <f>TEXT(B519,"DDD")</f>
        <v>Sat</v>
      </c>
      <c r="D519" s="22">
        <f>WEEKNUM(B519)</f>
        <v>27</v>
      </c>
      <c r="E519" s="22" t="str">
        <f>TEXT(B519,"mmm-yy")</f>
        <v>Jul-26</v>
      </c>
      <c r="F519" s="11" t="s">
        <v>13</v>
      </c>
      <c r="G519" s="24" t="str">
        <f>IFERROR(VLOOKUP(Table1[[#This Row],[Compressor]],$K$9:$L$18,2,FALSE),"0")</f>
        <v>H254806XS</v>
      </c>
      <c r="H519" s="25">
        <v>102</v>
      </c>
      <c r="I519" s="33"/>
    </row>
    <row r="520" spans="2:9" x14ac:dyDescent="0.3">
      <c r="B520" s="27">
        <v>46207</v>
      </c>
      <c r="C520" s="21" t="str">
        <f>TEXT(B520,"DDD")</f>
        <v>Sat</v>
      </c>
      <c r="D520" s="22">
        <f>WEEKNUM(B520)</f>
        <v>27</v>
      </c>
      <c r="E520" s="22" t="str">
        <f>TEXT(B520,"mmm-yy")</f>
        <v>Jul-26</v>
      </c>
      <c r="F520" s="11" t="s">
        <v>14</v>
      </c>
      <c r="G520" s="24" t="str">
        <f>IFERROR(VLOOKUP(Table1[[#This Row],[Compressor]],$K$9:$L$18,2,FALSE),"0")</f>
        <v>H254803HV</v>
      </c>
      <c r="H520" s="25">
        <v>31</v>
      </c>
      <c r="I520" s="33"/>
    </row>
    <row r="521" spans="2:9" x14ac:dyDescent="0.3">
      <c r="B521" s="27">
        <v>46207</v>
      </c>
      <c r="C521" s="21" t="str">
        <f>TEXT(B521,"DDD")</f>
        <v>Sat</v>
      </c>
      <c r="D521" s="22">
        <f>WEEKNUM(B521)</f>
        <v>27</v>
      </c>
      <c r="E521" s="22" t="str">
        <f>TEXT(B521,"mmm-yy")</f>
        <v>Jul-26</v>
      </c>
      <c r="F521" s="11" t="s">
        <v>15</v>
      </c>
      <c r="G521" s="24" t="str">
        <f>IFERROR(VLOOKUP(Table1[[#This Row],[Compressor]],$K$9:$L$18,2,FALSE),"0")</f>
        <v>H254805HT</v>
      </c>
      <c r="H521" s="25">
        <v>117</v>
      </c>
      <c r="I521" s="33"/>
    </row>
    <row r="522" spans="2:9" x14ac:dyDescent="0.3">
      <c r="B522" s="27">
        <v>46207</v>
      </c>
      <c r="C522" s="21" t="str">
        <f>TEXT(B522,"DDD")</f>
        <v>Sat</v>
      </c>
      <c r="D522" s="22">
        <f>WEEKNUM(B522)</f>
        <v>27</v>
      </c>
      <c r="E522" s="22" t="str">
        <f>TEXT(B522,"mmm-yy")</f>
        <v>Jul-26</v>
      </c>
      <c r="F522" s="11" t="s">
        <v>16</v>
      </c>
      <c r="G522" s="24" t="str">
        <f>IFERROR(VLOOKUP(Table1[[#This Row],[Compressor]],$K$9:$L$18,2,FALSE),"0")</f>
        <v>H254805IL</v>
      </c>
      <c r="H522" s="25">
        <v>19</v>
      </c>
      <c r="I522" s="33"/>
    </row>
    <row r="523" spans="2:9" x14ac:dyDescent="0.3">
      <c r="B523" s="27">
        <v>46207</v>
      </c>
      <c r="C523" s="21" t="str">
        <f>TEXT(B523,"DDD")</f>
        <v>Sat</v>
      </c>
      <c r="D523" s="22">
        <f>WEEKNUM(B523)</f>
        <v>27</v>
      </c>
      <c r="E523" s="22" t="str">
        <f>TEXT(B523,"mmm-yy")</f>
        <v>Jul-26</v>
      </c>
      <c r="F523" s="11" t="s">
        <v>17</v>
      </c>
      <c r="G523" s="24" t="str">
        <f>IFERROR(VLOOKUP(Table1[[#This Row],[Compressor]],$K$9:$L$18,2,FALSE),"0")</f>
        <v>H254802IL</v>
      </c>
      <c r="H523" s="25">
        <v>3</v>
      </c>
      <c r="I523" s="33"/>
    </row>
    <row r="524" spans="2:9" x14ac:dyDescent="0.3">
      <c r="B524" s="27">
        <v>46208</v>
      </c>
      <c r="C524" s="21" t="str">
        <f>TEXT(B524,"DDD")</f>
        <v>Sun</v>
      </c>
      <c r="D524" s="22">
        <f>WEEKNUM(B524)</f>
        <v>28</v>
      </c>
      <c r="E524" s="22" t="str">
        <f>TEXT(B524,"mmm-yy")</f>
        <v>Jul-26</v>
      </c>
      <c r="F524" s="11" t="s">
        <v>8</v>
      </c>
      <c r="G524" s="24" t="str">
        <f>IFERROR(VLOOKUP(Table1[[#This Row],[Compressor]],$K$9:$L$18,2,FALSE),"0")</f>
        <v>H254805XS</v>
      </c>
      <c r="H524" s="25">
        <v>10</v>
      </c>
      <c r="I524" s="33"/>
    </row>
    <row r="525" spans="2:9" x14ac:dyDescent="0.3">
      <c r="B525" s="27">
        <v>46208</v>
      </c>
      <c r="C525" s="21" t="str">
        <f>TEXT(B525,"DDD")</f>
        <v>Sun</v>
      </c>
      <c r="D525" s="22">
        <f>WEEKNUM(B525)</f>
        <v>28</v>
      </c>
      <c r="E525" s="22" t="str">
        <f>TEXT(B525,"mmm-yy")</f>
        <v>Jul-26</v>
      </c>
      <c r="F525" s="11" t="s">
        <v>9</v>
      </c>
      <c r="G525" s="24" t="str">
        <f>IFERROR(VLOOKUP(Table1[[#This Row],[Compressor]],$K$9:$L$18,2,FALSE),"0")</f>
        <v>H254805AI</v>
      </c>
      <c r="H525" s="25">
        <v>23</v>
      </c>
      <c r="I525" s="33"/>
    </row>
    <row r="526" spans="2:9" x14ac:dyDescent="0.3">
      <c r="B526" s="27">
        <v>46208</v>
      </c>
      <c r="C526" s="21" t="str">
        <f>TEXT(B526,"DDD")</f>
        <v>Sun</v>
      </c>
      <c r="D526" s="22">
        <f>WEEKNUM(B526)</f>
        <v>28</v>
      </c>
      <c r="E526" s="22" t="str">
        <f>TEXT(B526,"mmm-yy")</f>
        <v>Jul-26</v>
      </c>
      <c r="F526" s="11" t="s">
        <v>10</v>
      </c>
      <c r="G526" s="24" t="str">
        <f>IFERROR(VLOOKUP(Table1[[#This Row],[Compressor]],$K$9:$L$18,2,FALSE),"0")</f>
        <v>H254805RT</v>
      </c>
      <c r="H526" s="25">
        <v>29</v>
      </c>
      <c r="I526" s="33"/>
    </row>
    <row r="527" spans="2:9" x14ac:dyDescent="0.3">
      <c r="B527" s="27">
        <v>46208</v>
      </c>
      <c r="C527" s="21" t="str">
        <f>TEXT(B527,"DDD")</f>
        <v>Sun</v>
      </c>
      <c r="D527" s="22">
        <f>WEEKNUM(B527)</f>
        <v>28</v>
      </c>
      <c r="E527" s="22" t="str">
        <f>TEXT(B527,"mmm-yy")</f>
        <v>Jul-26</v>
      </c>
      <c r="F527" s="11" t="s">
        <v>11</v>
      </c>
      <c r="G527" s="24" t="str">
        <f>IFERROR(VLOOKUP(Table1[[#This Row],[Compressor]],$K$9:$L$18,2,FALSE),"0")</f>
        <v>H254805HT</v>
      </c>
      <c r="H527" s="25">
        <v>31</v>
      </c>
      <c r="I527" s="33"/>
    </row>
    <row r="528" spans="2:9" x14ac:dyDescent="0.3">
      <c r="B528" s="27">
        <v>46208</v>
      </c>
      <c r="C528" s="21" t="str">
        <f>TEXT(B528,"DDD")</f>
        <v>Sun</v>
      </c>
      <c r="D528" s="22">
        <f>WEEKNUM(B528)</f>
        <v>28</v>
      </c>
      <c r="E528" s="22" t="str">
        <f>TEXT(B528,"mmm-yy")</f>
        <v>Jul-26</v>
      </c>
      <c r="F528" s="11" t="s">
        <v>12</v>
      </c>
      <c r="G528" s="24" t="str">
        <f>IFERROR(VLOOKUP(Table1[[#This Row],[Compressor]],$K$9:$L$18,2,FALSE),"0")</f>
        <v>H254803IH</v>
      </c>
      <c r="H528" s="25">
        <v>32</v>
      </c>
      <c r="I528" s="33"/>
    </row>
    <row r="529" spans="2:9" x14ac:dyDescent="0.3">
      <c r="B529" s="27">
        <v>46208</v>
      </c>
      <c r="C529" s="21" t="str">
        <f>TEXT(B529,"DDD")</f>
        <v>Sun</v>
      </c>
      <c r="D529" s="22">
        <f>WEEKNUM(B529)</f>
        <v>28</v>
      </c>
      <c r="E529" s="22" t="str">
        <f>TEXT(B529,"mmm-yy")</f>
        <v>Jul-26</v>
      </c>
      <c r="F529" s="11" t="s">
        <v>13</v>
      </c>
      <c r="G529" s="24" t="str">
        <f>IFERROR(VLOOKUP(Table1[[#This Row],[Compressor]],$K$9:$L$18,2,FALSE),"0")</f>
        <v>H254806XS</v>
      </c>
      <c r="H529" s="25">
        <v>102</v>
      </c>
      <c r="I529" s="33"/>
    </row>
    <row r="530" spans="2:9" x14ac:dyDescent="0.3">
      <c r="B530" s="27">
        <v>46208</v>
      </c>
      <c r="C530" s="21" t="str">
        <f>TEXT(B530,"DDD")</f>
        <v>Sun</v>
      </c>
      <c r="D530" s="22">
        <f>WEEKNUM(B530)</f>
        <v>28</v>
      </c>
      <c r="E530" s="22" t="str">
        <f>TEXT(B530,"mmm-yy")</f>
        <v>Jul-26</v>
      </c>
      <c r="F530" s="11" t="s">
        <v>14</v>
      </c>
      <c r="G530" s="24" t="str">
        <f>IFERROR(VLOOKUP(Table1[[#This Row],[Compressor]],$K$9:$L$18,2,FALSE),"0")</f>
        <v>H254803HV</v>
      </c>
      <c r="H530" s="25">
        <v>35</v>
      </c>
      <c r="I530" s="33"/>
    </row>
    <row r="531" spans="2:9" x14ac:dyDescent="0.3">
      <c r="B531" s="27">
        <v>46208</v>
      </c>
      <c r="C531" s="21" t="str">
        <f>TEXT(B531,"DDD")</f>
        <v>Sun</v>
      </c>
      <c r="D531" s="22">
        <f>WEEKNUM(B531)</f>
        <v>28</v>
      </c>
      <c r="E531" s="22" t="str">
        <f>TEXT(B531,"mmm-yy")</f>
        <v>Jul-26</v>
      </c>
      <c r="F531" s="11" t="s">
        <v>15</v>
      </c>
      <c r="G531" s="24" t="str">
        <f>IFERROR(VLOOKUP(Table1[[#This Row],[Compressor]],$K$9:$L$18,2,FALSE),"0")</f>
        <v>H254805HT</v>
      </c>
      <c r="H531" s="25">
        <v>124</v>
      </c>
      <c r="I531" s="33"/>
    </row>
    <row r="532" spans="2:9" x14ac:dyDescent="0.3">
      <c r="B532" s="27">
        <v>46208</v>
      </c>
      <c r="C532" s="21" t="str">
        <f>TEXT(B532,"DDD")</f>
        <v>Sun</v>
      </c>
      <c r="D532" s="22">
        <f>WEEKNUM(B532)</f>
        <v>28</v>
      </c>
      <c r="E532" s="22" t="str">
        <f>TEXT(B532,"mmm-yy")</f>
        <v>Jul-26</v>
      </c>
      <c r="F532" s="11" t="s">
        <v>16</v>
      </c>
      <c r="G532" s="24" t="str">
        <f>IFERROR(VLOOKUP(Table1[[#This Row],[Compressor]],$K$9:$L$18,2,FALSE),"0")</f>
        <v>H254805IL</v>
      </c>
      <c r="H532" s="25">
        <v>21</v>
      </c>
      <c r="I532" s="33"/>
    </row>
    <row r="533" spans="2:9" x14ac:dyDescent="0.3">
      <c r="B533" s="27">
        <v>46208</v>
      </c>
      <c r="C533" s="21" t="str">
        <f>TEXT(B533,"DDD")</f>
        <v>Sun</v>
      </c>
      <c r="D533" s="22">
        <f>WEEKNUM(B533)</f>
        <v>28</v>
      </c>
      <c r="E533" s="22" t="str">
        <f>TEXT(B533,"mmm-yy")</f>
        <v>Jul-26</v>
      </c>
      <c r="F533" s="11" t="s">
        <v>17</v>
      </c>
      <c r="G533" s="24" t="str">
        <f>IFERROR(VLOOKUP(Table1[[#This Row],[Compressor]],$K$9:$L$18,2,FALSE),"0")</f>
        <v>H254802IL</v>
      </c>
      <c r="H533" s="25">
        <v>3</v>
      </c>
      <c r="I533" s="33"/>
    </row>
    <row r="534" spans="2:9" x14ac:dyDescent="0.3">
      <c r="B534" s="27">
        <v>46209</v>
      </c>
      <c r="C534" s="21" t="str">
        <f>TEXT(B534,"DDD")</f>
        <v>Mon</v>
      </c>
      <c r="D534" s="22">
        <f>WEEKNUM(B534)</f>
        <v>28</v>
      </c>
      <c r="E534" s="22" t="str">
        <f>TEXT(B534,"mmm-yy")</f>
        <v>Jul-26</v>
      </c>
      <c r="F534" s="11" t="s">
        <v>8</v>
      </c>
      <c r="G534" s="24" t="str">
        <f>IFERROR(VLOOKUP(Table1[[#This Row],[Compressor]],$K$9:$L$18,2,FALSE),"0")</f>
        <v>H254805XS</v>
      </c>
      <c r="H534" s="25">
        <v>10</v>
      </c>
      <c r="I534" s="33"/>
    </row>
    <row r="535" spans="2:9" x14ac:dyDescent="0.3">
      <c r="B535" s="27">
        <v>46209</v>
      </c>
      <c r="C535" s="21" t="str">
        <f>TEXT(B535,"DDD")</f>
        <v>Mon</v>
      </c>
      <c r="D535" s="22">
        <f>WEEKNUM(B535)</f>
        <v>28</v>
      </c>
      <c r="E535" s="22" t="str">
        <f>TEXT(B535,"mmm-yy")</f>
        <v>Jul-26</v>
      </c>
      <c r="F535" s="11" t="s">
        <v>9</v>
      </c>
      <c r="G535" s="24" t="str">
        <f>IFERROR(VLOOKUP(Table1[[#This Row],[Compressor]],$K$9:$L$18,2,FALSE),"0")</f>
        <v>H254805AI</v>
      </c>
      <c r="H535" s="25">
        <v>23</v>
      </c>
      <c r="I535" s="33"/>
    </row>
    <row r="536" spans="2:9" x14ac:dyDescent="0.3">
      <c r="B536" s="27">
        <v>46209</v>
      </c>
      <c r="C536" s="21" t="str">
        <f>TEXT(B536,"DDD")</f>
        <v>Mon</v>
      </c>
      <c r="D536" s="22">
        <f>WEEKNUM(B536)</f>
        <v>28</v>
      </c>
      <c r="E536" s="22" t="str">
        <f>TEXT(B536,"mmm-yy")</f>
        <v>Jul-26</v>
      </c>
      <c r="F536" s="11" t="s">
        <v>10</v>
      </c>
      <c r="G536" s="24" t="str">
        <f>IFERROR(VLOOKUP(Table1[[#This Row],[Compressor]],$K$9:$L$18,2,FALSE),"0")</f>
        <v>H254805RT</v>
      </c>
      <c r="H536" s="25">
        <v>29</v>
      </c>
      <c r="I536" s="33"/>
    </row>
    <row r="537" spans="2:9" x14ac:dyDescent="0.3">
      <c r="B537" s="27">
        <v>46209</v>
      </c>
      <c r="C537" s="21" t="str">
        <f>TEXT(B537,"DDD")</f>
        <v>Mon</v>
      </c>
      <c r="D537" s="22">
        <f>WEEKNUM(B537)</f>
        <v>28</v>
      </c>
      <c r="E537" s="22" t="str">
        <f>TEXT(B537,"mmm-yy")</f>
        <v>Jul-26</v>
      </c>
      <c r="F537" s="11" t="s">
        <v>11</v>
      </c>
      <c r="G537" s="24" t="str">
        <f>IFERROR(VLOOKUP(Table1[[#This Row],[Compressor]],$K$9:$L$18,2,FALSE),"0")</f>
        <v>H254805HT</v>
      </c>
      <c r="H537" s="25">
        <v>31</v>
      </c>
      <c r="I537" s="33"/>
    </row>
    <row r="538" spans="2:9" x14ac:dyDescent="0.3">
      <c r="B538" s="27">
        <v>46209</v>
      </c>
      <c r="C538" s="21" t="str">
        <f>TEXT(B538,"DDD")</f>
        <v>Mon</v>
      </c>
      <c r="D538" s="22">
        <f>WEEKNUM(B538)</f>
        <v>28</v>
      </c>
      <c r="E538" s="22" t="str">
        <f>TEXT(B538,"mmm-yy")</f>
        <v>Jul-26</v>
      </c>
      <c r="F538" s="11" t="s">
        <v>12</v>
      </c>
      <c r="G538" s="24" t="str">
        <f>IFERROR(VLOOKUP(Table1[[#This Row],[Compressor]],$K$9:$L$18,2,FALSE),"0")</f>
        <v>H254803IH</v>
      </c>
      <c r="H538" s="25">
        <v>32</v>
      </c>
      <c r="I538" s="33"/>
    </row>
    <row r="539" spans="2:9" x14ac:dyDescent="0.3">
      <c r="B539" s="27">
        <v>46209</v>
      </c>
      <c r="C539" s="21" t="str">
        <f>TEXT(B539,"DDD")</f>
        <v>Mon</v>
      </c>
      <c r="D539" s="22">
        <f>WEEKNUM(B539)</f>
        <v>28</v>
      </c>
      <c r="E539" s="22" t="str">
        <f>TEXT(B539,"mmm-yy")</f>
        <v>Jul-26</v>
      </c>
      <c r="F539" s="11" t="s">
        <v>13</v>
      </c>
      <c r="G539" s="24" t="str">
        <f>IFERROR(VLOOKUP(Table1[[#This Row],[Compressor]],$K$9:$L$18,2,FALSE),"0")</f>
        <v>H254806XS</v>
      </c>
      <c r="H539" s="25">
        <v>102</v>
      </c>
      <c r="I539" s="33"/>
    </row>
    <row r="540" spans="2:9" x14ac:dyDescent="0.3">
      <c r="B540" s="27">
        <v>46209</v>
      </c>
      <c r="C540" s="21" t="str">
        <f>TEXT(B540,"DDD")</f>
        <v>Mon</v>
      </c>
      <c r="D540" s="22">
        <f>WEEKNUM(B540)</f>
        <v>28</v>
      </c>
      <c r="E540" s="22" t="str">
        <f>TEXT(B540,"mmm-yy")</f>
        <v>Jul-26</v>
      </c>
      <c r="F540" s="11" t="s">
        <v>14</v>
      </c>
      <c r="G540" s="24" t="str">
        <f>IFERROR(VLOOKUP(Table1[[#This Row],[Compressor]],$K$9:$L$18,2,FALSE),"0")</f>
        <v>H254803HV</v>
      </c>
      <c r="H540" s="25">
        <v>39</v>
      </c>
      <c r="I540" s="33"/>
    </row>
    <row r="541" spans="2:9" x14ac:dyDescent="0.3">
      <c r="B541" s="27">
        <v>46209</v>
      </c>
      <c r="C541" s="21" t="str">
        <f>TEXT(B541,"DDD")</f>
        <v>Mon</v>
      </c>
      <c r="D541" s="22">
        <f>WEEKNUM(B541)</f>
        <v>28</v>
      </c>
      <c r="E541" s="22" t="str">
        <f>TEXT(B541,"mmm-yy")</f>
        <v>Jul-26</v>
      </c>
      <c r="F541" s="11" t="s">
        <v>15</v>
      </c>
      <c r="G541" s="24" t="str">
        <f>IFERROR(VLOOKUP(Table1[[#This Row],[Compressor]],$K$9:$L$18,2,FALSE),"0")</f>
        <v>H254805HT</v>
      </c>
      <c r="H541" s="25">
        <v>135</v>
      </c>
      <c r="I541" s="33"/>
    </row>
    <row r="542" spans="2:9" x14ac:dyDescent="0.3">
      <c r="B542" s="27">
        <v>46209</v>
      </c>
      <c r="C542" s="21" t="str">
        <f>TEXT(B542,"DDD")</f>
        <v>Mon</v>
      </c>
      <c r="D542" s="22">
        <f>WEEKNUM(B542)</f>
        <v>28</v>
      </c>
      <c r="E542" s="22" t="str">
        <f>TEXT(B542,"mmm-yy")</f>
        <v>Jul-26</v>
      </c>
      <c r="F542" s="11" t="s">
        <v>16</v>
      </c>
      <c r="G542" s="24" t="str">
        <f>IFERROR(VLOOKUP(Table1[[#This Row],[Compressor]],$K$9:$L$18,2,FALSE),"0")</f>
        <v>H254805IL</v>
      </c>
      <c r="H542" s="25">
        <v>21</v>
      </c>
      <c r="I542" s="33"/>
    </row>
    <row r="543" spans="2:9" x14ac:dyDescent="0.3">
      <c r="B543" s="27">
        <v>46209</v>
      </c>
      <c r="C543" s="21" t="str">
        <f>TEXT(B543,"DDD")</f>
        <v>Mon</v>
      </c>
      <c r="D543" s="22">
        <f>WEEKNUM(B543)</f>
        <v>28</v>
      </c>
      <c r="E543" s="22" t="str">
        <f>TEXT(B543,"mmm-yy")</f>
        <v>Jul-26</v>
      </c>
      <c r="F543" s="11" t="s">
        <v>17</v>
      </c>
      <c r="G543" s="24" t="str">
        <f>IFERROR(VLOOKUP(Table1[[#This Row],[Compressor]],$K$9:$L$18,2,FALSE),"0")</f>
        <v>H254802IL</v>
      </c>
      <c r="H543" s="25">
        <v>3</v>
      </c>
      <c r="I543" s="33"/>
    </row>
    <row r="544" spans="2:9" x14ac:dyDescent="0.3">
      <c r="B544" s="27">
        <v>46210</v>
      </c>
      <c r="C544" s="21" t="str">
        <f>TEXT(B544,"DDD")</f>
        <v>Tue</v>
      </c>
      <c r="D544" s="22">
        <f>WEEKNUM(B544)</f>
        <v>28</v>
      </c>
      <c r="E544" s="22" t="str">
        <f>TEXT(B544,"mmm-yy")</f>
        <v>Jul-26</v>
      </c>
      <c r="F544" s="11" t="s">
        <v>8</v>
      </c>
      <c r="G544" s="24" t="str">
        <f>IFERROR(VLOOKUP(Table1[[#This Row],[Compressor]],$K$9:$L$18,2,FALSE),"0")</f>
        <v>H254805XS</v>
      </c>
      <c r="H544" s="25">
        <v>10</v>
      </c>
      <c r="I544" s="33"/>
    </row>
    <row r="545" spans="2:9" x14ac:dyDescent="0.3">
      <c r="B545" s="27">
        <v>46210</v>
      </c>
      <c r="C545" s="21" t="str">
        <f>TEXT(B545,"DDD")</f>
        <v>Tue</v>
      </c>
      <c r="D545" s="22">
        <f>WEEKNUM(B545)</f>
        <v>28</v>
      </c>
      <c r="E545" s="22" t="str">
        <f>TEXT(B545,"mmm-yy")</f>
        <v>Jul-26</v>
      </c>
      <c r="F545" s="11" t="s">
        <v>9</v>
      </c>
      <c r="G545" s="24" t="str">
        <f>IFERROR(VLOOKUP(Table1[[#This Row],[Compressor]],$K$9:$L$18,2,FALSE),"0")</f>
        <v>H254805AI</v>
      </c>
      <c r="H545" s="25">
        <v>23</v>
      </c>
      <c r="I545" s="33"/>
    </row>
    <row r="546" spans="2:9" x14ac:dyDescent="0.3">
      <c r="B546" s="27">
        <v>46210</v>
      </c>
      <c r="C546" s="21" t="str">
        <f>TEXT(B546,"DDD")</f>
        <v>Tue</v>
      </c>
      <c r="D546" s="22">
        <f>WEEKNUM(B546)</f>
        <v>28</v>
      </c>
      <c r="E546" s="22" t="str">
        <f>TEXT(B546,"mmm-yy")</f>
        <v>Jul-26</v>
      </c>
      <c r="F546" s="11" t="s">
        <v>10</v>
      </c>
      <c r="G546" s="24" t="str">
        <f>IFERROR(VLOOKUP(Table1[[#This Row],[Compressor]],$K$9:$L$18,2,FALSE),"0")</f>
        <v>H254805RT</v>
      </c>
      <c r="H546" s="25">
        <v>29</v>
      </c>
      <c r="I546" s="33"/>
    </row>
    <row r="547" spans="2:9" x14ac:dyDescent="0.3">
      <c r="B547" s="27">
        <v>46210</v>
      </c>
      <c r="C547" s="21" t="str">
        <f>TEXT(B547,"DDD")</f>
        <v>Tue</v>
      </c>
      <c r="D547" s="22">
        <f>WEEKNUM(B547)</f>
        <v>28</v>
      </c>
      <c r="E547" s="22" t="str">
        <f>TEXT(B547,"mmm-yy")</f>
        <v>Jul-26</v>
      </c>
      <c r="F547" s="11" t="s">
        <v>11</v>
      </c>
      <c r="G547" s="24" t="str">
        <f>IFERROR(VLOOKUP(Table1[[#This Row],[Compressor]],$K$9:$L$18,2,FALSE),"0")</f>
        <v>H254805HT</v>
      </c>
      <c r="H547" s="25">
        <v>31</v>
      </c>
      <c r="I547" s="33"/>
    </row>
    <row r="548" spans="2:9" x14ac:dyDescent="0.3">
      <c r="B548" s="27">
        <v>46210</v>
      </c>
      <c r="C548" s="21" t="str">
        <f>TEXT(B548,"DDD")</f>
        <v>Tue</v>
      </c>
      <c r="D548" s="22">
        <f>WEEKNUM(B548)</f>
        <v>28</v>
      </c>
      <c r="E548" s="22" t="str">
        <f>TEXT(B548,"mmm-yy")</f>
        <v>Jul-26</v>
      </c>
      <c r="F548" s="11" t="s">
        <v>12</v>
      </c>
      <c r="G548" s="24" t="str">
        <f>IFERROR(VLOOKUP(Table1[[#This Row],[Compressor]],$K$9:$L$18,2,FALSE),"0")</f>
        <v>H254803IH</v>
      </c>
      <c r="H548" s="25">
        <v>32</v>
      </c>
      <c r="I548" s="33"/>
    </row>
    <row r="549" spans="2:9" x14ac:dyDescent="0.3">
      <c r="B549" s="27">
        <v>46210</v>
      </c>
      <c r="C549" s="21" t="str">
        <f>TEXT(B549,"DDD")</f>
        <v>Tue</v>
      </c>
      <c r="D549" s="22">
        <f>WEEKNUM(B549)</f>
        <v>28</v>
      </c>
      <c r="E549" s="22" t="str">
        <f>TEXT(B549,"mmm-yy")</f>
        <v>Jul-26</v>
      </c>
      <c r="F549" s="11" t="s">
        <v>13</v>
      </c>
      <c r="G549" s="24" t="str">
        <f>IFERROR(VLOOKUP(Table1[[#This Row],[Compressor]],$K$9:$L$18,2,FALSE),"0")</f>
        <v>H254806XS</v>
      </c>
      <c r="H549" s="25">
        <v>102</v>
      </c>
      <c r="I549" s="33"/>
    </row>
    <row r="550" spans="2:9" x14ac:dyDescent="0.3">
      <c r="B550" s="27">
        <v>46210</v>
      </c>
      <c r="C550" s="21" t="str">
        <f>TEXT(B550,"DDD")</f>
        <v>Tue</v>
      </c>
      <c r="D550" s="22">
        <f>WEEKNUM(B550)</f>
        <v>28</v>
      </c>
      <c r="E550" s="22" t="str">
        <f>TEXT(B550,"mmm-yy")</f>
        <v>Jul-26</v>
      </c>
      <c r="F550" s="11" t="s">
        <v>14</v>
      </c>
      <c r="G550" s="24" t="str">
        <f>IFERROR(VLOOKUP(Table1[[#This Row],[Compressor]],$K$9:$L$18,2,FALSE),"0")</f>
        <v>H254803HV</v>
      </c>
      <c r="H550" s="25">
        <v>40</v>
      </c>
      <c r="I550" s="33"/>
    </row>
    <row r="551" spans="2:9" x14ac:dyDescent="0.3">
      <c r="B551" s="27">
        <v>46210</v>
      </c>
      <c r="C551" s="21" t="str">
        <f>TEXT(B551,"DDD")</f>
        <v>Tue</v>
      </c>
      <c r="D551" s="22">
        <f>WEEKNUM(B551)</f>
        <v>28</v>
      </c>
      <c r="E551" s="22" t="str">
        <f>TEXT(B551,"mmm-yy")</f>
        <v>Jul-26</v>
      </c>
      <c r="F551" s="11" t="s">
        <v>15</v>
      </c>
      <c r="G551" s="24" t="str">
        <f>IFERROR(VLOOKUP(Table1[[#This Row],[Compressor]],$K$9:$L$18,2,FALSE),"0")</f>
        <v>H254805HT</v>
      </c>
      <c r="H551" s="25">
        <v>144</v>
      </c>
      <c r="I551" s="33"/>
    </row>
    <row r="552" spans="2:9" x14ac:dyDescent="0.3">
      <c r="B552" s="27">
        <v>46210</v>
      </c>
      <c r="C552" s="21" t="str">
        <f>TEXT(B552,"DDD")</f>
        <v>Tue</v>
      </c>
      <c r="D552" s="22">
        <f>WEEKNUM(B552)</f>
        <v>28</v>
      </c>
      <c r="E552" s="22" t="str">
        <f>TEXT(B552,"mmm-yy")</f>
        <v>Jul-26</v>
      </c>
      <c r="F552" s="11" t="s">
        <v>16</v>
      </c>
      <c r="G552" s="24" t="str">
        <f>IFERROR(VLOOKUP(Table1[[#This Row],[Compressor]],$K$9:$L$18,2,FALSE),"0")</f>
        <v>H254805IL</v>
      </c>
      <c r="H552" s="25">
        <v>21</v>
      </c>
      <c r="I552" s="33"/>
    </row>
    <row r="553" spans="2:9" x14ac:dyDescent="0.3">
      <c r="B553" s="27">
        <v>46210</v>
      </c>
      <c r="C553" s="21" t="str">
        <f>TEXT(B553,"DDD")</f>
        <v>Tue</v>
      </c>
      <c r="D553" s="22">
        <f>WEEKNUM(B553)</f>
        <v>28</v>
      </c>
      <c r="E553" s="22" t="str">
        <f>TEXT(B553,"mmm-yy")</f>
        <v>Jul-26</v>
      </c>
      <c r="F553" s="11" t="s">
        <v>17</v>
      </c>
      <c r="G553" s="24" t="str">
        <f>IFERROR(VLOOKUP(Table1[[#This Row],[Compressor]],$K$9:$L$18,2,FALSE),"0")</f>
        <v>H254802IL</v>
      </c>
      <c r="H553" s="25">
        <v>3</v>
      </c>
      <c r="I553" s="33"/>
    </row>
    <row r="554" spans="2:9" x14ac:dyDescent="0.3">
      <c r="B554" s="27">
        <v>46211</v>
      </c>
      <c r="C554" s="21" t="str">
        <f>TEXT(B554,"DDD")</f>
        <v>Wed</v>
      </c>
      <c r="D554" s="22">
        <f>WEEKNUM(B554)</f>
        <v>28</v>
      </c>
      <c r="E554" s="22" t="str">
        <f>TEXT(B554,"mmm-yy")</f>
        <v>Jul-26</v>
      </c>
      <c r="F554" s="11" t="s">
        <v>8</v>
      </c>
      <c r="G554" s="24" t="str">
        <f>IFERROR(VLOOKUP(Table1[[#This Row],[Compressor]],$K$9:$L$18,2,FALSE),"0")</f>
        <v>H254805XS</v>
      </c>
      <c r="H554" s="25">
        <v>10</v>
      </c>
      <c r="I554" s="33"/>
    </row>
    <row r="555" spans="2:9" x14ac:dyDescent="0.3">
      <c r="B555" s="27">
        <v>46211</v>
      </c>
      <c r="C555" s="21" t="str">
        <f>TEXT(B555,"DDD")</f>
        <v>Wed</v>
      </c>
      <c r="D555" s="22">
        <f>WEEKNUM(B555)</f>
        <v>28</v>
      </c>
      <c r="E555" s="22" t="str">
        <f>TEXT(B555,"mmm-yy")</f>
        <v>Jul-26</v>
      </c>
      <c r="F555" s="11" t="s">
        <v>9</v>
      </c>
      <c r="G555" s="24" t="str">
        <f>IFERROR(VLOOKUP(Table1[[#This Row],[Compressor]],$K$9:$L$18,2,FALSE),"0")</f>
        <v>H254805AI</v>
      </c>
      <c r="H555" s="25">
        <v>23</v>
      </c>
      <c r="I555" s="33"/>
    </row>
    <row r="556" spans="2:9" x14ac:dyDescent="0.3">
      <c r="B556" s="27">
        <v>46211</v>
      </c>
      <c r="C556" s="21" t="str">
        <f>TEXT(B556,"DDD")</f>
        <v>Wed</v>
      </c>
      <c r="D556" s="22">
        <f>WEEKNUM(B556)</f>
        <v>28</v>
      </c>
      <c r="E556" s="22" t="str">
        <f>TEXT(B556,"mmm-yy")</f>
        <v>Jul-26</v>
      </c>
      <c r="F556" s="11" t="s">
        <v>10</v>
      </c>
      <c r="G556" s="24" t="str">
        <f>IFERROR(VLOOKUP(Table1[[#This Row],[Compressor]],$K$9:$L$18,2,FALSE),"0")</f>
        <v>H254805RT</v>
      </c>
      <c r="H556" s="25">
        <v>29</v>
      </c>
      <c r="I556" s="33"/>
    </row>
    <row r="557" spans="2:9" x14ac:dyDescent="0.3">
      <c r="B557" s="27">
        <v>46211</v>
      </c>
      <c r="C557" s="21" t="str">
        <f>TEXT(B557,"DDD")</f>
        <v>Wed</v>
      </c>
      <c r="D557" s="22">
        <f>WEEKNUM(B557)</f>
        <v>28</v>
      </c>
      <c r="E557" s="22" t="str">
        <f>TEXT(B557,"mmm-yy")</f>
        <v>Jul-26</v>
      </c>
      <c r="F557" s="11" t="s">
        <v>11</v>
      </c>
      <c r="G557" s="24" t="str">
        <f>IFERROR(VLOOKUP(Table1[[#This Row],[Compressor]],$K$9:$L$18,2,FALSE),"0")</f>
        <v>H254805HT</v>
      </c>
      <c r="H557" s="25">
        <v>31</v>
      </c>
      <c r="I557" s="33"/>
    </row>
    <row r="558" spans="2:9" x14ac:dyDescent="0.3">
      <c r="B558" s="27">
        <v>46211</v>
      </c>
      <c r="C558" s="21" t="str">
        <f>TEXT(B558,"DDD")</f>
        <v>Wed</v>
      </c>
      <c r="D558" s="22">
        <f>WEEKNUM(B558)</f>
        <v>28</v>
      </c>
      <c r="E558" s="22" t="str">
        <f>TEXT(B558,"mmm-yy")</f>
        <v>Jul-26</v>
      </c>
      <c r="F558" s="11" t="s">
        <v>12</v>
      </c>
      <c r="G558" s="24" t="str">
        <f>IFERROR(VLOOKUP(Table1[[#This Row],[Compressor]],$K$9:$L$18,2,FALSE),"0")</f>
        <v>H254803IH</v>
      </c>
      <c r="H558" s="25">
        <v>40</v>
      </c>
      <c r="I558" s="33"/>
    </row>
    <row r="559" spans="2:9" x14ac:dyDescent="0.3">
      <c r="B559" s="27">
        <v>46211</v>
      </c>
      <c r="C559" s="21" t="str">
        <f>TEXT(B559,"DDD")</f>
        <v>Wed</v>
      </c>
      <c r="D559" s="22">
        <f>WEEKNUM(B559)</f>
        <v>28</v>
      </c>
      <c r="E559" s="22" t="str">
        <f>TEXT(B559,"mmm-yy")</f>
        <v>Jul-26</v>
      </c>
      <c r="F559" s="11" t="s">
        <v>13</v>
      </c>
      <c r="G559" s="24" t="str">
        <f>IFERROR(VLOOKUP(Table1[[#This Row],[Compressor]],$K$9:$L$18,2,FALSE),"0")</f>
        <v>H254806XS</v>
      </c>
      <c r="H559" s="25">
        <v>103</v>
      </c>
      <c r="I559" s="33"/>
    </row>
    <row r="560" spans="2:9" x14ac:dyDescent="0.3">
      <c r="B560" s="27">
        <v>46211</v>
      </c>
      <c r="C560" s="21" t="str">
        <f>TEXT(B560,"DDD")</f>
        <v>Wed</v>
      </c>
      <c r="D560" s="22">
        <f>WEEKNUM(B560)</f>
        <v>28</v>
      </c>
      <c r="E560" s="22" t="str">
        <f>TEXT(B560,"mmm-yy")</f>
        <v>Jul-26</v>
      </c>
      <c r="F560" s="11" t="s">
        <v>14</v>
      </c>
      <c r="G560" s="24" t="str">
        <f>IFERROR(VLOOKUP(Table1[[#This Row],[Compressor]],$K$9:$L$18,2,FALSE),"0")</f>
        <v>H254803HV</v>
      </c>
      <c r="H560" s="25">
        <v>48</v>
      </c>
      <c r="I560" s="33"/>
    </row>
    <row r="561" spans="2:9" x14ac:dyDescent="0.3">
      <c r="B561" s="27">
        <v>46211</v>
      </c>
      <c r="C561" s="21" t="str">
        <f>TEXT(B561,"DDD")</f>
        <v>Wed</v>
      </c>
      <c r="D561" s="22">
        <f>WEEKNUM(B561)</f>
        <v>28</v>
      </c>
      <c r="E561" s="22" t="str">
        <f>TEXT(B561,"mmm-yy")</f>
        <v>Jul-26</v>
      </c>
      <c r="F561" s="11" t="s">
        <v>15</v>
      </c>
      <c r="G561" s="24" t="str">
        <f>IFERROR(VLOOKUP(Table1[[#This Row],[Compressor]],$K$9:$L$18,2,FALSE),"0")</f>
        <v>H254805HT</v>
      </c>
      <c r="H561" s="25">
        <v>145</v>
      </c>
      <c r="I561" s="33"/>
    </row>
    <row r="562" spans="2:9" x14ac:dyDescent="0.3">
      <c r="B562" s="27">
        <v>46211</v>
      </c>
      <c r="C562" s="21" t="str">
        <f>TEXT(B562,"DDD")</f>
        <v>Wed</v>
      </c>
      <c r="D562" s="22">
        <f>WEEKNUM(B562)</f>
        <v>28</v>
      </c>
      <c r="E562" s="22" t="str">
        <f>TEXT(B562,"mmm-yy")</f>
        <v>Jul-26</v>
      </c>
      <c r="F562" s="11" t="s">
        <v>16</v>
      </c>
      <c r="G562" s="24" t="str">
        <f>IFERROR(VLOOKUP(Table1[[#This Row],[Compressor]],$K$9:$L$18,2,FALSE),"0")</f>
        <v>H254805IL</v>
      </c>
      <c r="H562" s="25">
        <v>21</v>
      </c>
      <c r="I562" s="33"/>
    </row>
    <row r="563" spans="2:9" x14ac:dyDescent="0.3">
      <c r="B563" s="27">
        <v>46211</v>
      </c>
      <c r="C563" s="21" t="str">
        <f>TEXT(B563,"DDD")</f>
        <v>Wed</v>
      </c>
      <c r="D563" s="22">
        <f>WEEKNUM(B563)</f>
        <v>28</v>
      </c>
      <c r="E563" s="22" t="str">
        <f>TEXT(B563,"mmm-yy")</f>
        <v>Jul-26</v>
      </c>
      <c r="F563" s="11" t="s">
        <v>17</v>
      </c>
      <c r="G563" s="24" t="str">
        <f>IFERROR(VLOOKUP(Table1[[#This Row],[Compressor]],$K$9:$L$18,2,FALSE),"0")</f>
        <v>H254802IL</v>
      </c>
      <c r="H563" s="25">
        <v>3</v>
      </c>
      <c r="I563" s="33"/>
    </row>
    <row r="564" spans="2:9" x14ac:dyDescent="0.3">
      <c r="B564" s="27">
        <v>46212</v>
      </c>
      <c r="C564" s="21" t="str">
        <f>TEXT(B564,"DDD")</f>
        <v>Thu</v>
      </c>
      <c r="D564" s="22">
        <f>WEEKNUM(B564)</f>
        <v>28</v>
      </c>
      <c r="E564" s="22" t="str">
        <f>TEXT(B564,"mmm-yy")</f>
        <v>Jul-26</v>
      </c>
      <c r="F564" s="11" t="s">
        <v>8</v>
      </c>
      <c r="G564" s="24" t="str">
        <f>IFERROR(VLOOKUP(Table1[[#This Row],[Compressor]],$K$9:$L$18,2,FALSE),"0")</f>
        <v>H254805XS</v>
      </c>
      <c r="H564" s="25">
        <v>10</v>
      </c>
      <c r="I564" s="33"/>
    </row>
    <row r="565" spans="2:9" x14ac:dyDescent="0.3">
      <c r="B565" s="27">
        <v>46212</v>
      </c>
      <c r="C565" s="21" t="str">
        <f>TEXT(B565,"DDD")</f>
        <v>Thu</v>
      </c>
      <c r="D565" s="22">
        <f>WEEKNUM(B565)</f>
        <v>28</v>
      </c>
      <c r="E565" s="22" t="str">
        <f>TEXT(B565,"mmm-yy")</f>
        <v>Jul-26</v>
      </c>
      <c r="F565" s="11" t="s">
        <v>9</v>
      </c>
      <c r="G565" s="24" t="str">
        <f>IFERROR(VLOOKUP(Table1[[#This Row],[Compressor]],$K$9:$L$18,2,FALSE),"0")</f>
        <v>H254805AI</v>
      </c>
      <c r="H565" s="25">
        <v>23</v>
      </c>
      <c r="I565" s="33"/>
    </row>
    <row r="566" spans="2:9" x14ac:dyDescent="0.3">
      <c r="B566" s="27">
        <v>46212</v>
      </c>
      <c r="C566" s="21" t="str">
        <f>TEXT(B566,"DDD")</f>
        <v>Thu</v>
      </c>
      <c r="D566" s="22">
        <f>WEEKNUM(B566)</f>
        <v>28</v>
      </c>
      <c r="E566" s="22" t="str">
        <f>TEXT(B566,"mmm-yy")</f>
        <v>Jul-26</v>
      </c>
      <c r="F566" s="11" t="s">
        <v>10</v>
      </c>
      <c r="G566" s="24" t="str">
        <f>IFERROR(VLOOKUP(Table1[[#This Row],[Compressor]],$K$9:$L$18,2,FALSE),"0")</f>
        <v>H254805RT</v>
      </c>
      <c r="H566" s="25">
        <v>29</v>
      </c>
      <c r="I566" s="33"/>
    </row>
    <row r="567" spans="2:9" x14ac:dyDescent="0.3">
      <c r="B567" s="27">
        <v>46212</v>
      </c>
      <c r="C567" s="21" t="str">
        <f>TEXT(B567,"DDD")</f>
        <v>Thu</v>
      </c>
      <c r="D567" s="22">
        <f>WEEKNUM(B567)</f>
        <v>28</v>
      </c>
      <c r="E567" s="22" t="str">
        <f>TEXT(B567,"mmm-yy")</f>
        <v>Jul-26</v>
      </c>
      <c r="F567" s="11" t="s">
        <v>11</v>
      </c>
      <c r="G567" s="24" t="str">
        <f>IFERROR(VLOOKUP(Table1[[#This Row],[Compressor]],$K$9:$L$18,2,FALSE),"0")</f>
        <v>H254805HT</v>
      </c>
      <c r="H567" s="25">
        <v>31</v>
      </c>
      <c r="I567" s="33"/>
    </row>
    <row r="568" spans="2:9" x14ac:dyDescent="0.3">
      <c r="B568" s="27">
        <v>46212</v>
      </c>
      <c r="C568" s="21" t="str">
        <f>TEXT(B568,"DDD")</f>
        <v>Thu</v>
      </c>
      <c r="D568" s="22">
        <f>WEEKNUM(B568)</f>
        <v>28</v>
      </c>
      <c r="E568" s="22" t="str">
        <f>TEXT(B568,"mmm-yy")</f>
        <v>Jul-26</v>
      </c>
      <c r="F568" s="11" t="s">
        <v>12</v>
      </c>
      <c r="G568" s="24" t="str">
        <f>IFERROR(VLOOKUP(Table1[[#This Row],[Compressor]],$K$9:$L$18,2,FALSE),"0")</f>
        <v>H254803IH</v>
      </c>
      <c r="H568" s="25">
        <v>40</v>
      </c>
      <c r="I568" s="33"/>
    </row>
    <row r="569" spans="2:9" x14ac:dyDescent="0.3">
      <c r="B569" s="27">
        <v>46212</v>
      </c>
      <c r="C569" s="21" t="str">
        <f>TEXT(B569,"DDD")</f>
        <v>Thu</v>
      </c>
      <c r="D569" s="22">
        <f>WEEKNUM(B569)</f>
        <v>28</v>
      </c>
      <c r="E569" s="22" t="str">
        <f>TEXT(B569,"mmm-yy")</f>
        <v>Jul-26</v>
      </c>
      <c r="F569" s="11" t="s">
        <v>13</v>
      </c>
      <c r="G569" s="24" t="str">
        <f>IFERROR(VLOOKUP(Table1[[#This Row],[Compressor]],$K$9:$L$18,2,FALSE),"0")</f>
        <v>H254806XS</v>
      </c>
      <c r="H569" s="25">
        <v>113</v>
      </c>
      <c r="I569" s="33"/>
    </row>
    <row r="570" spans="2:9" x14ac:dyDescent="0.3">
      <c r="B570" s="27">
        <v>46212</v>
      </c>
      <c r="C570" s="21" t="str">
        <f>TEXT(B570,"DDD")</f>
        <v>Thu</v>
      </c>
      <c r="D570" s="22">
        <f>WEEKNUM(B570)</f>
        <v>28</v>
      </c>
      <c r="E570" s="22" t="str">
        <f>TEXT(B570,"mmm-yy")</f>
        <v>Jul-26</v>
      </c>
      <c r="F570" s="11" t="s">
        <v>14</v>
      </c>
      <c r="G570" s="24" t="str">
        <f>IFERROR(VLOOKUP(Table1[[#This Row],[Compressor]],$K$9:$L$18,2,FALSE),"0")</f>
        <v>H254803HV</v>
      </c>
      <c r="H570" s="25">
        <v>51</v>
      </c>
      <c r="I570" s="33"/>
    </row>
    <row r="571" spans="2:9" x14ac:dyDescent="0.3">
      <c r="B571" s="27">
        <v>46212</v>
      </c>
      <c r="C571" s="21" t="str">
        <f>TEXT(B571,"DDD")</f>
        <v>Thu</v>
      </c>
      <c r="D571" s="22">
        <f>WEEKNUM(B571)</f>
        <v>28</v>
      </c>
      <c r="E571" s="22" t="str">
        <f>TEXT(B571,"mmm-yy")</f>
        <v>Jul-26</v>
      </c>
      <c r="F571" s="11" t="s">
        <v>15</v>
      </c>
      <c r="G571" s="24" t="str">
        <f>IFERROR(VLOOKUP(Table1[[#This Row],[Compressor]],$K$9:$L$18,2,FALSE),"0")</f>
        <v>H254805HT</v>
      </c>
      <c r="H571" s="25">
        <v>145</v>
      </c>
      <c r="I571" s="33"/>
    </row>
    <row r="572" spans="2:9" x14ac:dyDescent="0.3">
      <c r="B572" s="27">
        <v>46212</v>
      </c>
      <c r="C572" s="21" t="str">
        <f>TEXT(B572,"DDD")</f>
        <v>Thu</v>
      </c>
      <c r="D572" s="22">
        <f>WEEKNUM(B572)</f>
        <v>28</v>
      </c>
      <c r="E572" s="22" t="str">
        <f>TEXT(B572,"mmm-yy")</f>
        <v>Jul-26</v>
      </c>
      <c r="F572" s="11" t="s">
        <v>16</v>
      </c>
      <c r="G572" s="24" t="str">
        <f>IFERROR(VLOOKUP(Table1[[#This Row],[Compressor]],$K$9:$L$18,2,FALSE),"0")</f>
        <v>H254805IL</v>
      </c>
      <c r="H572" s="25">
        <v>21</v>
      </c>
      <c r="I572" s="33"/>
    </row>
    <row r="573" spans="2:9" x14ac:dyDescent="0.3">
      <c r="B573" s="27">
        <v>46212</v>
      </c>
      <c r="C573" s="21" t="str">
        <f>TEXT(B573,"DDD")</f>
        <v>Thu</v>
      </c>
      <c r="D573" s="22">
        <f>WEEKNUM(B573)</f>
        <v>28</v>
      </c>
      <c r="E573" s="22" t="str">
        <f>TEXT(B573,"mmm-yy")</f>
        <v>Jul-26</v>
      </c>
      <c r="F573" s="11" t="s">
        <v>17</v>
      </c>
      <c r="G573" s="24" t="str">
        <f>IFERROR(VLOOKUP(Table1[[#This Row],[Compressor]],$K$9:$L$18,2,FALSE),"0")</f>
        <v>H254802IL</v>
      </c>
      <c r="H573" s="25">
        <v>3</v>
      </c>
      <c r="I573" s="33"/>
    </row>
    <row r="574" spans="2:9" x14ac:dyDescent="0.3">
      <c r="B574" s="27">
        <v>46213</v>
      </c>
      <c r="C574" s="21" t="str">
        <f>TEXT(B574,"DDD")</f>
        <v>Fri</v>
      </c>
      <c r="D574" s="22">
        <f>WEEKNUM(B574)</f>
        <v>28</v>
      </c>
      <c r="E574" s="22" t="str">
        <f>TEXT(B574,"mmm-yy")</f>
        <v>Jul-26</v>
      </c>
      <c r="F574" s="11" t="s">
        <v>8</v>
      </c>
      <c r="G574" s="24" t="str">
        <f>IFERROR(VLOOKUP(Table1[[#This Row],[Compressor]],$K$9:$L$18,2,FALSE),"0")</f>
        <v>H254805XS</v>
      </c>
      <c r="H574" s="25">
        <v>10</v>
      </c>
      <c r="I574" s="33"/>
    </row>
    <row r="575" spans="2:9" x14ac:dyDescent="0.3">
      <c r="B575" s="27">
        <v>46213</v>
      </c>
      <c r="C575" s="21" t="str">
        <f>TEXT(B575,"DDD")</f>
        <v>Fri</v>
      </c>
      <c r="D575" s="22">
        <f>WEEKNUM(B575)</f>
        <v>28</v>
      </c>
      <c r="E575" s="22" t="str">
        <f>TEXT(B575,"mmm-yy")</f>
        <v>Jul-26</v>
      </c>
      <c r="F575" s="11" t="s">
        <v>9</v>
      </c>
      <c r="G575" s="24" t="str">
        <f>IFERROR(VLOOKUP(Table1[[#This Row],[Compressor]],$K$9:$L$18,2,FALSE),"0")</f>
        <v>H254805AI</v>
      </c>
      <c r="H575" s="25">
        <v>23</v>
      </c>
      <c r="I575" s="33"/>
    </row>
    <row r="576" spans="2:9" x14ac:dyDescent="0.3">
      <c r="B576" s="27">
        <v>46213</v>
      </c>
      <c r="C576" s="21" t="str">
        <f>TEXT(B576,"DDD")</f>
        <v>Fri</v>
      </c>
      <c r="D576" s="22">
        <f>WEEKNUM(B576)</f>
        <v>28</v>
      </c>
      <c r="E576" s="22" t="str">
        <f>TEXT(B576,"mmm-yy")</f>
        <v>Jul-26</v>
      </c>
      <c r="F576" s="11" t="s">
        <v>10</v>
      </c>
      <c r="G576" s="24" t="str">
        <f>IFERROR(VLOOKUP(Table1[[#This Row],[Compressor]],$K$9:$L$18,2,FALSE),"0")</f>
        <v>H254805RT</v>
      </c>
      <c r="H576" s="25">
        <v>29</v>
      </c>
      <c r="I576" s="33"/>
    </row>
    <row r="577" spans="2:9" x14ac:dyDescent="0.3">
      <c r="B577" s="27">
        <v>46213</v>
      </c>
      <c r="C577" s="21" t="str">
        <f>TEXT(B577,"DDD")</f>
        <v>Fri</v>
      </c>
      <c r="D577" s="22">
        <f>WEEKNUM(B577)</f>
        <v>28</v>
      </c>
      <c r="E577" s="22" t="str">
        <f>TEXT(B577,"mmm-yy")</f>
        <v>Jul-26</v>
      </c>
      <c r="F577" s="11" t="s">
        <v>11</v>
      </c>
      <c r="G577" s="24" t="str">
        <f>IFERROR(VLOOKUP(Table1[[#This Row],[Compressor]],$K$9:$L$18,2,FALSE),"0")</f>
        <v>H254805HT</v>
      </c>
      <c r="H577" s="25">
        <v>31</v>
      </c>
      <c r="I577" s="33"/>
    </row>
    <row r="578" spans="2:9" x14ac:dyDescent="0.3">
      <c r="B578" s="27">
        <v>46213</v>
      </c>
      <c r="C578" s="21" t="str">
        <f>TEXT(B578,"DDD")</f>
        <v>Fri</v>
      </c>
      <c r="D578" s="22">
        <f>WEEKNUM(B578)</f>
        <v>28</v>
      </c>
      <c r="E578" s="22" t="str">
        <f>TEXT(B578,"mmm-yy")</f>
        <v>Jul-26</v>
      </c>
      <c r="F578" s="11" t="s">
        <v>12</v>
      </c>
      <c r="G578" s="24" t="str">
        <f>IFERROR(VLOOKUP(Table1[[#This Row],[Compressor]],$K$9:$L$18,2,FALSE),"0")</f>
        <v>H254803IH</v>
      </c>
      <c r="H578" s="25">
        <v>48</v>
      </c>
      <c r="I578" s="33"/>
    </row>
    <row r="579" spans="2:9" x14ac:dyDescent="0.3">
      <c r="B579" s="27">
        <v>46213</v>
      </c>
      <c r="C579" s="21" t="str">
        <f>TEXT(B579,"DDD")</f>
        <v>Fri</v>
      </c>
      <c r="D579" s="22">
        <f>WEEKNUM(B579)</f>
        <v>28</v>
      </c>
      <c r="E579" s="22" t="str">
        <f>TEXT(B579,"mmm-yy")</f>
        <v>Jul-26</v>
      </c>
      <c r="F579" s="11" t="s">
        <v>13</v>
      </c>
      <c r="G579" s="24" t="str">
        <f>IFERROR(VLOOKUP(Table1[[#This Row],[Compressor]],$K$9:$L$18,2,FALSE),"0")</f>
        <v>H254806XS</v>
      </c>
      <c r="H579" s="25">
        <v>113</v>
      </c>
      <c r="I579" s="33"/>
    </row>
    <row r="580" spans="2:9" x14ac:dyDescent="0.3">
      <c r="B580" s="27">
        <v>46213</v>
      </c>
      <c r="C580" s="21" t="str">
        <f>TEXT(B580,"DDD")</f>
        <v>Fri</v>
      </c>
      <c r="D580" s="22">
        <f>WEEKNUM(B580)</f>
        <v>28</v>
      </c>
      <c r="E580" s="22" t="str">
        <f>TEXT(B580,"mmm-yy")</f>
        <v>Jul-26</v>
      </c>
      <c r="F580" s="11" t="s">
        <v>14</v>
      </c>
      <c r="G580" s="24" t="str">
        <f>IFERROR(VLOOKUP(Table1[[#This Row],[Compressor]],$K$9:$L$18,2,FALSE),"0")</f>
        <v>H254803HV</v>
      </c>
      <c r="H580" s="25">
        <v>61</v>
      </c>
      <c r="I580" s="33"/>
    </row>
    <row r="581" spans="2:9" x14ac:dyDescent="0.3">
      <c r="B581" s="27">
        <v>46213</v>
      </c>
      <c r="C581" s="21" t="str">
        <f>TEXT(B581,"DDD")</f>
        <v>Fri</v>
      </c>
      <c r="D581" s="22">
        <f>WEEKNUM(B581)</f>
        <v>28</v>
      </c>
      <c r="E581" s="22" t="str">
        <f>TEXT(B581,"mmm-yy")</f>
        <v>Jul-26</v>
      </c>
      <c r="F581" s="11" t="s">
        <v>15</v>
      </c>
      <c r="G581" s="24" t="str">
        <f>IFERROR(VLOOKUP(Table1[[#This Row],[Compressor]],$K$9:$L$18,2,FALSE),"0")</f>
        <v>H254805HT</v>
      </c>
      <c r="H581" s="25">
        <v>145</v>
      </c>
      <c r="I581" s="33"/>
    </row>
    <row r="582" spans="2:9" x14ac:dyDescent="0.3">
      <c r="B582" s="27">
        <v>46213</v>
      </c>
      <c r="C582" s="21" t="str">
        <f>TEXT(B582,"DDD")</f>
        <v>Fri</v>
      </c>
      <c r="D582" s="22">
        <f>WEEKNUM(B582)</f>
        <v>28</v>
      </c>
      <c r="E582" s="22" t="str">
        <f>TEXT(B582,"mmm-yy")</f>
        <v>Jul-26</v>
      </c>
      <c r="F582" s="11" t="s">
        <v>16</v>
      </c>
      <c r="G582" s="24" t="str">
        <f>IFERROR(VLOOKUP(Table1[[#This Row],[Compressor]],$K$9:$L$18,2,FALSE),"0")</f>
        <v>H254805IL</v>
      </c>
      <c r="H582" s="25">
        <v>21</v>
      </c>
      <c r="I582" s="33"/>
    </row>
    <row r="583" spans="2:9" x14ac:dyDescent="0.3">
      <c r="B583" s="27">
        <v>46213</v>
      </c>
      <c r="C583" s="21" t="str">
        <f>TEXT(B583,"DDD")</f>
        <v>Fri</v>
      </c>
      <c r="D583" s="22">
        <f>WEEKNUM(B583)</f>
        <v>28</v>
      </c>
      <c r="E583" s="22" t="str">
        <f>TEXT(B583,"mmm-yy")</f>
        <v>Jul-26</v>
      </c>
      <c r="F583" s="11" t="s">
        <v>17</v>
      </c>
      <c r="G583" s="24" t="str">
        <f>IFERROR(VLOOKUP(Table1[[#This Row],[Compressor]],$K$9:$L$18,2,FALSE),"0")</f>
        <v>H254802IL</v>
      </c>
      <c r="H583" s="25">
        <v>3</v>
      </c>
      <c r="I583" s="33"/>
    </row>
    <row r="584" spans="2:9" x14ac:dyDescent="0.3">
      <c r="B584" s="27">
        <v>46214</v>
      </c>
      <c r="C584" s="21" t="str">
        <f>TEXT(B584,"DDD")</f>
        <v>Sat</v>
      </c>
      <c r="D584" s="22">
        <f>WEEKNUM(B584)</f>
        <v>28</v>
      </c>
      <c r="E584" s="22" t="str">
        <f>TEXT(B584,"mmm-yy")</f>
        <v>Jul-26</v>
      </c>
      <c r="F584" s="11" t="s">
        <v>8</v>
      </c>
      <c r="G584" s="24" t="str">
        <f>IFERROR(VLOOKUP(Table1[[#This Row],[Compressor]],$K$9:$L$18,2,FALSE),"0")</f>
        <v>H254805XS</v>
      </c>
      <c r="H584" s="25">
        <v>10</v>
      </c>
      <c r="I584" s="33"/>
    </row>
    <row r="585" spans="2:9" x14ac:dyDescent="0.3">
      <c r="B585" s="27">
        <v>46214</v>
      </c>
      <c r="C585" s="21" t="str">
        <f>TEXT(B585,"DDD")</f>
        <v>Sat</v>
      </c>
      <c r="D585" s="22">
        <f>WEEKNUM(B585)</f>
        <v>28</v>
      </c>
      <c r="E585" s="22" t="str">
        <f>TEXT(B585,"mmm-yy")</f>
        <v>Jul-26</v>
      </c>
      <c r="F585" s="11" t="s">
        <v>9</v>
      </c>
      <c r="G585" s="24" t="str">
        <f>IFERROR(VLOOKUP(Table1[[#This Row],[Compressor]],$K$9:$L$18,2,FALSE),"0")</f>
        <v>H254805AI</v>
      </c>
      <c r="H585" s="25">
        <v>23</v>
      </c>
      <c r="I585" s="33"/>
    </row>
    <row r="586" spans="2:9" x14ac:dyDescent="0.3">
      <c r="B586" s="27">
        <v>46214</v>
      </c>
      <c r="C586" s="21" t="str">
        <f>TEXT(B586,"DDD")</f>
        <v>Sat</v>
      </c>
      <c r="D586" s="22">
        <f>WEEKNUM(B586)</f>
        <v>28</v>
      </c>
      <c r="E586" s="22" t="str">
        <f>TEXT(B586,"mmm-yy")</f>
        <v>Jul-26</v>
      </c>
      <c r="F586" s="11" t="s">
        <v>10</v>
      </c>
      <c r="G586" s="24" t="str">
        <f>IFERROR(VLOOKUP(Table1[[#This Row],[Compressor]],$K$9:$L$18,2,FALSE),"0")</f>
        <v>H254805RT</v>
      </c>
      <c r="H586" s="25">
        <v>29</v>
      </c>
      <c r="I586" s="33"/>
    </row>
    <row r="587" spans="2:9" x14ac:dyDescent="0.3">
      <c r="B587" s="27">
        <v>46214</v>
      </c>
      <c r="C587" s="21" t="str">
        <f>TEXT(B587,"DDD")</f>
        <v>Sat</v>
      </c>
      <c r="D587" s="22">
        <f>WEEKNUM(B587)</f>
        <v>28</v>
      </c>
      <c r="E587" s="22" t="str">
        <f>TEXT(B587,"mmm-yy")</f>
        <v>Jul-26</v>
      </c>
      <c r="F587" s="11" t="s">
        <v>11</v>
      </c>
      <c r="G587" s="24" t="str">
        <f>IFERROR(VLOOKUP(Table1[[#This Row],[Compressor]],$K$9:$L$18,2,FALSE),"0")</f>
        <v>H254805HT</v>
      </c>
      <c r="H587" s="25">
        <v>31</v>
      </c>
      <c r="I587" s="33"/>
    </row>
    <row r="588" spans="2:9" x14ac:dyDescent="0.3">
      <c r="B588" s="27">
        <v>46214</v>
      </c>
      <c r="C588" s="21" t="str">
        <f>TEXT(B588,"DDD")</f>
        <v>Sat</v>
      </c>
      <c r="D588" s="22">
        <f>WEEKNUM(B588)</f>
        <v>28</v>
      </c>
      <c r="E588" s="22" t="str">
        <f>TEXT(B588,"mmm-yy")</f>
        <v>Jul-26</v>
      </c>
      <c r="F588" s="11" t="s">
        <v>12</v>
      </c>
      <c r="G588" s="24" t="str">
        <f>IFERROR(VLOOKUP(Table1[[#This Row],[Compressor]],$K$9:$L$18,2,FALSE),"0")</f>
        <v>H254803IH</v>
      </c>
      <c r="H588" s="25">
        <v>56</v>
      </c>
      <c r="I588" s="33"/>
    </row>
    <row r="589" spans="2:9" x14ac:dyDescent="0.3">
      <c r="B589" s="27">
        <v>46214</v>
      </c>
      <c r="C589" s="21" t="str">
        <f>TEXT(B589,"DDD")</f>
        <v>Sat</v>
      </c>
      <c r="D589" s="22">
        <f>WEEKNUM(B589)</f>
        <v>28</v>
      </c>
      <c r="E589" s="22" t="str">
        <f>TEXT(B589,"mmm-yy")</f>
        <v>Jul-26</v>
      </c>
      <c r="F589" s="11" t="s">
        <v>13</v>
      </c>
      <c r="G589" s="24" t="str">
        <f>IFERROR(VLOOKUP(Table1[[#This Row],[Compressor]],$K$9:$L$18,2,FALSE),"0")</f>
        <v>H254806XS</v>
      </c>
      <c r="H589" s="25">
        <v>113</v>
      </c>
      <c r="I589" s="33"/>
    </row>
    <row r="590" spans="2:9" x14ac:dyDescent="0.3">
      <c r="B590" s="27">
        <v>46214</v>
      </c>
      <c r="C590" s="21" t="str">
        <f>TEXT(B590,"DDD")</f>
        <v>Sat</v>
      </c>
      <c r="D590" s="22">
        <f>WEEKNUM(B590)</f>
        <v>28</v>
      </c>
      <c r="E590" s="22" t="str">
        <f>TEXT(B590,"mmm-yy")</f>
        <v>Jul-26</v>
      </c>
      <c r="F590" s="11" t="s">
        <v>14</v>
      </c>
      <c r="G590" s="24" t="str">
        <f>IFERROR(VLOOKUP(Table1[[#This Row],[Compressor]],$K$9:$L$18,2,FALSE),"0")</f>
        <v>H254803HV</v>
      </c>
      <c r="H590" s="25">
        <v>70</v>
      </c>
      <c r="I590" s="33"/>
    </row>
    <row r="591" spans="2:9" x14ac:dyDescent="0.3">
      <c r="B591" s="27">
        <v>46214</v>
      </c>
      <c r="C591" s="21" t="str">
        <f>TEXT(B591,"DDD")</f>
        <v>Sat</v>
      </c>
      <c r="D591" s="22">
        <f>WEEKNUM(B591)</f>
        <v>28</v>
      </c>
      <c r="E591" s="22" t="str">
        <f>TEXT(B591,"mmm-yy")</f>
        <v>Jul-26</v>
      </c>
      <c r="F591" s="11" t="s">
        <v>15</v>
      </c>
      <c r="G591" s="24" t="str">
        <f>IFERROR(VLOOKUP(Table1[[#This Row],[Compressor]],$K$9:$L$18,2,FALSE),"0")</f>
        <v>H254805HT</v>
      </c>
      <c r="H591" s="25">
        <v>145</v>
      </c>
      <c r="I591" s="33"/>
    </row>
    <row r="592" spans="2:9" x14ac:dyDescent="0.3">
      <c r="B592" s="27">
        <v>46214</v>
      </c>
      <c r="C592" s="21" t="str">
        <f>TEXT(B592,"DDD")</f>
        <v>Sat</v>
      </c>
      <c r="D592" s="22">
        <f>WEEKNUM(B592)</f>
        <v>28</v>
      </c>
      <c r="E592" s="22" t="str">
        <f>TEXT(B592,"mmm-yy")</f>
        <v>Jul-26</v>
      </c>
      <c r="F592" s="11" t="s">
        <v>16</v>
      </c>
      <c r="G592" s="24" t="str">
        <f>IFERROR(VLOOKUP(Table1[[#This Row],[Compressor]],$K$9:$L$18,2,FALSE),"0")</f>
        <v>H254805IL</v>
      </c>
      <c r="H592" s="25">
        <v>21</v>
      </c>
      <c r="I592" s="33"/>
    </row>
    <row r="593" spans="2:9" x14ac:dyDescent="0.3">
      <c r="B593" s="27">
        <v>46214</v>
      </c>
      <c r="C593" s="21" t="str">
        <f>TEXT(B593,"DDD")</f>
        <v>Sat</v>
      </c>
      <c r="D593" s="22">
        <f>WEEKNUM(B593)</f>
        <v>28</v>
      </c>
      <c r="E593" s="22" t="str">
        <f>TEXT(B593,"mmm-yy")</f>
        <v>Jul-26</v>
      </c>
      <c r="F593" s="11" t="s">
        <v>17</v>
      </c>
      <c r="G593" s="24" t="str">
        <f>IFERROR(VLOOKUP(Table1[[#This Row],[Compressor]],$K$9:$L$18,2,FALSE),"0")</f>
        <v>H254802IL</v>
      </c>
      <c r="H593" s="25">
        <v>3</v>
      </c>
      <c r="I593" s="33"/>
    </row>
    <row r="594" spans="2:9" x14ac:dyDescent="0.3">
      <c r="B594" s="27">
        <v>46215</v>
      </c>
      <c r="C594" s="21" t="str">
        <f>TEXT(B594,"DDD")</f>
        <v>Sun</v>
      </c>
      <c r="D594" s="22">
        <f>WEEKNUM(B594)</f>
        <v>29</v>
      </c>
      <c r="E594" s="22" t="str">
        <f>TEXT(B594,"mmm-yy")</f>
        <v>Jul-26</v>
      </c>
      <c r="F594" s="11" t="s">
        <v>8</v>
      </c>
      <c r="G594" s="24" t="str">
        <f>IFERROR(VLOOKUP(Table1[[#This Row],[Compressor]],$K$9:$L$18,2,FALSE),"0")</f>
        <v>H254805XS</v>
      </c>
      <c r="H594" s="25">
        <v>10</v>
      </c>
      <c r="I594" s="33"/>
    </row>
    <row r="595" spans="2:9" x14ac:dyDescent="0.3">
      <c r="B595" s="27">
        <v>46215</v>
      </c>
      <c r="C595" s="21" t="str">
        <f>TEXT(B595,"DDD")</f>
        <v>Sun</v>
      </c>
      <c r="D595" s="22">
        <f>WEEKNUM(B595)</f>
        <v>29</v>
      </c>
      <c r="E595" s="22" t="str">
        <f>TEXT(B595,"mmm-yy")</f>
        <v>Jul-26</v>
      </c>
      <c r="F595" s="11" t="s">
        <v>9</v>
      </c>
      <c r="G595" s="24" t="str">
        <f>IFERROR(VLOOKUP(Table1[[#This Row],[Compressor]],$K$9:$L$18,2,FALSE),"0")</f>
        <v>H254805AI</v>
      </c>
      <c r="H595" s="25">
        <v>23</v>
      </c>
      <c r="I595" s="33"/>
    </row>
    <row r="596" spans="2:9" x14ac:dyDescent="0.3">
      <c r="B596" s="27">
        <v>46215</v>
      </c>
      <c r="C596" s="21" t="str">
        <f>TEXT(B596,"DDD")</f>
        <v>Sun</v>
      </c>
      <c r="D596" s="22">
        <f>WEEKNUM(B596)</f>
        <v>29</v>
      </c>
      <c r="E596" s="22" t="str">
        <f>TEXT(B596,"mmm-yy")</f>
        <v>Jul-26</v>
      </c>
      <c r="F596" s="11" t="s">
        <v>10</v>
      </c>
      <c r="G596" s="24" t="str">
        <f>IFERROR(VLOOKUP(Table1[[#This Row],[Compressor]],$K$9:$L$18,2,FALSE),"0")</f>
        <v>H254805RT</v>
      </c>
      <c r="H596" s="25">
        <v>29</v>
      </c>
      <c r="I596" s="33"/>
    </row>
    <row r="597" spans="2:9" x14ac:dyDescent="0.3">
      <c r="B597" s="27">
        <v>46215</v>
      </c>
      <c r="C597" s="21" t="str">
        <f>TEXT(B597,"DDD")</f>
        <v>Sun</v>
      </c>
      <c r="D597" s="22">
        <f>WEEKNUM(B597)</f>
        <v>29</v>
      </c>
      <c r="E597" s="22" t="str">
        <f>TEXT(B597,"mmm-yy")</f>
        <v>Jul-26</v>
      </c>
      <c r="F597" s="11" t="s">
        <v>11</v>
      </c>
      <c r="G597" s="24" t="str">
        <f>IFERROR(VLOOKUP(Table1[[#This Row],[Compressor]],$K$9:$L$18,2,FALSE),"0")</f>
        <v>H254805HT</v>
      </c>
      <c r="H597" s="25">
        <v>31</v>
      </c>
      <c r="I597" s="33"/>
    </row>
    <row r="598" spans="2:9" x14ac:dyDescent="0.3">
      <c r="B598" s="27">
        <v>46215</v>
      </c>
      <c r="C598" s="21" t="str">
        <f>TEXT(B598,"DDD")</f>
        <v>Sun</v>
      </c>
      <c r="D598" s="22">
        <f>WEEKNUM(B598)</f>
        <v>29</v>
      </c>
      <c r="E598" s="22" t="str">
        <f>TEXT(B598,"mmm-yy")</f>
        <v>Jul-26</v>
      </c>
      <c r="F598" s="11" t="s">
        <v>12</v>
      </c>
      <c r="G598" s="24" t="str">
        <f>IFERROR(VLOOKUP(Table1[[#This Row],[Compressor]],$K$9:$L$18,2,FALSE),"0")</f>
        <v>H254803IH</v>
      </c>
      <c r="H598" s="25">
        <v>64</v>
      </c>
      <c r="I598" s="33"/>
    </row>
    <row r="599" spans="2:9" x14ac:dyDescent="0.3">
      <c r="B599" s="27">
        <v>46215</v>
      </c>
      <c r="C599" s="21" t="str">
        <f>TEXT(B599,"DDD")</f>
        <v>Sun</v>
      </c>
      <c r="D599" s="22">
        <f>WEEKNUM(B599)</f>
        <v>29</v>
      </c>
      <c r="E599" s="22" t="str">
        <f>TEXT(B599,"mmm-yy")</f>
        <v>Jul-26</v>
      </c>
      <c r="F599" s="11" t="s">
        <v>13</v>
      </c>
      <c r="G599" s="24" t="str">
        <f>IFERROR(VLOOKUP(Table1[[#This Row],[Compressor]],$K$9:$L$18,2,FALSE),"0")</f>
        <v>H254806XS</v>
      </c>
      <c r="H599" s="25">
        <v>113</v>
      </c>
      <c r="I599" s="33"/>
    </row>
    <row r="600" spans="2:9" x14ac:dyDescent="0.3">
      <c r="B600" s="27">
        <v>46215</v>
      </c>
      <c r="C600" s="21" t="str">
        <f>TEXT(B600,"DDD")</f>
        <v>Sun</v>
      </c>
      <c r="D600" s="22">
        <f>WEEKNUM(B600)</f>
        <v>29</v>
      </c>
      <c r="E600" s="22" t="str">
        <f>TEXT(B600,"mmm-yy")</f>
        <v>Jul-26</v>
      </c>
      <c r="F600" s="11" t="s">
        <v>14</v>
      </c>
      <c r="G600" s="24" t="str">
        <f>IFERROR(VLOOKUP(Table1[[#This Row],[Compressor]],$K$9:$L$18,2,FALSE),"0")</f>
        <v>H254803HV</v>
      </c>
      <c r="H600" s="25">
        <v>79</v>
      </c>
      <c r="I600" s="33"/>
    </row>
    <row r="601" spans="2:9" x14ac:dyDescent="0.3">
      <c r="B601" s="27">
        <v>46215</v>
      </c>
      <c r="C601" s="21" t="str">
        <f>TEXT(B601,"DDD")</f>
        <v>Sun</v>
      </c>
      <c r="D601" s="22">
        <f>WEEKNUM(B601)</f>
        <v>29</v>
      </c>
      <c r="E601" s="22" t="str">
        <f>TEXT(B601,"mmm-yy")</f>
        <v>Jul-26</v>
      </c>
      <c r="F601" s="11" t="s">
        <v>15</v>
      </c>
      <c r="G601" s="24" t="str">
        <f>IFERROR(VLOOKUP(Table1[[#This Row],[Compressor]],$K$9:$L$18,2,FALSE),"0")</f>
        <v>H254805HT</v>
      </c>
      <c r="H601" s="25">
        <v>145</v>
      </c>
      <c r="I601" s="33"/>
    </row>
    <row r="602" spans="2:9" x14ac:dyDescent="0.3">
      <c r="B602" s="27">
        <v>46215</v>
      </c>
      <c r="C602" s="21" t="str">
        <f>TEXT(B602,"DDD")</f>
        <v>Sun</v>
      </c>
      <c r="D602" s="22">
        <f>WEEKNUM(B602)</f>
        <v>29</v>
      </c>
      <c r="E602" s="22" t="str">
        <f>TEXT(B602,"mmm-yy")</f>
        <v>Jul-26</v>
      </c>
      <c r="F602" s="11" t="s">
        <v>16</v>
      </c>
      <c r="G602" s="24" t="str">
        <f>IFERROR(VLOOKUP(Table1[[#This Row],[Compressor]],$K$9:$L$18,2,FALSE),"0")</f>
        <v>H254805IL</v>
      </c>
      <c r="H602" s="25">
        <v>21</v>
      </c>
      <c r="I602" s="33"/>
    </row>
    <row r="603" spans="2:9" x14ac:dyDescent="0.3">
      <c r="B603" s="27">
        <v>46215</v>
      </c>
      <c r="C603" s="21" t="str">
        <f>TEXT(B603,"DDD")</f>
        <v>Sun</v>
      </c>
      <c r="D603" s="22">
        <f>WEEKNUM(B603)</f>
        <v>29</v>
      </c>
      <c r="E603" s="22" t="str">
        <f>TEXT(B603,"mmm-yy")</f>
        <v>Jul-26</v>
      </c>
      <c r="F603" s="11" t="s">
        <v>17</v>
      </c>
      <c r="G603" s="24" t="str">
        <f>IFERROR(VLOOKUP(Table1[[#This Row],[Compressor]],$K$9:$L$18,2,FALSE),"0")</f>
        <v>H254802IL</v>
      </c>
      <c r="H603" s="25">
        <v>3</v>
      </c>
      <c r="I603" s="33"/>
    </row>
    <row r="604" spans="2:9" x14ac:dyDescent="0.3">
      <c r="B604" s="27">
        <v>46216</v>
      </c>
      <c r="C604" s="21" t="str">
        <f>TEXT(B604,"DDD")</f>
        <v>Mon</v>
      </c>
      <c r="D604" s="22">
        <f>WEEKNUM(B604)</f>
        <v>29</v>
      </c>
      <c r="E604" s="22" t="str">
        <f>TEXT(B604,"mmm-yy")</f>
        <v>Jul-26</v>
      </c>
      <c r="F604" s="11" t="s">
        <v>8</v>
      </c>
      <c r="G604" s="24" t="str">
        <f>IFERROR(VLOOKUP(Table1[[#This Row],[Compressor]],$K$9:$L$18,2,FALSE),"0")</f>
        <v>H254805XS</v>
      </c>
      <c r="H604" s="25">
        <v>10</v>
      </c>
      <c r="I604" s="33"/>
    </row>
    <row r="605" spans="2:9" x14ac:dyDescent="0.3">
      <c r="B605" s="27">
        <v>46216</v>
      </c>
      <c r="C605" s="21" t="str">
        <f>TEXT(B605,"DDD")</f>
        <v>Mon</v>
      </c>
      <c r="D605" s="22">
        <f>WEEKNUM(B605)</f>
        <v>29</v>
      </c>
      <c r="E605" s="22" t="str">
        <f>TEXT(B605,"mmm-yy")</f>
        <v>Jul-26</v>
      </c>
      <c r="F605" s="11" t="s">
        <v>9</v>
      </c>
      <c r="G605" s="24" t="str">
        <f>IFERROR(VLOOKUP(Table1[[#This Row],[Compressor]],$K$9:$L$18,2,FALSE),"0")</f>
        <v>H254805AI</v>
      </c>
      <c r="H605" s="25">
        <v>23</v>
      </c>
      <c r="I605" s="33"/>
    </row>
    <row r="606" spans="2:9" x14ac:dyDescent="0.3">
      <c r="B606" s="27">
        <v>46216</v>
      </c>
      <c r="C606" s="21" t="str">
        <f>TEXT(B606,"DDD")</f>
        <v>Mon</v>
      </c>
      <c r="D606" s="22">
        <f>WEEKNUM(B606)</f>
        <v>29</v>
      </c>
      <c r="E606" s="22" t="str">
        <f>TEXT(B606,"mmm-yy")</f>
        <v>Jul-26</v>
      </c>
      <c r="F606" s="11" t="s">
        <v>10</v>
      </c>
      <c r="G606" s="24" t="str">
        <f>IFERROR(VLOOKUP(Table1[[#This Row],[Compressor]],$K$9:$L$18,2,FALSE),"0")</f>
        <v>H254805RT</v>
      </c>
      <c r="H606" s="25">
        <v>29</v>
      </c>
      <c r="I606" s="33"/>
    </row>
    <row r="607" spans="2:9" x14ac:dyDescent="0.3">
      <c r="B607" s="27">
        <v>46216</v>
      </c>
      <c r="C607" s="21" t="str">
        <f>TEXT(B607,"DDD")</f>
        <v>Mon</v>
      </c>
      <c r="D607" s="22">
        <f>WEEKNUM(B607)</f>
        <v>29</v>
      </c>
      <c r="E607" s="22" t="str">
        <f>TEXT(B607,"mmm-yy")</f>
        <v>Jul-26</v>
      </c>
      <c r="F607" s="11" t="s">
        <v>11</v>
      </c>
      <c r="G607" s="24" t="str">
        <f>IFERROR(VLOOKUP(Table1[[#This Row],[Compressor]],$K$9:$L$18,2,FALSE),"0")</f>
        <v>H254805HT</v>
      </c>
      <c r="H607" s="25">
        <v>31</v>
      </c>
      <c r="I607" s="33"/>
    </row>
    <row r="608" spans="2:9" x14ac:dyDescent="0.3">
      <c r="B608" s="27">
        <v>46216</v>
      </c>
      <c r="C608" s="21" t="str">
        <f>TEXT(B608,"DDD")</f>
        <v>Mon</v>
      </c>
      <c r="D608" s="22">
        <f>WEEKNUM(B608)</f>
        <v>29</v>
      </c>
      <c r="E608" s="22" t="str">
        <f>TEXT(B608,"mmm-yy")</f>
        <v>Jul-26</v>
      </c>
      <c r="F608" s="11" t="s">
        <v>12</v>
      </c>
      <c r="G608" s="24" t="str">
        <f>IFERROR(VLOOKUP(Table1[[#This Row],[Compressor]],$K$9:$L$18,2,FALSE),"0")</f>
        <v>H254803IH</v>
      </c>
      <c r="H608" s="25">
        <v>64</v>
      </c>
      <c r="I608" s="33"/>
    </row>
    <row r="609" spans="2:9" x14ac:dyDescent="0.3">
      <c r="B609" s="27">
        <v>46216</v>
      </c>
      <c r="C609" s="21" t="str">
        <f>TEXT(B609,"DDD")</f>
        <v>Mon</v>
      </c>
      <c r="D609" s="22">
        <f>WEEKNUM(B609)</f>
        <v>29</v>
      </c>
      <c r="E609" s="22" t="str">
        <f>TEXT(B609,"mmm-yy")</f>
        <v>Jul-26</v>
      </c>
      <c r="F609" s="11" t="s">
        <v>13</v>
      </c>
      <c r="G609" s="24" t="str">
        <f>IFERROR(VLOOKUP(Table1[[#This Row],[Compressor]],$K$9:$L$18,2,FALSE),"0")</f>
        <v>H254806XS</v>
      </c>
      <c r="H609" s="25">
        <v>114</v>
      </c>
      <c r="I609" s="33"/>
    </row>
    <row r="610" spans="2:9" x14ac:dyDescent="0.3">
      <c r="B610" s="27">
        <v>46216</v>
      </c>
      <c r="C610" s="21" t="str">
        <f>TEXT(B610,"DDD")</f>
        <v>Mon</v>
      </c>
      <c r="D610" s="22">
        <f>WEEKNUM(B610)</f>
        <v>29</v>
      </c>
      <c r="E610" s="22" t="str">
        <f>TEXT(B610,"mmm-yy")</f>
        <v>Jul-26</v>
      </c>
      <c r="F610" s="11" t="s">
        <v>14</v>
      </c>
      <c r="G610" s="24" t="str">
        <f>IFERROR(VLOOKUP(Table1[[#This Row],[Compressor]],$K$9:$L$18,2,FALSE),"0")</f>
        <v>H254803HV</v>
      </c>
      <c r="H610" s="25">
        <v>79</v>
      </c>
      <c r="I610" s="33"/>
    </row>
    <row r="611" spans="2:9" x14ac:dyDescent="0.3">
      <c r="B611" s="27">
        <v>46216</v>
      </c>
      <c r="C611" s="21" t="str">
        <f>TEXT(B611,"DDD")</f>
        <v>Mon</v>
      </c>
      <c r="D611" s="22">
        <f>WEEKNUM(B611)</f>
        <v>29</v>
      </c>
      <c r="E611" s="22" t="str">
        <f>TEXT(B611,"mmm-yy")</f>
        <v>Jul-26</v>
      </c>
      <c r="F611" s="11" t="s">
        <v>15</v>
      </c>
      <c r="G611" s="24" t="str">
        <f>IFERROR(VLOOKUP(Table1[[#This Row],[Compressor]],$K$9:$L$18,2,FALSE),"0")</f>
        <v>H254805HT</v>
      </c>
      <c r="H611" s="25">
        <v>148</v>
      </c>
      <c r="I611" s="33"/>
    </row>
    <row r="612" spans="2:9" x14ac:dyDescent="0.3">
      <c r="B612" s="27">
        <v>46216</v>
      </c>
      <c r="C612" s="21" t="str">
        <f>TEXT(B612,"DDD")</f>
        <v>Mon</v>
      </c>
      <c r="D612" s="22">
        <f>WEEKNUM(B612)</f>
        <v>29</v>
      </c>
      <c r="E612" s="22" t="str">
        <f>TEXT(B612,"mmm-yy")</f>
        <v>Jul-26</v>
      </c>
      <c r="F612" s="11" t="s">
        <v>16</v>
      </c>
      <c r="G612" s="24" t="str">
        <f>IFERROR(VLOOKUP(Table1[[#This Row],[Compressor]],$K$9:$L$18,2,FALSE),"0")</f>
        <v>H254805IL</v>
      </c>
      <c r="H612" s="25">
        <v>21</v>
      </c>
      <c r="I612" s="33"/>
    </row>
    <row r="613" spans="2:9" x14ac:dyDescent="0.3">
      <c r="B613" s="27">
        <v>46216</v>
      </c>
      <c r="C613" s="21" t="str">
        <f>TEXT(B613,"DDD")</f>
        <v>Mon</v>
      </c>
      <c r="D613" s="22">
        <f>WEEKNUM(B613)</f>
        <v>29</v>
      </c>
      <c r="E613" s="22" t="str">
        <f>TEXT(B613,"mmm-yy")</f>
        <v>Jul-26</v>
      </c>
      <c r="F613" s="11" t="s">
        <v>17</v>
      </c>
      <c r="G613" s="24" t="str">
        <f>IFERROR(VLOOKUP(Table1[[#This Row],[Compressor]],$K$9:$L$18,2,FALSE),"0")</f>
        <v>H254802IL</v>
      </c>
      <c r="H613" s="25">
        <v>3</v>
      </c>
      <c r="I613" s="33"/>
    </row>
    <row r="614" spans="2:9" x14ac:dyDescent="0.3">
      <c r="B614" s="27">
        <v>46217</v>
      </c>
      <c r="C614" s="21" t="str">
        <f>TEXT(B614,"DDD")</f>
        <v>Tue</v>
      </c>
      <c r="D614" s="22">
        <f>WEEKNUM(B614)</f>
        <v>29</v>
      </c>
      <c r="E614" s="22" t="str">
        <f>TEXT(B614,"mmm-yy")</f>
        <v>Jul-26</v>
      </c>
      <c r="F614" s="11" t="s">
        <v>8</v>
      </c>
      <c r="G614" s="24" t="str">
        <f>IFERROR(VLOOKUP(Table1[[#This Row],[Compressor]],$K$9:$L$18,2,FALSE),"0")</f>
        <v>H254805XS</v>
      </c>
      <c r="H614" s="25">
        <v>10</v>
      </c>
      <c r="I614" s="33"/>
    </row>
    <row r="615" spans="2:9" x14ac:dyDescent="0.3">
      <c r="B615" s="27">
        <v>46217</v>
      </c>
      <c r="C615" s="21" t="str">
        <f>TEXT(B615,"DDD")</f>
        <v>Tue</v>
      </c>
      <c r="D615" s="22">
        <f>WEEKNUM(B615)</f>
        <v>29</v>
      </c>
      <c r="E615" s="22" t="str">
        <f>TEXT(B615,"mmm-yy")</f>
        <v>Jul-26</v>
      </c>
      <c r="F615" s="11" t="s">
        <v>9</v>
      </c>
      <c r="G615" s="24" t="str">
        <f>IFERROR(VLOOKUP(Table1[[#This Row],[Compressor]],$K$9:$L$18,2,FALSE),"0")</f>
        <v>H254805AI</v>
      </c>
      <c r="H615" s="25">
        <v>25</v>
      </c>
      <c r="I615" s="33"/>
    </row>
    <row r="616" spans="2:9" x14ac:dyDescent="0.3">
      <c r="B616" s="27">
        <v>46217</v>
      </c>
      <c r="C616" s="21" t="str">
        <f>TEXT(B616,"DDD")</f>
        <v>Tue</v>
      </c>
      <c r="D616" s="22">
        <f>WEEKNUM(B616)</f>
        <v>29</v>
      </c>
      <c r="E616" s="22" t="str">
        <f>TEXT(B616,"mmm-yy")</f>
        <v>Jul-26</v>
      </c>
      <c r="F616" s="11" t="s">
        <v>10</v>
      </c>
      <c r="G616" s="24" t="str">
        <f>IFERROR(VLOOKUP(Table1[[#This Row],[Compressor]],$K$9:$L$18,2,FALSE),"0")</f>
        <v>H254805RT</v>
      </c>
      <c r="H616" s="25">
        <v>30</v>
      </c>
      <c r="I616" s="33"/>
    </row>
    <row r="617" spans="2:9" x14ac:dyDescent="0.3">
      <c r="B617" s="27">
        <v>46217</v>
      </c>
      <c r="C617" s="21" t="str">
        <f>TEXT(B617,"DDD")</f>
        <v>Tue</v>
      </c>
      <c r="D617" s="22">
        <f>WEEKNUM(B617)</f>
        <v>29</v>
      </c>
      <c r="E617" s="22" t="str">
        <f>TEXT(B617,"mmm-yy")</f>
        <v>Jul-26</v>
      </c>
      <c r="F617" s="11" t="s">
        <v>11</v>
      </c>
      <c r="G617" s="24" t="str">
        <f>IFERROR(VLOOKUP(Table1[[#This Row],[Compressor]],$K$9:$L$18,2,FALSE),"0")</f>
        <v>H254805HT</v>
      </c>
      <c r="H617" s="25">
        <v>32</v>
      </c>
      <c r="I617" s="33"/>
    </row>
    <row r="618" spans="2:9" x14ac:dyDescent="0.3">
      <c r="B618" s="27">
        <v>46217</v>
      </c>
      <c r="C618" s="21" t="str">
        <f>TEXT(B618,"DDD")</f>
        <v>Tue</v>
      </c>
      <c r="D618" s="22">
        <f>WEEKNUM(B618)</f>
        <v>29</v>
      </c>
      <c r="E618" s="22" t="str">
        <f>TEXT(B618,"mmm-yy")</f>
        <v>Jul-26</v>
      </c>
      <c r="F618" s="11" t="s">
        <v>12</v>
      </c>
      <c r="G618" s="24" t="str">
        <f>IFERROR(VLOOKUP(Table1[[#This Row],[Compressor]],$K$9:$L$18,2,FALSE),"0")</f>
        <v>H254803IH</v>
      </c>
      <c r="H618" s="25">
        <v>65</v>
      </c>
      <c r="I618" s="33"/>
    </row>
    <row r="619" spans="2:9" x14ac:dyDescent="0.3">
      <c r="B619" s="27">
        <v>46217</v>
      </c>
      <c r="C619" s="21" t="str">
        <f>TEXT(B619,"DDD")</f>
        <v>Tue</v>
      </c>
      <c r="D619" s="22">
        <f>WEEKNUM(B619)</f>
        <v>29</v>
      </c>
      <c r="E619" s="22" t="str">
        <f>TEXT(B619,"mmm-yy")</f>
        <v>Jul-26</v>
      </c>
      <c r="F619" s="11" t="s">
        <v>13</v>
      </c>
      <c r="G619" s="24" t="str">
        <f>IFERROR(VLOOKUP(Table1[[#This Row],[Compressor]],$K$9:$L$18,2,FALSE),"0")</f>
        <v>H254806XS</v>
      </c>
      <c r="H619" s="25">
        <v>122</v>
      </c>
      <c r="I619" s="33"/>
    </row>
    <row r="620" spans="2:9" x14ac:dyDescent="0.3">
      <c r="B620" s="27">
        <v>46217</v>
      </c>
      <c r="C620" s="21" t="str">
        <f>TEXT(B620,"DDD")</f>
        <v>Tue</v>
      </c>
      <c r="D620" s="22">
        <f>WEEKNUM(B620)</f>
        <v>29</v>
      </c>
      <c r="E620" s="22" t="str">
        <f>TEXT(B620,"mmm-yy")</f>
        <v>Jul-26</v>
      </c>
      <c r="F620" s="11" t="s">
        <v>14</v>
      </c>
      <c r="G620" s="24" t="str">
        <f>IFERROR(VLOOKUP(Table1[[#This Row],[Compressor]],$K$9:$L$18,2,FALSE),"0")</f>
        <v>H254803HV</v>
      </c>
      <c r="H620" s="25">
        <v>84</v>
      </c>
      <c r="I620" s="33"/>
    </row>
    <row r="621" spans="2:9" x14ac:dyDescent="0.3">
      <c r="B621" s="27">
        <v>46217</v>
      </c>
      <c r="C621" s="21" t="str">
        <f>TEXT(B621,"DDD")</f>
        <v>Tue</v>
      </c>
      <c r="D621" s="22">
        <f>WEEKNUM(B621)</f>
        <v>29</v>
      </c>
      <c r="E621" s="22" t="str">
        <f>TEXT(B621,"mmm-yy")</f>
        <v>Jul-26</v>
      </c>
      <c r="F621" s="11" t="s">
        <v>15</v>
      </c>
      <c r="G621" s="24" t="str">
        <f>IFERROR(VLOOKUP(Table1[[#This Row],[Compressor]],$K$9:$L$18,2,FALSE),"0")</f>
        <v>H254805HT</v>
      </c>
      <c r="H621" s="25">
        <v>148</v>
      </c>
      <c r="I621" s="33"/>
    </row>
    <row r="622" spans="2:9" x14ac:dyDescent="0.3">
      <c r="B622" s="27">
        <v>46217</v>
      </c>
      <c r="C622" s="21" t="str">
        <f>TEXT(B622,"DDD")</f>
        <v>Tue</v>
      </c>
      <c r="D622" s="22">
        <f>WEEKNUM(B622)</f>
        <v>29</v>
      </c>
      <c r="E622" s="22" t="str">
        <f>TEXT(B622,"mmm-yy")</f>
        <v>Jul-26</v>
      </c>
      <c r="F622" s="11" t="s">
        <v>16</v>
      </c>
      <c r="G622" s="24" t="str">
        <f>IFERROR(VLOOKUP(Table1[[#This Row],[Compressor]],$K$9:$L$18,2,FALSE),"0")</f>
        <v>H254805IL</v>
      </c>
      <c r="H622" s="25">
        <v>21</v>
      </c>
      <c r="I622" s="33"/>
    </row>
    <row r="623" spans="2:9" x14ac:dyDescent="0.3">
      <c r="B623" s="27">
        <v>46217</v>
      </c>
      <c r="C623" s="21" t="str">
        <f>TEXT(B623,"DDD")</f>
        <v>Tue</v>
      </c>
      <c r="D623" s="22">
        <f>WEEKNUM(B623)</f>
        <v>29</v>
      </c>
      <c r="E623" s="22" t="str">
        <f>TEXT(B623,"mmm-yy")</f>
        <v>Jul-26</v>
      </c>
      <c r="F623" s="11" t="s">
        <v>17</v>
      </c>
      <c r="G623" s="24" t="str">
        <f>IFERROR(VLOOKUP(Table1[[#This Row],[Compressor]],$K$9:$L$18,2,FALSE),"0")</f>
        <v>H254802IL</v>
      </c>
      <c r="H623" s="25">
        <v>3</v>
      </c>
      <c r="I623" s="33"/>
    </row>
    <row r="624" spans="2:9" x14ac:dyDescent="0.3">
      <c r="B624" s="27">
        <v>46218</v>
      </c>
      <c r="C624" s="21" t="str">
        <f>TEXT(B624,"DDD")</f>
        <v>Wed</v>
      </c>
      <c r="D624" s="22">
        <f>WEEKNUM(B624)</f>
        <v>29</v>
      </c>
      <c r="E624" s="22" t="str">
        <f>TEXT(B624,"mmm-yy")</f>
        <v>Jul-26</v>
      </c>
      <c r="F624" s="11" t="s">
        <v>8</v>
      </c>
      <c r="G624" s="24" t="str">
        <f>IFERROR(VLOOKUP(Table1[[#This Row],[Compressor]],$K$9:$L$18,2,FALSE),"0")</f>
        <v>H254805XS</v>
      </c>
      <c r="H624" s="25">
        <v>13</v>
      </c>
      <c r="I624" s="33"/>
    </row>
    <row r="625" spans="2:9" x14ac:dyDescent="0.3">
      <c r="B625" s="27">
        <v>46218</v>
      </c>
      <c r="C625" s="21" t="str">
        <f>TEXT(B625,"DDD")</f>
        <v>Wed</v>
      </c>
      <c r="D625" s="22">
        <f>WEEKNUM(B625)</f>
        <v>29</v>
      </c>
      <c r="E625" s="22" t="str">
        <f>TEXT(B625,"mmm-yy")</f>
        <v>Jul-26</v>
      </c>
      <c r="F625" s="11" t="s">
        <v>9</v>
      </c>
      <c r="G625" s="24" t="str">
        <f>IFERROR(VLOOKUP(Table1[[#This Row],[Compressor]],$K$9:$L$18,2,FALSE),"0")</f>
        <v>H254805AI</v>
      </c>
      <c r="H625" s="25">
        <v>32</v>
      </c>
      <c r="I625" s="33"/>
    </row>
    <row r="626" spans="2:9" x14ac:dyDescent="0.3">
      <c r="B626" s="27">
        <v>46218</v>
      </c>
      <c r="C626" s="21" t="str">
        <f>TEXT(B626,"DDD")</f>
        <v>Wed</v>
      </c>
      <c r="D626" s="22">
        <f>WEEKNUM(B626)</f>
        <v>29</v>
      </c>
      <c r="E626" s="22" t="str">
        <f>TEXT(B626,"mmm-yy")</f>
        <v>Jul-26</v>
      </c>
      <c r="F626" s="11" t="s">
        <v>10</v>
      </c>
      <c r="G626" s="24" t="str">
        <f>IFERROR(VLOOKUP(Table1[[#This Row],[Compressor]],$K$9:$L$18,2,FALSE),"0")</f>
        <v>H254805RT</v>
      </c>
      <c r="H626" s="25">
        <v>32</v>
      </c>
      <c r="I626" s="33"/>
    </row>
    <row r="627" spans="2:9" x14ac:dyDescent="0.3">
      <c r="B627" s="27">
        <v>46218</v>
      </c>
      <c r="C627" s="21" t="str">
        <f>TEXT(B627,"DDD")</f>
        <v>Wed</v>
      </c>
      <c r="D627" s="22">
        <f>WEEKNUM(B627)</f>
        <v>29</v>
      </c>
      <c r="E627" s="22" t="str">
        <f>TEXT(B627,"mmm-yy")</f>
        <v>Jul-26</v>
      </c>
      <c r="F627" s="11" t="s">
        <v>11</v>
      </c>
      <c r="G627" s="24" t="str">
        <f>IFERROR(VLOOKUP(Table1[[#This Row],[Compressor]],$K$9:$L$18,2,FALSE),"0")</f>
        <v>H254805HT</v>
      </c>
      <c r="H627" s="25">
        <v>32</v>
      </c>
      <c r="I627" s="33"/>
    </row>
    <row r="628" spans="2:9" x14ac:dyDescent="0.3">
      <c r="B628" s="27">
        <v>46218</v>
      </c>
      <c r="C628" s="21" t="str">
        <f>TEXT(B628,"DDD")</f>
        <v>Wed</v>
      </c>
      <c r="D628" s="22">
        <f>WEEKNUM(B628)</f>
        <v>29</v>
      </c>
      <c r="E628" s="22" t="str">
        <f>TEXT(B628,"mmm-yy")</f>
        <v>Jul-26</v>
      </c>
      <c r="F628" s="11" t="s">
        <v>12</v>
      </c>
      <c r="G628" s="24" t="str">
        <f>IFERROR(VLOOKUP(Table1[[#This Row],[Compressor]],$K$9:$L$18,2,FALSE),"0")</f>
        <v>H254803IH</v>
      </c>
      <c r="H628" s="25">
        <v>65</v>
      </c>
      <c r="I628" s="33"/>
    </row>
    <row r="629" spans="2:9" x14ac:dyDescent="0.3">
      <c r="B629" s="27">
        <v>46218</v>
      </c>
      <c r="C629" s="21" t="str">
        <f>TEXT(B629,"DDD")</f>
        <v>Wed</v>
      </c>
      <c r="D629" s="22">
        <f>WEEKNUM(B629)</f>
        <v>29</v>
      </c>
      <c r="E629" s="22" t="str">
        <f>TEXT(B629,"mmm-yy")</f>
        <v>Jul-26</v>
      </c>
      <c r="F629" s="11" t="s">
        <v>13</v>
      </c>
      <c r="G629" s="24" t="str">
        <f>IFERROR(VLOOKUP(Table1[[#This Row],[Compressor]],$K$9:$L$18,2,FALSE),"0")</f>
        <v>H254806XS</v>
      </c>
      <c r="H629" s="25">
        <v>124</v>
      </c>
      <c r="I629" s="33"/>
    </row>
    <row r="630" spans="2:9" x14ac:dyDescent="0.3">
      <c r="B630" s="27">
        <v>46218</v>
      </c>
      <c r="C630" s="21" t="str">
        <f>TEXT(B630,"DDD")</f>
        <v>Wed</v>
      </c>
      <c r="D630" s="22">
        <f>WEEKNUM(B630)</f>
        <v>29</v>
      </c>
      <c r="E630" s="22" t="str">
        <f>TEXT(B630,"mmm-yy")</f>
        <v>Jul-26</v>
      </c>
      <c r="F630" s="11" t="s">
        <v>14</v>
      </c>
      <c r="G630" s="24" t="str">
        <f>IFERROR(VLOOKUP(Table1[[#This Row],[Compressor]],$K$9:$L$18,2,FALSE),"0")</f>
        <v>H254803HV</v>
      </c>
      <c r="H630" s="25">
        <v>84</v>
      </c>
      <c r="I630" s="33"/>
    </row>
    <row r="631" spans="2:9" x14ac:dyDescent="0.3">
      <c r="B631" s="27">
        <v>46218</v>
      </c>
      <c r="C631" s="21" t="str">
        <f>TEXT(B631,"DDD")</f>
        <v>Wed</v>
      </c>
      <c r="D631" s="22">
        <f>WEEKNUM(B631)</f>
        <v>29</v>
      </c>
      <c r="E631" s="22" t="str">
        <f>TEXT(B631,"mmm-yy")</f>
        <v>Jul-26</v>
      </c>
      <c r="F631" s="11" t="s">
        <v>15</v>
      </c>
      <c r="G631" s="24" t="str">
        <f>IFERROR(VLOOKUP(Table1[[#This Row],[Compressor]],$K$9:$L$18,2,FALSE),"0")</f>
        <v>H254805HT</v>
      </c>
      <c r="H631" s="25">
        <v>148</v>
      </c>
      <c r="I631" s="33"/>
    </row>
    <row r="632" spans="2:9" x14ac:dyDescent="0.3">
      <c r="B632" s="27">
        <v>46218</v>
      </c>
      <c r="C632" s="21" t="str">
        <f>TEXT(B632,"DDD")</f>
        <v>Wed</v>
      </c>
      <c r="D632" s="22">
        <f>WEEKNUM(B632)</f>
        <v>29</v>
      </c>
      <c r="E632" s="22" t="str">
        <f>TEXT(B632,"mmm-yy")</f>
        <v>Jul-26</v>
      </c>
      <c r="F632" s="11" t="s">
        <v>16</v>
      </c>
      <c r="G632" s="24" t="str">
        <f>IFERROR(VLOOKUP(Table1[[#This Row],[Compressor]],$K$9:$L$18,2,FALSE),"0")</f>
        <v>H254805IL</v>
      </c>
      <c r="H632" s="25">
        <v>21</v>
      </c>
      <c r="I632" s="33"/>
    </row>
    <row r="633" spans="2:9" x14ac:dyDescent="0.3">
      <c r="B633" s="27">
        <v>46218</v>
      </c>
      <c r="C633" s="21" t="str">
        <f>TEXT(B633,"DDD")</f>
        <v>Wed</v>
      </c>
      <c r="D633" s="22">
        <f>WEEKNUM(B633)</f>
        <v>29</v>
      </c>
      <c r="E633" s="22" t="str">
        <f>TEXT(B633,"mmm-yy")</f>
        <v>Jul-26</v>
      </c>
      <c r="F633" s="11" t="s">
        <v>17</v>
      </c>
      <c r="G633" s="24" t="str">
        <f>IFERROR(VLOOKUP(Table1[[#This Row],[Compressor]],$K$9:$L$18,2,FALSE),"0")</f>
        <v>H254802IL</v>
      </c>
      <c r="H633" s="25">
        <v>3</v>
      </c>
      <c r="I633" s="33"/>
    </row>
    <row r="634" spans="2:9" x14ac:dyDescent="0.3">
      <c r="B634" s="27">
        <v>46219</v>
      </c>
      <c r="C634" s="21" t="str">
        <f>TEXT(B634,"DDD")</f>
        <v>Thu</v>
      </c>
      <c r="D634" s="22">
        <f>WEEKNUM(B634)</f>
        <v>29</v>
      </c>
      <c r="E634" s="22" t="str">
        <f>TEXT(B634,"mmm-yy")</f>
        <v>Jul-26</v>
      </c>
      <c r="F634" s="11" t="s">
        <v>8</v>
      </c>
      <c r="G634" s="24" t="str">
        <f>IFERROR(VLOOKUP(Table1[[#This Row],[Compressor]],$K$9:$L$18,2,FALSE),"0")</f>
        <v>H254805XS</v>
      </c>
      <c r="H634" s="25">
        <v>13</v>
      </c>
      <c r="I634" s="33"/>
    </row>
    <row r="635" spans="2:9" x14ac:dyDescent="0.3">
      <c r="B635" s="27">
        <v>46219</v>
      </c>
      <c r="C635" s="21" t="str">
        <f>TEXT(B635,"DDD")</f>
        <v>Thu</v>
      </c>
      <c r="D635" s="22">
        <f>WEEKNUM(B635)</f>
        <v>29</v>
      </c>
      <c r="E635" s="22" t="str">
        <f>TEXT(B635,"mmm-yy")</f>
        <v>Jul-26</v>
      </c>
      <c r="F635" s="11" t="s">
        <v>9</v>
      </c>
      <c r="G635" s="24" t="str">
        <f>IFERROR(VLOOKUP(Table1[[#This Row],[Compressor]],$K$9:$L$18,2,FALSE),"0")</f>
        <v>H254805AI</v>
      </c>
      <c r="H635" s="25">
        <v>32</v>
      </c>
      <c r="I635" s="33"/>
    </row>
    <row r="636" spans="2:9" x14ac:dyDescent="0.3">
      <c r="B636" s="27">
        <v>46219</v>
      </c>
      <c r="C636" s="21" t="str">
        <f>TEXT(B636,"DDD")</f>
        <v>Thu</v>
      </c>
      <c r="D636" s="22">
        <f>WEEKNUM(B636)</f>
        <v>29</v>
      </c>
      <c r="E636" s="22" t="str">
        <f>TEXT(B636,"mmm-yy")</f>
        <v>Jul-26</v>
      </c>
      <c r="F636" s="11" t="s">
        <v>10</v>
      </c>
      <c r="G636" s="24" t="str">
        <f>IFERROR(VLOOKUP(Table1[[#This Row],[Compressor]],$K$9:$L$18,2,FALSE),"0")</f>
        <v>H254805RT</v>
      </c>
      <c r="H636" s="25">
        <v>32</v>
      </c>
      <c r="I636" s="33"/>
    </row>
    <row r="637" spans="2:9" x14ac:dyDescent="0.3">
      <c r="B637" s="27">
        <v>46219</v>
      </c>
      <c r="C637" s="21" t="str">
        <f>TEXT(B637,"DDD")</f>
        <v>Thu</v>
      </c>
      <c r="D637" s="22">
        <f>WEEKNUM(B637)</f>
        <v>29</v>
      </c>
      <c r="E637" s="22" t="str">
        <f>TEXT(B637,"mmm-yy")</f>
        <v>Jul-26</v>
      </c>
      <c r="F637" s="11" t="s">
        <v>11</v>
      </c>
      <c r="G637" s="24" t="str">
        <f>IFERROR(VLOOKUP(Table1[[#This Row],[Compressor]],$K$9:$L$18,2,FALSE),"0")</f>
        <v>H254805HT</v>
      </c>
      <c r="H637" s="25">
        <v>32</v>
      </c>
      <c r="I637" s="33"/>
    </row>
    <row r="638" spans="2:9" x14ac:dyDescent="0.3">
      <c r="B638" s="27">
        <v>46219</v>
      </c>
      <c r="C638" s="21" t="str">
        <f>TEXT(B638,"DDD")</f>
        <v>Thu</v>
      </c>
      <c r="D638" s="22">
        <f>WEEKNUM(B638)</f>
        <v>29</v>
      </c>
      <c r="E638" s="22" t="str">
        <f>TEXT(B638,"mmm-yy")</f>
        <v>Jul-26</v>
      </c>
      <c r="F638" s="11" t="s">
        <v>12</v>
      </c>
      <c r="G638" s="24" t="str">
        <f>IFERROR(VLOOKUP(Table1[[#This Row],[Compressor]],$K$9:$L$18,2,FALSE),"0")</f>
        <v>H254803IH</v>
      </c>
      <c r="H638" s="25">
        <v>65</v>
      </c>
      <c r="I638" s="33"/>
    </row>
    <row r="639" spans="2:9" x14ac:dyDescent="0.3">
      <c r="B639" s="27">
        <v>46219</v>
      </c>
      <c r="C639" s="21" t="str">
        <f>TEXT(B639,"DDD")</f>
        <v>Thu</v>
      </c>
      <c r="D639" s="22">
        <f>WEEKNUM(B639)</f>
        <v>29</v>
      </c>
      <c r="E639" s="22" t="str">
        <f>TEXT(B639,"mmm-yy")</f>
        <v>Jul-26</v>
      </c>
      <c r="F639" s="11" t="s">
        <v>13</v>
      </c>
      <c r="G639" s="24" t="str">
        <f>IFERROR(VLOOKUP(Table1[[#This Row],[Compressor]],$K$9:$L$18,2,FALSE),"0")</f>
        <v>H254806XS</v>
      </c>
      <c r="H639" s="25">
        <v>124</v>
      </c>
      <c r="I639" s="33"/>
    </row>
    <row r="640" spans="2:9" x14ac:dyDescent="0.3">
      <c r="B640" s="27">
        <v>46219</v>
      </c>
      <c r="C640" s="21" t="str">
        <f>TEXT(B640,"DDD")</f>
        <v>Thu</v>
      </c>
      <c r="D640" s="22">
        <f>WEEKNUM(B640)</f>
        <v>29</v>
      </c>
      <c r="E640" s="22" t="str">
        <f>TEXT(B640,"mmm-yy")</f>
        <v>Jul-26</v>
      </c>
      <c r="F640" s="11" t="s">
        <v>14</v>
      </c>
      <c r="G640" s="24" t="str">
        <f>IFERROR(VLOOKUP(Table1[[#This Row],[Compressor]],$K$9:$L$18,2,FALSE),"0")</f>
        <v>H254803HV</v>
      </c>
      <c r="H640" s="25">
        <v>89</v>
      </c>
      <c r="I640" s="33"/>
    </row>
    <row r="641" spans="2:9" x14ac:dyDescent="0.3">
      <c r="B641" s="27">
        <v>46219</v>
      </c>
      <c r="C641" s="21" t="str">
        <f>TEXT(B641,"DDD")</f>
        <v>Thu</v>
      </c>
      <c r="D641" s="22">
        <f>WEEKNUM(B641)</f>
        <v>29</v>
      </c>
      <c r="E641" s="22" t="str">
        <f>TEXT(B641,"mmm-yy")</f>
        <v>Jul-26</v>
      </c>
      <c r="F641" s="11" t="s">
        <v>15</v>
      </c>
      <c r="G641" s="24" t="str">
        <f>IFERROR(VLOOKUP(Table1[[#This Row],[Compressor]],$K$9:$L$18,2,FALSE),"0")</f>
        <v>H254805HT</v>
      </c>
      <c r="H641" s="25">
        <v>148</v>
      </c>
      <c r="I641" s="33"/>
    </row>
    <row r="642" spans="2:9" x14ac:dyDescent="0.3">
      <c r="B642" s="27">
        <v>46219</v>
      </c>
      <c r="C642" s="21" t="str">
        <f>TEXT(B642,"DDD")</f>
        <v>Thu</v>
      </c>
      <c r="D642" s="22">
        <f>WEEKNUM(B642)</f>
        <v>29</v>
      </c>
      <c r="E642" s="22" t="str">
        <f>TEXT(B642,"mmm-yy")</f>
        <v>Jul-26</v>
      </c>
      <c r="F642" s="11" t="s">
        <v>16</v>
      </c>
      <c r="G642" s="24" t="str">
        <f>IFERROR(VLOOKUP(Table1[[#This Row],[Compressor]],$K$9:$L$18,2,FALSE),"0")</f>
        <v>H254805IL</v>
      </c>
      <c r="H642" s="25">
        <v>28</v>
      </c>
      <c r="I642" s="33"/>
    </row>
    <row r="643" spans="2:9" x14ac:dyDescent="0.3">
      <c r="B643" s="27">
        <v>46219</v>
      </c>
      <c r="C643" s="21" t="str">
        <f>TEXT(B643,"DDD")</f>
        <v>Thu</v>
      </c>
      <c r="D643" s="22">
        <f>WEEKNUM(B643)</f>
        <v>29</v>
      </c>
      <c r="E643" s="22" t="str">
        <f>TEXT(B643,"mmm-yy")</f>
        <v>Jul-26</v>
      </c>
      <c r="F643" s="11" t="s">
        <v>17</v>
      </c>
      <c r="G643" s="24" t="str">
        <f>IFERROR(VLOOKUP(Table1[[#This Row],[Compressor]],$K$9:$L$18,2,FALSE),"0")</f>
        <v>H254802IL</v>
      </c>
      <c r="H643" s="25">
        <v>3</v>
      </c>
      <c r="I643" s="33"/>
    </row>
    <row r="644" spans="2:9" x14ac:dyDescent="0.3">
      <c r="B644" s="27">
        <v>46220</v>
      </c>
      <c r="C644" s="21" t="str">
        <f>TEXT(B644,"DDD")</f>
        <v>Fri</v>
      </c>
      <c r="D644" s="22">
        <f>WEEKNUM(B644)</f>
        <v>29</v>
      </c>
      <c r="E644" s="22" t="str">
        <f>TEXT(B644,"mmm-yy")</f>
        <v>Jul-26</v>
      </c>
      <c r="F644" s="11" t="s">
        <v>8</v>
      </c>
      <c r="G644" s="24" t="str">
        <f>IFERROR(VLOOKUP(Table1[[#This Row],[Compressor]],$K$9:$L$18,2,FALSE),"0")</f>
        <v>H254805XS</v>
      </c>
      <c r="H644" s="25">
        <v>13</v>
      </c>
      <c r="I644" s="33"/>
    </row>
    <row r="645" spans="2:9" x14ac:dyDescent="0.3">
      <c r="B645" s="27">
        <v>46220</v>
      </c>
      <c r="C645" s="21" t="str">
        <f>TEXT(B645,"DDD")</f>
        <v>Fri</v>
      </c>
      <c r="D645" s="22">
        <f>WEEKNUM(B645)</f>
        <v>29</v>
      </c>
      <c r="E645" s="22" t="str">
        <f>TEXT(B645,"mmm-yy")</f>
        <v>Jul-26</v>
      </c>
      <c r="F645" s="11" t="s">
        <v>9</v>
      </c>
      <c r="G645" s="24" t="str">
        <f>IFERROR(VLOOKUP(Table1[[#This Row],[Compressor]],$K$9:$L$18,2,FALSE),"0")</f>
        <v>H254805AI</v>
      </c>
      <c r="H645" s="25">
        <v>32</v>
      </c>
      <c r="I645" s="33"/>
    </row>
    <row r="646" spans="2:9" x14ac:dyDescent="0.3">
      <c r="B646" s="27">
        <v>46220</v>
      </c>
      <c r="C646" s="21" t="str">
        <f>TEXT(B646,"DDD")</f>
        <v>Fri</v>
      </c>
      <c r="D646" s="22">
        <f>WEEKNUM(B646)</f>
        <v>29</v>
      </c>
      <c r="E646" s="22" t="str">
        <f>TEXT(B646,"mmm-yy")</f>
        <v>Jul-26</v>
      </c>
      <c r="F646" s="11" t="s">
        <v>10</v>
      </c>
      <c r="G646" s="24" t="str">
        <f>IFERROR(VLOOKUP(Table1[[#This Row],[Compressor]],$K$9:$L$18,2,FALSE),"0")</f>
        <v>H254805RT</v>
      </c>
      <c r="H646" s="25">
        <v>32</v>
      </c>
      <c r="I646" s="33"/>
    </row>
    <row r="647" spans="2:9" x14ac:dyDescent="0.3">
      <c r="B647" s="27">
        <v>46220</v>
      </c>
      <c r="C647" s="21" t="str">
        <f>TEXT(B647,"DDD")</f>
        <v>Fri</v>
      </c>
      <c r="D647" s="22">
        <f>WEEKNUM(B647)</f>
        <v>29</v>
      </c>
      <c r="E647" s="22" t="str">
        <f>TEXT(B647,"mmm-yy")</f>
        <v>Jul-26</v>
      </c>
      <c r="F647" s="11" t="s">
        <v>11</v>
      </c>
      <c r="G647" s="24" t="str">
        <f>IFERROR(VLOOKUP(Table1[[#This Row],[Compressor]],$K$9:$L$18,2,FALSE),"0")</f>
        <v>H254805HT</v>
      </c>
      <c r="H647" s="25">
        <v>32</v>
      </c>
      <c r="I647" s="33"/>
    </row>
    <row r="648" spans="2:9" x14ac:dyDescent="0.3">
      <c r="B648" s="27">
        <v>46220</v>
      </c>
      <c r="C648" s="21" t="str">
        <f>TEXT(B648,"DDD")</f>
        <v>Fri</v>
      </c>
      <c r="D648" s="22">
        <f>WEEKNUM(B648)</f>
        <v>29</v>
      </c>
      <c r="E648" s="22" t="str">
        <f>TEXT(B648,"mmm-yy")</f>
        <v>Jul-26</v>
      </c>
      <c r="F648" s="11" t="s">
        <v>12</v>
      </c>
      <c r="G648" s="24" t="str">
        <f>IFERROR(VLOOKUP(Table1[[#This Row],[Compressor]],$K$9:$L$18,2,FALSE),"0")</f>
        <v>H254803IH</v>
      </c>
      <c r="H648" s="25">
        <v>65</v>
      </c>
      <c r="I648" s="33"/>
    </row>
    <row r="649" spans="2:9" x14ac:dyDescent="0.3">
      <c r="B649" s="27">
        <v>46220</v>
      </c>
      <c r="C649" s="21" t="str">
        <f>TEXT(B649,"DDD")</f>
        <v>Fri</v>
      </c>
      <c r="D649" s="22">
        <f>WEEKNUM(B649)</f>
        <v>29</v>
      </c>
      <c r="E649" s="22" t="str">
        <f>TEXT(B649,"mmm-yy")</f>
        <v>Jul-26</v>
      </c>
      <c r="F649" s="11" t="s">
        <v>13</v>
      </c>
      <c r="G649" s="24" t="str">
        <f>IFERROR(VLOOKUP(Table1[[#This Row],[Compressor]],$K$9:$L$18,2,FALSE),"0")</f>
        <v>H254806XS</v>
      </c>
      <c r="H649" s="25">
        <v>124</v>
      </c>
      <c r="I649" s="33"/>
    </row>
    <row r="650" spans="2:9" x14ac:dyDescent="0.3">
      <c r="B650" s="27">
        <v>46220</v>
      </c>
      <c r="C650" s="21" t="str">
        <f>TEXT(B650,"DDD")</f>
        <v>Fri</v>
      </c>
      <c r="D650" s="22">
        <f>WEEKNUM(B650)</f>
        <v>29</v>
      </c>
      <c r="E650" s="22" t="str">
        <f>TEXT(B650,"mmm-yy")</f>
        <v>Jul-26</v>
      </c>
      <c r="F650" s="11" t="s">
        <v>14</v>
      </c>
      <c r="G650" s="24" t="str">
        <f>IFERROR(VLOOKUP(Table1[[#This Row],[Compressor]],$K$9:$L$18,2,FALSE),"0")</f>
        <v>H254803HV</v>
      </c>
      <c r="H650" s="25">
        <v>95</v>
      </c>
      <c r="I650" s="33"/>
    </row>
    <row r="651" spans="2:9" x14ac:dyDescent="0.3">
      <c r="B651" s="27">
        <v>46220</v>
      </c>
      <c r="C651" s="21" t="str">
        <f>TEXT(B651,"DDD")</f>
        <v>Fri</v>
      </c>
      <c r="D651" s="22">
        <f>WEEKNUM(B651)</f>
        <v>29</v>
      </c>
      <c r="E651" s="22" t="str">
        <f>TEXT(B651,"mmm-yy")</f>
        <v>Jul-26</v>
      </c>
      <c r="F651" s="11" t="s">
        <v>15</v>
      </c>
      <c r="G651" s="24" t="str">
        <f>IFERROR(VLOOKUP(Table1[[#This Row],[Compressor]],$K$9:$L$18,2,FALSE),"0")</f>
        <v>H254805HT</v>
      </c>
      <c r="H651" s="25">
        <v>150</v>
      </c>
      <c r="I651" s="33"/>
    </row>
    <row r="652" spans="2:9" x14ac:dyDescent="0.3">
      <c r="B652" s="27">
        <v>46220</v>
      </c>
      <c r="C652" s="21" t="str">
        <f>TEXT(B652,"DDD")</f>
        <v>Fri</v>
      </c>
      <c r="D652" s="22">
        <f>WEEKNUM(B652)</f>
        <v>29</v>
      </c>
      <c r="E652" s="22" t="str">
        <f>TEXT(B652,"mmm-yy")</f>
        <v>Jul-26</v>
      </c>
      <c r="F652" s="11" t="s">
        <v>16</v>
      </c>
      <c r="G652" s="24" t="str">
        <f>IFERROR(VLOOKUP(Table1[[#This Row],[Compressor]],$K$9:$L$18,2,FALSE),"0")</f>
        <v>H254805IL</v>
      </c>
      <c r="H652" s="25">
        <v>40</v>
      </c>
      <c r="I652" s="33"/>
    </row>
    <row r="653" spans="2:9" x14ac:dyDescent="0.3">
      <c r="B653" s="27">
        <v>46220</v>
      </c>
      <c r="C653" s="21" t="str">
        <f>TEXT(B653,"DDD")</f>
        <v>Fri</v>
      </c>
      <c r="D653" s="22">
        <f>WEEKNUM(B653)</f>
        <v>29</v>
      </c>
      <c r="E653" s="22" t="str">
        <f>TEXT(B653,"mmm-yy")</f>
        <v>Jul-26</v>
      </c>
      <c r="F653" s="11" t="s">
        <v>17</v>
      </c>
      <c r="G653" s="24" t="str">
        <f>IFERROR(VLOOKUP(Table1[[#This Row],[Compressor]],$K$9:$L$18,2,FALSE),"0")</f>
        <v>H254802IL</v>
      </c>
      <c r="H653" s="25">
        <v>8</v>
      </c>
      <c r="I653" s="33"/>
    </row>
    <row r="654" spans="2:9" x14ac:dyDescent="0.3">
      <c r="B654" s="34"/>
      <c r="C654" s="21" t="str">
        <f>TEXT(B654,"DDD")</f>
        <v>Sat</v>
      </c>
      <c r="D654" s="22">
        <f>WEEKNUM(B654)</f>
        <v>0</v>
      </c>
      <c r="E654" s="22" t="str">
        <f>TEXT(B654,"mmm-yy")</f>
        <v>Jan-00</v>
      </c>
      <c r="F654" s="23"/>
      <c r="G654" s="24" t="str">
        <f>IFERROR(VLOOKUP(Table1[[#This Row],[Compressor]],$K$9:$L$18,2,FALSE),"0")</f>
        <v>0</v>
      </c>
      <c r="H654" s="25"/>
      <c r="I654" s="33"/>
    </row>
    <row r="655" spans="2:9" x14ac:dyDescent="0.3">
      <c r="B655" s="34"/>
      <c r="C655" s="21" t="str">
        <f>TEXT(B655,"DDD")</f>
        <v>Sat</v>
      </c>
      <c r="D655" s="22">
        <f>WEEKNUM(B655)</f>
        <v>0</v>
      </c>
      <c r="E655" s="22" t="str">
        <f>TEXT(B655,"mmm-yy")</f>
        <v>Jan-00</v>
      </c>
      <c r="F655" s="23"/>
      <c r="G655" s="24" t="str">
        <f>IFERROR(VLOOKUP(Table1[[#This Row],[Compressor]],$K$9:$L$18,2,FALSE),"0")</f>
        <v>0</v>
      </c>
      <c r="H655" s="25"/>
      <c r="I655" s="33"/>
    </row>
    <row r="656" spans="2:9" x14ac:dyDescent="0.3">
      <c r="B656" s="34"/>
      <c r="C656" s="21" t="str">
        <f>TEXT(B656,"DDD")</f>
        <v>Sat</v>
      </c>
      <c r="D656" s="22">
        <f>WEEKNUM(B656)</f>
        <v>0</v>
      </c>
      <c r="E656" s="22" t="str">
        <f>TEXT(B656,"mmm-yy")</f>
        <v>Jan-00</v>
      </c>
      <c r="F656" s="23"/>
      <c r="G656" s="24" t="str">
        <f>IFERROR(VLOOKUP(Table1[[#This Row],[Compressor]],$K$9:$L$18,2,FALSE),"0")</f>
        <v>0</v>
      </c>
      <c r="H656" s="25"/>
      <c r="I656" s="33"/>
    </row>
    <row r="657" spans="2:9" x14ac:dyDescent="0.3">
      <c r="B657" s="34"/>
      <c r="C657" s="21" t="str">
        <f>TEXT(B657,"DDD")</f>
        <v>Sat</v>
      </c>
      <c r="D657" s="22">
        <f>WEEKNUM(B657)</f>
        <v>0</v>
      </c>
      <c r="E657" s="22" t="str">
        <f>TEXT(B657,"mmm-yy")</f>
        <v>Jan-00</v>
      </c>
      <c r="F657" s="23"/>
      <c r="G657" s="24" t="str">
        <f>IFERROR(VLOOKUP(Table1[[#This Row],[Compressor]],$K$9:$L$18,2,FALSE),"0")</f>
        <v>0</v>
      </c>
      <c r="H657" s="25"/>
      <c r="I657" s="33"/>
    </row>
    <row r="658" spans="2:9" x14ac:dyDescent="0.3">
      <c r="B658" s="34"/>
      <c r="C658" s="21" t="str">
        <f>TEXT(B658,"DDD")</f>
        <v>Sat</v>
      </c>
      <c r="D658" s="22">
        <f>WEEKNUM(B658)</f>
        <v>0</v>
      </c>
      <c r="E658" s="22" t="str">
        <f>TEXT(B658,"mmm-yy")</f>
        <v>Jan-00</v>
      </c>
      <c r="F658" s="23"/>
      <c r="G658" s="24" t="str">
        <f>IFERROR(VLOOKUP(Table1[[#This Row],[Compressor]],$K$9:$L$18,2,FALSE),"0")</f>
        <v>0</v>
      </c>
      <c r="H658" s="25"/>
      <c r="I658" s="33"/>
    </row>
    <row r="659" spans="2:9" x14ac:dyDescent="0.3">
      <c r="B659" s="34"/>
      <c r="C659" s="21" t="str">
        <f>TEXT(B659,"DDD")</f>
        <v>Sat</v>
      </c>
      <c r="D659" s="22">
        <f>WEEKNUM(B659)</f>
        <v>0</v>
      </c>
      <c r="E659" s="22" t="str">
        <f>TEXT(B659,"mmm-yy")</f>
        <v>Jan-00</v>
      </c>
      <c r="F659" s="23"/>
      <c r="G659" s="24" t="str">
        <f>IFERROR(VLOOKUP(Table1[[#This Row],[Compressor]],$K$9:$L$18,2,FALSE),"0")</f>
        <v>0</v>
      </c>
      <c r="H659" s="25"/>
      <c r="I659" s="33"/>
    </row>
    <row r="660" spans="2:9" x14ac:dyDescent="0.3">
      <c r="B660" s="34"/>
      <c r="C660" s="21" t="str">
        <f>TEXT(B660,"DDD")</f>
        <v>Sat</v>
      </c>
      <c r="D660" s="22">
        <f>WEEKNUM(B660)</f>
        <v>0</v>
      </c>
      <c r="E660" s="22" t="str">
        <f>TEXT(B660,"mmm-yy")</f>
        <v>Jan-00</v>
      </c>
      <c r="F660" s="23"/>
      <c r="G660" s="24" t="str">
        <f>IFERROR(VLOOKUP(Table1[[#This Row],[Compressor]],$K$9:$L$18,2,FALSE),"0")</f>
        <v>0</v>
      </c>
      <c r="H660" s="25"/>
      <c r="I660" s="33"/>
    </row>
    <row r="661" spans="2:9" x14ac:dyDescent="0.3">
      <c r="B661" s="34"/>
      <c r="C661" s="21" t="str">
        <f>TEXT(B661,"DDD")</f>
        <v>Sat</v>
      </c>
      <c r="D661" s="22">
        <f>WEEKNUM(B661)</f>
        <v>0</v>
      </c>
      <c r="E661" s="22" t="str">
        <f>TEXT(B661,"mmm-yy")</f>
        <v>Jan-00</v>
      </c>
      <c r="F661" s="23"/>
      <c r="G661" s="24" t="str">
        <f>IFERROR(VLOOKUP(Table1[[#This Row],[Compressor]],$K$9:$L$18,2,FALSE),"0")</f>
        <v>0</v>
      </c>
      <c r="H661" s="25"/>
      <c r="I661" s="33"/>
    </row>
    <row r="662" spans="2:9" x14ac:dyDescent="0.3">
      <c r="B662" s="34"/>
      <c r="C662" s="21" t="str">
        <f>TEXT(B662,"DDD")</f>
        <v>Sat</v>
      </c>
      <c r="D662" s="22">
        <f>WEEKNUM(B662)</f>
        <v>0</v>
      </c>
      <c r="E662" s="22" t="str">
        <f>TEXT(B662,"mmm-yy")</f>
        <v>Jan-00</v>
      </c>
      <c r="F662" s="23"/>
      <c r="G662" s="24" t="str">
        <f>IFERROR(VLOOKUP(Table1[[#This Row],[Compressor]],$K$9:$L$18,2,FALSE),"0")</f>
        <v>0</v>
      </c>
      <c r="H662" s="25"/>
      <c r="I662" s="33"/>
    </row>
    <row r="663" spans="2:9" x14ac:dyDescent="0.3">
      <c r="B663" s="34"/>
      <c r="C663" s="21" t="str">
        <f>TEXT(B663,"DDD")</f>
        <v>Sat</v>
      </c>
      <c r="D663" s="22">
        <f>WEEKNUM(B663)</f>
        <v>0</v>
      </c>
      <c r="E663" s="22" t="str">
        <f>TEXT(B663,"mmm-yy")</f>
        <v>Jan-00</v>
      </c>
      <c r="F663" s="23"/>
      <c r="G663" s="24" t="str">
        <f>IFERROR(VLOOKUP(Table1[[#This Row],[Compressor]],$K$9:$L$18,2,FALSE),"0")</f>
        <v>0</v>
      </c>
      <c r="H663" s="25"/>
      <c r="I663" s="33"/>
    </row>
    <row r="664" spans="2:9" x14ac:dyDescent="0.3">
      <c r="B664" s="34"/>
      <c r="C664" s="21" t="str">
        <f>TEXT(B664,"DDD")</f>
        <v>Sat</v>
      </c>
      <c r="D664" s="22">
        <f>WEEKNUM(B664)</f>
        <v>0</v>
      </c>
      <c r="E664" s="22" t="str">
        <f>TEXT(B664,"mmm-yy")</f>
        <v>Jan-00</v>
      </c>
      <c r="F664" s="23"/>
      <c r="G664" s="24" t="str">
        <f>IFERROR(VLOOKUP(Table1[[#This Row],[Compressor]],$K$9:$L$18,2,FALSE),"0")</f>
        <v>0</v>
      </c>
      <c r="H664" s="25"/>
      <c r="I664" s="33"/>
    </row>
    <row r="665" spans="2:9" x14ac:dyDescent="0.3">
      <c r="B665" s="34"/>
      <c r="C665" s="21" t="str">
        <f>TEXT(B665,"DDD")</f>
        <v>Sat</v>
      </c>
      <c r="D665" s="22">
        <f>WEEKNUM(B665)</f>
        <v>0</v>
      </c>
      <c r="E665" s="22" t="str">
        <f>TEXT(B665,"mmm-yy")</f>
        <v>Jan-00</v>
      </c>
      <c r="F665" s="23"/>
      <c r="G665" s="24" t="str">
        <f>IFERROR(VLOOKUP(Table1[[#This Row],[Compressor]],$K$9:$L$18,2,FALSE),"0")</f>
        <v>0</v>
      </c>
      <c r="H665" s="25"/>
      <c r="I665" s="33"/>
    </row>
    <row r="666" spans="2:9" x14ac:dyDescent="0.3">
      <c r="B666" s="34"/>
      <c r="C666" s="21" t="str">
        <f>TEXT(B666,"DDD")</f>
        <v>Sat</v>
      </c>
      <c r="D666" s="22">
        <f>WEEKNUM(B666)</f>
        <v>0</v>
      </c>
      <c r="E666" s="22" t="str">
        <f>TEXT(B666,"mmm-yy")</f>
        <v>Jan-00</v>
      </c>
      <c r="F666" s="23"/>
      <c r="G666" s="24" t="str">
        <f>IFERROR(VLOOKUP(Table1[[#This Row],[Compressor]],$K$9:$L$18,2,FALSE),"0")</f>
        <v>0</v>
      </c>
      <c r="H666" s="25"/>
      <c r="I666" s="33"/>
    </row>
    <row r="667" spans="2:9" x14ac:dyDescent="0.3">
      <c r="B667" s="34"/>
      <c r="C667" s="21" t="str">
        <f>TEXT(B667,"DDD")</f>
        <v>Sat</v>
      </c>
      <c r="D667" s="22">
        <f>WEEKNUM(B667)</f>
        <v>0</v>
      </c>
      <c r="E667" s="22" t="str">
        <f>TEXT(B667,"mmm-yy")</f>
        <v>Jan-00</v>
      </c>
      <c r="F667" s="23"/>
      <c r="G667" s="24" t="str">
        <f>IFERROR(VLOOKUP(Table1[[#This Row],[Compressor]],$K$9:$L$18,2,FALSE),"0")</f>
        <v>0</v>
      </c>
      <c r="H667" s="25"/>
      <c r="I667" s="33"/>
    </row>
    <row r="668" spans="2:9" x14ac:dyDescent="0.3">
      <c r="B668" s="34"/>
      <c r="C668" s="21" t="str">
        <f>TEXT(B668,"DDD")</f>
        <v>Sat</v>
      </c>
      <c r="D668" s="22">
        <f>WEEKNUM(B668)</f>
        <v>0</v>
      </c>
      <c r="E668" s="22" t="str">
        <f>TEXT(B668,"mmm-yy")</f>
        <v>Jan-00</v>
      </c>
      <c r="F668" s="23"/>
      <c r="G668" s="24" t="str">
        <f>IFERROR(VLOOKUP(Table1[[#This Row],[Compressor]],$K$9:$L$18,2,FALSE),"0")</f>
        <v>0</v>
      </c>
      <c r="H668" s="25"/>
      <c r="I668" s="33"/>
    </row>
    <row r="669" spans="2:9" x14ac:dyDescent="0.3">
      <c r="B669" s="34"/>
      <c r="C669" s="21" t="str">
        <f>TEXT(B669,"DDD")</f>
        <v>Sat</v>
      </c>
      <c r="D669" s="22">
        <f>WEEKNUM(B669)</f>
        <v>0</v>
      </c>
      <c r="E669" s="22" t="str">
        <f>TEXT(B669,"mmm-yy")</f>
        <v>Jan-00</v>
      </c>
      <c r="F669" s="23"/>
      <c r="G669" s="24" t="str">
        <f>IFERROR(VLOOKUP(Table1[[#This Row],[Compressor]],$K$9:$L$18,2,FALSE),"0")</f>
        <v>0</v>
      </c>
      <c r="H669" s="25"/>
      <c r="I669" s="33"/>
    </row>
    <row r="670" spans="2:9" x14ac:dyDescent="0.3">
      <c r="B670" s="34"/>
      <c r="C670" s="21" t="str">
        <f>TEXT(B670,"DDD")</f>
        <v>Sat</v>
      </c>
      <c r="D670" s="22">
        <f>WEEKNUM(B670)</f>
        <v>0</v>
      </c>
      <c r="E670" s="22" t="str">
        <f>TEXT(B670,"mmm-yy")</f>
        <v>Jan-00</v>
      </c>
      <c r="F670" s="23"/>
      <c r="G670" s="24" t="str">
        <f>IFERROR(VLOOKUP(Table1[[#This Row],[Compressor]],$K$9:$L$18,2,FALSE),"0")</f>
        <v>0</v>
      </c>
      <c r="H670" s="25"/>
      <c r="I670" s="33"/>
    </row>
    <row r="671" spans="2:9" x14ac:dyDescent="0.3">
      <c r="B671" s="34"/>
      <c r="C671" s="21" t="str">
        <f>TEXT(B671,"DDD")</f>
        <v>Sat</v>
      </c>
      <c r="D671" s="22">
        <f>WEEKNUM(B671)</f>
        <v>0</v>
      </c>
      <c r="E671" s="22" t="str">
        <f>TEXT(B671,"mmm-yy")</f>
        <v>Jan-00</v>
      </c>
      <c r="F671" s="23"/>
      <c r="G671" s="24" t="str">
        <f>IFERROR(VLOOKUP(Table1[[#This Row],[Compressor]],$K$9:$L$18,2,FALSE),"0")</f>
        <v>0</v>
      </c>
      <c r="H671" s="25"/>
      <c r="I671" s="33"/>
    </row>
    <row r="672" spans="2:9" x14ac:dyDescent="0.3">
      <c r="B672" s="34"/>
      <c r="C672" s="21" t="str">
        <f>TEXT(B672,"DDD")</f>
        <v>Sat</v>
      </c>
      <c r="D672" s="22">
        <f>WEEKNUM(B672)</f>
        <v>0</v>
      </c>
      <c r="E672" s="22" t="str">
        <f>TEXT(B672,"mmm-yy")</f>
        <v>Jan-00</v>
      </c>
      <c r="F672" s="23"/>
      <c r="G672" s="24" t="str">
        <f>IFERROR(VLOOKUP(Table1[[#This Row],[Compressor]],$K$9:$L$18,2,FALSE),"0")</f>
        <v>0</v>
      </c>
      <c r="H672" s="25"/>
      <c r="I672" s="33"/>
    </row>
    <row r="673" spans="2:9" x14ac:dyDescent="0.3">
      <c r="B673" s="34"/>
      <c r="C673" s="21" t="str">
        <f>TEXT(B673,"DDD")</f>
        <v>Sat</v>
      </c>
      <c r="D673" s="22">
        <f>WEEKNUM(B673)</f>
        <v>0</v>
      </c>
      <c r="E673" s="22" t="str">
        <f>TEXT(B673,"mmm-yy")</f>
        <v>Jan-00</v>
      </c>
      <c r="F673" s="23"/>
      <c r="G673" s="24" t="str">
        <f>IFERROR(VLOOKUP(Table1[[#This Row],[Compressor]],$K$9:$L$18,2,FALSE),"0")</f>
        <v>0</v>
      </c>
      <c r="H673" s="25"/>
      <c r="I673" s="33"/>
    </row>
    <row r="674" spans="2:9" x14ac:dyDescent="0.3">
      <c r="B674" s="34"/>
      <c r="C674" s="21" t="str">
        <f>TEXT(B674,"DDD")</f>
        <v>Sat</v>
      </c>
      <c r="D674" s="22">
        <f>WEEKNUM(B674)</f>
        <v>0</v>
      </c>
      <c r="E674" s="22" t="str">
        <f>TEXT(B674,"mmm-yy")</f>
        <v>Jan-00</v>
      </c>
      <c r="F674" s="23"/>
      <c r="G674" s="24" t="str">
        <f>IFERROR(VLOOKUP(Table1[[#This Row],[Compressor]],$K$9:$L$18,2,FALSE),"0")</f>
        <v>0</v>
      </c>
      <c r="H674" s="25"/>
      <c r="I674" s="33"/>
    </row>
    <row r="675" spans="2:9" x14ac:dyDescent="0.3">
      <c r="B675" s="34"/>
      <c r="C675" s="21" t="str">
        <f>TEXT(B675,"DDD")</f>
        <v>Sat</v>
      </c>
      <c r="D675" s="22">
        <f>WEEKNUM(B675)</f>
        <v>0</v>
      </c>
      <c r="E675" s="22" t="str">
        <f>TEXT(B675,"mmm-yy")</f>
        <v>Jan-00</v>
      </c>
      <c r="F675" s="23"/>
      <c r="G675" s="24" t="str">
        <f>IFERROR(VLOOKUP(Table1[[#This Row],[Compressor]],$K$9:$L$18,2,FALSE),"0")</f>
        <v>0</v>
      </c>
      <c r="H675" s="25"/>
      <c r="I675" s="33"/>
    </row>
    <row r="676" spans="2:9" x14ac:dyDescent="0.3">
      <c r="B676" s="34"/>
      <c r="C676" s="21" t="str">
        <f>TEXT(B676,"DDD")</f>
        <v>Sat</v>
      </c>
      <c r="D676" s="22">
        <f>WEEKNUM(B676)</f>
        <v>0</v>
      </c>
      <c r="E676" s="22" t="str">
        <f>TEXT(B676,"mmm-yy")</f>
        <v>Jan-00</v>
      </c>
      <c r="F676" s="23"/>
      <c r="G676" s="24" t="str">
        <f>IFERROR(VLOOKUP(Table1[[#This Row],[Compressor]],$K$9:$L$18,2,FALSE),"0")</f>
        <v>0</v>
      </c>
      <c r="H676" s="25"/>
      <c r="I676" s="33"/>
    </row>
    <row r="677" spans="2:9" x14ac:dyDescent="0.3">
      <c r="B677" s="34"/>
      <c r="C677" s="21" t="str">
        <f>TEXT(B677,"DDD")</f>
        <v>Sat</v>
      </c>
      <c r="D677" s="22">
        <f>WEEKNUM(B677)</f>
        <v>0</v>
      </c>
      <c r="E677" s="22" t="str">
        <f>TEXT(B677,"mmm-yy")</f>
        <v>Jan-00</v>
      </c>
      <c r="F677" s="23"/>
      <c r="G677" s="24" t="str">
        <f>IFERROR(VLOOKUP(Table1[[#This Row],[Compressor]],$K$9:$L$18,2,FALSE),"0")</f>
        <v>0</v>
      </c>
      <c r="H677" s="25"/>
      <c r="I677" s="33"/>
    </row>
    <row r="678" spans="2:9" x14ac:dyDescent="0.3">
      <c r="B678" s="34"/>
      <c r="C678" s="21" t="str">
        <f>TEXT(B678,"DDD")</f>
        <v>Sat</v>
      </c>
      <c r="D678" s="22">
        <f>WEEKNUM(B678)</f>
        <v>0</v>
      </c>
      <c r="E678" s="22" t="str">
        <f>TEXT(B678,"mmm-yy")</f>
        <v>Jan-00</v>
      </c>
      <c r="F678" s="23"/>
      <c r="G678" s="24" t="str">
        <f>IFERROR(VLOOKUP(Table1[[#This Row],[Compressor]],$K$9:$L$18,2,FALSE),"0")</f>
        <v>0</v>
      </c>
      <c r="H678" s="25"/>
      <c r="I678" s="33"/>
    </row>
    <row r="679" spans="2:9" x14ac:dyDescent="0.3">
      <c r="B679" s="34"/>
      <c r="C679" s="21" t="str">
        <f>TEXT(B679,"DDD")</f>
        <v>Sat</v>
      </c>
      <c r="D679" s="22">
        <f>WEEKNUM(B679)</f>
        <v>0</v>
      </c>
      <c r="E679" s="22" t="str">
        <f>TEXT(B679,"mmm-yy")</f>
        <v>Jan-00</v>
      </c>
      <c r="F679" s="23"/>
      <c r="G679" s="24" t="str">
        <f>IFERROR(VLOOKUP(Table1[[#This Row],[Compressor]],$K$9:$L$18,2,FALSE),"0")</f>
        <v>0</v>
      </c>
      <c r="H679" s="25"/>
      <c r="I679" s="33"/>
    </row>
    <row r="680" spans="2:9" x14ac:dyDescent="0.3">
      <c r="B680" s="34"/>
      <c r="C680" s="21" t="str">
        <f>TEXT(B680,"DDD")</f>
        <v>Sat</v>
      </c>
      <c r="D680" s="22">
        <f>WEEKNUM(B680)</f>
        <v>0</v>
      </c>
      <c r="E680" s="22" t="str">
        <f>TEXT(B680,"mmm-yy")</f>
        <v>Jan-00</v>
      </c>
      <c r="F680" s="23"/>
      <c r="G680" s="24" t="str">
        <f>IFERROR(VLOOKUP(Table1[[#This Row],[Compressor]],$K$9:$L$18,2,FALSE),"0")</f>
        <v>0</v>
      </c>
      <c r="H680" s="25"/>
      <c r="I680" s="33"/>
    </row>
    <row r="681" spans="2:9" x14ac:dyDescent="0.3">
      <c r="B681" s="34"/>
      <c r="C681" s="21" t="str">
        <f>TEXT(B681,"DDD")</f>
        <v>Sat</v>
      </c>
      <c r="D681" s="22">
        <f>WEEKNUM(B681)</f>
        <v>0</v>
      </c>
      <c r="E681" s="22" t="str">
        <f>TEXT(B681,"mmm-yy")</f>
        <v>Jan-00</v>
      </c>
      <c r="F681" s="23"/>
      <c r="G681" s="24" t="str">
        <f>IFERROR(VLOOKUP(Table1[[#This Row],[Compressor]],$K$9:$L$18,2,FALSE),"0")</f>
        <v>0</v>
      </c>
      <c r="H681" s="25"/>
      <c r="I681" s="33"/>
    </row>
    <row r="682" spans="2:9" x14ac:dyDescent="0.3">
      <c r="B682" s="34"/>
      <c r="C682" s="21" t="str">
        <f>TEXT(B682,"DDD")</f>
        <v>Sat</v>
      </c>
      <c r="D682" s="22">
        <f>WEEKNUM(B682)</f>
        <v>0</v>
      </c>
      <c r="E682" s="22" t="str">
        <f>TEXT(B682,"mmm-yy")</f>
        <v>Jan-00</v>
      </c>
      <c r="F682" s="23"/>
      <c r="G682" s="24" t="str">
        <f>IFERROR(VLOOKUP(Table1[[#This Row],[Compressor]],$K$9:$L$18,2,FALSE),"0")</f>
        <v>0</v>
      </c>
      <c r="H682" s="25"/>
      <c r="I682" s="33"/>
    </row>
    <row r="683" spans="2:9" x14ac:dyDescent="0.3">
      <c r="B683" s="34"/>
      <c r="C683" s="21" t="str">
        <f>TEXT(B683,"DDD")</f>
        <v>Sat</v>
      </c>
      <c r="D683" s="22">
        <f>WEEKNUM(B683)</f>
        <v>0</v>
      </c>
      <c r="E683" s="22" t="str">
        <f>TEXT(B683,"mmm-yy")</f>
        <v>Jan-00</v>
      </c>
      <c r="F683" s="23"/>
      <c r="G683" s="24" t="str">
        <f>IFERROR(VLOOKUP(Table1[[#This Row],[Compressor]],$K$9:$L$18,2,FALSE),"0")</f>
        <v>0</v>
      </c>
      <c r="H683" s="25"/>
      <c r="I683" s="33"/>
    </row>
    <row r="684" spans="2:9" x14ac:dyDescent="0.3">
      <c r="B684" s="34"/>
      <c r="C684" s="21" t="str">
        <f>TEXT(B684,"DDD")</f>
        <v>Sat</v>
      </c>
      <c r="D684" s="22">
        <f>WEEKNUM(B684)</f>
        <v>0</v>
      </c>
      <c r="E684" s="22" t="str">
        <f>TEXT(B684,"mmm-yy")</f>
        <v>Jan-00</v>
      </c>
      <c r="F684" s="23"/>
      <c r="G684" s="24" t="str">
        <f>IFERROR(VLOOKUP(Table1[[#This Row],[Compressor]],$K$9:$L$18,2,FALSE),"0")</f>
        <v>0</v>
      </c>
      <c r="H684" s="25"/>
      <c r="I684" s="33"/>
    </row>
    <row r="685" spans="2:9" x14ac:dyDescent="0.3">
      <c r="B685" s="34"/>
      <c r="C685" s="21" t="str">
        <f>TEXT(B685,"DDD")</f>
        <v>Sat</v>
      </c>
      <c r="D685" s="22">
        <f>WEEKNUM(B685)</f>
        <v>0</v>
      </c>
      <c r="E685" s="22" t="str">
        <f>TEXT(B685,"mmm-yy")</f>
        <v>Jan-00</v>
      </c>
      <c r="F685" s="23"/>
      <c r="G685" s="24" t="str">
        <f>IFERROR(VLOOKUP(Table1[[#This Row],[Compressor]],$K$9:$L$18,2,FALSE),"0")</f>
        <v>0</v>
      </c>
      <c r="H685" s="25"/>
      <c r="I685" s="33"/>
    </row>
    <row r="686" spans="2:9" x14ac:dyDescent="0.3">
      <c r="B686" s="34"/>
      <c r="C686" s="21" t="str">
        <f>TEXT(B686,"DDD")</f>
        <v>Sat</v>
      </c>
      <c r="D686" s="22">
        <f>WEEKNUM(B686)</f>
        <v>0</v>
      </c>
      <c r="E686" s="22" t="str">
        <f>TEXT(B686,"mmm-yy")</f>
        <v>Jan-00</v>
      </c>
      <c r="F686" s="23"/>
      <c r="G686" s="24" t="str">
        <f>IFERROR(VLOOKUP(Table1[[#This Row],[Compressor]],$K$9:$L$18,2,FALSE),"0")</f>
        <v>0</v>
      </c>
      <c r="H686" s="25"/>
      <c r="I686" s="33"/>
    </row>
    <row r="687" spans="2:9" x14ac:dyDescent="0.3">
      <c r="B687" s="34"/>
      <c r="C687" s="21" t="str">
        <f>TEXT(B687,"DDD")</f>
        <v>Sat</v>
      </c>
      <c r="D687" s="22">
        <f>WEEKNUM(B687)</f>
        <v>0</v>
      </c>
      <c r="E687" s="22" t="str">
        <f>TEXT(B687,"mmm-yy")</f>
        <v>Jan-00</v>
      </c>
      <c r="F687" s="23"/>
      <c r="G687" s="24" t="str">
        <f>IFERROR(VLOOKUP(Table1[[#This Row],[Compressor]],$K$9:$L$18,2,FALSE),"0")</f>
        <v>0</v>
      </c>
      <c r="H687" s="25"/>
      <c r="I687" s="33"/>
    </row>
    <row r="688" spans="2:9" x14ac:dyDescent="0.3">
      <c r="B688" s="34"/>
      <c r="C688" s="21" t="str">
        <f>TEXT(B688,"DDD")</f>
        <v>Sat</v>
      </c>
      <c r="D688" s="22">
        <f>WEEKNUM(B688)</f>
        <v>0</v>
      </c>
      <c r="E688" s="22" t="str">
        <f>TEXT(B688,"mmm-yy")</f>
        <v>Jan-00</v>
      </c>
      <c r="F688" s="23"/>
      <c r="G688" s="24" t="str">
        <f>IFERROR(VLOOKUP(Table1[[#This Row],[Compressor]],$K$9:$L$18,2,FALSE),"0")</f>
        <v>0</v>
      </c>
      <c r="H688" s="25"/>
      <c r="I688" s="33"/>
    </row>
    <row r="689" spans="2:9" x14ac:dyDescent="0.3">
      <c r="B689" s="34"/>
      <c r="C689" s="21" t="str">
        <f>TEXT(B689,"DDD")</f>
        <v>Sat</v>
      </c>
      <c r="D689" s="22">
        <f>WEEKNUM(B689)</f>
        <v>0</v>
      </c>
      <c r="E689" s="22" t="str">
        <f>TEXT(B689,"mmm-yy")</f>
        <v>Jan-00</v>
      </c>
      <c r="F689" s="23"/>
      <c r="G689" s="24" t="str">
        <f>IFERROR(VLOOKUP(Table1[[#This Row],[Compressor]],$K$9:$L$18,2,FALSE),"0")</f>
        <v>0</v>
      </c>
      <c r="H689" s="25"/>
      <c r="I689" s="33"/>
    </row>
    <row r="690" spans="2:9" x14ac:dyDescent="0.3">
      <c r="B690" s="34"/>
      <c r="C690" s="21" t="str">
        <f>TEXT(B690,"DDD")</f>
        <v>Sat</v>
      </c>
      <c r="D690" s="22">
        <f>WEEKNUM(B690)</f>
        <v>0</v>
      </c>
      <c r="E690" s="22" t="str">
        <f>TEXT(B690,"mmm-yy")</f>
        <v>Jan-00</v>
      </c>
      <c r="F690" s="23"/>
      <c r="G690" s="24" t="str">
        <f>IFERROR(VLOOKUP(Table1[[#This Row],[Compressor]],$K$9:$L$18,2,FALSE),"0")</f>
        <v>0</v>
      </c>
      <c r="H690" s="25"/>
      <c r="I690" s="33"/>
    </row>
    <row r="691" spans="2:9" x14ac:dyDescent="0.3">
      <c r="B691" s="34"/>
      <c r="C691" s="21" t="str">
        <f>TEXT(B691,"DDD")</f>
        <v>Sat</v>
      </c>
      <c r="D691" s="22">
        <f>WEEKNUM(B691)</f>
        <v>0</v>
      </c>
      <c r="E691" s="22" t="str">
        <f>TEXT(B691,"mmm-yy")</f>
        <v>Jan-00</v>
      </c>
      <c r="F691" s="23"/>
      <c r="G691" s="24" t="str">
        <f>IFERROR(VLOOKUP(Table1[[#This Row],[Compressor]],$K$9:$L$18,2,FALSE),"0")</f>
        <v>0</v>
      </c>
      <c r="H691" s="25"/>
      <c r="I691" s="33"/>
    </row>
    <row r="692" spans="2:9" x14ac:dyDescent="0.3">
      <c r="B692" s="34"/>
      <c r="C692" s="21" t="str">
        <f>TEXT(B692,"DDD")</f>
        <v>Sat</v>
      </c>
      <c r="D692" s="22">
        <f>WEEKNUM(B692)</f>
        <v>0</v>
      </c>
      <c r="E692" s="22" t="str">
        <f>TEXT(B692,"mmm-yy")</f>
        <v>Jan-00</v>
      </c>
      <c r="F692" s="23"/>
      <c r="G692" s="24" t="str">
        <f>IFERROR(VLOOKUP(Table1[[#This Row],[Compressor]],$K$9:$L$18,2,FALSE),"0")</f>
        <v>0</v>
      </c>
      <c r="H692" s="25"/>
      <c r="I692" s="33"/>
    </row>
    <row r="693" spans="2:9" x14ac:dyDescent="0.3">
      <c r="B693" s="34"/>
      <c r="C693" s="21" t="str">
        <f>TEXT(B693,"DDD")</f>
        <v>Sat</v>
      </c>
      <c r="D693" s="22">
        <f>WEEKNUM(B693)</f>
        <v>0</v>
      </c>
      <c r="E693" s="22" t="str">
        <f>TEXT(B693,"mmm-yy")</f>
        <v>Jan-00</v>
      </c>
      <c r="F693" s="23"/>
      <c r="G693" s="24" t="str">
        <f>IFERROR(VLOOKUP(Table1[[#This Row],[Compressor]],$K$9:$L$18,2,FALSE),"0")</f>
        <v>0</v>
      </c>
      <c r="H693" s="25"/>
      <c r="I693" s="33"/>
    </row>
    <row r="694" spans="2:9" x14ac:dyDescent="0.3">
      <c r="B694" s="34"/>
      <c r="C694" s="21" t="str">
        <f>TEXT(B694,"DDD")</f>
        <v>Sat</v>
      </c>
      <c r="D694" s="22">
        <f>WEEKNUM(B694)</f>
        <v>0</v>
      </c>
      <c r="E694" s="22" t="str">
        <f>TEXT(B694,"mmm-yy")</f>
        <v>Jan-00</v>
      </c>
      <c r="F694" s="23"/>
      <c r="G694" s="24" t="str">
        <f>IFERROR(VLOOKUP(Table1[[#This Row],[Compressor]],$K$9:$L$18,2,FALSE),"0")</f>
        <v>0</v>
      </c>
      <c r="H694" s="25"/>
      <c r="I694" s="33"/>
    </row>
    <row r="695" spans="2:9" x14ac:dyDescent="0.3">
      <c r="B695" s="34"/>
      <c r="C695" s="21" t="str">
        <f>TEXT(B695,"DDD")</f>
        <v>Sat</v>
      </c>
      <c r="D695" s="22">
        <f>WEEKNUM(B695)</f>
        <v>0</v>
      </c>
      <c r="E695" s="22" t="str">
        <f>TEXT(B695,"mmm-yy")</f>
        <v>Jan-00</v>
      </c>
      <c r="F695" s="23"/>
      <c r="G695" s="24" t="str">
        <f>IFERROR(VLOOKUP(Table1[[#This Row],[Compressor]],$K$9:$L$18,2,FALSE),"0")</f>
        <v>0</v>
      </c>
      <c r="H695" s="25"/>
      <c r="I695" s="33"/>
    </row>
    <row r="696" spans="2:9" x14ac:dyDescent="0.3">
      <c r="B696" s="34"/>
      <c r="C696" s="21" t="str">
        <f>TEXT(B696,"DDD")</f>
        <v>Sat</v>
      </c>
      <c r="D696" s="22">
        <f>WEEKNUM(B696)</f>
        <v>0</v>
      </c>
      <c r="E696" s="22" t="str">
        <f>TEXT(B696,"mmm-yy")</f>
        <v>Jan-00</v>
      </c>
      <c r="F696" s="23"/>
      <c r="G696" s="24" t="str">
        <f>IFERROR(VLOOKUP(Table1[[#This Row],[Compressor]],$K$9:$L$18,2,FALSE),"0")</f>
        <v>0</v>
      </c>
      <c r="H696" s="25"/>
      <c r="I696" s="33"/>
    </row>
    <row r="697" spans="2:9" x14ac:dyDescent="0.3">
      <c r="B697" s="34"/>
      <c r="C697" s="21" t="str">
        <f>TEXT(B697,"DDD")</f>
        <v>Sat</v>
      </c>
      <c r="D697" s="22">
        <f>WEEKNUM(B697)</f>
        <v>0</v>
      </c>
      <c r="E697" s="22" t="str">
        <f>TEXT(B697,"mmm-yy")</f>
        <v>Jan-00</v>
      </c>
      <c r="F697" s="23"/>
      <c r="G697" s="24" t="str">
        <f>IFERROR(VLOOKUP(Table1[[#This Row],[Compressor]],$K$9:$L$18,2,FALSE),"0")</f>
        <v>0</v>
      </c>
      <c r="H697" s="25"/>
      <c r="I697" s="33"/>
    </row>
    <row r="698" spans="2:9" x14ac:dyDescent="0.3">
      <c r="B698" s="34"/>
      <c r="C698" s="21" t="str">
        <f>TEXT(B698,"DDD")</f>
        <v>Sat</v>
      </c>
      <c r="D698" s="22">
        <f>WEEKNUM(B698)</f>
        <v>0</v>
      </c>
      <c r="E698" s="22" t="str">
        <f>TEXT(B698,"mmm-yy")</f>
        <v>Jan-00</v>
      </c>
      <c r="F698" s="23"/>
      <c r="G698" s="24" t="str">
        <f>IFERROR(VLOOKUP(Table1[[#This Row],[Compressor]],$K$9:$L$18,2,FALSE),"0")</f>
        <v>0</v>
      </c>
      <c r="H698" s="25"/>
      <c r="I698" s="33"/>
    </row>
    <row r="699" spans="2:9" x14ac:dyDescent="0.3">
      <c r="B699" s="34"/>
      <c r="C699" s="21" t="str">
        <f>TEXT(B699,"DDD")</f>
        <v>Sat</v>
      </c>
      <c r="D699" s="22">
        <f>WEEKNUM(B699)</f>
        <v>0</v>
      </c>
      <c r="E699" s="22" t="str">
        <f>TEXT(B699,"mmm-yy")</f>
        <v>Jan-00</v>
      </c>
      <c r="F699" s="23"/>
      <c r="G699" s="24" t="str">
        <f>IFERROR(VLOOKUP(Table1[[#This Row],[Compressor]],$K$9:$L$18,2,FALSE),"0")</f>
        <v>0</v>
      </c>
      <c r="H699" s="25"/>
      <c r="I699" s="33"/>
    </row>
    <row r="700" spans="2:9" x14ac:dyDescent="0.3">
      <c r="B700" s="34"/>
      <c r="C700" s="21" t="str">
        <f>TEXT(B700,"DDD")</f>
        <v>Sat</v>
      </c>
      <c r="D700" s="22">
        <f>WEEKNUM(B700)</f>
        <v>0</v>
      </c>
      <c r="E700" s="22" t="str">
        <f>TEXT(B700,"mmm-yy")</f>
        <v>Jan-00</v>
      </c>
      <c r="F700" s="23"/>
      <c r="G700" s="24" t="str">
        <f>IFERROR(VLOOKUP(Table1[[#This Row],[Compressor]],$K$9:$L$18,2,FALSE),"0")</f>
        <v>0</v>
      </c>
      <c r="H700" s="25"/>
      <c r="I700" s="33"/>
    </row>
    <row r="701" spans="2:9" x14ac:dyDescent="0.3">
      <c r="B701" s="34"/>
      <c r="C701" s="21" t="str">
        <f>TEXT(B701,"DDD")</f>
        <v>Sat</v>
      </c>
      <c r="D701" s="22">
        <f>WEEKNUM(B701)</f>
        <v>0</v>
      </c>
      <c r="E701" s="22" t="str">
        <f>TEXT(B701,"mmm-yy")</f>
        <v>Jan-00</v>
      </c>
      <c r="F701" s="23"/>
      <c r="G701" s="24" t="str">
        <f>IFERROR(VLOOKUP(Table1[[#This Row],[Compressor]],$K$9:$L$18,2,FALSE),"0")</f>
        <v>0</v>
      </c>
      <c r="H701" s="25"/>
      <c r="I701" s="33"/>
    </row>
    <row r="702" spans="2:9" x14ac:dyDescent="0.3">
      <c r="B702" s="34"/>
      <c r="C702" s="21" t="str">
        <f>TEXT(B702,"DDD")</f>
        <v>Sat</v>
      </c>
      <c r="D702" s="22">
        <f>WEEKNUM(B702)</f>
        <v>0</v>
      </c>
      <c r="E702" s="22" t="str">
        <f>TEXT(B702,"mmm-yy")</f>
        <v>Jan-00</v>
      </c>
      <c r="F702" s="23"/>
      <c r="G702" s="24" t="str">
        <f>IFERROR(VLOOKUP(Table1[[#This Row],[Compressor]],$K$9:$L$18,2,FALSE),"0")</f>
        <v>0</v>
      </c>
      <c r="H702" s="25"/>
      <c r="I702" s="33"/>
    </row>
    <row r="703" spans="2:9" x14ac:dyDescent="0.3">
      <c r="B703" s="34"/>
      <c r="C703" s="21" t="str">
        <f>TEXT(B703,"DDD")</f>
        <v>Sat</v>
      </c>
      <c r="D703" s="22">
        <f>WEEKNUM(B703)</f>
        <v>0</v>
      </c>
      <c r="E703" s="22" t="str">
        <f>TEXT(B703,"mmm-yy")</f>
        <v>Jan-00</v>
      </c>
      <c r="F703" s="23"/>
      <c r="G703" s="24" t="str">
        <f>IFERROR(VLOOKUP(Table1[[#This Row],[Compressor]],$K$9:$L$18,2,FALSE),"0")</f>
        <v>0</v>
      </c>
      <c r="H703" s="25"/>
      <c r="I703" s="33"/>
    </row>
    <row r="704" spans="2:9" x14ac:dyDescent="0.3">
      <c r="B704" s="34"/>
      <c r="C704" s="21" t="str">
        <f>TEXT(B704,"DDD")</f>
        <v>Sat</v>
      </c>
      <c r="D704" s="22">
        <f>WEEKNUM(B704)</f>
        <v>0</v>
      </c>
      <c r="E704" s="22" t="str">
        <f>TEXT(B704,"mmm-yy")</f>
        <v>Jan-00</v>
      </c>
      <c r="F704" s="23"/>
      <c r="G704" s="24" t="str">
        <f>IFERROR(VLOOKUP(Table1[[#This Row],[Compressor]],$K$9:$L$18,2,FALSE),"0")</f>
        <v>0</v>
      </c>
      <c r="H704" s="25"/>
      <c r="I704" s="33"/>
    </row>
    <row r="705" spans="2:9" x14ac:dyDescent="0.3">
      <c r="B705" s="34"/>
      <c r="C705" s="21" t="str">
        <f>TEXT(B705,"DDD")</f>
        <v>Sat</v>
      </c>
      <c r="D705" s="22">
        <f>WEEKNUM(B705)</f>
        <v>0</v>
      </c>
      <c r="E705" s="22" t="str">
        <f>TEXT(B705,"mmm-yy")</f>
        <v>Jan-00</v>
      </c>
      <c r="F705" s="23"/>
      <c r="G705" s="24" t="str">
        <f>IFERROR(VLOOKUP(Table1[[#This Row],[Compressor]],$K$9:$L$18,2,FALSE),"0")</f>
        <v>0</v>
      </c>
      <c r="H705" s="25"/>
      <c r="I705" s="33"/>
    </row>
    <row r="706" spans="2:9" x14ac:dyDescent="0.3">
      <c r="B706" s="34"/>
      <c r="C706" s="21" t="str">
        <f>TEXT(B706,"DDD")</f>
        <v>Sat</v>
      </c>
      <c r="D706" s="22">
        <f>WEEKNUM(B706)</f>
        <v>0</v>
      </c>
      <c r="E706" s="22" t="str">
        <f>TEXT(B706,"mmm-yy")</f>
        <v>Jan-00</v>
      </c>
      <c r="F706" s="23"/>
      <c r="G706" s="24" t="str">
        <f>IFERROR(VLOOKUP(Table1[[#This Row],[Compressor]],$K$9:$L$18,2,FALSE),"0")</f>
        <v>0</v>
      </c>
      <c r="H706" s="25"/>
      <c r="I706" s="33"/>
    </row>
    <row r="707" spans="2:9" x14ac:dyDescent="0.3">
      <c r="B707" s="34"/>
      <c r="C707" s="21" t="str">
        <f>TEXT(B707,"DDD")</f>
        <v>Sat</v>
      </c>
      <c r="D707" s="22">
        <f>WEEKNUM(B707)</f>
        <v>0</v>
      </c>
      <c r="E707" s="22" t="str">
        <f>TEXT(B707,"mmm-yy")</f>
        <v>Jan-00</v>
      </c>
      <c r="F707" s="23"/>
      <c r="G707" s="24" t="str">
        <f>IFERROR(VLOOKUP(Table1[[#This Row],[Compressor]],$K$9:$L$18,2,FALSE),"0")</f>
        <v>0</v>
      </c>
      <c r="H707" s="25"/>
      <c r="I707" s="33"/>
    </row>
    <row r="708" spans="2:9" x14ac:dyDescent="0.3">
      <c r="B708" s="34"/>
      <c r="C708" s="21" t="str">
        <f>TEXT(B708,"DDD")</f>
        <v>Sat</v>
      </c>
      <c r="D708" s="22">
        <f>WEEKNUM(B708)</f>
        <v>0</v>
      </c>
      <c r="E708" s="22" t="str">
        <f>TEXT(B708,"mmm-yy")</f>
        <v>Jan-00</v>
      </c>
      <c r="F708" s="23"/>
      <c r="G708" s="24" t="str">
        <f>IFERROR(VLOOKUP(Table1[[#This Row],[Compressor]],$K$9:$L$18,2,FALSE),"0")</f>
        <v>0</v>
      </c>
      <c r="H708" s="25"/>
      <c r="I708" s="33"/>
    </row>
    <row r="709" spans="2:9" x14ac:dyDescent="0.3">
      <c r="B709" s="34"/>
      <c r="C709" s="21" t="str">
        <f>TEXT(B709,"DDD")</f>
        <v>Sat</v>
      </c>
      <c r="D709" s="22">
        <f>WEEKNUM(B709)</f>
        <v>0</v>
      </c>
      <c r="E709" s="22" t="str">
        <f>TEXT(B709,"mmm-yy")</f>
        <v>Jan-00</v>
      </c>
      <c r="F709" s="23"/>
      <c r="G709" s="24" t="str">
        <f>IFERROR(VLOOKUP(Table1[[#This Row],[Compressor]],$K$9:$L$18,2,FALSE),"0")</f>
        <v>0</v>
      </c>
      <c r="H709" s="25"/>
      <c r="I709" s="33"/>
    </row>
    <row r="710" spans="2:9" x14ac:dyDescent="0.3">
      <c r="B710" s="34"/>
      <c r="C710" s="21" t="str">
        <f>TEXT(B710,"DDD")</f>
        <v>Sat</v>
      </c>
      <c r="D710" s="22">
        <f>WEEKNUM(B710)</f>
        <v>0</v>
      </c>
      <c r="E710" s="22" t="str">
        <f>TEXT(B710,"mmm-yy")</f>
        <v>Jan-00</v>
      </c>
      <c r="F710" s="23"/>
      <c r="G710" s="24" t="str">
        <f>IFERROR(VLOOKUP(Table1[[#This Row],[Compressor]],$K$9:$L$18,2,FALSE),"0")</f>
        <v>0</v>
      </c>
      <c r="H710" s="25"/>
      <c r="I710" s="33"/>
    </row>
    <row r="711" spans="2:9" x14ac:dyDescent="0.3">
      <c r="B711" s="34"/>
      <c r="C711" s="21" t="str">
        <f>TEXT(B711,"DDD")</f>
        <v>Sat</v>
      </c>
      <c r="D711" s="22">
        <f>WEEKNUM(B711)</f>
        <v>0</v>
      </c>
      <c r="E711" s="22" t="str">
        <f>TEXT(B711,"mmm-yy")</f>
        <v>Jan-00</v>
      </c>
      <c r="F711" s="23"/>
      <c r="G711" s="24" t="str">
        <f>IFERROR(VLOOKUP(Table1[[#This Row],[Compressor]],$K$9:$L$18,2,FALSE),"0")</f>
        <v>0</v>
      </c>
      <c r="H711" s="25"/>
      <c r="I711" s="33"/>
    </row>
    <row r="712" spans="2:9" x14ac:dyDescent="0.3">
      <c r="B712" s="34"/>
      <c r="C712" s="21" t="str">
        <f>TEXT(B712,"DDD")</f>
        <v>Sat</v>
      </c>
      <c r="D712" s="22">
        <f>WEEKNUM(B712)</f>
        <v>0</v>
      </c>
      <c r="E712" s="22" t="str">
        <f>TEXT(B712,"mmm-yy")</f>
        <v>Jan-00</v>
      </c>
      <c r="F712" s="23"/>
      <c r="G712" s="24" t="str">
        <f>IFERROR(VLOOKUP(Table1[[#This Row],[Compressor]],$K$9:$L$18,2,FALSE),"0")</f>
        <v>0</v>
      </c>
      <c r="H712" s="25"/>
      <c r="I712" s="33"/>
    </row>
    <row r="713" spans="2:9" x14ac:dyDescent="0.3">
      <c r="B713" s="34"/>
      <c r="C713" s="21" t="str">
        <f>TEXT(B713,"DDD")</f>
        <v>Sat</v>
      </c>
      <c r="D713" s="22">
        <f>WEEKNUM(B713)</f>
        <v>0</v>
      </c>
      <c r="E713" s="22" t="str">
        <f>TEXT(B713,"mmm-yy")</f>
        <v>Jan-00</v>
      </c>
      <c r="F713" s="23"/>
      <c r="G713" s="24" t="str">
        <f>IFERROR(VLOOKUP(Table1[[#This Row],[Compressor]],$K$9:$L$18,2,FALSE),"0")</f>
        <v>0</v>
      </c>
      <c r="H713" s="25"/>
      <c r="I713" s="33"/>
    </row>
    <row r="714" spans="2:9" x14ac:dyDescent="0.3">
      <c r="B714" s="34"/>
      <c r="C714" s="21" t="str">
        <f>TEXT(B714,"DDD")</f>
        <v>Sat</v>
      </c>
      <c r="D714" s="22">
        <f>WEEKNUM(B714)</f>
        <v>0</v>
      </c>
      <c r="E714" s="22" t="str">
        <f>TEXT(B714,"mmm-yy")</f>
        <v>Jan-00</v>
      </c>
      <c r="F714" s="23"/>
      <c r="G714" s="24" t="str">
        <f>IFERROR(VLOOKUP(Table1[[#This Row],[Compressor]],$K$9:$L$18,2,FALSE),"0")</f>
        <v>0</v>
      </c>
      <c r="H714" s="25"/>
      <c r="I714" s="33"/>
    </row>
    <row r="715" spans="2:9" x14ac:dyDescent="0.3">
      <c r="B715" s="34"/>
      <c r="C715" s="21" t="str">
        <f>TEXT(B715,"DDD")</f>
        <v>Sat</v>
      </c>
      <c r="D715" s="22">
        <f>WEEKNUM(B715)</f>
        <v>0</v>
      </c>
      <c r="E715" s="22" t="str">
        <f>TEXT(B715,"mmm-yy")</f>
        <v>Jan-00</v>
      </c>
      <c r="F715" s="23"/>
      <c r="G715" s="24" t="str">
        <f>IFERROR(VLOOKUP(Table1[[#This Row],[Compressor]],$K$9:$L$18,2,FALSE),"0")</f>
        <v>0</v>
      </c>
      <c r="H715" s="25"/>
      <c r="I715" s="33"/>
    </row>
    <row r="716" spans="2:9" x14ac:dyDescent="0.3">
      <c r="B716" s="34"/>
      <c r="C716" s="21" t="str">
        <f>TEXT(B716,"DDD")</f>
        <v>Sat</v>
      </c>
      <c r="D716" s="22">
        <f>WEEKNUM(B716)</f>
        <v>0</v>
      </c>
      <c r="E716" s="22" t="str">
        <f>TEXT(B716,"mmm-yy")</f>
        <v>Jan-00</v>
      </c>
      <c r="F716" s="23"/>
      <c r="G716" s="24" t="str">
        <f>IFERROR(VLOOKUP(Table1[[#This Row],[Compressor]],$K$9:$L$18,2,FALSE),"0")</f>
        <v>0</v>
      </c>
      <c r="H716" s="25"/>
      <c r="I716" s="33"/>
    </row>
    <row r="717" spans="2:9" x14ac:dyDescent="0.3">
      <c r="B717" s="34"/>
      <c r="C717" s="21" t="str">
        <f>TEXT(B717,"DDD")</f>
        <v>Sat</v>
      </c>
      <c r="D717" s="22">
        <f>WEEKNUM(B717)</f>
        <v>0</v>
      </c>
      <c r="E717" s="22" t="str">
        <f>TEXT(B717,"mmm-yy")</f>
        <v>Jan-00</v>
      </c>
      <c r="F717" s="23"/>
      <c r="G717" s="24" t="str">
        <f>IFERROR(VLOOKUP(Table1[[#This Row],[Compressor]],$K$9:$L$18,2,FALSE),"0")</f>
        <v>0</v>
      </c>
      <c r="H717" s="25"/>
      <c r="I717" s="33"/>
    </row>
    <row r="718" spans="2:9" x14ac:dyDescent="0.3">
      <c r="B718" s="34"/>
      <c r="C718" s="21" t="str">
        <f>TEXT(B718,"DDD")</f>
        <v>Sat</v>
      </c>
      <c r="D718" s="22">
        <f>WEEKNUM(B718)</f>
        <v>0</v>
      </c>
      <c r="E718" s="22" t="str">
        <f>TEXT(B718,"mmm-yy")</f>
        <v>Jan-00</v>
      </c>
      <c r="F718" s="23"/>
      <c r="G718" s="24" t="str">
        <f>IFERROR(VLOOKUP(Table1[[#This Row],[Compressor]],$K$9:$L$18,2,FALSE),"0")</f>
        <v>0</v>
      </c>
      <c r="H718" s="25"/>
      <c r="I718" s="33"/>
    </row>
    <row r="719" spans="2:9" x14ac:dyDescent="0.3">
      <c r="B719" s="34"/>
      <c r="C719" s="21" t="str">
        <f>TEXT(B719,"DDD")</f>
        <v>Sat</v>
      </c>
      <c r="D719" s="22">
        <f>WEEKNUM(B719)</f>
        <v>0</v>
      </c>
      <c r="E719" s="22" t="str">
        <f>TEXT(B719,"mmm-yy")</f>
        <v>Jan-00</v>
      </c>
      <c r="F719" s="23"/>
      <c r="G719" s="24" t="str">
        <f>IFERROR(VLOOKUP(Table1[[#This Row],[Compressor]],$K$9:$L$18,2,FALSE),"0")</f>
        <v>0</v>
      </c>
      <c r="H719" s="25"/>
      <c r="I719" s="33"/>
    </row>
    <row r="720" spans="2:9" x14ac:dyDescent="0.3">
      <c r="B720" s="34"/>
      <c r="C720" s="21" t="str">
        <f>TEXT(B720,"DDD")</f>
        <v>Sat</v>
      </c>
      <c r="D720" s="22">
        <f>WEEKNUM(B720)</f>
        <v>0</v>
      </c>
      <c r="E720" s="22" t="str">
        <f>TEXT(B720,"mmm-yy")</f>
        <v>Jan-00</v>
      </c>
      <c r="F720" s="23"/>
      <c r="G720" s="24" t="str">
        <f>IFERROR(VLOOKUP(Table1[[#This Row],[Compressor]],$K$9:$L$18,2,FALSE),"0")</f>
        <v>0</v>
      </c>
      <c r="H720" s="25"/>
      <c r="I720" s="33"/>
    </row>
    <row r="721" spans="2:9" x14ac:dyDescent="0.3">
      <c r="B721" s="34"/>
      <c r="C721" s="21" t="str">
        <f>TEXT(B721,"DDD")</f>
        <v>Sat</v>
      </c>
      <c r="D721" s="22">
        <f>WEEKNUM(B721)</f>
        <v>0</v>
      </c>
      <c r="E721" s="22" t="str">
        <f>TEXT(B721,"mmm-yy")</f>
        <v>Jan-00</v>
      </c>
      <c r="F721" s="23"/>
      <c r="G721" s="24" t="str">
        <f>IFERROR(VLOOKUP(Table1[[#This Row],[Compressor]],$K$9:$L$18,2,FALSE),"0")</f>
        <v>0</v>
      </c>
      <c r="H721" s="25"/>
      <c r="I721" s="33"/>
    </row>
    <row r="722" spans="2:9" x14ac:dyDescent="0.3">
      <c r="B722" s="34"/>
      <c r="C722" s="21" t="str">
        <f>TEXT(B722,"DDD")</f>
        <v>Sat</v>
      </c>
      <c r="D722" s="22">
        <f>WEEKNUM(B722)</f>
        <v>0</v>
      </c>
      <c r="E722" s="22" t="str">
        <f>TEXT(B722,"mmm-yy")</f>
        <v>Jan-00</v>
      </c>
      <c r="F722" s="23"/>
      <c r="G722" s="24" t="str">
        <f>IFERROR(VLOOKUP(Table1[[#This Row],[Compressor]],$K$9:$L$18,2,FALSE),"0")</f>
        <v>0</v>
      </c>
      <c r="H722" s="25"/>
      <c r="I722" s="33"/>
    </row>
    <row r="723" spans="2:9" x14ac:dyDescent="0.3">
      <c r="B723" s="34"/>
      <c r="C723" s="21" t="str">
        <f>TEXT(B723,"DDD")</f>
        <v>Sat</v>
      </c>
      <c r="D723" s="22">
        <f>WEEKNUM(B723)</f>
        <v>0</v>
      </c>
      <c r="E723" s="22" t="str">
        <f>TEXT(B723,"mmm-yy")</f>
        <v>Jan-00</v>
      </c>
      <c r="F723" s="23"/>
      <c r="G723" s="24" t="str">
        <f>IFERROR(VLOOKUP(Table1[[#This Row],[Compressor]],$K$9:$L$18,2,FALSE),"0")</f>
        <v>0</v>
      </c>
      <c r="H723" s="25"/>
      <c r="I723" s="33"/>
    </row>
    <row r="724" spans="2:9" x14ac:dyDescent="0.3">
      <c r="B724" s="34"/>
      <c r="C724" s="21" t="str">
        <f>TEXT(B724,"DDD")</f>
        <v>Sat</v>
      </c>
      <c r="D724" s="22">
        <f>WEEKNUM(B724)</f>
        <v>0</v>
      </c>
      <c r="E724" s="22" t="str">
        <f>TEXT(B724,"mmm-yy")</f>
        <v>Jan-00</v>
      </c>
      <c r="F724" s="23"/>
      <c r="G724" s="24" t="str">
        <f>IFERROR(VLOOKUP(Table1[[#This Row],[Compressor]],$K$9:$L$18,2,FALSE),"0")</f>
        <v>0</v>
      </c>
      <c r="H724" s="25"/>
      <c r="I724" s="33"/>
    </row>
    <row r="725" spans="2:9" x14ac:dyDescent="0.3">
      <c r="B725" s="34"/>
      <c r="C725" s="21" t="str">
        <f>TEXT(B725,"DDD")</f>
        <v>Sat</v>
      </c>
      <c r="D725" s="22">
        <f>WEEKNUM(B725)</f>
        <v>0</v>
      </c>
      <c r="E725" s="22" t="str">
        <f>TEXT(B725,"mmm-yy")</f>
        <v>Jan-00</v>
      </c>
      <c r="F725" s="23"/>
      <c r="G725" s="24" t="str">
        <f>IFERROR(VLOOKUP(Table1[[#This Row],[Compressor]],$K$9:$L$18,2,FALSE),"0")</f>
        <v>0</v>
      </c>
      <c r="H725" s="25"/>
      <c r="I725" s="33"/>
    </row>
    <row r="726" spans="2:9" x14ac:dyDescent="0.3">
      <c r="B726" s="34"/>
      <c r="C726" s="21" t="str">
        <f>TEXT(B726,"DDD")</f>
        <v>Sat</v>
      </c>
      <c r="D726" s="22">
        <f>WEEKNUM(B726)</f>
        <v>0</v>
      </c>
      <c r="E726" s="22" t="str">
        <f>TEXT(B726,"mmm-yy")</f>
        <v>Jan-00</v>
      </c>
      <c r="F726" s="23"/>
      <c r="G726" s="24" t="str">
        <f>IFERROR(VLOOKUP(Table1[[#This Row],[Compressor]],$K$9:$L$18,2,FALSE),"0")</f>
        <v>0</v>
      </c>
      <c r="H726" s="25"/>
      <c r="I726" s="33"/>
    </row>
    <row r="727" spans="2:9" x14ac:dyDescent="0.3">
      <c r="B727" s="34"/>
      <c r="C727" s="21" t="str">
        <f>TEXT(B727,"DDD")</f>
        <v>Sat</v>
      </c>
      <c r="D727" s="22">
        <f>WEEKNUM(B727)</f>
        <v>0</v>
      </c>
      <c r="E727" s="22" t="str">
        <f>TEXT(B727,"mmm-yy")</f>
        <v>Jan-00</v>
      </c>
      <c r="F727" s="23"/>
      <c r="G727" s="24" t="str">
        <f>IFERROR(VLOOKUP(Table1[[#This Row],[Compressor]],$K$9:$L$18,2,FALSE),"0")</f>
        <v>0</v>
      </c>
      <c r="H727" s="25"/>
      <c r="I727" s="33"/>
    </row>
    <row r="728" spans="2:9" x14ac:dyDescent="0.3">
      <c r="B728" s="34"/>
      <c r="C728" s="21" t="str">
        <f>TEXT(B728,"DDD")</f>
        <v>Sat</v>
      </c>
      <c r="D728" s="22">
        <f>WEEKNUM(B728)</f>
        <v>0</v>
      </c>
      <c r="E728" s="22" t="str">
        <f>TEXT(B728,"mmm-yy")</f>
        <v>Jan-00</v>
      </c>
      <c r="F728" s="23"/>
      <c r="G728" s="24" t="str">
        <f>IFERROR(VLOOKUP(Table1[[#This Row],[Compressor]],$K$9:$L$18,2,FALSE),"0")</f>
        <v>0</v>
      </c>
      <c r="H728" s="25"/>
      <c r="I728" s="33"/>
    </row>
    <row r="729" spans="2:9" x14ac:dyDescent="0.3">
      <c r="B729" s="34"/>
      <c r="C729" s="21" t="str">
        <f>TEXT(B729,"DDD")</f>
        <v>Sat</v>
      </c>
      <c r="D729" s="22">
        <f>WEEKNUM(B729)</f>
        <v>0</v>
      </c>
      <c r="E729" s="22" t="str">
        <f>TEXT(B729,"mmm-yy")</f>
        <v>Jan-00</v>
      </c>
      <c r="F729" s="23"/>
      <c r="G729" s="24" t="str">
        <f>IFERROR(VLOOKUP(Table1[[#This Row],[Compressor]],$K$9:$L$18,2,FALSE),"0")</f>
        <v>0</v>
      </c>
      <c r="H729" s="25"/>
      <c r="I729" s="33"/>
    </row>
    <row r="730" spans="2:9" x14ac:dyDescent="0.3">
      <c r="B730" s="34"/>
      <c r="C730" s="21" t="str">
        <f>TEXT(B730,"DDD")</f>
        <v>Sat</v>
      </c>
      <c r="D730" s="22">
        <f>WEEKNUM(B730)</f>
        <v>0</v>
      </c>
      <c r="E730" s="22" t="str">
        <f>TEXT(B730,"mmm-yy")</f>
        <v>Jan-00</v>
      </c>
      <c r="F730" s="23"/>
      <c r="G730" s="24" t="str">
        <f>IFERROR(VLOOKUP(Table1[[#This Row],[Compressor]],$K$9:$L$18,2,FALSE),"0")</f>
        <v>0</v>
      </c>
      <c r="H730" s="25"/>
      <c r="I730" s="33"/>
    </row>
    <row r="731" spans="2:9" x14ac:dyDescent="0.3">
      <c r="B731" s="34"/>
      <c r="C731" s="21" t="str">
        <f>TEXT(B731,"DDD")</f>
        <v>Sat</v>
      </c>
      <c r="D731" s="22">
        <f>WEEKNUM(B731)</f>
        <v>0</v>
      </c>
      <c r="E731" s="22" t="str">
        <f>TEXT(B731,"mmm-yy")</f>
        <v>Jan-00</v>
      </c>
      <c r="F731" s="23"/>
      <c r="G731" s="24" t="str">
        <f>IFERROR(VLOOKUP(Table1[[#This Row],[Compressor]],$K$9:$L$18,2,FALSE),"0")</f>
        <v>0</v>
      </c>
      <c r="H731" s="25"/>
      <c r="I731" s="33"/>
    </row>
    <row r="732" spans="2:9" x14ac:dyDescent="0.3">
      <c r="B732" s="34"/>
      <c r="C732" s="21" t="str">
        <f>TEXT(B732,"DDD")</f>
        <v>Sat</v>
      </c>
      <c r="D732" s="22">
        <f>WEEKNUM(B732)</f>
        <v>0</v>
      </c>
      <c r="E732" s="22" t="str">
        <f>TEXT(B732,"mmm-yy")</f>
        <v>Jan-00</v>
      </c>
      <c r="F732" s="23"/>
      <c r="G732" s="24" t="str">
        <f>IFERROR(VLOOKUP(Table1[[#This Row],[Compressor]],$K$9:$L$18,2,FALSE),"0")</f>
        <v>0</v>
      </c>
      <c r="H732" s="25"/>
      <c r="I732" s="33"/>
    </row>
    <row r="733" spans="2:9" x14ac:dyDescent="0.3">
      <c r="B733" s="34"/>
      <c r="C733" s="21" t="str">
        <f>TEXT(B733,"DDD")</f>
        <v>Sat</v>
      </c>
      <c r="D733" s="22">
        <f>WEEKNUM(B733)</f>
        <v>0</v>
      </c>
      <c r="E733" s="22" t="str">
        <f>TEXT(B733,"mmm-yy")</f>
        <v>Jan-00</v>
      </c>
      <c r="F733" s="23"/>
      <c r="G733" s="24" t="str">
        <f>IFERROR(VLOOKUP(Table1[[#This Row],[Compressor]],$K$9:$L$18,2,FALSE),"0")</f>
        <v>0</v>
      </c>
      <c r="H733" s="25"/>
      <c r="I733" s="33"/>
    </row>
    <row r="734" spans="2:9" x14ac:dyDescent="0.3">
      <c r="B734" s="34"/>
      <c r="C734" s="21" t="str">
        <f>TEXT(B734,"DDD")</f>
        <v>Sat</v>
      </c>
      <c r="D734" s="22">
        <f>WEEKNUM(B734)</f>
        <v>0</v>
      </c>
      <c r="E734" s="22" t="str">
        <f>TEXT(B734,"mmm-yy")</f>
        <v>Jan-00</v>
      </c>
      <c r="F734" s="23"/>
      <c r="G734" s="24" t="str">
        <f>IFERROR(VLOOKUP(Table1[[#This Row],[Compressor]],$K$9:$L$18,2,FALSE),"0")</f>
        <v>0</v>
      </c>
      <c r="H734" s="25"/>
      <c r="I734" s="33"/>
    </row>
    <row r="735" spans="2:9" x14ac:dyDescent="0.3">
      <c r="B735" s="34"/>
      <c r="C735" s="21" t="str">
        <f>TEXT(B735,"DDD")</f>
        <v>Sat</v>
      </c>
      <c r="D735" s="22">
        <f>WEEKNUM(B735)</f>
        <v>0</v>
      </c>
      <c r="E735" s="22" t="str">
        <f>TEXT(B735,"mmm-yy")</f>
        <v>Jan-00</v>
      </c>
      <c r="F735" s="23"/>
      <c r="G735" s="24" t="str">
        <f>IFERROR(VLOOKUP(Table1[[#This Row],[Compressor]],$K$9:$L$18,2,FALSE),"0")</f>
        <v>0</v>
      </c>
      <c r="H735" s="25"/>
      <c r="I735" s="33"/>
    </row>
    <row r="736" spans="2:9" x14ac:dyDescent="0.3">
      <c r="B736" s="34"/>
      <c r="C736" s="21" t="str">
        <f>TEXT(B736,"DDD")</f>
        <v>Sat</v>
      </c>
      <c r="D736" s="22">
        <f>WEEKNUM(B736)</f>
        <v>0</v>
      </c>
      <c r="E736" s="22" t="str">
        <f>TEXT(B736,"mmm-yy")</f>
        <v>Jan-00</v>
      </c>
      <c r="F736" s="23"/>
      <c r="G736" s="24" t="str">
        <f>IFERROR(VLOOKUP(Table1[[#This Row],[Compressor]],$K$9:$L$18,2,FALSE),"0")</f>
        <v>0</v>
      </c>
      <c r="H736" s="25"/>
      <c r="I736" s="33"/>
    </row>
    <row r="737" spans="2:9" x14ac:dyDescent="0.3">
      <c r="B737" s="34"/>
      <c r="C737" s="21" t="str">
        <f>TEXT(B737,"DDD")</f>
        <v>Sat</v>
      </c>
      <c r="D737" s="22">
        <f>WEEKNUM(B737)</f>
        <v>0</v>
      </c>
      <c r="E737" s="22" t="str">
        <f>TEXT(B737,"mmm-yy")</f>
        <v>Jan-00</v>
      </c>
      <c r="F737" s="23"/>
      <c r="G737" s="24" t="str">
        <f>IFERROR(VLOOKUP(Table1[[#This Row],[Compressor]],$K$9:$L$18,2,FALSE),"0")</f>
        <v>0</v>
      </c>
      <c r="H737" s="25"/>
      <c r="I737" s="33"/>
    </row>
    <row r="738" spans="2:9" x14ac:dyDescent="0.3">
      <c r="B738" s="34"/>
      <c r="C738" s="21" t="str">
        <f>TEXT(B738,"DDD")</f>
        <v>Sat</v>
      </c>
      <c r="D738" s="22">
        <f>WEEKNUM(B738)</f>
        <v>0</v>
      </c>
      <c r="E738" s="22" t="str">
        <f>TEXT(B738,"mmm-yy")</f>
        <v>Jan-00</v>
      </c>
      <c r="F738" s="23"/>
      <c r="G738" s="24" t="str">
        <f>IFERROR(VLOOKUP(Table1[[#This Row],[Compressor]],$K$9:$L$18,2,FALSE),"0")</f>
        <v>0</v>
      </c>
      <c r="H738" s="25"/>
      <c r="I738" s="33"/>
    </row>
    <row r="739" spans="2:9" x14ac:dyDescent="0.3">
      <c r="B739" s="34"/>
      <c r="C739" s="21" t="str">
        <f>TEXT(B739,"DDD")</f>
        <v>Sat</v>
      </c>
      <c r="D739" s="22">
        <f>WEEKNUM(B739)</f>
        <v>0</v>
      </c>
      <c r="E739" s="22" t="str">
        <f>TEXT(B739,"mmm-yy")</f>
        <v>Jan-00</v>
      </c>
      <c r="F739" s="23"/>
      <c r="G739" s="24" t="str">
        <f>IFERROR(VLOOKUP(Table1[[#This Row],[Compressor]],$K$9:$L$18,2,FALSE),"0")</f>
        <v>0</v>
      </c>
      <c r="H739" s="25"/>
      <c r="I739" s="33"/>
    </row>
    <row r="740" spans="2:9" x14ac:dyDescent="0.3">
      <c r="B740" s="34"/>
      <c r="C740" s="21" t="str">
        <f>TEXT(B740,"DDD")</f>
        <v>Sat</v>
      </c>
      <c r="D740" s="22">
        <f>WEEKNUM(B740)</f>
        <v>0</v>
      </c>
      <c r="E740" s="22" t="str">
        <f>TEXT(B740,"mmm-yy")</f>
        <v>Jan-00</v>
      </c>
      <c r="F740" s="23"/>
      <c r="G740" s="24" t="str">
        <f>IFERROR(VLOOKUP(Table1[[#This Row],[Compressor]],$K$9:$L$18,2,FALSE),"0")</f>
        <v>0</v>
      </c>
      <c r="H740" s="25"/>
      <c r="I740" s="33"/>
    </row>
    <row r="741" spans="2:9" x14ac:dyDescent="0.3">
      <c r="B741" s="34"/>
      <c r="C741" s="21" t="str">
        <f>TEXT(B741,"DDD")</f>
        <v>Sat</v>
      </c>
      <c r="D741" s="22">
        <f>WEEKNUM(B741)</f>
        <v>0</v>
      </c>
      <c r="E741" s="22" t="str">
        <f>TEXT(B741,"mmm-yy")</f>
        <v>Jan-00</v>
      </c>
      <c r="F741" s="23"/>
      <c r="G741" s="24" t="str">
        <f>IFERROR(VLOOKUP(Table1[[#This Row],[Compressor]],$K$9:$L$18,2,FALSE),"0")</f>
        <v>0</v>
      </c>
      <c r="H741" s="25"/>
      <c r="I741" s="33"/>
    </row>
    <row r="742" spans="2:9" x14ac:dyDescent="0.3">
      <c r="B742" s="34"/>
      <c r="C742" s="21" t="str">
        <f>TEXT(B742,"DDD")</f>
        <v>Sat</v>
      </c>
      <c r="D742" s="22">
        <f>WEEKNUM(B742)</f>
        <v>0</v>
      </c>
      <c r="E742" s="22" t="str">
        <f>TEXT(B742,"mmm-yy")</f>
        <v>Jan-00</v>
      </c>
      <c r="F742" s="23"/>
      <c r="G742" s="24" t="str">
        <f>IFERROR(VLOOKUP(Table1[[#This Row],[Compressor]],$K$9:$L$18,2,FALSE),"0")</f>
        <v>0</v>
      </c>
      <c r="H742" s="25"/>
      <c r="I742" s="33"/>
    </row>
    <row r="743" spans="2:9" x14ac:dyDescent="0.3">
      <c r="B743" s="34"/>
      <c r="C743" s="21" t="str">
        <f>TEXT(B743,"DDD")</f>
        <v>Sat</v>
      </c>
      <c r="D743" s="22">
        <f>WEEKNUM(B743)</f>
        <v>0</v>
      </c>
      <c r="E743" s="22" t="str">
        <f>TEXT(B743,"mmm-yy")</f>
        <v>Jan-00</v>
      </c>
      <c r="F743" s="23"/>
      <c r="G743" s="24" t="str">
        <f>IFERROR(VLOOKUP(Table1[[#This Row],[Compressor]],$K$9:$L$18,2,FALSE),"0")</f>
        <v>0</v>
      </c>
      <c r="H743" s="25"/>
      <c r="I743" s="33"/>
    </row>
    <row r="744" spans="2:9" x14ac:dyDescent="0.3">
      <c r="B744" s="34"/>
      <c r="C744" s="21" t="str">
        <f>TEXT(B744,"DDD")</f>
        <v>Sat</v>
      </c>
      <c r="D744" s="22">
        <f>WEEKNUM(B744)</f>
        <v>0</v>
      </c>
      <c r="E744" s="22" t="str">
        <f>TEXT(B744,"mmm-yy")</f>
        <v>Jan-00</v>
      </c>
      <c r="F744" s="23"/>
      <c r="G744" s="24" t="str">
        <f>IFERROR(VLOOKUP(Table1[[#This Row],[Compressor]],$K$9:$L$18,2,FALSE),"0")</f>
        <v>0</v>
      </c>
      <c r="H744" s="25"/>
      <c r="I744" s="33"/>
    </row>
    <row r="745" spans="2:9" x14ac:dyDescent="0.3">
      <c r="B745" s="34"/>
      <c r="C745" s="21" t="str">
        <f>TEXT(B745,"DDD")</f>
        <v>Sat</v>
      </c>
      <c r="D745" s="22">
        <f>WEEKNUM(B745)</f>
        <v>0</v>
      </c>
      <c r="E745" s="22" t="str">
        <f>TEXT(B745,"mmm-yy")</f>
        <v>Jan-00</v>
      </c>
      <c r="F745" s="23"/>
      <c r="G745" s="24" t="str">
        <f>IFERROR(VLOOKUP(Table1[[#This Row],[Compressor]],$K$9:$L$18,2,FALSE),"0")</f>
        <v>0</v>
      </c>
      <c r="H745" s="25"/>
      <c r="I745" s="33"/>
    </row>
    <row r="746" spans="2:9" x14ac:dyDescent="0.3">
      <c r="B746" s="34"/>
      <c r="C746" s="21" t="str">
        <f>TEXT(B746,"DDD")</f>
        <v>Sat</v>
      </c>
      <c r="D746" s="22">
        <f>WEEKNUM(B746)</f>
        <v>0</v>
      </c>
      <c r="E746" s="22" t="str">
        <f>TEXT(B746,"mmm-yy")</f>
        <v>Jan-00</v>
      </c>
      <c r="F746" s="23"/>
      <c r="G746" s="24" t="str">
        <f>IFERROR(VLOOKUP(Table1[[#This Row],[Compressor]],$K$9:$L$18,2,FALSE),"0")</f>
        <v>0</v>
      </c>
      <c r="H746" s="25"/>
      <c r="I746" s="33"/>
    </row>
    <row r="747" spans="2:9" x14ac:dyDescent="0.3">
      <c r="B747" s="34"/>
      <c r="C747" s="21" t="str">
        <f>TEXT(B747,"DDD")</f>
        <v>Sat</v>
      </c>
      <c r="D747" s="22">
        <f>WEEKNUM(B747)</f>
        <v>0</v>
      </c>
      <c r="E747" s="22" t="str">
        <f>TEXT(B747,"mmm-yy")</f>
        <v>Jan-00</v>
      </c>
      <c r="F747" s="23"/>
      <c r="G747" s="24" t="str">
        <f>IFERROR(VLOOKUP(Table1[[#This Row],[Compressor]],$K$9:$L$18,2,FALSE),"0")</f>
        <v>0</v>
      </c>
      <c r="H747" s="25"/>
      <c r="I747" s="33"/>
    </row>
    <row r="748" spans="2:9" x14ac:dyDescent="0.3">
      <c r="B748" s="34"/>
      <c r="C748" s="21" t="str">
        <f>TEXT(B748,"DDD")</f>
        <v>Sat</v>
      </c>
      <c r="D748" s="22">
        <f>WEEKNUM(B748)</f>
        <v>0</v>
      </c>
      <c r="E748" s="22" t="str">
        <f>TEXT(B748,"mmm-yy")</f>
        <v>Jan-00</v>
      </c>
      <c r="F748" s="23"/>
      <c r="G748" s="24" t="str">
        <f>IFERROR(VLOOKUP(Table1[[#This Row],[Compressor]],$K$9:$L$18,2,FALSE),"0")</f>
        <v>0</v>
      </c>
      <c r="H748" s="25"/>
      <c r="I748" s="33"/>
    </row>
    <row r="749" spans="2:9" x14ac:dyDescent="0.3">
      <c r="B749" s="34"/>
      <c r="C749" s="21" t="str">
        <f>TEXT(B749,"DDD")</f>
        <v>Sat</v>
      </c>
      <c r="D749" s="22">
        <f>WEEKNUM(B749)</f>
        <v>0</v>
      </c>
      <c r="E749" s="22" t="str">
        <f>TEXT(B749,"mmm-yy")</f>
        <v>Jan-00</v>
      </c>
      <c r="F749" s="23"/>
      <c r="G749" s="24" t="str">
        <f>IFERROR(VLOOKUP(Table1[[#This Row],[Compressor]],$K$9:$L$18,2,FALSE),"0")</f>
        <v>0</v>
      </c>
      <c r="H749" s="25"/>
      <c r="I749" s="33"/>
    </row>
    <row r="750" spans="2:9" x14ac:dyDescent="0.3">
      <c r="B750" s="34"/>
      <c r="C750" s="21" t="str">
        <f>TEXT(B750,"DDD")</f>
        <v>Sat</v>
      </c>
      <c r="D750" s="22">
        <f>WEEKNUM(B750)</f>
        <v>0</v>
      </c>
      <c r="E750" s="22" t="str">
        <f>TEXT(B750,"mmm-yy")</f>
        <v>Jan-00</v>
      </c>
      <c r="F750" s="23"/>
      <c r="G750" s="24" t="str">
        <f>IFERROR(VLOOKUP(Table1[[#This Row],[Compressor]],$K$9:$L$18,2,FALSE),"0")</f>
        <v>0</v>
      </c>
      <c r="H750" s="25"/>
      <c r="I750" s="33"/>
    </row>
    <row r="751" spans="2:9" x14ac:dyDescent="0.3">
      <c r="B751" s="34"/>
      <c r="C751" s="21" t="str">
        <f>TEXT(B751,"DDD")</f>
        <v>Sat</v>
      </c>
      <c r="D751" s="22">
        <f>WEEKNUM(B751)</f>
        <v>0</v>
      </c>
      <c r="E751" s="22" t="str">
        <f>TEXT(B751,"mmm-yy")</f>
        <v>Jan-00</v>
      </c>
      <c r="F751" s="23"/>
      <c r="G751" s="24" t="str">
        <f>IFERROR(VLOOKUP(Table1[[#This Row],[Compressor]],$K$9:$L$18,2,FALSE),"0")</f>
        <v>0</v>
      </c>
      <c r="H751" s="25"/>
      <c r="I751" s="33"/>
    </row>
    <row r="752" spans="2:9" x14ac:dyDescent="0.3">
      <c r="B752" s="34"/>
      <c r="C752" s="21" t="str">
        <f>TEXT(B752,"DDD")</f>
        <v>Sat</v>
      </c>
      <c r="D752" s="22">
        <f>WEEKNUM(B752)</f>
        <v>0</v>
      </c>
      <c r="E752" s="22" t="str">
        <f>TEXT(B752,"mmm-yy")</f>
        <v>Jan-00</v>
      </c>
      <c r="F752" s="23"/>
      <c r="G752" s="24" t="str">
        <f>IFERROR(VLOOKUP(Table1[[#This Row],[Compressor]],$K$9:$L$18,2,FALSE),"0")</f>
        <v>0</v>
      </c>
      <c r="H752" s="25"/>
      <c r="I752" s="33"/>
    </row>
    <row r="753" spans="2:9" x14ac:dyDescent="0.3">
      <c r="B753" s="34"/>
      <c r="C753" s="21" t="str">
        <f>TEXT(B753,"DDD")</f>
        <v>Sat</v>
      </c>
      <c r="D753" s="22">
        <f>WEEKNUM(B753)</f>
        <v>0</v>
      </c>
      <c r="E753" s="22" t="str">
        <f>TEXT(B753,"mmm-yy")</f>
        <v>Jan-00</v>
      </c>
      <c r="F753" s="23"/>
      <c r="G753" s="24" t="str">
        <f>IFERROR(VLOOKUP(Table1[[#This Row],[Compressor]],$K$9:$L$18,2,FALSE),"0")</f>
        <v>0</v>
      </c>
      <c r="H753" s="25"/>
      <c r="I753" s="33"/>
    </row>
    <row r="754" spans="2:9" x14ac:dyDescent="0.3">
      <c r="B754" s="34"/>
      <c r="C754" s="21" t="str">
        <f>TEXT(B754,"DDD")</f>
        <v>Sat</v>
      </c>
      <c r="D754" s="22">
        <f>WEEKNUM(B754)</f>
        <v>0</v>
      </c>
      <c r="E754" s="22" t="str">
        <f>TEXT(B754,"mmm-yy")</f>
        <v>Jan-00</v>
      </c>
      <c r="F754" s="23"/>
      <c r="G754" s="24" t="str">
        <f>IFERROR(VLOOKUP(Table1[[#This Row],[Compressor]],$K$9:$L$18,2,FALSE),"0")</f>
        <v>0</v>
      </c>
      <c r="H754" s="25"/>
      <c r="I754" s="33"/>
    </row>
    <row r="755" spans="2:9" x14ac:dyDescent="0.3">
      <c r="B755" s="34"/>
      <c r="C755" s="21" t="str">
        <f>TEXT(B755,"DDD")</f>
        <v>Sat</v>
      </c>
      <c r="D755" s="22">
        <f>WEEKNUM(B755)</f>
        <v>0</v>
      </c>
      <c r="E755" s="22" t="str">
        <f>TEXT(B755,"mmm-yy")</f>
        <v>Jan-00</v>
      </c>
      <c r="F755" s="23"/>
      <c r="G755" s="24" t="str">
        <f>IFERROR(VLOOKUP(Table1[[#This Row],[Compressor]],$K$9:$L$18,2,FALSE),"0")</f>
        <v>0</v>
      </c>
      <c r="H755" s="25"/>
      <c r="I755" s="33"/>
    </row>
    <row r="756" spans="2:9" x14ac:dyDescent="0.3">
      <c r="B756" s="34"/>
      <c r="C756" s="21" t="str">
        <f>TEXT(B756,"DDD")</f>
        <v>Sat</v>
      </c>
      <c r="D756" s="22">
        <f>WEEKNUM(B756)</f>
        <v>0</v>
      </c>
      <c r="E756" s="22" t="str">
        <f>TEXT(B756,"mmm-yy")</f>
        <v>Jan-00</v>
      </c>
      <c r="F756" s="23"/>
      <c r="G756" s="24" t="str">
        <f>IFERROR(VLOOKUP(Table1[[#This Row],[Compressor]],$K$9:$L$18,2,FALSE),"0")</f>
        <v>0</v>
      </c>
      <c r="H756" s="25"/>
      <c r="I756" s="33"/>
    </row>
    <row r="757" spans="2:9" x14ac:dyDescent="0.3">
      <c r="B757" s="34"/>
      <c r="C757" s="21" t="str">
        <f>TEXT(B757,"DDD")</f>
        <v>Sat</v>
      </c>
      <c r="D757" s="22">
        <f>WEEKNUM(B757)</f>
        <v>0</v>
      </c>
      <c r="E757" s="22" t="str">
        <f>TEXT(B757,"mmm-yy")</f>
        <v>Jan-00</v>
      </c>
      <c r="F757" s="23"/>
      <c r="G757" s="24" t="str">
        <f>IFERROR(VLOOKUP(Table1[[#This Row],[Compressor]],$K$9:$L$18,2,FALSE),"0")</f>
        <v>0</v>
      </c>
      <c r="H757" s="25"/>
      <c r="I757" s="33"/>
    </row>
    <row r="758" spans="2:9" x14ac:dyDescent="0.3">
      <c r="B758" s="34"/>
      <c r="C758" s="21" t="str">
        <f>TEXT(B758,"DDD")</f>
        <v>Sat</v>
      </c>
      <c r="D758" s="22">
        <f>WEEKNUM(B758)</f>
        <v>0</v>
      </c>
      <c r="E758" s="22" t="str">
        <f>TEXT(B758,"mmm-yy")</f>
        <v>Jan-00</v>
      </c>
      <c r="F758" s="23"/>
      <c r="G758" s="24" t="str">
        <f>IFERROR(VLOOKUP(Table1[[#This Row],[Compressor]],$K$9:$L$18,2,FALSE),"0")</f>
        <v>0</v>
      </c>
      <c r="H758" s="25"/>
      <c r="I758" s="33"/>
    </row>
    <row r="759" spans="2:9" x14ac:dyDescent="0.3">
      <c r="B759" s="34"/>
      <c r="C759" s="21" t="str">
        <f>TEXT(B759,"DDD")</f>
        <v>Sat</v>
      </c>
      <c r="D759" s="22">
        <f>WEEKNUM(B759)</f>
        <v>0</v>
      </c>
      <c r="E759" s="22" t="str">
        <f>TEXT(B759,"mmm-yy")</f>
        <v>Jan-00</v>
      </c>
      <c r="F759" s="23"/>
      <c r="G759" s="24" t="str">
        <f>IFERROR(VLOOKUP(Table1[[#This Row],[Compressor]],$K$9:$L$18,2,FALSE),"0")</f>
        <v>0</v>
      </c>
      <c r="H759" s="25"/>
      <c r="I759" s="33"/>
    </row>
    <row r="760" spans="2:9" x14ac:dyDescent="0.3">
      <c r="B760" s="34"/>
      <c r="C760" s="21" t="str">
        <f>TEXT(B760,"DDD")</f>
        <v>Sat</v>
      </c>
      <c r="D760" s="22">
        <f>WEEKNUM(B760)</f>
        <v>0</v>
      </c>
      <c r="E760" s="22" t="str">
        <f>TEXT(B760,"mmm-yy")</f>
        <v>Jan-00</v>
      </c>
      <c r="F760" s="23"/>
      <c r="G760" s="24" t="str">
        <f>IFERROR(VLOOKUP(Table1[[#This Row],[Compressor]],$K$9:$L$18,2,FALSE),"0")</f>
        <v>0</v>
      </c>
      <c r="H760" s="25"/>
      <c r="I760" s="33"/>
    </row>
    <row r="761" spans="2:9" x14ac:dyDescent="0.3">
      <c r="B761" s="34"/>
      <c r="C761" s="21" t="str">
        <f>TEXT(B761,"DDD")</f>
        <v>Sat</v>
      </c>
      <c r="D761" s="22">
        <f>WEEKNUM(B761)</f>
        <v>0</v>
      </c>
      <c r="E761" s="22" t="str">
        <f>TEXT(B761,"mmm-yy")</f>
        <v>Jan-00</v>
      </c>
      <c r="F761" s="23"/>
      <c r="G761" s="24" t="str">
        <f>IFERROR(VLOOKUP(Table1[[#This Row],[Compressor]],$K$9:$L$18,2,FALSE),"0")</f>
        <v>0</v>
      </c>
      <c r="H761" s="25"/>
      <c r="I761" s="33"/>
    </row>
    <row r="762" spans="2:9" x14ac:dyDescent="0.3">
      <c r="B762" s="34"/>
      <c r="C762" s="21" t="str">
        <f>TEXT(B762,"DDD")</f>
        <v>Sat</v>
      </c>
      <c r="D762" s="22">
        <f>WEEKNUM(B762)</f>
        <v>0</v>
      </c>
      <c r="E762" s="22" t="str">
        <f>TEXT(B762,"mmm-yy")</f>
        <v>Jan-00</v>
      </c>
      <c r="F762" s="23"/>
      <c r="G762" s="24" t="str">
        <f>IFERROR(VLOOKUP(Table1[[#This Row],[Compressor]],$K$9:$L$18,2,FALSE),"0")</f>
        <v>0</v>
      </c>
      <c r="H762" s="25"/>
      <c r="I762" s="33"/>
    </row>
    <row r="763" spans="2:9" x14ac:dyDescent="0.3">
      <c r="B763" s="34"/>
      <c r="C763" s="21" t="str">
        <f>TEXT(B763,"DDD")</f>
        <v>Sat</v>
      </c>
      <c r="D763" s="22">
        <f>WEEKNUM(B763)</f>
        <v>0</v>
      </c>
      <c r="E763" s="22" t="str">
        <f>TEXT(B763,"mmm-yy")</f>
        <v>Jan-00</v>
      </c>
      <c r="F763" s="23"/>
      <c r="G763" s="24" t="str">
        <f>IFERROR(VLOOKUP(Table1[[#This Row],[Compressor]],$K$9:$L$18,2,FALSE),"0")</f>
        <v>0</v>
      </c>
      <c r="H763" s="25"/>
      <c r="I763" s="33"/>
    </row>
    <row r="764" spans="2:9" x14ac:dyDescent="0.3">
      <c r="B764" s="34"/>
      <c r="C764" s="21" t="str">
        <f>TEXT(B764,"DDD")</f>
        <v>Sat</v>
      </c>
      <c r="D764" s="22">
        <f>WEEKNUM(B764)</f>
        <v>0</v>
      </c>
      <c r="E764" s="22" t="str">
        <f>TEXT(B764,"mmm-yy")</f>
        <v>Jan-00</v>
      </c>
      <c r="F764" s="23"/>
      <c r="G764" s="24" t="str">
        <f>IFERROR(VLOOKUP(Table1[[#This Row],[Compressor]],$K$9:$L$18,2,FALSE),"0")</f>
        <v>0</v>
      </c>
      <c r="H764" s="25"/>
      <c r="I764" s="33"/>
    </row>
    <row r="765" spans="2:9" x14ac:dyDescent="0.3">
      <c r="B765" s="34"/>
      <c r="C765" s="21" t="str">
        <f>TEXT(B765,"DDD")</f>
        <v>Sat</v>
      </c>
      <c r="D765" s="22">
        <f>WEEKNUM(B765)</f>
        <v>0</v>
      </c>
      <c r="E765" s="22" t="str">
        <f>TEXT(B765,"mmm-yy")</f>
        <v>Jan-00</v>
      </c>
      <c r="F765" s="23"/>
      <c r="G765" s="24" t="str">
        <f>IFERROR(VLOOKUP(Table1[[#This Row],[Compressor]],$K$9:$L$18,2,FALSE),"0")</f>
        <v>0</v>
      </c>
      <c r="H765" s="25"/>
      <c r="I765" s="33"/>
    </row>
    <row r="766" spans="2:9" x14ac:dyDescent="0.3">
      <c r="B766" s="34"/>
      <c r="C766" s="21" t="str">
        <f>TEXT(B766,"DDD")</f>
        <v>Sat</v>
      </c>
      <c r="D766" s="22">
        <f>WEEKNUM(B766)</f>
        <v>0</v>
      </c>
      <c r="E766" s="22" t="str">
        <f>TEXT(B766,"mmm-yy")</f>
        <v>Jan-00</v>
      </c>
      <c r="F766" s="23"/>
      <c r="G766" s="24" t="str">
        <f>IFERROR(VLOOKUP(Table1[[#This Row],[Compressor]],$K$9:$L$18,2,FALSE),"0")</f>
        <v>0</v>
      </c>
      <c r="H766" s="25"/>
      <c r="I766" s="33"/>
    </row>
    <row r="767" spans="2:9" x14ac:dyDescent="0.3">
      <c r="B767" s="34"/>
      <c r="C767" s="21" t="str">
        <f>TEXT(B767,"DDD")</f>
        <v>Sat</v>
      </c>
      <c r="D767" s="22">
        <f>WEEKNUM(B767)</f>
        <v>0</v>
      </c>
      <c r="E767" s="22" t="str">
        <f>TEXT(B767,"mmm-yy")</f>
        <v>Jan-00</v>
      </c>
      <c r="F767" s="23"/>
      <c r="G767" s="24" t="str">
        <f>IFERROR(VLOOKUP(Table1[[#This Row],[Compressor]],$K$9:$L$18,2,FALSE),"0")</f>
        <v>0</v>
      </c>
      <c r="H767" s="25"/>
      <c r="I767" s="33"/>
    </row>
    <row r="768" spans="2:9" x14ac:dyDescent="0.3">
      <c r="B768" s="34"/>
      <c r="C768" s="21" t="str">
        <f>TEXT(B768,"DDD")</f>
        <v>Sat</v>
      </c>
      <c r="D768" s="22">
        <f>WEEKNUM(B768)</f>
        <v>0</v>
      </c>
      <c r="E768" s="22" t="str">
        <f>TEXT(B768,"mmm-yy")</f>
        <v>Jan-00</v>
      </c>
      <c r="F768" s="23"/>
      <c r="G768" s="24" t="str">
        <f>IFERROR(VLOOKUP(Table1[[#This Row],[Compressor]],$K$9:$L$18,2,FALSE),"0")</f>
        <v>0</v>
      </c>
      <c r="H768" s="25"/>
      <c r="I768" s="33"/>
    </row>
    <row r="769" spans="2:9" x14ac:dyDescent="0.3">
      <c r="B769" s="34"/>
      <c r="C769" s="21" t="str">
        <f>TEXT(B769,"DDD")</f>
        <v>Sat</v>
      </c>
      <c r="D769" s="22">
        <f>WEEKNUM(B769)</f>
        <v>0</v>
      </c>
      <c r="E769" s="22" t="str">
        <f>TEXT(B769,"mmm-yy")</f>
        <v>Jan-00</v>
      </c>
      <c r="F769" s="23"/>
      <c r="G769" s="24" t="str">
        <f>IFERROR(VLOOKUP(Table1[[#This Row],[Compressor]],$K$9:$L$18,2,FALSE),"0")</f>
        <v>0</v>
      </c>
      <c r="H769" s="25"/>
      <c r="I769" s="33"/>
    </row>
    <row r="770" spans="2:9" x14ac:dyDescent="0.3">
      <c r="B770" s="34"/>
      <c r="C770" s="21" t="str">
        <f>TEXT(B770,"DDD")</f>
        <v>Sat</v>
      </c>
      <c r="D770" s="22">
        <f>WEEKNUM(B770)</f>
        <v>0</v>
      </c>
      <c r="E770" s="22" t="str">
        <f>TEXT(B770,"mmm-yy")</f>
        <v>Jan-00</v>
      </c>
      <c r="F770" s="23"/>
      <c r="G770" s="24" t="str">
        <f>IFERROR(VLOOKUP(Table1[[#This Row],[Compressor]],$K$9:$L$18,2,FALSE),"0")</f>
        <v>0</v>
      </c>
      <c r="H770" s="25"/>
      <c r="I770" s="33"/>
    </row>
    <row r="771" spans="2:9" x14ac:dyDescent="0.3">
      <c r="B771" s="34"/>
      <c r="C771" s="21" t="str">
        <f>TEXT(B771,"DDD")</f>
        <v>Sat</v>
      </c>
      <c r="D771" s="22">
        <f>WEEKNUM(B771)</f>
        <v>0</v>
      </c>
      <c r="E771" s="22" t="str">
        <f>TEXT(B771,"mmm-yy")</f>
        <v>Jan-00</v>
      </c>
      <c r="F771" s="23"/>
      <c r="G771" s="24" t="str">
        <f>IFERROR(VLOOKUP(Table1[[#This Row],[Compressor]],$K$9:$L$18,2,FALSE),"0")</f>
        <v>0</v>
      </c>
      <c r="H771" s="25"/>
      <c r="I771" s="33"/>
    </row>
    <row r="772" spans="2:9" x14ac:dyDescent="0.3">
      <c r="B772" s="34"/>
      <c r="C772" s="21" t="str">
        <f>TEXT(B772,"DDD")</f>
        <v>Sat</v>
      </c>
      <c r="D772" s="22">
        <f>WEEKNUM(B772)</f>
        <v>0</v>
      </c>
      <c r="E772" s="22" t="str">
        <f>TEXT(B772,"mmm-yy")</f>
        <v>Jan-00</v>
      </c>
      <c r="F772" s="23"/>
      <c r="G772" s="24" t="str">
        <f>IFERROR(VLOOKUP(Table1[[#This Row],[Compressor]],$K$9:$L$18,2,FALSE),"0")</f>
        <v>0</v>
      </c>
      <c r="H772" s="25"/>
      <c r="I772" s="33"/>
    </row>
    <row r="773" spans="2:9" x14ac:dyDescent="0.3">
      <c r="B773" s="34"/>
      <c r="C773" s="21" t="str">
        <f>TEXT(B773,"DDD")</f>
        <v>Sat</v>
      </c>
      <c r="D773" s="22">
        <f>WEEKNUM(B773)</f>
        <v>0</v>
      </c>
      <c r="E773" s="22" t="str">
        <f>TEXT(B773,"mmm-yy")</f>
        <v>Jan-00</v>
      </c>
      <c r="F773" s="23"/>
      <c r="G773" s="24" t="str">
        <f>IFERROR(VLOOKUP(Table1[[#This Row],[Compressor]],$K$9:$L$18,2,FALSE),"0")</f>
        <v>0</v>
      </c>
      <c r="H773" s="25"/>
      <c r="I773" s="33"/>
    </row>
    <row r="774" spans="2:9" x14ac:dyDescent="0.3">
      <c r="B774" s="34"/>
      <c r="C774" s="21" t="str">
        <f>TEXT(B774,"DDD")</f>
        <v>Sat</v>
      </c>
      <c r="D774" s="22">
        <f>WEEKNUM(B774)</f>
        <v>0</v>
      </c>
      <c r="E774" s="22" t="str">
        <f>TEXT(B774,"mmm-yy")</f>
        <v>Jan-00</v>
      </c>
      <c r="F774" s="23"/>
      <c r="G774" s="24" t="str">
        <f>IFERROR(VLOOKUP(Table1[[#This Row],[Compressor]],$K$9:$L$18,2,FALSE),"0")</f>
        <v>0</v>
      </c>
      <c r="H774" s="25"/>
      <c r="I774" s="33"/>
    </row>
    <row r="775" spans="2:9" x14ac:dyDescent="0.3">
      <c r="B775" s="34"/>
      <c r="C775" s="21" t="str">
        <f>TEXT(B775,"DDD")</f>
        <v>Sat</v>
      </c>
      <c r="D775" s="22">
        <f>WEEKNUM(B775)</f>
        <v>0</v>
      </c>
      <c r="E775" s="22" t="str">
        <f>TEXT(B775,"mmm-yy")</f>
        <v>Jan-00</v>
      </c>
      <c r="F775" s="23"/>
      <c r="G775" s="24" t="str">
        <f>IFERROR(VLOOKUP(Table1[[#This Row],[Compressor]],$K$9:$L$18,2,FALSE),"0")</f>
        <v>0</v>
      </c>
      <c r="H775" s="25"/>
      <c r="I775" s="33"/>
    </row>
    <row r="776" spans="2:9" x14ac:dyDescent="0.3">
      <c r="B776" s="34"/>
      <c r="C776" s="21" t="str">
        <f>TEXT(B776,"DDD")</f>
        <v>Sat</v>
      </c>
      <c r="D776" s="22">
        <f>WEEKNUM(B776)</f>
        <v>0</v>
      </c>
      <c r="E776" s="22" t="str">
        <f>TEXT(B776,"mmm-yy")</f>
        <v>Jan-00</v>
      </c>
      <c r="F776" s="23"/>
      <c r="G776" s="24" t="str">
        <f>IFERROR(VLOOKUP(Table1[[#This Row],[Compressor]],$K$9:$L$18,2,FALSE),"0")</f>
        <v>0</v>
      </c>
      <c r="H776" s="25"/>
      <c r="I776" s="33"/>
    </row>
    <row r="777" spans="2:9" x14ac:dyDescent="0.3">
      <c r="B777" s="34"/>
      <c r="C777" s="21" t="str">
        <f>TEXT(B777,"DDD")</f>
        <v>Sat</v>
      </c>
      <c r="D777" s="22">
        <f>WEEKNUM(B777)</f>
        <v>0</v>
      </c>
      <c r="E777" s="22" t="str">
        <f>TEXT(B777,"mmm-yy")</f>
        <v>Jan-00</v>
      </c>
      <c r="F777" s="23"/>
      <c r="G777" s="24" t="str">
        <f>IFERROR(VLOOKUP(Table1[[#This Row],[Compressor]],$K$9:$L$18,2,FALSE),"0")</f>
        <v>0</v>
      </c>
      <c r="H777" s="25"/>
      <c r="I777" s="33"/>
    </row>
    <row r="778" spans="2:9" x14ac:dyDescent="0.3">
      <c r="B778" s="34"/>
      <c r="C778" s="21" t="str">
        <f>TEXT(B778,"DDD")</f>
        <v>Sat</v>
      </c>
      <c r="D778" s="22">
        <f>WEEKNUM(B778)</f>
        <v>0</v>
      </c>
      <c r="E778" s="22" t="str">
        <f>TEXT(B778,"mmm-yy")</f>
        <v>Jan-00</v>
      </c>
      <c r="F778" s="23"/>
      <c r="G778" s="24" t="str">
        <f>IFERROR(VLOOKUP(Table1[[#This Row],[Compressor]],$K$9:$L$18,2,FALSE),"0")</f>
        <v>0</v>
      </c>
      <c r="H778" s="25"/>
      <c r="I778" s="33"/>
    </row>
    <row r="779" spans="2:9" x14ac:dyDescent="0.3">
      <c r="B779" s="34"/>
      <c r="C779" s="21" t="str">
        <f>TEXT(B779,"DDD")</f>
        <v>Sat</v>
      </c>
      <c r="D779" s="22">
        <f>WEEKNUM(B779)</f>
        <v>0</v>
      </c>
      <c r="E779" s="22" t="str">
        <f>TEXT(B779,"mmm-yy")</f>
        <v>Jan-00</v>
      </c>
      <c r="F779" s="23"/>
      <c r="G779" s="24" t="str">
        <f>IFERROR(VLOOKUP(Table1[[#This Row],[Compressor]],$K$9:$L$18,2,FALSE),"0")</f>
        <v>0</v>
      </c>
      <c r="H779" s="25"/>
      <c r="I779" s="33"/>
    </row>
    <row r="780" spans="2:9" x14ac:dyDescent="0.3">
      <c r="B780" s="34"/>
      <c r="C780" s="21" t="str">
        <f>TEXT(B780,"DDD")</f>
        <v>Sat</v>
      </c>
      <c r="D780" s="22">
        <f>WEEKNUM(B780)</f>
        <v>0</v>
      </c>
      <c r="E780" s="22" t="str">
        <f>TEXT(B780,"mmm-yy")</f>
        <v>Jan-00</v>
      </c>
      <c r="F780" s="23"/>
      <c r="G780" s="24" t="str">
        <f>IFERROR(VLOOKUP(Table1[[#This Row],[Compressor]],$K$9:$L$18,2,FALSE),"0")</f>
        <v>0</v>
      </c>
      <c r="H780" s="25"/>
      <c r="I780" s="33"/>
    </row>
    <row r="781" spans="2:9" x14ac:dyDescent="0.3">
      <c r="B781" s="34"/>
      <c r="C781" s="21" t="str">
        <f>TEXT(B781,"DDD")</f>
        <v>Sat</v>
      </c>
      <c r="D781" s="22">
        <f>WEEKNUM(B781)</f>
        <v>0</v>
      </c>
      <c r="E781" s="22" t="str">
        <f>TEXT(B781,"mmm-yy")</f>
        <v>Jan-00</v>
      </c>
      <c r="F781" s="23"/>
      <c r="G781" s="24" t="str">
        <f>IFERROR(VLOOKUP(Table1[[#This Row],[Compressor]],$K$9:$L$18,2,FALSE),"0")</f>
        <v>0</v>
      </c>
      <c r="H781" s="25"/>
      <c r="I781" s="33"/>
    </row>
    <row r="782" spans="2:9" x14ac:dyDescent="0.3">
      <c r="B782" s="34"/>
      <c r="C782" s="21" t="str">
        <f>TEXT(B782,"DDD")</f>
        <v>Sat</v>
      </c>
      <c r="D782" s="22">
        <f>WEEKNUM(B782)</f>
        <v>0</v>
      </c>
      <c r="E782" s="22" t="str">
        <f>TEXT(B782,"mmm-yy")</f>
        <v>Jan-00</v>
      </c>
      <c r="F782" s="23"/>
      <c r="G782" s="24" t="str">
        <f>IFERROR(VLOOKUP(Table1[[#This Row],[Compressor]],$K$9:$L$18,2,FALSE),"0")</f>
        <v>0</v>
      </c>
      <c r="H782" s="25"/>
      <c r="I782" s="33"/>
    </row>
    <row r="783" spans="2:9" x14ac:dyDescent="0.3">
      <c r="B783" s="34"/>
      <c r="C783" s="21" t="str">
        <f>TEXT(B783,"DDD")</f>
        <v>Sat</v>
      </c>
      <c r="D783" s="22">
        <f>WEEKNUM(B783)</f>
        <v>0</v>
      </c>
      <c r="E783" s="22" t="str">
        <f>TEXT(B783,"mmm-yy")</f>
        <v>Jan-00</v>
      </c>
      <c r="F783" s="23"/>
      <c r="G783" s="24" t="str">
        <f>IFERROR(VLOOKUP(Table1[[#This Row],[Compressor]],$K$9:$L$18,2,FALSE),"0")</f>
        <v>0</v>
      </c>
      <c r="H783" s="25"/>
      <c r="I783" s="33"/>
    </row>
    <row r="784" spans="2:9" x14ac:dyDescent="0.3">
      <c r="B784" s="34"/>
      <c r="C784" s="21" t="str">
        <f>TEXT(B784,"DDD")</f>
        <v>Sat</v>
      </c>
      <c r="D784" s="22">
        <f>WEEKNUM(B784)</f>
        <v>0</v>
      </c>
      <c r="E784" s="22" t="str">
        <f>TEXT(B784,"mmm-yy")</f>
        <v>Jan-00</v>
      </c>
      <c r="F784" s="23"/>
      <c r="G784" s="24" t="str">
        <f>IFERROR(VLOOKUP(Table1[[#This Row],[Compressor]],$K$9:$L$18,2,FALSE),"0")</f>
        <v>0</v>
      </c>
      <c r="H784" s="25"/>
      <c r="I784" s="33"/>
    </row>
    <row r="785" spans="2:9" x14ac:dyDescent="0.3">
      <c r="B785" s="34"/>
      <c r="C785" s="21" t="str">
        <f>TEXT(B785,"DDD")</f>
        <v>Sat</v>
      </c>
      <c r="D785" s="22">
        <f>WEEKNUM(B785)</f>
        <v>0</v>
      </c>
      <c r="E785" s="22" t="str">
        <f>TEXT(B785,"mmm-yy")</f>
        <v>Jan-00</v>
      </c>
      <c r="F785" s="23"/>
      <c r="G785" s="24" t="str">
        <f>IFERROR(VLOOKUP(Table1[[#This Row],[Compressor]],$K$9:$L$18,2,FALSE),"0")</f>
        <v>0</v>
      </c>
      <c r="H785" s="25"/>
      <c r="I785" s="33"/>
    </row>
    <row r="786" spans="2:9" x14ac:dyDescent="0.3">
      <c r="B786" s="34"/>
      <c r="C786" s="21" t="str">
        <f>TEXT(B786,"DDD")</f>
        <v>Sat</v>
      </c>
      <c r="D786" s="22">
        <f>WEEKNUM(B786)</f>
        <v>0</v>
      </c>
      <c r="E786" s="22" t="str">
        <f>TEXT(B786,"mmm-yy")</f>
        <v>Jan-00</v>
      </c>
      <c r="F786" s="23"/>
      <c r="G786" s="24" t="str">
        <f>IFERROR(VLOOKUP(Table1[[#This Row],[Compressor]],$K$9:$L$18,2,FALSE),"0")</f>
        <v>0</v>
      </c>
      <c r="H786" s="25"/>
      <c r="I786" s="33"/>
    </row>
    <row r="787" spans="2:9" x14ac:dyDescent="0.3">
      <c r="B787" s="34"/>
      <c r="C787" s="21" t="str">
        <f>TEXT(B787,"DDD")</f>
        <v>Sat</v>
      </c>
      <c r="D787" s="22">
        <f>WEEKNUM(B787)</f>
        <v>0</v>
      </c>
      <c r="E787" s="22" t="str">
        <f>TEXT(B787,"mmm-yy")</f>
        <v>Jan-00</v>
      </c>
      <c r="F787" s="23"/>
      <c r="G787" s="24" t="str">
        <f>IFERROR(VLOOKUP(Table1[[#This Row],[Compressor]],$K$9:$L$18,2,FALSE),"0")</f>
        <v>0</v>
      </c>
      <c r="H787" s="25"/>
      <c r="I787" s="33"/>
    </row>
    <row r="788" spans="2:9" x14ac:dyDescent="0.3">
      <c r="B788" s="34"/>
      <c r="C788" s="21" t="str">
        <f>TEXT(B788,"DDD")</f>
        <v>Sat</v>
      </c>
      <c r="D788" s="22">
        <f>WEEKNUM(B788)</f>
        <v>0</v>
      </c>
      <c r="E788" s="22" t="str">
        <f>TEXT(B788,"mmm-yy")</f>
        <v>Jan-00</v>
      </c>
      <c r="F788" s="23"/>
      <c r="G788" s="24" t="str">
        <f>IFERROR(VLOOKUP(Table1[[#This Row],[Compressor]],$K$9:$L$18,2,FALSE),"0")</f>
        <v>0</v>
      </c>
      <c r="H788" s="25"/>
      <c r="I788" s="33"/>
    </row>
    <row r="789" spans="2:9" x14ac:dyDescent="0.3">
      <c r="B789" s="34"/>
      <c r="C789" s="21" t="str">
        <f>TEXT(B789,"DDD")</f>
        <v>Sat</v>
      </c>
      <c r="D789" s="22">
        <f>WEEKNUM(B789)</f>
        <v>0</v>
      </c>
      <c r="E789" s="22" t="str">
        <f>TEXT(B789,"mmm-yy")</f>
        <v>Jan-00</v>
      </c>
      <c r="F789" s="23"/>
      <c r="G789" s="24" t="str">
        <f>IFERROR(VLOOKUP(Table1[[#This Row],[Compressor]],$K$9:$L$18,2,FALSE),"0")</f>
        <v>0</v>
      </c>
      <c r="H789" s="25"/>
      <c r="I789" s="33"/>
    </row>
    <row r="790" spans="2:9" x14ac:dyDescent="0.3">
      <c r="B790" s="34"/>
      <c r="C790" s="21" t="str">
        <f>TEXT(B790,"DDD")</f>
        <v>Sat</v>
      </c>
      <c r="D790" s="22">
        <f>WEEKNUM(B790)</f>
        <v>0</v>
      </c>
      <c r="E790" s="22" t="str">
        <f>TEXT(B790,"mmm-yy")</f>
        <v>Jan-00</v>
      </c>
      <c r="F790" s="23"/>
      <c r="G790" s="24" t="str">
        <f>IFERROR(VLOOKUP(Table1[[#This Row],[Compressor]],$K$9:$L$18,2,FALSE),"0")</f>
        <v>0</v>
      </c>
      <c r="H790" s="25"/>
      <c r="I790" s="33"/>
    </row>
    <row r="791" spans="2:9" x14ac:dyDescent="0.3">
      <c r="B791" s="34"/>
      <c r="C791" s="21" t="str">
        <f>TEXT(B791,"DDD")</f>
        <v>Sat</v>
      </c>
      <c r="D791" s="22">
        <f>WEEKNUM(B791)</f>
        <v>0</v>
      </c>
      <c r="E791" s="22" t="str">
        <f>TEXT(B791,"mmm-yy")</f>
        <v>Jan-00</v>
      </c>
      <c r="F791" s="23"/>
      <c r="G791" s="24" t="str">
        <f>IFERROR(VLOOKUP(Table1[[#This Row],[Compressor]],$K$9:$L$18,2,FALSE),"0")</f>
        <v>0</v>
      </c>
      <c r="H791" s="25"/>
      <c r="I791" s="33"/>
    </row>
    <row r="792" spans="2:9" x14ac:dyDescent="0.3">
      <c r="B792" s="34"/>
      <c r="C792" s="21" t="str">
        <f>TEXT(B792,"DDD")</f>
        <v>Sat</v>
      </c>
      <c r="D792" s="22">
        <f>WEEKNUM(B792)</f>
        <v>0</v>
      </c>
      <c r="E792" s="22" t="str">
        <f>TEXT(B792,"mmm-yy")</f>
        <v>Jan-00</v>
      </c>
      <c r="F792" s="23"/>
      <c r="G792" s="24" t="str">
        <f>IFERROR(VLOOKUP(Table1[[#This Row],[Compressor]],$K$9:$L$18,2,FALSE),"0")</f>
        <v>0</v>
      </c>
      <c r="H792" s="25"/>
      <c r="I792" s="33"/>
    </row>
    <row r="793" spans="2:9" x14ac:dyDescent="0.3">
      <c r="B793" s="34"/>
      <c r="C793" s="21" t="str">
        <f>TEXT(B793,"DDD")</f>
        <v>Sat</v>
      </c>
      <c r="D793" s="22">
        <f>WEEKNUM(B793)</f>
        <v>0</v>
      </c>
      <c r="E793" s="22" t="str">
        <f>TEXT(B793,"mmm-yy")</f>
        <v>Jan-00</v>
      </c>
      <c r="F793" s="23"/>
      <c r="G793" s="24" t="str">
        <f>IFERROR(VLOOKUP(Table1[[#This Row],[Compressor]],$K$9:$L$18,2,FALSE),"0")</f>
        <v>0</v>
      </c>
      <c r="H793" s="25"/>
      <c r="I793" s="33"/>
    </row>
    <row r="794" spans="2:9" x14ac:dyDescent="0.3">
      <c r="B794" s="34"/>
      <c r="C794" s="21" t="str">
        <f>TEXT(B794,"DDD")</f>
        <v>Sat</v>
      </c>
      <c r="D794" s="22">
        <f>WEEKNUM(B794)</f>
        <v>0</v>
      </c>
      <c r="E794" s="22" t="str">
        <f>TEXT(B794,"mmm-yy")</f>
        <v>Jan-00</v>
      </c>
      <c r="F794" s="23"/>
      <c r="G794" s="24" t="str">
        <f>IFERROR(VLOOKUP(Table1[[#This Row],[Compressor]],$K$9:$L$18,2,FALSE),"0")</f>
        <v>0</v>
      </c>
      <c r="H794" s="25"/>
      <c r="I794" s="33"/>
    </row>
    <row r="795" spans="2:9" x14ac:dyDescent="0.3">
      <c r="B795" s="34"/>
      <c r="C795" s="21" t="str">
        <f>TEXT(B795,"DDD")</f>
        <v>Sat</v>
      </c>
      <c r="D795" s="22">
        <f>WEEKNUM(B795)</f>
        <v>0</v>
      </c>
      <c r="E795" s="22" t="str">
        <f>TEXT(B795,"mmm-yy")</f>
        <v>Jan-00</v>
      </c>
      <c r="F795" s="23"/>
      <c r="G795" s="24" t="str">
        <f>IFERROR(VLOOKUP(Table1[[#This Row],[Compressor]],$K$9:$L$18,2,FALSE),"0")</f>
        <v>0</v>
      </c>
      <c r="H795" s="25"/>
      <c r="I795" s="33"/>
    </row>
    <row r="796" spans="2:9" x14ac:dyDescent="0.3">
      <c r="B796" s="34"/>
      <c r="C796" s="21" t="str">
        <f>TEXT(B796,"DDD")</f>
        <v>Sat</v>
      </c>
      <c r="D796" s="22">
        <f>WEEKNUM(B796)</f>
        <v>0</v>
      </c>
      <c r="E796" s="22" t="str">
        <f>TEXT(B796,"mmm-yy")</f>
        <v>Jan-00</v>
      </c>
      <c r="F796" s="23"/>
      <c r="G796" s="24" t="str">
        <f>IFERROR(VLOOKUP(Table1[[#This Row],[Compressor]],$K$9:$L$18,2,FALSE),"0")</f>
        <v>0</v>
      </c>
      <c r="H796" s="25"/>
      <c r="I796" s="33"/>
    </row>
    <row r="797" spans="2:9" x14ac:dyDescent="0.3">
      <c r="B797" s="34"/>
      <c r="C797" s="21" t="str">
        <f>TEXT(B797,"DDD")</f>
        <v>Sat</v>
      </c>
      <c r="D797" s="22">
        <f>WEEKNUM(B797)</f>
        <v>0</v>
      </c>
      <c r="E797" s="22" t="str">
        <f>TEXT(B797,"mmm-yy")</f>
        <v>Jan-00</v>
      </c>
      <c r="F797" s="23"/>
      <c r="G797" s="24" t="str">
        <f>IFERROR(VLOOKUP(Table1[[#This Row],[Compressor]],$K$9:$L$18,2,FALSE),"0")</f>
        <v>0</v>
      </c>
      <c r="H797" s="25"/>
      <c r="I797" s="33"/>
    </row>
    <row r="798" spans="2:9" x14ac:dyDescent="0.3">
      <c r="B798" s="34"/>
      <c r="C798" s="21" t="str">
        <f>TEXT(B798,"DDD")</f>
        <v>Sat</v>
      </c>
      <c r="D798" s="22">
        <f>WEEKNUM(B798)</f>
        <v>0</v>
      </c>
      <c r="E798" s="22" t="str">
        <f>TEXT(B798,"mmm-yy")</f>
        <v>Jan-00</v>
      </c>
      <c r="F798" s="23"/>
      <c r="G798" s="24" t="str">
        <f>IFERROR(VLOOKUP(Table1[[#This Row],[Compressor]],$K$9:$L$18,2,FALSE),"0")</f>
        <v>0</v>
      </c>
      <c r="H798" s="25"/>
      <c r="I798" s="33"/>
    </row>
    <row r="799" spans="2:9" x14ac:dyDescent="0.3">
      <c r="B799" s="34"/>
      <c r="C799" s="21" t="str">
        <f>TEXT(B799,"DDD")</f>
        <v>Sat</v>
      </c>
      <c r="D799" s="22">
        <f>WEEKNUM(B799)</f>
        <v>0</v>
      </c>
      <c r="E799" s="22" t="str">
        <f>TEXT(B799,"mmm-yy")</f>
        <v>Jan-00</v>
      </c>
      <c r="F799" s="23"/>
      <c r="G799" s="24" t="str">
        <f>IFERROR(VLOOKUP(Table1[[#This Row],[Compressor]],$K$9:$L$18,2,FALSE),"0")</f>
        <v>0</v>
      </c>
      <c r="H799" s="25"/>
      <c r="I799" s="33"/>
    </row>
    <row r="800" spans="2:9" x14ac:dyDescent="0.3">
      <c r="B800" s="34"/>
      <c r="C800" s="21" t="str">
        <f>TEXT(B800,"DDD")</f>
        <v>Sat</v>
      </c>
      <c r="D800" s="22">
        <f>WEEKNUM(B800)</f>
        <v>0</v>
      </c>
      <c r="E800" s="22" t="str">
        <f>TEXT(B800,"mmm-yy")</f>
        <v>Jan-00</v>
      </c>
      <c r="F800" s="23"/>
      <c r="G800" s="24" t="str">
        <f>IFERROR(VLOOKUP(Table1[[#This Row],[Compressor]],$K$9:$L$18,2,FALSE),"0")</f>
        <v>0</v>
      </c>
      <c r="H800" s="25"/>
      <c r="I800" s="33"/>
    </row>
  </sheetData>
  <protectedRanges>
    <protectedRange sqref="B3:E4 C5:E317 B5:B183" name="Range1_1"/>
  </protectedRanges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 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Kaliyappan</dc:creator>
  <cp:lastModifiedBy>sailokesh rachamallu</cp:lastModifiedBy>
  <dcterms:created xsi:type="dcterms:W3CDTF">2023-10-03T10:59:44Z</dcterms:created>
  <dcterms:modified xsi:type="dcterms:W3CDTF">2026-07-18T14:48:10Z</dcterms:modified>
</cp:coreProperties>
</file>