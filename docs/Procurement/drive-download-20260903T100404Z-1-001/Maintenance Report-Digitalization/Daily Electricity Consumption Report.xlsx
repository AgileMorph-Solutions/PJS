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Maintenance Formats\"/>
    </mc:Choice>
  </mc:AlternateContent>
  <xr:revisionPtr revIDLastSave="0" documentId="13_ncr:1_{988703C1-AD41-4791-9E24-736126851194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Sheet2" sheetId="9" state="hidden" r:id="rId1"/>
    <sheet name="Electricity Consumption" sheetId="6" r:id="rId2"/>
    <sheet name="Sheet1" sheetId="7" state="hidden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6" l="1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4" i="6"/>
  <c r="M65" i="6"/>
  <c r="M66" i="6"/>
  <c r="M67" i="6"/>
  <c r="M77" i="6"/>
  <c r="M78" i="6"/>
  <c r="M79" i="6"/>
  <c r="K65" i="6"/>
  <c r="K66" i="6"/>
  <c r="K67" i="6"/>
  <c r="K68" i="6"/>
  <c r="M68" i="6" s="1"/>
  <c r="K69" i="6"/>
  <c r="M69" i="6" s="1"/>
  <c r="K70" i="6"/>
  <c r="M70" i="6" s="1"/>
  <c r="K71" i="6"/>
  <c r="M71" i="6" s="1"/>
  <c r="K72" i="6"/>
  <c r="M72" i="6" s="1"/>
  <c r="K73" i="6"/>
  <c r="M73" i="6" s="1"/>
  <c r="K74" i="6"/>
  <c r="M74" i="6" s="1"/>
  <c r="K75" i="6"/>
  <c r="M75" i="6" s="1"/>
  <c r="K76" i="6"/>
  <c r="M76" i="6" s="1"/>
  <c r="K77" i="6"/>
  <c r="K78" i="6"/>
  <c r="K79" i="6"/>
  <c r="K80" i="6"/>
  <c r="M80" i="6" s="1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35" i="6" l="1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C5" i="6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K35" i="6"/>
  <c r="M35" i="6" s="1"/>
  <c r="K36" i="6"/>
  <c r="M36" i="6" s="1"/>
  <c r="K37" i="6"/>
  <c r="M37" i="6" s="1"/>
  <c r="K38" i="6"/>
  <c r="M38" i="6" s="1"/>
  <c r="K39" i="6"/>
  <c r="M39" i="6" s="1"/>
  <c r="K40" i="6"/>
  <c r="M40" i="6" s="1"/>
  <c r="K41" i="6"/>
  <c r="M41" i="6" s="1"/>
  <c r="K42" i="6"/>
  <c r="M42" i="6" s="1"/>
  <c r="K43" i="6"/>
  <c r="M43" i="6" s="1"/>
  <c r="K44" i="6"/>
  <c r="M44" i="6" s="1"/>
  <c r="K45" i="6"/>
  <c r="M45" i="6" s="1"/>
  <c r="K46" i="6"/>
  <c r="M46" i="6" s="1"/>
  <c r="K47" i="6"/>
  <c r="M47" i="6" s="1"/>
  <c r="K48" i="6"/>
  <c r="M48" i="6" s="1"/>
  <c r="K49" i="6"/>
  <c r="M49" i="6" s="1"/>
  <c r="K50" i="6"/>
  <c r="M50" i="6" s="1"/>
  <c r="K51" i="6"/>
  <c r="M51" i="6" s="1"/>
  <c r="K52" i="6"/>
  <c r="M52" i="6" s="1"/>
  <c r="K53" i="6"/>
  <c r="M53" i="6" s="1"/>
  <c r="K54" i="6"/>
  <c r="M54" i="6" s="1"/>
  <c r="K55" i="6"/>
  <c r="M55" i="6" s="1"/>
  <c r="K56" i="6"/>
  <c r="M56" i="6" s="1"/>
  <c r="K57" i="6"/>
  <c r="M57" i="6" s="1"/>
  <c r="K58" i="6"/>
  <c r="M58" i="6" s="1"/>
  <c r="K59" i="6"/>
  <c r="M59" i="6" s="1"/>
  <c r="K60" i="6"/>
  <c r="M60" i="6" s="1"/>
  <c r="K61" i="6"/>
  <c r="M61" i="6" s="1"/>
  <c r="K62" i="6"/>
  <c r="M62" i="6" s="1"/>
  <c r="K63" i="6"/>
  <c r="M63" i="6" s="1"/>
  <c r="K64" i="6"/>
  <c r="M64" i="6" s="1"/>
  <c r="D10" i="9"/>
  <c r="D5" i="9"/>
  <c r="D6" i="9"/>
  <c r="D7" i="9"/>
  <c r="D8" i="9"/>
  <c r="D9" i="9"/>
  <c r="D4" i="9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I34" i="6"/>
  <c r="I33" i="6"/>
  <c r="I32" i="6"/>
  <c r="I31" i="6"/>
  <c r="I30" i="6"/>
  <c r="I29" i="6"/>
  <c r="I28" i="6"/>
  <c r="I27" i="6"/>
  <c r="I26" i="6"/>
  <c r="I25" i="6"/>
  <c r="I21" i="6"/>
  <c r="I18" i="6"/>
  <c r="K34" i="6" l="1"/>
  <c r="M34" i="6" s="1"/>
  <c r="K22" i="6"/>
  <c r="M22" i="6" s="1"/>
  <c r="K23" i="6"/>
  <c r="M23" i="6" s="1"/>
  <c r="K24" i="6"/>
  <c r="M24" i="6" s="1"/>
  <c r="K25" i="6"/>
  <c r="M25" i="6" s="1"/>
  <c r="K26" i="6"/>
  <c r="M26" i="6" s="1"/>
  <c r="K27" i="6"/>
  <c r="M27" i="6" s="1"/>
  <c r="K28" i="6"/>
  <c r="M28" i="6" s="1"/>
  <c r="K29" i="6"/>
  <c r="M29" i="6" s="1"/>
  <c r="K30" i="6"/>
  <c r="M30" i="6" s="1"/>
  <c r="K31" i="6"/>
  <c r="M31" i="6" s="1"/>
  <c r="K32" i="6"/>
  <c r="M32" i="6" s="1"/>
  <c r="K33" i="6"/>
  <c r="M33" i="6" s="1"/>
  <c r="K18" i="6"/>
  <c r="M18" i="6" s="1"/>
  <c r="K4" i="6"/>
  <c r="M4" i="6" s="1"/>
  <c r="I6" i="6"/>
  <c r="I7" i="6"/>
  <c r="I8" i="6"/>
  <c r="I9" i="6"/>
  <c r="I10" i="6"/>
  <c r="I11" i="6"/>
  <c r="I12" i="6"/>
  <c r="I13" i="6"/>
  <c r="K13" i="6" s="1"/>
  <c r="M13" i="6" s="1"/>
  <c r="I14" i="6"/>
  <c r="K14" i="6" s="1"/>
  <c r="M14" i="6" s="1"/>
  <c r="I15" i="6"/>
  <c r="K15" i="6" s="1"/>
  <c r="M15" i="6" s="1"/>
  <c r="I16" i="6"/>
  <c r="K16" i="6" s="1"/>
  <c r="M16" i="6" s="1"/>
  <c r="I17" i="6"/>
  <c r="K17" i="6" s="1"/>
  <c r="M17" i="6" s="1"/>
  <c r="I19" i="6"/>
  <c r="K19" i="6" s="1"/>
  <c r="M19" i="6" s="1"/>
  <c r="I20" i="6"/>
  <c r="K20" i="6" s="1"/>
  <c r="M20" i="6" s="1"/>
  <c r="K21" i="6"/>
  <c r="M21" i="6" s="1"/>
  <c r="I5" i="6"/>
  <c r="K5" i="6" l="1"/>
  <c r="M5" i="6" s="1"/>
  <c r="K6" i="6"/>
  <c r="M6" i="6" s="1"/>
  <c r="K7" i="6"/>
  <c r="M7" i="6" s="1"/>
  <c r="K8" i="6"/>
  <c r="M8" i="6" s="1"/>
  <c r="K9" i="6"/>
  <c r="M9" i="6" s="1"/>
  <c r="K10" i="6"/>
  <c r="M10" i="6" s="1"/>
  <c r="K11" i="6"/>
  <c r="M11" i="6" s="1"/>
  <c r="K12" i="6"/>
  <c r="M12" i="6" s="1"/>
</calcChain>
</file>

<file path=xl/sharedStrings.xml><?xml version="1.0" encoding="utf-8"?>
<sst xmlns="http://schemas.openxmlformats.org/spreadsheetml/2006/main" count="46" uniqueCount="32">
  <si>
    <t>S.N.</t>
  </si>
  <si>
    <t>Date</t>
  </si>
  <si>
    <t xml:space="preserve">Previous Reading </t>
  </si>
  <si>
    <t xml:space="preserve">Current  
Reading </t>
  </si>
  <si>
    <t xml:space="preserve">Reading Recording Time </t>
  </si>
  <si>
    <t>KWH/MT</t>
  </si>
  <si>
    <t xml:space="preserve">Remarks </t>
  </si>
  <si>
    <t>Anagroci</t>
  </si>
  <si>
    <t>00:00-7:30 hrs</t>
  </si>
  <si>
    <t>Consumption</t>
  </si>
  <si>
    <t>Total Consumption
(Kwh)</t>
  </si>
  <si>
    <t>19:30-23:00 hrs</t>
  </si>
  <si>
    <t>7:30-19:30 hrs,23:00-24:00 hrs</t>
  </si>
  <si>
    <t>PF</t>
  </si>
  <si>
    <t>Unit Consumption (Kwh)</t>
  </si>
  <si>
    <t>HT panel tripped. DG used</t>
  </si>
  <si>
    <t>power cut DG use</t>
  </si>
  <si>
    <t>Shelling preventive &amp; some fabrication work carried out</t>
  </si>
  <si>
    <t>Daily Electricity  Consumption  Report- May -26</t>
  </si>
  <si>
    <t>Week</t>
  </si>
  <si>
    <t>Row Labels</t>
  </si>
  <si>
    <t>Grand Total</t>
  </si>
  <si>
    <t xml:space="preserve">Unit Consumption (Kwh) </t>
  </si>
  <si>
    <t>Shelling Vol (MT)</t>
  </si>
  <si>
    <t xml:space="preserve">Shelling Vol (MT) </t>
  </si>
  <si>
    <t>S.No</t>
  </si>
  <si>
    <t xml:space="preserve">Current  Reading </t>
  </si>
  <si>
    <t>Power Factor</t>
  </si>
  <si>
    <t>Daily Electricity  Consumption  Report</t>
  </si>
  <si>
    <t>-</t>
  </si>
  <si>
    <t>Day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</si>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</sst>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h:mm;@"/>
    <numFmt numFmtId="167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Algerian"/>
      <family val="5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90">
    <xf numFmtId="0" fontId="0" fillId="0" borderId="0" xfId="0"/>
    <xf numFmtId="0" fontId="1" fillId="2" borderId="2" xfId="0" applyFont="1" applyFill="1" applyBorder="1"/>
    <xf numFmtId="16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vertical="center"/>
    </xf>
    <xf numFmtId="167" fontId="0" fillId="0" borderId="1" xfId="0" applyNumberForma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7" fontId="0" fillId="2" borderId="1" xfId="1" applyNumberFormat="1" applyFont="1" applyFill="1" applyBorder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5" fontId="1" fillId="2" borderId="1" xfId="0" applyNumberFormat="1" applyFont="1" applyFill="1" applyBorder="1" applyAlignment="1">
      <alignment vertical="center"/>
    </xf>
    <xf numFmtId="167" fontId="0" fillId="2" borderId="1" xfId="1" applyNumberFormat="1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wrapText="1"/>
    </xf>
    <xf numFmtId="2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/>
    <xf numFmtId="1" fontId="0" fillId="2" borderId="1" xfId="1" applyNumberFormat="1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7" fontId="0" fillId="2" borderId="1" xfId="0" applyNumberForma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167" fontId="1" fillId="2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vertical="center"/>
    </xf>
    <xf numFmtId="165" fontId="1" fillId="2" borderId="2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8" borderId="8" xfId="0" applyFont="1" applyFill="1" applyBorder="1"/>
    <xf numFmtId="0" fontId="1" fillId="8" borderId="9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0" fillId="0" borderId="0" xfId="0" applyFont="1" applyAlignment="1">
      <alignment horizontal="right"/>
    </xf>
    <xf numFmtId="164" fontId="0" fillId="0" borderId="0" xfId="1" applyFont="1" applyAlignment="1">
      <alignment horizontal="right"/>
    </xf>
    <xf numFmtId="0" fontId="0" fillId="2" borderId="13" xfId="0" applyFont="1" applyFill="1" applyBorder="1" applyAlignment="1">
      <alignment horizontal="right"/>
    </xf>
    <xf numFmtId="14" fontId="0" fillId="2" borderId="13" xfId="0" applyNumberFormat="1" applyFont="1" applyFill="1" applyBorder="1" applyAlignment="1">
      <alignment horizontal="right"/>
    </xf>
    <xf numFmtId="1" fontId="0" fillId="2" borderId="13" xfId="0" applyNumberFormat="1" applyFont="1" applyFill="1" applyBorder="1" applyAlignment="1">
      <alignment horizontal="right"/>
    </xf>
    <xf numFmtId="165" fontId="1" fillId="2" borderId="13" xfId="0" applyNumberFormat="1" applyFont="1" applyFill="1" applyBorder="1" applyAlignment="1">
      <alignment horizontal="right" vertical="center"/>
    </xf>
    <xf numFmtId="167" fontId="0" fillId="2" borderId="13" xfId="0" applyNumberFormat="1" applyFont="1" applyFill="1" applyBorder="1" applyAlignment="1">
      <alignment horizontal="right" vertical="center"/>
    </xf>
    <xf numFmtId="0" fontId="0" fillId="2" borderId="13" xfId="0" applyFont="1" applyFill="1" applyBorder="1" applyAlignment="1">
      <alignment horizontal="right" vertical="center"/>
    </xf>
    <xf numFmtId="165" fontId="0" fillId="2" borderId="13" xfId="0" applyNumberFormat="1" applyFont="1" applyFill="1" applyBorder="1" applyAlignment="1">
      <alignment horizontal="right" vertical="center"/>
    </xf>
    <xf numFmtId="2" fontId="0" fillId="2" borderId="13" xfId="0" applyNumberFormat="1" applyFont="1" applyFill="1" applyBorder="1" applyAlignment="1">
      <alignment horizontal="right"/>
    </xf>
    <xf numFmtId="0" fontId="1" fillId="2" borderId="13" xfId="0" applyFont="1" applyFill="1" applyBorder="1" applyAlignment="1">
      <alignment horizontal="right"/>
    </xf>
    <xf numFmtId="167" fontId="0" fillId="2" borderId="13" xfId="0" applyNumberFormat="1" applyFont="1" applyFill="1" applyBorder="1" applyAlignment="1">
      <alignment horizontal="right"/>
    </xf>
    <xf numFmtId="1" fontId="0" fillId="0" borderId="13" xfId="0" applyNumberFormat="1" applyFont="1" applyBorder="1" applyAlignment="1">
      <alignment horizontal="right"/>
    </xf>
    <xf numFmtId="0" fontId="0" fillId="0" borderId="13" xfId="0" applyFont="1" applyBorder="1" applyAlignment="1">
      <alignment horizontal="right"/>
    </xf>
    <xf numFmtId="2" fontId="0" fillId="2" borderId="13" xfId="0" applyNumberFormat="1" applyFont="1" applyFill="1" applyBorder="1" applyAlignment="1">
      <alignment horizontal="right" vertical="center"/>
    </xf>
    <xf numFmtId="2" fontId="0" fillId="2" borderId="13" xfId="0" applyNumberFormat="1" applyFont="1" applyFill="1" applyBorder="1" applyAlignment="1">
      <alignment horizontal="right"/>
    </xf>
    <xf numFmtId="14" fontId="0" fillId="0" borderId="13" xfId="0" applyNumberFormat="1" applyFont="1" applyBorder="1" applyAlignment="1">
      <alignment horizontal="right"/>
    </xf>
    <xf numFmtId="20" fontId="0" fillId="0" borderId="13" xfId="0" applyNumberFormat="1" applyFont="1" applyBorder="1" applyAlignment="1">
      <alignment horizontal="right"/>
    </xf>
    <xf numFmtId="164" fontId="0" fillId="0" borderId="13" xfId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3" xfId="0" applyFont="1" applyBorder="1" applyAlignment="1">
      <alignment horizontal="right" vertical="center"/>
    </xf>
    <xf numFmtId="0" fontId="7" fillId="4" borderId="13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164" fontId="0" fillId="2" borderId="14" xfId="1" applyFont="1" applyFill="1" applyBorder="1" applyAlignment="1">
      <alignment horizontal="right"/>
    </xf>
    <xf numFmtId="164" fontId="0" fillId="2" borderId="14" xfId="1" applyFont="1" applyFill="1" applyBorder="1" applyAlignment="1">
      <alignment horizontal="right" vertical="center"/>
    </xf>
    <xf numFmtId="164" fontId="0" fillId="0" borderId="14" xfId="1" applyFont="1" applyBorder="1" applyAlignment="1">
      <alignment horizontal="right"/>
    </xf>
    <xf numFmtId="0" fontId="0" fillId="2" borderId="15" xfId="0" applyFont="1" applyFill="1" applyBorder="1" applyAlignment="1">
      <alignment horizontal="right" vertical="center"/>
    </xf>
    <xf numFmtId="2" fontId="0" fillId="2" borderId="15" xfId="0" applyNumberFormat="1" applyFont="1" applyFill="1" applyBorder="1" applyAlignment="1">
      <alignment horizontal="right"/>
    </xf>
    <xf numFmtId="0" fontId="0" fillId="0" borderId="15" xfId="0" applyFont="1" applyBorder="1" applyAlignment="1">
      <alignment horizontal="right"/>
    </xf>
    <xf numFmtId="167" fontId="0" fillId="2" borderId="13" xfId="0" applyNumberFormat="1" applyFont="1" applyFill="1" applyBorder="1" applyAlignment="1">
      <alignment vertical="center"/>
    </xf>
    <xf numFmtId="167" fontId="0" fillId="2" borderId="13" xfId="0" applyNumberFormat="1" applyFill="1" applyBorder="1" applyAlignment="1"/>
    <xf numFmtId="0" fontId="0" fillId="0" borderId="15" xfId="0" applyFont="1" applyBorder="1" applyAlignment="1">
      <alignment horizontal="right" vertical="center"/>
    </xf>
    <xf numFmtId="164" fontId="2" fillId="0" borderId="14" xfId="1" applyFont="1" applyBorder="1" applyAlignment="1">
      <alignment horizontal="right"/>
    </xf>
    <xf numFmtId="164" fontId="2" fillId="0" borderId="14" xfId="1" applyFont="1" applyBorder="1" applyAlignment="1">
      <alignment horizontal="right" vertical="center"/>
    </xf>
    <xf numFmtId="1" fontId="0" fillId="2" borderId="14" xfId="0" applyNumberFormat="1" applyFont="1" applyFill="1" applyBorder="1" applyAlignment="1">
      <alignment horizontal="right"/>
    </xf>
    <xf numFmtId="20" fontId="0" fillId="0" borderId="16" xfId="0" applyNumberFormat="1" applyFont="1" applyBorder="1" applyAlignment="1">
      <alignment horizontal="right"/>
    </xf>
    <xf numFmtId="0" fontId="0" fillId="0" borderId="16" xfId="0" applyFont="1" applyBorder="1" applyAlignment="1">
      <alignment horizontal="right"/>
    </xf>
    <xf numFmtId="0" fontId="0" fillId="0" borderId="17" xfId="0" applyFont="1" applyBorder="1" applyAlignment="1">
      <alignment horizontal="right"/>
    </xf>
    <xf numFmtId="20" fontId="0" fillId="0" borderId="13" xfId="0" applyNumberFormat="1" applyBorder="1" applyAlignment="1">
      <alignment horizontal="right"/>
    </xf>
    <xf numFmtId="0" fontId="0" fillId="0" borderId="13" xfId="0" applyBorder="1" applyAlignment="1">
      <alignment horizontal="right"/>
    </xf>
    <xf numFmtId="164" fontId="2" fillId="0" borderId="13" xfId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48846</xdr:colOff>
      <xdr:row>2</xdr:row>
      <xdr:rowOff>61938</xdr:rowOff>
    </xdr:from>
    <xdr:to>
      <xdr:col>2</xdr:col>
      <xdr:colOff>1676400</xdr:colOff>
      <xdr:row>4</xdr:row>
      <xdr:rowOff>259080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2E996E6-85CE-4B03-A5B7-B5AE7257C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046" y="427698"/>
          <a:ext cx="1627554" cy="72292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6.432250347221" createdVersion="8" refreshedVersion="8" minRefreshableVersion="3" recordCount="32" xr:uid="{5B8DFD6C-B9BC-4012-B2D6-5FCAC5FAA4B4}">
  <cacheSource type="worksheet">
    <worksheetSource ref="C3:N34" sheet="Electricity Consumption"/>
  </cacheSource>
  <cacheFields count="10">
    <cacheField name="S.N." numFmtId="0">
      <sharedItems containsMixedTypes="1" containsNumber="1" containsInteger="1" minValue="1" maxValue="31"/>
    </cacheField>
    <cacheField name="Date" numFmtId="0">
      <sharedItems containsNonDate="0" containsDate="1" containsString="0" containsBlank="1" minDate="2026-05-01T00:00:00" maxDate="2026-06-01T00:00:00"/>
    </cacheField>
    <cacheField name="Week" numFmtId="0">
      <sharedItems containsString="0" containsBlank="1" containsNumber="1" containsInteger="1" minValue="18" maxValue="23" count="7">
        <n v="18"/>
        <n v="19"/>
        <n v="20"/>
        <n v="21"/>
        <n v="22"/>
        <n v="23"/>
        <m/>
      </sharedItems>
    </cacheField>
    <cacheField name="Reading Recording Time " numFmtId="0">
      <sharedItems containsNonDate="0" containsDate="1" containsString="0" containsBlank="1" minDate="1899-12-30T08:00:00" maxDate="1899-12-30T08:00:00"/>
    </cacheField>
    <cacheField name="Previous Reading " numFmtId="0">
      <sharedItems containsString="0" containsBlank="1" containsNumber="1" containsInteger="1" minValue="1500" maxValue="77872"/>
    </cacheField>
    <cacheField name="Current  _x000a_Reading " numFmtId="0">
      <sharedItems containsString="0" containsBlank="1" containsNumber="1" containsInteger="1" minValue="3555" maxValue="79931"/>
    </cacheField>
    <cacheField name="Unit Consumption (Kwh)" numFmtId="0">
      <sharedItems containsSemiMixedTypes="0" containsString="0" containsNumber="1" containsInteger="1" minValue="182" maxValue="78431"/>
    </cacheField>
    <cacheField name="Shelling Vol (MT)" numFmtId="0">
      <sharedItems containsSemiMixedTypes="0" containsString="0" containsNumber="1" minValue="0" maxValue="658.3"/>
    </cacheField>
    <cacheField name="KWH/MT" numFmtId="167">
      <sharedItems containsSemiMixedTypes="0" containsString="0" containsNumber="1" minValue="0" maxValue="275.10000000000002"/>
    </cacheField>
    <cacheField name="Power _x000a_Factor" numFmtId="0">
      <sharedItems containsString="0" containsBlank="1" containsNumber="1" minValue="0.97" maxValue="0.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"/>
    <d v="2026-05-01T00:00:00"/>
    <x v="0"/>
    <d v="1899-12-30T08:00:00"/>
    <n v="1500"/>
    <n v="3555"/>
    <n v="2055"/>
    <n v="0"/>
    <n v="0"/>
    <n v="0.98"/>
  </r>
  <r>
    <n v="2"/>
    <d v="2026-05-02T00:00:00"/>
    <x v="0"/>
    <d v="1899-12-30T08:00:00"/>
    <n v="3555"/>
    <n v="4622"/>
    <n v="1067"/>
    <n v="0"/>
    <n v="0"/>
    <n v="0.97"/>
  </r>
  <r>
    <n v="3"/>
    <d v="2026-05-03T00:00:00"/>
    <x v="1"/>
    <d v="1899-12-30T08:00:00"/>
    <n v="4622"/>
    <n v="5392"/>
    <n v="770"/>
    <n v="0"/>
    <n v="0"/>
    <n v="0.97"/>
  </r>
  <r>
    <n v="4"/>
    <d v="2026-05-04T00:00:00"/>
    <x v="1"/>
    <d v="1899-12-30T08:00:00"/>
    <n v="5392"/>
    <n v="6451"/>
    <n v="1059"/>
    <n v="0"/>
    <n v="0"/>
    <n v="0.98"/>
  </r>
  <r>
    <n v="5"/>
    <d v="2026-05-05T00:00:00"/>
    <x v="1"/>
    <d v="1899-12-30T08:00:00"/>
    <n v="6451"/>
    <n v="7695"/>
    <n v="1244"/>
    <n v="0"/>
    <n v="0"/>
    <n v="0.98"/>
  </r>
  <r>
    <n v="6"/>
    <d v="2026-05-06T00:00:00"/>
    <x v="1"/>
    <d v="1899-12-30T08:00:00"/>
    <n v="7695"/>
    <n v="8742"/>
    <n v="1047"/>
    <n v="0"/>
    <n v="0"/>
    <n v="0.98"/>
  </r>
  <r>
    <n v="7"/>
    <d v="2026-05-07T00:00:00"/>
    <x v="1"/>
    <d v="1899-12-30T08:00:00"/>
    <n v="8742"/>
    <n v="10410"/>
    <n v="1668"/>
    <n v="0"/>
    <n v="0"/>
    <n v="0.98"/>
  </r>
  <r>
    <n v="8"/>
    <d v="2026-05-08T00:00:00"/>
    <x v="1"/>
    <d v="1899-12-30T08:00:00"/>
    <n v="10410"/>
    <n v="12527"/>
    <n v="2117"/>
    <n v="20"/>
    <n v="105.9"/>
    <n v="0.99"/>
  </r>
  <r>
    <n v="9"/>
    <d v="2026-05-09T00:00:00"/>
    <x v="1"/>
    <d v="1899-12-30T08:00:00"/>
    <n v="12527"/>
    <n v="14681"/>
    <n v="2154"/>
    <n v="0"/>
    <n v="0"/>
    <n v="0.97"/>
  </r>
  <r>
    <n v="10"/>
    <d v="2026-05-10T00:00:00"/>
    <x v="2"/>
    <d v="1899-12-30T08:00:00"/>
    <n v="14681"/>
    <n v="15284"/>
    <n v="603"/>
    <n v="0"/>
    <n v="0"/>
    <n v="0.98"/>
  </r>
  <r>
    <n v="11"/>
    <d v="2026-05-11T00:00:00"/>
    <x v="2"/>
    <d v="1899-12-30T08:00:00"/>
    <n v="15284"/>
    <n v="17398"/>
    <n v="2114"/>
    <n v="0"/>
    <n v="0"/>
    <n v="0.98"/>
  </r>
  <r>
    <n v="12"/>
    <d v="2026-05-12T00:00:00"/>
    <x v="2"/>
    <d v="1899-12-30T08:00:00"/>
    <n v="17398"/>
    <n v="20109"/>
    <n v="2711"/>
    <n v="13.2"/>
    <n v="205.4"/>
    <n v="0.98"/>
  </r>
  <r>
    <n v="13"/>
    <d v="2026-05-13T00:00:00"/>
    <x v="2"/>
    <d v="1899-12-30T08:00:00"/>
    <n v="20109"/>
    <n v="21867"/>
    <n v="1758"/>
    <n v="0"/>
    <n v="0"/>
    <n v="0.97"/>
  </r>
  <r>
    <n v="14"/>
    <d v="2026-05-14T00:00:00"/>
    <x v="2"/>
    <d v="1899-12-30T08:00:00"/>
    <n v="21867"/>
    <n v="22929"/>
    <n v="1062"/>
    <n v="42.8"/>
    <n v="24.8"/>
    <n v="0.98"/>
  </r>
  <r>
    <n v="15"/>
    <d v="2026-05-15T00:00:00"/>
    <x v="2"/>
    <d v="1899-12-30T08:00:00"/>
    <n v="22929"/>
    <n v="26313"/>
    <n v="3384"/>
    <n v="12.3"/>
    <n v="275.10000000000002"/>
    <n v="0.97"/>
  </r>
  <r>
    <n v="16"/>
    <d v="2026-05-16T00:00:00"/>
    <x v="2"/>
    <d v="1899-12-30T08:00:00"/>
    <n v="26313"/>
    <n v="28005"/>
    <n v="1692"/>
    <n v="0"/>
    <n v="0"/>
    <n v="0.97"/>
  </r>
  <r>
    <n v="17"/>
    <d v="2026-05-17T00:00:00"/>
    <x v="3"/>
    <d v="1899-12-30T08:00:00"/>
    <n v="28005"/>
    <n v="28187"/>
    <n v="182"/>
    <n v="0"/>
    <n v="0"/>
    <n v="0.97"/>
  </r>
  <r>
    <n v="18"/>
    <d v="2026-05-18T00:00:00"/>
    <x v="3"/>
    <d v="1899-12-30T08:00:00"/>
    <n v="28187"/>
    <n v="31658"/>
    <n v="3471"/>
    <n v="29.9"/>
    <n v="116.1"/>
    <n v="0.98"/>
  </r>
  <r>
    <n v="19"/>
    <d v="2026-05-19T00:00:00"/>
    <x v="3"/>
    <d v="1899-12-30T08:00:00"/>
    <n v="31658"/>
    <n v="34387"/>
    <n v="2729"/>
    <n v="20.6"/>
    <n v="132.5"/>
    <n v="0.97"/>
  </r>
  <r>
    <n v="20"/>
    <d v="2026-05-20T00:00:00"/>
    <x v="3"/>
    <d v="1899-12-30T08:00:00"/>
    <n v="34387"/>
    <n v="38474"/>
    <n v="4087"/>
    <n v="37"/>
    <n v="110.5"/>
    <n v="0.97"/>
  </r>
  <r>
    <n v="21"/>
    <d v="2026-05-21T00:00:00"/>
    <x v="3"/>
    <d v="1899-12-30T08:00:00"/>
    <n v="38474"/>
    <n v="41095"/>
    <n v="2621"/>
    <n v="39.799999999999997"/>
    <n v="65.900000000000006"/>
    <n v="0.98"/>
  </r>
  <r>
    <n v="22"/>
    <d v="2026-05-22T00:00:00"/>
    <x v="3"/>
    <d v="1899-12-30T08:00:00"/>
    <n v="41095"/>
    <n v="45808"/>
    <n v="4713"/>
    <n v="76.3"/>
    <n v="61.8"/>
    <n v="0.98"/>
  </r>
  <r>
    <n v="23"/>
    <d v="2026-05-23T00:00:00"/>
    <x v="3"/>
    <d v="1899-12-30T08:00:00"/>
    <n v="45808"/>
    <n v="49679"/>
    <n v="3871"/>
    <n v="42.1"/>
    <n v="91.9"/>
    <n v="0.98"/>
  </r>
  <r>
    <n v="24"/>
    <d v="2026-05-24T00:00:00"/>
    <x v="4"/>
    <d v="1899-12-30T08:00:00"/>
    <n v="49679"/>
    <n v="51408"/>
    <n v="1729"/>
    <n v="0"/>
    <n v="0"/>
    <n v="0.98"/>
  </r>
  <r>
    <n v="25"/>
    <d v="2026-05-25T00:00:00"/>
    <x v="4"/>
    <d v="1899-12-30T08:00:00"/>
    <n v="51408"/>
    <n v="53502"/>
    <n v="2094"/>
    <n v="0"/>
    <n v="0"/>
    <n v="0.98"/>
  </r>
  <r>
    <n v="26"/>
    <d v="2026-05-26T00:00:00"/>
    <x v="4"/>
    <d v="1899-12-30T08:00:00"/>
    <n v="53502"/>
    <n v="59003"/>
    <n v="5501"/>
    <n v="60.4"/>
    <n v="91.1"/>
    <n v="0.98"/>
  </r>
  <r>
    <n v="27"/>
    <d v="2026-05-27T00:00:00"/>
    <x v="4"/>
    <d v="1899-12-30T08:00:00"/>
    <n v="59003"/>
    <n v="63924"/>
    <n v="4921"/>
    <n v="60.7"/>
    <n v="81.099999999999994"/>
    <n v="0.98"/>
  </r>
  <r>
    <n v="28"/>
    <d v="2026-05-28T00:00:00"/>
    <x v="4"/>
    <d v="1899-12-30T08:00:00"/>
    <n v="63924"/>
    <n v="68901"/>
    <n v="4977"/>
    <n v="61.5"/>
    <n v="80.900000000000006"/>
    <n v="0.98"/>
  </r>
  <r>
    <n v="29"/>
    <d v="2026-05-29T00:00:00"/>
    <x v="4"/>
    <d v="1899-12-30T08:00:00"/>
    <n v="68901"/>
    <n v="72310"/>
    <n v="3409"/>
    <n v="61.1"/>
    <n v="55.8"/>
    <n v="0.97"/>
  </r>
  <r>
    <n v="30"/>
    <d v="2026-05-30T00:00:00"/>
    <x v="4"/>
    <d v="1899-12-30T08:00:00"/>
    <n v="72310"/>
    <n v="77872"/>
    <n v="5562"/>
    <n v="80.599999999999994"/>
    <n v="69"/>
    <n v="0.98"/>
  </r>
  <r>
    <n v="31"/>
    <d v="2026-05-31T00:00:00"/>
    <x v="5"/>
    <d v="1899-12-30T08:00:00"/>
    <n v="77872"/>
    <n v="79931"/>
    <n v="2059"/>
    <n v="0"/>
    <n v="0"/>
    <n v="0.99"/>
  </r>
  <r>
    <s v="Monthly "/>
    <m/>
    <x v="6"/>
    <m/>
    <m/>
    <m/>
    <n v="78431"/>
    <n v="658.3"/>
    <n v="119.1417286951238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77D40-989B-4067-9A2B-E65B176B8C4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10" firstHeaderRow="0" firstDataRow="1" firstDataCol="1"/>
  <pivotFields count="10">
    <pivotField showAll="0"/>
    <pivotField showAll="0"/>
    <pivotField axis="axisRow"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Unit Consumption (Kwh) " fld="6" baseField="0" baseItem="0"/>
    <dataField name="Shelling Vol (MT) 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7A581-3A32-4C1E-9E2F-F01F1C01A6EF}">
  <dimension ref="A3:D10"/>
  <sheetViews>
    <sheetView showGridLines="0" workbookViewId="0">
      <selection activeCell="D3" sqref="A3:D10"/>
    </sheetView>
  </sheetViews>
  <sheetFormatPr defaultRowHeight="14.4" x14ac:dyDescent="0.3"/>
  <cols>
    <col min="1" max="1" width="12.5546875" bestFit="1" customWidth="1"/>
    <col min="2" max="2" width="22.5546875" bestFit="1" customWidth="1"/>
    <col min="3" max="3" width="22.109375" bestFit="1" customWidth="1"/>
    <col min="4" max="4" width="15.33203125" bestFit="1" customWidth="1"/>
  </cols>
  <sheetData>
    <row r="3" spans="1:4" x14ac:dyDescent="0.3">
      <c r="A3" s="31" t="s">
        <v>20</v>
      </c>
      <c r="B3" t="s">
        <v>22</v>
      </c>
      <c r="C3" t="s">
        <v>24</v>
      </c>
      <c r="D3" s="33" t="s">
        <v>5</v>
      </c>
    </row>
    <row r="4" spans="1:4" x14ac:dyDescent="0.3">
      <c r="A4" s="32">
        <v>18</v>
      </c>
      <c r="B4">
        <v>3122</v>
      </c>
      <c r="C4">
        <v>0</v>
      </c>
      <c r="D4">
        <f>ROUND(IFERROR(B4/C4,"0"),1)</f>
        <v>0</v>
      </c>
    </row>
    <row r="5" spans="1:4" x14ac:dyDescent="0.3">
      <c r="A5" s="32">
        <v>19</v>
      </c>
      <c r="B5">
        <v>10059</v>
      </c>
      <c r="C5">
        <v>20</v>
      </c>
      <c r="D5">
        <f t="shared" ref="D5:D10" si="0">ROUND(IFERROR(B5/C5,"0"),1)</f>
        <v>503</v>
      </c>
    </row>
    <row r="6" spans="1:4" x14ac:dyDescent="0.3">
      <c r="A6" s="32">
        <v>20</v>
      </c>
      <c r="B6">
        <v>13324</v>
      </c>
      <c r="C6">
        <v>68.3</v>
      </c>
      <c r="D6">
        <f t="shared" si="0"/>
        <v>195.1</v>
      </c>
    </row>
    <row r="7" spans="1:4" x14ac:dyDescent="0.3">
      <c r="A7" s="32">
        <v>21</v>
      </c>
      <c r="B7">
        <v>21674</v>
      </c>
      <c r="C7">
        <v>245.7</v>
      </c>
      <c r="D7">
        <f t="shared" si="0"/>
        <v>88.2</v>
      </c>
    </row>
    <row r="8" spans="1:4" x14ac:dyDescent="0.3">
      <c r="A8" s="32">
        <v>22</v>
      </c>
      <c r="B8">
        <v>28193</v>
      </c>
      <c r="C8">
        <v>324.29999999999995</v>
      </c>
      <c r="D8">
        <f t="shared" si="0"/>
        <v>86.9</v>
      </c>
    </row>
    <row r="9" spans="1:4" x14ac:dyDescent="0.3">
      <c r="A9" s="32">
        <v>23</v>
      </c>
      <c r="B9">
        <v>2059</v>
      </c>
      <c r="C9">
        <v>0</v>
      </c>
      <c r="D9">
        <f t="shared" si="0"/>
        <v>0</v>
      </c>
    </row>
    <row r="10" spans="1:4" x14ac:dyDescent="0.3">
      <c r="A10" s="32" t="s">
        <v>21</v>
      </c>
      <c r="B10">
        <v>78431</v>
      </c>
      <c r="C10">
        <v>658.3</v>
      </c>
      <c r="D10" s="34">
        <f t="shared" si="0"/>
        <v>119.1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66C7C-EDB6-4B7A-8687-7E14B6472311}">
  <dimension ref="C1:O114"/>
  <sheetViews>
    <sheetView tabSelected="1" zoomScale="80" zoomScaleNormal="90" workbookViewId="0">
      <pane ySplit="3" topLeftCell="A71" activePane="bottomLeft" state="frozen"/>
      <selection pane="bottomLeft" activeCell="G4" sqref="G4:G80"/>
    </sheetView>
  </sheetViews>
  <sheetFormatPr defaultRowHeight="14.4" x14ac:dyDescent="0.3"/>
  <cols>
    <col min="1" max="2" width="8.88671875" style="47"/>
    <col min="3" max="3" width="5.44140625" style="47" bestFit="1" customWidth="1"/>
    <col min="4" max="4" width="8.33203125" style="47" bestFit="1" customWidth="1"/>
    <col min="5" max="5" width="8.33203125" style="47" customWidth="1"/>
    <col min="6" max="6" width="6.33203125" style="47" bestFit="1" customWidth="1"/>
    <col min="7" max="7" width="7.44140625" style="47" bestFit="1" customWidth="1"/>
    <col min="8" max="8" width="25" style="47" bestFit="1" customWidth="1"/>
    <col min="9" max="9" width="18.21875" style="47" bestFit="1" customWidth="1"/>
    <col min="10" max="10" width="17.77734375" style="47" bestFit="1" customWidth="1"/>
    <col min="11" max="11" width="24.88671875" style="47" bestFit="1" customWidth="1"/>
    <col min="12" max="12" width="17.33203125" style="48" bestFit="1" customWidth="1"/>
    <col min="13" max="13" width="9.6640625" style="47" bestFit="1" customWidth="1"/>
    <col min="14" max="14" width="13.77734375" style="47" bestFit="1" customWidth="1"/>
    <col min="15" max="15" width="50.21875" style="47" bestFit="1" customWidth="1"/>
    <col min="16" max="16384" width="8.88671875" style="47"/>
  </cols>
  <sheetData>
    <row r="1" spans="3:15" x14ac:dyDescent="0.3">
      <c r="L1" s="47"/>
    </row>
    <row r="2" spans="3:15" ht="23.4" x14ac:dyDescent="0.45">
      <c r="C2" s="69" t="s">
        <v>28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1"/>
    </row>
    <row r="3" spans="3:15" ht="15.6" x14ac:dyDescent="0.3">
      <c r="C3" s="68" t="s">
        <v>25</v>
      </c>
      <c r="D3" s="68" t="s">
        <v>1</v>
      </c>
      <c r="E3" s="68" t="s">
        <v>30</v>
      </c>
      <c r="F3" s="68" t="s">
        <v>19</v>
      </c>
      <c r="G3" s="68" t="s">
        <v>31</v>
      </c>
      <c r="H3" s="68" t="s">
        <v>4</v>
      </c>
      <c r="I3" s="68" t="s">
        <v>2</v>
      </c>
      <c r="J3" s="68" t="s">
        <v>26</v>
      </c>
      <c r="K3" s="68" t="s">
        <v>14</v>
      </c>
      <c r="L3" s="68" t="s">
        <v>23</v>
      </c>
      <c r="M3" s="68" t="s">
        <v>5</v>
      </c>
      <c r="N3" s="68" t="s">
        <v>27</v>
      </c>
      <c r="O3" s="68" t="s">
        <v>6</v>
      </c>
    </row>
    <row r="4" spans="3:15" ht="15" customHeight="1" x14ac:dyDescent="0.3">
      <c r="C4" s="49">
        <v>1</v>
      </c>
      <c r="D4" s="50">
        <v>46143</v>
      </c>
      <c r="E4" s="50" t="str">
        <f>TEXT(D4,"DDD")</f>
        <v>Fri</v>
      </c>
      <c r="F4" s="51">
        <f>WEEKNUM(D4)</f>
        <v>18</v>
      </c>
      <c r="G4" s="51" t="str">
        <f>TEXT(D4,"mmm-yy")</f>
        <v>May-26</v>
      </c>
      <c r="H4" s="55">
        <v>0.33333333333333331</v>
      </c>
      <c r="I4" s="53">
        <v>1500</v>
      </c>
      <c r="J4" s="54">
        <v>3555</v>
      </c>
      <c r="K4" s="53">
        <f>IFERROR((J4-I4),0)</f>
        <v>2055</v>
      </c>
      <c r="L4" s="72">
        <v>0</v>
      </c>
      <c r="M4" s="78">
        <f t="shared" ref="M4:M67" si="0">IFERROR(K4/L4*1000,0)</f>
        <v>0</v>
      </c>
      <c r="N4" s="75">
        <v>0.98</v>
      </c>
      <c r="O4" s="55"/>
    </row>
    <row r="5" spans="3:15" ht="15" customHeight="1" x14ac:dyDescent="0.3">
      <c r="C5" s="49">
        <f>C4+1</f>
        <v>2</v>
      </c>
      <c r="D5" s="50">
        <v>46144</v>
      </c>
      <c r="E5" s="50" t="str">
        <f t="shared" ref="E5:E68" si="1">TEXT(D5,"DDD")</f>
        <v>Sat</v>
      </c>
      <c r="F5" s="51">
        <f t="shared" ref="F5:F68" si="2">WEEKNUM(D5)</f>
        <v>18</v>
      </c>
      <c r="G5" s="51" t="str">
        <f t="shared" ref="G5:G68" si="3">TEXT(D5,"mmm-yy")</f>
        <v>May-26</v>
      </c>
      <c r="H5" s="55">
        <v>0.33333333333333331</v>
      </c>
      <c r="I5" s="53">
        <f t="shared" ref="I5:I20" si="4">J4</f>
        <v>3555</v>
      </c>
      <c r="J5" s="53">
        <v>4622</v>
      </c>
      <c r="K5" s="53">
        <f t="shared" ref="K5:K68" si="5">IFERROR((J5-I5),0)</f>
        <v>1067</v>
      </c>
      <c r="L5" s="72">
        <v>0</v>
      </c>
      <c r="M5" s="78">
        <f t="shared" si="0"/>
        <v>0</v>
      </c>
      <c r="N5" s="75">
        <v>0.97</v>
      </c>
      <c r="O5" s="56"/>
    </row>
    <row r="6" spans="3:15" ht="15" customHeight="1" x14ac:dyDescent="0.3">
      <c r="C6" s="49">
        <f t="shared" ref="C6:C69" si="6">C5+1</f>
        <v>3</v>
      </c>
      <c r="D6" s="50">
        <v>46145</v>
      </c>
      <c r="E6" s="50" t="str">
        <f t="shared" si="1"/>
        <v>Sun</v>
      </c>
      <c r="F6" s="51">
        <f t="shared" si="2"/>
        <v>19</v>
      </c>
      <c r="G6" s="51" t="str">
        <f t="shared" si="3"/>
        <v>May-26</v>
      </c>
      <c r="H6" s="55">
        <v>0.33333333333333331</v>
      </c>
      <c r="I6" s="53">
        <f t="shared" si="4"/>
        <v>4622</v>
      </c>
      <c r="J6" s="53">
        <v>5392</v>
      </c>
      <c r="K6" s="53">
        <f t="shared" si="5"/>
        <v>770</v>
      </c>
      <c r="L6" s="72">
        <v>0</v>
      </c>
      <c r="M6" s="78">
        <f t="shared" si="0"/>
        <v>0</v>
      </c>
      <c r="N6" s="75">
        <v>0.97</v>
      </c>
      <c r="O6" s="57"/>
    </row>
    <row r="7" spans="3:15" ht="15" customHeight="1" x14ac:dyDescent="0.3">
      <c r="C7" s="49">
        <f t="shared" si="6"/>
        <v>4</v>
      </c>
      <c r="D7" s="50">
        <v>46146</v>
      </c>
      <c r="E7" s="50" t="str">
        <f t="shared" si="1"/>
        <v>Mon</v>
      </c>
      <c r="F7" s="51">
        <f t="shared" si="2"/>
        <v>19</v>
      </c>
      <c r="G7" s="51" t="str">
        <f t="shared" si="3"/>
        <v>May-26</v>
      </c>
      <c r="H7" s="55">
        <v>0.33333333333333331</v>
      </c>
      <c r="I7" s="53">
        <f t="shared" si="4"/>
        <v>5392</v>
      </c>
      <c r="J7" s="53">
        <v>6451</v>
      </c>
      <c r="K7" s="53">
        <f t="shared" si="5"/>
        <v>1059</v>
      </c>
      <c r="L7" s="72">
        <v>0</v>
      </c>
      <c r="M7" s="78">
        <f t="shared" si="0"/>
        <v>0</v>
      </c>
      <c r="N7" s="75">
        <v>0.98</v>
      </c>
      <c r="O7" s="56"/>
    </row>
    <row r="8" spans="3:15" ht="15" customHeight="1" x14ac:dyDescent="0.3">
      <c r="C8" s="49">
        <f t="shared" si="6"/>
        <v>5</v>
      </c>
      <c r="D8" s="50">
        <v>46147</v>
      </c>
      <c r="E8" s="50" t="str">
        <f t="shared" si="1"/>
        <v>Tue</v>
      </c>
      <c r="F8" s="51">
        <f t="shared" si="2"/>
        <v>19</v>
      </c>
      <c r="G8" s="51" t="str">
        <f t="shared" si="3"/>
        <v>May-26</v>
      </c>
      <c r="H8" s="55">
        <v>0.33333333333333331</v>
      </c>
      <c r="I8" s="53">
        <f t="shared" si="4"/>
        <v>6451</v>
      </c>
      <c r="J8" s="53">
        <v>7695</v>
      </c>
      <c r="K8" s="53">
        <f t="shared" si="5"/>
        <v>1244</v>
      </c>
      <c r="L8" s="72">
        <v>0</v>
      </c>
      <c r="M8" s="78">
        <f t="shared" si="0"/>
        <v>0</v>
      </c>
      <c r="N8" s="75">
        <v>0.98</v>
      </c>
      <c r="O8" s="56"/>
    </row>
    <row r="9" spans="3:15" ht="15" customHeight="1" x14ac:dyDescent="0.3">
      <c r="C9" s="49">
        <f t="shared" si="6"/>
        <v>6</v>
      </c>
      <c r="D9" s="50">
        <v>46148</v>
      </c>
      <c r="E9" s="50" t="str">
        <f t="shared" si="1"/>
        <v>Wed</v>
      </c>
      <c r="F9" s="51">
        <f t="shared" si="2"/>
        <v>19</v>
      </c>
      <c r="G9" s="51" t="str">
        <f t="shared" si="3"/>
        <v>May-26</v>
      </c>
      <c r="H9" s="55">
        <v>0.33333333333333331</v>
      </c>
      <c r="I9" s="53">
        <f t="shared" si="4"/>
        <v>7695</v>
      </c>
      <c r="J9" s="53">
        <v>8742</v>
      </c>
      <c r="K9" s="53">
        <f t="shared" si="5"/>
        <v>1047</v>
      </c>
      <c r="L9" s="73">
        <v>0</v>
      </c>
      <c r="M9" s="78">
        <f t="shared" si="0"/>
        <v>0</v>
      </c>
      <c r="N9" s="75">
        <v>0.98</v>
      </c>
      <c r="O9" s="56"/>
    </row>
    <row r="10" spans="3:15" ht="15" customHeight="1" x14ac:dyDescent="0.3">
      <c r="C10" s="49">
        <f t="shared" si="6"/>
        <v>7</v>
      </c>
      <c r="D10" s="50">
        <v>46149</v>
      </c>
      <c r="E10" s="50" t="str">
        <f t="shared" si="1"/>
        <v>Thu</v>
      </c>
      <c r="F10" s="51">
        <f t="shared" si="2"/>
        <v>19</v>
      </c>
      <c r="G10" s="51" t="str">
        <f t="shared" si="3"/>
        <v>May-26</v>
      </c>
      <c r="H10" s="55">
        <v>0.33333333333333331</v>
      </c>
      <c r="I10" s="53">
        <f t="shared" si="4"/>
        <v>8742</v>
      </c>
      <c r="J10" s="53">
        <v>10410</v>
      </c>
      <c r="K10" s="53">
        <f t="shared" si="5"/>
        <v>1668</v>
      </c>
      <c r="L10" s="72">
        <v>0</v>
      </c>
      <c r="M10" s="78">
        <f t="shared" si="0"/>
        <v>0</v>
      </c>
      <c r="N10" s="75">
        <v>0.98</v>
      </c>
      <c r="O10" s="56"/>
    </row>
    <row r="11" spans="3:15" ht="15" customHeight="1" x14ac:dyDescent="0.3">
      <c r="C11" s="49">
        <f t="shared" si="6"/>
        <v>8</v>
      </c>
      <c r="D11" s="50">
        <v>46150</v>
      </c>
      <c r="E11" s="50" t="str">
        <f t="shared" si="1"/>
        <v>Fri</v>
      </c>
      <c r="F11" s="51">
        <f t="shared" si="2"/>
        <v>19</v>
      </c>
      <c r="G11" s="51" t="str">
        <f t="shared" si="3"/>
        <v>May-26</v>
      </c>
      <c r="H11" s="55">
        <v>0.33333333333333331</v>
      </c>
      <c r="I11" s="53">
        <f t="shared" si="4"/>
        <v>10410</v>
      </c>
      <c r="J11" s="54">
        <v>12527</v>
      </c>
      <c r="K11" s="53">
        <f t="shared" si="5"/>
        <v>2117</v>
      </c>
      <c r="L11" s="73">
        <v>0</v>
      </c>
      <c r="M11" s="78">
        <f t="shared" si="0"/>
        <v>0</v>
      </c>
      <c r="N11" s="75">
        <v>0.99</v>
      </c>
      <c r="O11" s="55"/>
    </row>
    <row r="12" spans="3:15" ht="15" customHeight="1" x14ac:dyDescent="0.3">
      <c r="C12" s="49">
        <f t="shared" si="6"/>
        <v>9</v>
      </c>
      <c r="D12" s="50">
        <v>46151</v>
      </c>
      <c r="E12" s="50" t="str">
        <f t="shared" si="1"/>
        <v>Sat</v>
      </c>
      <c r="F12" s="51">
        <f t="shared" si="2"/>
        <v>19</v>
      </c>
      <c r="G12" s="51" t="str">
        <f t="shared" si="3"/>
        <v>May-26</v>
      </c>
      <c r="H12" s="55">
        <v>0.33333333333333331</v>
      </c>
      <c r="I12" s="53">
        <f t="shared" si="4"/>
        <v>12527</v>
      </c>
      <c r="J12" s="53">
        <v>14681</v>
      </c>
      <c r="K12" s="53">
        <f t="shared" si="5"/>
        <v>2154</v>
      </c>
      <c r="L12" s="73">
        <v>20017</v>
      </c>
      <c r="M12" s="78">
        <f t="shared" si="0"/>
        <v>107.6085327471649</v>
      </c>
      <c r="N12" s="75">
        <v>0.97</v>
      </c>
      <c r="O12" s="56"/>
    </row>
    <row r="13" spans="3:15" ht="15" customHeight="1" x14ac:dyDescent="0.3">
      <c r="C13" s="49">
        <f t="shared" si="6"/>
        <v>10</v>
      </c>
      <c r="D13" s="50">
        <v>46152</v>
      </c>
      <c r="E13" s="50" t="str">
        <f t="shared" si="1"/>
        <v>Sun</v>
      </c>
      <c r="F13" s="51">
        <f t="shared" si="2"/>
        <v>20</v>
      </c>
      <c r="G13" s="51" t="str">
        <f t="shared" si="3"/>
        <v>May-26</v>
      </c>
      <c r="H13" s="55">
        <v>0.33333333333333331</v>
      </c>
      <c r="I13" s="53">
        <f t="shared" si="4"/>
        <v>14681</v>
      </c>
      <c r="J13" s="53">
        <v>15284</v>
      </c>
      <c r="K13" s="53">
        <f t="shared" si="5"/>
        <v>603</v>
      </c>
      <c r="L13" s="73">
        <v>0</v>
      </c>
      <c r="M13" s="78">
        <f t="shared" si="0"/>
        <v>0</v>
      </c>
      <c r="N13" s="75">
        <v>0.98</v>
      </c>
      <c r="O13" s="52"/>
    </row>
    <row r="14" spans="3:15" ht="15" customHeight="1" x14ac:dyDescent="0.3">
      <c r="C14" s="49">
        <f t="shared" si="6"/>
        <v>11</v>
      </c>
      <c r="D14" s="50">
        <v>46153</v>
      </c>
      <c r="E14" s="50" t="str">
        <f t="shared" si="1"/>
        <v>Mon</v>
      </c>
      <c r="F14" s="51">
        <f t="shared" si="2"/>
        <v>20</v>
      </c>
      <c r="G14" s="51" t="str">
        <f t="shared" si="3"/>
        <v>May-26</v>
      </c>
      <c r="H14" s="55">
        <v>0.33333333333333331</v>
      </c>
      <c r="I14" s="53">
        <f t="shared" si="4"/>
        <v>15284</v>
      </c>
      <c r="J14" s="54">
        <v>17398</v>
      </c>
      <c r="K14" s="53">
        <f t="shared" si="5"/>
        <v>2114</v>
      </c>
      <c r="L14" s="73">
        <v>0</v>
      </c>
      <c r="M14" s="78">
        <f t="shared" si="0"/>
        <v>0</v>
      </c>
      <c r="N14" s="75">
        <v>0.98</v>
      </c>
      <c r="O14" s="56"/>
    </row>
    <row r="15" spans="3:15" ht="15" customHeight="1" x14ac:dyDescent="0.3">
      <c r="C15" s="49">
        <f t="shared" si="6"/>
        <v>12</v>
      </c>
      <c r="D15" s="50">
        <v>46154</v>
      </c>
      <c r="E15" s="50" t="str">
        <f t="shared" si="1"/>
        <v>Tue</v>
      </c>
      <c r="F15" s="51">
        <f t="shared" si="2"/>
        <v>20</v>
      </c>
      <c r="G15" s="51" t="str">
        <f t="shared" si="3"/>
        <v>May-26</v>
      </c>
      <c r="H15" s="55">
        <v>0.33333333333333331</v>
      </c>
      <c r="I15" s="53">
        <f t="shared" si="4"/>
        <v>17398</v>
      </c>
      <c r="J15" s="54">
        <v>20109</v>
      </c>
      <c r="K15" s="53">
        <f t="shared" si="5"/>
        <v>2711</v>
      </c>
      <c r="L15" s="73">
        <v>0</v>
      </c>
      <c r="M15" s="78">
        <f t="shared" si="0"/>
        <v>0</v>
      </c>
      <c r="N15" s="75">
        <v>0.98</v>
      </c>
      <c r="O15" s="56"/>
    </row>
    <row r="16" spans="3:15" ht="15" customHeight="1" x14ac:dyDescent="0.3">
      <c r="C16" s="49">
        <f t="shared" si="6"/>
        <v>13</v>
      </c>
      <c r="D16" s="50">
        <v>46155</v>
      </c>
      <c r="E16" s="50" t="str">
        <f t="shared" si="1"/>
        <v>Wed</v>
      </c>
      <c r="F16" s="51">
        <f t="shared" si="2"/>
        <v>20</v>
      </c>
      <c r="G16" s="51" t="str">
        <f t="shared" si="3"/>
        <v>May-26</v>
      </c>
      <c r="H16" s="55">
        <v>0.33333333333333331</v>
      </c>
      <c r="I16" s="53">
        <f t="shared" si="4"/>
        <v>20109</v>
      </c>
      <c r="J16" s="58">
        <v>21867</v>
      </c>
      <c r="K16" s="53">
        <f t="shared" si="5"/>
        <v>1758</v>
      </c>
      <c r="L16" s="73">
        <v>14003</v>
      </c>
      <c r="M16" s="78">
        <f t="shared" si="0"/>
        <v>125.54452617296293</v>
      </c>
      <c r="N16" s="75">
        <v>0.97</v>
      </c>
      <c r="O16" s="56"/>
    </row>
    <row r="17" spans="3:15" ht="15" customHeight="1" x14ac:dyDescent="0.3">
      <c r="C17" s="49">
        <f t="shared" si="6"/>
        <v>14</v>
      </c>
      <c r="D17" s="50">
        <v>46156</v>
      </c>
      <c r="E17" s="50" t="str">
        <f t="shared" si="1"/>
        <v>Thu</v>
      </c>
      <c r="F17" s="51">
        <f t="shared" si="2"/>
        <v>20</v>
      </c>
      <c r="G17" s="51" t="str">
        <f t="shared" si="3"/>
        <v>May-26</v>
      </c>
      <c r="H17" s="55">
        <v>0.33333333333333331</v>
      </c>
      <c r="I17" s="58">
        <f t="shared" si="4"/>
        <v>21867</v>
      </c>
      <c r="J17" s="58">
        <v>22929</v>
      </c>
      <c r="K17" s="58">
        <f t="shared" si="5"/>
        <v>1062</v>
      </c>
      <c r="L17" s="72">
        <v>0</v>
      </c>
      <c r="M17" s="78">
        <f t="shared" si="0"/>
        <v>0</v>
      </c>
      <c r="N17" s="75">
        <v>0.98</v>
      </c>
      <c r="O17" s="56"/>
    </row>
    <row r="18" spans="3:15" ht="15" customHeight="1" x14ac:dyDescent="0.3">
      <c r="C18" s="49">
        <f t="shared" si="6"/>
        <v>15</v>
      </c>
      <c r="D18" s="50">
        <v>46157</v>
      </c>
      <c r="E18" s="50" t="str">
        <f t="shared" si="1"/>
        <v>Fri</v>
      </c>
      <c r="F18" s="51">
        <f t="shared" si="2"/>
        <v>20</v>
      </c>
      <c r="G18" s="51" t="str">
        <f t="shared" si="3"/>
        <v>May-26</v>
      </c>
      <c r="H18" s="55">
        <v>0.33333333333333331</v>
      </c>
      <c r="I18" s="58">
        <f>J17</f>
        <v>22929</v>
      </c>
      <c r="J18" s="49">
        <v>26313</v>
      </c>
      <c r="K18" s="58">
        <f t="shared" si="5"/>
        <v>3384</v>
      </c>
      <c r="L18" s="72">
        <v>45232</v>
      </c>
      <c r="M18" s="78">
        <f t="shared" si="0"/>
        <v>74.814290767598152</v>
      </c>
      <c r="N18" s="75">
        <v>0.97</v>
      </c>
      <c r="O18" s="55"/>
    </row>
    <row r="19" spans="3:15" ht="15" customHeight="1" x14ac:dyDescent="0.3">
      <c r="C19" s="49">
        <f t="shared" si="6"/>
        <v>16</v>
      </c>
      <c r="D19" s="50">
        <v>46158</v>
      </c>
      <c r="E19" s="50" t="str">
        <f t="shared" si="1"/>
        <v>Sat</v>
      </c>
      <c r="F19" s="51">
        <f t="shared" si="2"/>
        <v>20</v>
      </c>
      <c r="G19" s="51" t="str">
        <f t="shared" si="3"/>
        <v>May-26</v>
      </c>
      <c r="H19" s="55">
        <v>0.33333333333333331</v>
      </c>
      <c r="I19" s="49">
        <f t="shared" si="4"/>
        <v>26313</v>
      </c>
      <c r="J19" s="49">
        <v>28005</v>
      </c>
      <c r="K19" s="58">
        <f t="shared" si="5"/>
        <v>1692</v>
      </c>
      <c r="L19" s="72">
        <v>13100</v>
      </c>
      <c r="M19" s="78">
        <f t="shared" si="0"/>
        <v>129.16030534351145</v>
      </c>
      <c r="N19" s="75">
        <v>0.97</v>
      </c>
      <c r="O19" s="56"/>
    </row>
    <row r="20" spans="3:15" ht="15" customHeight="1" x14ac:dyDescent="0.3">
      <c r="C20" s="49">
        <f t="shared" si="6"/>
        <v>17</v>
      </c>
      <c r="D20" s="50">
        <v>46159</v>
      </c>
      <c r="E20" s="50" t="str">
        <f t="shared" si="1"/>
        <v>Sun</v>
      </c>
      <c r="F20" s="51">
        <f t="shared" si="2"/>
        <v>21</v>
      </c>
      <c r="G20" s="51" t="str">
        <f t="shared" si="3"/>
        <v>May-26</v>
      </c>
      <c r="H20" s="55">
        <v>0.33333333333333331</v>
      </c>
      <c r="I20" s="51">
        <f t="shared" si="4"/>
        <v>28005</v>
      </c>
      <c r="J20" s="59">
        <v>28187</v>
      </c>
      <c r="K20" s="58">
        <f t="shared" si="5"/>
        <v>182</v>
      </c>
      <c r="L20" s="72">
        <v>0</v>
      </c>
      <c r="M20" s="78">
        <f t="shared" si="0"/>
        <v>0</v>
      </c>
      <c r="N20" s="75">
        <v>0.97</v>
      </c>
      <c r="O20" s="55" t="s">
        <v>15</v>
      </c>
    </row>
    <row r="21" spans="3:15" ht="15" customHeight="1" x14ac:dyDescent="0.3">
      <c r="C21" s="49">
        <f t="shared" si="6"/>
        <v>18</v>
      </c>
      <c r="D21" s="50">
        <v>46160</v>
      </c>
      <c r="E21" s="50" t="str">
        <f t="shared" si="1"/>
        <v>Mon</v>
      </c>
      <c r="F21" s="51">
        <f t="shared" si="2"/>
        <v>21</v>
      </c>
      <c r="G21" s="51" t="str">
        <f t="shared" si="3"/>
        <v>May-26</v>
      </c>
      <c r="H21" s="55">
        <v>0.33333333333333331</v>
      </c>
      <c r="I21" s="58">
        <f>J20</f>
        <v>28187</v>
      </c>
      <c r="J21" s="49">
        <v>31658</v>
      </c>
      <c r="K21" s="58">
        <f t="shared" si="5"/>
        <v>3471</v>
      </c>
      <c r="L21" s="72">
        <v>32273</v>
      </c>
      <c r="M21" s="78">
        <f t="shared" si="0"/>
        <v>107.551203792644</v>
      </c>
      <c r="N21" s="75">
        <v>0.98</v>
      </c>
      <c r="O21" s="56"/>
    </row>
    <row r="22" spans="3:15" ht="15" customHeight="1" x14ac:dyDescent="0.3">
      <c r="C22" s="49">
        <f t="shared" si="6"/>
        <v>19</v>
      </c>
      <c r="D22" s="50">
        <v>46161</v>
      </c>
      <c r="E22" s="50" t="str">
        <f t="shared" si="1"/>
        <v>Tue</v>
      </c>
      <c r="F22" s="51">
        <f t="shared" si="2"/>
        <v>21</v>
      </c>
      <c r="G22" s="51" t="str">
        <f t="shared" si="3"/>
        <v>May-26</v>
      </c>
      <c r="H22" s="55">
        <v>0.33333333333333331</v>
      </c>
      <c r="I22" s="60">
        <v>31658</v>
      </c>
      <c r="J22" s="60">
        <v>34387</v>
      </c>
      <c r="K22" s="58">
        <f>IFERROR((J22-I22),0)</f>
        <v>2729</v>
      </c>
      <c r="L22" s="72">
        <v>22238</v>
      </c>
      <c r="M22" s="78">
        <f t="shared" si="0"/>
        <v>122.71787031207843</v>
      </c>
      <c r="N22" s="75">
        <v>0.97</v>
      </c>
      <c r="O22" s="61"/>
    </row>
    <row r="23" spans="3:15" ht="15" customHeight="1" x14ac:dyDescent="0.3">
      <c r="C23" s="49">
        <f t="shared" si="6"/>
        <v>20</v>
      </c>
      <c r="D23" s="50">
        <v>46162</v>
      </c>
      <c r="E23" s="50" t="str">
        <f t="shared" si="1"/>
        <v>Wed</v>
      </c>
      <c r="F23" s="51">
        <f t="shared" si="2"/>
        <v>21</v>
      </c>
      <c r="G23" s="51" t="str">
        <f t="shared" si="3"/>
        <v>May-26</v>
      </c>
      <c r="H23" s="55">
        <v>0.33333333333333331</v>
      </c>
      <c r="I23" s="60">
        <v>34387</v>
      </c>
      <c r="J23" s="60">
        <v>38474</v>
      </c>
      <c r="K23" s="58">
        <f t="shared" si="5"/>
        <v>4087</v>
      </c>
      <c r="L23" s="72">
        <v>40214</v>
      </c>
      <c r="M23" s="78">
        <f t="shared" si="0"/>
        <v>101.63127269110259</v>
      </c>
      <c r="N23" s="75">
        <v>0.97</v>
      </c>
      <c r="O23" s="56"/>
    </row>
    <row r="24" spans="3:15" ht="15" customHeight="1" x14ac:dyDescent="0.3">
      <c r="C24" s="49">
        <f t="shared" si="6"/>
        <v>21</v>
      </c>
      <c r="D24" s="50">
        <v>46163</v>
      </c>
      <c r="E24" s="50" t="str">
        <f t="shared" si="1"/>
        <v>Thu</v>
      </c>
      <c r="F24" s="51">
        <f t="shared" si="2"/>
        <v>21</v>
      </c>
      <c r="G24" s="51" t="str">
        <f t="shared" si="3"/>
        <v>May-26</v>
      </c>
      <c r="H24" s="55">
        <v>0.33333333333333331</v>
      </c>
      <c r="I24" s="60">
        <v>38474</v>
      </c>
      <c r="J24" s="60">
        <v>41095</v>
      </c>
      <c r="K24" s="58">
        <f t="shared" si="5"/>
        <v>2621</v>
      </c>
      <c r="L24" s="72">
        <v>43895</v>
      </c>
      <c r="M24" s="78">
        <f t="shared" si="0"/>
        <v>59.71067319740289</v>
      </c>
      <c r="N24" s="75">
        <v>0.98</v>
      </c>
      <c r="O24" s="56" t="s">
        <v>16</v>
      </c>
    </row>
    <row r="25" spans="3:15" ht="15" customHeight="1" x14ac:dyDescent="0.3">
      <c r="C25" s="49">
        <f t="shared" si="6"/>
        <v>22</v>
      </c>
      <c r="D25" s="50">
        <v>46164</v>
      </c>
      <c r="E25" s="50" t="str">
        <f t="shared" si="1"/>
        <v>Fri</v>
      </c>
      <c r="F25" s="51">
        <f t="shared" si="2"/>
        <v>21</v>
      </c>
      <c r="G25" s="51" t="str">
        <f t="shared" si="3"/>
        <v>May-26</v>
      </c>
      <c r="H25" s="55">
        <v>0.33333333333333331</v>
      </c>
      <c r="I25" s="60">
        <f t="shared" ref="I25:I34" si="7">J24</f>
        <v>41095</v>
      </c>
      <c r="J25" s="60">
        <v>45808</v>
      </c>
      <c r="K25" s="58">
        <f t="shared" si="5"/>
        <v>4713</v>
      </c>
      <c r="L25" s="72">
        <v>81348</v>
      </c>
      <c r="M25" s="78">
        <f t="shared" si="0"/>
        <v>57.936273786694201</v>
      </c>
      <c r="N25" s="75">
        <v>0.98</v>
      </c>
      <c r="O25" s="56"/>
    </row>
    <row r="26" spans="3:15" ht="15" customHeight="1" x14ac:dyDescent="0.3">
      <c r="C26" s="49">
        <f t="shared" si="6"/>
        <v>23</v>
      </c>
      <c r="D26" s="50">
        <v>46165</v>
      </c>
      <c r="E26" s="50" t="str">
        <f t="shared" si="1"/>
        <v>Sat</v>
      </c>
      <c r="F26" s="51">
        <f t="shared" si="2"/>
        <v>21</v>
      </c>
      <c r="G26" s="51" t="str">
        <f t="shared" si="3"/>
        <v>May-26</v>
      </c>
      <c r="H26" s="55">
        <v>0.33333333333333331</v>
      </c>
      <c r="I26" s="60">
        <f t="shared" si="7"/>
        <v>45808</v>
      </c>
      <c r="J26" s="60">
        <v>49679</v>
      </c>
      <c r="K26" s="58">
        <f t="shared" si="5"/>
        <v>3871</v>
      </c>
      <c r="L26" s="72">
        <v>45419</v>
      </c>
      <c r="M26" s="78">
        <f t="shared" si="0"/>
        <v>85.228648803364223</v>
      </c>
      <c r="N26" s="76">
        <v>0.98</v>
      </c>
      <c r="O26" s="56"/>
    </row>
    <row r="27" spans="3:15" ht="15" customHeight="1" x14ac:dyDescent="0.3">
      <c r="C27" s="49">
        <f t="shared" si="6"/>
        <v>24</v>
      </c>
      <c r="D27" s="50">
        <v>46166</v>
      </c>
      <c r="E27" s="50" t="str">
        <f t="shared" si="1"/>
        <v>Sun</v>
      </c>
      <c r="F27" s="51">
        <f t="shared" si="2"/>
        <v>22</v>
      </c>
      <c r="G27" s="51" t="str">
        <f t="shared" si="3"/>
        <v>May-26</v>
      </c>
      <c r="H27" s="55">
        <v>0.33333333333333331</v>
      </c>
      <c r="I27" s="60">
        <f t="shared" si="7"/>
        <v>49679</v>
      </c>
      <c r="J27" s="60">
        <v>51408</v>
      </c>
      <c r="K27" s="58">
        <f t="shared" si="5"/>
        <v>1729</v>
      </c>
      <c r="L27" s="72">
        <v>0</v>
      </c>
      <c r="M27" s="78">
        <f t="shared" si="0"/>
        <v>0</v>
      </c>
      <c r="N27" s="76">
        <v>0.98</v>
      </c>
      <c r="O27" s="62" t="s">
        <v>17</v>
      </c>
    </row>
    <row r="28" spans="3:15" ht="15" customHeight="1" x14ac:dyDescent="0.3">
      <c r="C28" s="49">
        <f t="shared" si="6"/>
        <v>25</v>
      </c>
      <c r="D28" s="50">
        <v>46167</v>
      </c>
      <c r="E28" s="50" t="str">
        <f t="shared" si="1"/>
        <v>Mon</v>
      </c>
      <c r="F28" s="51">
        <f t="shared" si="2"/>
        <v>22</v>
      </c>
      <c r="G28" s="51" t="str">
        <f t="shared" si="3"/>
        <v>May-26</v>
      </c>
      <c r="H28" s="55">
        <v>0.33333333333333331</v>
      </c>
      <c r="I28" s="60">
        <f t="shared" si="7"/>
        <v>51408</v>
      </c>
      <c r="J28" s="60">
        <v>53502</v>
      </c>
      <c r="K28" s="58">
        <f t="shared" si="5"/>
        <v>2094</v>
      </c>
      <c r="L28" s="72">
        <v>0</v>
      </c>
      <c r="M28" s="78">
        <f t="shared" si="0"/>
        <v>0</v>
      </c>
      <c r="N28" s="76">
        <v>0.98</v>
      </c>
      <c r="O28" s="62"/>
    </row>
    <row r="29" spans="3:15" ht="15" customHeight="1" x14ac:dyDescent="0.3">
      <c r="C29" s="49">
        <f t="shared" si="6"/>
        <v>26</v>
      </c>
      <c r="D29" s="50">
        <v>46168</v>
      </c>
      <c r="E29" s="50" t="str">
        <f t="shared" si="1"/>
        <v>Tue</v>
      </c>
      <c r="F29" s="51">
        <f t="shared" si="2"/>
        <v>22</v>
      </c>
      <c r="G29" s="51" t="str">
        <f t="shared" si="3"/>
        <v>May-26</v>
      </c>
      <c r="H29" s="55">
        <v>0.33333333333333331</v>
      </c>
      <c r="I29" s="60">
        <f t="shared" si="7"/>
        <v>53502</v>
      </c>
      <c r="J29" s="60">
        <v>59003</v>
      </c>
      <c r="K29" s="58">
        <f t="shared" si="5"/>
        <v>5501</v>
      </c>
      <c r="L29" s="72">
        <v>63653</v>
      </c>
      <c r="M29" s="78">
        <f t="shared" si="0"/>
        <v>86.421692614645025</v>
      </c>
      <c r="N29" s="76">
        <v>0.98</v>
      </c>
      <c r="O29" s="56"/>
    </row>
    <row r="30" spans="3:15" ht="15" customHeight="1" x14ac:dyDescent="0.3">
      <c r="C30" s="49">
        <f t="shared" si="6"/>
        <v>27</v>
      </c>
      <c r="D30" s="50">
        <v>46169</v>
      </c>
      <c r="E30" s="50" t="str">
        <f t="shared" si="1"/>
        <v>Wed</v>
      </c>
      <c r="F30" s="51">
        <f t="shared" si="2"/>
        <v>22</v>
      </c>
      <c r="G30" s="51" t="str">
        <f t="shared" si="3"/>
        <v>May-26</v>
      </c>
      <c r="H30" s="55">
        <v>0.33333333333333331</v>
      </c>
      <c r="I30" s="60">
        <f t="shared" si="7"/>
        <v>59003</v>
      </c>
      <c r="J30" s="60">
        <v>63924</v>
      </c>
      <c r="K30" s="58">
        <f t="shared" si="5"/>
        <v>4921</v>
      </c>
      <c r="L30" s="72">
        <v>63175</v>
      </c>
      <c r="M30" s="78">
        <f t="shared" si="0"/>
        <v>77.89473684210526</v>
      </c>
      <c r="N30" s="76">
        <v>0.98</v>
      </c>
      <c r="O30" s="49"/>
    </row>
    <row r="31" spans="3:15" ht="15" customHeight="1" x14ac:dyDescent="0.3">
      <c r="C31" s="49">
        <f t="shared" si="6"/>
        <v>28</v>
      </c>
      <c r="D31" s="50">
        <v>46170</v>
      </c>
      <c r="E31" s="50" t="str">
        <f t="shared" si="1"/>
        <v>Thu</v>
      </c>
      <c r="F31" s="51">
        <f t="shared" si="2"/>
        <v>22</v>
      </c>
      <c r="G31" s="51" t="str">
        <f t="shared" si="3"/>
        <v>May-26</v>
      </c>
      <c r="H31" s="55">
        <v>0.33333333333333331</v>
      </c>
      <c r="I31" s="60">
        <f t="shared" si="7"/>
        <v>63924</v>
      </c>
      <c r="J31" s="60">
        <v>68901</v>
      </c>
      <c r="K31" s="58">
        <f t="shared" si="5"/>
        <v>4977</v>
      </c>
      <c r="L31" s="72">
        <v>64033</v>
      </c>
      <c r="M31" s="78">
        <f t="shared" si="0"/>
        <v>77.725547764433969</v>
      </c>
      <c r="N31" s="76">
        <v>0.98</v>
      </c>
      <c r="O31" s="56" t="s">
        <v>16</v>
      </c>
    </row>
    <row r="32" spans="3:15" ht="15" customHeight="1" x14ac:dyDescent="0.3">
      <c r="C32" s="49">
        <f t="shared" si="6"/>
        <v>29</v>
      </c>
      <c r="D32" s="50">
        <v>46171</v>
      </c>
      <c r="E32" s="50" t="str">
        <f t="shared" si="1"/>
        <v>Fri</v>
      </c>
      <c r="F32" s="51">
        <f t="shared" si="2"/>
        <v>22</v>
      </c>
      <c r="G32" s="51" t="str">
        <f t="shared" si="3"/>
        <v>May-26</v>
      </c>
      <c r="H32" s="55">
        <v>0.33333333333333331</v>
      </c>
      <c r="I32" s="60">
        <f t="shared" si="7"/>
        <v>68901</v>
      </c>
      <c r="J32" s="60">
        <v>72310</v>
      </c>
      <c r="K32" s="58">
        <f t="shared" si="5"/>
        <v>3409</v>
      </c>
      <c r="L32" s="72">
        <v>60130</v>
      </c>
      <c r="M32" s="78">
        <f t="shared" si="0"/>
        <v>56.693830034924325</v>
      </c>
      <c r="N32" s="76">
        <v>0.97</v>
      </c>
      <c r="O32" s="55"/>
    </row>
    <row r="33" spans="3:15" ht="15" customHeight="1" x14ac:dyDescent="0.3">
      <c r="C33" s="49">
        <f t="shared" si="6"/>
        <v>30</v>
      </c>
      <c r="D33" s="50">
        <v>46172</v>
      </c>
      <c r="E33" s="50" t="str">
        <f t="shared" si="1"/>
        <v>Sat</v>
      </c>
      <c r="F33" s="51">
        <f t="shared" si="2"/>
        <v>22</v>
      </c>
      <c r="G33" s="51" t="str">
        <f t="shared" si="3"/>
        <v>May-26</v>
      </c>
      <c r="H33" s="55">
        <v>0.33333333333333331</v>
      </c>
      <c r="I33" s="60">
        <f t="shared" si="7"/>
        <v>72310</v>
      </c>
      <c r="J33" s="60">
        <v>77872</v>
      </c>
      <c r="K33" s="58">
        <f t="shared" si="5"/>
        <v>5562</v>
      </c>
      <c r="L33" s="72">
        <v>85529</v>
      </c>
      <c r="M33" s="78">
        <f t="shared" si="0"/>
        <v>65.030574425048812</v>
      </c>
      <c r="N33" s="76">
        <v>0.98</v>
      </c>
      <c r="O33" s="56"/>
    </row>
    <row r="34" spans="3:15" ht="15" customHeight="1" x14ac:dyDescent="0.3">
      <c r="C34" s="49">
        <f t="shared" si="6"/>
        <v>31</v>
      </c>
      <c r="D34" s="50">
        <v>46173</v>
      </c>
      <c r="E34" s="50" t="str">
        <f t="shared" si="1"/>
        <v>Sun</v>
      </c>
      <c r="F34" s="51">
        <f t="shared" si="2"/>
        <v>23</v>
      </c>
      <c r="G34" s="51" t="str">
        <f t="shared" si="3"/>
        <v>May-26</v>
      </c>
      <c r="H34" s="55">
        <v>0.33333333333333331</v>
      </c>
      <c r="I34" s="60">
        <f t="shared" si="7"/>
        <v>77872</v>
      </c>
      <c r="J34" s="60">
        <v>79931</v>
      </c>
      <c r="K34" s="58">
        <f t="shared" si="5"/>
        <v>2059</v>
      </c>
      <c r="L34" s="72">
        <v>0</v>
      </c>
      <c r="M34" s="78">
        <f t="shared" si="0"/>
        <v>0</v>
      </c>
      <c r="N34" s="76">
        <v>0.99</v>
      </c>
      <c r="O34" s="56"/>
    </row>
    <row r="35" spans="3:15" ht="15" customHeight="1" x14ac:dyDescent="0.3">
      <c r="C35" s="49">
        <f>C34+1</f>
        <v>32</v>
      </c>
      <c r="D35" s="63">
        <v>46174</v>
      </c>
      <c r="E35" s="50" t="str">
        <f t="shared" si="1"/>
        <v>Mon</v>
      </c>
      <c r="F35" s="51">
        <f t="shared" si="2"/>
        <v>23</v>
      </c>
      <c r="G35" s="51" t="str">
        <f t="shared" si="3"/>
        <v>Jun-26</v>
      </c>
      <c r="H35" s="64">
        <v>0.3125</v>
      </c>
      <c r="I35" s="60">
        <v>77872</v>
      </c>
      <c r="J35" s="60">
        <v>85564</v>
      </c>
      <c r="K35" s="58">
        <f t="shared" si="5"/>
        <v>7692</v>
      </c>
      <c r="L35" s="81">
        <v>86814</v>
      </c>
      <c r="M35" s="79">
        <f t="shared" ref="M35" si="8">IFERROR(K35/L35*1000,0)</f>
        <v>88.603220678692381</v>
      </c>
      <c r="N35" s="77">
        <v>0.99</v>
      </c>
      <c r="O35" s="60"/>
    </row>
    <row r="36" spans="3:15" ht="15" customHeight="1" x14ac:dyDescent="0.3">
      <c r="C36" s="49">
        <f t="shared" si="6"/>
        <v>33</v>
      </c>
      <c r="D36" s="63">
        <v>46175</v>
      </c>
      <c r="E36" s="50" t="str">
        <f t="shared" si="1"/>
        <v>Tue</v>
      </c>
      <c r="F36" s="51">
        <f t="shared" si="2"/>
        <v>23</v>
      </c>
      <c r="G36" s="51" t="str">
        <f t="shared" si="3"/>
        <v>Jun-26</v>
      </c>
      <c r="H36" s="64">
        <v>0.3125</v>
      </c>
      <c r="I36" s="60">
        <v>85564</v>
      </c>
      <c r="J36" s="60">
        <v>91378</v>
      </c>
      <c r="K36" s="58">
        <f t="shared" si="5"/>
        <v>5814</v>
      </c>
      <c r="L36" s="81">
        <v>43656</v>
      </c>
      <c r="M36" s="78">
        <f t="shared" si="0"/>
        <v>133.17757009345794</v>
      </c>
      <c r="N36" s="77">
        <v>0.99</v>
      </c>
      <c r="O36" s="66"/>
    </row>
    <row r="37" spans="3:15" ht="15" customHeight="1" x14ac:dyDescent="0.3">
      <c r="C37" s="49">
        <f t="shared" si="6"/>
        <v>34</v>
      </c>
      <c r="D37" s="63">
        <v>46176</v>
      </c>
      <c r="E37" s="50" t="str">
        <f t="shared" si="1"/>
        <v>Wed</v>
      </c>
      <c r="F37" s="51">
        <f t="shared" si="2"/>
        <v>23</v>
      </c>
      <c r="G37" s="51" t="str">
        <f t="shared" si="3"/>
        <v>Jun-26</v>
      </c>
      <c r="H37" s="64">
        <v>0.3125</v>
      </c>
      <c r="I37" s="60">
        <v>91378</v>
      </c>
      <c r="J37" s="60">
        <v>97328</v>
      </c>
      <c r="K37" s="58">
        <f t="shared" si="5"/>
        <v>5950</v>
      </c>
      <c r="L37" s="81">
        <v>55867</v>
      </c>
      <c r="M37" s="78">
        <f t="shared" si="0"/>
        <v>106.50294449317128</v>
      </c>
      <c r="N37" s="77">
        <v>0.99</v>
      </c>
      <c r="O37" s="66"/>
    </row>
    <row r="38" spans="3:15" ht="15" customHeight="1" x14ac:dyDescent="0.3">
      <c r="C38" s="49">
        <f t="shared" si="6"/>
        <v>35</v>
      </c>
      <c r="D38" s="63">
        <v>46177</v>
      </c>
      <c r="E38" s="50" t="str">
        <f t="shared" si="1"/>
        <v>Thu</v>
      </c>
      <c r="F38" s="51">
        <f t="shared" si="2"/>
        <v>23</v>
      </c>
      <c r="G38" s="51" t="str">
        <f t="shared" si="3"/>
        <v>Jun-26</v>
      </c>
      <c r="H38" s="64">
        <v>0.3125</v>
      </c>
      <c r="I38" s="60">
        <v>97328</v>
      </c>
      <c r="J38" s="60">
        <v>103439</v>
      </c>
      <c r="K38" s="58">
        <f t="shared" si="5"/>
        <v>6111</v>
      </c>
      <c r="L38" s="82">
        <v>78295</v>
      </c>
      <c r="M38" s="78">
        <f t="shared" si="0"/>
        <v>78.050961108627618</v>
      </c>
      <c r="N38" s="80">
        <v>0.99</v>
      </c>
      <c r="O38" s="67"/>
    </row>
    <row r="39" spans="3:15" ht="15" customHeight="1" x14ac:dyDescent="0.3">
      <c r="C39" s="49">
        <f t="shared" si="6"/>
        <v>36</v>
      </c>
      <c r="D39" s="63">
        <v>46178</v>
      </c>
      <c r="E39" s="50" t="str">
        <f t="shared" si="1"/>
        <v>Fri</v>
      </c>
      <c r="F39" s="51">
        <f t="shared" si="2"/>
        <v>23</v>
      </c>
      <c r="G39" s="51" t="str">
        <f t="shared" si="3"/>
        <v>Jun-26</v>
      </c>
      <c r="H39" s="64">
        <v>0.3125</v>
      </c>
      <c r="I39" s="60">
        <v>103439</v>
      </c>
      <c r="J39" s="60">
        <v>109292</v>
      </c>
      <c r="K39" s="58">
        <f t="shared" si="5"/>
        <v>5853</v>
      </c>
      <c r="L39" s="81">
        <v>77716</v>
      </c>
      <c r="M39" s="78">
        <f t="shared" si="0"/>
        <v>75.312676926244265</v>
      </c>
      <c r="N39" s="77">
        <v>0.98</v>
      </c>
      <c r="O39" s="60"/>
    </row>
    <row r="40" spans="3:15" ht="15" customHeight="1" x14ac:dyDescent="0.3">
      <c r="C40" s="49">
        <f t="shared" si="6"/>
        <v>37</v>
      </c>
      <c r="D40" s="63">
        <v>46179</v>
      </c>
      <c r="E40" s="50" t="str">
        <f t="shared" si="1"/>
        <v>Sat</v>
      </c>
      <c r="F40" s="51">
        <f t="shared" si="2"/>
        <v>23</v>
      </c>
      <c r="G40" s="51" t="str">
        <f t="shared" si="3"/>
        <v>Jun-26</v>
      </c>
      <c r="H40" s="64">
        <v>0.35416666666666669</v>
      </c>
      <c r="I40" s="60">
        <v>109292</v>
      </c>
      <c r="J40" s="60">
        <v>115470</v>
      </c>
      <c r="K40" s="58">
        <f t="shared" si="5"/>
        <v>6178</v>
      </c>
      <c r="L40" s="81">
        <v>86719</v>
      </c>
      <c r="M40" s="78">
        <f t="shared" si="0"/>
        <v>71.241596420622926</v>
      </c>
      <c r="N40" s="77">
        <v>0.98</v>
      </c>
      <c r="O40" s="60"/>
    </row>
    <row r="41" spans="3:15" ht="15" customHeight="1" x14ac:dyDescent="0.3">
      <c r="C41" s="49">
        <f t="shared" si="6"/>
        <v>38</v>
      </c>
      <c r="D41" s="63">
        <v>46180</v>
      </c>
      <c r="E41" s="50" t="str">
        <f t="shared" si="1"/>
        <v>Sun</v>
      </c>
      <c r="F41" s="51">
        <f t="shared" si="2"/>
        <v>24</v>
      </c>
      <c r="G41" s="51" t="str">
        <f t="shared" si="3"/>
        <v>Jun-26</v>
      </c>
      <c r="H41" s="64">
        <v>0.3125</v>
      </c>
      <c r="I41" s="60">
        <v>115470</v>
      </c>
      <c r="J41" s="60">
        <v>118612</v>
      </c>
      <c r="K41" s="58">
        <f t="shared" si="5"/>
        <v>3142</v>
      </c>
      <c r="L41" s="81" t="s">
        <v>29</v>
      </c>
      <c r="M41" s="78">
        <f t="shared" si="0"/>
        <v>0</v>
      </c>
      <c r="N41" s="77">
        <v>0.98</v>
      </c>
      <c r="O41" s="60"/>
    </row>
    <row r="42" spans="3:15" ht="15" customHeight="1" x14ac:dyDescent="0.3">
      <c r="C42" s="49">
        <f t="shared" si="6"/>
        <v>39</v>
      </c>
      <c r="D42" s="63">
        <v>46181</v>
      </c>
      <c r="E42" s="50" t="str">
        <f t="shared" si="1"/>
        <v>Mon</v>
      </c>
      <c r="F42" s="51">
        <f t="shared" si="2"/>
        <v>24</v>
      </c>
      <c r="G42" s="51" t="str">
        <f t="shared" si="3"/>
        <v>Jun-26</v>
      </c>
      <c r="H42" s="64">
        <v>0.3125</v>
      </c>
      <c r="I42" s="60">
        <v>118612</v>
      </c>
      <c r="J42" s="60">
        <v>124562</v>
      </c>
      <c r="K42" s="58">
        <f t="shared" si="5"/>
        <v>5950</v>
      </c>
      <c r="L42" s="81">
        <v>79723</v>
      </c>
      <c r="M42" s="78">
        <f t="shared" si="0"/>
        <v>74.633418210554041</v>
      </c>
      <c r="N42" s="77">
        <v>0.99</v>
      </c>
      <c r="O42" s="60"/>
    </row>
    <row r="43" spans="3:15" ht="15" customHeight="1" x14ac:dyDescent="0.3">
      <c r="C43" s="49">
        <f t="shared" si="6"/>
        <v>40</v>
      </c>
      <c r="D43" s="63">
        <v>46182</v>
      </c>
      <c r="E43" s="50" t="str">
        <f t="shared" si="1"/>
        <v>Tue</v>
      </c>
      <c r="F43" s="51">
        <f t="shared" si="2"/>
        <v>24</v>
      </c>
      <c r="G43" s="51" t="str">
        <f t="shared" si="3"/>
        <v>Jun-26</v>
      </c>
      <c r="H43" s="64">
        <v>0.3125</v>
      </c>
      <c r="I43" s="60">
        <v>124562</v>
      </c>
      <c r="J43" s="60">
        <v>131085</v>
      </c>
      <c r="K43" s="58">
        <f t="shared" si="5"/>
        <v>6523</v>
      </c>
      <c r="L43" s="81">
        <v>83843</v>
      </c>
      <c r="M43" s="78">
        <f t="shared" si="0"/>
        <v>77.800174134990399</v>
      </c>
      <c r="N43" s="77">
        <v>0.99</v>
      </c>
      <c r="O43" s="60"/>
    </row>
    <row r="44" spans="3:15" ht="15" customHeight="1" x14ac:dyDescent="0.3">
      <c r="C44" s="49">
        <f t="shared" si="6"/>
        <v>41</v>
      </c>
      <c r="D44" s="63">
        <v>46183</v>
      </c>
      <c r="E44" s="50" t="str">
        <f t="shared" si="1"/>
        <v>Wed</v>
      </c>
      <c r="F44" s="51">
        <f t="shared" si="2"/>
        <v>24</v>
      </c>
      <c r="G44" s="51" t="str">
        <f t="shared" si="3"/>
        <v>Jun-26</v>
      </c>
      <c r="H44" s="64">
        <v>0.3125</v>
      </c>
      <c r="I44" s="60">
        <v>131085</v>
      </c>
      <c r="J44" s="60">
        <v>138025</v>
      </c>
      <c r="K44" s="58">
        <f t="shared" si="5"/>
        <v>6940</v>
      </c>
      <c r="L44" s="81">
        <v>80083</v>
      </c>
      <c r="M44" s="78">
        <f t="shared" si="0"/>
        <v>86.660090156462672</v>
      </c>
      <c r="N44" s="77">
        <v>0.99</v>
      </c>
      <c r="O44" s="60"/>
    </row>
    <row r="45" spans="3:15" ht="15" customHeight="1" x14ac:dyDescent="0.3">
      <c r="C45" s="49">
        <f t="shared" si="6"/>
        <v>42</v>
      </c>
      <c r="D45" s="63">
        <v>46184</v>
      </c>
      <c r="E45" s="50" t="str">
        <f t="shared" si="1"/>
        <v>Thu</v>
      </c>
      <c r="F45" s="51">
        <f t="shared" si="2"/>
        <v>24</v>
      </c>
      <c r="G45" s="51" t="str">
        <f t="shared" si="3"/>
        <v>Jun-26</v>
      </c>
      <c r="H45" s="64">
        <v>0.3125</v>
      </c>
      <c r="I45" s="60">
        <v>138025</v>
      </c>
      <c r="J45" s="60">
        <v>144425</v>
      </c>
      <c r="K45" s="58">
        <f t="shared" si="5"/>
        <v>6400</v>
      </c>
      <c r="L45" s="81">
        <v>89319</v>
      </c>
      <c r="M45" s="78">
        <f t="shared" si="0"/>
        <v>71.653287654362444</v>
      </c>
      <c r="N45" s="77">
        <v>0.99</v>
      </c>
      <c r="O45" s="60"/>
    </row>
    <row r="46" spans="3:15" ht="15" customHeight="1" x14ac:dyDescent="0.3">
      <c r="C46" s="49">
        <f t="shared" si="6"/>
        <v>43</v>
      </c>
      <c r="D46" s="63">
        <v>46185</v>
      </c>
      <c r="E46" s="50" t="str">
        <f t="shared" si="1"/>
        <v>Fri</v>
      </c>
      <c r="F46" s="51">
        <f t="shared" si="2"/>
        <v>24</v>
      </c>
      <c r="G46" s="51" t="str">
        <f t="shared" si="3"/>
        <v>Jun-26</v>
      </c>
      <c r="H46" s="64">
        <v>0.3125</v>
      </c>
      <c r="I46" s="60">
        <v>144425</v>
      </c>
      <c r="J46" s="60">
        <v>150692</v>
      </c>
      <c r="K46" s="58">
        <f t="shared" si="5"/>
        <v>6267</v>
      </c>
      <c r="L46" s="74">
        <v>87731</v>
      </c>
      <c r="M46" s="78">
        <f t="shared" si="0"/>
        <v>71.434270668292839</v>
      </c>
      <c r="N46" s="77">
        <v>0.99</v>
      </c>
      <c r="O46" s="60"/>
    </row>
    <row r="47" spans="3:15" ht="15" customHeight="1" x14ac:dyDescent="0.3">
      <c r="C47" s="49">
        <f t="shared" si="6"/>
        <v>44</v>
      </c>
      <c r="D47" s="63">
        <v>46186</v>
      </c>
      <c r="E47" s="50" t="str">
        <f t="shared" si="1"/>
        <v>Sat</v>
      </c>
      <c r="F47" s="51">
        <f t="shared" si="2"/>
        <v>24</v>
      </c>
      <c r="G47" s="51" t="str">
        <f t="shared" si="3"/>
        <v>Jun-26</v>
      </c>
      <c r="H47" s="64">
        <v>0.3125</v>
      </c>
      <c r="I47" s="60">
        <v>150692</v>
      </c>
      <c r="J47" s="60">
        <v>155840</v>
      </c>
      <c r="K47" s="58">
        <f t="shared" si="5"/>
        <v>5148</v>
      </c>
      <c r="L47" s="74">
        <v>88851.450000000012</v>
      </c>
      <c r="M47" s="78">
        <f t="shared" si="0"/>
        <v>57.939403352449503</v>
      </c>
      <c r="N47" s="77">
        <v>0.98</v>
      </c>
      <c r="O47" s="60"/>
    </row>
    <row r="48" spans="3:15" ht="15" customHeight="1" x14ac:dyDescent="0.3">
      <c r="C48" s="49">
        <f t="shared" si="6"/>
        <v>45</v>
      </c>
      <c r="D48" s="63">
        <v>46187</v>
      </c>
      <c r="E48" s="50" t="str">
        <f t="shared" si="1"/>
        <v>Sun</v>
      </c>
      <c r="F48" s="51">
        <f t="shared" si="2"/>
        <v>25</v>
      </c>
      <c r="G48" s="51" t="str">
        <f t="shared" si="3"/>
        <v>Jun-26</v>
      </c>
      <c r="H48" s="64">
        <v>0.3125</v>
      </c>
      <c r="I48" s="60">
        <v>155840</v>
      </c>
      <c r="J48" s="60">
        <v>157295</v>
      </c>
      <c r="K48" s="58">
        <f t="shared" si="5"/>
        <v>1455</v>
      </c>
      <c r="L48" s="74" t="s">
        <v>29</v>
      </c>
      <c r="M48" s="78">
        <f t="shared" si="0"/>
        <v>0</v>
      </c>
      <c r="N48" s="77">
        <v>0.99</v>
      </c>
      <c r="O48" s="60"/>
    </row>
    <row r="49" spans="3:15" ht="15" customHeight="1" x14ac:dyDescent="0.3">
      <c r="C49" s="49">
        <f t="shared" si="6"/>
        <v>46</v>
      </c>
      <c r="D49" s="63">
        <v>46188</v>
      </c>
      <c r="E49" s="50" t="str">
        <f t="shared" si="1"/>
        <v>Mon</v>
      </c>
      <c r="F49" s="51">
        <f t="shared" si="2"/>
        <v>25</v>
      </c>
      <c r="G49" s="51" t="str">
        <f t="shared" si="3"/>
        <v>Jun-26</v>
      </c>
      <c r="H49" s="64">
        <v>0.3125</v>
      </c>
      <c r="I49" s="60">
        <v>157295</v>
      </c>
      <c r="J49" s="60">
        <v>163553</v>
      </c>
      <c r="K49" s="58">
        <f t="shared" si="5"/>
        <v>6258</v>
      </c>
      <c r="L49" s="74">
        <v>62994</v>
      </c>
      <c r="M49" s="78">
        <f t="shared" si="0"/>
        <v>99.342794551862085</v>
      </c>
      <c r="N49" s="77">
        <v>0.98</v>
      </c>
      <c r="O49" s="60"/>
    </row>
    <row r="50" spans="3:15" ht="15" customHeight="1" x14ac:dyDescent="0.3">
      <c r="C50" s="49">
        <f t="shared" si="6"/>
        <v>47</v>
      </c>
      <c r="D50" s="63">
        <v>46189</v>
      </c>
      <c r="E50" s="50" t="str">
        <f t="shared" si="1"/>
        <v>Tue</v>
      </c>
      <c r="F50" s="51">
        <f t="shared" si="2"/>
        <v>25</v>
      </c>
      <c r="G50" s="51" t="str">
        <f t="shared" si="3"/>
        <v>Jun-26</v>
      </c>
      <c r="H50" s="64">
        <v>0.3125</v>
      </c>
      <c r="I50" s="60">
        <v>163553</v>
      </c>
      <c r="J50" s="60">
        <v>171025</v>
      </c>
      <c r="K50" s="58">
        <f t="shared" si="5"/>
        <v>7472</v>
      </c>
      <c r="L50" s="74">
        <v>84707</v>
      </c>
      <c r="M50" s="78">
        <f t="shared" si="0"/>
        <v>88.209947229862948</v>
      </c>
      <c r="N50" s="77">
        <v>0.99</v>
      </c>
      <c r="O50" s="60"/>
    </row>
    <row r="51" spans="3:15" ht="15" customHeight="1" x14ac:dyDescent="0.3">
      <c r="C51" s="49">
        <f t="shared" si="6"/>
        <v>48</v>
      </c>
      <c r="D51" s="63">
        <v>46190</v>
      </c>
      <c r="E51" s="50" t="str">
        <f t="shared" si="1"/>
        <v>Wed</v>
      </c>
      <c r="F51" s="51">
        <f t="shared" si="2"/>
        <v>25</v>
      </c>
      <c r="G51" s="51" t="str">
        <f t="shared" si="3"/>
        <v>Jun-26</v>
      </c>
      <c r="H51" s="64">
        <v>0.3125</v>
      </c>
      <c r="I51" s="60">
        <v>171025</v>
      </c>
      <c r="J51" s="60">
        <v>178609</v>
      </c>
      <c r="K51" s="58">
        <f t="shared" si="5"/>
        <v>7584</v>
      </c>
      <c r="L51" s="74">
        <v>88435</v>
      </c>
      <c r="M51" s="78">
        <f t="shared" si="0"/>
        <v>85.757901283428495</v>
      </c>
      <c r="N51" s="77">
        <v>0.99</v>
      </c>
      <c r="O51" s="60"/>
    </row>
    <row r="52" spans="3:15" ht="15" customHeight="1" x14ac:dyDescent="0.3">
      <c r="C52" s="49">
        <f t="shared" si="6"/>
        <v>49</v>
      </c>
      <c r="D52" s="63">
        <v>46191</v>
      </c>
      <c r="E52" s="50" t="str">
        <f t="shared" si="1"/>
        <v>Thu</v>
      </c>
      <c r="F52" s="51">
        <f t="shared" si="2"/>
        <v>25</v>
      </c>
      <c r="G52" s="51" t="str">
        <f t="shared" si="3"/>
        <v>Jun-26</v>
      </c>
      <c r="H52" s="64">
        <v>0.3125</v>
      </c>
      <c r="I52" s="60">
        <v>178609</v>
      </c>
      <c r="J52" s="60">
        <v>184468</v>
      </c>
      <c r="K52" s="58">
        <f t="shared" si="5"/>
        <v>5859</v>
      </c>
      <c r="L52" s="74">
        <v>97133</v>
      </c>
      <c r="M52" s="78">
        <f t="shared" si="0"/>
        <v>60.31935593464631</v>
      </c>
      <c r="N52" s="77">
        <v>0.98</v>
      </c>
      <c r="O52" s="60"/>
    </row>
    <row r="53" spans="3:15" ht="15" customHeight="1" x14ac:dyDescent="0.3">
      <c r="C53" s="49">
        <f t="shared" si="6"/>
        <v>50</v>
      </c>
      <c r="D53" s="63">
        <v>46192</v>
      </c>
      <c r="E53" s="50" t="str">
        <f t="shared" si="1"/>
        <v>Fri</v>
      </c>
      <c r="F53" s="51">
        <f t="shared" si="2"/>
        <v>25</v>
      </c>
      <c r="G53" s="51" t="str">
        <f t="shared" si="3"/>
        <v>Jun-26</v>
      </c>
      <c r="H53" s="64">
        <v>0.3125</v>
      </c>
      <c r="I53" s="60">
        <v>184468</v>
      </c>
      <c r="J53" s="60">
        <v>187173</v>
      </c>
      <c r="K53" s="58">
        <f t="shared" si="5"/>
        <v>2705</v>
      </c>
      <c r="L53" s="74" t="s">
        <v>29</v>
      </c>
      <c r="M53" s="78">
        <f t="shared" si="0"/>
        <v>0</v>
      </c>
      <c r="N53" s="77">
        <v>0.99</v>
      </c>
      <c r="O53" s="60"/>
    </row>
    <row r="54" spans="3:15" ht="15" customHeight="1" x14ac:dyDescent="0.3">
      <c r="C54" s="49">
        <f t="shared" si="6"/>
        <v>51</v>
      </c>
      <c r="D54" s="63">
        <v>46193</v>
      </c>
      <c r="E54" s="50" t="str">
        <f t="shared" si="1"/>
        <v>Sat</v>
      </c>
      <c r="F54" s="51">
        <f t="shared" si="2"/>
        <v>25</v>
      </c>
      <c r="G54" s="51" t="str">
        <f t="shared" si="3"/>
        <v>Jun-26</v>
      </c>
      <c r="H54" s="64">
        <v>0.3125</v>
      </c>
      <c r="I54" s="60">
        <v>187173</v>
      </c>
      <c r="J54" s="60">
        <v>194523</v>
      </c>
      <c r="K54" s="58">
        <f t="shared" si="5"/>
        <v>7350</v>
      </c>
      <c r="L54" s="74">
        <v>96965</v>
      </c>
      <c r="M54" s="78">
        <f t="shared" si="0"/>
        <v>75.800546588975408</v>
      </c>
      <c r="N54" s="77"/>
      <c r="O54" s="60"/>
    </row>
    <row r="55" spans="3:15" ht="15" customHeight="1" x14ac:dyDescent="0.3">
      <c r="C55" s="49">
        <f t="shared" si="6"/>
        <v>52</v>
      </c>
      <c r="D55" s="63">
        <v>46194</v>
      </c>
      <c r="E55" s="50" t="str">
        <f t="shared" si="1"/>
        <v>Sun</v>
      </c>
      <c r="F55" s="51">
        <f t="shared" si="2"/>
        <v>26</v>
      </c>
      <c r="G55" s="51" t="str">
        <f t="shared" si="3"/>
        <v>Jun-26</v>
      </c>
      <c r="H55" s="64">
        <v>0.3125</v>
      </c>
      <c r="I55" s="60">
        <v>194523</v>
      </c>
      <c r="J55" s="60">
        <v>197398</v>
      </c>
      <c r="K55" s="58">
        <f t="shared" si="5"/>
        <v>2875</v>
      </c>
      <c r="L55" s="74">
        <v>0</v>
      </c>
      <c r="M55" s="78">
        <f t="shared" si="0"/>
        <v>0</v>
      </c>
      <c r="N55" s="77"/>
      <c r="O55" s="60"/>
    </row>
    <row r="56" spans="3:15" ht="15" customHeight="1" x14ac:dyDescent="0.3">
      <c r="C56" s="49">
        <f t="shared" si="6"/>
        <v>53</v>
      </c>
      <c r="D56" s="63">
        <v>46195</v>
      </c>
      <c r="E56" s="50" t="str">
        <f t="shared" si="1"/>
        <v>Mon</v>
      </c>
      <c r="F56" s="51">
        <f t="shared" si="2"/>
        <v>26</v>
      </c>
      <c r="G56" s="51" t="str">
        <f t="shared" si="3"/>
        <v>Jun-26</v>
      </c>
      <c r="H56" s="64">
        <v>0.3125</v>
      </c>
      <c r="I56" s="60">
        <v>197398</v>
      </c>
      <c r="J56" s="60">
        <v>204350</v>
      </c>
      <c r="K56" s="58">
        <f t="shared" si="5"/>
        <v>6952</v>
      </c>
      <c r="L56" s="74">
        <v>89645</v>
      </c>
      <c r="M56" s="78">
        <f t="shared" si="0"/>
        <v>77.550337442132857</v>
      </c>
      <c r="N56" s="77"/>
      <c r="O56" s="60"/>
    </row>
    <row r="57" spans="3:15" ht="15" customHeight="1" x14ac:dyDescent="0.3">
      <c r="C57" s="49">
        <f t="shared" si="6"/>
        <v>54</v>
      </c>
      <c r="D57" s="63">
        <v>46196</v>
      </c>
      <c r="E57" s="50" t="str">
        <f t="shared" si="1"/>
        <v>Tue</v>
      </c>
      <c r="F57" s="51">
        <f t="shared" si="2"/>
        <v>26</v>
      </c>
      <c r="G57" s="51" t="str">
        <f t="shared" si="3"/>
        <v>Jun-26</v>
      </c>
      <c r="H57" s="64">
        <v>0.3125</v>
      </c>
      <c r="I57" s="60">
        <v>204350</v>
      </c>
      <c r="J57" s="60">
        <v>211777</v>
      </c>
      <c r="K57" s="58">
        <f t="shared" si="5"/>
        <v>7427</v>
      </c>
      <c r="L57" s="74">
        <v>97699</v>
      </c>
      <c r="M57" s="78">
        <f t="shared" si="0"/>
        <v>76.019201834205063</v>
      </c>
      <c r="N57" s="77"/>
      <c r="O57" s="60"/>
    </row>
    <row r="58" spans="3:15" ht="15" customHeight="1" x14ac:dyDescent="0.3">
      <c r="C58" s="49">
        <f t="shared" si="6"/>
        <v>55</v>
      </c>
      <c r="D58" s="63">
        <v>46197</v>
      </c>
      <c r="E58" s="50" t="str">
        <f t="shared" si="1"/>
        <v>Wed</v>
      </c>
      <c r="F58" s="51">
        <f t="shared" si="2"/>
        <v>26</v>
      </c>
      <c r="G58" s="51" t="str">
        <f t="shared" si="3"/>
        <v>Jun-26</v>
      </c>
      <c r="H58" s="64">
        <v>0.3125</v>
      </c>
      <c r="I58" s="60">
        <v>211777</v>
      </c>
      <c r="J58" s="60">
        <v>219690</v>
      </c>
      <c r="K58" s="58">
        <f t="shared" si="5"/>
        <v>7913</v>
      </c>
      <c r="L58" s="74">
        <v>108954</v>
      </c>
      <c r="M58" s="78">
        <f t="shared" si="0"/>
        <v>72.626980193476143</v>
      </c>
      <c r="N58" s="77"/>
      <c r="O58" s="60"/>
    </row>
    <row r="59" spans="3:15" ht="15" customHeight="1" x14ac:dyDescent="0.3">
      <c r="C59" s="49">
        <f t="shared" si="6"/>
        <v>56</v>
      </c>
      <c r="D59" s="63">
        <v>46198</v>
      </c>
      <c r="E59" s="50" t="str">
        <f t="shared" si="1"/>
        <v>Thu</v>
      </c>
      <c r="F59" s="51">
        <f t="shared" si="2"/>
        <v>26</v>
      </c>
      <c r="G59" s="51" t="str">
        <f t="shared" si="3"/>
        <v>Jun-26</v>
      </c>
      <c r="H59" s="64">
        <v>0.3125</v>
      </c>
      <c r="I59" s="60">
        <v>219690</v>
      </c>
      <c r="J59" s="60">
        <v>228148</v>
      </c>
      <c r="K59" s="58">
        <f t="shared" si="5"/>
        <v>8458</v>
      </c>
      <c r="L59" s="74">
        <v>118746</v>
      </c>
      <c r="M59" s="78">
        <f t="shared" si="0"/>
        <v>71.227662405470497</v>
      </c>
      <c r="N59" s="77"/>
      <c r="O59" s="60"/>
    </row>
    <row r="60" spans="3:15" ht="15" customHeight="1" x14ac:dyDescent="0.3">
      <c r="C60" s="49">
        <f t="shared" si="6"/>
        <v>57</v>
      </c>
      <c r="D60" s="63">
        <v>46199</v>
      </c>
      <c r="E60" s="50" t="str">
        <f t="shared" si="1"/>
        <v>Fri</v>
      </c>
      <c r="F60" s="51">
        <f t="shared" si="2"/>
        <v>26</v>
      </c>
      <c r="G60" s="51" t="str">
        <f t="shared" si="3"/>
        <v>Jun-26</v>
      </c>
      <c r="H60" s="64">
        <v>0.3125</v>
      </c>
      <c r="I60" s="60">
        <v>228148</v>
      </c>
      <c r="J60" s="60">
        <v>234443</v>
      </c>
      <c r="K60" s="58">
        <f t="shared" si="5"/>
        <v>6295</v>
      </c>
      <c r="L60" s="74">
        <v>53794</v>
      </c>
      <c r="M60" s="78">
        <f t="shared" si="0"/>
        <v>117.02048555600997</v>
      </c>
      <c r="N60" s="77"/>
      <c r="O60" s="60"/>
    </row>
    <row r="61" spans="3:15" ht="15" customHeight="1" x14ac:dyDescent="0.3">
      <c r="C61" s="49">
        <f t="shared" si="6"/>
        <v>58</v>
      </c>
      <c r="D61" s="63">
        <v>46200</v>
      </c>
      <c r="E61" s="50" t="str">
        <f t="shared" si="1"/>
        <v>Sat</v>
      </c>
      <c r="F61" s="51">
        <f t="shared" si="2"/>
        <v>26</v>
      </c>
      <c r="G61" s="51" t="str">
        <f t="shared" si="3"/>
        <v>Jun-26</v>
      </c>
      <c r="H61" s="64">
        <v>0.3125</v>
      </c>
      <c r="I61" s="60">
        <v>234443</v>
      </c>
      <c r="J61" s="60">
        <v>241834</v>
      </c>
      <c r="K61" s="58">
        <f t="shared" si="5"/>
        <v>7391</v>
      </c>
      <c r="L61" s="74">
        <v>108774</v>
      </c>
      <c r="M61" s="78">
        <f t="shared" si="0"/>
        <v>67.94822292091861</v>
      </c>
      <c r="N61" s="77"/>
      <c r="O61" s="60"/>
    </row>
    <row r="62" spans="3:15" ht="15" customHeight="1" x14ac:dyDescent="0.3">
      <c r="C62" s="49">
        <f t="shared" si="6"/>
        <v>59</v>
      </c>
      <c r="D62" s="63">
        <v>46201</v>
      </c>
      <c r="E62" s="50" t="str">
        <f t="shared" si="1"/>
        <v>Sun</v>
      </c>
      <c r="F62" s="51">
        <f t="shared" si="2"/>
        <v>27</v>
      </c>
      <c r="G62" s="51" t="str">
        <f t="shared" si="3"/>
        <v>Jun-26</v>
      </c>
      <c r="H62" s="64">
        <v>0.3125</v>
      </c>
      <c r="I62" s="60">
        <v>241834</v>
      </c>
      <c r="J62" s="60">
        <v>244152</v>
      </c>
      <c r="K62" s="58">
        <f t="shared" si="5"/>
        <v>2318</v>
      </c>
      <c r="L62" s="74">
        <v>0</v>
      </c>
      <c r="M62" s="78">
        <f t="shared" si="0"/>
        <v>0</v>
      </c>
      <c r="N62" s="77"/>
      <c r="O62" s="60"/>
    </row>
    <row r="63" spans="3:15" ht="15" customHeight="1" x14ac:dyDescent="0.3">
      <c r="C63" s="49">
        <f t="shared" si="6"/>
        <v>60</v>
      </c>
      <c r="D63" s="63">
        <v>46202</v>
      </c>
      <c r="E63" s="50" t="str">
        <f t="shared" si="1"/>
        <v>Mon</v>
      </c>
      <c r="F63" s="51">
        <f t="shared" si="2"/>
        <v>27</v>
      </c>
      <c r="G63" s="51" t="str">
        <f t="shared" si="3"/>
        <v>Jun-26</v>
      </c>
      <c r="H63" s="64">
        <v>0.3125</v>
      </c>
      <c r="I63" s="60">
        <v>244152</v>
      </c>
      <c r="J63" s="60">
        <v>252323</v>
      </c>
      <c r="K63" s="58">
        <f t="shared" si="5"/>
        <v>8171</v>
      </c>
      <c r="L63" s="74">
        <v>111122</v>
      </c>
      <c r="M63" s="78">
        <f t="shared" si="0"/>
        <v>73.531793884199345</v>
      </c>
      <c r="N63" s="77"/>
      <c r="O63" s="60"/>
    </row>
    <row r="64" spans="3:15" ht="15" customHeight="1" x14ac:dyDescent="0.3">
      <c r="C64" s="49">
        <f t="shared" si="6"/>
        <v>61</v>
      </c>
      <c r="D64" s="63">
        <v>46203</v>
      </c>
      <c r="E64" s="50" t="str">
        <f t="shared" si="1"/>
        <v>Tue</v>
      </c>
      <c r="F64" s="51">
        <f t="shared" si="2"/>
        <v>27</v>
      </c>
      <c r="G64" s="51" t="str">
        <f t="shared" si="3"/>
        <v>Jun-26</v>
      </c>
      <c r="H64" s="84">
        <v>0.3125</v>
      </c>
      <c r="I64" s="85">
        <v>252323</v>
      </c>
      <c r="J64" s="85">
        <v>260150</v>
      </c>
      <c r="K64" s="58">
        <f t="shared" si="5"/>
        <v>7827</v>
      </c>
      <c r="L64" s="74">
        <v>100469</v>
      </c>
      <c r="M64" s="78">
        <f t="shared" si="0"/>
        <v>77.90462729797251</v>
      </c>
      <c r="N64" s="77"/>
      <c r="O64" s="60"/>
    </row>
    <row r="65" spans="3:15" x14ac:dyDescent="0.3">
      <c r="C65" s="49">
        <f t="shared" si="6"/>
        <v>62</v>
      </c>
      <c r="D65" s="63">
        <v>46204</v>
      </c>
      <c r="E65" s="50" t="str">
        <f t="shared" si="1"/>
        <v>Wed</v>
      </c>
      <c r="F65" s="83">
        <f t="shared" si="2"/>
        <v>27</v>
      </c>
      <c r="G65" s="51" t="str">
        <f t="shared" si="3"/>
        <v>Jul-26</v>
      </c>
      <c r="H65" s="87">
        <v>0.3125</v>
      </c>
      <c r="I65" s="88">
        <v>260150</v>
      </c>
      <c r="J65" s="88">
        <v>267861</v>
      </c>
      <c r="K65" s="58">
        <f t="shared" si="5"/>
        <v>7711</v>
      </c>
      <c r="L65" s="65">
        <v>105292</v>
      </c>
      <c r="M65" s="78">
        <f t="shared" si="0"/>
        <v>73.234433765148353</v>
      </c>
      <c r="N65" s="60">
        <v>0.98</v>
      </c>
      <c r="O65" s="60"/>
    </row>
    <row r="66" spans="3:15" x14ac:dyDescent="0.3">
      <c r="C66" s="49">
        <f t="shared" si="6"/>
        <v>63</v>
      </c>
      <c r="D66" s="63">
        <v>46205</v>
      </c>
      <c r="E66" s="50" t="str">
        <f t="shared" si="1"/>
        <v>Thu</v>
      </c>
      <c r="F66" s="83">
        <f t="shared" si="2"/>
        <v>27</v>
      </c>
      <c r="G66" s="51" t="str">
        <f t="shared" si="3"/>
        <v>Jul-26</v>
      </c>
      <c r="H66" s="87">
        <v>0.3125</v>
      </c>
      <c r="I66" s="88">
        <v>267861</v>
      </c>
      <c r="J66" s="88">
        <v>275915</v>
      </c>
      <c r="K66" s="58">
        <f t="shared" si="5"/>
        <v>8054</v>
      </c>
      <c r="L66" s="65">
        <v>107080</v>
      </c>
      <c r="M66" s="78">
        <f t="shared" si="0"/>
        <v>75.21479267837131</v>
      </c>
      <c r="N66" s="60">
        <v>0.99</v>
      </c>
      <c r="O66" s="60"/>
    </row>
    <row r="67" spans="3:15" x14ac:dyDescent="0.3">
      <c r="C67" s="49">
        <f t="shared" si="6"/>
        <v>64</v>
      </c>
      <c r="D67" s="63">
        <v>46206</v>
      </c>
      <c r="E67" s="50" t="str">
        <f t="shared" si="1"/>
        <v>Fri</v>
      </c>
      <c r="F67" s="83">
        <f t="shared" si="2"/>
        <v>27</v>
      </c>
      <c r="G67" s="51" t="str">
        <f t="shared" si="3"/>
        <v>Jul-26</v>
      </c>
      <c r="H67" s="87">
        <v>0.3125</v>
      </c>
      <c r="I67" s="88">
        <v>275915</v>
      </c>
      <c r="J67" s="88">
        <v>283288</v>
      </c>
      <c r="K67" s="58">
        <f t="shared" si="5"/>
        <v>7373</v>
      </c>
      <c r="L67" s="65">
        <v>114214</v>
      </c>
      <c r="M67" s="78">
        <f t="shared" si="0"/>
        <v>64.554257796767473</v>
      </c>
      <c r="N67" s="60">
        <v>0.99</v>
      </c>
      <c r="O67" s="60"/>
    </row>
    <row r="68" spans="3:15" x14ac:dyDescent="0.3">
      <c r="C68" s="49">
        <f t="shared" si="6"/>
        <v>65</v>
      </c>
      <c r="D68" s="63">
        <v>46207</v>
      </c>
      <c r="E68" s="50" t="str">
        <f t="shared" si="1"/>
        <v>Sat</v>
      </c>
      <c r="F68" s="83">
        <f t="shared" si="2"/>
        <v>27</v>
      </c>
      <c r="G68" s="51" t="str">
        <f t="shared" si="3"/>
        <v>Jul-26</v>
      </c>
      <c r="H68" s="87">
        <v>0.3125</v>
      </c>
      <c r="I68" s="88">
        <v>283288</v>
      </c>
      <c r="J68" s="88">
        <v>290981</v>
      </c>
      <c r="K68" s="58">
        <f t="shared" si="5"/>
        <v>7693</v>
      </c>
      <c r="L68" s="65">
        <v>118956</v>
      </c>
      <c r="M68" s="78">
        <f t="shared" ref="M68:M80" si="9">IFERROR(K68/L68*1000,0)</f>
        <v>64.670970779111599</v>
      </c>
      <c r="N68" s="60">
        <v>0.98</v>
      </c>
      <c r="O68" s="60"/>
    </row>
    <row r="69" spans="3:15" x14ac:dyDescent="0.3">
      <c r="C69" s="49">
        <f t="shared" si="6"/>
        <v>66</v>
      </c>
      <c r="D69" s="63">
        <v>46208</v>
      </c>
      <c r="E69" s="50" t="str">
        <f t="shared" ref="E69:E80" si="10">TEXT(D69,"DDD")</f>
        <v>Sun</v>
      </c>
      <c r="F69" s="83">
        <f t="shared" ref="F69:F80" si="11">WEEKNUM(D69)</f>
        <v>28</v>
      </c>
      <c r="G69" s="51" t="str">
        <f t="shared" ref="G69:G80" si="12">TEXT(D69,"mmm-yy")</f>
        <v>Jul-26</v>
      </c>
      <c r="H69" s="87">
        <v>0.3125</v>
      </c>
      <c r="I69" s="88">
        <v>290981</v>
      </c>
      <c r="J69" s="88">
        <v>292395</v>
      </c>
      <c r="K69" s="58">
        <f t="shared" ref="K69:K80" si="13">IFERROR((J69-I69),0)</f>
        <v>1414</v>
      </c>
      <c r="L69" s="65">
        <v>0</v>
      </c>
      <c r="M69" s="78">
        <f t="shared" si="9"/>
        <v>0</v>
      </c>
      <c r="N69" s="60">
        <v>0.99</v>
      </c>
      <c r="O69" s="60"/>
    </row>
    <row r="70" spans="3:15" x14ac:dyDescent="0.3">
      <c r="C70" s="49">
        <f t="shared" ref="C70:C80" si="14">C69+1</f>
        <v>67</v>
      </c>
      <c r="D70" s="63">
        <v>46209</v>
      </c>
      <c r="E70" s="50" t="str">
        <f t="shared" si="10"/>
        <v>Mon</v>
      </c>
      <c r="F70" s="83">
        <f t="shared" si="11"/>
        <v>28</v>
      </c>
      <c r="G70" s="51" t="str">
        <f t="shared" si="12"/>
        <v>Jul-26</v>
      </c>
      <c r="H70" s="87">
        <v>0.3125</v>
      </c>
      <c r="I70" s="88">
        <v>292395</v>
      </c>
      <c r="J70" s="88">
        <v>301344</v>
      </c>
      <c r="K70" s="58">
        <f t="shared" si="13"/>
        <v>8949</v>
      </c>
      <c r="L70" s="89">
        <v>131334</v>
      </c>
      <c r="M70" s="78">
        <f t="shared" si="9"/>
        <v>68.139248024121699</v>
      </c>
      <c r="N70" s="60">
        <v>0.99</v>
      </c>
      <c r="O70" s="60"/>
    </row>
    <row r="71" spans="3:15" x14ac:dyDescent="0.3">
      <c r="C71" s="49">
        <f t="shared" si="14"/>
        <v>68</v>
      </c>
      <c r="D71" s="63">
        <v>46210</v>
      </c>
      <c r="E71" s="50" t="str">
        <f t="shared" si="10"/>
        <v>Tue</v>
      </c>
      <c r="F71" s="83">
        <f t="shared" si="11"/>
        <v>28</v>
      </c>
      <c r="G71" s="51" t="str">
        <f t="shared" si="12"/>
        <v>Jul-26</v>
      </c>
      <c r="H71" s="87">
        <v>0.3125</v>
      </c>
      <c r="I71" s="88">
        <v>301344</v>
      </c>
      <c r="J71" s="88">
        <v>310286</v>
      </c>
      <c r="K71" s="58">
        <f t="shared" si="13"/>
        <v>8942</v>
      </c>
      <c r="L71" s="65">
        <v>130560</v>
      </c>
      <c r="M71" s="78">
        <f t="shared" si="9"/>
        <v>68.489583333333343</v>
      </c>
      <c r="N71" s="60">
        <v>0.99</v>
      </c>
      <c r="O71" s="60"/>
    </row>
    <row r="72" spans="3:15" x14ac:dyDescent="0.3">
      <c r="C72" s="49">
        <f t="shared" si="14"/>
        <v>69</v>
      </c>
      <c r="D72" s="63">
        <v>46211</v>
      </c>
      <c r="E72" s="50" t="str">
        <f t="shared" si="10"/>
        <v>Wed</v>
      </c>
      <c r="F72" s="83">
        <f t="shared" si="11"/>
        <v>28</v>
      </c>
      <c r="G72" s="51" t="str">
        <f t="shared" si="12"/>
        <v>Jul-26</v>
      </c>
      <c r="H72" s="87">
        <v>0.3125</v>
      </c>
      <c r="I72" s="88">
        <v>310286</v>
      </c>
      <c r="J72" s="88">
        <v>318320</v>
      </c>
      <c r="K72" s="58">
        <f t="shared" si="13"/>
        <v>8034</v>
      </c>
      <c r="L72" s="65">
        <v>130712</v>
      </c>
      <c r="M72" s="78">
        <f t="shared" si="9"/>
        <v>61.463369851276092</v>
      </c>
      <c r="N72" s="60">
        <v>0.99</v>
      </c>
      <c r="O72" s="60"/>
    </row>
    <row r="73" spans="3:15" x14ac:dyDescent="0.3">
      <c r="C73" s="49">
        <f t="shared" si="14"/>
        <v>70</v>
      </c>
      <c r="D73" s="63">
        <v>46212</v>
      </c>
      <c r="E73" s="50" t="str">
        <f t="shared" si="10"/>
        <v>Thu</v>
      </c>
      <c r="F73" s="83">
        <f t="shared" si="11"/>
        <v>28</v>
      </c>
      <c r="G73" s="51" t="str">
        <f t="shared" si="12"/>
        <v>Jul-26</v>
      </c>
      <c r="H73" s="87">
        <v>0.3125</v>
      </c>
      <c r="I73" s="88">
        <v>318320</v>
      </c>
      <c r="J73" s="88">
        <v>327944</v>
      </c>
      <c r="K73" s="58">
        <f t="shared" si="13"/>
        <v>9624</v>
      </c>
      <c r="L73" s="65">
        <v>126006</v>
      </c>
      <c r="M73" s="78">
        <f t="shared" si="9"/>
        <v>76.377315365934948</v>
      </c>
      <c r="N73" s="60">
        <v>0.99</v>
      </c>
      <c r="O73" s="60"/>
    </row>
    <row r="74" spans="3:15" x14ac:dyDescent="0.3">
      <c r="C74" s="49">
        <f t="shared" si="14"/>
        <v>71</v>
      </c>
      <c r="D74" s="63">
        <v>46213</v>
      </c>
      <c r="E74" s="50" t="str">
        <f t="shared" si="10"/>
        <v>Fri</v>
      </c>
      <c r="F74" s="83">
        <f t="shared" si="11"/>
        <v>28</v>
      </c>
      <c r="G74" s="51" t="str">
        <f t="shared" si="12"/>
        <v>Jul-26</v>
      </c>
      <c r="H74" s="87">
        <v>0.3125</v>
      </c>
      <c r="I74" s="88">
        <v>327944</v>
      </c>
      <c r="J74" s="88">
        <v>335840</v>
      </c>
      <c r="K74" s="58">
        <f t="shared" si="13"/>
        <v>7896</v>
      </c>
      <c r="L74" s="65">
        <v>80989</v>
      </c>
      <c r="M74" s="78">
        <f t="shared" si="9"/>
        <v>97.49472150538962</v>
      </c>
      <c r="N74" s="60">
        <v>0.98</v>
      </c>
      <c r="O74" s="60"/>
    </row>
    <row r="75" spans="3:15" x14ac:dyDescent="0.3">
      <c r="C75" s="49">
        <f t="shared" si="14"/>
        <v>72</v>
      </c>
      <c r="D75" s="63">
        <v>46214</v>
      </c>
      <c r="E75" s="50" t="str">
        <f t="shared" si="10"/>
        <v>Sat</v>
      </c>
      <c r="F75" s="83">
        <f t="shared" si="11"/>
        <v>28</v>
      </c>
      <c r="G75" s="51" t="str">
        <f t="shared" si="12"/>
        <v>Jul-26</v>
      </c>
      <c r="H75" s="87">
        <v>0.3125</v>
      </c>
      <c r="I75" s="88">
        <v>335840</v>
      </c>
      <c r="J75" s="88">
        <v>344464</v>
      </c>
      <c r="K75" s="58">
        <f t="shared" si="13"/>
        <v>8624</v>
      </c>
      <c r="L75" s="65">
        <v>134036</v>
      </c>
      <c r="M75" s="78">
        <f t="shared" si="9"/>
        <v>64.340923334029654</v>
      </c>
      <c r="N75" s="60">
        <v>0.99</v>
      </c>
      <c r="O75" s="60"/>
    </row>
    <row r="76" spans="3:15" x14ac:dyDescent="0.3">
      <c r="C76" s="49">
        <f t="shared" si="14"/>
        <v>73</v>
      </c>
      <c r="D76" s="63">
        <v>46215</v>
      </c>
      <c r="E76" s="50" t="str">
        <f t="shared" si="10"/>
        <v>Sun</v>
      </c>
      <c r="F76" s="83">
        <f t="shared" si="11"/>
        <v>29</v>
      </c>
      <c r="G76" s="51" t="str">
        <f t="shared" si="12"/>
        <v>Jul-26</v>
      </c>
      <c r="H76" s="87">
        <v>0.3125</v>
      </c>
      <c r="I76" s="88">
        <v>344464</v>
      </c>
      <c r="J76" s="88">
        <v>346985</v>
      </c>
      <c r="K76" s="58">
        <f t="shared" si="13"/>
        <v>2521</v>
      </c>
      <c r="L76" s="65">
        <v>0</v>
      </c>
      <c r="M76" s="78">
        <f t="shared" si="9"/>
        <v>0</v>
      </c>
      <c r="N76" s="60"/>
      <c r="O76" s="60"/>
    </row>
    <row r="77" spans="3:15" x14ac:dyDescent="0.3">
      <c r="C77" s="49">
        <f t="shared" si="14"/>
        <v>74</v>
      </c>
      <c r="D77" s="63">
        <v>46216</v>
      </c>
      <c r="E77" s="50" t="str">
        <f t="shared" si="10"/>
        <v>Mon</v>
      </c>
      <c r="F77" s="83">
        <f t="shared" si="11"/>
        <v>29</v>
      </c>
      <c r="G77" s="51" t="str">
        <f t="shared" si="12"/>
        <v>Jul-26</v>
      </c>
      <c r="H77" s="87">
        <v>0.3125</v>
      </c>
      <c r="I77" s="88">
        <v>346985</v>
      </c>
      <c r="J77" s="88">
        <v>356711</v>
      </c>
      <c r="K77" s="58">
        <f t="shared" si="13"/>
        <v>9726</v>
      </c>
      <c r="L77" s="65">
        <v>0</v>
      </c>
      <c r="M77" s="78">
        <f t="shared" si="9"/>
        <v>0</v>
      </c>
      <c r="N77" s="60">
        <v>0.98</v>
      </c>
      <c r="O77" s="60"/>
    </row>
    <row r="78" spans="3:15" x14ac:dyDescent="0.3">
      <c r="C78" s="49">
        <f t="shared" si="14"/>
        <v>75</v>
      </c>
      <c r="D78" s="63">
        <v>46217</v>
      </c>
      <c r="E78" s="50" t="str">
        <f t="shared" si="10"/>
        <v>Tue</v>
      </c>
      <c r="F78" s="83">
        <f t="shared" si="11"/>
        <v>29</v>
      </c>
      <c r="G78" s="51" t="str">
        <f t="shared" si="12"/>
        <v>Jul-26</v>
      </c>
      <c r="H78" s="87">
        <v>0.3125</v>
      </c>
      <c r="I78" s="88">
        <v>356711</v>
      </c>
      <c r="J78" s="88">
        <v>365711</v>
      </c>
      <c r="K78" s="58">
        <f t="shared" si="13"/>
        <v>9000</v>
      </c>
      <c r="L78" s="65">
        <v>133933</v>
      </c>
      <c r="M78" s="78">
        <f t="shared" si="9"/>
        <v>67.197777993474347</v>
      </c>
      <c r="N78" s="60">
        <v>0.99</v>
      </c>
      <c r="O78" s="60"/>
    </row>
    <row r="79" spans="3:15" x14ac:dyDescent="0.3">
      <c r="C79" s="49">
        <f t="shared" si="14"/>
        <v>76</v>
      </c>
      <c r="D79" s="63">
        <v>46218</v>
      </c>
      <c r="E79" s="50" t="str">
        <f t="shared" si="10"/>
        <v>Wed</v>
      </c>
      <c r="F79" s="83">
        <f t="shared" si="11"/>
        <v>29</v>
      </c>
      <c r="G79" s="51" t="str">
        <f t="shared" si="12"/>
        <v>Jul-26</v>
      </c>
      <c r="H79" s="87">
        <v>0.3125</v>
      </c>
      <c r="I79" s="88">
        <v>365711</v>
      </c>
      <c r="J79" s="88">
        <v>375156</v>
      </c>
      <c r="K79" s="58">
        <f t="shared" si="13"/>
        <v>9445</v>
      </c>
      <c r="L79" s="65">
        <v>135550</v>
      </c>
      <c r="M79" s="78">
        <f t="shared" si="9"/>
        <v>69.679085208410186</v>
      </c>
      <c r="N79" s="60">
        <v>0.99</v>
      </c>
      <c r="O79" s="60"/>
    </row>
    <row r="80" spans="3:15" x14ac:dyDescent="0.3">
      <c r="C80" s="49">
        <f t="shared" si="14"/>
        <v>77</v>
      </c>
      <c r="D80" s="63">
        <v>46219</v>
      </c>
      <c r="E80" s="50" t="str">
        <f t="shared" si="10"/>
        <v>Thu</v>
      </c>
      <c r="F80" s="83">
        <f t="shared" si="11"/>
        <v>29</v>
      </c>
      <c r="G80" s="51" t="str">
        <f t="shared" si="12"/>
        <v>Jul-26</v>
      </c>
      <c r="H80" s="87">
        <v>0.3125</v>
      </c>
      <c r="I80" s="88">
        <v>375156</v>
      </c>
      <c r="J80" s="88">
        <v>384874</v>
      </c>
      <c r="K80" s="58">
        <f t="shared" si="13"/>
        <v>9718</v>
      </c>
      <c r="L80" s="65">
        <v>135087</v>
      </c>
      <c r="M80" s="78">
        <f t="shared" si="9"/>
        <v>71.938824609325835</v>
      </c>
      <c r="N80" s="60">
        <v>0.98</v>
      </c>
      <c r="O80" s="60"/>
    </row>
    <row r="81" spans="3:15" x14ac:dyDescent="0.3">
      <c r="C81" s="60"/>
      <c r="D81" s="60"/>
      <c r="E81" s="60"/>
      <c r="F81" s="60"/>
      <c r="G81" s="86"/>
      <c r="H81" s="86"/>
      <c r="I81" s="86"/>
      <c r="J81" s="86"/>
      <c r="K81" s="60"/>
      <c r="L81" s="65"/>
      <c r="M81" s="60"/>
      <c r="N81" s="60"/>
      <c r="O81" s="60"/>
    </row>
    <row r="82" spans="3:15" x14ac:dyDescent="0.3">
      <c r="C82" s="60"/>
      <c r="D82" s="60"/>
      <c r="E82" s="60"/>
      <c r="F82" s="60"/>
      <c r="G82" s="60"/>
      <c r="H82" s="60"/>
      <c r="I82" s="60"/>
      <c r="J82" s="60"/>
      <c r="K82" s="60"/>
      <c r="L82" s="65"/>
      <c r="M82" s="60"/>
      <c r="N82" s="60"/>
      <c r="O82" s="60"/>
    </row>
    <row r="83" spans="3:15" x14ac:dyDescent="0.3">
      <c r="C83" s="60"/>
      <c r="D83" s="60"/>
      <c r="E83" s="60"/>
      <c r="F83" s="60"/>
      <c r="G83" s="60"/>
      <c r="H83" s="60"/>
      <c r="I83" s="60"/>
      <c r="J83" s="60"/>
      <c r="K83" s="60"/>
      <c r="L83" s="65"/>
      <c r="M83" s="60"/>
      <c r="N83" s="60"/>
      <c r="O83" s="60"/>
    </row>
    <row r="84" spans="3:15" x14ac:dyDescent="0.3">
      <c r="C84" s="60"/>
      <c r="D84" s="60"/>
      <c r="E84" s="60"/>
      <c r="F84" s="60"/>
      <c r="G84" s="60"/>
      <c r="H84" s="60"/>
      <c r="I84" s="60"/>
      <c r="J84" s="60"/>
      <c r="K84" s="60"/>
      <c r="L84" s="65"/>
      <c r="M84" s="60"/>
      <c r="N84" s="60"/>
      <c r="O84" s="60"/>
    </row>
    <row r="85" spans="3:15" x14ac:dyDescent="0.3">
      <c r="C85" s="60"/>
      <c r="D85" s="60"/>
      <c r="E85" s="60"/>
      <c r="F85" s="60"/>
      <c r="G85" s="60"/>
      <c r="H85" s="60"/>
      <c r="I85" s="60"/>
      <c r="J85" s="60"/>
      <c r="K85" s="60"/>
      <c r="L85" s="65"/>
      <c r="M85" s="60"/>
      <c r="N85" s="60"/>
      <c r="O85" s="60"/>
    </row>
    <row r="86" spans="3:15" x14ac:dyDescent="0.3">
      <c r="C86" s="60"/>
      <c r="D86" s="60"/>
      <c r="E86" s="60"/>
      <c r="F86" s="60"/>
      <c r="G86" s="60"/>
      <c r="H86" s="60"/>
      <c r="I86" s="60"/>
      <c r="J86" s="60"/>
      <c r="K86" s="60"/>
      <c r="L86" s="65"/>
      <c r="M86" s="60"/>
      <c r="N86" s="60"/>
      <c r="O86" s="60"/>
    </row>
    <row r="87" spans="3:15" x14ac:dyDescent="0.3">
      <c r="C87" s="60"/>
      <c r="D87" s="60"/>
      <c r="E87" s="60"/>
      <c r="F87" s="60"/>
      <c r="G87" s="60"/>
      <c r="H87" s="60"/>
      <c r="I87" s="60"/>
      <c r="J87" s="60"/>
      <c r="K87" s="60"/>
      <c r="L87" s="65"/>
      <c r="M87" s="60"/>
      <c r="N87" s="60"/>
      <c r="O87" s="60"/>
    </row>
    <row r="88" spans="3:15" x14ac:dyDescent="0.3">
      <c r="C88" s="60"/>
      <c r="D88" s="60"/>
      <c r="E88" s="60"/>
      <c r="F88" s="60"/>
      <c r="G88" s="60"/>
      <c r="H88" s="60"/>
      <c r="I88" s="60"/>
      <c r="J88" s="60"/>
      <c r="K88" s="60"/>
      <c r="L88" s="65"/>
      <c r="M88" s="60"/>
      <c r="N88" s="60"/>
      <c r="O88" s="60"/>
    </row>
    <row r="89" spans="3:15" x14ac:dyDescent="0.3">
      <c r="C89" s="60"/>
      <c r="D89" s="60"/>
      <c r="E89" s="60"/>
      <c r="F89" s="60"/>
      <c r="G89" s="60"/>
      <c r="H89" s="60"/>
      <c r="I89" s="60"/>
      <c r="J89" s="60"/>
      <c r="K89" s="60"/>
      <c r="L89" s="65"/>
      <c r="M89" s="60"/>
      <c r="N89" s="60"/>
      <c r="O89" s="60"/>
    </row>
    <row r="90" spans="3:15" x14ac:dyDescent="0.3">
      <c r="C90" s="60"/>
      <c r="D90" s="60"/>
      <c r="E90" s="60"/>
      <c r="F90" s="60"/>
      <c r="G90" s="60"/>
      <c r="H90" s="60"/>
      <c r="I90" s="60"/>
      <c r="J90" s="60"/>
      <c r="K90" s="60"/>
      <c r="L90" s="65"/>
      <c r="M90" s="60"/>
      <c r="N90" s="60"/>
      <c r="O90" s="60"/>
    </row>
    <row r="91" spans="3:15" x14ac:dyDescent="0.3">
      <c r="C91" s="60"/>
      <c r="D91" s="60"/>
      <c r="E91" s="60"/>
      <c r="F91" s="60"/>
      <c r="G91" s="60"/>
      <c r="H91" s="60"/>
      <c r="I91" s="60"/>
      <c r="J91" s="60"/>
      <c r="K91" s="60"/>
      <c r="L91" s="65"/>
      <c r="M91" s="60"/>
      <c r="N91" s="60"/>
      <c r="O91" s="60"/>
    </row>
    <row r="92" spans="3:15" x14ac:dyDescent="0.3">
      <c r="C92" s="60"/>
      <c r="D92" s="60"/>
      <c r="E92" s="60"/>
      <c r="F92" s="60"/>
      <c r="G92" s="60"/>
      <c r="H92" s="60"/>
      <c r="I92" s="60"/>
      <c r="J92" s="60"/>
      <c r="K92" s="60"/>
      <c r="L92" s="65"/>
      <c r="M92" s="60"/>
      <c r="N92" s="60"/>
      <c r="O92" s="60"/>
    </row>
    <row r="93" spans="3:15" x14ac:dyDescent="0.3">
      <c r="C93" s="60"/>
      <c r="D93" s="60"/>
      <c r="E93" s="60"/>
      <c r="F93" s="60"/>
      <c r="G93" s="60"/>
      <c r="H93" s="60"/>
      <c r="I93" s="60"/>
      <c r="J93" s="60"/>
      <c r="K93" s="60"/>
      <c r="L93" s="65"/>
      <c r="M93" s="60"/>
      <c r="N93" s="60"/>
      <c r="O93" s="60"/>
    </row>
    <row r="94" spans="3:15" x14ac:dyDescent="0.3">
      <c r="C94" s="60"/>
      <c r="D94" s="60"/>
      <c r="E94" s="60"/>
      <c r="F94" s="60"/>
      <c r="G94" s="60"/>
      <c r="H94" s="60"/>
      <c r="I94" s="60"/>
      <c r="J94" s="60"/>
      <c r="K94" s="60"/>
      <c r="L94" s="65"/>
      <c r="M94" s="60"/>
      <c r="N94" s="60"/>
      <c r="O94" s="60"/>
    </row>
    <row r="95" spans="3:15" x14ac:dyDescent="0.3">
      <c r="C95" s="60"/>
      <c r="D95" s="60"/>
      <c r="E95" s="60"/>
      <c r="F95" s="60"/>
      <c r="G95" s="60"/>
      <c r="H95" s="60"/>
      <c r="I95" s="60"/>
      <c r="J95" s="60"/>
      <c r="K95" s="60"/>
      <c r="L95" s="65"/>
      <c r="M95" s="60"/>
      <c r="N95" s="60"/>
      <c r="O95" s="60"/>
    </row>
    <row r="96" spans="3:15" x14ac:dyDescent="0.3">
      <c r="C96" s="60"/>
      <c r="D96" s="60"/>
      <c r="E96" s="60"/>
      <c r="F96" s="60"/>
      <c r="G96" s="60"/>
      <c r="H96" s="60"/>
      <c r="I96" s="60"/>
      <c r="J96" s="60"/>
      <c r="K96" s="60"/>
      <c r="L96" s="65"/>
      <c r="M96" s="60"/>
      <c r="N96" s="60"/>
      <c r="O96" s="60"/>
    </row>
    <row r="97" spans="3:15" x14ac:dyDescent="0.3">
      <c r="C97" s="60"/>
      <c r="D97" s="60"/>
      <c r="E97" s="60"/>
      <c r="F97" s="60"/>
      <c r="G97" s="60"/>
      <c r="H97" s="60"/>
      <c r="I97" s="60"/>
      <c r="J97" s="60"/>
      <c r="K97" s="60"/>
      <c r="L97" s="65"/>
      <c r="M97" s="60"/>
      <c r="N97" s="60"/>
      <c r="O97" s="60"/>
    </row>
    <row r="98" spans="3:15" x14ac:dyDescent="0.3">
      <c r="C98" s="60"/>
      <c r="D98" s="60"/>
      <c r="E98" s="60"/>
      <c r="F98" s="60"/>
      <c r="G98" s="60"/>
      <c r="H98" s="60"/>
      <c r="I98" s="60"/>
      <c r="J98" s="60"/>
      <c r="K98" s="60"/>
      <c r="L98" s="65"/>
      <c r="M98" s="60"/>
      <c r="N98" s="60"/>
      <c r="O98" s="60"/>
    </row>
    <row r="99" spans="3:15" x14ac:dyDescent="0.3">
      <c r="C99" s="60"/>
      <c r="D99" s="60"/>
      <c r="E99" s="60"/>
      <c r="F99" s="60"/>
      <c r="G99" s="60"/>
      <c r="H99" s="60"/>
      <c r="I99" s="60"/>
      <c r="J99" s="60"/>
      <c r="K99" s="60"/>
      <c r="L99" s="65"/>
      <c r="M99" s="60"/>
      <c r="N99" s="60"/>
      <c r="O99" s="60"/>
    </row>
    <row r="100" spans="3:15" x14ac:dyDescent="0.3">
      <c r="C100" s="60"/>
      <c r="D100" s="60"/>
      <c r="E100" s="60"/>
      <c r="F100" s="60"/>
      <c r="G100" s="60"/>
      <c r="H100" s="60"/>
      <c r="I100" s="60"/>
      <c r="J100" s="60"/>
      <c r="K100" s="60"/>
      <c r="L100" s="65"/>
      <c r="M100" s="60"/>
      <c r="N100" s="60"/>
      <c r="O100" s="60"/>
    </row>
    <row r="101" spans="3:15" x14ac:dyDescent="0.3">
      <c r="C101" s="60"/>
      <c r="D101" s="60"/>
      <c r="E101" s="60"/>
      <c r="F101" s="60"/>
      <c r="G101" s="60"/>
      <c r="H101" s="60"/>
      <c r="I101" s="60"/>
      <c r="J101" s="60"/>
      <c r="K101" s="60"/>
      <c r="L101" s="65"/>
      <c r="M101" s="60"/>
      <c r="N101" s="60"/>
      <c r="O101" s="60"/>
    </row>
    <row r="102" spans="3:15" x14ac:dyDescent="0.3">
      <c r="C102" s="60"/>
      <c r="D102" s="60"/>
      <c r="E102" s="60"/>
      <c r="F102" s="60"/>
      <c r="G102" s="60"/>
      <c r="H102" s="60"/>
      <c r="I102" s="60"/>
      <c r="J102" s="60"/>
      <c r="K102" s="60"/>
      <c r="L102" s="65"/>
      <c r="M102" s="60"/>
      <c r="N102" s="60"/>
      <c r="O102" s="60"/>
    </row>
    <row r="103" spans="3:15" x14ac:dyDescent="0.3">
      <c r="C103" s="60"/>
      <c r="D103" s="60"/>
      <c r="E103" s="60"/>
      <c r="F103" s="60"/>
      <c r="G103" s="60"/>
      <c r="H103" s="60"/>
      <c r="I103" s="60"/>
      <c r="J103" s="60"/>
      <c r="K103" s="60"/>
      <c r="L103" s="65"/>
      <c r="M103" s="60"/>
      <c r="N103" s="60"/>
      <c r="O103" s="60"/>
    </row>
    <row r="104" spans="3:15" x14ac:dyDescent="0.3">
      <c r="C104" s="60"/>
      <c r="D104" s="60"/>
      <c r="E104" s="60"/>
      <c r="F104" s="60"/>
      <c r="G104" s="60"/>
      <c r="H104" s="60"/>
      <c r="I104" s="60"/>
      <c r="J104" s="60"/>
      <c r="K104" s="60"/>
      <c r="L104" s="65"/>
      <c r="M104" s="60"/>
      <c r="N104" s="60"/>
      <c r="O104" s="60"/>
    </row>
    <row r="105" spans="3:15" x14ac:dyDescent="0.3">
      <c r="C105" s="60"/>
      <c r="D105" s="60"/>
      <c r="E105" s="60"/>
      <c r="F105" s="60"/>
      <c r="G105" s="60"/>
      <c r="H105" s="60"/>
      <c r="I105" s="60"/>
      <c r="J105" s="60"/>
      <c r="K105" s="60"/>
      <c r="L105" s="65"/>
      <c r="M105" s="60"/>
      <c r="N105" s="60"/>
      <c r="O105" s="60"/>
    </row>
    <row r="106" spans="3:15" x14ac:dyDescent="0.3">
      <c r="C106" s="60"/>
      <c r="D106" s="60"/>
      <c r="E106" s="60"/>
      <c r="F106" s="60"/>
      <c r="G106" s="60"/>
      <c r="H106" s="60"/>
      <c r="I106" s="60"/>
      <c r="J106" s="60"/>
      <c r="K106" s="60"/>
      <c r="L106" s="65"/>
      <c r="M106" s="60"/>
      <c r="N106" s="60"/>
      <c r="O106" s="60"/>
    </row>
    <row r="107" spans="3:15" x14ac:dyDescent="0.3">
      <c r="C107" s="60"/>
      <c r="D107" s="60"/>
      <c r="E107" s="60"/>
      <c r="F107" s="60"/>
      <c r="G107" s="60"/>
      <c r="H107" s="60"/>
      <c r="I107" s="60"/>
      <c r="J107" s="60"/>
      <c r="K107" s="60"/>
      <c r="L107" s="65"/>
      <c r="M107" s="60"/>
      <c r="N107" s="60"/>
      <c r="O107" s="60"/>
    </row>
    <row r="108" spans="3:15" x14ac:dyDescent="0.3">
      <c r="C108" s="60"/>
      <c r="D108" s="60"/>
      <c r="E108" s="60"/>
      <c r="F108" s="60"/>
      <c r="G108" s="60"/>
      <c r="H108" s="60"/>
      <c r="I108" s="60"/>
      <c r="J108" s="60"/>
      <c r="K108" s="60"/>
      <c r="L108" s="65"/>
      <c r="M108" s="60"/>
      <c r="N108" s="60"/>
      <c r="O108" s="60"/>
    </row>
    <row r="109" spans="3:15" x14ac:dyDescent="0.3">
      <c r="C109" s="60"/>
      <c r="D109" s="60"/>
      <c r="E109" s="60"/>
      <c r="F109" s="60"/>
      <c r="G109" s="60"/>
      <c r="H109" s="60"/>
      <c r="I109" s="60"/>
      <c r="J109" s="60"/>
      <c r="K109" s="60"/>
      <c r="L109" s="65"/>
      <c r="M109" s="60"/>
      <c r="N109" s="60"/>
      <c r="O109" s="60"/>
    </row>
    <row r="110" spans="3:15" x14ac:dyDescent="0.3">
      <c r="C110" s="60"/>
      <c r="D110" s="60"/>
      <c r="E110" s="60"/>
      <c r="F110" s="60"/>
      <c r="G110" s="60"/>
      <c r="H110" s="60"/>
      <c r="I110" s="60"/>
      <c r="J110" s="60"/>
      <c r="K110" s="60"/>
      <c r="L110" s="65"/>
      <c r="M110" s="60"/>
      <c r="N110" s="60"/>
      <c r="O110" s="60"/>
    </row>
    <row r="111" spans="3:15" x14ac:dyDescent="0.3">
      <c r="C111" s="60"/>
      <c r="D111" s="60"/>
      <c r="E111" s="60"/>
      <c r="F111" s="60"/>
      <c r="G111" s="60"/>
      <c r="H111" s="60"/>
      <c r="I111" s="60"/>
      <c r="J111" s="60"/>
      <c r="K111" s="60"/>
      <c r="L111" s="65"/>
      <c r="M111" s="60"/>
      <c r="N111" s="60"/>
      <c r="O111" s="60"/>
    </row>
    <row r="112" spans="3:15" x14ac:dyDescent="0.3">
      <c r="C112" s="60"/>
      <c r="D112" s="60"/>
      <c r="E112" s="60"/>
      <c r="F112" s="60"/>
      <c r="G112" s="60"/>
      <c r="H112" s="60"/>
      <c r="I112" s="60"/>
      <c r="J112" s="60"/>
      <c r="K112" s="60"/>
      <c r="L112" s="65"/>
      <c r="M112" s="60"/>
      <c r="N112" s="60"/>
      <c r="O112" s="60"/>
    </row>
    <row r="113" spans="3:15" x14ac:dyDescent="0.3">
      <c r="C113" s="60"/>
      <c r="D113" s="60"/>
      <c r="E113" s="60"/>
      <c r="F113" s="60"/>
      <c r="G113" s="60"/>
      <c r="H113" s="60"/>
      <c r="I113" s="60"/>
      <c r="J113" s="60"/>
      <c r="K113" s="60"/>
      <c r="L113" s="65"/>
      <c r="M113" s="60"/>
      <c r="N113" s="60"/>
      <c r="O113" s="60"/>
    </row>
    <row r="114" spans="3:15" x14ac:dyDescent="0.3">
      <c r="C114" s="60"/>
      <c r="D114" s="60"/>
      <c r="E114" s="60"/>
      <c r="F114" s="60"/>
      <c r="G114" s="60"/>
      <c r="H114" s="60"/>
      <c r="I114" s="60"/>
      <c r="J114" s="60"/>
      <c r="K114" s="60"/>
      <c r="L114" s="65"/>
      <c r="M114" s="60"/>
      <c r="N114" s="60"/>
      <c r="O114" s="60"/>
    </row>
  </sheetData>
  <protectedRanges>
    <protectedRange sqref="C3:N3 L4:L9 J11 J18:J20 J8 J15 H22:H34 D4:J4 L23:L32 D38 I70 D5:D34 H5:I21 L38 H38:J38 N38 L11:L20 E5:G80" name="Range1_1"/>
    <protectedRange sqref="K4:K80" name="Range1_1_1"/>
    <protectedRange sqref="N4:N25" name="Range1_1_1_1"/>
  </protectedRanges>
  <mergeCells count="2">
    <mergeCell ref="O27:O28"/>
    <mergeCell ref="C2:O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20BB-5205-4E9F-845F-83887F282326}">
  <dimension ref="C3:Q37"/>
  <sheetViews>
    <sheetView topLeftCell="D3" zoomScale="70" zoomScaleNormal="70" zoomScaleSheetLayoutView="41" workbookViewId="0">
      <selection activeCell="L11" sqref="L11"/>
    </sheetView>
  </sheetViews>
  <sheetFormatPr defaultRowHeight="14.4" x14ac:dyDescent="0.3"/>
  <cols>
    <col min="3" max="3" width="28.21875" customWidth="1"/>
    <col min="4" max="4" width="22.21875" customWidth="1"/>
    <col min="5" max="5" width="18.33203125" customWidth="1"/>
    <col min="6" max="6" width="20" customWidth="1"/>
    <col min="7" max="7" width="16.5546875" customWidth="1"/>
    <col min="8" max="8" width="18" customWidth="1"/>
    <col min="9" max="9" width="19.6640625" customWidth="1"/>
    <col min="10" max="10" width="18.77734375" customWidth="1"/>
    <col min="11" max="11" width="18.21875" customWidth="1"/>
    <col min="12" max="12" width="18.33203125" customWidth="1"/>
    <col min="13" max="13" width="18" customWidth="1"/>
    <col min="14" max="14" width="17.6640625" customWidth="1"/>
    <col min="15" max="15" width="21.44140625" customWidth="1"/>
    <col min="16" max="16" width="26.6640625" customWidth="1"/>
    <col min="17" max="17" width="57.5546875" customWidth="1"/>
    <col min="21" max="21" width="12.33203125" customWidth="1"/>
  </cols>
  <sheetData>
    <row r="3" spans="3:17" ht="23.4" customHeight="1" x14ac:dyDescent="0.35">
      <c r="C3" s="40"/>
      <c r="D3" s="39" t="s">
        <v>7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3:17" ht="18" customHeight="1" x14ac:dyDescent="0.35">
      <c r="C4" s="41"/>
      <c r="D4" s="35" t="s">
        <v>18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3:17" ht="24.6" customHeight="1" x14ac:dyDescent="0.35">
      <c r="C5" s="42"/>
      <c r="D5" s="45" t="s">
        <v>1</v>
      </c>
      <c r="E5" s="43" t="s">
        <v>4</v>
      </c>
      <c r="F5" s="43" t="s">
        <v>13</v>
      </c>
      <c r="G5" s="36" t="s">
        <v>12</v>
      </c>
      <c r="H5" s="37"/>
      <c r="I5" s="38"/>
      <c r="J5" s="36" t="s">
        <v>11</v>
      </c>
      <c r="K5" s="37"/>
      <c r="L5" s="38"/>
      <c r="M5" s="36" t="s">
        <v>8</v>
      </c>
      <c r="N5" s="37"/>
      <c r="O5" s="38"/>
      <c r="P5" s="25"/>
      <c r="Q5" s="23"/>
    </row>
    <row r="6" spans="3:17" ht="36" x14ac:dyDescent="0.3">
      <c r="C6" s="29" t="s">
        <v>0</v>
      </c>
      <c r="D6" s="46"/>
      <c r="E6" s="44"/>
      <c r="F6" s="44"/>
      <c r="G6" s="30" t="s">
        <v>2</v>
      </c>
      <c r="H6" s="30" t="s">
        <v>3</v>
      </c>
      <c r="I6" s="30" t="s">
        <v>9</v>
      </c>
      <c r="J6" s="30" t="s">
        <v>2</v>
      </c>
      <c r="K6" s="30" t="s">
        <v>3</v>
      </c>
      <c r="L6" s="30" t="s">
        <v>9</v>
      </c>
      <c r="M6" s="30" t="s">
        <v>2</v>
      </c>
      <c r="N6" s="30" t="s">
        <v>3</v>
      </c>
      <c r="O6" s="30" t="s">
        <v>9</v>
      </c>
      <c r="P6" s="30" t="s">
        <v>10</v>
      </c>
      <c r="Q6" s="30" t="s">
        <v>6</v>
      </c>
    </row>
    <row r="7" spans="3:17" ht="25.05" customHeight="1" x14ac:dyDescent="0.3">
      <c r="C7" s="3">
        <v>1</v>
      </c>
      <c r="D7" s="4"/>
      <c r="E7" s="20"/>
      <c r="F7" s="20"/>
      <c r="G7" s="27"/>
      <c r="H7" s="27"/>
      <c r="I7" s="24"/>
      <c r="J7" s="5"/>
      <c r="K7" s="6"/>
      <c r="L7" s="6"/>
      <c r="M7" s="7"/>
      <c r="N7" s="7"/>
      <c r="O7" s="7"/>
      <c r="P7" s="7"/>
      <c r="Q7" s="8"/>
    </row>
    <row r="8" spans="3:17" ht="25.05" customHeight="1" x14ac:dyDescent="0.3">
      <c r="C8" s="3">
        <v>2</v>
      </c>
      <c r="D8" s="4"/>
      <c r="E8" s="20"/>
      <c r="F8" s="20"/>
      <c r="G8" s="9"/>
      <c r="H8" s="2"/>
      <c r="I8" s="2"/>
      <c r="J8" s="5"/>
      <c r="K8" s="6"/>
      <c r="L8" s="6"/>
      <c r="M8" s="7"/>
      <c r="N8" s="7"/>
      <c r="O8" s="7"/>
      <c r="P8" s="7"/>
      <c r="Q8" s="10"/>
    </row>
    <row r="9" spans="3:17" ht="25.05" customHeight="1" x14ac:dyDescent="0.3">
      <c r="C9" s="3">
        <v>3</v>
      </c>
      <c r="D9" s="4"/>
      <c r="E9" s="20"/>
      <c r="F9" s="20"/>
      <c r="G9" s="2"/>
      <c r="H9" s="22"/>
      <c r="I9" s="22"/>
      <c r="J9" s="5"/>
      <c r="K9" s="3"/>
      <c r="L9" s="3"/>
      <c r="M9" s="7"/>
      <c r="N9" s="26"/>
      <c r="O9" s="26"/>
      <c r="P9" s="26"/>
      <c r="Q9" s="1"/>
    </row>
    <row r="10" spans="3:17" ht="25.05" customHeight="1" x14ac:dyDescent="0.3">
      <c r="C10" s="3">
        <v>4</v>
      </c>
      <c r="D10" s="4"/>
      <c r="E10" s="20"/>
      <c r="F10" s="28"/>
      <c r="G10" s="22"/>
      <c r="H10" s="5"/>
      <c r="I10" s="5"/>
      <c r="J10" s="5"/>
      <c r="K10" s="18"/>
      <c r="L10" s="18"/>
      <c r="M10" s="7"/>
      <c r="N10" s="7"/>
      <c r="O10" s="7"/>
      <c r="P10" s="7"/>
      <c r="Q10" s="10"/>
    </row>
    <row r="11" spans="3:17" ht="25.05" customHeight="1" x14ac:dyDescent="0.3">
      <c r="C11" s="3">
        <v>5</v>
      </c>
      <c r="D11" s="4"/>
      <c r="E11" s="20"/>
      <c r="F11" s="20"/>
      <c r="G11" s="5"/>
      <c r="H11" s="2"/>
      <c r="I11" s="2"/>
      <c r="J11" s="5"/>
      <c r="K11" s="11"/>
      <c r="L11" s="11"/>
      <c r="M11" s="7"/>
      <c r="N11" s="7"/>
      <c r="O11" s="7"/>
      <c r="P11" s="7"/>
      <c r="Q11" s="10"/>
    </row>
    <row r="12" spans="3:17" ht="25.05" customHeight="1" x14ac:dyDescent="0.3">
      <c r="C12" s="3">
        <v>6</v>
      </c>
      <c r="D12" s="4"/>
      <c r="E12" s="20"/>
      <c r="F12" s="20"/>
      <c r="G12" s="2"/>
      <c r="H12" s="2"/>
      <c r="I12" s="2"/>
      <c r="J12" s="5"/>
      <c r="K12" s="5"/>
      <c r="L12" s="5"/>
      <c r="M12" s="7"/>
      <c r="N12" s="7"/>
      <c r="O12" s="7"/>
      <c r="P12" s="7"/>
      <c r="Q12" s="10"/>
    </row>
    <row r="13" spans="3:17" ht="25.05" customHeight="1" x14ac:dyDescent="0.3">
      <c r="C13" s="3">
        <v>7</v>
      </c>
      <c r="D13" s="4"/>
      <c r="E13" s="20"/>
      <c r="F13" s="20"/>
      <c r="G13" s="2"/>
      <c r="H13" s="5"/>
      <c r="I13" s="5"/>
      <c r="J13" s="5"/>
      <c r="K13" s="11"/>
      <c r="L13" s="11"/>
      <c r="M13" s="7"/>
      <c r="N13" s="7"/>
      <c r="O13" s="7"/>
      <c r="P13" s="7"/>
      <c r="Q13" s="10"/>
    </row>
    <row r="14" spans="3:17" ht="25.05" customHeight="1" x14ac:dyDescent="0.3">
      <c r="C14" s="3">
        <v>8</v>
      </c>
      <c r="D14" s="4"/>
      <c r="E14" s="20"/>
      <c r="F14" s="20"/>
      <c r="G14" s="2"/>
      <c r="H14" s="2"/>
      <c r="I14" s="2"/>
      <c r="J14" s="5"/>
      <c r="K14" s="2"/>
      <c r="L14" s="2"/>
      <c r="M14" s="7"/>
      <c r="N14" s="7"/>
      <c r="O14" s="7"/>
      <c r="P14" s="7"/>
      <c r="Q14" s="8"/>
    </row>
    <row r="15" spans="3:17" ht="25.05" customHeight="1" x14ac:dyDescent="0.3">
      <c r="C15" s="3">
        <v>9</v>
      </c>
      <c r="D15" s="4"/>
      <c r="E15" s="20"/>
      <c r="F15" s="20"/>
      <c r="G15" s="2"/>
      <c r="H15" s="2"/>
      <c r="I15" s="2"/>
      <c r="J15" s="5"/>
      <c r="K15" s="2"/>
      <c r="L15" s="2"/>
      <c r="M15" s="7"/>
      <c r="N15" s="7"/>
      <c r="O15" s="7"/>
      <c r="P15" s="7"/>
      <c r="Q15" s="10"/>
    </row>
    <row r="16" spans="3:17" ht="25.05" customHeight="1" x14ac:dyDescent="0.3">
      <c r="C16" s="3">
        <v>10</v>
      </c>
      <c r="D16" s="4"/>
      <c r="E16" s="20"/>
      <c r="F16" s="20"/>
      <c r="G16" s="13"/>
      <c r="H16" s="13"/>
      <c r="I16" s="13"/>
      <c r="J16" s="5"/>
      <c r="K16" s="21"/>
      <c r="L16" s="21"/>
      <c r="M16" s="7"/>
      <c r="N16" s="7"/>
      <c r="O16" s="7"/>
      <c r="P16" s="7"/>
      <c r="Q16" s="13"/>
    </row>
    <row r="17" spans="3:17" ht="25.05" customHeight="1" x14ac:dyDescent="0.3">
      <c r="C17" s="3">
        <v>11</v>
      </c>
      <c r="D17" s="4"/>
      <c r="E17" s="20"/>
      <c r="F17" s="20"/>
      <c r="G17" s="2"/>
      <c r="H17" s="3"/>
      <c r="I17" s="3"/>
      <c r="J17" s="5"/>
      <c r="K17" s="14"/>
      <c r="L17" s="14"/>
      <c r="M17" s="7"/>
      <c r="N17" s="7"/>
      <c r="O17" s="7"/>
      <c r="P17" s="7"/>
      <c r="Q17" s="10"/>
    </row>
    <row r="18" spans="3:17" ht="25.05" customHeight="1" x14ac:dyDescent="0.3">
      <c r="C18" s="3">
        <v>1</v>
      </c>
      <c r="D18" s="4"/>
      <c r="E18" s="20"/>
      <c r="F18" s="20"/>
      <c r="G18" s="3"/>
      <c r="H18" s="2"/>
      <c r="I18" s="2"/>
      <c r="J18" s="5"/>
      <c r="K18" s="14"/>
      <c r="L18" s="14"/>
      <c r="M18" s="7"/>
      <c r="N18" s="7"/>
      <c r="O18" s="7"/>
      <c r="P18" s="7"/>
      <c r="Q18" s="15"/>
    </row>
    <row r="19" spans="3:17" ht="25.05" customHeight="1" x14ac:dyDescent="0.3">
      <c r="C19" s="3">
        <v>13</v>
      </c>
      <c r="D19" s="4"/>
      <c r="E19" s="20"/>
      <c r="F19" s="20"/>
      <c r="G19" s="2"/>
      <c r="H19" s="2"/>
      <c r="I19" s="2"/>
      <c r="J19" s="5"/>
      <c r="K19" s="14"/>
      <c r="L19" s="14"/>
      <c r="M19" s="7"/>
      <c r="N19" s="7"/>
      <c r="O19" s="7"/>
      <c r="P19" s="7"/>
      <c r="Q19" s="10"/>
    </row>
    <row r="20" spans="3:17" ht="25.05" customHeight="1" x14ac:dyDescent="0.3">
      <c r="C20" s="3">
        <v>14</v>
      </c>
      <c r="D20" s="4"/>
      <c r="E20" s="20"/>
      <c r="F20" s="20"/>
      <c r="G20" s="2"/>
      <c r="H20" s="5"/>
      <c r="I20" s="5"/>
      <c r="J20" s="5"/>
      <c r="K20" s="14"/>
      <c r="L20" s="14"/>
      <c r="M20" s="7"/>
      <c r="N20" s="7"/>
      <c r="O20" s="7"/>
      <c r="P20" s="7"/>
      <c r="Q20" s="10"/>
    </row>
    <row r="21" spans="3:17" ht="25.05" customHeight="1" x14ac:dyDescent="0.3">
      <c r="C21" s="3">
        <v>15</v>
      </c>
      <c r="D21" s="4"/>
      <c r="E21" s="20"/>
      <c r="F21" s="20"/>
      <c r="G21" s="2"/>
      <c r="H21" s="2"/>
      <c r="I21" s="2"/>
      <c r="J21" s="5"/>
      <c r="K21" s="5"/>
      <c r="L21" s="5"/>
      <c r="M21" s="7"/>
      <c r="N21" s="7"/>
      <c r="O21" s="7"/>
      <c r="P21" s="7"/>
      <c r="Q21" s="8"/>
    </row>
    <row r="22" spans="3:17" ht="25.05" customHeight="1" x14ac:dyDescent="0.3">
      <c r="C22" s="3">
        <v>16</v>
      </c>
      <c r="D22" s="4"/>
      <c r="E22" s="20"/>
      <c r="F22" s="20"/>
      <c r="G22" s="2"/>
      <c r="H22" s="2"/>
      <c r="I22" s="2"/>
      <c r="J22" s="5"/>
      <c r="K22" s="5"/>
      <c r="L22" s="5"/>
      <c r="M22" s="7"/>
      <c r="N22" s="7"/>
      <c r="O22" s="7"/>
      <c r="P22" s="7"/>
      <c r="Q22" s="10"/>
    </row>
    <row r="23" spans="3:17" ht="25.05" customHeight="1" x14ac:dyDescent="0.3">
      <c r="C23" s="3">
        <v>17</v>
      </c>
      <c r="D23" s="4"/>
      <c r="E23" s="20"/>
      <c r="F23" s="20"/>
      <c r="G23" s="2"/>
      <c r="H23" s="21"/>
      <c r="I23" s="21"/>
      <c r="J23" s="5"/>
      <c r="K23" s="2"/>
      <c r="L23" s="2"/>
      <c r="M23" s="7"/>
      <c r="N23" s="7"/>
      <c r="O23" s="7"/>
      <c r="P23" s="7"/>
      <c r="Q23" s="8"/>
    </row>
    <row r="24" spans="3:17" ht="25.05" customHeight="1" x14ac:dyDescent="0.3">
      <c r="C24" s="3">
        <v>18</v>
      </c>
      <c r="D24" s="4"/>
      <c r="E24" s="20"/>
      <c r="F24" s="20"/>
      <c r="G24" s="2"/>
      <c r="H24" s="2"/>
      <c r="I24" s="2"/>
      <c r="J24" s="5"/>
      <c r="K24" s="14"/>
      <c r="L24" s="14"/>
      <c r="M24" s="7"/>
      <c r="N24" s="7"/>
      <c r="O24" s="7"/>
      <c r="P24" s="7"/>
      <c r="Q24" s="10"/>
    </row>
    <row r="25" spans="3:17" ht="25.05" customHeight="1" x14ac:dyDescent="0.3">
      <c r="C25" s="5">
        <v>19</v>
      </c>
      <c r="D25" s="4"/>
      <c r="E25" s="20"/>
      <c r="F25" s="20"/>
      <c r="G25" s="2"/>
      <c r="H25" s="2"/>
      <c r="I25" s="2"/>
      <c r="J25" s="5"/>
      <c r="K25" s="14"/>
      <c r="L25" s="14"/>
      <c r="M25" s="7"/>
      <c r="N25" s="7"/>
      <c r="O25" s="7"/>
      <c r="P25" s="7"/>
      <c r="Q25" s="16"/>
    </row>
    <row r="26" spans="3:17" ht="25.05" customHeight="1" x14ac:dyDescent="0.3">
      <c r="C26" s="3">
        <v>20</v>
      </c>
      <c r="D26" s="4"/>
      <c r="E26" s="20"/>
      <c r="F26" s="20"/>
      <c r="G26" s="2"/>
      <c r="H26" s="2"/>
      <c r="I26" s="2"/>
      <c r="J26" s="5"/>
      <c r="K26" s="2"/>
      <c r="L26" s="2"/>
      <c r="M26" s="7"/>
      <c r="N26" s="7"/>
      <c r="O26" s="7"/>
      <c r="P26" s="7"/>
      <c r="Q26" s="10"/>
    </row>
    <row r="27" spans="3:17" ht="25.05" customHeight="1" x14ac:dyDescent="0.3">
      <c r="C27" s="3">
        <v>21</v>
      </c>
      <c r="D27" s="4"/>
      <c r="E27" s="20"/>
      <c r="F27" s="20"/>
      <c r="G27" s="2"/>
      <c r="H27" s="5"/>
      <c r="I27" s="5"/>
      <c r="J27" s="5"/>
      <c r="K27" s="2"/>
      <c r="L27" s="2"/>
      <c r="M27" s="7"/>
      <c r="N27" s="7"/>
      <c r="O27" s="7"/>
      <c r="P27" s="7"/>
      <c r="Q27" s="10"/>
    </row>
    <row r="28" spans="3:17" ht="25.05" customHeight="1" x14ac:dyDescent="0.3">
      <c r="C28" s="5">
        <v>22</v>
      </c>
      <c r="D28" s="4"/>
      <c r="E28" s="20"/>
      <c r="F28" s="20"/>
      <c r="G28" s="2"/>
      <c r="H28" s="2"/>
      <c r="I28" s="2"/>
      <c r="J28" s="5"/>
      <c r="K28" s="2"/>
      <c r="L28" s="2"/>
      <c r="M28" s="7"/>
      <c r="N28" s="7"/>
      <c r="O28" s="7"/>
      <c r="P28" s="7"/>
      <c r="Q28" s="10"/>
    </row>
    <row r="29" spans="3:17" ht="25.05" customHeight="1" x14ac:dyDescent="0.3">
      <c r="C29" s="5">
        <v>23</v>
      </c>
      <c r="D29" s="4"/>
      <c r="E29" s="20"/>
      <c r="F29" s="20"/>
      <c r="G29" s="2"/>
      <c r="H29" s="2"/>
      <c r="I29" s="2"/>
      <c r="J29" s="5"/>
      <c r="K29" s="2"/>
      <c r="L29" s="2"/>
      <c r="M29" s="7"/>
      <c r="N29" s="7"/>
      <c r="O29" s="7"/>
      <c r="P29" s="7"/>
      <c r="Q29" s="15"/>
    </row>
    <row r="30" spans="3:17" ht="25.05" customHeight="1" x14ac:dyDescent="0.3">
      <c r="C30" s="3">
        <v>24</v>
      </c>
      <c r="D30" s="4"/>
      <c r="E30" s="20"/>
      <c r="F30" s="20"/>
      <c r="G30" s="2"/>
      <c r="H30" s="5"/>
      <c r="I30" s="5"/>
      <c r="J30" s="5"/>
      <c r="K30" s="2"/>
      <c r="L30" s="2"/>
      <c r="M30" s="7"/>
      <c r="N30" s="7"/>
      <c r="O30" s="7"/>
      <c r="P30" s="7"/>
      <c r="Q30" s="10"/>
    </row>
    <row r="31" spans="3:17" ht="25.05" customHeight="1" x14ac:dyDescent="0.3">
      <c r="C31" s="3">
        <v>25</v>
      </c>
      <c r="D31" s="4"/>
      <c r="E31" s="20"/>
      <c r="F31" s="20"/>
      <c r="G31" s="5"/>
      <c r="H31" s="5"/>
      <c r="I31" s="5"/>
      <c r="J31" s="5"/>
      <c r="K31" s="12"/>
      <c r="L31" s="12"/>
      <c r="M31" s="7"/>
      <c r="N31" s="7"/>
      <c r="O31" s="7"/>
      <c r="P31" s="7"/>
      <c r="Q31" s="10"/>
    </row>
    <row r="32" spans="3:17" ht="25.05" customHeight="1" x14ac:dyDescent="0.3">
      <c r="C32" s="3">
        <v>26</v>
      </c>
      <c r="D32" s="4"/>
      <c r="E32" s="20"/>
      <c r="F32" s="20"/>
      <c r="G32" s="5"/>
      <c r="H32" s="12"/>
      <c r="I32" s="12"/>
      <c r="J32" s="5"/>
      <c r="K32" s="2"/>
      <c r="L32" s="2"/>
      <c r="M32" s="7"/>
      <c r="N32" s="7"/>
      <c r="O32" s="7"/>
      <c r="P32" s="7"/>
      <c r="Q32" s="10"/>
    </row>
    <row r="33" spans="3:17" ht="25.05" customHeight="1" x14ac:dyDescent="0.3">
      <c r="C33" s="3">
        <v>27</v>
      </c>
      <c r="D33" s="4"/>
      <c r="E33" s="20"/>
      <c r="F33" s="20"/>
      <c r="G33" s="12"/>
      <c r="H33" s="2"/>
      <c r="I33" s="2"/>
      <c r="J33" s="5"/>
      <c r="K33" s="19"/>
      <c r="L33" s="19"/>
      <c r="M33" s="7"/>
      <c r="N33" s="7"/>
      <c r="O33" s="7"/>
      <c r="P33" s="7"/>
      <c r="Q33" s="17"/>
    </row>
    <row r="34" spans="3:17" ht="25.05" customHeight="1" x14ac:dyDescent="0.3">
      <c r="C34" s="3">
        <v>28</v>
      </c>
      <c r="D34" s="4"/>
      <c r="E34" s="20"/>
      <c r="F34" s="20"/>
      <c r="G34" s="2"/>
      <c r="H34" s="5"/>
      <c r="I34" s="5"/>
      <c r="J34" s="5"/>
      <c r="K34" s="12"/>
      <c r="L34" s="12"/>
      <c r="M34" s="7"/>
      <c r="N34" s="7"/>
      <c r="O34" s="7"/>
      <c r="P34" s="7"/>
      <c r="Q34" s="10"/>
    </row>
    <row r="35" spans="3:17" ht="25.05" customHeight="1" x14ac:dyDescent="0.3">
      <c r="C35" s="3">
        <v>29</v>
      </c>
      <c r="D35" s="4"/>
      <c r="E35" s="20"/>
      <c r="F35" s="20"/>
      <c r="G35" s="2"/>
      <c r="H35" s="2"/>
      <c r="I35" s="2"/>
      <c r="J35" s="5"/>
      <c r="K35" s="12"/>
      <c r="L35" s="12"/>
      <c r="M35" s="7"/>
      <c r="N35" s="7"/>
      <c r="O35" s="7"/>
      <c r="P35" s="7"/>
      <c r="Q35" s="8"/>
    </row>
    <row r="36" spans="3:17" ht="25.05" customHeight="1" x14ac:dyDescent="0.3">
      <c r="C36" s="3">
        <v>30</v>
      </c>
      <c r="D36" s="4"/>
      <c r="E36" s="20"/>
      <c r="F36" s="20"/>
      <c r="G36" s="2"/>
      <c r="H36" s="9"/>
      <c r="I36" s="9"/>
      <c r="J36" s="5"/>
      <c r="K36" s="11"/>
      <c r="L36" s="11"/>
      <c r="M36" s="7"/>
      <c r="N36" s="7"/>
      <c r="O36" s="7"/>
      <c r="P36" s="7"/>
      <c r="Q36" s="10"/>
    </row>
    <row r="37" spans="3:17" ht="25.05" customHeight="1" x14ac:dyDescent="0.3">
      <c r="C37" s="3"/>
      <c r="D37" s="4"/>
      <c r="E37" s="13"/>
      <c r="F37" s="13"/>
      <c r="G37" s="13"/>
      <c r="H37" s="13"/>
      <c r="I37" s="13"/>
      <c r="J37" s="5"/>
      <c r="K37" s="11"/>
      <c r="L37" s="11"/>
      <c r="M37" s="7"/>
      <c r="N37" s="7"/>
      <c r="O37" s="7"/>
      <c r="P37" s="7"/>
      <c r="Q37" s="10"/>
    </row>
  </sheetData>
  <protectedRanges>
    <protectedRange sqref="K14:L14 K7:L12 H7:I8 H10:I10 H13:I15 H19:I20 H27:I27 H34:I36 H24:I24 H31:I31 K26:L35 D7:D37 G9 G11 E7:F14 E15:G16 E17:I17 E18:G18 K16:L23 G20:G21 G25 G32 E19:F35 E36:G37 C6 D5:F5 G6:P6" name="Range1_1_7"/>
    <protectedRange sqref="H12:I12 G13:G14" name="Range1_2_1_4"/>
    <protectedRange sqref="J7:J37" name="Range1_1_1_4"/>
    <protectedRange sqref="G7" name="Range1_1_2_4"/>
    <protectedRange sqref="G8" name="Range1_1_3_4"/>
  </protectedRanges>
  <mergeCells count="9">
    <mergeCell ref="J5:L5"/>
    <mergeCell ref="M5:O5"/>
    <mergeCell ref="D3:Q3"/>
    <mergeCell ref="D4:Q4"/>
    <mergeCell ref="C3:C5"/>
    <mergeCell ref="F5:F6"/>
    <mergeCell ref="D5:D6"/>
    <mergeCell ref="E5:E6"/>
    <mergeCell ref="G5:I5"/>
  </mergeCells>
  <pageMargins left="0.2" right="0.26" top="0.44" bottom="0.35" header="0.3" footer="0.3"/>
  <pageSetup paperSize="9" scale="40" orientation="landscape" r:id="rId1"/>
  <colBreaks count="1" manualBreakCount="1"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Electricity Consumption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</dc:creator>
  <cp:lastModifiedBy>sailokesh rachamallu</cp:lastModifiedBy>
  <cp:lastPrinted>2026-04-27T18:16:40Z</cp:lastPrinted>
  <dcterms:created xsi:type="dcterms:W3CDTF">2023-06-28T18:01:11Z</dcterms:created>
  <dcterms:modified xsi:type="dcterms:W3CDTF">2026-07-18T12:42:14Z</dcterms:modified>
</cp:coreProperties>
</file>