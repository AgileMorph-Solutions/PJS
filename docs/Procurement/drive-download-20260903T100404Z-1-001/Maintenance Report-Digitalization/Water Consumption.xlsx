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Maintenance Formats\"/>
    </mc:Choice>
  </mc:AlternateContent>
  <xr:revisionPtr revIDLastSave="0" documentId="13_ncr:1_{38CB61EC-6FA0-4351-A81E-7E2B78A64A48}" xr6:coauthVersionLast="47" xr6:coauthVersionMax="47" xr10:uidLastSave="{00000000-0000-0000-0000-000000000000}"/>
  <bookViews>
    <workbookView xWindow="-108" yWindow="-108" windowWidth="23256" windowHeight="13896" xr2:uid="{A505F510-032B-40FB-8E3E-F9B78BEE92F2}"/>
  </bookViews>
  <sheets>
    <sheet name="Water Consum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22" i="1"/>
  <c r="H28" i="1"/>
  <c r="H34" i="1"/>
  <c r="H40" i="1"/>
  <c r="H46" i="1"/>
  <c r="H52" i="1"/>
  <c r="H58" i="1"/>
  <c r="H64" i="1"/>
  <c r="H70" i="1"/>
  <c r="H76" i="1"/>
  <c r="H82" i="1"/>
  <c r="H88" i="1"/>
  <c r="H94" i="1"/>
  <c r="H100" i="1"/>
  <c r="H106" i="1"/>
  <c r="H112" i="1"/>
  <c r="H118" i="1"/>
  <c r="H124" i="1"/>
  <c r="H130" i="1"/>
  <c r="H136" i="1"/>
  <c r="H142" i="1"/>
  <c r="H148" i="1"/>
  <c r="H154" i="1"/>
  <c r="H160" i="1"/>
  <c r="H166" i="1"/>
  <c r="H172" i="1"/>
  <c r="H178" i="1"/>
  <c r="H184" i="1"/>
  <c r="H190" i="1"/>
  <c r="H196" i="1"/>
  <c r="H202" i="1"/>
  <c r="H208" i="1"/>
  <c r="H214" i="1"/>
  <c r="H220" i="1"/>
  <c r="H226" i="1"/>
  <c r="H131" i="1"/>
  <c r="H137" i="1"/>
  <c r="H143" i="1"/>
  <c r="H149" i="1"/>
  <c r="H155" i="1"/>
  <c r="H161" i="1"/>
  <c r="H167" i="1"/>
  <c r="H173" i="1"/>
  <c r="H179" i="1"/>
  <c r="H185" i="1"/>
  <c r="H191" i="1"/>
  <c r="H197" i="1"/>
  <c r="H203" i="1"/>
  <c r="H209" i="1"/>
  <c r="H215" i="1"/>
  <c r="H221" i="1"/>
  <c r="H227" i="1"/>
  <c r="H132" i="1"/>
  <c r="H138" i="1"/>
  <c r="H144" i="1"/>
  <c r="H150" i="1"/>
  <c r="H156" i="1"/>
  <c r="H162" i="1"/>
  <c r="H168" i="1"/>
  <c r="H174" i="1"/>
  <c r="H180" i="1"/>
  <c r="H186" i="1"/>
  <c r="H192" i="1"/>
  <c r="H198" i="1"/>
  <c r="H204" i="1"/>
  <c r="H210" i="1"/>
  <c r="H216" i="1"/>
  <c r="H222" i="1"/>
  <c r="H228" i="1"/>
  <c r="H133" i="1"/>
  <c r="H139" i="1"/>
  <c r="H145" i="1"/>
  <c r="H151" i="1"/>
  <c r="H157" i="1"/>
  <c r="H163" i="1"/>
  <c r="H169" i="1"/>
  <c r="H175" i="1"/>
  <c r="H181" i="1"/>
  <c r="H187" i="1"/>
  <c r="H193" i="1"/>
  <c r="H199" i="1"/>
  <c r="H205" i="1"/>
  <c r="H211" i="1"/>
  <c r="H217" i="1"/>
  <c r="H223" i="1"/>
  <c r="H229" i="1"/>
  <c r="H134" i="1"/>
  <c r="H140" i="1"/>
  <c r="H146" i="1"/>
  <c r="H152" i="1"/>
  <c r="H158" i="1"/>
  <c r="H164" i="1"/>
  <c r="H170" i="1"/>
  <c r="H176" i="1"/>
  <c r="H182" i="1"/>
  <c r="H188" i="1"/>
  <c r="H194" i="1"/>
  <c r="H200" i="1"/>
  <c r="H206" i="1"/>
  <c r="H212" i="1"/>
  <c r="H218" i="1"/>
  <c r="H224" i="1"/>
  <c r="H230" i="1"/>
  <c r="H17" i="1"/>
  <c r="H23" i="1"/>
  <c r="H29" i="1"/>
  <c r="H35" i="1"/>
  <c r="H41" i="1"/>
  <c r="H47" i="1"/>
  <c r="H53" i="1"/>
  <c r="H59" i="1"/>
  <c r="H65" i="1"/>
  <c r="H71" i="1"/>
  <c r="H77" i="1"/>
  <c r="H83" i="1"/>
  <c r="H89" i="1"/>
  <c r="H95" i="1"/>
  <c r="H101" i="1"/>
  <c r="H107" i="1"/>
  <c r="H113" i="1"/>
  <c r="H119" i="1"/>
  <c r="H125" i="1"/>
  <c r="H135" i="1"/>
  <c r="H141" i="1"/>
  <c r="H147" i="1"/>
  <c r="H153" i="1"/>
  <c r="H159" i="1"/>
  <c r="H165" i="1"/>
  <c r="H171" i="1"/>
  <c r="H177" i="1"/>
  <c r="H183" i="1"/>
  <c r="H189" i="1"/>
  <c r="H195" i="1"/>
  <c r="H201" i="1"/>
  <c r="H207" i="1"/>
  <c r="H213" i="1"/>
  <c r="H219" i="1"/>
  <c r="H225" i="1"/>
  <c r="H231" i="1"/>
  <c r="H18" i="1"/>
  <c r="H24" i="1"/>
  <c r="H30" i="1"/>
  <c r="H36" i="1"/>
  <c r="H42" i="1"/>
  <c r="H48" i="1"/>
  <c r="H54" i="1"/>
  <c r="H60" i="1"/>
  <c r="H66" i="1"/>
  <c r="H72" i="1"/>
  <c r="H78" i="1"/>
  <c r="H84" i="1"/>
  <c r="H90" i="1"/>
  <c r="H96" i="1"/>
  <c r="H102" i="1"/>
  <c r="H108" i="1"/>
  <c r="H114" i="1"/>
  <c r="H120" i="1"/>
  <c r="H126" i="1"/>
  <c r="H19" i="1"/>
  <c r="H25" i="1"/>
  <c r="H31" i="1"/>
  <c r="H37" i="1"/>
  <c r="H43" i="1"/>
  <c r="H49" i="1"/>
  <c r="H55" i="1"/>
  <c r="H61" i="1"/>
  <c r="H67" i="1"/>
  <c r="H73" i="1"/>
  <c r="H79" i="1"/>
  <c r="H85" i="1"/>
  <c r="H91" i="1"/>
  <c r="H97" i="1"/>
  <c r="H103" i="1"/>
  <c r="H109" i="1"/>
  <c r="H115" i="1"/>
  <c r="H121" i="1"/>
  <c r="H127" i="1"/>
  <c r="H20" i="1"/>
  <c r="H26" i="1"/>
  <c r="H32" i="1"/>
  <c r="H38" i="1"/>
  <c r="H44" i="1"/>
  <c r="H50" i="1"/>
  <c r="H56" i="1"/>
  <c r="H62" i="1"/>
  <c r="H68" i="1"/>
  <c r="H74" i="1"/>
  <c r="H80" i="1"/>
  <c r="H86" i="1"/>
  <c r="H92" i="1"/>
  <c r="H98" i="1"/>
  <c r="H104" i="1"/>
  <c r="H110" i="1"/>
  <c r="H116" i="1"/>
  <c r="H122" i="1"/>
  <c r="H128" i="1"/>
  <c r="H6" i="1"/>
  <c r="H7" i="1"/>
  <c r="H8" i="1"/>
  <c r="H9" i="1"/>
  <c r="H10" i="1"/>
  <c r="H11" i="1"/>
  <c r="H12" i="1"/>
  <c r="H13" i="1"/>
  <c r="H14" i="1"/>
  <c r="H15" i="1"/>
  <c r="H16" i="1"/>
  <c r="H21" i="1"/>
  <c r="H27" i="1"/>
  <c r="H33" i="1"/>
  <c r="H39" i="1"/>
  <c r="H45" i="1"/>
  <c r="H51" i="1"/>
  <c r="H57" i="1"/>
  <c r="H63" i="1"/>
  <c r="H69" i="1"/>
  <c r="H75" i="1"/>
  <c r="H81" i="1"/>
  <c r="H87" i="1"/>
  <c r="H93" i="1"/>
  <c r="H99" i="1"/>
  <c r="H105" i="1"/>
  <c r="H111" i="1"/>
  <c r="H117" i="1"/>
  <c r="H123" i="1"/>
  <c r="H129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C317" i="1"/>
  <c r="D317" i="1"/>
  <c r="E317" i="1"/>
  <c r="C5" i="1"/>
  <c r="D5" i="1"/>
  <c r="E5" i="1"/>
  <c r="C22" i="1"/>
  <c r="D22" i="1"/>
  <c r="E22" i="1"/>
  <c r="C28" i="1"/>
  <c r="D28" i="1"/>
  <c r="E28" i="1"/>
  <c r="C34" i="1"/>
  <c r="D34" i="1"/>
  <c r="E34" i="1"/>
  <c r="C40" i="1"/>
  <c r="D40" i="1"/>
  <c r="E40" i="1"/>
  <c r="C46" i="1"/>
  <c r="D46" i="1"/>
  <c r="E46" i="1"/>
  <c r="C52" i="1"/>
  <c r="D52" i="1"/>
  <c r="E52" i="1"/>
  <c r="C58" i="1"/>
  <c r="D58" i="1"/>
  <c r="E58" i="1"/>
  <c r="C64" i="1"/>
  <c r="D64" i="1"/>
  <c r="E64" i="1"/>
  <c r="C70" i="1"/>
  <c r="D70" i="1"/>
  <c r="E70" i="1"/>
  <c r="C76" i="1"/>
  <c r="D76" i="1"/>
  <c r="E76" i="1"/>
  <c r="C82" i="1"/>
  <c r="D82" i="1"/>
  <c r="E82" i="1"/>
  <c r="C88" i="1"/>
  <c r="D88" i="1"/>
  <c r="E88" i="1"/>
  <c r="C94" i="1"/>
  <c r="D94" i="1"/>
  <c r="E94" i="1"/>
  <c r="C100" i="1"/>
  <c r="D100" i="1"/>
  <c r="E100" i="1"/>
  <c r="C106" i="1"/>
  <c r="D106" i="1"/>
  <c r="E106" i="1"/>
  <c r="C112" i="1"/>
  <c r="D112" i="1"/>
  <c r="E112" i="1"/>
  <c r="C118" i="1"/>
  <c r="D118" i="1"/>
  <c r="E118" i="1"/>
  <c r="C124" i="1"/>
  <c r="D124" i="1"/>
  <c r="E124" i="1"/>
  <c r="C130" i="1"/>
  <c r="D130" i="1"/>
  <c r="E130" i="1"/>
  <c r="C136" i="1"/>
  <c r="D136" i="1"/>
  <c r="E136" i="1"/>
  <c r="C142" i="1"/>
  <c r="D142" i="1"/>
  <c r="E142" i="1"/>
  <c r="C148" i="1"/>
  <c r="D148" i="1"/>
  <c r="E148" i="1"/>
  <c r="C154" i="1"/>
  <c r="D154" i="1"/>
  <c r="E154" i="1"/>
  <c r="C160" i="1"/>
  <c r="D160" i="1"/>
  <c r="E160" i="1"/>
  <c r="C166" i="1"/>
  <c r="D166" i="1"/>
  <c r="E166" i="1"/>
  <c r="C172" i="1"/>
  <c r="D172" i="1"/>
  <c r="E172" i="1"/>
  <c r="C178" i="1"/>
  <c r="D178" i="1"/>
  <c r="E178" i="1"/>
  <c r="C184" i="1"/>
  <c r="D184" i="1"/>
  <c r="E184" i="1"/>
  <c r="C190" i="1"/>
  <c r="D190" i="1"/>
  <c r="E190" i="1"/>
  <c r="C196" i="1"/>
  <c r="D196" i="1"/>
  <c r="E196" i="1"/>
  <c r="C202" i="1"/>
  <c r="D202" i="1"/>
  <c r="E202" i="1"/>
  <c r="C208" i="1"/>
  <c r="D208" i="1"/>
  <c r="E208" i="1"/>
  <c r="C214" i="1"/>
  <c r="D214" i="1"/>
  <c r="E214" i="1"/>
  <c r="C220" i="1"/>
  <c r="D220" i="1"/>
  <c r="E220" i="1"/>
  <c r="C226" i="1"/>
  <c r="D226" i="1"/>
  <c r="E226" i="1"/>
  <c r="C131" i="1"/>
  <c r="D131" i="1"/>
  <c r="E131" i="1"/>
  <c r="C137" i="1"/>
  <c r="D137" i="1"/>
  <c r="E137" i="1"/>
  <c r="C143" i="1"/>
  <c r="D143" i="1"/>
  <c r="E143" i="1"/>
  <c r="C149" i="1"/>
  <c r="D149" i="1"/>
  <c r="E149" i="1"/>
  <c r="C155" i="1"/>
  <c r="D155" i="1"/>
  <c r="E155" i="1"/>
  <c r="C161" i="1"/>
  <c r="D161" i="1"/>
  <c r="E161" i="1"/>
  <c r="C167" i="1"/>
  <c r="D167" i="1"/>
  <c r="E167" i="1"/>
  <c r="C173" i="1"/>
  <c r="D173" i="1"/>
  <c r="E173" i="1"/>
  <c r="C179" i="1"/>
  <c r="D179" i="1"/>
  <c r="E179" i="1"/>
  <c r="C185" i="1"/>
  <c r="D185" i="1"/>
  <c r="E185" i="1"/>
  <c r="C191" i="1"/>
  <c r="D191" i="1"/>
  <c r="E191" i="1"/>
  <c r="C197" i="1"/>
  <c r="D197" i="1"/>
  <c r="E197" i="1"/>
  <c r="C203" i="1"/>
  <c r="D203" i="1"/>
  <c r="E203" i="1"/>
  <c r="C209" i="1"/>
  <c r="D209" i="1"/>
  <c r="E209" i="1"/>
  <c r="C215" i="1"/>
  <c r="D215" i="1"/>
  <c r="E215" i="1"/>
  <c r="C221" i="1"/>
  <c r="D221" i="1"/>
  <c r="E221" i="1"/>
  <c r="C227" i="1"/>
  <c r="D227" i="1"/>
  <c r="E227" i="1"/>
  <c r="C132" i="1"/>
  <c r="D132" i="1"/>
  <c r="E132" i="1"/>
  <c r="C138" i="1"/>
  <c r="D138" i="1"/>
  <c r="E138" i="1"/>
  <c r="C144" i="1"/>
  <c r="D144" i="1"/>
  <c r="E144" i="1"/>
  <c r="C150" i="1"/>
  <c r="D150" i="1"/>
  <c r="E150" i="1"/>
  <c r="C156" i="1"/>
  <c r="D156" i="1"/>
  <c r="E156" i="1"/>
  <c r="C162" i="1"/>
  <c r="D162" i="1"/>
  <c r="E162" i="1"/>
  <c r="C168" i="1"/>
  <c r="D168" i="1"/>
  <c r="E168" i="1"/>
  <c r="C174" i="1"/>
  <c r="D174" i="1"/>
  <c r="E174" i="1"/>
  <c r="C180" i="1"/>
  <c r="D180" i="1"/>
  <c r="E180" i="1"/>
  <c r="C186" i="1"/>
  <c r="D186" i="1"/>
  <c r="E186" i="1"/>
  <c r="C192" i="1"/>
  <c r="D192" i="1"/>
  <c r="E192" i="1"/>
  <c r="C198" i="1"/>
  <c r="D198" i="1"/>
  <c r="E198" i="1"/>
  <c r="C204" i="1"/>
  <c r="D204" i="1"/>
  <c r="E204" i="1"/>
  <c r="C210" i="1"/>
  <c r="D210" i="1"/>
  <c r="E210" i="1"/>
  <c r="C216" i="1"/>
  <c r="D216" i="1"/>
  <c r="E216" i="1"/>
  <c r="C222" i="1"/>
  <c r="D222" i="1"/>
  <c r="E222" i="1"/>
  <c r="C228" i="1"/>
  <c r="D228" i="1"/>
  <c r="E228" i="1"/>
  <c r="C133" i="1"/>
  <c r="D133" i="1"/>
  <c r="E133" i="1"/>
  <c r="C139" i="1"/>
  <c r="D139" i="1"/>
  <c r="E139" i="1"/>
  <c r="C145" i="1"/>
  <c r="D145" i="1"/>
  <c r="E145" i="1"/>
  <c r="C151" i="1"/>
  <c r="D151" i="1"/>
  <c r="E151" i="1"/>
  <c r="C157" i="1"/>
  <c r="D157" i="1"/>
  <c r="E157" i="1"/>
  <c r="C163" i="1"/>
  <c r="D163" i="1"/>
  <c r="E163" i="1"/>
  <c r="C169" i="1"/>
  <c r="D169" i="1"/>
  <c r="E169" i="1"/>
  <c r="C175" i="1"/>
  <c r="D175" i="1"/>
  <c r="E175" i="1"/>
  <c r="C181" i="1"/>
  <c r="D181" i="1"/>
  <c r="E181" i="1"/>
  <c r="C187" i="1"/>
  <c r="D187" i="1"/>
  <c r="E187" i="1"/>
  <c r="C193" i="1"/>
  <c r="D193" i="1"/>
  <c r="E193" i="1"/>
  <c r="C199" i="1"/>
  <c r="D199" i="1"/>
  <c r="E199" i="1"/>
  <c r="C205" i="1"/>
  <c r="D205" i="1"/>
  <c r="E205" i="1"/>
  <c r="C211" i="1"/>
  <c r="D211" i="1"/>
  <c r="E211" i="1"/>
  <c r="C217" i="1"/>
  <c r="D217" i="1"/>
  <c r="E217" i="1"/>
  <c r="C223" i="1"/>
  <c r="D223" i="1"/>
  <c r="E223" i="1"/>
  <c r="C229" i="1"/>
  <c r="D229" i="1"/>
  <c r="E229" i="1"/>
  <c r="C134" i="1"/>
  <c r="D134" i="1"/>
  <c r="E134" i="1"/>
  <c r="C140" i="1"/>
  <c r="D140" i="1"/>
  <c r="E140" i="1"/>
  <c r="C146" i="1"/>
  <c r="D146" i="1"/>
  <c r="E146" i="1"/>
  <c r="C152" i="1"/>
  <c r="D152" i="1"/>
  <c r="E152" i="1"/>
  <c r="C158" i="1"/>
  <c r="D158" i="1"/>
  <c r="E158" i="1"/>
  <c r="C164" i="1"/>
  <c r="D164" i="1"/>
  <c r="E164" i="1"/>
  <c r="C170" i="1"/>
  <c r="D170" i="1"/>
  <c r="E170" i="1"/>
  <c r="C176" i="1"/>
  <c r="D176" i="1"/>
  <c r="E176" i="1"/>
  <c r="C182" i="1"/>
  <c r="D182" i="1"/>
  <c r="E182" i="1"/>
  <c r="C188" i="1"/>
  <c r="D188" i="1"/>
  <c r="E188" i="1"/>
  <c r="C194" i="1"/>
  <c r="D194" i="1"/>
  <c r="E194" i="1"/>
  <c r="C200" i="1"/>
  <c r="D200" i="1"/>
  <c r="E200" i="1"/>
  <c r="C206" i="1"/>
  <c r="D206" i="1"/>
  <c r="E206" i="1"/>
  <c r="C212" i="1"/>
  <c r="D212" i="1"/>
  <c r="E212" i="1"/>
  <c r="C218" i="1"/>
  <c r="D218" i="1"/>
  <c r="E218" i="1"/>
  <c r="C224" i="1"/>
  <c r="D224" i="1"/>
  <c r="E224" i="1"/>
  <c r="C230" i="1"/>
  <c r="D230" i="1"/>
  <c r="E230" i="1"/>
  <c r="C17" i="1"/>
  <c r="D17" i="1"/>
  <c r="E17" i="1"/>
  <c r="C23" i="1"/>
  <c r="D23" i="1"/>
  <c r="E23" i="1"/>
  <c r="C29" i="1"/>
  <c r="D29" i="1"/>
  <c r="E29" i="1"/>
  <c r="C35" i="1"/>
  <c r="D35" i="1"/>
  <c r="E35" i="1"/>
  <c r="C41" i="1"/>
  <c r="D41" i="1"/>
  <c r="E41" i="1"/>
  <c r="C47" i="1"/>
  <c r="D47" i="1"/>
  <c r="E47" i="1"/>
  <c r="C53" i="1"/>
  <c r="D53" i="1"/>
  <c r="E53" i="1"/>
  <c r="C59" i="1"/>
  <c r="D59" i="1"/>
  <c r="E59" i="1"/>
  <c r="C65" i="1"/>
  <c r="D65" i="1"/>
  <c r="E65" i="1"/>
  <c r="C71" i="1"/>
  <c r="D71" i="1"/>
  <c r="E71" i="1"/>
  <c r="C77" i="1"/>
  <c r="D77" i="1"/>
  <c r="E77" i="1"/>
  <c r="C83" i="1"/>
  <c r="D83" i="1"/>
  <c r="E83" i="1"/>
  <c r="C89" i="1"/>
  <c r="D89" i="1"/>
  <c r="E89" i="1"/>
  <c r="C95" i="1"/>
  <c r="D95" i="1"/>
  <c r="E95" i="1"/>
  <c r="C101" i="1"/>
  <c r="D101" i="1"/>
  <c r="E101" i="1"/>
  <c r="C107" i="1"/>
  <c r="D107" i="1"/>
  <c r="E107" i="1"/>
  <c r="C113" i="1"/>
  <c r="D113" i="1"/>
  <c r="E113" i="1"/>
  <c r="C119" i="1"/>
  <c r="D119" i="1"/>
  <c r="E119" i="1"/>
  <c r="C125" i="1"/>
  <c r="D125" i="1"/>
  <c r="E125" i="1"/>
  <c r="C135" i="1"/>
  <c r="D135" i="1"/>
  <c r="E135" i="1"/>
  <c r="C141" i="1"/>
  <c r="D141" i="1"/>
  <c r="E141" i="1"/>
  <c r="C147" i="1"/>
  <c r="D147" i="1"/>
  <c r="E147" i="1"/>
  <c r="C153" i="1"/>
  <c r="D153" i="1"/>
  <c r="E153" i="1"/>
  <c r="C159" i="1"/>
  <c r="D159" i="1"/>
  <c r="E159" i="1"/>
  <c r="C165" i="1"/>
  <c r="D165" i="1"/>
  <c r="E165" i="1"/>
  <c r="C171" i="1"/>
  <c r="D171" i="1"/>
  <c r="E171" i="1"/>
  <c r="C177" i="1"/>
  <c r="D177" i="1"/>
  <c r="E177" i="1"/>
  <c r="C183" i="1"/>
  <c r="D183" i="1"/>
  <c r="E183" i="1"/>
  <c r="C189" i="1"/>
  <c r="D189" i="1"/>
  <c r="E189" i="1"/>
  <c r="C195" i="1"/>
  <c r="D195" i="1"/>
  <c r="E195" i="1"/>
  <c r="C201" i="1"/>
  <c r="D201" i="1"/>
  <c r="E201" i="1"/>
  <c r="C207" i="1"/>
  <c r="D207" i="1"/>
  <c r="E207" i="1"/>
  <c r="C213" i="1"/>
  <c r="D213" i="1"/>
  <c r="E213" i="1"/>
  <c r="C219" i="1"/>
  <c r="D219" i="1"/>
  <c r="E219" i="1"/>
  <c r="C225" i="1"/>
  <c r="D225" i="1"/>
  <c r="E225" i="1"/>
  <c r="C231" i="1"/>
  <c r="D231" i="1"/>
  <c r="E231" i="1"/>
  <c r="C18" i="1"/>
  <c r="D18" i="1"/>
  <c r="E18" i="1"/>
  <c r="C24" i="1"/>
  <c r="D24" i="1"/>
  <c r="E24" i="1"/>
  <c r="C30" i="1"/>
  <c r="D30" i="1"/>
  <c r="E30" i="1"/>
  <c r="C36" i="1"/>
  <c r="D36" i="1"/>
  <c r="E36" i="1"/>
  <c r="C42" i="1"/>
  <c r="D42" i="1"/>
  <c r="E42" i="1"/>
  <c r="C48" i="1"/>
  <c r="D48" i="1"/>
  <c r="E48" i="1"/>
  <c r="C54" i="1"/>
  <c r="D54" i="1"/>
  <c r="E54" i="1"/>
  <c r="C60" i="1"/>
  <c r="D60" i="1"/>
  <c r="E60" i="1"/>
  <c r="C66" i="1"/>
  <c r="D66" i="1"/>
  <c r="E66" i="1"/>
  <c r="C72" i="1"/>
  <c r="D72" i="1"/>
  <c r="E72" i="1"/>
  <c r="C78" i="1"/>
  <c r="D78" i="1"/>
  <c r="E78" i="1"/>
  <c r="C84" i="1"/>
  <c r="D84" i="1"/>
  <c r="E84" i="1"/>
  <c r="C90" i="1"/>
  <c r="D90" i="1"/>
  <c r="E90" i="1"/>
  <c r="C96" i="1"/>
  <c r="D96" i="1"/>
  <c r="E96" i="1"/>
  <c r="C102" i="1"/>
  <c r="D102" i="1"/>
  <c r="E102" i="1"/>
  <c r="C108" i="1"/>
  <c r="D108" i="1"/>
  <c r="E108" i="1"/>
  <c r="C114" i="1"/>
  <c r="D114" i="1"/>
  <c r="E114" i="1"/>
  <c r="C120" i="1"/>
  <c r="D120" i="1"/>
  <c r="E120" i="1"/>
  <c r="C126" i="1"/>
  <c r="D126" i="1"/>
  <c r="E126" i="1"/>
  <c r="C19" i="1"/>
  <c r="D19" i="1"/>
  <c r="E19" i="1"/>
  <c r="C25" i="1"/>
  <c r="D25" i="1"/>
  <c r="E25" i="1"/>
  <c r="C31" i="1"/>
  <c r="D31" i="1"/>
  <c r="E31" i="1"/>
  <c r="C37" i="1"/>
  <c r="D37" i="1"/>
  <c r="E37" i="1"/>
  <c r="C43" i="1"/>
  <c r="D43" i="1"/>
  <c r="E43" i="1"/>
  <c r="C49" i="1"/>
  <c r="D49" i="1"/>
  <c r="E49" i="1"/>
  <c r="C55" i="1"/>
  <c r="D55" i="1"/>
  <c r="E55" i="1"/>
  <c r="C61" i="1"/>
  <c r="D61" i="1"/>
  <c r="E61" i="1"/>
  <c r="C67" i="1"/>
  <c r="D67" i="1"/>
  <c r="E67" i="1"/>
  <c r="C73" i="1"/>
  <c r="D73" i="1"/>
  <c r="E73" i="1"/>
  <c r="C79" i="1"/>
  <c r="D79" i="1"/>
  <c r="E79" i="1"/>
  <c r="C85" i="1"/>
  <c r="D85" i="1"/>
  <c r="E85" i="1"/>
  <c r="C91" i="1"/>
  <c r="D91" i="1"/>
  <c r="E91" i="1"/>
  <c r="C97" i="1"/>
  <c r="D97" i="1"/>
  <c r="E97" i="1"/>
  <c r="C103" i="1"/>
  <c r="D103" i="1"/>
  <c r="E103" i="1"/>
  <c r="C109" i="1"/>
  <c r="D109" i="1"/>
  <c r="E109" i="1"/>
  <c r="C115" i="1"/>
  <c r="D115" i="1"/>
  <c r="E115" i="1"/>
  <c r="C121" i="1"/>
  <c r="D121" i="1"/>
  <c r="E121" i="1"/>
  <c r="C127" i="1"/>
  <c r="D127" i="1"/>
  <c r="E127" i="1"/>
  <c r="C20" i="1"/>
  <c r="D20" i="1"/>
  <c r="E20" i="1"/>
  <c r="C26" i="1"/>
  <c r="D26" i="1"/>
  <c r="E26" i="1"/>
  <c r="C32" i="1"/>
  <c r="D32" i="1"/>
  <c r="E32" i="1"/>
  <c r="C38" i="1"/>
  <c r="D38" i="1"/>
  <c r="E38" i="1"/>
  <c r="C44" i="1"/>
  <c r="D44" i="1"/>
  <c r="E44" i="1"/>
  <c r="C50" i="1"/>
  <c r="D50" i="1"/>
  <c r="E50" i="1"/>
  <c r="C56" i="1"/>
  <c r="D56" i="1"/>
  <c r="E56" i="1"/>
  <c r="C62" i="1"/>
  <c r="D62" i="1"/>
  <c r="E62" i="1"/>
  <c r="C68" i="1"/>
  <c r="D68" i="1"/>
  <c r="E68" i="1"/>
  <c r="C74" i="1"/>
  <c r="D74" i="1"/>
  <c r="E74" i="1"/>
  <c r="C80" i="1"/>
  <c r="D80" i="1"/>
  <c r="E80" i="1"/>
  <c r="C86" i="1"/>
  <c r="D86" i="1"/>
  <c r="E86" i="1"/>
  <c r="C92" i="1"/>
  <c r="D92" i="1"/>
  <c r="E92" i="1"/>
  <c r="C98" i="1"/>
  <c r="D98" i="1"/>
  <c r="E98" i="1"/>
  <c r="C104" i="1"/>
  <c r="D104" i="1"/>
  <c r="E104" i="1"/>
  <c r="C110" i="1"/>
  <c r="D110" i="1"/>
  <c r="E110" i="1"/>
  <c r="C116" i="1"/>
  <c r="D116" i="1"/>
  <c r="E116" i="1"/>
  <c r="C122" i="1"/>
  <c r="D122" i="1"/>
  <c r="E122" i="1"/>
  <c r="C128" i="1"/>
  <c r="D128" i="1"/>
  <c r="E128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21" i="1"/>
  <c r="D21" i="1"/>
  <c r="E21" i="1"/>
  <c r="C27" i="1"/>
  <c r="D27" i="1"/>
  <c r="E27" i="1"/>
  <c r="C33" i="1"/>
  <c r="D33" i="1"/>
  <c r="E33" i="1"/>
  <c r="C39" i="1"/>
  <c r="D39" i="1"/>
  <c r="E39" i="1"/>
  <c r="C45" i="1"/>
  <c r="D45" i="1"/>
  <c r="E45" i="1"/>
  <c r="C51" i="1"/>
  <c r="D51" i="1"/>
  <c r="E51" i="1"/>
  <c r="C57" i="1"/>
  <c r="D57" i="1"/>
  <c r="E57" i="1"/>
  <c r="C63" i="1"/>
  <c r="D63" i="1"/>
  <c r="E63" i="1"/>
  <c r="C69" i="1"/>
  <c r="D69" i="1"/>
  <c r="E69" i="1"/>
  <c r="C75" i="1"/>
  <c r="D75" i="1"/>
  <c r="E75" i="1"/>
  <c r="C81" i="1"/>
  <c r="D81" i="1"/>
  <c r="E81" i="1"/>
  <c r="C87" i="1"/>
  <c r="D87" i="1"/>
  <c r="E87" i="1"/>
  <c r="C93" i="1"/>
  <c r="D93" i="1"/>
  <c r="E93" i="1"/>
  <c r="C99" i="1"/>
  <c r="D99" i="1"/>
  <c r="E99" i="1"/>
  <c r="C105" i="1"/>
  <c r="D105" i="1"/>
  <c r="E105" i="1"/>
  <c r="C111" i="1"/>
  <c r="D111" i="1"/>
  <c r="E111" i="1"/>
  <c r="C117" i="1"/>
  <c r="D117" i="1"/>
  <c r="E117" i="1"/>
  <c r="C123" i="1"/>
  <c r="D123" i="1"/>
  <c r="E123" i="1"/>
  <c r="C129" i="1"/>
  <c r="D129" i="1"/>
  <c r="E129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3" i="1"/>
  <c r="D253" i="1"/>
  <c r="E253" i="1"/>
  <c r="C254" i="1"/>
  <c r="D254" i="1"/>
  <c r="E254" i="1"/>
  <c r="C255" i="1"/>
  <c r="D255" i="1"/>
  <c r="E255" i="1"/>
  <c r="C256" i="1"/>
  <c r="D256" i="1"/>
  <c r="E256" i="1"/>
  <c r="C257" i="1"/>
  <c r="D257" i="1"/>
  <c r="E257" i="1"/>
  <c r="C258" i="1"/>
  <c r="D258" i="1"/>
  <c r="E258" i="1"/>
  <c r="C259" i="1"/>
  <c r="D259" i="1"/>
  <c r="E259" i="1"/>
  <c r="C260" i="1"/>
  <c r="D260" i="1"/>
  <c r="E260" i="1"/>
  <c r="C261" i="1"/>
  <c r="D261" i="1"/>
  <c r="E261" i="1"/>
  <c r="C262" i="1"/>
  <c r="D262" i="1"/>
  <c r="E262" i="1"/>
  <c r="C263" i="1"/>
  <c r="D263" i="1"/>
  <c r="E263" i="1"/>
  <c r="C264" i="1"/>
  <c r="D264" i="1"/>
  <c r="E264" i="1"/>
  <c r="C265" i="1"/>
  <c r="D265" i="1"/>
  <c r="E265" i="1"/>
  <c r="C266" i="1"/>
  <c r="D266" i="1"/>
  <c r="E266" i="1"/>
  <c r="C267" i="1"/>
  <c r="D267" i="1"/>
  <c r="E267" i="1"/>
  <c r="C268" i="1"/>
  <c r="D268" i="1"/>
  <c r="E268" i="1"/>
  <c r="C269" i="1"/>
  <c r="D269" i="1"/>
  <c r="E269" i="1"/>
  <c r="C270" i="1"/>
  <c r="D270" i="1"/>
  <c r="E270" i="1"/>
  <c r="C271" i="1"/>
  <c r="D271" i="1"/>
  <c r="E271" i="1"/>
  <c r="C272" i="1"/>
  <c r="D272" i="1"/>
  <c r="E272" i="1"/>
  <c r="C273" i="1"/>
  <c r="D273" i="1"/>
  <c r="E273" i="1"/>
  <c r="C274" i="1"/>
  <c r="D274" i="1"/>
  <c r="E274" i="1"/>
  <c r="C275" i="1"/>
  <c r="D275" i="1"/>
  <c r="E275" i="1"/>
  <c r="C276" i="1"/>
  <c r="D276" i="1"/>
  <c r="E276" i="1"/>
  <c r="C277" i="1"/>
  <c r="D277" i="1"/>
  <c r="E277" i="1"/>
  <c r="C278" i="1"/>
  <c r="D278" i="1"/>
  <c r="E278" i="1"/>
  <c r="C279" i="1"/>
  <c r="D279" i="1"/>
  <c r="E279" i="1"/>
  <c r="C280" i="1"/>
  <c r="D280" i="1"/>
  <c r="E280" i="1"/>
  <c r="C281" i="1"/>
  <c r="D281" i="1"/>
  <c r="E281" i="1"/>
  <c r="C282" i="1"/>
  <c r="D282" i="1"/>
  <c r="E282" i="1"/>
  <c r="C283" i="1"/>
  <c r="D283" i="1"/>
  <c r="E283" i="1"/>
  <c r="C284" i="1"/>
  <c r="D284" i="1"/>
  <c r="E284" i="1"/>
  <c r="C285" i="1"/>
  <c r="D285" i="1"/>
  <c r="E285" i="1"/>
  <c r="C286" i="1"/>
  <c r="D286" i="1"/>
  <c r="E286" i="1"/>
  <c r="C287" i="1"/>
  <c r="D287" i="1"/>
  <c r="E287" i="1"/>
  <c r="C288" i="1"/>
  <c r="D288" i="1"/>
  <c r="E288" i="1"/>
  <c r="C289" i="1"/>
  <c r="D289" i="1"/>
  <c r="E289" i="1"/>
  <c r="C290" i="1"/>
  <c r="D290" i="1"/>
  <c r="E290" i="1"/>
  <c r="C291" i="1"/>
  <c r="D291" i="1"/>
  <c r="E291" i="1"/>
  <c r="C292" i="1"/>
  <c r="D292" i="1"/>
  <c r="E292" i="1"/>
  <c r="C293" i="1"/>
  <c r="D293" i="1"/>
  <c r="E293" i="1"/>
  <c r="C294" i="1"/>
  <c r="D294" i="1"/>
  <c r="E294" i="1"/>
  <c r="C295" i="1"/>
  <c r="D295" i="1"/>
  <c r="E295" i="1"/>
  <c r="C296" i="1"/>
  <c r="D296" i="1"/>
  <c r="E296" i="1"/>
  <c r="C297" i="1"/>
  <c r="D297" i="1"/>
  <c r="E297" i="1"/>
  <c r="C298" i="1"/>
  <c r="D298" i="1"/>
  <c r="E298" i="1"/>
  <c r="C299" i="1"/>
  <c r="D299" i="1"/>
  <c r="E299" i="1"/>
  <c r="C300" i="1"/>
  <c r="D300" i="1"/>
  <c r="E300" i="1"/>
  <c r="C301" i="1"/>
  <c r="D301" i="1"/>
  <c r="E301" i="1"/>
  <c r="C302" i="1"/>
  <c r="D302" i="1"/>
  <c r="E302" i="1"/>
  <c r="C303" i="1"/>
  <c r="D303" i="1"/>
  <c r="E303" i="1"/>
  <c r="C304" i="1"/>
  <c r="D304" i="1"/>
  <c r="E304" i="1"/>
  <c r="C305" i="1"/>
  <c r="D305" i="1"/>
  <c r="E305" i="1"/>
  <c r="C306" i="1"/>
  <c r="D306" i="1"/>
  <c r="E306" i="1"/>
  <c r="C307" i="1"/>
  <c r="D307" i="1"/>
  <c r="E307" i="1"/>
  <c r="C308" i="1"/>
  <c r="D308" i="1"/>
  <c r="E308" i="1"/>
  <c r="C309" i="1"/>
  <c r="D309" i="1"/>
  <c r="E309" i="1"/>
  <c r="C310" i="1"/>
  <c r="D310" i="1"/>
  <c r="E310" i="1"/>
  <c r="C311" i="1"/>
  <c r="D311" i="1"/>
  <c r="E311" i="1"/>
  <c r="C312" i="1"/>
  <c r="D312" i="1"/>
  <c r="E312" i="1"/>
  <c r="C313" i="1"/>
  <c r="D313" i="1"/>
  <c r="E313" i="1"/>
  <c r="C314" i="1"/>
  <c r="D314" i="1"/>
  <c r="E314" i="1"/>
  <c r="C315" i="1"/>
  <c r="D315" i="1"/>
  <c r="E315" i="1"/>
  <c r="C316" i="1"/>
  <c r="D316" i="1"/>
  <c r="E316" i="1"/>
  <c r="H4" i="1"/>
  <c r="E4" i="1" l="1"/>
  <c r="D4" i="1"/>
  <c r="C4" i="1"/>
</calcChain>
</file>

<file path=xl/sharedStrings.xml><?xml version="1.0" encoding="utf-8"?>
<sst xmlns="http://schemas.openxmlformats.org/spreadsheetml/2006/main" count="238" uniqueCount="16">
  <si>
    <t>Date</t>
  </si>
  <si>
    <t>Remarks</t>
  </si>
  <si>
    <t>Day</t>
  </si>
  <si>
    <t>Week</t>
  </si>
  <si>
    <t>Month</t>
  </si>
  <si>
    <t>Area</t>
  </si>
  <si>
    <t>SODECI</t>
  </si>
  <si>
    <t>Reading (m3)</t>
  </si>
  <si>
    <t>Reading (Litres)</t>
  </si>
  <si>
    <t>Trail and Filled the 50KL Tank</t>
  </si>
  <si>
    <t>Leakage at Input SODECI piper before valve</t>
  </si>
  <si>
    <t>BOILER</t>
  </si>
  <si>
    <t>LOW CARE TOILET</t>
  </si>
  <si>
    <t>RESIDENCE</t>
  </si>
  <si>
    <t>CANTEEN</t>
  </si>
  <si>
    <t>HIGH CARE TOILET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</si>
</sst>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0" fillId="0" borderId="0" xfId="0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" fontId="0" fillId="0" borderId="2" xfId="0" applyNumberFormat="1" applyBorder="1"/>
    <xf numFmtId="14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7" xfId="0" applyBorder="1"/>
    <xf numFmtId="14" fontId="0" fillId="0" borderId="8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2FA36-AED0-4255-A5A5-CB2E6E41CDFB}" name="Table1" displayName="Table1" ref="B3:I317" totalsRowShown="0" headerRowDxfId="12" dataDxfId="10" headerRowBorderDxfId="11" tableBorderDxfId="9" totalsRowBorderDxfId="8">
  <autoFilter ref="B3:I317" xr:uid="{AD42FA36-AED0-4255-A5A5-CB2E6E41CDFB}"/>
  <sortState xmlns:xlrd2="http://schemas.microsoft.com/office/spreadsheetml/2017/richdata2" ref="B4:I317">
    <sortCondition ref="B4:B317"/>
  </sortState>
  <tableColumns count="8">
    <tableColumn id="1" xr3:uid="{1CA059EA-DAC6-4E1D-BF22-536DFE646A42}" name="Date" dataDxfId="7"/>
    <tableColumn id="2" xr3:uid="{CE3009D0-84B4-4BF5-871B-7FFC95E8A098}" name="Day" dataDxfId="6">
      <calculatedColumnFormula>TEXT(B4,"DDD")</calculatedColumnFormula>
    </tableColumn>
    <tableColumn id="3" xr3:uid="{9E999892-219B-4825-996D-580F68FDF49C}" name="Week" dataDxfId="5">
      <calculatedColumnFormula>WEEKNUM(B4)</calculatedColumnFormula>
    </tableColumn>
    <tableColumn id="4" xr3:uid="{05B03863-9E3C-49C1-98A9-F29586C56E36}" name="Month" dataDxfId="4">
      <calculatedColumnFormula>TEXT(B4,"mmm-yy")</calculatedColumnFormula>
    </tableColumn>
    <tableColumn id="5" xr3:uid="{26D2FC4F-D4B9-4399-BE49-DD0CC55402D6}" name="Area" dataDxfId="3"/>
    <tableColumn id="6" xr3:uid="{1C2FF240-7A36-430C-AFFD-7EEAF4DE50AE}" name="Reading (m3)" dataDxfId="2"/>
    <tableColumn id="7" xr3:uid="{81F04EFB-68B6-4348-9D17-89428A0D3617}" name="Reading (Litres)" dataDxfId="1">
      <calculatedColumnFormula>G4*1000</calculatedColumnFormula>
    </tableColumn>
    <tableColumn id="8" xr3:uid="{35064C8C-93EF-4B88-8E94-D9A776C401CC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D498-4E6C-4C0B-B2EB-BEC2DCFA8E43}">
  <sheetPr>
    <tabColor theme="4" tint="0.39997558519241921"/>
  </sheetPr>
  <dimension ref="B2:V317"/>
  <sheetViews>
    <sheetView tabSelected="1" topLeftCell="A218" zoomScale="108" workbookViewId="0">
      <selection activeCell="G235" sqref="G235"/>
    </sheetView>
  </sheetViews>
  <sheetFormatPr defaultRowHeight="14.4" x14ac:dyDescent="0.3"/>
  <cols>
    <col min="3" max="3" width="9.77734375" customWidth="1"/>
    <col min="4" max="4" width="10.6640625" customWidth="1"/>
    <col min="5" max="5" width="10.21875" customWidth="1"/>
    <col min="6" max="6" width="16.33203125" bestFit="1" customWidth="1"/>
    <col min="7" max="7" width="15.109375" customWidth="1"/>
    <col min="8" max="8" width="17.33203125" customWidth="1"/>
    <col min="9" max="9" width="38.6640625" bestFit="1" customWidth="1"/>
    <col min="10" max="10" width="10.109375" customWidth="1"/>
    <col min="11" max="11" width="15.109375" customWidth="1"/>
    <col min="12" max="12" width="11.77734375" customWidth="1"/>
    <col min="13" max="13" width="21.109375" customWidth="1"/>
    <col min="14" max="14" width="9.88671875" customWidth="1"/>
    <col min="15" max="15" width="15.33203125" customWidth="1"/>
    <col min="16" max="16" width="11.44140625" customWidth="1"/>
    <col min="17" max="17" width="15.44140625" customWidth="1"/>
    <col min="19" max="19" width="22.77734375" bestFit="1" customWidth="1"/>
    <col min="20" max="20" width="9.5546875" bestFit="1" customWidth="1"/>
  </cols>
  <sheetData>
    <row r="2" spans="2:22" x14ac:dyDescent="0.3">
      <c r="T2" s="2"/>
      <c r="V2" s="3"/>
    </row>
    <row r="3" spans="2:22" ht="15.6" x14ac:dyDescent="0.3">
      <c r="B3" s="5" t="s">
        <v>0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7</v>
      </c>
      <c r="H3" s="6" t="s">
        <v>8</v>
      </c>
      <c r="I3" s="7" t="s">
        <v>1</v>
      </c>
    </row>
    <row r="4" spans="2:22" x14ac:dyDescent="0.3">
      <c r="B4" s="8">
        <v>46153</v>
      </c>
      <c r="C4" s="9" t="str">
        <f>TEXT(B4,"DDD")</f>
        <v>Mon</v>
      </c>
      <c r="D4" s="10">
        <f>WEEKNUM(B4)</f>
        <v>20</v>
      </c>
      <c r="E4" s="10" t="str">
        <f>TEXT(B4,"mmm-yy")</f>
        <v>May-26</v>
      </c>
      <c r="F4" s="11" t="s">
        <v>6</v>
      </c>
      <c r="G4" s="11">
        <v>0</v>
      </c>
      <c r="H4" s="11">
        <f>G4*1000</f>
        <v>0</v>
      </c>
      <c r="I4" s="12"/>
    </row>
    <row r="5" spans="2:22" x14ac:dyDescent="0.3">
      <c r="B5" s="8">
        <v>46154</v>
      </c>
      <c r="C5" s="9" t="str">
        <f>TEXT(B5,"DDD")</f>
        <v>Tue</v>
      </c>
      <c r="D5" s="10">
        <f>WEEKNUM(B5)</f>
        <v>20</v>
      </c>
      <c r="E5" s="10" t="str">
        <f>TEXT(B5,"mmm-yy")</f>
        <v>May-26</v>
      </c>
      <c r="F5" s="11" t="s">
        <v>6</v>
      </c>
      <c r="G5" s="11">
        <v>48</v>
      </c>
      <c r="H5" s="11">
        <f>G5*1000</f>
        <v>48000</v>
      </c>
      <c r="I5" s="12" t="s">
        <v>9</v>
      </c>
      <c r="P5" s="1"/>
    </row>
    <row r="6" spans="2:22" x14ac:dyDescent="0.3">
      <c r="B6" s="8">
        <v>46174</v>
      </c>
      <c r="C6" s="9" t="str">
        <f>TEXT(B6,"DDD")</f>
        <v>Mon</v>
      </c>
      <c r="D6" s="10">
        <f>WEEKNUM(B6)</f>
        <v>23</v>
      </c>
      <c r="E6" s="10" t="str">
        <f>TEXT(B6,"mmm-yy")</f>
        <v>Jun-26</v>
      </c>
      <c r="F6" s="11" t="s">
        <v>11</v>
      </c>
      <c r="G6" s="11">
        <v>72</v>
      </c>
      <c r="H6" s="11">
        <f>G6*1000</f>
        <v>72000</v>
      </c>
      <c r="I6" s="12"/>
    </row>
    <row r="7" spans="2:22" x14ac:dyDescent="0.3">
      <c r="B7" s="8">
        <v>46175</v>
      </c>
      <c r="C7" s="9" t="str">
        <f>TEXT(B7,"DDD")</f>
        <v>Tue</v>
      </c>
      <c r="D7" s="10">
        <f>WEEKNUM(B7)</f>
        <v>23</v>
      </c>
      <c r="E7" s="10" t="str">
        <f>TEXT(B7,"mmm-yy")</f>
        <v>Jun-26</v>
      </c>
      <c r="F7" s="11" t="s">
        <v>11</v>
      </c>
      <c r="G7" s="11">
        <v>94</v>
      </c>
      <c r="H7" s="11">
        <f>G7*1000</f>
        <v>94000</v>
      </c>
      <c r="I7" s="12"/>
      <c r="P7" s="4"/>
    </row>
    <row r="8" spans="2:22" x14ac:dyDescent="0.3">
      <c r="B8" s="8">
        <v>46176</v>
      </c>
      <c r="C8" s="9" t="str">
        <f>TEXT(B8,"DDD")</f>
        <v>Wed</v>
      </c>
      <c r="D8" s="10">
        <f>WEEKNUM(B8)</f>
        <v>23</v>
      </c>
      <c r="E8" s="10" t="str">
        <f>TEXT(B8,"mmm-yy")</f>
        <v>Jun-26</v>
      </c>
      <c r="F8" s="11" t="s">
        <v>11</v>
      </c>
      <c r="G8" s="11">
        <v>111</v>
      </c>
      <c r="H8" s="11">
        <f>G8*1000</f>
        <v>111000</v>
      </c>
      <c r="I8" s="12"/>
      <c r="Q8" s="1"/>
    </row>
    <row r="9" spans="2:22" x14ac:dyDescent="0.3">
      <c r="B9" s="8">
        <v>46177</v>
      </c>
      <c r="C9" s="9" t="str">
        <f>TEXT(B9,"DDD")</f>
        <v>Thu</v>
      </c>
      <c r="D9" s="10">
        <f>WEEKNUM(B9)</f>
        <v>23</v>
      </c>
      <c r="E9" s="10" t="str">
        <f>TEXT(B9,"mmm-yy")</f>
        <v>Jun-26</v>
      </c>
      <c r="F9" s="11" t="s">
        <v>11</v>
      </c>
      <c r="G9" s="11">
        <v>130</v>
      </c>
      <c r="H9" s="11">
        <f>G9*1000</f>
        <v>130000</v>
      </c>
      <c r="I9" s="12"/>
    </row>
    <row r="10" spans="2:22" x14ac:dyDescent="0.3">
      <c r="B10" s="8">
        <v>46178</v>
      </c>
      <c r="C10" s="9" t="str">
        <f>TEXT(B10,"DDD")</f>
        <v>Fri</v>
      </c>
      <c r="D10" s="10">
        <f>WEEKNUM(B10)</f>
        <v>23</v>
      </c>
      <c r="E10" s="10" t="str">
        <f>TEXT(B10,"mmm-yy")</f>
        <v>Jun-26</v>
      </c>
      <c r="F10" s="11" t="s">
        <v>11</v>
      </c>
      <c r="G10" s="11">
        <v>140</v>
      </c>
      <c r="H10" s="11">
        <f>G10*1000</f>
        <v>140000</v>
      </c>
      <c r="I10" s="12"/>
    </row>
    <row r="11" spans="2:22" x14ac:dyDescent="0.3">
      <c r="B11" s="8">
        <v>46179</v>
      </c>
      <c r="C11" s="9" t="str">
        <f>TEXT(B11,"DDD")</f>
        <v>Sat</v>
      </c>
      <c r="D11" s="10">
        <f>WEEKNUM(B11)</f>
        <v>23</v>
      </c>
      <c r="E11" s="10" t="str">
        <f>TEXT(B11,"mmm-yy")</f>
        <v>Jun-26</v>
      </c>
      <c r="F11" s="11" t="s">
        <v>11</v>
      </c>
      <c r="G11" s="11">
        <v>159</v>
      </c>
      <c r="H11" s="11">
        <f>G11*1000</f>
        <v>159000</v>
      </c>
      <c r="I11" s="12"/>
    </row>
    <row r="12" spans="2:22" x14ac:dyDescent="0.3">
      <c r="B12" s="8">
        <v>46180</v>
      </c>
      <c r="C12" s="9" t="str">
        <f>TEXT(B12,"DDD")</f>
        <v>Sun</v>
      </c>
      <c r="D12" s="10">
        <f>WEEKNUM(B12)</f>
        <v>24</v>
      </c>
      <c r="E12" s="10" t="str">
        <f>TEXT(B12,"mmm-yy")</f>
        <v>Jun-26</v>
      </c>
      <c r="F12" s="11" t="s">
        <v>11</v>
      </c>
      <c r="G12" s="11">
        <v>179</v>
      </c>
      <c r="H12" s="11">
        <f>G12*1000</f>
        <v>179000</v>
      </c>
      <c r="I12" s="12"/>
    </row>
    <row r="13" spans="2:22" x14ac:dyDescent="0.3">
      <c r="B13" s="8">
        <v>46181</v>
      </c>
      <c r="C13" s="9" t="str">
        <f>TEXT(B13,"DDD")</f>
        <v>Mon</v>
      </c>
      <c r="D13" s="10">
        <f>WEEKNUM(B13)</f>
        <v>24</v>
      </c>
      <c r="E13" s="10" t="str">
        <f>TEXT(B13,"mmm-yy")</f>
        <v>Jun-26</v>
      </c>
      <c r="F13" s="11" t="s">
        <v>11</v>
      </c>
      <c r="G13" s="11">
        <v>192</v>
      </c>
      <c r="H13" s="11">
        <f>G13*1000</f>
        <v>192000</v>
      </c>
      <c r="I13" s="12"/>
    </row>
    <row r="14" spans="2:22" x14ac:dyDescent="0.3">
      <c r="B14" s="8">
        <v>46182</v>
      </c>
      <c r="C14" s="9" t="str">
        <f>TEXT(B14,"DDD")</f>
        <v>Tue</v>
      </c>
      <c r="D14" s="10">
        <f>WEEKNUM(B14)</f>
        <v>24</v>
      </c>
      <c r="E14" s="10" t="str">
        <f>TEXT(B14,"mmm-yy")</f>
        <v>Jun-26</v>
      </c>
      <c r="F14" s="11" t="s">
        <v>11</v>
      </c>
      <c r="G14" s="11">
        <v>214</v>
      </c>
      <c r="H14" s="11">
        <f>G14*1000</f>
        <v>214000</v>
      </c>
      <c r="I14" s="12"/>
    </row>
    <row r="15" spans="2:22" x14ac:dyDescent="0.3">
      <c r="B15" s="8">
        <v>46183</v>
      </c>
      <c r="C15" s="9" t="str">
        <f>TEXT(B15,"DDD")</f>
        <v>Wed</v>
      </c>
      <c r="D15" s="10">
        <f>WEEKNUM(B15)</f>
        <v>24</v>
      </c>
      <c r="E15" s="10" t="str">
        <f>TEXT(B15,"mmm-yy")</f>
        <v>Jun-26</v>
      </c>
      <c r="F15" s="11" t="s">
        <v>11</v>
      </c>
      <c r="G15" s="11">
        <v>238</v>
      </c>
      <c r="H15" s="11">
        <f>G15*1000</f>
        <v>238000</v>
      </c>
      <c r="I15" s="12"/>
    </row>
    <row r="16" spans="2:22" x14ac:dyDescent="0.3">
      <c r="B16" s="8">
        <v>46184</v>
      </c>
      <c r="C16" s="9" t="str">
        <f>TEXT(B16,"DDD")</f>
        <v>Thu</v>
      </c>
      <c r="D16" s="10">
        <f>WEEKNUM(B16)</f>
        <v>24</v>
      </c>
      <c r="E16" s="10" t="str">
        <f>TEXT(B16,"mmm-yy")</f>
        <v>Jun-26</v>
      </c>
      <c r="F16" s="11" t="s">
        <v>11</v>
      </c>
      <c r="G16" s="11">
        <v>258</v>
      </c>
      <c r="H16" s="11">
        <f>G16*1000</f>
        <v>258000</v>
      </c>
      <c r="I16" s="12"/>
    </row>
    <row r="17" spans="2:9" x14ac:dyDescent="0.3">
      <c r="B17" s="8">
        <v>46185</v>
      </c>
      <c r="C17" s="9" t="str">
        <f>TEXT(B17,"DDD")</f>
        <v>Fri</v>
      </c>
      <c r="D17" s="10">
        <f>WEEKNUM(B17)</f>
        <v>24</v>
      </c>
      <c r="E17" s="10" t="str">
        <f>TEXT(B17,"mmm-yy")</f>
        <v>Jun-26</v>
      </c>
      <c r="F17" s="11" t="s">
        <v>15</v>
      </c>
      <c r="G17" s="11">
        <v>0</v>
      </c>
      <c r="H17" s="11">
        <f>G17*1000</f>
        <v>0</v>
      </c>
      <c r="I17" s="12"/>
    </row>
    <row r="18" spans="2:9" x14ac:dyDescent="0.3">
      <c r="B18" s="8">
        <v>46185</v>
      </c>
      <c r="C18" s="9" t="str">
        <f>TEXT(B18,"DDD")</f>
        <v>Fri</v>
      </c>
      <c r="D18" s="10">
        <f>WEEKNUM(B18)</f>
        <v>24</v>
      </c>
      <c r="E18" s="10" t="str">
        <f>TEXT(B18,"mmm-yy")</f>
        <v>Jun-26</v>
      </c>
      <c r="F18" s="11" t="s">
        <v>12</v>
      </c>
      <c r="G18" s="11">
        <v>4</v>
      </c>
      <c r="H18" s="11">
        <f>G18*1000</f>
        <v>4000</v>
      </c>
      <c r="I18" s="12"/>
    </row>
    <row r="19" spans="2:9" x14ac:dyDescent="0.3">
      <c r="B19" s="8">
        <v>46185</v>
      </c>
      <c r="C19" s="9" t="str">
        <f>TEXT(B19,"DDD")</f>
        <v>Fri</v>
      </c>
      <c r="D19" s="10">
        <f>WEEKNUM(B19)</f>
        <v>24</v>
      </c>
      <c r="E19" s="10" t="str">
        <f>TEXT(B19,"mmm-yy")</f>
        <v>Jun-26</v>
      </c>
      <c r="F19" s="11" t="s">
        <v>13</v>
      </c>
      <c r="G19" s="11">
        <v>5</v>
      </c>
      <c r="H19" s="11">
        <f>G19*1000</f>
        <v>5000</v>
      </c>
      <c r="I19" s="12"/>
    </row>
    <row r="20" spans="2:9" x14ac:dyDescent="0.3">
      <c r="B20" s="8">
        <v>46185</v>
      </c>
      <c r="C20" s="9" t="str">
        <f>TEXT(B20,"DDD")</f>
        <v>Fri</v>
      </c>
      <c r="D20" s="10">
        <f>WEEKNUM(B20)</f>
        <v>24</v>
      </c>
      <c r="E20" s="10" t="str">
        <f>TEXT(B20,"mmm-yy")</f>
        <v>Jun-26</v>
      </c>
      <c r="F20" s="11" t="s">
        <v>14</v>
      </c>
      <c r="G20" s="11">
        <v>0</v>
      </c>
      <c r="H20" s="11">
        <f>G20*1000</f>
        <v>0</v>
      </c>
      <c r="I20" s="12"/>
    </row>
    <row r="21" spans="2:9" x14ac:dyDescent="0.3">
      <c r="B21" s="8">
        <v>46185</v>
      </c>
      <c r="C21" s="9" t="str">
        <f>TEXT(B21,"DDD")</f>
        <v>Fri</v>
      </c>
      <c r="D21" s="10">
        <f>WEEKNUM(B21)</f>
        <v>24</v>
      </c>
      <c r="E21" s="10" t="str">
        <f>TEXT(B21,"mmm-yy")</f>
        <v>Jun-26</v>
      </c>
      <c r="F21" s="11" t="s">
        <v>11</v>
      </c>
      <c r="G21" s="11">
        <v>269</v>
      </c>
      <c r="H21" s="11">
        <f>G21*1000</f>
        <v>269000</v>
      </c>
      <c r="I21" s="12"/>
    </row>
    <row r="22" spans="2:9" x14ac:dyDescent="0.3">
      <c r="B22" s="8">
        <v>46186</v>
      </c>
      <c r="C22" s="9" t="str">
        <f>TEXT(B22,"DDD")</f>
        <v>Sat</v>
      </c>
      <c r="D22" s="10">
        <f>WEEKNUM(B22)</f>
        <v>24</v>
      </c>
      <c r="E22" s="10" t="str">
        <f>TEXT(B22,"mmm-yy")</f>
        <v>Jun-26</v>
      </c>
      <c r="F22" s="11" t="s">
        <v>6</v>
      </c>
      <c r="G22" s="11">
        <v>48</v>
      </c>
      <c r="H22" s="11">
        <f>G22*1000</f>
        <v>48000</v>
      </c>
      <c r="I22" s="12"/>
    </row>
    <row r="23" spans="2:9" x14ac:dyDescent="0.3">
      <c r="B23" s="8">
        <v>46186</v>
      </c>
      <c r="C23" s="9" t="str">
        <f>TEXT(B23,"DDD")</f>
        <v>Sat</v>
      </c>
      <c r="D23" s="10">
        <f>WEEKNUM(B23)</f>
        <v>24</v>
      </c>
      <c r="E23" s="10" t="str">
        <f>TEXT(B23,"mmm-yy")</f>
        <v>Jun-26</v>
      </c>
      <c r="F23" s="11" t="s">
        <v>15</v>
      </c>
      <c r="G23" s="11">
        <v>2</v>
      </c>
      <c r="H23" s="11">
        <f>G23*1000</f>
        <v>2000</v>
      </c>
      <c r="I23" s="12"/>
    </row>
    <row r="24" spans="2:9" x14ac:dyDescent="0.3">
      <c r="B24" s="8">
        <v>46186</v>
      </c>
      <c r="C24" s="9" t="str">
        <f>TEXT(B24,"DDD")</f>
        <v>Sat</v>
      </c>
      <c r="D24" s="10">
        <f>WEEKNUM(B24)</f>
        <v>24</v>
      </c>
      <c r="E24" s="10" t="str">
        <f>TEXT(B24,"mmm-yy")</f>
        <v>Jun-26</v>
      </c>
      <c r="F24" s="11" t="s">
        <v>12</v>
      </c>
      <c r="G24" s="11">
        <v>4</v>
      </c>
      <c r="H24" s="11">
        <f>G24*1000</f>
        <v>4000</v>
      </c>
      <c r="I24" s="12"/>
    </row>
    <row r="25" spans="2:9" x14ac:dyDescent="0.3">
      <c r="B25" s="8">
        <v>46186</v>
      </c>
      <c r="C25" s="9" t="str">
        <f>TEXT(B25,"DDD")</f>
        <v>Sat</v>
      </c>
      <c r="D25" s="10">
        <f>WEEKNUM(B25)</f>
        <v>24</v>
      </c>
      <c r="E25" s="10" t="str">
        <f>TEXT(B25,"mmm-yy")</f>
        <v>Jun-26</v>
      </c>
      <c r="F25" s="11" t="s">
        <v>13</v>
      </c>
      <c r="G25" s="11">
        <v>5</v>
      </c>
      <c r="H25" s="11">
        <f>G25*1000</f>
        <v>5000</v>
      </c>
      <c r="I25" s="12"/>
    </row>
    <row r="26" spans="2:9" x14ac:dyDescent="0.3">
      <c r="B26" s="8">
        <v>46186</v>
      </c>
      <c r="C26" s="9" t="str">
        <f>TEXT(B26,"DDD")</f>
        <v>Sat</v>
      </c>
      <c r="D26" s="10">
        <f>WEEKNUM(B26)</f>
        <v>24</v>
      </c>
      <c r="E26" s="10" t="str">
        <f>TEXT(B26,"mmm-yy")</f>
        <v>Jun-26</v>
      </c>
      <c r="F26" s="11" t="s">
        <v>14</v>
      </c>
      <c r="G26" s="11">
        <v>2</v>
      </c>
      <c r="H26" s="11">
        <f>G26*1000</f>
        <v>2000</v>
      </c>
      <c r="I26" s="12"/>
    </row>
    <row r="27" spans="2:9" x14ac:dyDescent="0.3">
      <c r="B27" s="8">
        <v>46186</v>
      </c>
      <c r="C27" s="9" t="str">
        <f>TEXT(B27,"DDD")</f>
        <v>Sat</v>
      </c>
      <c r="D27" s="10">
        <f>WEEKNUM(B27)</f>
        <v>24</v>
      </c>
      <c r="E27" s="10" t="str">
        <f>TEXT(B27,"mmm-yy")</f>
        <v>Jun-26</v>
      </c>
      <c r="F27" s="11" t="s">
        <v>11</v>
      </c>
      <c r="G27" s="11">
        <v>290</v>
      </c>
      <c r="H27" s="11">
        <f>G27*1000</f>
        <v>290000</v>
      </c>
      <c r="I27" s="12"/>
    </row>
    <row r="28" spans="2:9" x14ac:dyDescent="0.3">
      <c r="B28" s="8">
        <v>46187</v>
      </c>
      <c r="C28" s="9" t="str">
        <f>TEXT(B28,"DDD")</f>
        <v>Sun</v>
      </c>
      <c r="D28" s="10">
        <f>WEEKNUM(B28)</f>
        <v>25</v>
      </c>
      <c r="E28" s="10" t="str">
        <f>TEXT(B28,"mmm-yy")</f>
        <v>Jun-26</v>
      </c>
      <c r="F28" s="11" t="s">
        <v>6</v>
      </c>
      <c r="G28" s="11">
        <v>49</v>
      </c>
      <c r="H28" s="11">
        <f>G28*1000</f>
        <v>49000</v>
      </c>
      <c r="I28" s="12"/>
    </row>
    <row r="29" spans="2:9" x14ac:dyDescent="0.3">
      <c r="B29" s="8">
        <v>46187</v>
      </c>
      <c r="C29" s="9" t="str">
        <f>TEXT(B29,"DDD")</f>
        <v>Sun</v>
      </c>
      <c r="D29" s="10">
        <f>WEEKNUM(B29)</f>
        <v>25</v>
      </c>
      <c r="E29" s="10" t="str">
        <f>TEXT(B29,"mmm-yy")</f>
        <v>Jun-26</v>
      </c>
      <c r="F29" s="11" t="s">
        <v>15</v>
      </c>
      <c r="G29" s="11">
        <v>2</v>
      </c>
      <c r="H29" s="11">
        <f>G29*1000</f>
        <v>2000</v>
      </c>
      <c r="I29" s="12"/>
    </row>
    <row r="30" spans="2:9" x14ac:dyDescent="0.3">
      <c r="B30" s="8">
        <v>46187</v>
      </c>
      <c r="C30" s="9" t="str">
        <f>TEXT(B30,"DDD")</f>
        <v>Sun</v>
      </c>
      <c r="D30" s="10">
        <f>WEEKNUM(B30)</f>
        <v>25</v>
      </c>
      <c r="E30" s="10" t="str">
        <f>TEXT(B30,"mmm-yy")</f>
        <v>Jun-26</v>
      </c>
      <c r="F30" s="11" t="s">
        <v>12</v>
      </c>
      <c r="G30" s="11">
        <v>4</v>
      </c>
      <c r="H30" s="11">
        <f>G30*1000</f>
        <v>4000</v>
      </c>
      <c r="I30" s="12"/>
    </row>
    <row r="31" spans="2:9" x14ac:dyDescent="0.3">
      <c r="B31" s="8">
        <v>46187</v>
      </c>
      <c r="C31" s="9" t="str">
        <f>TEXT(B31,"DDD")</f>
        <v>Sun</v>
      </c>
      <c r="D31" s="10">
        <f>WEEKNUM(B31)</f>
        <v>25</v>
      </c>
      <c r="E31" s="10" t="str">
        <f>TEXT(B31,"mmm-yy")</f>
        <v>Jun-26</v>
      </c>
      <c r="F31" s="11" t="s">
        <v>13</v>
      </c>
      <c r="G31" s="11">
        <v>5</v>
      </c>
      <c r="H31" s="11">
        <f>G31*1000</f>
        <v>5000</v>
      </c>
      <c r="I31" s="12"/>
    </row>
    <row r="32" spans="2:9" x14ac:dyDescent="0.3">
      <c r="B32" s="8">
        <v>46187</v>
      </c>
      <c r="C32" s="9" t="str">
        <f>TEXT(B32,"DDD")</f>
        <v>Sun</v>
      </c>
      <c r="D32" s="10">
        <f>WEEKNUM(B32)</f>
        <v>25</v>
      </c>
      <c r="E32" s="10" t="str">
        <f>TEXT(B32,"mmm-yy")</f>
        <v>Jun-26</v>
      </c>
      <c r="F32" s="11" t="s">
        <v>14</v>
      </c>
      <c r="G32" s="11">
        <v>2</v>
      </c>
      <c r="H32" s="11">
        <f>G32*1000</f>
        <v>2000</v>
      </c>
      <c r="I32" s="12"/>
    </row>
    <row r="33" spans="2:9" x14ac:dyDescent="0.3">
      <c r="B33" s="8">
        <v>46187</v>
      </c>
      <c r="C33" s="9" t="str">
        <f>TEXT(B33,"DDD")</f>
        <v>Sun</v>
      </c>
      <c r="D33" s="10">
        <f>WEEKNUM(B33)</f>
        <v>25</v>
      </c>
      <c r="E33" s="10" t="str">
        <f>TEXT(B33,"mmm-yy")</f>
        <v>Jun-26</v>
      </c>
      <c r="F33" s="11" t="s">
        <v>11</v>
      </c>
      <c r="G33" s="11">
        <v>306</v>
      </c>
      <c r="H33" s="11">
        <f>G33*1000</f>
        <v>306000</v>
      </c>
      <c r="I33" s="12"/>
    </row>
    <row r="34" spans="2:9" x14ac:dyDescent="0.3">
      <c r="B34" s="8">
        <v>46188</v>
      </c>
      <c r="C34" s="9" t="str">
        <f>TEXT(B34,"DDD")</f>
        <v>Mon</v>
      </c>
      <c r="D34" s="10">
        <f>WEEKNUM(B34)</f>
        <v>25</v>
      </c>
      <c r="E34" s="10" t="str">
        <f>TEXT(B34,"mmm-yy")</f>
        <v>Jun-26</v>
      </c>
      <c r="F34" s="11" t="s">
        <v>6</v>
      </c>
      <c r="G34" s="11">
        <v>49</v>
      </c>
      <c r="H34" s="11">
        <f>G34*1000</f>
        <v>49000</v>
      </c>
      <c r="I34" s="12"/>
    </row>
    <row r="35" spans="2:9" x14ac:dyDescent="0.3">
      <c r="B35" s="8">
        <v>46188</v>
      </c>
      <c r="C35" s="9" t="str">
        <f>TEXT(B35,"DDD")</f>
        <v>Mon</v>
      </c>
      <c r="D35" s="10">
        <f>WEEKNUM(B35)</f>
        <v>25</v>
      </c>
      <c r="E35" s="10" t="str">
        <f>TEXT(B35,"mmm-yy")</f>
        <v>Jun-26</v>
      </c>
      <c r="F35" s="11" t="s">
        <v>15</v>
      </c>
      <c r="G35" s="11">
        <v>2</v>
      </c>
      <c r="H35" s="11">
        <f>G35*1000</f>
        <v>2000</v>
      </c>
      <c r="I35" s="12"/>
    </row>
    <row r="36" spans="2:9" x14ac:dyDescent="0.3">
      <c r="B36" s="8">
        <v>46188</v>
      </c>
      <c r="C36" s="9" t="str">
        <f>TEXT(B36,"DDD")</f>
        <v>Mon</v>
      </c>
      <c r="D36" s="10">
        <f>WEEKNUM(B36)</f>
        <v>25</v>
      </c>
      <c r="E36" s="10" t="str">
        <f>TEXT(B36,"mmm-yy")</f>
        <v>Jun-26</v>
      </c>
      <c r="F36" s="11" t="s">
        <v>12</v>
      </c>
      <c r="G36" s="11">
        <v>5</v>
      </c>
      <c r="H36" s="11">
        <f>G36*1000</f>
        <v>5000</v>
      </c>
      <c r="I36" s="12"/>
    </row>
    <row r="37" spans="2:9" x14ac:dyDescent="0.3">
      <c r="B37" s="8">
        <v>46188</v>
      </c>
      <c r="C37" s="9" t="str">
        <f>TEXT(B37,"DDD")</f>
        <v>Mon</v>
      </c>
      <c r="D37" s="10">
        <f>WEEKNUM(B37)</f>
        <v>25</v>
      </c>
      <c r="E37" s="10" t="str">
        <f>TEXT(B37,"mmm-yy")</f>
        <v>Jun-26</v>
      </c>
      <c r="F37" s="11" t="s">
        <v>13</v>
      </c>
      <c r="G37" s="11">
        <v>5</v>
      </c>
      <c r="H37" s="11">
        <f>G37*1000</f>
        <v>5000</v>
      </c>
      <c r="I37" s="12"/>
    </row>
    <row r="38" spans="2:9" x14ac:dyDescent="0.3">
      <c r="B38" s="8">
        <v>46188</v>
      </c>
      <c r="C38" s="9" t="str">
        <f>TEXT(B38,"DDD")</f>
        <v>Mon</v>
      </c>
      <c r="D38" s="10">
        <f>WEEKNUM(B38)</f>
        <v>25</v>
      </c>
      <c r="E38" s="10" t="str">
        <f>TEXT(B38,"mmm-yy")</f>
        <v>Jun-26</v>
      </c>
      <c r="F38" s="11" t="s">
        <v>14</v>
      </c>
      <c r="G38" s="11">
        <v>2</v>
      </c>
      <c r="H38" s="11">
        <f>G38*1000</f>
        <v>2000</v>
      </c>
      <c r="I38" s="12"/>
    </row>
    <row r="39" spans="2:9" x14ac:dyDescent="0.3">
      <c r="B39" s="8">
        <v>46188</v>
      </c>
      <c r="C39" s="9" t="str">
        <f>TEXT(B39,"DDD")</f>
        <v>Mon</v>
      </c>
      <c r="D39" s="10">
        <f>WEEKNUM(B39)</f>
        <v>25</v>
      </c>
      <c r="E39" s="10" t="str">
        <f>TEXT(B39,"mmm-yy")</f>
        <v>Jun-26</v>
      </c>
      <c r="F39" s="11" t="s">
        <v>11</v>
      </c>
      <c r="G39" s="11">
        <v>323</v>
      </c>
      <c r="H39" s="11">
        <f>G39*1000</f>
        <v>323000</v>
      </c>
      <c r="I39" s="12"/>
    </row>
    <row r="40" spans="2:9" x14ac:dyDescent="0.3">
      <c r="B40" s="8">
        <v>46189</v>
      </c>
      <c r="C40" s="9" t="str">
        <f>TEXT(B40,"DDD")</f>
        <v>Tue</v>
      </c>
      <c r="D40" s="10">
        <f>WEEKNUM(B40)</f>
        <v>25</v>
      </c>
      <c r="E40" s="10" t="str">
        <f>TEXT(B40,"mmm-yy")</f>
        <v>Jun-26</v>
      </c>
      <c r="F40" s="11" t="s">
        <v>6</v>
      </c>
      <c r="G40" s="11">
        <v>49</v>
      </c>
      <c r="H40" s="11">
        <f>G40*1000</f>
        <v>49000</v>
      </c>
      <c r="I40" s="12"/>
    </row>
    <row r="41" spans="2:9" x14ac:dyDescent="0.3">
      <c r="B41" s="8">
        <v>46189</v>
      </c>
      <c r="C41" s="9" t="str">
        <f>TEXT(B41,"DDD")</f>
        <v>Tue</v>
      </c>
      <c r="D41" s="10">
        <f>WEEKNUM(B41)</f>
        <v>25</v>
      </c>
      <c r="E41" s="10" t="str">
        <f>TEXT(B41,"mmm-yy")</f>
        <v>Jun-26</v>
      </c>
      <c r="F41" s="11" t="s">
        <v>15</v>
      </c>
      <c r="G41" s="11">
        <v>2</v>
      </c>
      <c r="H41" s="11">
        <f>G41*1000</f>
        <v>2000</v>
      </c>
      <c r="I41" s="12"/>
    </row>
    <row r="42" spans="2:9" x14ac:dyDescent="0.3">
      <c r="B42" s="8">
        <v>46189</v>
      </c>
      <c r="C42" s="9" t="str">
        <f>TEXT(B42,"DDD")</f>
        <v>Tue</v>
      </c>
      <c r="D42" s="10">
        <f>WEEKNUM(B42)</f>
        <v>25</v>
      </c>
      <c r="E42" s="10" t="str">
        <f>TEXT(B42,"mmm-yy")</f>
        <v>Jun-26</v>
      </c>
      <c r="F42" s="11" t="s">
        <v>12</v>
      </c>
      <c r="G42" s="11">
        <v>5</v>
      </c>
      <c r="H42" s="11">
        <f>G42*1000</f>
        <v>5000</v>
      </c>
      <c r="I42" s="12"/>
    </row>
    <row r="43" spans="2:9" x14ac:dyDescent="0.3">
      <c r="B43" s="8">
        <v>46189</v>
      </c>
      <c r="C43" s="9" t="str">
        <f>TEXT(B43,"DDD")</f>
        <v>Tue</v>
      </c>
      <c r="D43" s="10">
        <f>WEEKNUM(B43)</f>
        <v>25</v>
      </c>
      <c r="E43" s="10" t="str">
        <f>TEXT(B43,"mmm-yy")</f>
        <v>Jun-26</v>
      </c>
      <c r="F43" s="11" t="s">
        <v>13</v>
      </c>
      <c r="G43" s="11">
        <v>5</v>
      </c>
      <c r="H43" s="11">
        <f>G43*1000</f>
        <v>5000</v>
      </c>
      <c r="I43" s="12"/>
    </row>
    <row r="44" spans="2:9" x14ac:dyDescent="0.3">
      <c r="B44" s="8">
        <v>46189</v>
      </c>
      <c r="C44" s="9" t="str">
        <f>TEXT(B44,"DDD")</f>
        <v>Tue</v>
      </c>
      <c r="D44" s="10">
        <f>WEEKNUM(B44)</f>
        <v>25</v>
      </c>
      <c r="E44" s="10" t="str">
        <f>TEXT(B44,"mmm-yy")</f>
        <v>Jun-26</v>
      </c>
      <c r="F44" s="11" t="s">
        <v>14</v>
      </c>
      <c r="G44" s="11">
        <v>2</v>
      </c>
      <c r="H44" s="11">
        <f>G44*1000</f>
        <v>2000</v>
      </c>
      <c r="I44" s="12"/>
    </row>
    <row r="45" spans="2:9" x14ac:dyDescent="0.3">
      <c r="B45" s="8">
        <v>46189</v>
      </c>
      <c r="C45" s="9" t="str">
        <f>TEXT(B45,"DDD")</f>
        <v>Tue</v>
      </c>
      <c r="D45" s="10">
        <f>WEEKNUM(B45)</f>
        <v>25</v>
      </c>
      <c r="E45" s="10" t="str">
        <f>TEXT(B45,"mmm-yy")</f>
        <v>Jun-26</v>
      </c>
      <c r="F45" s="11" t="s">
        <v>11</v>
      </c>
      <c r="G45" s="11">
        <v>345</v>
      </c>
      <c r="H45" s="11">
        <f>G45*1000</f>
        <v>345000</v>
      </c>
      <c r="I45" s="12"/>
    </row>
    <row r="46" spans="2:9" x14ac:dyDescent="0.3">
      <c r="B46" s="8">
        <v>46190</v>
      </c>
      <c r="C46" s="9" t="str">
        <f>TEXT(B46,"DDD")</f>
        <v>Wed</v>
      </c>
      <c r="D46" s="10">
        <f>WEEKNUM(B46)</f>
        <v>25</v>
      </c>
      <c r="E46" s="10" t="str">
        <f>TEXT(B46,"mmm-yy")</f>
        <v>Jun-26</v>
      </c>
      <c r="F46" s="11" t="s">
        <v>6</v>
      </c>
      <c r="G46" s="11">
        <v>49</v>
      </c>
      <c r="H46" s="11">
        <f>G46*1000</f>
        <v>49000</v>
      </c>
      <c r="I46" s="12"/>
    </row>
    <row r="47" spans="2:9" x14ac:dyDescent="0.3">
      <c r="B47" s="8">
        <v>46190</v>
      </c>
      <c r="C47" s="9" t="str">
        <f>TEXT(B47,"DDD")</f>
        <v>Wed</v>
      </c>
      <c r="D47" s="10">
        <f>WEEKNUM(B47)</f>
        <v>25</v>
      </c>
      <c r="E47" s="10" t="str">
        <f>TEXT(B47,"mmm-yy")</f>
        <v>Jun-26</v>
      </c>
      <c r="F47" s="11" t="s">
        <v>15</v>
      </c>
      <c r="G47" s="11">
        <v>2</v>
      </c>
      <c r="H47" s="11">
        <f>G47*1000</f>
        <v>2000</v>
      </c>
      <c r="I47" s="12"/>
    </row>
    <row r="48" spans="2:9" x14ac:dyDescent="0.3">
      <c r="B48" s="8">
        <v>46190</v>
      </c>
      <c r="C48" s="9" t="str">
        <f>TEXT(B48,"DDD")</f>
        <v>Wed</v>
      </c>
      <c r="D48" s="10">
        <f>WEEKNUM(B48)</f>
        <v>25</v>
      </c>
      <c r="E48" s="10" t="str">
        <f>TEXT(B48,"mmm-yy")</f>
        <v>Jun-26</v>
      </c>
      <c r="F48" s="11" t="s">
        <v>12</v>
      </c>
      <c r="G48" s="11">
        <v>5</v>
      </c>
      <c r="H48" s="11">
        <f>G48*1000</f>
        <v>5000</v>
      </c>
      <c r="I48" s="12"/>
    </row>
    <row r="49" spans="2:9" x14ac:dyDescent="0.3">
      <c r="B49" s="8">
        <v>46190</v>
      </c>
      <c r="C49" s="9" t="str">
        <f>TEXT(B49,"DDD")</f>
        <v>Wed</v>
      </c>
      <c r="D49" s="10">
        <f>WEEKNUM(B49)</f>
        <v>25</v>
      </c>
      <c r="E49" s="10" t="str">
        <f>TEXT(B49,"mmm-yy")</f>
        <v>Jun-26</v>
      </c>
      <c r="F49" s="11" t="s">
        <v>13</v>
      </c>
      <c r="G49" s="11">
        <v>5</v>
      </c>
      <c r="H49" s="11">
        <f>G49*1000</f>
        <v>5000</v>
      </c>
      <c r="I49" s="12"/>
    </row>
    <row r="50" spans="2:9" x14ac:dyDescent="0.3">
      <c r="B50" s="8">
        <v>46190</v>
      </c>
      <c r="C50" s="9" t="str">
        <f>TEXT(B50,"DDD")</f>
        <v>Wed</v>
      </c>
      <c r="D50" s="10">
        <f>WEEKNUM(B50)</f>
        <v>25</v>
      </c>
      <c r="E50" s="10" t="str">
        <f>TEXT(B50,"mmm-yy")</f>
        <v>Jun-26</v>
      </c>
      <c r="F50" s="11" t="s">
        <v>14</v>
      </c>
      <c r="G50" s="11">
        <v>2</v>
      </c>
      <c r="H50" s="11">
        <f>G50*1000</f>
        <v>2000</v>
      </c>
      <c r="I50" s="12"/>
    </row>
    <row r="51" spans="2:9" x14ac:dyDescent="0.3">
      <c r="B51" s="8">
        <v>46190</v>
      </c>
      <c r="C51" s="9" t="str">
        <f>TEXT(B51,"DDD")</f>
        <v>Wed</v>
      </c>
      <c r="D51" s="10">
        <f>WEEKNUM(B51)</f>
        <v>25</v>
      </c>
      <c r="E51" s="10" t="str">
        <f>TEXT(B51,"mmm-yy")</f>
        <v>Jun-26</v>
      </c>
      <c r="F51" s="11" t="s">
        <v>11</v>
      </c>
      <c r="G51" s="11">
        <v>366</v>
      </c>
      <c r="H51" s="11">
        <f>G51*1000</f>
        <v>366000</v>
      </c>
      <c r="I51" s="12"/>
    </row>
    <row r="52" spans="2:9" x14ac:dyDescent="0.3">
      <c r="B52" s="8">
        <v>46191</v>
      </c>
      <c r="C52" s="9" t="str">
        <f>TEXT(B52,"DDD")</f>
        <v>Thu</v>
      </c>
      <c r="D52" s="10">
        <f>WEEKNUM(B52)</f>
        <v>25</v>
      </c>
      <c r="E52" s="10" t="str">
        <f>TEXT(B52,"mmm-yy")</f>
        <v>Jun-26</v>
      </c>
      <c r="F52" s="11" t="s">
        <v>6</v>
      </c>
      <c r="G52" s="11">
        <v>49</v>
      </c>
      <c r="H52" s="11">
        <f>G52*1000</f>
        <v>49000</v>
      </c>
      <c r="I52" s="12"/>
    </row>
    <row r="53" spans="2:9" x14ac:dyDescent="0.3">
      <c r="B53" s="8">
        <v>46191</v>
      </c>
      <c r="C53" s="9" t="str">
        <f>TEXT(B53,"DDD")</f>
        <v>Thu</v>
      </c>
      <c r="D53" s="10">
        <f>WEEKNUM(B53)</f>
        <v>25</v>
      </c>
      <c r="E53" s="10" t="str">
        <f>TEXT(B53,"mmm-yy")</f>
        <v>Jun-26</v>
      </c>
      <c r="F53" s="11" t="s">
        <v>15</v>
      </c>
      <c r="G53" s="11">
        <v>2</v>
      </c>
      <c r="H53" s="11">
        <f>G53*1000</f>
        <v>2000</v>
      </c>
      <c r="I53" s="12"/>
    </row>
    <row r="54" spans="2:9" x14ac:dyDescent="0.3">
      <c r="B54" s="8">
        <v>46191</v>
      </c>
      <c r="C54" s="9" t="str">
        <f>TEXT(B54,"DDD")</f>
        <v>Thu</v>
      </c>
      <c r="D54" s="10">
        <f>WEEKNUM(B54)</f>
        <v>25</v>
      </c>
      <c r="E54" s="10" t="str">
        <f>TEXT(B54,"mmm-yy")</f>
        <v>Jun-26</v>
      </c>
      <c r="F54" s="11" t="s">
        <v>12</v>
      </c>
      <c r="G54" s="11">
        <v>5</v>
      </c>
      <c r="H54" s="11">
        <f>G54*1000</f>
        <v>5000</v>
      </c>
      <c r="I54" s="12"/>
    </row>
    <row r="55" spans="2:9" x14ac:dyDescent="0.3">
      <c r="B55" s="8">
        <v>46191</v>
      </c>
      <c r="C55" s="9" t="str">
        <f>TEXT(B55,"DDD")</f>
        <v>Thu</v>
      </c>
      <c r="D55" s="10">
        <f>WEEKNUM(B55)</f>
        <v>25</v>
      </c>
      <c r="E55" s="10" t="str">
        <f>TEXT(B55,"mmm-yy")</f>
        <v>Jun-26</v>
      </c>
      <c r="F55" s="11" t="s">
        <v>13</v>
      </c>
      <c r="G55" s="11">
        <v>5</v>
      </c>
      <c r="H55" s="11">
        <f>G55*1000</f>
        <v>5000</v>
      </c>
      <c r="I55" s="12"/>
    </row>
    <row r="56" spans="2:9" x14ac:dyDescent="0.3">
      <c r="B56" s="8">
        <v>46191</v>
      </c>
      <c r="C56" s="9" t="str">
        <f>TEXT(B56,"DDD")</f>
        <v>Thu</v>
      </c>
      <c r="D56" s="10">
        <f>WEEKNUM(B56)</f>
        <v>25</v>
      </c>
      <c r="E56" s="10" t="str">
        <f>TEXT(B56,"mmm-yy")</f>
        <v>Jun-26</v>
      </c>
      <c r="F56" s="11" t="s">
        <v>14</v>
      </c>
      <c r="G56" s="11">
        <v>2</v>
      </c>
      <c r="H56" s="11">
        <f>G56*1000</f>
        <v>2000</v>
      </c>
      <c r="I56" s="12"/>
    </row>
    <row r="57" spans="2:9" x14ac:dyDescent="0.3">
      <c r="B57" s="8">
        <v>46191</v>
      </c>
      <c r="C57" s="9" t="str">
        <f>TEXT(B57,"DDD")</f>
        <v>Thu</v>
      </c>
      <c r="D57" s="10">
        <f>WEEKNUM(B57)</f>
        <v>25</v>
      </c>
      <c r="E57" s="10" t="str">
        <f>TEXT(B57,"mmm-yy")</f>
        <v>Jun-26</v>
      </c>
      <c r="F57" s="11" t="s">
        <v>11</v>
      </c>
      <c r="G57" s="11">
        <v>384</v>
      </c>
      <c r="H57" s="11">
        <f>G57*1000</f>
        <v>384000</v>
      </c>
      <c r="I57" s="12"/>
    </row>
    <row r="58" spans="2:9" x14ac:dyDescent="0.3">
      <c r="B58" s="8">
        <v>46192</v>
      </c>
      <c r="C58" s="9" t="str">
        <f>TEXT(B58,"DDD")</f>
        <v>Fri</v>
      </c>
      <c r="D58" s="10">
        <f>WEEKNUM(B58)</f>
        <v>25</v>
      </c>
      <c r="E58" s="10" t="str">
        <f>TEXT(B58,"mmm-yy")</f>
        <v>Jun-26</v>
      </c>
      <c r="F58" s="11" t="s">
        <v>6</v>
      </c>
      <c r="G58" s="11">
        <v>50</v>
      </c>
      <c r="H58" s="11">
        <f>G58*1000</f>
        <v>50000</v>
      </c>
      <c r="I58" s="12"/>
    </row>
    <row r="59" spans="2:9" x14ac:dyDescent="0.3">
      <c r="B59" s="8">
        <v>46192</v>
      </c>
      <c r="C59" s="9" t="str">
        <f>TEXT(B59,"DDD")</f>
        <v>Fri</v>
      </c>
      <c r="D59" s="10">
        <f>WEEKNUM(B59)</f>
        <v>25</v>
      </c>
      <c r="E59" s="10" t="str">
        <f>TEXT(B59,"mmm-yy")</f>
        <v>Jun-26</v>
      </c>
      <c r="F59" s="11" t="s">
        <v>15</v>
      </c>
      <c r="G59" s="11">
        <v>2</v>
      </c>
      <c r="H59" s="11">
        <f>G59*1000</f>
        <v>2000</v>
      </c>
      <c r="I59" s="12"/>
    </row>
    <row r="60" spans="2:9" x14ac:dyDescent="0.3">
      <c r="B60" s="8">
        <v>46192</v>
      </c>
      <c r="C60" s="9" t="str">
        <f>TEXT(B60,"DDD")</f>
        <v>Fri</v>
      </c>
      <c r="D60" s="10">
        <f>WEEKNUM(B60)</f>
        <v>25</v>
      </c>
      <c r="E60" s="10" t="str">
        <f>TEXT(B60,"mmm-yy")</f>
        <v>Jun-26</v>
      </c>
      <c r="F60" s="11" t="s">
        <v>12</v>
      </c>
      <c r="G60" s="11">
        <v>5</v>
      </c>
      <c r="H60" s="11">
        <f>G60*1000</f>
        <v>5000</v>
      </c>
      <c r="I60" s="12"/>
    </row>
    <row r="61" spans="2:9" x14ac:dyDescent="0.3">
      <c r="B61" s="8">
        <v>46192</v>
      </c>
      <c r="C61" s="9" t="str">
        <f>TEXT(B61,"DDD")</f>
        <v>Fri</v>
      </c>
      <c r="D61" s="10">
        <f>WEEKNUM(B61)</f>
        <v>25</v>
      </c>
      <c r="E61" s="10" t="str">
        <f>TEXT(B61,"mmm-yy")</f>
        <v>Jun-26</v>
      </c>
      <c r="F61" s="11" t="s">
        <v>13</v>
      </c>
      <c r="G61" s="11">
        <v>5</v>
      </c>
      <c r="H61" s="11">
        <f>G61*1000</f>
        <v>5000</v>
      </c>
      <c r="I61" s="12"/>
    </row>
    <row r="62" spans="2:9" x14ac:dyDescent="0.3">
      <c r="B62" s="8">
        <v>46192</v>
      </c>
      <c r="C62" s="9" t="str">
        <f>TEXT(B62,"DDD")</f>
        <v>Fri</v>
      </c>
      <c r="D62" s="10">
        <f>WEEKNUM(B62)</f>
        <v>25</v>
      </c>
      <c r="E62" s="10" t="str">
        <f>TEXT(B62,"mmm-yy")</f>
        <v>Jun-26</v>
      </c>
      <c r="F62" s="11" t="s">
        <v>14</v>
      </c>
      <c r="G62" s="11">
        <v>2</v>
      </c>
      <c r="H62" s="11">
        <f>G62*1000</f>
        <v>2000</v>
      </c>
      <c r="I62" s="12"/>
    </row>
    <row r="63" spans="2:9" x14ac:dyDescent="0.3">
      <c r="B63" s="8">
        <v>46192</v>
      </c>
      <c r="C63" s="9" t="str">
        <f>TEXT(B63,"DDD")</f>
        <v>Fri</v>
      </c>
      <c r="D63" s="10">
        <f>WEEKNUM(B63)</f>
        <v>25</v>
      </c>
      <c r="E63" s="10" t="str">
        <f>TEXT(B63,"mmm-yy")</f>
        <v>Jun-26</v>
      </c>
      <c r="F63" s="11" t="s">
        <v>11</v>
      </c>
      <c r="G63" s="11">
        <v>389</v>
      </c>
      <c r="H63" s="11">
        <f>G63*1000</f>
        <v>389000</v>
      </c>
      <c r="I63" s="12"/>
    </row>
    <row r="64" spans="2:9" x14ac:dyDescent="0.3">
      <c r="B64" s="8">
        <v>46193</v>
      </c>
      <c r="C64" s="9" t="str">
        <f>TEXT(B64,"DDD")</f>
        <v>Sat</v>
      </c>
      <c r="D64" s="10">
        <f>WEEKNUM(B64)</f>
        <v>25</v>
      </c>
      <c r="E64" s="10" t="str">
        <f>TEXT(B64,"mmm-yy")</f>
        <v>Jun-26</v>
      </c>
      <c r="F64" s="11" t="s">
        <v>6</v>
      </c>
      <c r="G64" s="11">
        <v>50</v>
      </c>
      <c r="H64" s="11">
        <f>G64*1000</f>
        <v>50000</v>
      </c>
      <c r="I64" s="12"/>
    </row>
    <row r="65" spans="2:9" x14ac:dyDescent="0.3">
      <c r="B65" s="8">
        <v>46193</v>
      </c>
      <c r="C65" s="9" t="str">
        <f>TEXT(B65,"DDD")</f>
        <v>Sat</v>
      </c>
      <c r="D65" s="10">
        <f>WEEKNUM(B65)</f>
        <v>25</v>
      </c>
      <c r="E65" s="10" t="str">
        <f>TEXT(B65,"mmm-yy")</f>
        <v>Jun-26</v>
      </c>
      <c r="F65" s="11" t="s">
        <v>15</v>
      </c>
      <c r="G65" s="11">
        <v>2</v>
      </c>
      <c r="H65" s="11">
        <f>G65*1000</f>
        <v>2000</v>
      </c>
      <c r="I65" s="12"/>
    </row>
    <row r="66" spans="2:9" x14ac:dyDescent="0.3">
      <c r="B66" s="8">
        <v>46193</v>
      </c>
      <c r="C66" s="9" t="str">
        <f>TEXT(B66,"DDD")</f>
        <v>Sat</v>
      </c>
      <c r="D66" s="10">
        <f>WEEKNUM(B66)</f>
        <v>25</v>
      </c>
      <c r="E66" s="10" t="str">
        <f>TEXT(B66,"mmm-yy")</f>
        <v>Jun-26</v>
      </c>
      <c r="F66" s="11" t="s">
        <v>12</v>
      </c>
      <c r="G66" s="11">
        <v>6</v>
      </c>
      <c r="H66" s="11">
        <f>G66*1000</f>
        <v>6000</v>
      </c>
      <c r="I66" s="12"/>
    </row>
    <row r="67" spans="2:9" x14ac:dyDescent="0.3">
      <c r="B67" s="8">
        <v>46193</v>
      </c>
      <c r="C67" s="9" t="str">
        <f>TEXT(B67,"DDD")</f>
        <v>Sat</v>
      </c>
      <c r="D67" s="10">
        <f>WEEKNUM(B67)</f>
        <v>25</v>
      </c>
      <c r="E67" s="10" t="str">
        <f>TEXT(B67,"mmm-yy")</f>
        <v>Jun-26</v>
      </c>
      <c r="F67" s="11" t="s">
        <v>13</v>
      </c>
      <c r="G67" s="11">
        <v>5</v>
      </c>
      <c r="H67" s="11">
        <f>G67*1000</f>
        <v>5000</v>
      </c>
      <c r="I67" s="12"/>
    </row>
    <row r="68" spans="2:9" x14ac:dyDescent="0.3">
      <c r="B68" s="8">
        <v>46193</v>
      </c>
      <c r="C68" s="9" t="str">
        <f>TEXT(B68,"DDD")</f>
        <v>Sat</v>
      </c>
      <c r="D68" s="10">
        <f>WEEKNUM(B68)</f>
        <v>25</v>
      </c>
      <c r="E68" s="10" t="str">
        <f>TEXT(B68,"mmm-yy")</f>
        <v>Jun-26</v>
      </c>
      <c r="F68" s="11" t="s">
        <v>14</v>
      </c>
      <c r="G68" s="11">
        <v>2</v>
      </c>
      <c r="H68" s="11">
        <f>G68*1000</f>
        <v>2000</v>
      </c>
      <c r="I68" s="12"/>
    </row>
    <row r="69" spans="2:9" x14ac:dyDescent="0.3">
      <c r="B69" s="8">
        <v>46193</v>
      </c>
      <c r="C69" s="9" t="str">
        <f>TEXT(B69,"DDD")</f>
        <v>Sat</v>
      </c>
      <c r="D69" s="10">
        <f>WEEKNUM(B69)</f>
        <v>25</v>
      </c>
      <c r="E69" s="10" t="str">
        <f>TEXT(B69,"mmm-yy")</f>
        <v>Jun-26</v>
      </c>
      <c r="F69" s="11" t="s">
        <v>11</v>
      </c>
      <c r="G69" s="11">
        <v>400</v>
      </c>
      <c r="H69" s="11">
        <f>G69*1000</f>
        <v>400000</v>
      </c>
      <c r="I69" s="12"/>
    </row>
    <row r="70" spans="2:9" x14ac:dyDescent="0.3">
      <c r="B70" s="8">
        <v>46194</v>
      </c>
      <c r="C70" s="9" t="str">
        <f>TEXT(B70,"DDD")</f>
        <v>Sun</v>
      </c>
      <c r="D70" s="10">
        <f>WEEKNUM(B70)</f>
        <v>26</v>
      </c>
      <c r="E70" s="10" t="str">
        <f>TEXT(B70,"mmm-yy")</f>
        <v>Jun-26</v>
      </c>
      <c r="F70" s="11" t="s">
        <v>6</v>
      </c>
      <c r="G70" s="11">
        <v>50</v>
      </c>
      <c r="H70" s="11">
        <f>G70*1000</f>
        <v>50000</v>
      </c>
      <c r="I70" s="12"/>
    </row>
    <row r="71" spans="2:9" x14ac:dyDescent="0.3">
      <c r="B71" s="8">
        <v>46194</v>
      </c>
      <c r="C71" s="9" t="str">
        <f>TEXT(B71,"DDD")</f>
        <v>Sun</v>
      </c>
      <c r="D71" s="10">
        <f>WEEKNUM(B71)</f>
        <v>26</v>
      </c>
      <c r="E71" s="10" t="str">
        <f>TEXT(B71,"mmm-yy")</f>
        <v>Jun-26</v>
      </c>
      <c r="F71" s="11" t="s">
        <v>15</v>
      </c>
      <c r="G71" s="11">
        <v>2</v>
      </c>
      <c r="H71" s="11">
        <f>G71*1000</f>
        <v>2000</v>
      </c>
      <c r="I71" s="12"/>
    </row>
    <row r="72" spans="2:9" x14ac:dyDescent="0.3">
      <c r="B72" s="8">
        <v>46194</v>
      </c>
      <c r="C72" s="9" t="str">
        <f>TEXT(B72,"DDD")</f>
        <v>Sun</v>
      </c>
      <c r="D72" s="10">
        <f>WEEKNUM(B72)</f>
        <v>26</v>
      </c>
      <c r="E72" s="10" t="str">
        <f>TEXT(B72,"mmm-yy")</f>
        <v>Jun-26</v>
      </c>
      <c r="F72" s="11" t="s">
        <v>12</v>
      </c>
      <c r="G72" s="11">
        <v>7</v>
      </c>
      <c r="H72" s="11">
        <f>G72*1000</f>
        <v>7000</v>
      </c>
      <c r="I72" s="12"/>
    </row>
    <row r="73" spans="2:9" x14ac:dyDescent="0.3">
      <c r="B73" s="8">
        <v>46194</v>
      </c>
      <c r="C73" s="9" t="str">
        <f>TEXT(B73,"DDD")</f>
        <v>Sun</v>
      </c>
      <c r="D73" s="10">
        <f>WEEKNUM(B73)</f>
        <v>26</v>
      </c>
      <c r="E73" s="10" t="str">
        <f>TEXT(B73,"mmm-yy")</f>
        <v>Jun-26</v>
      </c>
      <c r="F73" s="11" t="s">
        <v>13</v>
      </c>
      <c r="G73" s="11">
        <v>5</v>
      </c>
      <c r="H73" s="11">
        <f>G73*1000</f>
        <v>5000</v>
      </c>
      <c r="I73" s="12"/>
    </row>
    <row r="74" spans="2:9" x14ac:dyDescent="0.3">
      <c r="B74" s="8">
        <v>46194</v>
      </c>
      <c r="C74" s="9" t="str">
        <f>TEXT(B74,"DDD")</f>
        <v>Sun</v>
      </c>
      <c r="D74" s="10">
        <f>WEEKNUM(B74)</f>
        <v>26</v>
      </c>
      <c r="E74" s="10" t="str">
        <f>TEXT(B74,"mmm-yy")</f>
        <v>Jun-26</v>
      </c>
      <c r="F74" s="11" t="s">
        <v>14</v>
      </c>
      <c r="G74" s="11">
        <v>2</v>
      </c>
      <c r="H74" s="11">
        <f>G74*1000</f>
        <v>2000</v>
      </c>
      <c r="I74" s="12"/>
    </row>
    <row r="75" spans="2:9" x14ac:dyDescent="0.3">
      <c r="B75" s="8">
        <v>46194</v>
      </c>
      <c r="C75" s="9" t="str">
        <f>TEXT(B75,"DDD")</f>
        <v>Sun</v>
      </c>
      <c r="D75" s="10">
        <f>WEEKNUM(B75)</f>
        <v>26</v>
      </c>
      <c r="E75" s="10" t="str">
        <f>TEXT(B75,"mmm-yy")</f>
        <v>Jun-26</v>
      </c>
      <c r="F75" s="11" t="s">
        <v>11</v>
      </c>
      <c r="G75" s="11">
        <v>420</v>
      </c>
      <c r="H75" s="11">
        <f>G75*1000</f>
        <v>420000</v>
      </c>
      <c r="I75" s="12"/>
    </row>
    <row r="76" spans="2:9" x14ac:dyDescent="0.3">
      <c r="B76" s="8">
        <v>46195</v>
      </c>
      <c r="C76" s="9" t="str">
        <f>TEXT(B76,"DDD")</f>
        <v>Mon</v>
      </c>
      <c r="D76" s="10">
        <f>WEEKNUM(B76)</f>
        <v>26</v>
      </c>
      <c r="E76" s="10" t="str">
        <f>TEXT(B76,"mmm-yy")</f>
        <v>Jun-26</v>
      </c>
      <c r="F76" s="11" t="s">
        <v>6</v>
      </c>
      <c r="G76" s="11">
        <v>51</v>
      </c>
      <c r="H76" s="11">
        <f>G76*1000</f>
        <v>51000</v>
      </c>
      <c r="I76" s="12"/>
    </row>
    <row r="77" spans="2:9" x14ac:dyDescent="0.3">
      <c r="B77" s="8">
        <v>46195</v>
      </c>
      <c r="C77" s="9" t="str">
        <f>TEXT(B77,"DDD")</f>
        <v>Mon</v>
      </c>
      <c r="D77" s="10">
        <f>WEEKNUM(B77)</f>
        <v>26</v>
      </c>
      <c r="E77" s="10" t="str">
        <f>TEXT(B77,"mmm-yy")</f>
        <v>Jun-26</v>
      </c>
      <c r="F77" s="11" t="s">
        <v>15</v>
      </c>
      <c r="G77" s="11">
        <v>2</v>
      </c>
      <c r="H77" s="11">
        <f>G77*1000</f>
        <v>2000</v>
      </c>
      <c r="I77" s="12"/>
    </row>
    <row r="78" spans="2:9" x14ac:dyDescent="0.3">
      <c r="B78" s="8">
        <v>46195</v>
      </c>
      <c r="C78" s="9" t="str">
        <f>TEXT(B78,"DDD")</f>
        <v>Mon</v>
      </c>
      <c r="D78" s="10">
        <f>WEEKNUM(B78)</f>
        <v>26</v>
      </c>
      <c r="E78" s="10" t="str">
        <f>TEXT(B78,"mmm-yy")</f>
        <v>Jun-26</v>
      </c>
      <c r="F78" s="11" t="s">
        <v>12</v>
      </c>
      <c r="G78" s="11">
        <v>7</v>
      </c>
      <c r="H78" s="11">
        <f>G78*1000</f>
        <v>7000</v>
      </c>
      <c r="I78" s="12"/>
    </row>
    <row r="79" spans="2:9" x14ac:dyDescent="0.3">
      <c r="B79" s="8">
        <v>46195</v>
      </c>
      <c r="C79" s="9" t="str">
        <f>TEXT(B79,"DDD")</f>
        <v>Mon</v>
      </c>
      <c r="D79" s="10">
        <f>WEEKNUM(B79)</f>
        <v>26</v>
      </c>
      <c r="E79" s="10" t="str">
        <f>TEXT(B79,"mmm-yy")</f>
        <v>Jun-26</v>
      </c>
      <c r="F79" s="11" t="s">
        <v>13</v>
      </c>
      <c r="G79" s="11">
        <v>5</v>
      </c>
      <c r="H79" s="11">
        <f>G79*1000</f>
        <v>5000</v>
      </c>
      <c r="I79" s="12"/>
    </row>
    <row r="80" spans="2:9" x14ac:dyDescent="0.3">
      <c r="B80" s="8">
        <v>46195</v>
      </c>
      <c r="C80" s="9" t="str">
        <f>TEXT(B80,"DDD")</f>
        <v>Mon</v>
      </c>
      <c r="D80" s="10">
        <f>WEEKNUM(B80)</f>
        <v>26</v>
      </c>
      <c r="E80" s="10" t="str">
        <f>TEXT(B80,"mmm-yy")</f>
        <v>Jun-26</v>
      </c>
      <c r="F80" s="11" t="s">
        <v>14</v>
      </c>
      <c r="G80" s="11">
        <v>2</v>
      </c>
      <c r="H80" s="11">
        <f>G80*1000</f>
        <v>2000</v>
      </c>
      <c r="I80" s="12"/>
    </row>
    <row r="81" spans="2:9" x14ac:dyDescent="0.3">
      <c r="B81" s="8">
        <v>46195</v>
      </c>
      <c r="C81" s="9" t="str">
        <f>TEXT(B81,"DDD")</f>
        <v>Mon</v>
      </c>
      <c r="D81" s="10">
        <f>WEEKNUM(B81)</f>
        <v>26</v>
      </c>
      <c r="E81" s="10" t="str">
        <f>TEXT(B81,"mmm-yy")</f>
        <v>Jun-26</v>
      </c>
      <c r="F81" s="11" t="s">
        <v>11</v>
      </c>
      <c r="G81" s="11">
        <v>439</v>
      </c>
      <c r="H81" s="11">
        <f>G81*1000</f>
        <v>439000</v>
      </c>
      <c r="I81" s="12"/>
    </row>
    <row r="82" spans="2:9" x14ac:dyDescent="0.3">
      <c r="B82" s="8">
        <v>46196</v>
      </c>
      <c r="C82" s="9" t="str">
        <f>TEXT(B82,"DDD")</f>
        <v>Tue</v>
      </c>
      <c r="D82" s="10">
        <f>WEEKNUM(B82)</f>
        <v>26</v>
      </c>
      <c r="E82" s="10" t="str">
        <f>TEXT(B82,"mmm-yy")</f>
        <v>Jun-26</v>
      </c>
      <c r="F82" s="11" t="s">
        <v>6</v>
      </c>
      <c r="G82" s="11">
        <v>51</v>
      </c>
      <c r="H82" s="11">
        <f>G82*1000</f>
        <v>51000</v>
      </c>
      <c r="I82" s="12"/>
    </row>
    <row r="83" spans="2:9" x14ac:dyDescent="0.3">
      <c r="B83" s="8">
        <v>46196</v>
      </c>
      <c r="C83" s="9" t="str">
        <f>TEXT(B83,"DDD")</f>
        <v>Tue</v>
      </c>
      <c r="D83" s="10">
        <f>WEEKNUM(B83)</f>
        <v>26</v>
      </c>
      <c r="E83" s="10" t="str">
        <f>TEXT(B83,"mmm-yy")</f>
        <v>Jun-26</v>
      </c>
      <c r="F83" s="11" t="s">
        <v>15</v>
      </c>
      <c r="G83" s="11">
        <v>2</v>
      </c>
      <c r="H83" s="11">
        <f>G83*1000</f>
        <v>2000</v>
      </c>
      <c r="I83" s="12"/>
    </row>
    <row r="84" spans="2:9" x14ac:dyDescent="0.3">
      <c r="B84" s="8">
        <v>46196</v>
      </c>
      <c r="C84" s="9" t="str">
        <f>TEXT(B84,"DDD")</f>
        <v>Tue</v>
      </c>
      <c r="D84" s="10">
        <f>WEEKNUM(B84)</f>
        <v>26</v>
      </c>
      <c r="E84" s="10" t="str">
        <f>TEXT(B84,"mmm-yy")</f>
        <v>Jun-26</v>
      </c>
      <c r="F84" s="11" t="s">
        <v>12</v>
      </c>
      <c r="G84" s="11">
        <v>7</v>
      </c>
      <c r="H84" s="11">
        <f>G84*1000</f>
        <v>7000</v>
      </c>
      <c r="I84" s="12"/>
    </row>
    <row r="85" spans="2:9" x14ac:dyDescent="0.3">
      <c r="B85" s="8">
        <v>46196</v>
      </c>
      <c r="C85" s="9" t="str">
        <f>TEXT(B85,"DDD")</f>
        <v>Tue</v>
      </c>
      <c r="D85" s="10">
        <f>WEEKNUM(B85)</f>
        <v>26</v>
      </c>
      <c r="E85" s="10" t="str">
        <f>TEXT(B85,"mmm-yy")</f>
        <v>Jun-26</v>
      </c>
      <c r="F85" s="11" t="s">
        <v>13</v>
      </c>
      <c r="G85" s="11">
        <v>5</v>
      </c>
      <c r="H85" s="11">
        <f>G85*1000</f>
        <v>5000</v>
      </c>
      <c r="I85" s="12"/>
    </row>
    <row r="86" spans="2:9" x14ac:dyDescent="0.3">
      <c r="B86" s="8">
        <v>46196</v>
      </c>
      <c r="C86" s="9" t="str">
        <f>TEXT(B86,"DDD")</f>
        <v>Tue</v>
      </c>
      <c r="D86" s="10">
        <f>WEEKNUM(B86)</f>
        <v>26</v>
      </c>
      <c r="E86" s="10" t="str">
        <f>TEXT(B86,"mmm-yy")</f>
        <v>Jun-26</v>
      </c>
      <c r="F86" s="11" t="s">
        <v>14</v>
      </c>
      <c r="G86" s="11">
        <v>2</v>
      </c>
      <c r="H86" s="11">
        <f>G86*1000</f>
        <v>2000</v>
      </c>
      <c r="I86" s="12"/>
    </row>
    <row r="87" spans="2:9" x14ac:dyDescent="0.3">
      <c r="B87" s="8">
        <v>46196</v>
      </c>
      <c r="C87" s="9" t="str">
        <f>TEXT(B87,"DDD")</f>
        <v>Tue</v>
      </c>
      <c r="D87" s="10">
        <f>WEEKNUM(B87)</f>
        <v>26</v>
      </c>
      <c r="E87" s="10" t="str">
        <f>TEXT(B87,"mmm-yy")</f>
        <v>Jun-26</v>
      </c>
      <c r="F87" s="11" t="s">
        <v>11</v>
      </c>
      <c r="G87" s="11">
        <v>460</v>
      </c>
      <c r="H87" s="11">
        <f>G87*1000</f>
        <v>460000</v>
      </c>
      <c r="I87" s="12"/>
    </row>
    <row r="88" spans="2:9" x14ac:dyDescent="0.3">
      <c r="B88" s="8">
        <v>46197</v>
      </c>
      <c r="C88" s="9" t="str">
        <f>TEXT(B88,"DDD")</f>
        <v>Wed</v>
      </c>
      <c r="D88" s="10">
        <f>WEEKNUM(B88)</f>
        <v>26</v>
      </c>
      <c r="E88" s="10" t="str">
        <f>TEXT(B88,"mmm-yy")</f>
        <v>Jun-26</v>
      </c>
      <c r="F88" s="11" t="s">
        <v>6</v>
      </c>
      <c r="G88" s="11">
        <v>51</v>
      </c>
      <c r="H88" s="11">
        <f>G88*1000</f>
        <v>51000</v>
      </c>
      <c r="I88" s="12"/>
    </row>
    <row r="89" spans="2:9" x14ac:dyDescent="0.3">
      <c r="B89" s="8">
        <v>46197</v>
      </c>
      <c r="C89" s="9" t="str">
        <f>TEXT(B89,"DDD")</f>
        <v>Wed</v>
      </c>
      <c r="D89" s="10">
        <f>WEEKNUM(B89)</f>
        <v>26</v>
      </c>
      <c r="E89" s="10" t="str">
        <f>TEXT(B89,"mmm-yy")</f>
        <v>Jun-26</v>
      </c>
      <c r="F89" s="11" t="s">
        <v>15</v>
      </c>
      <c r="G89" s="11">
        <v>2</v>
      </c>
      <c r="H89" s="11">
        <f>G89*1000</f>
        <v>2000</v>
      </c>
      <c r="I89" s="12"/>
    </row>
    <row r="90" spans="2:9" x14ac:dyDescent="0.3">
      <c r="B90" s="8">
        <v>46197</v>
      </c>
      <c r="C90" s="9" t="str">
        <f>TEXT(B90,"DDD")</f>
        <v>Wed</v>
      </c>
      <c r="D90" s="10">
        <f>WEEKNUM(B90)</f>
        <v>26</v>
      </c>
      <c r="E90" s="10" t="str">
        <f>TEXT(B90,"mmm-yy")</f>
        <v>Jun-26</v>
      </c>
      <c r="F90" s="11" t="s">
        <v>12</v>
      </c>
      <c r="G90" s="11">
        <v>7</v>
      </c>
      <c r="H90" s="11">
        <f>G90*1000</f>
        <v>7000</v>
      </c>
      <c r="I90" s="12"/>
    </row>
    <row r="91" spans="2:9" x14ac:dyDescent="0.3">
      <c r="B91" s="8">
        <v>46197</v>
      </c>
      <c r="C91" s="9" t="str">
        <f>TEXT(B91,"DDD")</f>
        <v>Wed</v>
      </c>
      <c r="D91" s="10">
        <f>WEEKNUM(B91)</f>
        <v>26</v>
      </c>
      <c r="E91" s="10" t="str">
        <f>TEXT(B91,"mmm-yy")</f>
        <v>Jun-26</v>
      </c>
      <c r="F91" s="11" t="s">
        <v>13</v>
      </c>
      <c r="G91" s="11">
        <v>5</v>
      </c>
      <c r="H91" s="11">
        <f>G91*1000</f>
        <v>5000</v>
      </c>
      <c r="I91" s="12"/>
    </row>
    <row r="92" spans="2:9" x14ac:dyDescent="0.3">
      <c r="B92" s="8">
        <v>46197</v>
      </c>
      <c r="C92" s="9" t="str">
        <f>TEXT(B92,"DDD")</f>
        <v>Wed</v>
      </c>
      <c r="D92" s="10">
        <f>WEEKNUM(B92)</f>
        <v>26</v>
      </c>
      <c r="E92" s="10" t="str">
        <f>TEXT(B92,"mmm-yy")</f>
        <v>Jun-26</v>
      </c>
      <c r="F92" s="11" t="s">
        <v>14</v>
      </c>
      <c r="G92" s="11">
        <v>2</v>
      </c>
      <c r="H92" s="11">
        <f>G92*1000</f>
        <v>2000</v>
      </c>
      <c r="I92" s="12"/>
    </row>
    <row r="93" spans="2:9" x14ac:dyDescent="0.3">
      <c r="B93" s="8">
        <v>46197</v>
      </c>
      <c r="C93" s="9" t="str">
        <f>TEXT(B93,"DDD")</f>
        <v>Wed</v>
      </c>
      <c r="D93" s="10">
        <f>WEEKNUM(B93)</f>
        <v>26</v>
      </c>
      <c r="E93" s="10" t="str">
        <f>TEXT(B93,"mmm-yy")</f>
        <v>Jun-26</v>
      </c>
      <c r="F93" s="11" t="s">
        <v>11</v>
      </c>
      <c r="G93" s="11">
        <v>483</v>
      </c>
      <c r="H93" s="11">
        <f>G93*1000</f>
        <v>483000</v>
      </c>
      <c r="I93" s="12"/>
    </row>
    <row r="94" spans="2:9" x14ac:dyDescent="0.3">
      <c r="B94" s="8">
        <v>46198</v>
      </c>
      <c r="C94" s="9" t="str">
        <f>TEXT(B94,"DDD")</f>
        <v>Thu</v>
      </c>
      <c r="D94" s="10">
        <f>WEEKNUM(B94)</f>
        <v>26</v>
      </c>
      <c r="E94" s="10" t="str">
        <f>TEXT(B94,"mmm-yy")</f>
        <v>Jun-26</v>
      </c>
      <c r="F94" s="11" t="s">
        <v>6</v>
      </c>
      <c r="G94" s="11">
        <v>51</v>
      </c>
      <c r="H94" s="11">
        <f>G94*1000</f>
        <v>51000</v>
      </c>
      <c r="I94" s="12"/>
    </row>
    <row r="95" spans="2:9" x14ac:dyDescent="0.3">
      <c r="B95" s="8">
        <v>46198</v>
      </c>
      <c r="C95" s="9" t="str">
        <f>TEXT(B95,"DDD")</f>
        <v>Thu</v>
      </c>
      <c r="D95" s="10">
        <f>WEEKNUM(B95)</f>
        <v>26</v>
      </c>
      <c r="E95" s="10" t="str">
        <f>TEXT(B95,"mmm-yy")</f>
        <v>Jun-26</v>
      </c>
      <c r="F95" s="11" t="s">
        <v>15</v>
      </c>
      <c r="G95" s="11">
        <v>2</v>
      </c>
      <c r="H95" s="11">
        <f>G95*1000</f>
        <v>2000</v>
      </c>
      <c r="I95" s="12"/>
    </row>
    <row r="96" spans="2:9" x14ac:dyDescent="0.3">
      <c r="B96" s="8">
        <v>46198</v>
      </c>
      <c r="C96" s="9" t="str">
        <f>TEXT(B96,"DDD")</f>
        <v>Thu</v>
      </c>
      <c r="D96" s="10">
        <f>WEEKNUM(B96)</f>
        <v>26</v>
      </c>
      <c r="E96" s="10" t="str">
        <f>TEXT(B96,"mmm-yy")</f>
        <v>Jun-26</v>
      </c>
      <c r="F96" s="11" t="s">
        <v>12</v>
      </c>
      <c r="G96" s="11">
        <v>7</v>
      </c>
      <c r="H96" s="11">
        <f>G96*1000</f>
        <v>7000</v>
      </c>
      <c r="I96" s="12"/>
    </row>
    <row r="97" spans="2:9" x14ac:dyDescent="0.3">
      <c r="B97" s="8">
        <v>46198</v>
      </c>
      <c r="C97" s="9" t="str">
        <f>TEXT(B97,"DDD")</f>
        <v>Thu</v>
      </c>
      <c r="D97" s="10">
        <f>WEEKNUM(B97)</f>
        <v>26</v>
      </c>
      <c r="E97" s="10" t="str">
        <f>TEXT(B97,"mmm-yy")</f>
        <v>Jun-26</v>
      </c>
      <c r="F97" s="11" t="s">
        <v>13</v>
      </c>
      <c r="G97" s="11">
        <v>5</v>
      </c>
      <c r="H97" s="11">
        <f>G97*1000</f>
        <v>5000</v>
      </c>
      <c r="I97" s="12"/>
    </row>
    <row r="98" spans="2:9" x14ac:dyDescent="0.3">
      <c r="B98" s="8">
        <v>46198</v>
      </c>
      <c r="C98" s="9" t="str">
        <f>TEXT(B98,"DDD")</f>
        <v>Thu</v>
      </c>
      <c r="D98" s="10">
        <f>WEEKNUM(B98)</f>
        <v>26</v>
      </c>
      <c r="E98" s="10" t="str">
        <f>TEXT(B98,"mmm-yy")</f>
        <v>Jun-26</v>
      </c>
      <c r="F98" s="11" t="s">
        <v>14</v>
      </c>
      <c r="G98" s="11">
        <v>2</v>
      </c>
      <c r="H98" s="11">
        <f>G98*1000</f>
        <v>2000</v>
      </c>
      <c r="I98" s="12"/>
    </row>
    <row r="99" spans="2:9" x14ac:dyDescent="0.3">
      <c r="B99" s="8">
        <v>46198</v>
      </c>
      <c r="C99" s="9" t="str">
        <f>TEXT(B99,"DDD")</f>
        <v>Thu</v>
      </c>
      <c r="D99" s="10">
        <f>WEEKNUM(B99)</f>
        <v>26</v>
      </c>
      <c r="E99" s="10" t="str">
        <f>TEXT(B99,"mmm-yy")</f>
        <v>Jun-26</v>
      </c>
      <c r="F99" s="11" t="s">
        <v>11</v>
      </c>
      <c r="G99" s="11">
        <v>508</v>
      </c>
      <c r="H99" s="11">
        <f>G99*1000</f>
        <v>508000</v>
      </c>
      <c r="I99" s="12"/>
    </row>
    <row r="100" spans="2:9" x14ac:dyDescent="0.3">
      <c r="B100" s="8">
        <v>46199</v>
      </c>
      <c r="C100" s="9" t="str">
        <f>TEXT(B100,"DDD")</f>
        <v>Fri</v>
      </c>
      <c r="D100" s="10">
        <f>WEEKNUM(B100)</f>
        <v>26</v>
      </c>
      <c r="E100" s="10" t="str">
        <f>TEXT(B100,"mmm-yy")</f>
        <v>Jun-26</v>
      </c>
      <c r="F100" s="11" t="s">
        <v>6</v>
      </c>
      <c r="G100" s="11">
        <v>51</v>
      </c>
      <c r="H100" s="11">
        <f>G100*1000</f>
        <v>51000</v>
      </c>
      <c r="I100" s="12"/>
    </row>
    <row r="101" spans="2:9" x14ac:dyDescent="0.3">
      <c r="B101" s="8">
        <v>46199</v>
      </c>
      <c r="C101" s="9" t="str">
        <f>TEXT(B101,"DDD")</f>
        <v>Fri</v>
      </c>
      <c r="D101" s="10">
        <f>WEEKNUM(B101)</f>
        <v>26</v>
      </c>
      <c r="E101" s="10" t="str">
        <f>TEXT(B101,"mmm-yy")</f>
        <v>Jun-26</v>
      </c>
      <c r="F101" s="11" t="s">
        <v>15</v>
      </c>
      <c r="G101" s="11">
        <v>2</v>
      </c>
      <c r="H101" s="11">
        <f>G101*1000</f>
        <v>2000</v>
      </c>
      <c r="I101" s="12"/>
    </row>
    <row r="102" spans="2:9" x14ac:dyDescent="0.3">
      <c r="B102" s="8">
        <v>46199</v>
      </c>
      <c r="C102" s="9" t="str">
        <f>TEXT(B102,"DDD")</f>
        <v>Fri</v>
      </c>
      <c r="D102" s="10">
        <f>WEEKNUM(B102)</f>
        <v>26</v>
      </c>
      <c r="E102" s="10" t="str">
        <f>TEXT(B102,"mmm-yy")</f>
        <v>Jun-26</v>
      </c>
      <c r="F102" s="11" t="s">
        <v>12</v>
      </c>
      <c r="G102" s="11">
        <v>7</v>
      </c>
      <c r="H102" s="11">
        <f>G102*1000</f>
        <v>7000</v>
      </c>
      <c r="I102" s="12"/>
    </row>
    <row r="103" spans="2:9" x14ac:dyDescent="0.3">
      <c r="B103" s="8">
        <v>46199</v>
      </c>
      <c r="C103" s="9" t="str">
        <f>TEXT(B103,"DDD")</f>
        <v>Fri</v>
      </c>
      <c r="D103" s="10">
        <f>WEEKNUM(B103)</f>
        <v>26</v>
      </c>
      <c r="E103" s="10" t="str">
        <f>TEXT(B103,"mmm-yy")</f>
        <v>Jun-26</v>
      </c>
      <c r="F103" s="11" t="s">
        <v>13</v>
      </c>
      <c r="G103" s="11">
        <v>5</v>
      </c>
      <c r="H103" s="11">
        <f>G103*1000</f>
        <v>5000</v>
      </c>
      <c r="I103" s="12"/>
    </row>
    <row r="104" spans="2:9" x14ac:dyDescent="0.3">
      <c r="B104" s="8">
        <v>46199</v>
      </c>
      <c r="C104" s="9" t="str">
        <f>TEXT(B104,"DDD")</f>
        <v>Fri</v>
      </c>
      <c r="D104" s="10">
        <f>WEEKNUM(B104)</f>
        <v>26</v>
      </c>
      <c r="E104" s="10" t="str">
        <f>TEXT(B104,"mmm-yy")</f>
        <v>Jun-26</v>
      </c>
      <c r="F104" s="11" t="s">
        <v>14</v>
      </c>
      <c r="G104" s="11">
        <v>2</v>
      </c>
      <c r="H104" s="11">
        <f>G104*1000</f>
        <v>2000</v>
      </c>
      <c r="I104" s="12"/>
    </row>
    <row r="105" spans="2:9" x14ac:dyDescent="0.3">
      <c r="B105" s="8">
        <v>46199</v>
      </c>
      <c r="C105" s="9" t="str">
        <f>TEXT(B105,"DDD")</f>
        <v>Fri</v>
      </c>
      <c r="D105" s="10">
        <f>WEEKNUM(B105)</f>
        <v>26</v>
      </c>
      <c r="E105" s="10" t="str">
        <f>TEXT(B105,"mmm-yy")</f>
        <v>Jun-26</v>
      </c>
      <c r="F105" s="11" t="s">
        <v>11</v>
      </c>
      <c r="G105" s="11">
        <v>520</v>
      </c>
      <c r="H105" s="11">
        <f>G105*1000</f>
        <v>520000</v>
      </c>
      <c r="I105" s="12"/>
    </row>
    <row r="106" spans="2:9" x14ac:dyDescent="0.3">
      <c r="B106" s="8">
        <v>46200</v>
      </c>
      <c r="C106" s="9" t="str">
        <f>TEXT(B106,"DDD")</f>
        <v>Sat</v>
      </c>
      <c r="D106" s="10">
        <f>WEEKNUM(B106)</f>
        <v>26</v>
      </c>
      <c r="E106" s="10" t="str">
        <f>TEXT(B106,"mmm-yy")</f>
        <v>Jun-26</v>
      </c>
      <c r="F106" s="11" t="s">
        <v>6</v>
      </c>
      <c r="G106" s="11">
        <v>51</v>
      </c>
      <c r="H106" s="11">
        <f>G106*1000</f>
        <v>51000</v>
      </c>
      <c r="I106" s="12"/>
    </row>
    <row r="107" spans="2:9" x14ac:dyDescent="0.3">
      <c r="B107" s="8">
        <v>46200</v>
      </c>
      <c r="C107" s="9" t="str">
        <f>TEXT(B107,"DDD")</f>
        <v>Sat</v>
      </c>
      <c r="D107" s="10">
        <f>WEEKNUM(B107)</f>
        <v>26</v>
      </c>
      <c r="E107" s="10" t="str">
        <f>TEXT(B107,"mmm-yy")</f>
        <v>Jun-26</v>
      </c>
      <c r="F107" s="11" t="s">
        <v>15</v>
      </c>
      <c r="G107" s="11">
        <v>2</v>
      </c>
      <c r="H107" s="11">
        <f>G107*1000</f>
        <v>2000</v>
      </c>
      <c r="I107" s="12"/>
    </row>
    <row r="108" spans="2:9" x14ac:dyDescent="0.3">
      <c r="B108" s="8">
        <v>46200</v>
      </c>
      <c r="C108" s="9" t="str">
        <f>TEXT(B108,"DDD")</f>
        <v>Sat</v>
      </c>
      <c r="D108" s="10">
        <f>WEEKNUM(B108)</f>
        <v>26</v>
      </c>
      <c r="E108" s="10" t="str">
        <f>TEXT(B108,"mmm-yy")</f>
        <v>Jun-26</v>
      </c>
      <c r="F108" s="11" t="s">
        <v>12</v>
      </c>
      <c r="G108" s="11">
        <v>7</v>
      </c>
      <c r="H108" s="11">
        <f>G108*1000</f>
        <v>7000</v>
      </c>
      <c r="I108" s="12"/>
    </row>
    <row r="109" spans="2:9" x14ac:dyDescent="0.3">
      <c r="B109" s="8">
        <v>46200</v>
      </c>
      <c r="C109" s="9" t="str">
        <f>TEXT(B109,"DDD")</f>
        <v>Sat</v>
      </c>
      <c r="D109" s="10">
        <f>WEEKNUM(B109)</f>
        <v>26</v>
      </c>
      <c r="E109" s="10" t="str">
        <f>TEXT(B109,"mmm-yy")</f>
        <v>Jun-26</v>
      </c>
      <c r="F109" s="11" t="s">
        <v>13</v>
      </c>
      <c r="G109" s="11">
        <v>5</v>
      </c>
      <c r="H109" s="11">
        <f>G109*1000</f>
        <v>5000</v>
      </c>
      <c r="I109" s="12"/>
    </row>
    <row r="110" spans="2:9" x14ac:dyDescent="0.3">
      <c r="B110" s="8">
        <v>46200</v>
      </c>
      <c r="C110" s="9" t="str">
        <f>TEXT(B110,"DDD")</f>
        <v>Sat</v>
      </c>
      <c r="D110" s="10">
        <f>WEEKNUM(B110)</f>
        <v>26</v>
      </c>
      <c r="E110" s="10" t="str">
        <f>TEXT(B110,"mmm-yy")</f>
        <v>Jun-26</v>
      </c>
      <c r="F110" s="11" t="s">
        <v>14</v>
      </c>
      <c r="G110" s="11">
        <v>2</v>
      </c>
      <c r="H110" s="11">
        <f>G110*1000</f>
        <v>2000</v>
      </c>
      <c r="I110" s="12"/>
    </row>
    <row r="111" spans="2:9" x14ac:dyDescent="0.3">
      <c r="B111" s="8">
        <v>46200</v>
      </c>
      <c r="C111" s="9" t="str">
        <f>TEXT(B111,"DDD")</f>
        <v>Sat</v>
      </c>
      <c r="D111" s="10">
        <f>WEEKNUM(B111)</f>
        <v>26</v>
      </c>
      <c r="E111" s="10" t="str">
        <f>TEXT(B111,"mmm-yy")</f>
        <v>Jun-26</v>
      </c>
      <c r="F111" s="11" t="s">
        <v>11</v>
      </c>
      <c r="G111" s="11">
        <v>543</v>
      </c>
      <c r="H111" s="11">
        <f>G111*1000</f>
        <v>543000</v>
      </c>
      <c r="I111" s="12"/>
    </row>
    <row r="112" spans="2:9" x14ac:dyDescent="0.3">
      <c r="B112" s="8">
        <v>46201</v>
      </c>
      <c r="C112" s="9" t="str">
        <f>TEXT(B112,"DDD")</f>
        <v>Sun</v>
      </c>
      <c r="D112" s="10">
        <f>WEEKNUM(B112)</f>
        <v>27</v>
      </c>
      <c r="E112" s="10" t="str">
        <f>TEXT(B112,"mmm-yy")</f>
        <v>Jun-26</v>
      </c>
      <c r="F112" s="11" t="s">
        <v>6</v>
      </c>
      <c r="G112" s="11">
        <v>51</v>
      </c>
      <c r="H112" s="11">
        <f>G112*1000</f>
        <v>51000</v>
      </c>
      <c r="I112" s="12"/>
    </row>
    <row r="113" spans="2:9" x14ac:dyDescent="0.3">
      <c r="B113" s="8">
        <v>46201</v>
      </c>
      <c r="C113" s="9" t="str">
        <f>TEXT(B113,"DDD")</f>
        <v>Sun</v>
      </c>
      <c r="D113" s="10">
        <f>WEEKNUM(B113)</f>
        <v>27</v>
      </c>
      <c r="E113" s="10" t="str">
        <f>TEXT(B113,"mmm-yy")</f>
        <v>Jun-26</v>
      </c>
      <c r="F113" s="11" t="s">
        <v>15</v>
      </c>
      <c r="G113" s="11">
        <v>2</v>
      </c>
      <c r="H113" s="11">
        <f>G113*1000</f>
        <v>2000</v>
      </c>
      <c r="I113" s="12"/>
    </row>
    <row r="114" spans="2:9" x14ac:dyDescent="0.3">
      <c r="B114" s="8">
        <v>46201</v>
      </c>
      <c r="C114" s="9" t="str">
        <f>TEXT(B114,"DDD")</f>
        <v>Sun</v>
      </c>
      <c r="D114" s="10">
        <f>WEEKNUM(B114)</f>
        <v>27</v>
      </c>
      <c r="E114" s="10" t="str">
        <f>TEXT(B114,"mmm-yy")</f>
        <v>Jun-26</v>
      </c>
      <c r="F114" s="11" t="s">
        <v>12</v>
      </c>
      <c r="G114" s="11">
        <v>7</v>
      </c>
      <c r="H114" s="11">
        <f>G114*1000</f>
        <v>7000</v>
      </c>
      <c r="I114" s="12"/>
    </row>
    <row r="115" spans="2:9" x14ac:dyDescent="0.3">
      <c r="B115" s="8">
        <v>46201</v>
      </c>
      <c r="C115" s="9" t="str">
        <f>TEXT(B115,"DDD")</f>
        <v>Sun</v>
      </c>
      <c r="D115" s="10">
        <f>WEEKNUM(B115)</f>
        <v>27</v>
      </c>
      <c r="E115" s="10" t="str">
        <f>TEXT(B115,"mmm-yy")</f>
        <v>Jun-26</v>
      </c>
      <c r="F115" s="11" t="s">
        <v>13</v>
      </c>
      <c r="G115" s="11">
        <v>5</v>
      </c>
      <c r="H115" s="11">
        <f>G115*1000</f>
        <v>5000</v>
      </c>
      <c r="I115" s="12"/>
    </row>
    <row r="116" spans="2:9" x14ac:dyDescent="0.3">
      <c r="B116" s="8">
        <v>46201</v>
      </c>
      <c r="C116" s="9" t="str">
        <f>TEXT(B116,"DDD")</f>
        <v>Sun</v>
      </c>
      <c r="D116" s="10">
        <f>WEEKNUM(B116)</f>
        <v>27</v>
      </c>
      <c r="E116" s="10" t="str">
        <f>TEXT(B116,"mmm-yy")</f>
        <v>Jun-26</v>
      </c>
      <c r="F116" s="11" t="s">
        <v>14</v>
      </c>
      <c r="G116" s="11">
        <v>2</v>
      </c>
      <c r="H116" s="11">
        <f>G116*1000</f>
        <v>2000</v>
      </c>
      <c r="I116" s="12"/>
    </row>
    <row r="117" spans="2:9" x14ac:dyDescent="0.3">
      <c r="B117" s="8">
        <v>46201</v>
      </c>
      <c r="C117" s="9" t="str">
        <f>TEXT(B117,"DDD")</f>
        <v>Sun</v>
      </c>
      <c r="D117" s="10">
        <f>WEEKNUM(B117)</f>
        <v>27</v>
      </c>
      <c r="E117" s="10" t="str">
        <f>TEXT(B117,"mmm-yy")</f>
        <v>Jun-26</v>
      </c>
      <c r="F117" s="11" t="s">
        <v>11</v>
      </c>
      <c r="G117" s="11">
        <v>558</v>
      </c>
      <c r="H117" s="11">
        <f>G117*1000</f>
        <v>558000</v>
      </c>
      <c r="I117" s="12"/>
    </row>
    <row r="118" spans="2:9" x14ac:dyDescent="0.3">
      <c r="B118" s="8">
        <v>46202</v>
      </c>
      <c r="C118" s="9" t="str">
        <f>TEXT(B118,"DDD")</f>
        <v>Mon</v>
      </c>
      <c r="D118" s="10">
        <f>WEEKNUM(B118)</f>
        <v>27</v>
      </c>
      <c r="E118" s="10" t="str">
        <f>TEXT(B118,"mmm-yy")</f>
        <v>Jun-26</v>
      </c>
      <c r="F118" s="11" t="s">
        <v>6</v>
      </c>
      <c r="G118" s="11">
        <v>51</v>
      </c>
      <c r="H118" s="11">
        <f>G118*1000</f>
        <v>51000</v>
      </c>
      <c r="I118" s="12"/>
    </row>
    <row r="119" spans="2:9" x14ac:dyDescent="0.3">
      <c r="B119" s="8">
        <v>46202</v>
      </c>
      <c r="C119" s="9" t="str">
        <f>TEXT(B119,"DDD")</f>
        <v>Mon</v>
      </c>
      <c r="D119" s="10">
        <f>WEEKNUM(B119)</f>
        <v>27</v>
      </c>
      <c r="E119" s="10" t="str">
        <f>TEXT(B119,"mmm-yy")</f>
        <v>Jun-26</v>
      </c>
      <c r="F119" s="11" t="s">
        <v>15</v>
      </c>
      <c r="G119" s="11">
        <v>2</v>
      </c>
      <c r="H119" s="11">
        <f>G119*1000</f>
        <v>2000</v>
      </c>
      <c r="I119" s="12"/>
    </row>
    <row r="120" spans="2:9" x14ac:dyDescent="0.3">
      <c r="B120" s="8">
        <v>46202</v>
      </c>
      <c r="C120" s="9" t="str">
        <f>TEXT(B120,"DDD")</f>
        <v>Mon</v>
      </c>
      <c r="D120" s="10">
        <f>WEEKNUM(B120)</f>
        <v>27</v>
      </c>
      <c r="E120" s="10" t="str">
        <f>TEXT(B120,"mmm-yy")</f>
        <v>Jun-26</v>
      </c>
      <c r="F120" s="11" t="s">
        <v>12</v>
      </c>
      <c r="G120" s="11">
        <v>7</v>
      </c>
      <c r="H120" s="11">
        <f>G120*1000</f>
        <v>7000</v>
      </c>
      <c r="I120" s="12"/>
    </row>
    <row r="121" spans="2:9" x14ac:dyDescent="0.3">
      <c r="B121" s="8">
        <v>46202</v>
      </c>
      <c r="C121" s="9" t="str">
        <f>TEXT(B121,"DDD")</f>
        <v>Mon</v>
      </c>
      <c r="D121" s="10">
        <f>WEEKNUM(B121)</f>
        <v>27</v>
      </c>
      <c r="E121" s="10" t="str">
        <f>TEXT(B121,"mmm-yy")</f>
        <v>Jun-26</v>
      </c>
      <c r="F121" s="11" t="s">
        <v>13</v>
      </c>
      <c r="G121" s="11">
        <v>5</v>
      </c>
      <c r="H121" s="11">
        <f>G121*1000</f>
        <v>5000</v>
      </c>
      <c r="I121" s="12"/>
    </row>
    <row r="122" spans="2:9" x14ac:dyDescent="0.3">
      <c r="B122" s="8">
        <v>46202</v>
      </c>
      <c r="C122" s="9" t="str">
        <f>TEXT(B122,"DDD")</f>
        <v>Mon</v>
      </c>
      <c r="D122" s="10">
        <f>WEEKNUM(B122)</f>
        <v>27</v>
      </c>
      <c r="E122" s="10" t="str">
        <f>TEXT(B122,"mmm-yy")</f>
        <v>Jun-26</v>
      </c>
      <c r="F122" s="11" t="s">
        <v>14</v>
      </c>
      <c r="G122" s="11">
        <v>2</v>
      </c>
      <c r="H122" s="11">
        <f>G122*1000</f>
        <v>2000</v>
      </c>
      <c r="I122" s="12"/>
    </row>
    <row r="123" spans="2:9" x14ac:dyDescent="0.3">
      <c r="B123" s="8">
        <v>46202</v>
      </c>
      <c r="C123" s="9" t="str">
        <f>TEXT(B123,"DDD")</f>
        <v>Mon</v>
      </c>
      <c r="D123" s="10">
        <f>WEEKNUM(B123)</f>
        <v>27</v>
      </c>
      <c r="E123" s="10" t="str">
        <f>TEXT(B123,"mmm-yy")</f>
        <v>Jun-26</v>
      </c>
      <c r="F123" s="11" t="s">
        <v>11</v>
      </c>
      <c r="G123" s="11">
        <v>583</v>
      </c>
      <c r="H123" s="11">
        <f>G123*1000</f>
        <v>583000</v>
      </c>
      <c r="I123" s="12"/>
    </row>
    <row r="124" spans="2:9" x14ac:dyDescent="0.3">
      <c r="B124" s="8">
        <v>46203</v>
      </c>
      <c r="C124" s="9" t="str">
        <f>TEXT(B124,"DDD")</f>
        <v>Tue</v>
      </c>
      <c r="D124" s="10">
        <f>WEEKNUM(B124)</f>
        <v>27</v>
      </c>
      <c r="E124" s="10" t="str">
        <f>TEXT(B124,"mmm-yy")</f>
        <v>Jun-26</v>
      </c>
      <c r="F124" s="11" t="s">
        <v>6</v>
      </c>
      <c r="G124" s="11">
        <v>51</v>
      </c>
      <c r="H124" s="11">
        <f>G124*1000</f>
        <v>51000</v>
      </c>
      <c r="I124" s="12"/>
    </row>
    <row r="125" spans="2:9" x14ac:dyDescent="0.3">
      <c r="B125" s="8">
        <v>46203</v>
      </c>
      <c r="C125" s="9" t="str">
        <f>TEXT(B125,"DDD")</f>
        <v>Tue</v>
      </c>
      <c r="D125" s="10">
        <f>WEEKNUM(B125)</f>
        <v>27</v>
      </c>
      <c r="E125" s="10" t="str">
        <f>TEXT(B125,"mmm-yy")</f>
        <v>Jun-26</v>
      </c>
      <c r="F125" s="11" t="s">
        <v>15</v>
      </c>
      <c r="G125" s="11">
        <v>2</v>
      </c>
      <c r="H125" s="11">
        <f>G125*1000</f>
        <v>2000</v>
      </c>
      <c r="I125" s="12"/>
    </row>
    <row r="126" spans="2:9" x14ac:dyDescent="0.3">
      <c r="B126" s="8">
        <v>46203</v>
      </c>
      <c r="C126" s="9" t="str">
        <f>TEXT(B126,"DDD")</f>
        <v>Tue</v>
      </c>
      <c r="D126" s="10">
        <f>WEEKNUM(B126)</f>
        <v>27</v>
      </c>
      <c r="E126" s="10" t="str">
        <f>TEXT(B126,"mmm-yy")</f>
        <v>Jun-26</v>
      </c>
      <c r="F126" s="11" t="s">
        <v>12</v>
      </c>
      <c r="G126" s="11">
        <v>7</v>
      </c>
      <c r="H126" s="11">
        <f>G126*1000</f>
        <v>7000</v>
      </c>
      <c r="I126" s="12"/>
    </row>
    <row r="127" spans="2:9" x14ac:dyDescent="0.3">
      <c r="B127" s="8">
        <v>46203</v>
      </c>
      <c r="C127" s="9" t="str">
        <f>TEXT(B127,"DDD")</f>
        <v>Tue</v>
      </c>
      <c r="D127" s="10">
        <f>WEEKNUM(B127)</f>
        <v>27</v>
      </c>
      <c r="E127" s="10" t="str">
        <f>TEXT(B127,"mmm-yy")</f>
        <v>Jun-26</v>
      </c>
      <c r="F127" s="11" t="s">
        <v>13</v>
      </c>
      <c r="G127" s="11">
        <v>5</v>
      </c>
      <c r="H127" s="11">
        <f>G127*1000</f>
        <v>5000</v>
      </c>
      <c r="I127" s="12"/>
    </row>
    <row r="128" spans="2:9" x14ac:dyDescent="0.3">
      <c r="B128" s="8">
        <v>46203</v>
      </c>
      <c r="C128" s="9" t="str">
        <f>TEXT(B128,"DDD")</f>
        <v>Tue</v>
      </c>
      <c r="D128" s="10">
        <f>WEEKNUM(B128)</f>
        <v>27</v>
      </c>
      <c r="E128" s="10" t="str">
        <f>TEXT(B128,"mmm-yy")</f>
        <v>Jun-26</v>
      </c>
      <c r="F128" s="11" t="s">
        <v>14</v>
      </c>
      <c r="G128" s="11">
        <v>2</v>
      </c>
      <c r="H128" s="11">
        <f>G128*1000</f>
        <v>2000</v>
      </c>
      <c r="I128" s="12"/>
    </row>
    <row r="129" spans="2:9" x14ac:dyDescent="0.3">
      <c r="B129" s="8">
        <v>46203</v>
      </c>
      <c r="C129" s="9" t="str">
        <f>TEXT(B129,"DDD")</f>
        <v>Tue</v>
      </c>
      <c r="D129" s="10">
        <f>WEEKNUM(B129)</f>
        <v>27</v>
      </c>
      <c r="E129" s="10" t="str">
        <f>TEXT(B129,"mmm-yy")</f>
        <v>Jun-26</v>
      </c>
      <c r="F129" s="11" t="s">
        <v>11</v>
      </c>
      <c r="G129" s="11">
        <v>611</v>
      </c>
      <c r="H129" s="11">
        <f>G129*1000</f>
        <v>611000</v>
      </c>
      <c r="I129" s="12"/>
    </row>
    <row r="130" spans="2:9" x14ac:dyDescent="0.3">
      <c r="B130" s="8">
        <v>46204</v>
      </c>
      <c r="C130" s="9" t="str">
        <f>TEXT(B130,"DDD")</f>
        <v>Wed</v>
      </c>
      <c r="D130" s="10">
        <f>WEEKNUM(B130)</f>
        <v>27</v>
      </c>
      <c r="E130" s="10" t="str">
        <f>TEXT(B130,"mmm-yy")</f>
        <v>Jul-26</v>
      </c>
      <c r="F130" s="11" t="s">
        <v>6</v>
      </c>
      <c r="G130" s="11">
        <v>51</v>
      </c>
      <c r="H130" s="11">
        <f>G130*1000</f>
        <v>51000</v>
      </c>
      <c r="I130" s="12"/>
    </row>
    <row r="131" spans="2:9" x14ac:dyDescent="0.3">
      <c r="B131" s="8">
        <v>46204</v>
      </c>
      <c r="C131" s="9" t="str">
        <f>TEXT(B131,"DDD")</f>
        <v>Wed</v>
      </c>
      <c r="D131" s="10">
        <f>WEEKNUM(B131)</f>
        <v>27</v>
      </c>
      <c r="E131" s="10" t="str">
        <f>TEXT(B131,"mmm-yy")</f>
        <v>Jul-26</v>
      </c>
      <c r="F131" s="11" t="s">
        <v>11</v>
      </c>
      <c r="G131" s="11">
        <v>611</v>
      </c>
      <c r="H131" s="11">
        <f>G131*1000</f>
        <v>611000</v>
      </c>
      <c r="I131" s="12"/>
    </row>
    <row r="132" spans="2:9" x14ac:dyDescent="0.3">
      <c r="B132" s="8">
        <v>46204</v>
      </c>
      <c r="C132" s="9" t="str">
        <f>TEXT(B132,"DDD")</f>
        <v>Wed</v>
      </c>
      <c r="D132" s="10">
        <f>WEEKNUM(B132)</f>
        <v>27</v>
      </c>
      <c r="E132" s="10" t="str">
        <f>TEXT(B132,"mmm-yy")</f>
        <v>Jul-26</v>
      </c>
      <c r="F132" s="11" t="s">
        <v>12</v>
      </c>
      <c r="G132" s="11">
        <v>7</v>
      </c>
      <c r="H132" s="11">
        <f>G132*1000</f>
        <v>7000</v>
      </c>
      <c r="I132" s="12"/>
    </row>
    <row r="133" spans="2:9" x14ac:dyDescent="0.3">
      <c r="B133" s="8">
        <v>46204</v>
      </c>
      <c r="C133" s="9" t="str">
        <f>TEXT(B133,"DDD")</f>
        <v>Wed</v>
      </c>
      <c r="D133" s="10">
        <f>WEEKNUM(B133)</f>
        <v>27</v>
      </c>
      <c r="E133" s="10" t="str">
        <f>TEXT(B133,"mmm-yy")</f>
        <v>Jul-26</v>
      </c>
      <c r="F133" s="11" t="s">
        <v>13</v>
      </c>
      <c r="G133" s="11">
        <v>5</v>
      </c>
      <c r="H133" s="11">
        <f>G133*1000</f>
        <v>5000</v>
      </c>
      <c r="I133" s="12"/>
    </row>
    <row r="134" spans="2:9" x14ac:dyDescent="0.3">
      <c r="B134" s="8">
        <v>46204</v>
      </c>
      <c r="C134" s="9" t="str">
        <f>TEXT(B134,"DDD")</f>
        <v>Wed</v>
      </c>
      <c r="D134" s="10">
        <f>WEEKNUM(B134)</f>
        <v>27</v>
      </c>
      <c r="E134" s="10" t="str">
        <f>TEXT(B134,"mmm-yy")</f>
        <v>Jul-26</v>
      </c>
      <c r="F134" s="11" t="s">
        <v>14</v>
      </c>
      <c r="G134" s="11">
        <v>2</v>
      </c>
      <c r="H134" s="11">
        <f>G134*1000</f>
        <v>2000</v>
      </c>
      <c r="I134" s="12"/>
    </row>
    <row r="135" spans="2:9" x14ac:dyDescent="0.3">
      <c r="B135" s="8">
        <v>46204</v>
      </c>
      <c r="C135" s="9" t="str">
        <f>TEXT(B135,"DDD")</f>
        <v>Wed</v>
      </c>
      <c r="D135" s="10">
        <f>WEEKNUM(B135)</f>
        <v>27</v>
      </c>
      <c r="E135" s="10" t="str">
        <f>TEXT(B135,"mmm-yy")</f>
        <v>Jul-26</v>
      </c>
      <c r="F135" s="11" t="s">
        <v>15</v>
      </c>
      <c r="G135" s="11">
        <v>2</v>
      </c>
      <c r="H135" s="11">
        <f>G135*1000</f>
        <v>2000</v>
      </c>
      <c r="I135" s="12"/>
    </row>
    <row r="136" spans="2:9" x14ac:dyDescent="0.3">
      <c r="B136" s="8">
        <v>46205</v>
      </c>
      <c r="C136" s="9" t="str">
        <f>TEXT(B136,"DDD")</f>
        <v>Thu</v>
      </c>
      <c r="D136" s="10">
        <f>WEEKNUM(B136)</f>
        <v>27</v>
      </c>
      <c r="E136" s="10" t="str">
        <f>TEXT(B136,"mmm-yy")</f>
        <v>Jul-26</v>
      </c>
      <c r="F136" s="11" t="s">
        <v>6</v>
      </c>
      <c r="G136" s="11">
        <v>53</v>
      </c>
      <c r="H136" s="11">
        <f>G136*1000</f>
        <v>53000</v>
      </c>
      <c r="I136" s="12"/>
    </row>
    <row r="137" spans="2:9" x14ac:dyDescent="0.3">
      <c r="B137" s="8">
        <v>46205</v>
      </c>
      <c r="C137" s="9" t="str">
        <f>TEXT(B137,"DDD")</f>
        <v>Thu</v>
      </c>
      <c r="D137" s="10">
        <f>WEEKNUM(B137)</f>
        <v>27</v>
      </c>
      <c r="E137" s="10" t="str">
        <f>TEXT(B137,"mmm-yy")</f>
        <v>Jul-26</v>
      </c>
      <c r="F137" s="11" t="s">
        <v>11</v>
      </c>
      <c r="G137" s="11">
        <v>627</v>
      </c>
      <c r="H137" s="11">
        <f>G137*1000</f>
        <v>627000</v>
      </c>
      <c r="I137" s="12"/>
    </row>
    <row r="138" spans="2:9" x14ac:dyDescent="0.3">
      <c r="B138" s="8">
        <v>46205</v>
      </c>
      <c r="C138" s="9" t="str">
        <f>TEXT(B138,"DDD")</f>
        <v>Thu</v>
      </c>
      <c r="D138" s="10">
        <f>WEEKNUM(B138)</f>
        <v>27</v>
      </c>
      <c r="E138" s="10" t="str">
        <f>TEXT(B138,"mmm-yy")</f>
        <v>Jul-26</v>
      </c>
      <c r="F138" s="11" t="s">
        <v>12</v>
      </c>
      <c r="G138" s="11">
        <v>7</v>
      </c>
      <c r="H138" s="11">
        <f>G138*1000</f>
        <v>7000</v>
      </c>
      <c r="I138" s="12"/>
    </row>
    <row r="139" spans="2:9" x14ac:dyDescent="0.3">
      <c r="B139" s="8">
        <v>46205</v>
      </c>
      <c r="C139" s="9" t="str">
        <f>TEXT(B139,"DDD")</f>
        <v>Thu</v>
      </c>
      <c r="D139" s="10">
        <f>WEEKNUM(B139)</f>
        <v>27</v>
      </c>
      <c r="E139" s="10" t="str">
        <f>TEXT(B139,"mmm-yy")</f>
        <v>Jul-26</v>
      </c>
      <c r="F139" s="11" t="s">
        <v>13</v>
      </c>
      <c r="G139" s="11">
        <v>5</v>
      </c>
      <c r="H139" s="11">
        <f>G139*1000</f>
        <v>5000</v>
      </c>
      <c r="I139" s="12"/>
    </row>
    <row r="140" spans="2:9" x14ac:dyDescent="0.3">
      <c r="B140" s="8">
        <v>46205</v>
      </c>
      <c r="C140" s="9" t="str">
        <f>TEXT(B140,"DDD")</f>
        <v>Thu</v>
      </c>
      <c r="D140" s="10">
        <f>WEEKNUM(B140)</f>
        <v>27</v>
      </c>
      <c r="E140" s="10" t="str">
        <f>TEXT(B140,"mmm-yy")</f>
        <v>Jul-26</v>
      </c>
      <c r="F140" s="11" t="s">
        <v>14</v>
      </c>
      <c r="G140" s="11">
        <v>2</v>
      </c>
      <c r="H140" s="11">
        <f>G140*1000</f>
        <v>2000</v>
      </c>
      <c r="I140" s="12"/>
    </row>
    <row r="141" spans="2:9" x14ac:dyDescent="0.3">
      <c r="B141" s="8">
        <v>46205</v>
      </c>
      <c r="C141" s="9" t="str">
        <f>TEXT(B141,"DDD")</f>
        <v>Thu</v>
      </c>
      <c r="D141" s="10">
        <f>WEEKNUM(B141)</f>
        <v>27</v>
      </c>
      <c r="E141" s="10" t="str">
        <f>TEXT(B141,"mmm-yy")</f>
        <v>Jul-26</v>
      </c>
      <c r="F141" s="11" t="s">
        <v>15</v>
      </c>
      <c r="G141" s="11">
        <v>2</v>
      </c>
      <c r="H141" s="11">
        <f>G141*1000</f>
        <v>2000</v>
      </c>
      <c r="I141" s="12"/>
    </row>
    <row r="142" spans="2:9" x14ac:dyDescent="0.3">
      <c r="B142" s="8">
        <v>46206</v>
      </c>
      <c r="C142" s="9" t="str">
        <f>TEXT(B142,"DDD")</f>
        <v>Fri</v>
      </c>
      <c r="D142" s="10">
        <f>WEEKNUM(B142)</f>
        <v>27</v>
      </c>
      <c r="E142" s="10" t="str">
        <f>TEXT(B142,"mmm-yy")</f>
        <v>Jul-26</v>
      </c>
      <c r="F142" s="11" t="s">
        <v>6</v>
      </c>
      <c r="G142" s="11">
        <v>54</v>
      </c>
      <c r="H142" s="11">
        <f>G142*1000</f>
        <v>54000</v>
      </c>
      <c r="I142" s="12"/>
    </row>
    <row r="143" spans="2:9" x14ac:dyDescent="0.3">
      <c r="B143" s="8">
        <v>46206</v>
      </c>
      <c r="C143" s="9" t="str">
        <f>TEXT(B143,"DDD")</f>
        <v>Fri</v>
      </c>
      <c r="D143" s="10">
        <f>WEEKNUM(B143)</f>
        <v>27</v>
      </c>
      <c r="E143" s="10" t="str">
        <f>TEXT(B143,"mmm-yy")</f>
        <v>Jul-26</v>
      </c>
      <c r="F143" s="11" t="s">
        <v>11</v>
      </c>
      <c r="G143" s="11">
        <v>652</v>
      </c>
      <c r="H143" s="11">
        <f>G143*1000</f>
        <v>652000</v>
      </c>
      <c r="I143" s="12"/>
    </row>
    <row r="144" spans="2:9" x14ac:dyDescent="0.3">
      <c r="B144" s="8">
        <v>46206</v>
      </c>
      <c r="C144" s="9" t="str">
        <f>TEXT(B144,"DDD")</f>
        <v>Fri</v>
      </c>
      <c r="D144" s="10">
        <f>WEEKNUM(B144)</f>
        <v>27</v>
      </c>
      <c r="E144" s="10" t="str">
        <f>TEXT(B144,"mmm-yy")</f>
        <v>Jul-26</v>
      </c>
      <c r="F144" s="11" t="s">
        <v>12</v>
      </c>
      <c r="G144" s="11">
        <v>7</v>
      </c>
      <c r="H144" s="11">
        <f>G144*1000</f>
        <v>7000</v>
      </c>
      <c r="I144" s="12"/>
    </row>
    <row r="145" spans="2:9" x14ac:dyDescent="0.3">
      <c r="B145" s="8">
        <v>46206</v>
      </c>
      <c r="C145" s="9" t="str">
        <f>TEXT(B145,"DDD")</f>
        <v>Fri</v>
      </c>
      <c r="D145" s="10">
        <f>WEEKNUM(B145)</f>
        <v>27</v>
      </c>
      <c r="E145" s="10" t="str">
        <f>TEXT(B145,"mmm-yy")</f>
        <v>Jul-26</v>
      </c>
      <c r="F145" s="11" t="s">
        <v>13</v>
      </c>
      <c r="G145" s="11">
        <v>8</v>
      </c>
      <c r="H145" s="11">
        <f>G145*1000</f>
        <v>8000</v>
      </c>
      <c r="I145" s="12"/>
    </row>
    <row r="146" spans="2:9" x14ac:dyDescent="0.3">
      <c r="B146" s="8">
        <v>46206</v>
      </c>
      <c r="C146" s="9" t="str">
        <f>TEXT(B146,"DDD")</f>
        <v>Fri</v>
      </c>
      <c r="D146" s="10">
        <f>WEEKNUM(B146)</f>
        <v>27</v>
      </c>
      <c r="E146" s="10" t="str">
        <f>TEXT(B146,"mmm-yy")</f>
        <v>Jul-26</v>
      </c>
      <c r="F146" s="11" t="s">
        <v>14</v>
      </c>
      <c r="G146" s="11">
        <v>2</v>
      </c>
      <c r="H146" s="11">
        <f>G146*1000</f>
        <v>2000</v>
      </c>
      <c r="I146" s="12"/>
    </row>
    <row r="147" spans="2:9" x14ac:dyDescent="0.3">
      <c r="B147" s="8">
        <v>46206</v>
      </c>
      <c r="C147" s="9" t="str">
        <f>TEXT(B147,"DDD")</f>
        <v>Fri</v>
      </c>
      <c r="D147" s="10">
        <f>WEEKNUM(B147)</f>
        <v>27</v>
      </c>
      <c r="E147" s="10" t="str">
        <f>TEXT(B147,"mmm-yy")</f>
        <v>Jul-26</v>
      </c>
      <c r="F147" s="11" t="s">
        <v>15</v>
      </c>
      <c r="G147" s="11">
        <v>2</v>
      </c>
      <c r="H147" s="11">
        <f>G147*1000</f>
        <v>2000</v>
      </c>
      <c r="I147" s="12"/>
    </row>
    <row r="148" spans="2:9" x14ac:dyDescent="0.3">
      <c r="B148" s="8">
        <v>46207</v>
      </c>
      <c r="C148" s="9" t="str">
        <f>TEXT(B148,"DDD")</f>
        <v>Sat</v>
      </c>
      <c r="D148" s="10">
        <f>WEEKNUM(B148)</f>
        <v>27</v>
      </c>
      <c r="E148" s="10" t="str">
        <f>TEXT(B148,"mmm-yy")</f>
        <v>Jul-26</v>
      </c>
      <c r="F148" s="11" t="s">
        <v>6</v>
      </c>
      <c r="G148" s="11">
        <v>54</v>
      </c>
      <c r="H148" s="11">
        <f>G148*1000</f>
        <v>54000</v>
      </c>
      <c r="I148" s="12"/>
    </row>
    <row r="149" spans="2:9" x14ac:dyDescent="0.3">
      <c r="B149" s="8">
        <v>46207</v>
      </c>
      <c r="C149" s="9" t="str">
        <f>TEXT(B149,"DDD")</f>
        <v>Sat</v>
      </c>
      <c r="D149" s="10">
        <f>WEEKNUM(B149)</f>
        <v>27</v>
      </c>
      <c r="E149" s="10" t="str">
        <f>TEXT(B149,"mmm-yy")</f>
        <v>Jul-26</v>
      </c>
      <c r="F149" s="11" t="s">
        <v>11</v>
      </c>
      <c r="G149" s="11">
        <v>670</v>
      </c>
      <c r="H149" s="11">
        <f>G149*1000</f>
        <v>670000</v>
      </c>
      <c r="I149" s="12"/>
    </row>
    <row r="150" spans="2:9" x14ac:dyDescent="0.3">
      <c r="B150" s="8">
        <v>46207</v>
      </c>
      <c r="C150" s="9" t="str">
        <f>TEXT(B150,"DDD")</f>
        <v>Sat</v>
      </c>
      <c r="D150" s="10">
        <f>WEEKNUM(B150)</f>
        <v>27</v>
      </c>
      <c r="E150" s="10" t="str">
        <f>TEXT(B150,"mmm-yy")</f>
        <v>Jul-26</v>
      </c>
      <c r="F150" s="11" t="s">
        <v>12</v>
      </c>
      <c r="G150" s="11">
        <v>7</v>
      </c>
      <c r="H150" s="11">
        <f>G150*1000</f>
        <v>7000</v>
      </c>
      <c r="I150" s="12"/>
    </row>
    <row r="151" spans="2:9" x14ac:dyDescent="0.3">
      <c r="B151" s="8">
        <v>46207</v>
      </c>
      <c r="C151" s="9" t="str">
        <f>TEXT(B151,"DDD")</f>
        <v>Sat</v>
      </c>
      <c r="D151" s="10">
        <f>WEEKNUM(B151)</f>
        <v>27</v>
      </c>
      <c r="E151" s="10" t="str">
        <f>TEXT(B151,"mmm-yy")</f>
        <v>Jul-26</v>
      </c>
      <c r="F151" s="11" t="s">
        <v>13</v>
      </c>
      <c r="G151" s="11">
        <v>8</v>
      </c>
      <c r="H151" s="11">
        <f>G151*1000</f>
        <v>8000</v>
      </c>
      <c r="I151" s="12"/>
    </row>
    <row r="152" spans="2:9" x14ac:dyDescent="0.3">
      <c r="B152" s="8">
        <v>46207</v>
      </c>
      <c r="C152" s="9" t="str">
        <f>TEXT(B152,"DDD")</f>
        <v>Sat</v>
      </c>
      <c r="D152" s="10">
        <f>WEEKNUM(B152)</f>
        <v>27</v>
      </c>
      <c r="E152" s="10" t="str">
        <f>TEXT(B152,"mmm-yy")</f>
        <v>Jul-26</v>
      </c>
      <c r="F152" s="11" t="s">
        <v>14</v>
      </c>
      <c r="G152" s="11">
        <v>2</v>
      </c>
      <c r="H152" s="11">
        <f>G152*1000</f>
        <v>2000</v>
      </c>
      <c r="I152" s="12"/>
    </row>
    <row r="153" spans="2:9" x14ac:dyDescent="0.3">
      <c r="B153" s="8">
        <v>46207</v>
      </c>
      <c r="C153" s="9" t="str">
        <f>TEXT(B153,"DDD")</f>
        <v>Sat</v>
      </c>
      <c r="D153" s="10">
        <f>WEEKNUM(B153)</f>
        <v>27</v>
      </c>
      <c r="E153" s="10" t="str">
        <f>TEXT(B153,"mmm-yy")</f>
        <v>Jul-26</v>
      </c>
      <c r="F153" s="11" t="s">
        <v>15</v>
      </c>
      <c r="G153" s="11">
        <v>2</v>
      </c>
      <c r="H153" s="11">
        <f>G153*1000</f>
        <v>2000</v>
      </c>
      <c r="I153" s="12"/>
    </row>
    <row r="154" spans="2:9" x14ac:dyDescent="0.3">
      <c r="B154" s="8">
        <v>46208</v>
      </c>
      <c r="C154" s="9" t="str">
        <f>TEXT(B154,"DDD")</f>
        <v>Sun</v>
      </c>
      <c r="D154" s="10">
        <f>WEEKNUM(B154)</f>
        <v>28</v>
      </c>
      <c r="E154" s="10" t="str">
        <f>TEXT(B154,"mmm-yy")</f>
        <v>Jul-26</v>
      </c>
      <c r="F154" s="11" t="s">
        <v>6</v>
      </c>
      <c r="G154" s="11">
        <v>54</v>
      </c>
      <c r="H154" s="11">
        <f>G154*1000</f>
        <v>54000</v>
      </c>
      <c r="I154" s="12"/>
    </row>
    <row r="155" spans="2:9" x14ac:dyDescent="0.3">
      <c r="B155" s="8">
        <v>46208</v>
      </c>
      <c r="C155" s="9" t="str">
        <f>TEXT(B155,"DDD")</f>
        <v>Sun</v>
      </c>
      <c r="D155" s="10">
        <f>WEEKNUM(B155)</f>
        <v>28</v>
      </c>
      <c r="E155" s="10" t="str">
        <f>TEXT(B155,"mmm-yy")</f>
        <v>Jul-26</v>
      </c>
      <c r="F155" s="11" t="s">
        <v>11</v>
      </c>
      <c r="G155" s="11">
        <v>686</v>
      </c>
      <c r="H155" s="11">
        <f>G155*1000</f>
        <v>686000</v>
      </c>
      <c r="I155" s="12"/>
    </row>
    <row r="156" spans="2:9" x14ac:dyDescent="0.3">
      <c r="B156" s="8">
        <v>46208</v>
      </c>
      <c r="C156" s="9" t="str">
        <f>TEXT(B156,"DDD")</f>
        <v>Sun</v>
      </c>
      <c r="D156" s="10">
        <f>WEEKNUM(B156)</f>
        <v>28</v>
      </c>
      <c r="E156" s="10" t="str">
        <f>TEXT(B156,"mmm-yy")</f>
        <v>Jul-26</v>
      </c>
      <c r="F156" s="11" t="s">
        <v>12</v>
      </c>
      <c r="G156" s="11">
        <v>7</v>
      </c>
      <c r="H156" s="11">
        <f>G156*1000</f>
        <v>7000</v>
      </c>
      <c r="I156" s="12"/>
    </row>
    <row r="157" spans="2:9" x14ac:dyDescent="0.3">
      <c r="B157" s="8">
        <v>46208</v>
      </c>
      <c r="C157" s="9" t="str">
        <f>TEXT(B157,"DDD")</f>
        <v>Sun</v>
      </c>
      <c r="D157" s="10">
        <f>WEEKNUM(B157)</f>
        <v>28</v>
      </c>
      <c r="E157" s="10" t="str">
        <f>TEXT(B157,"mmm-yy")</f>
        <v>Jul-26</v>
      </c>
      <c r="F157" s="11" t="s">
        <v>13</v>
      </c>
      <c r="G157" s="11">
        <v>8</v>
      </c>
      <c r="H157" s="11">
        <f>G157*1000</f>
        <v>8000</v>
      </c>
      <c r="I157" s="12"/>
    </row>
    <row r="158" spans="2:9" x14ac:dyDescent="0.3">
      <c r="B158" s="8">
        <v>46208</v>
      </c>
      <c r="C158" s="9" t="str">
        <f>TEXT(B158,"DDD")</f>
        <v>Sun</v>
      </c>
      <c r="D158" s="10">
        <f>WEEKNUM(B158)</f>
        <v>28</v>
      </c>
      <c r="E158" s="10" t="str">
        <f>TEXT(B158,"mmm-yy")</f>
        <v>Jul-26</v>
      </c>
      <c r="F158" s="11" t="s">
        <v>14</v>
      </c>
      <c r="G158" s="11">
        <v>2</v>
      </c>
      <c r="H158" s="11">
        <f>G158*1000</f>
        <v>2000</v>
      </c>
      <c r="I158" s="12"/>
    </row>
    <row r="159" spans="2:9" x14ac:dyDescent="0.3">
      <c r="B159" s="8">
        <v>46208</v>
      </c>
      <c r="C159" s="9" t="str">
        <f>TEXT(B159,"DDD")</f>
        <v>Sun</v>
      </c>
      <c r="D159" s="10">
        <f>WEEKNUM(B159)</f>
        <v>28</v>
      </c>
      <c r="E159" s="10" t="str">
        <f>TEXT(B159,"mmm-yy")</f>
        <v>Jul-26</v>
      </c>
      <c r="F159" s="11" t="s">
        <v>15</v>
      </c>
      <c r="G159" s="11">
        <v>2</v>
      </c>
      <c r="H159" s="11">
        <f>G159*1000</f>
        <v>2000</v>
      </c>
      <c r="I159" s="12"/>
    </row>
    <row r="160" spans="2:9" x14ac:dyDescent="0.3">
      <c r="B160" s="8">
        <v>46209</v>
      </c>
      <c r="C160" s="9" t="str">
        <f>TEXT(B160,"DDD")</f>
        <v>Mon</v>
      </c>
      <c r="D160" s="10">
        <f>WEEKNUM(B160)</f>
        <v>28</v>
      </c>
      <c r="E160" s="10" t="str">
        <f>TEXT(B160,"mmm-yy")</f>
        <v>Jul-26</v>
      </c>
      <c r="F160" s="11" t="s">
        <v>6</v>
      </c>
      <c r="G160" s="11">
        <v>54</v>
      </c>
      <c r="H160" s="11">
        <f>G160*1000</f>
        <v>54000</v>
      </c>
      <c r="I160" s="12"/>
    </row>
    <row r="161" spans="2:9" x14ac:dyDescent="0.3">
      <c r="B161" s="8">
        <v>46209</v>
      </c>
      <c r="C161" s="9" t="str">
        <f>TEXT(B161,"DDD")</f>
        <v>Mon</v>
      </c>
      <c r="D161" s="10">
        <f>WEEKNUM(B161)</f>
        <v>28</v>
      </c>
      <c r="E161" s="10" t="str">
        <f>TEXT(B161,"mmm-yy")</f>
        <v>Jul-26</v>
      </c>
      <c r="F161" s="11" t="s">
        <v>11</v>
      </c>
      <c r="G161" s="11">
        <v>688</v>
      </c>
      <c r="H161" s="11">
        <f>G161*1000</f>
        <v>688000</v>
      </c>
      <c r="I161" s="12"/>
    </row>
    <row r="162" spans="2:9" x14ac:dyDescent="0.3">
      <c r="B162" s="8">
        <v>46209</v>
      </c>
      <c r="C162" s="9" t="str">
        <f>TEXT(B162,"DDD")</f>
        <v>Mon</v>
      </c>
      <c r="D162" s="10">
        <f>WEEKNUM(B162)</f>
        <v>28</v>
      </c>
      <c r="E162" s="10" t="str">
        <f>TEXT(B162,"mmm-yy")</f>
        <v>Jul-26</v>
      </c>
      <c r="F162" s="11" t="s">
        <v>12</v>
      </c>
      <c r="G162" s="11">
        <v>7</v>
      </c>
      <c r="H162" s="11">
        <f>G162*1000</f>
        <v>7000</v>
      </c>
      <c r="I162" s="12"/>
    </row>
    <row r="163" spans="2:9" x14ac:dyDescent="0.3">
      <c r="B163" s="8">
        <v>46209</v>
      </c>
      <c r="C163" s="9" t="str">
        <f>TEXT(B163,"DDD")</f>
        <v>Mon</v>
      </c>
      <c r="D163" s="10">
        <f>WEEKNUM(B163)</f>
        <v>28</v>
      </c>
      <c r="E163" s="10" t="str">
        <f>TEXT(B163,"mmm-yy")</f>
        <v>Jul-26</v>
      </c>
      <c r="F163" s="11" t="s">
        <v>13</v>
      </c>
      <c r="G163" s="11">
        <v>8</v>
      </c>
      <c r="H163" s="11">
        <f>G163*1000</f>
        <v>8000</v>
      </c>
      <c r="I163" s="12"/>
    </row>
    <row r="164" spans="2:9" x14ac:dyDescent="0.3">
      <c r="B164" s="8">
        <v>46209</v>
      </c>
      <c r="C164" s="9" t="str">
        <f>TEXT(B164,"DDD")</f>
        <v>Mon</v>
      </c>
      <c r="D164" s="10">
        <f>WEEKNUM(B164)</f>
        <v>28</v>
      </c>
      <c r="E164" s="10" t="str">
        <f>TEXT(B164,"mmm-yy")</f>
        <v>Jul-26</v>
      </c>
      <c r="F164" s="11" t="s">
        <v>14</v>
      </c>
      <c r="G164" s="11">
        <v>2</v>
      </c>
      <c r="H164" s="11">
        <f>G164*1000</f>
        <v>2000</v>
      </c>
      <c r="I164" s="12"/>
    </row>
    <row r="165" spans="2:9" x14ac:dyDescent="0.3">
      <c r="B165" s="8">
        <v>46209</v>
      </c>
      <c r="C165" s="9" t="str">
        <f>TEXT(B165,"DDD")</f>
        <v>Mon</v>
      </c>
      <c r="D165" s="10">
        <f>WEEKNUM(B165)</f>
        <v>28</v>
      </c>
      <c r="E165" s="10" t="str">
        <f>TEXT(B165,"mmm-yy")</f>
        <v>Jul-26</v>
      </c>
      <c r="F165" s="11" t="s">
        <v>15</v>
      </c>
      <c r="G165" s="11">
        <v>2</v>
      </c>
      <c r="H165" s="11">
        <f>G165*1000</f>
        <v>2000</v>
      </c>
      <c r="I165" s="12"/>
    </row>
    <row r="166" spans="2:9" x14ac:dyDescent="0.3">
      <c r="B166" s="8">
        <v>46210</v>
      </c>
      <c r="C166" s="9" t="str">
        <f>TEXT(B166,"DDD")</f>
        <v>Tue</v>
      </c>
      <c r="D166" s="10">
        <f>WEEKNUM(B166)</f>
        <v>28</v>
      </c>
      <c r="E166" s="10" t="str">
        <f>TEXT(B166,"mmm-yy")</f>
        <v>Jul-26</v>
      </c>
      <c r="F166" s="11" t="s">
        <v>6</v>
      </c>
      <c r="G166" s="11">
        <v>54</v>
      </c>
      <c r="H166" s="11">
        <f>G166*1000</f>
        <v>54000</v>
      </c>
      <c r="I166" s="12"/>
    </row>
    <row r="167" spans="2:9" x14ac:dyDescent="0.3">
      <c r="B167" s="8">
        <v>46210</v>
      </c>
      <c r="C167" s="9" t="str">
        <f>TEXT(B167,"DDD")</f>
        <v>Tue</v>
      </c>
      <c r="D167" s="10">
        <f>WEEKNUM(B167)</f>
        <v>28</v>
      </c>
      <c r="E167" s="10" t="str">
        <f>TEXT(B167,"mmm-yy")</f>
        <v>Jul-26</v>
      </c>
      <c r="F167" s="11" t="s">
        <v>11</v>
      </c>
      <c r="G167" s="11">
        <v>715</v>
      </c>
      <c r="H167" s="11">
        <f>G167*1000</f>
        <v>715000</v>
      </c>
      <c r="I167" s="12"/>
    </row>
    <row r="168" spans="2:9" x14ac:dyDescent="0.3">
      <c r="B168" s="8">
        <v>46210</v>
      </c>
      <c r="C168" s="9" t="str">
        <f>TEXT(B168,"DDD")</f>
        <v>Tue</v>
      </c>
      <c r="D168" s="10">
        <f>WEEKNUM(B168)</f>
        <v>28</v>
      </c>
      <c r="E168" s="10" t="str">
        <f>TEXT(B168,"mmm-yy")</f>
        <v>Jul-26</v>
      </c>
      <c r="F168" s="11" t="s">
        <v>12</v>
      </c>
      <c r="G168" s="11">
        <v>7</v>
      </c>
      <c r="H168" s="11">
        <f>G168*1000</f>
        <v>7000</v>
      </c>
      <c r="I168" s="12"/>
    </row>
    <row r="169" spans="2:9" x14ac:dyDescent="0.3">
      <c r="B169" s="8">
        <v>46210</v>
      </c>
      <c r="C169" s="9" t="str">
        <f>TEXT(B169,"DDD")</f>
        <v>Tue</v>
      </c>
      <c r="D169" s="10">
        <f>WEEKNUM(B169)</f>
        <v>28</v>
      </c>
      <c r="E169" s="10" t="str">
        <f>TEXT(B169,"mmm-yy")</f>
        <v>Jul-26</v>
      </c>
      <c r="F169" s="11" t="s">
        <v>13</v>
      </c>
      <c r="G169" s="11">
        <v>8</v>
      </c>
      <c r="H169" s="11">
        <f>G169*1000</f>
        <v>8000</v>
      </c>
      <c r="I169" s="12"/>
    </row>
    <row r="170" spans="2:9" x14ac:dyDescent="0.3">
      <c r="B170" s="8">
        <v>46210</v>
      </c>
      <c r="C170" s="9" t="str">
        <f>TEXT(B170,"DDD")</f>
        <v>Tue</v>
      </c>
      <c r="D170" s="10">
        <f>WEEKNUM(B170)</f>
        <v>28</v>
      </c>
      <c r="E170" s="10" t="str">
        <f>TEXT(B170,"mmm-yy")</f>
        <v>Jul-26</v>
      </c>
      <c r="F170" s="11" t="s">
        <v>14</v>
      </c>
      <c r="G170" s="11">
        <v>2</v>
      </c>
      <c r="H170" s="11">
        <f>G170*1000</f>
        <v>2000</v>
      </c>
      <c r="I170" s="12"/>
    </row>
    <row r="171" spans="2:9" x14ac:dyDescent="0.3">
      <c r="B171" s="8">
        <v>46210</v>
      </c>
      <c r="C171" s="9" t="str">
        <f>TEXT(B171,"DDD")</f>
        <v>Tue</v>
      </c>
      <c r="D171" s="10">
        <f>WEEKNUM(B171)</f>
        <v>28</v>
      </c>
      <c r="E171" s="10" t="str">
        <f>TEXT(B171,"mmm-yy")</f>
        <v>Jul-26</v>
      </c>
      <c r="F171" s="11" t="s">
        <v>15</v>
      </c>
      <c r="G171" s="11">
        <v>2</v>
      </c>
      <c r="H171" s="11">
        <f>G171*1000</f>
        <v>2000</v>
      </c>
      <c r="I171" s="12"/>
    </row>
    <row r="172" spans="2:9" x14ac:dyDescent="0.3">
      <c r="B172" s="8">
        <v>46211</v>
      </c>
      <c r="C172" s="9" t="str">
        <f>TEXT(B172,"DDD")</f>
        <v>Wed</v>
      </c>
      <c r="D172" s="10">
        <f>WEEKNUM(B172)</f>
        <v>28</v>
      </c>
      <c r="E172" s="10" t="str">
        <f>TEXT(B172,"mmm-yy")</f>
        <v>Jul-26</v>
      </c>
      <c r="F172" s="11" t="s">
        <v>6</v>
      </c>
      <c r="G172" s="11">
        <v>58</v>
      </c>
      <c r="H172" s="11">
        <f>G172*1000</f>
        <v>58000</v>
      </c>
      <c r="I172" s="12"/>
    </row>
    <row r="173" spans="2:9" x14ac:dyDescent="0.3">
      <c r="B173" s="8">
        <v>46211</v>
      </c>
      <c r="C173" s="9" t="str">
        <f>TEXT(B173,"DDD")</f>
        <v>Wed</v>
      </c>
      <c r="D173" s="10">
        <f>WEEKNUM(B173)</f>
        <v>28</v>
      </c>
      <c r="E173" s="10" t="str">
        <f>TEXT(B173,"mmm-yy")</f>
        <v>Jul-26</v>
      </c>
      <c r="F173" s="11" t="s">
        <v>11</v>
      </c>
      <c r="G173" s="11">
        <v>746</v>
      </c>
      <c r="H173" s="11">
        <f>G173*1000</f>
        <v>746000</v>
      </c>
      <c r="I173" s="12"/>
    </row>
    <row r="174" spans="2:9" x14ac:dyDescent="0.3">
      <c r="B174" s="8">
        <v>46211</v>
      </c>
      <c r="C174" s="9" t="str">
        <f>TEXT(B174,"DDD")</f>
        <v>Wed</v>
      </c>
      <c r="D174" s="10">
        <f>WEEKNUM(B174)</f>
        <v>28</v>
      </c>
      <c r="E174" s="10" t="str">
        <f>TEXT(B174,"mmm-yy")</f>
        <v>Jul-26</v>
      </c>
      <c r="F174" s="11" t="s">
        <v>12</v>
      </c>
      <c r="G174" s="11">
        <v>8</v>
      </c>
      <c r="H174" s="11">
        <f>G174*1000</f>
        <v>8000</v>
      </c>
      <c r="I174" s="12"/>
    </row>
    <row r="175" spans="2:9" x14ac:dyDescent="0.3">
      <c r="B175" s="8">
        <v>46211</v>
      </c>
      <c r="C175" s="9" t="str">
        <f>TEXT(B175,"DDD")</f>
        <v>Wed</v>
      </c>
      <c r="D175" s="10">
        <f>WEEKNUM(B175)</f>
        <v>28</v>
      </c>
      <c r="E175" s="10" t="str">
        <f>TEXT(B175,"mmm-yy")</f>
        <v>Jul-26</v>
      </c>
      <c r="F175" s="11" t="s">
        <v>13</v>
      </c>
      <c r="G175" s="11">
        <v>20</v>
      </c>
      <c r="H175" s="11">
        <f>G175*1000</f>
        <v>20000</v>
      </c>
      <c r="I175" s="12"/>
    </row>
    <row r="176" spans="2:9" x14ac:dyDescent="0.3">
      <c r="B176" s="8">
        <v>46211</v>
      </c>
      <c r="C176" s="9" t="str">
        <f>TEXT(B176,"DDD")</f>
        <v>Wed</v>
      </c>
      <c r="D176" s="10">
        <f>WEEKNUM(B176)</f>
        <v>28</v>
      </c>
      <c r="E176" s="10" t="str">
        <f>TEXT(B176,"mmm-yy")</f>
        <v>Jul-26</v>
      </c>
      <c r="F176" s="11" t="s">
        <v>14</v>
      </c>
      <c r="G176" s="11">
        <v>2</v>
      </c>
      <c r="H176" s="11">
        <f>G176*1000</f>
        <v>2000</v>
      </c>
      <c r="I176" s="12"/>
    </row>
    <row r="177" spans="2:9" x14ac:dyDescent="0.3">
      <c r="B177" s="8">
        <v>46211</v>
      </c>
      <c r="C177" s="9" t="str">
        <f>TEXT(B177,"DDD")</f>
        <v>Wed</v>
      </c>
      <c r="D177" s="10">
        <f>WEEKNUM(B177)</f>
        <v>28</v>
      </c>
      <c r="E177" s="10" t="str">
        <f>TEXT(B177,"mmm-yy")</f>
        <v>Jul-26</v>
      </c>
      <c r="F177" s="11" t="s">
        <v>15</v>
      </c>
      <c r="G177" s="11">
        <v>2</v>
      </c>
      <c r="H177" s="11">
        <f>G177*1000</f>
        <v>2000</v>
      </c>
      <c r="I177" s="12"/>
    </row>
    <row r="178" spans="2:9" x14ac:dyDescent="0.3">
      <c r="B178" s="8">
        <v>46212</v>
      </c>
      <c r="C178" s="9" t="str">
        <f>TEXT(B178,"DDD")</f>
        <v>Thu</v>
      </c>
      <c r="D178" s="10">
        <f>WEEKNUM(B178)</f>
        <v>28</v>
      </c>
      <c r="E178" s="10" t="str">
        <f>TEXT(B178,"mmm-yy")</f>
        <v>Jul-26</v>
      </c>
      <c r="F178" s="11" t="s">
        <v>6</v>
      </c>
      <c r="G178" s="11">
        <v>58</v>
      </c>
      <c r="H178" s="11">
        <f>G178*1000</f>
        <v>58000</v>
      </c>
      <c r="I178" s="12"/>
    </row>
    <row r="179" spans="2:9" x14ac:dyDescent="0.3">
      <c r="B179" s="8">
        <v>46212</v>
      </c>
      <c r="C179" s="9" t="str">
        <f>TEXT(B179,"DDD")</f>
        <v>Thu</v>
      </c>
      <c r="D179" s="10">
        <f>WEEKNUM(B179)</f>
        <v>28</v>
      </c>
      <c r="E179" s="10" t="str">
        <f>TEXT(B179,"mmm-yy")</f>
        <v>Jul-26</v>
      </c>
      <c r="F179" s="11" t="s">
        <v>11</v>
      </c>
      <c r="G179" s="11">
        <v>773</v>
      </c>
      <c r="H179" s="11">
        <f>G179*1000</f>
        <v>773000</v>
      </c>
      <c r="I179" s="12"/>
    </row>
    <row r="180" spans="2:9" x14ac:dyDescent="0.3">
      <c r="B180" s="8">
        <v>46212</v>
      </c>
      <c r="C180" s="9" t="str">
        <f>TEXT(B180,"DDD")</f>
        <v>Thu</v>
      </c>
      <c r="D180" s="10">
        <f>WEEKNUM(B180)</f>
        <v>28</v>
      </c>
      <c r="E180" s="10" t="str">
        <f>TEXT(B180,"mmm-yy")</f>
        <v>Jul-26</v>
      </c>
      <c r="F180" s="11" t="s">
        <v>12</v>
      </c>
      <c r="G180" s="11">
        <v>8</v>
      </c>
      <c r="H180" s="11">
        <f>G180*1000</f>
        <v>8000</v>
      </c>
      <c r="I180" s="12"/>
    </row>
    <row r="181" spans="2:9" x14ac:dyDescent="0.3">
      <c r="B181" s="8">
        <v>46212</v>
      </c>
      <c r="C181" s="9" t="str">
        <f>TEXT(B181,"DDD")</f>
        <v>Thu</v>
      </c>
      <c r="D181" s="10">
        <f>WEEKNUM(B181)</f>
        <v>28</v>
      </c>
      <c r="E181" s="10" t="str">
        <f>TEXT(B181,"mmm-yy")</f>
        <v>Jul-26</v>
      </c>
      <c r="F181" s="11" t="s">
        <v>13</v>
      </c>
      <c r="G181" s="11">
        <v>20</v>
      </c>
      <c r="H181" s="11">
        <f>G181*1000</f>
        <v>20000</v>
      </c>
      <c r="I181" s="12"/>
    </row>
    <row r="182" spans="2:9" x14ac:dyDescent="0.3">
      <c r="B182" s="8">
        <v>46212</v>
      </c>
      <c r="C182" s="9" t="str">
        <f>TEXT(B182,"DDD")</f>
        <v>Thu</v>
      </c>
      <c r="D182" s="10">
        <f>WEEKNUM(B182)</f>
        <v>28</v>
      </c>
      <c r="E182" s="10" t="str">
        <f>TEXT(B182,"mmm-yy")</f>
        <v>Jul-26</v>
      </c>
      <c r="F182" s="11" t="s">
        <v>14</v>
      </c>
      <c r="G182" s="11">
        <v>2</v>
      </c>
      <c r="H182" s="11">
        <f>G182*1000</f>
        <v>2000</v>
      </c>
      <c r="I182" s="12"/>
    </row>
    <row r="183" spans="2:9" x14ac:dyDescent="0.3">
      <c r="B183" s="8">
        <v>46212</v>
      </c>
      <c r="C183" s="9" t="str">
        <f>TEXT(B183,"DDD")</f>
        <v>Thu</v>
      </c>
      <c r="D183" s="10">
        <f>WEEKNUM(B183)</f>
        <v>28</v>
      </c>
      <c r="E183" s="10" t="str">
        <f>TEXT(B183,"mmm-yy")</f>
        <v>Jul-26</v>
      </c>
      <c r="F183" s="11" t="s">
        <v>15</v>
      </c>
      <c r="G183" s="11">
        <v>2</v>
      </c>
      <c r="H183" s="11">
        <f>G183*1000</f>
        <v>2000</v>
      </c>
      <c r="I183" s="12"/>
    </row>
    <row r="184" spans="2:9" x14ac:dyDescent="0.3">
      <c r="B184" s="8">
        <v>46213</v>
      </c>
      <c r="C184" s="9" t="str">
        <f>TEXT(B184,"DDD")</f>
        <v>Fri</v>
      </c>
      <c r="D184" s="10">
        <f>WEEKNUM(B184)</f>
        <v>28</v>
      </c>
      <c r="E184" s="10" t="str">
        <f>TEXT(B184,"mmm-yy")</f>
        <v>Jul-26</v>
      </c>
      <c r="F184" s="11" t="s">
        <v>6</v>
      </c>
      <c r="G184" s="11">
        <v>58</v>
      </c>
      <c r="H184" s="11">
        <f>G184*1000</f>
        <v>58000</v>
      </c>
      <c r="I184" s="12"/>
    </row>
    <row r="185" spans="2:9" x14ac:dyDescent="0.3">
      <c r="B185" s="8">
        <v>46213</v>
      </c>
      <c r="C185" s="9" t="str">
        <f>TEXT(B185,"DDD")</f>
        <v>Fri</v>
      </c>
      <c r="D185" s="10">
        <f>WEEKNUM(B185)</f>
        <v>28</v>
      </c>
      <c r="E185" s="10" t="str">
        <f>TEXT(B185,"mmm-yy")</f>
        <v>Jul-26</v>
      </c>
      <c r="F185" s="11" t="s">
        <v>11</v>
      </c>
      <c r="G185" s="11">
        <v>798</v>
      </c>
      <c r="H185" s="11">
        <f>G185*1000</f>
        <v>798000</v>
      </c>
      <c r="I185" s="12"/>
    </row>
    <row r="186" spans="2:9" x14ac:dyDescent="0.3">
      <c r="B186" s="8">
        <v>46213</v>
      </c>
      <c r="C186" s="9" t="str">
        <f>TEXT(B186,"DDD")</f>
        <v>Fri</v>
      </c>
      <c r="D186" s="10">
        <f>WEEKNUM(B186)</f>
        <v>28</v>
      </c>
      <c r="E186" s="10" t="str">
        <f>TEXT(B186,"mmm-yy")</f>
        <v>Jul-26</v>
      </c>
      <c r="F186" s="11" t="s">
        <v>12</v>
      </c>
      <c r="G186" s="11">
        <v>8</v>
      </c>
      <c r="H186" s="11">
        <f>G186*1000</f>
        <v>8000</v>
      </c>
      <c r="I186" s="12"/>
    </row>
    <row r="187" spans="2:9" x14ac:dyDescent="0.3">
      <c r="B187" s="8">
        <v>46213</v>
      </c>
      <c r="C187" s="9" t="str">
        <f>TEXT(B187,"DDD")</f>
        <v>Fri</v>
      </c>
      <c r="D187" s="10">
        <f>WEEKNUM(B187)</f>
        <v>28</v>
      </c>
      <c r="E187" s="10" t="str">
        <f>TEXT(B187,"mmm-yy")</f>
        <v>Jul-26</v>
      </c>
      <c r="F187" s="11" t="s">
        <v>13</v>
      </c>
      <c r="G187" s="11">
        <v>20</v>
      </c>
      <c r="H187" s="11">
        <f>G187*1000</f>
        <v>20000</v>
      </c>
      <c r="I187" s="12"/>
    </row>
    <row r="188" spans="2:9" x14ac:dyDescent="0.3">
      <c r="B188" s="8">
        <v>46213</v>
      </c>
      <c r="C188" s="9" t="str">
        <f>TEXT(B188,"DDD")</f>
        <v>Fri</v>
      </c>
      <c r="D188" s="10">
        <f>WEEKNUM(B188)</f>
        <v>28</v>
      </c>
      <c r="E188" s="10" t="str">
        <f>TEXT(B188,"mmm-yy")</f>
        <v>Jul-26</v>
      </c>
      <c r="F188" s="11" t="s">
        <v>14</v>
      </c>
      <c r="G188" s="11">
        <v>2</v>
      </c>
      <c r="H188" s="11">
        <f>G188*1000</f>
        <v>2000</v>
      </c>
      <c r="I188" s="12"/>
    </row>
    <row r="189" spans="2:9" x14ac:dyDescent="0.3">
      <c r="B189" s="8">
        <v>46213</v>
      </c>
      <c r="C189" s="9" t="str">
        <f>TEXT(B189,"DDD")</f>
        <v>Fri</v>
      </c>
      <c r="D189" s="10">
        <f>WEEKNUM(B189)</f>
        <v>28</v>
      </c>
      <c r="E189" s="10" t="str">
        <f>TEXT(B189,"mmm-yy")</f>
        <v>Jul-26</v>
      </c>
      <c r="F189" s="11" t="s">
        <v>15</v>
      </c>
      <c r="G189" s="11">
        <v>2</v>
      </c>
      <c r="H189" s="11">
        <f>G189*1000</f>
        <v>2000</v>
      </c>
      <c r="I189" s="12"/>
    </row>
    <row r="190" spans="2:9" x14ac:dyDescent="0.3">
      <c r="B190" s="8">
        <v>46214</v>
      </c>
      <c r="C190" s="9" t="str">
        <f>TEXT(B190,"DDD")</f>
        <v>Sat</v>
      </c>
      <c r="D190" s="10">
        <f>WEEKNUM(B190)</f>
        <v>28</v>
      </c>
      <c r="E190" s="10" t="str">
        <f>TEXT(B190,"mmm-yy")</f>
        <v>Jul-26</v>
      </c>
      <c r="F190" s="11" t="s">
        <v>6</v>
      </c>
      <c r="G190" s="11">
        <v>58</v>
      </c>
      <c r="H190" s="11">
        <f>G190*1000</f>
        <v>58000</v>
      </c>
      <c r="I190" s="12"/>
    </row>
    <row r="191" spans="2:9" x14ac:dyDescent="0.3">
      <c r="B191" s="8">
        <v>46214</v>
      </c>
      <c r="C191" s="9" t="str">
        <f>TEXT(B191,"DDD")</f>
        <v>Sat</v>
      </c>
      <c r="D191" s="10">
        <f>WEEKNUM(B191)</f>
        <v>28</v>
      </c>
      <c r="E191" s="10" t="str">
        <f>TEXT(B191,"mmm-yy")</f>
        <v>Jul-26</v>
      </c>
      <c r="F191" s="11" t="s">
        <v>11</v>
      </c>
      <c r="G191" s="11">
        <v>823</v>
      </c>
      <c r="H191" s="11">
        <f>G191*1000</f>
        <v>823000</v>
      </c>
      <c r="I191" s="12"/>
    </row>
    <row r="192" spans="2:9" x14ac:dyDescent="0.3">
      <c r="B192" s="8">
        <v>46214</v>
      </c>
      <c r="C192" s="9" t="str">
        <f>TEXT(B192,"DDD")</f>
        <v>Sat</v>
      </c>
      <c r="D192" s="10">
        <f>WEEKNUM(B192)</f>
        <v>28</v>
      </c>
      <c r="E192" s="10" t="str">
        <f>TEXT(B192,"mmm-yy")</f>
        <v>Jul-26</v>
      </c>
      <c r="F192" s="11" t="s">
        <v>12</v>
      </c>
      <c r="G192" s="11">
        <v>8</v>
      </c>
      <c r="H192" s="11">
        <f>G192*1000</f>
        <v>8000</v>
      </c>
      <c r="I192" s="12"/>
    </row>
    <row r="193" spans="2:9" x14ac:dyDescent="0.3">
      <c r="B193" s="8">
        <v>46214</v>
      </c>
      <c r="C193" s="9" t="str">
        <f>TEXT(B193,"DDD")</f>
        <v>Sat</v>
      </c>
      <c r="D193" s="10">
        <f>WEEKNUM(B193)</f>
        <v>28</v>
      </c>
      <c r="E193" s="10" t="str">
        <f>TEXT(B193,"mmm-yy")</f>
        <v>Jul-26</v>
      </c>
      <c r="F193" s="11" t="s">
        <v>13</v>
      </c>
      <c r="G193" s="11">
        <v>20</v>
      </c>
      <c r="H193" s="11">
        <f>G193*1000</f>
        <v>20000</v>
      </c>
      <c r="I193" s="12"/>
    </row>
    <row r="194" spans="2:9" x14ac:dyDescent="0.3">
      <c r="B194" s="8">
        <v>46214</v>
      </c>
      <c r="C194" s="9" t="str">
        <f>TEXT(B194,"DDD")</f>
        <v>Sat</v>
      </c>
      <c r="D194" s="10">
        <f>WEEKNUM(B194)</f>
        <v>28</v>
      </c>
      <c r="E194" s="10" t="str">
        <f>TEXT(B194,"mmm-yy")</f>
        <v>Jul-26</v>
      </c>
      <c r="F194" s="11" t="s">
        <v>14</v>
      </c>
      <c r="G194" s="11">
        <v>2</v>
      </c>
      <c r="H194" s="11">
        <f>G194*1000</f>
        <v>2000</v>
      </c>
      <c r="I194" s="12"/>
    </row>
    <row r="195" spans="2:9" x14ac:dyDescent="0.3">
      <c r="B195" s="8">
        <v>46214</v>
      </c>
      <c r="C195" s="9" t="str">
        <f>TEXT(B195,"DDD")</f>
        <v>Sat</v>
      </c>
      <c r="D195" s="10">
        <f>WEEKNUM(B195)</f>
        <v>28</v>
      </c>
      <c r="E195" s="10" t="str">
        <f>TEXT(B195,"mmm-yy")</f>
        <v>Jul-26</v>
      </c>
      <c r="F195" s="11" t="s">
        <v>15</v>
      </c>
      <c r="G195" s="11">
        <v>2</v>
      </c>
      <c r="H195" s="11">
        <f>G195*1000</f>
        <v>2000</v>
      </c>
      <c r="I195" s="12"/>
    </row>
    <row r="196" spans="2:9" x14ac:dyDescent="0.3">
      <c r="B196" s="8">
        <v>46215</v>
      </c>
      <c r="C196" s="9" t="str">
        <f>TEXT(B196,"DDD")</f>
        <v>Sun</v>
      </c>
      <c r="D196" s="10">
        <f>WEEKNUM(B196)</f>
        <v>29</v>
      </c>
      <c r="E196" s="10" t="str">
        <f>TEXT(B196,"mmm-yy")</f>
        <v>Jul-26</v>
      </c>
      <c r="F196" s="11" t="s">
        <v>6</v>
      </c>
      <c r="G196" s="11">
        <v>58</v>
      </c>
      <c r="H196" s="11">
        <f>G196*1000</f>
        <v>58000</v>
      </c>
      <c r="I196" s="12"/>
    </row>
    <row r="197" spans="2:9" x14ac:dyDescent="0.3">
      <c r="B197" s="8">
        <v>46215</v>
      </c>
      <c r="C197" s="9" t="str">
        <f>TEXT(B197,"DDD")</f>
        <v>Sun</v>
      </c>
      <c r="D197" s="10">
        <f>WEEKNUM(B197)</f>
        <v>29</v>
      </c>
      <c r="E197" s="10" t="str">
        <f>TEXT(B197,"mmm-yy")</f>
        <v>Jul-26</v>
      </c>
      <c r="F197" s="11" t="s">
        <v>11</v>
      </c>
      <c r="G197" s="11">
        <v>850</v>
      </c>
      <c r="H197" s="11">
        <f>G197*1000</f>
        <v>850000</v>
      </c>
      <c r="I197" s="12"/>
    </row>
    <row r="198" spans="2:9" x14ac:dyDescent="0.3">
      <c r="B198" s="8">
        <v>46215</v>
      </c>
      <c r="C198" s="9" t="str">
        <f>TEXT(B198,"DDD")</f>
        <v>Sun</v>
      </c>
      <c r="D198" s="10">
        <f>WEEKNUM(B198)</f>
        <v>29</v>
      </c>
      <c r="E198" s="10" t="str">
        <f>TEXT(B198,"mmm-yy")</f>
        <v>Jul-26</v>
      </c>
      <c r="F198" s="11" t="s">
        <v>12</v>
      </c>
      <c r="G198" s="11">
        <v>8</v>
      </c>
      <c r="H198" s="11">
        <f>G198*1000</f>
        <v>8000</v>
      </c>
      <c r="I198" s="12"/>
    </row>
    <row r="199" spans="2:9" x14ac:dyDescent="0.3">
      <c r="B199" s="8">
        <v>46215</v>
      </c>
      <c r="C199" s="9" t="str">
        <f>TEXT(B199,"DDD")</f>
        <v>Sun</v>
      </c>
      <c r="D199" s="10">
        <f>WEEKNUM(B199)</f>
        <v>29</v>
      </c>
      <c r="E199" s="10" t="str">
        <f>TEXT(B199,"mmm-yy")</f>
        <v>Jul-26</v>
      </c>
      <c r="F199" s="11" t="s">
        <v>13</v>
      </c>
      <c r="G199" s="11">
        <v>20</v>
      </c>
      <c r="H199" s="11">
        <f>G199*1000</f>
        <v>20000</v>
      </c>
      <c r="I199" s="12"/>
    </row>
    <row r="200" spans="2:9" x14ac:dyDescent="0.3">
      <c r="B200" s="8">
        <v>46215</v>
      </c>
      <c r="C200" s="9" t="str">
        <f>TEXT(B200,"DDD")</f>
        <v>Sun</v>
      </c>
      <c r="D200" s="10">
        <f>WEEKNUM(B200)</f>
        <v>29</v>
      </c>
      <c r="E200" s="10" t="str">
        <f>TEXT(B200,"mmm-yy")</f>
        <v>Jul-26</v>
      </c>
      <c r="F200" s="11" t="s">
        <v>14</v>
      </c>
      <c r="G200" s="11">
        <v>2</v>
      </c>
      <c r="H200" s="11">
        <f>G200*1000</f>
        <v>2000</v>
      </c>
      <c r="I200" s="12"/>
    </row>
    <row r="201" spans="2:9" x14ac:dyDescent="0.3">
      <c r="B201" s="8">
        <v>46215</v>
      </c>
      <c r="C201" s="9" t="str">
        <f>TEXT(B201,"DDD")</f>
        <v>Sun</v>
      </c>
      <c r="D201" s="10">
        <f>WEEKNUM(B201)</f>
        <v>29</v>
      </c>
      <c r="E201" s="10" t="str">
        <f>TEXT(B201,"mmm-yy")</f>
        <v>Jul-26</v>
      </c>
      <c r="F201" s="11" t="s">
        <v>15</v>
      </c>
      <c r="G201" s="11">
        <v>2</v>
      </c>
      <c r="H201" s="11">
        <f>G201*1000</f>
        <v>2000</v>
      </c>
      <c r="I201" s="12"/>
    </row>
    <row r="202" spans="2:9" x14ac:dyDescent="0.3">
      <c r="B202" s="8">
        <v>46216</v>
      </c>
      <c r="C202" s="9" t="str">
        <f>TEXT(B202,"DDD")</f>
        <v>Mon</v>
      </c>
      <c r="D202" s="10">
        <f>WEEKNUM(B202)</f>
        <v>29</v>
      </c>
      <c r="E202" s="10" t="str">
        <f>TEXT(B202,"mmm-yy")</f>
        <v>Jul-26</v>
      </c>
      <c r="F202" s="11" t="s">
        <v>6</v>
      </c>
      <c r="G202" s="11">
        <v>58</v>
      </c>
      <c r="H202" s="11">
        <f>G202*1000</f>
        <v>58000</v>
      </c>
      <c r="I202" s="12"/>
    </row>
    <row r="203" spans="2:9" x14ac:dyDescent="0.3">
      <c r="B203" s="8">
        <v>46216</v>
      </c>
      <c r="C203" s="9" t="str">
        <f>TEXT(B203,"DDD")</f>
        <v>Mon</v>
      </c>
      <c r="D203" s="10">
        <f>WEEKNUM(B203)</f>
        <v>29</v>
      </c>
      <c r="E203" s="10" t="str">
        <f>TEXT(B203,"mmm-yy")</f>
        <v>Jul-26</v>
      </c>
      <c r="F203" s="11" t="s">
        <v>11</v>
      </c>
      <c r="G203" s="11">
        <v>856</v>
      </c>
      <c r="H203" s="11">
        <f>G203*1000</f>
        <v>856000</v>
      </c>
      <c r="I203" s="12"/>
    </row>
    <row r="204" spans="2:9" x14ac:dyDescent="0.3">
      <c r="B204" s="8">
        <v>46216</v>
      </c>
      <c r="C204" s="9" t="str">
        <f>TEXT(B204,"DDD")</f>
        <v>Mon</v>
      </c>
      <c r="D204" s="10">
        <f>WEEKNUM(B204)</f>
        <v>29</v>
      </c>
      <c r="E204" s="10" t="str">
        <f>TEXT(B204,"mmm-yy")</f>
        <v>Jul-26</v>
      </c>
      <c r="F204" s="11" t="s">
        <v>12</v>
      </c>
      <c r="G204" s="11">
        <v>8</v>
      </c>
      <c r="H204" s="11">
        <f>G204*1000</f>
        <v>8000</v>
      </c>
      <c r="I204" s="12"/>
    </row>
    <row r="205" spans="2:9" x14ac:dyDescent="0.3">
      <c r="B205" s="8">
        <v>46216</v>
      </c>
      <c r="C205" s="9" t="str">
        <f>TEXT(B205,"DDD")</f>
        <v>Mon</v>
      </c>
      <c r="D205" s="10">
        <f>WEEKNUM(B205)</f>
        <v>29</v>
      </c>
      <c r="E205" s="10" t="str">
        <f>TEXT(B205,"mmm-yy")</f>
        <v>Jul-26</v>
      </c>
      <c r="F205" s="11" t="s">
        <v>13</v>
      </c>
      <c r="G205" s="11">
        <v>20</v>
      </c>
      <c r="H205" s="11">
        <f>G205*1000</f>
        <v>20000</v>
      </c>
      <c r="I205" s="12"/>
    </row>
    <row r="206" spans="2:9" x14ac:dyDescent="0.3">
      <c r="B206" s="8">
        <v>46216</v>
      </c>
      <c r="C206" s="9" t="str">
        <f>TEXT(B206,"DDD")</f>
        <v>Mon</v>
      </c>
      <c r="D206" s="10">
        <f>WEEKNUM(B206)</f>
        <v>29</v>
      </c>
      <c r="E206" s="10" t="str">
        <f>TEXT(B206,"mmm-yy")</f>
        <v>Jul-26</v>
      </c>
      <c r="F206" s="11" t="s">
        <v>14</v>
      </c>
      <c r="G206" s="11">
        <v>2</v>
      </c>
      <c r="H206" s="11">
        <f>G206*1000</f>
        <v>2000</v>
      </c>
      <c r="I206" s="12"/>
    </row>
    <row r="207" spans="2:9" x14ac:dyDescent="0.3">
      <c r="B207" s="8">
        <v>46216</v>
      </c>
      <c r="C207" s="9" t="str">
        <f>TEXT(B207,"DDD")</f>
        <v>Mon</v>
      </c>
      <c r="D207" s="10">
        <f>WEEKNUM(B207)</f>
        <v>29</v>
      </c>
      <c r="E207" s="10" t="str">
        <f>TEXT(B207,"mmm-yy")</f>
        <v>Jul-26</v>
      </c>
      <c r="F207" s="11" t="s">
        <v>15</v>
      </c>
      <c r="G207" s="11">
        <v>2</v>
      </c>
      <c r="H207" s="11">
        <f>G207*1000</f>
        <v>2000</v>
      </c>
      <c r="I207" s="12"/>
    </row>
    <row r="208" spans="2:9" x14ac:dyDescent="0.3">
      <c r="B208" s="8">
        <v>46217</v>
      </c>
      <c r="C208" s="9" t="str">
        <f>TEXT(B208,"DDD")</f>
        <v>Tue</v>
      </c>
      <c r="D208" s="10">
        <f>WEEKNUM(B208)</f>
        <v>29</v>
      </c>
      <c r="E208" s="10" t="str">
        <f>TEXT(B208,"mmm-yy")</f>
        <v>Jul-26</v>
      </c>
      <c r="F208" s="11" t="s">
        <v>6</v>
      </c>
      <c r="G208" s="11">
        <v>58</v>
      </c>
      <c r="H208" s="11">
        <f>G208*1000</f>
        <v>58000</v>
      </c>
      <c r="I208" s="12"/>
    </row>
    <row r="209" spans="2:9" x14ac:dyDescent="0.3">
      <c r="B209" s="8">
        <v>46217</v>
      </c>
      <c r="C209" s="9" t="str">
        <f>TEXT(B209,"DDD")</f>
        <v>Tue</v>
      </c>
      <c r="D209" s="10">
        <f>WEEKNUM(B209)</f>
        <v>29</v>
      </c>
      <c r="E209" s="10" t="str">
        <f>TEXT(B209,"mmm-yy")</f>
        <v>Jul-26</v>
      </c>
      <c r="F209" s="11" t="s">
        <v>11</v>
      </c>
      <c r="G209" s="11">
        <v>895</v>
      </c>
      <c r="H209" s="11">
        <f>G209*1000</f>
        <v>895000</v>
      </c>
      <c r="I209" s="12"/>
    </row>
    <row r="210" spans="2:9" x14ac:dyDescent="0.3">
      <c r="B210" s="8">
        <v>46217</v>
      </c>
      <c r="C210" s="9" t="str">
        <f>TEXT(B210,"DDD")</f>
        <v>Tue</v>
      </c>
      <c r="D210" s="10">
        <f>WEEKNUM(B210)</f>
        <v>29</v>
      </c>
      <c r="E210" s="10" t="str">
        <f>TEXT(B210,"mmm-yy")</f>
        <v>Jul-26</v>
      </c>
      <c r="F210" s="11" t="s">
        <v>12</v>
      </c>
      <c r="G210" s="11">
        <v>8</v>
      </c>
      <c r="H210" s="11">
        <f>G210*1000</f>
        <v>8000</v>
      </c>
      <c r="I210" s="12"/>
    </row>
    <row r="211" spans="2:9" x14ac:dyDescent="0.3">
      <c r="B211" s="8">
        <v>46217</v>
      </c>
      <c r="C211" s="9" t="str">
        <f>TEXT(B211,"DDD")</f>
        <v>Tue</v>
      </c>
      <c r="D211" s="10">
        <f>WEEKNUM(B211)</f>
        <v>29</v>
      </c>
      <c r="E211" s="10" t="str">
        <f>TEXT(B211,"mmm-yy")</f>
        <v>Jul-26</v>
      </c>
      <c r="F211" s="11" t="s">
        <v>13</v>
      </c>
      <c r="G211" s="11">
        <v>20</v>
      </c>
      <c r="H211" s="11">
        <f>G211*1000</f>
        <v>20000</v>
      </c>
      <c r="I211" s="12"/>
    </row>
    <row r="212" spans="2:9" x14ac:dyDescent="0.3">
      <c r="B212" s="8">
        <v>46217</v>
      </c>
      <c r="C212" s="9" t="str">
        <f>TEXT(B212,"DDD")</f>
        <v>Tue</v>
      </c>
      <c r="D212" s="10">
        <f>WEEKNUM(B212)</f>
        <v>29</v>
      </c>
      <c r="E212" s="10" t="str">
        <f>TEXT(B212,"mmm-yy")</f>
        <v>Jul-26</v>
      </c>
      <c r="F212" s="11" t="s">
        <v>14</v>
      </c>
      <c r="G212" s="11">
        <v>2</v>
      </c>
      <c r="H212" s="11">
        <f>G212*1000</f>
        <v>2000</v>
      </c>
      <c r="I212" s="12"/>
    </row>
    <row r="213" spans="2:9" x14ac:dyDescent="0.3">
      <c r="B213" s="8">
        <v>46217</v>
      </c>
      <c r="C213" s="9" t="str">
        <f>TEXT(B213,"DDD")</f>
        <v>Tue</v>
      </c>
      <c r="D213" s="10">
        <f>WEEKNUM(B213)</f>
        <v>29</v>
      </c>
      <c r="E213" s="10" t="str">
        <f>TEXT(B213,"mmm-yy")</f>
        <v>Jul-26</v>
      </c>
      <c r="F213" s="11" t="s">
        <v>15</v>
      </c>
      <c r="G213" s="11">
        <v>2</v>
      </c>
      <c r="H213" s="11">
        <f>G213*1000</f>
        <v>2000</v>
      </c>
      <c r="I213" s="12"/>
    </row>
    <row r="214" spans="2:9" x14ac:dyDescent="0.3">
      <c r="B214" s="8">
        <v>46218</v>
      </c>
      <c r="C214" s="9" t="str">
        <f>TEXT(B214,"DDD")</f>
        <v>Wed</v>
      </c>
      <c r="D214" s="10">
        <f>WEEKNUM(B214)</f>
        <v>29</v>
      </c>
      <c r="E214" s="10" t="str">
        <f>TEXT(B214,"mmm-yy")</f>
        <v>Jul-26</v>
      </c>
      <c r="F214" s="11" t="s">
        <v>6</v>
      </c>
      <c r="G214" s="11">
        <v>58</v>
      </c>
      <c r="H214" s="11">
        <f>G214*1000</f>
        <v>58000</v>
      </c>
      <c r="I214" s="12"/>
    </row>
    <row r="215" spans="2:9" x14ac:dyDescent="0.3">
      <c r="B215" s="8">
        <v>46218</v>
      </c>
      <c r="C215" s="9" t="str">
        <f>TEXT(B215,"DDD")</f>
        <v>Wed</v>
      </c>
      <c r="D215" s="10">
        <f>WEEKNUM(B215)</f>
        <v>29</v>
      </c>
      <c r="E215" s="10" t="str">
        <f>TEXT(B215,"mmm-yy")</f>
        <v>Jul-26</v>
      </c>
      <c r="F215" s="11" t="s">
        <v>11</v>
      </c>
      <c r="G215" s="11">
        <v>921</v>
      </c>
      <c r="H215" s="11">
        <f>G215*1000</f>
        <v>921000</v>
      </c>
      <c r="I215" s="12"/>
    </row>
    <row r="216" spans="2:9" x14ac:dyDescent="0.3">
      <c r="B216" s="8">
        <v>46218</v>
      </c>
      <c r="C216" s="9" t="str">
        <f>TEXT(B216,"DDD")</f>
        <v>Wed</v>
      </c>
      <c r="D216" s="10">
        <f>WEEKNUM(B216)</f>
        <v>29</v>
      </c>
      <c r="E216" s="10" t="str">
        <f>TEXT(B216,"mmm-yy")</f>
        <v>Jul-26</v>
      </c>
      <c r="F216" s="11" t="s">
        <v>12</v>
      </c>
      <c r="G216" s="11">
        <v>8</v>
      </c>
      <c r="H216" s="11">
        <f>G216*1000</f>
        <v>8000</v>
      </c>
      <c r="I216" s="12"/>
    </row>
    <row r="217" spans="2:9" x14ac:dyDescent="0.3">
      <c r="B217" s="8">
        <v>46218</v>
      </c>
      <c r="C217" s="9" t="str">
        <f>TEXT(B217,"DDD")</f>
        <v>Wed</v>
      </c>
      <c r="D217" s="10">
        <f>WEEKNUM(B217)</f>
        <v>29</v>
      </c>
      <c r="E217" s="10" t="str">
        <f>TEXT(B217,"mmm-yy")</f>
        <v>Jul-26</v>
      </c>
      <c r="F217" s="11" t="s">
        <v>13</v>
      </c>
      <c r="G217" s="11">
        <v>20</v>
      </c>
      <c r="H217" s="11">
        <f>G217*1000</f>
        <v>20000</v>
      </c>
      <c r="I217" s="12"/>
    </row>
    <row r="218" spans="2:9" x14ac:dyDescent="0.3">
      <c r="B218" s="8">
        <v>46218</v>
      </c>
      <c r="C218" s="9" t="str">
        <f>TEXT(B218,"DDD")</f>
        <v>Wed</v>
      </c>
      <c r="D218" s="10">
        <f>WEEKNUM(B218)</f>
        <v>29</v>
      </c>
      <c r="E218" s="10" t="str">
        <f>TEXT(B218,"mmm-yy")</f>
        <v>Jul-26</v>
      </c>
      <c r="F218" s="11" t="s">
        <v>14</v>
      </c>
      <c r="G218" s="11">
        <v>2</v>
      </c>
      <c r="H218" s="11">
        <f>G218*1000</f>
        <v>2000</v>
      </c>
      <c r="I218" s="12"/>
    </row>
    <row r="219" spans="2:9" x14ac:dyDescent="0.3">
      <c r="B219" s="8">
        <v>46218</v>
      </c>
      <c r="C219" s="9" t="str">
        <f>TEXT(B219,"DDD")</f>
        <v>Wed</v>
      </c>
      <c r="D219" s="10">
        <f>WEEKNUM(B219)</f>
        <v>29</v>
      </c>
      <c r="E219" s="10" t="str">
        <f>TEXT(B219,"mmm-yy")</f>
        <v>Jul-26</v>
      </c>
      <c r="F219" s="11" t="s">
        <v>15</v>
      </c>
      <c r="G219" s="11">
        <v>2</v>
      </c>
      <c r="H219" s="11">
        <f>G219*1000</f>
        <v>2000</v>
      </c>
      <c r="I219" s="12"/>
    </row>
    <row r="220" spans="2:9" x14ac:dyDescent="0.3">
      <c r="B220" s="8">
        <v>46219</v>
      </c>
      <c r="C220" s="9" t="str">
        <f>TEXT(B220,"DDD")</f>
        <v>Thu</v>
      </c>
      <c r="D220" s="10">
        <f>WEEKNUM(B220)</f>
        <v>29</v>
      </c>
      <c r="E220" s="10" t="str">
        <f>TEXT(B220,"mmm-yy")</f>
        <v>Jul-26</v>
      </c>
      <c r="F220" s="11" t="s">
        <v>6</v>
      </c>
      <c r="G220" s="11">
        <v>58</v>
      </c>
      <c r="H220" s="11">
        <f>G220*1000</f>
        <v>58000</v>
      </c>
      <c r="I220" s="12"/>
    </row>
    <row r="221" spans="2:9" x14ac:dyDescent="0.3">
      <c r="B221" s="8">
        <v>46219</v>
      </c>
      <c r="C221" s="9" t="str">
        <f>TEXT(B221,"DDD")</f>
        <v>Thu</v>
      </c>
      <c r="D221" s="10">
        <f>WEEKNUM(B221)</f>
        <v>29</v>
      </c>
      <c r="E221" s="10" t="str">
        <f>TEXT(B221,"mmm-yy")</f>
        <v>Jul-26</v>
      </c>
      <c r="F221" s="11" t="s">
        <v>11</v>
      </c>
      <c r="G221" s="11">
        <v>952</v>
      </c>
      <c r="H221" s="11">
        <f>G221*1000</f>
        <v>952000</v>
      </c>
      <c r="I221" s="12"/>
    </row>
    <row r="222" spans="2:9" x14ac:dyDescent="0.3">
      <c r="B222" s="8">
        <v>46219</v>
      </c>
      <c r="C222" s="9" t="str">
        <f>TEXT(B222,"DDD")</f>
        <v>Thu</v>
      </c>
      <c r="D222" s="10">
        <f>WEEKNUM(B222)</f>
        <v>29</v>
      </c>
      <c r="E222" s="10" t="str">
        <f>TEXT(B222,"mmm-yy")</f>
        <v>Jul-26</v>
      </c>
      <c r="F222" s="11" t="s">
        <v>12</v>
      </c>
      <c r="G222" s="11">
        <v>8</v>
      </c>
      <c r="H222" s="11">
        <f>G222*1000</f>
        <v>8000</v>
      </c>
      <c r="I222" s="12"/>
    </row>
    <row r="223" spans="2:9" x14ac:dyDescent="0.3">
      <c r="B223" s="8">
        <v>46219</v>
      </c>
      <c r="C223" s="9" t="str">
        <f>TEXT(B223,"DDD")</f>
        <v>Thu</v>
      </c>
      <c r="D223" s="10">
        <f>WEEKNUM(B223)</f>
        <v>29</v>
      </c>
      <c r="E223" s="10" t="str">
        <f>TEXT(B223,"mmm-yy")</f>
        <v>Jul-26</v>
      </c>
      <c r="F223" s="11" t="s">
        <v>13</v>
      </c>
      <c r="G223" s="11">
        <v>20</v>
      </c>
      <c r="H223" s="11">
        <f>G223*1000</f>
        <v>20000</v>
      </c>
      <c r="I223" s="12"/>
    </row>
    <row r="224" spans="2:9" x14ac:dyDescent="0.3">
      <c r="B224" s="8">
        <v>46219</v>
      </c>
      <c r="C224" s="9" t="str">
        <f>TEXT(B224,"DDD")</f>
        <v>Thu</v>
      </c>
      <c r="D224" s="10">
        <f>WEEKNUM(B224)</f>
        <v>29</v>
      </c>
      <c r="E224" s="10" t="str">
        <f>TEXT(B224,"mmm-yy")</f>
        <v>Jul-26</v>
      </c>
      <c r="F224" s="11" t="s">
        <v>14</v>
      </c>
      <c r="G224" s="11">
        <v>2</v>
      </c>
      <c r="H224" s="11">
        <f>G224*1000</f>
        <v>2000</v>
      </c>
      <c r="I224" s="12"/>
    </row>
    <row r="225" spans="2:9" x14ac:dyDescent="0.3">
      <c r="B225" s="8">
        <v>46219</v>
      </c>
      <c r="C225" s="9" t="str">
        <f>TEXT(B225,"DDD")</f>
        <v>Thu</v>
      </c>
      <c r="D225" s="10">
        <f>WEEKNUM(B225)</f>
        <v>29</v>
      </c>
      <c r="E225" s="10" t="str">
        <f>TEXT(B225,"mmm-yy")</f>
        <v>Jul-26</v>
      </c>
      <c r="F225" s="11" t="s">
        <v>15</v>
      </c>
      <c r="G225" s="11">
        <v>2</v>
      </c>
      <c r="H225" s="11">
        <f>G225*1000</f>
        <v>2000</v>
      </c>
      <c r="I225" s="12"/>
    </row>
    <row r="226" spans="2:9" x14ac:dyDescent="0.3">
      <c r="B226" s="8">
        <v>46220</v>
      </c>
      <c r="C226" s="9" t="str">
        <f>TEXT(B226,"DDD")</f>
        <v>Fri</v>
      </c>
      <c r="D226" s="10">
        <f>WEEKNUM(B226)</f>
        <v>29</v>
      </c>
      <c r="E226" s="10" t="str">
        <f>TEXT(B226,"mmm-yy")</f>
        <v>Jul-26</v>
      </c>
      <c r="F226" s="11" t="s">
        <v>6</v>
      </c>
      <c r="G226" s="11">
        <v>90</v>
      </c>
      <c r="H226" s="11">
        <f>G226*1000</f>
        <v>90000</v>
      </c>
      <c r="I226" s="12" t="s">
        <v>10</v>
      </c>
    </row>
    <row r="227" spans="2:9" x14ac:dyDescent="0.3">
      <c r="B227" s="8">
        <v>46220</v>
      </c>
      <c r="C227" s="9" t="str">
        <f>TEXT(B227,"DDD")</f>
        <v>Fri</v>
      </c>
      <c r="D227" s="10">
        <f>WEEKNUM(B227)</f>
        <v>29</v>
      </c>
      <c r="E227" s="10" t="str">
        <f>TEXT(B227,"mmm-yy")</f>
        <v>Jul-26</v>
      </c>
      <c r="F227" s="11" t="s">
        <v>11</v>
      </c>
      <c r="G227" s="11">
        <v>984</v>
      </c>
      <c r="H227" s="11">
        <f>G227*1000</f>
        <v>984000</v>
      </c>
      <c r="I227" s="12"/>
    </row>
    <row r="228" spans="2:9" x14ac:dyDescent="0.3">
      <c r="B228" s="8">
        <v>46220</v>
      </c>
      <c r="C228" s="9" t="str">
        <f>TEXT(B228,"DDD")</f>
        <v>Fri</v>
      </c>
      <c r="D228" s="10">
        <f>WEEKNUM(B228)</f>
        <v>29</v>
      </c>
      <c r="E228" s="10" t="str">
        <f>TEXT(B228,"mmm-yy")</f>
        <v>Jul-26</v>
      </c>
      <c r="F228" s="11" t="s">
        <v>12</v>
      </c>
      <c r="G228" s="11">
        <v>8</v>
      </c>
      <c r="H228" s="11">
        <f>G228*1000</f>
        <v>8000</v>
      </c>
      <c r="I228" s="12"/>
    </row>
    <row r="229" spans="2:9" x14ac:dyDescent="0.3">
      <c r="B229" s="8">
        <v>46220</v>
      </c>
      <c r="C229" s="9" t="str">
        <f>TEXT(B229,"DDD")</f>
        <v>Fri</v>
      </c>
      <c r="D229" s="10">
        <f>WEEKNUM(B229)</f>
        <v>29</v>
      </c>
      <c r="E229" s="10" t="str">
        <f>TEXT(B229,"mmm-yy")</f>
        <v>Jul-26</v>
      </c>
      <c r="F229" s="11" t="s">
        <v>13</v>
      </c>
      <c r="G229" s="11">
        <v>20</v>
      </c>
      <c r="H229" s="11">
        <f>G229*1000</f>
        <v>20000</v>
      </c>
      <c r="I229" s="12"/>
    </row>
    <row r="230" spans="2:9" x14ac:dyDescent="0.3">
      <c r="B230" s="8">
        <v>46220</v>
      </c>
      <c r="C230" s="9" t="str">
        <f>TEXT(B230,"DDD")</f>
        <v>Fri</v>
      </c>
      <c r="D230" s="10">
        <f>WEEKNUM(B230)</f>
        <v>29</v>
      </c>
      <c r="E230" s="10" t="str">
        <f>TEXT(B230,"mmm-yy")</f>
        <v>Jul-26</v>
      </c>
      <c r="F230" s="11" t="s">
        <v>14</v>
      </c>
      <c r="G230" s="11">
        <v>2</v>
      </c>
      <c r="H230" s="11">
        <f>G230*1000</f>
        <v>2000</v>
      </c>
      <c r="I230" s="12"/>
    </row>
    <row r="231" spans="2:9" x14ac:dyDescent="0.3">
      <c r="B231" s="8">
        <v>46220</v>
      </c>
      <c r="C231" s="9" t="str">
        <f>TEXT(B231,"DDD")</f>
        <v>Fri</v>
      </c>
      <c r="D231" s="10">
        <f>WEEKNUM(B231)</f>
        <v>29</v>
      </c>
      <c r="E231" s="10" t="str">
        <f>TEXT(B231,"mmm-yy")</f>
        <v>Jul-26</v>
      </c>
      <c r="F231" s="11" t="s">
        <v>15</v>
      </c>
      <c r="G231" s="11">
        <v>2</v>
      </c>
      <c r="H231" s="11">
        <f>G231*1000</f>
        <v>2000</v>
      </c>
      <c r="I231" s="12"/>
    </row>
    <row r="232" spans="2:9" x14ac:dyDescent="0.3">
      <c r="B232" s="8"/>
      <c r="C232" s="9" t="str">
        <f>TEXT(B232,"DDD")</f>
        <v>Sat</v>
      </c>
      <c r="D232" s="10">
        <f>WEEKNUM(B232)</f>
        <v>0</v>
      </c>
      <c r="E232" s="10" t="str">
        <f>TEXT(B232,"mmm-yy")</f>
        <v>Jan-00</v>
      </c>
      <c r="F232" s="11"/>
      <c r="G232" s="11"/>
      <c r="H232" s="11">
        <f>G232*1000</f>
        <v>0</v>
      </c>
      <c r="I232" s="12"/>
    </row>
    <row r="233" spans="2:9" x14ac:dyDescent="0.3">
      <c r="B233" s="8"/>
      <c r="C233" s="9" t="str">
        <f>TEXT(B233,"DDD")</f>
        <v>Sat</v>
      </c>
      <c r="D233" s="10">
        <f>WEEKNUM(B233)</f>
        <v>0</v>
      </c>
      <c r="E233" s="10" t="str">
        <f>TEXT(B233,"mmm-yy")</f>
        <v>Jan-00</v>
      </c>
      <c r="F233" s="11"/>
      <c r="G233" s="11"/>
      <c r="H233" s="11">
        <f>G233*1000</f>
        <v>0</v>
      </c>
      <c r="I233" s="12"/>
    </row>
    <row r="234" spans="2:9" x14ac:dyDescent="0.3">
      <c r="B234" s="8"/>
      <c r="C234" s="9" t="str">
        <f>TEXT(B234,"DDD")</f>
        <v>Sat</v>
      </c>
      <c r="D234" s="10">
        <f>WEEKNUM(B234)</f>
        <v>0</v>
      </c>
      <c r="E234" s="10" t="str">
        <f>TEXT(B234,"mmm-yy")</f>
        <v>Jan-00</v>
      </c>
      <c r="F234" s="11"/>
      <c r="G234" s="11"/>
      <c r="H234" s="11">
        <f>G234*1000</f>
        <v>0</v>
      </c>
      <c r="I234" s="12"/>
    </row>
    <row r="235" spans="2:9" x14ac:dyDescent="0.3">
      <c r="B235" s="8"/>
      <c r="C235" s="9" t="str">
        <f>TEXT(B235,"DDD")</f>
        <v>Sat</v>
      </c>
      <c r="D235" s="10">
        <f>WEEKNUM(B235)</f>
        <v>0</v>
      </c>
      <c r="E235" s="10" t="str">
        <f>TEXT(B235,"mmm-yy")</f>
        <v>Jan-00</v>
      </c>
      <c r="F235" s="11"/>
      <c r="G235" s="11"/>
      <c r="H235" s="11">
        <f>G235*1000</f>
        <v>0</v>
      </c>
      <c r="I235" s="12"/>
    </row>
    <row r="236" spans="2:9" x14ac:dyDescent="0.3">
      <c r="B236" s="8"/>
      <c r="C236" s="9" t="str">
        <f>TEXT(B236,"DDD")</f>
        <v>Sat</v>
      </c>
      <c r="D236" s="10">
        <f>WEEKNUM(B236)</f>
        <v>0</v>
      </c>
      <c r="E236" s="10" t="str">
        <f>TEXT(B236,"mmm-yy")</f>
        <v>Jan-00</v>
      </c>
      <c r="F236" s="11"/>
      <c r="G236" s="11"/>
      <c r="H236" s="11">
        <f>G236*1000</f>
        <v>0</v>
      </c>
      <c r="I236" s="12"/>
    </row>
    <row r="237" spans="2:9" x14ac:dyDescent="0.3">
      <c r="B237" s="8"/>
      <c r="C237" s="9" t="str">
        <f>TEXT(B237,"DDD")</f>
        <v>Sat</v>
      </c>
      <c r="D237" s="10">
        <f>WEEKNUM(B237)</f>
        <v>0</v>
      </c>
      <c r="E237" s="10" t="str">
        <f>TEXT(B237,"mmm-yy")</f>
        <v>Jan-00</v>
      </c>
      <c r="F237" s="11"/>
      <c r="G237" s="11"/>
      <c r="H237" s="11">
        <f>G237*1000</f>
        <v>0</v>
      </c>
      <c r="I237" s="12"/>
    </row>
    <row r="238" spans="2:9" x14ac:dyDescent="0.3">
      <c r="B238" s="13"/>
      <c r="C238" s="9" t="str">
        <f>TEXT(B238,"DDD")</f>
        <v>Sat</v>
      </c>
      <c r="D238" s="10">
        <f>WEEKNUM(B238)</f>
        <v>0</v>
      </c>
      <c r="E238" s="10" t="str">
        <f>TEXT(B238,"mmm-yy")</f>
        <v>Jan-00</v>
      </c>
      <c r="F238" s="11"/>
      <c r="G238" s="11"/>
      <c r="H238" s="11">
        <f>G238*1000</f>
        <v>0</v>
      </c>
      <c r="I238" s="12"/>
    </row>
    <row r="239" spans="2:9" x14ac:dyDescent="0.3">
      <c r="B239" s="13"/>
      <c r="C239" s="9" t="str">
        <f>TEXT(B239,"DDD")</f>
        <v>Sat</v>
      </c>
      <c r="D239" s="10">
        <f>WEEKNUM(B239)</f>
        <v>0</v>
      </c>
      <c r="E239" s="10" t="str">
        <f>TEXT(B239,"mmm-yy")</f>
        <v>Jan-00</v>
      </c>
      <c r="F239" s="11"/>
      <c r="G239" s="11"/>
      <c r="H239" s="11">
        <f>G239*1000</f>
        <v>0</v>
      </c>
      <c r="I239" s="12"/>
    </row>
    <row r="240" spans="2:9" x14ac:dyDescent="0.3">
      <c r="B240" s="13"/>
      <c r="C240" s="9" t="str">
        <f>TEXT(B240,"DDD")</f>
        <v>Sat</v>
      </c>
      <c r="D240" s="10">
        <f>WEEKNUM(B240)</f>
        <v>0</v>
      </c>
      <c r="E240" s="10" t="str">
        <f>TEXT(B240,"mmm-yy")</f>
        <v>Jan-00</v>
      </c>
      <c r="F240" s="11"/>
      <c r="G240" s="11"/>
      <c r="H240" s="11">
        <f>G240*1000</f>
        <v>0</v>
      </c>
      <c r="I240" s="12"/>
    </row>
    <row r="241" spans="2:9" x14ac:dyDescent="0.3">
      <c r="B241" s="13"/>
      <c r="C241" s="9" t="str">
        <f>TEXT(B241,"DDD")</f>
        <v>Sat</v>
      </c>
      <c r="D241" s="10">
        <f>WEEKNUM(B241)</f>
        <v>0</v>
      </c>
      <c r="E241" s="10" t="str">
        <f>TEXT(B241,"mmm-yy")</f>
        <v>Jan-00</v>
      </c>
      <c r="F241" s="11"/>
      <c r="G241" s="11"/>
      <c r="H241" s="11">
        <f>G241*1000</f>
        <v>0</v>
      </c>
      <c r="I241" s="12"/>
    </row>
    <row r="242" spans="2:9" x14ac:dyDescent="0.3">
      <c r="B242" s="13"/>
      <c r="C242" s="9" t="str">
        <f>TEXT(B242,"DDD")</f>
        <v>Sat</v>
      </c>
      <c r="D242" s="10">
        <f>WEEKNUM(B242)</f>
        <v>0</v>
      </c>
      <c r="E242" s="10" t="str">
        <f>TEXT(B242,"mmm-yy")</f>
        <v>Jan-00</v>
      </c>
      <c r="F242" s="11"/>
      <c r="G242" s="11"/>
      <c r="H242" s="11">
        <f>G242*1000</f>
        <v>0</v>
      </c>
      <c r="I242" s="12"/>
    </row>
    <row r="243" spans="2:9" x14ac:dyDescent="0.3">
      <c r="B243" s="13"/>
      <c r="C243" s="9" t="str">
        <f>TEXT(B243,"DDD")</f>
        <v>Sat</v>
      </c>
      <c r="D243" s="10">
        <f>WEEKNUM(B243)</f>
        <v>0</v>
      </c>
      <c r="E243" s="10" t="str">
        <f>TEXT(B243,"mmm-yy")</f>
        <v>Jan-00</v>
      </c>
      <c r="F243" s="11"/>
      <c r="G243" s="11"/>
      <c r="H243" s="11">
        <f>G243*1000</f>
        <v>0</v>
      </c>
      <c r="I243" s="12"/>
    </row>
    <row r="244" spans="2:9" x14ac:dyDescent="0.3">
      <c r="B244" s="13"/>
      <c r="C244" s="9" t="str">
        <f>TEXT(B244,"DDD")</f>
        <v>Sat</v>
      </c>
      <c r="D244" s="10">
        <f>WEEKNUM(B244)</f>
        <v>0</v>
      </c>
      <c r="E244" s="10" t="str">
        <f>TEXT(B244,"mmm-yy")</f>
        <v>Jan-00</v>
      </c>
      <c r="F244" s="11"/>
      <c r="G244" s="11"/>
      <c r="H244" s="11">
        <f>G244*1000</f>
        <v>0</v>
      </c>
      <c r="I244" s="12"/>
    </row>
    <row r="245" spans="2:9" x14ac:dyDescent="0.3">
      <c r="B245" s="13"/>
      <c r="C245" s="9" t="str">
        <f>TEXT(B245,"DDD")</f>
        <v>Sat</v>
      </c>
      <c r="D245" s="10">
        <f>WEEKNUM(B245)</f>
        <v>0</v>
      </c>
      <c r="E245" s="10" t="str">
        <f>TEXT(B245,"mmm-yy")</f>
        <v>Jan-00</v>
      </c>
      <c r="F245" s="11"/>
      <c r="G245" s="11"/>
      <c r="H245" s="11">
        <f>G245*1000</f>
        <v>0</v>
      </c>
      <c r="I245" s="12"/>
    </row>
    <row r="246" spans="2:9" x14ac:dyDescent="0.3">
      <c r="B246" s="13"/>
      <c r="C246" s="9" t="str">
        <f>TEXT(B246,"DDD")</f>
        <v>Sat</v>
      </c>
      <c r="D246" s="10">
        <f>WEEKNUM(B246)</f>
        <v>0</v>
      </c>
      <c r="E246" s="10" t="str">
        <f>TEXT(B246,"mmm-yy")</f>
        <v>Jan-00</v>
      </c>
      <c r="F246" s="11"/>
      <c r="G246" s="11"/>
      <c r="H246" s="11">
        <f>G246*1000</f>
        <v>0</v>
      </c>
      <c r="I246" s="12"/>
    </row>
    <row r="247" spans="2:9" x14ac:dyDescent="0.3">
      <c r="B247" s="13"/>
      <c r="C247" s="9" t="str">
        <f>TEXT(B247,"DDD")</f>
        <v>Sat</v>
      </c>
      <c r="D247" s="10">
        <f>WEEKNUM(B247)</f>
        <v>0</v>
      </c>
      <c r="E247" s="10" t="str">
        <f>TEXT(B247,"mmm-yy")</f>
        <v>Jan-00</v>
      </c>
      <c r="F247" s="11"/>
      <c r="G247" s="11"/>
      <c r="H247" s="11">
        <f>G247*1000</f>
        <v>0</v>
      </c>
      <c r="I247" s="12"/>
    </row>
    <row r="248" spans="2:9" x14ac:dyDescent="0.3">
      <c r="B248" s="13"/>
      <c r="C248" s="9" t="str">
        <f>TEXT(B248,"DDD")</f>
        <v>Sat</v>
      </c>
      <c r="D248" s="10">
        <f>WEEKNUM(B248)</f>
        <v>0</v>
      </c>
      <c r="E248" s="10" t="str">
        <f>TEXT(B248,"mmm-yy")</f>
        <v>Jan-00</v>
      </c>
      <c r="F248" s="11"/>
      <c r="G248" s="11"/>
      <c r="H248" s="11">
        <f>G248*1000</f>
        <v>0</v>
      </c>
      <c r="I248" s="12"/>
    </row>
    <row r="249" spans="2:9" x14ac:dyDescent="0.3">
      <c r="B249" s="13"/>
      <c r="C249" s="9" t="str">
        <f>TEXT(B249,"DDD")</f>
        <v>Sat</v>
      </c>
      <c r="D249" s="10">
        <f>WEEKNUM(B249)</f>
        <v>0</v>
      </c>
      <c r="E249" s="10" t="str">
        <f>TEXT(B249,"mmm-yy")</f>
        <v>Jan-00</v>
      </c>
      <c r="F249" s="11"/>
      <c r="G249" s="11"/>
      <c r="H249" s="11">
        <f>G249*1000</f>
        <v>0</v>
      </c>
      <c r="I249" s="12"/>
    </row>
    <row r="250" spans="2:9" x14ac:dyDescent="0.3">
      <c r="B250" s="13"/>
      <c r="C250" s="9" t="str">
        <f>TEXT(B250,"DDD")</f>
        <v>Sat</v>
      </c>
      <c r="D250" s="10">
        <f>WEEKNUM(B250)</f>
        <v>0</v>
      </c>
      <c r="E250" s="10" t="str">
        <f>TEXT(B250,"mmm-yy")</f>
        <v>Jan-00</v>
      </c>
      <c r="F250" s="11"/>
      <c r="G250" s="11"/>
      <c r="H250" s="11">
        <f>G250*1000</f>
        <v>0</v>
      </c>
      <c r="I250" s="12"/>
    </row>
    <row r="251" spans="2:9" x14ac:dyDescent="0.3">
      <c r="B251" s="13"/>
      <c r="C251" s="9" t="str">
        <f>TEXT(B251,"DDD")</f>
        <v>Sat</v>
      </c>
      <c r="D251" s="10">
        <f>WEEKNUM(B251)</f>
        <v>0</v>
      </c>
      <c r="E251" s="10" t="str">
        <f>TEXT(B251,"mmm-yy")</f>
        <v>Jan-00</v>
      </c>
      <c r="F251" s="11"/>
      <c r="G251" s="11"/>
      <c r="H251" s="11">
        <f>G251*1000</f>
        <v>0</v>
      </c>
      <c r="I251" s="12"/>
    </row>
    <row r="252" spans="2:9" x14ac:dyDescent="0.3">
      <c r="B252" s="13"/>
      <c r="C252" s="9" t="str">
        <f>TEXT(B252,"DDD")</f>
        <v>Sat</v>
      </c>
      <c r="D252" s="10">
        <f>WEEKNUM(B252)</f>
        <v>0</v>
      </c>
      <c r="E252" s="10" t="str">
        <f>TEXT(B252,"mmm-yy")</f>
        <v>Jan-00</v>
      </c>
      <c r="F252" s="11"/>
      <c r="G252" s="11"/>
      <c r="H252" s="11">
        <f>G252*1000</f>
        <v>0</v>
      </c>
      <c r="I252" s="12"/>
    </row>
    <row r="253" spans="2:9" x14ac:dyDescent="0.3">
      <c r="B253" s="13"/>
      <c r="C253" s="9" t="str">
        <f>TEXT(B253,"DDD")</f>
        <v>Sat</v>
      </c>
      <c r="D253" s="10">
        <f>WEEKNUM(B253)</f>
        <v>0</v>
      </c>
      <c r="E253" s="10" t="str">
        <f>TEXT(B253,"mmm-yy")</f>
        <v>Jan-00</v>
      </c>
      <c r="F253" s="11"/>
      <c r="G253" s="11"/>
      <c r="H253" s="11">
        <f>G253*1000</f>
        <v>0</v>
      </c>
      <c r="I253" s="12"/>
    </row>
    <row r="254" spans="2:9" x14ac:dyDescent="0.3">
      <c r="B254" s="13"/>
      <c r="C254" s="9" t="str">
        <f>TEXT(B254,"DDD")</f>
        <v>Sat</v>
      </c>
      <c r="D254" s="10">
        <f>WEEKNUM(B254)</f>
        <v>0</v>
      </c>
      <c r="E254" s="10" t="str">
        <f>TEXT(B254,"mmm-yy")</f>
        <v>Jan-00</v>
      </c>
      <c r="F254" s="11"/>
      <c r="G254" s="11"/>
      <c r="H254" s="11">
        <f>G254*1000</f>
        <v>0</v>
      </c>
      <c r="I254" s="12"/>
    </row>
    <row r="255" spans="2:9" x14ac:dyDescent="0.3">
      <c r="B255" s="13"/>
      <c r="C255" s="9" t="str">
        <f>TEXT(B255,"DDD")</f>
        <v>Sat</v>
      </c>
      <c r="D255" s="10">
        <f>WEEKNUM(B255)</f>
        <v>0</v>
      </c>
      <c r="E255" s="10" t="str">
        <f>TEXT(B255,"mmm-yy")</f>
        <v>Jan-00</v>
      </c>
      <c r="F255" s="11"/>
      <c r="G255" s="11"/>
      <c r="H255" s="11">
        <f>G255*1000</f>
        <v>0</v>
      </c>
      <c r="I255" s="12"/>
    </row>
    <row r="256" spans="2:9" x14ac:dyDescent="0.3">
      <c r="B256" s="13"/>
      <c r="C256" s="9" t="str">
        <f>TEXT(B256,"DDD")</f>
        <v>Sat</v>
      </c>
      <c r="D256" s="10">
        <f>WEEKNUM(B256)</f>
        <v>0</v>
      </c>
      <c r="E256" s="10" t="str">
        <f>TEXT(B256,"mmm-yy")</f>
        <v>Jan-00</v>
      </c>
      <c r="F256" s="11"/>
      <c r="G256" s="11"/>
      <c r="H256" s="11">
        <f>G256*1000</f>
        <v>0</v>
      </c>
      <c r="I256" s="12"/>
    </row>
    <row r="257" spans="2:9" x14ac:dyDescent="0.3">
      <c r="B257" s="13"/>
      <c r="C257" s="9" t="str">
        <f>TEXT(B257,"DDD")</f>
        <v>Sat</v>
      </c>
      <c r="D257" s="10">
        <f>WEEKNUM(B257)</f>
        <v>0</v>
      </c>
      <c r="E257" s="10" t="str">
        <f>TEXT(B257,"mmm-yy")</f>
        <v>Jan-00</v>
      </c>
      <c r="F257" s="11"/>
      <c r="G257" s="11"/>
      <c r="H257" s="11">
        <f>G257*1000</f>
        <v>0</v>
      </c>
      <c r="I257" s="12"/>
    </row>
    <row r="258" spans="2:9" x14ac:dyDescent="0.3">
      <c r="B258" s="13"/>
      <c r="C258" s="9" t="str">
        <f>TEXT(B258,"DDD")</f>
        <v>Sat</v>
      </c>
      <c r="D258" s="10">
        <f>WEEKNUM(B258)</f>
        <v>0</v>
      </c>
      <c r="E258" s="10" t="str">
        <f>TEXT(B258,"mmm-yy")</f>
        <v>Jan-00</v>
      </c>
      <c r="F258" s="11"/>
      <c r="G258" s="11"/>
      <c r="H258" s="11">
        <f>G258*1000</f>
        <v>0</v>
      </c>
      <c r="I258" s="12"/>
    </row>
    <row r="259" spans="2:9" x14ac:dyDescent="0.3">
      <c r="B259" s="13"/>
      <c r="C259" s="9" t="str">
        <f>TEXT(B259,"DDD")</f>
        <v>Sat</v>
      </c>
      <c r="D259" s="10">
        <f>WEEKNUM(B259)</f>
        <v>0</v>
      </c>
      <c r="E259" s="10" t="str">
        <f>TEXT(B259,"mmm-yy")</f>
        <v>Jan-00</v>
      </c>
      <c r="F259" s="11"/>
      <c r="G259" s="11"/>
      <c r="H259" s="11">
        <f>G259*1000</f>
        <v>0</v>
      </c>
      <c r="I259" s="12"/>
    </row>
    <row r="260" spans="2:9" x14ac:dyDescent="0.3">
      <c r="B260" s="13"/>
      <c r="C260" s="9" t="str">
        <f>TEXT(B260,"DDD")</f>
        <v>Sat</v>
      </c>
      <c r="D260" s="10">
        <f>WEEKNUM(B260)</f>
        <v>0</v>
      </c>
      <c r="E260" s="10" t="str">
        <f>TEXT(B260,"mmm-yy")</f>
        <v>Jan-00</v>
      </c>
      <c r="F260" s="11"/>
      <c r="G260" s="11"/>
      <c r="H260" s="11">
        <f>G260*1000</f>
        <v>0</v>
      </c>
      <c r="I260" s="12"/>
    </row>
    <row r="261" spans="2:9" x14ac:dyDescent="0.3">
      <c r="B261" s="13"/>
      <c r="C261" s="9" t="str">
        <f>TEXT(B261,"DDD")</f>
        <v>Sat</v>
      </c>
      <c r="D261" s="10">
        <f>WEEKNUM(B261)</f>
        <v>0</v>
      </c>
      <c r="E261" s="10" t="str">
        <f>TEXT(B261,"mmm-yy")</f>
        <v>Jan-00</v>
      </c>
      <c r="F261" s="11"/>
      <c r="G261" s="11"/>
      <c r="H261" s="11">
        <f>G261*1000</f>
        <v>0</v>
      </c>
      <c r="I261" s="12"/>
    </row>
    <row r="262" spans="2:9" x14ac:dyDescent="0.3">
      <c r="B262" s="13"/>
      <c r="C262" s="9" t="str">
        <f>TEXT(B262,"DDD")</f>
        <v>Sat</v>
      </c>
      <c r="D262" s="10">
        <f>WEEKNUM(B262)</f>
        <v>0</v>
      </c>
      <c r="E262" s="10" t="str">
        <f>TEXT(B262,"mmm-yy")</f>
        <v>Jan-00</v>
      </c>
      <c r="F262" s="11"/>
      <c r="G262" s="11"/>
      <c r="H262" s="11">
        <f>G262*1000</f>
        <v>0</v>
      </c>
      <c r="I262" s="12"/>
    </row>
    <row r="263" spans="2:9" x14ac:dyDescent="0.3">
      <c r="B263" s="13"/>
      <c r="C263" s="9" t="str">
        <f>TEXT(B263,"DDD")</f>
        <v>Sat</v>
      </c>
      <c r="D263" s="10">
        <f>WEEKNUM(B263)</f>
        <v>0</v>
      </c>
      <c r="E263" s="10" t="str">
        <f>TEXT(B263,"mmm-yy")</f>
        <v>Jan-00</v>
      </c>
      <c r="F263" s="11"/>
      <c r="G263" s="11"/>
      <c r="H263" s="11">
        <f>G263*1000</f>
        <v>0</v>
      </c>
      <c r="I263" s="12"/>
    </row>
    <row r="264" spans="2:9" x14ac:dyDescent="0.3">
      <c r="B264" s="13"/>
      <c r="C264" s="9" t="str">
        <f>TEXT(B264,"DDD")</f>
        <v>Sat</v>
      </c>
      <c r="D264" s="10">
        <f>WEEKNUM(B264)</f>
        <v>0</v>
      </c>
      <c r="E264" s="10" t="str">
        <f>TEXT(B264,"mmm-yy")</f>
        <v>Jan-00</v>
      </c>
      <c r="F264" s="11"/>
      <c r="G264" s="11"/>
      <c r="H264" s="11">
        <f>G264*1000</f>
        <v>0</v>
      </c>
      <c r="I264" s="12"/>
    </row>
    <row r="265" spans="2:9" x14ac:dyDescent="0.3">
      <c r="B265" s="13"/>
      <c r="C265" s="9" t="str">
        <f>TEXT(B265,"DDD")</f>
        <v>Sat</v>
      </c>
      <c r="D265" s="10">
        <f>WEEKNUM(B265)</f>
        <v>0</v>
      </c>
      <c r="E265" s="10" t="str">
        <f>TEXT(B265,"mmm-yy")</f>
        <v>Jan-00</v>
      </c>
      <c r="F265" s="11"/>
      <c r="G265" s="11"/>
      <c r="H265" s="11">
        <f>G265*1000</f>
        <v>0</v>
      </c>
      <c r="I265" s="12"/>
    </row>
    <row r="266" spans="2:9" x14ac:dyDescent="0.3">
      <c r="B266" s="13"/>
      <c r="C266" s="9" t="str">
        <f>TEXT(B266,"DDD")</f>
        <v>Sat</v>
      </c>
      <c r="D266" s="10">
        <f>WEEKNUM(B266)</f>
        <v>0</v>
      </c>
      <c r="E266" s="10" t="str">
        <f>TEXT(B266,"mmm-yy")</f>
        <v>Jan-00</v>
      </c>
      <c r="F266" s="11"/>
      <c r="G266" s="11"/>
      <c r="H266" s="11">
        <f>G266*1000</f>
        <v>0</v>
      </c>
      <c r="I266" s="12"/>
    </row>
    <row r="267" spans="2:9" x14ac:dyDescent="0.3">
      <c r="B267" s="13"/>
      <c r="C267" s="9" t="str">
        <f>TEXT(B267,"DDD")</f>
        <v>Sat</v>
      </c>
      <c r="D267" s="10">
        <f>WEEKNUM(B267)</f>
        <v>0</v>
      </c>
      <c r="E267" s="10" t="str">
        <f>TEXT(B267,"mmm-yy")</f>
        <v>Jan-00</v>
      </c>
      <c r="F267" s="11"/>
      <c r="G267" s="11"/>
      <c r="H267" s="11">
        <f>G267*1000</f>
        <v>0</v>
      </c>
      <c r="I267" s="12"/>
    </row>
    <row r="268" spans="2:9" x14ac:dyDescent="0.3">
      <c r="B268" s="13"/>
      <c r="C268" s="9" t="str">
        <f>TEXT(B268,"DDD")</f>
        <v>Sat</v>
      </c>
      <c r="D268" s="10">
        <f>WEEKNUM(B268)</f>
        <v>0</v>
      </c>
      <c r="E268" s="10" t="str">
        <f>TEXT(B268,"mmm-yy")</f>
        <v>Jan-00</v>
      </c>
      <c r="F268" s="11"/>
      <c r="G268" s="11"/>
      <c r="H268" s="11">
        <f>G268*1000</f>
        <v>0</v>
      </c>
      <c r="I268" s="12"/>
    </row>
    <row r="269" spans="2:9" x14ac:dyDescent="0.3">
      <c r="B269" s="13"/>
      <c r="C269" s="9" t="str">
        <f>TEXT(B269,"DDD")</f>
        <v>Sat</v>
      </c>
      <c r="D269" s="10">
        <f>WEEKNUM(B269)</f>
        <v>0</v>
      </c>
      <c r="E269" s="10" t="str">
        <f>TEXT(B269,"mmm-yy")</f>
        <v>Jan-00</v>
      </c>
      <c r="F269" s="11"/>
      <c r="G269" s="11"/>
      <c r="H269" s="11">
        <f>G269*1000</f>
        <v>0</v>
      </c>
      <c r="I269" s="12"/>
    </row>
    <row r="270" spans="2:9" x14ac:dyDescent="0.3">
      <c r="B270" s="13"/>
      <c r="C270" s="9" t="str">
        <f>TEXT(B270,"DDD")</f>
        <v>Sat</v>
      </c>
      <c r="D270" s="10">
        <f>WEEKNUM(B270)</f>
        <v>0</v>
      </c>
      <c r="E270" s="10" t="str">
        <f>TEXT(B270,"mmm-yy")</f>
        <v>Jan-00</v>
      </c>
      <c r="F270" s="11"/>
      <c r="G270" s="11"/>
      <c r="H270" s="11">
        <f>G270*1000</f>
        <v>0</v>
      </c>
      <c r="I270" s="12"/>
    </row>
    <row r="271" spans="2:9" x14ac:dyDescent="0.3">
      <c r="B271" s="13"/>
      <c r="C271" s="9" t="str">
        <f>TEXT(B271,"DDD")</f>
        <v>Sat</v>
      </c>
      <c r="D271" s="10">
        <f>WEEKNUM(B271)</f>
        <v>0</v>
      </c>
      <c r="E271" s="10" t="str">
        <f>TEXT(B271,"mmm-yy")</f>
        <v>Jan-00</v>
      </c>
      <c r="F271" s="11"/>
      <c r="G271" s="11"/>
      <c r="H271" s="11">
        <f>G271*1000</f>
        <v>0</v>
      </c>
      <c r="I271" s="12"/>
    </row>
    <row r="272" spans="2:9" x14ac:dyDescent="0.3">
      <c r="B272" s="13"/>
      <c r="C272" s="9" t="str">
        <f>TEXT(B272,"DDD")</f>
        <v>Sat</v>
      </c>
      <c r="D272" s="10">
        <f>WEEKNUM(B272)</f>
        <v>0</v>
      </c>
      <c r="E272" s="10" t="str">
        <f>TEXT(B272,"mmm-yy")</f>
        <v>Jan-00</v>
      </c>
      <c r="F272" s="11"/>
      <c r="G272" s="11"/>
      <c r="H272" s="11">
        <f>G272*1000</f>
        <v>0</v>
      </c>
      <c r="I272" s="12"/>
    </row>
    <row r="273" spans="2:9" x14ac:dyDescent="0.3">
      <c r="B273" s="13"/>
      <c r="C273" s="9" t="str">
        <f>TEXT(B273,"DDD")</f>
        <v>Sat</v>
      </c>
      <c r="D273" s="10">
        <f>WEEKNUM(B273)</f>
        <v>0</v>
      </c>
      <c r="E273" s="10" t="str">
        <f>TEXT(B273,"mmm-yy")</f>
        <v>Jan-00</v>
      </c>
      <c r="F273" s="11"/>
      <c r="G273" s="11"/>
      <c r="H273" s="11">
        <f>G273*1000</f>
        <v>0</v>
      </c>
      <c r="I273" s="12"/>
    </row>
    <row r="274" spans="2:9" x14ac:dyDescent="0.3">
      <c r="B274" s="13"/>
      <c r="C274" s="9" t="str">
        <f>TEXT(B274,"DDD")</f>
        <v>Sat</v>
      </c>
      <c r="D274" s="10">
        <f>WEEKNUM(B274)</f>
        <v>0</v>
      </c>
      <c r="E274" s="10" t="str">
        <f>TEXT(B274,"mmm-yy")</f>
        <v>Jan-00</v>
      </c>
      <c r="F274" s="11"/>
      <c r="G274" s="11"/>
      <c r="H274" s="11">
        <f>G274*1000</f>
        <v>0</v>
      </c>
      <c r="I274" s="12"/>
    </row>
    <row r="275" spans="2:9" x14ac:dyDescent="0.3">
      <c r="B275" s="13"/>
      <c r="C275" s="9" t="str">
        <f>TEXT(B275,"DDD")</f>
        <v>Sat</v>
      </c>
      <c r="D275" s="10">
        <f>WEEKNUM(B275)</f>
        <v>0</v>
      </c>
      <c r="E275" s="10" t="str">
        <f>TEXT(B275,"mmm-yy")</f>
        <v>Jan-00</v>
      </c>
      <c r="F275" s="11"/>
      <c r="G275" s="11"/>
      <c r="H275" s="11">
        <f>G275*1000</f>
        <v>0</v>
      </c>
      <c r="I275" s="12"/>
    </row>
    <row r="276" spans="2:9" x14ac:dyDescent="0.3">
      <c r="B276" s="13"/>
      <c r="C276" s="9" t="str">
        <f>TEXT(B276,"DDD")</f>
        <v>Sat</v>
      </c>
      <c r="D276" s="10">
        <f>WEEKNUM(B276)</f>
        <v>0</v>
      </c>
      <c r="E276" s="10" t="str">
        <f>TEXT(B276,"mmm-yy")</f>
        <v>Jan-00</v>
      </c>
      <c r="F276" s="11"/>
      <c r="G276" s="11"/>
      <c r="H276" s="11">
        <f>G276*1000</f>
        <v>0</v>
      </c>
      <c r="I276" s="12"/>
    </row>
    <row r="277" spans="2:9" x14ac:dyDescent="0.3">
      <c r="B277" s="13"/>
      <c r="C277" s="9" t="str">
        <f>TEXT(B277,"DDD")</f>
        <v>Sat</v>
      </c>
      <c r="D277" s="10">
        <f>WEEKNUM(B277)</f>
        <v>0</v>
      </c>
      <c r="E277" s="10" t="str">
        <f>TEXT(B277,"mmm-yy")</f>
        <v>Jan-00</v>
      </c>
      <c r="F277" s="11"/>
      <c r="G277" s="11"/>
      <c r="H277" s="11">
        <f>G277*1000</f>
        <v>0</v>
      </c>
      <c r="I277" s="12"/>
    </row>
    <row r="278" spans="2:9" x14ac:dyDescent="0.3">
      <c r="B278" s="13"/>
      <c r="C278" s="9" t="str">
        <f>TEXT(B278,"DDD")</f>
        <v>Sat</v>
      </c>
      <c r="D278" s="10">
        <f>WEEKNUM(B278)</f>
        <v>0</v>
      </c>
      <c r="E278" s="10" t="str">
        <f>TEXT(B278,"mmm-yy")</f>
        <v>Jan-00</v>
      </c>
      <c r="F278" s="11"/>
      <c r="G278" s="11"/>
      <c r="H278" s="11">
        <f>G278*1000</f>
        <v>0</v>
      </c>
      <c r="I278" s="12"/>
    </row>
    <row r="279" spans="2:9" x14ac:dyDescent="0.3">
      <c r="B279" s="13"/>
      <c r="C279" s="9" t="str">
        <f>TEXT(B279,"DDD")</f>
        <v>Sat</v>
      </c>
      <c r="D279" s="10">
        <f>WEEKNUM(B279)</f>
        <v>0</v>
      </c>
      <c r="E279" s="10" t="str">
        <f>TEXT(B279,"mmm-yy")</f>
        <v>Jan-00</v>
      </c>
      <c r="F279" s="11"/>
      <c r="G279" s="11"/>
      <c r="H279" s="11">
        <f>G279*1000</f>
        <v>0</v>
      </c>
      <c r="I279" s="12"/>
    </row>
    <row r="280" spans="2:9" x14ac:dyDescent="0.3">
      <c r="B280" s="13"/>
      <c r="C280" s="9" t="str">
        <f>TEXT(B280,"DDD")</f>
        <v>Sat</v>
      </c>
      <c r="D280" s="10">
        <f>WEEKNUM(B280)</f>
        <v>0</v>
      </c>
      <c r="E280" s="10" t="str">
        <f>TEXT(B280,"mmm-yy")</f>
        <v>Jan-00</v>
      </c>
      <c r="F280" s="11"/>
      <c r="G280" s="11"/>
      <c r="H280" s="11">
        <f>G280*1000</f>
        <v>0</v>
      </c>
      <c r="I280" s="12"/>
    </row>
    <row r="281" spans="2:9" x14ac:dyDescent="0.3">
      <c r="B281" s="13"/>
      <c r="C281" s="9" t="str">
        <f>TEXT(B281,"DDD")</f>
        <v>Sat</v>
      </c>
      <c r="D281" s="10">
        <f>WEEKNUM(B281)</f>
        <v>0</v>
      </c>
      <c r="E281" s="10" t="str">
        <f>TEXT(B281,"mmm-yy")</f>
        <v>Jan-00</v>
      </c>
      <c r="F281" s="11"/>
      <c r="G281" s="11"/>
      <c r="H281" s="11">
        <f>G281*1000</f>
        <v>0</v>
      </c>
      <c r="I281" s="12"/>
    </row>
    <row r="282" spans="2:9" x14ac:dyDescent="0.3">
      <c r="B282" s="13"/>
      <c r="C282" s="9" t="str">
        <f>TEXT(B282,"DDD")</f>
        <v>Sat</v>
      </c>
      <c r="D282" s="10">
        <f>WEEKNUM(B282)</f>
        <v>0</v>
      </c>
      <c r="E282" s="10" t="str">
        <f>TEXT(B282,"mmm-yy")</f>
        <v>Jan-00</v>
      </c>
      <c r="F282" s="11"/>
      <c r="G282" s="11"/>
      <c r="H282" s="11">
        <f>G282*1000</f>
        <v>0</v>
      </c>
      <c r="I282" s="12"/>
    </row>
    <row r="283" spans="2:9" x14ac:dyDescent="0.3">
      <c r="B283" s="13"/>
      <c r="C283" s="9" t="str">
        <f>TEXT(B283,"DDD")</f>
        <v>Sat</v>
      </c>
      <c r="D283" s="10">
        <f>WEEKNUM(B283)</f>
        <v>0</v>
      </c>
      <c r="E283" s="10" t="str">
        <f>TEXT(B283,"mmm-yy")</f>
        <v>Jan-00</v>
      </c>
      <c r="F283" s="11"/>
      <c r="G283" s="11"/>
      <c r="H283" s="11">
        <f>G283*1000</f>
        <v>0</v>
      </c>
      <c r="I283" s="12"/>
    </row>
    <row r="284" spans="2:9" x14ac:dyDescent="0.3">
      <c r="B284" s="13"/>
      <c r="C284" s="9" t="str">
        <f>TEXT(B284,"DDD")</f>
        <v>Sat</v>
      </c>
      <c r="D284" s="10">
        <f>WEEKNUM(B284)</f>
        <v>0</v>
      </c>
      <c r="E284" s="10" t="str">
        <f>TEXT(B284,"mmm-yy")</f>
        <v>Jan-00</v>
      </c>
      <c r="F284" s="11"/>
      <c r="G284" s="11"/>
      <c r="H284" s="11">
        <f>G284*1000</f>
        <v>0</v>
      </c>
      <c r="I284" s="12"/>
    </row>
    <row r="285" spans="2:9" x14ac:dyDescent="0.3">
      <c r="B285" s="13"/>
      <c r="C285" s="9" t="str">
        <f>TEXT(B285,"DDD")</f>
        <v>Sat</v>
      </c>
      <c r="D285" s="10">
        <f>WEEKNUM(B285)</f>
        <v>0</v>
      </c>
      <c r="E285" s="10" t="str">
        <f>TEXT(B285,"mmm-yy")</f>
        <v>Jan-00</v>
      </c>
      <c r="F285" s="11"/>
      <c r="G285" s="11"/>
      <c r="H285" s="11">
        <f>G285*1000</f>
        <v>0</v>
      </c>
      <c r="I285" s="12"/>
    </row>
    <row r="286" spans="2:9" x14ac:dyDescent="0.3">
      <c r="B286" s="13"/>
      <c r="C286" s="9" t="str">
        <f>TEXT(B286,"DDD")</f>
        <v>Sat</v>
      </c>
      <c r="D286" s="10">
        <f>WEEKNUM(B286)</f>
        <v>0</v>
      </c>
      <c r="E286" s="10" t="str">
        <f>TEXT(B286,"mmm-yy")</f>
        <v>Jan-00</v>
      </c>
      <c r="F286" s="11"/>
      <c r="G286" s="11"/>
      <c r="H286" s="11">
        <f>G286*1000</f>
        <v>0</v>
      </c>
      <c r="I286" s="12"/>
    </row>
    <row r="287" spans="2:9" x14ac:dyDescent="0.3">
      <c r="B287" s="13"/>
      <c r="C287" s="9" t="str">
        <f>TEXT(B287,"DDD")</f>
        <v>Sat</v>
      </c>
      <c r="D287" s="10">
        <f>WEEKNUM(B287)</f>
        <v>0</v>
      </c>
      <c r="E287" s="10" t="str">
        <f>TEXT(B287,"mmm-yy")</f>
        <v>Jan-00</v>
      </c>
      <c r="F287" s="11"/>
      <c r="G287" s="11"/>
      <c r="H287" s="11">
        <f>G287*1000</f>
        <v>0</v>
      </c>
      <c r="I287" s="12"/>
    </row>
    <row r="288" spans="2:9" x14ac:dyDescent="0.3">
      <c r="B288" s="13"/>
      <c r="C288" s="9" t="str">
        <f>TEXT(B288,"DDD")</f>
        <v>Sat</v>
      </c>
      <c r="D288" s="10">
        <f>WEEKNUM(B288)</f>
        <v>0</v>
      </c>
      <c r="E288" s="10" t="str">
        <f>TEXT(B288,"mmm-yy")</f>
        <v>Jan-00</v>
      </c>
      <c r="F288" s="11"/>
      <c r="G288" s="11"/>
      <c r="H288" s="11">
        <f>G288*1000</f>
        <v>0</v>
      </c>
      <c r="I288" s="12"/>
    </row>
    <row r="289" spans="2:9" x14ac:dyDescent="0.3">
      <c r="B289" s="13"/>
      <c r="C289" s="9" t="str">
        <f>TEXT(B289,"DDD")</f>
        <v>Sat</v>
      </c>
      <c r="D289" s="10">
        <f>WEEKNUM(B289)</f>
        <v>0</v>
      </c>
      <c r="E289" s="10" t="str">
        <f>TEXT(B289,"mmm-yy")</f>
        <v>Jan-00</v>
      </c>
      <c r="F289" s="11"/>
      <c r="G289" s="11"/>
      <c r="H289" s="11">
        <f>G289*1000</f>
        <v>0</v>
      </c>
      <c r="I289" s="12"/>
    </row>
    <row r="290" spans="2:9" x14ac:dyDescent="0.3">
      <c r="B290" s="13"/>
      <c r="C290" s="9" t="str">
        <f>TEXT(B290,"DDD")</f>
        <v>Sat</v>
      </c>
      <c r="D290" s="10">
        <f>WEEKNUM(B290)</f>
        <v>0</v>
      </c>
      <c r="E290" s="10" t="str">
        <f>TEXT(B290,"mmm-yy")</f>
        <v>Jan-00</v>
      </c>
      <c r="F290" s="11"/>
      <c r="G290" s="11"/>
      <c r="H290" s="11">
        <f>G290*1000</f>
        <v>0</v>
      </c>
      <c r="I290" s="12"/>
    </row>
    <row r="291" spans="2:9" x14ac:dyDescent="0.3">
      <c r="B291" s="13"/>
      <c r="C291" s="9" t="str">
        <f>TEXT(B291,"DDD")</f>
        <v>Sat</v>
      </c>
      <c r="D291" s="10">
        <f>WEEKNUM(B291)</f>
        <v>0</v>
      </c>
      <c r="E291" s="10" t="str">
        <f>TEXT(B291,"mmm-yy")</f>
        <v>Jan-00</v>
      </c>
      <c r="F291" s="11"/>
      <c r="G291" s="11"/>
      <c r="H291" s="11">
        <f>G291*1000</f>
        <v>0</v>
      </c>
      <c r="I291" s="12"/>
    </row>
    <row r="292" spans="2:9" x14ac:dyDescent="0.3">
      <c r="B292" s="13"/>
      <c r="C292" s="9" t="str">
        <f>TEXT(B292,"DDD")</f>
        <v>Sat</v>
      </c>
      <c r="D292" s="10">
        <f>WEEKNUM(B292)</f>
        <v>0</v>
      </c>
      <c r="E292" s="10" t="str">
        <f>TEXT(B292,"mmm-yy")</f>
        <v>Jan-00</v>
      </c>
      <c r="F292" s="11"/>
      <c r="G292" s="11"/>
      <c r="H292" s="11">
        <f>G292*1000</f>
        <v>0</v>
      </c>
      <c r="I292" s="12"/>
    </row>
    <row r="293" spans="2:9" x14ac:dyDescent="0.3">
      <c r="B293" s="13"/>
      <c r="C293" s="9" t="str">
        <f>TEXT(B293,"DDD")</f>
        <v>Sat</v>
      </c>
      <c r="D293" s="10">
        <f>WEEKNUM(B293)</f>
        <v>0</v>
      </c>
      <c r="E293" s="10" t="str">
        <f>TEXT(B293,"mmm-yy")</f>
        <v>Jan-00</v>
      </c>
      <c r="F293" s="11"/>
      <c r="G293" s="11"/>
      <c r="H293" s="11">
        <f>G293*1000</f>
        <v>0</v>
      </c>
      <c r="I293" s="12"/>
    </row>
    <row r="294" spans="2:9" x14ac:dyDescent="0.3">
      <c r="B294" s="13"/>
      <c r="C294" s="9" t="str">
        <f>TEXT(B294,"DDD")</f>
        <v>Sat</v>
      </c>
      <c r="D294" s="10">
        <f>WEEKNUM(B294)</f>
        <v>0</v>
      </c>
      <c r="E294" s="10" t="str">
        <f>TEXT(B294,"mmm-yy")</f>
        <v>Jan-00</v>
      </c>
      <c r="F294" s="11"/>
      <c r="G294" s="11"/>
      <c r="H294" s="11">
        <f>G294*1000</f>
        <v>0</v>
      </c>
      <c r="I294" s="12"/>
    </row>
    <row r="295" spans="2:9" x14ac:dyDescent="0.3">
      <c r="B295" s="13"/>
      <c r="C295" s="9" t="str">
        <f>TEXT(B295,"DDD")</f>
        <v>Sat</v>
      </c>
      <c r="D295" s="10">
        <f>WEEKNUM(B295)</f>
        <v>0</v>
      </c>
      <c r="E295" s="10" t="str">
        <f>TEXT(B295,"mmm-yy")</f>
        <v>Jan-00</v>
      </c>
      <c r="F295" s="11"/>
      <c r="G295" s="11"/>
      <c r="H295" s="11">
        <f>G295*1000</f>
        <v>0</v>
      </c>
      <c r="I295" s="12"/>
    </row>
    <row r="296" spans="2:9" x14ac:dyDescent="0.3">
      <c r="B296" s="13"/>
      <c r="C296" s="9" t="str">
        <f>TEXT(B296,"DDD")</f>
        <v>Sat</v>
      </c>
      <c r="D296" s="10">
        <f>WEEKNUM(B296)</f>
        <v>0</v>
      </c>
      <c r="E296" s="10" t="str">
        <f>TEXT(B296,"mmm-yy")</f>
        <v>Jan-00</v>
      </c>
      <c r="F296" s="11"/>
      <c r="G296" s="11"/>
      <c r="H296" s="11">
        <f>G296*1000</f>
        <v>0</v>
      </c>
      <c r="I296" s="12"/>
    </row>
    <row r="297" spans="2:9" x14ac:dyDescent="0.3">
      <c r="B297" s="13"/>
      <c r="C297" s="9" t="str">
        <f>TEXT(B297,"DDD")</f>
        <v>Sat</v>
      </c>
      <c r="D297" s="10">
        <f>WEEKNUM(B297)</f>
        <v>0</v>
      </c>
      <c r="E297" s="10" t="str">
        <f>TEXT(B297,"mmm-yy")</f>
        <v>Jan-00</v>
      </c>
      <c r="F297" s="11"/>
      <c r="G297" s="11"/>
      <c r="H297" s="11">
        <f>G297*1000</f>
        <v>0</v>
      </c>
      <c r="I297" s="12"/>
    </row>
    <row r="298" spans="2:9" x14ac:dyDescent="0.3">
      <c r="B298" s="13"/>
      <c r="C298" s="9" t="str">
        <f>TEXT(B298,"DDD")</f>
        <v>Sat</v>
      </c>
      <c r="D298" s="10">
        <f>WEEKNUM(B298)</f>
        <v>0</v>
      </c>
      <c r="E298" s="10" t="str">
        <f>TEXT(B298,"mmm-yy")</f>
        <v>Jan-00</v>
      </c>
      <c r="F298" s="11"/>
      <c r="G298" s="11"/>
      <c r="H298" s="11">
        <f>G298*1000</f>
        <v>0</v>
      </c>
      <c r="I298" s="12"/>
    </row>
    <row r="299" spans="2:9" x14ac:dyDescent="0.3">
      <c r="B299" s="13"/>
      <c r="C299" s="9" t="str">
        <f>TEXT(B299,"DDD")</f>
        <v>Sat</v>
      </c>
      <c r="D299" s="10">
        <f>WEEKNUM(B299)</f>
        <v>0</v>
      </c>
      <c r="E299" s="10" t="str">
        <f>TEXT(B299,"mmm-yy")</f>
        <v>Jan-00</v>
      </c>
      <c r="F299" s="11"/>
      <c r="G299" s="11"/>
      <c r="H299" s="11">
        <f>G299*1000</f>
        <v>0</v>
      </c>
      <c r="I299" s="12"/>
    </row>
    <row r="300" spans="2:9" x14ac:dyDescent="0.3">
      <c r="B300" s="13"/>
      <c r="C300" s="9" t="str">
        <f>TEXT(B300,"DDD")</f>
        <v>Sat</v>
      </c>
      <c r="D300" s="10">
        <f>WEEKNUM(B300)</f>
        <v>0</v>
      </c>
      <c r="E300" s="10" t="str">
        <f>TEXT(B300,"mmm-yy")</f>
        <v>Jan-00</v>
      </c>
      <c r="F300" s="11"/>
      <c r="G300" s="11"/>
      <c r="H300" s="11">
        <f>G300*1000</f>
        <v>0</v>
      </c>
      <c r="I300" s="12"/>
    </row>
    <row r="301" spans="2:9" x14ac:dyDescent="0.3">
      <c r="B301" s="13"/>
      <c r="C301" s="9" t="str">
        <f>TEXT(B301,"DDD")</f>
        <v>Sat</v>
      </c>
      <c r="D301" s="10">
        <f>WEEKNUM(B301)</f>
        <v>0</v>
      </c>
      <c r="E301" s="10" t="str">
        <f>TEXT(B301,"mmm-yy")</f>
        <v>Jan-00</v>
      </c>
      <c r="F301" s="11"/>
      <c r="G301" s="11"/>
      <c r="H301" s="11">
        <f>G301*1000</f>
        <v>0</v>
      </c>
      <c r="I301" s="12"/>
    </row>
    <row r="302" spans="2:9" x14ac:dyDescent="0.3">
      <c r="B302" s="13"/>
      <c r="C302" s="9" t="str">
        <f>TEXT(B302,"DDD")</f>
        <v>Sat</v>
      </c>
      <c r="D302" s="10">
        <f>WEEKNUM(B302)</f>
        <v>0</v>
      </c>
      <c r="E302" s="10" t="str">
        <f>TEXT(B302,"mmm-yy")</f>
        <v>Jan-00</v>
      </c>
      <c r="F302" s="11"/>
      <c r="G302" s="11"/>
      <c r="H302" s="11">
        <f>G302*1000</f>
        <v>0</v>
      </c>
      <c r="I302" s="12"/>
    </row>
    <row r="303" spans="2:9" x14ac:dyDescent="0.3">
      <c r="B303" s="13"/>
      <c r="C303" s="9" t="str">
        <f>TEXT(B303,"DDD")</f>
        <v>Sat</v>
      </c>
      <c r="D303" s="10">
        <f>WEEKNUM(B303)</f>
        <v>0</v>
      </c>
      <c r="E303" s="10" t="str">
        <f>TEXT(B303,"mmm-yy")</f>
        <v>Jan-00</v>
      </c>
      <c r="F303" s="11"/>
      <c r="G303" s="11"/>
      <c r="H303" s="11">
        <f>G303*1000</f>
        <v>0</v>
      </c>
      <c r="I303" s="12"/>
    </row>
    <row r="304" spans="2:9" x14ac:dyDescent="0.3">
      <c r="B304" s="13"/>
      <c r="C304" s="9" t="str">
        <f>TEXT(B304,"DDD")</f>
        <v>Sat</v>
      </c>
      <c r="D304" s="10">
        <f>WEEKNUM(B304)</f>
        <v>0</v>
      </c>
      <c r="E304" s="10" t="str">
        <f>TEXT(B304,"mmm-yy")</f>
        <v>Jan-00</v>
      </c>
      <c r="F304" s="11"/>
      <c r="G304" s="11"/>
      <c r="H304" s="11">
        <f>G304*1000</f>
        <v>0</v>
      </c>
      <c r="I304" s="12"/>
    </row>
    <row r="305" spans="2:9" x14ac:dyDescent="0.3">
      <c r="B305" s="13"/>
      <c r="C305" s="9" t="str">
        <f>TEXT(B305,"DDD")</f>
        <v>Sat</v>
      </c>
      <c r="D305" s="10">
        <f>WEEKNUM(B305)</f>
        <v>0</v>
      </c>
      <c r="E305" s="10" t="str">
        <f>TEXT(B305,"mmm-yy")</f>
        <v>Jan-00</v>
      </c>
      <c r="F305" s="11"/>
      <c r="G305" s="11"/>
      <c r="H305" s="11">
        <f>G305*1000</f>
        <v>0</v>
      </c>
      <c r="I305" s="12"/>
    </row>
    <row r="306" spans="2:9" x14ac:dyDescent="0.3">
      <c r="B306" s="13"/>
      <c r="C306" s="9" t="str">
        <f>TEXT(B306,"DDD")</f>
        <v>Sat</v>
      </c>
      <c r="D306" s="10">
        <f>WEEKNUM(B306)</f>
        <v>0</v>
      </c>
      <c r="E306" s="10" t="str">
        <f>TEXT(B306,"mmm-yy")</f>
        <v>Jan-00</v>
      </c>
      <c r="F306" s="11"/>
      <c r="G306" s="11"/>
      <c r="H306" s="11">
        <f>G306*1000</f>
        <v>0</v>
      </c>
      <c r="I306" s="12"/>
    </row>
    <row r="307" spans="2:9" x14ac:dyDescent="0.3">
      <c r="B307" s="13"/>
      <c r="C307" s="9" t="str">
        <f>TEXT(B307,"DDD")</f>
        <v>Sat</v>
      </c>
      <c r="D307" s="10">
        <f>WEEKNUM(B307)</f>
        <v>0</v>
      </c>
      <c r="E307" s="10" t="str">
        <f>TEXT(B307,"mmm-yy")</f>
        <v>Jan-00</v>
      </c>
      <c r="F307" s="11"/>
      <c r="G307" s="11"/>
      <c r="H307" s="11">
        <f>G307*1000</f>
        <v>0</v>
      </c>
      <c r="I307" s="12"/>
    </row>
    <row r="308" spans="2:9" x14ac:dyDescent="0.3">
      <c r="B308" s="13"/>
      <c r="C308" s="9" t="str">
        <f>TEXT(B308,"DDD")</f>
        <v>Sat</v>
      </c>
      <c r="D308" s="10">
        <f>WEEKNUM(B308)</f>
        <v>0</v>
      </c>
      <c r="E308" s="10" t="str">
        <f>TEXT(B308,"mmm-yy")</f>
        <v>Jan-00</v>
      </c>
      <c r="F308" s="11"/>
      <c r="G308" s="11"/>
      <c r="H308" s="11">
        <f>G308*1000</f>
        <v>0</v>
      </c>
      <c r="I308" s="12"/>
    </row>
    <row r="309" spans="2:9" x14ac:dyDescent="0.3">
      <c r="B309" s="13"/>
      <c r="C309" s="9" t="str">
        <f>TEXT(B309,"DDD")</f>
        <v>Sat</v>
      </c>
      <c r="D309" s="10">
        <f>WEEKNUM(B309)</f>
        <v>0</v>
      </c>
      <c r="E309" s="10" t="str">
        <f>TEXT(B309,"mmm-yy")</f>
        <v>Jan-00</v>
      </c>
      <c r="F309" s="11"/>
      <c r="G309" s="11"/>
      <c r="H309" s="11">
        <f>G309*1000</f>
        <v>0</v>
      </c>
      <c r="I309" s="12"/>
    </row>
    <row r="310" spans="2:9" x14ac:dyDescent="0.3">
      <c r="B310" s="13"/>
      <c r="C310" s="9" t="str">
        <f>TEXT(B310,"DDD")</f>
        <v>Sat</v>
      </c>
      <c r="D310" s="10">
        <f>WEEKNUM(B310)</f>
        <v>0</v>
      </c>
      <c r="E310" s="10" t="str">
        <f>TEXT(B310,"mmm-yy")</f>
        <v>Jan-00</v>
      </c>
      <c r="F310" s="11"/>
      <c r="G310" s="11"/>
      <c r="H310" s="11">
        <f>G310*1000</f>
        <v>0</v>
      </c>
      <c r="I310" s="12"/>
    </row>
    <row r="311" spans="2:9" x14ac:dyDescent="0.3">
      <c r="B311" s="13"/>
      <c r="C311" s="9" t="str">
        <f>TEXT(B311,"DDD")</f>
        <v>Sat</v>
      </c>
      <c r="D311" s="10">
        <f>WEEKNUM(B311)</f>
        <v>0</v>
      </c>
      <c r="E311" s="10" t="str">
        <f>TEXT(B311,"mmm-yy")</f>
        <v>Jan-00</v>
      </c>
      <c r="F311" s="11"/>
      <c r="G311" s="11"/>
      <c r="H311" s="11">
        <f>G311*1000</f>
        <v>0</v>
      </c>
      <c r="I311" s="12"/>
    </row>
    <row r="312" spans="2:9" x14ac:dyDescent="0.3">
      <c r="B312" s="13"/>
      <c r="C312" s="9" t="str">
        <f>TEXT(B312,"DDD")</f>
        <v>Sat</v>
      </c>
      <c r="D312" s="10">
        <f>WEEKNUM(B312)</f>
        <v>0</v>
      </c>
      <c r="E312" s="10" t="str">
        <f>TEXT(B312,"mmm-yy")</f>
        <v>Jan-00</v>
      </c>
      <c r="F312" s="11"/>
      <c r="G312" s="11"/>
      <c r="H312" s="11">
        <f>G312*1000</f>
        <v>0</v>
      </c>
      <c r="I312" s="12"/>
    </row>
    <row r="313" spans="2:9" x14ac:dyDescent="0.3">
      <c r="B313" s="13"/>
      <c r="C313" s="9" t="str">
        <f>TEXT(B313,"DDD")</f>
        <v>Sat</v>
      </c>
      <c r="D313" s="10">
        <f>WEEKNUM(B313)</f>
        <v>0</v>
      </c>
      <c r="E313" s="10" t="str">
        <f>TEXT(B313,"mmm-yy")</f>
        <v>Jan-00</v>
      </c>
      <c r="F313" s="11"/>
      <c r="G313" s="11"/>
      <c r="H313" s="11">
        <f>G313*1000</f>
        <v>0</v>
      </c>
      <c r="I313" s="12"/>
    </row>
    <row r="314" spans="2:9" x14ac:dyDescent="0.3">
      <c r="B314" s="13"/>
      <c r="C314" s="9" t="str">
        <f>TEXT(B314,"DDD")</f>
        <v>Sat</v>
      </c>
      <c r="D314" s="10">
        <f>WEEKNUM(B314)</f>
        <v>0</v>
      </c>
      <c r="E314" s="10" t="str">
        <f>TEXT(B314,"mmm-yy")</f>
        <v>Jan-00</v>
      </c>
      <c r="F314" s="11"/>
      <c r="G314" s="11"/>
      <c r="H314" s="11">
        <f>G314*1000</f>
        <v>0</v>
      </c>
      <c r="I314" s="12"/>
    </row>
    <row r="315" spans="2:9" x14ac:dyDescent="0.3">
      <c r="B315" s="13"/>
      <c r="C315" s="9" t="str">
        <f>TEXT(B315,"DDD")</f>
        <v>Sat</v>
      </c>
      <c r="D315" s="10">
        <f>WEEKNUM(B315)</f>
        <v>0</v>
      </c>
      <c r="E315" s="10" t="str">
        <f>TEXT(B315,"mmm-yy")</f>
        <v>Jan-00</v>
      </c>
      <c r="F315" s="11"/>
      <c r="G315" s="11"/>
      <c r="H315" s="11">
        <f>G315*1000</f>
        <v>0</v>
      </c>
      <c r="I315" s="12"/>
    </row>
    <row r="316" spans="2:9" x14ac:dyDescent="0.3">
      <c r="B316" s="13"/>
      <c r="C316" s="9" t="str">
        <f>TEXT(B316,"DDD")</f>
        <v>Sat</v>
      </c>
      <c r="D316" s="10">
        <f>WEEKNUM(B316)</f>
        <v>0</v>
      </c>
      <c r="E316" s="10" t="str">
        <f>TEXT(B316,"mmm-yy")</f>
        <v>Jan-00</v>
      </c>
      <c r="F316" s="11"/>
      <c r="G316" s="11"/>
      <c r="H316" s="11">
        <f>G316*1000</f>
        <v>0</v>
      </c>
      <c r="I316" s="12"/>
    </row>
    <row r="317" spans="2:9" x14ac:dyDescent="0.3">
      <c r="B317" s="14"/>
      <c r="C317" s="15" t="str">
        <f>TEXT(B317,"DDD")</f>
        <v>Sat</v>
      </c>
      <c r="D317" s="16">
        <f>WEEKNUM(B317)</f>
        <v>0</v>
      </c>
      <c r="E317" s="16" t="str">
        <f>TEXT(B317,"mmm-yy")</f>
        <v>Jan-00</v>
      </c>
      <c r="F317" s="17"/>
      <c r="G317" s="17"/>
      <c r="H317" s="11">
        <f>G317*1000</f>
        <v>0</v>
      </c>
      <c r="I317" s="18"/>
    </row>
  </sheetData>
  <protectedRanges>
    <protectedRange sqref="B3:E4 C5:E317" name="Range1_1"/>
  </protectedRange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Kaliyappan</dc:creator>
  <cp:lastModifiedBy>sailokesh rachamallu</cp:lastModifiedBy>
  <dcterms:created xsi:type="dcterms:W3CDTF">2023-10-03T10:59:44Z</dcterms:created>
  <dcterms:modified xsi:type="dcterms:W3CDTF">2026-07-18T14:16:10Z</dcterms:modified>
</cp:coreProperties>
</file>