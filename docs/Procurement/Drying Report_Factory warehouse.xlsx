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MAYANK YAKRO - 2026\09-09-2026-UPDATED FILE\"/>
    </mc:Choice>
  </mc:AlternateContent>
  <xr:revisionPtr revIDLastSave="0" documentId="13_ncr:1_{774DF6D5-7942-4C83-A24B-619B420D53F5}" xr6:coauthVersionLast="47" xr6:coauthVersionMax="47" xr10:uidLastSave="{00000000-0000-0000-0000-000000000000}"/>
  <bookViews>
    <workbookView xWindow="-108" yWindow="-108" windowWidth="23256" windowHeight="12456" activeTab="3" xr2:uid="{289BF31F-2408-4F1A-BB29-26E3F7CF6E9E}"/>
  </bookViews>
  <sheets>
    <sheet name="FINAL DRY RCN-YAKRO-2026" sheetId="1" r:id="rId1"/>
    <sheet name="No Dryied Issued RCN" sheetId="5" r:id="rId2"/>
    <sheet name="Bouake Dring RCN" sheetId="3" r:id="rId3"/>
    <sheet name="Issued to Production Section" sheetId="2" r:id="rId4"/>
  </sheets>
  <externalReferences>
    <externalReference r:id="rId5"/>
    <externalReference r:id="rId6"/>
  </externalReferences>
  <definedNames>
    <definedName name="_xlnm._FilterDatabase" localSheetId="0" hidden="1">'FINAL DRY RCN-YAKRO-2026'!$A$2:$AY$69</definedName>
    <definedName name="_xlnm._FilterDatabase" localSheetId="3" hidden="1">'Issued to Production Section'!$A$5:$AG$67</definedName>
    <definedName name="Prestataires">[1]Listes!$A$2:$A$20</definedName>
    <definedName name="Sites" localSheetId="0">[2]Listes!$B$2:$B$20</definedName>
    <definedName name="Sites">[1]Listes!$B$2:$B$20</definedName>
  </definedNames>
  <calcPr calcId="191029"/>
  <pivotCaches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19" i="2" l="1"/>
  <c r="AD119" i="2"/>
  <c r="AB119" i="2"/>
  <c r="X119" i="2"/>
  <c r="Q126" i="2"/>
  <c r="O1" i="5"/>
  <c r="K76" i="5"/>
  <c r="L76" i="5"/>
  <c r="N76" i="5"/>
  <c r="O76" i="5"/>
  <c r="K75" i="5"/>
  <c r="L75" i="5"/>
  <c r="N75" i="5"/>
  <c r="AB118" i="2"/>
  <c r="AD118" i="2" s="1"/>
  <c r="AH118" i="2" s="1"/>
  <c r="X118" i="2"/>
  <c r="K74" i="5"/>
  <c r="L74" i="5"/>
  <c r="N74" i="5"/>
  <c r="O74" i="5"/>
  <c r="AB117" i="2"/>
  <c r="AD117" i="2" s="1"/>
  <c r="AH117" i="2" s="1"/>
  <c r="X117" i="2"/>
  <c r="O75" i="5" l="1"/>
  <c r="K73" i="5"/>
  <c r="L73" i="5"/>
  <c r="N73" i="5"/>
  <c r="O73" i="5"/>
  <c r="AB116" i="2"/>
  <c r="AD116" i="2" s="1"/>
  <c r="AH116" i="2" s="1"/>
  <c r="X116" i="2"/>
  <c r="K72" i="5"/>
  <c r="L72" i="5"/>
  <c r="N72" i="5"/>
  <c r="O72" i="5" s="1"/>
  <c r="AB115" i="2"/>
  <c r="AD115" i="2" s="1"/>
  <c r="AH115" i="2" s="1"/>
  <c r="X115" i="2"/>
  <c r="K71" i="5"/>
  <c r="L71" i="5"/>
  <c r="N71" i="5"/>
  <c r="O71" i="5"/>
  <c r="AB114" i="2"/>
  <c r="AD114" i="2" s="1"/>
  <c r="AH114" i="2" s="1"/>
  <c r="X114" i="2"/>
  <c r="AB113" i="2"/>
  <c r="AD113" i="2" s="1"/>
  <c r="AH113" i="2" s="1"/>
  <c r="X113" i="2"/>
  <c r="K70" i="5"/>
  <c r="L70" i="5"/>
  <c r="N70" i="5"/>
  <c r="O70" i="5"/>
  <c r="K69" i="5"/>
  <c r="L69" i="5" s="1"/>
  <c r="N69" i="5"/>
  <c r="AB112" i="2"/>
  <c r="AD112" i="2" s="1"/>
  <c r="AH112" i="2" s="1"/>
  <c r="X112" i="2"/>
  <c r="K68" i="5"/>
  <c r="L68" i="5" s="1"/>
  <c r="N68" i="5"/>
  <c r="AB111" i="2"/>
  <c r="AD111" i="2" s="1"/>
  <c r="AH111" i="2" s="1"/>
  <c r="X111" i="2"/>
  <c r="K67" i="5"/>
  <c r="L67" i="5"/>
  <c r="N67" i="5"/>
  <c r="O67" i="5"/>
  <c r="AB110" i="2"/>
  <c r="AD110" i="2" s="1"/>
  <c r="AH110" i="2" s="1"/>
  <c r="X110" i="2"/>
  <c r="K66" i="5"/>
  <c r="L66" i="5" s="1"/>
  <c r="N66" i="5"/>
  <c r="AB109" i="2"/>
  <c r="AD109" i="2" s="1"/>
  <c r="AH109" i="2" s="1"/>
  <c r="X109" i="2"/>
  <c r="K65" i="5"/>
  <c r="L65" i="5" s="1"/>
  <c r="N65" i="5"/>
  <c r="K64" i="5"/>
  <c r="L64" i="5"/>
  <c r="N64" i="5"/>
  <c r="AB108" i="2"/>
  <c r="AD108" i="2" s="1"/>
  <c r="AH108" i="2" s="1"/>
  <c r="X108" i="2"/>
  <c r="K63" i="5"/>
  <c r="L63" i="5"/>
  <c r="N63" i="5"/>
  <c r="O63" i="5"/>
  <c r="AB106" i="2"/>
  <c r="AD106" i="2" s="1"/>
  <c r="AH106" i="2" s="1"/>
  <c r="X106" i="2"/>
  <c r="K62" i="5"/>
  <c r="L62" i="5"/>
  <c r="N62" i="5"/>
  <c r="O62" i="5" s="1"/>
  <c r="K61" i="5"/>
  <c r="L61" i="5"/>
  <c r="N61" i="5"/>
  <c r="O61" i="5"/>
  <c r="K60" i="5"/>
  <c r="L60" i="5"/>
  <c r="N60" i="5"/>
  <c r="O60" i="5"/>
  <c r="AB105" i="2"/>
  <c r="AD105" i="2" s="1"/>
  <c r="AH105" i="2" s="1"/>
  <c r="AB104" i="2"/>
  <c r="AD104" i="2" s="1"/>
  <c r="AH104" i="2" s="1"/>
  <c r="AB103" i="2"/>
  <c r="AD103" i="2" s="1"/>
  <c r="X105" i="2"/>
  <c r="X104" i="2"/>
  <c r="X103" i="2"/>
  <c r="K59" i="5"/>
  <c r="L59" i="5" s="1"/>
  <c r="N59" i="5"/>
  <c r="O59" i="5"/>
  <c r="AB102" i="2"/>
  <c r="X102" i="2"/>
  <c r="AB101" i="2"/>
  <c r="X101" i="2"/>
  <c r="K58" i="5"/>
  <c r="L58" i="5"/>
  <c r="N58" i="5"/>
  <c r="O58" i="5"/>
  <c r="AH103" i="2" l="1"/>
  <c r="O69" i="5"/>
  <c r="O68" i="5"/>
  <c r="O66" i="5"/>
  <c r="O65" i="5"/>
  <c r="K57" i="5"/>
  <c r="L57" i="5"/>
  <c r="N57" i="5"/>
  <c r="O57" i="5"/>
  <c r="AB100" i="2"/>
  <c r="X100" i="2"/>
  <c r="K56" i="5" l="1"/>
  <c r="L56" i="5" s="1"/>
  <c r="N56" i="5"/>
  <c r="AB99" i="2"/>
  <c r="X99" i="2"/>
  <c r="X98" i="2"/>
  <c r="K55" i="5"/>
  <c r="L55" i="5" s="1"/>
  <c r="N55" i="5"/>
  <c r="O55" i="5" s="1"/>
  <c r="AB98" i="2"/>
  <c r="K54" i="5"/>
  <c r="L54" i="5"/>
  <c r="N54" i="5"/>
  <c r="O54" i="5"/>
  <c r="AB97" i="2"/>
  <c r="X97" i="2"/>
  <c r="X96" i="2"/>
  <c r="K53" i="5"/>
  <c r="L53" i="5" s="1"/>
  <c r="N53" i="5"/>
  <c r="AH96" i="2"/>
  <c r="AB96" i="2"/>
  <c r="K52" i="5"/>
  <c r="L52" i="5" s="1"/>
  <c r="N52" i="5"/>
  <c r="X95" i="2"/>
  <c r="X94" i="2"/>
  <c r="X93" i="2"/>
  <c r="AB95" i="2"/>
  <c r="O56" i="5" l="1"/>
  <c r="O53" i="5"/>
  <c r="O52" i="5"/>
  <c r="AH94" i="2" l="1"/>
  <c r="AB94" i="2"/>
  <c r="K51" i="5"/>
  <c r="L51" i="5" s="1"/>
  <c r="N51" i="5"/>
  <c r="O51" i="5" s="1"/>
  <c r="K50" i="5"/>
  <c r="L50" i="5" s="1"/>
  <c r="N50" i="5"/>
  <c r="AB93" i="2"/>
  <c r="AD93" i="2" s="1"/>
  <c r="AH93" i="2" s="1"/>
  <c r="O50" i="5" l="1"/>
  <c r="X92" i="2"/>
  <c r="V92" i="2"/>
  <c r="K49" i="5" l="1"/>
  <c r="N49" i="5"/>
  <c r="L49" i="5" l="1"/>
  <c r="AA92" i="2"/>
  <c r="AB92" i="2" s="1"/>
  <c r="AD92" i="2" s="1"/>
  <c r="AH92" i="2" s="1"/>
  <c r="O49" i="5"/>
  <c r="V90" i="2" l="1"/>
  <c r="Y90" i="2"/>
  <c r="W90" i="2"/>
  <c r="S90" i="2"/>
  <c r="I48" i="5"/>
  <c r="K48" i="5"/>
  <c r="N48" i="5"/>
  <c r="K47" i="5"/>
  <c r="L47" i="5" s="1"/>
  <c r="N47" i="5"/>
  <c r="O47" i="5" l="1"/>
  <c r="L48" i="5"/>
  <c r="X90" i="2"/>
  <c r="X89" i="2"/>
  <c r="X88" i="2"/>
  <c r="X87" i="2"/>
  <c r="V89" i="2"/>
  <c r="V88" i="2"/>
  <c r="V87" i="2"/>
  <c r="K46" i="5"/>
  <c r="N46" i="5"/>
  <c r="K45" i="5"/>
  <c r="L45" i="5" s="1"/>
  <c r="N45" i="5"/>
  <c r="K44" i="5"/>
  <c r="L44" i="5" s="1"/>
  <c r="N44" i="5"/>
  <c r="AA87" i="2" l="1"/>
  <c r="AB87" i="2" s="1"/>
  <c r="AD87" i="2" s="1"/>
  <c r="AH87" i="2" s="1"/>
  <c r="O44" i="5"/>
  <c r="O45" i="5"/>
  <c r="L46" i="5"/>
  <c r="O46" i="5"/>
  <c r="AA88" i="2"/>
  <c r="AB88" i="2" s="1"/>
  <c r="AD88" i="2" s="1"/>
  <c r="AH88" i="2" s="1"/>
  <c r="AA89" i="2"/>
  <c r="AB89" i="2" s="1"/>
  <c r="AD89" i="2" s="1"/>
  <c r="AH89" i="2" s="1"/>
  <c r="X86" i="2" l="1"/>
  <c r="V86" i="2"/>
  <c r="X85" i="2"/>
  <c r="V85" i="2"/>
  <c r="X84" i="2"/>
  <c r="V84" i="2"/>
  <c r="AB84" i="2" s="1"/>
  <c r="AD84" i="2" s="1"/>
  <c r="AH84" i="2" s="1"/>
  <c r="S84" i="2"/>
  <c r="K43" i="5" l="1"/>
  <c r="N43" i="5"/>
  <c r="K42" i="5"/>
  <c r="N42" i="5"/>
  <c r="K41" i="5"/>
  <c r="N41" i="5"/>
  <c r="X83" i="2"/>
  <c r="V83" i="2"/>
  <c r="X82" i="2"/>
  <c r="V82" i="2"/>
  <c r="O41" i="5" l="1"/>
  <c r="AA85" i="2"/>
  <c r="AB85" i="2" s="1"/>
  <c r="AD85" i="2" s="1"/>
  <c r="AH85" i="2" s="1"/>
  <c r="O42" i="5"/>
  <c r="O43" i="5"/>
  <c r="L42" i="5"/>
  <c r="L43" i="5"/>
  <c r="AA86" i="2"/>
  <c r="AB86" i="2" s="1"/>
  <c r="AD86" i="2" s="1"/>
  <c r="AH86" i="2" s="1"/>
  <c r="L41" i="5"/>
  <c r="K40" i="5"/>
  <c r="N40" i="5"/>
  <c r="K39" i="5"/>
  <c r="N39" i="5"/>
  <c r="AA83" i="2" l="1"/>
  <c r="AB83" i="2" s="1"/>
  <c r="AD83" i="2" s="1"/>
  <c r="AH83" i="2" s="1"/>
  <c r="O39" i="5"/>
  <c r="O40" i="5"/>
  <c r="L39" i="5"/>
  <c r="L40" i="5"/>
  <c r="AA82" i="2"/>
  <c r="AB82" i="2" s="1"/>
  <c r="AD82" i="2" s="1"/>
  <c r="AH82" i="2" s="1"/>
  <c r="K38" i="5"/>
  <c r="N38" i="5"/>
  <c r="K37" i="5"/>
  <c r="N37" i="5"/>
  <c r="X81" i="2"/>
  <c r="X80" i="2"/>
  <c r="V81" i="2"/>
  <c r="V80" i="2"/>
  <c r="J36" i="5"/>
  <c r="K36" i="5" s="1"/>
  <c r="X79" i="2"/>
  <c r="V79" i="2"/>
  <c r="N36" i="5"/>
  <c r="X78" i="2"/>
  <c r="V78" i="2"/>
  <c r="AB78" i="2" s="1"/>
  <c r="AD78" i="2" s="1"/>
  <c r="AH78" i="2" s="1"/>
  <c r="K35" i="5"/>
  <c r="N35" i="5"/>
  <c r="AA81" i="2" l="1"/>
  <c r="AB81" i="2" s="1"/>
  <c r="AD81" i="2" s="1"/>
  <c r="AH81" i="2" s="1"/>
  <c r="O38" i="5"/>
  <c r="L37" i="5"/>
  <c r="O37" i="5"/>
  <c r="L35" i="5"/>
  <c r="O35" i="5"/>
  <c r="O36" i="5"/>
  <c r="L38" i="5"/>
  <c r="AA80" i="2"/>
  <c r="AB80" i="2" s="1"/>
  <c r="AD80" i="2" s="1"/>
  <c r="AH80" i="2" s="1"/>
  <c r="L36" i="5"/>
  <c r="AA79" i="2"/>
  <c r="AB79" i="2" s="1"/>
  <c r="AD79" i="2" s="1"/>
  <c r="AH79" i="2" s="1"/>
  <c r="X77" i="2"/>
  <c r="V77" i="2"/>
  <c r="AB77" i="2" s="1"/>
  <c r="AD77" i="2" s="1"/>
  <c r="AH77" i="2" s="1"/>
  <c r="K34" i="5"/>
  <c r="N34" i="5"/>
  <c r="X76" i="2"/>
  <c r="V76" i="2"/>
  <c r="L34" i="5" l="1"/>
  <c r="O34" i="5"/>
  <c r="K33" i="5"/>
  <c r="N33" i="5"/>
  <c r="X75" i="2"/>
  <c r="V75" i="2"/>
  <c r="AB75" i="2" s="1"/>
  <c r="AD75" i="2" s="1"/>
  <c r="AH75" i="2" s="1"/>
  <c r="K32" i="5"/>
  <c r="N32" i="5"/>
  <c r="O33" i="5" l="1"/>
  <c r="L32" i="5"/>
  <c r="O32" i="5"/>
  <c r="L33" i="5"/>
  <c r="AA76" i="2"/>
  <c r="AB76" i="2" s="1"/>
  <c r="AD76" i="2" s="1"/>
  <c r="AH76" i="2" s="1"/>
  <c r="X74" i="2"/>
  <c r="V74" i="2"/>
  <c r="AB74" i="2" s="1"/>
  <c r="AD74" i="2" s="1"/>
  <c r="AH74" i="2" s="1"/>
  <c r="K31" i="5"/>
  <c r="N31" i="5"/>
  <c r="K30" i="5"/>
  <c r="N30" i="5"/>
  <c r="X73" i="2"/>
  <c r="X72" i="2"/>
  <c r="V73" i="2"/>
  <c r="AB73" i="2" s="1"/>
  <c r="AD73" i="2" s="1"/>
  <c r="AH73" i="2" s="1"/>
  <c r="V72" i="2"/>
  <c r="AB72" i="2" s="1"/>
  <c r="AD72" i="2" s="1"/>
  <c r="AH72" i="2" s="1"/>
  <c r="X71" i="2"/>
  <c r="V71" i="2"/>
  <c r="AB71" i="2" s="1"/>
  <c r="AD71" i="2" s="1"/>
  <c r="AH71" i="2" s="1"/>
  <c r="K29" i="5"/>
  <c r="N29" i="5"/>
  <c r="K28" i="5"/>
  <c r="N28" i="5"/>
  <c r="X70" i="2"/>
  <c r="X69" i="2"/>
  <c r="V70" i="2"/>
  <c r="AB70" i="2" s="1"/>
  <c r="AD70" i="2" s="1"/>
  <c r="AH70" i="2" s="1"/>
  <c r="K27" i="5"/>
  <c r="N27" i="5"/>
  <c r="V69" i="2"/>
  <c r="AB69" i="2" s="1"/>
  <c r="AD69" i="2" s="1"/>
  <c r="AH69" i="2" s="1"/>
  <c r="L29" i="5" l="1"/>
  <c r="O29" i="5"/>
  <c r="O30" i="5"/>
  <c r="L28" i="5"/>
  <c r="O28" i="5"/>
  <c r="L31" i="5"/>
  <c r="O31" i="5"/>
  <c r="L27" i="5"/>
  <c r="O27" i="5"/>
  <c r="L30" i="5"/>
  <c r="K26" i="5"/>
  <c r="N26" i="5"/>
  <c r="L26" i="5" l="1"/>
  <c r="O26" i="5"/>
  <c r="W68" i="2"/>
  <c r="X68" i="2" s="1"/>
  <c r="V68" i="2"/>
  <c r="AB68" i="2" s="1"/>
  <c r="AD68" i="2" s="1"/>
  <c r="AH68" i="2" s="1"/>
  <c r="N25" i="5"/>
  <c r="K25" i="5"/>
  <c r="X67" i="2"/>
  <c r="V67" i="2"/>
  <c r="AB67" i="2" s="1"/>
  <c r="AD67" i="2" s="1"/>
  <c r="AH67" i="2" s="1"/>
  <c r="N24" i="5"/>
  <c r="K24" i="5"/>
  <c r="AH83" i="1"/>
  <c r="AH82" i="1"/>
  <c r="AH81" i="1"/>
  <c r="AH80" i="1"/>
  <c r="AH79" i="1"/>
  <c r="AH78" i="1"/>
  <c r="AH77" i="1"/>
  <c r="AH76" i="1"/>
  <c r="AH75" i="1"/>
  <c r="AL83" i="1"/>
  <c r="AL82" i="1"/>
  <c r="AL81" i="1"/>
  <c r="AL80" i="1"/>
  <c r="AL79" i="1"/>
  <c r="AL78" i="1"/>
  <c r="AL75" i="1"/>
  <c r="AL74" i="1"/>
  <c r="AL73" i="1"/>
  <c r="AL72" i="1"/>
  <c r="AK83" i="1"/>
  <c r="AK82" i="1"/>
  <c r="AK81" i="1"/>
  <c r="AK80" i="1"/>
  <c r="AK78" i="1"/>
  <c r="AK76" i="1"/>
  <c r="AK74" i="1"/>
  <c r="AK73" i="1"/>
  <c r="AK72" i="1"/>
  <c r="AL1" i="1"/>
  <c r="AK56" i="1"/>
  <c r="AK68" i="1"/>
  <c r="O24" i="5" l="1"/>
  <c r="L25" i="5"/>
  <c r="O25" i="5"/>
  <c r="L24" i="5"/>
  <c r="R83" i="1"/>
  <c r="T83" i="1" s="1"/>
  <c r="X66" i="2"/>
  <c r="V66" i="2"/>
  <c r="AB66" i="2" s="1"/>
  <c r="AD66" i="2" s="1"/>
  <c r="AH66" i="2" s="1"/>
  <c r="N23" i="5" l="1"/>
  <c r="I23" i="5"/>
  <c r="K23" i="5" s="1"/>
  <c r="N22" i="5"/>
  <c r="I22" i="5"/>
  <c r="K22" i="5" s="1"/>
  <c r="X65" i="2"/>
  <c r="V65" i="2"/>
  <c r="AA65" i="2"/>
  <c r="O23" i="5" l="1"/>
  <c r="O22" i="5"/>
  <c r="L22" i="5"/>
  <c r="L23" i="5"/>
  <c r="AB65" i="2"/>
  <c r="AD65" i="2" s="1"/>
  <c r="AH65" i="2" s="1"/>
  <c r="AA64" i="2"/>
  <c r="Y64" i="2"/>
  <c r="W64" i="2"/>
  <c r="V64" i="2"/>
  <c r="AB64" i="2" s="1"/>
  <c r="AD64" i="2" s="1"/>
  <c r="AH64" i="2" s="1"/>
  <c r="M21" i="5"/>
  <c r="N21" i="5" s="1"/>
  <c r="K21" i="5"/>
  <c r="L21" i="5" l="1"/>
  <c r="O21" i="5"/>
  <c r="X64" i="2"/>
  <c r="W63" i="2"/>
  <c r="Y63" i="2"/>
  <c r="V63" i="2"/>
  <c r="AB63" i="2" s="1"/>
  <c r="AD63" i="2" s="1"/>
  <c r="AH63" i="2" s="1"/>
  <c r="M20" i="5"/>
  <c r="N20" i="5" s="1"/>
  <c r="J20" i="5"/>
  <c r="I20" i="5"/>
  <c r="K20" i="5" s="1"/>
  <c r="O20" i="5" s="1"/>
  <c r="L20" i="5" l="1"/>
  <c r="X63" i="2"/>
  <c r="X62" i="2" l="1"/>
  <c r="V62" i="2"/>
  <c r="AB62" i="2" s="1"/>
  <c r="AD62" i="2" s="1"/>
  <c r="AH62" i="2" s="1"/>
  <c r="M19" i="5"/>
  <c r="N19" i="5"/>
  <c r="K19" i="5"/>
  <c r="O19" i="5" s="1"/>
  <c r="K83" i="1"/>
  <c r="M83" i="1" s="1"/>
  <c r="O83" i="1" s="1"/>
  <c r="AI83" i="1" s="1"/>
  <c r="AJ83" i="1" s="1"/>
  <c r="M82" i="1"/>
  <c r="O82" i="1" s="1"/>
  <c r="W61" i="2"/>
  <c r="X61" i="2" s="1"/>
  <c r="V61" i="2"/>
  <c r="AB61" i="2" s="1"/>
  <c r="AD61" i="2" s="1"/>
  <c r="AH61" i="2" s="1"/>
  <c r="M18" i="5"/>
  <c r="N18" i="5" s="1"/>
  <c r="J18" i="5"/>
  <c r="I18" i="5"/>
  <c r="K18" i="5" s="1"/>
  <c r="R82" i="1"/>
  <c r="T82" i="1" s="1"/>
  <c r="O18" i="5" l="1"/>
  <c r="L18" i="5"/>
  <c r="L19" i="5"/>
  <c r="AI82" i="1"/>
  <c r="AJ82" i="1" s="1"/>
  <c r="M81" i="1"/>
  <c r="O81" i="1" s="1"/>
  <c r="R81" i="1"/>
  <c r="T81" i="1" s="1"/>
  <c r="Y60" i="2"/>
  <c r="X60" i="2" s="1"/>
  <c r="V60" i="2"/>
  <c r="AB60" i="2" s="1"/>
  <c r="AD60" i="2" s="1"/>
  <c r="AH60" i="2" s="1"/>
  <c r="N17" i="5"/>
  <c r="K17" i="5"/>
  <c r="O17" i="5" s="1"/>
  <c r="K80" i="1"/>
  <c r="M80" i="1" s="1"/>
  <c r="O80" i="1" s="1"/>
  <c r="R80" i="1"/>
  <c r="T80" i="1" s="1"/>
  <c r="Y59" i="2"/>
  <c r="X59" i="2" s="1"/>
  <c r="V59" i="2"/>
  <c r="AB59" i="2" s="1"/>
  <c r="AD59" i="2" s="1"/>
  <c r="AH59" i="2" s="1"/>
  <c r="N16" i="5"/>
  <c r="J16" i="5"/>
  <c r="I16" i="5"/>
  <c r="K16" i="5" s="1"/>
  <c r="O16" i="5" s="1"/>
  <c r="L16" i="5" l="1"/>
  <c r="AI81" i="1"/>
  <c r="AJ81" i="1" s="1"/>
  <c r="AI80" i="1"/>
  <c r="AJ80" i="1" s="1"/>
  <c r="L17" i="5"/>
  <c r="Q79" i="1"/>
  <c r="P79" i="1"/>
  <c r="R79" i="1" s="1"/>
  <c r="T79" i="1" s="1"/>
  <c r="P78" i="1"/>
  <c r="R78" i="1" s="1"/>
  <c r="T78" i="1" s="1"/>
  <c r="AA58" i="2"/>
  <c r="Y58" i="2"/>
  <c r="V58" i="2"/>
  <c r="AB58" i="2" s="1"/>
  <c r="AD58" i="2" s="1"/>
  <c r="AH58" i="2" s="1"/>
  <c r="M15" i="5"/>
  <c r="N15" i="5" s="1"/>
  <c r="K15" i="5"/>
  <c r="O15" i="5" s="1"/>
  <c r="N79" i="1"/>
  <c r="AK79" i="1" s="1"/>
  <c r="L79" i="1"/>
  <c r="K79" i="1"/>
  <c r="M79" i="1" s="1"/>
  <c r="O79" i="1" l="1"/>
  <c r="L15" i="5"/>
  <c r="K78" i="1"/>
  <c r="M78" i="1" s="1"/>
  <c r="S77" i="1"/>
  <c r="AL77" i="1" s="1"/>
  <c r="P77" i="1"/>
  <c r="AI79" i="1" l="1"/>
  <c r="AJ79" i="1" s="1"/>
  <c r="O78" i="1"/>
  <c r="AI78" i="1" s="1"/>
  <c r="AJ78" i="1" s="1"/>
  <c r="AA57" i="2" l="1"/>
  <c r="Y57" i="2"/>
  <c r="X57" i="2" s="1"/>
  <c r="T57" i="2"/>
  <c r="V57" i="2" s="1"/>
  <c r="N14" i="5"/>
  <c r="I14" i="5"/>
  <c r="K14" i="5" s="1"/>
  <c r="O14" i="5" s="1"/>
  <c r="N77" i="1"/>
  <c r="AK77" i="1" s="1"/>
  <c r="L77" i="1"/>
  <c r="K77" i="1"/>
  <c r="M77" i="1" s="1"/>
  <c r="O77" i="1" s="1"/>
  <c r="S76" i="1"/>
  <c r="AL76" i="1" s="1"/>
  <c r="P76" i="1"/>
  <c r="R77" i="1"/>
  <c r="T77" i="1" s="1"/>
  <c r="K76" i="1"/>
  <c r="M76" i="1" s="1"/>
  <c r="L14" i="5" l="1"/>
  <c r="AB57" i="2"/>
  <c r="AI77" i="1"/>
  <c r="AJ77" i="1" s="1"/>
  <c r="O76" i="1"/>
  <c r="R76" i="1"/>
  <c r="T76" i="1" s="1"/>
  <c r="P74" i="1"/>
  <c r="K75" i="1"/>
  <c r="AI76" i="1" l="1"/>
  <c r="AJ76" i="1" s="1"/>
  <c r="AH74" i="1"/>
  <c r="AH73" i="1"/>
  <c r="AH72" i="1"/>
  <c r="Y56" i="2"/>
  <c r="W56" i="2"/>
  <c r="T56" i="2"/>
  <c r="V56" i="2" s="1"/>
  <c r="S56" i="2"/>
  <c r="AA56" i="2"/>
  <c r="AA55" i="2"/>
  <c r="AA54" i="2"/>
  <c r="I12" i="5"/>
  <c r="K12" i="5" s="1"/>
  <c r="J13" i="5"/>
  <c r="M13" i="5"/>
  <c r="N13" i="5" s="1"/>
  <c r="I13" i="5"/>
  <c r="K13" i="5" s="1"/>
  <c r="N75" i="1"/>
  <c r="AK75" i="1" s="1"/>
  <c r="L75" i="1"/>
  <c r="M75" i="1" s="1"/>
  <c r="O75" i="1" s="1"/>
  <c r="Q73" i="1"/>
  <c r="P73" i="1"/>
  <c r="R75" i="1"/>
  <c r="T75" i="1" s="1"/>
  <c r="O13" i="5" l="1"/>
  <c r="AB56" i="2"/>
  <c r="X56" i="2"/>
  <c r="AI75" i="1"/>
  <c r="AJ75" i="1" s="1"/>
  <c r="L13" i="5"/>
  <c r="K74" i="1" l="1"/>
  <c r="M74" i="1" s="1"/>
  <c r="O74" i="1" s="1"/>
  <c r="I11" i="5" l="1"/>
  <c r="R74" i="1" l="1"/>
  <c r="T74" i="1" s="1"/>
  <c r="AI74" i="1" s="1"/>
  <c r="AD57" i="2"/>
  <c r="AH57" i="2" s="1"/>
  <c r="AD56" i="2"/>
  <c r="AH56" i="2" s="1"/>
  <c r="Y55" i="2"/>
  <c r="X55" i="2" s="1"/>
  <c r="V55" i="2"/>
  <c r="N12" i="5"/>
  <c r="O12" i="5" s="1"/>
  <c r="R60" i="1"/>
  <c r="T60" i="1" s="1"/>
  <c r="R59" i="1"/>
  <c r="T59" i="1" s="1"/>
  <c r="AB55" i="2" l="1"/>
  <c r="AD55" i="2" s="1"/>
  <c r="AH55" i="2" s="1"/>
  <c r="AJ74" i="1"/>
  <c r="L12" i="5"/>
  <c r="AH71" i="1"/>
  <c r="P72" i="1"/>
  <c r="Y54" i="2"/>
  <c r="X54" i="2" s="1"/>
  <c r="U54" i="2"/>
  <c r="V54" i="2" s="1"/>
  <c r="AB54" i="2" s="1"/>
  <c r="AD54" i="2" s="1"/>
  <c r="AH54" i="2" s="1"/>
  <c r="M11" i="5"/>
  <c r="J11" i="5"/>
  <c r="K11" i="5" s="1"/>
  <c r="L11" i="5" l="1"/>
  <c r="N11" i="5"/>
  <c r="O11" i="5" s="1"/>
  <c r="L3" i="5" l="1"/>
  <c r="L6" i="5"/>
  <c r="L4" i="5"/>
  <c r="M10" i="5" l="1"/>
  <c r="N10" i="5" s="1"/>
  <c r="I10" i="5"/>
  <c r="K10" i="5" s="1"/>
  <c r="O10" i="5" s="1"/>
  <c r="L10" i="5" l="1"/>
  <c r="Y53" i="2"/>
  <c r="AA53" i="2" s="1"/>
  <c r="V53" i="2"/>
  <c r="Q69" i="1"/>
  <c r="P69" i="1"/>
  <c r="AB53" i="2" l="1"/>
  <c r="AD53" i="2" s="1"/>
  <c r="AH53" i="2" s="1"/>
  <c r="X53" i="2"/>
  <c r="R69" i="1" l="1"/>
  <c r="AH68" i="1"/>
  <c r="AH70" i="1"/>
  <c r="AH69" i="1"/>
  <c r="Y52" i="2"/>
  <c r="AA52" i="2" s="1"/>
  <c r="V52" i="2"/>
  <c r="K9" i="5"/>
  <c r="N9" i="5"/>
  <c r="O9" i="5" s="1"/>
  <c r="M73" i="1"/>
  <c r="O73" i="1" s="1"/>
  <c r="L72" i="1"/>
  <c r="K72" i="1"/>
  <c r="M72" i="1" l="1"/>
  <c r="O72" i="1" s="1"/>
  <c r="L9" i="5"/>
  <c r="X52" i="2"/>
  <c r="AB52" i="2"/>
  <c r="AD52" i="2" s="1"/>
  <c r="AH52" i="2" s="1"/>
  <c r="Q71" i="1" l="1"/>
  <c r="P71" i="1"/>
  <c r="X51" i="2" l="1"/>
  <c r="V51" i="2"/>
  <c r="AB51" i="2" s="1"/>
  <c r="AD51" i="2" s="1"/>
  <c r="AH51" i="2" s="1"/>
  <c r="M8" i="5"/>
  <c r="N7" i="5"/>
  <c r="O7" i="5" s="1"/>
  <c r="N6" i="5"/>
  <c r="O6" i="5" s="1"/>
  <c r="M5" i="5"/>
  <c r="N3" i="5"/>
  <c r="O3" i="5" s="1"/>
  <c r="N4" i="5"/>
  <c r="O4" i="5" s="1"/>
  <c r="N5" i="5" l="1"/>
  <c r="O5" i="5" s="1"/>
  <c r="L5" i="5"/>
  <c r="N8" i="5"/>
  <c r="O8" i="5" s="1"/>
  <c r="L8" i="5"/>
  <c r="K7" i="5"/>
  <c r="AA6" i="2"/>
  <c r="L7" i="5" l="1"/>
  <c r="L1" i="5" s="1"/>
  <c r="L71" i="1"/>
  <c r="M71" i="1" s="1"/>
  <c r="Q70" i="1"/>
  <c r="P70" i="1"/>
  <c r="R70" i="1" s="1"/>
  <c r="T70" i="1" s="1"/>
  <c r="R71" i="1"/>
  <c r="T71" i="1" s="1"/>
  <c r="R72" i="1"/>
  <c r="T72" i="1" s="1"/>
  <c r="R73" i="1"/>
  <c r="T73" i="1" s="1"/>
  <c r="AI73" i="1" s="1"/>
  <c r="R58" i="1"/>
  <c r="T58" i="1" s="1"/>
  <c r="AH43" i="1"/>
  <c r="R7" i="1"/>
  <c r="T7" i="1" s="1"/>
  <c r="R6" i="1"/>
  <c r="T6" i="1" s="1"/>
  <c r="R5" i="1"/>
  <c r="T5" i="1" s="1"/>
  <c r="R4" i="1"/>
  <c r="T4" i="1" s="1"/>
  <c r="R3" i="1"/>
  <c r="T3" i="1" s="1"/>
  <c r="R68" i="1"/>
  <c r="T68" i="1" s="1"/>
  <c r="R67" i="1"/>
  <c r="R66" i="1"/>
  <c r="T66" i="1" s="1"/>
  <c r="R65" i="1"/>
  <c r="R64" i="1"/>
  <c r="R63" i="1"/>
  <c r="R62" i="1"/>
  <c r="R61" i="1"/>
  <c r="T61" i="1" s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Y50" i="2"/>
  <c r="X50" i="2" s="1"/>
  <c r="W50" i="2"/>
  <c r="V50" i="2"/>
  <c r="AB50" i="2" s="1"/>
  <c r="AD50" i="2" s="1"/>
  <c r="AH50" i="2" s="1"/>
  <c r="T64" i="1" l="1"/>
  <c r="AA91" i="2"/>
  <c r="AB91" i="2" s="1"/>
  <c r="AD91" i="2" s="1"/>
  <c r="AH91" i="2" s="1"/>
  <c r="AI72" i="1"/>
  <c r="AJ73" i="1"/>
  <c r="T62" i="1"/>
  <c r="T63" i="1"/>
  <c r="T67" i="1"/>
  <c r="T11" i="1"/>
  <c r="T12" i="1"/>
  <c r="T13" i="1"/>
  <c r="T37" i="1"/>
  <c r="T49" i="1"/>
  <c r="T26" i="1"/>
  <c r="T15" i="1"/>
  <c r="T27" i="1"/>
  <c r="T39" i="1"/>
  <c r="T51" i="1"/>
  <c r="T47" i="1"/>
  <c r="T24" i="1"/>
  <c r="T50" i="1"/>
  <c r="T35" i="1"/>
  <c r="T36" i="1"/>
  <c r="T38" i="1"/>
  <c r="T23" i="1"/>
  <c r="T48" i="1"/>
  <c r="T25" i="1"/>
  <c r="T14" i="1"/>
  <c r="T16" i="1"/>
  <c r="T40" i="1"/>
  <c r="T31" i="1"/>
  <c r="T55" i="1"/>
  <c r="T8" i="1"/>
  <c r="T20" i="1"/>
  <c r="T32" i="1"/>
  <c r="T44" i="1"/>
  <c r="T56" i="1"/>
  <c r="T28" i="1"/>
  <c r="T17" i="1"/>
  <c r="T41" i="1"/>
  <c r="T53" i="1"/>
  <c r="T18" i="1"/>
  <c r="T43" i="1"/>
  <c r="T9" i="1"/>
  <c r="T21" i="1"/>
  <c r="T33" i="1"/>
  <c r="T45" i="1"/>
  <c r="T57" i="1"/>
  <c r="T52" i="1"/>
  <c r="T29" i="1"/>
  <c r="T30" i="1"/>
  <c r="T42" i="1"/>
  <c r="T54" i="1"/>
  <c r="T19" i="1"/>
  <c r="T10" i="1"/>
  <c r="T22" i="1"/>
  <c r="T34" i="1"/>
  <c r="T46" i="1"/>
  <c r="T65" i="1"/>
  <c r="AA90" i="2" l="1"/>
  <c r="O48" i="5"/>
  <c r="AJ72" i="1"/>
  <c r="O71" i="1"/>
  <c r="M70" i="1"/>
  <c r="O70" i="1" s="1"/>
  <c r="T69" i="1"/>
  <c r="Q1" i="1" s="1"/>
  <c r="L69" i="1"/>
  <c r="K69" i="1"/>
  <c r="M69" i="1" s="1"/>
  <c r="AA49" i="2"/>
  <c r="X49" i="2"/>
  <c r="V49" i="2"/>
  <c r="AB90" i="2" l="1"/>
  <c r="AD90" i="2" s="1"/>
  <c r="T1" i="1"/>
  <c r="AI71" i="1"/>
  <c r="AJ71" i="1" s="1"/>
  <c r="AB49" i="2"/>
  <c r="AD49" i="2" s="1"/>
  <c r="AH49" i="2" s="1"/>
  <c r="AI70" i="1"/>
  <c r="AJ70" i="1" s="1"/>
  <c r="O69" i="1"/>
  <c r="AI69" i="1" s="1"/>
  <c r="AJ69" i="1" s="1"/>
  <c r="AH90" i="2" l="1"/>
  <c r="L55" i="1"/>
  <c r="K55" i="1"/>
  <c r="K65" i="1"/>
  <c r="L65" i="1"/>
  <c r="L63" i="1"/>
  <c r="K63" i="1"/>
  <c r="K61" i="1"/>
  <c r="L61" i="1"/>
  <c r="M67" i="1" l="1"/>
  <c r="M66" i="1"/>
  <c r="O66" i="1" s="1"/>
  <c r="AI66" i="1" s="1"/>
  <c r="AJ66" i="1" s="1"/>
  <c r="M65" i="1"/>
  <c r="M63" i="1"/>
  <c r="O63" i="1" s="1"/>
  <c r="AI63" i="1" s="1"/>
  <c r="AJ63" i="1" s="1"/>
  <c r="M60" i="1"/>
  <c r="M58" i="1"/>
  <c r="M56" i="1"/>
  <c r="M55" i="1"/>
  <c r="O55" i="1" s="1"/>
  <c r="AI55" i="1" s="1"/>
  <c r="AJ55" i="1" s="1"/>
  <c r="M53" i="1"/>
  <c r="O53" i="1" s="1"/>
  <c r="AI53" i="1" s="1"/>
  <c r="AJ53" i="1" s="1"/>
  <c r="M52" i="1"/>
  <c r="O52" i="1" s="1"/>
  <c r="AI52" i="1" s="1"/>
  <c r="AJ52" i="1" s="1"/>
  <c r="M51" i="1"/>
  <c r="O51" i="1" s="1"/>
  <c r="AI51" i="1" s="1"/>
  <c r="AJ51" i="1" s="1"/>
  <c r="M49" i="1"/>
  <c r="O49" i="1" s="1"/>
  <c r="AI49" i="1" s="1"/>
  <c r="AJ49" i="1" s="1"/>
  <c r="M46" i="1"/>
  <c r="M40" i="1"/>
  <c r="M39" i="1"/>
  <c r="M64" i="1"/>
  <c r="O64" i="1" s="1"/>
  <c r="AI64" i="1" s="1"/>
  <c r="AJ64" i="1" s="1"/>
  <c r="M50" i="1"/>
  <c r="O50" i="1" s="1"/>
  <c r="AI50" i="1" s="1"/>
  <c r="M54" i="1"/>
  <c r="O54" i="1" s="1"/>
  <c r="AI54" i="1" s="1"/>
  <c r="AJ54" i="1" s="1"/>
  <c r="M33" i="1"/>
  <c r="O33" i="1" s="1"/>
  <c r="AI33" i="1" s="1"/>
  <c r="AJ33" i="1" s="1"/>
  <c r="M29" i="1"/>
  <c r="O29" i="1" s="1"/>
  <c r="AI29" i="1" s="1"/>
  <c r="AJ29" i="1" s="1"/>
  <c r="M6" i="1"/>
  <c r="O6" i="1" s="1"/>
  <c r="AI6" i="1" s="1"/>
  <c r="AJ6" i="1" s="1"/>
  <c r="M5" i="1"/>
  <c r="O5" i="1" s="1"/>
  <c r="AI5" i="1" s="1"/>
  <c r="AJ5" i="1" s="1"/>
  <c r="M36" i="1"/>
  <c r="O36" i="1" s="1"/>
  <c r="AI36" i="1" s="1"/>
  <c r="AJ36" i="1" s="1"/>
  <c r="M35" i="1"/>
  <c r="O35" i="1" s="1"/>
  <c r="AI35" i="1" s="1"/>
  <c r="AJ35" i="1" s="1"/>
  <c r="M34" i="1"/>
  <c r="O34" i="1" s="1"/>
  <c r="AI34" i="1" s="1"/>
  <c r="AJ34" i="1" s="1"/>
  <c r="M45" i="1"/>
  <c r="O45" i="1" s="1"/>
  <c r="AI45" i="1" s="1"/>
  <c r="AJ45" i="1" s="1"/>
  <c r="M44" i="1"/>
  <c r="O44" i="1" s="1"/>
  <c r="AI44" i="1" s="1"/>
  <c r="AJ44" i="1" s="1"/>
  <c r="M43" i="1"/>
  <c r="O43" i="1" s="1"/>
  <c r="AI43" i="1" s="1"/>
  <c r="AJ43" i="1" s="1"/>
  <c r="M41" i="1"/>
  <c r="O41" i="1" s="1"/>
  <c r="AI41" i="1" s="1"/>
  <c r="AJ41" i="1" s="1"/>
  <c r="M37" i="1"/>
  <c r="O37" i="1" s="1"/>
  <c r="AI37" i="1" s="1"/>
  <c r="AJ37" i="1" s="1"/>
  <c r="M32" i="1"/>
  <c r="O32" i="1" s="1"/>
  <c r="AI32" i="1" s="1"/>
  <c r="AJ32" i="1" s="1"/>
  <c r="M31" i="1"/>
  <c r="O31" i="1" s="1"/>
  <c r="AI31" i="1" s="1"/>
  <c r="AJ31" i="1" s="1"/>
  <c r="M30" i="1"/>
  <c r="O30" i="1" s="1"/>
  <c r="AI30" i="1" s="1"/>
  <c r="AJ30" i="1" s="1"/>
  <c r="M28" i="1"/>
  <c r="O28" i="1" s="1"/>
  <c r="AI28" i="1" s="1"/>
  <c r="AJ28" i="1" s="1"/>
  <c r="M27" i="1"/>
  <c r="O27" i="1" s="1"/>
  <c r="AI27" i="1" s="1"/>
  <c r="AJ27" i="1" s="1"/>
  <c r="M26" i="1"/>
  <c r="O26" i="1" s="1"/>
  <c r="AI26" i="1" s="1"/>
  <c r="AJ26" i="1" s="1"/>
  <c r="M25" i="1"/>
  <c r="O25" i="1" s="1"/>
  <c r="AI25" i="1" s="1"/>
  <c r="AJ25" i="1" s="1"/>
  <c r="M24" i="1"/>
  <c r="O24" i="1" s="1"/>
  <c r="AI24" i="1" s="1"/>
  <c r="AJ24" i="1" s="1"/>
  <c r="M23" i="1"/>
  <c r="O23" i="1" s="1"/>
  <c r="AI23" i="1" s="1"/>
  <c r="AJ23" i="1" s="1"/>
  <c r="M22" i="1"/>
  <c r="O22" i="1" s="1"/>
  <c r="AI22" i="1" s="1"/>
  <c r="AJ22" i="1" s="1"/>
  <c r="M21" i="1"/>
  <c r="O21" i="1" s="1"/>
  <c r="AI21" i="1" s="1"/>
  <c r="AJ21" i="1" s="1"/>
  <c r="M20" i="1"/>
  <c r="O20" i="1" s="1"/>
  <c r="AI20" i="1" s="1"/>
  <c r="AJ20" i="1" s="1"/>
  <c r="M19" i="1"/>
  <c r="O19" i="1" s="1"/>
  <c r="AI19" i="1" s="1"/>
  <c r="AJ19" i="1" s="1"/>
  <c r="M18" i="1"/>
  <c r="O18" i="1" s="1"/>
  <c r="AI18" i="1" s="1"/>
  <c r="AJ18" i="1" s="1"/>
  <c r="M17" i="1"/>
  <c r="O17" i="1" s="1"/>
  <c r="AI17" i="1" s="1"/>
  <c r="AJ17" i="1" s="1"/>
  <c r="M16" i="1"/>
  <c r="O16" i="1" s="1"/>
  <c r="AI16" i="1" s="1"/>
  <c r="AJ16" i="1" s="1"/>
  <c r="M15" i="1"/>
  <c r="O15" i="1" s="1"/>
  <c r="AI15" i="1" s="1"/>
  <c r="M14" i="1"/>
  <c r="O14" i="1" s="1"/>
  <c r="AI14" i="1" s="1"/>
  <c r="AJ14" i="1" s="1"/>
  <c r="M13" i="1"/>
  <c r="O13" i="1" s="1"/>
  <c r="AI13" i="1" s="1"/>
  <c r="AJ13" i="1" s="1"/>
  <c r="M12" i="1"/>
  <c r="O12" i="1" s="1"/>
  <c r="AI12" i="1" s="1"/>
  <c r="AJ12" i="1" s="1"/>
  <c r="M11" i="1"/>
  <c r="O11" i="1" s="1"/>
  <c r="AI11" i="1" s="1"/>
  <c r="AJ11" i="1" s="1"/>
  <c r="M10" i="1"/>
  <c r="O10" i="1" s="1"/>
  <c r="AI10" i="1" s="1"/>
  <c r="AJ10" i="1" s="1"/>
  <c r="M9" i="1"/>
  <c r="O9" i="1" s="1"/>
  <c r="AI9" i="1" s="1"/>
  <c r="AJ9" i="1" s="1"/>
  <c r="M8" i="1"/>
  <c r="O8" i="1" s="1"/>
  <c r="AI8" i="1" s="1"/>
  <c r="AJ8" i="1" s="1"/>
  <c r="M7" i="1"/>
  <c r="O7" i="1" s="1"/>
  <c r="AI7" i="1" s="1"/>
  <c r="AJ7" i="1" s="1"/>
  <c r="M4" i="1"/>
  <c r="O4" i="1" s="1"/>
  <c r="AI4" i="1" s="1"/>
  <c r="AJ4" i="1" s="1"/>
  <c r="M3" i="1"/>
  <c r="AJ15" i="1" l="1"/>
  <c r="AJ50" i="1"/>
  <c r="O3" i="1"/>
  <c r="O65" i="1"/>
  <c r="AI65" i="1" s="1"/>
  <c r="M61" i="1"/>
  <c r="O61" i="1" s="1"/>
  <c r="AI61" i="1" s="1"/>
  <c r="AJ61" i="1" s="1"/>
  <c r="M57" i="1"/>
  <c r="O57" i="1" s="1"/>
  <c r="AI57" i="1" s="1"/>
  <c r="AJ57" i="1" s="1"/>
  <c r="O40" i="1"/>
  <c r="AI40" i="1" s="1"/>
  <c r="AJ40" i="1" s="1"/>
  <c r="O58" i="1"/>
  <c r="M47" i="1"/>
  <c r="O47" i="1" s="1"/>
  <c r="AI47" i="1" s="1"/>
  <c r="AJ47" i="1" s="1"/>
  <c r="M62" i="1"/>
  <c r="O62" i="1" s="1"/>
  <c r="AI62" i="1" s="1"/>
  <c r="AJ62" i="1" s="1"/>
  <c r="M38" i="1"/>
  <c r="O38" i="1" s="1"/>
  <c r="AI38" i="1" s="1"/>
  <c r="O56" i="1"/>
  <c r="AI56" i="1" s="1"/>
  <c r="AJ56" i="1" s="1"/>
  <c r="M68" i="1"/>
  <c r="O68" i="1" s="1"/>
  <c r="AI68" i="1" s="1"/>
  <c r="AJ68" i="1" s="1"/>
  <c r="M48" i="1"/>
  <c r="O48" i="1" s="1"/>
  <c r="AI48" i="1" s="1"/>
  <c r="AJ48" i="1" s="1"/>
  <c r="O67" i="1"/>
  <c r="AI67" i="1" s="1"/>
  <c r="AJ67" i="1" s="1"/>
  <c r="O39" i="1"/>
  <c r="AI39" i="1" s="1"/>
  <c r="AJ39" i="1" s="1"/>
  <c r="O46" i="1"/>
  <c r="AI46" i="1" s="1"/>
  <c r="AJ46" i="1" s="1"/>
  <c r="O60" i="1"/>
  <c r="AI60" i="1" s="1"/>
  <c r="AJ60" i="1" s="1"/>
  <c r="M42" i="1"/>
  <c r="O42" i="1" s="1"/>
  <c r="AI42" i="1" s="1"/>
  <c r="AJ42" i="1" s="1"/>
  <c r="M59" i="1"/>
  <c r="O59" i="1" s="1"/>
  <c r="AI59" i="1" s="1"/>
  <c r="AJ59" i="1" s="1"/>
  <c r="AA48" i="2"/>
  <c r="X48" i="2"/>
  <c r="U48" i="2"/>
  <c r="V48" i="2" s="1"/>
  <c r="O1" i="1" l="1"/>
  <c r="AJ38" i="1"/>
  <c r="AJ65" i="1"/>
  <c r="AB48" i="2"/>
  <c r="AD48" i="2" s="1"/>
  <c r="AH48" i="2" s="1"/>
  <c r="AI58" i="1"/>
  <c r="AJ58" i="1" s="1"/>
  <c r="M1" i="1"/>
  <c r="AI3" i="1"/>
  <c r="AI1" i="1" s="1"/>
  <c r="AJ3" i="1" l="1"/>
  <c r="X47" i="2"/>
  <c r="W47" i="2"/>
  <c r="V47" i="2"/>
  <c r="AB47" i="2" s="1"/>
  <c r="AD47" i="2" s="1"/>
  <c r="AH47" i="2" s="1"/>
  <c r="AH67" i="1" l="1"/>
  <c r="AH66" i="1"/>
  <c r="Y46" i="2" l="1"/>
  <c r="X46" i="2" s="1"/>
  <c r="V46" i="2"/>
  <c r="AB46" i="2" s="1"/>
  <c r="AD46" i="2" s="1"/>
  <c r="AH46" i="2" s="1"/>
  <c r="V45" i="2" l="1"/>
  <c r="AB45" i="2" l="1"/>
  <c r="AD45" i="2" s="1"/>
  <c r="AH45" i="2" s="1"/>
  <c r="AA44" i="2"/>
  <c r="Y44" i="2" l="1"/>
  <c r="W44" i="2"/>
  <c r="W126" i="2" s="1"/>
  <c r="U44" i="2"/>
  <c r="V44" i="2" s="1"/>
  <c r="S44" i="2"/>
  <c r="S126" i="2" s="1"/>
  <c r="X44" i="2" l="1"/>
  <c r="AB44" i="2"/>
  <c r="AD44" i="2" s="1"/>
  <c r="AH44" i="2" s="1"/>
  <c r="V43" i="2"/>
  <c r="AB43" i="2" s="1"/>
  <c r="AD43" i="2" s="1"/>
  <c r="AH43" i="2" s="1"/>
  <c r="AH42" i="2" l="1"/>
  <c r="V42" i="2"/>
  <c r="AB42" i="2" s="1"/>
  <c r="AH65" i="1"/>
  <c r="AH64" i="1"/>
  <c r="AH63" i="1"/>
  <c r="AH62" i="1"/>
  <c r="AH41" i="2" l="1"/>
  <c r="AD17" i="2"/>
  <c r="AD6" i="2"/>
  <c r="AF39" i="2"/>
  <c r="AH39" i="2" s="1"/>
  <c r="AF34" i="2"/>
  <c r="AH34" i="2" s="1"/>
  <c r="V41" i="2" l="1"/>
  <c r="AB41" i="2" s="1"/>
  <c r="AD40" i="2" l="1"/>
  <c r="X40" i="2"/>
  <c r="V40" i="2"/>
  <c r="AB40" i="2" s="1"/>
  <c r="AH61" i="1"/>
  <c r="U39" i="2"/>
  <c r="V39" i="2" s="1"/>
  <c r="X39" i="2"/>
  <c r="AH58" i="1"/>
  <c r="AH57" i="1"/>
  <c r="AF40" i="2" l="1"/>
  <c r="AH40" i="2" s="1"/>
  <c r="X38" i="2"/>
  <c r="V38" i="2"/>
  <c r="AB38" i="2" s="1"/>
  <c r="AF38" i="2" s="1"/>
  <c r="AH38" i="2" s="1"/>
  <c r="AD37" i="2" l="1"/>
  <c r="AH37" i="2" s="1"/>
  <c r="X37" i="2"/>
  <c r="X36" i="2"/>
  <c r="V37" i="2"/>
  <c r="AB37" i="2" s="1"/>
  <c r="T36" i="2"/>
  <c r="X35" i="2"/>
  <c r="V36" i="2" l="1"/>
  <c r="AB36" i="2" s="1"/>
  <c r="AF36" i="2" s="1"/>
  <c r="AH36" i="2" s="1"/>
  <c r="V35" i="2"/>
  <c r="AB35" i="2" s="1"/>
  <c r="AF35" i="2" s="1"/>
  <c r="AH35" i="2" s="1"/>
  <c r="X34" i="2"/>
  <c r="X33" i="2"/>
  <c r="AB33" i="2" l="1"/>
  <c r="AF33" i="2" s="1"/>
  <c r="AH33" i="2" s="1"/>
  <c r="U33" i="2"/>
  <c r="AB32" i="2"/>
  <c r="AF32" i="2" s="1"/>
  <c r="AH32" i="2" s="1"/>
  <c r="X32" i="2"/>
  <c r="U32" i="2"/>
  <c r="AH56" i="1"/>
  <c r="AH55" i="1" l="1"/>
  <c r="AB31" i="2" l="1"/>
  <c r="AF31" i="2" s="1"/>
  <c r="AH31" i="2" s="1"/>
  <c r="X31" i="2"/>
  <c r="AH54" i="1" l="1"/>
  <c r="AH37" i="1" l="1"/>
  <c r="V30" i="2"/>
  <c r="X30" i="2"/>
  <c r="V29" i="2"/>
  <c r="AB29" i="2" s="1"/>
  <c r="AF29" i="2" s="1"/>
  <c r="AH29" i="2" s="1"/>
  <c r="X29" i="2"/>
  <c r="AH53" i="1"/>
  <c r="AH52" i="1" l="1"/>
  <c r="AH3" i="3" l="1"/>
  <c r="AG3" i="3"/>
  <c r="AF3" i="3"/>
  <c r="R3" i="3"/>
  <c r="AH51" i="1"/>
  <c r="X28" i="2"/>
  <c r="V28" i="2"/>
  <c r="AB28" i="2" s="1"/>
  <c r="AF28" i="2" s="1"/>
  <c r="AH28" i="2" s="1"/>
  <c r="AH50" i="1"/>
  <c r="AD27" i="2"/>
  <c r="X27" i="2"/>
  <c r="X26" i="2"/>
  <c r="V27" i="2"/>
  <c r="AB27" i="2" s="1"/>
  <c r="AF27" i="2" l="1"/>
  <c r="AH27" i="2" s="1"/>
  <c r="U26" i="2"/>
  <c r="V26" i="2" s="1"/>
  <c r="AB26" i="2" s="1"/>
  <c r="AF26" i="2" s="1"/>
  <c r="AH26" i="2" s="1"/>
  <c r="AD25" i="2"/>
  <c r="AH49" i="1" l="1"/>
  <c r="AH48" i="1"/>
  <c r="X25" i="2" l="1"/>
  <c r="AH47" i="1" l="1"/>
  <c r="AH42" i="1" l="1"/>
  <c r="AH46" i="1" l="1"/>
  <c r="AH45" i="1"/>
  <c r="AD24" i="2"/>
  <c r="AB24" i="2"/>
  <c r="U24" i="2"/>
  <c r="X24" i="2"/>
  <c r="AB23" i="2"/>
  <c r="AF23" i="2" s="1"/>
  <c r="AH23" i="2" s="1"/>
  <c r="U23" i="2"/>
  <c r="V25" i="2"/>
  <c r="AB25" i="2" s="1"/>
  <c r="AF25" i="2" s="1"/>
  <c r="AH25" i="2" s="1"/>
  <c r="V22" i="2"/>
  <c r="X23" i="2"/>
  <c r="X22" i="2"/>
  <c r="X21" i="2"/>
  <c r="AD20" i="2"/>
  <c r="AF24" i="2" l="1"/>
  <c r="AH24" i="2" s="1"/>
  <c r="X20" i="2"/>
  <c r="AD18" i="2"/>
  <c r="AH44" i="1"/>
  <c r="AB22" i="2"/>
  <c r="AF22" i="2" s="1"/>
  <c r="AH22" i="2" s="1"/>
  <c r="V20" i="2"/>
  <c r="AH41" i="1"/>
  <c r="AH40" i="1"/>
  <c r="AH39" i="1"/>
  <c r="AB20" i="2" l="1"/>
  <c r="AF20" i="2" s="1"/>
  <c r="AH20" i="2" s="1"/>
  <c r="AH36" i="1"/>
  <c r="AD13" i="2"/>
  <c r="AH38" i="1"/>
  <c r="V18" i="2" l="1"/>
  <c r="AA18" i="2"/>
  <c r="X18" i="2"/>
  <c r="AD19" i="2"/>
  <c r="AA19" i="2"/>
  <c r="AA126" i="2" l="1"/>
  <c r="AB18" i="2"/>
  <c r="AF18" i="2" s="1"/>
  <c r="AH18" i="2" s="1"/>
  <c r="X19" i="2"/>
  <c r="V19" i="2"/>
  <c r="AB19" i="2" s="1"/>
  <c r="AF19" i="2" s="1"/>
  <c r="AH19" i="2" s="1"/>
  <c r="AB12" i="2" l="1"/>
  <c r="Y12" i="2"/>
  <c r="AD12" i="2" l="1"/>
  <c r="V17" i="2"/>
  <c r="AB17" i="2" s="1"/>
  <c r="AF17" i="2" s="1"/>
  <c r="AH17" i="2" s="1"/>
  <c r="X17" i="2"/>
  <c r="X16" i="2"/>
  <c r="V16" i="2"/>
  <c r="V15" i="2"/>
  <c r="AF12" i="2" l="1"/>
  <c r="AH12" i="2" s="1"/>
  <c r="AD16" i="2"/>
  <c r="AB16" i="2"/>
  <c r="AD15" i="2"/>
  <c r="Y15" i="2"/>
  <c r="X15" i="2" s="1"/>
  <c r="AB15" i="2"/>
  <c r="U14" i="2"/>
  <c r="AF16" i="2" l="1"/>
  <c r="AH16" i="2" s="1"/>
  <c r="AF15" i="2"/>
  <c r="AH15" i="2" s="1"/>
  <c r="AD14" i="2"/>
  <c r="X14" i="2"/>
  <c r="Y13" i="2"/>
  <c r="V14" i="2"/>
  <c r="AB14" i="2" s="1"/>
  <c r="AF14" i="2" s="1"/>
  <c r="AH14" i="2" s="1"/>
  <c r="AH35" i="1"/>
  <c r="AH34" i="1" l="1"/>
  <c r="AH33" i="1"/>
  <c r="AH32" i="1"/>
  <c r="AH31" i="1"/>
  <c r="AD9" i="2" l="1"/>
  <c r="U11" i="2"/>
  <c r="U13" i="2"/>
  <c r="AB13" i="2" s="1"/>
  <c r="AF13" i="2" s="1"/>
  <c r="AH13" i="2" s="1"/>
  <c r="U12" i="2"/>
  <c r="V11" i="2"/>
  <c r="AB11" i="2" s="1"/>
  <c r="AD11" i="2"/>
  <c r="X13" i="2"/>
  <c r="X12" i="2"/>
  <c r="X11" i="2"/>
  <c r="T7" i="2"/>
  <c r="V7" i="2" s="1"/>
  <c r="T6" i="2"/>
  <c r="T126" i="2" s="1"/>
  <c r="R7" i="2"/>
  <c r="R6" i="2"/>
  <c r="Y10" i="2"/>
  <c r="X10" i="2" s="1"/>
  <c r="U10" i="2"/>
  <c r="V10" i="2" s="1"/>
  <c r="X9" i="2"/>
  <c r="U9" i="2"/>
  <c r="V9" i="2" s="1"/>
  <c r="AD8" i="2"/>
  <c r="AD126" i="2" s="1"/>
  <c r="X8" i="2"/>
  <c r="U8" i="2"/>
  <c r="V8" i="2" s="1"/>
  <c r="Y7" i="2"/>
  <c r="X7" i="2"/>
  <c r="U7" i="2"/>
  <c r="Y6" i="2"/>
  <c r="U6" i="2"/>
  <c r="U126" i="2" l="1"/>
  <c r="V6" i="2"/>
  <c r="AF11" i="2"/>
  <c r="AH11" i="2" s="1"/>
  <c r="AB9" i="2"/>
  <c r="AF9" i="2" s="1"/>
  <c r="AH9" i="2" s="1"/>
  <c r="AB8" i="2"/>
  <c r="AF8" i="2" s="1"/>
  <c r="AH8" i="2" s="1"/>
  <c r="AB10" i="2"/>
  <c r="AF10" i="2" s="1"/>
  <c r="AH10" i="2" s="1"/>
  <c r="AB7" i="2"/>
  <c r="AB6" i="2" l="1"/>
  <c r="AF6" i="2" l="1"/>
  <c r="AH28" i="1"/>
  <c r="AH30" i="1"/>
  <c r="AH29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6" i="2" l="1"/>
  <c r="V21" i="2"/>
  <c r="V126" i="2" s="1"/>
  <c r="AB21" i="2" l="1"/>
  <c r="AB126" i="2" s="1"/>
  <c r="AF21" i="2" l="1"/>
  <c r="AF126" i="2" s="1"/>
  <c r="AH21" i="2" l="1"/>
  <c r="AH126" i="2" s="1"/>
  <c r="X58" i="2"/>
  <c r="X126" i="2" s="1"/>
  <c r="AB127" i="2" l="1"/>
  <c r="AA127" i="2"/>
  <c r="AD1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O12" authorId="0" shapeId="0" xr:uid="{B5CA3B5C-CBA3-4B63-B01E-D01884A636C4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We took calibration difference weight (100kg 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Q3" authorId="0" shapeId="0" xr:uid="{850F4C36-5015-4C35-B136-3E293089FE14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Calibration Weight 
We scaled from our weighbridge and difference come at calibrartion 386 kg.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V12" authorId="0" shapeId="0" xr:uid="{A33F9B24-A49D-41F9-AA9F-1439F16B0D5D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599*.63
352.17
prev-286.50
</t>
        </r>
      </text>
    </comment>
    <comment ref="R19" authorId="0" shapeId="0" xr:uid="{8C47E600-72CF-4042-9083-4672A811661C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Dryied from Bouake 
Bouake Cargo
</t>
        </r>
      </text>
    </comment>
  </commentList>
</comments>
</file>

<file path=xl/sharedStrings.xml><?xml version="1.0" encoding="utf-8"?>
<sst xmlns="http://schemas.openxmlformats.org/spreadsheetml/2006/main" count="2114" uniqueCount="221">
  <si>
    <t>S.No.</t>
  </si>
  <si>
    <t>DATE</t>
  </si>
  <si>
    <t xml:space="preserve">Warehouse </t>
  </si>
  <si>
    <t>BIN</t>
  </si>
  <si>
    <t>Lot No</t>
  </si>
  <si>
    <t>FICHE NO</t>
  </si>
  <si>
    <t>Dry Type</t>
  </si>
  <si>
    <t xml:space="preserve">Input Moisture                </t>
  </si>
  <si>
    <t>INPUT NUT COUNT</t>
  </si>
  <si>
    <t>INPUT KOR</t>
  </si>
  <si>
    <t xml:space="preserve">Output Moisture                </t>
  </si>
  <si>
    <t>OUTPUT NUT COUNT</t>
  </si>
  <si>
    <t>OUTPUT KOR</t>
  </si>
  <si>
    <t>MOIS Loss%</t>
  </si>
  <si>
    <t>Drying Loss Kg's</t>
  </si>
  <si>
    <t>Drying LOSS  %</t>
  </si>
  <si>
    <t>INPUT BAGS FOR DRYING</t>
  </si>
  <si>
    <t>OUTPUT BAGS AFTER DRING</t>
  </si>
  <si>
    <t>DRYING/ PICKING</t>
  </si>
  <si>
    <t>REMARKS</t>
  </si>
  <si>
    <t>ANAGROCI-01</t>
  </si>
  <si>
    <t>Supplier</t>
  </si>
  <si>
    <t>Dryied</t>
  </si>
  <si>
    <t>BOUAKE</t>
  </si>
  <si>
    <t>Scaled</t>
  </si>
  <si>
    <t>Issued to Production</t>
  </si>
  <si>
    <t>DRY RCN GIVEN TO PRODUCTION SECTION</t>
  </si>
  <si>
    <t>Date</t>
  </si>
  <si>
    <t>Fiche No</t>
  </si>
  <si>
    <t>Bag inStock afetr Dry</t>
  </si>
  <si>
    <t>No of Pallet</t>
  </si>
  <si>
    <t>Avg Pallet Wt</t>
  </si>
  <si>
    <t>Pallet Weight (Kg)</t>
  </si>
  <si>
    <t>Gross Wt (After Drying Wt with Jute Bag)</t>
  </si>
  <si>
    <t>Net Wt (Without Jute Bag)</t>
  </si>
  <si>
    <t>Avg Bag Wt (Empty  Bag)</t>
  </si>
  <si>
    <t>Bag Wt(Empty Bag)</t>
  </si>
  <si>
    <t xml:space="preserve">Direct offload for dry </t>
  </si>
  <si>
    <t>No of Bag(Issued to Production)</t>
  </si>
  <si>
    <t>Received By Production(Net Wt)</t>
  </si>
  <si>
    <t>Diff in Issue</t>
  </si>
  <si>
    <t>KOR-Issued</t>
  </si>
  <si>
    <t>RCN</t>
  </si>
  <si>
    <t>Dry Rcn</t>
  </si>
  <si>
    <t>Nut Count</t>
  </si>
  <si>
    <t>Moisture</t>
  </si>
  <si>
    <t xml:space="preserve">Remarks </t>
  </si>
  <si>
    <t>Gross Wt (Before Dry)</t>
  </si>
  <si>
    <t>Shell (Gram)</t>
  </si>
  <si>
    <t>OIL (Gram)</t>
  </si>
  <si>
    <t>Void (Gram)</t>
  </si>
  <si>
    <t>Oil</t>
  </si>
  <si>
    <t>Void</t>
  </si>
  <si>
    <t>Rejection</t>
  </si>
  <si>
    <t>Spoted</t>
  </si>
  <si>
    <t>Immature</t>
  </si>
  <si>
    <t>GK</t>
  </si>
  <si>
    <t>Shell</t>
  </si>
  <si>
    <t xml:space="preserve">Spottd </t>
  </si>
  <si>
    <t xml:space="preserve">BTM </t>
  </si>
  <si>
    <t>Need re drying -Calibrator rejected to accept the caro due to high moisture</t>
  </si>
  <si>
    <t>SI NO</t>
  </si>
  <si>
    <t>Moisture -2nd Dry</t>
  </si>
  <si>
    <t xml:space="preserve">Issued from </t>
  </si>
  <si>
    <t xml:space="preserve">Dryied </t>
  </si>
  <si>
    <t>Dried from Bouake Issued to Calibrator</t>
  </si>
  <si>
    <t>Date of Issue to Calibration</t>
  </si>
  <si>
    <t xml:space="preserve">DRY BIN </t>
  </si>
  <si>
    <t>BIN-03B</t>
  </si>
  <si>
    <t>Issued To Production</t>
  </si>
  <si>
    <t>Empilage in Production Area</t>
  </si>
  <si>
    <t>82488/82155</t>
  </si>
  <si>
    <t>Dried</t>
  </si>
  <si>
    <t>Net wt yet pending from Calibrataion</t>
  </si>
  <si>
    <t>Dry Bin No</t>
  </si>
  <si>
    <t>ANA-02-DRY</t>
  </si>
  <si>
    <t>STATUS</t>
  </si>
  <si>
    <t>OK</t>
  </si>
  <si>
    <t>ANA-03-DRY</t>
  </si>
  <si>
    <t>ANA-04-DRY</t>
  </si>
  <si>
    <t>ANA-07-DRY</t>
  </si>
  <si>
    <t>ANA-05-DRY</t>
  </si>
  <si>
    <t>ANA-08-DRY</t>
  </si>
  <si>
    <t>ANA-06-DRY</t>
  </si>
  <si>
    <t>ANA-09-DRY</t>
  </si>
  <si>
    <t>ANA-01-DRY</t>
  </si>
  <si>
    <t>BIN IN CALIBRATION AREA</t>
  </si>
  <si>
    <t>Issued to calibration dated 02/06/2026. Returned by Calibration 03/06/2026.</t>
  </si>
  <si>
    <t>BIN-005</t>
  </si>
  <si>
    <t>Destintion</t>
  </si>
  <si>
    <t>BIN-013</t>
  </si>
  <si>
    <t>BIN-001</t>
  </si>
  <si>
    <t>BIN-002</t>
  </si>
  <si>
    <t>BIN-004</t>
  </si>
  <si>
    <t>BIN-003</t>
  </si>
  <si>
    <t>BIN-06A</t>
  </si>
  <si>
    <t>BIN-07A</t>
  </si>
  <si>
    <t>BIN-008</t>
  </si>
  <si>
    <t>BIN-09A</t>
  </si>
  <si>
    <t>BIN-015</t>
  </si>
  <si>
    <t>ANA-01</t>
  </si>
  <si>
    <t>Lot returned due to start higer KOR calibration/Staked in Calibration Area/Date of retur of CARGO-3/06/2026. (54.663)</t>
  </si>
  <si>
    <t>ANA-03B-DRY</t>
  </si>
  <si>
    <t>ANA-05A-DRY</t>
  </si>
  <si>
    <t>PROCESSED</t>
  </si>
  <si>
    <t>PROCESSING</t>
  </si>
  <si>
    <t>ISSUE TO CALIBRATION</t>
  </si>
  <si>
    <t>Issued 43436.5 Kg/ 10779kg Staked (10/06/2026)</t>
  </si>
  <si>
    <t xml:space="preserve">ISSUE TO CALIBRATION </t>
  </si>
  <si>
    <t xml:space="preserve">Dried </t>
  </si>
  <si>
    <t>Check</t>
  </si>
  <si>
    <t>BIN-016</t>
  </si>
  <si>
    <t>ANA-016-DRY</t>
  </si>
  <si>
    <t>scaled</t>
  </si>
  <si>
    <t xml:space="preserve">Dry Rcn </t>
  </si>
  <si>
    <t>17-06-2026</t>
  </si>
  <si>
    <t>BIN-05</t>
  </si>
  <si>
    <t>18-06-2026</t>
  </si>
  <si>
    <t>BKE-001-DRY</t>
  </si>
  <si>
    <t>Source Bin</t>
  </si>
  <si>
    <t>BIN-007</t>
  </si>
  <si>
    <t>ANA-07A-DRY</t>
  </si>
  <si>
    <t xml:space="preserve">Bin Status </t>
  </si>
  <si>
    <t>Closed</t>
  </si>
  <si>
    <t>Rain water touched Qty issued -68.086 Mt net/ 23/06/2026.(Not scaled after rain touch)</t>
  </si>
  <si>
    <t>BIN-02A</t>
  </si>
  <si>
    <t>ANA-02A-DRY</t>
  </si>
  <si>
    <t>Issued Wt To Drying (Net Wt)</t>
  </si>
  <si>
    <t>Issued Wt to Drying GW RCN+BAGS</t>
  </si>
  <si>
    <t>Issued for Drying GW RCN+BAGS+PALLETS</t>
  </si>
  <si>
    <t>Issued Bags for Drying</t>
  </si>
  <si>
    <t>Pallets WT</t>
  </si>
  <si>
    <t>Running</t>
  </si>
  <si>
    <t>Received Bags from Drying</t>
  </si>
  <si>
    <t>Received Wt from Drying (Net Wt)</t>
  </si>
  <si>
    <t>Received Wt from Drying GW RCN+BAGS</t>
  </si>
  <si>
    <t>Received from Drying GW RCN+BAGS+PALLETS</t>
  </si>
  <si>
    <t>Pallets Wt2</t>
  </si>
  <si>
    <t>Issued to Production3</t>
  </si>
  <si>
    <t>Remarks4</t>
  </si>
  <si>
    <t>Issued Direct from BIN</t>
  </si>
  <si>
    <t>BIN-Low Moisture</t>
  </si>
  <si>
    <t>Issued Gwt -Bag +Cashew</t>
  </si>
  <si>
    <t xml:space="preserve">No of Bag Issued </t>
  </si>
  <si>
    <t xml:space="preserve">Nwt Issued </t>
  </si>
  <si>
    <t>23-06-2026</t>
  </si>
  <si>
    <t>25-06-2026</t>
  </si>
  <si>
    <t>26-06-2026</t>
  </si>
  <si>
    <t>27-06-2026</t>
  </si>
  <si>
    <t>Bag Wt</t>
  </si>
  <si>
    <t>28-06-2026</t>
  </si>
  <si>
    <t>Direct Issue from Bin due to Low moisture</t>
  </si>
  <si>
    <t>29-06-2026</t>
  </si>
  <si>
    <t>Issued Wt (Pallet + Jute Bag +Cashew)</t>
  </si>
  <si>
    <t>Pallet Wt</t>
  </si>
  <si>
    <t>Net Wt-WH</t>
  </si>
  <si>
    <t>30-06-2026</t>
  </si>
  <si>
    <t>Re Drying Date</t>
  </si>
  <si>
    <t>Moisture -1st Re- Dry</t>
  </si>
  <si>
    <t>WIP</t>
  </si>
  <si>
    <t>BIN-02B</t>
  </si>
  <si>
    <t>ANA-02B-DRY</t>
  </si>
  <si>
    <t>13/07/2026</t>
  </si>
  <si>
    <t>BIN-008A</t>
  </si>
  <si>
    <t>ANA-008A-DRY</t>
  </si>
  <si>
    <t>14/07/2026</t>
  </si>
  <si>
    <t>BIN-08A</t>
  </si>
  <si>
    <t>ANA-08A-DRY</t>
  </si>
  <si>
    <t>15/07/2026</t>
  </si>
  <si>
    <t>16/07/2026</t>
  </si>
  <si>
    <t>17/07/2026</t>
  </si>
  <si>
    <t>18/07/2026</t>
  </si>
  <si>
    <t>20/07/2026</t>
  </si>
  <si>
    <t>21/07/2026</t>
  </si>
  <si>
    <t>22/07/2026</t>
  </si>
  <si>
    <t>23/07/2026</t>
  </si>
  <si>
    <t>24/07/2026</t>
  </si>
  <si>
    <t>25/07/2026</t>
  </si>
  <si>
    <t>27/07/2026</t>
  </si>
  <si>
    <t>27/7/2026</t>
  </si>
  <si>
    <t>25/7/2026</t>
  </si>
  <si>
    <t>28/07/2026</t>
  </si>
  <si>
    <t>29/07/2026</t>
  </si>
  <si>
    <t>30/07/2026</t>
  </si>
  <si>
    <t>31/07/2026</t>
  </si>
  <si>
    <t>BIN-010</t>
  </si>
  <si>
    <t>ANA -010-DRY</t>
  </si>
  <si>
    <t>BIN-010-DRY</t>
  </si>
  <si>
    <t>ANA-010-DRY</t>
  </si>
  <si>
    <t xml:space="preserve">Mixed Sampling </t>
  </si>
  <si>
    <t>13/08/2026</t>
  </si>
  <si>
    <t>13/8/2026</t>
  </si>
  <si>
    <t>14/08/2026</t>
  </si>
  <si>
    <t>17/08/2026</t>
  </si>
  <si>
    <t>18/08/2026</t>
  </si>
  <si>
    <t>Row Labels</t>
  </si>
  <si>
    <t>Grand Total</t>
  </si>
  <si>
    <t>Sum of Net Wt (Without Jute Bag)</t>
  </si>
  <si>
    <t>Sum of Issued Wt To Drying (Net Wt)</t>
  </si>
  <si>
    <t>Sum of Received Wt from Drying (Net Wt)</t>
  </si>
  <si>
    <t>Dried bin issu</t>
  </si>
  <si>
    <t>19/08/2026</t>
  </si>
  <si>
    <t xml:space="preserve"> Dried BIN issue to calibration</t>
  </si>
  <si>
    <t>20/08/2026</t>
  </si>
  <si>
    <t>21/08/2026</t>
  </si>
  <si>
    <t>ANA-015-DRY</t>
  </si>
  <si>
    <t>22/08/2026</t>
  </si>
  <si>
    <t>24/08/2026</t>
  </si>
  <si>
    <t>BIN-04</t>
  </si>
  <si>
    <t>26/08/2026</t>
  </si>
  <si>
    <t>27/08/2026</t>
  </si>
  <si>
    <t>BIN-08B</t>
  </si>
  <si>
    <t>ANA-08B-DRY</t>
  </si>
  <si>
    <t>28/08/2026</t>
  </si>
  <si>
    <t>29/08/2026</t>
  </si>
  <si>
    <t>BIN-011</t>
  </si>
  <si>
    <t>ANA-011-DRY</t>
  </si>
  <si>
    <t>31/08/2026</t>
  </si>
  <si>
    <t xml:space="preserve"> </t>
  </si>
  <si>
    <t>BIN-03C</t>
  </si>
  <si>
    <t>ANA-03C-DRY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</si>
</sst>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[$-409]d\-mmm\-yyyy;@"/>
    <numFmt numFmtId="166" formatCode="_(* #,##0.000_);_(* \(#,##0.000\);_(* &quot;-&quot;??_);_(@_)"/>
    <numFmt numFmtId="167" formatCode="0.000"/>
    <numFmt numFmtId="168" formatCode="_(* #,##0.0_);_(* \(#,##0.0\);_(* &quot;-&quot;??_);_(@_)"/>
    <numFmt numFmtId="169" formatCode="m/d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theme="1"/>
      <name val="Calibri"/>
      <family val="2"/>
      <scheme val="minor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9"/>
      <name val="Cambria"/>
      <family val="1"/>
    </font>
    <font>
      <sz val="9"/>
      <color theme="1"/>
      <name val="Cambria"/>
      <family val="1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43" fontId="2" fillId="0" borderId="1" xfId="1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3" fontId="2" fillId="0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2" fillId="0" borderId="0" xfId="0" applyFont="1"/>
    <xf numFmtId="10" fontId="4" fillId="0" borderId="1" xfId="2" applyNumberFormat="1" applyFont="1" applyFill="1" applyBorder="1"/>
    <xf numFmtId="43" fontId="2" fillId="0" borderId="0" xfId="1" applyFont="1" applyAlignment="1">
      <alignment vertical="center"/>
    </xf>
    <xf numFmtId="43" fontId="4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43" fontId="4" fillId="0" borderId="1" xfId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vertical="center"/>
    </xf>
    <xf numFmtId="10" fontId="2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43" fontId="2" fillId="5" borderId="1" xfId="1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2" fontId="4" fillId="5" borderId="1" xfId="0" applyNumberFormat="1" applyFont="1" applyFill="1" applyBorder="1" applyAlignment="1">
      <alignment vertical="center"/>
    </xf>
    <xf numFmtId="43" fontId="4" fillId="5" borderId="1" xfId="1" applyFont="1" applyFill="1" applyBorder="1" applyAlignment="1">
      <alignment horizontal="right" vertical="center"/>
    </xf>
    <xf numFmtId="43" fontId="4" fillId="0" borderId="1" xfId="1" applyFont="1" applyBorder="1" applyAlignment="1">
      <alignment vertical="center"/>
    </xf>
    <xf numFmtId="43" fontId="4" fillId="5" borderId="1" xfId="1" applyFont="1" applyFill="1" applyBorder="1" applyAlignment="1">
      <alignment vertical="center"/>
    </xf>
    <xf numFmtId="0" fontId="2" fillId="5" borderId="1" xfId="0" applyFont="1" applyFill="1" applyBorder="1"/>
    <xf numFmtId="43" fontId="2" fillId="0" borderId="1" xfId="1" applyFont="1" applyFill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14" fontId="2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43" fontId="2" fillId="0" borderId="0" xfId="1" applyFont="1"/>
    <xf numFmtId="1" fontId="2" fillId="0" borderId="0" xfId="0" applyNumberFormat="1" applyFont="1"/>
    <xf numFmtId="2" fontId="2" fillId="0" borderId="0" xfId="0" applyNumberFormat="1" applyFont="1"/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0" fontId="2" fillId="0" borderId="0" xfId="0" applyFont="1" applyAlignment="1">
      <alignment wrapText="1"/>
    </xf>
    <xf numFmtId="0" fontId="3" fillId="4" borderId="0" xfId="0" applyFont="1" applyFill="1"/>
    <xf numFmtId="43" fontId="3" fillId="4" borderId="0" xfId="1" applyFont="1" applyFill="1"/>
    <xf numFmtId="43" fontId="2" fillId="0" borderId="0" xfId="0" applyNumberFormat="1" applyFont="1"/>
    <xf numFmtId="0" fontId="2" fillId="0" borderId="0" xfId="0" applyFont="1" applyAlignment="1">
      <alignment horizontal="right"/>
    </xf>
    <xf numFmtId="14" fontId="2" fillId="5" borderId="1" xfId="0" applyNumberFormat="1" applyFont="1" applyFill="1" applyBorder="1" applyAlignment="1">
      <alignment horizontal="left" vertical="center"/>
    </xf>
    <xf numFmtId="14" fontId="2" fillId="5" borderId="1" xfId="1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164" fontId="2" fillId="5" borderId="1" xfId="1" applyNumberFormat="1" applyFont="1" applyFill="1" applyBorder="1" applyAlignment="1">
      <alignment vertical="center"/>
    </xf>
    <xf numFmtId="43" fontId="2" fillId="5" borderId="4" xfId="1" applyFont="1" applyFill="1" applyBorder="1" applyAlignment="1">
      <alignment vertical="center"/>
    </xf>
    <xf numFmtId="0" fontId="2" fillId="5" borderId="1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wrapText="1"/>
    </xf>
    <xf numFmtId="43" fontId="2" fillId="0" borderId="4" xfId="1" applyFont="1" applyBorder="1" applyAlignment="1">
      <alignment vertical="center"/>
    </xf>
    <xf numFmtId="0" fontId="10" fillId="0" borderId="0" xfId="3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2" fontId="2" fillId="2" borderId="0" xfId="0" applyNumberFormat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2" fillId="2" borderId="0" xfId="1" applyFont="1" applyFill="1" applyAlignment="1">
      <alignment horizontal="center" vertical="center"/>
    </xf>
    <xf numFmtId="43" fontId="2" fillId="2" borderId="0" xfId="1" applyFont="1" applyFill="1" applyAlignment="1">
      <alignment horizontal="center"/>
    </xf>
    <xf numFmtId="43" fontId="2" fillId="2" borderId="0" xfId="1" applyFont="1" applyFill="1" applyAlignment="1">
      <alignment horizontal="center" vertical="center" wrapText="1"/>
    </xf>
    <xf numFmtId="165" fontId="2" fillId="0" borderId="0" xfId="0" applyNumberFormat="1" applyFont="1" applyAlignment="1">
      <alignment horizontal="left"/>
    </xf>
    <xf numFmtId="165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43" fontId="2" fillId="0" borderId="1" xfId="1" applyFont="1" applyBorder="1" applyAlignment="1">
      <alignment horizontal="right" vertical="center"/>
    </xf>
    <xf numFmtId="0" fontId="2" fillId="6" borderId="0" xfId="0" applyFont="1" applyFill="1"/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43" fontId="2" fillId="8" borderId="0" xfId="1" applyFont="1" applyFill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2" fillId="0" borderId="0" xfId="1" applyNumberFormat="1" applyFont="1" applyAlignment="1">
      <alignment vertical="center"/>
    </xf>
    <xf numFmtId="166" fontId="2" fillId="0" borderId="0" xfId="0" applyNumberFormat="1" applyFont="1"/>
    <xf numFmtId="43" fontId="2" fillId="0" borderId="1" xfId="1" applyFont="1" applyFill="1" applyBorder="1" applyAlignment="1">
      <alignment horizontal="right" vertical="center"/>
    </xf>
    <xf numFmtId="43" fontId="2" fillId="0" borderId="6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43" fontId="2" fillId="0" borderId="6" xfId="0" applyNumberFormat="1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vertical="center"/>
    </xf>
    <xf numFmtId="43" fontId="2" fillId="0" borderId="0" xfId="1" applyFont="1" applyFill="1" applyAlignment="1">
      <alignment vertical="center"/>
    </xf>
    <xf numFmtId="43" fontId="2" fillId="0" borderId="5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43" fontId="3" fillId="0" borderId="0" xfId="0" applyNumberFormat="1" applyFont="1" applyAlignment="1">
      <alignment vertical="center"/>
    </xf>
    <xf numFmtId="43" fontId="2" fillId="0" borderId="1" xfId="1" applyFont="1" applyBorder="1" applyAlignment="1">
      <alignment vertical="center" wrapText="1"/>
    </xf>
    <xf numFmtId="43" fontId="12" fillId="0" borderId="1" xfId="1" applyFont="1" applyBorder="1" applyAlignment="1">
      <alignment horizontal="center" vertical="center"/>
    </xf>
    <xf numFmtId="0" fontId="2" fillId="6" borderId="1" xfId="0" applyFont="1" applyFill="1" applyBorder="1"/>
    <xf numFmtId="43" fontId="5" fillId="0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3" fontId="2" fillId="0" borderId="0" xfId="1" applyFont="1" applyFill="1"/>
    <xf numFmtId="43" fontId="2" fillId="0" borderId="0" xfId="1" applyFont="1" applyFill="1" applyAlignment="1">
      <alignment horizontal="center" vertical="center"/>
    </xf>
    <xf numFmtId="43" fontId="2" fillId="0" borderId="0" xfId="1" applyFont="1" applyFill="1" applyAlignment="1">
      <alignment horizontal="center"/>
    </xf>
    <xf numFmtId="43" fontId="4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horizontal="center"/>
    </xf>
    <xf numFmtId="43" fontId="0" fillId="0" borderId="0" xfId="1" applyFont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3" fontId="3" fillId="0" borderId="0" xfId="1" applyFont="1" applyAlignment="1">
      <alignment vertical="center"/>
    </xf>
    <xf numFmtId="166" fontId="3" fillId="6" borderId="0" xfId="1" applyNumberFormat="1" applyFont="1" applyFill="1" applyAlignment="1">
      <alignment horizontal="center" vertical="center"/>
    </xf>
    <xf numFmtId="43" fontId="3" fillId="6" borderId="0" xfId="1" applyFont="1" applyFill="1" applyAlignment="1">
      <alignment vertical="center"/>
    </xf>
    <xf numFmtId="1" fontId="3" fillId="0" borderId="0" xfId="0" applyNumberFormat="1" applyFont="1" applyAlignment="1">
      <alignment vertical="center"/>
    </xf>
    <xf numFmtId="43" fontId="2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43" fontId="2" fillId="0" borderId="6" xfId="1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164" fontId="2" fillId="0" borderId="6" xfId="1" applyNumberFormat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2" borderId="0" xfId="1" applyFont="1" applyFill="1"/>
    <xf numFmtId="43" fontId="2" fillId="0" borderId="1" xfId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43" fontId="2" fillId="0" borderId="6" xfId="1" applyFont="1" applyBorder="1" applyAlignment="1">
      <alignment horizontal="center" vertical="center"/>
    </xf>
    <xf numFmtId="43" fontId="3" fillId="0" borderId="0" xfId="1" applyFont="1"/>
    <xf numFmtId="43" fontId="2" fillId="11" borderId="0" xfId="1" applyFont="1" applyFill="1"/>
    <xf numFmtId="43" fontId="2" fillId="8" borderId="0" xfId="1" applyFont="1" applyFill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vertical="center" wrapText="1"/>
    </xf>
    <xf numFmtId="164" fontId="2" fillId="0" borderId="6" xfId="1" applyNumberFormat="1" applyFont="1" applyBorder="1" applyAlignment="1">
      <alignment vertical="center" wrapText="1"/>
    </xf>
    <xf numFmtId="164" fontId="2" fillId="0" borderId="6" xfId="1" applyNumberFormat="1" applyFont="1" applyFill="1" applyBorder="1" applyAlignment="1">
      <alignment vertical="center" wrapText="1"/>
    </xf>
    <xf numFmtId="164" fontId="4" fillId="0" borderId="1" xfId="1" applyNumberFormat="1" applyFont="1" applyBorder="1" applyAlignment="1">
      <alignment vertical="center"/>
    </xf>
    <xf numFmtId="164" fontId="4" fillId="5" borderId="1" xfId="1" applyNumberFormat="1" applyFont="1" applyFill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2" fillId="0" borderId="4" xfId="1" applyNumberFormat="1" applyFont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0" fontId="3" fillId="0" borderId="0" xfId="0" applyFont="1" applyAlignment="1">
      <alignment vertical="center" wrapText="1"/>
    </xf>
    <xf numFmtId="164" fontId="2" fillId="0" borderId="1" xfId="1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164" fontId="4" fillId="0" borderId="1" xfId="1" applyNumberFormat="1" applyFont="1" applyBorder="1" applyAlignment="1">
      <alignment horizontal="center" wrapText="1"/>
    </xf>
    <xf numFmtId="0" fontId="4" fillId="5" borderId="1" xfId="0" applyFont="1" applyFill="1" applyBorder="1" applyAlignment="1">
      <alignment wrapText="1"/>
    </xf>
    <xf numFmtId="164" fontId="4" fillId="5" borderId="1" xfId="1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vertical="center" wrapText="1"/>
    </xf>
    <xf numFmtId="164" fontId="4" fillId="5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164" fontId="2" fillId="0" borderId="4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3" fontId="9" fillId="2" borderId="4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165" fontId="2" fillId="0" borderId="0" xfId="0" applyNumberFormat="1" applyFont="1" applyAlignment="1">
      <alignment horizontal="right"/>
    </xf>
    <xf numFmtId="0" fontId="3" fillId="4" borderId="0" xfId="0" applyFont="1" applyFill="1" applyAlignment="1">
      <alignment horizontal="right"/>
    </xf>
    <xf numFmtId="165" fontId="2" fillId="2" borderId="0" xfId="0" applyNumberFormat="1" applyFont="1" applyFill="1" applyAlignment="1">
      <alignment horizontal="right" vertical="center"/>
    </xf>
    <xf numFmtId="0" fontId="2" fillId="9" borderId="0" xfId="0" applyFont="1" applyFill="1" applyAlignment="1">
      <alignment horizontal="right" vertical="center"/>
    </xf>
    <xf numFmtId="0" fontId="2" fillId="9" borderId="0" xfId="0" applyFont="1" applyFill="1" applyAlignment="1">
      <alignment horizontal="right"/>
    </xf>
    <xf numFmtId="0" fontId="2" fillId="12" borderId="0" xfId="0" applyFont="1" applyFill="1" applyAlignment="1">
      <alignment horizontal="right"/>
    </xf>
    <xf numFmtId="0" fontId="2" fillId="12" borderId="0" xfId="0" applyFont="1" applyFill="1" applyAlignment="1">
      <alignment horizontal="right" wrapText="1"/>
    </xf>
    <xf numFmtId="0" fontId="4" fillId="12" borderId="0" xfId="0" applyFont="1" applyFill="1" applyAlignment="1">
      <alignment horizontal="right" vertical="center"/>
    </xf>
    <xf numFmtId="0" fontId="0" fillId="4" borderId="0" xfId="0" applyFill="1"/>
    <xf numFmtId="167" fontId="0" fillId="0" borderId="0" xfId="0" applyNumberFormat="1"/>
    <xf numFmtId="2" fontId="2" fillId="0" borderId="0" xfId="1" applyNumberFormat="1" applyFont="1" applyFill="1"/>
    <xf numFmtId="2" fontId="2" fillId="0" borderId="0" xfId="1" applyNumberFormat="1" applyFont="1"/>
    <xf numFmtId="168" fontId="2" fillId="0" borderId="0" xfId="1" applyNumberFormat="1" applyFont="1"/>
    <xf numFmtId="169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2" fillId="2" borderId="0" xfId="0" applyFont="1" applyFill="1"/>
    <xf numFmtId="43" fontId="0" fillId="4" borderId="0" xfId="1" applyFont="1" applyFill="1"/>
    <xf numFmtId="164" fontId="0" fillId="4" borderId="0" xfId="1" applyNumberFormat="1" applyFont="1" applyFill="1"/>
    <xf numFmtId="43" fontId="0" fillId="4" borderId="0" xfId="0" applyNumberFormat="1" applyFill="1"/>
    <xf numFmtId="43" fontId="0" fillId="0" borderId="0" xfId="1" applyFont="1"/>
    <xf numFmtId="43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43" fontId="2" fillId="4" borderId="0" xfId="0" applyNumberFormat="1" applyFont="1" applyFill="1"/>
    <xf numFmtId="0" fontId="8" fillId="2" borderId="0" xfId="0" applyFont="1" applyFill="1" applyAlignment="1">
      <alignment horizontal="center"/>
    </xf>
    <xf numFmtId="43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9" formatCode="m/d/yyyy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[$-409]d\-mmm\-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[$-409]d\-mmm\-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BOUAKE%20Stock%20transf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bouke%20tfr.xlsx" TargetMode="External"/><Relationship Id="rId1" Type="http://schemas.openxmlformats.org/officeDocument/2006/relationships/externalLinkPath" Target="https://d.docs.live.net/Users/User/Downloads/bouke%20t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A2" t="str">
            <v>CAMARA MAGAH</v>
          </cell>
          <cell r="B2" t="str">
            <v>BKE-001</v>
          </cell>
        </row>
        <row r="3">
          <cell r="A3" t="str">
            <v>SONELTRANS</v>
          </cell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B2" t="str">
            <v>BKE-001</v>
          </cell>
        </row>
        <row r="3"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-Anagroci" refreshedDate="46252.302584837962" createdVersion="8" refreshedVersion="8" minRefreshableVersion="3" recordCount="93" xr:uid="{D09A307C-9332-4BA2-9919-0BF9D583A1F7}">
  <cacheSource type="worksheet">
    <worksheetSource name="Table4"/>
  </cacheSource>
  <cacheFields count="34">
    <cacheField name="SI NO" numFmtId="0">
      <sharedItems containsSemiMixedTypes="0" containsString="0" containsNumber="1" containsInteger="1" minValue="0" maxValue="92"/>
    </cacheField>
    <cacheField name="Date" numFmtId="165">
      <sharedItems containsSemiMixedTypes="0" containsNonDate="0" containsDate="1" containsString="0" minDate="2026-04-22T00:00:00" maxDate="2026-08-19T00:00:00"/>
    </cacheField>
    <cacheField name="RCN" numFmtId="0">
      <sharedItems/>
    </cacheField>
    <cacheField name="Source Bin" numFmtId="0">
      <sharedItems containsMixedTypes="1" containsNumber="1" containsInteger="1" minValue="0" maxValue="0" count="11">
        <s v="BIN-013"/>
        <s v="BKE-001-DRY"/>
        <s v="BIN-03B"/>
        <n v="0"/>
        <s v="BIN-001"/>
        <s v="BIN-05"/>
        <s v="BIN-02A"/>
        <s v="BIN-02B"/>
        <s v="BIN-008A"/>
        <s v="BIN-016"/>
        <s v="BIN-010"/>
      </sharedItems>
    </cacheField>
    <cacheField name="DRY BIN " numFmtId="0">
      <sharedItems containsBlank="1"/>
    </cacheField>
    <cacheField name="Bin Status " numFmtId="0">
      <sharedItems containsBlank="1"/>
    </cacheField>
    <cacheField name="BTM " numFmtId="0">
      <sharedItems containsSemiMixedTypes="0" containsString="0" containsNumber="1" containsInteger="1" minValue="101" maxValue="1055"/>
    </cacheField>
    <cacheField name="KOR-Issued" numFmtId="0">
      <sharedItems containsSemiMixedTypes="0" containsString="0" containsNumber="1" minValue="39.24" maxValue="48.41"/>
    </cacheField>
    <cacheField name="Nut Count" numFmtId="0">
      <sharedItems containsString="0" containsBlank="1" containsNumber="1" containsInteger="1" minValue="161" maxValue="199"/>
    </cacheField>
    <cacheField name="GK" numFmtId="0">
      <sharedItems containsString="0" containsBlank="1" containsNumber="1" containsInteger="1" minValue="212" maxValue="260"/>
    </cacheField>
    <cacheField name="Moisture" numFmtId="0">
      <sharedItems containsSemiMixedTypes="0" containsString="0" containsNumber="1" minValue="7.1" maxValue="91"/>
    </cacheField>
    <cacheField name="Immature" numFmtId="0">
      <sharedItems containsString="0" containsBlank="1" containsNumber="1" containsInteger="1" minValue="3" maxValue="24"/>
    </cacheField>
    <cacheField name="Spottd " numFmtId="0">
      <sharedItems containsString="0" containsBlank="1" containsNumber="1" containsInteger="1" minValue="6" maxValue="22"/>
    </cacheField>
    <cacheField name="Rejection" numFmtId="0">
      <sharedItems containsString="0" containsBlank="1" containsNumber="1" containsInteger="1" minValue="13" maxValue="64"/>
    </cacheField>
    <cacheField name="OIL (Gram)" numFmtId="0">
      <sharedItems containsString="0" containsBlank="1" containsNumber="1" containsInteger="1" minValue="0" maxValue="8"/>
    </cacheField>
    <cacheField name="Void (Gram)" numFmtId="0">
      <sharedItems containsString="0" containsBlank="1" containsNumber="1" containsInteger="1" minValue="2" maxValue="41"/>
    </cacheField>
    <cacheField name="Shell (Gram)" numFmtId="0">
      <sharedItems containsString="0" containsBlank="1" containsNumber="1" containsInteger="1" minValue="657" maxValue="699"/>
    </cacheField>
    <cacheField name="Fiche No" numFmtId="0">
      <sharedItems containsMixedTypes="1" containsNumber="1" containsInteger="1" minValue="773" maxValue="89781"/>
    </cacheField>
    <cacheField name="Bag inStock afetr Dry" numFmtId="0">
      <sharedItems containsSemiMixedTypes="0" containsString="0" containsNumber="1" containsInteger="1" minValue="0" maxValue="3007"/>
    </cacheField>
    <cacheField name="No of Bag(Issued to Production)" numFmtId="0">
      <sharedItems containsSemiMixedTypes="0" containsString="0" containsNumber="1" containsInteger="1" minValue="0" maxValue="3007"/>
    </cacheField>
    <cacheField name="Avg Bag Wt (Empty  Bag)" numFmtId="43">
      <sharedItems containsSemiMixedTypes="0" containsString="0" containsNumber="1" minValue="0.61699999999999999" maxValue="1"/>
    </cacheField>
    <cacheField name="Bag Wt(Empty Bag)" numFmtId="43">
      <sharedItems containsSemiMixedTypes="0" containsString="0" containsNumber="1" minValue="0" maxValue="1954.55"/>
    </cacheField>
    <cacheField name="No of Pallet" numFmtId="0">
      <sharedItems containsString="0" containsBlank="1" containsNumber="1" containsInteger="1" minValue="10" maxValue="101"/>
    </cacheField>
    <cacheField name="Avg Pallet Wt" numFmtId="43">
      <sharedItems containsString="0" containsBlank="1" containsNumber="1" minValue="65.58" maxValue="78.08"/>
    </cacheField>
    <cacheField name="Pallet Weight (Kg)" numFmtId="43">
      <sharedItems containsString="0" containsBlank="1" containsNumber="1" minValue="655.8" maxValue="7410"/>
    </cacheField>
    <cacheField name="Gross Wt (Before Dry)" numFmtId="43">
      <sharedItems containsNonDate="0" containsString="0" containsBlank="1"/>
    </cacheField>
    <cacheField name="Gross Wt (After Drying Wt with Jute Bag)" numFmtId="43">
      <sharedItems containsSemiMixedTypes="0" containsString="0" containsNumber="1" minValue="0" maxValue="226482.5"/>
    </cacheField>
    <cacheField name="Net Wt (Without Jute Bag)" numFmtId="0">
      <sharedItems containsSemiMixedTypes="0" containsString="0" containsNumber="1" minValue="0" maxValue="224529.25"/>
    </cacheField>
    <cacheField name="Date of Issue to Calibration" numFmtId="0">
      <sharedItems containsDate="1" containsMixedTypes="1" minDate="2026-01-08T00:00:00" maxDate="2026-12-09T00:00:00"/>
    </cacheField>
    <cacheField name="Received By Production(Net Wt)" numFmtId="43">
      <sharedItems containsString="0" containsBlank="1" containsNumber="1" minValue="0" maxValue="224529.25"/>
    </cacheField>
    <cacheField name="Issued from " numFmtId="43">
      <sharedItems containsBlank="1"/>
    </cacheField>
    <cacheField name="Diff in Issue" numFmtId="43">
      <sharedItems containsString="0" containsBlank="1" containsNumber="1" minValue="0" maxValue="1583.5900000000038"/>
    </cacheField>
    <cacheField name="Remarks " numFmtId="0">
      <sharedItems containsBlank="1"/>
    </cacheField>
    <cacheField name="Check" numFmtId="43">
      <sharedItems containsString="0" containsBlank="1" containsNumber="1" minValue="21211.200000000001" maxValue="224529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-Anagroci" refreshedDate="46252.321876851849" createdVersion="8" refreshedVersion="8" minRefreshableVersion="3" recordCount="81" xr:uid="{EF6D7F07-1E1C-4539-B665-A8E46AF3B698}">
  <cacheSource type="worksheet">
    <worksheetSource name="Table1"/>
  </cacheSource>
  <cacheFields count="46">
    <cacheField name="S.No." numFmtId="0">
      <sharedItems containsSemiMixedTypes="0" containsString="0" containsNumber="1" containsInteger="1" minValue="1" maxValue="82"/>
    </cacheField>
    <cacheField name="DATE" numFmtId="165">
      <sharedItems containsSemiMixedTypes="0" containsNonDate="0" containsDate="1" containsString="0" minDate="2026-03-18T00:00:00" maxDate="2026-07-14T00:00:00"/>
    </cacheField>
    <cacheField name="Warehouse " numFmtId="0">
      <sharedItems/>
    </cacheField>
    <cacheField name="BIN" numFmtId="0">
      <sharedItems count="14">
        <s v="BIN-002"/>
        <s v="BIN-008"/>
        <s v="BIN-09A"/>
        <s v="BIN-001"/>
        <s v="BIN-003"/>
        <s v="BIN-07A"/>
        <s v="BIN-013"/>
        <s v="BIN-06A"/>
        <s v="BIN-03B"/>
        <s v="BIN-004"/>
        <s v="BIN-015"/>
        <s v="BIN-005"/>
        <s v="BIN-016"/>
        <s v="BIN-007"/>
      </sharedItems>
    </cacheField>
    <cacheField name="Lot No" numFmtId="0">
      <sharedItems containsMixedTypes="1" containsNumber="1" containsInteger="1" minValue="5" maxValue="247"/>
    </cacheField>
    <cacheField name="FICHE NO" numFmtId="0">
      <sharedItems containsMixedTypes="1" containsNumber="1" containsInteger="1" minValue="773" maxValue="89784"/>
    </cacheField>
    <cacheField name="STATUS" numFmtId="0">
      <sharedItems containsBlank="1"/>
    </cacheField>
    <cacheField name="Dry Type" numFmtId="0">
      <sharedItems/>
    </cacheField>
    <cacheField name="Destintion" numFmtId="0">
      <sharedItems/>
    </cacheField>
    <cacheField name="Dry Bin No" numFmtId="0">
      <sharedItems/>
    </cacheField>
    <cacheField name="Issued for Drying GW RCN+BAGS+PALLETS" numFmtId="43">
      <sharedItems containsSemiMixedTypes="0" containsString="0" containsNumber="1" minValue="24780" maxValue="106477.4"/>
    </cacheField>
    <cacheField name="Pallets WT" numFmtId="43">
      <sharedItems containsSemiMixedTypes="0" containsString="0" containsNumber="1" minValue="0" maxValue="5930"/>
    </cacheField>
    <cacheField name="Issued Wt to Drying GW RCN+BAGS" numFmtId="43">
      <sharedItems containsSemiMixedTypes="0" containsString="0" containsNumber="1" minValue="24042.2" maxValue="103243.4"/>
    </cacheField>
    <cacheField name="Issued Bags for Drying" numFmtId="0">
      <sharedItems containsSemiMixedTypes="0" containsString="0" containsNumber="1" containsInteger="1" minValue="300" maxValue="1353"/>
    </cacheField>
    <cacheField name="Issued Wt To Drying (Net Wt)" numFmtId="43">
      <sharedItems containsSemiMixedTypes="0" containsString="0" containsNumber="1" minValue="23742.2" maxValue="101890.4"/>
    </cacheField>
    <cacheField name="Received from Drying GW RCN+BAGS+PALLETS" numFmtId="43">
      <sharedItems containsSemiMixedTypes="0" containsString="0" containsNumber="1" minValue="24704.400000000001" maxValue="105951"/>
    </cacheField>
    <cacheField name="Pallets Wt2" numFmtId="43">
      <sharedItems containsSemiMixedTypes="0" containsString="0" containsNumber="1" minValue="0" maxValue="4281"/>
    </cacheField>
    <cacheField name="Received Wt from Drying GW RCN+BAGS" numFmtId="43">
      <sharedItems containsSemiMixedTypes="0" containsString="0" containsNumber="1" minValue="23701.800000000003" maxValue="101670"/>
    </cacheField>
    <cacheField name="Received Bags from Drying" numFmtId="43">
      <sharedItems containsSemiMixedTypes="0" containsString="0" containsNumber="1" containsInteger="1" minValue="308" maxValue="1428"/>
    </cacheField>
    <cacheField name="Received Wt from Drying (Net Wt)" numFmtId="43">
      <sharedItems containsSemiMixedTypes="0" containsString="0" containsNumber="1" minValue="23393.800000000003" maxValue="100242"/>
    </cacheField>
    <cacheField name="Input Moisture                " numFmtId="43">
      <sharedItems containsSemiMixedTypes="0" containsString="0" containsNumber="1" minValue="8.5" maxValue="15.4"/>
    </cacheField>
    <cacheField name="INPUT NUT COUNT" numFmtId="164">
      <sharedItems containsString="0" containsBlank="1" containsNumber="1" containsInteger="1" minValue="157" maxValue="189"/>
    </cacheField>
    <cacheField name="INPUT KOR" numFmtId="0">
      <sharedItems containsString="0" containsBlank="1" containsNumber="1" minValue="39.68" maxValue="46.2"/>
    </cacheField>
    <cacheField name="Output Moisture                " numFmtId="43">
      <sharedItems containsSemiMixedTypes="0" containsString="0" containsNumber="1" minValue="7.3" maxValue="10.9"/>
    </cacheField>
    <cacheField name="OUTPUT NUT COUNT" numFmtId="0">
      <sharedItems containsSemiMixedTypes="0" containsString="0" containsNumber="1" containsInteger="1" minValue="160" maxValue="199"/>
    </cacheField>
    <cacheField name="OUTPUT KOR" numFmtId="0">
      <sharedItems containsSemiMixedTypes="0" containsString="0" containsNumber="1" minValue="39.85" maxValue="46.2"/>
    </cacheField>
    <cacheField name="Oil" numFmtId="0">
      <sharedItems containsString="0" containsBlank="1" containsNumber="1" containsInteger="1" minValue="0" maxValue="4"/>
    </cacheField>
    <cacheField name="Rejection" numFmtId="0">
      <sharedItems containsString="0" containsBlank="1" containsNumber="1" containsInteger="1" minValue="20" maxValue="51"/>
    </cacheField>
    <cacheField name="GK" numFmtId="0">
      <sharedItems containsString="0" containsBlank="1" containsNumber="1" containsInteger="1" minValue="210" maxValue="244"/>
    </cacheField>
    <cacheField name="Immature" numFmtId="0">
      <sharedItems containsString="0" containsBlank="1" containsNumber="1" containsInteger="1" minValue="8" maxValue="21"/>
    </cacheField>
    <cacheField name="Spoted" numFmtId="0">
      <sharedItems containsString="0" containsBlank="1" containsNumber="1" containsInteger="1" minValue="4" maxValue="22"/>
    </cacheField>
    <cacheField name="Shell" numFmtId="0">
      <sharedItems containsString="0" containsBlank="1" containsNumber="1" containsInteger="1" minValue="658" maxValue="689"/>
    </cacheField>
    <cacheField name="Void" numFmtId="0">
      <sharedItems containsString="0" containsBlank="1" containsNumber="1" containsInteger="1" minValue="9" maxValue="41"/>
    </cacheField>
    <cacheField name="MOIS Loss%" numFmtId="0">
      <sharedItems containsSemiMixedTypes="0" containsString="0" containsNumber="1" minValue="5.9999999999999967E-3" maxValue="5.0999999999999997E-2"/>
    </cacheField>
    <cacheField name="Drying Loss Kg's" numFmtId="1">
      <sharedItems containsSemiMixedTypes="0" containsString="0" containsNumber="1" minValue="175.5" maxValue="2913"/>
    </cacheField>
    <cacheField name="Drying LOSS  %" numFmtId="0">
      <sharedItems containsSemiMixedTypes="0" containsString="0" containsNumber="1" minValue="2.7142183283198913E-3" maxValue="7.1973908531613673E-2"/>
    </cacheField>
    <cacheField name="INPUT BAGS FOR DRYING" numFmtId="0">
      <sharedItems containsSemiMixedTypes="0" containsString="0" containsNumber="1" containsInteger="1" minValue="300" maxValue="1353"/>
    </cacheField>
    <cacheField name="OUTPUT BAGS AFTER DRING" numFmtId="164">
      <sharedItems containsSemiMixedTypes="0" containsString="0" containsNumber="1" containsInteger="1" minValue="308" maxValue="1428"/>
    </cacheField>
    <cacheField name="DRYING/ PICKING" numFmtId="0">
      <sharedItems/>
    </cacheField>
    <cacheField name="REMARKS" numFmtId="0">
      <sharedItems/>
    </cacheField>
    <cacheField name="Issued To Production" numFmtId="0">
      <sharedItems containsBlank="1"/>
    </cacheField>
    <cacheField name="Re Drying Date" numFmtId="0">
      <sharedItems containsNonDate="0" containsDate="1" containsString="0" containsBlank="1" minDate="2026-08-05T00:00:00" maxDate="2026-10-06T00:00:00"/>
    </cacheField>
    <cacheField name="Moisture -1st Re- Dry" numFmtId="0">
      <sharedItems containsString="0" containsBlank="1" containsNumber="1" minValue="10.1" maxValue="10.6"/>
    </cacheField>
    <cacheField name="Moisture -2nd Dry" numFmtId="0">
      <sharedItems containsString="0" containsBlank="1" containsNumber="1" minValue="8.9" maxValue="9"/>
    </cacheField>
    <cacheField name="Issued to Production3" numFmtId="0">
      <sharedItems containsBlank="1"/>
    </cacheField>
    <cacheField name="Remarks4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1"/>
    <d v="2026-04-22T00:00:00"/>
    <s v="Dry Rcn"/>
    <x v="0"/>
    <s v="ANA-01"/>
    <s v="Running"/>
    <n v="1001"/>
    <n v="43.12"/>
    <n v="172"/>
    <n v="230"/>
    <n v="8.9"/>
    <n v="16"/>
    <n v="13"/>
    <n v="20"/>
    <n v="0"/>
    <n v="25"/>
    <n v="690"/>
    <n v="89770"/>
    <n v="644"/>
    <n v="644"/>
    <n v="0.69"/>
    <n v="444.35999999999996"/>
    <n v="25"/>
    <n v="71.319999999999993"/>
    <n v="1782.9999999999998"/>
    <m/>
    <n v="48375"/>
    <n v="47930.64"/>
    <d v="2026-04-23T00:00:00"/>
    <n v="97398"/>
    <s v="BIN"/>
    <n v="1583.5900000000038"/>
    <m/>
    <n v="97398"/>
  </r>
  <r>
    <n v="2"/>
    <d v="2026-04-22T00:00:00"/>
    <s v="Dry Rcn"/>
    <x v="0"/>
    <s v="ANA-01"/>
    <s v="Running"/>
    <n v="1001"/>
    <n v="42.85"/>
    <n v="170"/>
    <n v="230"/>
    <n v="9.8000000000000007"/>
    <n v="10"/>
    <n v="16"/>
    <n v="28"/>
    <n v="8"/>
    <n v="30"/>
    <n v="689"/>
    <n v="89781"/>
    <n v="667"/>
    <n v="667"/>
    <n v="0.69"/>
    <n v="460.22999999999996"/>
    <n v="31"/>
    <n v="71.319999999999993"/>
    <n v="2210.9199999999996"/>
    <m/>
    <n v="48344"/>
    <n v="47883.77"/>
    <d v="2026-04-23T00:00:00"/>
    <m/>
    <s v="BIN"/>
    <m/>
    <m/>
    <m/>
  </r>
  <r>
    <n v="3"/>
    <d v="2026-04-23T00:00:00"/>
    <s v="Dry Rcn"/>
    <x v="0"/>
    <s v="ANA-01"/>
    <s v="Running"/>
    <n v="1004"/>
    <n v="43.38"/>
    <n v="180"/>
    <n v="228"/>
    <n v="8.6"/>
    <n v="10"/>
    <n v="11"/>
    <n v="31"/>
    <n v="0"/>
    <n v="20"/>
    <n v="693"/>
    <n v="29107"/>
    <n v="600"/>
    <n v="614"/>
    <n v="0.61699999999999999"/>
    <n v="378.83800000000002"/>
    <n v="26"/>
    <n v="74.230769230769226"/>
    <n v="1930"/>
    <m/>
    <n v="44380"/>
    <n v="44001.161999999997"/>
    <d v="2026-04-25T00:00:00"/>
    <n v="44066"/>
    <m/>
    <n v="64.838000000003376"/>
    <m/>
    <n v="44066"/>
  </r>
  <r>
    <n v="4"/>
    <d v="2026-04-25T00:00:00"/>
    <s v="Dry Rcn"/>
    <x v="0"/>
    <s v="ANA-01"/>
    <s v="Running"/>
    <n v="1004"/>
    <n v="43.65"/>
    <n v="171"/>
    <n v="238"/>
    <n v="8.8000000000000007"/>
    <n v="11"/>
    <n v="8"/>
    <n v="30"/>
    <n v="2"/>
    <n v="20"/>
    <n v="685"/>
    <n v="87146"/>
    <n v="457"/>
    <n v="458"/>
    <n v="0.63100436681222705"/>
    <n v="289"/>
    <n v="21"/>
    <n v="74.747619047619054"/>
    <n v="1569.7"/>
    <m/>
    <n v="33006"/>
    <n v="32717"/>
    <d v="2026-04-25T00:00:00"/>
    <n v="32913.9"/>
    <m/>
    <n v="196.90000000000146"/>
    <m/>
    <n v="32913.9"/>
  </r>
  <r>
    <n v="5"/>
    <d v="2026-04-25T00:00:00"/>
    <s v="Dry Rcn"/>
    <x v="0"/>
    <s v="ANA-01"/>
    <s v="Running"/>
    <n v="1002"/>
    <n v="42.68"/>
    <n v="176"/>
    <n v="226"/>
    <n v="10.5"/>
    <n v="19"/>
    <n v="13"/>
    <n v="33"/>
    <n v="2"/>
    <n v="17"/>
    <n v="687"/>
    <n v="87093"/>
    <n v="528"/>
    <n v="527"/>
    <n v="0.63100436681222705"/>
    <n v="332.53930131004364"/>
    <n v="23"/>
    <n v="76.847826086956516"/>
    <n v="1767.5"/>
    <m/>
    <n v="38919"/>
    <n v="38586.46069868996"/>
    <d v="2026-04-28T00:00:00"/>
    <n v="38461.599999999999"/>
    <m/>
    <n v="124.86069868996128"/>
    <m/>
    <n v="38586.46069868996"/>
  </r>
  <r>
    <n v="6"/>
    <d v="2026-04-28T00:00:00"/>
    <s v="Dry Rcn"/>
    <x v="0"/>
    <s v="ANA-01"/>
    <s v="Running"/>
    <n v="1005"/>
    <n v="42.59"/>
    <n v="164"/>
    <n v="227"/>
    <n v="8.6999999999999993"/>
    <n v="19"/>
    <n v="10"/>
    <n v="16"/>
    <n v="5"/>
    <n v="21"/>
    <n v="696"/>
    <n v="37581"/>
    <n v="603"/>
    <n v="609"/>
    <n v="0.72101806239737276"/>
    <n v="439.1"/>
    <n v="26"/>
    <n v="75.542307692307688"/>
    <n v="1964.1"/>
    <m/>
    <n v="44874"/>
    <n v="44434.9"/>
    <d v="2026-04-28T00:00:00"/>
    <n v="44720"/>
    <m/>
    <n v="285.09999999999854"/>
    <m/>
    <n v="44720"/>
  </r>
  <r>
    <n v="7"/>
    <d v="2026-04-30T00:00:00"/>
    <s v="Dry Rcn"/>
    <x v="0"/>
    <s v="ANA-01"/>
    <s v="Running"/>
    <n v="1010"/>
    <n v="42.68"/>
    <n v="179"/>
    <n v="232"/>
    <n v="9.3000000000000007"/>
    <n v="12"/>
    <n v="8"/>
    <n v="28"/>
    <n v="0"/>
    <n v="21"/>
    <n v="692"/>
    <n v="35967"/>
    <n v="564"/>
    <n v="559"/>
    <n v="0.63100436681222705"/>
    <n v="352.17"/>
    <n v="20"/>
    <n v="70.424999999999997"/>
    <n v="1408.5"/>
    <m/>
    <n v="41366"/>
    <n v="41013.83"/>
    <d v="2026-04-30T00:00:00"/>
    <n v="40690.130000000005"/>
    <m/>
    <n v="323.69999999999709"/>
    <m/>
    <n v="41013.83"/>
  </r>
  <r>
    <n v="8"/>
    <d v="2026-04-30T00:00:00"/>
    <s v="Dry Rcn"/>
    <x v="0"/>
    <s v="ANA-01"/>
    <s v="Running"/>
    <n v="1013"/>
    <n v="43.38"/>
    <n v="161"/>
    <n v="232"/>
    <n v="9.5"/>
    <n v="10"/>
    <n v="18"/>
    <n v="28"/>
    <n v="2"/>
    <n v="18"/>
    <n v="687"/>
    <n v="37582"/>
    <n v="585"/>
    <n v="618"/>
    <n v="0.63100436681222705"/>
    <n v="401.7"/>
    <n v="27"/>
    <n v="73.69"/>
    <n v="1989.6299999999999"/>
    <m/>
    <n v="44038"/>
    <n v="43636.3"/>
    <d v="2026-04-30T00:00:00"/>
    <n v="44024.5"/>
    <m/>
    <n v="388.19999999999709"/>
    <m/>
    <n v="44024.5"/>
  </r>
  <r>
    <n v="9"/>
    <d v="2026-05-05T00:00:00"/>
    <s v="Dry Rcn"/>
    <x v="0"/>
    <s v="ANA-01"/>
    <s v="Running"/>
    <n v="1006"/>
    <n v="43.03"/>
    <n v="188"/>
    <n v="227"/>
    <n v="8.5"/>
    <n v="17"/>
    <n v="17"/>
    <n v="28"/>
    <n v="0"/>
    <n v="21"/>
    <n v="684"/>
    <n v="66919"/>
    <n v="547"/>
    <n v="547"/>
    <n v="0.65"/>
    <n v="355.55"/>
    <n v="22"/>
    <n v="72.940909090909088"/>
    <n v="1604.7"/>
    <m/>
    <n v="40966"/>
    <n v="40610.449999999997"/>
    <d v="2026-05-05T00:00:00"/>
    <n v="40610.050000000003"/>
    <m/>
    <n v="0.39999999999417923"/>
    <m/>
    <n v="40610.449999999997"/>
  </r>
  <r>
    <n v="10"/>
    <d v="2026-05-05T00:00:00"/>
    <s v="Dry Rcn"/>
    <x v="0"/>
    <s v="ANA-01"/>
    <s v="Running"/>
    <n v="1007"/>
    <n v="42.32"/>
    <n v="199"/>
    <n v="228"/>
    <n v="9.6999999999999993"/>
    <n v="12"/>
    <n v="12"/>
    <n v="46"/>
    <n v="4"/>
    <n v="26"/>
    <n v="667"/>
    <n v="35051"/>
    <n v="643"/>
    <n v="644"/>
    <n v="0.65"/>
    <n v="418.6"/>
    <n v="28"/>
    <n v="75.421428571428578"/>
    <n v="2111.8000000000002"/>
    <m/>
    <n v="47959"/>
    <n v="47540.4"/>
    <d v="2026-05-05T00:00:00"/>
    <n v="47464"/>
    <m/>
    <n v="76.400000000001455"/>
    <m/>
    <n v="47540.4"/>
  </r>
  <r>
    <n v="11"/>
    <d v="2026-05-06T00:00:00"/>
    <s v="Dry Rcn"/>
    <x v="0"/>
    <s v="ANA-01"/>
    <s v="Running"/>
    <n v="1008"/>
    <n v="43.21"/>
    <n v="164"/>
    <n v="230"/>
    <n v="10.4"/>
    <n v="12"/>
    <n v="18"/>
    <n v="20"/>
    <n v="4"/>
    <n v="36"/>
    <n v="675"/>
    <n v="14643"/>
    <n v="537"/>
    <n v="537"/>
    <n v="0.65"/>
    <n v="349.05"/>
    <n v="22"/>
    <n v="71.640909090909091"/>
    <n v="1576.1"/>
    <m/>
    <n v="38952"/>
    <n v="38602.949999999997"/>
    <d v="2026-05-06T00:00:00"/>
    <n v="38211.949999999997"/>
    <m/>
    <n v="391"/>
    <m/>
    <n v="38602.949999999997"/>
  </r>
  <r>
    <n v="12"/>
    <d v="2026-05-06T00:00:00"/>
    <s v="Dry Rcn"/>
    <x v="0"/>
    <s v="ANA-01"/>
    <s v="Running"/>
    <n v="1009"/>
    <n v="42.32"/>
    <n v="183"/>
    <n v="227"/>
    <n v="9.6"/>
    <n v="10"/>
    <n v="16"/>
    <n v="49"/>
    <n v="0"/>
    <n v="17"/>
    <n v="675"/>
    <n v="773"/>
    <n v="572"/>
    <n v="572"/>
    <n v="0.65"/>
    <n v="371.8"/>
    <n v="23"/>
    <n v="73.095652173913052"/>
    <n v="1681.2"/>
    <m/>
    <n v="42344"/>
    <n v="41972.2"/>
    <d v="2026-05-06T00:00:00"/>
    <n v="41541"/>
    <m/>
    <n v="431.19999999999709"/>
    <m/>
    <n v="41972.2"/>
  </r>
  <r>
    <n v="13"/>
    <d v="2026-05-09T00:00:00"/>
    <s v="Dry Rcn"/>
    <x v="0"/>
    <s v="ANA-01"/>
    <s v="Running"/>
    <n v="1011"/>
    <n v="42.5"/>
    <n v="174"/>
    <n v="225"/>
    <n v="8.9"/>
    <n v="14"/>
    <n v="18"/>
    <n v="41"/>
    <n v="0"/>
    <n v="13"/>
    <n v="684"/>
    <n v="82154"/>
    <n v="584"/>
    <n v="585"/>
    <n v="0.65"/>
    <n v="380.25"/>
    <n v="25"/>
    <n v="67.2"/>
    <n v="1680"/>
    <m/>
    <n v="44445"/>
    <n v="44064.75"/>
    <d v="2026-05-09T00:00:00"/>
    <n v="43454"/>
    <m/>
    <n v="610.75"/>
    <m/>
    <n v="44064.75"/>
  </r>
  <r>
    <n v="14"/>
    <d v="2026-05-11T00:00:00"/>
    <s v="Dry Rcn"/>
    <x v="1"/>
    <s v="ANA-01"/>
    <s v="Closed"/>
    <n v="1012"/>
    <n v="42.76"/>
    <n v="176"/>
    <n v="228"/>
    <n v="8.9"/>
    <n v="16"/>
    <n v="13"/>
    <n v="22"/>
    <n v="2"/>
    <n v="30"/>
    <n v="684"/>
    <n v="82770"/>
    <n v="667"/>
    <n v="667"/>
    <n v="0.65"/>
    <n v="433.55"/>
    <n v="25"/>
    <n v="71.316000000000003"/>
    <n v="1782.9"/>
    <m/>
    <n v="49741"/>
    <n v="49307.45"/>
    <d v="2026-05-11T00:00:00"/>
    <n v="49355"/>
    <m/>
    <n v="47.55000000000291"/>
    <m/>
    <n v="49355"/>
  </r>
  <r>
    <n v="15"/>
    <d v="2026-05-12T00:00:00"/>
    <s v="Dry Rcn"/>
    <x v="2"/>
    <s v="ANA-01"/>
    <s v="Running"/>
    <n v="1015"/>
    <n v="43.47"/>
    <n v="172"/>
    <n v="230"/>
    <n v="8.6999999999999993"/>
    <n v="12"/>
    <n v="21"/>
    <n v="32"/>
    <n v="4"/>
    <n v="9"/>
    <n v="688"/>
    <s v="BIN-03B"/>
    <n v="605"/>
    <n v="605"/>
    <n v="0.65"/>
    <n v="393.25"/>
    <n v="25"/>
    <n v="72"/>
    <n v="1800"/>
    <m/>
    <n v="46136"/>
    <n v="45742.75"/>
    <d v="2026-05-12T00:00:00"/>
    <n v="45333"/>
    <m/>
    <n v="409.75"/>
    <m/>
    <n v="45742.75"/>
  </r>
  <r>
    <n v="16"/>
    <d v="2026-05-13T00:00:00"/>
    <s v="Dry Rcn"/>
    <x v="2"/>
    <s v="ANA-01"/>
    <s v="Running"/>
    <n v="1014"/>
    <n v="42.15"/>
    <n v="177"/>
    <n v="223"/>
    <n v="8.5"/>
    <n v="11"/>
    <n v="21"/>
    <n v="40"/>
    <n v="0"/>
    <n v="30"/>
    <n v="671"/>
    <s v="BIN-03B"/>
    <n v="575"/>
    <n v="575"/>
    <n v="0.65"/>
    <n v="373.75"/>
    <n v="24"/>
    <n v="73.791666666666671"/>
    <n v="1771"/>
    <m/>
    <n v="43873"/>
    <n v="43499.25"/>
    <d v="2026-05-15T00:00:00"/>
    <n v="43110"/>
    <m/>
    <n v="389.25"/>
    <m/>
    <n v="43499.25"/>
  </r>
  <r>
    <n v="17"/>
    <d v="2026-05-15T00:00:00"/>
    <s v="Dry Rcn"/>
    <x v="2"/>
    <s v="ANA-01"/>
    <s v="Running"/>
    <n v="1016"/>
    <n v="43.47"/>
    <n v="172"/>
    <n v="230"/>
    <n v="8.6999999999999993"/>
    <n v="12"/>
    <n v="21"/>
    <n v="32"/>
    <n v="4"/>
    <n v="9"/>
    <n v="688"/>
    <s v="BIN-03B"/>
    <n v="638"/>
    <n v="638"/>
    <n v="0.65"/>
    <n v="414.7"/>
    <n v="27"/>
    <n v="73"/>
    <n v="1971"/>
    <m/>
    <n v="48908"/>
    <n v="48493.3"/>
    <d v="2026-05-18T00:00:00"/>
    <n v="48024"/>
    <m/>
    <n v="469.30000000000291"/>
    <m/>
    <n v="48493.3"/>
  </r>
  <r>
    <n v="18"/>
    <d v="2026-05-18T00:00:00"/>
    <s v="Dry Rcn"/>
    <x v="0"/>
    <s v="ANA-01"/>
    <s v="Running"/>
    <n v="1018"/>
    <n v="43.47"/>
    <n v="173"/>
    <n v="233"/>
    <n v="8.5"/>
    <n v="16"/>
    <n v="11"/>
    <n v="35"/>
    <n v="0"/>
    <n v="22"/>
    <n v="678"/>
    <n v="31510"/>
    <n v="566"/>
    <n v="566"/>
    <n v="0.65017667844522964"/>
    <n v="368"/>
    <n v="24"/>
    <n v="72"/>
    <n v="1728"/>
    <m/>
    <n v="42581"/>
    <n v="42213"/>
    <d v="2026-05-20T00:00:00"/>
    <n v="41773"/>
    <m/>
    <n v="440"/>
    <m/>
    <n v="42213"/>
  </r>
  <r>
    <n v="19"/>
    <d v="2026-05-19T00:00:00"/>
    <s v="Dry Rcn"/>
    <x v="2"/>
    <s v="ANA-01"/>
    <s v="Running"/>
    <n v="1019"/>
    <n v="42.06"/>
    <n v="172"/>
    <n v="225"/>
    <n v="8.5"/>
    <n v="14"/>
    <n v="13"/>
    <n v="41"/>
    <n v="0"/>
    <n v="26"/>
    <n v="676"/>
    <s v="BIN-03B"/>
    <n v="1322"/>
    <n v="1323"/>
    <n v="0.6500377928949358"/>
    <n v="860"/>
    <n v="55"/>
    <n v="72.454545454545453"/>
    <n v="3985"/>
    <m/>
    <n v="99494"/>
    <n v="98634"/>
    <d v="2026-05-22T00:00:00"/>
    <n v="97586"/>
    <m/>
    <n v="1048"/>
    <m/>
    <n v="98634"/>
  </r>
  <r>
    <n v="20"/>
    <d v="2026-05-26T00:00:00"/>
    <s v="Dry Rcn"/>
    <x v="2"/>
    <s v="ANA-01"/>
    <s v="Running"/>
    <n v="1020"/>
    <n v="42.76"/>
    <n v="172"/>
    <n v="230"/>
    <n v="8.8000000000000007"/>
    <n v="11"/>
    <n v="14"/>
    <n v="40"/>
    <n v="0"/>
    <n v="13"/>
    <n v="687"/>
    <s v="BIN-03B"/>
    <n v="535"/>
    <n v="535"/>
    <n v="0.65"/>
    <n v="347.75"/>
    <n v="22"/>
    <n v="72.272727272727266"/>
    <n v="1590"/>
    <m/>
    <n v="39919"/>
    <n v="39571.25"/>
    <d v="2026-05-26T00:00:00"/>
    <n v="39269"/>
    <m/>
    <n v="302.25"/>
    <m/>
    <n v="39571.25"/>
  </r>
  <r>
    <n v="21"/>
    <d v="2026-05-28T00:00:00"/>
    <s v="Dry Rcn"/>
    <x v="2"/>
    <s v="ANA-01"/>
    <s v="Running"/>
    <n v="1022"/>
    <n v="42.5"/>
    <n v="175"/>
    <n v="223"/>
    <n v="8.6999999999999993"/>
    <n v="17"/>
    <n v="19"/>
    <n v="36"/>
    <n v="0"/>
    <n v="41"/>
    <n v="659"/>
    <s v="BIN-03B"/>
    <n v="414"/>
    <n v="414"/>
    <n v="0.65"/>
    <n v="269.10000000000002"/>
    <n v="19"/>
    <n v="73.368421052631575"/>
    <n v="1394"/>
    <m/>
    <n v="30903"/>
    <n v="30633.9"/>
    <d v="2026-05-28T00:00:00"/>
    <n v="30377"/>
    <m/>
    <n v="256.90000000000146"/>
    <m/>
    <n v="30633.9"/>
  </r>
  <r>
    <n v="22"/>
    <d v="2026-05-28T00:00:00"/>
    <s v="Dry Rcn"/>
    <x v="2"/>
    <s v="ANA-01"/>
    <s v="Running"/>
    <n v="1021"/>
    <n v="42.59"/>
    <n v="171"/>
    <n v="227"/>
    <n v="8.8000000000000007"/>
    <n v="19"/>
    <n v="10"/>
    <n v="30"/>
    <n v="0"/>
    <n v="36"/>
    <n v="670"/>
    <s v="BIN-03B"/>
    <n v="998"/>
    <n v="1001"/>
    <n v="0.65"/>
    <n v="648.70000000000005"/>
    <n v="40"/>
    <n v="72.55"/>
    <n v="2902"/>
    <m/>
    <n v="74281"/>
    <n v="73632.3"/>
    <d v="2026-05-28T00:00:00"/>
    <n v="73630"/>
    <m/>
    <n v="2.3000000000029104"/>
    <m/>
    <n v="73632.3"/>
  </r>
  <r>
    <n v="23"/>
    <d v="2026-05-29T00:00:00"/>
    <s v="Dry Rcn"/>
    <x v="2"/>
    <s v="ANA-01"/>
    <s v="Running"/>
    <n v="1023"/>
    <n v="42.41"/>
    <n v="174"/>
    <n v="226"/>
    <n v="8.8000000000000007"/>
    <n v="14"/>
    <n v="15"/>
    <n v="37"/>
    <n v="0"/>
    <n v="32"/>
    <n v="671"/>
    <s v="BIN-03B"/>
    <n v="645"/>
    <n v="649"/>
    <n v="0.65"/>
    <n v="421.85"/>
    <n v="27"/>
    <n v="72.81481481481481"/>
    <n v="1966"/>
    <m/>
    <n v="47982"/>
    <n v="47560.15"/>
    <d v="2026-05-29T00:00:00"/>
    <n v="47061.599999999999"/>
    <m/>
    <n v="498.55000000000291"/>
    <m/>
    <n v="47560.15"/>
  </r>
  <r>
    <n v="24"/>
    <d v="2026-06-02T00:00:00"/>
    <s v="Dry Rcn"/>
    <x v="2"/>
    <s v="ANA-01"/>
    <s v="Running"/>
    <n v="1026"/>
    <n v="42.53"/>
    <n v="177"/>
    <n v="217"/>
    <n v="8.3000000000000007"/>
    <n v="17"/>
    <n v="20"/>
    <n v="40"/>
    <n v="2"/>
    <n v="35"/>
    <n v="665"/>
    <s v="BIN-03B"/>
    <n v="890"/>
    <n v="890"/>
    <n v="0.65"/>
    <n v="578.5"/>
    <n v="37"/>
    <n v="72.054054054054049"/>
    <n v="2666"/>
    <m/>
    <n v="66342"/>
    <n v="65763.5"/>
    <d v="2026-06-02T00:00:00"/>
    <n v="65116"/>
    <m/>
    <n v="647.5"/>
    <m/>
    <n v="65763.5"/>
  </r>
  <r>
    <n v="0"/>
    <d v="2026-06-02T00:00:00"/>
    <s v="Dry Rcn"/>
    <x v="3"/>
    <m/>
    <m/>
    <n v="1024"/>
    <n v="41.09"/>
    <n v="183"/>
    <n v="220"/>
    <n v="8.9"/>
    <n v="12"/>
    <n v="14"/>
    <n v="49"/>
    <n v="0"/>
    <n v="17"/>
    <n v="682"/>
    <n v="87036"/>
    <n v="0"/>
    <n v="0"/>
    <n v="0.65"/>
    <n v="0"/>
    <n v="31"/>
    <n v="71.451612903225808"/>
    <n v="2215"/>
    <m/>
    <n v="0"/>
    <n v="0"/>
    <d v="2026-06-02T00:00:00"/>
    <n v="0"/>
    <m/>
    <n v="0"/>
    <s v="Lot returned due to start higer KOR calibration/Staked in Calibration Area/Date of retur of CARGO-3/06/2026. (54.663)"/>
    <m/>
  </r>
  <r>
    <n v="25"/>
    <d v="2026-06-05T00:00:00"/>
    <s v="Dry Rcn"/>
    <x v="4"/>
    <s v="ANA-02-DRY"/>
    <s v="Closed"/>
    <n v="1027"/>
    <n v="44.09"/>
    <n v="176"/>
    <n v="232"/>
    <n v="8.8000000000000007"/>
    <n v="16"/>
    <n v="20"/>
    <n v="21"/>
    <n v="0"/>
    <n v="20"/>
    <n v="684"/>
    <s v="ANA-02-DRY"/>
    <n v="810"/>
    <n v="805"/>
    <n v="0.65"/>
    <n v="526"/>
    <n v="27"/>
    <n v="70.111111111111114"/>
    <n v="1893"/>
    <m/>
    <n v="60031"/>
    <n v="59505"/>
    <d v="2026-06-05T00:00:00"/>
    <n v="58913.9"/>
    <m/>
    <n v="591.09999999999854"/>
    <m/>
    <n v="59505"/>
  </r>
  <r>
    <n v="26"/>
    <d v="2026-06-06T00:00:00"/>
    <s v="Dry Rcn"/>
    <x v="4"/>
    <s v="ANA-02-DRY"/>
    <s v="Closed"/>
    <n v="1028"/>
    <n v="45.41"/>
    <n v="187"/>
    <n v="240"/>
    <n v="7.6"/>
    <n v="18"/>
    <n v="17"/>
    <n v="15"/>
    <n v="3"/>
    <n v="32"/>
    <n v="669"/>
    <s v="ANA-02-DRY"/>
    <n v="1201"/>
    <n v="1201"/>
    <n v="0.64945878434637805"/>
    <n v="780"/>
    <n v="40"/>
    <n v="69.275000000000006"/>
    <n v="2771"/>
    <m/>
    <n v="89375"/>
    <n v="88595"/>
    <d v="2026-06-06T00:00:00"/>
    <n v="88081"/>
    <m/>
    <n v="514"/>
    <m/>
    <n v="88595"/>
  </r>
  <r>
    <n v="27"/>
    <d v="2026-06-06T00:00:00"/>
    <s v="Dry Rcn"/>
    <x v="4"/>
    <s v="ANA-02-DRY"/>
    <s v="Closed"/>
    <n v="1029"/>
    <n v="45.41"/>
    <n v="187"/>
    <n v="241"/>
    <n v="8.8000000000000007"/>
    <n v="13"/>
    <n v="20"/>
    <n v="23"/>
    <n v="0"/>
    <n v="11"/>
    <n v="685"/>
    <s v="ANA-02-DRY"/>
    <n v="746"/>
    <n v="745"/>
    <n v="0.64966442953020132"/>
    <n v="484"/>
    <n v="25"/>
    <n v="72.64"/>
    <n v="1816"/>
    <m/>
    <n v="55159"/>
    <n v="54675"/>
    <d v="2026-06-06T00:00:00"/>
    <n v="54456"/>
    <m/>
    <n v="219"/>
    <m/>
    <n v="54675"/>
  </r>
  <r>
    <n v="28"/>
    <d v="2026-06-07T00:00:00"/>
    <s v="Dry Rcn"/>
    <x v="4"/>
    <s v="ANA-02-DRY"/>
    <s v="Closed"/>
    <n v="1030"/>
    <n v="43.82"/>
    <n v="184"/>
    <n v="231"/>
    <n v="91"/>
    <n v="15"/>
    <n v="20"/>
    <n v="27"/>
    <n v="0"/>
    <n v="33"/>
    <n v="675"/>
    <s v="ANA-02-DRY"/>
    <n v="1230"/>
    <n v="1234"/>
    <n v="0.65"/>
    <n v="800"/>
    <n v="41"/>
    <n v="70.487804878048777"/>
    <n v="2890"/>
    <m/>
    <n v="89158.5"/>
    <n v="88358.5"/>
    <d v="2026-06-07T00:00:00"/>
    <n v="87867.85"/>
    <m/>
    <n v="490.64999999999418"/>
    <m/>
    <n v="88358.5"/>
  </r>
  <r>
    <n v="29"/>
    <d v="2026-06-09T00:00:00"/>
    <s v="Dry Rcn"/>
    <x v="4"/>
    <s v="ANA-02-DRY"/>
    <s v="Closed"/>
    <n v="1031"/>
    <n v="44.44"/>
    <n v="188"/>
    <n v="241"/>
    <n v="8.5"/>
    <n v="13"/>
    <n v="9"/>
    <n v="28"/>
    <n v="2"/>
    <n v="23"/>
    <n v="677"/>
    <s v="ANA-02-DRY"/>
    <n v="1318"/>
    <n v="1318"/>
    <n v="0.65"/>
    <n v="856.7"/>
    <n v="44"/>
    <n v="71.61363636363636"/>
    <n v="3151"/>
    <m/>
    <n v="94315"/>
    <n v="93458.3"/>
    <d v="2026-06-09T00:00:00"/>
    <n v="92903"/>
    <m/>
    <n v="555.30000000000291"/>
    <m/>
    <n v="93458.3"/>
  </r>
  <r>
    <n v="30"/>
    <d v="2026-06-09T00:00:00"/>
    <s v="Dry Rcn"/>
    <x v="4"/>
    <s v="ANA-02-DRY"/>
    <s v="Closed"/>
    <n v="1032"/>
    <n v="43.65"/>
    <n v="184"/>
    <n v="235"/>
    <n v="8.1"/>
    <n v="10"/>
    <n v="15"/>
    <n v="27"/>
    <n v="0"/>
    <n v="27"/>
    <n v="679"/>
    <s v="ANA-02-DRY"/>
    <n v="1104"/>
    <n v="1081"/>
    <n v="0.65"/>
    <n v="702.65"/>
    <n v="36"/>
    <n v="71.472222222222229"/>
    <n v="2573"/>
    <m/>
    <n v="77198"/>
    <n v="76495.350000000006"/>
    <d v="2026-06-09T00:00:00"/>
    <n v="75770.100000000006"/>
    <m/>
    <n v="725.25"/>
    <m/>
    <n v="76495.350000000006"/>
  </r>
  <r>
    <n v="31"/>
    <d v="2026-06-10T00:00:00"/>
    <s v="Dry Rcn"/>
    <x v="4"/>
    <s v="ANA-02-DRY"/>
    <s v="Closed"/>
    <n v="1033"/>
    <n v="45.06"/>
    <n v="186"/>
    <n v="238"/>
    <n v="8.1"/>
    <n v="20"/>
    <n v="15"/>
    <n v="18"/>
    <n v="1"/>
    <n v="28"/>
    <n v="675"/>
    <s v="ANA-02-DRY"/>
    <n v="1108"/>
    <n v="1108"/>
    <n v="0.65"/>
    <n v="720.2"/>
    <n v="37"/>
    <n v="72.264864864864876"/>
    <n v="2673.8"/>
    <m/>
    <n v="78781"/>
    <n v="78060.800000000003"/>
    <d v="2026-06-10T00:00:00"/>
    <n v="78060"/>
    <m/>
    <m/>
    <s v="Net wt yet pending from Calibrataion"/>
    <n v="78060"/>
  </r>
  <r>
    <n v="32"/>
    <d v="2026-06-11T00:00:00"/>
    <s v="Dry Rcn"/>
    <x v="5"/>
    <s v="ANA-05A-DRY"/>
    <s v="Closed"/>
    <n v="1034"/>
    <n v="48.41"/>
    <n v="185"/>
    <n v="258"/>
    <n v="7.4"/>
    <n v="22"/>
    <n v="11"/>
    <n v="14"/>
    <n v="0"/>
    <n v="6"/>
    <n v="679"/>
    <s v="ANA-05A-DRY"/>
    <n v="591"/>
    <n v="591"/>
    <n v="0.65"/>
    <n v="384.15000000000003"/>
    <n v="24"/>
    <n v="73.666666666666671"/>
    <n v="1768"/>
    <m/>
    <n v="43436"/>
    <n v="43051.85"/>
    <d v="2026-06-11T00:00:00"/>
    <n v="42945.65"/>
    <m/>
    <n v="106.19999999999709"/>
    <m/>
    <n v="43051.85"/>
  </r>
  <r>
    <n v="33"/>
    <d v="2026-06-11T00:00:00"/>
    <s v="Dry Rcn"/>
    <x v="5"/>
    <s v="ANA-05A-DRY"/>
    <s v="Closed"/>
    <n v="1035"/>
    <n v="45.06"/>
    <n v="188"/>
    <n v="240"/>
    <n v="7.1"/>
    <n v="23"/>
    <n v="16"/>
    <n v="21"/>
    <n v="4"/>
    <n v="15"/>
    <n v="665"/>
    <s v="ANA-05A-DRY"/>
    <n v="867"/>
    <n v="867"/>
    <n v="0.65"/>
    <n v="563.55000000000007"/>
    <n v="36"/>
    <n v="72.927777777777777"/>
    <n v="2625.4"/>
    <m/>
    <n v="61930"/>
    <n v="61366.55"/>
    <d v="2026-06-11T00:00:00"/>
    <n v="61179"/>
    <m/>
    <n v="187.55000000000291"/>
    <m/>
    <n v="61366.55"/>
  </r>
  <r>
    <n v="34"/>
    <d v="2026-06-12T00:00:00"/>
    <s v="Dry Rcn"/>
    <x v="5"/>
    <s v="ANA-05A-DRY"/>
    <s v="Closed"/>
    <n v="1036"/>
    <n v="44.88"/>
    <n v="185"/>
    <n v="236"/>
    <n v="7.5"/>
    <n v="18"/>
    <n v="19"/>
    <n v="27"/>
    <n v="0"/>
    <n v="16"/>
    <n v="671"/>
    <s v="ANA-05A-DRY"/>
    <n v="884"/>
    <n v="884"/>
    <n v="0.65"/>
    <n v="574.6"/>
    <n v="38"/>
    <n v="69.692105263157899"/>
    <n v="2648.3"/>
    <m/>
    <n v="65368"/>
    <n v="64793.4"/>
    <d v="2026-06-12T00:00:00"/>
    <n v="64571.4"/>
    <m/>
    <n v="222"/>
    <m/>
    <n v="64793.4"/>
  </r>
  <r>
    <n v="35"/>
    <d v="2026-06-13T00:00:00"/>
    <s v="Dry Rcn"/>
    <x v="5"/>
    <s v="ANA-05A-DRY"/>
    <s v="Closed"/>
    <n v="1037"/>
    <n v="44.62"/>
    <n v="184"/>
    <n v="234"/>
    <n v="7.3"/>
    <n v="18"/>
    <n v="20"/>
    <n v="23"/>
    <n v="0"/>
    <n v="33"/>
    <n v="663"/>
    <s v="ANA-05A-DRY"/>
    <n v="966"/>
    <n v="966"/>
    <n v="0.65"/>
    <n v="627.9"/>
    <m/>
    <m/>
    <n v="2853"/>
    <m/>
    <n v="70726"/>
    <n v="70098.100000000006"/>
    <d v="2026-06-13T00:00:00"/>
    <n v="70098.100000000006"/>
    <m/>
    <m/>
    <s v="Net wt yet pending from Calibrataion"/>
    <n v="70098.100000000006"/>
  </r>
  <r>
    <n v="36"/>
    <d v="2026-06-15T00:00:00"/>
    <s v="Dry Rcn"/>
    <x v="5"/>
    <s v="ANA-05A-DRY"/>
    <s v="Closed"/>
    <n v="1038"/>
    <n v="44"/>
    <n v="186"/>
    <n v="233"/>
    <n v="7.6"/>
    <n v="17"/>
    <n v="16"/>
    <n v="28"/>
    <n v="2"/>
    <n v="22"/>
    <n v="676"/>
    <s v="ANA-05A-DRY"/>
    <n v="1325"/>
    <n v="1325"/>
    <n v="0.65"/>
    <n v="861.25"/>
    <m/>
    <m/>
    <m/>
    <m/>
    <n v="97807"/>
    <n v="96945.75"/>
    <d v="2026-06-15T00:00:00"/>
    <n v="96945.75"/>
    <m/>
    <m/>
    <m/>
    <n v="96945.75"/>
  </r>
  <r>
    <n v="37"/>
    <d v="2026-06-16T00:00:00"/>
    <s v="Dry Rcn "/>
    <x v="5"/>
    <s v="ANA-05A-DRY"/>
    <s v="Closed"/>
    <n v="1039"/>
    <n v="44.7"/>
    <n v="186"/>
    <n v="240"/>
    <n v="7.1"/>
    <n v="15"/>
    <n v="12"/>
    <n v="25"/>
    <n v="3"/>
    <n v="22"/>
    <n v="672"/>
    <s v="ANA-05A-DRY"/>
    <n v="1428"/>
    <n v="1428"/>
    <n v="0.65"/>
    <n v="928.2"/>
    <n v="60"/>
    <m/>
    <n v="4281.8"/>
    <m/>
    <n v="101669"/>
    <n v="100740.8"/>
    <d v="2026-06-16T00:00:00"/>
    <n v="100740.8"/>
    <m/>
    <m/>
    <m/>
    <n v="100740.8"/>
  </r>
  <r>
    <n v="38"/>
    <d v="2026-06-17T00:00:00"/>
    <s v="Dry Rcn "/>
    <x v="5"/>
    <s v="ANA-05A-DRY"/>
    <s v="Closed"/>
    <n v="1040"/>
    <n v="44.07"/>
    <n v="182"/>
    <n v="234"/>
    <n v="8.1999999999999993"/>
    <n v="9"/>
    <n v="14"/>
    <n v="33"/>
    <n v="5"/>
    <n v="22"/>
    <n v="672"/>
    <s v="ANA-05A-DRY"/>
    <n v="1485"/>
    <n v="1485"/>
    <n v="0.65"/>
    <n v="965.25"/>
    <n v="53"/>
    <n v="69.335849056603777"/>
    <n v="3674.8"/>
    <m/>
    <n v="112235.8"/>
    <n v="111270.55"/>
    <d v="2026-06-17T00:00:00"/>
    <n v="111270.55"/>
    <m/>
    <m/>
    <s v="Direct Issue from Bin due to Low moisture"/>
    <n v="111270.55"/>
  </r>
  <r>
    <n v="39"/>
    <d v="2026-06-18T00:00:00"/>
    <s v="Dry Rcn "/>
    <x v="5"/>
    <s v="ANA-05A-DRY"/>
    <s v="Closed"/>
    <n v="1041"/>
    <n v="43.73"/>
    <n v="187"/>
    <n v="229"/>
    <n v="8.1"/>
    <n v="12"/>
    <n v="15"/>
    <n v="36"/>
    <n v="5"/>
    <n v="26"/>
    <n v="669"/>
    <s v="ANA-05A-DRY"/>
    <n v="2039"/>
    <n v="2039"/>
    <n v="0.65"/>
    <n v="1325.3500000000001"/>
    <m/>
    <m/>
    <m/>
    <m/>
    <n v="155376"/>
    <n v="154050.65"/>
    <d v="2026-06-18T00:00:00"/>
    <n v="154050.65"/>
    <m/>
    <m/>
    <s v="Direct Issue from Bin due to Low moisture"/>
    <n v="154050.65"/>
  </r>
  <r>
    <n v="40"/>
    <d v="2026-06-19T00:00:00"/>
    <s v="Dry Rcn "/>
    <x v="5"/>
    <s v="ANA-05A-DRY"/>
    <s v="Closed"/>
    <n v="1042"/>
    <n v="45.01"/>
    <n v="188"/>
    <n v="235"/>
    <n v="7.4"/>
    <n v="17"/>
    <n v="13"/>
    <n v="24"/>
    <n v="0"/>
    <n v="39"/>
    <n v="665"/>
    <s v="ANA-05A-DRY"/>
    <n v="719"/>
    <n v="719"/>
    <n v="0.65"/>
    <n v="467.35"/>
    <n v="25"/>
    <n v="73.536000000000001"/>
    <n v="1838.4"/>
    <m/>
    <n v="51687.6"/>
    <n v="51220.25"/>
    <d v="2026-06-19T00:00:00"/>
    <n v="51220.25"/>
    <m/>
    <m/>
    <m/>
    <n v="51220.25"/>
  </r>
  <r>
    <n v="41"/>
    <d v="2026-06-22T00:00:00"/>
    <s v="Dry Rcn "/>
    <x v="5"/>
    <s v="ANA-05A-DRY"/>
    <s v="Closed"/>
    <n v="1043"/>
    <n v="44.62"/>
    <n v="193"/>
    <n v="231"/>
    <n v="7.4"/>
    <n v="17"/>
    <n v="22"/>
    <n v="25"/>
    <n v="2"/>
    <n v="27"/>
    <n v="666"/>
    <s v="ANA-05A-DRY"/>
    <n v="1309"/>
    <n v="1309"/>
    <n v="0.65"/>
    <n v="850.85"/>
    <n v="44"/>
    <n v="73.218181818181819"/>
    <n v="3221.6"/>
    <m/>
    <n v="94894.399999999994"/>
    <n v="94043.549999999988"/>
    <d v="2026-06-22T00:00:00"/>
    <n v="94043.549999999988"/>
    <m/>
    <m/>
    <m/>
    <n v="94043.549999999988"/>
  </r>
  <r>
    <n v="42"/>
    <d v="2026-06-23T00:00:00"/>
    <s v="Dry Rcn "/>
    <x v="6"/>
    <s v="ANA-02A-DRY"/>
    <s v="Running"/>
    <n v="1044"/>
    <n v="47.57"/>
    <n v="186"/>
    <n v="260"/>
    <n v="7.8"/>
    <n v="8"/>
    <n v="10"/>
    <n v="28"/>
    <n v="0"/>
    <n v="14"/>
    <n v="667"/>
    <s v="ANA-02A-DRY"/>
    <n v="1440"/>
    <n v="1440"/>
    <n v="0.65"/>
    <n v="936"/>
    <n v="48"/>
    <n v="74.875"/>
    <n v="3594"/>
    <m/>
    <n v="109098"/>
    <n v="108162"/>
    <d v="2026-06-23T00:00:00"/>
    <n v="108162"/>
    <m/>
    <m/>
    <s v="Direct Issue from Bin due to Low moisture"/>
    <n v="108162"/>
  </r>
  <r>
    <n v="43"/>
    <d v="2026-06-25T00:00:00"/>
    <s v="Dry Rcn "/>
    <x v="6"/>
    <s v="ANA-02A-DRY"/>
    <s v="Running"/>
    <n v="1045"/>
    <n v="46.47"/>
    <n v="184"/>
    <n v="253"/>
    <n v="8.1"/>
    <n v="13"/>
    <n v="9"/>
    <n v="18"/>
    <n v="0"/>
    <n v="31"/>
    <n v="666"/>
    <s v="ANA-02A-DRY"/>
    <n v="1321"/>
    <n v="1321"/>
    <n v="0.65"/>
    <n v="858.65"/>
    <n v="44"/>
    <n v="73.931818181818187"/>
    <n v="3253"/>
    <m/>
    <n v="99598"/>
    <n v="98739.35"/>
    <d v="2026-06-26T00:00:00"/>
    <n v="98739.35"/>
    <m/>
    <m/>
    <s v="Direct Issue from Bin due to Low moisture"/>
    <n v="98739.35"/>
  </r>
  <r>
    <n v="44"/>
    <d v="2026-06-26T00:00:00"/>
    <s v="Dry Rcn "/>
    <x v="6"/>
    <s v="ANA-02A-DRY"/>
    <s v="Running"/>
    <n v="1046"/>
    <n v="45.71"/>
    <n v="190"/>
    <n v="239"/>
    <n v="8.5"/>
    <n v="20"/>
    <n v="20"/>
    <n v="18"/>
    <n v="3"/>
    <n v="22"/>
    <n v="673"/>
    <s v="ANA-02A-DRY"/>
    <n v="1500"/>
    <n v="1500"/>
    <n v="0.65"/>
    <n v="975"/>
    <n v="50"/>
    <n v="72.013999999999996"/>
    <n v="3600.7"/>
    <m/>
    <n v="116651.4"/>
    <n v="115676.4"/>
    <d v="2026-06-27T00:00:00"/>
    <n v="115676.4"/>
    <m/>
    <m/>
    <s v="Direct Issue from Bin due to Low moisture"/>
    <n v="115676.4"/>
  </r>
  <r>
    <n v="45"/>
    <d v="2026-06-27T00:00:00"/>
    <s v="Dry Rcn "/>
    <x v="6"/>
    <s v="ANA-02A-DRY"/>
    <s v="Running"/>
    <n v="1047"/>
    <n v="45.81"/>
    <n v="196"/>
    <n v="240"/>
    <n v="8"/>
    <n v="21"/>
    <n v="16"/>
    <n v="24"/>
    <n v="0"/>
    <n v="24"/>
    <n v="663"/>
    <s v="ANA-02A-DRY"/>
    <n v="1502"/>
    <n v="1502"/>
    <n v="0.65"/>
    <n v="976.30000000000007"/>
    <n v="50"/>
    <n v="70.828000000000003"/>
    <n v="3541.4"/>
    <m/>
    <n v="110815.8"/>
    <n v="109839.5"/>
    <d v="2026-06-27T00:00:00"/>
    <n v="109839.5"/>
    <m/>
    <m/>
    <s v="Direct Issue from Bin due to Low moisture"/>
    <n v="109839.5"/>
  </r>
  <r>
    <n v="46"/>
    <d v="2026-06-28T00:00:00"/>
    <s v="Dry Rcn "/>
    <x v="6"/>
    <s v="ANA-02A-DRY"/>
    <s v="Running"/>
    <n v="1048"/>
    <n v="46.42"/>
    <n v="197"/>
    <n v="248"/>
    <n v="7.8"/>
    <n v="16"/>
    <n v="15"/>
    <n v="26"/>
    <n v="0"/>
    <n v="27"/>
    <n v="657"/>
    <s v="ANA-02A-DRY"/>
    <n v="1170"/>
    <n v="1170"/>
    <n v="0.65"/>
    <n v="760.5"/>
    <n v="39"/>
    <n v="74.697435897435895"/>
    <n v="2913.2"/>
    <m/>
    <n v="84681.3"/>
    <n v="83920.8"/>
    <d v="2026-06-28T00:00:00"/>
    <n v="83920.8"/>
    <m/>
    <m/>
    <s v="Direct Issue from Bin due to Low moisture"/>
    <n v="83920.8"/>
  </r>
  <r>
    <n v="47"/>
    <d v="2026-06-29T00:00:00"/>
    <s v="Dry Rcn "/>
    <x v="6"/>
    <s v="ANA-02A-DRY"/>
    <s v="Running"/>
    <n v="1049"/>
    <n v="45.63"/>
    <n v="188"/>
    <n v="250"/>
    <n v="7.7"/>
    <n v="3"/>
    <n v="8"/>
    <n v="32"/>
    <n v="4"/>
    <n v="21"/>
    <n v="673"/>
    <s v="ANA-02A-DRY"/>
    <n v="1504"/>
    <n v="1504"/>
    <n v="0.65"/>
    <n v="977.6"/>
    <n v="50"/>
    <n v="72.313999999999993"/>
    <n v="3615.7"/>
    <m/>
    <n v="103924.40000000001"/>
    <n v="102946.8"/>
    <d v="2026-06-29T00:00:00"/>
    <n v="102946.8"/>
    <m/>
    <m/>
    <s v="Direct Issue from Bin due to Low moisture"/>
    <n v="102946.8"/>
  </r>
  <r>
    <n v="48"/>
    <d v="2026-06-30T00:00:00"/>
    <s v="Dry Rcn "/>
    <x v="6"/>
    <s v="ANA-02A-DRY"/>
    <s v="Running"/>
    <n v="1050"/>
    <n v="46.07"/>
    <n v="191"/>
    <n v="246"/>
    <n v="8.1"/>
    <n v="14"/>
    <n v="15"/>
    <n v="26"/>
    <n v="4"/>
    <n v="14"/>
    <n v="672"/>
    <s v="ANA-02A-DRY"/>
    <n v="3007"/>
    <n v="3007"/>
    <n v="0.65"/>
    <n v="1954.55"/>
    <n v="100"/>
    <n v="70.522999999999996"/>
    <n v="7052.3"/>
    <m/>
    <n v="223527.1"/>
    <n v="221572.55000000002"/>
    <d v="2026-06-30T00:00:00"/>
    <n v="221572.55000000002"/>
    <m/>
    <m/>
    <s v="Direct Issue from Bin due to Low moisture"/>
    <n v="221572.55000000002"/>
  </r>
  <r>
    <n v="49"/>
    <d v="2026-07-01T00:00:00"/>
    <s v="Dry Rcn "/>
    <x v="6"/>
    <s v="ANA-02A-DRY"/>
    <s v="Running"/>
    <n v="1051"/>
    <n v="43.82"/>
    <n v="178"/>
    <n v="231"/>
    <n v="8.3000000000000007"/>
    <n v="12"/>
    <n v="15"/>
    <n v="36"/>
    <n v="4"/>
    <n v="13"/>
    <n v="682"/>
    <s v="ANA-02A-DRY"/>
    <n v="751"/>
    <n v="751"/>
    <n v="0.65"/>
    <n v="488.15000000000003"/>
    <n v="25"/>
    <n v="71.92"/>
    <n v="1798"/>
    <m/>
    <n v="57966"/>
    <n v="57477.85"/>
    <d v="2026-07-01T00:00:00"/>
    <n v="57477.85"/>
    <m/>
    <m/>
    <s v="Direct Issue from Bin due to Low moisture"/>
    <n v="57477.85"/>
  </r>
  <r>
    <n v="50"/>
    <d v="2026-07-02T00:00:00"/>
    <s v="Dry Rcn "/>
    <x v="6"/>
    <s v="ANA-02A-DRY"/>
    <s v="Closed"/>
    <n v="1051"/>
    <n v="43.82"/>
    <n v="178"/>
    <n v="231"/>
    <n v="8.3000000000000007"/>
    <n v="12"/>
    <n v="15"/>
    <n v="36"/>
    <n v="4"/>
    <n v="13"/>
    <n v="682"/>
    <s v="ANA-02A-DRY"/>
    <n v="2407"/>
    <n v="2407"/>
    <n v="0.65"/>
    <n v="1564.55"/>
    <n v="81"/>
    <n v="72.946913580246914"/>
    <n v="5908.7"/>
    <m/>
    <n v="178862.3"/>
    <n v="177297.75"/>
    <d v="2026-07-02T00:00:00"/>
    <n v="177297.75"/>
    <m/>
    <m/>
    <s v="Direct Issue from Bin due to Low moisture"/>
    <n v="177297.75"/>
  </r>
  <r>
    <n v="51"/>
    <d v="2026-07-06T00:00:00"/>
    <s v="Dry Rcn "/>
    <x v="7"/>
    <s v="ANA-02B-DRY"/>
    <s v="Running"/>
    <n v="1052"/>
    <n v="45.59"/>
    <n v="184"/>
    <n v="242"/>
    <n v="8.1"/>
    <n v="15"/>
    <n v="18"/>
    <n v="21"/>
    <n v="0"/>
    <n v="23"/>
    <n v="669"/>
    <s v="ANA-02B-DRY"/>
    <n v="3007"/>
    <n v="3007"/>
    <n v="0.65"/>
    <n v="1954.55"/>
    <n v="101"/>
    <n v="73.152475247524748"/>
    <n v="7388.4"/>
    <m/>
    <n v="218773.5"/>
    <n v="216818.95"/>
    <d v="2026-07-06T00:00:00"/>
    <n v="216818.95"/>
    <m/>
    <m/>
    <s v="Direct Issue from Bin due to Low moisture"/>
    <n v="216818.95"/>
  </r>
  <r>
    <n v="52"/>
    <d v="2026-07-07T00:00:00"/>
    <s v="Dry Rcn "/>
    <x v="7"/>
    <s v="ANA-02B-DRY"/>
    <s v="Running"/>
    <n v="1053"/>
    <n v="45.76"/>
    <n v="182"/>
    <n v="248"/>
    <n v="7.9"/>
    <n v="10"/>
    <n v="13"/>
    <n v="23"/>
    <n v="0"/>
    <n v="23"/>
    <n v="675"/>
    <s v="ANA-02B-DRY"/>
    <n v="2125"/>
    <n v="2125"/>
    <n v="0.65"/>
    <n v="1381.25"/>
    <n v="71"/>
    <n v="72.823943661971825"/>
    <n v="5170.5"/>
    <m/>
    <n v="155007"/>
    <n v="153625.75"/>
    <d v="2026-07-07T00:00:00"/>
    <n v="153625.75"/>
    <m/>
    <m/>
    <s v="Direct Issue from Bin due to Low moisture"/>
    <n v="153625.75"/>
  </r>
  <r>
    <n v="53"/>
    <d v="2026-07-10T00:00:00"/>
    <s v="Dry Rcn "/>
    <x v="7"/>
    <s v="ANA-02B-DRY"/>
    <s v="Running"/>
    <n v="1054"/>
    <n v="45.67"/>
    <n v="182"/>
    <n v="244"/>
    <n v="8"/>
    <n v="16"/>
    <n v="14"/>
    <n v="17"/>
    <n v="3"/>
    <n v="20"/>
    <n v="680"/>
    <s v="ANA-02B-DRY"/>
    <n v="2995"/>
    <n v="2995"/>
    <n v="0.65"/>
    <n v="1946.75"/>
    <n v="100"/>
    <n v="74.099999999999994"/>
    <n v="7410"/>
    <m/>
    <n v="217375.1"/>
    <n v="215428.35"/>
    <d v="2026-07-10T00:00:00"/>
    <n v="215428.35"/>
    <m/>
    <m/>
    <s v="Direct Issue from Bin due to Low moisture"/>
    <n v="215428.35"/>
  </r>
  <r>
    <n v="54"/>
    <d v="2026-07-11T00:00:00"/>
    <s v="Dry Rcn "/>
    <x v="7"/>
    <s v="ANA-02B-DRY"/>
    <s v="Running"/>
    <n v="1055"/>
    <n v="45.85"/>
    <n v="178"/>
    <n v="242"/>
    <n v="8.1"/>
    <n v="24"/>
    <n v="12"/>
    <n v="23"/>
    <n v="0"/>
    <n v="13"/>
    <n v="680"/>
    <s v="ANA-02B-DRY"/>
    <n v="1529"/>
    <n v="1529"/>
    <n v="0.65"/>
    <n v="993.85"/>
    <n v="50"/>
    <n v="74.213999999999999"/>
    <n v="3710.7"/>
    <m/>
    <n v="107790"/>
    <n v="106796.15"/>
    <d v="2026-11-07T00:00:00"/>
    <n v="106796.15"/>
    <m/>
    <m/>
    <s v="Direct Issue from Bin due to Low moisture"/>
    <n v="106796.15"/>
  </r>
  <r>
    <n v="55"/>
    <d v="2026-07-12T00:00:00"/>
    <s v="Dry Rcn "/>
    <x v="7"/>
    <s v="ANA-02B-DRY"/>
    <s v="Running"/>
    <n v="101"/>
    <n v="46.82"/>
    <n v="181"/>
    <n v="249"/>
    <n v="8"/>
    <n v="13"/>
    <n v="20"/>
    <n v="19"/>
    <n v="0"/>
    <n v="17"/>
    <n v="670"/>
    <s v="ANA-02B-DRY"/>
    <n v="1314"/>
    <n v="1314"/>
    <n v="0.65"/>
    <n v="854.1"/>
    <n v="44"/>
    <n v="71.779545454545456"/>
    <n v="3158.3"/>
    <m/>
    <n v="93055.8"/>
    <n v="92201.7"/>
    <d v="2026-12-07T00:00:00"/>
    <n v="92201.7"/>
    <m/>
    <m/>
    <s v="Direct Issue from Bin due to Low moisture"/>
    <n v="92201.7"/>
  </r>
  <r>
    <n v="56"/>
    <d v="2026-07-13T00:00:00"/>
    <s v="Dry Rcn "/>
    <x v="7"/>
    <s v="ANA-02B-DRY"/>
    <s v="Closed"/>
    <n v="102"/>
    <n v="46.29"/>
    <n v="184"/>
    <n v="250"/>
    <n v="8.1999999999999993"/>
    <n v="11"/>
    <n v="14"/>
    <n v="23"/>
    <n v="2"/>
    <n v="17"/>
    <n v="677"/>
    <s v="ANA-02B-DRY"/>
    <n v="1284"/>
    <n v="1284"/>
    <n v="0.65"/>
    <n v="834.6"/>
    <n v="43"/>
    <n v="72.123255813953492"/>
    <n v="3101.3"/>
    <m/>
    <n v="89926.6"/>
    <n v="89092"/>
    <s v="13/07/2026"/>
    <n v="89092"/>
    <m/>
    <m/>
    <s v="Direct Issue from Bin due to Low moisture"/>
    <n v="89092"/>
  </r>
  <r>
    <n v="57"/>
    <d v="2026-07-14T00:00:00"/>
    <s v="Dry Rcn "/>
    <x v="8"/>
    <s v="ANA-008A-DRY"/>
    <s v="Running"/>
    <n v="103"/>
    <n v="46.29"/>
    <n v="168"/>
    <n v="252"/>
    <n v="7.6"/>
    <n v="11"/>
    <n v="10"/>
    <n v="19"/>
    <n v="0"/>
    <n v="18"/>
    <n v="682"/>
    <s v="ANA-008A-DRY"/>
    <n v="1289"/>
    <n v="1289"/>
    <n v="0.65"/>
    <n v="837.85"/>
    <n v="43"/>
    <n v="73.958139534883713"/>
    <n v="3180.2"/>
    <m/>
    <n v="97176.4"/>
    <n v="96338.549999999988"/>
    <s v="14/07/2026"/>
    <n v="96338.549999999988"/>
    <m/>
    <m/>
    <s v="Direct Issue from Bin due to Low moisture"/>
    <n v="96338.549999999988"/>
  </r>
  <r>
    <n v="58"/>
    <d v="2026-07-15T00:00:00"/>
    <s v="Dry Rcn "/>
    <x v="8"/>
    <s v="ANA-008A-DRY"/>
    <s v="Running"/>
    <n v="104"/>
    <n v="46.82"/>
    <n v="178"/>
    <n v="251"/>
    <n v="7.3"/>
    <n v="17"/>
    <n v="12"/>
    <n v="13"/>
    <n v="0"/>
    <n v="21"/>
    <n v="677"/>
    <s v="ANA-008A-DRY"/>
    <n v="1333"/>
    <n v="1333"/>
    <n v="0.65"/>
    <n v="866.45"/>
    <n v="44"/>
    <n v="75.915909090909096"/>
    <n v="3340.3"/>
    <m/>
    <n v="98914"/>
    <n v="98047.55"/>
    <s v="15/07/2026"/>
    <n v="98047.55"/>
    <m/>
    <m/>
    <s v="Direct Issue from Bin due to Low moisture"/>
    <n v="98047.55"/>
  </r>
  <r>
    <n v="59"/>
    <d v="2026-07-16T00:00:00"/>
    <s v="Dry Rcn "/>
    <x v="8"/>
    <s v="ANA-008A-DRY"/>
    <s v="Running"/>
    <n v="105"/>
    <n v="47.35"/>
    <n v="173"/>
    <n v="255"/>
    <n v="7.4"/>
    <n v="10"/>
    <n v="17"/>
    <n v="17"/>
    <n v="3"/>
    <n v="20"/>
    <n v="678"/>
    <s v="ANA-008A-DRY"/>
    <n v="2445"/>
    <n v="2445"/>
    <n v="0.65"/>
    <n v="1589.25"/>
    <n v="81"/>
    <n v="72.892592592592592"/>
    <n v="5904.3"/>
    <m/>
    <n v="179117.3"/>
    <n v="177528.05"/>
    <s v="16/07/2026"/>
    <n v="177528.05"/>
    <m/>
    <m/>
    <s v="Direct Issue from Bin due to Low moisture"/>
    <n v="177528.05"/>
  </r>
  <r>
    <n v="60"/>
    <d v="2026-07-17T00:00:00"/>
    <s v="Dry Rcn "/>
    <x v="8"/>
    <s v="ANA-008A-DRY"/>
    <s v="Closed"/>
    <n v="106"/>
    <n v="46.42"/>
    <n v="178"/>
    <n v="250"/>
    <n v="7.7"/>
    <n v="9"/>
    <n v="15"/>
    <n v="20"/>
    <n v="0"/>
    <n v="24"/>
    <n v="670"/>
    <s v="ANA-008A-DRY"/>
    <n v="735"/>
    <n v="735"/>
    <n v="0.65"/>
    <n v="477.75"/>
    <n v="25"/>
    <n v="74.396000000000001"/>
    <n v="1859.9"/>
    <m/>
    <n v="53957.599999999999"/>
    <n v="53479.85"/>
    <s v="17/07/2026"/>
    <n v="53479.85"/>
    <m/>
    <m/>
    <s v="Direct Issue from Bin due to Low moisture"/>
    <n v="53479.85"/>
  </r>
  <r>
    <n v="61"/>
    <d v="2026-07-18T00:00:00"/>
    <s v="Dry Rcn "/>
    <x v="2"/>
    <s v="ANA-03B-DRY"/>
    <s v="Running"/>
    <n v="107"/>
    <n v="43.51"/>
    <n v="180"/>
    <n v="237"/>
    <n v="7.9"/>
    <n v="11"/>
    <n v="14"/>
    <n v="30"/>
    <n v="0"/>
    <n v="19"/>
    <n v="680"/>
    <s v="ANA-03B-DRY"/>
    <n v="1201"/>
    <n v="1201"/>
    <n v="0.65"/>
    <n v="780.65"/>
    <n v="40"/>
    <n v="75.27000000000001"/>
    <n v="3010.8"/>
    <m/>
    <n v="90902.9"/>
    <n v="90122.25"/>
    <s v="18/07/2026"/>
    <n v="90122.25"/>
    <m/>
    <m/>
    <s v="Direct Issue from Bin due to Low moisture"/>
    <n v="90122.25"/>
  </r>
  <r>
    <n v="62"/>
    <d v="2026-07-20T00:00:00"/>
    <s v="Dry Rcn "/>
    <x v="2"/>
    <s v="ANA-03B-DRY"/>
    <s v="Running"/>
    <n v="108"/>
    <n v="42.9"/>
    <n v="182"/>
    <n v="236"/>
    <n v="8.1999999999999993"/>
    <n v="8"/>
    <n v="14"/>
    <n v="20"/>
    <n v="0"/>
    <n v="19"/>
    <n v="693"/>
    <s v="ANA-03B-DRY"/>
    <n v="1082"/>
    <n v="1082"/>
    <n v="0.65"/>
    <n v="703.30000000000007"/>
    <n v="37"/>
    <n v="71.383783783783784"/>
    <n v="2641.2"/>
    <m/>
    <n v="83487.7"/>
    <n v="82784.399999999994"/>
    <s v="20/07/2026"/>
    <n v="82784.399999999994"/>
    <m/>
    <m/>
    <s v="Direct Issue from Bin due to Low moisture"/>
    <n v="82784.399999999994"/>
  </r>
  <r>
    <n v="63"/>
    <d v="2026-07-21T00:00:00"/>
    <s v="Dry Rcn "/>
    <x v="2"/>
    <s v="ANA-03B-DRY"/>
    <s v="Running"/>
    <n v="109"/>
    <n v="44.75"/>
    <n v="173"/>
    <n v="242"/>
    <n v="8.3000000000000007"/>
    <n v="6"/>
    <n v="10"/>
    <n v="28"/>
    <n v="0"/>
    <n v="23"/>
    <n v="684"/>
    <s v="ANA-03B-DRY"/>
    <n v="2219"/>
    <n v="2219"/>
    <n v="0.65"/>
    <n v="1442.3500000000001"/>
    <n v="75"/>
    <n v="70.741333333333344"/>
    <n v="5305.6"/>
    <m/>
    <n v="169027.7"/>
    <n v="167585.35"/>
    <s v="21/07/2026"/>
    <n v="167585.35"/>
    <m/>
    <m/>
    <s v="Direct Issue from Bin due to Low moisture"/>
    <n v="167585.35"/>
  </r>
  <r>
    <n v="64"/>
    <d v="2026-07-22T00:00:00"/>
    <s v="Dry Rcn "/>
    <x v="2"/>
    <s v="ANA-03B-DRY"/>
    <s v="Running"/>
    <n v="110"/>
    <n v="41.71"/>
    <n v="173"/>
    <n v="225"/>
    <n v="7.7"/>
    <n v="6"/>
    <n v="17"/>
    <n v="38"/>
    <n v="0"/>
    <n v="12"/>
    <n v="694"/>
    <s v="ANA-03B-DRY"/>
    <n v="2389"/>
    <n v="2389"/>
    <n v="0.65"/>
    <n v="1552.8500000000001"/>
    <n v="80"/>
    <n v="74.10499999999999"/>
    <n v="5928.4"/>
    <m/>
    <n v="180138.3"/>
    <n v="178585.44999999998"/>
    <s v="22/07/2026"/>
    <n v="178585.44999999998"/>
    <m/>
    <m/>
    <s v="Direct Issue from Bin due to Low moisture"/>
    <n v="178585.44999999998"/>
  </r>
  <r>
    <n v="65"/>
    <d v="2026-07-23T00:00:00"/>
    <s v="Dry Rcn "/>
    <x v="2"/>
    <s v="ANA-03B-DRY"/>
    <s v="Running"/>
    <n v="111"/>
    <n v="42.19"/>
    <n v="176"/>
    <n v="229"/>
    <n v="8.4"/>
    <n v="5"/>
    <n v="15"/>
    <n v="34"/>
    <n v="2"/>
    <n v="29"/>
    <n v="674"/>
    <s v="ANA-03B-DRY"/>
    <n v="3005"/>
    <n v="3005"/>
    <n v="0.65"/>
    <n v="1953.25"/>
    <n v="100"/>
    <n v="73.573999999999998"/>
    <n v="7357.4"/>
    <m/>
    <n v="226482.5"/>
    <n v="224529.25"/>
    <s v="23/07/2026"/>
    <n v="224529.25"/>
    <m/>
    <m/>
    <s v="Direct Issue from Bin due to Low moisture"/>
    <n v="224529.25"/>
  </r>
  <r>
    <n v="66"/>
    <d v="2026-07-24T00:00:00"/>
    <s v="Dry Rcn "/>
    <x v="2"/>
    <s v="ANA-03B-DRY"/>
    <s v="Running"/>
    <n v="112"/>
    <n v="42.1"/>
    <n v="176"/>
    <n v="226"/>
    <n v="8.5"/>
    <n v="6"/>
    <n v="9"/>
    <n v="33"/>
    <n v="4"/>
    <n v="38"/>
    <n v="675"/>
    <s v="ANA-03B-DRY"/>
    <n v="2714"/>
    <n v="2714"/>
    <n v="0.65"/>
    <n v="1764.1000000000001"/>
    <n v="90"/>
    <n v="73.717777777777783"/>
    <n v="6634.6"/>
    <m/>
    <n v="208062.5"/>
    <n v="206298.4"/>
    <s v="24/07/2026"/>
    <n v="206298.4"/>
    <m/>
    <m/>
    <s v="Direct Issue from Bin due to Low moisture"/>
    <n v="206298.4"/>
  </r>
  <r>
    <n v="67"/>
    <d v="2026-07-25T00:00:00"/>
    <s v="Dry Rcn "/>
    <x v="2"/>
    <s v="ANA-03B-DRY"/>
    <s v="Running"/>
    <n v="113"/>
    <n v="42.28"/>
    <n v="172"/>
    <n v="232"/>
    <n v="8.6999999999999993"/>
    <n v="7"/>
    <n v="15"/>
    <n v="25"/>
    <n v="5"/>
    <n v="24"/>
    <n v="681"/>
    <s v="ANA-03B-DRY"/>
    <n v="1835"/>
    <n v="1835"/>
    <n v="0.65"/>
    <n v="1192.75"/>
    <n v="61"/>
    <n v="73.686885245901635"/>
    <n v="4494.8999999999996"/>
    <m/>
    <n v="139024.70000000001"/>
    <n v="137831.95000000001"/>
    <s v="25/7/2026"/>
    <n v="137831.95000000001"/>
    <m/>
    <m/>
    <s v="Direct Issue from Bin due to Low moisture"/>
    <n v="137831.95000000001"/>
  </r>
  <r>
    <n v="68"/>
    <d v="2026-07-27T00:00:00"/>
    <s v="Dry Rcn "/>
    <x v="2"/>
    <s v="ANA-03B-DRY"/>
    <s v="Running"/>
    <n v="114"/>
    <n v="43.33"/>
    <n v="178"/>
    <n v="239"/>
    <n v="9"/>
    <n v="8"/>
    <n v="16"/>
    <n v="26"/>
    <n v="2"/>
    <n v="16"/>
    <n v="684"/>
    <s v="ANA-03B-DRY"/>
    <n v="1653"/>
    <n v="1653"/>
    <n v="0.65"/>
    <n v="1074.45"/>
    <n v="56"/>
    <n v="71.260714285714286"/>
    <n v="3990.6"/>
    <m/>
    <n v="123721.7"/>
    <n v="122647.25"/>
    <s v="27/7/2026"/>
    <n v="122647.25"/>
    <m/>
    <m/>
    <s v="Direct Issue from Bin due to Low moisture"/>
    <n v="122647.25"/>
  </r>
  <r>
    <n v="69"/>
    <d v="2026-07-28T00:00:00"/>
    <s v="Dry Rcn "/>
    <x v="2"/>
    <s v="ANA-03B-DRY"/>
    <s v="Running"/>
    <n v="115"/>
    <n v="44.26"/>
    <n v="174"/>
    <n v="239"/>
    <n v="9"/>
    <n v="5"/>
    <n v="13"/>
    <n v="31"/>
    <n v="1"/>
    <n v="23"/>
    <n v="680"/>
    <s v="ANA-03B-DRY"/>
    <n v="1795"/>
    <n v="1795"/>
    <n v="0.65"/>
    <n v="1166.75"/>
    <n v="60"/>
    <n v="72.418333333333337"/>
    <n v="4345.1000000000004"/>
    <m/>
    <n v="136250.70000000001"/>
    <n v="135083.95000000001"/>
    <s v="28/07/2026"/>
    <n v="135083.95000000001"/>
    <m/>
    <m/>
    <s v="Direct Issue from Bin due to Low moisture"/>
    <n v="135083.95000000001"/>
  </r>
  <r>
    <n v="70"/>
    <d v="2026-07-29T00:00:00"/>
    <s v="Dry Rcn "/>
    <x v="2"/>
    <s v="ANA-03B-DRY"/>
    <s v="Running"/>
    <n v="116"/>
    <n v="43.07"/>
    <n v="172"/>
    <n v="241"/>
    <n v="8.8000000000000007"/>
    <n v="5"/>
    <n v="13"/>
    <n v="27"/>
    <n v="2"/>
    <n v="26"/>
    <n v="679"/>
    <s v="ANA-03B-DRY"/>
    <n v="1811"/>
    <n v="1811"/>
    <n v="0.65"/>
    <n v="1177.1500000000001"/>
    <n v="60"/>
    <n v="71.681666666666658"/>
    <n v="4300.8999999999996"/>
    <m/>
    <n v="137037.70000000001"/>
    <n v="135860.55000000002"/>
    <s v="29/07/2026"/>
    <n v="135860.55000000002"/>
    <m/>
    <m/>
    <s v="Direct Issue from Bin due to Low moisture"/>
    <n v="135860.55000000002"/>
  </r>
  <r>
    <n v="71"/>
    <d v="2026-07-30T00:00:00"/>
    <s v="Dry Rcn "/>
    <x v="2"/>
    <s v="ANA-03B-DRY"/>
    <s v="Running"/>
    <n v="117"/>
    <n v="41.97"/>
    <n v="176"/>
    <n v="228"/>
    <n v="8.4"/>
    <n v="5"/>
    <n v="16"/>
    <n v="28"/>
    <n v="0"/>
    <n v="35"/>
    <n v="680"/>
    <s v="ANA-03B-DRY"/>
    <n v="1797"/>
    <n v="1797"/>
    <n v="0.65"/>
    <n v="1168.05"/>
    <n v="60"/>
    <n v="71.958333333333329"/>
    <n v="4317.5"/>
    <m/>
    <n v="136449.79999999999"/>
    <n v="135281.75"/>
    <s v="30/07/2026"/>
    <n v="135281.75"/>
    <m/>
    <m/>
    <s v="Direct Issue from Bin due to Low moisture"/>
    <n v="135281.75"/>
  </r>
  <r>
    <n v="72"/>
    <d v="2026-07-31T00:00:00"/>
    <s v="Dry Rcn "/>
    <x v="2"/>
    <s v="ANA-03B-DRY"/>
    <s v="Running"/>
    <n v="118"/>
    <n v="43.47"/>
    <n v="172"/>
    <n v="232"/>
    <n v="8.4"/>
    <n v="5"/>
    <n v="15"/>
    <n v="29"/>
    <n v="0"/>
    <n v="37"/>
    <n v="673"/>
    <s v="ANA-03B-DRY"/>
    <n v="1716"/>
    <n v="1716"/>
    <n v="0.65"/>
    <n v="1115.4000000000001"/>
    <n v="57"/>
    <n v="72.280701754385959"/>
    <n v="4120"/>
    <m/>
    <n v="129860.2"/>
    <n v="128744.8"/>
    <s v="31/07/2026"/>
    <n v="128744.8"/>
    <m/>
    <m/>
    <s v="Direct Issue from Bin due to Low moisture"/>
    <n v="128744.8"/>
  </r>
  <r>
    <n v="73"/>
    <d v="2026-08-02T00:00:00"/>
    <s v="Dry Rcn "/>
    <x v="2"/>
    <s v="ANA-03B-DRY"/>
    <s v="Running"/>
    <n v="119"/>
    <n v="43.47"/>
    <n v="175"/>
    <n v="237"/>
    <n v="8.4"/>
    <n v="7"/>
    <n v="16"/>
    <n v="25"/>
    <n v="1"/>
    <n v="26"/>
    <n v="679"/>
    <s v="ANA-03B-DRY"/>
    <n v="1583"/>
    <n v="1583"/>
    <n v="0.65"/>
    <n v="1028.95"/>
    <n v="53"/>
    <n v="73.677358490566036"/>
    <n v="3904.9"/>
    <m/>
    <n v="118474.3"/>
    <n v="117445.35"/>
    <d v="2026-01-08T00:00:00"/>
    <n v="117445.35"/>
    <m/>
    <m/>
    <s v="Direct Issue from Bin due to Low moisture"/>
    <n v="117445.35"/>
  </r>
  <r>
    <n v="74"/>
    <d v="2026-08-03T00:00:00"/>
    <s v="Dry Rcn "/>
    <x v="2"/>
    <s v="ANA-03B-DRY"/>
    <s v="Running"/>
    <n v="120"/>
    <n v="42.63"/>
    <n v="175"/>
    <n v="224"/>
    <n v="8.1999999999999993"/>
    <n v="11"/>
    <n v="15"/>
    <n v="33"/>
    <n v="0"/>
    <n v="22"/>
    <n v="687"/>
    <s v="ANA-03B-DRY"/>
    <n v="1506"/>
    <n v="1506"/>
    <n v="0.65"/>
    <n v="978.9"/>
    <n v="50"/>
    <n v="72.546000000000006"/>
    <n v="3627.3"/>
    <m/>
    <n v="113632.09999999999"/>
    <n v="112653.2"/>
    <d v="2026-03-08T00:00:00"/>
    <n v="112653.2"/>
    <m/>
    <m/>
    <s v="Direct Issue from Bin due to Low moisture"/>
    <n v="112653.2"/>
  </r>
  <r>
    <n v="75"/>
    <d v="2026-08-03T00:00:00"/>
    <s v="Dry Rcn "/>
    <x v="9"/>
    <s v="ANA-016-DRY"/>
    <s v="Running"/>
    <n v="120"/>
    <n v="40.69"/>
    <n v="189"/>
    <n v="212"/>
    <n v="8.1999999999999993"/>
    <n v="7"/>
    <n v="15"/>
    <n v="64"/>
    <n v="0"/>
    <n v="17"/>
    <n v="678"/>
    <s v="ANA-016-DRY"/>
    <n v="300"/>
    <n v="300"/>
    <n v="0.65"/>
    <n v="195"/>
    <n v="10"/>
    <n v="71.599999999999994"/>
    <n v="716"/>
    <m/>
    <n v="21406.2"/>
    <n v="21211.200000000001"/>
    <d v="2026-03-08T00:00:00"/>
    <n v="21211.200000000001"/>
    <m/>
    <m/>
    <s v="Direct Issue from Bin due to Low moisture"/>
    <n v="21211.200000000001"/>
  </r>
  <r>
    <n v="76"/>
    <d v="2026-08-04T00:00:00"/>
    <s v="Dry Rcn "/>
    <x v="9"/>
    <s v="ANA-016-DRY"/>
    <s v="Running"/>
    <n v="121"/>
    <n v="42.94"/>
    <n v="171"/>
    <n v="227"/>
    <n v="8.3000000000000007"/>
    <n v="6"/>
    <n v="20"/>
    <n v="27"/>
    <n v="2"/>
    <n v="24"/>
    <n v="686"/>
    <s v="ANA-016-DRY"/>
    <n v="450"/>
    <n v="450"/>
    <n v="0.65"/>
    <n v="292.5"/>
    <n v="15"/>
    <n v="76.86666666666666"/>
    <n v="1153"/>
    <m/>
    <n v="32234.699999999997"/>
    <n v="31942.199999999997"/>
    <d v="2026-04-08T00:00:00"/>
    <n v="31942.199999999997"/>
    <m/>
    <m/>
    <s v="Direct Issue from Bin due to Low moisture"/>
    <n v="31942.199999999997"/>
  </r>
  <r>
    <n v="77"/>
    <d v="2026-08-04T00:00:00"/>
    <s v="Dry Rcn "/>
    <x v="2"/>
    <s v="ANA-03B-DRY"/>
    <s v="Running"/>
    <n v="121"/>
    <n v="42.94"/>
    <n v="171"/>
    <n v="227"/>
    <n v="8.3000000000000007"/>
    <n v="6"/>
    <n v="20"/>
    <n v="27"/>
    <n v="2"/>
    <n v="24"/>
    <n v="686"/>
    <s v="ANA-03B-DRY"/>
    <n v="1656"/>
    <n v="1656"/>
    <n v="0.65"/>
    <n v="1076.4000000000001"/>
    <n v="55"/>
    <n v="72.965454545454548"/>
    <n v="4013.1"/>
    <m/>
    <n v="125120.4"/>
    <n v="124044"/>
    <d v="2026-04-08T00:00:00"/>
    <n v="124044"/>
    <m/>
    <m/>
    <s v="Direct Issue from Bin due to Low moisture"/>
    <n v="124044"/>
  </r>
  <r>
    <n v="78"/>
    <d v="2026-08-05T00:00:00"/>
    <s v="Dry Rcn "/>
    <x v="2"/>
    <s v="ANA-03B-DRY"/>
    <s v="Running"/>
    <n v="122"/>
    <n v="42.72"/>
    <n v="174"/>
    <n v="231"/>
    <n v="8.4"/>
    <n v="7"/>
    <n v="15"/>
    <n v="37"/>
    <n v="0"/>
    <n v="15"/>
    <n v="687"/>
    <s v="ANA-03B-DRY"/>
    <n v="846"/>
    <n v="846"/>
    <n v="0.65"/>
    <n v="549.9"/>
    <n v="29"/>
    <n v="72.258620689655174"/>
    <n v="2095.5"/>
    <m/>
    <n v="63793.599999999999"/>
    <n v="63243.7"/>
    <d v="2026-05-08T00:00:00"/>
    <n v="63243.7"/>
    <m/>
    <m/>
    <s v="Direct Issue from Bin due to Low moisture"/>
    <n v="63243.7"/>
  </r>
  <r>
    <n v="79"/>
    <d v="2026-08-05T00:00:00"/>
    <s v="Dry Rcn "/>
    <x v="9"/>
    <s v="ANA-016-DRY"/>
    <s v="Running"/>
    <n v="122"/>
    <n v="40.119999999999997"/>
    <n v="184"/>
    <n v="212"/>
    <n v="7.8"/>
    <n v="11"/>
    <n v="20"/>
    <n v="36"/>
    <n v="0"/>
    <n v="17"/>
    <n v="695"/>
    <s v="ANA-016-DRY"/>
    <n v="450"/>
    <n v="450"/>
    <n v="0.65"/>
    <n v="292.5"/>
    <n v="15"/>
    <n v="73.819999999999993"/>
    <n v="1107.3"/>
    <m/>
    <n v="31952.500000000004"/>
    <n v="31660.000000000004"/>
    <d v="2026-05-08T00:00:00"/>
    <n v="31660.000000000004"/>
    <m/>
    <m/>
    <s v="Direct Issue from Bin due to Low moisture"/>
    <n v="31660.000000000004"/>
  </r>
  <r>
    <n v="80"/>
    <d v="2026-08-05T00:00:00"/>
    <s v="Dry Rcn "/>
    <x v="10"/>
    <s v="BIN-010-DRY"/>
    <s v="Running"/>
    <n v="122"/>
    <n v="42.32"/>
    <n v="173"/>
    <n v="234"/>
    <n v="9"/>
    <n v="4"/>
    <n v="8"/>
    <n v="45"/>
    <n v="0"/>
    <n v="17"/>
    <n v="683"/>
    <s v="ANA-010-DRY"/>
    <n v="300"/>
    <n v="300"/>
    <n v="0.65"/>
    <n v="195"/>
    <n v="10"/>
    <n v="65.58"/>
    <n v="655.8"/>
    <m/>
    <n v="22623.100000000002"/>
    <n v="22428.100000000002"/>
    <d v="2026-05-08T00:00:00"/>
    <n v="22428.100000000002"/>
    <m/>
    <m/>
    <s v="Direct Issue from Bin due to Low moisture"/>
    <n v="22428.100000000002"/>
  </r>
  <r>
    <n v="81"/>
    <d v="2026-08-06T00:00:00"/>
    <s v="Dry Rcn "/>
    <x v="2"/>
    <s v="ANA-03B-DRY"/>
    <s v="Running"/>
    <n v="123"/>
    <n v="41.27"/>
    <n v="178"/>
    <n v="229"/>
    <n v="8.6"/>
    <n v="4"/>
    <n v="6"/>
    <n v="46"/>
    <n v="1"/>
    <n v="24"/>
    <n v="683"/>
    <s v="ANA-03B-DRY"/>
    <n v="412"/>
    <n v="412"/>
    <n v="0.65"/>
    <n v="267.8"/>
    <n v="14"/>
    <n v="76.95714285714287"/>
    <n v="1077.4000000000001"/>
    <m/>
    <n v="31551.399999999998"/>
    <n v="31283.599999999999"/>
    <d v="2026-06-08T00:00:00"/>
    <n v="31283.599999999999"/>
    <m/>
    <m/>
    <s v="Direct Issue from Bin due to Low moisture"/>
    <n v="31283.599999999999"/>
  </r>
  <r>
    <n v="82"/>
    <d v="2026-08-06T00:00:00"/>
    <s v="Dry Rcn "/>
    <x v="9"/>
    <s v="ANA-016-DRY"/>
    <s v="Running"/>
    <n v="123"/>
    <n v="39.24"/>
    <n v="183"/>
    <n v="214"/>
    <n v="8.4"/>
    <n v="3"/>
    <n v="14"/>
    <n v="52"/>
    <n v="0"/>
    <n v="18"/>
    <n v="691"/>
    <s v="ANA-016-DRY"/>
    <n v="450"/>
    <n v="450"/>
    <n v="0.65"/>
    <n v="292.5"/>
    <n v="15"/>
    <n v="77.599999999999994"/>
    <n v="1164"/>
    <m/>
    <n v="33165.800000000003"/>
    <n v="32873.300000000003"/>
    <d v="2026-06-08T00:00:00"/>
    <n v="32873.300000000003"/>
    <m/>
    <m/>
    <s v="Direct Issue from Bin due to Low moisture"/>
    <n v="32873.300000000003"/>
  </r>
  <r>
    <n v="83"/>
    <d v="2026-08-06T00:00:00"/>
    <s v="Dry Rcn "/>
    <x v="10"/>
    <s v="BIN-010-DRY"/>
    <s v="Running"/>
    <n v="123"/>
    <n v="42.68"/>
    <n v="172"/>
    <n v="233"/>
    <n v="8.4"/>
    <n v="6"/>
    <n v="12"/>
    <n v="31"/>
    <n v="2"/>
    <n v="35"/>
    <n v="672"/>
    <s v="ANA-010-DRY"/>
    <n v="300"/>
    <n v="300"/>
    <n v="0.65"/>
    <n v="195"/>
    <n v="10"/>
    <n v="78.08"/>
    <n v="780.8"/>
    <m/>
    <n v="22491.9"/>
    <n v="22296.9"/>
    <d v="2026-06-08T00:00:00"/>
    <n v="22296.9"/>
    <m/>
    <m/>
    <s v="Direct Issue from Bin due to Low moisture"/>
    <n v="22296.9"/>
  </r>
  <r>
    <n v="84"/>
    <d v="2026-08-09T00:00:00"/>
    <s v="Dry Rcn "/>
    <x v="9"/>
    <s v="ANA-016-DRY"/>
    <s v="Running"/>
    <n v="124"/>
    <n v="40.25"/>
    <n v="187"/>
    <n v="226"/>
    <n v="7.6"/>
    <n v="5"/>
    <n v="13"/>
    <n v="40"/>
    <n v="1"/>
    <n v="16"/>
    <n v="690"/>
    <s v="ANA-016-DRY"/>
    <n v="2087"/>
    <n v="2087"/>
    <n v="0.65"/>
    <n v="1356.55"/>
    <n v="71"/>
    <n v="72.825352112676057"/>
    <n v="5170.6000000000004"/>
    <m/>
    <n v="120296.40000000002"/>
    <n v="118939.85000000002"/>
    <d v="2026-09-08T00:00:00"/>
    <n v="118939.85000000002"/>
    <m/>
    <m/>
    <s v="Direct Issue from Bin due to Low moisture"/>
    <n v="118939.85000000002"/>
  </r>
  <r>
    <n v="85"/>
    <d v="2026-08-09T00:00:00"/>
    <s v="Dry Rcn "/>
    <x v="9"/>
    <s v="ANA-016-DRY"/>
    <s v="Closed"/>
    <n v="124"/>
    <n v="40.25"/>
    <n v="187"/>
    <n v="226"/>
    <n v="7.6"/>
    <n v="5"/>
    <n v="13"/>
    <n v="40"/>
    <n v="1"/>
    <n v="16"/>
    <n v="690"/>
    <s v="ANA-016-DRY"/>
    <n v="531"/>
    <n v="531"/>
    <n v="1"/>
    <n v="531"/>
    <m/>
    <m/>
    <m/>
    <m/>
    <n v="36872"/>
    <n v="36341"/>
    <d v="2026-09-08T00:00:00"/>
    <n v="36341"/>
    <m/>
    <m/>
    <s v="Direct Issue from Bin due to Low moisture"/>
    <n v="36341"/>
  </r>
  <r>
    <n v="86"/>
    <d v="2026-08-10T00:00:00"/>
    <s v="Dry Rcn "/>
    <x v="10"/>
    <s v="BIN-010-DRY"/>
    <s v="Running"/>
    <n v="125"/>
    <n v="43.64"/>
    <n v="177"/>
    <n v="240"/>
    <n v="7.8"/>
    <n v="6"/>
    <n v="11"/>
    <n v="25"/>
    <n v="0"/>
    <n v="35"/>
    <n v="671"/>
    <s v="ANA-010-DRY"/>
    <n v="1214"/>
    <n v="1214"/>
    <n v="0.65"/>
    <n v="789.1"/>
    <n v="41"/>
    <n v="71.707317073170728"/>
    <n v="2940"/>
    <m/>
    <n v="93569.1"/>
    <n v="92780"/>
    <d v="2026-10-08T00:00:00"/>
    <n v="92780"/>
    <m/>
    <m/>
    <s v="Direct Issue from Bin due to Low moisture"/>
    <n v="92780"/>
  </r>
  <r>
    <n v="87"/>
    <d v="2026-08-11T00:00:00"/>
    <s v="Dry Rcn "/>
    <x v="10"/>
    <s v="BIN-010-DRY"/>
    <s v="Running"/>
    <n v="126"/>
    <n v="43.56"/>
    <n v="181"/>
    <n v="236"/>
    <n v="8.3000000000000007"/>
    <n v="5"/>
    <n v="18"/>
    <n v="24"/>
    <n v="2"/>
    <n v="13"/>
    <n v="694"/>
    <s v="ANA-010-DRY"/>
    <n v="1816"/>
    <n v="1816"/>
    <n v="0.65"/>
    <n v="1180.4000000000001"/>
    <n v="60"/>
    <n v="71.98"/>
    <n v="4318.8"/>
    <m/>
    <n v="139173.70000000001"/>
    <n v="137993.30000000002"/>
    <d v="2026-11-08T00:00:00"/>
    <n v="137993.30000000002"/>
    <m/>
    <m/>
    <s v="Direct Issue from Bin due to Low moisture"/>
    <n v="137993.30000000002"/>
  </r>
  <r>
    <n v="88"/>
    <d v="2026-08-12T00:00:00"/>
    <s v="Dry Rcn "/>
    <x v="10"/>
    <s v="BIN-010-DRY"/>
    <s v="Running"/>
    <n v="127"/>
    <n v="43.25"/>
    <n v="173"/>
    <n v="231"/>
    <n v="8"/>
    <n v="6"/>
    <n v="20"/>
    <n v="27"/>
    <n v="0"/>
    <n v="24"/>
    <n v="685"/>
    <s v="ANA-010-DRY"/>
    <n v="1840"/>
    <n v="1840"/>
    <n v="0.65"/>
    <n v="1196"/>
    <n v="60"/>
    <n v="73.271666666666675"/>
    <n v="4396.3"/>
    <m/>
    <n v="141222.29999999999"/>
    <n v="140026.29999999999"/>
    <d v="2026-12-08T00:00:00"/>
    <n v="140026.29999999999"/>
    <m/>
    <m/>
    <s v="Direct Issue from Bin due to Low moisture"/>
    <n v="140026.29999999999"/>
  </r>
  <r>
    <n v="89"/>
    <d v="2026-08-13T00:00:00"/>
    <s v="Dry Rcn "/>
    <x v="10"/>
    <s v="BIN-010-DRY"/>
    <s v="Running"/>
    <n v="128"/>
    <n v="44.48"/>
    <n v="177"/>
    <n v="239"/>
    <n v="7.8"/>
    <n v="9"/>
    <n v="20"/>
    <n v="21"/>
    <n v="4"/>
    <n v="2"/>
    <n v="699"/>
    <s v="ANA-010-DRY"/>
    <n v="1975"/>
    <n v="1975"/>
    <n v="0.65"/>
    <n v="1283.75"/>
    <n v="66"/>
    <n v="72.2"/>
    <n v="4765.2"/>
    <m/>
    <n v="146970"/>
    <n v="145686.25"/>
    <s v="13/08/2026"/>
    <n v="145686.25"/>
    <m/>
    <m/>
    <s v="Direct Issue from Bin due to Low moisture"/>
    <n v="145686.25"/>
  </r>
  <r>
    <n v="90"/>
    <d v="2026-08-14T00:00:00"/>
    <s v="Dry Rcn "/>
    <x v="10"/>
    <s v="BIN-010-DRY"/>
    <s v="Running"/>
    <n v="129"/>
    <n v="44.79"/>
    <n v="179"/>
    <n v="247"/>
    <n v="7.7"/>
    <n v="5"/>
    <n v="8"/>
    <n v="22"/>
    <n v="0"/>
    <n v="17"/>
    <n v="688"/>
    <s v="ANA-010-DRY"/>
    <n v="2267"/>
    <n v="2267"/>
    <n v="0.65"/>
    <n v="1473.55"/>
    <n v="75"/>
    <n v="73.304000000000002"/>
    <n v="5497.8"/>
    <m/>
    <n v="168931"/>
    <n v="167457.45000000001"/>
    <s v="14/08/2026"/>
    <n v="167457.45000000001"/>
    <m/>
    <m/>
    <s v="Direct Issue from Bin due to Low moisture"/>
    <n v="167457.45000000001"/>
  </r>
  <r>
    <n v="91"/>
    <d v="2026-08-17T00:00:00"/>
    <s v="Dry Rcn "/>
    <x v="10"/>
    <s v="BIN-010-DRY"/>
    <s v="Running"/>
    <n v="130"/>
    <n v="43.11"/>
    <n v="183"/>
    <n v="234"/>
    <n v="8.1"/>
    <n v="5"/>
    <n v="14"/>
    <n v="20"/>
    <n v="0"/>
    <n v="38"/>
    <n v="669"/>
    <s v="ANA-010-DRY"/>
    <n v="1307"/>
    <n v="1307"/>
    <n v="0.65"/>
    <n v="849.55"/>
    <n v="45"/>
    <n v="70.204444444444434"/>
    <n v="3159.2"/>
    <m/>
    <n v="98858.6"/>
    <n v="98009.05"/>
    <s v="17/08/2026"/>
    <n v="98009.05"/>
    <m/>
    <m/>
    <s v="Direct Issue from Bin due to Low moisture"/>
    <n v="98009.25"/>
  </r>
  <r>
    <n v="92"/>
    <d v="2026-08-18T00:00:00"/>
    <s v="Dry Rcn "/>
    <x v="10"/>
    <s v="BIN-010-DRY"/>
    <s v="Closed"/>
    <n v="131"/>
    <n v="43.74"/>
    <m/>
    <m/>
    <n v="7.8"/>
    <m/>
    <m/>
    <m/>
    <m/>
    <m/>
    <m/>
    <s v="ANA-010-DRY"/>
    <n v="703"/>
    <n v="703"/>
    <n v="0.65"/>
    <n v="456.95"/>
    <n v="23"/>
    <m/>
    <n v="1618.8"/>
    <m/>
    <n v="52018.5"/>
    <n v="51561.55"/>
    <s v="18/08/2026"/>
    <n v="51156.55"/>
    <m/>
    <m/>
    <s v="Direct Issue from Bin due to Low moisture"/>
    <n v="51156.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1"/>
    <d v="2026-03-18T00:00:00"/>
    <s v="ANAGROCI-01"/>
    <x v="0"/>
    <n v="23"/>
    <n v="77676"/>
    <s v="OK"/>
    <s v="Supplier"/>
    <s v="ANA-03-DRY"/>
    <s v="ANA-03-DRY"/>
    <n v="49460"/>
    <n v="0"/>
    <n v="49460"/>
    <n v="596"/>
    <n v="48864"/>
    <n v="47807"/>
    <n v="0"/>
    <n v="47807"/>
    <n v="592"/>
    <n v="47215"/>
    <n v="11"/>
    <n v="171"/>
    <n v="45.23"/>
    <n v="8.9"/>
    <n v="173"/>
    <n v="45.67"/>
    <m/>
    <m/>
    <m/>
    <m/>
    <m/>
    <m/>
    <m/>
    <n v="2.0999999999999998E-2"/>
    <n v="1649"/>
    <n v="3.3746725605762931E-2"/>
    <n v="638"/>
    <n v="592"/>
    <s v="Dryied"/>
    <s v="Scaled"/>
    <s v="BIN"/>
    <m/>
    <m/>
    <m/>
    <m/>
    <m/>
  </r>
  <r>
    <n v="2"/>
    <d v="2026-03-25T00:00:00"/>
    <s v="ANAGROCI-01"/>
    <x v="0"/>
    <n v="29"/>
    <n v="82146"/>
    <s v="OK"/>
    <s v="Supplier"/>
    <s v="ANA-03-DRY"/>
    <s v="ANA-03-DRY"/>
    <n v="39700"/>
    <n v="0"/>
    <n v="39700"/>
    <n v="467"/>
    <n v="39233"/>
    <n v="38213.915999999997"/>
    <n v="0"/>
    <n v="38213.915999999997"/>
    <n v="502"/>
    <n v="37711.915999999997"/>
    <n v="12"/>
    <n v="176"/>
    <n v="45.05"/>
    <n v="9.4"/>
    <n v="176"/>
    <n v="45.5"/>
    <m/>
    <m/>
    <m/>
    <m/>
    <m/>
    <m/>
    <m/>
    <n v="2.5999999999999995E-2"/>
    <n v="1521.0840000000026"/>
    <n v="3.8770524813294995E-2"/>
    <n v="489"/>
    <n v="502"/>
    <s v="Dryied"/>
    <s v="Scaled"/>
    <s v="BIN"/>
    <m/>
    <m/>
    <m/>
    <m/>
    <m/>
  </r>
  <r>
    <n v="3"/>
    <d v="2026-03-27T00:00:00"/>
    <s v="ANAGROCI-01"/>
    <x v="1"/>
    <n v="5"/>
    <n v="72564"/>
    <s v="OK"/>
    <s v="BOUAKE"/>
    <s v="ANA-08-DRY"/>
    <s v="ANA-08-DRY"/>
    <n v="51840"/>
    <n v="0"/>
    <n v="51840"/>
    <n v="608"/>
    <n v="51232"/>
    <n v="49643.807999999997"/>
    <n v="0"/>
    <n v="49643.807999999997"/>
    <n v="699"/>
    <n v="48944.807999999997"/>
    <n v="12"/>
    <n v="157"/>
    <n v="45.32"/>
    <n v="8.9"/>
    <n v="160"/>
    <n v="45.49"/>
    <m/>
    <m/>
    <m/>
    <m/>
    <m/>
    <m/>
    <m/>
    <n v="3.0999999999999996E-2"/>
    <n v="2287.1920000000027"/>
    <n v="4.464381636477207E-2"/>
    <n v="615"/>
    <n v="699"/>
    <s v="Dryied"/>
    <s v="Scaled"/>
    <s v="BIN"/>
    <m/>
    <m/>
    <m/>
    <m/>
    <m/>
  </r>
  <r>
    <n v="4"/>
    <d v="2026-03-28T00:00:00"/>
    <s v="ANAGROCI-01"/>
    <x v="2"/>
    <n v="20"/>
    <n v="72566"/>
    <s v="OK"/>
    <s v="BOUAKE"/>
    <s v="ANA-09-DRY"/>
    <s v="ANA-09-DRY"/>
    <n v="38380"/>
    <n v="0"/>
    <n v="38380"/>
    <n v="537"/>
    <n v="37843"/>
    <n v="36783.396000000001"/>
    <n v="0"/>
    <n v="36783.396000000001"/>
    <n v="530"/>
    <n v="36253.396000000001"/>
    <n v="11.7"/>
    <n v="174"/>
    <n v="43.82"/>
    <n v="8.9"/>
    <n v="172"/>
    <n v="43.91"/>
    <m/>
    <m/>
    <m/>
    <m/>
    <m/>
    <m/>
    <m/>
    <n v="2.799999999999999E-2"/>
    <n v="1589.6039999999994"/>
    <n v="4.2005232143328998E-2"/>
    <n v="537"/>
    <n v="530"/>
    <s v="Dryied"/>
    <s v="Scaled"/>
    <s v="BIN"/>
    <m/>
    <m/>
    <m/>
    <m/>
    <m/>
  </r>
  <r>
    <n v="5"/>
    <d v="2026-03-28T00:00:00"/>
    <s v="ANAGROCI-01"/>
    <x v="3"/>
    <n v="56"/>
    <n v="82495"/>
    <s v="OK"/>
    <s v="Supplier"/>
    <s v="ANA-02-DRY"/>
    <s v="ANA-02-DRY"/>
    <n v="46120"/>
    <n v="0"/>
    <n v="46120"/>
    <n v="530"/>
    <n v="45590"/>
    <n v="43876"/>
    <n v="0"/>
    <n v="43876"/>
    <n v="601"/>
    <n v="43275"/>
    <n v="11.2"/>
    <n v="183"/>
    <n v="44.35"/>
    <n v="9.3000000000000007"/>
    <n v="184"/>
    <n v="44.7"/>
    <m/>
    <m/>
    <m/>
    <m/>
    <m/>
    <m/>
    <m/>
    <n v="1.8999999999999986E-2"/>
    <n v="2315"/>
    <n v="5.0778679534985743E-2"/>
    <n v="538"/>
    <n v="601"/>
    <s v="Dryied"/>
    <s v="Scaled"/>
    <s v="BIN"/>
    <m/>
    <m/>
    <m/>
    <m/>
    <s v="PROCESSING"/>
  </r>
  <r>
    <n v="6"/>
    <d v="2026-04-02T00:00:00"/>
    <s v="ANAGROCI-01"/>
    <x v="4"/>
    <n v="61"/>
    <n v="83411"/>
    <s v="OK"/>
    <s v="Supplier"/>
    <s v="ANA-05-DRY"/>
    <s v="ANA-05-DRY"/>
    <n v="41780"/>
    <n v="0"/>
    <n v="41780"/>
    <n v="560"/>
    <n v="41220"/>
    <n v="42642"/>
    <n v="2280"/>
    <n v="40362"/>
    <n v="577"/>
    <n v="39785"/>
    <n v="10.1"/>
    <n v="185"/>
    <n v="46.2"/>
    <n v="8.5"/>
    <n v="170"/>
    <n v="46.2"/>
    <m/>
    <m/>
    <m/>
    <m/>
    <m/>
    <m/>
    <m/>
    <n v="1.5999999999999997E-2"/>
    <n v="1435"/>
    <n v="3.4813197476952933E-2"/>
    <n v="568"/>
    <n v="577"/>
    <s v="Dryied"/>
    <s v="Scaled"/>
    <s v="BIN"/>
    <m/>
    <m/>
    <m/>
    <m/>
    <m/>
  </r>
  <r>
    <n v="7"/>
    <d v="2026-04-03T00:00:00"/>
    <s v="ANAGROCI-01"/>
    <x v="0"/>
    <n v="64"/>
    <n v="82496"/>
    <s v="OK"/>
    <s v="Supplier"/>
    <s v="ANA-03-DRY"/>
    <s v="ANA-03-DRY"/>
    <n v="43880"/>
    <n v="0"/>
    <n v="43880"/>
    <n v="500"/>
    <n v="43380"/>
    <n v="44295"/>
    <n v="2470"/>
    <n v="41825"/>
    <n v="550"/>
    <n v="41275"/>
    <n v="11.8"/>
    <n v="177"/>
    <n v="44.44"/>
    <n v="9.1999999999999993"/>
    <n v="176"/>
    <n v="45.2"/>
    <m/>
    <m/>
    <m/>
    <m/>
    <m/>
    <m/>
    <m/>
    <n v="2.6000000000000013E-2"/>
    <n v="2105"/>
    <n v="4.8524665744582758E-2"/>
    <n v="509"/>
    <n v="550"/>
    <s v="Dryied"/>
    <s v="Scaled"/>
    <s v="BIN"/>
    <m/>
    <m/>
    <m/>
    <m/>
    <m/>
  </r>
  <r>
    <n v="8"/>
    <d v="2026-04-08T00:00:00"/>
    <s v="ANAGROCI-01"/>
    <x v="5"/>
    <n v="67"/>
    <n v="87134"/>
    <s v="OK"/>
    <s v="Supplier"/>
    <s v="ANA-07-DRY"/>
    <s v="ANA-07-DRY"/>
    <n v="37160"/>
    <n v="0"/>
    <n v="37160"/>
    <n v="454"/>
    <n v="36706"/>
    <n v="37911"/>
    <n v="2050"/>
    <n v="35861"/>
    <n v="477"/>
    <n v="35384"/>
    <n v="11"/>
    <n v="170"/>
    <n v="45.15"/>
    <n v="8.3000000000000007"/>
    <n v="173"/>
    <n v="45.85"/>
    <m/>
    <m/>
    <m/>
    <m/>
    <m/>
    <m/>
    <m/>
    <n v="2.6999999999999993E-2"/>
    <n v="1322"/>
    <n v="3.6015910205416009E-2"/>
    <n v="463"/>
    <n v="477"/>
    <s v="Dryied"/>
    <s v="Scaled"/>
    <s v="BIN"/>
    <m/>
    <m/>
    <m/>
    <m/>
    <m/>
  </r>
  <r>
    <n v="9"/>
    <d v="2026-04-11T00:00:00"/>
    <s v="ANAGROCI-01"/>
    <x v="3"/>
    <n v="72"/>
    <n v="87139"/>
    <s v="OK"/>
    <s v="Supplier"/>
    <s v="ANA-02-DRY"/>
    <s v="ANA-02-DRY"/>
    <n v="54260"/>
    <n v="0"/>
    <n v="54260"/>
    <n v="706"/>
    <n v="53554"/>
    <n v="55007"/>
    <n v="2945"/>
    <n v="52062"/>
    <n v="712"/>
    <n v="51350"/>
    <n v="10.1"/>
    <n v="183"/>
    <n v="44.09"/>
    <n v="8"/>
    <n v="181"/>
    <n v="44.26"/>
    <m/>
    <m/>
    <m/>
    <m/>
    <m/>
    <m/>
    <m/>
    <n v="2.0999999999999998E-2"/>
    <n v="2204"/>
    <n v="4.1154722336333417E-2"/>
    <n v="721"/>
    <n v="712"/>
    <s v="Dryied"/>
    <s v="Scaled"/>
    <s v="BIN"/>
    <m/>
    <m/>
    <m/>
    <m/>
    <s v="PROCESSING"/>
  </r>
  <r>
    <n v="10"/>
    <d v="2026-04-12T00:00:00"/>
    <s v="ANAGROCI-01"/>
    <x v="3"/>
    <n v="76"/>
    <n v="78911"/>
    <s v="OK"/>
    <s v="Supplier"/>
    <s v="ANA-02-DRY"/>
    <s v="ANA-02-DRY"/>
    <n v="47640"/>
    <n v="0"/>
    <n v="47640"/>
    <n v="658"/>
    <n v="46982"/>
    <n v="48274"/>
    <n v="2660"/>
    <n v="45614"/>
    <n v="648"/>
    <n v="44966"/>
    <n v="10.1"/>
    <n v="185"/>
    <n v="44.26"/>
    <n v="8.3000000000000007"/>
    <n v="179"/>
    <n v="44.53"/>
    <m/>
    <m/>
    <m/>
    <m/>
    <m/>
    <m/>
    <m/>
    <n v="1.7999999999999988E-2"/>
    <n v="2016"/>
    <n v="4.2910050657698692E-2"/>
    <n v="658"/>
    <n v="648"/>
    <s v="Dryied"/>
    <s v="Scaled"/>
    <s v="BIN"/>
    <m/>
    <m/>
    <m/>
    <m/>
    <s v="PROCESSING"/>
  </r>
  <r>
    <n v="11"/>
    <d v="2026-04-13T00:00:00"/>
    <s v="ANAGROCI-01"/>
    <x v="3"/>
    <n v="79"/>
    <n v="37970"/>
    <s v="OK"/>
    <s v="Supplier"/>
    <s v="ANA-02-DRY"/>
    <s v="ANA-02-DRY"/>
    <n v="42110"/>
    <n v="0"/>
    <n v="42110"/>
    <n v="488"/>
    <n v="41622"/>
    <n v="42671"/>
    <n v="2280"/>
    <n v="40391"/>
    <n v="542"/>
    <n v="39849"/>
    <n v="13.7"/>
    <n v="160"/>
    <n v="43.56"/>
    <n v="9.6999999999999993"/>
    <n v="163"/>
    <n v="44"/>
    <m/>
    <m/>
    <m/>
    <m/>
    <m/>
    <m/>
    <m/>
    <n v="0.04"/>
    <n v="1773"/>
    <n v="4.259766469655471E-2"/>
    <n v="488"/>
    <n v="542"/>
    <s v="Dryied"/>
    <s v="Scaled"/>
    <s v="BIN"/>
    <m/>
    <m/>
    <m/>
    <m/>
    <s v="PROCESSING"/>
  </r>
  <r>
    <n v="12"/>
    <d v="2026-04-16T00:00:00"/>
    <s v="ANAGROCI-01"/>
    <x v="3"/>
    <n v="102"/>
    <n v="78869"/>
    <s v="OK"/>
    <s v="Supplier"/>
    <s v="ANA-02-DRY"/>
    <s v="ANA-02-DRY"/>
    <n v="49690"/>
    <n v="0"/>
    <n v="49690"/>
    <n v="684"/>
    <n v="49006"/>
    <n v="50005"/>
    <n v="2575"/>
    <n v="47430"/>
    <n v="674"/>
    <n v="46756"/>
    <n v="11.2"/>
    <n v="181"/>
    <n v="43.56"/>
    <n v="9.4"/>
    <n v="182"/>
    <n v="44"/>
    <m/>
    <m/>
    <m/>
    <m/>
    <m/>
    <m/>
    <m/>
    <n v="1.7999999999999988E-2"/>
    <n v="2250"/>
    <n v="4.5912745378116966E-2"/>
    <n v="691"/>
    <n v="674"/>
    <s v="Dryied"/>
    <s v="Scaled"/>
    <s v="BIN"/>
    <m/>
    <m/>
    <m/>
    <m/>
    <s v="PROCESSING"/>
  </r>
  <r>
    <n v="13"/>
    <d v="2026-04-17T00:00:00"/>
    <s v="ANAGROCI-01"/>
    <x v="6"/>
    <n v="96"/>
    <n v="89770"/>
    <s v="OK"/>
    <s v="Supplier"/>
    <s v="ANA-01-DRY"/>
    <s v="ANA-01-DRY"/>
    <n v="50530"/>
    <n v="0"/>
    <n v="50530"/>
    <n v="598"/>
    <n v="49932"/>
    <n v="51035"/>
    <n v="2660"/>
    <n v="48375"/>
    <n v="644"/>
    <n v="47731"/>
    <n v="11.1"/>
    <n v="168"/>
    <n v="42.58"/>
    <n v="8.9"/>
    <n v="172"/>
    <n v="43.12"/>
    <m/>
    <m/>
    <m/>
    <m/>
    <m/>
    <m/>
    <m/>
    <n v="2.1999999999999992E-2"/>
    <n v="2201"/>
    <n v="4.4079948730273169E-2"/>
    <n v="612"/>
    <n v="644"/>
    <s v="Dryied"/>
    <s v="Scaled"/>
    <s v="Issued to Production"/>
    <m/>
    <m/>
    <m/>
    <s v="Issued to Production"/>
    <s v="PROCESSED"/>
  </r>
  <r>
    <n v="14"/>
    <d v="2026-04-18T00:00:00"/>
    <s v="ANAGROCI-01"/>
    <x v="6"/>
    <n v="95"/>
    <n v="89781"/>
    <s v="OK"/>
    <s v="Supplier"/>
    <s v="ANA-01-DRY"/>
    <s v="ANA-01-DRY"/>
    <n v="50350"/>
    <n v="0"/>
    <n v="50350"/>
    <n v="604"/>
    <n v="49746"/>
    <n v="51004"/>
    <n v="2660"/>
    <n v="48344"/>
    <n v="667"/>
    <n v="47677"/>
    <n v="12.3"/>
    <n v="169"/>
    <n v="42.41"/>
    <n v="9.8000000000000007"/>
    <n v="170"/>
    <n v="42.85"/>
    <m/>
    <m/>
    <m/>
    <m/>
    <m/>
    <m/>
    <m/>
    <n v="2.5000000000000001E-2"/>
    <n v="2069"/>
    <n v="4.1591283721304224E-2"/>
    <n v="629"/>
    <n v="667"/>
    <s v="Dryied"/>
    <s v="Scaled"/>
    <s v="Issued to Production"/>
    <m/>
    <m/>
    <m/>
    <s v="Issued to Production"/>
    <s v="PROCESSED"/>
  </r>
  <r>
    <n v="15"/>
    <d v="2026-04-19T00:00:00"/>
    <s v="ANAGROCI-01"/>
    <x v="3"/>
    <n v="116"/>
    <n v="31888"/>
    <s v="OK"/>
    <s v="Supplier"/>
    <s v="ANA-02-DRY"/>
    <s v="ANA-02-DRY"/>
    <n v="40690"/>
    <n v="0"/>
    <n v="40690"/>
    <n v="489"/>
    <n v="40201"/>
    <n v="40311"/>
    <n v="1386"/>
    <n v="38925"/>
    <n v="524"/>
    <n v="38401"/>
    <n v="14.2"/>
    <n v="158"/>
    <n v="44.18"/>
    <n v="10.1"/>
    <n v="160"/>
    <n v="44.26"/>
    <m/>
    <m/>
    <m/>
    <m/>
    <m/>
    <m/>
    <m/>
    <n v="4.0999999999999995E-2"/>
    <n v="1800"/>
    <n v="4.4775005596875701E-2"/>
    <n v="489"/>
    <n v="524"/>
    <s v="Dryied"/>
    <s v="Scaled"/>
    <s v="BIN"/>
    <m/>
    <m/>
    <m/>
    <m/>
    <s v="PROCESSING"/>
  </r>
  <r>
    <n v="16"/>
    <d v="2026-04-21T00:00:00"/>
    <s v="ANAGROCI-01"/>
    <x v="6"/>
    <n v="122"/>
    <n v="29107"/>
    <s v="OK"/>
    <s v="Supplier"/>
    <s v="ANA-01-DRY"/>
    <s v="ANA-01-DRY"/>
    <n v="45980"/>
    <n v="0"/>
    <n v="45980"/>
    <n v="604"/>
    <n v="45376"/>
    <n v="46755"/>
    <n v="2375"/>
    <n v="44380"/>
    <n v="600"/>
    <n v="43780"/>
    <n v="10.3"/>
    <n v="183"/>
    <n v="41.79"/>
    <n v="8.6"/>
    <n v="180"/>
    <n v="43.38"/>
    <m/>
    <m/>
    <m/>
    <m/>
    <m/>
    <m/>
    <m/>
    <n v="1.7000000000000012E-2"/>
    <n v="1596"/>
    <n v="3.5172778561354021E-2"/>
    <n v="609"/>
    <n v="600"/>
    <s v="Dryied"/>
    <s v="Scaled"/>
    <s v="Issued to Production"/>
    <m/>
    <m/>
    <m/>
    <s v="Issued to Production"/>
    <s v="PROCESSED"/>
  </r>
  <r>
    <n v="17"/>
    <d v="2026-04-21T00:00:00"/>
    <s v="ANAGROCI-01"/>
    <x v="6"/>
    <n v="125"/>
    <n v="37582"/>
    <s v="OK"/>
    <s v="Supplier"/>
    <s v="ANA-01-DRY"/>
    <s v="ANA-01-DRY"/>
    <n v="45520"/>
    <n v="0"/>
    <n v="45520"/>
    <n v="444"/>
    <n v="45076"/>
    <n v="46698"/>
    <n v="2660"/>
    <n v="44038"/>
    <n v="585"/>
    <n v="43453"/>
    <n v="11.4"/>
    <n v="162"/>
    <n v="43.12"/>
    <n v="9.5"/>
    <n v="161"/>
    <n v="43.38"/>
    <m/>
    <m/>
    <m/>
    <m/>
    <m/>
    <m/>
    <m/>
    <n v="1.9000000000000003E-2"/>
    <n v="1623"/>
    <n v="3.6005856775224068E-2"/>
    <n v="475"/>
    <n v="585"/>
    <s v="Dryied"/>
    <s v="Scaled"/>
    <s v="Issued to Production"/>
    <m/>
    <m/>
    <m/>
    <s v="Issued to Production"/>
    <s v="PROCESSED"/>
  </r>
  <r>
    <n v="18"/>
    <d v="2026-04-22T00:00:00"/>
    <s v="ANAGROCI-01"/>
    <x v="7"/>
    <n v="135"/>
    <n v="87109"/>
    <s v="OK"/>
    <s v="Supplier"/>
    <s v="ANA-06-DRY"/>
    <s v="ANA-06-DRY"/>
    <n v="47060"/>
    <n v="0"/>
    <n v="47060"/>
    <n v="587"/>
    <n v="46473"/>
    <n v="47318"/>
    <n v="2125"/>
    <n v="45193"/>
    <n v="606"/>
    <n v="44587"/>
    <n v="10.7"/>
    <n v="182"/>
    <n v="42.15"/>
    <n v="9.1"/>
    <n v="176"/>
    <n v="44.7"/>
    <m/>
    <m/>
    <m/>
    <m/>
    <m/>
    <m/>
    <m/>
    <n v="1.5999999999999997E-2"/>
    <n v="1886"/>
    <n v="4.0582703935618532E-2"/>
    <n v="594"/>
    <n v="606"/>
    <s v="Dryied"/>
    <s v="Scaled"/>
    <s v="BIN"/>
    <m/>
    <m/>
    <m/>
    <m/>
    <m/>
  </r>
  <r>
    <n v="19"/>
    <d v="2026-04-22T00:00:00"/>
    <s v="ANAGROCI-01"/>
    <x v="6"/>
    <n v="139"/>
    <n v="35967"/>
    <s v="OK"/>
    <s v="Supplier"/>
    <s v="ANA-01-DRY"/>
    <s v="ANA-01-DRY"/>
    <n v="42400"/>
    <n v="0"/>
    <n v="42400"/>
    <n v="523"/>
    <n v="41877"/>
    <n v="43491"/>
    <n v="2125"/>
    <n v="41366"/>
    <n v="564"/>
    <n v="40802"/>
    <n v="11.4"/>
    <n v="178"/>
    <n v="41.97"/>
    <n v="9.3000000000000007"/>
    <n v="179"/>
    <n v="42.68"/>
    <m/>
    <m/>
    <m/>
    <m/>
    <m/>
    <m/>
    <m/>
    <n v="2.0999999999999998E-2"/>
    <n v="1075"/>
    <n v="2.5670415741337726E-2"/>
    <n v="542"/>
    <n v="564"/>
    <s v="Dryied"/>
    <s v="Scaled"/>
    <s v="Issued to Production"/>
    <m/>
    <m/>
    <m/>
    <s v="Issued to Production"/>
    <s v="PROCESSED"/>
  </r>
  <r>
    <n v="20"/>
    <d v="2026-04-23T00:00:00"/>
    <s v="ANAGROCI-01"/>
    <x v="6"/>
    <n v="113"/>
    <n v="87146"/>
    <s v="OK"/>
    <s v="Supplier"/>
    <s v="ANA-01-DRY"/>
    <s v="ANA-01-DRY"/>
    <n v="34010"/>
    <n v="0"/>
    <n v="34010"/>
    <n v="430"/>
    <n v="33580"/>
    <n v="34791"/>
    <n v="1785"/>
    <n v="33006"/>
    <n v="457"/>
    <n v="32549"/>
    <n v="9.8000000000000007"/>
    <n v="172"/>
    <n v="42.59"/>
    <n v="8.8000000000000007"/>
    <n v="171"/>
    <n v="43.65"/>
    <m/>
    <m/>
    <m/>
    <m/>
    <m/>
    <m/>
    <m/>
    <n v="0.01"/>
    <n v="1031"/>
    <n v="3.0702799285288861E-2"/>
    <n v="449"/>
    <n v="457"/>
    <s v="Dryied"/>
    <s v="Scaled"/>
    <s v="Issued to Production"/>
    <m/>
    <m/>
    <m/>
    <s v="Issued to Production"/>
    <s v="PROCESSED"/>
  </r>
  <r>
    <n v="21"/>
    <d v="2026-04-24T00:00:00"/>
    <s v="ANAGROCI-01"/>
    <x v="6"/>
    <n v="107"/>
    <n v="37581"/>
    <s v="OK"/>
    <s v="Supplier"/>
    <s v="ANA-01-DRY"/>
    <s v="ANA-01-DRY"/>
    <n v="45490"/>
    <n v="0"/>
    <n v="45490"/>
    <n v="531"/>
    <n v="44959"/>
    <n v="47169"/>
    <n v="2295"/>
    <n v="44874"/>
    <n v="603"/>
    <n v="44271"/>
    <n v="10.1"/>
    <n v="159"/>
    <n v="42.15"/>
    <n v="8.6999999999999993"/>
    <n v="164"/>
    <n v="42.59"/>
    <m/>
    <m/>
    <m/>
    <m/>
    <m/>
    <m/>
    <m/>
    <n v="1.4000000000000004E-2"/>
    <n v="688"/>
    <n v="1.5302831468671457E-2"/>
    <n v="558"/>
    <n v="603"/>
    <s v="Dryied"/>
    <s v="Scaled"/>
    <s v="Issued to Production"/>
    <m/>
    <m/>
    <m/>
    <s v="Issued to Production"/>
    <s v="PROCESSED"/>
  </r>
  <r>
    <n v="22"/>
    <d v="2026-04-24T00:00:00"/>
    <s v="ANAGROCI-01"/>
    <x v="3"/>
    <n v="110"/>
    <n v="3198"/>
    <s v="OK"/>
    <s v="Supplier"/>
    <s v="ANA-02-DRY"/>
    <s v="ANA-02-DRY"/>
    <n v="37970"/>
    <n v="0"/>
    <n v="37970"/>
    <n v="426"/>
    <n v="37544"/>
    <n v="38637"/>
    <n v="1700"/>
    <n v="36937"/>
    <n v="506"/>
    <n v="36431"/>
    <n v="12.9"/>
    <n v="158"/>
    <n v="43.21"/>
    <n v="9.8000000000000007"/>
    <n v="166"/>
    <n v="44.26"/>
    <m/>
    <m/>
    <m/>
    <m/>
    <m/>
    <m/>
    <m/>
    <n v="3.0999999999999996E-2"/>
    <n v="1113"/>
    <n v="2.964521627956531E-2"/>
    <n v="450"/>
    <n v="506"/>
    <s v="Dryied"/>
    <s v="Scaled"/>
    <s v="BIN"/>
    <m/>
    <m/>
    <m/>
    <m/>
    <s v="PROCESSING"/>
  </r>
  <r>
    <n v="23"/>
    <d v="2026-04-25T00:00:00"/>
    <s v="ANAGROCI-01"/>
    <x v="7"/>
    <n v="162"/>
    <n v="89784"/>
    <s v="OK"/>
    <s v="Supplier"/>
    <s v="ANA-06-DRY"/>
    <s v="ANA-06-DRY"/>
    <n v="39460"/>
    <n v="0"/>
    <n v="39460"/>
    <n v="477"/>
    <n v="38983"/>
    <n v="40251"/>
    <n v="1870"/>
    <n v="38381"/>
    <n v="518"/>
    <n v="37863"/>
    <n v="12.8"/>
    <n v="170"/>
    <n v="44.09"/>
    <n v="10.1"/>
    <n v="169"/>
    <n v="44.97"/>
    <m/>
    <m/>
    <m/>
    <m/>
    <m/>
    <m/>
    <m/>
    <n v="2.700000000000001E-2"/>
    <n v="1120"/>
    <n v="2.8730472257137728E-2"/>
    <n v="486"/>
    <n v="518"/>
    <s v="Dryied"/>
    <s v="Scaled"/>
    <s v="BIN"/>
    <m/>
    <m/>
    <m/>
    <m/>
    <m/>
  </r>
  <r>
    <n v="24"/>
    <d v="2026-04-25T00:00:00"/>
    <s v="ANAGROCI-01"/>
    <x v="7"/>
    <n v="160"/>
    <n v="65511"/>
    <s v="OK"/>
    <s v="Supplier"/>
    <s v="ANA-06-DRY"/>
    <s v="ANA-06-DRY"/>
    <n v="43950"/>
    <n v="0"/>
    <n v="43950"/>
    <n v="540"/>
    <n v="43410"/>
    <n v="44482"/>
    <n v="1955"/>
    <n v="42527"/>
    <n v="570"/>
    <n v="41957"/>
    <n v="14.3"/>
    <n v="165"/>
    <n v="43.73"/>
    <n v="10.9"/>
    <n v="169"/>
    <n v="45.06"/>
    <m/>
    <m/>
    <m/>
    <m/>
    <m/>
    <m/>
    <m/>
    <n v="3.4000000000000002E-2"/>
    <n v="1453"/>
    <n v="3.3471550334024415E-2"/>
    <n v="566"/>
    <n v="570"/>
    <s v="Dryied"/>
    <s v="Scaled"/>
    <s v="BIN"/>
    <m/>
    <m/>
    <m/>
    <m/>
    <m/>
  </r>
  <r>
    <n v="25"/>
    <d v="2026-04-26T00:00:00"/>
    <s v="ANAGROCI-01"/>
    <x v="3"/>
    <n v="173"/>
    <n v="32358"/>
    <s v="OK"/>
    <s v="Supplier"/>
    <s v="ANA-02-DRY"/>
    <s v="ANA-02-DRY"/>
    <n v="46090"/>
    <n v="0"/>
    <n v="46090"/>
    <n v="533"/>
    <n v="45557"/>
    <n v="46658"/>
    <n v="2210"/>
    <n v="44448"/>
    <n v="594"/>
    <n v="43854"/>
    <n v="13.6"/>
    <n v="172"/>
    <n v="44.2"/>
    <n v="9.8000000000000007"/>
    <n v="169"/>
    <n v="44.53"/>
    <m/>
    <m/>
    <m/>
    <m/>
    <m/>
    <m/>
    <m/>
    <n v="3.7999999999999992E-2"/>
    <n v="1703"/>
    <n v="3.7381741554536073E-2"/>
    <n v="533"/>
    <n v="594"/>
    <s v="Dryied"/>
    <s v="Scaled"/>
    <s v="BIN"/>
    <m/>
    <m/>
    <m/>
    <m/>
    <s v="PROCESSING"/>
  </r>
  <r>
    <n v="26"/>
    <d v="2026-04-26T00:00:00"/>
    <s v="ANAGROCI-01"/>
    <x v="6"/>
    <n v="172"/>
    <n v="87093"/>
    <s v="OK"/>
    <s v="Supplier"/>
    <s v="ANA-01-DRY"/>
    <s v="ANA-01-DRY"/>
    <n v="40130"/>
    <n v="0"/>
    <n v="40130"/>
    <n v="496"/>
    <n v="39634"/>
    <n v="40789"/>
    <n v="1870"/>
    <n v="38919"/>
    <n v="528"/>
    <n v="38391"/>
    <n v="11.1"/>
    <n v="183"/>
    <n v="41.97"/>
    <n v="10.5"/>
    <n v="176"/>
    <n v="42.68"/>
    <m/>
    <m/>
    <m/>
    <m/>
    <m/>
    <m/>
    <m/>
    <n v="5.9999999999999967E-3"/>
    <n v="1243"/>
    <n v="3.1361961951859516E-2"/>
    <n v="496"/>
    <n v="528"/>
    <s v="Dryied"/>
    <s v="Scaled"/>
    <s v="Issued to Production"/>
    <m/>
    <m/>
    <m/>
    <s v="Issued to Production"/>
    <s v="PROCESSED"/>
  </r>
  <r>
    <n v="27"/>
    <d v="2026-04-27T00:00:00"/>
    <s v="ANAGROCI-01"/>
    <x v="3"/>
    <n v="139"/>
    <n v="68652"/>
    <s v="OK"/>
    <s v="BOUAKE"/>
    <s v="ANA-02-DRY"/>
    <s v="ANA-02-DRY"/>
    <n v="51380"/>
    <n v="0"/>
    <n v="51380"/>
    <n v="656"/>
    <n v="50724"/>
    <n v="51652"/>
    <n v="2295"/>
    <n v="49357"/>
    <n v="660"/>
    <n v="48697"/>
    <n v="10.8"/>
    <n v="174"/>
    <n v="42.06"/>
    <n v="8.4"/>
    <n v="180"/>
    <n v="43.73"/>
    <m/>
    <m/>
    <m/>
    <m/>
    <m/>
    <m/>
    <m/>
    <n v="2.4000000000000004E-2"/>
    <n v="2027"/>
    <n v="3.9961359514233893E-2"/>
    <n v="673"/>
    <n v="660"/>
    <s v="Dryied"/>
    <s v="Scaled"/>
    <s v="BIN"/>
    <m/>
    <m/>
    <m/>
    <m/>
    <s v="PROCESSING"/>
  </r>
  <r>
    <n v="28"/>
    <d v="2026-04-28T00:00:00"/>
    <s v="ANAGROCI-01"/>
    <x v="6"/>
    <n v="184"/>
    <n v="35051"/>
    <s v="OK"/>
    <s v="Supplier"/>
    <s v="ANA-01-DRY"/>
    <s v="ANA-01-DRY"/>
    <n v="48740"/>
    <n v="0"/>
    <n v="48740"/>
    <n v="564"/>
    <n v="48176"/>
    <n v="50339"/>
    <n v="2380"/>
    <n v="47959"/>
    <n v="643"/>
    <n v="47316"/>
    <n v="11.2"/>
    <n v="189"/>
    <n v="42.32"/>
    <n v="9.6999999999999993"/>
    <n v="199"/>
    <n v="42.32"/>
    <m/>
    <m/>
    <m/>
    <m/>
    <m/>
    <m/>
    <m/>
    <n v="1.4999999999999999E-2"/>
    <n v="860"/>
    <n v="1.7851212221853204E-2"/>
    <n v="567"/>
    <n v="643"/>
    <s v="Dryied"/>
    <s v="Scaled"/>
    <s v="Empilage in Production Area"/>
    <m/>
    <m/>
    <m/>
    <s v="Issued to Production"/>
    <s v="PROCESSED"/>
  </r>
  <r>
    <n v="29"/>
    <d v="2026-04-30T00:00:00"/>
    <s v="ANAGROCI-01"/>
    <x v="6"/>
    <n v="193"/>
    <n v="773"/>
    <s v="OK"/>
    <s v="Supplier"/>
    <s v="ANA-01-DRY"/>
    <s v="ANA-01-DRY"/>
    <n v="43680"/>
    <n v="0"/>
    <n v="43680"/>
    <n v="531"/>
    <n v="43149"/>
    <n v="44299"/>
    <n v="1955"/>
    <n v="42344"/>
    <n v="572"/>
    <n v="41772"/>
    <n v="11.8"/>
    <n v="185"/>
    <n v="43.03"/>
    <n v="9.6"/>
    <n v="183"/>
    <n v="43.32"/>
    <n v="0"/>
    <n v="49"/>
    <n v="227"/>
    <n v="10"/>
    <n v="16"/>
    <n v="675"/>
    <n v="17"/>
    <n v="2.2000000000000009E-2"/>
    <n v="1377"/>
    <n v="3.1912674685392474E-2"/>
    <n v="540"/>
    <n v="572"/>
    <s v="Dryied"/>
    <s v="Scaled"/>
    <s v="Empilage in Production Area"/>
    <m/>
    <m/>
    <m/>
    <s v="Issued to Production"/>
    <s v="PROCESSED"/>
  </r>
  <r>
    <n v="30"/>
    <d v="2026-04-30T00:00:00"/>
    <s v="ANAGROCI-01"/>
    <x v="6"/>
    <n v="197"/>
    <n v="14643"/>
    <s v="Direct offload for dry "/>
    <s v="Supplier"/>
    <s v="ANA-01-DRY"/>
    <s v="ANA-01-DRY"/>
    <n v="40480"/>
    <n v="0"/>
    <n v="40480"/>
    <n v="453"/>
    <n v="40027"/>
    <n v="40602"/>
    <n v="1650"/>
    <n v="38952"/>
    <n v="536"/>
    <n v="38416"/>
    <n v="11.8"/>
    <n v="160"/>
    <n v="43.12"/>
    <n v="10.4"/>
    <n v="164"/>
    <n v="43.21"/>
    <n v="4"/>
    <n v="20"/>
    <n v="230"/>
    <n v="12"/>
    <n v="18"/>
    <n v="675"/>
    <n v="36"/>
    <n v="1.4000000000000004E-2"/>
    <n v="1611"/>
    <n v="4.0247832712918777E-2"/>
    <n v="465"/>
    <n v="536"/>
    <s v="Dryied"/>
    <s v="Scaled"/>
    <s v="Empilage in Production Area"/>
    <m/>
    <m/>
    <m/>
    <s v="Issued to Production"/>
    <s v="PROCESSED"/>
  </r>
  <r>
    <n v="31"/>
    <d v="2026-05-03T00:00:00"/>
    <s v="ANAGROCI-01"/>
    <x v="6"/>
    <n v="178"/>
    <n v="82154"/>
    <m/>
    <s v="BOUAKE"/>
    <s v="ANA-01-DRY"/>
    <s v="ANA-01-DRY"/>
    <n v="46700"/>
    <n v="0"/>
    <n v="46700"/>
    <n v="576"/>
    <n v="46124"/>
    <n v="46125"/>
    <n v="1680"/>
    <n v="44445"/>
    <n v="584"/>
    <n v="43861"/>
    <n v="12.1"/>
    <n v="171"/>
    <n v="42.32"/>
    <n v="8.9"/>
    <n v="174"/>
    <n v="42.5"/>
    <m/>
    <m/>
    <m/>
    <m/>
    <m/>
    <m/>
    <m/>
    <n v="3.1999999999999994E-2"/>
    <n v="2263"/>
    <n v="4.9063394328332323E-2"/>
    <n v="530"/>
    <n v="584"/>
    <s v="Dryied"/>
    <s v="Scaled"/>
    <s v="Issued to Production"/>
    <d v="2026-08-05T00:00:00"/>
    <n v="10.1"/>
    <n v="8.9"/>
    <s v="Issued to Production"/>
    <s v="PROCESSED"/>
  </r>
  <r>
    <n v="32"/>
    <d v="2026-05-03T00:00:00"/>
    <s v="ANAGROCI-01"/>
    <x v="3"/>
    <n v="160"/>
    <n v="82124"/>
    <s v="OK"/>
    <s v="BOUAKE"/>
    <s v="ANA-02-DRY"/>
    <s v="ANA-02-DRY"/>
    <n v="54180"/>
    <n v="0"/>
    <n v="54180"/>
    <n v="646"/>
    <n v="53534"/>
    <n v="55082"/>
    <n v="2044"/>
    <n v="53038"/>
    <n v="701"/>
    <n v="52337"/>
    <n v="15.4"/>
    <n v="158"/>
    <n v="43.56"/>
    <n v="10.5"/>
    <n v="170"/>
    <n v="44.26"/>
    <n v="0"/>
    <n v="27"/>
    <n v="244"/>
    <n v="10"/>
    <n v="4"/>
    <n v="674"/>
    <n v="37"/>
    <n v="4.9000000000000002E-2"/>
    <n v="1197"/>
    <n v="2.2359621922516532E-2"/>
    <n v="631"/>
    <n v="701"/>
    <s v="Dryied"/>
    <s v="Scaled"/>
    <s v="BIN"/>
    <m/>
    <m/>
    <m/>
    <m/>
    <s v="PROCESSING"/>
  </r>
  <r>
    <n v="33"/>
    <d v="2026-05-03T00:00:00"/>
    <s v="ANAGROCI-01"/>
    <x v="3"/>
    <n v="177"/>
    <n v="82914"/>
    <s v="OK"/>
    <s v="BOUAKE"/>
    <s v="ANA-02-DRY"/>
    <s v="ANA-02-DRY"/>
    <n v="40980"/>
    <n v="0"/>
    <n v="40980"/>
    <n v="507"/>
    <n v="40473"/>
    <n v="39521"/>
    <n v="1470"/>
    <n v="38051"/>
    <n v="491"/>
    <n v="37560"/>
    <n v="13.9"/>
    <n v="166"/>
    <n v="42.41"/>
    <n v="10.6"/>
    <n v="176"/>
    <n v="44.35"/>
    <m/>
    <m/>
    <m/>
    <m/>
    <m/>
    <m/>
    <m/>
    <n v="3.3000000000000008E-2"/>
    <n v="2913"/>
    <n v="7.1973908531613673E-2"/>
    <n v="521"/>
    <n v="491"/>
    <s v="Dryied"/>
    <s v="Scaled"/>
    <s v="BIN"/>
    <d v="2026-10-05T00:00:00"/>
    <n v="10.6"/>
    <n v="9"/>
    <s v="Need re drying -Calibrator rejected to accept the caro due to high moisture"/>
    <s v="PROCESSING"/>
  </r>
  <r>
    <n v="34"/>
    <d v="2026-05-04T00:00:00"/>
    <s v="ANAGROCI-01"/>
    <x v="6"/>
    <n v="179"/>
    <n v="66919"/>
    <m/>
    <s v="BOUAKE"/>
    <s v="ANA-01-DRY"/>
    <s v="ANA-01-DRY"/>
    <n v="42480"/>
    <n v="0"/>
    <n v="42480"/>
    <n v="577"/>
    <n v="41903"/>
    <n v="42599"/>
    <n v="1633"/>
    <n v="40966"/>
    <n v="547"/>
    <n v="40419"/>
    <n v="10.5"/>
    <n v="184"/>
    <n v="42.41"/>
    <n v="8.5"/>
    <n v="188"/>
    <n v="43.03"/>
    <n v="2"/>
    <n v="22"/>
    <n v="234"/>
    <n v="12"/>
    <n v="10"/>
    <n v="681"/>
    <n v="34"/>
    <n v="0.02"/>
    <n v="1484"/>
    <n v="3.5415125408681955E-2"/>
    <n v="599"/>
    <n v="547"/>
    <s v="Dryied"/>
    <s v="Scaled"/>
    <s v="Empilage in Production Area"/>
    <m/>
    <m/>
    <m/>
    <s v="Issued to Production"/>
    <s v="PROCESSED"/>
  </r>
  <r>
    <n v="35"/>
    <d v="2026-05-05T00:00:00"/>
    <s v="ANAGROCI-01"/>
    <x v="3"/>
    <n v="222"/>
    <n v="36093"/>
    <s v="OK"/>
    <s v="Supplier"/>
    <s v="ANA-02-DRY"/>
    <s v="ANA-02-DRY"/>
    <n v="50440"/>
    <n v="0"/>
    <n v="50440"/>
    <n v="579"/>
    <n v="49861"/>
    <n v="49632"/>
    <n v="1950"/>
    <n v="47682"/>
    <n v="611"/>
    <n v="47071"/>
    <n v="14.7"/>
    <n v="173"/>
    <n v="43.65"/>
    <n v="9.6"/>
    <n v="167"/>
    <n v="44.44"/>
    <m/>
    <m/>
    <m/>
    <m/>
    <m/>
    <m/>
    <m/>
    <n v="5.0999999999999997E-2"/>
    <n v="2790"/>
    <n v="5.5955556446922447E-2"/>
    <n v="597"/>
    <n v="611"/>
    <s v="Dryied"/>
    <s v="Scaled"/>
    <s v="BIN"/>
    <m/>
    <m/>
    <m/>
    <m/>
    <s v="PROCESSING"/>
  </r>
  <r>
    <n v="36"/>
    <d v="2026-05-12T00:00:00"/>
    <s v="ANAGROCI-01"/>
    <x v="8"/>
    <s v="BIN-03B"/>
    <n v="82484"/>
    <s v="OK"/>
    <s v="BIN-03B"/>
    <s v="ANA-01-DRY"/>
    <s v="ANA-01-DRY"/>
    <n v="48780"/>
    <n v="1460"/>
    <n v="47320"/>
    <n v="597"/>
    <n v="46723"/>
    <n v="47936"/>
    <n v="1800"/>
    <n v="46136"/>
    <n v="605"/>
    <n v="45531"/>
    <n v="11"/>
    <m/>
    <m/>
    <n v="9"/>
    <n v="168"/>
    <n v="42.76"/>
    <m/>
    <m/>
    <m/>
    <m/>
    <m/>
    <m/>
    <m/>
    <n v="0.02"/>
    <n v="1192"/>
    <n v="2.55120604413244E-2"/>
    <n v="597"/>
    <n v="605"/>
    <s v="Dryied"/>
    <s v="Scaled"/>
    <s v="Issued to Production"/>
    <m/>
    <m/>
    <m/>
    <s v="Issued to Production"/>
    <s v="PROCESSED"/>
  </r>
  <r>
    <n v="37"/>
    <d v="2026-05-13T00:00:00"/>
    <s v="ANAGROCI-01"/>
    <x v="8"/>
    <s v="BIN-03B"/>
    <n v="64970"/>
    <s v="OK"/>
    <s v="BIN-03B"/>
    <s v="ANA-01-DRY"/>
    <s v="ANA-01-DRY"/>
    <n v="46287"/>
    <n v="1391"/>
    <n v="44896"/>
    <n v="572"/>
    <n v="44324"/>
    <n v="45644"/>
    <n v="1771"/>
    <n v="43873"/>
    <n v="575"/>
    <n v="43298"/>
    <n v="11"/>
    <m/>
    <m/>
    <n v="9"/>
    <n v="168"/>
    <n v="42.76"/>
    <m/>
    <m/>
    <m/>
    <m/>
    <m/>
    <m/>
    <m/>
    <n v="0.02"/>
    <n v="1026"/>
    <n v="2.3147730349246456E-2"/>
    <n v="572"/>
    <n v="575"/>
    <s v="Dryied"/>
    <s v="Scaled"/>
    <s v="Issued to Production"/>
    <m/>
    <m/>
    <m/>
    <s v="Issued to Production"/>
    <s v="PROCESSED"/>
  </r>
  <r>
    <n v="38"/>
    <d v="2026-05-15T00:00:00"/>
    <s v="ANAGROCI-01"/>
    <x v="8"/>
    <s v="BIN-03B"/>
    <n v="77650"/>
    <s v="OK"/>
    <s v="BIN-03B"/>
    <s v="ANA-01-DRY"/>
    <s v="ANA-01-DRY"/>
    <n v="51884"/>
    <n v="1584"/>
    <n v="50300"/>
    <n v="660"/>
    <n v="49640"/>
    <n v="50879"/>
    <n v="1971"/>
    <n v="48908"/>
    <n v="638"/>
    <n v="48270"/>
    <n v="12"/>
    <m/>
    <m/>
    <n v="8.5"/>
    <n v="172"/>
    <n v="42.15"/>
    <m/>
    <m/>
    <m/>
    <m/>
    <m/>
    <m/>
    <m/>
    <n v="3.5000000000000003E-2"/>
    <n v="1370"/>
    <n v="2.7598710717163577E-2"/>
    <n v="660"/>
    <n v="638"/>
    <s v="Dryied"/>
    <s v="Scaled"/>
    <s v="Issued to Production"/>
    <m/>
    <m/>
    <m/>
    <s v="Issued to Production"/>
    <s v="PROCESSED"/>
  </r>
  <r>
    <n v="39"/>
    <d v="2026-05-18T00:00:00"/>
    <s v="ANAGROCI-01"/>
    <x v="6"/>
    <n v="243"/>
    <n v="31510"/>
    <m/>
    <s v="Supplier"/>
    <s v="ANA-01-DRY"/>
    <s v="ANA-01-DRY"/>
    <n v="43350"/>
    <n v="0"/>
    <n v="43350"/>
    <n v="518"/>
    <n v="42832"/>
    <n v="44309"/>
    <n v="1728"/>
    <n v="42581"/>
    <n v="566"/>
    <n v="42015"/>
    <n v="9.8000000000000007"/>
    <n v="168"/>
    <n v="43.12"/>
    <n v="8.5"/>
    <n v="173"/>
    <n v="43.47"/>
    <m/>
    <m/>
    <m/>
    <m/>
    <m/>
    <m/>
    <m/>
    <n v="1.3000000000000006E-2"/>
    <n v="817"/>
    <n v="1.9074523720582742E-2"/>
    <n v="544"/>
    <n v="566"/>
    <s v="Dryied"/>
    <s v="Scaled"/>
    <s v="Issued to Production"/>
    <m/>
    <m/>
    <m/>
    <s v="Issued to Production"/>
    <s v="PROCESSED"/>
  </r>
  <r>
    <n v="40"/>
    <d v="2026-05-19T00:00:00"/>
    <s v="ANAGROCI-01"/>
    <x v="8"/>
    <s v="BIN-03B"/>
    <s v="82488/82155"/>
    <s v="OK"/>
    <s v="BIN-03B"/>
    <s v="ANA-01-DRY"/>
    <s v="ANA-01-DRY"/>
    <n v="105079"/>
    <n v="3330"/>
    <n v="101749"/>
    <n v="1322"/>
    <n v="100427"/>
    <n v="103479.6"/>
    <n v="3985.2"/>
    <n v="99494.400000000009"/>
    <n v="1323"/>
    <n v="98171.400000000009"/>
    <n v="11.1"/>
    <m/>
    <m/>
    <n v="8.5"/>
    <n v="172"/>
    <n v="42.06"/>
    <m/>
    <m/>
    <m/>
    <m/>
    <m/>
    <m/>
    <m/>
    <n v="2.5999999999999995E-2"/>
    <n v="2255.5999999999913"/>
    <n v="2.2460095392673199E-2"/>
    <n v="1322"/>
    <n v="1323"/>
    <s v="Dryied"/>
    <s v="Scaled"/>
    <s v="Issued to Production"/>
    <m/>
    <m/>
    <m/>
    <s v="Issued to Production"/>
    <s v="PROCESSED"/>
  </r>
  <r>
    <n v="41"/>
    <d v="2026-05-21T00:00:00"/>
    <s v="ANAGROCI-01"/>
    <x v="9"/>
    <n v="244"/>
    <n v="31512"/>
    <s v="OK"/>
    <s v="Supplier"/>
    <s v="ANA-04-DRY"/>
    <s v="ANA-04-DRY"/>
    <n v="39750"/>
    <n v="0"/>
    <n v="39750"/>
    <n v="526"/>
    <n v="39224"/>
    <n v="40479"/>
    <n v="1568"/>
    <n v="38911"/>
    <n v="506"/>
    <n v="38405"/>
    <n v="10.5"/>
    <n v="179"/>
    <n v="42.24"/>
    <n v="8.6999999999999993"/>
    <n v="185"/>
    <n v="42.24"/>
    <m/>
    <m/>
    <m/>
    <m/>
    <m/>
    <m/>
    <m/>
    <n v="1.8000000000000006E-2"/>
    <n v="819"/>
    <n v="2.0880073424434022E-2"/>
    <n v="560"/>
    <n v="506"/>
    <s v="Dryied"/>
    <s v="Scaled"/>
    <s v="BIN"/>
    <m/>
    <m/>
    <m/>
    <m/>
    <m/>
  </r>
  <r>
    <n v="42"/>
    <d v="2026-05-21T00:00:00"/>
    <s v="ANAGROCI-01"/>
    <x v="9"/>
    <n v="245"/>
    <n v="31511"/>
    <s v="OK"/>
    <s v="Supplier"/>
    <s v="ANA-04-DRY"/>
    <s v="ANA-04-DRY"/>
    <n v="37920"/>
    <n v="0"/>
    <n v="37920"/>
    <n v="417"/>
    <n v="37503"/>
    <n v="38661"/>
    <n v="1440"/>
    <n v="37221"/>
    <n v="504"/>
    <n v="36717"/>
    <n v="11"/>
    <n v="166"/>
    <n v="41.53"/>
    <n v="8.4"/>
    <n v="170"/>
    <n v="42.41"/>
    <m/>
    <m/>
    <m/>
    <m/>
    <m/>
    <m/>
    <m/>
    <n v="2.5999999999999995E-2"/>
    <n v="786"/>
    <n v="2.0958323334133271E-2"/>
    <n v="471"/>
    <n v="504"/>
    <s v="Dryied"/>
    <s v="Scaled"/>
    <s v="BIN"/>
    <m/>
    <m/>
    <m/>
    <m/>
    <m/>
  </r>
  <r>
    <n v="43"/>
    <d v="2026-05-22T00:00:00"/>
    <s v="ANAGROCI-01"/>
    <x v="9"/>
    <n v="246"/>
    <n v="35056"/>
    <s v="OK"/>
    <s v="Supplier"/>
    <s v="ANA-04-DRY"/>
    <s v="ANA-04-DRY"/>
    <n v="45840"/>
    <n v="0"/>
    <n v="45840"/>
    <n v="476"/>
    <n v="45364"/>
    <n v="46869"/>
    <n v="1805"/>
    <n v="45064"/>
    <n v="584"/>
    <n v="44480"/>
    <n v="10.8"/>
    <n v="180"/>
    <n v="42.15"/>
    <n v="8.6999999999999993"/>
    <n v="187"/>
    <n v="42.41"/>
    <m/>
    <m/>
    <m/>
    <m/>
    <m/>
    <m/>
    <m/>
    <n v="2.1000000000000015E-2"/>
    <n v="884"/>
    <n v="1.9486817740939952E-2"/>
    <n v="521"/>
    <n v="584"/>
    <s v="Dryied"/>
    <s v="Scaled"/>
    <s v="BIN"/>
    <m/>
    <m/>
    <m/>
    <m/>
    <m/>
  </r>
  <r>
    <n v="44"/>
    <d v="2026-05-22T00:00:00"/>
    <s v="ANAGROCI-01"/>
    <x v="8"/>
    <s v="BIN-03B"/>
    <n v="51237"/>
    <s v="OK"/>
    <s v="BIN-03B"/>
    <s v="ANA-01-DRY"/>
    <s v="ANA-01-DRY"/>
    <n v="46553"/>
    <n v="5930"/>
    <n v="40623"/>
    <n v="540"/>
    <n v="40083"/>
    <n v="41509"/>
    <n v="1590"/>
    <n v="39919"/>
    <n v="535"/>
    <n v="39384"/>
    <n v="10.8"/>
    <n v="178"/>
    <n v="42.24"/>
    <n v="8.8000000000000007"/>
    <n v="172"/>
    <n v="42.76"/>
    <n v="0"/>
    <n v="40"/>
    <n v="230"/>
    <n v="11"/>
    <n v="14"/>
    <n v="687"/>
    <n v="13"/>
    <n v="0.02"/>
    <n v="699"/>
    <n v="1.7438814459995511E-2"/>
    <n v="540"/>
    <n v="535"/>
    <s v="Dryied"/>
    <s v="Scaled"/>
    <s v="Issued to Production"/>
    <m/>
    <m/>
    <m/>
    <s v="Issued to Production"/>
    <s v="PROCESSED"/>
  </r>
  <r>
    <n v="45"/>
    <d v="2026-05-25T00:00:00"/>
    <s v="ANAGROCI-01"/>
    <x v="8"/>
    <s v="BIN-03B"/>
    <n v="82120"/>
    <s v="OK"/>
    <s v="BIN-03B"/>
    <s v="ANA-01-DRY"/>
    <s v="ANA-01-DRY"/>
    <n v="78459"/>
    <n v="2490"/>
    <n v="75969"/>
    <n v="1001"/>
    <n v="74968"/>
    <n v="77183"/>
    <n v="2902"/>
    <n v="74281"/>
    <n v="998"/>
    <n v="73283"/>
    <n v="10.5"/>
    <n v="174"/>
    <n v="42.24"/>
    <n v="8.8000000000000007"/>
    <n v="171"/>
    <n v="42.59"/>
    <n v="3"/>
    <n v="30"/>
    <n v="227"/>
    <n v="19"/>
    <n v="10"/>
    <n v="670"/>
    <n v="36"/>
    <n v="1.6999999999999994E-2"/>
    <n v="1685"/>
    <n v="2.2476256536122077E-2"/>
    <n v="1001"/>
    <n v="998"/>
    <s v="Dryied"/>
    <s v="Scaled"/>
    <s v="Issued to Production"/>
    <m/>
    <m/>
    <m/>
    <s v="Issued to Production"/>
    <s v="PROCESSED"/>
  </r>
  <r>
    <n v="46"/>
    <d v="2026-05-26T00:00:00"/>
    <s v="ANAGROCI-01"/>
    <x v="8"/>
    <s v="BIN-03B"/>
    <n v="82869"/>
    <s v="OK"/>
    <s v="BIN-03B"/>
    <s v="ANA-01-DRY"/>
    <s v="ANA-01-DRY"/>
    <n v="32489"/>
    <n v="1016"/>
    <n v="31473"/>
    <n v="414"/>
    <n v="31059"/>
    <n v="32297"/>
    <n v="1394"/>
    <n v="30903"/>
    <n v="414"/>
    <n v="30489"/>
    <n v="10.1"/>
    <n v="174"/>
    <n v="42.15"/>
    <n v="8.6999999999999993"/>
    <n v="175"/>
    <n v="42.5"/>
    <n v="0"/>
    <n v="36"/>
    <n v="223"/>
    <n v="17"/>
    <n v="19"/>
    <n v="659"/>
    <n v="41"/>
    <n v="1.4000000000000004E-2"/>
    <n v="570"/>
    <n v="1.8352168453588332E-2"/>
    <n v="414"/>
    <n v="414"/>
    <s v="Dryied "/>
    <s v="Scaled"/>
    <s v="Issued to Production"/>
    <m/>
    <m/>
    <m/>
    <s v="Issued to Production"/>
    <s v="PROCESSED"/>
  </r>
  <r>
    <n v="47"/>
    <d v="2026-05-27T00:00:00"/>
    <s v="ANAGROCI-01"/>
    <x v="8"/>
    <s v="BIN-03B"/>
    <n v="82153"/>
    <s v="OK"/>
    <s v="BIN-03B"/>
    <s v="ANA-01-DRY"/>
    <s v="ANA-01-DRY"/>
    <n v="50394"/>
    <n v="1523.9"/>
    <n v="48870.1"/>
    <n v="638"/>
    <n v="48232.1"/>
    <n v="49948"/>
    <n v="1966"/>
    <n v="47982"/>
    <n v="645"/>
    <n v="47337"/>
    <n v="10.5"/>
    <n v="177"/>
    <n v="42.24"/>
    <n v="8.8000000000000007"/>
    <n v="174"/>
    <n v="42.41"/>
    <n v="0"/>
    <n v="37"/>
    <n v="226"/>
    <n v="14"/>
    <n v="15"/>
    <n v="671"/>
    <n v="32"/>
    <n v="1.6999999999999994E-2"/>
    <n v="895.09999999999854"/>
    <n v="1.8558180133147813E-2"/>
    <n v="638"/>
    <n v="645"/>
    <s v="Dryied "/>
    <s v="Scaled"/>
    <s v="Issued to Production"/>
    <m/>
    <m/>
    <m/>
    <s v="Issued to Production"/>
    <s v="PROCESSED"/>
  </r>
  <r>
    <n v="48"/>
    <d v="2026-05-28T00:00:00"/>
    <s v="ANAGROCI-01"/>
    <x v="6"/>
    <n v="247"/>
    <n v="87036"/>
    <s v="OK"/>
    <s v="Supplier"/>
    <s v="ANA-03B-DRY"/>
    <s v="ANA-03B-DRY"/>
    <n v="55860"/>
    <n v="0"/>
    <n v="55860"/>
    <n v="690"/>
    <n v="55170"/>
    <n v="56876"/>
    <n v="2215"/>
    <n v="54661"/>
    <n v="751"/>
    <n v="53910"/>
    <n v="10.4"/>
    <n v="175"/>
    <n v="41.88"/>
    <n v="8.9"/>
    <n v="183"/>
    <n v="41.09"/>
    <n v="0"/>
    <n v="49"/>
    <n v="220"/>
    <n v="12"/>
    <n v="14"/>
    <n v="682"/>
    <n v="17"/>
    <n v="1.4999999999999999E-2"/>
    <n v="1260"/>
    <n v="2.2838499184339316E-2"/>
    <n v="734"/>
    <n v="751"/>
    <s v="Dried"/>
    <s v="Scaled"/>
    <s v="BIN IN CALIBRATION AREA"/>
    <m/>
    <m/>
    <m/>
    <s v="BIN IN CALIBRATION AREA"/>
    <s v="Issued to calibration dated 02/06/2026. Returned by Calibration 03/06/2026."/>
  </r>
  <r>
    <n v="49"/>
    <d v="2026-05-29T00:00:00"/>
    <s v="ANAGROCI-01"/>
    <x v="8"/>
    <s v="BIN-03B"/>
    <s v="BIN-03B"/>
    <s v="OK"/>
    <s v="BIN-03B"/>
    <s v="ANA-03B-DRY"/>
    <s v="ANA-03B-DRY"/>
    <n v="69877"/>
    <n v="2206"/>
    <n v="67671"/>
    <n v="893"/>
    <n v="66778"/>
    <n v="68376"/>
    <n v="2668"/>
    <n v="65708"/>
    <n v="912"/>
    <n v="64796"/>
    <n v="10.199999999999999"/>
    <n v="174"/>
    <n v="42.65"/>
    <n v="8.6"/>
    <n v="170"/>
    <n v="43.03"/>
    <n v="2"/>
    <n v="28"/>
    <n v="230"/>
    <n v="18"/>
    <n v="10"/>
    <n v="678"/>
    <n v="26"/>
    <n v="1.5999999999999997E-2"/>
    <n v="1982"/>
    <n v="2.9680433675761477E-2"/>
    <n v="893"/>
    <n v="912"/>
    <s v="Dried"/>
    <s v="Scaled"/>
    <s v="BIN IN CALIBRATION AREA"/>
    <m/>
    <m/>
    <m/>
    <m/>
    <m/>
  </r>
  <r>
    <n v="50"/>
    <d v="2026-05-30T00:00:00"/>
    <s v="ANAGROCI-01"/>
    <x v="8"/>
    <s v="BIN-03B"/>
    <s v="BIN-03B"/>
    <s v="OK"/>
    <s v="BIN-03B"/>
    <s v="ANA-01-DRY"/>
    <s v="ANA-01-DRY"/>
    <n v="69809"/>
    <n v="2206"/>
    <n v="67603"/>
    <n v="898"/>
    <n v="66705"/>
    <n v="69008"/>
    <n v="2666"/>
    <n v="66342"/>
    <n v="890"/>
    <n v="65452"/>
    <n v="10.7"/>
    <n v="175"/>
    <n v="42.06"/>
    <n v="8.3000000000000007"/>
    <n v="177"/>
    <n v="41.53"/>
    <n v="2"/>
    <n v="40"/>
    <n v="217"/>
    <n v="17"/>
    <n v="20"/>
    <n v="665"/>
    <n v="35"/>
    <n v="2.3999999999999987E-2"/>
    <n v="1253"/>
    <n v="1.8784199085525824E-2"/>
    <n v="898"/>
    <n v="890"/>
    <s v="Dried"/>
    <s v="Scaled"/>
    <s v="Issued to Production"/>
    <m/>
    <m/>
    <m/>
    <s v="Issued to Production"/>
    <s v="PROCESSED"/>
  </r>
  <r>
    <n v="51"/>
    <d v="2026-06-01T00:00:00"/>
    <s v="ANAGROCI-01"/>
    <x v="8"/>
    <s v="BIN-03B"/>
    <s v="BIN-03B"/>
    <s v="OK"/>
    <s v="BIN-03B"/>
    <s v="ANA-03B-DRY"/>
    <s v="ANA-03B-DRY"/>
    <n v="52187"/>
    <n v="1671"/>
    <n v="50516"/>
    <n v="660"/>
    <n v="49856"/>
    <n v="50641.7"/>
    <n v="1969"/>
    <n v="48672.7"/>
    <n v="740"/>
    <n v="47932.7"/>
    <n v="11.2"/>
    <n v="170"/>
    <n v="41.27"/>
    <n v="8.6999999999999993"/>
    <n v="170"/>
    <n v="41.27"/>
    <n v="0"/>
    <n v="48"/>
    <n v="222"/>
    <n v="10"/>
    <n v="14"/>
    <n v="678"/>
    <n v="23"/>
    <n v="2.5000000000000001E-2"/>
    <n v="1923.3000000000029"/>
    <n v="3.8577102053915333E-2"/>
    <n v="660"/>
    <n v="740"/>
    <s v="Dried"/>
    <s v="Scaled"/>
    <s v="BIN IN CALIBRATION AREA"/>
    <m/>
    <m/>
    <m/>
    <s v="BIN IN CALIBRATION AREA"/>
    <m/>
  </r>
  <r>
    <n v="52"/>
    <d v="2026-06-02T00:00:00"/>
    <s v="ANAGROCI-01"/>
    <x v="10"/>
    <s v="BIN-015"/>
    <n v="87130"/>
    <s v="Direct offload for dry "/>
    <s v="Supplier"/>
    <s v="ANA-03B-DRY"/>
    <s v="ANA-03B-DRY"/>
    <n v="56200"/>
    <n v="0"/>
    <n v="56200"/>
    <n v="724"/>
    <n v="55476"/>
    <n v="57460"/>
    <n v="2240"/>
    <n v="55220"/>
    <n v="772"/>
    <n v="54448"/>
    <n v="10.4"/>
    <n v="164"/>
    <n v="41.88"/>
    <n v="8.9"/>
    <n v="174"/>
    <n v="41.97"/>
    <n v="0"/>
    <n v="39"/>
    <n v="219"/>
    <n v="21"/>
    <n v="17"/>
    <n v="688"/>
    <n v="15"/>
    <n v="1.4999999999999999E-2"/>
    <n v="1028"/>
    <n v="1.8530535727161294E-2"/>
    <n v="740"/>
    <n v="772"/>
    <s v="Dried"/>
    <s v="Scaled"/>
    <s v="BIN IN CALIBRATION AREA"/>
    <m/>
    <m/>
    <m/>
    <s v="BIN IN CALIBRATION AREA"/>
    <m/>
  </r>
  <r>
    <n v="53"/>
    <d v="2026-06-03T00:00:00"/>
    <s v="ANAGROCI-01"/>
    <x v="8"/>
    <s v="BIN-03B"/>
    <s v="BIN-03B"/>
    <s v="OK"/>
    <s v="BIN-03B"/>
    <s v="ANA-03B-DRY"/>
    <s v="ANA-03B-DRY"/>
    <n v="57551"/>
    <n v="1801"/>
    <n v="55750"/>
    <n v="750"/>
    <n v="55000"/>
    <n v="57075"/>
    <n v="2285"/>
    <n v="54790"/>
    <n v="749"/>
    <n v="54041"/>
    <n v="10.199999999999999"/>
    <n v="175"/>
    <n v="40.65"/>
    <n v="8.8000000000000007"/>
    <n v="180"/>
    <n v="40.82"/>
    <n v="0"/>
    <n v="42"/>
    <n v="214"/>
    <n v="19"/>
    <n v="16"/>
    <n v="686"/>
    <n v="18"/>
    <n v="1.3999999999999986E-2"/>
    <n v="959"/>
    <n v="1.7436363636363635E-2"/>
    <n v="750"/>
    <n v="749"/>
    <s v="Dried"/>
    <s v="Scaled"/>
    <s v="BIN IN CALIBRATION AREA"/>
    <m/>
    <m/>
    <m/>
    <m/>
    <m/>
  </r>
  <r>
    <n v="54"/>
    <d v="2026-06-05T00:00:00"/>
    <s v="ANAGROCI-01"/>
    <x v="11"/>
    <s v="BIN-005"/>
    <s v="BIN-005"/>
    <m/>
    <s v="BIN-005"/>
    <s v="ANA-05A-DRY"/>
    <s v="ANA-05A-DRY"/>
    <n v="61767"/>
    <n v="2475"/>
    <n v="59292"/>
    <n v="780"/>
    <n v="58512"/>
    <n v="60785.2"/>
    <n v="2349.1999999999998"/>
    <n v="58436"/>
    <n v="785"/>
    <n v="57651"/>
    <n v="9.8000000000000007"/>
    <n v="180"/>
    <n v="42.24"/>
    <n v="8.5"/>
    <n v="187"/>
    <n v="42.76"/>
    <n v="2"/>
    <n v="36"/>
    <n v="226"/>
    <n v="14"/>
    <n v="19"/>
    <n v="677"/>
    <n v="20"/>
    <n v="1.3000000000000006E-2"/>
    <n v="861"/>
    <n v="1.4714930270713699E-2"/>
    <n v="780"/>
    <n v="785"/>
    <s v="Dried"/>
    <s v="Scaled"/>
    <s v="BIN IN CALIBRATION AREA"/>
    <m/>
    <m/>
    <m/>
    <m/>
    <m/>
  </r>
  <r>
    <n v="55"/>
    <d v="2026-06-06T00:00:00"/>
    <s v="ANAGROCI-01"/>
    <x v="11"/>
    <s v="BIN-005"/>
    <s v="BIN-005"/>
    <m/>
    <s v="BIN-005"/>
    <s v="ANA-05A-DRY"/>
    <s v="ANA-05A-DRY"/>
    <n v="51163"/>
    <n v="1651"/>
    <n v="49512"/>
    <n v="660"/>
    <n v="48852"/>
    <n v="50909.8"/>
    <n v="2032.6"/>
    <n v="48877.200000000004"/>
    <n v="656"/>
    <n v="48221.200000000004"/>
    <n v="9.8000000000000007"/>
    <n v="181"/>
    <n v="43.47"/>
    <n v="7.9"/>
    <n v="177"/>
    <n v="43.73"/>
    <n v="0"/>
    <n v="34"/>
    <n v="233"/>
    <n v="13"/>
    <n v="17"/>
    <n v="689"/>
    <n v="9"/>
    <n v="1.9000000000000003E-2"/>
    <n v="630.79999999999563"/>
    <n v="1.291247031851297E-2"/>
    <n v="660"/>
    <n v="656"/>
    <s v="Dried"/>
    <s v="Scaled"/>
    <s v="BIN IN CALIBRATION AREA"/>
    <m/>
    <m/>
    <m/>
    <m/>
    <m/>
  </r>
  <r>
    <n v="56"/>
    <d v="2026-06-08T00:00:00"/>
    <s v="ANAGROCI-01"/>
    <x v="11"/>
    <s v="BIN-005"/>
    <s v="BIN-005"/>
    <m/>
    <s v="BIN-005"/>
    <s v="ANA-05A-DRY"/>
    <s v="ANA-05A-DRY"/>
    <n v="56895"/>
    <n v="1876"/>
    <n v="55019"/>
    <n v="750"/>
    <n v="54269"/>
    <n v="54217"/>
    <n v="0"/>
    <n v="54217"/>
    <n v="641"/>
    <n v="53576"/>
    <n v="8.9"/>
    <n v="186"/>
    <n v="42.32"/>
    <n v="8.1999999999999993"/>
    <n v="184"/>
    <n v="42.59"/>
    <n v="2"/>
    <n v="30"/>
    <n v="227"/>
    <n v="16"/>
    <n v="13"/>
    <n v="675"/>
    <n v="32"/>
    <n v="7.0000000000000106E-3"/>
    <n v="693"/>
    <n v="1.276972120363375E-2"/>
    <n v="750"/>
    <n v="641"/>
    <s v="Dried"/>
    <s v="Scaled"/>
    <s v="ISSUE TO CALIBRATION"/>
    <m/>
    <m/>
    <m/>
    <m/>
    <s v="Issued 43436.5 Kg/ 10779kg Staked (10/06/2026)"/>
  </r>
  <r>
    <n v="57"/>
    <d v="2026-06-09T00:00:00"/>
    <s v="ANAGROCI-01"/>
    <x v="11"/>
    <s v="BIN-005"/>
    <s v="BIN-005"/>
    <m/>
    <s v="BIN-005"/>
    <s v="ANA-05A-DRY"/>
    <s v="ANA-05A-DRY"/>
    <n v="67330.3"/>
    <n v="2267"/>
    <n v="65063.3"/>
    <n v="930"/>
    <n v="64133.3"/>
    <n v="66705"/>
    <n v="2568"/>
    <n v="64137"/>
    <n v="943"/>
    <n v="63194"/>
    <n v="8.5"/>
    <n v="188"/>
    <n v="42.68"/>
    <n v="7.8"/>
    <n v="182"/>
    <n v="43.65"/>
    <n v="2"/>
    <n v="36"/>
    <n v="237"/>
    <n v="9"/>
    <n v="12"/>
    <n v="686"/>
    <n v="13"/>
    <n v="1.9000000000000003E-2"/>
    <n v="939.30000000000291"/>
    <n v="1.4646057508345942E-2"/>
    <n v="930"/>
    <n v="395"/>
    <s v="Dried"/>
    <s v="Scaled"/>
    <s v="ISSUE TO CALIBRATION "/>
    <m/>
    <m/>
    <m/>
    <m/>
    <m/>
  </r>
  <r>
    <n v="58"/>
    <d v="2026-06-10T00:00:00"/>
    <s v="ANAGROCI-01"/>
    <x v="11"/>
    <s v="BIN-005"/>
    <s v="BIN-005"/>
    <m/>
    <s v="BIN-005"/>
    <s v="ANA-05A-DRY"/>
    <s v="ANA-05A-DRY"/>
    <n v="28436.400000000001"/>
    <n v="935"/>
    <n v="27501.4"/>
    <n v="390"/>
    <n v="27111.4"/>
    <n v="27973"/>
    <n v="1077"/>
    <n v="26896"/>
    <n v="395"/>
    <n v="26501"/>
    <n v="8.5"/>
    <n v="188"/>
    <n v="42.68"/>
    <n v="7.8"/>
    <n v="182"/>
    <n v="43.65"/>
    <n v="2"/>
    <n v="36"/>
    <n v="237"/>
    <n v="9"/>
    <n v="12"/>
    <n v="686"/>
    <n v="13"/>
    <n v="1.9000000000000003E-2"/>
    <n v="610.40000000000146"/>
    <n v="2.2514514189602951E-2"/>
    <n v="390"/>
    <n v="943"/>
    <s v="Dried"/>
    <s v="Scaled"/>
    <m/>
    <m/>
    <m/>
    <m/>
    <m/>
    <m/>
  </r>
  <r>
    <n v="59"/>
    <d v="2026-06-11T00:00:00"/>
    <s v="ANAGROCI-01"/>
    <x v="11"/>
    <s v="BIN-005"/>
    <s v="BIN-005"/>
    <m/>
    <s v="BIN-005"/>
    <s v="ANA-05A-DRY"/>
    <s v="ANA-05A-DRY"/>
    <n v="67576.5"/>
    <n v="2047"/>
    <n v="65529.5"/>
    <n v="870"/>
    <n v="64659.5"/>
    <n v="68016"/>
    <n v="2648"/>
    <n v="65368"/>
    <n v="884"/>
    <n v="64484"/>
    <n v="9.8000000000000007"/>
    <n v="187"/>
    <n v="43.56"/>
    <n v="7.9"/>
    <n v="190"/>
    <n v="43.21"/>
    <n v="2"/>
    <n v="34"/>
    <n v="230"/>
    <n v="15"/>
    <n v="15"/>
    <n v="660"/>
    <n v="34"/>
    <n v="1.9000000000000003E-2"/>
    <n v="175.5"/>
    <n v="2.7142183283198913E-3"/>
    <n v="870"/>
    <n v="884"/>
    <s v="Dried"/>
    <s v="Scaled"/>
    <s v="Issued to Production"/>
    <m/>
    <m/>
    <m/>
    <m/>
    <m/>
  </r>
  <r>
    <n v="60"/>
    <d v="2026-06-12T00:00:00"/>
    <s v="ANAGROCI-01"/>
    <x v="11"/>
    <s v="BIN-005"/>
    <s v="BIN-005"/>
    <m/>
    <s v="BIN-005"/>
    <s v="ANA-05A-DRY"/>
    <s v="ANA-05A-DRY"/>
    <n v="74750"/>
    <n v="2353"/>
    <n v="72397"/>
    <n v="990"/>
    <n v="71407"/>
    <n v="73569"/>
    <n v="2853"/>
    <n v="70716"/>
    <n v="966"/>
    <n v="69750"/>
    <n v="9.6"/>
    <n v="173"/>
    <n v="43.47"/>
    <n v="7.3"/>
    <n v="179"/>
    <n v="44"/>
    <n v="0"/>
    <n v="30"/>
    <n v="235"/>
    <n v="15"/>
    <n v="14"/>
    <n v="658"/>
    <n v="38"/>
    <n v="2.3E-2"/>
    <n v="1657"/>
    <n v="2.3205007912389542E-2"/>
    <n v="990"/>
    <n v="966"/>
    <s v="Dried "/>
    <s v="Scaled"/>
    <m/>
    <m/>
    <m/>
    <m/>
    <m/>
    <m/>
  </r>
  <r>
    <n v="61"/>
    <d v="2026-06-13T00:00:00"/>
    <s v="ANAGROCI-01"/>
    <x v="11"/>
    <s v="BIN-005"/>
    <s v="BIN-005"/>
    <m/>
    <s v="BIN-005"/>
    <s v="ANA-05A-DRY"/>
    <s v="ANA-05A-DRY"/>
    <n v="101655"/>
    <n v="3208"/>
    <n v="98447"/>
    <n v="1322"/>
    <n v="97125"/>
    <n v="101548"/>
    <n v="3740"/>
    <n v="97808"/>
    <n v="1325"/>
    <n v="96483"/>
    <n v="9"/>
    <n v="175"/>
    <n v="43.21"/>
    <n v="8.1"/>
    <n v="182"/>
    <n v="44.35"/>
    <n v="3"/>
    <n v="20"/>
    <n v="238"/>
    <n v="17"/>
    <n v="10"/>
    <n v="673"/>
    <n v="24"/>
    <n v="9.0000000000000028E-3"/>
    <n v="642"/>
    <n v="6.6100386100386103E-3"/>
    <n v="1322"/>
    <n v="1325"/>
    <s v="Dried "/>
    <s v="Scaled"/>
    <m/>
    <m/>
    <m/>
    <m/>
    <m/>
    <m/>
  </r>
  <r>
    <n v="62"/>
    <d v="2026-06-14T00:00:00"/>
    <s v="ANAGROCI-01"/>
    <x v="12"/>
    <s v="BIN-016"/>
    <n v="30581"/>
    <s v="Direct offload for dry "/>
    <s v="BIN-016"/>
    <s v="ANA-016-DRY"/>
    <s v="ANA-016-DRY"/>
    <n v="37730"/>
    <n v="0"/>
    <n v="37730"/>
    <n v="513"/>
    <n v="37217"/>
    <n v="38195"/>
    <n v="1323"/>
    <n v="36872"/>
    <n v="531"/>
    <n v="36341"/>
    <n v="10"/>
    <n v="183"/>
    <n v="39.85"/>
    <n v="9"/>
    <n v="185"/>
    <n v="39.85"/>
    <n v="0"/>
    <n v="46"/>
    <n v="210"/>
    <n v="15"/>
    <n v="17"/>
    <n v="675"/>
    <n v="29"/>
    <n v="0.01"/>
    <n v="876"/>
    <n v="2.353763065265873E-2"/>
    <n v="531"/>
    <n v="531"/>
    <s v="Dried"/>
    <s v="Scaled"/>
    <m/>
    <m/>
    <m/>
    <m/>
    <m/>
    <m/>
  </r>
  <r>
    <n v="63"/>
    <d v="2026-06-15T00:00:00"/>
    <s v="ANAGROCI-01"/>
    <x v="11"/>
    <s v="BIN-005"/>
    <s v="BIN-005"/>
    <m/>
    <s v="BIN-005"/>
    <s v="ANA-05A-DRY"/>
    <s v="ANA-05A-DRY"/>
    <n v="106477.4"/>
    <n v="3234"/>
    <n v="103243.4"/>
    <n v="1353"/>
    <n v="101890.4"/>
    <n v="105951"/>
    <n v="4281"/>
    <n v="101670"/>
    <n v="1428"/>
    <n v="100242"/>
    <n v="9.5"/>
    <n v="180"/>
    <n v="43.47"/>
    <n v="7.8"/>
    <n v="177"/>
    <n v="43.29"/>
    <n v="4"/>
    <n v="31"/>
    <n v="231"/>
    <n v="16"/>
    <n v="13"/>
    <n v="688"/>
    <n v="12"/>
    <n v="1.7000000000000001E-2"/>
    <n v="1648.3999999999942"/>
    <n v="1.6178167913758257E-2"/>
    <n v="1353"/>
    <n v="1428"/>
    <s v="Dried "/>
    <s v="Scaled"/>
    <m/>
    <m/>
    <m/>
    <m/>
    <m/>
    <m/>
  </r>
  <r>
    <n v="65"/>
    <d v="2026-06-19T00:00:00"/>
    <s v="ANAGROCI-01"/>
    <x v="13"/>
    <s v="BIN-007"/>
    <s v="BIN-007"/>
    <m/>
    <s v="BIN-007"/>
    <s v="ANA-07A-DRY"/>
    <s v="ANA-07A-DRY"/>
    <n v="25319.200000000001"/>
    <n v="698"/>
    <n v="24621.200000000001"/>
    <n v="300"/>
    <n v="24321.200000000001"/>
    <n v="24929.200000000001"/>
    <n v="988.4"/>
    <n v="23940.799999999999"/>
    <n v="331"/>
    <n v="23609.8"/>
    <n v="10.7"/>
    <n v="175"/>
    <n v="39.68"/>
    <n v="9.4"/>
    <n v="176"/>
    <n v="40.56"/>
    <n v="2"/>
    <n v="41"/>
    <n v="216"/>
    <n v="16"/>
    <n v="12"/>
    <n v="674"/>
    <n v="33"/>
    <n v="1.2999999999999989E-2"/>
    <n v="711.40000000000146"/>
    <n v="2.9250201470322246E-2"/>
    <n v="300"/>
    <n v="331"/>
    <s v="Dried "/>
    <s v="Scaled"/>
    <m/>
    <m/>
    <m/>
    <m/>
    <m/>
    <m/>
  </r>
  <r>
    <n v="66"/>
    <d v="2026-06-20T00:00:00"/>
    <s v="ANAGROCI-01"/>
    <x v="13"/>
    <s v="BIN-007"/>
    <s v="BIN-007"/>
    <m/>
    <s v="BIN-007"/>
    <s v="ANA-07A-DRY"/>
    <s v="ANA-07A-DRY"/>
    <n v="24780"/>
    <n v="737.8"/>
    <n v="24042.2"/>
    <n v="300"/>
    <n v="23742.2"/>
    <n v="24704.400000000001"/>
    <n v="1002.6"/>
    <n v="23701.800000000003"/>
    <n v="308"/>
    <n v="23393.800000000003"/>
    <n v="10.7"/>
    <n v="175"/>
    <n v="39.68"/>
    <n v="9.4"/>
    <n v="176"/>
    <n v="40.56"/>
    <n v="2"/>
    <n v="41"/>
    <n v="216"/>
    <n v="16"/>
    <n v="12"/>
    <n v="674"/>
    <n v="33"/>
    <n v="1.2999999999999989E-2"/>
    <n v="348.39999999999782"/>
    <n v="1.4674293030974291E-2"/>
    <n v="300"/>
    <n v="308"/>
    <s v="Dried "/>
    <s v="Scaled"/>
    <m/>
    <m/>
    <m/>
    <m/>
    <m/>
    <m/>
  </r>
  <r>
    <n v="67"/>
    <d v="2026-06-24T00:00:00"/>
    <s v="ANAGROCI-01"/>
    <x v="13"/>
    <s v="BIN-007"/>
    <s v="BIN-007"/>
    <m/>
    <s v="BIN-007"/>
    <s v="ANA-07A-DRY"/>
    <s v="ANA-07A-DRY"/>
    <n v="35380.400000000001"/>
    <n v="1537.2"/>
    <n v="33843.200000000004"/>
    <n v="471"/>
    <n v="33372.200000000004"/>
    <n v="34799.599999999999"/>
    <n v="1442.4"/>
    <n v="33357.199999999997"/>
    <n v="449"/>
    <n v="32908.199999999997"/>
    <n v="10"/>
    <n v="176"/>
    <n v="43.38"/>
    <n v="8.4"/>
    <n v="177"/>
    <n v="43.12"/>
    <n v="0"/>
    <n v="27"/>
    <n v="226"/>
    <n v="15"/>
    <n v="22"/>
    <n v="685"/>
    <n v="17"/>
    <n v="1.5999999999999997E-2"/>
    <n v="464.00000000000728"/>
    <n v="1.3903788182978863E-2"/>
    <n v="471"/>
    <n v="449"/>
    <s v="Dried "/>
    <s v="Scaled"/>
    <m/>
    <m/>
    <m/>
    <m/>
    <m/>
    <s v="Rain water touched Qty issued -68.086 Mt net/ 23/06/2026.(Not scaled after rain touch)"/>
  </r>
  <r>
    <n v="68"/>
    <d v="2026-06-25T00:00:00"/>
    <s v="ANAGROCI-01"/>
    <x v="13"/>
    <s v="BIN-007"/>
    <s v="BIN-007"/>
    <m/>
    <s v="BIN-007"/>
    <s v="ANA-07A-DRY"/>
    <s v="ANA-07A-DRY"/>
    <n v="70200.799999999988"/>
    <n v="2453.6"/>
    <n v="67747.199999999983"/>
    <n v="897"/>
    <n v="66850.199999999983"/>
    <n v="68894.7"/>
    <n v="2743.4"/>
    <n v="66151.3"/>
    <n v="898"/>
    <n v="65253.3"/>
    <n v="11.2"/>
    <n v="173"/>
    <n v="41.97"/>
    <n v="9.4"/>
    <n v="176"/>
    <n v="42.32"/>
    <n v="2"/>
    <n v="35"/>
    <n v="226"/>
    <n v="16"/>
    <n v="12"/>
    <n v="686"/>
    <n v="27"/>
    <n v="1.7999999999999988E-2"/>
    <n v="1596.8999999999796"/>
    <n v="2.3887737059873869E-2"/>
    <n v="897"/>
    <n v="872"/>
    <s v="Dried "/>
    <s v="Scaled"/>
    <m/>
    <m/>
    <m/>
    <m/>
    <m/>
    <m/>
  </r>
  <r>
    <n v="69"/>
    <d v="2026-06-26T00:00:00"/>
    <s v="ANAGROCI-01"/>
    <x v="13"/>
    <s v="BIN-007"/>
    <s v="BIN-007"/>
    <m/>
    <s v="BIN-007"/>
    <s v="ANA-07A-DRY"/>
    <s v="ANA-07A-DRY"/>
    <n v="35604"/>
    <n v="1090.5999999999999"/>
    <n v="34513.4"/>
    <n v="450"/>
    <n v="34063.4"/>
    <n v="35340"/>
    <n v="1256.4000000000001"/>
    <n v="34083.599999999999"/>
    <n v="459"/>
    <n v="33624.6"/>
    <n v="10.4"/>
    <n v="179"/>
    <n v="42.94"/>
    <n v="8.1"/>
    <n v="180"/>
    <n v="42.95"/>
    <n v="0"/>
    <n v="33"/>
    <n v="230"/>
    <n v="15"/>
    <n v="12"/>
    <n v="676"/>
    <n v="29"/>
    <n v="2.3000000000000007E-2"/>
    <n v="438.80000000000291"/>
    <n v="1.2881861470082343E-2"/>
    <n v="450"/>
    <n v="459"/>
    <s v="Dried "/>
    <s v="Scaled"/>
    <m/>
    <m/>
    <m/>
    <m/>
    <m/>
    <m/>
  </r>
  <r>
    <n v="70"/>
    <d v="2026-06-27T00:00:00"/>
    <s v="ANAGROCI-01"/>
    <x v="13"/>
    <s v="BIN-007"/>
    <s v="BIN-007"/>
    <m/>
    <s v="BIN-007"/>
    <s v="ANA-07A-DRY"/>
    <s v="ANA-07A-DRY"/>
    <n v="61590"/>
    <n v="1839.4"/>
    <n v="59750.6"/>
    <n v="750"/>
    <n v="59000.6"/>
    <n v="61125.2"/>
    <n v="2548.3999999999996"/>
    <n v="58576.799999999996"/>
    <n v="787"/>
    <n v="57789.799999999996"/>
    <n v="9.8000000000000007"/>
    <n v="179"/>
    <n v="42.86"/>
    <n v="8"/>
    <n v="176"/>
    <n v="42.85"/>
    <n v="0"/>
    <n v="33"/>
    <n v="226"/>
    <n v="18"/>
    <n v="16"/>
    <n v="679"/>
    <n v="22"/>
    <n v="1.8000000000000006E-2"/>
    <n v="1210.8000000000029"/>
    <n v="2.0521825201777658E-2"/>
    <n v="750"/>
    <n v="787"/>
    <s v="Dried "/>
    <s v="Scaled"/>
    <m/>
    <m/>
    <m/>
    <m/>
    <m/>
    <m/>
  </r>
  <r>
    <n v="71"/>
    <d v="2026-06-29T00:00:00"/>
    <s v="ANAGROCI-01"/>
    <x v="13"/>
    <s v="BIN-007"/>
    <s v="BIN-007"/>
    <m/>
    <s v="BIN-007"/>
    <s v="ANA-07A-DRY"/>
    <s v="ANA-07A-DRY"/>
    <n v="83261.2"/>
    <n v="2613.7999999999997"/>
    <n v="80647.399999999994"/>
    <n v="1023"/>
    <n v="79624.399999999994"/>
    <n v="83163.600000000006"/>
    <n v="3134.4"/>
    <n v="80029.200000000012"/>
    <n v="1081"/>
    <n v="78948.200000000012"/>
    <n v="9.9"/>
    <n v="175"/>
    <n v="39.85"/>
    <n v="8.8000000000000007"/>
    <n v="180"/>
    <n v="40.380000000000003"/>
    <n v="0"/>
    <n v="45"/>
    <n v="214"/>
    <n v="15"/>
    <n v="15"/>
    <n v="674"/>
    <n v="28"/>
    <n v="1.0999999999999996E-2"/>
    <n v="676.19999999998254"/>
    <n v="8.4923716850611453E-3"/>
    <n v="1023"/>
    <n v="1081"/>
    <s v="Dried "/>
    <s v="Scaled"/>
    <m/>
    <m/>
    <m/>
    <m/>
    <m/>
    <m/>
  </r>
  <r>
    <n v="72"/>
    <d v="2026-07-01T00:00:00"/>
    <s v="ANAGROCI-01"/>
    <x v="8"/>
    <s v="BIN-03B"/>
    <s v="BIN-03B"/>
    <s v="BIN-03B"/>
    <s v="BIN-03B"/>
    <s v="ANA-03B-DRY"/>
    <s v="ANA-03B-DRY"/>
    <n v="41652.5"/>
    <n v="1318.5"/>
    <n v="40334"/>
    <n v="540"/>
    <n v="39794"/>
    <n v="39713.599999999999"/>
    <n v="1554.6"/>
    <n v="38159"/>
    <n v="535"/>
    <n v="37624"/>
    <n v="9.6"/>
    <n v="178"/>
    <n v="42.32"/>
    <n v="8.4"/>
    <n v="174"/>
    <n v="42.76"/>
    <n v="0"/>
    <n v="28"/>
    <n v="230"/>
    <n v="12"/>
    <n v="13"/>
    <n v="687"/>
    <n v="20"/>
    <n v="1.1999999999999993E-2"/>
    <n v="2170"/>
    <n v="5.45308337940393E-2"/>
    <n v="540"/>
    <n v="535"/>
    <s v="Dried "/>
    <s v="Scaled"/>
    <m/>
    <m/>
    <m/>
    <m/>
    <m/>
    <m/>
  </r>
  <r>
    <n v="73"/>
    <d v="2026-07-02T00:00:00"/>
    <s v="ANAGROCI-01"/>
    <x v="8"/>
    <s v="BIN-03B"/>
    <s v="BIN-03B"/>
    <s v="BIN-03B"/>
    <s v="BIN-03B"/>
    <s v="ANA-03B-DRY"/>
    <s v="ANA-03B-DRY"/>
    <n v="41025.800000000003"/>
    <n v="1312"/>
    <n v="39713.800000000003"/>
    <n v="511"/>
    <n v="39202.800000000003"/>
    <n v="40715.599999999999"/>
    <n v="1638.8"/>
    <n v="39076.799999999996"/>
    <n v="548"/>
    <n v="38528.799999999996"/>
    <n v="9.8000000000000007"/>
    <n v="178"/>
    <n v="42.14"/>
    <n v="8.9"/>
    <n v="175"/>
    <n v="42.15"/>
    <n v="0"/>
    <n v="40"/>
    <n v="227"/>
    <n v="9"/>
    <n v="15"/>
    <n v="674"/>
    <n v="21"/>
    <n v="9.0000000000000028E-3"/>
    <n v="674.00000000000728"/>
    <n v="1.7192649504627403E-2"/>
    <n v="511"/>
    <n v="548"/>
    <s v="Dried "/>
    <s v="Scaled"/>
    <m/>
    <m/>
    <m/>
    <m/>
    <m/>
    <m/>
  </r>
  <r>
    <n v="74"/>
    <d v="2026-07-03T00:00:00"/>
    <s v="ANAGROCI-01"/>
    <x v="8"/>
    <s v="BIN-03B"/>
    <s v="BIN-03B"/>
    <s v="BIN-03B"/>
    <s v="BIN-03B"/>
    <s v="ANA-03B-DRY"/>
    <s v="ANA-03B-DRY"/>
    <n v="76577.8"/>
    <n v="2431.6"/>
    <n v="74146.2"/>
    <n v="992"/>
    <n v="73154.2"/>
    <n v="75172.2"/>
    <n v="3054.2"/>
    <n v="72118"/>
    <n v="998"/>
    <n v="71120"/>
    <n v="10.3"/>
    <n v="169"/>
    <n v="42.15"/>
    <n v="8.6"/>
    <n v="170"/>
    <n v="43.12"/>
    <n v="2"/>
    <n v="30"/>
    <n v="230"/>
    <n v="15"/>
    <n v="14"/>
    <n v="672"/>
    <n v="27"/>
    <n v="1.7000000000000012E-2"/>
    <n v="2034.1999999999971"/>
    <n v="2.7807015865117753E-2"/>
    <n v="992"/>
    <n v="998"/>
    <s v="Dried "/>
    <s v="Scaled"/>
    <m/>
    <m/>
    <m/>
    <m/>
    <m/>
    <m/>
  </r>
  <r>
    <n v="75"/>
    <d v="2026-07-05T00:00:00"/>
    <s v="ANAGROCI-01"/>
    <x v="8"/>
    <s v="BIN-03B"/>
    <s v="BIN-03B"/>
    <s v="BIN-03B"/>
    <s v="BIN-03B"/>
    <s v="ANA-03B-DRY"/>
    <s v="ANA-03B-DRY"/>
    <n v="46047.8"/>
    <n v="1416.8"/>
    <n v="44631"/>
    <n v="600"/>
    <n v="44031"/>
    <n v="45871.199999999997"/>
    <n v="1866"/>
    <n v="44005.2"/>
    <n v="622"/>
    <n v="43383.199999999997"/>
    <n v="10.1"/>
    <n v="173"/>
    <n v="41.98"/>
    <n v="8.6999999999999993"/>
    <n v="175"/>
    <n v="42.85"/>
    <n v="2"/>
    <n v="28"/>
    <n v="228"/>
    <n v="12"/>
    <n v="18"/>
    <n v="688"/>
    <n v="20"/>
    <n v="1.4000000000000004E-2"/>
    <n v="647.80000000000291"/>
    <n v="1.4712361745134177E-2"/>
    <n v="600"/>
    <n v="622"/>
    <s v="Dried "/>
    <s v="Scaled"/>
    <m/>
    <m/>
    <m/>
    <m/>
    <m/>
    <m/>
  </r>
  <r>
    <n v="76"/>
    <d v="2026-07-06T00:00:00"/>
    <s v="ANAGROCI-01"/>
    <x v="8"/>
    <s v="BIN-03B"/>
    <s v="BIN-03B"/>
    <s v="BIN-03B"/>
    <s v="BIN-03B"/>
    <s v="ANA-03B-DRY"/>
    <s v="ANA-03B-DRY"/>
    <n v="49738.3"/>
    <n v="1547"/>
    <n v="48191.3"/>
    <n v="631"/>
    <n v="47560.3"/>
    <n v="49625"/>
    <n v="2284"/>
    <n v="47341"/>
    <n v="670"/>
    <n v="46671"/>
    <n v="10.3"/>
    <n v="170"/>
    <n v="42.24"/>
    <n v="8.9"/>
    <n v="172"/>
    <n v="42.68"/>
    <n v="0"/>
    <n v="31"/>
    <n v="231"/>
    <n v="8"/>
    <n v="14"/>
    <n v="684"/>
    <n v="19"/>
    <n v="1.4000000000000004E-2"/>
    <n v="889.30000000000291"/>
    <n v="1.8698368176819802E-2"/>
    <n v="631"/>
    <n v="670"/>
    <s v="Dried "/>
    <s v="Scaled"/>
    <m/>
    <m/>
    <m/>
    <m/>
    <m/>
    <m/>
  </r>
  <r>
    <n v="77"/>
    <d v="2026-07-07T00:00:00"/>
    <s v="ANAGROCI-01"/>
    <x v="8"/>
    <s v="BIN-03B"/>
    <s v="BIN-03B"/>
    <s v="BIN-03B"/>
    <s v="BIN-03B"/>
    <s v="ANA-03B-DRY"/>
    <s v="ANA-03B-DRY"/>
    <n v="62409.8"/>
    <n v="2276.6"/>
    <n v="60133.200000000004"/>
    <n v="906"/>
    <n v="59227.200000000004"/>
    <n v="62293.8"/>
    <n v="2482.4"/>
    <n v="59811.4"/>
    <n v="841"/>
    <n v="58970.400000000001"/>
    <n v="10.3"/>
    <n v="178"/>
    <n v="43.12"/>
    <n v="8.8000000000000007"/>
    <n v="176"/>
    <n v="43.29"/>
    <n v="0"/>
    <n v="32"/>
    <n v="232"/>
    <n v="13"/>
    <n v="14"/>
    <n v="671"/>
    <n v="28"/>
    <n v="1.4999999999999999E-2"/>
    <n v="256.80000000000291"/>
    <n v="4.3358456925197018E-3"/>
    <n v="906"/>
    <n v="841"/>
    <s v="Dried "/>
    <s v="Scaled"/>
    <m/>
    <m/>
    <m/>
    <m/>
    <m/>
    <m/>
  </r>
  <r>
    <n v="78"/>
    <d v="2026-07-08T00:00:00"/>
    <s v="ANAGROCI-01"/>
    <x v="8"/>
    <s v="BIN-03B"/>
    <s v="BIN-03B"/>
    <s v="BIN-03B"/>
    <s v="BIN-03B"/>
    <s v="ANA-03B-DRY"/>
    <s v="ANA-03B-DRY"/>
    <n v="57793.599999999999"/>
    <n v="1793"/>
    <n v="56000.6"/>
    <n v="732"/>
    <n v="55268.6"/>
    <n v="57877"/>
    <n v="2380.8000000000002"/>
    <n v="55496.2"/>
    <n v="775"/>
    <n v="54721.2"/>
    <n v="10.4"/>
    <n v="176"/>
    <n v="42.32"/>
    <n v="8.9"/>
    <n v="174"/>
    <n v="42.95"/>
    <n v="0"/>
    <n v="30"/>
    <n v="232"/>
    <n v="11"/>
    <n v="12"/>
    <n v="689"/>
    <n v="17"/>
    <n v="1.4999999999999999E-2"/>
    <n v="547.40000000000146"/>
    <n v="9.9043579898894039E-3"/>
    <n v="732"/>
    <n v="775"/>
    <s v="Dried "/>
    <s v="Scaled"/>
    <m/>
    <m/>
    <m/>
    <m/>
    <m/>
    <m/>
  </r>
  <r>
    <n v="79"/>
    <d v="2026-07-10T00:00:00"/>
    <s v="ANAGROCI-01"/>
    <x v="8"/>
    <s v="BIN-03B"/>
    <s v="BIN-03B"/>
    <s v="BIN-03B"/>
    <s v="BIN-03B"/>
    <s v="ANA-03B-DRY"/>
    <s v="ANA-03B-DRY"/>
    <n v="69724"/>
    <n v="2259.8000000000002"/>
    <n v="67464.2"/>
    <n v="901"/>
    <n v="66563.199999999997"/>
    <n v="69586"/>
    <n v="2817.5"/>
    <n v="66768.5"/>
    <n v="940"/>
    <n v="65828.5"/>
    <n v="10.4"/>
    <n v="167"/>
    <n v="42.15"/>
    <n v="9"/>
    <n v="170"/>
    <n v="42.5"/>
    <n v="3"/>
    <n v="31"/>
    <n v="230"/>
    <n v="10"/>
    <n v="14"/>
    <n v="689"/>
    <n v="18"/>
    <n v="1.4000000000000004E-2"/>
    <n v="734.69999999999709"/>
    <n v="1.1037630402384457E-2"/>
    <n v="901"/>
    <n v="940"/>
    <s v="Dried "/>
    <s v="Scaled"/>
    <m/>
    <m/>
    <m/>
    <m/>
    <m/>
    <m/>
  </r>
  <r>
    <n v="80"/>
    <d v="2026-07-11T00:00:00"/>
    <s v="ANAGROCI-01"/>
    <x v="8"/>
    <s v="BIN-03B"/>
    <s v="BIN-03B"/>
    <s v="BIN-03B"/>
    <s v="BIN-03B"/>
    <s v="ANA-03B-DRY"/>
    <s v="ANA-03B-DRY"/>
    <n v="49397.599999999999"/>
    <n v="1409.4"/>
    <n v="47988.2"/>
    <n v="630"/>
    <n v="47358.2"/>
    <n v="49287"/>
    <n v="2084.1999999999998"/>
    <n v="47202.8"/>
    <n v="665"/>
    <n v="46537.8"/>
    <n v="10"/>
    <n v="174"/>
    <n v="42.32"/>
    <n v="8.4"/>
    <n v="172"/>
    <n v="42.68"/>
    <n v="3"/>
    <n v="33"/>
    <n v="231"/>
    <n v="10"/>
    <n v="12"/>
    <n v="685"/>
    <n v="21"/>
    <n v="1.5999999999999997E-2"/>
    <n v="820.39999999999418"/>
    <n v="1.7323293537338712E-2"/>
    <n v="630"/>
    <n v="665"/>
    <s v="Dried "/>
    <s v="Scaled"/>
    <m/>
    <m/>
    <m/>
    <m/>
    <m/>
    <m/>
  </r>
  <r>
    <n v="81"/>
    <d v="2026-07-12T00:00:00"/>
    <s v="ANAGROCI-01"/>
    <x v="8"/>
    <s v="BIN-03B"/>
    <s v="BIN-03B"/>
    <s v="BIN-03B"/>
    <s v="BIN-03B"/>
    <s v="ANA-03B-DRY"/>
    <s v="ANA-03B-DRY"/>
    <n v="58566.400000000001"/>
    <n v="1724.9"/>
    <n v="56841.5"/>
    <n v="750"/>
    <n v="56091.5"/>
    <n v="58905.4"/>
    <n v="2398.8000000000002"/>
    <n v="56506.6"/>
    <n v="802"/>
    <n v="55704.6"/>
    <n v="10"/>
    <n v="179"/>
    <n v="42.85"/>
    <n v="8.4"/>
    <n v="182"/>
    <n v="41.62"/>
    <n v="0"/>
    <n v="51"/>
    <n v="225"/>
    <n v="12"/>
    <n v="10"/>
    <n v="675"/>
    <n v="21"/>
    <n v="1.5999999999999997E-2"/>
    <n v="386.90000000000146"/>
    <n v="6.8976582904718446E-3"/>
    <n v="750"/>
    <n v="802"/>
    <s v="Dried "/>
    <s v="Scaled"/>
    <m/>
    <m/>
    <m/>
    <m/>
    <m/>
    <m/>
  </r>
  <r>
    <n v="82"/>
    <d v="2026-07-13T00:00:00"/>
    <s v="ANAGROCI-01"/>
    <x v="8"/>
    <s v="BIN-03B"/>
    <s v="BIN-03B"/>
    <s v="BIN-03B"/>
    <s v="BIN-03B"/>
    <s v="ANA-03B-DRY"/>
    <s v="ANA-03B-DRY"/>
    <n v="72199.3"/>
    <n v="2234.8000000000002"/>
    <n v="69964.5"/>
    <n v="903"/>
    <n v="69061.5"/>
    <n v="72206.8"/>
    <n v="2759.4"/>
    <n v="69447.400000000009"/>
    <n v="946"/>
    <n v="68501.400000000009"/>
    <n v="10"/>
    <n v="178"/>
    <n v="43.03"/>
    <n v="8.6999999999999993"/>
    <n v="181"/>
    <n v="42.5"/>
    <n v="2"/>
    <n v="42"/>
    <n v="228"/>
    <n v="12"/>
    <n v="14"/>
    <n v="677"/>
    <n v="21"/>
    <n v="1.3000000000000006E-2"/>
    <n v="560.09999999999127"/>
    <n v="8.1101626810884692E-3"/>
    <n v="903"/>
    <n v="946"/>
    <s v="Dried "/>
    <s v="Scaled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C2A00-1062-4127-9588-7BFB1484C66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W2:AY17" firstHeaderRow="0" firstDataRow="1" firstDataCol="1"/>
  <pivotFields count="46">
    <pivotField showAll="0"/>
    <pivotField numFmtId="165" showAll="0"/>
    <pivotField showAll="0"/>
    <pivotField axis="axisRow" showAll="0">
      <items count="15">
        <item x="3"/>
        <item x="0"/>
        <item x="4"/>
        <item x="9"/>
        <item x="11"/>
        <item x="13"/>
        <item x="1"/>
        <item x="6"/>
        <item x="10"/>
        <item x="12"/>
        <item x="8"/>
        <item x="7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showAll="0"/>
    <pivotField dataField="1"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ssued Wt To Drying (Net Wt)" fld="14" baseField="0" baseItem="0" numFmtId="43"/>
    <dataField name="Sum of Received Wt from Drying (Net Wt)" fld="1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4B336-E8C3-4898-9172-9AD75F2944D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5:AL17" firstHeaderRow="1" firstDataRow="1" firstDataCol="1"/>
  <pivotFields count="34">
    <pivotField showAll="0"/>
    <pivotField numFmtId="165" showAll="0"/>
    <pivotField showAll="0"/>
    <pivotField axis="axisRow" showAll="0">
      <items count="12">
        <item x="3"/>
        <item x="4"/>
        <item x="8"/>
        <item x="10"/>
        <item x="0"/>
        <item x="9"/>
        <item x="6"/>
        <item x="7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numFmtId="43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et Wt (Without Jute Bag)" fld="27" baseField="0" baseItem="0" numFmtId="43"/>
  </dataFields>
  <formats count="1">
    <format dxfId="7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D1572-6BB7-4330-8B89-1A6003C508E3}" name="Table1" displayName="Table1" ref="A2:AT83" totalsRowShown="0" headerRowDxfId="122" dataDxfId="121" tableBorderDxfId="120">
  <autoFilter ref="A2:AT83" xr:uid="{C7AD1572-6BB7-4330-8B89-1A6003C508E3}"/>
  <tableColumns count="46">
    <tableColumn id="1" xr3:uid="{B24C3F73-4052-4BE8-99F4-7F836E974F9A}" name="S.No." dataDxfId="119"/>
    <tableColumn id="2" xr3:uid="{4D20A502-8EEC-49E1-9F54-A0A752CAF644}" name="DATE" dataDxfId="118"/>
    <tableColumn id="4" xr3:uid="{6A7B1E89-5A80-40AB-9A67-44E18D807D43}" name="Warehouse " dataDxfId="117"/>
    <tableColumn id="5" xr3:uid="{5A80E775-3AE4-464B-A268-610C0988BBF3}" name="BIN" dataDxfId="116"/>
    <tableColumn id="6" xr3:uid="{594276F1-36CD-4BFE-B152-0665EFC960A5}" name="Lot No" dataDxfId="115"/>
    <tableColumn id="7" xr3:uid="{7C5CCEBA-4EEF-4484-9200-55CAA362779F}" name="FICHE NO" dataDxfId="114"/>
    <tableColumn id="8" xr3:uid="{21F5D983-C246-4709-AD6B-19D8C9EE38BE}" name="STATUS" dataDxfId="113"/>
    <tableColumn id="9" xr3:uid="{82664360-A687-4A40-8FC4-908316E49595}" name="Dry Type" dataDxfId="112"/>
    <tableColumn id="10" xr3:uid="{B8871AE7-5397-4385-A78D-5F818EE4F96B}" name="Destintion" dataDxfId="111"/>
    <tableColumn id="11" xr3:uid="{45A0BAA3-5077-4BC1-A374-4ABB15B3EDF0}" name="Dry Bin No" dataDxfId="110"/>
    <tableColumn id="12" xr3:uid="{87D01649-D08B-4674-89DF-4EBA38A86F1B}" name="Issued for Drying GW RCN+BAGS+PALLETS" dataDxfId="109"/>
    <tableColumn id="13" xr3:uid="{011C4DD9-50FC-48CB-9157-53A95CF499B7}" name="Pallets WT" dataDxfId="108"/>
    <tableColumn id="14" xr3:uid="{26E2936F-9EA0-4E21-8F07-C082A8CB9761}" name="Issued Wt to Drying GW RCN+BAGS" dataDxfId="107"/>
    <tableColumn id="15" xr3:uid="{4B445472-296D-420C-A4AF-158778660A41}" name="Issued Bags for Drying" dataDxfId="106"/>
    <tableColumn id="16" xr3:uid="{1A8E81C4-DE8C-4A6D-BBC1-6CE8EACD8E82}" name="Issued Wt To Drying (Net Wt)" dataDxfId="105">
      <calculatedColumnFormula>M3-N3</calculatedColumnFormula>
    </tableColumn>
    <tableColumn id="17" xr3:uid="{0DA4042F-E859-4BC0-981B-81AAC816494F}" name="Received from Drying GW RCN+BAGS+PALLETS" dataDxfId="104"/>
    <tableColumn id="18" xr3:uid="{D6DD1F8C-69D2-4159-AEE2-5C8D946849DC}" name="Pallets Wt2"/>
    <tableColumn id="19" xr3:uid="{071657CC-2C89-479F-86EA-1246642FF847}" name="Received Wt from Drying GW RCN+BAGS" dataDxfId="103">
      <calculatedColumnFormula>P3-Q3</calculatedColumnFormula>
    </tableColumn>
    <tableColumn id="20" xr3:uid="{E185C0A7-2C03-4667-A6D4-D48AE018B795}" name="Received Bags from Drying" dataDxfId="102"/>
    <tableColumn id="21" xr3:uid="{E2DD26D2-F6A9-4FF8-B271-8EF60ADDE1D9}" name="Received Wt from Drying (Net Wt)" dataDxfId="101">
      <calculatedColumnFormula>R3-S3</calculatedColumnFormula>
    </tableColumn>
    <tableColumn id="22" xr3:uid="{A99687CF-93E1-4703-8A2A-CA3ACCF90F7D}" name="Input Moisture                " dataDxfId="100"/>
    <tableColumn id="23" xr3:uid="{50ADF243-FF37-40E6-A65A-070785215A02}" name="INPUT NUT COUNT" dataDxfId="99"/>
    <tableColumn id="24" xr3:uid="{C21F5867-C389-4C0E-8414-9795375D3370}" name="INPUT KOR" dataDxfId="98"/>
    <tableColumn id="25" xr3:uid="{F1153E32-745B-4054-8752-DC14491A5A33}" name="Output Moisture                " dataDxfId="97"/>
    <tableColumn id="26" xr3:uid="{5226EDC5-CF24-4E8C-AEB8-FA54A7157332}" name="OUTPUT NUT COUNT" dataDxfId="96"/>
    <tableColumn id="27" xr3:uid="{AD9B6E15-EF49-480F-B3FF-940DA40982C4}" name="OUTPUT KOR" dataDxfId="95"/>
    <tableColumn id="28" xr3:uid="{BF0BEE68-8EE7-4EF0-8625-798FBDD2A662}" name="Oil" dataDxfId="94"/>
    <tableColumn id="29" xr3:uid="{47605A1A-E559-4F0A-B1A2-D07B8CEA6E18}" name="Rejection" dataDxfId="93"/>
    <tableColumn id="30" xr3:uid="{E70FAF8F-E643-40D4-BEF0-F366C8F96C45}" name="GK" dataDxfId="92"/>
    <tableColumn id="31" xr3:uid="{A7512B50-F4F3-4AE0-9706-1095324BCA55}" name="Immature" dataDxfId="91"/>
    <tableColumn id="32" xr3:uid="{472AA90C-2AD0-4E6D-A23A-CFB78E2E72E2}" name="Spoted" dataDxfId="90"/>
    <tableColumn id="33" xr3:uid="{81D49854-A75C-498D-871F-1C4988BB3574}" name="Shell" dataDxfId="89"/>
    <tableColumn id="34" xr3:uid="{B6F5AF9A-4706-4F59-B2CB-18B044FA6118}" name="Void" dataDxfId="88"/>
    <tableColumn id="35" xr3:uid="{09B027A9-BABC-4167-9A82-41F59F3DF2C7}" name="MOIS Loss%" dataDxfId="87"/>
    <tableColumn id="36" xr3:uid="{0D672046-1452-4CAC-AA38-FD92249AF37B}" name="Drying Loss Kg's" dataDxfId="86"/>
    <tableColumn id="37" xr3:uid="{FE910A31-E23B-4E00-8D50-119EF5F7E28A}" name="Drying LOSS  %" dataDxfId="85">
      <calculatedColumnFormula>AI3/O3</calculatedColumnFormula>
    </tableColumn>
    <tableColumn id="38" xr3:uid="{19E1EF5B-2B0C-40FE-B69E-AAC1A410403F}" name="INPUT BAGS FOR DRYING" dataDxfId="84"/>
    <tableColumn id="39" xr3:uid="{E3D3934C-A07B-4862-91AD-F47D37D2C73E}" name="OUTPUT BAGS AFTER DRING" dataDxfId="83"/>
    <tableColumn id="40" xr3:uid="{0369DE79-6C23-487B-A521-6260F1FF69D6}" name="DRYING/ PICKING" dataDxfId="82"/>
    <tableColumn id="41" xr3:uid="{6ADD7B8C-D70E-4A4F-9A29-DA074B99E51B}" name="REMARKS" dataDxfId="81"/>
    <tableColumn id="42" xr3:uid="{F42D519B-FDF7-4E82-AE2F-ED16B1F52163}" name="Issued To Production" dataDxfId="80"/>
    <tableColumn id="44" xr3:uid="{18E02F14-F09F-4142-8F44-2322C003AC2F}" name="Re Drying Date" dataDxfId="79"/>
    <tableColumn id="45" xr3:uid="{1951FBE5-D1B2-4479-8690-ACF14BF865A7}" name="Moisture -1st Re- Dry" dataDxfId="78"/>
    <tableColumn id="46" xr3:uid="{4935D565-BEF5-46BC-9DE7-F0001AF2C1E1}" name="Moisture -2nd Dry" dataDxfId="77"/>
    <tableColumn id="47" xr3:uid="{810A4018-07A4-450D-8CEF-B719261B854D}" name="Issued to Production3" dataDxfId="76"/>
    <tableColumn id="48" xr3:uid="{37A6C1F9-4183-4394-8B01-919A3C91DD25}" name="Remarks4" dataDxfId="7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E3E02-4B36-449B-BF5E-90E1607D2F1F}" name="Table2" displayName="Table2" ref="A2:O76" totalsRowShown="0" headerRowDxfId="140" dataDxfId="138" headerRowBorderDxfId="139" tableBorderDxfId="137">
  <autoFilter ref="A2:O76" xr:uid="{A95E3E02-4B36-449B-BF5E-90E1607D2F1F}"/>
  <tableColumns count="15">
    <tableColumn id="1" xr3:uid="{4D0E8576-6C72-4A2A-BB19-96459FF27AC4}" name="S.No." dataDxfId="136"/>
    <tableColumn id="2" xr3:uid="{7F8C2B6E-2359-4B3B-9F69-B142B7AC7597}" name="DATE" dataDxfId="135"/>
    <tableColumn id="3" xr3:uid="{ED474519-31E7-4F76-9A98-E166B0C93298}" name="BIN" dataDxfId="134"/>
    <tableColumn id="4" xr3:uid="{11295E6D-CBF4-4663-A639-13E532C7355A}" name="Lot No" dataDxfId="133"/>
    <tableColumn id="5" xr3:uid="{C26E18B4-BB8D-4B31-B16B-F185E84EF39A}" name="STATUS" dataDxfId="132"/>
    <tableColumn id="6" xr3:uid="{073157E3-78D1-4F9F-BBBA-56E04E17624D}" name="Dry Type" dataDxfId="131"/>
    <tableColumn id="7" xr3:uid="{3EBDD089-A6E5-4E99-998F-516A10B1B23B}" name="Destintion" dataDxfId="130"/>
    <tableColumn id="8" xr3:uid="{46F3D57B-CA57-4755-B76F-CAC2E6CF5EC8}" name="Dry Bin No" dataDxfId="129"/>
    <tableColumn id="9" xr3:uid="{8EA8020D-6330-4B22-A884-DDB1C6E67C2B}" name="Issued Wt (Pallet + Jute Bag +Cashew)" dataDxfId="128"/>
    <tableColumn id="10" xr3:uid="{7D5FD70F-EA8B-441E-8A18-5448B0C9E7E1}" name="Pallet Wt" dataDxfId="127"/>
    <tableColumn id="11" xr3:uid="{5E8F187F-31BC-47E4-BE60-9F2F325F86F7}" name="Issued Gwt -Bag +Cashew">
      <calculatedColumnFormula>I3-J3</calculatedColumnFormula>
    </tableColumn>
    <tableColumn id="12" xr3:uid="{2F524F96-DE05-47CB-98FF-1FF92E548DF6}" name="Net Wt-WH" dataDxfId="126">
      <calculatedColumnFormula>K3-M3</calculatedColumnFormula>
    </tableColumn>
    <tableColumn id="13" xr3:uid="{1B337085-DD00-4189-8AB4-8BEC54F1D31C}" name="No of Bag Issued " dataDxfId="125"/>
    <tableColumn id="14" xr3:uid="{BCE396BA-42B3-42D2-A70A-545C19B56D5A}" name="Bag Wt" dataDxfId="124">
      <calculatedColumnFormula>M3*0.65</calculatedColumnFormula>
    </tableColumn>
    <tableColumn id="15" xr3:uid="{45A6EAB7-BF95-424E-A118-33AD4123EFA3}" name="Nwt Issued " dataDxfId="123">
      <calculatedColumnFormula>K3-N3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B86482-4813-4644-908D-C7F3F2CF65DD}" name="Table4" displayName="Table4" ref="A5:AH119" totalsRowShown="0" headerRowDxfId="73">
  <autoFilter ref="A5:AH119" xr:uid="{C6B86482-4813-4644-908D-C7F3F2CF65DD}"/>
  <tableColumns count="34">
    <tableColumn id="1" xr3:uid="{733F1E16-B234-42FF-96E8-AEB5CB2A149A}" name="SI NO" dataDxfId="72" totalsRowDxfId="71"/>
    <tableColumn id="2" xr3:uid="{BB70EBE5-25A6-414C-92AC-47BD56EEF9BD}" name="Date" dataDxfId="70" totalsRowDxfId="69"/>
    <tableColumn id="3" xr3:uid="{8B7FEBFD-ADBD-451D-9111-1DD1625C7286}" name="RCN" dataDxfId="68" totalsRowDxfId="67"/>
    <tableColumn id="4" xr3:uid="{E2159AD1-362D-4BB6-A63C-7961BF123062}" name="Source Bin" dataDxfId="66" totalsRowDxfId="65"/>
    <tableColumn id="5" xr3:uid="{6213A798-52F0-46D9-A180-29095022E37B}" name="DRY BIN " dataDxfId="64" totalsRowDxfId="63"/>
    <tableColumn id="6" xr3:uid="{F7F0DDED-FF10-414E-8154-697DA12B3D1F}" name="Bin Status " dataDxfId="62" totalsRowDxfId="61"/>
    <tableColumn id="7" xr3:uid="{67DD93F4-8BFE-496A-B96C-52F1E9AB55C4}" name="BTM " dataDxfId="60" totalsRowDxfId="59"/>
    <tableColumn id="8" xr3:uid="{8B3A7C18-8F63-45F8-BDE5-2E8B22522BDB}" name="KOR-Issued" dataDxfId="58" totalsRowDxfId="57"/>
    <tableColumn id="9" xr3:uid="{70DD86F9-3D76-4DEA-AD50-316286C1E76A}" name="Nut Count" dataDxfId="56" totalsRowDxfId="55"/>
    <tableColumn id="10" xr3:uid="{6AD8E61A-821C-4011-953C-F67D8363A5EE}" name="GK" dataDxfId="54" totalsRowDxfId="53"/>
    <tableColumn id="11" xr3:uid="{3E23DED4-D4FC-45D9-A28F-B7611F96D938}" name="Moisture" dataDxfId="52" totalsRowDxfId="51"/>
    <tableColumn id="12" xr3:uid="{3693ED15-7D71-476C-A66E-C67601672C6A}" name="Immature" dataDxfId="50" totalsRowDxfId="49"/>
    <tableColumn id="13" xr3:uid="{359C8C9D-8858-49D4-AC39-44F9CE1321D2}" name="Spottd " dataDxfId="48" totalsRowDxfId="47"/>
    <tableColumn id="14" xr3:uid="{AED57529-43C7-44A6-B14B-A4ABF9D289CF}" name="Rejection" dataDxfId="46" totalsRowDxfId="45"/>
    <tableColumn id="15" xr3:uid="{6DCE58BF-96D5-4BDC-BE2A-D97BA9D98358}" name="OIL (Gram)" dataDxfId="44" totalsRowDxfId="43"/>
    <tableColumn id="16" xr3:uid="{88199D4B-B113-4122-9D59-1FDD1FC6D405}" name="Void (Gram)" dataDxfId="42" totalsRowDxfId="41"/>
    <tableColumn id="17" xr3:uid="{F9BF5370-6C45-4A22-A6FE-7AA3BA5C7435}" name="Shell (Gram)" dataDxfId="40" totalsRowDxfId="39"/>
    <tableColumn id="18" xr3:uid="{60A76639-C9C0-47A6-A9DF-A3E7985B63F0}" name="Fiche No" dataDxfId="38" totalsRowDxfId="37"/>
    <tableColumn id="19" xr3:uid="{4E08DB8A-8F54-40F3-86E0-C70A62DDEA02}" name="Bag inStock afetr Dry" dataDxfId="36" totalsRowDxfId="35"/>
    <tableColumn id="20" xr3:uid="{611D750D-2870-4EA4-B1DE-C884712A3E91}" name="No of Bag(Issued to Production)" dataDxfId="34" totalsRowDxfId="33"/>
    <tableColumn id="21" xr3:uid="{1AEC5220-D7B4-41B2-8E26-BACF81500FE3}" name="Avg Bag Wt (Empty  Bag)" dataDxfId="32" totalsRowDxfId="31"/>
    <tableColumn id="22" xr3:uid="{96D58DE8-B4C1-406B-9B5A-0235926882E4}" name="Bag Wt(Empty Bag)" dataDxfId="30" totalsRowDxfId="29"/>
    <tableColumn id="23" xr3:uid="{446DE0B4-52DD-47B7-B30E-8618E50236CB}" name="No of Pallet" dataDxfId="28" totalsRowDxfId="27"/>
    <tableColumn id="24" xr3:uid="{43D16CEF-446D-4FBC-8287-59720DA55CC7}" name="Avg Pallet Wt" dataDxfId="26" totalsRowDxfId="25"/>
    <tableColumn id="25" xr3:uid="{B8933CBE-A957-475D-A5C4-250621EA2ED4}" name="Pallet Weight (Kg)" dataDxfId="24" totalsRowDxfId="23"/>
    <tableColumn id="26" xr3:uid="{73024E11-301B-4972-ABC7-410F5B931E21}" name="Gross Wt (Before Dry)" dataDxfId="22" totalsRowDxfId="21"/>
    <tableColumn id="27" xr3:uid="{50A40BE0-84A5-4242-BBC7-3DF78476C856}" name="Gross Wt (After Drying Wt with Jute Bag)" dataDxfId="20" totalsRowDxfId="19"/>
    <tableColumn id="28" xr3:uid="{74AA7CEA-0E85-4E0E-84E8-B8C55DAB69E2}" name="Net Wt (Without Jute Bag)" dataDxfId="18" totalsRowDxfId="17"/>
    <tableColumn id="29" xr3:uid="{177A0466-9E51-47DD-824F-30509AD431C5}" name="Date of Issue to Calibration" dataDxfId="16" totalsRowDxfId="15"/>
    <tableColumn id="30" xr3:uid="{E397AA24-1FF6-490C-BEFF-13FEEEA7DF75}" name="Received By Production(Net Wt)" dataDxfId="14" totalsRowDxfId="13"/>
    <tableColumn id="31" xr3:uid="{9B8553D0-5EFA-4BBA-A2FD-4C4F65BE3775}" name="Issued from " dataDxfId="12" totalsRowDxfId="11"/>
    <tableColumn id="32" xr3:uid="{13B5EECE-1E4D-4235-97A5-1F16EDC98F5A}" name="Diff in Issue" dataDxfId="10" totalsRowDxfId="9"/>
    <tableColumn id="33" xr3:uid="{05033186-7801-4BCB-BD5D-76B2E9ADE3FE}" name="Remarks " dataDxfId="8" totalsRowDxfId="7"/>
    <tableColumn id="34" xr3:uid="{EB93517E-6CCE-4045-804F-548D96337E28}" name="Check" dataDxfId="6" totalsRowDxfId="5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19D1-A860-4301-A30B-9E9515387B23}">
  <sheetPr>
    <tabColor rgb="FFC00000"/>
  </sheetPr>
  <dimension ref="A1:AY89"/>
  <sheetViews>
    <sheetView zoomScale="97" zoomScaleNormal="100" workbookViewId="0">
      <pane ySplit="2" topLeftCell="A70" activePane="bottomLeft" state="frozen"/>
      <selection pane="bottomLeft" activeCell="K70" sqref="K70"/>
    </sheetView>
  </sheetViews>
  <sheetFormatPr defaultColWidth="8.88671875" defaultRowHeight="12" x14ac:dyDescent="0.3"/>
  <cols>
    <col min="1" max="1" width="9" style="1" bestFit="1" customWidth="1"/>
    <col min="2" max="2" width="9.5546875" style="1" bestFit="1" customWidth="1"/>
    <col min="3" max="3" width="12.33203125" style="1" customWidth="1"/>
    <col min="4" max="4" width="15.5546875" style="1" bestFit="1" customWidth="1"/>
    <col min="5" max="6" width="12.33203125" style="1" customWidth="1"/>
    <col min="7" max="7" width="15.5546875" style="1" hidden="1" customWidth="1"/>
    <col min="8" max="8" width="9.88671875" style="1" customWidth="1"/>
    <col min="9" max="10" width="16.109375" style="1" customWidth="1"/>
    <col min="11" max="11" width="20.6640625" style="1" customWidth="1"/>
    <col min="12" max="12" width="11.33203125" style="1" customWidth="1"/>
    <col min="13" max="13" width="18.88671875" style="1" customWidth="1"/>
    <col min="14" max="14" width="12" style="1" customWidth="1"/>
    <col min="15" max="15" width="12.88671875" style="1" customWidth="1"/>
    <col min="16" max="16" width="21" style="1" customWidth="1"/>
    <col min="17" max="17" width="11.5546875" style="1" customWidth="1"/>
    <col min="18" max="18" width="14.33203125" style="1" customWidth="1"/>
    <col min="19" max="19" width="14.88671875" style="1" customWidth="1"/>
    <col min="20" max="20" width="13.109375" style="1" customWidth="1"/>
    <col min="21" max="21" width="11.5546875" style="1" customWidth="1"/>
    <col min="22" max="22" width="11.109375" style="3" customWidth="1"/>
    <col min="23" max="23" width="8" style="1" customWidth="1"/>
    <col min="24" max="24" width="10.44140625" style="1" customWidth="1"/>
    <col min="25" max="25" width="11.33203125" style="1" customWidth="1"/>
    <col min="26" max="26" width="7.33203125" style="1" bestFit="1" customWidth="1"/>
    <col min="27" max="33" width="9.5546875" style="1" customWidth="1"/>
    <col min="34" max="34" width="8.6640625" style="1" customWidth="1"/>
    <col min="35" max="35" width="16.33203125" style="1" customWidth="1"/>
    <col min="36" max="36" width="15.33203125" style="1" customWidth="1"/>
    <col min="37" max="37" width="11.33203125" style="3" customWidth="1"/>
    <col min="38" max="38" width="10.44140625" style="3" customWidth="1"/>
    <col min="39" max="39" width="15.109375" style="1" customWidth="1"/>
    <col min="40" max="40" width="9.33203125" style="1" customWidth="1"/>
    <col min="41" max="41" width="20.44140625" style="1" bestFit="1" customWidth="1"/>
    <col min="42" max="42" width="9.6640625" style="1" customWidth="1"/>
    <col min="43" max="43" width="16.33203125" style="1" customWidth="1"/>
    <col min="44" max="44" width="16.88671875" style="1" customWidth="1"/>
    <col min="45" max="45" width="21.6640625" style="1" bestFit="1" customWidth="1"/>
    <col min="46" max="46" width="34.44140625" style="1" customWidth="1"/>
    <col min="47" max="47" width="6.6640625" style="1" bestFit="1" customWidth="1"/>
    <col min="48" max="48" width="23.88671875" style="1" bestFit="1" customWidth="1"/>
    <col min="49" max="49" width="12.88671875" style="1" bestFit="1" customWidth="1"/>
    <col min="50" max="50" width="33.33203125" style="1" bestFit="1" customWidth="1"/>
    <col min="51" max="51" width="37.77734375" style="1" bestFit="1" customWidth="1"/>
    <col min="52" max="16384" width="8.88671875" style="1"/>
  </cols>
  <sheetData>
    <row r="1" spans="1:51" ht="14.4" x14ac:dyDescent="0.3">
      <c r="I1" s="2"/>
      <c r="J1" s="2"/>
      <c r="K1" s="2"/>
      <c r="L1" s="2"/>
      <c r="M1" s="154">
        <f>SUBTOTAL(9,Table1[[#All],[Issued Wt to Drying GW RCN+BAGS]])</f>
        <v>4096678.4000000008</v>
      </c>
      <c r="N1" s="157"/>
      <c r="O1" s="151">
        <f>SUMIF(T2:T83,"&gt;0",O2:O83)</f>
        <v>4044378.4000000008</v>
      </c>
      <c r="P1" s="155" t="s">
        <v>159</v>
      </c>
      <c r="Q1" s="156">
        <f>SUMIF(Table1[[#All],[Received Wt from Drying (Net Wt)]],0,Table1[[#All],[Issued Wt To Drying (Net Wt)]])</f>
        <v>0</v>
      </c>
      <c r="R1" s="30"/>
      <c r="S1" s="109"/>
      <c r="T1" s="151">
        <f>SUBTOTAL(9,T3:T83)</f>
        <v>3939483.02</v>
      </c>
      <c r="U1" s="2"/>
      <c r="AH1" s="2"/>
      <c r="AI1" s="138">
        <f>SUBTOTAL(9,AI2:AI83)</f>
        <v>104895.37999999996</v>
      </c>
      <c r="AJ1" s="139"/>
      <c r="AK1" s="149"/>
      <c r="AL1" s="180">
        <f>SUM(AL2:AL65)</f>
        <v>41676</v>
      </c>
      <c r="AP1" s="4"/>
      <c r="AQ1" s="4"/>
      <c r="AR1" s="4"/>
    </row>
    <row r="2" spans="1:51" s="129" customFormat="1" ht="30.6" x14ac:dyDescent="0.3">
      <c r="A2" s="133" t="s">
        <v>0</v>
      </c>
      <c r="B2" s="116" t="s">
        <v>1</v>
      </c>
      <c r="C2" s="117" t="s">
        <v>2</v>
      </c>
      <c r="D2" s="118" t="s">
        <v>3</v>
      </c>
      <c r="E2" s="117" t="s">
        <v>4</v>
      </c>
      <c r="F2" s="119" t="s">
        <v>5</v>
      </c>
      <c r="G2" s="117" t="s">
        <v>76</v>
      </c>
      <c r="H2" s="117" t="s">
        <v>6</v>
      </c>
      <c r="I2" s="116" t="s">
        <v>89</v>
      </c>
      <c r="J2" s="116" t="s">
        <v>74</v>
      </c>
      <c r="K2" s="120" t="s">
        <v>129</v>
      </c>
      <c r="L2" s="120" t="s">
        <v>131</v>
      </c>
      <c r="M2" s="120" t="s">
        <v>128</v>
      </c>
      <c r="N2" s="120" t="s">
        <v>130</v>
      </c>
      <c r="O2" s="120" t="s">
        <v>127</v>
      </c>
      <c r="P2" s="121" t="s">
        <v>136</v>
      </c>
      <c r="Q2" s="121" t="s">
        <v>137</v>
      </c>
      <c r="R2" s="121" t="s">
        <v>135</v>
      </c>
      <c r="S2" s="121" t="s">
        <v>133</v>
      </c>
      <c r="T2" s="121" t="s">
        <v>134</v>
      </c>
      <c r="U2" s="122" t="s">
        <v>7</v>
      </c>
      <c r="V2" s="123" t="s">
        <v>8</v>
      </c>
      <c r="W2" s="124" t="s">
        <v>9</v>
      </c>
      <c r="X2" s="125" t="s">
        <v>10</v>
      </c>
      <c r="Y2" s="126" t="s">
        <v>11</v>
      </c>
      <c r="Z2" s="127" t="s">
        <v>12</v>
      </c>
      <c r="AA2" s="127" t="s">
        <v>51</v>
      </c>
      <c r="AB2" s="127" t="s">
        <v>53</v>
      </c>
      <c r="AC2" s="127" t="s">
        <v>56</v>
      </c>
      <c r="AD2" s="127" t="s">
        <v>55</v>
      </c>
      <c r="AE2" s="127" t="s">
        <v>54</v>
      </c>
      <c r="AF2" s="127" t="s">
        <v>57</v>
      </c>
      <c r="AG2" s="127" t="s">
        <v>52</v>
      </c>
      <c r="AH2" s="116" t="s">
        <v>13</v>
      </c>
      <c r="AI2" s="116" t="s">
        <v>14</v>
      </c>
      <c r="AJ2" s="116" t="s">
        <v>15</v>
      </c>
      <c r="AK2" s="134" t="s">
        <v>16</v>
      </c>
      <c r="AL2" s="134" t="s">
        <v>17</v>
      </c>
      <c r="AM2" s="134" t="s">
        <v>18</v>
      </c>
      <c r="AN2" s="135" t="s">
        <v>19</v>
      </c>
      <c r="AO2" s="135" t="s">
        <v>69</v>
      </c>
      <c r="AP2" s="136" t="s">
        <v>157</v>
      </c>
      <c r="AQ2" s="136" t="s">
        <v>158</v>
      </c>
      <c r="AR2" s="136" t="s">
        <v>62</v>
      </c>
      <c r="AS2" s="136" t="s">
        <v>138</v>
      </c>
      <c r="AT2" s="136" t="s">
        <v>139</v>
      </c>
      <c r="AU2" s="128"/>
      <c r="AV2" s="128"/>
      <c r="AW2" s="214" t="s">
        <v>195</v>
      </c>
      <c r="AX2" t="s">
        <v>198</v>
      </c>
      <c r="AY2" t="s">
        <v>199</v>
      </c>
    </row>
    <row r="3" spans="1:51" ht="14.4" x14ac:dyDescent="0.3">
      <c r="A3" s="132">
        <v>1</v>
      </c>
      <c r="B3" s="92">
        <v>46099</v>
      </c>
      <c r="C3" s="6" t="s">
        <v>20</v>
      </c>
      <c r="D3" s="5" t="s">
        <v>92</v>
      </c>
      <c r="E3" s="7">
        <v>23</v>
      </c>
      <c r="F3" s="7">
        <v>77676</v>
      </c>
      <c r="G3" s="7" t="s">
        <v>77</v>
      </c>
      <c r="H3" s="7" t="s">
        <v>21</v>
      </c>
      <c r="I3" s="8" t="s">
        <v>78</v>
      </c>
      <c r="J3" s="8" t="s">
        <v>78</v>
      </c>
      <c r="K3" s="140">
        <v>49460</v>
      </c>
      <c r="L3" s="140">
        <v>0</v>
      </c>
      <c r="M3" s="140">
        <f>K3-L3</f>
        <v>49460</v>
      </c>
      <c r="N3" s="8">
        <v>596</v>
      </c>
      <c r="O3" s="140">
        <f>M3-N3</f>
        <v>48864</v>
      </c>
      <c r="P3" s="15">
        <v>47807</v>
      </c>
      <c r="Q3" s="15">
        <v>0</v>
      </c>
      <c r="R3" s="15">
        <f>P3-Q3</f>
        <v>47807</v>
      </c>
      <c r="S3" s="15">
        <v>592</v>
      </c>
      <c r="T3" s="15">
        <f t="shared" ref="T3:T8" si="0">R3-S3</f>
        <v>47215</v>
      </c>
      <c r="U3" s="31">
        <v>11</v>
      </c>
      <c r="V3" s="172">
        <v>171</v>
      </c>
      <c r="W3" s="11">
        <v>45.23</v>
      </c>
      <c r="X3" s="15">
        <v>8.9</v>
      </c>
      <c r="Y3" s="6">
        <v>173</v>
      </c>
      <c r="Z3" s="12">
        <v>45.67</v>
      </c>
      <c r="AA3" s="12"/>
      <c r="AB3" s="12"/>
      <c r="AC3" s="12"/>
      <c r="AD3" s="12"/>
      <c r="AE3" s="12"/>
      <c r="AF3" s="12"/>
      <c r="AG3" s="12"/>
      <c r="AH3" s="13">
        <f t="shared" ref="AH3:AH17" si="1">(U3-X3)/100</f>
        <v>2.0999999999999998E-2</v>
      </c>
      <c r="AI3" s="9">
        <f>O3-T3</f>
        <v>1649</v>
      </c>
      <c r="AJ3" s="13">
        <f>AI3/O3</f>
        <v>3.3746725605762931E-2</v>
      </c>
      <c r="AK3" s="81">
        <v>638</v>
      </c>
      <c r="AL3" s="181">
        <v>592</v>
      </c>
      <c r="AM3" s="14" t="s">
        <v>22</v>
      </c>
      <c r="AN3" s="6" t="s">
        <v>24</v>
      </c>
      <c r="AO3" s="6" t="s">
        <v>3</v>
      </c>
      <c r="AP3" s="14"/>
      <c r="AQ3" s="14"/>
      <c r="AR3" s="14"/>
      <c r="AS3" s="14"/>
      <c r="AT3" s="28"/>
      <c r="AU3" s="61"/>
      <c r="AV3" s="28"/>
      <c r="AW3" s="215" t="s">
        <v>91</v>
      </c>
      <c r="AX3" s="216">
        <v>554648</v>
      </c>
      <c r="AY3" s="216">
        <v>530547</v>
      </c>
    </row>
    <row r="4" spans="1:51" ht="14.4" x14ac:dyDescent="0.3">
      <c r="A4" s="132">
        <v>2</v>
      </c>
      <c r="B4" s="92">
        <v>46106</v>
      </c>
      <c r="C4" s="6" t="s">
        <v>20</v>
      </c>
      <c r="D4" s="5" t="s">
        <v>92</v>
      </c>
      <c r="E4" s="7">
        <v>29</v>
      </c>
      <c r="F4" s="7">
        <v>82146</v>
      </c>
      <c r="G4" s="7" t="s">
        <v>77</v>
      </c>
      <c r="H4" s="7" t="s">
        <v>21</v>
      </c>
      <c r="I4" s="8" t="s">
        <v>78</v>
      </c>
      <c r="J4" s="8" t="s">
        <v>78</v>
      </c>
      <c r="K4" s="140">
        <v>39700</v>
      </c>
      <c r="L4" s="140">
        <v>0</v>
      </c>
      <c r="M4" s="140">
        <f t="shared" ref="M4" si="2">K4-L4</f>
        <v>39700</v>
      </c>
      <c r="N4" s="8">
        <v>467</v>
      </c>
      <c r="O4" s="140">
        <f t="shared" ref="O4" si="3">M4-N4</f>
        <v>39233</v>
      </c>
      <c r="P4" s="15">
        <v>38213.915999999997</v>
      </c>
      <c r="Q4" s="15">
        <v>0</v>
      </c>
      <c r="R4" s="15">
        <f t="shared" ref="R4:R7" si="4">P4-Q4</f>
        <v>38213.915999999997</v>
      </c>
      <c r="S4" s="15">
        <v>502</v>
      </c>
      <c r="T4" s="15">
        <f t="shared" si="0"/>
        <v>37711.915999999997</v>
      </c>
      <c r="U4" s="31">
        <v>12</v>
      </c>
      <c r="V4" s="172">
        <v>176</v>
      </c>
      <c r="W4" s="17">
        <v>45.05</v>
      </c>
      <c r="X4" s="15">
        <v>9.4</v>
      </c>
      <c r="Y4" s="6">
        <v>176</v>
      </c>
      <c r="Z4" s="12">
        <v>45.5</v>
      </c>
      <c r="AA4" s="12"/>
      <c r="AB4" s="12"/>
      <c r="AC4" s="12"/>
      <c r="AD4" s="12"/>
      <c r="AE4" s="12"/>
      <c r="AF4" s="12"/>
      <c r="AG4" s="12"/>
      <c r="AH4" s="13">
        <f t="shared" si="1"/>
        <v>2.5999999999999995E-2</v>
      </c>
      <c r="AI4" s="9">
        <f t="shared" ref="AI4:AI65" si="5">O4-T4</f>
        <v>1521.0840000000026</v>
      </c>
      <c r="AJ4" s="13">
        <f t="shared" ref="AJ4:AJ65" si="6">AI4/O4</f>
        <v>3.8770524813294995E-2</v>
      </c>
      <c r="AK4" s="81">
        <v>489</v>
      </c>
      <c r="AL4" s="181">
        <v>502</v>
      </c>
      <c r="AM4" s="14" t="s">
        <v>22</v>
      </c>
      <c r="AN4" s="6" t="s">
        <v>24</v>
      </c>
      <c r="AO4" s="6" t="s">
        <v>3</v>
      </c>
      <c r="AP4" s="14"/>
      <c r="AQ4" s="14"/>
      <c r="AR4" s="14"/>
      <c r="AS4" s="14"/>
      <c r="AT4" s="28"/>
      <c r="AU4" s="61"/>
      <c r="AV4" s="28"/>
      <c r="AW4" s="215" t="s">
        <v>92</v>
      </c>
      <c r="AX4" s="216">
        <v>131477</v>
      </c>
      <c r="AY4" s="216">
        <v>126201.916</v>
      </c>
    </row>
    <row r="5" spans="1:51" ht="14.4" x14ac:dyDescent="0.3">
      <c r="A5" s="132">
        <v>3</v>
      </c>
      <c r="B5" s="92">
        <v>46108</v>
      </c>
      <c r="C5" s="6" t="s">
        <v>20</v>
      </c>
      <c r="D5" s="5" t="s">
        <v>97</v>
      </c>
      <c r="E5" s="7">
        <v>5</v>
      </c>
      <c r="F5" s="7">
        <v>72564</v>
      </c>
      <c r="G5" s="7" t="s">
        <v>77</v>
      </c>
      <c r="H5" s="7" t="s">
        <v>23</v>
      </c>
      <c r="I5" s="8" t="s">
        <v>82</v>
      </c>
      <c r="J5" s="8" t="s">
        <v>82</v>
      </c>
      <c r="K5" s="140">
        <v>51840</v>
      </c>
      <c r="L5" s="140">
        <v>0</v>
      </c>
      <c r="M5" s="140">
        <f>K5-L5</f>
        <v>51840</v>
      </c>
      <c r="N5" s="8">
        <v>608</v>
      </c>
      <c r="O5" s="140">
        <f>M5-N5</f>
        <v>51232</v>
      </c>
      <c r="P5" s="15">
        <v>49643.807999999997</v>
      </c>
      <c r="Q5" s="15">
        <v>0</v>
      </c>
      <c r="R5" s="15">
        <f t="shared" si="4"/>
        <v>49643.807999999997</v>
      </c>
      <c r="S5" s="15">
        <v>699</v>
      </c>
      <c r="T5" s="15">
        <f t="shared" si="0"/>
        <v>48944.807999999997</v>
      </c>
      <c r="U5" s="31">
        <v>12</v>
      </c>
      <c r="V5" s="172">
        <v>157</v>
      </c>
      <c r="W5" s="11">
        <v>45.32</v>
      </c>
      <c r="X5" s="15">
        <v>8.9</v>
      </c>
      <c r="Y5" s="6">
        <v>160</v>
      </c>
      <c r="Z5" s="12">
        <v>45.49</v>
      </c>
      <c r="AA5" s="12"/>
      <c r="AB5" s="12"/>
      <c r="AC5" s="12"/>
      <c r="AD5" s="12"/>
      <c r="AE5" s="12"/>
      <c r="AF5" s="12"/>
      <c r="AG5" s="12"/>
      <c r="AH5" s="13">
        <f t="shared" si="1"/>
        <v>3.0999999999999996E-2</v>
      </c>
      <c r="AI5" s="9">
        <f t="shared" si="5"/>
        <v>2287.1920000000027</v>
      </c>
      <c r="AJ5" s="13">
        <f t="shared" si="6"/>
        <v>4.464381636477207E-2</v>
      </c>
      <c r="AK5" s="81">
        <v>615</v>
      </c>
      <c r="AL5" s="181">
        <v>699</v>
      </c>
      <c r="AM5" s="14" t="s">
        <v>22</v>
      </c>
      <c r="AN5" s="6" t="s">
        <v>24</v>
      </c>
      <c r="AO5" s="6" t="s">
        <v>3</v>
      </c>
      <c r="AP5" s="14"/>
      <c r="AQ5" s="14"/>
      <c r="AR5" s="14"/>
      <c r="AS5" s="14"/>
      <c r="AT5" s="28"/>
      <c r="AU5" s="61"/>
      <c r="AV5" s="28"/>
      <c r="AW5" s="215" t="s">
        <v>94</v>
      </c>
      <c r="AX5" s="216">
        <v>41220</v>
      </c>
      <c r="AY5" s="216">
        <v>39785</v>
      </c>
    </row>
    <row r="6" spans="1:51" ht="14.4" x14ac:dyDescent="0.3">
      <c r="A6" s="132">
        <v>4</v>
      </c>
      <c r="B6" s="92">
        <v>46109</v>
      </c>
      <c r="C6" s="6" t="s">
        <v>20</v>
      </c>
      <c r="D6" s="96" t="s">
        <v>98</v>
      </c>
      <c r="E6" s="7">
        <v>20</v>
      </c>
      <c r="F6" s="7">
        <v>72566</v>
      </c>
      <c r="G6" s="7" t="s">
        <v>77</v>
      </c>
      <c r="H6" s="7" t="s">
        <v>23</v>
      </c>
      <c r="I6" s="8" t="s">
        <v>84</v>
      </c>
      <c r="J6" s="8" t="s">
        <v>84</v>
      </c>
      <c r="K6" s="140">
        <v>38380</v>
      </c>
      <c r="L6" s="140">
        <v>0</v>
      </c>
      <c r="M6" s="140">
        <f t="shared" ref="M6" si="7">K6-L6</f>
        <v>38380</v>
      </c>
      <c r="N6" s="8">
        <v>537</v>
      </c>
      <c r="O6" s="140">
        <f t="shared" ref="O6" si="8">M6-N6</f>
        <v>37843</v>
      </c>
      <c r="P6" s="15">
        <v>36783.396000000001</v>
      </c>
      <c r="Q6" s="15">
        <v>0</v>
      </c>
      <c r="R6" s="15">
        <f t="shared" si="4"/>
        <v>36783.396000000001</v>
      </c>
      <c r="S6" s="15">
        <v>530</v>
      </c>
      <c r="T6" s="15">
        <f t="shared" si="0"/>
        <v>36253.396000000001</v>
      </c>
      <c r="U6" s="31">
        <v>11.7</v>
      </c>
      <c r="V6" s="172">
        <v>174</v>
      </c>
      <c r="W6" s="11">
        <v>43.82</v>
      </c>
      <c r="X6" s="15">
        <v>8.9</v>
      </c>
      <c r="Y6" s="6">
        <v>172</v>
      </c>
      <c r="Z6" s="12">
        <v>43.91</v>
      </c>
      <c r="AA6" s="12"/>
      <c r="AB6" s="12"/>
      <c r="AC6" s="12"/>
      <c r="AD6" s="12"/>
      <c r="AE6" s="12"/>
      <c r="AF6" s="12"/>
      <c r="AG6" s="12"/>
      <c r="AH6" s="13">
        <f t="shared" si="1"/>
        <v>2.799999999999999E-2</v>
      </c>
      <c r="AI6" s="9">
        <f t="shared" si="5"/>
        <v>1589.6039999999994</v>
      </c>
      <c r="AJ6" s="13">
        <f t="shared" si="6"/>
        <v>4.2005232143328998E-2</v>
      </c>
      <c r="AK6" s="81">
        <v>537</v>
      </c>
      <c r="AL6" s="181">
        <v>530</v>
      </c>
      <c r="AM6" s="14" t="s">
        <v>22</v>
      </c>
      <c r="AN6" s="6" t="s">
        <v>24</v>
      </c>
      <c r="AO6" s="6" t="s">
        <v>3</v>
      </c>
      <c r="AP6" s="14"/>
      <c r="AQ6" s="14"/>
      <c r="AR6" s="14"/>
      <c r="AS6" s="14"/>
      <c r="AT6" s="28"/>
      <c r="AU6" s="61"/>
      <c r="AV6" s="28"/>
      <c r="AW6" s="215" t="s">
        <v>93</v>
      </c>
      <c r="AX6" s="216">
        <v>122091</v>
      </c>
      <c r="AY6" s="216">
        <v>119602</v>
      </c>
    </row>
    <row r="7" spans="1:51" ht="14.4" x14ac:dyDescent="0.3">
      <c r="A7" s="132">
        <v>5</v>
      </c>
      <c r="B7" s="92">
        <v>46109</v>
      </c>
      <c r="C7" s="6" t="s">
        <v>20</v>
      </c>
      <c r="D7" s="5" t="s">
        <v>91</v>
      </c>
      <c r="E7" s="7">
        <v>56</v>
      </c>
      <c r="F7" s="7">
        <v>82495</v>
      </c>
      <c r="G7" s="7" t="s">
        <v>77</v>
      </c>
      <c r="H7" s="7" t="s">
        <v>21</v>
      </c>
      <c r="I7" s="16" t="s">
        <v>75</v>
      </c>
      <c r="J7" s="16" t="s">
        <v>75</v>
      </c>
      <c r="K7" s="140">
        <v>46120</v>
      </c>
      <c r="L7" s="140">
        <v>0</v>
      </c>
      <c r="M7" s="140">
        <f t="shared" ref="M7:M28" si="9">K7-L7</f>
        <v>46120</v>
      </c>
      <c r="N7" s="8">
        <v>530</v>
      </c>
      <c r="O7" s="140">
        <f t="shared" ref="O7:O28" si="10">M7-N7</f>
        <v>45590</v>
      </c>
      <c r="P7" s="15">
        <v>43876</v>
      </c>
      <c r="Q7" s="15">
        <v>0</v>
      </c>
      <c r="R7" s="15">
        <f t="shared" si="4"/>
        <v>43876</v>
      </c>
      <c r="S7" s="15">
        <v>601</v>
      </c>
      <c r="T7" s="15">
        <f t="shared" si="0"/>
        <v>43275</v>
      </c>
      <c r="U7" s="31">
        <v>11.2</v>
      </c>
      <c r="V7" s="172">
        <v>183</v>
      </c>
      <c r="W7" s="17">
        <v>44.35</v>
      </c>
      <c r="X7" s="15">
        <v>9.3000000000000007</v>
      </c>
      <c r="Y7" s="6">
        <v>184</v>
      </c>
      <c r="Z7" s="12">
        <v>44.7</v>
      </c>
      <c r="AA7" s="12"/>
      <c r="AB7" s="12"/>
      <c r="AC7" s="12"/>
      <c r="AD7" s="12"/>
      <c r="AE7" s="12"/>
      <c r="AF7" s="12"/>
      <c r="AG7" s="12"/>
      <c r="AH7" s="13">
        <f t="shared" si="1"/>
        <v>1.8999999999999986E-2</v>
      </c>
      <c r="AI7" s="9">
        <f t="shared" si="5"/>
        <v>2315</v>
      </c>
      <c r="AJ7" s="13">
        <f t="shared" si="6"/>
        <v>5.0778679534985743E-2</v>
      </c>
      <c r="AK7" s="81">
        <v>538</v>
      </c>
      <c r="AL7" s="181">
        <v>601</v>
      </c>
      <c r="AM7" s="14" t="s">
        <v>22</v>
      </c>
      <c r="AN7" s="6" t="s">
        <v>24</v>
      </c>
      <c r="AO7" s="6" t="s">
        <v>3</v>
      </c>
      <c r="AP7" s="14"/>
      <c r="AQ7" s="14"/>
      <c r="AR7" s="14"/>
      <c r="AS7" s="14"/>
      <c r="AT7" s="28" t="s">
        <v>105</v>
      </c>
      <c r="AU7" s="61"/>
      <c r="AV7" s="28"/>
      <c r="AW7" s="215" t="s">
        <v>88</v>
      </c>
      <c r="AX7" s="216">
        <v>587959.6</v>
      </c>
      <c r="AY7" s="216">
        <v>580102.19999999995</v>
      </c>
    </row>
    <row r="8" spans="1:51" ht="14.4" x14ac:dyDescent="0.3">
      <c r="A8" s="132">
        <v>6</v>
      </c>
      <c r="B8" s="92">
        <v>46114</v>
      </c>
      <c r="C8" s="6" t="s">
        <v>20</v>
      </c>
      <c r="D8" s="5" t="s">
        <v>94</v>
      </c>
      <c r="E8" s="7">
        <v>61</v>
      </c>
      <c r="F8" s="7">
        <v>83411</v>
      </c>
      <c r="G8" s="7" t="s">
        <v>77</v>
      </c>
      <c r="H8" s="7" t="s">
        <v>21</v>
      </c>
      <c r="I8" s="16" t="s">
        <v>81</v>
      </c>
      <c r="J8" s="16" t="s">
        <v>81</v>
      </c>
      <c r="K8" s="140">
        <v>41780</v>
      </c>
      <c r="L8" s="140">
        <v>0</v>
      </c>
      <c r="M8" s="140">
        <f t="shared" si="9"/>
        <v>41780</v>
      </c>
      <c r="N8" s="8">
        <v>560</v>
      </c>
      <c r="O8" s="140">
        <f t="shared" si="10"/>
        <v>41220</v>
      </c>
      <c r="P8" s="15">
        <v>42642</v>
      </c>
      <c r="Q8" s="15">
        <v>2280</v>
      </c>
      <c r="R8" s="15">
        <f>P8-Q8</f>
        <v>40362</v>
      </c>
      <c r="S8" s="15">
        <v>577</v>
      </c>
      <c r="T8" s="15">
        <f t="shared" si="0"/>
        <v>39785</v>
      </c>
      <c r="U8" s="31">
        <v>10.1</v>
      </c>
      <c r="V8" s="172">
        <v>185</v>
      </c>
      <c r="W8" s="17">
        <v>46.2</v>
      </c>
      <c r="X8" s="15">
        <v>8.5</v>
      </c>
      <c r="Y8" s="6">
        <v>170</v>
      </c>
      <c r="Z8" s="12">
        <v>46.2</v>
      </c>
      <c r="AA8" s="12"/>
      <c r="AB8" s="12"/>
      <c r="AC8" s="12"/>
      <c r="AD8" s="12"/>
      <c r="AE8" s="12"/>
      <c r="AF8" s="12"/>
      <c r="AG8" s="12"/>
      <c r="AH8" s="13">
        <f t="shared" si="1"/>
        <v>1.5999999999999997E-2</v>
      </c>
      <c r="AI8" s="9">
        <f t="shared" si="5"/>
        <v>1435</v>
      </c>
      <c r="AJ8" s="13">
        <f t="shared" si="6"/>
        <v>3.4813197476952933E-2</v>
      </c>
      <c r="AK8" s="81">
        <v>568</v>
      </c>
      <c r="AL8" s="181">
        <v>577</v>
      </c>
      <c r="AM8" s="14" t="s">
        <v>22</v>
      </c>
      <c r="AN8" s="6" t="s">
        <v>24</v>
      </c>
      <c r="AO8" s="6" t="s">
        <v>3</v>
      </c>
      <c r="AP8" s="14"/>
      <c r="AQ8" s="14"/>
      <c r="AR8" s="14"/>
      <c r="AS8" s="14"/>
      <c r="AT8" s="28"/>
      <c r="AU8" s="61"/>
      <c r="AV8" s="28"/>
      <c r="AW8" s="215" t="s">
        <v>120</v>
      </c>
      <c r="AX8" s="216">
        <v>320974.19999999995</v>
      </c>
      <c r="AY8" s="216">
        <v>315527.7</v>
      </c>
    </row>
    <row r="9" spans="1:51" ht="14.4" x14ac:dyDescent="0.3">
      <c r="A9" s="132">
        <v>7</v>
      </c>
      <c r="B9" s="92">
        <v>46115</v>
      </c>
      <c r="C9" s="6" t="s">
        <v>20</v>
      </c>
      <c r="D9" s="5" t="s">
        <v>92</v>
      </c>
      <c r="E9" s="7">
        <v>64</v>
      </c>
      <c r="F9" s="7">
        <v>82496</v>
      </c>
      <c r="G9" s="7" t="s">
        <v>77</v>
      </c>
      <c r="H9" s="7" t="s">
        <v>21</v>
      </c>
      <c r="I9" s="8" t="s">
        <v>78</v>
      </c>
      <c r="J9" s="16" t="s">
        <v>78</v>
      </c>
      <c r="K9" s="140">
        <v>43880</v>
      </c>
      <c r="L9" s="140">
        <v>0</v>
      </c>
      <c r="M9" s="140">
        <f t="shared" si="9"/>
        <v>43880</v>
      </c>
      <c r="N9" s="8">
        <v>500</v>
      </c>
      <c r="O9" s="140">
        <f t="shared" si="10"/>
        <v>43380</v>
      </c>
      <c r="P9" s="15">
        <v>44295</v>
      </c>
      <c r="Q9" s="15">
        <v>2470</v>
      </c>
      <c r="R9" s="15">
        <f t="shared" ref="R9:R60" si="11">P9-Q9</f>
        <v>41825</v>
      </c>
      <c r="S9" s="15">
        <v>550</v>
      </c>
      <c r="T9" s="15">
        <f t="shared" ref="T9:T56" si="12">R9-S9</f>
        <v>41275</v>
      </c>
      <c r="U9" s="31">
        <v>11.8</v>
      </c>
      <c r="V9" s="172">
        <v>177</v>
      </c>
      <c r="W9" s="17">
        <v>44.44</v>
      </c>
      <c r="X9" s="98">
        <v>9.1999999999999993</v>
      </c>
      <c r="Y9" s="18">
        <v>176</v>
      </c>
      <c r="Z9" s="17">
        <v>45.2</v>
      </c>
      <c r="AA9" s="17"/>
      <c r="AB9" s="17"/>
      <c r="AC9" s="17"/>
      <c r="AD9" s="17"/>
      <c r="AE9" s="17"/>
      <c r="AF9" s="17"/>
      <c r="AG9" s="17"/>
      <c r="AH9" s="13">
        <f t="shared" si="1"/>
        <v>2.6000000000000013E-2</v>
      </c>
      <c r="AI9" s="9">
        <f t="shared" si="5"/>
        <v>2105</v>
      </c>
      <c r="AJ9" s="13">
        <f t="shared" si="6"/>
        <v>4.8524665744582758E-2</v>
      </c>
      <c r="AK9" s="81">
        <v>509</v>
      </c>
      <c r="AL9" s="181">
        <v>550</v>
      </c>
      <c r="AM9" s="14" t="s">
        <v>22</v>
      </c>
      <c r="AN9" s="6" t="s">
        <v>24</v>
      </c>
      <c r="AO9" s="6" t="s">
        <v>3</v>
      </c>
      <c r="AP9" s="14"/>
      <c r="AQ9" s="14"/>
      <c r="AR9" s="14"/>
      <c r="AS9" s="14"/>
      <c r="AT9" s="28"/>
      <c r="AU9" s="61"/>
      <c r="AV9" s="28"/>
      <c r="AW9" s="215" t="s">
        <v>97</v>
      </c>
      <c r="AX9" s="216">
        <v>51232</v>
      </c>
      <c r="AY9" s="216">
        <v>48944.807999999997</v>
      </c>
    </row>
    <row r="10" spans="1:51" ht="14.4" x14ac:dyDescent="0.3">
      <c r="A10" s="132">
        <v>8</v>
      </c>
      <c r="B10" s="92">
        <v>46120</v>
      </c>
      <c r="C10" s="6" t="s">
        <v>20</v>
      </c>
      <c r="D10" s="5" t="s">
        <v>96</v>
      </c>
      <c r="E10" s="21">
        <v>67</v>
      </c>
      <c r="F10" s="21">
        <v>87134</v>
      </c>
      <c r="G10" s="21" t="s">
        <v>77</v>
      </c>
      <c r="H10" s="21" t="s">
        <v>21</v>
      </c>
      <c r="I10" s="8" t="s">
        <v>80</v>
      </c>
      <c r="J10" s="22" t="s">
        <v>80</v>
      </c>
      <c r="K10" s="140">
        <v>37160</v>
      </c>
      <c r="L10" s="140">
        <v>0</v>
      </c>
      <c r="M10" s="140">
        <f t="shared" si="9"/>
        <v>37160</v>
      </c>
      <c r="N10" s="8">
        <v>454</v>
      </c>
      <c r="O10" s="140">
        <f t="shared" si="10"/>
        <v>36706</v>
      </c>
      <c r="P10" s="15">
        <v>37911</v>
      </c>
      <c r="Q10" s="15">
        <v>2050</v>
      </c>
      <c r="R10" s="15">
        <f t="shared" si="11"/>
        <v>35861</v>
      </c>
      <c r="S10" s="15">
        <v>477</v>
      </c>
      <c r="T10" s="15">
        <f t="shared" si="12"/>
        <v>35384</v>
      </c>
      <c r="U10" s="31">
        <v>11</v>
      </c>
      <c r="V10" s="175">
        <v>170</v>
      </c>
      <c r="W10" s="10">
        <v>45.15</v>
      </c>
      <c r="X10" s="31">
        <v>8.3000000000000007</v>
      </c>
      <c r="Y10" s="25">
        <v>173</v>
      </c>
      <c r="Z10" s="10">
        <v>45.85</v>
      </c>
      <c r="AA10" s="10"/>
      <c r="AB10" s="10"/>
      <c r="AC10" s="10"/>
      <c r="AD10" s="10"/>
      <c r="AE10" s="10"/>
      <c r="AF10" s="10"/>
      <c r="AG10" s="10"/>
      <c r="AH10" s="26">
        <f t="shared" si="1"/>
        <v>2.6999999999999993E-2</v>
      </c>
      <c r="AI10" s="9">
        <f t="shared" si="5"/>
        <v>1322</v>
      </c>
      <c r="AJ10" s="13">
        <f t="shared" si="6"/>
        <v>3.6015910205416009E-2</v>
      </c>
      <c r="AK10" s="182">
        <v>463</v>
      </c>
      <c r="AL10" s="183">
        <v>477</v>
      </c>
      <c r="AM10" s="14" t="s">
        <v>22</v>
      </c>
      <c r="AN10" s="6" t="s">
        <v>24</v>
      </c>
      <c r="AO10" s="6" t="s">
        <v>3</v>
      </c>
      <c r="AP10" s="27"/>
      <c r="AQ10" s="27"/>
      <c r="AR10" s="27"/>
      <c r="AS10" s="14"/>
      <c r="AT10" s="28"/>
      <c r="AU10" s="61"/>
      <c r="AV10" s="28"/>
      <c r="AW10" s="215" t="s">
        <v>90</v>
      </c>
      <c r="AX10" s="216">
        <v>667561</v>
      </c>
      <c r="AY10" s="216">
        <v>646363</v>
      </c>
    </row>
    <row r="11" spans="1:51" ht="14.4" x14ac:dyDescent="0.3">
      <c r="A11" s="132">
        <v>9</v>
      </c>
      <c r="B11" s="92">
        <v>46123</v>
      </c>
      <c r="C11" s="6" t="s">
        <v>20</v>
      </c>
      <c r="D11" s="5" t="s">
        <v>91</v>
      </c>
      <c r="E11" s="21">
        <v>72</v>
      </c>
      <c r="F11" s="21">
        <v>87139</v>
      </c>
      <c r="G11" s="21" t="s">
        <v>77</v>
      </c>
      <c r="H11" s="21" t="s">
        <v>21</v>
      </c>
      <c r="I11" s="16" t="s">
        <v>75</v>
      </c>
      <c r="J11" s="22" t="s">
        <v>75</v>
      </c>
      <c r="K11" s="140">
        <v>54260</v>
      </c>
      <c r="L11" s="140">
        <v>0</v>
      </c>
      <c r="M11" s="140">
        <f t="shared" si="9"/>
        <v>54260</v>
      </c>
      <c r="N11" s="8">
        <v>706</v>
      </c>
      <c r="O11" s="140">
        <f t="shared" si="10"/>
        <v>53554</v>
      </c>
      <c r="P11" s="15">
        <v>55007</v>
      </c>
      <c r="Q11" s="15">
        <v>2945</v>
      </c>
      <c r="R11" s="15">
        <f t="shared" si="11"/>
        <v>52062</v>
      </c>
      <c r="S11" s="15">
        <v>712</v>
      </c>
      <c r="T11" s="15">
        <f t="shared" si="12"/>
        <v>51350</v>
      </c>
      <c r="U11" s="31">
        <v>10.1</v>
      </c>
      <c r="V11" s="175">
        <v>183</v>
      </c>
      <c r="W11" s="10">
        <v>44.09</v>
      </c>
      <c r="X11" s="31">
        <v>8</v>
      </c>
      <c r="Y11" s="25">
        <v>181</v>
      </c>
      <c r="Z11" s="10">
        <v>44.26</v>
      </c>
      <c r="AA11" s="10"/>
      <c r="AB11" s="10"/>
      <c r="AC11" s="10"/>
      <c r="AD11" s="10"/>
      <c r="AE11" s="10"/>
      <c r="AF11" s="10"/>
      <c r="AG11" s="10"/>
      <c r="AH11" s="26">
        <f t="shared" si="1"/>
        <v>2.0999999999999998E-2</v>
      </c>
      <c r="AI11" s="9">
        <f t="shared" si="5"/>
        <v>2204</v>
      </c>
      <c r="AJ11" s="13">
        <f t="shared" si="6"/>
        <v>4.1154722336333417E-2</v>
      </c>
      <c r="AK11" s="182">
        <v>721</v>
      </c>
      <c r="AL11" s="183">
        <v>712</v>
      </c>
      <c r="AM11" s="14" t="s">
        <v>22</v>
      </c>
      <c r="AN11" s="6" t="s">
        <v>24</v>
      </c>
      <c r="AO11" s="6" t="s">
        <v>3</v>
      </c>
      <c r="AP11" s="27"/>
      <c r="AQ11" s="27"/>
      <c r="AR11" s="27"/>
      <c r="AS11" s="14"/>
      <c r="AT11" s="28" t="s">
        <v>105</v>
      </c>
      <c r="AU11" s="61"/>
      <c r="AV11" s="28"/>
      <c r="AW11" s="215" t="s">
        <v>99</v>
      </c>
      <c r="AX11" s="216">
        <v>55476</v>
      </c>
      <c r="AY11" s="216">
        <v>54448</v>
      </c>
    </row>
    <row r="12" spans="1:51" ht="14.4" x14ac:dyDescent="0.3">
      <c r="A12" s="132">
        <v>10</v>
      </c>
      <c r="B12" s="92">
        <v>46124</v>
      </c>
      <c r="C12" s="6" t="s">
        <v>20</v>
      </c>
      <c r="D12" s="5" t="s">
        <v>91</v>
      </c>
      <c r="E12" s="21">
        <v>76</v>
      </c>
      <c r="F12" s="21">
        <v>78911</v>
      </c>
      <c r="G12" s="21" t="s">
        <v>77</v>
      </c>
      <c r="H12" s="21" t="s">
        <v>21</v>
      </c>
      <c r="I12" s="16" t="s">
        <v>75</v>
      </c>
      <c r="J12" s="22" t="s">
        <v>75</v>
      </c>
      <c r="K12" s="140">
        <v>47640</v>
      </c>
      <c r="L12" s="140">
        <v>0</v>
      </c>
      <c r="M12" s="140">
        <f t="shared" si="9"/>
        <v>47640</v>
      </c>
      <c r="N12" s="8">
        <v>658</v>
      </c>
      <c r="O12" s="140">
        <f t="shared" si="10"/>
        <v>46982</v>
      </c>
      <c r="P12" s="15">
        <v>48274</v>
      </c>
      <c r="Q12" s="15">
        <v>2660</v>
      </c>
      <c r="R12" s="15">
        <f t="shared" si="11"/>
        <v>45614</v>
      </c>
      <c r="S12" s="15">
        <v>648</v>
      </c>
      <c r="T12" s="15">
        <f t="shared" si="12"/>
        <v>44966</v>
      </c>
      <c r="U12" s="31">
        <v>10.1</v>
      </c>
      <c r="V12" s="175">
        <v>185</v>
      </c>
      <c r="W12" s="10">
        <v>44.26</v>
      </c>
      <c r="X12" s="31">
        <v>8.3000000000000007</v>
      </c>
      <c r="Y12" s="25">
        <v>179</v>
      </c>
      <c r="Z12" s="10">
        <v>44.53</v>
      </c>
      <c r="AA12" s="10"/>
      <c r="AB12" s="10"/>
      <c r="AC12" s="10"/>
      <c r="AD12" s="10"/>
      <c r="AE12" s="10"/>
      <c r="AF12" s="10"/>
      <c r="AG12" s="10"/>
      <c r="AH12" s="26">
        <f t="shared" si="1"/>
        <v>1.7999999999999988E-2</v>
      </c>
      <c r="AI12" s="9">
        <f t="shared" si="5"/>
        <v>2016</v>
      </c>
      <c r="AJ12" s="13">
        <f t="shared" si="6"/>
        <v>4.2910050657698692E-2</v>
      </c>
      <c r="AK12" s="182">
        <v>658</v>
      </c>
      <c r="AL12" s="183">
        <v>648</v>
      </c>
      <c r="AM12" s="14" t="s">
        <v>22</v>
      </c>
      <c r="AN12" s="6" t="s">
        <v>24</v>
      </c>
      <c r="AO12" s="6" t="s">
        <v>3</v>
      </c>
      <c r="AP12" s="27"/>
      <c r="AQ12" s="27"/>
      <c r="AR12" s="27"/>
      <c r="AS12" s="14"/>
      <c r="AT12" s="28" t="s">
        <v>105</v>
      </c>
      <c r="AU12" s="61"/>
      <c r="AV12" s="28"/>
      <c r="AW12" s="215" t="s">
        <v>111</v>
      </c>
      <c r="AX12" s="216">
        <v>37217</v>
      </c>
      <c r="AY12" s="216">
        <v>36341</v>
      </c>
    </row>
    <row r="13" spans="1:51" ht="14.4" x14ac:dyDescent="0.3">
      <c r="A13" s="132">
        <v>11</v>
      </c>
      <c r="B13" s="92">
        <v>46125</v>
      </c>
      <c r="C13" s="6" t="s">
        <v>20</v>
      </c>
      <c r="D13" s="5" t="s">
        <v>91</v>
      </c>
      <c r="E13" s="21">
        <v>79</v>
      </c>
      <c r="F13" s="21">
        <v>37970</v>
      </c>
      <c r="G13" s="21" t="s">
        <v>77</v>
      </c>
      <c r="H13" s="21" t="s">
        <v>21</v>
      </c>
      <c r="I13" s="16" t="s">
        <v>75</v>
      </c>
      <c r="J13" s="22" t="s">
        <v>75</v>
      </c>
      <c r="K13" s="140">
        <v>42110</v>
      </c>
      <c r="L13" s="140">
        <v>0</v>
      </c>
      <c r="M13" s="140">
        <f t="shared" si="9"/>
        <v>42110</v>
      </c>
      <c r="N13" s="8">
        <v>488</v>
      </c>
      <c r="O13" s="140">
        <f t="shared" si="10"/>
        <v>41622</v>
      </c>
      <c r="P13" s="15">
        <v>42671</v>
      </c>
      <c r="Q13" s="15">
        <v>2280</v>
      </c>
      <c r="R13" s="15">
        <f t="shared" si="11"/>
        <v>40391</v>
      </c>
      <c r="S13" s="15">
        <v>542</v>
      </c>
      <c r="T13" s="15">
        <f t="shared" si="12"/>
        <v>39849</v>
      </c>
      <c r="U13" s="31">
        <v>13.7</v>
      </c>
      <c r="V13" s="175">
        <v>160</v>
      </c>
      <c r="W13" s="10">
        <v>43.56</v>
      </c>
      <c r="X13" s="31">
        <v>9.6999999999999993</v>
      </c>
      <c r="Y13" s="25">
        <v>163</v>
      </c>
      <c r="Z13" s="10">
        <v>44</v>
      </c>
      <c r="AA13" s="10"/>
      <c r="AB13" s="10"/>
      <c r="AC13" s="10"/>
      <c r="AD13" s="10"/>
      <c r="AE13" s="10"/>
      <c r="AF13" s="10"/>
      <c r="AG13" s="10"/>
      <c r="AH13" s="26">
        <f t="shared" si="1"/>
        <v>0.04</v>
      </c>
      <c r="AI13" s="9">
        <f t="shared" si="5"/>
        <v>1773</v>
      </c>
      <c r="AJ13" s="13">
        <f t="shared" si="6"/>
        <v>4.259766469655471E-2</v>
      </c>
      <c r="AK13" s="182">
        <v>488</v>
      </c>
      <c r="AL13" s="183">
        <v>542</v>
      </c>
      <c r="AM13" s="27" t="s">
        <v>22</v>
      </c>
      <c r="AN13" s="20" t="s">
        <v>24</v>
      </c>
      <c r="AO13" s="20" t="s">
        <v>3</v>
      </c>
      <c r="AP13" s="27"/>
      <c r="AQ13" s="27"/>
      <c r="AR13" s="27"/>
      <c r="AS13" s="14"/>
      <c r="AT13" s="28" t="s">
        <v>105</v>
      </c>
      <c r="AU13" s="61"/>
      <c r="AV13" s="28"/>
      <c r="AW13" s="215" t="s">
        <v>68</v>
      </c>
      <c r="AX13" s="216">
        <v>1271107.5999999999</v>
      </c>
      <c r="AY13" s="216">
        <v>1245576</v>
      </c>
    </row>
    <row r="14" spans="1:51" ht="14.4" x14ac:dyDescent="0.3">
      <c r="A14" s="132">
        <v>12</v>
      </c>
      <c r="B14" s="92">
        <v>46128</v>
      </c>
      <c r="C14" s="6" t="s">
        <v>20</v>
      </c>
      <c r="D14" s="5" t="s">
        <v>91</v>
      </c>
      <c r="E14" s="21">
        <v>102</v>
      </c>
      <c r="F14" s="21">
        <v>78869</v>
      </c>
      <c r="G14" s="21" t="s">
        <v>77</v>
      </c>
      <c r="H14" s="21" t="s">
        <v>21</v>
      </c>
      <c r="I14" s="16" t="s">
        <v>75</v>
      </c>
      <c r="J14" s="22" t="s">
        <v>75</v>
      </c>
      <c r="K14" s="140">
        <v>49690</v>
      </c>
      <c r="L14" s="140">
        <v>0</v>
      </c>
      <c r="M14" s="140">
        <f t="shared" si="9"/>
        <v>49690</v>
      </c>
      <c r="N14" s="8">
        <v>684</v>
      </c>
      <c r="O14" s="140">
        <f t="shared" si="10"/>
        <v>49006</v>
      </c>
      <c r="P14" s="15">
        <v>50005</v>
      </c>
      <c r="Q14" s="15">
        <v>2575</v>
      </c>
      <c r="R14" s="15">
        <f t="shared" si="11"/>
        <v>47430</v>
      </c>
      <c r="S14" s="15">
        <v>674</v>
      </c>
      <c r="T14" s="15">
        <f t="shared" si="12"/>
        <v>46756</v>
      </c>
      <c r="U14" s="31">
        <v>11.2</v>
      </c>
      <c r="V14" s="175">
        <v>181</v>
      </c>
      <c r="W14" s="10">
        <v>43.56</v>
      </c>
      <c r="X14" s="31">
        <v>9.4</v>
      </c>
      <c r="Y14" s="25">
        <v>182</v>
      </c>
      <c r="Z14" s="10">
        <v>44</v>
      </c>
      <c r="AA14" s="10"/>
      <c r="AB14" s="10"/>
      <c r="AC14" s="10"/>
      <c r="AD14" s="10"/>
      <c r="AE14" s="10"/>
      <c r="AF14" s="10"/>
      <c r="AG14" s="10"/>
      <c r="AH14" s="26">
        <f t="shared" si="1"/>
        <v>1.7999999999999988E-2</v>
      </c>
      <c r="AI14" s="9">
        <f t="shared" si="5"/>
        <v>2250</v>
      </c>
      <c r="AJ14" s="13">
        <f t="shared" si="6"/>
        <v>4.5912745378116966E-2</v>
      </c>
      <c r="AK14" s="182">
        <v>691</v>
      </c>
      <c r="AL14" s="183">
        <v>674</v>
      </c>
      <c r="AM14" s="27" t="s">
        <v>22</v>
      </c>
      <c r="AN14" s="20" t="s">
        <v>24</v>
      </c>
      <c r="AO14" s="20" t="s">
        <v>3</v>
      </c>
      <c r="AP14" s="29"/>
      <c r="AQ14" s="29"/>
      <c r="AR14" s="29"/>
      <c r="AS14" s="14"/>
      <c r="AT14" s="28" t="s">
        <v>105</v>
      </c>
      <c r="AU14" s="61"/>
      <c r="AV14" s="28"/>
      <c r="AW14" s="215" t="s">
        <v>95</v>
      </c>
      <c r="AX14" s="216">
        <v>128866</v>
      </c>
      <c r="AY14" s="216">
        <v>124407</v>
      </c>
    </row>
    <row r="15" spans="1:51" ht="14.4" x14ac:dyDescent="0.3">
      <c r="A15" s="132">
        <v>13</v>
      </c>
      <c r="B15" s="92">
        <v>46129</v>
      </c>
      <c r="C15" s="36" t="s">
        <v>20</v>
      </c>
      <c r="D15" s="45" t="s">
        <v>90</v>
      </c>
      <c r="E15" s="37">
        <v>96</v>
      </c>
      <c r="F15" s="21">
        <v>89770</v>
      </c>
      <c r="G15" s="37" t="s">
        <v>77</v>
      </c>
      <c r="H15" s="37" t="s">
        <v>21</v>
      </c>
      <c r="I15" s="38" t="s">
        <v>85</v>
      </c>
      <c r="J15" s="100" t="s">
        <v>85</v>
      </c>
      <c r="K15" s="140">
        <v>50530</v>
      </c>
      <c r="L15" s="140">
        <v>0</v>
      </c>
      <c r="M15" s="140">
        <f t="shared" si="9"/>
        <v>50530</v>
      </c>
      <c r="N15" s="8">
        <v>598</v>
      </c>
      <c r="O15" s="140">
        <f t="shared" si="10"/>
        <v>49932</v>
      </c>
      <c r="P15" s="46">
        <v>51035</v>
      </c>
      <c r="Q15" s="46">
        <v>2660</v>
      </c>
      <c r="R15" s="15">
        <f t="shared" si="11"/>
        <v>48375</v>
      </c>
      <c r="S15" s="15">
        <v>644</v>
      </c>
      <c r="T15" s="15">
        <f t="shared" si="12"/>
        <v>47731</v>
      </c>
      <c r="U15" s="49">
        <v>11.1</v>
      </c>
      <c r="V15" s="176">
        <v>168</v>
      </c>
      <c r="W15" s="39">
        <v>42.58</v>
      </c>
      <c r="X15" s="49">
        <v>8.9</v>
      </c>
      <c r="Y15" s="40">
        <v>172</v>
      </c>
      <c r="Z15" s="39">
        <v>43.12</v>
      </c>
      <c r="AA15" s="39"/>
      <c r="AB15" s="39"/>
      <c r="AC15" s="39"/>
      <c r="AD15" s="39"/>
      <c r="AE15" s="39"/>
      <c r="AF15" s="39"/>
      <c r="AG15" s="39"/>
      <c r="AH15" s="41">
        <f t="shared" si="1"/>
        <v>2.1999999999999992E-2</v>
      </c>
      <c r="AI15" s="9">
        <f t="shared" si="5"/>
        <v>2201</v>
      </c>
      <c r="AJ15" s="13">
        <f t="shared" si="6"/>
        <v>4.4079948730273169E-2</v>
      </c>
      <c r="AK15" s="184">
        <v>612</v>
      </c>
      <c r="AL15" s="185">
        <v>644</v>
      </c>
      <c r="AM15" s="44" t="s">
        <v>22</v>
      </c>
      <c r="AN15" s="35" t="s">
        <v>24</v>
      </c>
      <c r="AO15" s="35" t="s">
        <v>25</v>
      </c>
      <c r="AP15" s="44"/>
      <c r="AQ15" s="44"/>
      <c r="AR15" s="44"/>
      <c r="AS15" s="52" t="s">
        <v>25</v>
      </c>
      <c r="AT15" s="99" t="s">
        <v>104</v>
      </c>
      <c r="AU15" s="61"/>
      <c r="AV15" s="28"/>
      <c r="AW15" s="215" t="s">
        <v>96</v>
      </c>
      <c r="AX15" s="216">
        <v>36706</v>
      </c>
      <c r="AY15" s="216">
        <v>35384</v>
      </c>
    </row>
    <row r="16" spans="1:51" ht="14.4" x14ac:dyDescent="0.3">
      <c r="A16" s="132">
        <v>14</v>
      </c>
      <c r="B16" s="92">
        <v>46130</v>
      </c>
      <c r="C16" s="36" t="s">
        <v>20</v>
      </c>
      <c r="D16" s="45" t="s">
        <v>90</v>
      </c>
      <c r="E16" s="37">
        <v>95</v>
      </c>
      <c r="F16" s="21">
        <v>89781</v>
      </c>
      <c r="G16" s="37" t="s">
        <v>77</v>
      </c>
      <c r="H16" s="37" t="s">
        <v>21</v>
      </c>
      <c r="I16" s="38" t="s">
        <v>85</v>
      </c>
      <c r="J16" s="100" t="s">
        <v>85</v>
      </c>
      <c r="K16" s="140">
        <v>50350</v>
      </c>
      <c r="L16" s="140">
        <v>0</v>
      </c>
      <c r="M16" s="140">
        <f t="shared" si="9"/>
        <v>50350</v>
      </c>
      <c r="N16" s="8">
        <v>604</v>
      </c>
      <c r="O16" s="140">
        <f t="shared" si="10"/>
        <v>49746</v>
      </c>
      <c r="P16" s="46">
        <v>51004</v>
      </c>
      <c r="Q16" s="46">
        <v>2660</v>
      </c>
      <c r="R16" s="15">
        <f t="shared" si="11"/>
        <v>48344</v>
      </c>
      <c r="S16" s="15">
        <v>667</v>
      </c>
      <c r="T16" s="15">
        <f t="shared" si="12"/>
        <v>47677</v>
      </c>
      <c r="U16" s="49">
        <v>12.3</v>
      </c>
      <c r="V16" s="176">
        <v>169</v>
      </c>
      <c r="W16" s="39">
        <v>42.41</v>
      </c>
      <c r="X16" s="49">
        <v>9.8000000000000007</v>
      </c>
      <c r="Y16" s="40">
        <v>170</v>
      </c>
      <c r="Z16" s="39">
        <v>42.85</v>
      </c>
      <c r="AA16" s="39"/>
      <c r="AB16" s="39"/>
      <c r="AC16" s="39"/>
      <c r="AD16" s="39"/>
      <c r="AE16" s="39"/>
      <c r="AF16" s="39"/>
      <c r="AG16" s="39"/>
      <c r="AH16" s="41">
        <f t="shared" si="1"/>
        <v>2.5000000000000001E-2</v>
      </c>
      <c r="AI16" s="9">
        <f t="shared" si="5"/>
        <v>2069</v>
      </c>
      <c r="AJ16" s="13">
        <f t="shared" si="6"/>
        <v>4.1591283721304224E-2</v>
      </c>
      <c r="AK16" s="184">
        <v>629</v>
      </c>
      <c r="AL16" s="185">
        <v>667</v>
      </c>
      <c r="AM16" s="44" t="s">
        <v>22</v>
      </c>
      <c r="AN16" s="35" t="s">
        <v>24</v>
      </c>
      <c r="AO16" s="35" t="s">
        <v>25</v>
      </c>
      <c r="AP16" s="44"/>
      <c r="AQ16" s="44"/>
      <c r="AR16" s="44"/>
      <c r="AS16" s="52" t="s">
        <v>25</v>
      </c>
      <c r="AT16" s="99" t="s">
        <v>104</v>
      </c>
      <c r="AU16" s="61"/>
      <c r="AV16" s="28"/>
      <c r="AW16" s="215" t="s">
        <v>98</v>
      </c>
      <c r="AX16" s="216">
        <v>37843</v>
      </c>
      <c r="AY16" s="216">
        <v>36253.396000000001</v>
      </c>
    </row>
    <row r="17" spans="1:51" ht="14.4" x14ac:dyDescent="0.3">
      <c r="A17" s="132">
        <v>15</v>
      </c>
      <c r="B17" s="92">
        <v>46131</v>
      </c>
      <c r="C17" s="6" t="s">
        <v>20</v>
      </c>
      <c r="D17" s="5" t="s">
        <v>91</v>
      </c>
      <c r="E17" s="21">
        <v>116</v>
      </c>
      <c r="F17" s="21">
        <v>31888</v>
      </c>
      <c r="G17" s="21" t="s">
        <v>77</v>
      </c>
      <c r="H17" s="21" t="s">
        <v>21</v>
      </c>
      <c r="I17" s="16" t="s">
        <v>75</v>
      </c>
      <c r="J17" s="32" t="s">
        <v>75</v>
      </c>
      <c r="K17" s="140">
        <v>40690</v>
      </c>
      <c r="L17" s="140">
        <v>0</v>
      </c>
      <c r="M17" s="140">
        <f t="shared" si="9"/>
        <v>40690</v>
      </c>
      <c r="N17" s="8">
        <v>489</v>
      </c>
      <c r="O17" s="140">
        <f t="shared" si="10"/>
        <v>40201</v>
      </c>
      <c r="P17" s="15">
        <v>40311</v>
      </c>
      <c r="Q17" s="15">
        <v>1386</v>
      </c>
      <c r="R17" s="15">
        <f t="shared" si="11"/>
        <v>38925</v>
      </c>
      <c r="S17" s="15">
        <v>524</v>
      </c>
      <c r="T17" s="15">
        <f t="shared" si="12"/>
        <v>38401</v>
      </c>
      <c r="U17" s="31">
        <v>14.2</v>
      </c>
      <c r="V17" s="175">
        <v>158</v>
      </c>
      <c r="W17" s="10">
        <v>44.18</v>
      </c>
      <c r="X17" s="31">
        <v>10.1</v>
      </c>
      <c r="Y17" s="25">
        <v>160</v>
      </c>
      <c r="Z17" s="10">
        <v>44.26</v>
      </c>
      <c r="AA17" s="10"/>
      <c r="AB17" s="10"/>
      <c r="AC17" s="10"/>
      <c r="AD17" s="10"/>
      <c r="AE17" s="10"/>
      <c r="AF17" s="10"/>
      <c r="AG17" s="10"/>
      <c r="AH17" s="26">
        <f t="shared" si="1"/>
        <v>4.0999999999999995E-2</v>
      </c>
      <c r="AI17" s="9">
        <f t="shared" si="5"/>
        <v>1800</v>
      </c>
      <c r="AJ17" s="13">
        <f t="shared" si="6"/>
        <v>4.4775005596875701E-2</v>
      </c>
      <c r="AK17" s="182">
        <v>489</v>
      </c>
      <c r="AL17" s="183">
        <v>524</v>
      </c>
      <c r="AM17" s="27" t="s">
        <v>22</v>
      </c>
      <c r="AN17" s="6" t="s">
        <v>24</v>
      </c>
      <c r="AO17" s="6" t="s">
        <v>3</v>
      </c>
      <c r="AP17" s="27"/>
      <c r="AQ17" s="27"/>
      <c r="AR17" s="27"/>
      <c r="AS17" s="14"/>
      <c r="AT17" s="28" t="s">
        <v>105</v>
      </c>
      <c r="AU17" s="61"/>
      <c r="AV17" s="28"/>
      <c r="AW17" s="215" t="s">
        <v>196</v>
      </c>
      <c r="AX17" s="216">
        <v>4044378.3999999994</v>
      </c>
      <c r="AY17" s="216">
        <v>3939483.02</v>
      </c>
    </row>
    <row r="18" spans="1:51" ht="14.4" x14ac:dyDescent="0.3">
      <c r="A18" s="132">
        <v>16</v>
      </c>
      <c r="B18" s="92">
        <v>46133</v>
      </c>
      <c r="C18" s="36" t="s">
        <v>20</v>
      </c>
      <c r="D18" s="45" t="s">
        <v>90</v>
      </c>
      <c r="E18" s="34">
        <v>122</v>
      </c>
      <c r="F18" s="24">
        <v>29107</v>
      </c>
      <c r="G18" s="34" t="s">
        <v>77</v>
      </c>
      <c r="H18" s="34" t="s">
        <v>21</v>
      </c>
      <c r="I18" s="38" t="s">
        <v>85</v>
      </c>
      <c r="J18" s="101" t="s">
        <v>85</v>
      </c>
      <c r="K18" s="140">
        <v>45980</v>
      </c>
      <c r="L18" s="140">
        <v>0</v>
      </c>
      <c r="M18" s="140">
        <f t="shared" si="9"/>
        <v>45980</v>
      </c>
      <c r="N18" s="8">
        <v>604</v>
      </c>
      <c r="O18" s="140">
        <f t="shared" si="10"/>
        <v>45376</v>
      </c>
      <c r="P18" s="51">
        <v>46755</v>
      </c>
      <c r="Q18" s="51">
        <v>2375</v>
      </c>
      <c r="R18" s="15">
        <f t="shared" si="11"/>
        <v>44380</v>
      </c>
      <c r="S18" s="15">
        <v>600</v>
      </c>
      <c r="T18" s="15">
        <f t="shared" si="12"/>
        <v>43780</v>
      </c>
      <c r="U18" s="49">
        <v>10.3</v>
      </c>
      <c r="V18" s="176">
        <v>183</v>
      </c>
      <c r="W18" s="39">
        <v>41.79</v>
      </c>
      <c r="X18" s="49">
        <v>8.6</v>
      </c>
      <c r="Y18" s="40">
        <v>180</v>
      </c>
      <c r="Z18" s="39">
        <v>43.38</v>
      </c>
      <c r="AA18" s="39"/>
      <c r="AB18" s="39"/>
      <c r="AC18" s="39"/>
      <c r="AD18" s="39"/>
      <c r="AE18" s="39"/>
      <c r="AF18" s="39"/>
      <c r="AG18" s="39"/>
      <c r="AH18" s="41">
        <f>(U18-X18)/100</f>
        <v>1.7000000000000012E-2</v>
      </c>
      <c r="AI18" s="9">
        <f t="shared" si="5"/>
        <v>1596</v>
      </c>
      <c r="AJ18" s="13">
        <f t="shared" si="6"/>
        <v>3.5172778561354021E-2</v>
      </c>
      <c r="AK18" s="184">
        <v>609</v>
      </c>
      <c r="AL18" s="185">
        <v>600</v>
      </c>
      <c r="AM18" s="44" t="s">
        <v>22</v>
      </c>
      <c r="AN18" s="35" t="s">
        <v>24</v>
      </c>
      <c r="AO18" s="35" t="s">
        <v>25</v>
      </c>
      <c r="AP18" s="44"/>
      <c r="AQ18" s="44"/>
      <c r="AR18" s="44"/>
      <c r="AS18" s="52" t="s">
        <v>25</v>
      </c>
      <c r="AT18" s="99" t="s">
        <v>104</v>
      </c>
      <c r="AU18" s="61"/>
      <c r="AV18" s="61"/>
      <c r="AW18"/>
      <c r="AX18"/>
      <c r="AY18"/>
    </row>
    <row r="19" spans="1:51" ht="14.4" x14ac:dyDescent="0.3">
      <c r="A19" s="132">
        <v>17</v>
      </c>
      <c r="B19" s="92">
        <v>46133</v>
      </c>
      <c r="C19" s="36" t="s">
        <v>20</v>
      </c>
      <c r="D19" s="45" t="s">
        <v>90</v>
      </c>
      <c r="E19" s="34">
        <v>125</v>
      </c>
      <c r="F19" s="24">
        <v>37582</v>
      </c>
      <c r="G19" s="34" t="s">
        <v>77</v>
      </c>
      <c r="H19" s="34" t="s">
        <v>21</v>
      </c>
      <c r="I19" s="38" t="s">
        <v>85</v>
      </c>
      <c r="J19" s="101" t="s">
        <v>85</v>
      </c>
      <c r="K19" s="140">
        <v>45520</v>
      </c>
      <c r="L19" s="140">
        <v>0</v>
      </c>
      <c r="M19" s="140">
        <f t="shared" si="9"/>
        <v>45520</v>
      </c>
      <c r="N19" s="8">
        <v>444</v>
      </c>
      <c r="O19" s="140">
        <f t="shared" si="10"/>
        <v>45076</v>
      </c>
      <c r="P19" s="51">
        <v>46698</v>
      </c>
      <c r="Q19" s="51">
        <v>2660</v>
      </c>
      <c r="R19" s="15">
        <f t="shared" si="11"/>
        <v>44038</v>
      </c>
      <c r="S19" s="15">
        <v>585</v>
      </c>
      <c r="T19" s="15">
        <f t="shared" si="12"/>
        <v>43453</v>
      </c>
      <c r="U19" s="49">
        <v>11.4</v>
      </c>
      <c r="V19" s="176">
        <v>162</v>
      </c>
      <c r="W19" s="39">
        <v>43.12</v>
      </c>
      <c r="X19" s="51">
        <v>9.5</v>
      </c>
      <c r="Y19" s="35">
        <v>161</v>
      </c>
      <c r="Z19" s="48">
        <v>43.38</v>
      </c>
      <c r="AA19" s="48"/>
      <c r="AB19" s="48"/>
      <c r="AC19" s="48"/>
      <c r="AD19" s="48"/>
      <c r="AE19" s="48"/>
      <c r="AF19" s="48"/>
      <c r="AG19" s="48"/>
      <c r="AH19" s="41">
        <f t="shared" ref="AH19:AH30" si="13">(U19-X19)/100</f>
        <v>1.9000000000000003E-2</v>
      </c>
      <c r="AI19" s="9">
        <f t="shared" si="5"/>
        <v>1623</v>
      </c>
      <c r="AJ19" s="13">
        <f t="shared" si="6"/>
        <v>3.6005856775224068E-2</v>
      </c>
      <c r="AK19" s="186">
        <v>475</v>
      </c>
      <c r="AL19" s="187">
        <v>585</v>
      </c>
      <c r="AM19" s="44" t="s">
        <v>22</v>
      </c>
      <c r="AN19" s="35" t="s">
        <v>24</v>
      </c>
      <c r="AO19" s="35" t="s">
        <v>25</v>
      </c>
      <c r="AP19" s="35"/>
      <c r="AQ19" s="35"/>
      <c r="AR19" s="35"/>
      <c r="AS19" s="52" t="s">
        <v>25</v>
      </c>
      <c r="AT19" s="99" t="s">
        <v>104</v>
      </c>
      <c r="AU19" s="28"/>
      <c r="AV19" s="28"/>
      <c r="AW19"/>
      <c r="AX19"/>
      <c r="AY19"/>
    </row>
    <row r="20" spans="1:51" x14ac:dyDescent="0.25">
      <c r="A20" s="132">
        <v>18</v>
      </c>
      <c r="B20" s="92">
        <v>46134</v>
      </c>
      <c r="C20" s="6" t="s">
        <v>20</v>
      </c>
      <c r="D20" s="24" t="s">
        <v>95</v>
      </c>
      <c r="E20" s="24">
        <v>135</v>
      </c>
      <c r="F20" s="24">
        <v>87109</v>
      </c>
      <c r="G20" s="24" t="s">
        <v>77</v>
      </c>
      <c r="H20" s="24" t="s">
        <v>21</v>
      </c>
      <c r="I20" s="8" t="s">
        <v>83</v>
      </c>
      <c r="J20" s="6" t="s">
        <v>83</v>
      </c>
      <c r="K20" s="140">
        <v>47060</v>
      </c>
      <c r="L20" s="140">
        <v>0</v>
      </c>
      <c r="M20" s="140">
        <f t="shared" si="9"/>
        <v>47060</v>
      </c>
      <c r="N20" s="8">
        <v>587</v>
      </c>
      <c r="O20" s="140">
        <f t="shared" si="10"/>
        <v>46473</v>
      </c>
      <c r="P20" s="50">
        <v>47318</v>
      </c>
      <c r="Q20" s="50">
        <v>2125</v>
      </c>
      <c r="R20" s="15">
        <f t="shared" si="11"/>
        <v>45193</v>
      </c>
      <c r="S20" s="15">
        <v>606</v>
      </c>
      <c r="T20" s="15">
        <f t="shared" si="12"/>
        <v>44587</v>
      </c>
      <c r="U20" s="50">
        <v>10.7</v>
      </c>
      <c r="V20" s="175">
        <v>182</v>
      </c>
      <c r="W20" s="20">
        <v>42.15</v>
      </c>
      <c r="X20" s="50">
        <v>9.1</v>
      </c>
      <c r="Y20" s="23">
        <v>176</v>
      </c>
      <c r="Z20" s="80">
        <v>44.7</v>
      </c>
      <c r="AA20" s="20"/>
      <c r="AB20" s="20"/>
      <c r="AC20" s="20"/>
      <c r="AD20" s="20"/>
      <c r="AE20" s="20"/>
      <c r="AF20" s="20"/>
      <c r="AG20" s="20"/>
      <c r="AH20" s="26">
        <f t="shared" si="13"/>
        <v>1.5999999999999997E-2</v>
      </c>
      <c r="AI20" s="9">
        <f t="shared" si="5"/>
        <v>1886</v>
      </c>
      <c r="AJ20" s="13">
        <f t="shared" si="6"/>
        <v>4.0582703935618532E-2</v>
      </c>
      <c r="AK20" s="32">
        <v>594</v>
      </c>
      <c r="AL20" s="188">
        <v>606</v>
      </c>
      <c r="AM20" s="27" t="s">
        <v>22</v>
      </c>
      <c r="AN20" s="20" t="s">
        <v>24</v>
      </c>
      <c r="AO20" s="20" t="s">
        <v>3</v>
      </c>
      <c r="AP20" s="33"/>
      <c r="AQ20" s="33"/>
      <c r="AR20" s="33"/>
      <c r="AS20" s="14"/>
      <c r="AT20" s="28"/>
      <c r="AU20" s="28"/>
      <c r="AV20" s="28"/>
      <c r="AW20" s="28"/>
      <c r="AX20" s="28"/>
      <c r="AY20" s="28"/>
    </row>
    <row r="21" spans="1:51" x14ac:dyDescent="0.25">
      <c r="A21" s="132">
        <v>19</v>
      </c>
      <c r="B21" s="92">
        <v>46134</v>
      </c>
      <c r="C21" s="36" t="s">
        <v>20</v>
      </c>
      <c r="D21" s="45" t="s">
        <v>90</v>
      </c>
      <c r="E21" s="34">
        <v>139</v>
      </c>
      <c r="F21" s="5">
        <v>35967</v>
      </c>
      <c r="G21" s="45" t="s">
        <v>77</v>
      </c>
      <c r="H21" s="45" t="s">
        <v>21</v>
      </c>
      <c r="I21" s="38" t="s">
        <v>85</v>
      </c>
      <c r="J21" s="102" t="s">
        <v>85</v>
      </c>
      <c r="K21" s="140">
        <v>42400</v>
      </c>
      <c r="L21" s="140">
        <v>0</v>
      </c>
      <c r="M21" s="140">
        <f t="shared" si="9"/>
        <v>42400</v>
      </c>
      <c r="N21" s="8">
        <v>523</v>
      </c>
      <c r="O21" s="140">
        <f t="shared" si="10"/>
        <v>41877</v>
      </c>
      <c r="P21" s="46">
        <v>43491</v>
      </c>
      <c r="Q21" s="46">
        <v>2125</v>
      </c>
      <c r="R21" s="15">
        <f t="shared" si="11"/>
        <v>41366</v>
      </c>
      <c r="S21" s="15">
        <v>564</v>
      </c>
      <c r="T21" s="15">
        <f t="shared" si="12"/>
        <v>40802</v>
      </c>
      <c r="U21" s="46">
        <v>11.4</v>
      </c>
      <c r="V21" s="73">
        <v>178</v>
      </c>
      <c r="W21" s="36">
        <v>41.97</v>
      </c>
      <c r="X21" s="46">
        <v>9.3000000000000007</v>
      </c>
      <c r="Y21" s="42">
        <v>179</v>
      </c>
      <c r="Z21" s="36">
        <v>42.68</v>
      </c>
      <c r="AA21" s="36"/>
      <c r="AB21" s="36"/>
      <c r="AC21" s="36"/>
      <c r="AD21" s="36"/>
      <c r="AE21" s="36"/>
      <c r="AF21" s="36"/>
      <c r="AG21" s="36"/>
      <c r="AH21" s="41">
        <f t="shared" si="13"/>
        <v>2.0999999999999998E-2</v>
      </c>
      <c r="AI21" s="9">
        <f t="shared" si="5"/>
        <v>1075</v>
      </c>
      <c r="AJ21" s="13">
        <f t="shared" si="6"/>
        <v>2.5670415741337726E-2</v>
      </c>
      <c r="AK21" s="47">
        <v>542</v>
      </c>
      <c r="AL21" s="189">
        <v>564</v>
      </c>
      <c r="AM21" s="44" t="s">
        <v>22</v>
      </c>
      <c r="AN21" s="35" t="s">
        <v>24</v>
      </c>
      <c r="AO21" s="35" t="s">
        <v>25</v>
      </c>
      <c r="AP21" s="46"/>
      <c r="AQ21" s="46"/>
      <c r="AR21" s="46"/>
      <c r="AS21" s="52" t="s">
        <v>25</v>
      </c>
      <c r="AT21" s="99" t="s">
        <v>104</v>
      </c>
      <c r="AU21" s="28"/>
      <c r="AV21" s="28"/>
      <c r="AW21" s="28"/>
      <c r="AX21" s="28"/>
      <c r="AY21" s="28"/>
    </row>
    <row r="22" spans="1:51" x14ac:dyDescent="0.25">
      <c r="A22" s="132">
        <v>20</v>
      </c>
      <c r="B22" s="92">
        <v>46135</v>
      </c>
      <c r="C22" s="36" t="s">
        <v>20</v>
      </c>
      <c r="D22" s="45" t="s">
        <v>90</v>
      </c>
      <c r="E22" s="34">
        <v>113</v>
      </c>
      <c r="F22" s="5">
        <v>87146</v>
      </c>
      <c r="G22" s="45" t="s">
        <v>77</v>
      </c>
      <c r="H22" s="45" t="s">
        <v>21</v>
      </c>
      <c r="I22" s="38" t="s">
        <v>85</v>
      </c>
      <c r="J22" s="102" t="s">
        <v>85</v>
      </c>
      <c r="K22" s="140">
        <v>34010</v>
      </c>
      <c r="L22" s="140">
        <v>0</v>
      </c>
      <c r="M22" s="140">
        <f t="shared" si="9"/>
        <v>34010</v>
      </c>
      <c r="N22" s="8">
        <v>430</v>
      </c>
      <c r="O22" s="140">
        <f t="shared" si="10"/>
        <v>33580</v>
      </c>
      <c r="P22" s="46">
        <v>34791</v>
      </c>
      <c r="Q22" s="46">
        <v>1785</v>
      </c>
      <c r="R22" s="15">
        <f t="shared" si="11"/>
        <v>33006</v>
      </c>
      <c r="S22" s="15">
        <v>457</v>
      </c>
      <c r="T22" s="15">
        <f t="shared" si="12"/>
        <v>32549</v>
      </c>
      <c r="U22" s="46">
        <v>9.8000000000000007</v>
      </c>
      <c r="V22" s="73">
        <v>172</v>
      </c>
      <c r="W22" s="36">
        <v>42.59</v>
      </c>
      <c r="X22" s="46">
        <v>8.8000000000000007</v>
      </c>
      <c r="Y22" s="42">
        <v>171</v>
      </c>
      <c r="Z22" s="36">
        <v>43.65</v>
      </c>
      <c r="AA22" s="36"/>
      <c r="AB22" s="36"/>
      <c r="AC22" s="36"/>
      <c r="AD22" s="36"/>
      <c r="AE22" s="36"/>
      <c r="AF22" s="36"/>
      <c r="AG22" s="36"/>
      <c r="AH22" s="41">
        <f t="shared" si="13"/>
        <v>0.01</v>
      </c>
      <c r="AI22" s="9">
        <f t="shared" si="5"/>
        <v>1031</v>
      </c>
      <c r="AJ22" s="13">
        <f t="shared" si="6"/>
        <v>3.0702799285288861E-2</v>
      </c>
      <c r="AK22" s="47">
        <v>449</v>
      </c>
      <c r="AL22" s="190">
        <v>457</v>
      </c>
      <c r="AM22" s="44" t="s">
        <v>22</v>
      </c>
      <c r="AN22" s="35" t="s">
        <v>24</v>
      </c>
      <c r="AO22" s="35" t="s">
        <v>25</v>
      </c>
      <c r="AP22" s="46"/>
      <c r="AQ22" s="46"/>
      <c r="AR22" s="46"/>
      <c r="AS22" s="52" t="s">
        <v>25</v>
      </c>
      <c r="AT22" s="99" t="s">
        <v>104</v>
      </c>
      <c r="AU22" s="28"/>
      <c r="AV22" s="28"/>
      <c r="AW22" s="28"/>
      <c r="AX22" s="28"/>
      <c r="AY22" s="28"/>
    </row>
    <row r="23" spans="1:51" x14ac:dyDescent="0.25">
      <c r="A23" s="132">
        <v>21</v>
      </c>
      <c r="B23" s="92">
        <v>46136</v>
      </c>
      <c r="C23" s="36" t="s">
        <v>20</v>
      </c>
      <c r="D23" s="45" t="s">
        <v>90</v>
      </c>
      <c r="E23" s="45">
        <v>107</v>
      </c>
      <c r="F23" s="5">
        <v>37581</v>
      </c>
      <c r="G23" s="45" t="s">
        <v>77</v>
      </c>
      <c r="H23" s="45" t="s">
        <v>21</v>
      </c>
      <c r="I23" s="38" t="s">
        <v>85</v>
      </c>
      <c r="J23" s="102" t="s">
        <v>85</v>
      </c>
      <c r="K23" s="140">
        <v>45490</v>
      </c>
      <c r="L23" s="140">
        <v>0</v>
      </c>
      <c r="M23" s="140">
        <f t="shared" si="9"/>
        <v>45490</v>
      </c>
      <c r="N23" s="8">
        <v>531</v>
      </c>
      <c r="O23" s="140">
        <f t="shared" si="10"/>
        <v>44959</v>
      </c>
      <c r="P23" s="46">
        <v>47169</v>
      </c>
      <c r="Q23" s="46">
        <v>2295</v>
      </c>
      <c r="R23" s="15">
        <f t="shared" si="11"/>
        <v>44874</v>
      </c>
      <c r="S23" s="15">
        <v>603</v>
      </c>
      <c r="T23" s="15">
        <f t="shared" si="12"/>
        <v>44271</v>
      </c>
      <c r="U23" s="46">
        <v>10.1</v>
      </c>
      <c r="V23" s="73">
        <v>159</v>
      </c>
      <c r="W23" s="36">
        <v>42.15</v>
      </c>
      <c r="X23" s="46">
        <v>8.6999999999999993</v>
      </c>
      <c r="Y23" s="42">
        <v>164</v>
      </c>
      <c r="Z23" s="36">
        <v>42.59</v>
      </c>
      <c r="AA23" s="36"/>
      <c r="AB23" s="36"/>
      <c r="AC23" s="36"/>
      <c r="AD23" s="36"/>
      <c r="AE23" s="36"/>
      <c r="AF23" s="36"/>
      <c r="AG23" s="36"/>
      <c r="AH23" s="41">
        <f t="shared" si="13"/>
        <v>1.4000000000000004E-2</v>
      </c>
      <c r="AI23" s="9">
        <f t="shared" si="5"/>
        <v>688</v>
      </c>
      <c r="AJ23" s="13">
        <f t="shared" si="6"/>
        <v>1.5302831468671457E-2</v>
      </c>
      <c r="AK23" s="47">
        <v>558</v>
      </c>
      <c r="AL23" s="189">
        <v>603</v>
      </c>
      <c r="AM23" s="44" t="s">
        <v>22</v>
      </c>
      <c r="AN23" s="35" t="s">
        <v>24</v>
      </c>
      <c r="AO23" s="35" t="s">
        <v>25</v>
      </c>
      <c r="AP23" s="46"/>
      <c r="AQ23" s="46"/>
      <c r="AR23" s="46"/>
      <c r="AS23" s="52" t="s">
        <v>25</v>
      </c>
      <c r="AT23" s="99" t="s">
        <v>104</v>
      </c>
      <c r="AU23" s="28"/>
      <c r="AV23" s="28"/>
      <c r="AW23" s="28"/>
      <c r="AX23" s="28"/>
      <c r="AY23" s="28"/>
    </row>
    <row r="24" spans="1:51" x14ac:dyDescent="0.25">
      <c r="A24" s="132">
        <v>22</v>
      </c>
      <c r="B24" s="92">
        <v>46136</v>
      </c>
      <c r="C24" s="6" t="s">
        <v>20</v>
      </c>
      <c r="D24" s="5" t="s">
        <v>91</v>
      </c>
      <c r="E24" s="5">
        <v>110</v>
      </c>
      <c r="F24" s="5">
        <v>3198</v>
      </c>
      <c r="G24" s="5" t="s">
        <v>77</v>
      </c>
      <c r="H24" s="5" t="s">
        <v>21</v>
      </c>
      <c r="I24" s="16" t="s">
        <v>75</v>
      </c>
      <c r="J24" s="6" t="s">
        <v>75</v>
      </c>
      <c r="K24" s="140">
        <v>37970</v>
      </c>
      <c r="L24" s="140">
        <v>0</v>
      </c>
      <c r="M24" s="140">
        <f t="shared" si="9"/>
        <v>37970</v>
      </c>
      <c r="N24" s="8">
        <v>426</v>
      </c>
      <c r="O24" s="140">
        <f t="shared" si="10"/>
        <v>37544</v>
      </c>
      <c r="P24" s="15">
        <v>38637</v>
      </c>
      <c r="Q24" s="15">
        <v>1700</v>
      </c>
      <c r="R24" s="15">
        <f t="shared" si="11"/>
        <v>36937</v>
      </c>
      <c r="S24" s="15">
        <v>506</v>
      </c>
      <c r="T24" s="15">
        <f t="shared" si="12"/>
        <v>36431</v>
      </c>
      <c r="U24" s="15">
        <v>12.9</v>
      </c>
      <c r="V24" s="177">
        <v>158</v>
      </c>
      <c r="W24" s="6">
        <v>43.21</v>
      </c>
      <c r="X24" s="15">
        <v>9.8000000000000007</v>
      </c>
      <c r="Y24" s="9">
        <v>166</v>
      </c>
      <c r="Z24" s="6">
        <v>44.26</v>
      </c>
      <c r="AA24" s="6"/>
      <c r="AB24" s="6"/>
      <c r="AC24" s="6"/>
      <c r="AD24" s="6"/>
      <c r="AE24" s="6"/>
      <c r="AF24" s="6"/>
      <c r="AG24" s="6"/>
      <c r="AH24" s="26">
        <f t="shared" si="13"/>
        <v>3.0999999999999996E-2</v>
      </c>
      <c r="AI24" s="9">
        <f t="shared" si="5"/>
        <v>1113</v>
      </c>
      <c r="AJ24" s="13">
        <f t="shared" si="6"/>
        <v>2.964521627956531E-2</v>
      </c>
      <c r="AK24" s="8">
        <v>450</v>
      </c>
      <c r="AL24" s="171">
        <v>506</v>
      </c>
      <c r="AM24" s="27" t="s">
        <v>22</v>
      </c>
      <c r="AN24" s="20" t="s">
        <v>24</v>
      </c>
      <c r="AO24" s="20" t="s">
        <v>3</v>
      </c>
      <c r="AP24" s="53"/>
      <c r="AQ24" s="53"/>
      <c r="AR24" s="53"/>
      <c r="AS24" s="14"/>
      <c r="AT24" s="28" t="s">
        <v>105</v>
      </c>
      <c r="AU24" s="28"/>
      <c r="AV24" s="28"/>
      <c r="AW24" s="28"/>
      <c r="AX24" s="28"/>
      <c r="AY24" s="28"/>
    </row>
    <row r="25" spans="1:51" x14ac:dyDescent="0.25">
      <c r="A25" s="132">
        <v>23</v>
      </c>
      <c r="B25" s="92">
        <v>46137</v>
      </c>
      <c r="C25" s="6" t="s">
        <v>20</v>
      </c>
      <c r="D25" s="24" t="s">
        <v>95</v>
      </c>
      <c r="E25" s="5">
        <v>162</v>
      </c>
      <c r="F25" s="5">
        <v>89784</v>
      </c>
      <c r="G25" s="5" t="s">
        <v>77</v>
      </c>
      <c r="H25" s="5" t="s">
        <v>21</v>
      </c>
      <c r="I25" s="8" t="s">
        <v>83</v>
      </c>
      <c r="J25" s="6" t="s">
        <v>83</v>
      </c>
      <c r="K25" s="140">
        <v>39460</v>
      </c>
      <c r="L25" s="140">
        <v>0</v>
      </c>
      <c r="M25" s="140">
        <f t="shared" si="9"/>
        <v>39460</v>
      </c>
      <c r="N25" s="8">
        <v>477</v>
      </c>
      <c r="O25" s="140">
        <f t="shared" si="10"/>
        <v>38983</v>
      </c>
      <c r="P25" s="15">
        <v>40251</v>
      </c>
      <c r="Q25" s="15">
        <v>1870</v>
      </c>
      <c r="R25" s="15">
        <f t="shared" si="11"/>
        <v>38381</v>
      </c>
      <c r="S25" s="15">
        <v>518</v>
      </c>
      <c r="T25" s="15">
        <f t="shared" si="12"/>
        <v>37863</v>
      </c>
      <c r="U25" s="15">
        <v>12.8</v>
      </c>
      <c r="V25" s="177">
        <v>170</v>
      </c>
      <c r="W25" s="6">
        <v>44.09</v>
      </c>
      <c r="X25" s="15">
        <v>10.1</v>
      </c>
      <c r="Y25" s="9">
        <v>169</v>
      </c>
      <c r="Z25" s="6">
        <v>44.97</v>
      </c>
      <c r="AA25" s="6"/>
      <c r="AB25" s="6"/>
      <c r="AC25" s="6"/>
      <c r="AD25" s="6"/>
      <c r="AE25" s="6"/>
      <c r="AF25" s="6"/>
      <c r="AG25" s="6"/>
      <c r="AH25" s="26">
        <f t="shared" si="13"/>
        <v>2.700000000000001E-2</v>
      </c>
      <c r="AI25" s="9">
        <f t="shared" si="5"/>
        <v>1120</v>
      </c>
      <c r="AJ25" s="13">
        <f t="shared" si="6"/>
        <v>2.8730472257137728E-2</v>
      </c>
      <c r="AK25" s="8">
        <v>486</v>
      </c>
      <c r="AL25" s="171">
        <v>518</v>
      </c>
      <c r="AM25" s="27" t="s">
        <v>22</v>
      </c>
      <c r="AN25" s="20" t="s">
        <v>24</v>
      </c>
      <c r="AO25" s="20" t="s">
        <v>3</v>
      </c>
      <c r="AP25" s="53"/>
      <c r="AQ25" s="53"/>
      <c r="AR25" s="53"/>
      <c r="AS25" s="14"/>
      <c r="AT25" s="28"/>
      <c r="AU25" s="28"/>
      <c r="AV25" s="28"/>
      <c r="AW25" s="28"/>
      <c r="AX25" s="28"/>
      <c r="AY25" s="28"/>
    </row>
    <row r="26" spans="1:51" x14ac:dyDescent="0.25">
      <c r="A26" s="132">
        <v>24</v>
      </c>
      <c r="B26" s="92">
        <v>46137</v>
      </c>
      <c r="C26" s="6" t="s">
        <v>20</v>
      </c>
      <c r="D26" s="24" t="s">
        <v>95</v>
      </c>
      <c r="E26" s="5">
        <v>160</v>
      </c>
      <c r="F26" s="5">
        <v>65511</v>
      </c>
      <c r="G26" s="5" t="s">
        <v>77</v>
      </c>
      <c r="H26" s="5" t="s">
        <v>21</v>
      </c>
      <c r="I26" s="8" t="s">
        <v>83</v>
      </c>
      <c r="J26" s="6" t="s">
        <v>83</v>
      </c>
      <c r="K26" s="140">
        <v>43950</v>
      </c>
      <c r="L26" s="140">
        <v>0</v>
      </c>
      <c r="M26" s="140">
        <f t="shared" si="9"/>
        <v>43950</v>
      </c>
      <c r="N26" s="8">
        <v>540</v>
      </c>
      <c r="O26" s="140">
        <f t="shared" si="10"/>
        <v>43410</v>
      </c>
      <c r="P26" s="15">
        <v>44482</v>
      </c>
      <c r="Q26" s="15">
        <v>1955</v>
      </c>
      <c r="R26" s="15">
        <f t="shared" si="11"/>
        <v>42527</v>
      </c>
      <c r="S26" s="15">
        <v>570</v>
      </c>
      <c r="T26" s="15">
        <f t="shared" si="12"/>
        <v>41957</v>
      </c>
      <c r="U26" s="19">
        <v>14.3</v>
      </c>
      <c r="V26" s="177">
        <v>165</v>
      </c>
      <c r="W26" s="6">
        <v>43.73</v>
      </c>
      <c r="X26" s="15">
        <v>10.9</v>
      </c>
      <c r="Y26" s="9">
        <v>169</v>
      </c>
      <c r="Z26" s="6">
        <v>45.06</v>
      </c>
      <c r="AA26" s="6"/>
      <c r="AB26" s="6"/>
      <c r="AC26" s="6"/>
      <c r="AD26" s="6"/>
      <c r="AE26" s="6"/>
      <c r="AF26" s="6"/>
      <c r="AG26" s="6"/>
      <c r="AH26" s="26">
        <f t="shared" si="13"/>
        <v>3.4000000000000002E-2</v>
      </c>
      <c r="AI26" s="9">
        <f t="shared" si="5"/>
        <v>1453</v>
      </c>
      <c r="AJ26" s="13">
        <f t="shared" si="6"/>
        <v>3.3471550334024415E-2</v>
      </c>
      <c r="AK26" s="8">
        <v>566</v>
      </c>
      <c r="AL26" s="171">
        <v>570</v>
      </c>
      <c r="AM26" s="27" t="s">
        <v>22</v>
      </c>
      <c r="AN26" s="20" t="s">
        <v>24</v>
      </c>
      <c r="AO26" s="20" t="s">
        <v>3</v>
      </c>
      <c r="AP26" s="53"/>
      <c r="AQ26" s="53"/>
      <c r="AR26" s="53"/>
      <c r="AS26" s="14"/>
      <c r="AT26" s="28"/>
      <c r="AU26" s="28"/>
      <c r="AV26" s="28"/>
      <c r="AW26" s="28"/>
      <c r="AX26" s="28"/>
      <c r="AY26" s="28"/>
    </row>
    <row r="27" spans="1:51" x14ac:dyDescent="0.25">
      <c r="A27" s="132">
        <v>25</v>
      </c>
      <c r="B27" s="92">
        <v>46138</v>
      </c>
      <c r="C27" s="6" t="s">
        <v>20</v>
      </c>
      <c r="D27" s="5" t="s">
        <v>91</v>
      </c>
      <c r="E27" s="5">
        <v>173</v>
      </c>
      <c r="F27" s="5">
        <v>32358</v>
      </c>
      <c r="G27" s="5" t="s">
        <v>77</v>
      </c>
      <c r="H27" s="5" t="s">
        <v>21</v>
      </c>
      <c r="I27" s="16" t="s">
        <v>75</v>
      </c>
      <c r="J27" s="6" t="s">
        <v>75</v>
      </c>
      <c r="K27" s="140">
        <v>46090</v>
      </c>
      <c r="L27" s="140">
        <v>0</v>
      </c>
      <c r="M27" s="140">
        <f t="shared" si="9"/>
        <v>46090</v>
      </c>
      <c r="N27" s="8">
        <v>533</v>
      </c>
      <c r="O27" s="140">
        <f t="shared" si="10"/>
        <v>45557</v>
      </c>
      <c r="P27" s="15">
        <v>46658</v>
      </c>
      <c r="Q27" s="15">
        <v>2210</v>
      </c>
      <c r="R27" s="15">
        <f t="shared" si="11"/>
        <v>44448</v>
      </c>
      <c r="S27" s="15">
        <v>594</v>
      </c>
      <c r="T27" s="15">
        <f t="shared" si="12"/>
        <v>43854</v>
      </c>
      <c r="U27" s="15">
        <v>13.6</v>
      </c>
      <c r="V27" s="177">
        <v>172</v>
      </c>
      <c r="W27" s="12">
        <v>44.2</v>
      </c>
      <c r="X27" s="15">
        <v>9.8000000000000007</v>
      </c>
      <c r="Y27" s="9">
        <v>169</v>
      </c>
      <c r="Z27" s="6">
        <v>44.53</v>
      </c>
      <c r="AA27" s="6"/>
      <c r="AB27" s="6"/>
      <c r="AC27" s="6"/>
      <c r="AD27" s="6"/>
      <c r="AE27" s="6"/>
      <c r="AF27" s="6"/>
      <c r="AG27" s="6"/>
      <c r="AH27" s="26">
        <f t="shared" si="13"/>
        <v>3.7999999999999992E-2</v>
      </c>
      <c r="AI27" s="9">
        <f t="shared" si="5"/>
        <v>1703</v>
      </c>
      <c r="AJ27" s="13">
        <f t="shared" si="6"/>
        <v>3.7381741554536073E-2</v>
      </c>
      <c r="AK27" s="8">
        <v>533</v>
      </c>
      <c r="AL27" s="171">
        <v>594</v>
      </c>
      <c r="AM27" s="27" t="s">
        <v>22</v>
      </c>
      <c r="AN27" s="20" t="s">
        <v>24</v>
      </c>
      <c r="AO27" s="20" t="s">
        <v>3</v>
      </c>
      <c r="AP27" s="53"/>
      <c r="AQ27" s="53"/>
      <c r="AR27" s="53"/>
      <c r="AS27" s="14"/>
      <c r="AT27" s="28" t="s">
        <v>105</v>
      </c>
      <c r="AU27" s="28"/>
      <c r="AV27" s="28"/>
      <c r="AW27" s="28"/>
      <c r="AX27" s="28"/>
      <c r="AY27" s="28"/>
    </row>
    <row r="28" spans="1:51" x14ac:dyDescent="0.25">
      <c r="A28" s="132">
        <v>26</v>
      </c>
      <c r="B28" s="92">
        <v>46138</v>
      </c>
      <c r="C28" s="36" t="s">
        <v>20</v>
      </c>
      <c r="D28" s="45" t="s">
        <v>90</v>
      </c>
      <c r="E28" s="45">
        <v>172</v>
      </c>
      <c r="F28" s="5">
        <v>87093</v>
      </c>
      <c r="G28" s="45" t="s">
        <v>77</v>
      </c>
      <c r="H28" s="45" t="s">
        <v>21</v>
      </c>
      <c r="I28" s="38" t="s">
        <v>85</v>
      </c>
      <c r="J28" s="102" t="s">
        <v>85</v>
      </c>
      <c r="K28" s="140">
        <v>40130</v>
      </c>
      <c r="L28" s="140">
        <v>0</v>
      </c>
      <c r="M28" s="140">
        <f t="shared" si="9"/>
        <v>40130</v>
      </c>
      <c r="N28" s="8">
        <v>496</v>
      </c>
      <c r="O28" s="140">
        <f t="shared" si="10"/>
        <v>39634</v>
      </c>
      <c r="P28" s="46">
        <v>40789</v>
      </c>
      <c r="Q28" s="46">
        <v>1870</v>
      </c>
      <c r="R28" s="15">
        <f t="shared" si="11"/>
        <v>38919</v>
      </c>
      <c r="S28" s="15">
        <v>528</v>
      </c>
      <c r="T28" s="15">
        <f t="shared" si="12"/>
        <v>38391</v>
      </c>
      <c r="U28" s="46">
        <v>11.1</v>
      </c>
      <c r="V28" s="73">
        <v>183</v>
      </c>
      <c r="W28" s="36">
        <v>41.97</v>
      </c>
      <c r="X28" s="46">
        <v>10.5</v>
      </c>
      <c r="Y28" s="42">
        <v>176</v>
      </c>
      <c r="Z28" s="36">
        <v>42.68</v>
      </c>
      <c r="AA28" s="36"/>
      <c r="AB28" s="36"/>
      <c r="AC28" s="36"/>
      <c r="AD28" s="36"/>
      <c r="AE28" s="36"/>
      <c r="AF28" s="36"/>
      <c r="AG28" s="36"/>
      <c r="AH28" s="41">
        <f t="shared" si="13"/>
        <v>5.9999999999999967E-3</v>
      </c>
      <c r="AI28" s="9">
        <f t="shared" si="5"/>
        <v>1243</v>
      </c>
      <c r="AJ28" s="13">
        <f t="shared" si="6"/>
        <v>3.1361961951859516E-2</v>
      </c>
      <c r="AK28" s="47">
        <v>496</v>
      </c>
      <c r="AL28" s="189">
        <v>528</v>
      </c>
      <c r="AM28" s="44" t="s">
        <v>22</v>
      </c>
      <c r="AN28" s="35" t="s">
        <v>24</v>
      </c>
      <c r="AO28" s="35" t="s">
        <v>25</v>
      </c>
      <c r="AP28" s="54"/>
      <c r="AQ28" s="54"/>
      <c r="AR28" s="54"/>
      <c r="AS28" s="52" t="s">
        <v>25</v>
      </c>
      <c r="AT28" s="99" t="s">
        <v>104</v>
      </c>
      <c r="AU28" s="28"/>
      <c r="AV28" s="28"/>
      <c r="AW28" s="28"/>
      <c r="AX28" s="28"/>
      <c r="AY28" s="28"/>
    </row>
    <row r="29" spans="1:51" x14ac:dyDescent="0.25">
      <c r="A29" s="132">
        <v>27</v>
      </c>
      <c r="B29" s="92">
        <v>46139</v>
      </c>
      <c r="C29" s="20" t="s">
        <v>20</v>
      </c>
      <c r="D29" s="5" t="s">
        <v>91</v>
      </c>
      <c r="E29" s="24">
        <v>139</v>
      </c>
      <c r="F29" s="24">
        <v>68652</v>
      </c>
      <c r="G29" s="24" t="s">
        <v>77</v>
      </c>
      <c r="H29" s="24" t="s">
        <v>23</v>
      </c>
      <c r="I29" s="16" t="s">
        <v>75</v>
      </c>
      <c r="J29" s="20" t="s">
        <v>75</v>
      </c>
      <c r="K29" s="140">
        <v>51380</v>
      </c>
      <c r="L29" s="50">
        <v>0</v>
      </c>
      <c r="M29" s="140">
        <f>K29-L29</f>
        <v>51380</v>
      </c>
      <c r="N29" s="8">
        <v>656</v>
      </c>
      <c r="O29" s="141">
        <f>M29-N29</f>
        <v>50724</v>
      </c>
      <c r="P29" s="50">
        <v>51652</v>
      </c>
      <c r="Q29" s="50">
        <v>2295</v>
      </c>
      <c r="R29" s="15">
        <f t="shared" si="11"/>
        <v>49357</v>
      </c>
      <c r="S29" s="15">
        <v>660</v>
      </c>
      <c r="T29" s="15">
        <f t="shared" si="12"/>
        <v>48697</v>
      </c>
      <c r="U29" s="50">
        <v>10.8</v>
      </c>
      <c r="V29" s="175">
        <v>174</v>
      </c>
      <c r="W29" s="20">
        <v>42.06</v>
      </c>
      <c r="X29" s="50">
        <v>8.4</v>
      </c>
      <c r="Y29" s="23">
        <v>180</v>
      </c>
      <c r="Z29" s="20">
        <v>43.73</v>
      </c>
      <c r="AA29" s="20"/>
      <c r="AB29" s="20"/>
      <c r="AC29" s="20"/>
      <c r="AD29" s="20"/>
      <c r="AE29" s="20"/>
      <c r="AF29" s="20"/>
      <c r="AG29" s="20"/>
      <c r="AH29" s="26">
        <f t="shared" si="13"/>
        <v>2.4000000000000004E-2</v>
      </c>
      <c r="AI29" s="9">
        <f t="shared" si="5"/>
        <v>2027</v>
      </c>
      <c r="AJ29" s="13">
        <f t="shared" si="6"/>
        <v>3.9961359514233893E-2</v>
      </c>
      <c r="AK29" s="32">
        <v>673</v>
      </c>
      <c r="AL29" s="188">
        <v>660</v>
      </c>
      <c r="AM29" s="27" t="s">
        <v>22</v>
      </c>
      <c r="AN29" s="20" t="s">
        <v>24</v>
      </c>
      <c r="AO29" s="20" t="s">
        <v>3</v>
      </c>
      <c r="AP29" s="55"/>
      <c r="AQ29" s="55"/>
      <c r="AR29" s="55"/>
      <c r="AS29" s="14"/>
      <c r="AT29" s="28" t="s">
        <v>105</v>
      </c>
      <c r="AU29" s="28"/>
      <c r="AV29" s="28"/>
      <c r="AW29" s="28"/>
      <c r="AX29" s="28"/>
      <c r="AY29" s="28"/>
    </row>
    <row r="30" spans="1:51" x14ac:dyDescent="0.25">
      <c r="A30" s="132">
        <v>28</v>
      </c>
      <c r="B30" s="92">
        <v>46140</v>
      </c>
      <c r="C30" s="35" t="s">
        <v>20</v>
      </c>
      <c r="D30" s="45" t="s">
        <v>90</v>
      </c>
      <c r="E30" s="45">
        <v>184</v>
      </c>
      <c r="F30" s="5">
        <v>35051</v>
      </c>
      <c r="G30" s="45" t="s">
        <v>77</v>
      </c>
      <c r="H30" s="45" t="s">
        <v>21</v>
      </c>
      <c r="I30" s="38" t="s">
        <v>85</v>
      </c>
      <c r="J30" s="102" t="s">
        <v>85</v>
      </c>
      <c r="K30" s="140">
        <v>48740</v>
      </c>
      <c r="L30" s="140">
        <v>0</v>
      </c>
      <c r="M30" s="140">
        <f t="shared" ref="M30:M36" si="14">K30-L30</f>
        <v>48740</v>
      </c>
      <c r="N30" s="8">
        <v>564</v>
      </c>
      <c r="O30" s="140">
        <f t="shared" ref="O30:O36" si="15">M30-N30</f>
        <v>48176</v>
      </c>
      <c r="P30" s="46">
        <v>50339</v>
      </c>
      <c r="Q30" s="46">
        <v>2380</v>
      </c>
      <c r="R30" s="15">
        <f t="shared" si="11"/>
        <v>47959</v>
      </c>
      <c r="S30" s="15">
        <v>643</v>
      </c>
      <c r="T30" s="15">
        <f t="shared" si="12"/>
        <v>47316</v>
      </c>
      <c r="U30" s="51">
        <v>11.2</v>
      </c>
      <c r="V30" s="73">
        <v>189</v>
      </c>
      <c r="W30" s="36">
        <v>42.32</v>
      </c>
      <c r="X30" s="46">
        <v>9.6999999999999993</v>
      </c>
      <c r="Y30" s="42">
        <v>199</v>
      </c>
      <c r="Z30" s="36">
        <v>42.32</v>
      </c>
      <c r="AA30" s="36"/>
      <c r="AB30" s="36"/>
      <c r="AC30" s="36"/>
      <c r="AD30" s="36"/>
      <c r="AE30" s="36"/>
      <c r="AF30" s="36"/>
      <c r="AG30" s="36"/>
      <c r="AH30" s="41">
        <f t="shared" si="13"/>
        <v>1.4999999999999999E-2</v>
      </c>
      <c r="AI30" s="9">
        <f t="shared" si="5"/>
        <v>860</v>
      </c>
      <c r="AJ30" s="13">
        <f t="shared" si="6"/>
        <v>1.7851212221853204E-2</v>
      </c>
      <c r="AK30" s="47">
        <v>567</v>
      </c>
      <c r="AL30" s="189">
        <v>643</v>
      </c>
      <c r="AM30" s="36" t="s">
        <v>22</v>
      </c>
      <c r="AN30" s="36" t="s">
        <v>24</v>
      </c>
      <c r="AO30" s="36" t="s">
        <v>70</v>
      </c>
      <c r="AP30" s="54"/>
      <c r="AQ30" s="54"/>
      <c r="AR30" s="54"/>
      <c r="AS30" s="52" t="s">
        <v>25</v>
      </c>
      <c r="AT30" s="99" t="s">
        <v>104</v>
      </c>
      <c r="AU30" s="28"/>
      <c r="AV30" s="28"/>
      <c r="AW30" s="28"/>
      <c r="AX30" s="28"/>
      <c r="AY30" s="28"/>
    </row>
    <row r="31" spans="1:51" x14ac:dyDescent="0.25">
      <c r="A31" s="132">
        <v>29</v>
      </c>
      <c r="B31" s="92">
        <v>46142</v>
      </c>
      <c r="C31" s="35" t="s">
        <v>20</v>
      </c>
      <c r="D31" s="45" t="s">
        <v>90</v>
      </c>
      <c r="E31" s="45">
        <v>193</v>
      </c>
      <c r="F31" s="5">
        <v>773</v>
      </c>
      <c r="G31" s="45" t="s">
        <v>77</v>
      </c>
      <c r="H31" s="45" t="s">
        <v>21</v>
      </c>
      <c r="I31" s="38" t="s">
        <v>85</v>
      </c>
      <c r="J31" s="102" t="s">
        <v>85</v>
      </c>
      <c r="K31" s="140">
        <v>43680</v>
      </c>
      <c r="L31" s="140">
        <v>0</v>
      </c>
      <c r="M31" s="140">
        <f t="shared" si="14"/>
        <v>43680</v>
      </c>
      <c r="N31" s="8">
        <v>531</v>
      </c>
      <c r="O31" s="140">
        <f t="shared" si="15"/>
        <v>43149</v>
      </c>
      <c r="P31" s="46">
        <v>44299</v>
      </c>
      <c r="Q31" s="46">
        <v>1955</v>
      </c>
      <c r="R31" s="15">
        <f t="shared" si="11"/>
        <v>42344</v>
      </c>
      <c r="S31" s="15">
        <v>572</v>
      </c>
      <c r="T31" s="15">
        <f t="shared" si="12"/>
        <v>41772</v>
      </c>
      <c r="U31" s="46">
        <v>11.8</v>
      </c>
      <c r="V31" s="73">
        <v>185</v>
      </c>
      <c r="W31" s="36">
        <v>43.03</v>
      </c>
      <c r="X31" s="46">
        <v>9.6</v>
      </c>
      <c r="Y31" s="42">
        <v>183</v>
      </c>
      <c r="Z31" s="36">
        <v>43.32</v>
      </c>
      <c r="AA31" s="36">
        <v>0</v>
      </c>
      <c r="AB31" s="36">
        <v>49</v>
      </c>
      <c r="AC31" s="36">
        <v>227</v>
      </c>
      <c r="AD31" s="36">
        <v>10</v>
      </c>
      <c r="AE31" s="36">
        <v>16</v>
      </c>
      <c r="AF31" s="36">
        <v>675</v>
      </c>
      <c r="AG31" s="36">
        <v>17</v>
      </c>
      <c r="AH31" s="41">
        <f t="shared" ref="AH31:AH65" si="16">(U31-X31)/100</f>
        <v>2.2000000000000009E-2</v>
      </c>
      <c r="AI31" s="9">
        <f t="shared" si="5"/>
        <v>1377</v>
      </c>
      <c r="AJ31" s="13">
        <f t="shared" si="6"/>
        <v>3.1912674685392474E-2</v>
      </c>
      <c r="AK31" s="47">
        <v>540</v>
      </c>
      <c r="AL31" s="189">
        <v>572</v>
      </c>
      <c r="AM31" s="36" t="s">
        <v>22</v>
      </c>
      <c r="AN31" s="36" t="s">
        <v>24</v>
      </c>
      <c r="AO31" s="36" t="s">
        <v>70</v>
      </c>
      <c r="AP31" s="54"/>
      <c r="AQ31" s="54"/>
      <c r="AR31" s="54"/>
      <c r="AS31" s="52" t="s">
        <v>25</v>
      </c>
      <c r="AT31" s="99" t="s">
        <v>104</v>
      </c>
      <c r="AU31" s="28"/>
      <c r="AV31" s="28"/>
      <c r="AW31" s="28"/>
      <c r="AX31" s="28"/>
      <c r="AY31" s="28"/>
    </row>
    <row r="32" spans="1:51" x14ac:dyDescent="0.25">
      <c r="A32" s="132">
        <v>30</v>
      </c>
      <c r="B32" s="92">
        <v>46142</v>
      </c>
      <c r="C32" s="35" t="s">
        <v>20</v>
      </c>
      <c r="D32" s="45" t="s">
        <v>90</v>
      </c>
      <c r="E32" s="45">
        <v>197</v>
      </c>
      <c r="F32" s="5">
        <v>14643</v>
      </c>
      <c r="G32" s="36" t="s">
        <v>37</v>
      </c>
      <c r="H32" s="45" t="s">
        <v>21</v>
      </c>
      <c r="I32" s="38" t="s">
        <v>85</v>
      </c>
      <c r="J32" s="102" t="s">
        <v>85</v>
      </c>
      <c r="K32" s="140">
        <v>40480</v>
      </c>
      <c r="L32" s="140">
        <v>0</v>
      </c>
      <c r="M32" s="140">
        <f t="shared" si="14"/>
        <v>40480</v>
      </c>
      <c r="N32" s="8">
        <v>453</v>
      </c>
      <c r="O32" s="140">
        <f t="shared" si="15"/>
        <v>40027</v>
      </c>
      <c r="P32" s="46">
        <v>40602</v>
      </c>
      <c r="Q32" s="46">
        <v>1650</v>
      </c>
      <c r="R32" s="15">
        <f t="shared" si="11"/>
        <v>38952</v>
      </c>
      <c r="S32" s="15">
        <v>536</v>
      </c>
      <c r="T32" s="15">
        <f t="shared" si="12"/>
        <v>38416</v>
      </c>
      <c r="U32" s="46">
        <v>11.8</v>
      </c>
      <c r="V32" s="73">
        <v>160</v>
      </c>
      <c r="W32" s="36">
        <v>43.12</v>
      </c>
      <c r="X32" s="46">
        <v>10.4</v>
      </c>
      <c r="Y32" s="42">
        <v>164</v>
      </c>
      <c r="Z32" s="36">
        <v>43.21</v>
      </c>
      <c r="AA32" s="36">
        <v>4</v>
      </c>
      <c r="AB32" s="36">
        <v>20</v>
      </c>
      <c r="AC32" s="36">
        <v>230</v>
      </c>
      <c r="AD32" s="36">
        <v>12</v>
      </c>
      <c r="AE32" s="36">
        <v>18</v>
      </c>
      <c r="AF32" s="36">
        <v>675</v>
      </c>
      <c r="AG32" s="36">
        <v>36</v>
      </c>
      <c r="AH32" s="41">
        <f t="shared" si="16"/>
        <v>1.4000000000000004E-2</v>
      </c>
      <c r="AI32" s="9">
        <f t="shared" si="5"/>
        <v>1611</v>
      </c>
      <c r="AJ32" s="13">
        <f t="shared" si="6"/>
        <v>4.0247832712918777E-2</v>
      </c>
      <c r="AK32" s="47">
        <v>465</v>
      </c>
      <c r="AL32" s="189">
        <v>536</v>
      </c>
      <c r="AM32" s="36" t="s">
        <v>22</v>
      </c>
      <c r="AN32" s="36" t="s">
        <v>24</v>
      </c>
      <c r="AO32" s="36" t="s">
        <v>70</v>
      </c>
      <c r="AP32" s="54"/>
      <c r="AQ32" s="54"/>
      <c r="AR32" s="54"/>
      <c r="AS32" s="52" t="s">
        <v>25</v>
      </c>
      <c r="AT32" s="99" t="s">
        <v>104</v>
      </c>
      <c r="AU32" s="28"/>
      <c r="AV32" s="28"/>
      <c r="AW32" s="28"/>
      <c r="AX32" s="28"/>
      <c r="AY32" s="28"/>
    </row>
    <row r="33" spans="1:51" x14ac:dyDescent="0.25">
      <c r="A33" s="132">
        <v>31</v>
      </c>
      <c r="B33" s="92">
        <v>46145</v>
      </c>
      <c r="C33" s="35" t="s">
        <v>20</v>
      </c>
      <c r="D33" s="45" t="s">
        <v>90</v>
      </c>
      <c r="E33" s="45">
        <v>178</v>
      </c>
      <c r="F33" s="5">
        <v>82154</v>
      </c>
      <c r="G33" s="45"/>
      <c r="H33" s="45" t="s">
        <v>23</v>
      </c>
      <c r="I33" s="38" t="s">
        <v>85</v>
      </c>
      <c r="J33" s="102" t="s">
        <v>85</v>
      </c>
      <c r="K33" s="140">
        <v>46700</v>
      </c>
      <c r="L33" s="15">
        <v>0</v>
      </c>
      <c r="M33" s="140">
        <f t="shared" si="14"/>
        <v>46700</v>
      </c>
      <c r="N33" s="8">
        <v>576</v>
      </c>
      <c r="O33" s="140">
        <f t="shared" si="15"/>
        <v>46124</v>
      </c>
      <c r="P33" s="46">
        <v>46125</v>
      </c>
      <c r="Q33" s="46">
        <v>1680</v>
      </c>
      <c r="R33" s="15">
        <f t="shared" si="11"/>
        <v>44445</v>
      </c>
      <c r="S33" s="15">
        <v>584</v>
      </c>
      <c r="T33" s="15">
        <f t="shared" si="12"/>
        <v>43861</v>
      </c>
      <c r="U33" s="46">
        <v>12.1</v>
      </c>
      <c r="V33" s="73">
        <v>171</v>
      </c>
      <c r="W33" s="36">
        <v>42.32</v>
      </c>
      <c r="X33" s="46">
        <v>8.9</v>
      </c>
      <c r="Y33" s="42">
        <v>174</v>
      </c>
      <c r="Z33" s="46">
        <v>42.5</v>
      </c>
      <c r="AA33" s="36"/>
      <c r="AB33" s="36"/>
      <c r="AC33" s="36"/>
      <c r="AD33" s="36"/>
      <c r="AE33" s="36"/>
      <c r="AF33" s="36"/>
      <c r="AG33" s="36"/>
      <c r="AH33" s="41">
        <f t="shared" si="16"/>
        <v>3.1999999999999994E-2</v>
      </c>
      <c r="AI33" s="9">
        <f t="shared" si="5"/>
        <v>2263</v>
      </c>
      <c r="AJ33" s="13">
        <f t="shared" si="6"/>
        <v>4.9063394328332323E-2</v>
      </c>
      <c r="AK33" s="47">
        <v>530</v>
      </c>
      <c r="AL33" s="189">
        <v>584</v>
      </c>
      <c r="AM33" s="36" t="s">
        <v>22</v>
      </c>
      <c r="AN33" s="36" t="s">
        <v>24</v>
      </c>
      <c r="AO33" s="35" t="s">
        <v>25</v>
      </c>
      <c r="AP33" s="71">
        <v>46239</v>
      </c>
      <c r="AQ33" s="54">
        <v>10.1</v>
      </c>
      <c r="AR33" s="54">
        <v>8.9</v>
      </c>
      <c r="AS33" s="52" t="s">
        <v>25</v>
      </c>
      <c r="AT33" s="99" t="s">
        <v>104</v>
      </c>
      <c r="AU33" s="28"/>
      <c r="AV33" s="28"/>
      <c r="AW33" s="28"/>
      <c r="AX33" s="28"/>
      <c r="AY33" s="28"/>
    </row>
    <row r="34" spans="1:51" x14ac:dyDescent="0.25">
      <c r="A34" s="132">
        <v>32</v>
      </c>
      <c r="B34" s="92">
        <v>46145</v>
      </c>
      <c r="C34" s="6" t="s">
        <v>20</v>
      </c>
      <c r="D34" s="5" t="s">
        <v>91</v>
      </c>
      <c r="E34" s="5">
        <v>160</v>
      </c>
      <c r="F34" s="5">
        <v>82124</v>
      </c>
      <c r="G34" s="5" t="s">
        <v>77</v>
      </c>
      <c r="H34" s="5" t="s">
        <v>23</v>
      </c>
      <c r="I34" s="16" t="s">
        <v>75</v>
      </c>
      <c r="J34" s="6" t="s">
        <v>75</v>
      </c>
      <c r="K34" s="140">
        <v>54180</v>
      </c>
      <c r="L34" s="15">
        <v>0</v>
      </c>
      <c r="M34" s="140">
        <f t="shared" si="14"/>
        <v>54180</v>
      </c>
      <c r="N34" s="8">
        <v>646</v>
      </c>
      <c r="O34" s="141">
        <f t="shared" si="15"/>
        <v>53534</v>
      </c>
      <c r="P34" s="15">
        <v>55082</v>
      </c>
      <c r="Q34" s="15">
        <v>2044</v>
      </c>
      <c r="R34" s="15">
        <f t="shared" si="11"/>
        <v>53038</v>
      </c>
      <c r="S34" s="15">
        <v>701</v>
      </c>
      <c r="T34" s="15">
        <f t="shared" si="12"/>
        <v>52337</v>
      </c>
      <c r="U34" s="15">
        <v>15.4</v>
      </c>
      <c r="V34" s="177">
        <v>158</v>
      </c>
      <c r="W34" s="6">
        <v>43.56</v>
      </c>
      <c r="X34" s="15">
        <v>10.5</v>
      </c>
      <c r="Y34" s="9">
        <v>170</v>
      </c>
      <c r="Z34" s="6">
        <v>44.26</v>
      </c>
      <c r="AA34" s="6">
        <v>0</v>
      </c>
      <c r="AB34" s="6">
        <v>27</v>
      </c>
      <c r="AC34" s="6">
        <v>244</v>
      </c>
      <c r="AD34" s="6">
        <v>10</v>
      </c>
      <c r="AE34" s="6">
        <v>4</v>
      </c>
      <c r="AF34" s="6">
        <v>674</v>
      </c>
      <c r="AG34" s="6">
        <v>37</v>
      </c>
      <c r="AH34" s="26">
        <f t="shared" si="16"/>
        <v>4.9000000000000002E-2</v>
      </c>
      <c r="AI34" s="9">
        <f t="shared" si="5"/>
        <v>1197</v>
      </c>
      <c r="AJ34" s="13">
        <f t="shared" si="6"/>
        <v>2.2359621922516532E-2</v>
      </c>
      <c r="AK34" s="8">
        <v>631</v>
      </c>
      <c r="AL34" s="171">
        <v>701</v>
      </c>
      <c r="AM34" s="6" t="s">
        <v>22</v>
      </c>
      <c r="AN34" s="6" t="s">
        <v>24</v>
      </c>
      <c r="AO34" s="6" t="s">
        <v>3</v>
      </c>
      <c r="AP34" s="53"/>
      <c r="AQ34" s="53"/>
      <c r="AR34" s="53"/>
      <c r="AS34" s="14"/>
      <c r="AT34" s="28" t="s">
        <v>105</v>
      </c>
      <c r="AU34" s="28"/>
      <c r="AV34" s="28"/>
      <c r="AW34" s="28"/>
      <c r="AX34" s="28"/>
      <c r="AY34" s="28"/>
    </row>
    <row r="35" spans="1:51" ht="36" x14ac:dyDescent="0.25">
      <c r="A35" s="132">
        <v>33</v>
      </c>
      <c r="B35" s="92">
        <v>46145</v>
      </c>
      <c r="C35" s="6" t="s">
        <v>20</v>
      </c>
      <c r="D35" s="5" t="s">
        <v>91</v>
      </c>
      <c r="E35" s="5">
        <v>177</v>
      </c>
      <c r="F35" s="5">
        <v>82914</v>
      </c>
      <c r="G35" s="5" t="s">
        <v>77</v>
      </c>
      <c r="H35" s="5" t="s">
        <v>23</v>
      </c>
      <c r="I35" s="16" t="s">
        <v>75</v>
      </c>
      <c r="J35" s="6" t="s">
        <v>75</v>
      </c>
      <c r="K35" s="140">
        <v>40980</v>
      </c>
      <c r="L35" s="15">
        <v>0</v>
      </c>
      <c r="M35" s="140">
        <f t="shared" si="14"/>
        <v>40980</v>
      </c>
      <c r="N35" s="8">
        <v>507</v>
      </c>
      <c r="O35" s="141">
        <f t="shared" si="15"/>
        <v>40473</v>
      </c>
      <c r="P35" s="15">
        <v>39521</v>
      </c>
      <c r="Q35" s="15">
        <v>1470</v>
      </c>
      <c r="R35" s="15">
        <f t="shared" si="11"/>
        <v>38051</v>
      </c>
      <c r="S35" s="15">
        <v>491</v>
      </c>
      <c r="T35" s="15">
        <f t="shared" si="12"/>
        <v>37560</v>
      </c>
      <c r="U35" s="19">
        <v>13.9</v>
      </c>
      <c r="V35" s="177">
        <v>166</v>
      </c>
      <c r="W35" s="6">
        <v>42.41</v>
      </c>
      <c r="X35" s="15">
        <v>10.6</v>
      </c>
      <c r="Y35" s="9">
        <v>176</v>
      </c>
      <c r="Z35" s="6">
        <v>44.35</v>
      </c>
      <c r="AA35" s="6"/>
      <c r="AB35" s="6"/>
      <c r="AC35" s="6"/>
      <c r="AD35" s="6"/>
      <c r="AE35" s="6"/>
      <c r="AF35" s="6"/>
      <c r="AG35" s="6"/>
      <c r="AH35" s="26">
        <f t="shared" si="16"/>
        <v>3.3000000000000008E-2</v>
      </c>
      <c r="AI35" s="9">
        <f t="shared" si="5"/>
        <v>2913</v>
      </c>
      <c r="AJ35" s="13">
        <f t="shared" si="6"/>
        <v>7.1973908531613673E-2</v>
      </c>
      <c r="AK35" s="8">
        <v>521</v>
      </c>
      <c r="AL35" s="171">
        <v>491</v>
      </c>
      <c r="AM35" s="6" t="s">
        <v>22</v>
      </c>
      <c r="AN35" s="6" t="s">
        <v>24</v>
      </c>
      <c r="AO35" s="6" t="s">
        <v>3</v>
      </c>
      <c r="AP35" s="56">
        <v>46300</v>
      </c>
      <c r="AQ35" s="53">
        <v>10.6</v>
      </c>
      <c r="AR35" s="53">
        <v>9</v>
      </c>
      <c r="AS35" s="81" t="s">
        <v>60</v>
      </c>
      <c r="AT35" s="28" t="s">
        <v>105</v>
      </c>
      <c r="AU35" s="28"/>
      <c r="AV35" s="28"/>
      <c r="AW35" s="28"/>
      <c r="AX35" s="28"/>
      <c r="AY35" s="28"/>
    </row>
    <row r="36" spans="1:51" x14ac:dyDescent="0.25">
      <c r="A36" s="132">
        <v>34</v>
      </c>
      <c r="B36" s="92">
        <v>46146</v>
      </c>
      <c r="C36" s="36" t="s">
        <v>20</v>
      </c>
      <c r="D36" s="45" t="s">
        <v>90</v>
      </c>
      <c r="E36" s="45">
        <v>179</v>
      </c>
      <c r="F36" s="5">
        <v>66919</v>
      </c>
      <c r="G36" s="45"/>
      <c r="H36" s="45" t="s">
        <v>23</v>
      </c>
      <c r="I36" s="38" t="s">
        <v>85</v>
      </c>
      <c r="J36" s="102" t="s">
        <v>85</v>
      </c>
      <c r="K36" s="140">
        <v>42480</v>
      </c>
      <c r="L36" s="15">
        <v>0</v>
      </c>
      <c r="M36" s="140">
        <f t="shared" si="14"/>
        <v>42480</v>
      </c>
      <c r="N36" s="8">
        <v>577</v>
      </c>
      <c r="O36" s="140">
        <f t="shared" si="15"/>
        <v>41903</v>
      </c>
      <c r="P36" s="46">
        <v>42599</v>
      </c>
      <c r="Q36" s="46">
        <v>1633</v>
      </c>
      <c r="R36" s="15">
        <f t="shared" si="11"/>
        <v>40966</v>
      </c>
      <c r="S36" s="15">
        <v>547</v>
      </c>
      <c r="T36" s="15">
        <f t="shared" si="12"/>
        <v>40419</v>
      </c>
      <c r="U36" s="46">
        <v>10.5</v>
      </c>
      <c r="V36" s="73">
        <v>184</v>
      </c>
      <c r="W36" s="36">
        <v>42.41</v>
      </c>
      <c r="X36" s="46">
        <v>8.5</v>
      </c>
      <c r="Y36" s="42">
        <v>188</v>
      </c>
      <c r="Z36" s="36">
        <v>43.03</v>
      </c>
      <c r="AA36" s="36">
        <v>2</v>
      </c>
      <c r="AB36" s="36">
        <v>22</v>
      </c>
      <c r="AC36" s="36">
        <v>234</v>
      </c>
      <c r="AD36" s="36">
        <v>12</v>
      </c>
      <c r="AE36" s="36">
        <v>10</v>
      </c>
      <c r="AF36" s="36">
        <v>681</v>
      </c>
      <c r="AG36" s="36">
        <v>34</v>
      </c>
      <c r="AH36" s="41">
        <f t="shared" si="16"/>
        <v>0.02</v>
      </c>
      <c r="AI36" s="9">
        <f t="shared" si="5"/>
        <v>1484</v>
      </c>
      <c r="AJ36" s="13">
        <f t="shared" si="6"/>
        <v>3.5415125408681955E-2</v>
      </c>
      <c r="AK36" s="47">
        <v>599</v>
      </c>
      <c r="AL36" s="189">
        <v>547</v>
      </c>
      <c r="AM36" s="36" t="s">
        <v>22</v>
      </c>
      <c r="AN36" s="36" t="s">
        <v>24</v>
      </c>
      <c r="AO36" s="36" t="s">
        <v>70</v>
      </c>
      <c r="AP36" s="54"/>
      <c r="AQ36" s="54"/>
      <c r="AR36" s="54"/>
      <c r="AS36" s="52" t="s">
        <v>25</v>
      </c>
      <c r="AT36" s="99" t="s">
        <v>104</v>
      </c>
      <c r="AU36" s="28"/>
      <c r="AV36" s="28"/>
      <c r="AW36" s="28"/>
      <c r="AX36" s="28"/>
      <c r="AY36" s="28"/>
    </row>
    <row r="37" spans="1:51" x14ac:dyDescent="0.25">
      <c r="A37" s="132">
        <v>35</v>
      </c>
      <c r="B37" s="92">
        <v>46147</v>
      </c>
      <c r="C37" s="36" t="s">
        <v>20</v>
      </c>
      <c r="D37" s="5" t="s">
        <v>91</v>
      </c>
      <c r="E37" s="5">
        <v>222</v>
      </c>
      <c r="F37" s="5">
        <v>36093</v>
      </c>
      <c r="G37" s="5" t="s">
        <v>77</v>
      </c>
      <c r="H37" s="5" t="s">
        <v>21</v>
      </c>
      <c r="I37" s="16" t="s">
        <v>75</v>
      </c>
      <c r="J37" s="6" t="s">
        <v>75</v>
      </c>
      <c r="K37" s="140">
        <v>50440</v>
      </c>
      <c r="L37" s="140">
        <v>0</v>
      </c>
      <c r="M37" s="140">
        <f>K37-L37</f>
        <v>50440</v>
      </c>
      <c r="N37" s="8">
        <v>579</v>
      </c>
      <c r="O37" s="140">
        <f>M37-N37</f>
        <v>49861</v>
      </c>
      <c r="P37" s="15">
        <v>49632</v>
      </c>
      <c r="Q37" s="15">
        <v>1950</v>
      </c>
      <c r="R37" s="15">
        <f t="shared" si="11"/>
        <v>47682</v>
      </c>
      <c r="S37" s="15">
        <v>611</v>
      </c>
      <c r="T37" s="15">
        <f t="shared" si="12"/>
        <v>47071</v>
      </c>
      <c r="U37" s="19">
        <v>14.7</v>
      </c>
      <c r="V37" s="177">
        <v>173</v>
      </c>
      <c r="W37" s="6">
        <v>43.65</v>
      </c>
      <c r="X37" s="15">
        <v>9.6</v>
      </c>
      <c r="Y37" s="9">
        <v>167</v>
      </c>
      <c r="Z37" s="6">
        <v>44.44</v>
      </c>
      <c r="AA37" s="6"/>
      <c r="AB37" s="6"/>
      <c r="AC37" s="6"/>
      <c r="AD37" s="6"/>
      <c r="AE37" s="6"/>
      <c r="AF37" s="6"/>
      <c r="AG37" s="6"/>
      <c r="AH37" s="26">
        <f t="shared" si="16"/>
        <v>5.0999999999999997E-2</v>
      </c>
      <c r="AI37" s="9">
        <f t="shared" si="5"/>
        <v>2790</v>
      </c>
      <c r="AJ37" s="13">
        <f t="shared" si="6"/>
        <v>5.5955556446922447E-2</v>
      </c>
      <c r="AK37" s="8">
        <v>597</v>
      </c>
      <c r="AL37" s="171">
        <v>611</v>
      </c>
      <c r="AM37" s="6" t="s">
        <v>22</v>
      </c>
      <c r="AN37" s="6" t="s">
        <v>24</v>
      </c>
      <c r="AO37" s="6" t="s">
        <v>3</v>
      </c>
      <c r="AP37" s="53"/>
      <c r="AQ37" s="53"/>
      <c r="AR37" s="53"/>
      <c r="AS37" s="14"/>
      <c r="AT37" s="28" t="s">
        <v>105</v>
      </c>
      <c r="AU37" s="28"/>
      <c r="AV37" s="28"/>
      <c r="AW37" s="28"/>
      <c r="AX37" s="28"/>
      <c r="AY37" s="28"/>
    </row>
    <row r="38" spans="1:51" x14ac:dyDescent="0.25">
      <c r="A38" s="132">
        <v>36</v>
      </c>
      <c r="B38" s="92">
        <v>46154</v>
      </c>
      <c r="C38" s="36" t="s">
        <v>20</v>
      </c>
      <c r="D38" s="45" t="s">
        <v>68</v>
      </c>
      <c r="E38" s="45" t="s">
        <v>68</v>
      </c>
      <c r="F38" s="5">
        <v>82484</v>
      </c>
      <c r="G38" s="45" t="s">
        <v>77</v>
      </c>
      <c r="H38" s="45" t="s">
        <v>68</v>
      </c>
      <c r="I38" s="36" t="s">
        <v>85</v>
      </c>
      <c r="J38" s="102" t="s">
        <v>85</v>
      </c>
      <c r="K38" s="15">
        <v>48780</v>
      </c>
      <c r="L38" s="15">
        <v>1460</v>
      </c>
      <c r="M38" s="15">
        <f>K38-L38</f>
        <v>47320</v>
      </c>
      <c r="N38" s="6">
        <v>597</v>
      </c>
      <c r="O38" s="15">
        <f>M38-N38</f>
        <v>46723</v>
      </c>
      <c r="P38" s="46">
        <v>47936</v>
      </c>
      <c r="Q38" s="46">
        <v>1800</v>
      </c>
      <c r="R38" s="15">
        <f t="shared" si="11"/>
        <v>46136</v>
      </c>
      <c r="S38" s="15">
        <v>605</v>
      </c>
      <c r="T38" s="15">
        <f t="shared" si="12"/>
        <v>45531</v>
      </c>
      <c r="U38" s="46">
        <v>11</v>
      </c>
      <c r="V38" s="73"/>
      <c r="W38" s="36"/>
      <c r="X38" s="46">
        <v>9</v>
      </c>
      <c r="Y38" s="73">
        <v>168</v>
      </c>
      <c r="Z38" s="36">
        <v>42.76</v>
      </c>
      <c r="AA38" s="36"/>
      <c r="AB38" s="36"/>
      <c r="AC38" s="36"/>
      <c r="AD38" s="36"/>
      <c r="AE38" s="36"/>
      <c r="AF38" s="36"/>
      <c r="AG38" s="36"/>
      <c r="AH38" s="36">
        <f t="shared" si="16"/>
        <v>0.02</v>
      </c>
      <c r="AI38" s="9">
        <f t="shared" si="5"/>
        <v>1192</v>
      </c>
      <c r="AJ38" s="13">
        <f t="shared" si="6"/>
        <v>2.55120604413244E-2</v>
      </c>
      <c r="AK38" s="47">
        <v>597</v>
      </c>
      <c r="AL38" s="189">
        <v>605</v>
      </c>
      <c r="AM38" s="36" t="s">
        <v>22</v>
      </c>
      <c r="AN38" s="36" t="s">
        <v>24</v>
      </c>
      <c r="AO38" s="35" t="s">
        <v>25</v>
      </c>
      <c r="AP38" s="54"/>
      <c r="AQ38" s="54"/>
      <c r="AR38" s="54"/>
      <c r="AS38" s="36" t="s">
        <v>25</v>
      </c>
      <c r="AT38" s="99" t="s">
        <v>104</v>
      </c>
      <c r="AU38" s="28"/>
      <c r="AV38" s="28"/>
      <c r="AW38" s="28"/>
      <c r="AX38" s="28"/>
      <c r="AY38" s="28"/>
    </row>
    <row r="39" spans="1:51" x14ac:dyDescent="0.25">
      <c r="A39" s="132">
        <v>37</v>
      </c>
      <c r="B39" s="92">
        <v>46155</v>
      </c>
      <c r="C39" s="36" t="s">
        <v>20</v>
      </c>
      <c r="D39" s="45" t="s">
        <v>68</v>
      </c>
      <c r="E39" s="45" t="s">
        <v>68</v>
      </c>
      <c r="F39" s="5">
        <v>64970</v>
      </c>
      <c r="G39" s="45" t="s">
        <v>77</v>
      </c>
      <c r="H39" s="45" t="s">
        <v>68</v>
      </c>
      <c r="I39" s="36" t="s">
        <v>85</v>
      </c>
      <c r="J39" s="102" t="s">
        <v>85</v>
      </c>
      <c r="K39" s="15">
        <v>46287</v>
      </c>
      <c r="L39" s="15">
        <v>1391</v>
      </c>
      <c r="M39" s="15">
        <f t="shared" ref="M39:M40" si="17">K39-L39</f>
        <v>44896</v>
      </c>
      <c r="N39" s="6">
        <v>572</v>
      </c>
      <c r="O39" s="15">
        <f t="shared" ref="O39:O40" si="18">M39-N39</f>
        <v>44324</v>
      </c>
      <c r="P39" s="46">
        <v>45644</v>
      </c>
      <c r="Q39" s="46">
        <v>1771</v>
      </c>
      <c r="R39" s="15">
        <f t="shared" si="11"/>
        <v>43873</v>
      </c>
      <c r="S39" s="15">
        <v>575</v>
      </c>
      <c r="T39" s="15">
        <f t="shared" si="12"/>
        <v>43298</v>
      </c>
      <c r="U39" s="46">
        <v>11</v>
      </c>
      <c r="V39" s="73"/>
      <c r="W39" s="36"/>
      <c r="X39" s="46">
        <v>9</v>
      </c>
      <c r="Y39" s="73">
        <v>168</v>
      </c>
      <c r="Z39" s="36">
        <v>42.76</v>
      </c>
      <c r="AA39" s="36"/>
      <c r="AB39" s="36"/>
      <c r="AC39" s="36"/>
      <c r="AD39" s="36"/>
      <c r="AE39" s="36"/>
      <c r="AF39" s="36"/>
      <c r="AG39" s="36"/>
      <c r="AH39" s="36">
        <f t="shared" si="16"/>
        <v>0.02</v>
      </c>
      <c r="AI39" s="9">
        <f t="shared" si="5"/>
        <v>1026</v>
      </c>
      <c r="AJ39" s="13">
        <f t="shared" si="6"/>
        <v>2.3147730349246456E-2</v>
      </c>
      <c r="AK39" s="47">
        <v>572</v>
      </c>
      <c r="AL39" s="189">
        <v>575</v>
      </c>
      <c r="AM39" s="36" t="s">
        <v>22</v>
      </c>
      <c r="AN39" s="36" t="s">
        <v>24</v>
      </c>
      <c r="AO39" s="35" t="s">
        <v>25</v>
      </c>
      <c r="AP39" s="54"/>
      <c r="AQ39" s="54"/>
      <c r="AR39" s="54"/>
      <c r="AS39" s="36" t="s">
        <v>25</v>
      </c>
      <c r="AT39" s="99" t="s">
        <v>104</v>
      </c>
      <c r="AU39" s="28"/>
      <c r="AV39" s="28"/>
      <c r="AW39" s="28"/>
      <c r="AX39" s="28"/>
      <c r="AY39" s="28"/>
    </row>
    <row r="40" spans="1:51" x14ac:dyDescent="0.25">
      <c r="A40" s="132">
        <v>38</v>
      </c>
      <c r="B40" s="92">
        <v>46157</v>
      </c>
      <c r="C40" s="36" t="s">
        <v>20</v>
      </c>
      <c r="D40" s="45" t="s">
        <v>68</v>
      </c>
      <c r="E40" s="45" t="s">
        <v>68</v>
      </c>
      <c r="F40" s="5">
        <v>77650</v>
      </c>
      <c r="G40" s="45" t="s">
        <v>77</v>
      </c>
      <c r="H40" s="45" t="s">
        <v>68</v>
      </c>
      <c r="I40" s="36" t="s">
        <v>85</v>
      </c>
      <c r="J40" s="102" t="s">
        <v>85</v>
      </c>
      <c r="K40" s="15">
        <v>51884</v>
      </c>
      <c r="L40" s="15">
        <v>1584</v>
      </c>
      <c r="M40" s="15">
        <f t="shared" si="17"/>
        <v>50300</v>
      </c>
      <c r="N40" s="6">
        <v>660</v>
      </c>
      <c r="O40" s="15">
        <f t="shared" si="18"/>
        <v>49640</v>
      </c>
      <c r="P40" s="46">
        <v>50879</v>
      </c>
      <c r="Q40" s="46">
        <v>1971</v>
      </c>
      <c r="R40" s="15">
        <f t="shared" si="11"/>
        <v>48908</v>
      </c>
      <c r="S40" s="15">
        <v>638</v>
      </c>
      <c r="T40" s="15">
        <f t="shared" si="12"/>
        <v>48270</v>
      </c>
      <c r="U40" s="46">
        <v>12</v>
      </c>
      <c r="V40" s="73"/>
      <c r="W40" s="36"/>
      <c r="X40" s="46">
        <v>8.5</v>
      </c>
      <c r="Y40" s="73">
        <v>172</v>
      </c>
      <c r="Z40" s="36">
        <v>42.15</v>
      </c>
      <c r="AA40" s="36"/>
      <c r="AB40" s="36"/>
      <c r="AC40" s="36"/>
      <c r="AD40" s="36"/>
      <c r="AE40" s="36"/>
      <c r="AF40" s="36"/>
      <c r="AG40" s="36"/>
      <c r="AH40" s="41">
        <f t="shared" si="16"/>
        <v>3.5000000000000003E-2</v>
      </c>
      <c r="AI40" s="9">
        <f t="shared" si="5"/>
        <v>1370</v>
      </c>
      <c r="AJ40" s="13">
        <f t="shared" si="6"/>
        <v>2.7598710717163577E-2</v>
      </c>
      <c r="AK40" s="47">
        <v>660</v>
      </c>
      <c r="AL40" s="189">
        <v>638</v>
      </c>
      <c r="AM40" s="36" t="s">
        <v>22</v>
      </c>
      <c r="AN40" s="36" t="s">
        <v>24</v>
      </c>
      <c r="AO40" s="35" t="s">
        <v>25</v>
      </c>
      <c r="AP40" s="54"/>
      <c r="AQ40" s="54"/>
      <c r="AR40" s="54"/>
      <c r="AS40" s="36" t="s">
        <v>25</v>
      </c>
      <c r="AT40" s="99" t="s">
        <v>104</v>
      </c>
      <c r="AU40" s="28"/>
      <c r="AV40" s="28"/>
      <c r="AW40" s="28"/>
      <c r="AX40" s="28"/>
      <c r="AY40" s="28"/>
    </row>
    <row r="41" spans="1:51" x14ac:dyDescent="0.25">
      <c r="A41" s="132">
        <v>39</v>
      </c>
      <c r="B41" s="92">
        <v>46160</v>
      </c>
      <c r="C41" s="36" t="s">
        <v>20</v>
      </c>
      <c r="D41" s="45" t="s">
        <v>90</v>
      </c>
      <c r="E41" s="45">
        <v>243</v>
      </c>
      <c r="F41" s="5">
        <v>31510</v>
      </c>
      <c r="G41" s="45"/>
      <c r="H41" s="45" t="s">
        <v>21</v>
      </c>
      <c r="I41" s="38" t="s">
        <v>85</v>
      </c>
      <c r="J41" s="102" t="s">
        <v>85</v>
      </c>
      <c r="K41" s="140">
        <v>43350</v>
      </c>
      <c r="L41" s="140">
        <v>0</v>
      </c>
      <c r="M41" s="140">
        <f>K41-L41</f>
        <v>43350</v>
      </c>
      <c r="N41" s="8">
        <v>518</v>
      </c>
      <c r="O41" s="140">
        <f>M41-N41</f>
        <v>42832</v>
      </c>
      <c r="P41" s="46">
        <v>44309</v>
      </c>
      <c r="Q41" s="46">
        <v>1728</v>
      </c>
      <c r="R41" s="15">
        <f t="shared" si="11"/>
        <v>42581</v>
      </c>
      <c r="S41" s="15">
        <v>566</v>
      </c>
      <c r="T41" s="15">
        <f t="shared" si="12"/>
        <v>42015</v>
      </c>
      <c r="U41" s="46">
        <v>9.8000000000000007</v>
      </c>
      <c r="V41" s="73">
        <v>168</v>
      </c>
      <c r="W41" s="36">
        <v>43.12</v>
      </c>
      <c r="X41" s="46">
        <v>8.5</v>
      </c>
      <c r="Y41" s="73">
        <v>173</v>
      </c>
      <c r="Z41" s="36">
        <v>43.47</v>
      </c>
      <c r="AA41" s="36"/>
      <c r="AB41" s="36"/>
      <c r="AC41" s="36"/>
      <c r="AD41" s="36"/>
      <c r="AE41" s="36"/>
      <c r="AF41" s="36"/>
      <c r="AG41" s="36"/>
      <c r="AH41" s="41">
        <f t="shared" si="16"/>
        <v>1.3000000000000006E-2</v>
      </c>
      <c r="AI41" s="9">
        <f t="shared" si="5"/>
        <v>817</v>
      </c>
      <c r="AJ41" s="13">
        <f t="shared" si="6"/>
        <v>1.9074523720582742E-2</v>
      </c>
      <c r="AK41" s="47">
        <v>544</v>
      </c>
      <c r="AL41" s="189">
        <v>566</v>
      </c>
      <c r="AM41" s="36" t="s">
        <v>22</v>
      </c>
      <c r="AN41" s="36" t="s">
        <v>24</v>
      </c>
      <c r="AO41" s="35" t="s">
        <v>25</v>
      </c>
      <c r="AP41" s="54"/>
      <c r="AQ41" s="54"/>
      <c r="AR41" s="54"/>
      <c r="AS41" s="36" t="s">
        <v>25</v>
      </c>
      <c r="AT41" s="99" t="s">
        <v>104</v>
      </c>
      <c r="AU41" s="28"/>
      <c r="AV41" s="28"/>
      <c r="AW41" s="28"/>
      <c r="AX41" s="28"/>
      <c r="AY41" s="28"/>
    </row>
    <row r="42" spans="1:51" x14ac:dyDescent="0.25">
      <c r="A42" s="132">
        <v>40</v>
      </c>
      <c r="B42" s="92">
        <v>46161</v>
      </c>
      <c r="C42" s="36" t="s">
        <v>20</v>
      </c>
      <c r="D42" s="45" t="s">
        <v>68</v>
      </c>
      <c r="E42" s="45" t="s">
        <v>68</v>
      </c>
      <c r="F42" s="96" t="s">
        <v>71</v>
      </c>
      <c r="G42" s="45" t="s">
        <v>77</v>
      </c>
      <c r="H42" s="45" t="s">
        <v>68</v>
      </c>
      <c r="I42" s="36" t="s">
        <v>85</v>
      </c>
      <c r="J42" s="102" t="s">
        <v>85</v>
      </c>
      <c r="K42" s="15">
        <v>105079</v>
      </c>
      <c r="L42" s="15">
        <v>3330</v>
      </c>
      <c r="M42" s="15">
        <f>K42-L42</f>
        <v>101749</v>
      </c>
      <c r="N42" s="6">
        <v>1322</v>
      </c>
      <c r="O42" s="15">
        <f>M42-N42</f>
        <v>100427</v>
      </c>
      <c r="P42" s="46">
        <v>103479.6</v>
      </c>
      <c r="Q42" s="46">
        <v>3985.2</v>
      </c>
      <c r="R42" s="15">
        <f t="shared" si="11"/>
        <v>99494.400000000009</v>
      </c>
      <c r="S42" s="15">
        <v>1323</v>
      </c>
      <c r="T42" s="15">
        <f t="shared" si="12"/>
        <v>98171.400000000009</v>
      </c>
      <c r="U42" s="46">
        <v>11.1</v>
      </c>
      <c r="V42" s="73"/>
      <c r="W42" s="36"/>
      <c r="X42" s="46">
        <v>8.5</v>
      </c>
      <c r="Y42" s="73">
        <v>172</v>
      </c>
      <c r="Z42" s="36">
        <v>42.06</v>
      </c>
      <c r="AA42" s="36"/>
      <c r="AB42" s="36"/>
      <c r="AC42" s="36"/>
      <c r="AD42" s="36"/>
      <c r="AE42" s="36"/>
      <c r="AF42" s="36"/>
      <c r="AG42" s="36"/>
      <c r="AH42" s="41">
        <f>(U42-X42)/100</f>
        <v>2.5999999999999995E-2</v>
      </c>
      <c r="AI42" s="9">
        <f t="shared" si="5"/>
        <v>2255.5999999999913</v>
      </c>
      <c r="AJ42" s="13">
        <f t="shared" si="6"/>
        <v>2.2460095392673199E-2</v>
      </c>
      <c r="AK42" s="47">
        <v>1322</v>
      </c>
      <c r="AL42" s="189">
        <v>1323</v>
      </c>
      <c r="AM42" s="36" t="s">
        <v>22</v>
      </c>
      <c r="AN42" s="36" t="s">
        <v>24</v>
      </c>
      <c r="AO42" s="35" t="s">
        <v>25</v>
      </c>
      <c r="AP42" s="54"/>
      <c r="AQ42" s="54"/>
      <c r="AR42" s="54"/>
      <c r="AS42" s="36" t="s">
        <v>25</v>
      </c>
      <c r="AT42" s="99" t="s">
        <v>104</v>
      </c>
      <c r="AU42" s="28"/>
      <c r="AV42" s="28"/>
      <c r="AW42" s="28"/>
      <c r="AX42" s="28"/>
      <c r="AY42" s="28"/>
    </row>
    <row r="43" spans="1:51" x14ac:dyDescent="0.25">
      <c r="A43" s="132">
        <v>41</v>
      </c>
      <c r="B43" s="92">
        <v>46163</v>
      </c>
      <c r="C43" s="36" t="s">
        <v>20</v>
      </c>
      <c r="D43" s="77" t="s">
        <v>93</v>
      </c>
      <c r="E43" s="77">
        <v>244</v>
      </c>
      <c r="F43" s="77">
        <v>31512</v>
      </c>
      <c r="G43" s="77" t="s">
        <v>77</v>
      </c>
      <c r="H43" s="77" t="s">
        <v>21</v>
      </c>
      <c r="I43" s="8" t="s">
        <v>79</v>
      </c>
      <c r="J43" s="78" t="s">
        <v>79</v>
      </c>
      <c r="K43" s="140">
        <v>39750</v>
      </c>
      <c r="L43" s="140">
        <v>0</v>
      </c>
      <c r="M43" s="140">
        <f t="shared" ref="M43:M49" si="19">K43-L43</f>
        <v>39750</v>
      </c>
      <c r="N43" s="8">
        <v>526</v>
      </c>
      <c r="O43" s="140">
        <f t="shared" ref="O43:O49" si="20">M43-N43</f>
        <v>39224</v>
      </c>
      <c r="P43" s="82">
        <v>40479</v>
      </c>
      <c r="Q43" s="82">
        <v>1568</v>
      </c>
      <c r="R43" s="15">
        <f t="shared" si="11"/>
        <v>38911</v>
      </c>
      <c r="S43" s="15">
        <v>506</v>
      </c>
      <c r="T43" s="15">
        <f t="shared" si="12"/>
        <v>38405</v>
      </c>
      <c r="U43" s="79">
        <v>10.5</v>
      </c>
      <c r="V43" s="178">
        <v>179</v>
      </c>
      <c r="W43" s="78">
        <v>42.24</v>
      </c>
      <c r="X43" s="82">
        <v>8.6999999999999993</v>
      </c>
      <c r="Y43" s="78">
        <v>185</v>
      </c>
      <c r="Z43" s="78">
        <v>42.24</v>
      </c>
      <c r="AA43" s="78"/>
      <c r="AB43" s="78"/>
      <c r="AC43" s="78"/>
      <c r="AD43" s="78"/>
      <c r="AE43" s="78"/>
      <c r="AF43" s="78"/>
      <c r="AG43" s="78"/>
      <c r="AH43" s="41">
        <f>(U43-X43)/100</f>
        <v>1.8000000000000006E-2</v>
      </c>
      <c r="AI43" s="9">
        <f t="shared" si="5"/>
        <v>819</v>
      </c>
      <c r="AJ43" s="13">
        <f t="shared" si="6"/>
        <v>2.0880073424434022E-2</v>
      </c>
      <c r="AK43" s="191">
        <v>560</v>
      </c>
      <c r="AL43" s="192">
        <v>506</v>
      </c>
      <c r="AM43" s="78" t="s">
        <v>22</v>
      </c>
      <c r="AN43" s="78" t="s">
        <v>24</v>
      </c>
      <c r="AO43" s="78" t="s">
        <v>3</v>
      </c>
      <c r="AP43" s="19"/>
      <c r="AQ43" s="19"/>
      <c r="AR43" s="19"/>
      <c r="AS43" s="6"/>
      <c r="AT43" s="28"/>
      <c r="AU43" s="28"/>
      <c r="AV43" s="28"/>
      <c r="AW43" s="28"/>
      <c r="AX43" s="28"/>
      <c r="AY43" s="28"/>
    </row>
    <row r="44" spans="1:51" x14ac:dyDescent="0.25">
      <c r="A44" s="132">
        <v>42</v>
      </c>
      <c r="B44" s="92">
        <v>46163</v>
      </c>
      <c r="C44" s="36" t="s">
        <v>20</v>
      </c>
      <c r="D44" s="77" t="s">
        <v>93</v>
      </c>
      <c r="E44" s="5">
        <v>245</v>
      </c>
      <c r="F44" s="5">
        <v>31511</v>
      </c>
      <c r="G44" s="5" t="s">
        <v>77</v>
      </c>
      <c r="H44" s="5" t="s">
        <v>21</v>
      </c>
      <c r="I44" s="8" t="s">
        <v>79</v>
      </c>
      <c r="J44" s="78" t="s">
        <v>79</v>
      </c>
      <c r="K44" s="140">
        <v>37920</v>
      </c>
      <c r="L44" s="140">
        <v>0</v>
      </c>
      <c r="M44" s="140">
        <f t="shared" si="19"/>
        <v>37920</v>
      </c>
      <c r="N44" s="8">
        <v>417</v>
      </c>
      <c r="O44" s="140">
        <f t="shared" si="20"/>
        <v>37503</v>
      </c>
      <c r="P44" s="15">
        <v>38661</v>
      </c>
      <c r="Q44" s="15">
        <v>1440</v>
      </c>
      <c r="R44" s="15">
        <f t="shared" si="11"/>
        <v>37221</v>
      </c>
      <c r="S44" s="15">
        <v>504</v>
      </c>
      <c r="T44" s="15">
        <f t="shared" si="12"/>
        <v>36717</v>
      </c>
      <c r="U44" s="19">
        <v>11</v>
      </c>
      <c r="V44" s="177">
        <v>166</v>
      </c>
      <c r="W44" s="6">
        <v>41.53</v>
      </c>
      <c r="X44" s="15">
        <v>8.4</v>
      </c>
      <c r="Y44" s="6">
        <v>170</v>
      </c>
      <c r="Z44" s="6">
        <v>42.41</v>
      </c>
      <c r="AA44" s="6"/>
      <c r="AB44" s="6"/>
      <c r="AC44" s="6"/>
      <c r="AD44" s="6"/>
      <c r="AE44" s="6"/>
      <c r="AF44" s="6"/>
      <c r="AG44" s="6"/>
      <c r="AH44" s="6">
        <f t="shared" si="16"/>
        <v>2.5999999999999995E-2</v>
      </c>
      <c r="AI44" s="9">
        <f t="shared" si="5"/>
        <v>786</v>
      </c>
      <c r="AJ44" s="13">
        <f t="shared" si="6"/>
        <v>2.0958323334133271E-2</v>
      </c>
      <c r="AK44" s="8">
        <v>471</v>
      </c>
      <c r="AL44" s="171">
        <v>504</v>
      </c>
      <c r="AM44" s="6" t="s">
        <v>22</v>
      </c>
      <c r="AN44" s="6" t="s">
        <v>24</v>
      </c>
      <c r="AO44" s="6" t="s">
        <v>3</v>
      </c>
      <c r="AP44" s="19"/>
      <c r="AQ44" s="19"/>
      <c r="AR44" s="19"/>
      <c r="AS44" s="6"/>
      <c r="AT44" s="28"/>
      <c r="AU44" s="28"/>
      <c r="AV44" s="28"/>
      <c r="AW44" s="28"/>
      <c r="AX44" s="28"/>
      <c r="AY44" s="28"/>
    </row>
    <row r="45" spans="1:51" x14ac:dyDescent="0.25">
      <c r="A45" s="132">
        <v>43</v>
      </c>
      <c r="B45" s="92">
        <v>46164</v>
      </c>
      <c r="C45" s="36" t="s">
        <v>20</v>
      </c>
      <c r="D45" s="77" t="s">
        <v>93</v>
      </c>
      <c r="E45" s="5">
        <v>246</v>
      </c>
      <c r="F45" s="5">
        <v>35056</v>
      </c>
      <c r="G45" s="5" t="s">
        <v>77</v>
      </c>
      <c r="H45" s="5" t="s">
        <v>21</v>
      </c>
      <c r="I45" s="8" t="s">
        <v>79</v>
      </c>
      <c r="J45" s="78" t="s">
        <v>79</v>
      </c>
      <c r="K45" s="140">
        <v>45840</v>
      </c>
      <c r="L45" s="140">
        <v>0</v>
      </c>
      <c r="M45" s="140">
        <f t="shared" si="19"/>
        <v>45840</v>
      </c>
      <c r="N45" s="8">
        <v>476</v>
      </c>
      <c r="O45" s="140">
        <f t="shared" si="20"/>
        <v>45364</v>
      </c>
      <c r="P45" s="15">
        <v>46869</v>
      </c>
      <c r="Q45" s="15">
        <v>1805</v>
      </c>
      <c r="R45" s="15">
        <f t="shared" si="11"/>
        <v>45064</v>
      </c>
      <c r="S45" s="15">
        <v>584</v>
      </c>
      <c r="T45" s="15">
        <f t="shared" si="12"/>
        <v>44480</v>
      </c>
      <c r="U45" s="19">
        <v>10.8</v>
      </c>
      <c r="V45" s="177">
        <v>180</v>
      </c>
      <c r="W45" s="6">
        <v>42.15</v>
      </c>
      <c r="X45" s="15">
        <v>8.6999999999999993</v>
      </c>
      <c r="Y45" s="6">
        <v>187</v>
      </c>
      <c r="Z45" s="6">
        <v>42.41</v>
      </c>
      <c r="AA45" s="6"/>
      <c r="AB45" s="6"/>
      <c r="AC45" s="6"/>
      <c r="AD45" s="6"/>
      <c r="AE45" s="6"/>
      <c r="AF45" s="6"/>
      <c r="AG45" s="6"/>
      <c r="AH45" s="6">
        <f t="shared" si="16"/>
        <v>2.1000000000000015E-2</v>
      </c>
      <c r="AI45" s="9">
        <f t="shared" si="5"/>
        <v>884</v>
      </c>
      <c r="AJ45" s="13">
        <f t="shared" si="6"/>
        <v>1.9486817740939952E-2</v>
      </c>
      <c r="AK45" s="8">
        <v>521</v>
      </c>
      <c r="AL45" s="171">
        <v>584</v>
      </c>
      <c r="AM45" s="6" t="s">
        <v>22</v>
      </c>
      <c r="AN45" s="6" t="s">
        <v>24</v>
      </c>
      <c r="AO45" s="6" t="s">
        <v>3</v>
      </c>
      <c r="AP45" s="107"/>
      <c r="AQ45" s="107"/>
      <c r="AR45" s="107"/>
      <c r="AS45" s="105"/>
      <c r="AT45" s="28"/>
      <c r="AU45" s="28"/>
      <c r="AV45" s="28"/>
      <c r="AW45" s="28"/>
      <c r="AX45" s="28"/>
      <c r="AY45" s="28"/>
    </row>
    <row r="46" spans="1:51" x14ac:dyDescent="0.25">
      <c r="A46" s="132">
        <v>44</v>
      </c>
      <c r="B46" s="92">
        <v>46164</v>
      </c>
      <c r="C46" s="36" t="s">
        <v>20</v>
      </c>
      <c r="D46" s="45" t="s">
        <v>68</v>
      </c>
      <c r="E46" s="45" t="s">
        <v>68</v>
      </c>
      <c r="F46" s="21">
        <v>51237</v>
      </c>
      <c r="G46" s="45" t="s">
        <v>77</v>
      </c>
      <c r="H46" s="45" t="s">
        <v>68</v>
      </c>
      <c r="I46" s="36" t="s">
        <v>85</v>
      </c>
      <c r="J46" s="102" t="s">
        <v>85</v>
      </c>
      <c r="K46" s="15">
        <v>46553</v>
      </c>
      <c r="L46" s="15">
        <v>5930</v>
      </c>
      <c r="M46" s="15">
        <f t="shared" si="19"/>
        <v>40623</v>
      </c>
      <c r="N46" s="6">
        <v>540</v>
      </c>
      <c r="O46" s="15">
        <f t="shared" si="20"/>
        <v>40083</v>
      </c>
      <c r="P46" s="46">
        <v>41509</v>
      </c>
      <c r="Q46" s="46">
        <v>1590</v>
      </c>
      <c r="R46" s="15">
        <f t="shared" si="11"/>
        <v>39919</v>
      </c>
      <c r="S46" s="15">
        <v>535</v>
      </c>
      <c r="T46" s="15">
        <f t="shared" si="12"/>
        <v>39384</v>
      </c>
      <c r="U46" s="46">
        <v>10.8</v>
      </c>
      <c r="V46" s="73">
        <v>178</v>
      </c>
      <c r="W46" s="36">
        <v>42.24</v>
      </c>
      <c r="X46" s="46">
        <v>8.8000000000000007</v>
      </c>
      <c r="Y46" s="36">
        <v>172</v>
      </c>
      <c r="Z46" s="36">
        <v>42.76</v>
      </c>
      <c r="AA46" s="36">
        <v>0</v>
      </c>
      <c r="AB46" s="36">
        <v>40</v>
      </c>
      <c r="AC46" s="36">
        <v>230</v>
      </c>
      <c r="AD46" s="36">
        <v>11</v>
      </c>
      <c r="AE46" s="36">
        <v>14</v>
      </c>
      <c r="AF46" s="36">
        <v>687</v>
      </c>
      <c r="AG46" s="36">
        <v>13</v>
      </c>
      <c r="AH46" s="36">
        <f t="shared" si="16"/>
        <v>0.02</v>
      </c>
      <c r="AI46" s="9">
        <f t="shared" si="5"/>
        <v>699</v>
      </c>
      <c r="AJ46" s="13">
        <f t="shared" si="6"/>
        <v>1.7438814459995511E-2</v>
      </c>
      <c r="AK46" s="47">
        <v>540</v>
      </c>
      <c r="AL46" s="189">
        <v>535</v>
      </c>
      <c r="AM46" s="36" t="s">
        <v>22</v>
      </c>
      <c r="AN46" s="36" t="s">
        <v>24</v>
      </c>
      <c r="AO46" s="36" t="s">
        <v>25</v>
      </c>
      <c r="AP46" s="46"/>
      <c r="AQ46" s="46"/>
      <c r="AR46" s="46"/>
      <c r="AS46" s="36" t="s">
        <v>25</v>
      </c>
      <c r="AT46" s="142" t="s">
        <v>104</v>
      </c>
      <c r="AU46" s="28"/>
      <c r="AV46" s="28"/>
      <c r="AW46" s="28"/>
      <c r="AX46" s="28"/>
      <c r="AY46" s="28"/>
    </row>
    <row r="47" spans="1:51" x14ac:dyDescent="0.25">
      <c r="A47" s="132">
        <v>45</v>
      </c>
      <c r="B47" s="92">
        <v>46167</v>
      </c>
      <c r="C47" s="36" t="s">
        <v>20</v>
      </c>
      <c r="D47" s="45" t="s">
        <v>68</v>
      </c>
      <c r="E47" s="45" t="s">
        <v>68</v>
      </c>
      <c r="F47" s="96">
        <v>82120</v>
      </c>
      <c r="G47" s="45" t="s">
        <v>77</v>
      </c>
      <c r="H47" s="45" t="s">
        <v>68</v>
      </c>
      <c r="I47" s="36" t="s">
        <v>85</v>
      </c>
      <c r="J47" s="102" t="s">
        <v>85</v>
      </c>
      <c r="K47" s="15">
        <v>78459</v>
      </c>
      <c r="L47" s="15">
        <v>2490</v>
      </c>
      <c r="M47" s="15">
        <f t="shared" si="19"/>
        <v>75969</v>
      </c>
      <c r="N47" s="6">
        <v>1001</v>
      </c>
      <c r="O47" s="15">
        <f t="shared" si="20"/>
        <v>74968</v>
      </c>
      <c r="P47" s="46">
        <v>77183</v>
      </c>
      <c r="Q47" s="46">
        <v>2902</v>
      </c>
      <c r="R47" s="15">
        <f t="shared" si="11"/>
        <v>74281</v>
      </c>
      <c r="S47" s="15">
        <v>998</v>
      </c>
      <c r="T47" s="15">
        <f t="shared" si="12"/>
        <v>73283</v>
      </c>
      <c r="U47" s="46">
        <v>10.5</v>
      </c>
      <c r="V47" s="73">
        <v>174</v>
      </c>
      <c r="W47" s="36">
        <v>42.24</v>
      </c>
      <c r="X47" s="46">
        <v>8.8000000000000007</v>
      </c>
      <c r="Y47" s="36">
        <v>171</v>
      </c>
      <c r="Z47" s="36">
        <v>42.59</v>
      </c>
      <c r="AA47" s="36">
        <v>3</v>
      </c>
      <c r="AB47" s="36">
        <v>30</v>
      </c>
      <c r="AC47" s="36">
        <v>227</v>
      </c>
      <c r="AD47" s="36">
        <v>19</v>
      </c>
      <c r="AE47" s="36">
        <v>10</v>
      </c>
      <c r="AF47" s="36">
        <v>670</v>
      </c>
      <c r="AG47" s="36">
        <v>36</v>
      </c>
      <c r="AH47" s="36">
        <f t="shared" si="16"/>
        <v>1.6999999999999994E-2</v>
      </c>
      <c r="AI47" s="9">
        <f t="shared" si="5"/>
        <v>1685</v>
      </c>
      <c r="AJ47" s="13">
        <f t="shared" si="6"/>
        <v>2.2476256536122077E-2</v>
      </c>
      <c r="AK47" s="47">
        <v>1001</v>
      </c>
      <c r="AL47" s="189">
        <v>998</v>
      </c>
      <c r="AM47" s="36" t="s">
        <v>22</v>
      </c>
      <c r="AN47" s="36" t="s">
        <v>24</v>
      </c>
      <c r="AO47" s="36" t="s">
        <v>69</v>
      </c>
      <c r="AP47" s="46"/>
      <c r="AQ47" s="46"/>
      <c r="AR47" s="46"/>
      <c r="AS47" s="36" t="s">
        <v>25</v>
      </c>
      <c r="AT47" s="142" t="s">
        <v>104</v>
      </c>
      <c r="AU47" s="28"/>
      <c r="AV47" s="28"/>
      <c r="AW47" s="28"/>
      <c r="AX47" s="28"/>
      <c r="AY47" s="28"/>
    </row>
    <row r="48" spans="1:51" x14ac:dyDescent="0.25">
      <c r="A48" s="132">
        <v>46</v>
      </c>
      <c r="B48" s="92">
        <v>46168</v>
      </c>
      <c r="C48" s="36" t="s">
        <v>20</v>
      </c>
      <c r="D48" s="45" t="s">
        <v>68</v>
      </c>
      <c r="E48" s="45" t="s">
        <v>68</v>
      </c>
      <c r="F48" s="96">
        <v>82869</v>
      </c>
      <c r="G48" s="45" t="s">
        <v>77</v>
      </c>
      <c r="H48" s="45" t="s">
        <v>68</v>
      </c>
      <c r="I48" s="36" t="s">
        <v>85</v>
      </c>
      <c r="J48" s="102" t="s">
        <v>85</v>
      </c>
      <c r="K48" s="15">
        <v>32489</v>
      </c>
      <c r="L48" s="15">
        <v>1016</v>
      </c>
      <c r="M48" s="15">
        <f t="shared" si="19"/>
        <v>31473</v>
      </c>
      <c r="N48" s="6">
        <v>414</v>
      </c>
      <c r="O48" s="15">
        <f t="shared" si="20"/>
        <v>31059</v>
      </c>
      <c r="P48" s="46">
        <v>32297</v>
      </c>
      <c r="Q48" s="46">
        <v>1394</v>
      </c>
      <c r="R48" s="15">
        <f t="shared" si="11"/>
        <v>30903</v>
      </c>
      <c r="S48" s="15">
        <v>414</v>
      </c>
      <c r="T48" s="15">
        <f t="shared" si="12"/>
        <v>30489</v>
      </c>
      <c r="U48" s="46">
        <v>10.1</v>
      </c>
      <c r="V48" s="73">
        <v>174</v>
      </c>
      <c r="W48" s="36">
        <v>42.15</v>
      </c>
      <c r="X48" s="46">
        <v>8.6999999999999993</v>
      </c>
      <c r="Y48" s="36">
        <v>175</v>
      </c>
      <c r="Z48" s="36">
        <v>42.5</v>
      </c>
      <c r="AA48" s="36">
        <v>0</v>
      </c>
      <c r="AB48" s="36">
        <v>36</v>
      </c>
      <c r="AC48" s="36">
        <v>223</v>
      </c>
      <c r="AD48" s="36">
        <v>17</v>
      </c>
      <c r="AE48" s="36">
        <v>19</v>
      </c>
      <c r="AF48" s="36">
        <v>659</v>
      </c>
      <c r="AG48" s="36">
        <v>41</v>
      </c>
      <c r="AH48" s="36">
        <f t="shared" si="16"/>
        <v>1.4000000000000004E-2</v>
      </c>
      <c r="AI48" s="9">
        <f t="shared" si="5"/>
        <v>570</v>
      </c>
      <c r="AJ48" s="13">
        <f t="shared" si="6"/>
        <v>1.8352168453588332E-2</v>
      </c>
      <c r="AK48" s="47">
        <v>414</v>
      </c>
      <c r="AL48" s="189">
        <v>414</v>
      </c>
      <c r="AM48" s="36" t="s">
        <v>64</v>
      </c>
      <c r="AN48" s="36" t="s">
        <v>24</v>
      </c>
      <c r="AO48" s="36" t="s">
        <v>69</v>
      </c>
      <c r="AP48" s="46"/>
      <c r="AQ48" s="46"/>
      <c r="AR48" s="46"/>
      <c r="AS48" s="36" t="s">
        <v>25</v>
      </c>
      <c r="AT48" s="142" t="s">
        <v>104</v>
      </c>
      <c r="AU48" s="28"/>
      <c r="AV48" s="28"/>
      <c r="AW48" s="28"/>
      <c r="AX48" s="28"/>
      <c r="AY48" s="28"/>
    </row>
    <row r="49" spans="1:51" x14ac:dyDescent="0.25">
      <c r="A49" s="132">
        <v>47</v>
      </c>
      <c r="B49" s="92">
        <v>46169</v>
      </c>
      <c r="C49" s="36" t="s">
        <v>20</v>
      </c>
      <c r="D49" s="45" t="s">
        <v>68</v>
      </c>
      <c r="E49" s="45" t="s">
        <v>68</v>
      </c>
      <c r="F49" s="96">
        <v>82153</v>
      </c>
      <c r="G49" s="45" t="s">
        <v>77</v>
      </c>
      <c r="H49" s="45" t="s">
        <v>68</v>
      </c>
      <c r="I49" s="36" t="s">
        <v>85</v>
      </c>
      <c r="J49" s="102" t="s">
        <v>85</v>
      </c>
      <c r="K49" s="15">
        <v>50394</v>
      </c>
      <c r="L49" s="15">
        <v>1523.9</v>
      </c>
      <c r="M49" s="15">
        <f t="shared" si="19"/>
        <v>48870.1</v>
      </c>
      <c r="N49" s="6">
        <v>638</v>
      </c>
      <c r="O49" s="15">
        <f t="shared" si="20"/>
        <v>48232.1</v>
      </c>
      <c r="P49" s="46">
        <v>49948</v>
      </c>
      <c r="Q49" s="46">
        <v>1966</v>
      </c>
      <c r="R49" s="15">
        <f t="shared" si="11"/>
        <v>47982</v>
      </c>
      <c r="S49" s="15">
        <v>645</v>
      </c>
      <c r="T49" s="15">
        <f t="shared" si="12"/>
        <v>47337</v>
      </c>
      <c r="U49" s="46">
        <v>10.5</v>
      </c>
      <c r="V49" s="73">
        <v>177</v>
      </c>
      <c r="W49" s="36">
        <v>42.24</v>
      </c>
      <c r="X49" s="46">
        <v>8.8000000000000007</v>
      </c>
      <c r="Y49" s="36">
        <v>174</v>
      </c>
      <c r="Z49" s="36">
        <v>42.41</v>
      </c>
      <c r="AA49" s="36">
        <v>0</v>
      </c>
      <c r="AB49" s="36">
        <v>37</v>
      </c>
      <c r="AC49" s="36">
        <v>226</v>
      </c>
      <c r="AD49" s="36">
        <v>14</v>
      </c>
      <c r="AE49" s="36">
        <v>15</v>
      </c>
      <c r="AF49" s="36">
        <v>671</v>
      </c>
      <c r="AG49" s="36">
        <v>32</v>
      </c>
      <c r="AH49" s="36">
        <f t="shared" si="16"/>
        <v>1.6999999999999994E-2</v>
      </c>
      <c r="AI49" s="9">
        <f t="shared" si="5"/>
        <v>895.09999999999854</v>
      </c>
      <c r="AJ49" s="13">
        <f t="shared" si="6"/>
        <v>1.8558180133147813E-2</v>
      </c>
      <c r="AK49" s="47">
        <v>638</v>
      </c>
      <c r="AL49" s="189">
        <v>645</v>
      </c>
      <c r="AM49" s="36" t="s">
        <v>64</v>
      </c>
      <c r="AN49" s="36" t="s">
        <v>24</v>
      </c>
      <c r="AO49" s="36" t="s">
        <v>69</v>
      </c>
      <c r="AP49" s="46"/>
      <c r="AQ49" s="46"/>
      <c r="AR49" s="46"/>
      <c r="AS49" s="36" t="s">
        <v>25</v>
      </c>
      <c r="AT49" s="142" t="s">
        <v>104</v>
      </c>
      <c r="AU49" s="28"/>
      <c r="AV49" s="28"/>
      <c r="AW49" s="28"/>
      <c r="AX49" s="28"/>
      <c r="AY49" s="28"/>
    </row>
    <row r="50" spans="1:51" ht="24" x14ac:dyDescent="0.25">
      <c r="A50" s="132">
        <v>48</v>
      </c>
      <c r="B50" s="92">
        <v>46170</v>
      </c>
      <c r="C50" s="36" t="s">
        <v>20</v>
      </c>
      <c r="D50" s="5" t="s">
        <v>90</v>
      </c>
      <c r="E50" s="5">
        <v>247</v>
      </c>
      <c r="F50" s="152">
        <v>87036</v>
      </c>
      <c r="G50" s="5" t="s">
        <v>77</v>
      </c>
      <c r="H50" s="5" t="s">
        <v>21</v>
      </c>
      <c r="I50" s="6" t="s">
        <v>102</v>
      </c>
      <c r="J50" s="6" t="s">
        <v>102</v>
      </c>
      <c r="K50" s="15">
        <v>55860</v>
      </c>
      <c r="L50" s="140">
        <v>0</v>
      </c>
      <c r="M50" s="140">
        <f t="shared" ref="M50:M53" si="21">K50-L50</f>
        <v>55860</v>
      </c>
      <c r="N50" s="6">
        <v>690</v>
      </c>
      <c r="O50" s="140">
        <f t="shared" ref="O50:O53" si="22">M50-N50</f>
        <v>55170</v>
      </c>
      <c r="P50" s="19">
        <v>56876</v>
      </c>
      <c r="Q50" s="19">
        <v>2215</v>
      </c>
      <c r="R50" s="15">
        <f t="shared" si="11"/>
        <v>54661</v>
      </c>
      <c r="S50" s="15">
        <v>751</v>
      </c>
      <c r="T50" s="15">
        <f t="shared" si="12"/>
        <v>53910</v>
      </c>
      <c r="U50" s="19">
        <v>10.4</v>
      </c>
      <c r="V50" s="177">
        <v>175</v>
      </c>
      <c r="W50" s="6">
        <v>41.88</v>
      </c>
      <c r="X50" s="15">
        <v>8.9</v>
      </c>
      <c r="Y50" s="6">
        <v>183</v>
      </c>
      <c r="Z50" s="6">
        <v>41.09</v>
      </c>
      <c r="AA50" s="6">
        <v>0</v>
      </c>
      <c r="AB50" s="6">
        <v>49</v>
      </c>
      <c r="AC50" s="6">
        <v>220</v>
      </c>
      <c r="AD50" s="6">
        <v>12</v>
      </c>
      <c r="AE50" s="6">
        <v>14</v>
      </c>
      <c r="AF50" s="6">
        <v>682</v>
      </c>
      <c r="AG50" s="6">
        <v>17</v>
      </c>
      <c r="AH50" s="6">
        <f t="shared" si="16"/>
        <v>1.4999999999999999E-2</v>
      </c>
      <c r="AI50" s="9">
        <f t="shared" si="5"/>
        <v>1260</v>
      </c>
      <c r="AJ50" s="13">
        <f t="shared" si="6"/>
        <v>2.2838499184339316E-2</v>
      </c>
      <c r="AK50" s="8">
        <v>734</v>
      </c>
      <c r="AL50" s="171">
        <v>751</v>
      </c>
      <c r="AM50" s="6" t="s">
        <v>72</v>
      </c>
      <c r="AN50" s="6" t="s">
        <v>24</v>
      </c>
      <c r="AO50" s="6" t="s">
        <v>86</v>
      </c>
      <c r="AP50" s="19"/>
      <c r="AQ50" s="19"/>
      <c r="AR50" s="19"/>
      <c r="AS50" s="6" t="s">
        <v>86</v>
      </c>
      <c r="AT50" s="81" t="s">
        <v>87</v>
      </c>
      <c r="AU50" s="28"/>
      <c r="AV50" s="28"/>
      <c r="AW50" s="28"/>
      <c r="AX50" s="28"/>
      <c r="AY50" s="28"/>
    </row>
    <row r="51" spans="1:51" x14ac:dyDescent="0.25">
      <c r="A51" s="132">
        <v>49</v>
      </c>
      <c r="B51" s="92">
        <v>46171</v>
      </c>
      <c r="C51" s="36" t="s">
        <v>20</v>
      </c>
      <c r="D51" s="5" t="s">
        <v>68</v>
      </c>
      <c r="E51" s="5" t="s">
        <v>68</v>
      </c>
      <c r="F51" s="153" t="s">
        <v>68</v>
      </c>
      <c r="G51" s="5" t="s">
        <v>77</v>
      </c>
      <c r="H51" s="5" t="s">
        <v>68</v>
      </c>
      <c r="I51" s="6" t="s">
        <v>102</v>
      </c>
      <c r="J51" s="6" t="s">
        <v>102</v>
      </c>
      <c r="K51" s="15">
        <v>69877</v>
      </c>
      <c r="L51" s="15">
        <v>2206</v>
      </c>
      <c r="M51" s="15">
        <f t="shared" si="21"/>
        <v>67671</v>
      </c>
      <c r="N51" s="6">
        <v>893</v>
      </c>
      <c r="O51" s="15">
        <f t="shared" si="22"/>
        <v>66778</v>
      </c>
      <c r="P51" s="19">
        <v>68376</v>
      </c>
      <c r="Q51" s="19">
        <v>2668</v>
      </c>
      <c r="R51" s="15">
        <f t="shared" si="11"/>
        <v>65708</v>
      </c>
      <c r="S51" s="15">
        <v>912</v>
      </c>
      <c r="T51" s="15">
        <f t="shared" si="12"/>
        <v>64796</v>
      </c>
      <c r="U51" s="19">
        <v>10.199999999999999</v>
      </c>
      <c r="V51" s="177">
        <v>174</v>
      </c>
      <c r="W51" s="6">
        <v>42.65</v>
      </c>
      <c r="X51" s="15">
        <v>8.6</v>
      </c>
      <c r="Y51" s="6">
        <v>170</v>
      </c>
      <c r="Z51" s="6">
        <v>43.03</v>
      </c>
      <c r="AA51" s="6">
        <v>2</v>
      </c>
      <c r="AB51" s="6">
        <v>28</v>
      </c>
      <c r="AC51" s="6">
        <v>230</v>
      </c>
      <c r="AD51" s="6">
        <v>18</v>
      </c>
      <c r="AE51" s="6">
        <v>10</v>
      </c>
      <c r="AF51" s="6">
        <v>678</v>
      </c>
      <c r="AG51" s="6">
        <v>26</v>
      </c>
      <c r="AH51" s="6">
        <f t="shared" si="16"/>
        <v>1.5999999999999997E-2</v>
      </c>
      <c r="AI51" s="9">
        <f t="shared" si="5"/>
        <v>1982</v>
      </c>
      <c r="AJ51" s="13">
        <f t="shared" si="6"/>
        <v>2.9680433675761477E-2</v>
      </c>
      <c r="AK51" s="8">
        <v>893</v>
      </c>
      <c r="AL51" s="171">
        <v>912</v>
      </c>
      <c r="AM51" s="6" t="s">
        <v>72</v>
      </c>
      <c r="AN51" s="6" t="s">
        <v>24</v>
      </c>
      <c r="AO51" s="6" t="s">
        <v>86</v>
      </c>
      <c r="AP51" s="19"/>
      <c r="AQ51" s="19"/>
      <c r="AR51" s="19"/>
      <c r="AS51" s="6"/>
      <c r="AT51" s="14"/>
      <c r="AU51" s="28"/>
      <c r="AV51" s="28"/>
      <c r="AW51" s="28"/>
      <c r="AX51" s="28"/>
      <c r="AY51" s="28"/>
    </row>
    <row r="52" spans="1:51" x14ac:dyDescent="0.25">
      <c r="A52" s="132">
        <v>50</v>
      </c>
      <c r="B52" s="92">
        <v>46172</v>
      </c>
      <c r="C52" s="36" t="s">
        <v>20</v>
      </c>
      <c r="D52" s="45" t="s">
        <v>68</v>
      </c>
      <c r="E52" s="45" t="s">
        <v>68</v>
      </c>
      <c r="F52" s="5" t="s">
        <v>68</v>
      </c>
      <c r="G52" s="45" t="s">
        <v>77</v>
      </c>
      <c r="H52" s="45" t="s">
        <v>68</v>
      </c>
      <c r="I52" s="36" t="s">
        <v>85</v>
      </c>
      <c r="J52" s="102" t="s">
        <v>85</v>
      </c>
      <c r="K52" s="15">
        <v>69809</v>
      </c>
      <c r="L52" s="15">
        <v>2206</v>
      </c>
      <c r="M52" s="15">
        <f t="shared" si="21"/>
        <v>67603</v>
      </c>
      <c r="N52" s="6">
        <v>898</v>
      </c>
      <c r="O52" s="15">
        <f t="shared" si="22"/>
        <v>66705</v>
      </c>
      <c r="P52" s="46">
        <v>69008</v>
      </c>
      <c r="Q52" s="46">
        <v>2666</v>
      </c>
      <c r="R52" s="15">
        <f t="shared" si="11"/>
        <v>66342</v>
      </c>
      <c r="S52" s="15">
        <v>890</v>
      </c>
      <c r="T52" s="15">
        <f t="shared" si="12"/>
        <v>65452</v>
      </c>
      <c r="U52" s="46">
        <v>10.7</v>
      </c>
      <c r="V52" s="73">
        <v>175</v>
      </c>
      <c r="W52" s="36">
        <v>42.06</v>
      </c>
      <c r="X52" s="46">
        <v>8.3000000000000007</v>
      </c>
      <c r="Y52" s="36">
        <v>177</v>
      </c>
      <c r="Z52" s="36">
        <v>41.53</v>
      </c>
      <c r="AA52" s="36">
        <v>2</v>
      </c>
      <c r="AB52" s="36">
        <v>40</v>
      </c>
      <c r="AC52" s="36">
        <v>217</v>
      </c>
      <c r="AD52" s="36">
        <v>17</v>
      </c>
      <c r="AE52" s="36">
        <v>20</v>
      </c>
      <c r="AF52" s="36">
        <v>665</v>
      </c>
      <c r="AG52" s="36">
        <v>35</v>
      </c>
      <c r="AH52" s="36">
        <f t="shared" si="16"/>
        <v>2.3999999999999987E-2</v>
      </c>
      <c r="AI52" s="9">
        <f t="shared" si="5"/>
        <v>1253</v>
      </c>
      <c r="AJ52" s="13">
        <f t="shared" si="6"/>
        <v>1.8784199085525824E-2</v>
      </c>
      <c r="AK52" s="47">
        <v>898</v>
      </c>
      <c r="AL52" s="189">
        <v>890</v>
      </c>
      <c r="AM52" s="36" t="s">
        <v>72</v>
      </c>
      <c r="AN52" s="36" t="s">
        <v>24</v>
      </c>
      <c r="AO52" s="36" t="s">
        <v>69</v>
      </c>
      <c r="AP52" s="46"/>
      <c r="AQ52" s="46"/>
      <c r="AR52" s="46"/>
      <c r="AS52" s="36" t="s">
        <v>25</v>
      </c>
      <c r="AT52" s="142" t="s">
        <v>104</v>
      </c>
      <c r="AU52" s="28"/>
      <c r="AV52" s="28"/>
      <c r="AW52" s="28"/>
      <c r="AX52" s="28"/>
      <c r="AY52" s="28"/>
    </row>
    <row r="53" spans="1:51" x14ac:dyDescent="0.25">
      <c r="A53" s="132">
        <v>51</v>
      </c>
      <c r="B53" s="92">
        <v>46174</v>
      </c>
      <c r="C53" s="36" t="s">
        <v>20</v>
      </c>
      <c r="D53" s="5" t="s">
        <v>68</v>
      </c>
      <c r="E53" s="5" t="s">
        <v>68</v>
      </c>
      <c r="F53" s="153" t="s">
        <v>68</v>
      </c>
      <c r="G53" s="5" t="s">
        <v>77</v>
      </c>
      <c r="H53" s="5" t="s">
        <v>68</v>
      </c>
      <c r="I53" s="6" t="s">
        <v>102</v>
      </c>
      <c r="J53" s="6" t="s">
        <v>102</v>
      </c>
      <c r="K53" s="15">
        <v>52187</v>
      </c>
      <c r="L53" s="15">
        <v>1671</v>
      </c>
      <c r="M53" s="15">
        <f t="shared" si="21"/>
        <v>50516</v>
      </c>
      <c r="N53" s="6">
        <v>660</v>
      </c>
      <c r="O53" s="19">
        <f t="shared" si="22"/>
        <v>49856</v>
      </c>
      <c r="P53" s="19">
        <v>50641.7</v>
      </c>
      <c r="Q53" s="19">
        <v>1969</v>
      </c>
      <c r="R53" s="15">
        <f t="shared" si="11"/>
        <v>48672.7</v>
      </c>
      <c r="S53" s="15">
        <v>740</v>
      </c>
      <c r="T53" s="15">
        <f t="shared" si="12"/>
        <v>47932.7</v>
      </c>
      <c r="U53" s="19">
        <v>11.2</v>
      </c>
      <c r="V53" s="177">
        <v>170</v>
      </c>
      <c r="W53" s="6">
        <v>41.27</v>
      </c>
      <c r="X53" s="15">
        <v>8.6999999999999993</v>
      </c>
      <c r="Y53" s="6">
        <v>170</v>
      </c>
      <c r="Z53" s="6">
        <v>41.27</v>
      </c>
      <c r="AA53" s="6">
        <v>0</v>
      </c>
      <c r="AB53" s="6">
        <v>48</v>
      </c>
      <c r="AC53" s="6">
        <v>222</v>
      </c>
      <c r="AD53" s="6">
        <v>10</v>
      </c>
      <c r="AE53" s="6">
        <v>14</v>
      </c>
      <c r="AF53" s="6">
        <v>678</v>
      </c>
      <c r="AG53" s="6">
        <v>23</v>
      </c>
      <c r="AH53" s="6">
        <f t="shared" si="16"/>
        <v>2.5000000000000001E-2</v>
      </c>
      <c r="AI53" s="9">
        <f t="shared" si="5"/>
        <v>1923.3000000000029</v>
      </c>
      <c r="AJ53" s="13">
        <f t="shared" si="6"/>
        <v>3.8577102053915333E-2</v>
      </c>
      <c r="AK53" s="8">
        <v>660</v>
      </c>
      <c r="AL53" s="171">
        <v>740</v>
      </c>
      <c r="AM53" s="6" t="s">
        <v>72</v>
      </c>
      <c r="AN53" s="6" t="s">
        <v>24</v>
      </c>
      <c r="AO53" s="6" t="s">
        <v>86</v>
      </c>
      <c r="AP53" s="19"/>
      <c r="AQ53" s="19"/>
      <c r="AR53" s="19"/>
      <c r="AS53" s="6" t="s">
        <v>86</v>
      </c>
      <c r="AT53" s="14"/>
      <c r="AU53" s="28"/>
      <c r="AV53" s="28"/>
      <c r="AW53" s="28"/>
      <c r="AX53" s="28"/>
      <c r="AY53" s="28"/>
    </row>
    <row r="54" spans="1:51" x14ac:dyDescent="0.25">
      <c r="A54" s="132">
        <v>52</v>
      </c>
      <c r="B54" s="92">
        <v>46175</v>
      </c>
      <c r="C54" s="36" t="s">
        <v>20</v>
      </c>
      <c r="D54" s="97" t="s">
        <v>99</v>
      </c>
      <c r="E54" s="97" t="s">
        <v>99</v>
      </c>
      <c r="F54" s="152">
        <v>87130</v>
      </c>
      <c r="G54" s="5" t="s">
        <v>37</v>
      </c>
      <c r="H54" s="5" t="s">
        <v>21</v>
      </c>
      <c r="I54" s="6" t="s">
        <v>102</v>
      </c>
      <c r="J54" s="6" t="s">
        <v>102</v>
      </c>
      <c r="K54" s="15">
        <v>56200</v>
      </c>
      <c r="L54" s="15">
        <v>0</v>
      </c>
      <c r="M54" s="140">
        <f t="shared" ref="M54:M63" si="23">K54-L54</f>
        <v>56200</v>
      </c>
      <c r="N54" s="6">
        <v>724</v>
      </c>
      <c r="O54" s="165">
        <f t="shared" ref="O54:O63" si="24">M54-N54</f>
        <v>55476</v>
      </c>
      <c r="P54" s="19">
        <v>57460</v>
      </c>
      <c r="Q54" s="19">
        <v>2240</v>
      </c>
      <c r="R54" s="15">
        <f t="shared" si="11"/>
        <v>55220</v>
      </c>
      <c r="S54" s="15">
        <v>772</v>
      </c>
      <c r="T54" s="15">
        <f t="shared" si="12"/>
        <v>54448</v>
      </c>
      <c r="U54" s="19">
        <v>10.4</v>
      </c>
      <c r="V54" s="177">
        <v>164</v>
      </c>
      <c r="W54" s="6">
        <v>41.88</v>
      </c>
      <c r="X54" s="15">
        <v>8.9</v>
      </c>
      <c r="Y54" s="6">
        <v>174</v>
      </c>
      <c r="Z54" s="6">
        <v>41.97</v>
      </c>
      <c r="AA54" s="6">
        <v>0</v>
      </c>
      <c r="AB54" s="6">
        <v>39</v>
      </c>
      <c r="AC54" s="6">
        <v>219</v>
      </c>
      <c r="AD54" s="6">
        <v>21</v>
      </c>
      <c r="AE54" s="6">
        <v>17</v>
      </c>
      <c r="AF54" s="6">
        <v>688</v>
      </c>
      <c r="AG54" s="6">
        <v>15</v>
      </c>
      <c r="AH54" s="6">
        <f t="shared" si="16"/>
        <v>1.4999999999999999E-2</v>
      </c>
      <c r="AI54" s="9">
        <f t="shared" si="5"/>
        <v>1028</v>
      </c>
      <c r="AJ54" s="13">
        <f t="shared" si="6"/>
        <v>1.8530535727161294E-2</v>
      </c>
      <c r="AK54" s="8">
        <v>740</v>
      </c>
      <c r="AL54" s="171">
        <v>772</v>
      </c>
      <c r="AM54" s="6" t="s">
        <v>72</v>
      </c>
      <c r="AN54" s="6" t="s">
        <v>24</v>
      </c>
      <c r="AO54" s="6" t="s">
        <v>86</v>
      </c>
      <c r="AP54" s="19"/>
      <c r="AQ54" s="19"/>
      <c r="AR54" s="19"/>
      <c r="AS54" s="6" t="s">
        <v>86</v>
      </c>
      <c r="AT54" s="14"/>
      <c r="AU54" s="28"/>
      <c r="AV54" s="28"/>
      <c r="AW54" s="28"/>
      <c r="AX54" s="28"/>
      <c r="AY54" s="28"/>
    </row>
    <row r="55" spans="1:51" x14ac:dyDescent="0.25">
      <c r="A55" s="132">
        <v>53</v>
      </c>
      <c r="B55" s="92">
        <v>46176</v>
      </c>
      <c r="C55" s="36" t="s">
        <v>20</v>
      </c>
      <c r="D55" s="5" t="s">
        <v>68</v>
      </c>
      <c r="E55" s="5" t="s">
        <v>68</v>
      </c>
      <c r="F55" s="153" t="s">
        <v>68</v>
      </c>
      <c r="G55" s="5" t="s">
        <v>77</v>
      </c>
      <c r="H55" s="5" t="s">
        <v>68</v>
      </c>
      <c r="I55" s="6" t="s">
        <v>102</v>
      </c>
      <c r="J55" s="6" t="s">
        <v>102</v>
      </c>
      <c r="K55" s="15">
        <f>57551</f>
        <v>57551</v>
      </c>
      <c r="L55" s="15">
        <f>530+671+600</f>
        <v>1801</v>
      </c>
      <c r="M55" s="15">
        <f t="shared" si="23"/>
        <v>55750</v>
      </c>
      <c r="N55" s="6">
        <v>750</v>
      </c>
      <c r="O55" s="19">
        <f t="shared" si="24"/>
        <v>55000</v>
      </c>
      <c r="P55" s="19">
        <v>57075</v>
      </c>
      <c r="Q55" s="19">
        <v>2285</v>
      </c>
      <c r="R55" s="15">
        <f t="shared" si="11"/>
        <v>54790</v>
      </c>
      <c r="S55" s="15">
        <v>749</v>
      </c>
      <c r="T55" s="15">
        <f t="shared" si="12"/>
        <v>54041</v>
      </c>
      <c r="U55" s="19">
        <v>10.199999999999999</v>
      </c>
      <c r="V55" s="177">
        <v>175</v>
      </c>
      <c r="W55" s="6">
        <v>40.65</v>
      </c>
      <c r="X55" s="15">
        <v>8.8000000000000007</v>
      </c>
      <c r="Y55" s="6">
        <v>180</v>
      </c>
      <c r="Z55" s="6">
        <v>40.82</v>
      </c>
      <c r="AA55" s="6">
        <v>0</v>
      </c>
      <c r="AB55" s="6">
        <v>42</v>
      </c>
      <c r="AC55" s="6">
        <v>214</v>
      </c>
      <c r="AD55" s="6">
        <v>19</v>
      </c>
      <c r="AE55" s="6">
        <v>16</v>
      </c>
      <c r="AF55" s="6">
        <v>686</v>
      </c>
      <c r="AG55" s="6">
        <v>18</v>
      </c>
      <c r="AH55" s="6">
        <f t="shared" si="16"/>
        <v>1.3999999999999986E-2</v>
      </c>
      <c r="AI55" s="9">
        <f t="shared" si="5"/>
        <v>959</v>
      </c>
      <c r="AJ55" s="13">
        <f t="shared" si="6"/>
        <v>1.7436363636363635E-2</v>
      </c>
      <c r="AK55" s="8">
        <v>750</v>
      </c>
      <c r="AL55" s="171">
        <v>749</v>
      </c>
      <c r="AM55" s="6" t="s">
        <v>72</v>
      </c>
      <c r="AN55" s="6" t="s">
        <v>24</v>
      </c>
      <c r="AO55" s="20" t="s">
        <v>86</v>
      </c>
      <c r="AP55" s="19"/>
      <c r="AQ55" s="19"/>
      <c r="AR55" s="19"/>
      <c r="AS55" s="6"/>
      <c r="AT55" s="14"/>
      <c r="AU55" s="28"/>
      <c r="AV55" s="28"/>
      <c r="AW55" s="28"/>
      <c r="AX55" s="28"/>
      <c r="AY55" s="28"/>
    </row>
    <row r="56" spans="1:51" x14ac:dyDescent="0.25">
      <c r="A56" s="132">
        <v>54</v>
      </c>
      <c r="B56" s="92">
        <v>46178</v>
      </c>
      <c r="C56" s="36" t="s">
        <v>20</v>
      </c>
      <c r="D56" s="24" t="s">
        <v>88</v>
      </c>
      <c r="E56" s="24" t="s">
        <v>88</v>
      </c>
      <c r="F56" s="24" t="s">
        <v>88</v>
      </c>
      <c r="G56" s="20"/>
      <c r="H56" s="24" t="s">
        <v>88</v>
      </c>
      <c r="I56" s="20" t="s">
        <v>103</v>
      </c>
      <c r="J56" s="20" t="s">
        <v>103</v>
      </c>
      <c r="K56" s="15">
        <v>61767</v>
      </c>
      <c r="L56" s="15">
        <v>2475</v>
      </c>
      <c r="M56" s="15">
        <f t="shared" si="23"/>
        <v>59292</v>
      </c>
      <c r="N56" s="6">
        <v>780</v>
      </c>
      <c r="O56" s="19">
        <f t="shared" si="24"/>
        <v>58512</v>
      </c>
      <c r="P56" s="33">
        <v>60785.2</v>
      </c>
      <c r="Q56" s="33">
        <v>2349.1999999999998</v>
      </c>
      <c r="R56" s="15">
        <f t="shared" si="11"/>
        <v>58436</v>
      </c>
      <c r="S56" s="15">
        <v>785</v>
      </c>
      <c r="T56" s="15">
        <f t="shared" si="12"/>
        <v>57651</v>
      </c>
      <c r="U56" s="33">
        <v>9.8000000000000007</v>
      </c>
      <c r="V56" s="175">
        <v>180</v>
      </c>
      <c r="W56" s="20">
        <v>42.24</v>
      </c>
      <c r="X56" s="50">
        <v>8.5</v>
      </c>
      <c r="Y56" s="20">
        <v>187</v>
      </c>
      <c r="Z56" s="20">
        <v>42.76</v>
      </c>
      <c r="AA56" s="20">
        <v>2</v>
      </c>
      <c r="AB56" s="20">
        <v>36</v>
      </c>
      <c r="AC56" s="20">
        <v>226</v>
      </c>
      <c r="AD56" s="20">
        <v>14</v>
      </c>
      <c r="AE56" s="20">
        <v>19</v>
      </c>
      <c r="AF56" s="20">
        <v>677</v>
      </c>
      <c r="AG56" s="20">
        <v>20</v>
      </c>
      <c r="AH56" s="20">
        <f t="shared" si="16"/>
        <v>1.3000000000000006E-2</v>
      </c>
      <c r="AI56" s="9">
        <f t="shared" si="5"/>
        <v>861</v>
      </c>
      <c r="AJ56" s="13">
        <f t="shared" si="6"/>
        <v>1.4714930270713699E-2</v>
      </c>
      <c r="AK56" s="32">
        <f>750+30</f>
        <v>780</v>
      </c>
      <c r="AL56" s="188">
        <v>785</v>
      </c>
      <c r="AM56" s="6" t="s">
        <v>72</v>
      </c>
      <c r="AN56" s="6" t="s">
        <v>24</v>
      </c>
      <c r="AO56" s="20" t="s">
        <v>86</v>
      </c>
      <c r="AP56" s="33"/>
      <c r="AQ56" s="143"/>
      <c r="AR56" s="143"/>
      <c r="AS56" s="144"/>
      <c r="AT56" s="14"/>
      <c r="AU56" s="28"/>
      <c r="AV56" s="28"/>
      <c r="AW56" s="28"/>
      <c r="AX56" s="28"/>
      <c r="AY56" s="28"/>
    </row>
    <row r="57" spans="1:51" x14ac:dyDescent="0.25">
      <c r="A57" s="132">
        <v>55</v>
      </c>
      <c r="B57" s="92">
        <v>46179</v>
      </c>
      <c r="C57" s="36" t="s">
        <v>20</v>
      </c>
      <c r="D57" s="5" t="s">
        <v>88</v>
      </c>
      <c r="E57" s="5" t="s">
        <v>88</v>
      </c>
      <c r="F57" s="5" t="s">
        <v>88</v>
      </c>
      <c r="G57" s="6"/>
      <c r="H57" s="5" t="s">
        <v>88</v>
      </c>
      <c r="I57" s="20" t="s">
        <v>103</v>
      </c>
      <c r="J57" s="20" t="s">
        <v>103</v>
      </c>
      <c r="K57" s="15">
        <v>51163</v>
      </c>
      <c r="L57" s="15">
        <v>1651</v>
      </c>
      <c r="M57" s="15">
        <f t="shared" si="23"/>
        <v>49512</v>
      </c>
      <c r="N57" s="6">
        <v>660</v>
      </c>
      <c r="O57" s="19">
        <f t="shared" si="24"/>
        <v>48852</v>
      </c>
      <c r="P57" s="19">
        <v>50909.8</v>
      </c>
      <c r="Q57" s="19">
        <v>2032.6</v>
      </c>
      <c r="R57" s="15">
        <f t="shared" si="11"/>
        <v>48877.200000000004</v>
      </c>
      <c r="S57" s="15">
        <v>656</v>
      </c>
      <c r="T57" s="15">
        <f>R57-S57</f>
        <v>48221.200000000004</v>
      </c>
      <c r="U57" s="53">
        <v>9.8000000000000007</v>
      </c>
      <c r="V57" s="177">
        <v>181</v>
      </c>
      <c r="W57" s="18">
        <v>43.47</v>
      </c>
      <c r="X57" s="98">
        <v>7.9</v>
      </c>
      <c r="Y57" s="6">
        <v>177</v>
      </c>
      <c r="Z57" s="6">
        <v>43.73</v>
      </c>
      <c r="AA57" s="6">
        <v>0</v>
      </c>
      <c r="AB57" s="6">
        <v>34</v>
      </c>
      <c r="AC57" s="6">
        <v>233</v>
      </c>
      <c r="AD57" s="6">
        <v>13</v>
      </c>
      <c r="AE57" s="6">
        <v>17</v>
      </c>
      <c r="AF57" s="6">
        <v>689</v>
      </c>
      <c r="AG57" s="6">
        <v>9</v>
      </c>
      <c r="AH57" s="20">
        <f t="shared" si="16"/>
        <v>1.9000000000000003E-2</v>
      </c>
      <c r="AI57" s="9">
        <f t="shared" si="5"/>
        <v>630.79999999999563</v>
      </c>
      <c r="AJ57" s="13">
        <f t="shared" si="6"/>
        <v>1.291247031851297E-2</v>
      </c>
      <c r="AK57" s="8">
        <v>660</v>
      </c>
      <c r="AL57" s="171">
        <v>656</v>
      </c>
      <c r="AM57" s="6" t="s">
        <v>72</v>
      </c>
      <c r="AN57" s="6" t="s">
        <v>24</v>
      </c>
      <c r="AO57" s="20" t="s">
        <v>86</v>
      </c>
      <c r="AP57" s="19"/>
      <c r="AQ57" s="19"/>
      <c r="AR57" s="19"/>
      <c r="AS57" s="6"/>
      <c r="AT57" s="14"/>
      <c r="AU57" s="28"/>
      <c r="AV57" s="28"/>
      <c r="AW57" s="28"/>
      <c r="AX57" s="28"/>
      <c r="AY57" s="28"/>
    </row>
    <row r="58" spans="1:51" x14ac:dyDescent="0.25">
      <c r="A58" s="132">
        <v>56</v>
      </c>
      <c r="B58" s="92">
        <v>46181</v>
      </c>
      <c r="C58" s="36" t="s">
        <v>20</v>
      </c>
      <c r="D58" s="5" t="s">
        <v>88</v>
      </c>
      <c r="E58" s="5" t="s">
        <v>88</v>
      </c>
      <c r="F58" s="5" t="s">
        <v>88</v>
      </c>
      <c r="G58" s="6"/>
      <c r="H58" s="5" t="s">
        <v>88</v>
      </c>
      <c r="I58" s="20" t="s">
        <v>103</v>
      </c>
      <c r="J58" s="20" t="s">
        <v>103</v>
      </c>
      <c r="K58" s="15">
        <v>56895</v>
      </c>
      <c r="L58" s="15">
        <v>1876</v>
      </c>
      <c r="M58" s="15">
        <f t="shared" si="23"/>
        <v>55019</v>
      </c>
      <c r="N58" s="6">
        <v>750</v>
      </c>
      <c r="O58" s="19">
        <f t="shared" si="24"/>
        <v>54269</v>
      </c>
      <c r="P58" s="19">
        <v>54217</v>
      </c>
      <c r="Q58" s="19">
        <v>0</v>
      </c>
      <c r="R58" s="19">
        <f t="shared" si="11"/>
        <v>54217</v>
      </c>
      <c r="S58" s="19">
        <v>641</v>
      </c>
      <c r="T58" s="19">
        <f>R58-S58</f>
        <v>53576</v>
      </c>
      <c r="U58" s="19">
        <v>8.9</v>
      </c>
      <c r="V58" s="177">
        <v>186</v>
      </c>
      <c r="W58" s="6">
        <v>42.32</v>
      </c>
      <c r="X58" s="19">
        <v>8.1999999999999993</v>
      </c>
      <c r="Y58" s="6">
        <v>184</v>
      </c>
      <c r="Z58" s="6">
        <v>42.59</v>
      </c>
      <c r="AA58" s="6">
        <v>2</v>
      </c>
      <c r="AB58" s="6">
        <v>30</v>
      </c>
      <c r="AC58" s="6">
        <v>227</v>
      </c>
      <c r="AD58" s="6">
        <v>16</v>
      </c>
      <c r="AE58" s="6">
        <v>13</v>
      </c>
      <c r="AF58" s="6">
        <v>675</v>
      </c>
      <c r="AG58" s="6">
        <v>32</v>
      </c>
      <c r="AH58" s="20">
        <f t="shared" si="16"/>
        <v>7.0000000000000106E-3</v>
      </c>
      <c r="AI58" s="9">
        <f t="shared" si="5"/>
        <v>693</v>
      </c>
      <c r="AJ58" s="13">
        <f t="shared" si="6"/>
        <v>1.276972120363375E-2</v>
      </c>
      <c r="AK58" s="8">
        <v>750</v>
      </c>
      <c r="AL58" s="171">
        <v>641</v>
      </c>
      <c r="AM58" s="6" t="s">
        <v>72</v>
      </c>
      <c r="AN58" s="6" t="s">
        <v>24</v>
      </c>
      <c r="AO58" s="6" t="s">
        <v>106</v>
      </c>
      <c r="AP58" s="19"/>
      <c r="AQ58" s="19"/>
      <c r="AR58" s="19"/>
      <c r="AS58" s="6"/>
      <c r="AT58" s="14" t="s">
        <v>107</v>
      </c>
      <c r="AU58" s="28"/>
      <c r="AV58" s="28"/>
      <c r="AW58" s="28"/>
      <c r="AX58" s="28"/>
      <c r="AY58" s="28"/>
    </row>
    <row r="59" spans="1:51" x14ac:dyDescent="0.25">
      <c r="A59" s="132">
        <v>57</v>
      </c>
      <c r="B59" s="92">
        <v>46182</v>
      </c>
      <c r="C59" s="36" t="s">
        <v>20</v>
      </c>
      <c r="D59" s="5" t="s">
        <v>88</v>
      </c>
      <c r="E59" s="5" t="s">
        <v>88</v>
      </c>
      <c r="F59" s="5" t="s">
        <v>88</v>
      </c>
      <c r="G59" s="6"/>
      <c r="H59" s="5" t="s">
        <v>88</v>
      </c>
      <c r="I59" s="20" t="s">
        <v>103</v>
      </c>
      <c r="J59" s="20" t="s">
        <v>103</v>
      </c>
      <c r="K59" s="15">
        <v>67330.3</v>
      </c>
      <c r="L59" s="15">
        <v>2267</v>
      </c>
      <c r="M59" s="15">
        <f t="shared" si="23"/>
        <v>65063.3</v>
      </c>
      <c r="N59" s="6">
        <v>930</v>
      </c>
      <c r="O59" s="19">
        <f t="shared" si="24"/>
        <v>64133.3</v>
      </c>
      <c r="P59" s="112">
        <v>66705</v>
      </c>
      <c r="Q59" s="112">
        <v>2568</v>
      </c>
      <c r="R59" s="19">
        <f t="shared" si="11"/>
        <v>64137</v>
      </c>
      <c r="S59" s="15">
        <v>943</v>
      </c>
      <c r="T59" s="19">
        <f>R59-S59</f>
        <v>63194</v>
      </c>
      <c r="U59" s="107">
        <v>8.5</v>
      </c>
      <c r="V59" s="177">
        <v>188</v>
      </c>
      <c r="W59" s="6">
        <v>42.68</v>
      </c>
      <c r="X59" s="107">
        <v>7.8</v>
      </c>
      <c r="Y59" s="6">
        <v>182</v>
      </c>
      <c r="Z59" s="105">
        <v>43.65</v>
      </c>
      <c r="AA59" s="6">
        <v>2</v>
      </c>
      <c r="AB59" s="6">
        <v>36</v>
      </c>
      <c r="AC59" s="6">
        <v>237</v>
      </c>
      <c r="AD59" s="6">
        <v>9</v>
      </c>
      <c r="AE59" s="6">
        <v>12</v>
      </c>
      <c r="AF59" s="6">
        <v>686</v>
      </c>
      <c r="AG59" s="6">
        <v>13</v>
      </c>
      <c r="AH59" s="115">
        <v>1.9000000000000003E-2</v>
      </c>
      <c r="AI59" s="9">
        <f t="shared" si="5"/>
        <v>939.30000000000291</v>
      </c>
      <c r="AJ59" s="13">
        <f t="shared" si="6"/>
        <v>1.4646057508345942E-2</v>
      </c>
      <c r="AK59" s="8">
        <v>930</v>
      </c>
      <c r="AL59" s="193">
        <v>395</v>
      </c>
      <c r="AM59" s="114" t="s">
        <v>72</v>
      </c>
      <c r="AN59" s="6" t="s">
        <v>24</v>
      </c>
      <c r="AO59" s="114" t="s">
        <v>108</v>
      </c>
      <c r="AP59" s="19"/>
      <c r="AQ59" s="19"/>
      <c r="AR59" s="19"/>
      <c r="AS59" s="6"/>
      <c r="AT59" s="14"/>
      <c r="AU59" s="28"/>
      <c r="AV59" s="28"/>
      <c r="AW59" s="28"/>
      <c r="AX59" s="28"/>
      <c r="AY59" s="28"/>
    </row>
    <row r="60" spans="1:51" x14ac:dyDescent="0.25">
      <c r="A60" s="132">
        <v>58</v>
      </c>
      <c r="B60" s="92">
        <v>46183</v>
      </c>
      <c r="C60" s="36" t="s">
        <v>20</v>
      </c>
      <c r="D60" s="5" t="s">
        <v>88</v>
      </c>
      <c r="E60" s="5" t="s">
        <v>88</v>
      </c>
      <c r="F60" s="5" t="s">
        <v>88</v>
      </c>
      <c r="G60" s="6"/>
      <c r="H60" s="5" t="s">
        <v>88</v>
      </c>
      <c r="I60" s="20" t="s">
        <v>103</v>
      </c>
      <c r="J60" s="20" t="s">
        <v>103</v>
      </c>
      <c r="K60" s="15">
        <v>28436.400000000001</v>
      </c>
      <c r="L60" s="15">
        <v>935</v>
      </c>
      <c r="M60" s="15">
        <f t="shared" si="23"/>
        <v>27501.4</v>
      </c>
      <c r="N60" s="6">
        <v>390</v>
      </c>
      <c r="O60" s="19">
        <f t="shared" si="24"/>
        <v>27111.4</v>
      </c>
      <c r="P60" s="113">
        <v>27973</v>
      </c>
      <c r="Q60" s="113">
        <v>1077</v>
      </c>
      <c r="R60" s="19">
        <f t="shared" si="11"/>
        <v>26896</v>
      </c>
      <c r="S60" s="15">
        <v>395</v>
      </c>
      <c r="T60" s="19">
        <f>R60-S60</f>
        <v>26501</v>
      </c>
      <c r="U60" s="79">
        <v>8.5</v>
      </c>
      <c r="V60" s="177">
        <v>188</v>
      </c>
      <c r="W60" s="6">
        <v>42.68</v>
      </c>
      <c r="X60" s="107">
        <v>7.8</v>
      </c>
      <c r="Y60" s="6">
        <v>182</v>
      </c>
      <c r="Z60" s="105">
        <v>43.65</v>
      </c>
      <c r="AA60" s="6">
        <v>2</v>
      </c>
      <c r="AB60" s="6">
        <v>36</v>
      </c>
      <c r="AC60" s="6">
        <v>237</v>
      </c>
      <c r="AD60" s="6">
        <v>9</v>
      </c>
      <c r="AE60" s="6">
        <v>12</v>
      </c>
      <c r="AF60" s="6">
        <v>686</v>
      </c>
      <c r="AG60" s="6">
        <v>13</v>
      </c>
      <c r="AH60" s="115">
        <v>1.9000000000000003E-2</v>
      </c>
      <c r="AI60" s="9">
        <f t="shared" si="5"/>
        <v>610.40000000000146</v>
      </c>
      <c r="AJ60" s="13">
        <f t="shared" si="6"/>
        <v>2.2514514189602951E-2</v>
      </c>
      <c r="AK60" s="8">
        <v>390</v>
      </c>
      <c r="AL60" s="192">
        <v>943</v>
      </c>
      <c r="AM60" s="114" t="s">
        <v>72</v>
      </c>
      <c r="AN60" s="6" t="s">
        <v>24</v>
      </c>
      <c r="AO60" s="77"/>
      <c r="AP60" s="19"/>
      <c r="AQ60" s="19"/>
      <c r="AR60" s="19"/>
      <c r="AS60" s="6"/>
      <c r="AT60" s="14"/>
      <c r="AU60" s="28"/>
      <c r="AV60" s="28"/>
      <c r="AW60" s="28"/>
      <c r="AX60" s="28"/>
      <c r="AY60" s="28"/>
    </row>
    <row r="61" spans="1:51" x14ac:dyDescent="0.25">
      <c r="A61" s="132">
        <v>59</v>
      </c>
      <c r="B61" s="92">
        <v>46184</v>
      </c>
      <c r="C61" s="36" t="s">
        <v>20</v>
      </c>
      <c r="D61" s="5" t="s">
        <v>88</v>
      </c>
      <c r="E61" s="5" t="s">
        <v>88</v>
      </c>
      <c r="F61" s="5" t="s">
        <v>88</v>
      </c>
      <c r="G61" s="6"/>
      <c r="H61" s="5" t="s">
        <v>88</v>
      </c>
      <c r="I61" s="6" t="s">
        <v>103</v>
      </c>
      <c r="J61" s="20" t="s">
        <v>103</v>
      </c>
      <c r="K61" s="15">
        <f>34656.8+32919.7</f>
        <v>67576.5</v>
      </c>
      <c r="L61" s="15">
        <f>1019+1028</f>
        <v>2047</v>
      </c>
      <c r="M61" s="15">
        <f t="shared" si="23"/>
        <v>65529.5</v>
      </c>
      <c r="N61" s="6">
        <v>870</v>
      </c>
      <c r="O61" s="143">
        <f t="shared" si="24"/>
        <v>64659.5</v>
      </c>
      <c r="P61" s="19">
        <v>68016</v>
      </c>
      <c r="Q61" s="19">
        <v>2648</v>
      </c>
      <c r="R61" s="112">
        <f t="shared" ref="R61:R70" si="25">P61-Q61</f>
        <v>65368</v>
      </c>
      <c r="S61" s="15">
        <v>884</v>
      </c>
      <c r="T61" s="112">
        <f t="shared" ref="T61:T70" si="26">R61-S61</f>
        <v>64484</v>
      </c>
      <c r="U61" s="19">
        <v>9.8000000000000007</v>
      </c>
      <c r="V61" s="177">
        <v>187</v>
      </c>
      <c r="W61" s="6">
        <v>43.56</v>
      </c>
      <c r="X61" s="98">
        <v>7.9</v>
      </c>
      <c r="Y61" s="6">
        <v>190</v>
      </c>
      <c r="Z61" s="6">
        <v>43.21</v>
      </c>
      <c r="AA61" s="6">
        <v>2</v>
      </c>
      <c r="AB61" s="6">
        <v>34</v>
      </c>
      <c r="AC61" s="6">
        <v>230</v>
      </c>
      <c r="AD61" s="6">
        <v>15</v>
      </c>
      <c r="AE61" s="6">
        <v>15</v>
      </c>
      <c r="AF61" s="6">
        <v>660</v>
      </c>
      <c r="AG61" s="6">
        <v>34</v>
      </c>
      <c r="AH61" s="20">
        <f t="shared" si="16"/>
        <v>1.9000000000000003E-2</v>
      </c>
      <c r="AI61" s="9">
        <f t="shared" si="5"/>
        <v>175.5</v>
      </c>
      <c r="AJ61" s="13">
        <f t="shared" si="6"/>
        <v>2.7142183283198913E-3</v>
      </c>
      <c r="AK61" s="8">
        <v>870</v>
      </c>
      <c r="AL61" s="171">
        <v>884</v>
      </c>
      <c r="AM61" s="6" t="s">
        <v>72</v>
      </c>
      <c r="AN61" s="6" t="s">
        <v>24</v>
      </c>
      <c r="AO61" s="6" t="s">
        <v>25</v>
      </c>
      <c r="AP61" s="19"/>
      <c r="AQ61" s="19"/>
      <c r="AR61" s="19"/>
      <c r="AS61" s="6"/>
      <c r="AT61" s="14"/>
      <c r="AU61" s="28"/>
      <c r="AV61" s="28"/>
      <c r="AW61" s="28"/>
      <c r="AX61" s="28"/>
      <c r="AY61" s="28"/>
    </row>
    <row r="62" spans="1:51" x14ac:dyDescent="0.25">
      <c r="A62" s="132">
        <v>60</v>
      </c>
      <c r="B62" s="92">
        <v>46185</v>
      </c>
      <c r="C62" s="36" t="s">
        <v>20</v>
      </c>
      <c r="D62" s="5" t="s">
        <v>88</v>
      </c>
      <c r="E62" s="5" t="s">
        <v>88</v>
      </c>
      <c r="F62" s="5" t="s">
        <v>88</v>
      </c>
      <c r="G62" s="6"/>
      <c r="H62" s="5" t="s">
        <v>88</v>
      </c>
      <c r="I62" s="6" t="s">
        <v>103</v>
      </c>
      <c r="J62" s="20" t="s">
        <v>103</v>
      </c>
      <c r="K62" s="15">
        <v>74750</v>
      </c>
      <c r="L62" s="15">
        <v>2353</v>
      </c>
      <c r="M62" s="15">
        <f t="shared" si="23"/>
        <v>72397</v>
      </c>
      <c r="N62" s="6">
        <v>990</v>
      </c>
      <c r="O62" s="19">
        <f t="shared" si="24"/>
        <v>71407</v>
      </c>
      <c r="P62" s="19">
        <v>73569</v>
      </c>
      <c r="Q62" s="19">
        <v>2853</v>
      </c>
      <c r="R62" s="112">
        <f t="shared" si="25"/>
        <v>70716</v>
      </c>
      <c r="S62" s="15">
        <v>966</v>
      </c>
      <c r="T62" s="112">
        <f t="shared" si="26"/>
        <v>69750</v>
      </c>
      <c r="U62" s="19">
        <v>9.6</v>
      </c>
      <c r="V62" s="177">
        <v>173</v>
      </c>
      <c r="W62" s="6">
        <v>43.47</v>
      </c>
      <c r="X62" s="98">
        <v>7.3</v>
      </c>
      <c r="Y62" s="6">
        <v>179</v>
      </c>
      <c r="Z62" s="12">
        <v>44</v>
      </c>
      <c r="AA62" s="6">
        <v>0</v>
      </c>
      <c r="AB62" s="6">
        <v>30</v>
      </c>
      <c r="AC62" s="6">
        <v>235</v>
      </c>
      <c r="AD62" s="6">
        <v>15</v>
      </c>
      <c r="AE62" s="6">
        <v>14</v>
      </c>
      <c r="AF62" s="6">
        <v>658</v>
      </c>
      <c r="AG62" s="6">
        <v>38</v>
      </c>
      <c r="AH62" s="20">
        <f t="shared" si="16"/>
        <v>2.3E-2</v>
      </c>
      <c r="AI62" s="9">
        <f t="shared" si="5"/>
        <v>1657</v>
      </c>
      <c r="AJ62" s="13">
        <f t="shared" si="6"/>
        <v>2.3205007912389542E-2</v>
      </c>
      <c r="AK62" s="8">
        <v>990</v>
      </c>
      <c r="AL62" s="171">
        <v>966</v>
      </c>
      <c r="AM62" s="6" t="s">
        <v>109</v>
      </c>
      <c r="AN62" s="6" t="s">
        <v>113</v>
      </c>
      <c r="AO62" s="6"/>
      <c r="AP62" s="19"/>
      <c r="AQ62" s="19"/>
      <c r="AR62" s="19"/>
      <c r="AS62" s="6"/>
      <c r="AT62" s="14"/>
      <c r="AU62" s="28"/>
      <c r="AV62" s="28"/>
      <c r="AW62" s="28"/>
      <c r="AX62" s="28"/>
      <c r="AY62" s="28"/>
    </row>
    <row r="63" spans="1:51" x14ac:dyDescent="0.25">
      <c r="A63" s="132">
        <v>61</v>
      </c>
      <c r="B63" s="92">
        <v>46186</v>
      </c>
      <c r="C63" s="36" t="s">
        <v>20</v>
      </c>
      <c r="D63" s="5" t="s">
        <v>88</v>
      </c>
      <c r="E63" s="5" t="s">
        <v>88</v>
      </c>
      <c r="F63" s="5" t="s">
        <v>88</v>
      </c>
      <c r="G63" s="6"/>
      <c r="H63" s="5" t="s">
        <v>88</v>
      </c>
      <c r="I63" s="6" t="s">
        <v>103</v>
      </c>
      <c r="J63" s="20" t="s">
        <v>103</v>
      </c>
      <c r="K63" s="15">
        <f>101655</f>
        <v>101655</v>
      </c>
      <c r="L63" s="15">
        <f>3208</f>
        <v>3208</v>
      </c>
      <c r="M63" s="15">
        <f t="shared" si="23"/>
        <v>98447</v>
      </c>
      <c r="N63" s="6">
        <v>1322</v>
      </c>
      <c r="O63" s="19">
        <f t="shared" si="24"/>
        <v>97125</v>
      </c>
      <c r="P63" s="19">
        <v>101548</v>
      </c>
      <c r="Q63" s="19">
        <v>3740</v>
      </c>
      <c r="R63" s="112">
        <f t="shared" si="25"/>
        <v>97808</v>
      </c>
      <c r="S63" s="15">
        <v>1325</v>
      </c>
      <c r="T63" s="112">
        <f t="shared" si="26"/>
        <v>96483</v>
      </c>
      <c r="U63" s="19">
        <v>9</v>
      </c>
      <c r="V63" s="177">
        <v>175</v>
      </c>
      <c r="W63" s="6">
        <v>43.21</v>
      </c>
      <c r="X63" s="98">
        <v>8.1</v>
      </c>
      <c r="Y63" s="6">
        <v>182</v>
      </c>
      <c r="Z63" s="6">
        <v>44.35</v>
      </c>
      <c r="AA63" s="6">
        <v>3</v>
      </c>
      <c r="AB63" s="6">
        <v>20</v>
      </c>
      <c r="AC63" s="6">
        <v>238</v>
      </c>
      <c r="AD63" s="6">
        <v>17</v>
      </c>
      <c r="AE63" s="6">
        <v>10</v>
      </c>
      <c r="AF63" s="6">
        <v>673</v>
      </c>
      <c r="AG63" s="6">
        <v>24</v>
      </c>
      <c r="AH63" s="20">
        <f t="shared" si="16"/>
        <v>9.0000000000000028E-3</v>
      </c>
      <c r="AI63" s="9">
        <f t="shared" si="5"/>
        <v>642</v>
      </c>
      <c r="AJ63" s="13">
        <f t="shared" si="6"/>
        <v>6.6100386100386103E-3</v>
      </c>
      <c r="AK63" s="8">
        <v>1322</v>
      </c>
      <c r="AL63" s="171">
        <v>1325</v>
      </c>
      <c r="AM63" s="6" t="s">
        <v>109</v>
      </c>
      <c r="AN63" s="6" t="s">
        <v>24</v>
      </c>
      <c r="AO63" s="6"/>
      <c r="AP63" s="19"/>
      <c r="AQ63" s="19"/>
      <c r="AR63" s="19"/>
      <c r="AS63" s="6"/>
      <c r="AT63" s="14"/>
      <c r="AU63" s="28"/>
      <c r="AV63" s="28"/>
      <c r="AW63" s="28"/>
      <c r="AX63" s="28"/>
      <c r="AY63" s="28"/>
    </row>
    <row r="64" spans="1:51" x14ac:dyDescent="0.25">
      <c r="A64" s="132">
        <v>62</v>
      </c>
      <c r="B64" s="92">
        <v>46187</v>
      </c>
      <c r="C64" s="36" t="s">
        <v>20</v>
      </c>
      <c r="D64" s="5" t="s">
        <v>111</v>
      </c>
      <c r="E64" s="5" t="s">
        <v>111</v>
      </c>
      <c r="F64" s="5">
        <v>30581</v>
      </c>
      <c r="G64" s="6" t="s">
        <v>37</v>
      </c>
      <c r="H64" s="5" t="s">
        <v>111</v>
      </c>
      <c r="I64" s="6" t="s">
        <v>112</v>
      </c>
      <c r="J64" s="6" t="s">
        <v>112</v>
      </c>
      <c r="K64" s="15">
        <v>37730</v>
      </c>
      <c r="L64" s="15">
        <v>0</v>
      </c>
      <c r="M64" s="140">
        <f t="shared" ref="M64:M68" si="27">K64-L64</f>
        <v>37730</v>
      </c>
      <c r="N64" s="6">
        <v>513</v>
      </c>
      <c r="O64" s="166">
        <f t="shared" ref="O64:O68" si="28">M64-N64</f>
        <v>37217</v>
      </c>
      <c r="P64" s="19">
        <v>38195</v>
      </c>
      <c r="Q64" s="19">
        <v>1323</v>
      </c>
      <c r="R64" s="112">
        <f t="shared" si="25"/>
        <v>36872</v>
      </c>
      <c r="S64" s="15">
        <v>531</v>
      </c>
      <c r="T64" s="112">
        <f t="shared" si="26"/>
        <v>36341</v>
      </c>
      <c r="U64" s="19">
        <v>10</v>
      </c>
      <c r="V64" s="177">
        <v>183</v>
      </c>
      <c r="W64" s="6">
        <v>39.85</v>
      </c>
      <c r="X64" s="98">
        <v>9</v>
      </c>
      <c r="Y64" s="6">
        <v>185</v>
      </c>
      <c r="Z64" s="6">
        <v>39.85</v>
      </c>
      <c r="AA64" s="6">
        <v>0</v>
      </c>
      <c r="AB64" s="6">
        <v>46</v>
      </c>
      <c r="AC64" s="6">
        <v>210</v>
      </c>
      <c r="AD64" s="6">
        <v>15</v>
      </c>
      <c r="AE64" s="6">
        <v>17</v>
      </c>
      <c r="AF64" s="6">
        <v>675</v>
      </c>
      <c r="AG64" s="6">
        <v>29</v>
      </c>
      <c r="AH64" s="20">
        <f t="shared" si="16"/>
        <v>0.01</v>
      </c>
      <c r="AI64" s="9">
        <f t="shared" si="5"/>
        <v>876</v>
      </c>
      <c r="AJ64" s="13">
        <f t="shared" si="6"/>
        <v>2.353763065265873E-2</v>
      </c>
      <c r="AK64" s="8">
        <v>531</v>
      </c>
      <c r="AL64" s="171">
        <v>531</v>
      </c>
      <c r="AM64" s="6" t="s">
        <v>72</v>
      </c>
      <c r="AN64" s="6" t="s">
        <v>24</v>
      </c>
      <c r="AO64" s="6"/>
      <c r="AP64" s="19"/>
      <c r="AQ64" s="19"/>
      <c r="AR64" s="19"/>
      <c r="AS64" s="6"/>
      <c r="AT64" s="14"/>
      <c r="AU64" s="28"/>
      <c r="AV64" s="28"/>
      <c r="AW64" s="28"/>
      <c r="AX64" s="28"/>
      <c r="AY64" s="28"/>
    </row>
    <row r="65" spans="1:51" x14ac:dyDescent="0.25">
      <c r="A65" s="132">
        <v>63</v>
      </c>
      <c r="B65" s="92">
        <v>46188</v>
      </c>
      <c r="C65" s="36" t="s">
        <v>20</v>
      </c>
      <c r="D65" s="104" t="s">
        <v>88</v>
      </c>
      <c r="E65" s="104" t="s">
        <v>88</v>
      </c>
      <c r="F65" s="104" t="s">
        <v>88</v>
      </c>
      <c r="G65" s="105"/>
      <c r="H65" s="104" t="s">
        <v>88</v>
      </c>
      <c r="I65" s="105" t="s">
        <v>103</v>
      </c>
      <c r="J65" s="106" t="s">
        <v>103</v>
      </c>
      <c r="K65" s="15">
        <f>59725.8+46751.6</f>
        <v>106477.4</v>
      </c>
      <c r="L65" s="15">
        <f>1425+1809</f>
        <v>3234</v>
      </c>
      <c r="M65" s="15">
        <f t="shared" si="27"/>
        <v>103243.4</v>
      </c>
      <c r="N65" s="6">
        <v>1353</v>
      </c>
      <c r="O65" s="19">
        <f>M65-N65</f>
        <v>101890.4</v>
      </c>
      <c r="P65" s="107">
        <v>105951</v>
      </c>
      <c r="Q65" s="107">
        <v>4281</v>
      </c>
      <c r="R65" s="112">
        <f t="shared" si="25"/>
        <v>101670</v>
      </c>
      <c r="S65" s="15">
        <v>1428</v>
      </c>
      <c r="T65" s="112">
        <f>R65-S65</f>
        <v>100242</v>
      </c>
      <c r="U65" s="107">
        <v>9.5</v>
      </c>
      <c r="V65" s="179">
        <v>180</v>
      </c>
      <c r="W65" s="105">
        <v>43.47</v>
      </c>
      <c r="X65" s="160">
        <v>7.8</v>
      </c>
      <c r="Y65" s="105">
        <v>177</v>
      </c>
      <c r="Z65" s="105">
        <v>43.29</v>
      </c>
      <c r="AA65" s="105">
        <v>4</v>
      </c>
      <c r="AB65" s="105">
        <v>31</v>
      </c>
      <c r="AC65" s="105">
        <v>231</v>
      </c>
      <c r="AD65" s="105">
        <v>16</v>
      </c>
      <c r="AE65" s="105">
        <v>13</v>
      </c>
      <c r="AF65" s="105">
        <v>688</v>
      </c>
      <c r="AG65" s="105">
        <v>12</v>
      </c>
      <c r="AH65" s="106">
        <f t="shared" si="16"/>
        <v>1.7000000000000001E-2</v>
      </c>
      <c r="AI65" s="9">
        <f t="shared" si="5"/>
        <v>1648.3999999999942</v>
      </c>
      <c r="AJ65" s="13">
        <f t="shared" si="6"/>
        <v>1.6178167913758257E-2</v>
      </c>
      <c r="AK65" s="159">
        <v>1353</v>
      </c>
      <c r="AL65" s="193">
        <v>1428</v>
      </c>
      <c r="AM65" s="105" t="s">
        <v>109</v>
      </c>
      <c r="AN65" s="105" t="s">
        <v>24</v>
      </c>
      <c r="AO65" s="105"/>
      <c r="AP65" s="19"/>
      <c r="AQ65" s="19"/>
      <c r="AR65" s="19"/>
      <c r="AS65" s="6"/>
      <c r="AT65" s="14"/>
      <c r="AU65" s="28"/>
      <c r="AV65" s="28"/>
      <c r="AW65" s="28"/>
      <c r="AX65" s="28"/>
      <c r="AY65" s="28"/>
    </row>
    <row r="66" spans="1:51" x14ac:dyDescent="0.25">
      <c r="A66" s="132">
        <v>65</v>
      </c>
      <c r="B66" s="92">
        <v>46192</v>
      </c>
      <c r="C66" s="36" t="s">
        <v>20</v>
      </c>
      <c r="D66" s="5" t="s">
        <v>120</v>
      </c>
      <c r="E66" s="5" t="s">
        <v>120</v>
      </c>
      <c r="F66" s="5" t="s">
        <v>120</v>
      </c>
      <c r="G66" s="5"/>
      <c r="H66" s="5" t="s">
        <v>120</v>
      </c>
      <c r="I66" s="6" t="s">
        <v>121</v>
      </c>
      <c r="J66" s="6" t="s">
        <v>121</v>
      </c>
      <c r="K66" s="15">
        <v>25319.200000000001</v>
      </c>
      <c r="L66" s="15">
        <v>698</v>
      </c>
      <c r="M66" s="15">
        <f t="shared" si="27"/>
        <v>24621.200000000001</v>
      </c>
      <c r="N66" s="6">
        <v>300</v>
      </c>
      <c r="O66" s="19">
        <f t="shared" si="28"/>
        <v>24321.200000000001</v>
      </c>
      <c r="P66" s="111">
        <v>24929.200000000001</v>
      </c>
      <c r="Q66" s="111">
        <v>988.4</v>
      </c>
      <c r="R66" s="112">
        <f t="shared" si="25"/>
        <v>23940.799999999999</v>
      </c>
      <c r="S66" s="15">
        <v>331</v>
      </c>
      <c r="T66" s="112">
        <f t="shared" si="26"/>
        <v>23609.8</v>
      </c>
      <c r="U66" s="15">
        <v>10.7</v>
      </c>
      <c r="V66" s="172">
        <v>175</v>
      </c>
      <c r="W66" s="6">
        <v>39.68</v>
      </c>
      <c r="X66" s="15">
        <v>9.4</v>
      </c>
      <c r="Y66" s="6">
        <v>176</v>
      </c>
      <c r="Z66" s="6">
        <v>40.56</v>
      </c>
      <c r="AA66" s="6">
        <v>2</v>
      </c>
      <c r="AB66" s="6">
        <v>41</v>
      </c>
      <c r="AC66" s="6">
        <v>216</v>
      </c>
      <c r="AD66" s="6">
        <v>16</v>
      </c>
      <c r="AE66" s="6">
        <v>12</v>
      </c>
      <c r="AF66" s="6">
        <v>674</v>
      </c>
      <c r="AG66" s="6">
        <v>33</v>
      </c>
      <c r="AH66" s="106">
        <f t="shared" ref="AH66:AH70" si="29">(U66-X66)/100</f>
        <v>1.2999999999999989E-2</v>
      </c>
      <c r="AI66" s="9">
        <f t="shared" ref="AI66:AI75" si="30">O66-T66</f>
        <v>711.40000000000146</v>
      </c>
      <c r="AJ66" s="13">
        <f t="shared" ref="AJ66:AJ70" si="31">AI66/O66</f>
        <v>2.9250201470322246E-2</v>
      </c>
      <c r="AK66" s="8">
        <v>300</v>
      </c>
      <c r="AL66" s="171">
        <v>331</v>
      </c>
      <c r="AM66" s="6" t="s">
        <v>109</v>
      </c>
      <c r="AN66" s="6" t="s">
        <v>113</v>
      </c>
      <c r="AO66" s="6"/>
      <c r="AP66" s="6"/>
      <c r="AQ66" s="6"/>
      <c r="AR66" s="6"/>
      <c r="AS66" s="6"/>
      <c r="AT66" s="6"/>
    </row>
    <row r="67" spans="1:51" x14ac:dyDescent="0.25">
      <c r="A67" s="132">
        <v>66</v>
      </c>
      <c r="B67" s="92">
        <v>46193</v>
      </c>
      <c r="C67" s="36" t="s">
        <v>20</v>
      </c>
      <c r="D67" s="5" t="s">
        <v>120</v>
      </c>
      <c r="E67" s="5" t="s">
        <v>120</v>
      </c>
      <c r="F67" s="5" t="s">
        <v>120</v>
      </c>
      <c r="G67" s="5"/>
      <c r="H67" s="5" t="s">
        <v>120</v>
      </c>
      <c r="I67" s="6" t="s">
        <v>121</v>
      </c>
      <c r="J67" s="6" t="s">
        <v>121</v>
      </c>
      <c r="K67" s="15">
        <v>24780</v>
      </c>
      <c r="L67" s="15">
        <v>737.8</v>
      </c>
      <c r="M67" s="15">
        <f t="shared" si="27"/>
        <v>24042.2</v>
      </c>
      <c r="N67" s="6">
        <v>300</v>
      </c>
      <c r="O67" s="19">
        <f t="shared" si="28"/>
        <v>23742.2</v>
      </c>
      <c r="P67" s="111">
        <v>24704.400000000001</v>
      </c>
      <c r="Q67" s="111">
        <v>1002.6</v>
      </c>
      <c r="R67" s="112">
        <f t="shared" si="25"/>
        <v>23701.800000000003</v>
      </c>
      <c r="S67" s="15">
        <v>308</v>
      </c>
      <c r="T67" s="112">
        <f t="shared" si="26"/>
        <v>23393.800000000003</v>
      </c>
      <c r="U67" s="15">
        <v>10.7</v>
      </c>
      <c r="V67" s="172">
        <v>175</v>
      </c>
      <c r="W67" s="6">
        <v>39.68</v>
      </c>
      <c r="X67" s="15">
        <v>9.4</v>
      </c>
      <c r="Y67" s="6">
        <v>176</v>
      </c>
      <c r="Z67" s="6">
        <v>40.56</v>
      </c>
      <c r="AA67" s="6">
        <v>2</v>
      </c>
      <c r="AB67" s="6">
        <v>41</v>
      </c>
      <c r="AC67" s="6">
        <v>216</v>
      </c>
      <c r="AD67" s="6">
        <v>16</v>
      </c>
      <c r="AE67" s="6">
        <v>12</v>
      </c>
      <c r="AF67" s="6">
        <v>674</v>
      </c>
      <c r="AG67" s="6">
        <v>33</v>
      </c>
      <c r="AH67" s="20">
        <f t="shared" si="29"/>
        <v>1.2999999999999989E-2</v>
      </c>
      <c r="AI67" s="9">
        <f t="shared" si="30"/>
        <v>348.39999999999782</v>
      </c>
      <c r="AJ67" s="13">
        <f t="shared" si="31"/>
        <v>1.4674293030974291E-2</v>
      </c>
      <c r="AK67" s="8">
        <v>300</v>
      </c>
      <c r="AL67" s="171">
        <v>308</v>
      </c>
      <c r="AM67" s="6" t="s">
        <v>109</v>
      </c>
      <c r="AN67" s="6" t="s">
        <v>113</v>
      </c>
      <c r="AO67" s="6"/>
      <c r="AP67" s="6"/>
      <c r="AQ67" s="6"/>
      <c r="AR67" s="6"/>
      <c r="AS67" s="6"/>
      <c r="AT67" s="6"/>
    </row>
    <row r="68" spans="1:51" ht="24" x14ac:dyDescent="0.25">
      <c r="A68" s="132">
        <v>67</v>
      </c>
      <c r="B68" s="92">
        <v>46197</v>
      </c>
      <c r="C68" s="36" t="s">
        <v>20</v>
      </c>
      <c r="D68" s="5" t="s">
        <v>120</v>
      </c>
      <c r="E68" s="5" t="s">
        <v>120</v>
      </c>
      <c r="F68" s="5" t="s">
        <v>120</v>
      </c>
      <c r="G68" s="6"/>
      <c r="H68" s="5" t="s">
        <v>120</v>
      </c>
      <c r="I68" s="6" t="s">
        <v>121</v>
      </c>
      <c r="J68" s="6" t="s">
        <v>121</v>
      </c>
      <c r="K68" s="15">
        <v>35380.400000000001</v>
      </c>
      <c r="L68" s="15">
        <v>1537.2</v>
      </c>
      <c r="M68" s="15">
        <f t="shared" si="27"/>
        <v>33843.200000000004</v>
      </c>
      <c r="N68" s="6">
        <v>471</v>
      </c>
      <c r="O68" s="19">
        <f t="shared" si="28"/>
        <v>33372.200000000004</v>
      </c>
      <c r="P68" s="15">
        <v>34799.599999999999</v>
      </c>
      <c r="Q68" s="15">
        <v>1442.4</v>
      </c>
      <c r="R68" s="112">
        <f t="shared" si="25"/>
        <v>33357.199999999997</v>
      </c>
      <c r="S68" s="15">
        <v>449</v>
      </c>
      <c r="T68" s="112">
        <f t="shared" si="26"/>
        <v>32908.199999999997</v>
      </c>
      <c r="U68" s="15">
        <v>10</v>
      </c>
      <c r="V68" s="172">
        <v>176</v>
      </c>
      <c r="W68" s="6">
        <v>43.38</v>
      </c>
      <c r="X68" s="15">
        <v>8.4</v>
      </c>
      <c r="Y68" s="6">
        <v>177</v>
      </c>
      <c r="Z68" s="6">
        <v>43.12</v>
      </c>
      <c r="AA68" s="6">
        <v>0</v>
      </c>
      <c r="AB68" s="6">
        <v>27</v>
      </c>
      <c r="AC68" s="6">
        <v>226</v>
      </c>
      <c r="AD68" s="6">
        <v>15</v>
      </c>
      <c r="AE68" s="6">
        <v>22</v>
      </c>
      <c r="AF68" s="6">
        <v>685</v>
      </c>
      <c r="AG68" s="6">
        <v>17</v>
      </c>
      <c r="AH68" s="20">
        <f t="shared" si="29"/>
        <v>1.5999999999999997E-2</v>
      </c>
      <c r="AI68" s="9">
        <f t="shared" si="30"/>
        <v>464.00000000000728</v>
      </c>
      <c r="AJ68" s="13">
        <f t="shared" si="31"/>
        <v>1.3903788182978863E-2</v>
      </c>
      <c r="AK68" s="8">
        <f>471</f>
        <v>471</v>
      </c>
      <c r="AL68" s="171">
        <v>449</v>
      </c>
      <c r="AM68" s="6" t="s">
        <v>109</v>
      </c>
      <c r="AN68" s="6" t="s">
        <v>113</v>
      </c>
      <c r="AO68" s="6"/>
      <c r="AP68" s="6"/>
      <c r="AQ68" s="6"/>
      <c r="AR68" s="6"/>
      <c r="AS68" s="6"/>
      <c r="AT68" s="8" t="s">
        <v>124</v>
      </c>
    </row>
    <row r="69" spans="1:51" x14ac:dyDescent="0.25">
      <c r="A69" s="132">
        <v>68</v>
      </c>
      <c r="B69" s="92">
        <v>46198</v>
      </c>
      <c r="C69" s="36" t="s">
        <v>20</v>
      </c>
      <c r="D69" s="5" t="s">
        <v>120</v>
      </c>
      <c r="E69" s="5" t="s">
        <v>120</v>
      </c>
      <c r="F69" s="5" t="s">
        <v>120</v>
      </c>
      <c r="G69" s="6"/>
      <c r="H69" s="5" t="s">
        <v>120</v>
      </c>
      <c r="I69" s="6" t="s">
        <v>121</v>
      </c>
      <c r="J69" s="6" t="s">
        <v>121</v>
      </c>
      <c r="K69" s="15">
        <f>35909.2+34291.6</f>
        <v>70200.799999999988</v>
      </c>
      <c r="L69" s="15">
        <f>1048.6+1405</f>
        <v>2453.6</v>
      </c>
      <c r="M69" s="15">
        <f>K69-L69</f>
        <v>67747.199999999983</v>
      </c>
      <c r="N69" s="6">
        <v>897</v>
      </c>
      <c r="O69" s="19">
        <f>M69-N69</f>
        <v>66850.199999999983</v>
      </c>
      <c r="P69" s="15">
        <f>35265.7+33629</f>
        <v>68894.7</v>
      </c>
      <c r="Q69" s="15">
        <f>1238.4+1505</f>
        <v>2743.4</v>
      </c>
      <c r="R69" s="112">
        <f>P69-Q69</f>
        <v>66151.3</v>
      </c>
      <c r="S69" s="15">
        <v>898</v>
      </c>
      <c r="T69" s="112">
        <f t="shared" si="26"/>
        <v>65253.3</v>
      </c>
      <c r="U69" s="15">
        <v>11.2</v>
      </c>
      <c r="V69" s="172">
        <v>173</v>
      </c>
      <c r="W69" s="6">
        <v>41.97</v>
      </c>
      <c r="X69" s="15">
        <v>9.4</v>
      </c>
      <c r="Y69" s="6">
        <v>176</v>
      </c>
      <c r="Z69" s="6">
        <v>42.32</v>
      </c>
      <c r="AA69" s="6">
        <v>2</v>
      </c>
      <c r="AB69" s="6">
        <v>35</v>
      </c>
      <c r="AC69" s="6">
        <v>226</v>
      </c>
      <c r="AD69" s="6">
        <v>16</v>
      </c>
      <c r="AE69" s="6">
        <v>12</v>
      </c>
      <c r="AF69" s="6">
        <v>686</v>
      </c>
      <c r="AG69" s="6">
        <v>27</v>
      </c>
      <c r="AH69" s="20">
        <f t="shared" si="29"/>
        <v>1.7999999999999988E-2</v>
      </c>
      <c r="AI69" s="9">
        <f t="shared" si="30"/>
        <v>1596.8999999999796</v>
      </c>
      <c r="AJ69" s="13">
        <f t="shared" si="31"/>
        <v>2.3887737059873869E-2</v>
      </c>
      <c r="AK69" s="8">
        <v>897</v>
      </c>
      <c r="AL69" s="171">
        <v>872</v>
      </c>
      <c r="AM69" s="6" t="s">
        <v>109</v>
      </c>
      <c r="AN69" s="6" t="s">
        <v>113</v>
      </c>
      <c r="AO69" s="6"/>
      <c r="AP69" s="6"/>
      <c r="AQ69" s="6"/>
      <c r="AR69" s="6"/>
      <c r="AS69" s="6"/>
      <c r="AT69" s="6"/>
    </row>
    <row r="70" spans="1:51" x14ac:dyDescent="0.25">
      <c r="A70" s="132">
        <v>69</v>
      </c>
      <c r="B70" s="92">
        <v>46199</v>
      </c>
      <c r="C70" s="36" t="s">
        <v>20</v>
      </c>
      <c r="D70" s="5" t="s">
        <v>120</v>
      </c>
      <c r="E70" s="5" t="s">
        <v>120</v>
      </c>
      <c r="F70" s="5" t="s">
        <v>120</v>
      </c>
      <c r="G70" s="6"/>
      <c r="H70" s="5" t="s">
        <v>120</v>
      </c>
      <c r="I70" s="6" t="s">
        <v>121</v>
      </c>
      <c r="J70" s="6" t="s">
        <v>121</v>
      </c>
      <c r="K70" s="15">
        <v>35604</v>
      </c>
      <c r="L70" s="15">
        <v>1090.5999999999999</v>
      </c>
      <c r="M70" s="15">
        <f>K70-L70</f>
        <v>34513.4</v>
      </c>
      <c r="N70" s="6">
        <v>450</v>
      </c>
      <c r="O70" s="19">
        <f t="shared" ref="O70:O72" si="32">M70-N70</f>
        <v>34063.4</v>
      </c>
      <c r="P70" s="15">
        <f>35340</f>
        <v>35340</v>
      </c>
      <c r="Q70" s="15">
        <f>693.6+562.8</f>
        <v>1256.4000000000001</v>
      </c>
      <c r="R70" s="112">
        <f t="shared" si="25"/>
        <v>34083.599999999999</v>
      </c>
      <c r="S70" s="15">
        <v>459</v>
      </c>
      <c r="T70" s="112">
        <f t="shared" si="26"/>
        <v>33624.6</v>
      </c>
      <c r="U70" s="15">
        <v>10.4</v>
      </c>
      <c r="V70" s="172">
        <v>179</v>
      </c>
      <c r="W70" s="6">
        <v>42.94</v>
      </c>
      <c r="X70" s="15">
        <v>8.1</v>
      </c>
      <c r="Y70" s="6">
        <v>180</v>
      </c>
      <c r="Z70" s="6">
        <v>42.95</v>
      </c>
      <c r="AA70" s="6">
        <v>0</v>
      </c>
      <c r="AB70" s="6">
        <v>33</v>
      </c>
      <c r="AC70" s="6">
        <v>230</v>
      </c>
      <c r="AD70" s="6">
        <v>15</v>
      </c>
      <c r="AE70" s="6">
        <v>12</v>
      </c>
      <c r="AF70" s="6">
        <v>676</v>
      </c>
      <c r="AG70" s="6">
        <v>29</v>
      </c>
      <c r="AH70" s="20">
        <f t="shared" si="29"/>
        <v>2.3000000000000007E-2</v>
      </c>
      <c r="AI70" s="9">
        <f t="shared" si="30"/>
        <v>438.80000000000291</v>
      </c>
      <c r="AJ70" s="13">
        <f t="shared" si="31"/>
        <v>1.2881861470082343E-2</v>
      </c>
      <c r="AK70" s="8">
        <v>450</v>
      </c>
      <c r="AL70" s="171">
        <v>459</v>
      </c>
      <c r="AM70" s="6" t="s">
        <v>109</v>
      </c>
      <c r="AN70" s="6" t="s">
        <v>113</v>
      </c>
      <c r="AO70" s="6"/>
      <c r="AP70" s="6"/>
      <c r="AQ70" s="6"/>
      <c r="AR70" s="6"/>
      <c r="AS70" s="6"/>
      <c r="AT70" s="6"/>
    </row>
    <row r="71" spans="1:51" x14ac:dyDescent="0.25">
      <c r="A71" s="132">
        <v>70</v>
      </c>
      <c r="B71" s="92">
        <v>46200</v>
      </c>
      <c r="C71" s="36" t="s">
        <v>20</v>
      </c>
      <c r="D71" s="5" t="s">
        <v>120</v>
      </c>
      <c r="E71" s="5" t="s">
        <v>120</v>
      </c>
      <c r="F71" s="5" t="s">
        <v>120</v>
      </c>
      <c r="G71" s="6"/>
      <c r="H71" s="5" t="s">
        <v>120</v>
      </c>
      <c r="I71" s="6" t="s">
        <v>121</v>
      </c>
      <c r="J71" s="6" t="s">
        <v>121</v>
      </c>
      <c r="K71" s="15">
        <v>61590</v>
      </c>
      <c r="L71" s="15">
        <f>977+862.4</f>
        <v>1839.4</v>
      </c>
      <c r="M71" s="15">
        <f t="shared" ref="M71:M73" si="33">K71-L71</f>
        <v>59750.6</v>
      </c>
      <c r="N71" s="6">
        <v>750</v>
      </c>
      <c r="O71" s="19">
        <f t="shared" si="32"/>
        <v>59000.6</v>
      </c>
      <c r="P71" s="19">
        <f>43704.6+17420.6</f>
        <v>61125.2</v>
      </c>
      <c r="Q71" s="130">
        <f>1298.6+1249.8</f>
        <v>2548.3999999999996</v>
      </c>
      <c r="R71" s="112">
        <f t="shared" ref="R71:R73" si="34">P71-Q71</f>
        <v>58576.799999999996</v>
      </c>
      <c r="S71" s="19">
        <v>787</v>
      </c>
      <c r="T71" s="112">
        <f t="shared" ref="T71:T73" si="35">R71-S71</f>
        <v>57789.799999999996</v>
      </c>
      <c r="U71" s="15">
        <v>9.8000000000000007</v>
      </c>
      <c r="V71" s="172">
        <v>179</v>
      </c>
      <c r="W71" s="6">
        <v>42.86</v>
      </c>
      <c r="X71" s="15">
        <v>8</v>
      </c>
      <c r="Y71" s="6">
        <v>176</v>
      </c>
      <c r="Z71" s="6">
        <v>42.85</v>
      </c>
      <c r="AA71" s="6">
        <v>0</v>
      </c>
      <c r="AB71" s="6">
        <v>33</v>
      </c>
      <c r="AC71" s="6">
        <v>226</v>
      </c>
      <c r="AD71" s="6">
        <v>18</v>
      </c>
      <c r="AE71" s="6">
        <v>16</v>
      </c>
      <c r="AF71" s="6">
        <v>679</v>
      </c>
      <c r="AG71" s="6">
        <v>22</v>
      </c>
      <c r="AH71" s="148">
        <f>(U71-X71)/100</f>
        <v>1.8000000000000006E-2</v>
      </c>
      <c r="AI71" s="9">
        <f t="shared" si="30"/>
        <v>1210.8000000000029</v>
      </c>
      <c r="AJ71" s="13">
        <f t="shared" ref="AJ71:AJ73" si="36">AI71/O71</f>
        <v>2.0521825201777658E-2</v>
      </c>
      <c r="AK71" s="8">
        <v>750</v>
      </c>
      <c r="AL71" s="171">
        <v>787</v>
      </c>
      <c r="AM71" s="6" t="s">
        <v>109</v>
      </c>
      <c r="AN71" s="6" t="s">
        <v>113</v>
      </c>
      <c r="AO71" s="6"/>
      <c r="AP71" s="6"/>
      <c r="AQ71" s="6"/>
      <c r="AR71" s="6"/>
      <c r="AS71" s="6"/>
      <c r="AT71" s="6"/>
    </row>
    <row r="72" spans="1:51" x14ac:dyDescent="0.25">
      <c r="A72" s="132">
        <v>71</v>
      </c>
      <c r="B72" s="92">
        <v>46202</v>
      </c>
      <c r="C72" s="36" t="s">
        <v>20</v>
      </c>
      <c r="D72" s="5" t="s">
        <v>120</v>
      </c>
      <c r="E72" s="5" t="s">
        <v>120</v>
      </c>
      <c r="F72" s="5" t="s">
        <v>120</v>
      </c>
      <c r="G72" s="6"/>
      <c r="H72" s="5" t="s">
        <v>120</v>
      </c>
      <c r="I72" s="6" t="s">
        <v>121</v>
      </c>
      <c r="J72" s="6" t="s">
        <v>121</v>
      </c>
      <c r="K72" s="19">
        <f>61724.2+21537</f>
        <v>83261.2</v>
      </c>
      <c r="L72" s="19">
        <f>284.4+318.2+399.4+220.2+560.4+758.6+72.6</f>
        <v>2613.7999999999997</v>
      </c>
      <c r="M72" s="19">
        <f t="shared" si="33"/>
        <v>80647.399999999994</v>
      </c>
      <c r="N72" s="6">
        <v>1023</v>
      </c>
      <c r="O72" s="19">
        <f t="shared" si="32"/>
        <v>79624.399999999994</v>
      </c>
      <c r="P72" s="19">
        <f>50072.6+33091</f>
        <v>83163.600000000006</v>
      </c>
      <c r="Q72" s="130">
        <v>3134.4</v>
      </c>
      <c r="R72" s="131">
        <f t="shared" si="34"/>
        <v>80029.200000000012</v>
      </c>
      <c r="S72" s="19">
        <v>1081</v>
      </c>
      <c r="T72" s="131">
        <f t="shared" si="35"/>
        <v>78948.200000000012</v>
      </c>
      <c r="U72" s="15">
        <v>9.9</v>
      </c>
      <c r="V72" s="172">
        <v>175</v>
      </c>
      <c r="W72" s="15">
        <v>39.85</v>
      </c>
      <c r="X72" s="15">
        <v>8.8000000000000007</v>
      </c>
      <c r="Y72" s="6">
        <v>180</v>
      </c>
      <c r="Z72" s="6">
        <v>40.380000000000003</v>
      </c>
      <c r="AA72" s="6">
        <v>0</v>
      </c>
      <c r="AB72" s="6">
        <v>45</v>
      </c>
      <c r="AC72" s="6">
        <v>214</v>
      </c>
      <c r="AD72" s="6">
        <v>15</v>
      </c>
      <c r="AE72" s="6">
        <v>15</v>
      </c>
      <c r="AF72" s="6">
        <v>674</v>
      </c>
      <c r="AG72" s="6">
        <v>28</v>
      </c>
      <c r="AH72" s="148">
        <f t="shared" ref="AH72:AH83" si="37">(U72-X72)/100</f>
        <v>1.0999999999999996E-2</v>
      </c>
      <c r="AI72" s="9">
        <f t="shared" si="30"/>
        <v>676.19999999998254</v>
      </c>
      <c r="AJ72" s="13">
        <f t="shared" si="36"/>
        <v>8.4923716850611453E-3</v>
      </c>
      <c r="AK72" s="8">
        <f>Table1[[#This Row],[Issued Bags for Drying]]</f>
        <v>1023</v>
      </c>
      <c r="AL72" s="172">
        <f>Table1[[#This Row],[Received Bags from Drying]]</f>
        <v>1081</v>
      </c>
      <c r="AM72" s="6" t="s">
        <v>109</v>
      </c>
      <c r="AN72" s="6" t="s">
        <v>24</v>
      </c>
      <c r="AO72" s="6"/>
      <c r="AP72" s="6"/>
      <c r="AQ72" s="6"/>
      <c r="AR72" s="6"/>
      <c r="AS72" s="6"/>
      <c r="AT72" s="6"/>
    </row>
    <row r="73" spans="1:51" x14ac:dyDescent="0.25">
      <c r="A73" s="132">
        <v>72</v>
      </c>
      <c r="B73" s="92">
        <v>46204</v>
      </c>
      <c r="C73" s="36" t="s">
        <v>20</v>
      </c>
      <c r="D73" s="5" t="s">
        <v>68</v>
      </c>
      <c r="E73" s="5" t="s">
        <v>68</v>
      </c>
      <c r="F73" s="5" t="s">
        <v>68</v>
      </c>
      <c r="G73" s="5" t="s">
        <v>68</v>
      </c>
      <c r="H73" s="5" t="s">
        <v>68</v>
      </c>
      <c r="I73" s="6" t="s">
        <v>102</v>
      </c>
      <c r="J73" s="6" t="s">
        <v>102</v>
      </c>
      <c r="K73" s="19">
        <v>41652.5</v>
      </c>
      <c r="L73" s="19">
        <v>1318.5</v>
      </c>
      <c r="M73" s="19">
        <f t="shared" si="33"/>
        <v>40334</v>
      </c>
      <c r="N73" s="6">
        <v>540</v>
      </c>
      <c r="O73" s="19">
        <f t="shared" ref="O73" si="38">M73-N73</f>
        <v>39794</v>
      </c>
      <c r="P73" s="19">
        <f>39713.6</f>
        <v>39713.599999999999</v>
      </c>
      <c r="Q73" s="130">
        <f>1554.6</f>
        <v>1554.6</v>
      </c>
      <c r="R73" s="131">
        <f t="shared" si="34"/>
        <v>38159</v>
      </c>
      <c r="S73" s="19">
        <v>535</v>
      </c>
      <c r="T73" s="131">
        <f t="shared" si="35"/>
        <v>37624</v>
      </c>
      <c r="U73" s="15">
        <v>9.6</v>
      </c>
      <c r="V73" s="172">
        <v>178</v>
      </c>
      <c r="W73" s="15">
        <v>42.32</v>
      </c>
      <c r="X73" s="19">
        <v>8.4</v>
      </c>
      <c r="Y73" s="6">
        <v>174</v>
      </c>
      <c r="Z73" s="6">
        <v>42.76</v>
      </c>
      <c r="AA73" s="6">
        <v>0</v>
      </c>
      <c r="AB73" s="6">
        <v>28</v>
      </c>
      <c r="AC73" s="6">
        <v>230</v>
      </c>
      <c r="AD73" s="6">
        <v>12</v>
      </c>
      <c r="AE73" s="6">
        <v>13</v>
      </c>
      <c r="AF73" s="6">
        <v>687</v>
      </c>
      <c r="AG73" s="6">
        <v>20</v>
      </c>
      <c r="AH73" s="148">
        <f t="shared" si="37"/>
        <v>1.1999999999999993E-2</v>
      </c>
      <c r="AI73" s="9">
        <f t="shared" si="30"/>
        <v>2170</v>
      </c>
      <c r="AJ73" s="13">
        <f t="shared" si="36"/>
        <v>5.45308337940393E-2</v>
      </c>
      <c r="AK73" s="8">
        <f>Table1[[#This Row],[Issued Bags for Drying]]</f>
        <v>540</v>
      </c>
      <c r="AL73" s="172">
        <f>Table1[[#This Row],[Received Bags from Drying]]</f>
        <v>535</v>
      </c>
      <c r="AM73" s="6" t="s">
        <v>109</v>
      </c>
      <c r="AN73" s="6" t="s">
        <v>24</v>
      </c>
      <c r="AO73" s="6"/>
      <c r="AP73" s="6"/>
      <c r="AQ73" s="6"/>
      <c r="AR73" s="6"/>
      <c r="AS73" s="6"/>
      <c r="AT73" s="6"/>
    </row>
    <row r="74" spans="1:51" x14ac:dyDescent="0.25">
      <c r="A74" s="137">
        <v>73</v>
      </c>
      <c r="B74" s="92">
        <v>46205</v>
      </c>
      <c r="C74" s="36" t="s">
        <v>20</v>
      </c>
      <c r="D74" s="104" t="s">
        <v>68</v>
      </c>
      <c r="E74" s="104" t="s">
        <v>68</v>
      </c>
      <c r="F74" s="104" t="s">
        <v>68</v>
      </c>
      <c r="G74" s="104" t="s">
        <v>68</v>
      </c>
      <c r="H74" s="104" t="s">
        <v>68</v>
      </c>
      <c r="I74" s="6" t="s">
        <v>102</v>
      </c>
      <c r="J74" s="6" t="s">
        <v>102</v>
      </c>
      <c r="K74" s="107">
        <f>41025.8</f>
        <v>41025.800000000003</v>
      </c>
      <c r="L74" s="107">
        <v>1312</v>
      </c>
      <c r="M74" s="107">
        <f>Table1[[#This Row],[Issued for Drying GW RCN+BAGS+PALLETS]]-Table1[[#This Row],[Pallets WT]]</f>
        <v>39713.800000000003</v>
      </c>
      <c r="N74" s="105">
        <v>511</v>
      </c>
      <c r="O74" s="115">
        <f t="shared" ref="O74:O79" si="39">M74-N74</f>
        <v>39202.800000000003</v>
      </c>
      <c r="P74" s="107">
        <f>40715.6</f>
        <v>40715.599999999999</v>
      </c>
      <c r="Q74" s="130">
        <v>1638.8</v>
      </c>
      <c r="R74" s="112">
        <f t="shared" ref="R74:R79" si="40">P74-Q74</f>
        <v>39076.799999999996</v>
      </c>
      <c r="S74" s="107">
        <v>548</v>
      </c>
      <c r="T74" s="112">
        <f t="shared" ref="T74:T79" si="41">R74-S74</f>
        <v>38528.799999999996</v>
      </c>
      <c r="U74" s="160">
        <v>9.8000000000000007</v>
      </c>
      <c r="V74" s="173">
        <v>178</v>
      </c>
      <c r="W74" s="160">
        <v>42.14</v>
      </c>
      <c r="X74" s="107">
        <v>8.9</v>
      </c>
      <c r="Y74" s="105">
        <v>175</v>
      </c>
      <c r="Z74" s="105">
        <v>42.15</v>
      </c>
      <c r="AA74" s="105">
        <v>0</v>
      </c>
      <c r="AB74" s="105">
        <v>40</v>
      </c>
      <c r="AC74" s="105">
        <v>227</v>
      </c>
      <c r="AD74" s="105">
        <v>9</v>
      </c>
      <c r="AE74" s="105">
        <v>15</v>
      </c>
      <c r="AF74" s="105">
        <v>674</v>
      </c>
      <c r="AG74" s="105">
        <v>21</v>
      </c>
      <c r="AH74" s="148">
        <f t="shared" si="37"/>
        <v>9.0000000000000028E-3</v>
      </c>
      <c r="AI74" s="9">
        <f t="shared" si="30"/>
        <v>674.00000000000728</v>
      </c>
      <c r="AJ74" s="158">
        <f>AI74/O74</f>
        <v>1.7192649504627403E-2</v>
      </c>
      <c r="AK74" s="8">
        <f>Table1[[#This Row],[Issued Bags for Drying]]</f>
        <v>511</v>
      </c>
      <c r="AL74" s="172">
        <f>Table1[[#This Row],[Received Bags from Drying]]</f>
        <v>548</v>
      </c>
      <c r="AM74" s="6" t="s">
        <v>109</v>
      </c>
      <c r="AN74" s="105" t="s">
        <v>24</v>
      </c>
      <c r="AO74" s="105"/>
      <c r="AP74" s="105"/>
      <c r="AQ74" s="105"/>
      <c r="AR74" s="105"/>
      <c r="AS74" s="105"/>
      <c r="AT74" s="105"/>
    </row>
    <row r="75" spans="1:51" x14ac:dyDescent="0.25">
      <c r="A75" s="137">
        <v>74</v>
      </c>
      <c r="B75" s="92">
        <v>46206</v>
      </c>
      <c r="C75" s="36" t="s">
        <v>20</v>
      </c>
      <c r="D75" s="104" t="s">
        <v>68</v>
      </c>
      <c r="E75" s="104" t="s">
        <v>68</v>
      </c>
      <c r="F75" s="104" t="s">
        <v>68</v>
      </c>
      <c r="G75" s="104" t="s">
        <v>68</v>
      </c>
      <c r="H75" s="104" t="s">
        <v>68</v>
      </c>
      <c r="I75" s="6" t="s">
        <v>102</v>
      </c>
      <c r="J75" s="6" t="s">
        <v>102</v>
      </c>
      <c r="K75" s="107">
        <f>76577.8</f>
        <v>76577.8</v>
      </c>
      <c r="L75" s="107">
        <f>2431.6</f>
        <v>2431.6</v>
      </c>
      <c r="M75" s="107">
        <f>Table1[[#This Row],[Issued for Drying GW RCN+BAGS+PALLETS]]-Table1[[#This Row],[Pallets WT]]</f>
        <v>74146.2</v>
      </c>
      <c r="N75" s="162">
        <f>992</f>
        <v>992</v>
      </c>
      <c r="O75" s="115">
        <f t="shared" si="39"/>
        <v>73154.2</v>
      </c>
      <c r="P75" s="107">
        <v>75172.2</v>
      </c>
      <c r="Q75" s="130">
        <v>3054.2</v>
      </c>
      <c r="R75" s="112">
        <f t="shared" si="40"/>
        <v>72118</v>
      </c>
      <c r="S75" s="107">
        <v>998</v>
      </c>
      <c r="T75" s="112">
        <f t="shared" si="41"/>
        <v>71120</v>
      </c>
      <c r="U75" s="160">
        <v>10.3</v>
      </c>
      <c r="V75" s="173">
        <v>169</v>
      </c>
      <c r="W75" s="160">
        <v>42.15</v>
      </c>
      <c r="X75" s="160">
        <v>8.6</v>
      </c>
      <c r="Y75" s="105">
        <v>170</v>
      </c>
      <c r="Z75" s="105">
        <v>43.12</v>
      </c>
      <c r="AA75" s="105">
        <v>2</v>
      </c>
      <c r="AB75" s="105">
        <v>30</v>
      </c>
      <c r="AC75" s="105">
        <v>230</v>
      </c>
      <c r="AD75" s="105">
        <v>15</v>
      </c>
      <c r="AE75" s="105">
        <v>14</v>
      </c>
      <c r="AF75" s="105">
        <v>672</v>
      </c>
      <c r="AG75" s="105">
        <v>27</v>
      </c>
      <c r="AH75" s="148">
        <f t="shared" si="37"/>
        <v>1.7000000000000012E-2</v>
      </c>
      <c r="AI75" s="9">
        <f t="shared" si="30"/>
        <v>2034.1999999999971</v>
      </c>
      <c r="AJ75" s="158">
        <f>AI75/O75</f>
        <v>2.7807015865117753E-2</v>
      </c>
      <c r="AK75" s="8">
        <f>Table1[[#This Row],[Issued Bags for Drying]]</f>
        <v>992</v>
      </c>
      <c r="AL75" s="172">
        <f>Table1[[#This Row],[Received Bags from Drying]]</f>
        <v>998</v>
      </c>
      <c r="AM75" s="6" t="s">
        <v>109</v>
      </c>
      <c r="AN75" s="105" t="s">
        <v>24</v>
      </c>
      <c r="AO75" s="105"/>
      <c r="AP75" s="105"/>
      <c r="AQ75" s="105"/>
      <c r="AR75" s="105"/>
      <c r="AS75" s="105"/>
      <c r="AT75" s="105"/>
    </row>
    <row r="76" spans="1:51" x14ac:dyDescent="0.25">
      <c r="A76" s="137">
        <v>75</v>
      </c>
      <c r="B76" s="92">
        <v>46208</v>
      </c>
      <c r="C76" s="36" t="s">
        <v>20</v>
      </c>
      <c r="D76" s="104" t="s">
        <v>68</v>
      </c>
      <c r="E76" s="104" t="s">
        <v>68</v>
      </c>
      <c r="F76" s="104" t="s">
        <v>68</v>
      </c>
      <c r="G76" s="104" t="s">
        <v>68</v>
      </c>
      <c r="H76" s="104" t="s">
        <v>68</v>
      </c>
      <c r="I76" s="6" t="s">
        <v>102</v>
      </c>
      <c r="J76" s="6" t="s">
        <v>102</v>
      </c>
      <c r="K76" s="107">
        <f>46047.8</f>
        <v>46047.8</v>
      </c>
      <c r="L76" s="107">
        <v>1416.8</v>
      </c>
      <c r="M76" s="107">
        <f>Table1[[#This Row],[Issued for Drying GW RCN+BAGS+PALLETS]]-Table1[[#This Row],[Pallets WT]]</f>
        <v>44631</v>
      </c>
      <c r="N76" s="162">
        <v>600</v>
      </c>
      <c r="O76" s="107">
        <f t="shared" si="39"/>
        <v>44031</v>
      </c>
      <c r="P76" s="107">
        <f>45871.2</f>
        <v>45871.199999999997</v>
      </c>
      <c r="Q76" s="163">
        <v>1866</v>
      </c>
      <c r="R76" s="112">
        <f t="shared" si="40"/>
        <v>44005.2</v>
      </c>
      <c r="S76" s="107">
        <f>622</f>
        <v>622</v>
      </c>
      <c r="T76" s="112">
        <f t="shared" si="41"/>
        <v>43383.199999999997</v>
      </c>
      <c r="U76" s="160">
        <v>10.1</v>
      </c>
      <c r="V76" s="173">
        <v>173</v>
      </c>
      <c r="W76" s="160">
        <v>41.98</v>
      </c>
      <c r="X76" s="160">
        <v>8.6999999999999993</v>
      </c>
      <c r="Y76" s="105">
        <v>175</v>
      </c>
      <c r="Z76" s="105">
        <v>42.85</v>
      </c>
      <c r="AA76" s="105">
        <v>2</v>
      </c>
      <c r="AB76" s="105">
        <v>28</v>
      </c>
      <c r="AC76" s="105">
        <v>228</v>
      </c>
      <c r="AD76" s="105">
        <v>12</v>
      </c>
      <c r="AE76" s="105">
        <v>18</v>
      </c>
      <c r="AF76" s="105">
        <v>688</v>
      </c>
      <c r="AG76" s="105">
        <v>20</v>
      </c>
      <c r="AH76" s="148">
        <f t="shared" si="37"/>
        <v>1.4000000000000004E-2</v>
      </c>
      <c r="AI76" s="9">
        <f t="shared" ref="AI76" si="42">O76-T76</f>
        <v>647.80000000000291</v>
      </c>
      <c r="AJ76" s="158">
        <f t="shared" ref="AJ76" si="43">AI76/O76</f>
        <v>1.4712361745134177E-2</v>
      </c>
      <c r="AK76" s="8">
        <f>Table1[[#This Row],[Issued Bags for Drying]]</f>
        <v>600</v>
      </c>
      <c r="AL76" s="172">
        <f>Table1[[#This Row],[Received Bags from Drying]]</f>
        <v>622</v>
      </c>
      <c r="AM76" s="6" t="s">
        <v>109</v>
      </c>
      <c r="AN76" s="105" t="s">
        <v>24</v>
      </c>
      <c r="AO76" s="105"/>
      <c r="AP76" s="105"/>
      <c r="AQ76" s="105"/>
      <c r="AR76" s="105"/>
      <c r="AS76" s="105"/>
      <c r="AT76" s="105"/>
    </row>
    <row r="77" spans="1:51" x14ac:dyDescent="0.25">
      <c r="A77" s="137">
        <v>76</v>
      </c>
      <c r="B77" s="92">
        <v>46209</v>
      </c>
      <c r="C77" s="36" t="s">
        <v>20</v>
      </c>
      <c r="D77" s="104" t="s">
        <v>68</v>
      </c>
      <c r="E77" s="104" t="s">
        <v>68</v>
      </c>
      <c r="F77" s="104" t="s">
        <v>68</v>
      </c>
      <c r="G77" s="104" t="s">
        <v>68</v>
      </c>
      <c r="H77" s="104" t="s">
        <v>68</v>
      </c>
      <c r="I77" s="6" t="s">
        <v>102</v>
      </c>
      <c r="J77" s="6" t="s">
        <v>102</v>
      </c>
      <c r="K77" s="107">
        <f>49738.3</f>
        <v>49738.3</v>
      </c>
      <c r="L77" s="107">
        <f>1113.2+433.8</f>
        <v>1547</v>
      </c>
      <c r="M77" s="107">
        <f>Table1[[#This Row],[Issued for Drying GW RCN+BAGS+PALLETS]]-Table1[[#This Row],[Pallets WT]]</f>
        <v>48191.3</v>
      </c>
      <c r="N77" s="105">
        <f>631</f>
        <v>631</v>
      </c>
      <c r="O77" s="115">
        <f t="shared" si="39"/>
        <v>47560.3</v>
      </c>
      <c r="P77" s="107">
        <f>49625</f>
        <v>49625</v>
      </c>
      <c r="Q77" s="130">
        <v>2284</v>
      </c>
      <c r="R77" s="112">
        <f t="shared" si="40"/>
        <v>47341</v>
      </c>
      <c r="S77" s="107">
        <f>520+150</f>
        <v>670</v>
      </c>
      <c r="T77" s="112">
        <f t="shared" si="41"/>
        <v>46671</v>
      </c>
      <c r="U77" s="160">
        <v>10.3</v>
      </c>
      <c r="V77" s="173">
        <v>170</v>
      </c>
      <c r="W77" s="160">
        <v>42.24</v>
      </c>
      <c r="X77" s="160">
        <v>8.9</v>
      </c>
      <c r="Y77" s="105">
        <v>172</v>
      </c>
      <c r="Z77" s="105">
        <v>42.68</v>
      </c>
      <c r="AA77" s="105">
        <v>0</v>
      </c>
      <c r="AB77" s="105">
        <v>31</v>
      </c>
      <c r="AC77" s="105">
        <v>231</v>
      </c>
      <c r="AD77" s="105">
        <v>8</v>
      </c>
      <c r="AE77" s="105">
        <v>14</v>
      </c>
      <c r="AF77" s="105">
        <v>684</v>
      </c>
      <c r="AG77" s="105">
        <v>19</v>
      </c>
      <c r="AH77" s="148">
        <f t="shared" si="37"/>
        <v>1.4000000000000004E-2</v>
      </c>
      <c r="AI77" s="9">
        <f t="shared" ref="AI77" si="44">O77-T77</f>
        <v>889.30000000000291</v>
      </c>
      <c r="AJ77" s="158">
        <f t="shared" ref="AJ77" si="45">AI77/O77</f>
        <v>1.8698368176819802E-2</v>
      </c>
      <c r="AK77" s="8">
        <f>Table1[[#This Row],[Issued Bags for Drying]]</f>
        <v>631</v>
      </c>
      <c r="AL77" s="172">
        <f>Table1[[#This Row],[Received Bags from Drying]]</f>
        <v>670</v>
      </c>
      <c r="AM77" s="6" t="s">
        <v>109</v>
      </c>
      <c r="AN77" s="105" t="s">
        <v>24</v>
      </c>
      <c r="AO77" s="105"/>
      <c r="AP77" s="105"/>
      <c r="AQ77" s="105"/>
      <c r="AR77" s="105"/>
      <c r="AS77" s="105"/>
      <c r="AT77" s="105"/>
    </row>
    <row r="78" spans="1:51" x14ac:dyDescent="0.25">
      <c r="A78" s="137">
        <v>77</v>
      </c>
      <c r="B78" s="92">
        <v>46210</v>
      </c>
      <c r="C78" s="6" t="s">
        <v>20</v>
      </c>
      <c r="D78" s="104" t="s">
        <v>68</v>
      </c>
      <c r="E78" s="104" t="s">
        <v>68</v>
      </c>
      <c r="F78" s="104" t="s">
        <v>68</v>
      </c>
      <c r="G78" s="104" t="s">
        <v>68</v>
      </c>
      <c r="H78" s="104" t="s">
        <v>68</v>
      </c>
      <c r="I78" s="6" t="s">
        <v>102</v>
      </c>
      <c r="J78" s="6" t="s">
        <v>102</v>
      </c>
      <c r="K78" s="107">
        <f>62409.8</f>
        <v>62409.8</v>
      </c>
      <c r="L78" s="107">
        <v>2276.6</v>
      </c>
      <c r="M78" s="107">
        <f>Table1[[#This Row],[Issued for Drying GW RCN+BAGS+PALLETS]]-Table1[[#This Row],[Pallets WT]]</f>
        <v>60133.200000000004</v>
      </c>
      <c r="N78" s="105">
        <v>906</v>
      </c>
      <c r="O78" s="115">
        <f t="shared" si="39"/>
        <v>59227.200000000004</v>
      </c>
      <c r="P78" s="107">
        <f>62293.8</f>
        <v>62293.8</v>
      </c>
      <c r="Q78" s="163">
        <v>2482.4</v>
      </c>
      <c r="R78" s="112">
        <f t="shared" si="40"/>
        <v>59811.4</v>
      </c>
      <c r="S78" s="107">
        <v>841</v>
      </c>
      <c r="T78" s="112">
        <f t="shared" si="41"/>
        <v>58970.400000000001</v>
      </c>
      <c r="U78" s="160">
        <v>10.3</v>
      </c>
      <c r="V78" s="173">
        <v>178</v>
      </c>
      <c r="W78" s="160">
        <v>43.12</v>
      </c>
      <c r="X78" s="160">
        <v>8.8000000000000007</v>
      </c>
      <c r="Y78" s="105">
        <v>176</v>
      </c>
      <c r="Z78" s="105">
        <v>43.29</v>
      </c>
      <c r="AA78" s="105">
        <v>0</v>
      </c>
      <c r="AB78" s="105">
        <v>32</v>
      </c>
      <c r="AC78" s="105">
        <v>232</v>
      </c>
      <c r="AD78" s="105">
        <v>13</v>
      </c>
      <c r="AE78" s="105">
        <v>14</v>
      </c>
      <c r="AF78" s="105">
        <v>671</v>
      </c>
      <c r="AG78" s="105">
        <v>28</v>
      </c>
      <c r="AH78" s="148">
        <f t="shared" si="37"/>
        <v>1.4999999999999999E-2</v>
      </c>
      <c r="AI78" s="9">
        <f t="shared" ref="AI78:AI79" si="46">O78-T78</f>
        <v>256.80000000000291</v>
      </c>
      <c r="AJ78" s="158">
        <f t="shared" ref="AJ78" si="47">AI78/O78</f>
        <v>4.3358456925197018E-3</v>
      </c>
      <c r="AK78" s="8">
        <f>Table1[[#This Row],[Issued Bags for Drying]]</f>
        <v>906</v>
      </c>
      <c r="AL78" s="172">
        <f>Table1[[#This Row],[Received Bags from Drying]]</f>
        <v>841</v>
      </c>
      <c r="AM78" s="6" t="s">
        <v>109</v>
      </c>
      <c r="AN78" s="105" t="s">
        <v>24</v>
      </c>
      <c r="AO78" s="105"/>
      <c r="AP78" s="105"/>
      <c r="AQ78" s="105"/>
      <c r="AR78" s="105"/>
      <c r="AS78" s="105"/>
      <c r="AT78" s="105"/>
    </row>
    <row r="79" spans="1:51" x14ac:dyDescent="0.25">
      <c r="A79" s="137">
        <v>78</v>
      </c>
      <c r="B79" s="92">
        <v>46211</v>
      </c>
      <c r="C79" s="6" t="s">
        <v>20</v>
      </c>
      <c r="D79" s="104" t="s">
        <v>68</v>
      </c>
      <c r="E79" s="104" t="s">
        <v>68</v>
      </c>
      <c r="F79" s="104" t="s">
        <v>68</v>
      </c>
      <c r="G79" s="104" t="s">
        <v>68</v>
      </c>
      <c r="H79" s="104" t="s">
        <v>68</v>
      </c>
      <c r="I79" s="6" t="s">
        <v>102</v>
      </c>
      <c r="J79" s="6" t="s">
        <v>102</v>
      </c>
      <c r="K79" s="107">
        <f>57793.6</f>
        <v>57793.599999999999</v>
      </c>
      <c r="L79" s="107">
        <f>742+1051</f>
        <v>1793</v>
      </c>
      <c r="M79" s="107">
        <f>Table1[[#This Row],[Issued for Drying GW RCN+BAGS+PALLETS]]-Table1[[#This Row],[Pallets WT]]</f>
        <v>56000.6</v>
      </c>
      <c r="N79" s="105">
        <f>732</f>
        <v>732</v>
      </c>
      <c r="O79" s="115">
        <f t="shared" si="39"/>
        <v>55268.6</v>
      </c>
      <c r="P79" s="107">
        <f>57877</f>
        <v>57877</v>
      </c>
      <c r="Q79" s="163">
        <f>2380.8</f>
        <v>2380.8000000000002</v>
      </c>
      <c r="R79" s="112">
        <f t="shared" si="40"/>
        <v>55496.2</v>
      </c>
      <c r="S79" s="107">
        <v>775</v>
      </c>
      <c r="T79" s="112">
        <f t="shared" si="41"/>
        <v>54721.2</v>
      </c>
      <c r="U79" s="160">
        <v>10.4</v>
      </c>
      <c r="V79" s="173">
        <v>176</v>
      </c>
      <c r="W79" s="160">
        <v>42.32</v>
      </c>
      <c r="X79" s="160">
        <v>8.9</v>
      </c>
      <c r="Y79" s="105">
        <v>174</v>
      </c>
      <c r="Z79" s="105">
        <v>42.95</v>
      </c>
      <c r="AA79" s="105">
        <v>0</v>
      </c>
      <c r="AB79" s="105">
        <v>30</v>
      </c>
      <c r="AC79" s="105">
        <v>232</v>
      </c>
      <c r="AD79" s="105">
        <v>11</v>
      </c>
      <c r="AE79" s="105">
        <v>12</v>
      </c>
      <c r="AF79" s="105">
        <v>689</v>
      </c>
      <c r="AG79" s="105">
        <v>17</v>
      </c>
      <c r="AH79" s="148">
        <f t="shared" si="37"/>
        <v>1.4999999999999999E-2</v>
      </c>
      <c r="AI79" s="9">
        <f t="shared" si="46"/>
        <v>547.40000000000146</v>
      </c>
      <c r="AJ79" s="158">
        <f>AI79/O79</f>
        <v>9.9043579898894039E-3</v>
      </c>
      <c r="AK79" s="8">
        <f>Table1[[#This Row],[Issued Bags for Drying]]</f>
        <v>732</v>
      </c>
      <c r="AL79" s="172">
        <f>Table1[[#This Row],[Received Bags from Drying]]</f>
        <v>775</v>
      </c>
      <c r="AM79" s="6" t="s">
        <v>109</v>
      </c>
      <c r="AN79" s="105" t="s">
        <v>24</v>
      </c>
      <c r="AO79" s="105"/>
      <c r="AP79" s="105"/>
      <c r="AQ79" s="105"/>
      <c r="AR79" s="105"/>
      <c r="AS79" s="105"/>
      <c r="AT79" s="105"/>
    </row>
    <row r="80" spans="1:51" x14ac:dyDescent="0.25">
      <c r="A80" s="137">
        <v>79</v>
      </c>
      <c r="B80" s="92">
        <v>46213</v>
      </c>
      <c r="C80" s="6" t="s">
        <v>20</v>
      </c>
      <c r="D80" s="104" t="s">
        <v>68</v>
      </c>
      <c r="E80" s="104" t="s">
        <v>68</v>
      </c>
      <c r="F80" s="104" t="s">
        <v>68</v>
      </c>
      <c r="G80" s="104" t="s">
        <v>68</v>
      </c>
      <c r="H80" s="104" t="s">
        <v>68</v>
      </c>
      <c r="I80" s="6" t="s">
        <v>102</v>
      </c>
      <c r="J80" s="6" t="s">
        <v>102</v>
      </c>
      <c r="K80" s="107">
        <f>69724</f>
        <v>69724</v>
      </c>
      <c r="L80" s="107">
        <v>2259.8000000000002</v>
      </c>
      <c r="M80" s="107">
        <f>Table1[[#This Row],[Issued for Drying GW RCN+BAGS+PALLETS]]-Table1[[#This Row],[Pallets WT]]</f>
        <v>67464.2</v>
      </c>
      <c r="N80" s="105">
        <v>901</v>
      </c>
      <c r="O80" s="115">
        <f>M80-N80</f>
        <v>66563.199999999997</v>
      </c>
      <c r="P80" s="160">
        <v>69586</v>
      </c>
      <c r="Q80" s="161">
        <v>2817.5</v>
      </c>
      <c r="R80" s="112">
        <f>P80-Q80</f>
        <v>66768.5</v>
      </c>
      <c r="S80" s="160">
        <v>940</v>
      </c>
      <c r="T80" s="112">
        <f>R80-S80</f>
        <v>65828.5</v>
      </c>
      <c r="U80" s="160">
        <v>10.4</v>
      </c>
      <c r="V80" s="173">
        <v>167</v>
      </c>
      <c r="W80" s="160">
        <v>42.15</v>
      </c>
      <c r="X80" s="160">
        <v>9</v>
      </c>
      <c r="Y80" s="105">
        <v>170</v>
      </c>
      <c r="Z80" s="105">
        <v>42.5</v>
      </c>
      <c r="AA80" s="105">
        <v>3</v>
      </c>
      <c r="AB80" s="105">
        <v>31</v>
      </c>
      <c r="AC80" s="105">
        <v>230</v>
      </c>
      <c r="AD80" s="105">
        <v>10</v>
      </c>
      <c r="AE80" s="105">
        <v>14</v>
      </c>
      <c r="AF80" s="105">
        <v>689</v>
      </c>
      <c r="AG80" s="105">
        <v>18</v>
      </c>
      <c r="AH80" s="148">
        <f t="shared" si="37"/>
        <v>1.4000000000000004E-2</v>
      </c>
      <c r="AI80" s="9">
        <f t="shared" ref="AI80" si="48">O80-T80</f>
        <v>734.69999999999709</v>
      </c>
      <c r="AJ80" s="158">
        <f t="shared" ref="AJ80" si="49">AI80/O80</f>
        <v>1.1037630402384457E-2</v>
      </c>
      <c r="AK80" s="8">
        <f>Table1[[#This Row],[Issued Bags for Drying]]</f>
        <v>901</v>
      </c>
      <c r="AL80" s="172">
        <f>Table1[[#This Row],[Received Bags from Drying]]</f>
        <v>940</v>
      </c>
      <c r="AM80" s="6" t="s">
        <v>109</v>
      </c>
      <c r="AN80" s="105" t="s">
        <v>24</v>
      </c>
      <c r="AO80" s="105"/>
      <c r="AP80" s="105"/>
      <c r="AQ80" s="105"/>
      <c r="AR80" s="105"/>
      <c r="AS80" s="105"/>
      <c r="AT80" s="105"/>
    </row>
    <row r="81" spans="1:46" x14ac:dyDescent="0.25">
      <c r="A81" s="137">
        <v>80</v>
      </c>
      <c r="B81" s="92">
        <v>46214</v>
      </c>
      <c r="C81" s="6" t="s">
        <v>20</v>
      </c>
      <c r="D81" s="104" t="s">
        <v>68</v>
      </c>
      <c r="E81" s="104" t="s">
        <v>68</v>
      </c>
      <c r="F81" s="104" t="s">
        <v>68</v>
      </c>
      <c r="G81" s="104" t="s">
        <v>68</v>
      </c>
      <c r="H81" s="104" t="s">
        <v>68</v>
      </c>
      <c r="I81" s="6" t="s">
        <v>102</v>
      </c>
      <c r="J81" s="6" t="s">
        <v>102</v>
      </c>
      <c r="K81" s="107">
        <v>49397.599999999999</v>
      </c>
      <c r="L81" s="107">
        <v>1409.4</v>
      </c>
      <c r="M81" s="107">
        <f>Table1[[#This Row],[Issued for Drying GW RCN+BAGS+PALLETS]]-Table1[[#This Row],[Pallets WT]]</f>
        <v>47988.2</v>
      </c>
      <c r="N81" s="105">
        <v>630</v>
      </c>
      <c r="O81" s="115">
        <f>M81-N81</f>
        <v>47358.2</v>
      </c>
      <c r="P81" s="160">
        <v>49287</v>
      </c>
      <c r="Q81" s="161">
        <v>2084.1999999999998</v>
      </c>
      <c r="R81" s="112">
        <f>P81-Q81</f>
        <v>47202.8</v>
      </c>
      <c r="S81" s="167">
        <v>665</v>
      </c>
      <c r="T81" s="112">
        <f>R81-S81</f>
        <v>46537.8</v>
      </c>
      <c r="U81" s="160">
        <v>10</v>
      </c>
      <c r="V81" s="173">
        <v>174</v>
      </c>
      <c r="W81" s="160">
        <v>42.32</v>
      </c>
      <c r="X81" s="160">
        <v>8.4</v>
      </c>
      <c r="Y81" s="105">
        <v>172</v>
      </c>
      <c r="Z81" s="105">
        <v>42.68</v>
      </c>
      <c r="AA81" s="105">
        <v>3</v>
      </c>
      <c r="AB81" s="105">
        <v>33</v>
      </c>
      <c r="AC81" s="105">
        <v>231</v>
      </c>
      <c r="AD81" s="105">
        <v>10</v>
      </c>
      <c r="AE81" s="105">
        <v>12</v>
      </c>
      <c r="AF81" s="105">
        <v>685</v>
      </c>
      <c r="AG81" s="105">
        <v>21</v>
      </c>
      <c r="AH81" s="148">
        <f t="shared" si="37"/>
        <v>1.5999999999999997E-2</v>
      </c>
      <c r="AI81" s="9">
        <f t="shared" ref="AI81" si="50">O81-T81</f>
        <v>820.39999999999418</v>
      </c>
      <c r="AJ81" s="158">
        <f t="shared" ref="AJ81" si="51">AI81/O81</f>
        <v>1.7323293537338712E-2</v>
      </c>
      <c r="AK81" s="8">
        <f>Table1[[#This Row],[Issued Bags for Drying]]</f>
        <v>630</v>
      </c>
      <c r="AL81" s="172">
        <f>Table1[[#This Row],[Received Bags from Drying]]</f>
        <v>665</v>
      </c>
      <c r="AM81" s="6" t="s">
        <v>109</v>
      </c>
      <c r="AN81" s="105" t="s">
        <v>24</v>
      </c>
      <c r="AO81" s="105"/>
      <c r="AP81" s="105"/>
      <c r="AQ81" s="105"/>
      <c r="AR81" s="105"/>
      <c r="AS81" s="105"/>
      <c r="AT81" s="105"/>
    </row>
    <row r="82" spans="1:46" x14ac:dyDescent="0.25">
      <c r="A82" s="137">
        <v>81</v>
      </c>
      <c r="B82" s="92">
        <v>46215</v>
      </c>
      <c r="C82" s="6" t="s">
        <v>20</v>
      </c>
      <c r="D82" s="104" t="s">
        <v>68</v>
      </c>
      <c r="E82" s="104" t="s">
        <v>68</v>
      </c>
      <c r="F82" s="104" t="s">
        <v>68</v>
      </c>
      <c r="G82" s="104" t="s">
        <v>68</v>
      </c>
      <c r="H82" s="104" t="s">
        <v>68</v>
      </c>
      <c r="I82" s="6" t="s">
        <v>102</v>
      </c>
      <c r="J82" s="6" t="s">
        <v>102</v>
      </c>
      <c r="K82" s="107">
        <v>58566.400000000001</v>
      </c>
      <c r="L82" s="107">
        <v>1724.9</v>
      </c>
      <c r="M82" s="107">
        <f>Table1[[#This Row],[Issued for Drying GW RCN+BAGS+PALLETS]]-Table1[[#This Row],[Pallets WT]]</f>
        <v>56841.5</v>
      </c>
      <c r="N82" s="105">
        <v>750</v>
      </c>
      <c r="O82" s="115">
        <f>M82-N82</f>
        <v>56091.5</v>
      </c>
      <c r="P82" s="160">
        <v>58905.4</v>
      </c>
      <c r="Q82" s="30">
        <v>2398.8000000000002</v>
      </c>
      <c r="R82" s="112">
        <f>P82-Q82</f>
        <v>56506.6</v>
      </c>
      <c r="S82" s="160">
        <v>802</v>
      </c>
      <c r="T82" s="112">
        <f>R82-S82</f>
        <v>55704.6</v>
      </c>
      <c r="U82" s="160">
        <v>10</v>
      </c>
      <c r="V82" s="173">
        <v>179</v>
      </c>
      <c r="W82" s="160">
        <v>42.85</v>
      </c>
      <c r="X82" s="160">
        <v>8.4</v>
      </c>
      <c r="Y82" s="105">
        <v>182</v>
      </c>
      <c r="Z82" s="105">
        <v>41.62</v>
      </c>
      <c r="AA82" s="105">
        <v>0</v>
      </c>
      <c r="AB82" s="105">
        <v>51</v>
      </c>
      <c r="AC82" s="105">
        <v>225</v>
      </c>
      <c r="AD82" s="105">
        <v>12</v>
      </c>
      <c r="AE82" s="105">
        <v>10</v>
      </c>
      <c r="AF82" s="105">
        <v>675</v>
      </c>
      <c r="AG82" s="105">
        <v>21</v>
      </c>
      <c r="AH82" s="148">
        <f t="shared" si="37"/>
        <v>1.5999999999999997E-2</v>
      </c>
      <c r="AI82" s="9">
        <f t="shared" ref="AI82" si="52">O82-T82</f>
        <v>386.90000000000146</v>
      </c>
      <c r="AJ82" s="158">
        <f t="shared" ref="AJ82" si="53">AI82/O82</f>
        <v>6.8976582904718446E-3</v>
      </c>
      <c r="AK82" s="8">
        <f>Table1[[#This Row],[Issued Bags for Drying]]</f>
        <v>750</v>
      </c>
      <c r="AL82" s="172">
        <f>Table1[[#This Row],[Received Bags from Drying]]</f>
        <v>802</v>
      </c>
      <c r="AM82" s="6" t="s">
        <v>109</v>
      </c>
      <c r="AN82" s="105" t="s">
        <v>24</v>
      </c>
      <c r="AO82" s="105"/>
      <c r="AP82" s="105"/>
      <c r="AQ82" s="105"/>
      <c r="AR82" s="105"/>
      <c r="AS82" s="105"/>
      <c r="AT82" s="105"/>
    </row>
    <row r="83" spans="1:46" x14ac:dyDescent="0.25">
      <c r="A83" s="137">
        <v>82</v>
      </c>
      <c r="B83" s="92">
        <v>46216</v>
      </c>
      <c r="C83" s="6" t="s">
        <v>20</v>
      </c>
      <c r="D83" s="104" t="s">
        <v>68</v>
      </c>
      <c r="E83" s="104" t="s">
        <v>68</v>
      </c>
      <c r="F83" s="104" t="s">
        <v>68</v>
      </c>
      <c r="G83" s="104" t="s">
        <v>68</v>
      </c>
      <c r="H83" s="104" t="s">
        <v>68</v>
      </c>
      <c r="I83" s="6" t="s">
        <v>102</v>
      </c>
      <c r="J83" s="6" t="s">
        <v>102</v>
      </c>
      <c r="K83" s="107">
        <f>72199.3</f>
        <v>72199.3</v>
      </c>
      <c r="L83" s="107">
        <v>2234.8000000000002</v>
      </c>
      <c r="M83" s="107">
        <f>Table1[[#This Row],[Issued for Drying GW RCN+BAGS+PALLETS]]-Table1[[#This Row],[Pallets WT]]</f>
        <v>69964.5</v>
      </c>
      <c r="N83" s="105">
        <v>903</v>
      </c>
      <c r="O83" s="115">
        <f>M83-N83</f>
        <v>69061.5</v>
      </c>
      <c r="P83" s="107">
        <v>72206.8</v>
      </c>
      <c r="Q83" s="130">
        <v>2759.4</v>
      </c>
      <c r="R83" s="112">
        <f>P83-Q83</f>
        <v>69447.400000000009</v>
      </c>
      <c r="S83" s="107">
        <v>946</v>
      </c>
      <c r="T83" s="112">
        <f>R83-S83</f>
        <v>68501.400000000009</v>
      </c>
      <c r="U83" s="107">
        <v>10</v>
      </c>
      <c r="V83" s="174">
        <v>178</v>
      </c>
      <c r="W83" s="107">
        <v>43.03</v>
      </c>
      <c r="X83" s="107">
        <v>8.6999999999999993</v>
      </c>
      <c r="Y83" s="105">
        <v>181</v>
      </c>
      <c r="Z83" s="105">
        <v>42.5</v>
      </c>
      <c r="AA83" s="105">
        <v>2</v>
      </c>
      <c r="AB83" s="105">
        <v>42</v>
      </c>
      <c r="AC83" s="105">
        <v>228</v>
      </c>
      <c r="AD83" s="105">
        <v>12</v>
      </c>
      <c r="AE83" s="105">
        <v>14</v>
      </c>
      <c r="AF83" s="105">
        <v>677</v>
      </c>
      <c r="AG83" s="105">
        <v>21</v>
      </c>
      <c r="AH83" s="148">
        <f t="shared" si="37"/>
        <v>1.3000000000000006E-2</v>
      </c>
      <c r="AI83" s="9">
        <f t="shared" ref="AI83" si="54">O83-T83</f>
        <v>560.09999999999127</v>
      </c>
      <c r="AJ83" s="158">
        <f t="shared" ref="AJ83" si="55">AI83/O83</f>
        <v>8.1101626810884692E-3</v>
      </c>
      <c r="AK83" s="8">
        <f>Table1[[#This Row],[Issued Bags for Drying]]</f>
        <v>903</v>
      </c>
      <c r="AL83" s="172">
        <f>Table1[[#This Row],[Received Bags from Drying]]</f>
        <v>946</v>
      </c>
      <c r="AM83" s="6" t="s">
        <v>109</v>
      </c>
      <c r="AN83" s="105" t="s">
        <v>24</v>
      </c>
      <c r="AO83" s="105"/>
      <c r="AP83" s="105"/>
      <c r="AQ83" s="105"/>
      <c r="AR83" s="105"/>
      <c r="AS83" s="105"/>
      <c r="AT83" s="105"/>
    </row>
    <row r="84" spans="1:46" x14ac:dyDescent="0.3">
      <c r="U84" s="108"/>
    </row>
    <row r="85" spans="1:46" x14ac:dyDescent="0.3">
      <c r="U85" s="108"/>
    </row>
    <row r="87" spans="1:46" x14ac:dyDescent="0.3">
      <c r="V87" s="149"/>
    </row>
    <row r="88" spans="1:46" x14ac:dyDescent="0.3">
      <c r="V88" s="149"/>
    </row>
    <row r="89" spans="1:46" x14ac:dyDescent="0.3">
      <c r="V89" s="149"/>
    </row>
  </sheetData>
  <conditionalFormatting sqref="D6">
    <cfRule type="duplicateValues" dxfId="4" priority="1"/>
    <cfRule type="duplicateValues" dxfId="3" priority="2"/>
    <cfRule type="duplicateValues" dxfId="2" priority="3"/>
  </conditionalFormatting>
  <conditionalFormatting sqref="H56">
    <cfRule type="duplicateValues" dxfId="1" priority="4"/>
  </conditionalFormatting>
  <pageMargins left="0.7" right="0.7" top="0.75" bottom="0.75" header="0.3" footer="0.3"/>
  <pageSetup paperSize="9" orientation="portrait" r:id="rId2"/>
  <ignoredErrors>
    <ignoredError sqref="S76:S77" formula="1"/>
  </ignoredError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606E-5402-40EA-B654-DC330FBC7B9D}">
  <dimension ref="A1:O76"/>
  <sheetViews>
    <sheetView topLeftCell="D1" zoomScale="140" zoomScaleNormal="140" workbookViewId="0">
      <pane ySplit="2" topLeftCell="A69" activePane="bottomLeft" state="frozen"/>
      <selection activeCell="E1" sqref="E1"/>
      <selection pane="bottomLeft" activeCell="C77" sqref="C77"/>
    </sheetView>
  </sheetViews>
  <sheetFormatPr defaultColWidth="8.88671875" defaultRowHeight="12" x14ac:dyDescent="0.25"/>
  <cols>
    <col min="1" max="1" width="8.88671875" style="28"/>
    <col min="2" max="2" width="10.33203125" style="28" bestFit="1" customWidth="1"/>
    <col min="3" max="4" width="8.88671875" style="28"/>
    <col min="5" max="5" width="37.6640625" style="28" bestFit="1" customWidth="1"/>
    <col min="6" max="6" width="17.33203125" style="28" customWidth="1"/>
    <col min="7" max="7" width="14" style="28" customWidth="1"/>
    <col min="8" max="8" width="11.33203125" style="28" customWidth="1"/>
    <col min="9" max="9" width="33.109375" style="28" customWidth="1"/>
    <col min="10" max="10" width="11.33203125" style="28" customWidth="1"/>
    <col min="11" max="11" width="23.44140625" style="28" customWidth="1"/>
    <col min="12" max="12" width="11.33203125" style="28" customWidth="1"/>
    <col min="13" max="13" width="16.6640625" style="28" customWidth="1"/>
    <col min="14" max="14" width="8.88671875" style="28"/>
    <col min="15" max="15" width="15.5546875" style="28" customWidth="1"/>
    <col min="16" max="16384" width="8.88671875" style="28"/>
  </cols>
  <sheetData>
    <row r="1" spans="1:15" ht="14.4" x14ac:dyDescent="0.3">
      <c r="L1" s="28">
        <f>SUBTOTAL(9,L3:L12)/1000</f>
        <v>1158.1538</v>
      </c>
      <c r="O1" s="209">
        <f>SUBTOTAL(9,O3:O76)/1000</f>
        <v>8759.6945999999989</v>
      </c>
    </row>
    <row r="2" spans="1:15" x14ac:dyDescent="0.25">
      <c r="A2" s="194" t="s">
        <v>0</v>
      </c>
      <c r="B2" s="194" t="s">
        <v>1</v>
      </c>
      <c r="C2" s="195" t="s">
        <v>3</v>
      </c>
      <c r="D2" s="196" t="s">
        <v>4</v>
      </c>
      <c r="E2" s="196" t="s">
        <v>76</v>
      </c>
      <c r="F2" s="196" t="s">
        <v>6</v>
      </c>
      <c r="G2" s="194" t="s">
        <v>89</v>
      </c>
      <c r="H2" s="194" t="s">
        <v>74</v>
      </c>
      <c r="I2" s="194" t="s">
        <v>153</v>
      </c>
      <c r="J2" s="194" t="s">
        <v>154</v>
      </c>
      <c r="K2" s="194" t="s">
        <v>142</v>
      </c>
      <c r="L2" s="197" t="s">
        <v>155</v>
      </c>
      <c r="M2" s="197" t="s">
        <v>143</v>
      </c>
      <c r="N2" s="197" t="s">
        <v>149</v>
      </c>
      <c r="O2" s="197" t="s">
        <v>144</v>
      </c>
    </row>
    <row r="3" spans="1:15" x14ac:dyDescent="0.25">
      <c r="A3" s="59">
        <v>1</v>
      </c>
      <c r="B3" s="150" t="s">
        <v>115</v>
      </c>
      <c r="C3" s="28" t="s">
        <v>116</v>
      </c>
      <c r="D3" s="28" t="s">
        <v>116</v>
      </c>
      <c r="E3" s="28" t="s">
        <v>140</v>
      </c>
      <c r="F3" s="28" t="s">
        <v>141</v>
      </c>
      <c r="G3" s="28" t="s">
        <v>81</v>
      </c>
      <c r="H3" s="28" t="s">
        <v>81</v>
      </c>
      <c r="K3" s="60">
        <v>112235</v>
      </c>
      <c r="L3" s="60">
        <f>K3-M3</f>
        <v>110750</v>
      </c>
      <c r="M3" s="60">
        <v>1485</v>
      </c>
      <c r="N3" s="60">
        <f t="shared" ref="N3:N9" si="0">M3*0.65</f>
        <v>965.25</v>
      </c>
      <c r="O3" s="60">
        <f t="shared" ref="O3:O8" si="1">K3-N3</f>
        <v>111269.75</v>
      </c>
    </row>
    <row r="4" spans="1:15" x14ac:dyDescent="0.25">
      <c r="A4" s="59">
        <v>2</v>
      </c>
      <c r="B4" s="59" t="s">
        <v>117</v>
      </c>
      <c r="C4" s="28" t="s">
        <v>116</v>
      </c>
      <c r="D4" s="28" t="s">
        <v>116</v>
      </c>
      <c r="E4" s="28" t="s">
        <v>140</v>
      </c>
      <c r="F4" s="28" t="s">
        <v>141</v>
      </c>
      <c r="G4" s="28" t="s">
        <v>81</v>
      </c>
      <c r="H4" s="28" t="s">
        <v>81</v>
      </c>
      <c r="K4" s="30">
        <v>155376</v>
      </c>
      <c r="L4" s="60">
        <f t="shared" ref="L4:L16" si="2">K4-M4</f>
        <v>153337</v>
      </c>
      <c r="M4" s="30">
        <v>2039</v>
      </c>
      <c r="N4" s="30">
        <f t="shared" si="0"/>
        <v>1325.3500000000001</v>
      </c>
      <c r="O4" s="60">
        <f t="shared" si="1"/>
        <v>154050.65</v>
      </c>
    </row>
    <row r="5" spans="1:15" x14ac:dyDescent="0.25">
      <c r="A5" s="59">
        <v>3</v>
      </c>
      <c r="B5" s="59" t="s">
        <v>145</v>
      </c>
      <c r="C5" s="28" t="s">
        <v>125</v>
      </c>
      <c r="D5" s="28" t="s">
        <v>125</v>
      </c>
      <c r="E5" s="28" t="s">
        <v>140</v>
      </c>
      <c r="F5" s="28" t="s">
        <v>141</v>
      </c>
      <c r="G5" s="28" t="s">
        <v>126</v>
      </c>
      <c r="H5" s="28" t="s">
        <v>126</v>
      </c>
      <c r="K5" s="60">
        <v>109097.8</v>
      </c>
      <c r="L5" s="60">
        <f t="shared" si="2"/>
        <v>107657.8</v>
      </c>
      <c r="M5" s="60">
        <f>1440</f>
        <v>1440</v>
      </c>
      <c r="N5" s="60">
        <f t="shared" si="0"/>
        <v>936</v>
      </c>
      <c r="O5" s="60">
        <f t="shared" si="1"/>
        <v>108161.8</v>
      </c>
    </row>
    <row r="6" spans="1:15" x14ac:dyDescent="0.25">
      <c r="A6" s="59">
        <v>4</v>
      </c>
      <c r="B6" s="59" t="s">
        <v>146</v>
      </c>
      <c r="C6" s="28" t="s">
        <v>125</v>
      </c>
      <c r="D6" s="28" t="s">
        <v>125</v>
      </c>
      <c r="E6" s="28" t="s">
        <v>140</v>
      </c>
      <c r="F6" s="28" t="s">
        <v>141</v>
      </c>
      <c r="G6" s="28" t="s">
        <v>126</v>
      </c>
      <c r="H6" s="28" t="s">
        <v>126</v>
      </c>
      <c r="K6" s="60">
        <v>99598</v>
      </c>
      <c r="L6" s="60">
        <f t="shared" si="2"/>
        <v>98277</v>
      </c>
      <c r="M6" s="60">
        <v>1321</v>
      </c>
      <c r="N6" s="60">
        <f t="shared" si="0"/>
        <v>858.65</v>
      </c>
      <c r="O6" s="60">
        <f t="shared" si="1"/>
        <v>98739.35</v>
      </c>
    </row>
    <row r="7" spans="1:15" x14ac:dyDescent="0.25">
      <c r="A7" s="59">
        <v>5</v>
      </c>
      <c r="B7" s="59" t="s">
        <v>147</v>
      </c>
      <c r="C7" s="28" t="s">
        <v>125</v>
      </c>
      <c r="D7" s="28" t="s">
        <v>125</v>
      </c>
      <c r="E7" s="28" t="s">
        <v>140</v>
      </c>
      <c r="F7" s="28" t="s">
        <v>141</v>
      </c>
      <c r="G7" s="28" t="s">
        <v>126</v>
      </c>
      <c r="H7" s="28" t="s">
        <v>126</v>
      </c>
      <c r="K7" s="60">
        <f>116651.4</f>
        <v>116651.4</v>
      </c>
      <c r="L7" s="60">
        <f t="shared" si="2"/>
        <v>115151.4</v>
      </c>
      <c r="M7" s="60">
        <v>1500</v>
      </c>
      <c r="N7" s="60">
        <f t="shared" si="0"/>
        <v>975</v>
      </c>
      <c r="O7" s="60">
        <f t="shared" si="1"/>
        <v>115676.4</v>
      </c>
    </row>
    <row r="8" spans="1:15" x14ac:dyDescent="0.25">
      <c r="A8" s="59">
        <v>6</v>
      </c>
      <c r="B8" s="59" t="s">
        <v>148</v>
      </c>
      <c r="C8" s="28" t="s">
        <v>125</v>
      </c>
      <c r="D8" s="28" t="s">
        <v>125</v>
      </c>
      <c r="E8" s="28" t="s">
        <v>140</v>
      </c>
      <c r="F8" s="28" t="s">
        <v>141</v>
      </c>
      <c r="G8" s="28" t="s">
        <v>126</v>
      </c>
      <c r="H8" s="28" t="s">
        <v>126</v>
      </c>
      <c r="K8" s="60">
        <v>110815.8</v>
      </c>
      <c r="L8" s="60">
        <f t="shared" si="2"/>
        <v>109313.8</v>
      </c>
      <c r="M8" s="60">
        <f>751+751</f>
        <v>1502</v>
      </c>
      <c r="N8" s="60">
        <f t="shared" si="0"/>
        <v>976.30000000000007</v>
      </c>
      <c r="O8" s="60">
        <f t="shared" si="1"/>
        <v>109839.5</v>
      </c>
    </row>
    <row r="9" spans="1:15" x14ac:dyDescent="0.25">
      <c r="A9" s="59">
        <v>7</v>
      </c>
      <c r="B9" s="59" t="s">
        <v>150</v>
      </c>
      <c r="C9" s="28" t="s">
        <v>125</v>
      </c>
      <c r="D9" s="28" t="s">
        <v>125</v>
      </c>
      <c r="E9" s="28" t="s">
        <v>140</v>
      </c>
      <c r="F9" s="28" t="s">
        <v>141</v>
      </c>
      <c r="G9" s="28" t="s">
        <v>126</v>
      </c>
      <c r="H9" s="28" t="s">
        <v>126</v>
      </c>
      <c r="K9" s="60">
        <f>87594.5-2913.2</f>
        <v>84681.3</v>
      </c>
      <c r="L9" s="60">
        <f t="shared" si="2"/>
        <v>83511.3</v>
      </c>
      <c r="M9" s="60">
        <v>1170</v>
      </c>
      <c r="N9" s="60">
        <f t="shared" si="0"/>
        <v>760.5</v>
      </c>
      <c r="O9" s="60">
        <f t="shared" ref="O9:O14" si="3">K9-N9</f>
        <v>83920.8</v>
      </c>
    </row>
    <row r="10" spans="1:15" x14ac:dyDescent="0.25">
      <c r="A10" s="59">
        <v>8</v>
      </c>
      <c r="B10" s="59" t="s">
        <v>152</v>
      </c>
      <c r="C10" s="28" t="s">
        <v>125</v>
      </c>
      <c r="D10" s="28" t="s">
        <v>125</v>
      </c>
      <c r="E10" s="28" t="s">
        <v>140</v>
      </c>
      <c r="F10" s="28" t="s">
        <v>141</v>
      </c>
      <c r="G10" s="28" t="s">
        <v>126</v>
      </c>
      <c r="H10" s="28" t="s">
        <v>126</v>
      </c>
      <c r="I10" s="60">
        <f>107540.1</f>
        <v>107540.1</v>
      </c>
      <c r="J10" s="60">
        <v>3615.7</v>
      </c>
      <c r="K10" s="60">
        <f t="shared" ref="K10:K16" si="4">I10-J10</f>
        <v>103924.40000000001</v>
      </c>
      <c r="L10" s="60">
        <f t="shared" si="2"/>
        <v>102420.40000000001</v>
      </c>
      <c r="M10" s="60">
        <f>1504</f>
        <v>1504</v>
      </c>
      <c r="N10" s="60">
        <f t="shared" ref="N10:N16" si="5">M10*0.65</f>
        <v>977.6</v>
      </c>
      <c r="O10" s="60">
        <f t="shared" si="3"/>
        <v>102946.8</v>
      </c>
    </row>
    <row r="11" spans="1:15" x14ac:dyDescent="0.25">
      <c r="A11" s="59">
        <v>9</v>
      </c>
      <c r="B11" s="59" t="s">
        <v>156</v>
      </c>
      <c r="C11" s="28" t="s">
        <v>125</v>
      </c>
      <c r="D11" s="28" t="s">
        <v>125</v>
      </c>
      <c r="E11" s="28" t="s">
        <v>140</v>
      </c>
      <c r="F11" s="28" t="s">
        <v>141</v>
      </c>
      <c r="G11" s="28" t="s">
        <v>126</v>
      </c>
      <c r="H11" s="28" t="s">
        <v>126</v>
      </c>
      <c r="I11" s="60">
        <f>230579.4</f>
        <v>230579.4</v>
      </c>
      <c r="J11" s="60">
        <f>7052.3</f>
        <v>7052.3</v>
      </c>
      <c r="K11" s="60">
        <f t="shared" si="4"/>
        <v>223527.1</v>
      </c>
      <c r="L11" s="60">
        <f t="shared" si="2"/>
        <v>220520.1</v>
      </c>
      <c r="M11" s="60">
        <f>3007</f>
        <v>3007</v>
      </c>
      <c r="N11" s="60">
        <f t="shared" si="5"/>
        <v>1954.55</v>
      </c>
      <c r="O11" s="60">
        <f t="shared" si="3"/>
        <v>221572.55000000002</v>
      </c>
    </row>
    <row r="12" spans="1:15" x14ac:dyDescent="0.25">
      <c r="A12" s="59">
        <v>10</v>
      </c>
      <c r="B12" s="150">
        <v>46029</v>
      </c>
      <c r="C12" s="28" t="s">
        <v>125</v>
      </c>
      <c r="D12" s="28" t="s">
        <v>125</v>
      </c>
      <c r="E12" s="28" t="s">
        <v>140</v>
      </c>
      <c r="F12" s="28" t="s">
        <v>141</v>
      </c>
      <c r="G12" s="28" t="s">
        <v>126</v>
      </c>
      <c r="H12" s="28" t="s">
        <v>126</v>
      </c>
      <c r="I12" s="145">
        <f>59664+100</f>
        <v>59764</v>
      </c>
      <c r="J12" s="145">
        <v>1798</v>
      </c>
      <c r="K12" s="60">
        <f t="shared" si="4"/>
        <v>57966</v>
      </c>
      <c r="L12" s="60">
        <f t="shared" si="2"/>
        <v>57215</v>
      </c>
      <c r="M12" s="145">
        <v>751</v>
      </c>
      <c r="N12" s="145">
        <f t="shared" si="5"/>
        <v>488.15000000000003</v>
      </c>
      <c r="O12" s="60">
        <f t="shared" si="3"/>
        <v>57477.85</v>
      </c>
    </row>
    <row r="13" spans="1:15" x14ac:dyDescent="0.25">
      <c r="A13" s="59">
        <v>11</v>
      </c>
      <c r="B13" s="150">
        <v>46060</v>
      </c>
      <c r="C13" s="28" t="s">
        <v>125</v>
      </c>
      <c r="D13" s="28" t="s">
        <v>125</v>
      </c>
      <c r="E13" s="28" t="s">
        <v>140</v>
      </c>
      <c r="F13" s="28" t="s">
        <v>141</v>
      </c>
      <c r="G13" s="28" t="s">
        <v>126</v>
      </c>
      <c r="H13" s="28" t="s">
        <v>126</v>
      </c>
      <c r="I13" s="145">
        <f>56632.6+13181.3+59078.6+56226.1-347.6</f>
        <v>184771</v>
      </c>
      <c r="J13" s="145">
        <f>260.5+216.9+223.9+215.3+245.6+753.3+1207.3+204.1+211.4+430.1+205.9+191+233.1+360+749.3+201</f>
        <v>5908.7</v>
      </c>
      <c r="K13" s="145">
        <f t="shared" si="4"/>
        <v>178862.3</v>
      </c>
      <c r="L13" s="60">
        <f t="shared" si="2"/>
        <v>176455.3</v>
      </c>
      <c r="M13" s="145">
        <f>734+180+748+750-5</f>
        <v>2407</v>
      </c>
      <c r="N13" s="145">
        <f t="shared" si="5"/>
        <v>1564.55</v>
      </c>
      <c r="O13" s="60">
        <f t="shared" si="3"/>
        <v>177297.75</v>
      </c>
    </row>
    <row r="14" spans="1:15" x14ac:dyDescent="0.25">
      <c r="A14" s="59">
        <v>12</v>
      </c>
      <c r="B14" s="150">
        <v>46119</v>
      </c>
      <c r="C14" s="28" t="s">
        <v>160</v>
      </c>
      <c r="D14" s="28" t="s">
        <v>160</v>
      </c>
      <c r="E14" s="28" t="s">
        <v>140</v>
      </c>
      <c r="F14" s="28" t="s">
        <v>141</v>
      </c>
      <c r="G14" s="28" t="s">
        <v>161</v>
      </c>
      <c r="H14" s="28" t="s">
        <v>161</v>
      </c>
      <c r="I14" s="145">
        <f>226161.9</f>
        <v>226161.9</v>
      </c>
      <c r="J14" s="145">
        <v>7388.4</v>
      </c>
      <c r="K14" s="145">
        <f t="shared" si="4"/>
        <v>218773.5</v>
      </c>
      <c r="L14" s="60">
        <f t="shared" si="2"/>
        <v>215766.5</v>
      </c>
      <c r="M14" s="145">
        <v>3007</v>
      </c>
      <c r="N14" s="145">
        <f t="shared" si="5"/>
        <v>1954.55</v>
      </c>
      <c r="O14" s="60">
        <f t="shared" si="3"/>
        <v>216818.95</v>
      </c>
    </row>
    <row r="15" spans="1:15" x14ac:dyDescent="0.25">
      <c r="A15" s="59">
        <v>13</v>
      </c>
      <c r="B15" s="150">
        <v>46210</v>
      </c>
      <c r="C15" s="28" t="s">
        <v>160</v>
      </c>
      <c r="D15" s="28" t="s">
        <v>160</v>
      </c>
      <c r="E15" s="28" t="s">
        <v>140</v>
      </c>
      <c r="F15" s="28" t="s">
        <v>141</v>
      </c>
      <c r="G15" s="28" t="s">
        <v>161</v>
      </c>
      <c r="H15" s="28" t="s">
        <v>161</v>
      </c>
      <c r="I15" s="60">
        <v>160177.5</v>
      </c>
      <c r="J15" s="60">
        <v>5170.5</v>
      </c>
      <c r="K15" s="145">
        <f t="shared" si="4"/>
        <v>155007</v>
      </c>
      <c r="L15" s="60">
        <f t="shared" si="2"/>
        <v>152882</v>
      </c>
      <c r="M15" s="60">
        <f>2125</f>
        <v>2125</v>
      </c>
      <c r="N15" s="145">
        <f t="shared" si="5"/>
        <v>1381.25</v>
      </c>
      <c r="O15" s="60">
        <f t="shared" ref="O15:O25" si="6">K15-N15</f>
        <v>153625.75</v>
      </c>
    </row>
    <row r="16" spans="1:15" x14ac:dyDescent="0.25">
      <c r="A16" s="59">
        <v>14</v>
      </c>
      <c r="B16" s="150">
        <v>46302</v>
      </c>
      <c r="C16" s="28" t="s">
        <v>160</v>
      </c>
      <c r="D16" s="28" t="s">
        <v>160</v>
      </c>
      <c r="E16" s="28" t="s">
        <v>140</v>
      </c>
      <c r="F16" s="28" t="s">
        <v>141</v>
      </c>
      <c r="G16" s="28" t="s">
        <v>161</v>
      </c>
      <c r="H16" s="28" t="s">
        <v>161</v>
      </c>
      <c r="I16" s="60">
        <f>224785.1</f>
        <v>224785.1</v>
      </c>
      <c r="J16" s="60">
        <f>7410</f>
        <v>7410</v>
      </c>
      <c r="K16" s="145">
        <f t="shared" si="4"/>
        <v>217375.1</v>
      </c>
      <c r="L16" s="60">
        <f t="shared" si="2"/>
        <v>214380.1</v>
      </c>
      <c r="M16" s="60">
        <v>2995</v>
      </c>
      <c r="N16" s="145">
        <f t="shared" si="5"/>
        <v>1946.75</v>
      </c>
      <c r="O16" s="60">
        <f t="shared" si="6"/>
        <v>215428.35</v>
      </c>
    </row>
    <row r="17" spans="1:15" x14ac:dyDescent="0.25">
      <c r="A17" s="59">
        <v>15</v>
      </c>
      <c r="B17" s="150">
        <v>46333</v>
      </c>
      <c r="C17" s="28" t="s">
        <v>160</v>
      </c>
      <c r="D17" s="28" t="s">
        <v>160</v>
      </c>
      <c r="E17" s="28" t="s">
        <v>140</v>
      </c>
      <c r="F17" s="28" t="s">
        <v>141</v>
      </c>
      <c r="G17" s="28" t="s">
        <v>161</v>
      </c>
      <c r="H17" s="28" t="s">
        <v>161</v>
      </c>
      <c r="I17" s="60">
        <v>111500.7</v>
      </c>
      <c r="J17" s="60">
        <v>3710.7</v>
      </c>
      <c r="K17" s="145">
        <f t="shared" ref="K17:K25" si="7">I17-J17</f>
        <v>107790</v>
      </c>
      <c r="L17" s="60">
        <f t="shared" ref="L17:L25" si="8">K17-M17</f>
        <v>106261</v>
      </c>
      <c r="M17" s="60">
        <v>1529</v>
      </c>
      <c r="N17" s="145">
        <f t="shared" ref="N17:N25" si="9">M17*0.65</f>
        <v>993.85</v>
      </c>
      <c r="O17" s="60">
        <f t="shared" si="6"/>
        <v>106796.15</v>
      </c>
    </row>
    <row r="18" spans="1:15" x14ac:dyDescent="0.25">
      <c r="A18" s="59">
        <v>16</v>
      </c>
      <c r="B18" s="150">
        <v>46363</v>
      </c>
      <c r="C18" s="28" t="s">
        <v>160</v>
      </c>
      <c r="D18" s="28" t="s">
        <v>160</v>
      </c>
      <c r="E18" s="28" t="s">
        <v>140</v>
      </c>
      <c r="F18" s="28" t="s">
        <v>141</v>
      </c>
      <c r="G18" s="28" t="s">
        <v>161</v>
      </c>
      <c r="H18" s="28" t="s">
        <v>161</v>
      </c>
      <c r="I18" s="60">
        <f>41877.5+54336.6</f>
        <v>96214.1</v>
      </c>
      <c r="J18" s="60">
        <f>3158.3</f>
        <v>3158.3</v>
      </c>
      <c r="K18" s="145">
        <f t="shared" si="7"/>
        <v>93055.8</v>
      </c>
      <c r="L18" s="145">
        <f t="shared" si="8"/>
        <v>91741.8</v>
      </c>
      <c r="M18" s="60">
        <f>574+740</f>
        <v>1314</v>
      </c>
      <c r="N18" s="145">
        <f t="shared" si="9"/>
        <v>854.1</v>
      </c>
      <c r="O18" s="60">
        <f t="shared" si="6"/>
        <v>92201.7</v>
      </c>
    </row>
    <row r="19" spans="1:15" x14ac:dyDescent="0.25">
      <c r="A19" s="59">
        <v>17</v>
      </c>
      <c r="B19" s="150" t="s">
        <v>162</v>
      </c>
      <c r="C19" s="28" t="s">
        <v>160</v>
      </c>
      <c r="D19" s="28" t="s">
        <v>160</v>
      </c>
      <c r="E19" s="28" t="s">
        <v>140</v>
      </c>
      <c r="F19" s="28" t="s">
        <v>141</v>
      </c>
      <c r="G19" s="28" t="s">
        <v>161</v>
      </c>
      <c r="H19" s="28" t="s">
        <v>161</v>
      </c>
      <c r="I19" s="60">
        <v>93027.9</v>
      </c>
      <c r="J19" s="60">
        <v>3101.3</v>
      </c>
      <c r="K19" s="145">
        <f t="shared" si="7"/>
        <v>89926.599999999991</v>
      </c>
      <c r="L19" s="145">
        <f t="shared" si="8"/>
        <v>88642.599999999991</v>
      </c>
      <c r="M19" s="60">
        <f>750+534</f>
        <v>1284</v>
      </c>
      <c r="N19" s="60">
        <f t="shared" si="9"/>
        <v>834.6</v>
      </c>
      <c r="O19" s="68">
        <f t="shared" si="6"/>
        <v>89091.999999999985</v>
      </c>
    </row>
    <row r="20" spans="1:15" x14ac:dyDescent="0.25">
      <c r="A20" s="59">
        <v>18</v>
      </c>
      <c r="B20" s="59" t="s">
        <v>165</v>
      </c>
      <c r="C20" s="28" t="s">
        <v>166</v>
      </c>
      <c r="D20" s="28" t="s">
        <v>166</v>
      </c>
      <c r="E20" s="28" t="s">
        <v>140</v>
      </c>
      <c r="F20" s="28" t="s">
        <v>141</v>
      </c>
      <c r="G20" s="28" t="s">
        <v>166</v>
      </c>
      <c r="H20" s="28" t="s">
        <v>167</v>
      </c>
      <c r="I20" s="60">
        <f>100356.6</f>
        <v>100356.6</v>
      </c>
      <c r="J20" s="60">
        <f>3180.2</f>
        <v>3180.2</v>
      </c>
      <c r="K20" s="145">
        <f t="shared" si="7"/>
        <v>97176.400000000009</v>
      </c>
      <c r="L20" s="145">
        <f t="shared" si="8"/>
        <v>95887.400000000009</v>
      </c>
      <c r="M20" s="60">
        <f>718+571</f>
        <v>1289</v>
      </c>
      <c r="N20" s="60">
        <f t="shared" si="9"/>
        <v>837.85</v>
      </c>
      <c r="O20" s="68">
        <f t="shared" si="6"/>
        <v>96338.55</v>
      </c>
    </row>
    <row r="21" spans="1:15" x14ac:dyDescent="0.25">
      <c r="A21" s="59">
        <v>19</v>
      </c>
      <c r="B21" s="59" t="s">
        <v>168</v>
      </c>
      <c r="C21" s="28" t="s">
        <v>166</v>
      </c>
      <c r="D21" s="28" t="s">
        <v>166</v>
      </c>
      <c r="E21" s="28" t="s">
        <v>140</v>
      </c>
      <c r="F21" s="28" t="s">
        <v>141</v>
      </c>
      <c r="G21" s="28" t="s">
        <v>166</v>
      </c>
      <c r="H21" s="28" t="s">
        <v>167</v>
      </c>
      <c r="I21" s="168">
        <v>102254.3</v>
      </c>
      <c r="J21" s="60">
        <v>3340.3</v>
      </c>
      <c r="K21" s="145">
        <f t="shared" si="7"/>
        <v>98914</v>
      </c>
      <c r="L21" s="145">
        <f t="shared" si="8"/>
        <v>97581</v>
      </c>
      <c r="M21" s="60">
        <f>752+581</f>
        <v>1333</v>
      </c>
      <c r="N21" s="60">
        <f t="shared" si="9"/>
        <v>866.45</v>
      </c>
      <c r="O21" s="68">
        <f t="shared" si="6"/>
        <v>98047.55</v>
      </c>
    </row>
    <row r="22" spans="1:15" x14ac:dyDescent="0.25">
      <c r="A22" s="59">
        <v>20</v>
      </c>
      <c r="B22" s="59" t="s">
        <v>169</v>
      </c>
      <c r="C22" s="28" t="s">
        <v>166</v>
      </c>
      <c r="D22" s="28" t="s">
        <v>166</v>
      </c>
      <c r="E22" s="28" t="s">
        <v>140</v>
      </c>
      <c r="F22" s="28" t="s">
        <v>141</v>
      </c>
      <c r="G22" s="28" t="s">
        <v>166</v>
      </c>
      <c r="H22" s="28" t="s">
        <v>167</v>
      </c>
      <c r="I22" s="60">
        <f>185021.6</f>
        <v>185021.6</v>
      </c>
      <c r="J22" s="60">
        <v>5904.3</v>
      </c>
      <c r="K22" s="145">
        <f t="shared" si="7"/>
        <v>179117.30000000002</v>
      </c>
      <c r="L22" s="145">
        <f t="shared" si="8"/>
        <v>176672.30000000002</v>
      </c>
      <c r="M22" s="60">
        <v>2445</v>
      </c>
      <c r="N22" s="60">
        <f t="shared" si="9"/>
        <v>1589.25</v>
      </c>
      <c r="O22" s="60">
        <f t="shared" si="6"/>
        <v>177528.05000000002</v>
      </c>
    </row>
    <row r="23" spans="1:15" x14ac:dyDescent="0.25">
      <c r="A23" s="59">
        <v>21</v>
      </c>
      <c r="B23" s="59" t="s">
        <v>170</v>
      </c>
      <c r="C23" s="28" t="s">
        <v>166</v>
      </c>
      <c r="D23" s="28" t="s">
        <v>166</v>
      </c>
      <c r="E23" s="28" t="s">
        <v>140</v>
      </c>
      <c r="F23" s="28" t="s">
        <v>141</v>
      </c>
      <c r="G23" s="28" t="s">
        <v>166</v>
      </c>
      <c r="H23" s="28" t="s">
        <v>167</v>
      </c>
      <c r="I23" s="60">
        <f>55817.5</f>
        <v>55817.5</v>
      </c>
      <c r="J23" s="60">
        <v>1859.9</v>
      </c>
      <c r="K23" s="60">
        <f t="shared" si="7"/>
        <v>53957.599999999999</v>
      </c>
      <c r="L23" s="145">
        <f t="shared" si="8"/>
        <v>53222.6</v>
      </c>
      <c r="M23" s="60">
        <v>735</v>
      </c>
      <c r="N23" s="60">
        <f t="shared" si="9"/>
        <v>477.75</v>
      </c>
      <c r="O23" s="60">
        <f t="shared" si="6"/>
        <v>53479.85</v>
      </c>
    </row>
    <row r="24" spans="1:15" x14ac:dyDescent="0.25">
      <c r="A24" s="59">
        <v>22</v>
      </c>
      <c r="B24" s="59" t="s">
        <v>171</v>
      </c>
      <c r="C24" s="28" t="s">
        <v>68</v>
      </c>
      <c r="D24" s="28" t="s">
        <v>68</v>
      </c>
      <c r="E24" s="28" t="s">
        <v>140</v>
      </c>
      <c r="F24" s="28" t="s">
        <v>141</v>
      </c>
      <c r="G24" s="28" t="s">
        <v>68</v>
      </c>
      <c r="H24" s="28" t="s">
        <v>102</v>
      </c>
      <c r="I24" s="60">
        <v>93913.7</v>
      </c>
      <c r="J24" s="60">
        <v>3010.8</v>
      </c>
      <c r="K24" s="60">
        <f t="shared" si="7"/>
        <v>90902.9</v>
      </c>
      <c r="L24" s="145">
        <f t="shared" si="8"/>
        <v>89701.9</v>
      </c>
      <c r="M24" s="60">
        <v>1201</v>
      </c>
      <c r="N24" s="60">
        <f t="shared" si="9"/>
        <v>780.65</v>
      </c>
      <c r="O24" s="60">
        <f t="shared" si="6"/>
        <v>90122.25</v>
      </c>
    </row>
    <row r="25" spans="1:15" x14ac:dyDescent="0.25">
      <c r="A25" s="59">
        <v>23</v>
      </c>
      <c r="B25" s="59" t="s">
        <v>172</v>
      </c>
      <c r="C25" s="28" t="s">
        <v>68</v>
      </c>
      <c r="D25" s="28" t="s">
        <v>68</v>
      </c>
      <c r="E25" s="28" t="s">
        <v>140</v>
      </c>
      <c r="F25" s="28" t="s">
        <v>141</v>
      </c>
      <c r="G25" s="28" t="s">
        <v>68</v>
      </c>
      <c r="H25" s="28" t="s">
        <v>102</v>
      </c>
      <c r="I25" s="147">
        <v>86128.9</v>
      </c>
      <c r="J25" s="147">
        <v>2641.2</v>
      </c>
      <c r="K25" s="147">
        <f t="shared" si="7"/>
        <v>83487.7</v>
      </c>
      <c r="L25" s="147">
        <f t="shared" si="8"/>
        <v>82405.7</v>
      </c>
      <c r="M25" s="147">
        <v>1082</v>
      </c>
      <c r="N25" s="147">
        <f t="shared" si="9"/>
        <v>703.30000000000007</v>
      </c>
      <c r="O25" s="147">
        <f t="shared" si="6"/>
        <v>82784.399999999994</v>
      </c>
    </row>
    <row r="26" spans="1:15" x14ac:dyDescent="0.25">
      <c r="A26" s="59">
        <v>24</v>
      </c>
      <c r="B26" s="59" t="s">
        <v>173</v>
      </c>
      <c r="C26" s="28" t="s">
        <v>68</v>
      </c>
      <c r="D26" s="28" t="s">
        <v>68</v>
      </c>
      <c r="E26" s="28" t="s">
        <v>140</v>
      </c>
      <c r="F26" s="28" t="s">
        <v>141</v>
      </c>
      <c r="G26" s="28" t="s">
        <v>68</v>
      </c>
      <c r="H26" s="28" t="s">
        <v>102</v>
      </c>
      <c r="I26" s="60">
        <v>174333.3</v>
      </c>
      <c r="J26" s="60">
        <v>5305.6</v>
      </c>
      <c r="K26" s="60">
        <f t="shared" ref="K26:K31" si="10">I26-J26</f>
        <v>169027.69999999998</v>
      </c>
      <c r="L26" s="145">
        <f t="shared" ref="L26:L31" si="11">K26-M26</f>
        <v>166808.69999999998</v>
      </c>
      <c r="M26" s="60">
        <v>2219</v>
      </c>
      <c r="N26" s="60">
        <f t="shared" ref="N26:N31" si="12">M26*0.65</f>
        <v>1442.3500000000001</v>
      </c>
      <c r="O26" s="60">
        <f t="shared" ref="O26:O31" si="13">K26-N26</f>
        <v>167585.34999999998</v>
      </c>
    </row>
    <row r="27" spans="1:15" x14ac:dyDescent="0.25">
      <c r="A27" s="59">
        <v>25</v>
      </c>
      <c r="B27" s="59" t="s">
        <v>174</v>
      </c>
      <c r="C27" s="28" t="s">
        <v>68</v>
      </c>
      <c r="D27" s="28" t="s">
        <v>68</v>
      </c>
      <c r="E27" s="28" t="s">
        <v>140</v>
      </c>
      <c r="F27" s="28" t="s">
        <v>141</v>
      </c>
      <c r="G27" s="28" t="s">
        <v>68</v>
      </c>
      <c r="H27" s="28" t="s">
        <v>102</v>
      </c>
      <c r="I27" s="60">
        <v>186066.7</v>
      </c>
      <c r="J27" s="60">
        <v>5928.4</v>
      </c>
      <c r="K27" s="60">
        <f t="shared" si="10"/>
        <v>180138.30000000002</v>
      </c>
      <c r="L27" s="145">
        <f t="shared" si="11"/>
        <v>177749.30000000002</v>
      </c>
      <c r="M27" s="60">
        <v>2389</v>
      </c>
      <c r="N27" s="60">
        <f t="shared" si="12"/>
        <v>1552.8500000000001</v>
      </c>
      <c r="O27" s="60">
        <f t="shared" si="13"/>
        <v>178585.45</v>
      </c>
    </row>
    <row r="28" spans="1:15" x14ac:dyDescent="0.25">
      <c r="A28" s="59">
        <v>26</v>
      </c>
      <c r="B28" s="59" t="s">
        <v>175</v>
      </c>
      <c r="C28" s="28" t="s">
        <v>68</v>
      </c>
      <c r="D28" s="28" t="s">
        <v>68</v>
      </c>
      <c r="E28" s="28" t="s">
        <v>140</v>
      </c>
      <c r="F28" s="28" t="s">
        <v>141</v>
      </c>
      <c r="G28" s="28" t="s">
        <v>68</v>
      </c>
      <c r="H28" s="28" t="s">
        <v>102</v>
      </c>
      <c r="I28" s="60">
        <v>233839.9</v>
      </c>
      <c r="J28" s="60">
        <v>7357.4</v>
      </c>
      <c r="K28" s="60">
        <f t="shared" si="10"/>
        <v>226482.5</v>
      </c>
      <c r="L28" s="145">
        <f t="shared" si="11"/>
        <v>223477.5</v>
      </c>
      <c r="M28" s="60">
        <v>3005</v>
      </c>
      <c r="N28" s="60">
        <f t="shared" si="12"/>
        <v>1953.25</v>
      </c>
      <c r="O28" s="60">
        <f t="shared" si="13"/>
        <v>224529.25</v>
      </c>
    </row>
    <row r="29" spans="1:15" x14ac:dyDescent="0.25">
      <c r="A29" s="59">
        <v>27</v>
      </c>
      <c r="B29" s="59" t="s">
        <v>176</v>
      </c>
      <c r="C29" s="28" t="s">
        <v>68</v>
      </c>
      <c r="D29" s="28" t="s">
        <v>68</v>
      </c>
      <c r="E29" s="28" t="s">
        <v>140</v>
      </c>
      <c r="F29" s="28" t="s">
        <v>141</v>
      </c>
      <c r="G29" s="28" t="s">
        <v>68</v>
      </c>
      <c r="H29" s="28" t="s">
        <v>102</v>
      </c>
      <c r="I29" s="60">
        <v>214697.1</v>
      </c>
      <c r="J29" s="60">
        <v>6634</v>
      </c>
      <c r="K29" s="60">
        <f t="shared" si="10"/>
        <v>208063.1</v>
      </c>
      <c r="L29" s="145">
        <f t="shared" si="11"/>
        <v>205349.1</v>
      </c>
      <c r="M29" s="60">
        <v>2714</v>
      </c>
      <c r="N29" s="60">
        <f t="shared" si="12"/>
        <v>1764.1000000000001</v>
      </c>
      <c r="O29" s="60">
        <f t="shared" si="13"/>
        <v>206299</v>
      </c>
    </row>
    <row r="30" spans="1:15" x14ac:dyDescent="0.25">
      <c r="A30" s="59">
        <v>28</v>
      </c>
      <c r="B30" s="59" t="s">
        <v>177</v>
      </c>
      <c r="C30" s="28" t="s">
        <v>68</v>
      </c>
      <c r="D30" s="28" t="s">
        <v>68</v>
      </c>
      <c r="E30" s="28" t="s">
        <v>140</v>
      </c>
      <c r="F30" s="28" t="s">
        <v>141</v>
      </c>
      <c r="G30" s="28" t="s">
        <v>68</v>
      </c>
      <c r="H30" s="28" t="s">
        <v>102</v>
      </c>
      <c r="I30" s="60">
        <v>143519.6</v>
      </c>
      <c r="J30" s="60">
        <v>4494.8999999999996</v>
      </c>
      <c r="K30" s="60">
        <f t="shared" si="10"/>
        <v>139024.70000000001</v>
      </c>
      <c r="L30" s="145">
        <f t="shared" si="11"/>
        <v>137189.70000000001</v>
      </c>
      <c r="M30" s="60">
        <v>1835</v>
      </c>
      <c r="N30" s="60">
        <f t="shared" si="12"/>
        <v>1192.75</v>
      </c>
      <c r="O30" s="60">
        <f t="shared" si="13"/>
        <v>137831.95000000001</v>
      </c>
    </row>
    <row r="31" spans="1:15" x14ac:dyDescent="0.25">
      <c r="A31" s="59">
        <v>29</v>
      </c>
      <c r="B31" s="59" t="s">
        <v>178</v>
      </c>
      <c r="C31" s="28" t="s">
        <v>68</v>
      </c>
      <c r="D31" s="28" t="s">
        <v>68</v>
      </c>
      <c r="E31" s="28" t="s">
        <v>140</v>
      </c>
      <c r="F31" s="28" t="s">
        <v>141</v>
      </c>
      <c r="G31" s="28" t="s">
        <v>68</v>
      </c>
      <c r="H31" s="28" t="s">
        <v>102</v>
      </c>
      <c r="I31" s="60">
        <v>127712.3</v>
      </c>
      <c r="J31" s="60">
        <v>3990.6</v>
      </c>
      <c r="K31" s="60">
        <f t="shared" si="10"/>
        <v>123721.7</v>
      </c>
      <c r="L31" s="145">
        <f t="shared" si="11"/>
        <v>122068.7</v>
      </c>
      <c r="M31" s="60">
        <v>1653</v>
      </c>
      <c r="N31" s="60">
        <f t="shared" si="12"/>
        <v>1074.45</v>
      </c>
      <c r="O31" s="60">
        <f t="shared" si="13"/>
        <v>122647.25</v>
      </c>
    </row>
    <row r="32" spans="1:15" x14ac:dyDescent="0.25">
      <c r="A32" s="59">
        <v>30</v>
      </c>
      <c r="B32" s="59" t="s">
        <v>181</v>
      </c>
      <c r="C32" s="28" t="s">
        <v>68</v>
      </c>
      <c r="D32" s="28" t="s">
        <v>68</v>
      </c>
      <c r="E32" s="28" t="s">
        <v>140</v>
      </c>
      <c r="F32" s="28" t="s">
        <v>141</v>
      </c>
      <c r="G32" s="28" t="s">
        <v>68</v>
      </c>
      <c r="H32" s="28" t="s">
        <v>102</v>
      </c>
      <c r="I32" s="60">
        <v>140595.79999999999</v>
      </c>
      <c r="J32" s="60">
        <v>4345.1000000000004</v>
      </c>
      <c r="K32" s="60">
        <f t="shared" ref="K32:K38" si="14">I32-J32</f>
        <v>136250.69999999998</v>
      </c>
      <c r="L32" s="145">
        <f t="shared" ref="L32:L38" si="15">K32-M32</f>
        <v>134455.69999999998</v>
      </c>
      <c r="M32" s="60">
        <v>1795</v>
      </c>
      <c r="N32" s="60">
        <f t="shared" ref="N32:N38" si="16">M32*0.65</f>
        <v>1166.75</v>
      </c>
      <c r="O32" s="60">
        <f t="shared" ref="O32:O38" si="17">K32-N32</f>
        <v>135083.94999999998</v>
      </c>
    </row>
    <row r="33" spans="1:15" x14ac:dyDescent="0.25">
      <c r="A33" s="59">
        <v>31</v>
      </c>
      <c r="B33" s="59" t="s">
        <v>182</v>
      </c>
      <c r="C33" s="28" t="s">
        <v>68</v>
      </c>
      <c r="D33" s="28" t="s">
        <v>68</v>
      </c>
      <c r="E33" s="28" t="s">
        <v>140</v>
      </c>
      <c r="F33" s="28" t="s">
        <v>141</v>
      </c>
      <c r="G33" s="28" t="s">
        <v>68</v>
      </c>
      <c r="H33" s="28" t="s">
        <v>102</v>
      </c>
      <c r="I33" s="60">
        <v>141338.6</v>
      </c>
      <c r="J33" s="60">
        <v>4300.8999999999996</v>
      </c>
      <c r="K33" s="60">
        <f t="shared" si="14"/>
        <v>137037.70000000001</v>
      </c>
      <c r="L33" s="145">
        <f t="shared" si="15"/>
        <v>135226.70000000001</v>
      </c>
      <c r="M33" s="60">
        <v>1811</v>
      </c>
      <c r="N33" s="60">
        <f t="shared" si="16"/>
        <v>1177.1500000000001</v>
      </c>
      <c r="O33" s="60">
        <f t="shared" si="17"/>
        <v>135860.55000000002</v>
      </c>
    </row>
    <row r="34" spans="1:15" x14ac:dyDescent="0.25">
      <c r="A34" s="59">
        <v>32</v>
      </c>
      <c r="B34" s="59" t="s">
        <v>183</v>
      </c>
      <c r="C34" s="28" t="s">
        <v>68</v>
      </c>
      <c r="D34" s="28" t="s">
        <v>68</v>
      </c>
      <c r="E34" s="28" t="s">
        <v>140</v>
      </c>
      <c r="F34" s="28" t="s">
        <v>141</v>
      </c>
      <c r="G34" s="28" t="s">
        <v>68</v>
      </c>
      <c r="H34" s="28" t="s">
        <v>102</v>
      </c>
      <c r="I34" s="60">
        <v>140767.29999999999</v>
      </c>
      <c r="J34" s="60">
        <v>4317.5</v>
      </c>
      <c r="K34" s="60">
        <f t="shared" si="14"/>
        <v>136449.79999999999</v>
      </c>
      <c r="L34" s="145">
        <f t="shared" si="15"/>
        <v>134652.79999999999</v>
      </c>
      <c r="M34" s="60">
        <v>1797</v>
      </c>
      <c r="N34" s="60">
        <f t="shared" si="16"/>
        <v>1168.05</v>
      </c>
      <c r="O34" s="60">
        <f t="shared" si="17"/>
        <v>135281.75</v>
      </c>
    </row>
    <row r="35" spans="1:15" x14ac:dyDescent="0.25">
      <c r="A35" s="59">
        <v>33</v>
      </c>
      <c r="B35" s="59" t="s">
        <v>184</v>
      </c>
      <c r="C35" s="28" t="s">
        <v>68</v>
      </c>
      <c r="D35" s="28" t="s">
        <v>68</v>
      </c>
      <c r="E35" s="28" t="s">
        <v>140</v>
      </c>
      <c r="F35" s="28" t="s">
        <v>141</v>
      </c>
      <c r="G35" s="28" t="s">
        <v>68</v>
      </c>
      <c r="H35" s="28" t="s">
        <v>102</v>
      </c>
      <c r="I35" s="60">
        <v>133980.20000000001</v>
      </c>
      <c r="J35" s="60">
        <v>4120</v>
      </c>
      <c r="K35" s="60">
        <f t="shared" si="14"/>
        <v>129860.20000000001</v>
      </c>
      <c r="L35" s="145">
        <f t="shared" si="15"/>
        <v>128144.20000000001</v>
      </c>
      <c r="M35" s="60">
        <v>1716</v>
      </c>
      <c r="N35" s="60">
        <f t="shared" si="16"/>
        <v>1115.4000000000001</v>
      </c>
      <c r="O35" s="60">
        <f t="shared" si="17"/>
        <v>128744.80000000002</v>
      </c>
    </row>
    <row r="36" spans="1:15" x14ac:dyDescent="0.25">
      <c r="A36" s="59">
        <v>34</v>
      </c>
      <c r="B36" s="150">
        <v>46061</v>
      </c>
      <c r="C36" s="28" t="s">
        <v>68</v>
      </c>
      <c r="D36" s="28" t="s">
        <v>68</v>
      </c>
      <c r="E36" s="28" t="s">
        <v>140</v>
      </c>
      <c r="F36" s="28" t="s">
        <v>141</v>
      </c>
      <c r="G36" s="28" t="s">
        <v>68</v>
      </c>
      <c r="H36" s="28" t="s">
        <v>102</v>
      </c>
      <c r="I36" s="60">
        <v>122379.2</v>
      </c>
      <c r="J36" s="60">
        <f>3904.9</f>
        <v>3904.9</v>
      </c>
      <c r="K36" s="62">
        <f t="shared" si="14"/>
        <v>118474.3</v>
      </c>
      <c r="L36" s="210">
        <f t="shared" si="15"/>
        <v>116891.3</v>
      </c>
      <c r="M36" s="211">
        <v>1583</v>
      </c>
      <c r="N36" s="211">
        <f t="shared" si="16"/>
        <v>1028.95</v>
      </c>
      <c r="O36" s="211">
        <f t="shared" si="17"/>
        <v>117445.35</v>
      </c>
    </row>
    <row r="37" spans="1:15" x14ac:dyDescent="0.25">
      <c r="A37" s="59">
        <v>35</v>
      </c>
      <c r="B37" s="150">
        <v>46089</v>
      </c>
      <c r="C37" s="28" t="s">
        <v>68</v>
      </c>
      <c r="D37" s="28" t="s">
        <v>68</v>
      </c>
      <c r="E37" s="28" t="s">
        <v>140</v>
      </c>
      <c r="F37" s="28" t="s">
        <v>141</v>
      </c>
      <c r="G37" s="28" t="s">
        <v>68</v>
      </c>
      <c r="H37" s="28" t="s">
        <v>102</v>
      </c>
      <c r="I37" s="60">
        <v>117259.4</v>
      </c>
      <c r="J37" s="60">
        <v>3627.3</v>
      </c>
      <c r="K37" s="60">
        <f t="shared" si="14"/>
        <v>113632.09999999999</v>
      </c>
      <c r="L37" s="145">
        <f t="shared" si="15"/>
        <v>112126.09999999999</v>
      </c>
      <c r="M37" s="211">
        <v>1506</v>
      </c>
      <c r="N37" s="60">
        <f t="shared" si="16"/>
        <v>978.9</v>
      </c>
      <c r="O37" s="60">
        <f t="shared" si="17"/>
        <v>112653.2</v>
      </c>
    </row>
    <row r="38" spans="1:15" x14ac:dyDescent="0.25">
      <c r="A38" s="59">
        <v>36</v>
      </c>
      <c r="B38" s="150">
        <v>46089</v>
      </c>
      <c r="C38" s="28" t="s">
        <v>111</v>
      </c>
      <c r="D38" s="28" t="s">
        <v>111</v>
      </c>
      <c r="E38" s="28" t="s">
        <v>140</v>
      </c>
      <c r="F38" s="28" t="s">
        <v>141</v>
      </c>
      <c r="G38" s="28" t="s">
        <v>111</v>
      </c>
      <c r="H38" s="28" t="s">
        <v>112</v>
      </c>
      <c r="I38" s="60">
        <v>22122.2</v>
      </c>
      <c r="J38" s="60">
        <v>716</v>
      </c>
      <c r="K38" s="60">
        <f t="shared" si="14"/>
        <v>21406.2</v>
      </c>
      <c r="L38" s="145">
        <f t="shared" si="15"/>
        <v>21106.2</v>
      </c>
      <c r="M38" s="211">
        <v>300</v>
      </c>
      <c r="N38" s="60">
        <f t="shared" si="16"/>
        <v>195</v>
      </c>
      <c r="O38" s="60">
        <f t="shared" si="17"/>
        <v>21211.200000000001</v>
      </c>
    </row>
    <row r="39" spans="1:15" x14ac:dyDescent="0.25">
      <c r="A39" s="59">
        <v>37</v>
      </c>
      <c r="B39" s="150">
        <v>46120</v>
      </c>
      <c r="C39" s="28" t="s">
        <v>68</v>
      </c>
      <c r="D39" s="28" t="s">
        <v>68</v>
      </c>
      <c r="E39" s="28" t="s">
        <v>140</v>
      </c>
      <c r="F39" s="28" t="s">
        <v>141</v>
      </c>
      <c r="G39" s="28" t="s">
        <v>68</v>
      </c>
      <c r="H39" s="28" t="s">
        <v>102</v>
      </c>
      <c r="I39" s="60">
        <v>129133.5</v>
      </c>
      <c r="J39" s="60">
        <v>4013.1</v>
      </c>
      <c r="K39" s="60">
        <f t="shared" ref="K39:K46" si="18">I39-J39</f>
        <v>125120.4</v>
      </c>
      <c r="L39" s="145">
        <f t="shared" ref="L39:L46" si="19">K39-M39</f>
        <v>123464.4</v>
      </c>
      <c r="M39" s="60">
        <v>1656</v>
      </c>
      <c r="N39" s="60">
        <f t="shared" ref="N39:N46" si="20">M39*0.65</f>
        <v>1076.4000000000001</v>
      </c>
      <c r="O39" s="60">
        <f t="shared" ref="O39:O46" si="21">K39-N39</f>
        <v>124044</v>
      </c>
    </row>
    <row r="40" spans="1:15" x14ac:dyDescent="0.25">
      <c r="A40" s="59">
        <v>38</v>
      </c>
      <c r="B40" s="150">
        <v>46120</v>
      </c>
      <c r="C40" s="28" t="s">
        <v>111</v>
      </c>
      <c r="D40" s="28" t="s">
        <v>111</v>
      </c>
      <c r="E40" s="28" t="s">
        <v>140</v>
      </c>
      <c r="F40" s="28" t="s">
        <v>141</v>
      </c>
      <c r="G40" s="28" t="s">
        <v>111</v>
      </c>
      <c r="H40" s="28" t="s">
        <v>112</v>
      </c>
      <c r="I40" s="60">
        <v>33387.699999999997</v>
      </c>
      <c r="J40" s="60">
        <v>1153</v>
      </c>
      <c r="K40" s="60">
        <f t="shared" si="18"/>
        <v>32234.699999999997</v>
      </c>
      <c r="L40" s="145">
        <f t="shared" si="19"/>
        <v>31784.699999999997</v>
      </c>
      <c r="M40" s="60">
        <v>450</v>
      </c>
      <c r="N40" s="60">
        <f t="shared" si="20"/>
        <v>292.5</v>
      </c>
      <c r="O40" s="60">
        <f t="shared" si="21"/>
        <v>31942.199999999997</v>
      </c>
    </row>
    <row r="41" spans="1:15" x14ac:dyDescent="0.25">
      <c r="A41" s="59">
        <v>39</v>
      </c>
      <c r="B41" s="150">
        <v>46150</v>
      </c>
      <c r="C41" s="28" t="s">
        <v>68</v>
      </c>
      <c r="D41" s="28" t="s">
        <v>68</v>
      </c>
      <c r="E41" s="28" t="s">
        <v>140</v>
      </c>
      <c r="F41" s="28" t="s">
        <v>141</v>
      </c>
      <c r="G41" s="28" t="s">
        <v>68</v>
      </c>
      <c r="H41" s="28" t="s">
        <v>102</v>
      </c>
      <c r="I41" s="60">
        <v>65889.100000000006</v>
      </c>
      <c r="J41" s="60">
        <v>2095.5</v>
      </c>
      <c r="K41" s="60">
        <f t="shared" si="18"/>
        <v>63793.600000000006</v>
      </c>
      <c r="L41" s="145">
        <f t="shared" si="19"/>
        <v>62947.600000000006</v>
      </c>
      <c r="M41" s="60">
        <v>846</v>
      </c>
      <c r="N41" s="60">
        <f t="shared" si="20"/>
        <v>549.9</v>
      </c>
      <c r="O41" s="60">
        <f t="shared" si="21"/>
        <v>63243.700000000004</v>
      </c>
    </row>
    <row r="42" spans="1:15" x14ac:dyDescent="0.25">
      <c r="A42" s="59">
        <v>40</v>
      </c>
      <c r="B42" s="150">
        <v>46150</v>
      </c>
      <c r="C42" s="28" t="s">
        <v>111</v>
      </c>
      <c r="D42" s="28" t="s">
        <v>111</v>
      </c>
      <c r="E42" s="28" t="s">
        <v>140</v>
      </c>
      <c r="F42" s="28" t="s">
        <v>141</v>
      </c>
      <c r="G42" s="28" t="s">
        <v>111</v>
      </c>
      <c r="H42" s="28" t="s">
        <v>112</v>
      </c>
      <c r="I42" s="60">
        <v>33059.800000000003</v>
      </c>
      <c r="J42" s="60">
        <v>1107.3</v>
      </c>
      <c r="K42" s="60">
        <f t="shared" si="18"/>
        <v>31952.500000000004</v>
      </c>
      <c r="L42" s="145">
        <f t="shared" si="19"/>
        <v>31502.500000000004</v>
      </c>
      <c r="M42" s="60">
        <v>450</v>
      </c>
      <c r="N42" s="60">
        <f t="shared" si="20"/>
        <v>292.5</v>
      </c>
      <c r="O42" s="60">
        <f t="shared" si="21"/>
        <v>31660.000000000004</v>
      </c>
    </row>
    <row r="43" spans="1:15" x14ac:dyDescent="0.25">
      <c r="A43" s="59">
        <v>41</v>
      </c>
      <c r="B43" s="150">
        <v>46150</v>
      </c>
      <c r="C43" s="28" t="s">
        <v>185</v>
      </c>
      <c r="D43" s="28" t="s">
        <v>185</v>
      </c>
      <c r="E43" s="28" t="s">
        <v>140</v>
      </c>
      <c r="F43" s="28" t="s">
        <v>141</v>
      </c>
      <c r="G43" s="28" t="s">
        <v>185</v>
      </c>
      <c r="H43" s="28" t="s">
        <v>186</v>
      </c>
      <c r="I43" s="60">
        <v>23278.9</v>
      </c>
      <c r="J43" s="60">
        <v>655.8</v>
      </c>
      <c r="K43" s="60">
        <f t="shared" si="18"/>
        <v>22623.100000000002</v>
      </c>
      <c r="L43" s="145">
        <f t="shared" si="19"/>
        <v>22323.100000000002</v>
      </c>
      <c r="M43" s="60">
        <v>300</v>
      </c>
      <c r="N43" s="60">
        <f t="shared" si="20"/>
        <v>195</v>
      </c>
      <c r="O43" s="60">
        <f t="shared" si="21"/>
        <v>22428.100000000002</v>
      </c>
    </row>
    <row r="44" spans="1:15" x14ac:dyDescent="0.25">
      <c r="A44" s="59">
        <v>42</v>
      </c>
      <c r="B44" s="150">
        <v>46181</v>
      </c>
      <c r="C44" s="28" t="s">
        <v>68</v>
      </c>
      <c r="D44" s="28" t="s">
        <v>68</v>
      </c>
      <c r="E44" s="28" t="s">
        <v>140</v>
      </c>
      <c r="F44" s="28" t="s">
        <v>141</v>
      </c>
      <c r="G44" s="28" t="s">
        <v>68</v>
      </c>
      <c r="H44" s="28" t="s">
        <v>102</v>
      </c>
      <c r="I44" s="60">
        <v>32628.799999999999</v>
      </c>
      <c r="J44" s="60">
        <v>1077.4000000000001</v>
      </c>
      <c r="K44" s="60">
        <f t="shared" si="18"/>
        <v>31551.399999999998</v>
      </c>
      <c r="L44" s="145">
        <f t="shared" si="19"/>
        <v>31139.399999999998</v>
      </c>
      <c r="M44" s="60">
        <v>412</v>
      </c>
      <c r="N44" s="60">
        <f t="shared" si="20"/>
        <v>267.8</v>
      </c>
      <c r="O44" s="60">
        <f t="shared" si="21"/>
        <v>31283.599999999999</v>
      </c>
    </row>
    <row r="45" spans="1:15" x14ac:dyDescent="0.25">
      <c r="A45" s="59">
        <v>43</v>
      </c>
      <c r="B45" s="150">
        <v>46181</v>
      </c>
      <c r="C45" s="28" t="s">
        <v>111</v>
      </c>
      <c r="D45" s="28" t="s">
        <v>111</v>
      </c>
      <c r="E45" s="28" t="s">
        <v>140</v>
      </c>
      <c r="F45" s="28" t="s">
        <v>141</v>
      </c>
      <c r="G45" s="28" t="s">
        <v>111</v>
      </c>
      <c r="H45" s="28" t="s">
        <v>112</v>
      </c>
      <c r="I45" s="60">
        <v>34329.800000000003</v>
      </c>
      <c r="J45" s="60">
        <v>1164</v>
      </c>
      <c r="K45" s="60">
        <f t="shared" si="18"/>
        <v>33165.800000000003</v>
      </c>
      <c r="L45" s="145">
        <f t="shared" si="19"/>
        <v>32715.800000000003</v>
      </c>
      <c r="M45" s="60">
        <v>450</v>
      </c>
      <c r="N45" s="60">
        <f t="shared" si="20"/>
        <v>292.5</v>
      </c>
      <c r="O45" s="60">
        <f t="shared" si="21"/>
        <v>32873.300000000003</v>
      </c>
    </row>
    <row r="46" spans="1:15" x14ac:dyDescent="0.25">
      <c r="A46" s="59">
        <v>44</v>
      </c>
      <c r="B46" s="150">
        <v>46181</v>
      </c>
      <c r="C46" s="28" t="s">
        <v>185</v>
      </c>
      <c r="D46" s="28" t="s">
        <v>185</v>
      </c>
      <c r="E46" s="28" t="s">
        <v>140</v>
      </c>
      <c r="F46" s="28" t="s">
        <v>141</v>
      </c>
      <c r="G46" s="28" t="s">
        <v>185</v>
      </c>
      <c r="H46" s="28" t="s">
        <v>186</v>
      </c>
      <c r="I46" s="60">
        <v>23271.9</v>
      </c>
      <c r="J46" s="60">
        <v>780</v>
      </c>
      <c r="K46" s="60">
        <f t="shared" si="18"/>
        <v>22491.9</v>
      </c>
      <c r="L46" s="145">
        <f t="shared" si="19"/>
        <v>22191.9</v>
      </c>
      <c r="M46" s="60">
        <v>300</v>
      </c>
      <c r="N46" s="60">
        <f t="shared" si="20"/>
        <v>195</v>
      </c>
      <c r="O46" s="60">
        <f t="shared" si="21"/>
        <v>22296.9</v>
      </c>
    </row>
    <row r="47" spans="1:15" x14ac:dyDescent="0.25">
      <c r="A47" s="59">
        <v>46</v>
      </c>
      <c r="B47" s="150">
        <v>46273</v>
      </c>
      <c r="C47" s="28" t="s">
        <v>111</v>
      </c>
      <c r="D47" s="28" t="s">
        <v>111</v>
      </c>
      <c r="E47" s="28" t="s">
        <v>140</v>
      </c>
      <c r="F47" s="28" t="s">
        <v>141</v>
      </c>
      <c r="G47" s="28" t="s">
        <v>111</v>
      </c>
      <c r="H47" s="28" t="s">
        <v>112</v>
      </c>
      <c r="I47" s="60">
        <v>51241</v>
      </c>
      <c r="J47" s="60">
        <v>1570.7</v>
      </c>
      <c r="K47" s="60">
        <f t="shared" ref="K47:K52" si="22">I47-J47</f>
        <v>49670.3</v>
      </c>
      <c r="L47" s="145">
        <f t="shared" ref="L47:L52" si="23">K47-M47</f>
        <v>49034.3</v>
      </c>
      <c r="M47" s="60">
        <v>636</v>
      </c>
      <c r="N47" s="60">
        <f t="shared" ref="N47:N52" si="24">M47*0.65</f>
        <v>413.40000000000003</v>
      </c>
      <c r="O47" s="60">
        <f>K47-N47</f>
        <v>49256.9</v>
      </c>
    </row>
    <row r="48" spans="1:15" x14ac:dyDescent="0.25">
      <c r="A48" s="59">
        <v>47</v>
      </c>
      <c r="B48" s="150">
        <v>46273</v>
      </c>
      <c r="C48" s="28" t="s">
        <v>111</v>
      </c>
      <c r="D48" s="28" t="s">
        <v>111</v>
      </c>
      <c r="E48" s="28" t="s">
        <v>140</v>
      </c>
      <c r="F48" s="28" t="s">
        <v>141</v>
      </c>
      <c r="G48" s="28" t="s">
        <v>111</v>
      </c>
      <c r="H48" s="28" t="s">
        <v>112</v>
      </c>
      <c r="I48" s="60">
        <f>56927.9+53639.1</f>
        <v>110567</v>
      </c>
      <c r="J48" s="60">
        <v>3599.9</v>
      </c>
      <c r="K48" s="60">
        <f t="shared" si="22"/>
        <v>106967.1</v>
      </c>
      <c r="L48" s="145">
        <f t="shared" si="23"/>
        <v>105516.1</v>
      </c>
      <c r="M48" s="60">
        <v>1451</v>
      </c>
      <c r="N48" s="60">
        <f t="shared" si="24"/>
        <v>943.15</v>
      </c>
      <c r="O48" s="60">
        <f>K48-N48-'FINAL DRY RCN-YAKRO-2026'!T64</f>
        <v>69682.950000000012</v>
      </c>
    </row>
    <row r="49" spans="1:15" x14ac:dyDescent="0.25">
      <c r="A49" s="59">
        <v>48</v>
      </c>
      <c r="B49" s="150">
        <v>46303</v>
      </c>
      <c r="C49" s="28" t="s">
        <v>185</v>
      </c>
      <c r="D49" s="28" t="s">
        <v>185</v>
      </c>
      <c r="E49" s="28" t="s">
        <v>140</v>
      </c>
      <c r="F49" s="28" t="s">
        <v>141</v>
      </c>
      <c r="G49" s="28" t="s">
        <v>185</v>
      </c>
      <c r="H49" s="28" t="s">
        <v>186</v>
      </c>
      <c r="I49" s="60">
        <v>96509.1</v>
      </c>
      <c r="J49" s="60">
        <v>2940</v>
      </c>
      <c r="K49" s="60">
        <f t="shared" si="22"/>
        <v>93569.1</v>
      </c>
      <c r="L49" s="145">
        <f t="shared" si="23"/>
        <v>92355.1</v>
      </c>
      <c r="M49" s="60">
        <v>1214</v>
      </c>
      <c r="N49" s="60">
        <f t="shared" si="24"/>
        <v>789.1</v>
      </c>
      <c r="O49" s="60">
        <f t="shared" ref="O49:O54" si="25">K49-N49</f>
        <v>92780</v>
      </c>
    </row>
    <row r="50" spans="1:15" x14ac:dyDescent="0.25">
      <c r="A50" s="59">
        <v>49</v>
      </c>
      <c r="B50" s="150">
        <v>46334</v>
      </c>
      <c r="C50" s="28" t="s">
        <v>185</v>
      </c>
      <c r="D50" s="28" t="s">
        <v>185</v>
      </c>
      <c r="E50" s="28" t="s">
        <v>140</v>
      </c>
      <c r="F50" s="28" t="s">
        <v>141</v>
      </c>
      <c r="G50" s="28" t="s">
        <v>185</v>
      </c>
      <c r="H50" s="28" t="s">
        <v>186</v>
      </c>
      <c r="I50" s="28">
        <v>143492.5</v>
      </c>
      <c r="J50" s="28">
        <v>4318.8</v>
      </c>
      <c r="K50" s="28">
        <f t="shared" si="22"/>
        <v>139173.70000000001</v>
      </c>
      <c r="L50" s="68">
        <f t="shared" si="23"/>
        <v>137357.70000000001</v>
      </c>
      <c r="M50" s="28">
        <v>1816</v>
      </c>
      <c r="N50" s="68">
        <f t="shared" si="24"/>
        <v>1180.4000000000001</v>
      </c>
      <c r="O50" s="68">
        <f t="shared" si="25"/>
        <v>137993.30000000002</v>
      </c>
    </row>
    <row r="51" spans="1:15" x14ac:dyDescent="0.25">
      <c r="A51" s="59">
        <v>50</v>
      </c>
      <c r="B51" s="150">
        <v>46364</v>
      </c>
      <c r="C51" s="28" t="s">
        <v>185</v>
      </c>
      <c r="D51" s="28" t="s">
        <v>185</v>
      </c>
      <c r="E51" s="28" t="s">
        <v>140</v>
      </c>
      <c r="F51" s="28" t="s">
        <v>141</v>
      </c>
      <c r="G51" s="28" t="s">
        <v>185</v>
      </c>
      <c r="H51" s="28" t="s">
        <v>186</v>
      </c>
      <c r="I51" s="28">
        <v>145618.6</v>
      </c>
      <c r="J51" s="28">
        <v>4396.3</v>
      </c>
      <c r="K51" s="28">
        <f t="shared" si="22"/>
        <v>141222.30000000002</v>
      </c>
      <c r="L51" s="68">
        <f t="shared" si="23"/>
        <v>139382.30000000002</v>
      </c>
      <c r="M51" s="28">
        <v>1840</v>
      </c>
      <c r="N51" s="68">
        <f t="shared" si="24"/>
        <v>1196</v>
      </c>
      <c r="O51" s="68">
        <f t="shared" si="25"/>
        <v>140026.30000000002</v>
      </c>
    </row>
    <row r="52" spans="1:15" x14ac:dyDescent="0.25">
      <c r="A52" s="59">
        <v>51</v>
      </c>
      <c r="B52" s="150" t="s">
        <v>191</v>
      </c>
      <c r="C52" s="28" t="s">
        <v>185</v>
      </c>
      <c r="D52" s="28" t="s">
        <v>185</v>
      </c>
      <c r="E52" s="28" t="s">
        <v>140</v>
      </c>
      <c r="F52" s="28" t="s">
        <v>141</v>
      </c>
      <c r="G52" s="28" t="s">
        <v>185</v>
      </c>
      <c r="H52" s="28" t="s">
        <v>186</v>
      </c>
      <c r="I52" s="28">
        <v>151735.20000000001</v>
      </c>
      <c r="J52" s="28">
        <v>4765.2</v>
      </c>
      <c r="K52" s="28">
        <f t="shared" si="22"/>
        <v>146970</v>
      </c>
      <c r="L52" s="68">
        <f t="shared" si="23"/>
        <v>144995</v>
      </c>
      <c r="M52" s="28">
        <v>1975</v>
      </c>
      <c r="N52" s="68">
        <f t="shared" si="24"/>
        <v>1283.75</v>
      </c>
      <c r="O52" s="68">
        <f t="shared" si="25"/>
        <v>145686.25</v>
      </c>
    </row>
    <row r="53" spans="1:15" x14ac:dyDescent="0.25">
      <c r="A53" s="59">
        <v>52</v>
      </c>
      <c r="B53" s="59" t="s">
        <v>192</v>
      </c>
      <c r="C53" s="28" t="s">
        <v>185</v>
      </c>
      <c r="D53" s="28" t="s">
        <v>185</v>
      </c>
      <c r="E53" s="28" t="s">
        <v>140</v>
      </c>
      <c r="F53" s="28" t="s">
        <v>141</v>
      </c>
      <c r="G53" s="28" t="s">
        <v>185</v>
      </c>
      <c r="H53" s="28" t="s">
        <v>186</v>
      </c>
      <c r="I53" s="28">
        <v>174428.79999999999</v>
      </c>
      <c r="J53" s="28">
        <v>5497.8</v>
      </c>
      <c r="K53" s="28">
        <f t="shared" ref="K53:K58" si="26">I53-J53</f>
        <v>168931</v>
      </c>
      <c r="L53" s="68">
        <f t="shared" ref="L53:L58" si="27">K53-M53</f>
        <v>166664</v>
      </c>
      <c r="M53" s="28">
        <v>2267</v>
      </c>
      <c r="N53" s="68">
        <f t="shared" ref="N53:N58" si="28">M53*0.65</f>
        <v>1473.55</v>
      </c>
      <c r="O53" s="68">
        <f t="shared" si="25"/>
        <v>167457.45000000001</v>
      </c>
    </row>
    <row r="54" spans="1:15" x14ac:dyDescent="0.25">
      <c r="A54" s="59">
        <v>53</v>
      </c>
      <c r="B54" s="59" t="s">
        <v>193</v>
      </c>
      <c r="C54" s="28" t="s">
        <v>185</v>
      </c>
      <c r="D54" s="28" t="s">
        <v>185</v>
      </c>
      <c r="E54" s="28" t="s">
        <v>140</v>
      </c>
      <c r="F54" s="28" t="s">
        <v>141</v>
      </c>
      <c r="G54" s="28" t="s">
        <v>185</v>
      </c>
      <c r="H54" s="28" t="s">
        <v>186</v>
      </c>
      <c r="I54" s="28">
        <v>102017.8</v>
      </c>
      <c r="J54" s="28">
        <v>3159.2</v>
      </c>
      <c r="K54" s="28">
        <f t="shared" si="26"/>
        <v>98858.6</v>
      </c>
      <c r="L54" s="68">
        <f t="shared" si="27"/>
        <v>97551.6</v>
      </c>
      <c r="M54" s="28">
        <v>1307</v>
      </c>
      <c r="N54" s="68">
        <f t="shared" si="28"/>
        <v>849.55000000000007</v>
      </c>
      <c r="O54" s="68">
        <f t="shared" si="25"/>
        <v>98009.05</v>
      </c>
    </row>
    <row r="55" spans="1:15" x14ac:dyDescent="0.25">
      <c r="A55" s="59">
        <v>54</v>
      </c>
      <c r="B55" s="59" t="s">
        <v>194</v>
      </c>
      <c r="C55" s="28" t="s">
        <v>185</v>
      </c>
      <c r="D55" s="28" t="s">
        <v>185</v>
      </c>
      <c r="E55" s="28" t="s">
        <v>140</v>
      </c>
      <c r="F55" s="28" t="s">
        <v>141</v>
      </c>
      <c r="G55" s="28" t="s">
        <v>185</v>
      </c>
      <c r="H55" s="28" t="s">
        <v>186</v>
      </c>
      <c r="I55" s="28">
        <v>53637.3</v>
      </c>
      <c r="J55" s="28">
        <v>1618.8</v>
      </c>
      <c r="K55" s="28">
        <f t="shared" si="26"/>
        <v>52018.5</v>
      </c>
      <c r="L55" s="68">
        <f t="shared" si="27"/>
        <v>51315.5</v>
      </c>
      <c r="M55" s="28">
        <v>703</v>
      </c>
      <c r="N55" s="68">
        <f t="shared" si="28"/>
        <v>456.95</v>
      </c>
      <c r="O55" s="68">
        <f t="shared" ref="O55:O62" si="29">K55-N55</f>
        <v>51561.55</v>
      </c>
    </row>
    <row r="56" spans="1:15" x14ac:dyDescent="0.25">
      <c r="A56" s="59">
        <v>55</v>
      </c>
      <c r="B56" s="59" t="s">
        <v>201</v>
      </c>
      <c r="C56" s="28" t="s">
        <v>68</v>
      </c>
      <c r="D56" s="28" t="s">
        <v>68</v>
      </c>
      <c r="E56" s="28" t="s">
        <v>140</v>
      </c>
      <c r="F56" s="28" t="s">
        <v>200</v>
      </c>
      <c r="G56" s="28" t="s">
        <v>68</v>
      </c>
      <c r="H56" s="28" t="s">
        <v>102</v>
      </c>
      <c r="I56" s="28">
        <v>160837.20000000001</v>
      </c>
      <c r="J56" s="28">
        <v>5382.4</v>
      </c>
      <c r="K56" s="28">
        <f t="shared" si="26"/>
        <v>155454.80000000002</v>
      </c>
      <c r="L56" s="68">
        <f t="shared" si="27"/>
        <v>153192.80000000002</v>
      </c>
      <c r="M56" s="28">
        <v>2262</v>
      </c>
      <c r="N56" s="68">
        <f t="shared" si="28"/>
        <v>1470.3</v>
      </c>
      <c r="O56" s="68">
        <f t="shared" si="29"/>
        <v>153984.50000000003</v>
      </c>
    </row>
    <row r="57" spans="1:15" x14ac:dyDescent="0.25">
      <c r="A57" s="59">
        <v>56</v>
      </c>
      <c r="B57" s="59" t="s">
        <v>201</v>
      </c>
      <c r="C57" s="28" t="s">
        <v>68</v>
      </c>
      <c r="D57" s="28" t="s">
        <v>68</v>
      </c>
      <c r="E57" s="28" t="s">
        <v>140</v>
      </c>
      <c r="F57" s="28" t="s">
        <v>200</v>
      </c>
      <c r="G57" s="28" t="s">
        <v>68</v>
      </c>
      <c r="H57" s="28" t="s">
        <v>102</v>
      </c>
      <c r="I57" s="28">
        <v>119917.1</v>
      </c>
      <c r="J57" s="28">
        <v>4131.5</v>
      </c>
      <c r="K57" s="28">
        <f t="shared" si="26"/>
        <v>115785.60000000001</v>
      </c>
      <c r="L57" s="68">
        <f t="shared" si="27"/>
        <v>114117.6</v>
      </c>
      <c r="M57" s="28">
        <v>1668</v>
      </c>
      <c r="N57" s="68">
        <f t="shared" si="28"/>
        <v>1084.2</v>
      </c>
      <c r="O57" s="68">
        <f t="shared" si="29"/>
        <v>114701.40000000001</v>
      </c>
    </row>
    <row r="58" spans="1:15" x14ac:dyDescent="0.25">
      <c r="A58" s="59">
        <v>57</v>
      </c>
      <c r="B58" s="59" t="s">
        <v>203</v>
      </c>
      <c r="C58" s="28" t="s">
        <v>68</v>
      </c>
      <c r="D58" s="28" t="s">
        <v>68</v>
      </c>
      <c r="E58" s="28" t="s">
        <v>140</v>
      </c>
      <c r="F58" s="28" t="s">
        <v>200</v>
      </c>
      <c r="G58" s="28" t="s">
        <v>68</v>
      </c>
      <c r="H58" s="28" t="s">
        <v>102</v>
      </c>
      <c r="I58" s="28">
        <v>161817.1</v>
      </c>
      <c r="J58" s="28">
        <v>5303</v>
      </c>
      <c r="K58" s="28">
        <f t="shared" si="26"/>
        <v>156514.1</v>
      </c>
      <c r="L58" s="68">
        <f t="shared" si="27"/>
        <v>154253.1</v>
      </c>
      <c r="M58" s="28">
        <v>2261</v>
      </c>
      <c r="N58" s="68">
        <f t="shared" si="28"/>
        <v>1469.65</v>
      </c>
      <c r="O58" s="68">
        <f t="shared" si="29"/>
        <v>155044.45000000001</v>
      </c>
    </row>
    <row r="59" spans="1:15" x14ac:dyDescent="0.25">
      <c r="A59" s="59">
        <v>58</v>
      </c>
      <c r="B59" s="59" t="s">
        <v>204</v>
      </c>
      <c r="C59" s="28" t="s">
        <v>68</v>
      </c>
      <c r="D59" s="28" t="s">
        <v>68</v>
      </c>
      <c r="E59" s="28" t="s">
        <v>140</v>
      </c>
      <c r="F59" s="28" t="s">
        <v>200</v>
      </c>
      <c r="G59" s="28" t="s">
        <v>68</v>
      </c>
      <c r="H59" s="28" t="s">
        <v>102</v>
      </c>
      <c r="I59" s="28">
        <v>150129.9</v>
      </c>
      <c r="J59" s="28">
        <v>5010.1000000000004</v>
      </c>
      <c r="K59" s="28">
        <f t="shared" ref="K59:K65" si="30">I59-J59</f>
        <v>145119.79999999999</v>
      </c>
      <c r="L59" s="68">
        <f t="shared" ref="L59:L65" si="31">K59-M59</f>
        <v>143050.79999999999</v>
      </c>
      <c r="M59" s="28">
        <v>2069</v>
      </c>
      <c r="N59" s="68">
        <f t="shared" ref="N59:N65" si="32">M59*0.65</f>
        <v>1344.8500000000001</v>
      </c>
      <c r="O59" s="68">
        <f t="shared" si="29"/>
        <v>143774.94999999998</v>
      </c>
    </row>
    <row r="60" spans="1:15" x14ac:dyDescent="0.25">
      <c r="A60" s="59">
        <v>59</v>
      </c>
      <c r="B60" s="59" t="s">
        <v>206</v>
      </c>
      <c r="C60" s="28" t="s">
        <v>68</v>
      </c>
      <c r="D60" s="28" t="s">
        <v>68</v>
      </c>
      <c r="E60" s="28" t="s">
        <v>140</v>
      </c>
      <c r="F60" s="28" t="s">
        <v>200</v>
      </c>
      <c r="G60" s="28" t="s">
        <v>68</v>
      </c>
      <c r="H60" s="28" t="s">
        <v>102</v>
      </c>
      <c r="I60" s="28">
        <v>31939.599999999999</v>
      </c>
      <c r="J60" s="28">
        <v>1031</v>
      </c>
      <c r="K60" s="28">
        <f t="shared" si="30"/>
        <v>30908.6</v>
      </c>
      <c r="L60" s="68">
        <f t="shared" si="31"/>
        <v>30474.6</v>
      </c>
      <c r="M60" s="28">
        <v>434</v>
      </c>
      <c r="N60" s="68">
        <f t="shared" si="32"/>
        <v>282.10000000000002</v>
      </c>
      <c r="O60" s="68">
        <f t="shared" si="29"/>
        <v>30626.5</v>
      </c>
    </row>
    <row r="61" spans="1:15" x14ac:dyDescent="0.25">
      <c r="A61" s="59">
        <v>60</v>
      </c>
      <c r="B61" s="59" t="s">
        <v>206</v>
      </c>
      <c r="C61" s="28" t="s">
        <v>99</v>
      </c>
      <c r="D61" s="28" t="s">
        <v>99</v>
      </c>
      <c r="E61" s="28" t="s">
        <v>140</v>
      </c>
      <c r="F61" s="28" t="s">
        <v>141</v>
      </c>
      <c r="G61" s="28" t="s">
        <v>99</v>
      </c>
      <c r="H61" s="28" t="s">
        <v>205</v>
      </c>
      <c r="I61" s="28">
        <v>43308.5</v>
      </c>
      <c r="J61" s="28">
        <v>1444.3</v>
      </c>
      <c r="K61" s="28">
        <f t="shared" si="30"/>
        <v>41864.199999999997</v>
      </c>
      <c r="L61" s="68">
        <f t="shared" si="31"/>
        <v>41344.199999999997</v>
      </c>
      <c r="M61" s="28">
        <v>520</v>
      </c>
      <c r="N61" s="68">
        <f t="shared" si="32"/>
        <v>338</v>
      </c>
      <c r="O61" s="68">
        <f t="shared" si="29"/>
        <v>41526.199999999997</v>
      </c>
    </row>
    <row r="62" spans="1:15" x14ac:dyDescent="0.25">
      <c r="A62" s="59">
        <v>61</v>
      </c>
      <c r="B62" s="59" t="s">
        <v>206</v>
      </c>
      <c r="C62" s="28" t="s">
        <v>99</v>
      </c>
      <c r="D62" s="28" t="s">
        <v>99</v>
      </c>
      <c r="E62" s="28" t="s">
        <v>140</v>
      </c>
      <c r="F62" s="28" t="s">
        <v>200</v>
      </c>
      <c r="G62" s="28" t="s">
        <v>99</v>
      </c>
      <c r="H62" s="28" t="s">
        <v>205</v>
      </c>
      <c r="I62" s="28">
        <v>53068.4</v>
      </c>
      <c r="J62" s="28">
        <v>1654</v>
      </c>
      <c r="K62" s="28">
        <f t="shared" si="30"/>
        <v>51414.400000000001</v>
      </c>
      <c r="L62" s="68">
        <f t="shared" si="31"/>
        <v>50690.400000000001</v>
      </c>
      <c r="M62" s="28">
        <v>724</v>
      </c>
      <c r="N62" s="68">
        <f t="shared" si="32"/>
        <v>470.6</v>
      </c>
      <c r="O62" s="68">
        <f t="shared" si="29"/>
        <v>50943.8</v>
      </c>
    </row>
    <row r="63" spans="1:15" x14ac:dyDescent="0.25">
      <c r="A63" s="59">
        <v>62</v>
      </c>
      <c r="B63" s="59" t="s">
        <v>207</v>
      </c>
      <c r="C63" s="28" t="s">
        <v>68</v>
      </c>
      <c r="D63" s="28" t="s">
        <v>68</v>
      </c>
      <c r="E63" s="28" t="s">
        <v>140</v>
      </c>
      <c r="F63" s="28" t="s">
        <v>200</v>
      </c>
      <c r="G63" s="28" t="s">
        <v>68</v>
      </c>
      <c r="H63" s="28" t="s">
        <v>102</v>
      </c>
      <c r="I63" s="28">
        <v>232839.2</v>
      </c>
      <c r="J63" s="28">
        <v>7710.3</v>
      </c>
      <c r="K63" s="28">
        <f t="shared" si="30"/>
        <v>225128.90000000002</v>
      </c>
      <c r="L63" s="68">
        <f t="shared" si="31"/>
        <v>221958.90000000002</v>
      </c>
      <c r="M63" s="28">
        <v>3170</v>
      </c>
      <c r="N63" s="68">
        <f t="shared" si="32"/>
        <v>2060.5</v>
      </c>
      <c r="O63" s="68">
        <f>K63-N63</f>
        <v>223068.40000000002</v>
      </c>
    </row>
    <row r="64" spans="1:15" x14ac:dyDescent="0.25">
      <c r="A64" s="223">
        <v>63</v>
      </c>
      <c r="B64" s="223" t="s">
        <v>210</v>
      </c>
      <c r="C64" s="224" t="s">
        <v>68</v>
      </c>
      <c r="D64" s="224" t="s">
        <v>68</v>
      </c>
      <c r="E64" s="224" t="s">
        <v>140</v>
      </c>
      <c r="F64" s="224" t="s">
        <v>200</v>
      </c>
      <c r="G64" s="224" t="s">
        <v>68</v>
      </c>
      <c r="H64" s="224" t="s">
        <v>102</v>
      </c>
      <c r="I64" s="224"/>
      <c r="J64" s="224"/>
      <c r="K64" s="224">
        <f t="shared" si="30"/>
        <v>0</v>
      </c>
      <c r="L64" s="225">
        <f t="shared" si="31"/>
        <v>0</v>
      </c>
      <c r="M64" s="224"/>
      <c r="N64" s="225">
        <f t="shared" si="32"/>
        <v>0</v>
      </c>
      <c r="O64" s="225">
        <v>4078.7</v>
      </c>
    </row>
    <row r="65" spans="1:15" x14ac:dyDescent="0.25">
      <c r="A65" s="59">
        <v>64</v>
      </c>
      <c r="B65" s="59" t="s">
        <v>210</v>
      </c>
      <c r="C65" s="28" t="s">
        <v>208</v>
      </c>
      <c r="D65" s="28" t="s">
        <v>208</v>
      </c>
      <c r="E65" s="28" t="s">
        <v>140</v>
      </c>
      <c r="F65" s="28" t="s">
        <v>200</v>
      </c>
      <c r="G65" s="28" t="s">
        <v>208</v>
      </c>
      <c r="H65" s="28" t="s">
        <v>79</v>
      </c>
      <c r="I65" s="28">
        <v>125236</v>
      </c>
      <c r="J65" s="28">
        <v>3988.4</v>
      </c>
      <c r="K65" s="28">
        <f t="shared" si="30"/>
        <v>121247.6</v>
      </c>
      <c r="L65" s="68">
        <f t="shared" si="31"/>
        <v>119604.6</v>
      </c>
      <c r="M65" s="28">
        <v>1643</v>
      </c>
      <c r="N65" s="68">
        <f t="shared" si="32"/>
        <v>1067.95</v>
      </c>
      <c r="O65" s="68">
        <f t="shared" ref="O65:O70" si="33">K65-N65</f>
        <v>120179.65000000001</v>
      </c>
    </row>
    <row r="66" spans="1:15" x14ac:dyDescent="0.25">
      <c r="A66" s="59">
        <v>65</v>
      </c>
      <c r="B66" s="59" t="s">
        <v>213</v>
      </c>
      <c r="C66" s="28" t="s">
        <v>211</v>
      </c>
      <c r="D66" s="28" t="s">
        <v>211</v>
      </c>
      <c r="E66" s="28" t="s">
        <v>140</v>
      </c>
      <c r="F66" s="28" t="s">
        <v>141</v>
      </c>
      <c r="G66" s="28" t="s">
        <v>211</v>
      </c>
      <c r="H66" s="28" t="s">
        <v>212</v>
      </c>
      <c r="I66" s="28">
        <v>210460.5</v>
      </c>
      <c r="J66" s="28">
        <v>6631.9</v>
      </c>
      <c r="K66" s="28">
        <f t="shared" ref="K66:K71" si="34">I66-J66</f>
        <v>203828.6</v>
      </c>
      <c r="L66" s="68">
        <f t="shared" ref="L66:L71" si="35">K66-M66</f>
        <v>201078.6</v>
      </c>
      <c r="M66" s="28">
        <v>2750</v>
      </c>
      <c r="N66" s="68">
        <f t="shared" ref="N66:N71" si="36">M66*0.65</f>
        <v>1787.5</v>
      </c>
      <c r="O66" s="68">
        <f t="shared" si="33"/>
        <v>202041.1</v>
      </c>
    </row>
    <row r="67" spans="1:15" x14ac:dyDescent="0.25">
      <c r="A67" s="59">
        <v>66</v>
      </c>
      <c r="B67" s="59" t="s">
        <v>214</v>
      </c>
      <c r="C67" s="28" t="s">
        <v>211</v>
      </c>
      <c r="D67" s="28" t="s">
        <v>211</v>
      </c>
      <c r="E67" s="28" t="s">
        <v>140</v>
      </c>
      <c r="F67" s="28" t="s">
        <v>141</v>
      </c>
      <c r="G67" s="28" t="s">
        <v>211</v>
      </c>
      <c r="H67" s="28" t="s">
        <v>212</v>
      </c>
      <c r="I67" s="28">
        <v>280045.09999999998</v>
      </c>
      <c r="J67" s="28">
        <v>8917.9</v>
      </c>
      <c r="K67" s="28">
        <f t="shared" si="34"/>
        <v>271127.19999999995</v>
      </c>
      <c r="L67" s="68">
        <f t="shared" si="35"/>
        <v>267472.19999999995</v>
      </c>
      <c r="M67" s="28">
        <v>3655</v>
      </c>
      <c r="N67" s="68">
        <f t="shared" si="36"/>
        <v>2375.75</v>
      </c>
      <c r="O67" s="68">
        <f t="shared" si="33"/>
        <v>268751.44999999995</v>
      </c>
    </row>
    <row r="68" spans="1:15" x14ac:dyDescent="0.25">
      <c r="A68" s="59">
        <v>67</v>
      </c>
      <c r="B68" s="59" t="s">
        <v>217</v>
      </c>
      <c r="C68" s="28" t="s">
        <v>215</v>
      </c>
      <c r="D68" s="28" t="s">
        <v>215</v>
      </c>
      <c r="E68" s="28" t="s">
        <v>140</v>
      </c>
      <c r="F68" s="28" t="s">
        <v>141</v>
      </c>
      <c r="G68" s="28" t="s">
        <v>215</v>
      </c>
      <c r="H68" s="28" t="s">
        <v>216</v>
      </c>
      <c r="I68" s="28">
        <v>257887.8</v>
      </c>
      <c r="J68" s="28">
        <v>8141</v>
      </c>
      <c r="K68" s="28">
        <f t="shared" si="34"/>
        <v>249746.8</v>
      </c>
      <c r="L68" s="68">
        <f t="shared" si="35"/>
        <v>246418.8</v>
      </c>
      <c r="M68" s="28">
        <v>3328</v>
      </c>
      <c r="N68" s="68">
        <f t="shared" si="36"/>
        <v>2163.2000000000003</v>
      </c>
      <c r="O68" s="68">
        <f t="shared" si="33"/>
        <v>247583.59999999998</v>
      </c>
    </row>
    <row r="69" spans="1:15" x14ac:dyDescent="0.25">
      <c r="A69" s="59">
        <v>68</v>
      </c>
      <c r="B69" s="150">
        <v>46031</v>
      </c>
      <c r="C69" s="28" t="s">
        <v>215</v>
      </c>
      <c r="D69" s="28" t="s">
        <v>215</v>
      </c>
      <c r="E69" s="28" t="s">
        <v>140</v>
      </c>
      <c r="F69" s="28" t="s">
        <v>141</v>
      </c>
      <c r="G69" s="28" t="s">
        <v>215</v>
      </c>
      <c r="H69" s="28" t="s">
        <v>216</v>
      </c>
      <c r="I69" s="28">
        <v>187423.3</v>
      </c>
      <c r="J69" s="28">
        <v>5828</v>
      </c>
      <c r="K69" s="28">
        <f t="shared" si="34"/>
        <v>181595.3</v>
      </c>
      <c r="L69" s="68">
        <f t="shared" si="35"/>
        <v>179186.3</v>
      </c>
      <c r="M69" s="28">
        <v>2409</v>
      </c>
      <c r="N69" s="68">
        <f t="shared" si="36"/>
        <v>1565.8500000000001</v>
      </c>
      <c r="O69" s="68">
        <f t="shared" si="33"/>
        <v>180029.44999999998</v>
      </c>
    </row>
    <row r="70" spans="1:15" x14ac:dyDescent="0.25">
      <c r="A70" s="59">
        <v>69</v>
      </c>
      <c r="B70" s="150">
        <v>46062</v>
      </c>
      <c r="C70" s="28" t="s">
        <v>215</v>
      </c>
      <c r="D70" s="28" t="s">
        <v>215</v>
      </c>
      <c r="E70" s="28" t="s">
        <v>140</v>
      </c>
      <c r="F70" s="28" t="s">
        <v>141</v>
      </c>
      <c r="G70" s="28" t="s">
        <v>215</v>
      </c>
      <c r="H70" s="28" t="s">
        <v>216</v>
      </c>
      <c r="I70" s="28">
        <v>115047.8</v>
      </c>
      <c r="J70" s="28">
        <v>3766</v>
      </c>
      <c r="K70" s="28">
        <f t="shared" si="34"/>
        <v>111281.8</v>
      </c>
      <c r="L70" s="68">
        <f t="shared" si="35"/>
        <v>109772.8</v>
      </c>
      <c r="M70" s="28">
        <v>1509</v>
      </c>
      <c r="N70" s="68">
        <f t="shared" si="36"/>
        <v>980.85</v>
      </c>
      <c r="O70" s="68">
        <f t="shared" si="33"/>
        <v>110300.95</v>
      </c>
    </row>
    <row r="71" spans="1:15" x14ac:dyDescent="0.25">
      <c r="A71" s="59">
        <v>70</v>
      </c>
      <c r="B71" s="150">
        <v>46090</v>
      </c>
      <c r="C71" s="28" t="s">
        <v>215</v>
      </c>
      <c r="D71" s="28" t="s">
        <v>215</v>
      </c>
      <c r="E71" s="28" t="s">
        <v>140</v>
      </c>
      <c r="F71" s="28" t="s">
        <v>141</v>
      </c>
      <c r="G71" s="28" t="s">
        <v>215</v>
      </c>
      <c r="H71" s="28" t="s">
        <v>216</v>
      </c>
      <c r="I71" s="28">
        <v>142375</v>
      </c>
      <c r="J71" s="28">
        <v>4633.2</v>
      </c>
      <c r="K71" s="28">
        <f t="shared" si="34"/>
        <v>137741.79999999999</v>
      </c>
      <c r="L71" s="68">
        <f t="shared" si="35"/>
        <v>135863.79999999999</v>
      </c>
      <c r="M71" s="28">
        <v>1878</v>
      </c>
      <c r="N71" s="68">
        <f t="shared" si="36"/>
        <v>1220.7</v>
      </c>
      <c r="O71" s="68">
        <f>K71-N71</f>
        <v>136521.09999999998</v>
      </c>
    </row>
    <row r="72" spans="1:15" x14ac:dyDescent="0.25">
      <c r="A72" s="59">
        <v>71</v>
      </c>
      <c r="B72" s="150">
        <v>46121</v>
      </c>
      <c r="C72" s="28" t="s">
        <v>215</v>
      </c>
      <c r="D72" s="28" t="s">
        <v>215</v>
      </c>
      <c r="E72" s="28" t="s">
        <v>140</v>
      </c>
      <c r="F72" s="28" t="s">
        <v>141</v>
      </c>
      <c r="G72" s="28" t="s">
        <v>215</v>
      </c>
      <c r="H72" s="28" t="s">
        <v>216</v>
      </c>
      <c r="I72" s="28">
        <v>162690.4</v>
      </c>
      <c r="J72" s="28">
        <v>5196.3</v>
      </c>
      <c r="K72" s="28">
        <f>I72-J72</f>
        <v>157494.1</v>
      </c>
      <c r="L72" s="68">
        <f>K72-M72</f>
        <v>155393.1</v>
      </c>
      <c r="M72" s="28">
        <v>2101</v>
      </c>
      <c r="N72" s="68">
        <f>M72*0.65</f>
        <v>1365.65</v>
      </c>
      <c r="O72" s="68">
        <f>K72-N72</f>
        <v>156128.45000000001</v>
      </c>
    </row>
    <row r="73" spans="1:15" x14ac:dyDescent="0.25">
      <c r="A73" s="59">
        <v>72</v>
      </c>
      <c r="B73" s="150">
        <v>46151</v>
      </c>
      <c r="C73" s="28" t="s">
        <v>215</v>
      </c>
      <c r="D73" s="28" t="s">
        <v>215</v>
      </c>
      <c r="E73" s="28" t="s">
        <v>140</v>
      </c>
      <c r="F73" s="28" t="s">
        <v>141</v>
      </c>
      <c r="G73" s="28" t="s">
        <v>215</v>
      </c>
      <c r="H73" s="28" t="s">
        <v>216</v>
      </c>
      <c r="I73" s="28">
        <v>167808.7</v>
      </c>
      <c r="J73" s="28">
        <v>5170.7</v>
      </c>
      <c r="K73" s="28">
        <f>I73-J73</f>
        <v>162638</v>
      </c>
      <c r="L73" s="68">
        <f>K73-M73</f>
        <v>160493</v>
      </c>
      <c r="M73" s="28">
        <v>2145</v>
      </c>
      <c r="N73" s="68">
        <f>M73*0.65</f>
        <v>1394.25</v>
      </c>
      <c r="O73" s="68">
        <f>K73-N73</f>
        <v>161243.75</v>
      </c>
    </row>
    <row r="74" spans="1:15" x14ac:dyDescent="0.25">
      <c r="A74" s="59">
        <v>73</v>
      </c>
      <c r="B74" s="150">
        <v>46212</v>
      </c>
      <c r="C74" s="28" t="s">
        <v>215</v>
      </c>
      <c r="D74" s="28" t="s">
        <v>215</v>
      </c>
      <c r="E74" s="28" t="s">
        <v>140</v>
      </c>
      <c r="F74" s="28" t="s">
        <v>141</v>
      </c>
      <c r="G74" s="28" t="s">
        <v>215</v>
      </c>
      <c r="H74" s="28" t="s">
        <v>216</v>
      </c>
      <c r="I74" s="28">
        <v>195057.7</v>
      </c>
      <c r="J74" s="28">
        <v>5889.3</v>
      </c>
      <c r="K74" s="28">
        <f>I74-J74</f>
        <v>189168.40000000002</v>
      </c>
      <c r="L74" s="68">
        <f>K74-M74</f>
        <v>186655.40000000002</v>
      </c>
      <c r="M74" s="28">
        <v>2513</v>
      </c>
      <c r="N74" s="68">
        <f>M74*0.65</f>
        <v>1633.45</v>
      </c>
      <c r="O74" s="68">
        <f>K74-N74</f>
        <v>187534.95</v>
      </c>
    </row>
    <row r="75" spans="1:15" x14ac:dyDescent="0.25">
      <c r="A75" s="59">
        <v>74</v>
      </c>
      <c r="B75" s="150">
        <v>46243</v>
      </c>
      <c r="C75" s="28" t="s">
        <v>219</v>
      </c>
      <c r="D75" s="28" t="s">
        <v>219</v>
      </c>
      <c r="E75" s="28" t="s">
        <v>140</v>
      </c>
      <c r="F75" s="28" t="s">
        <v>141</v>
      </c>
      <c r="G75" s="28" t="s">
        <v>219</v>
      </c>
      <c r="H75" s="28" t="s">
        <v>220</v>
      </c>
      <c r="I75" s="28">
        <v>127408.9</v>
      </c>
      <c r="J75" s="28">
        <v>3866.2</v>
      </c>
      <c r="K75" s="28">
        <f>I75-J75</f>
        <v>123542.7</v>
      </c>
      <c r="L75" s="68">
        <f>K75-M75</f>
        <v>121830.7</v>
      </c>
      <c r="M75" s="28">
        <v>1712</v>
      </c>
      <c r="N75" s="68">
        <f>M75*0.65</f>
        <v>1112.8</v>
      </c>
      <c r="O75" s="68">
        <f>K75-N75</f>
        <v>122429.9</v>
      </c>
    </row>
    <row r="76" spans="1:15" x14ac:dyDescent="0.25">
      <c r="A76" s="59">
        <v>75</v>
      </c>
      <c r="B76" s="150">
        <v>46274</v>
      </c>
      <c r="C76" s="28" t="s">
        <v>219</v>
      </c>
      <c r="D76" s="28" t="s">
        <v>219</v>
      </c>
      <c r="E76" s="28" t="s">
        <v>140</v>
      </c>
      <c r="F76" s="28" t="s">
        <v>141</v>
      </c>
      <c r="G76" s="28" t="s">
        <v>219</v>
      </c>
      <c r="H76" s="28" t="s">
        <v>220</v>
      </c>
      <c r="K76" s="28">
        <f>I76-J76</f>
        <v>0</v>
      </c>
      <c r="L76" s="227">
        <f>K76-M76</f>
        <v>0</v>
      </c>
      <c r="N76" s="68">
        <f>M76*0.65</f>
        <v>0</v>
      </c>
      <c r="O76" s="68">
        <f>K76-N76</f>
        <v>0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FE67-6B93-4EA9-BBFA-D0DA264EF09F}">
  <dimension ref="A3:AZ3"/>
  <sheetViews>
    <sheetView workbookViewId="0">
      <selection activeCell="H16" sqref="H16"/>
    </sheetView>
  </sheetViews>
  <sheetFormatPr defaultColWidth="9.88671875" defaultRowHeight="14.4" x14ac:dyDescent="0.3"/>
  <sheetData>
    <row r="3" spans="1:52" s="1" customFormat="1" ht="48" x14ac:dyDescent="0.25">
      <c r="A3" s="45">
        <v>36</v>
      </c>
      <c r="B3" s="70">
        <v>46331</v>
      </c>
      <c r="C3" s="36"/>
      <c r="D3" s="36"/>
      <c r="E3" s="36"/>
      <c r="F3" s="45">
        <v>207</v>
      </c>
      <c r="G3" s="45">
        <v>82770</v>
      </c>
      <c r="H3" s="45"/>
      <c r="I3" s="45"/>
      <c r="J3" s="45" t="s">
        <v>23</v>
      </c>
      <c r="K3" s="36"/>
      <c r="L3" s="36"/>
      <c r="M3" s="36"/>
      <c r="N3" s="36"/>
      <c r="O3" s="36"/>
      <c r="P3" s="36">
        <v>49741</v>
      </c>
      <c r="Q3" s="36">
        <v>49355</v>
      </c>
      <c r="R3" s="46">
        <f t="shared" ref="R3" si="0">P3-Q3</f>
        <v>386</v>
      </c>
      <c r="S3" s="46">
        <v>8.9</v>
      </c>
      <c r="T3" s="45">
        <v>176</v>
      </c>
      <c r="U3" s="36">
        <v>42.76</v>
      </c>
      <c r="V3" s="36">
        <v>8.9</v>
      </c>
      <c r="W3" s="73">
        <v>176</v>
      </c>
      <c r="X3" s="36">
        <v>42.76</v>
      </c>
      <c r="Y3" s="36"/>
      <c r="Z3" s="36"/>
      <c r="AA3" s="36"/>
      <c r="AB3" s="36"/>
      <c r="AC3" s="36"/>
      <c r="AD3" s="36"/>
      <c r="AE3" s="36"/>
      <c r="AF3" s="41">
        <f t="shared" ref="AF3" si="1">(S3-V3)/100</f>
        <v>0</v>
      </c>
      <c r="AG3" s="42">
        <f t="shared" ref="AG3" si="2">P3-Q3</f>
        <v>386</v>
      </c>
      <c r="AH3" s="43">
        <f t="shared" ref="AH3" si="3">IFERROR(AG3/P3,"0")</f>
        <v>7.7601978247321124E-3</v>
      </c>
      <c r="AI3" s="36">
        <v>639</v>
      </c>
      <c r="AJ3" s="36">
        <v>666</v>
      </c>
      <c r="AK3" s="45">
        <v>666</v>
      </c>
      <c r="AL3" s="36" t="s">
        <v>64</v>
      </c>
      <c r="AM3" s="36" t="s">
        <v>24</v>
      </c>
      <c r="AN3" s="76" t="s">
        <v>70</v>
      </c>
      <c r="AO3" s="35" t="s">
        <v>25</v>
      </c>
      <c r="AP3" s="74"/>
      <c r="AQ3" s="71"/>
      <c r="AR3" s="75"/>
      <c r="AS3" s="75"/>
      <c r="AT3" s="47" t="s">
        <v>25</v>
      </c>
      <c r="AU3" s="65" t="s">
        <v>65</v>
      </c>
      <c r="AV3" s="28"/>
      <c r="AW3" s="28"/>
      <c r="AX3" s="28"/>
      <c r="AY3" s="28"/>
      <c r="AZ3" s="28"/>
    </row>
  </sheetData>
  <conditionalFormatting sqref="G3">
    <cfRule type="duplicateValues" dxfId="0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D879-00F0-4325-99F3-F810B28B8EDD}">
  <dimension ref="A4:AM145"/>
  <sheetViews>
    <sheetView tabSelected="1" topLeftCell="A5" zoomScale="130" zoomScaleNormal="130" workbookViewId="0">
      <pane xSplit="7" ySplit="1" topLeftCell="H112" activePane="bottomRight" state="frozen"/>
      <selection activeCell="A5" sqref="A5"/>
      <selection pane="topRight" activeCell="F5" sqref="F5"/>
      <selection pane="bottomLeft" activeCell="A6" sqref="A6"/>
      <selection pane="bottomRight" activeCell="B120" sqref="B120"/>
    </sheetView>
  </sheetViews>
  <sheetFormatPr defaultColWidth="8.88671875" defaultRowHeight="12" x14ac:dyDescent="0.25"/>
  <cols>
    <col min="1" max="1" width="8.88671875" style="28"/>
    <col min="2" max="2" width="16.109375" style="94" customWidth="1"/>
    <col min="3" max="3" width="16.6640625" style="28" bestFit="1" customWidth="1"/>
    <col min="4" max="5" width="11.33203125" style="28" bestFit="1" customWidth="1"/>
    <col min="6" max="6" width="11.33203125" style="28" customWidth="1"/>
    <col min="7" max="7" width="8.88671875" style="28"/>
    <col min="8" max="8" width="10.88671875" style="28" customWidth="1"/>
    <col min="9" max="9" width="10.109375" style="28" customWidth="1"/>
    <col min="10" max="10" width="8.88671875" style="28" customWidth="1"/>
    <col min="11" max="11" width="9.33203125" style="28" customWidth="1"/>
    <col min="12" max="12" width="9.88671875" style="28" customWidth="1"/>
    <col min="13" max="13" width="8.88671875" style="28" customWidth="1"/>
    <col min="14" max="14" width="9.44140625" style="28" customWidth="1"/>
    <col min="15" max="15" width="8.6640625" style="28" bestFit="1" customWidth="1"/>
    <col min="16" max="16" width="8.6640625" style="28" customWidth="1"/>
    <col min="17" max="17" width="8.5546875" style="28" customWidth="1"/>
    <col min="18" max="18" width="11.5546875" style="28" bestFit="1" customWidth="1"/>
    <col min="19" max="19" width="10" style="28" customWidth="1"/>
    <col min="20" max="20" width="13.5546875" style="28" customWidth="1"/>
    <col min="21" max="21" width="8.33203125" style="28" customWidth="1"/>
    <col min="22" max="22" width="8.109375" style="28" customWidth="1"/>
    <col min="23" max="23" width="5.33203125" style="28" customWidth="1"/>
    <col min="24" max="24" width="7.6640625" style="28" customWidth="1"/>
    <col min="25" max="25" width="8.6640625" style="28" customWidth="1"/>
    <col min="26" max="26" width="8.5546875" style="28" customWidth="1"/>
    <col min="27" max="27" width="11.88671875" style="28" customWidth="1"/>
    <col min="28" max="28" width="13.6640625" style="28" customWidth="1"/>
    <col min="29" max="29" width="12.6640625" style="28" customWidth="1"/>
    <col min="30" max="30" width="16.21875" style="28" bestFit="1" customWidth="1"/>
    <col min="31" max="31" width="8.33203125" style="28" customWidth="1"/>
    <col min="32" max="32" width="11.109375" style="28" customWidth="1"/>
    <col min="33" max="33" width="40.33203125" style="28" customWidth="1"/>
    <col min="34" max="34" width="18.6640625" style="28" bestFit="1" customWidth="1"/>
    <col min="35" max="36" width="8.88671875" style="28"/>
    <col min="37" max="37" width="12.5546875" style="28" bestFit="1" customWidth="1"/>
    <col min="38" max="38" width="30.21875" style="28" bestFit="1" customWidth="1"/>
    <col min="39" max="16384" width="8.88671875" style="28"/>
  </cols>
  <sheetData>
    <row r="4" spans="1:39" x14ac:dyDescent="0.25">
      <c r="B4" s="226" t="s">
        <v>26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</row>
    <row r="5" spans="1:39" s="65" customFormat="1" ht="36" x14ac:dyDescent="0.3">
      <c r="A5" s="198" t="s">
        <v>61</v>
      </c>
      <c r="B5" s="199" t="s">
        <v>27</v>
      </c>
      <c r="C5" s="58" t="s">
        <v>42</v>
      </c>
      <c r="D5" s="58" t="s">
        <v>119</v>
      </c>
      <c r="E5" s="58" t="s">
        <v>67</v>
      </c>
      <c r="F5" s="58" t="s">
        <v>122</v>
      </c>
      <c r="G5" s="58" t="s">
        <v>59</v>
      </c>
      <c r="H5" s="58" t="s">
        <v>41</v>
      </c>
      <c r="I5" s="58" t="s">
        <v>44</v>
      </c>
      <c r="J5" s="58" t="s">
        <v>56</v>
      </c>
      <c r="K5" s="58" t="s">
        <v>45</v>
      </c>
      <c r="L5" s="58" t="s">
        <v>55</v>
      </c>
      <c r="M5" s="58" t="s">
        <v>58</v>
      </c>
      <c r="N5" s="58" t="s">
        <v>53</v>
      </c>
      <c r="O5" s="58" t="s">
        <v>49</v>
      </c>
      <c r="P5" s="58" t="s">
        <v>50</v>
      </c>
      <c r="Q5" s="58" t="s">
        <v>48</v>
      </c>
      <c r="R5" s="58" t="s">
        <v>28</v>
      </c>
      <c r="S5" s="58" t="s">
        <v>29</v>
      </c>
      <c r="T5" s="58" t="s">
        <v>38</v>
      </c>
      <c r="U5" s="58" t="s">
        <v>35</v>
      </c>
      <c r="V5" s="58" t="s">
        <v>36</v>
      </c>
      <c r="W5" s="58" t="s">
        <v>30</v>
      </c>
      <c r="X5" s="58" t="s">
        <v>31</v>
      </c>
      <c r="Y5" s="58" t="s">
        <v>32</v>
      </c>
      <c r="Z5" s="58" t="s">
        <v>47</v>
      </c>
      <c r="AA5" s="58" t="s">
        <v>33</v>
      </c>
      <c r="AB5" s="58" t="s">
        <v>34</v>
      </c>
      <c r="AC5" s="58" t="s">
        <v>66</v>
      </c>
      <c r="AD5" s="58" t="s">
        <v>39</v>
      </c>
      <c r="AE5" s="58" t="s">
        <v>63</v>
      </c>
      <c r="AF5" s="58" t="s">
        <v>40</v>
      </c>
      <c r="AG5" s="58" t="s">
        <v>46</v>
      </c>
      <c r="AH5" s="198" t="s">
        <v>110</v>
      </c>
      <c r="AK5" s="214" t="s">
        <v>195</v>
      </c>
      <c r="AL5" t="s">
        <v>197</v>
      </c>
      <c r="AM5"/>
    </row>
    <row r="6" spans="1:39" ht="14.4" x14ac:dyDescent="0.3">
      <c r="A6" s="59">
        <v>1</v>
      </c>
      <c r="B6" s="92">
        <v>46134</v>
      </c>
      <c r="C6" s="28" t="s">
        <v>43</v>
      </c>
      <c r="D6" s="203" t="s">
        <v>90</v>
      </c>
      <c r="E6" s="69" t="s">
        <v>100</v>
      </c>
      <c r="F6" s="69" t="s">
        <v>132</v>
      </c>
      <c r="G6" s="28">
        <v>1001</v>
      </c>
      <c r="H6" s="28">
        <v>43.12</v>
      </c>
      <c r="I6" s="28">
        <v>172</v>
      </c>
      <c r="J6" s="28">
        <v>230</v>
      </c>
      <c r="K6" s="28">
        <v>8.9</v>
      </c>
      <c r="L6" s="28">
        <v>16</v>
      </c>
      <c r="M6" s="28">
        <v>13</v>
      </c>
      <c r="N6" s="28">
        <v>20</v>
      </c>
      <c r="O6" s="28">
        <v>0</v>
      </c>
      <c r="P6" s="28">
        <v>25</v>
      </c>
      <c r="Q6" s="28">
        <v>690</v>
      </c>
      <c r="R6" s="28">
        <f>'FINAL DRY RCN-YAKRO-2026'!F15</f>
        <v>89770</v>
      </c>
      <c r="S6" s="28">
        <v>644</v>
      </c>
      <c r="T6" s="59">
        <f>'FINAL DRY RCN-YAKRO-2026'!AL15</f>
        <v>644</v>
      </c>
      <c r="U6" s="60">
        <f>0.69</f>
        <v>0.69</v>
      </c>
      <c r="V6" s="60">
        <f>0.69*T6</f>
        <v>444.35999999999996</v>
      </c>
      <c r="W6" s="59">
        <v>25</v>
      </c>
      <c r="X6" s="60">
        <v>71.319999999999993</v>
      </c>
      <c r="Y6" s="60">
        <f>71.32*25</f>
        <v>1782.9999999999998</v>
      </c>
      <c r="Z6" s="60"/>
      <c r="AA6" s="60">
        <f>48375</f>
        <v>48375</v>
      </c>
      <c r="AB6" s="62">
        <f>AA6-V6</f>
        <v>47930.64</v>
      </c>
      <c r="AC6" s="200">
        <v>46135</v>
      </c>
      <c r="AD6" s="63">
        <f>97398</f>
        <v>97398</v>
      </c>
      <c r="AE6" s="63" t="s">
        <v>3</v>
      </c>
      <c r="AF6" s="170">
        <f>AD6-AB6-AB7</f>
        <v>1583.5900000000038</v>
      </c>
      <c r="AG6" s="68"/>
      <c r="AH6" s="60">
        <f>AF6+AB6+AB7</f>
        <v>97398</v>
      </c>
      <c r="AK6" s="215">
        <v>0</v>
      </c>
      <c r="AL6" s="216">
        <v>0</v>
      </c>
      <c r="AM6"/>
    </row>
    <row r="7" spans="1:39" ht="14.4" x14ac:dyDescent="0.3">
      <c r="A7" s="59">
        <v>2</v>
      </c>
      <c r="B7" s="92">
        <v>46134</v>
      </c>
      <c r="C7" s="28" t="s">
        <v>43</v>
      </c>
      <c r="D7" s="203" t="s">
        <v>90</v>
      </c>
      <c r="E7" s="69" t="s">
        <v>100</v>
      </c>
      <c r="F7" s="69" t="s">
        <v>132</v>
      </c>
      <c r="G7" s="28">
        <v>1001</v>
      </c>
      <c r="H7" s="28">
        <v>42.85</v>
      </c>
      <c r="I7" s="28">
        <v>170</v>
      </c>
      <c r="J7" s="28">
        <v>230</v>
      </c>
      <c r="K7" s="28">
        <v>9.8000000000000007</v>
      </c>
      <c r="L7" s="28">
        <v>10</v>
      </c>
      <c r="M7" s="28">
        <v>16</v>
      </c>
      <c r="N7" s="28">
        <v>28</v>
      </c>
      <c r="O7" s="28">
        <v>8</v>
      </c>
      <c r="P7" s="28">
        <v>30</v>
      </c>
      <c r="Q7" s="28">
        <v>689</v>
      </c>
      <c r="R7" s="28">
        <f>'FINAL DRY RCN-YAKRO-2026'!F16</f>
        <v>89781</v>
      </c>
      <c r="S7" s="28">
        <v>667</v>
      </c>
      <c r="T7" s="59">
        <f>'FINAL DRY RCN-YAKRO-2026'!AL16</f>
        <v>667</v>
      </c>
      <c r="U7" s="60">
        <f>0.69</f>
        <v>0.69</v>
      </c>
      <c r="V7" s="60">
        <f t="shared" ref="V7" si="0">0.69*T7</f>
        <v>460.22999999999996</v>
      </c>
      <c r="W7" s="59">
        <v>31</v>
      </c>
      <c r="X7" s="60">
        <f>71.32</f>
        <v>71.319999999999993</v>
      </c>
      <c r="Y7" s="60">
        <f>71.32*31</f>
        <v>2210.9199999999996</v>
      </c>
      <c r="Z7" s="60"/>
      <c r="AA7" s="60">
        <v>48344</v>
      </c>
      <c r="AB7" s="62">
        <f>AA7-V7</f>
        <v>47883.77</v>
      </c>
      <c r="AC7" s="200">
        <v>46135</v>
      </c>
      <c r="AD7" s="63"/>
      <c r="AE7" s="63" t="s">
        <v>3</v>
      </c>
      <c r="AF7" s="170"/>
      <c r="AG7" s="68"/>
      <c r="AH7" s="68"/>
      <c r="AK7" s="215" t="s">
        <v>91</v>
      </c>
      <c r="AL7" s="216">
        <v>539147.95000000007</v>
      </c>
      <c r="AM7"/>
    </row>
    <row r="8" spans="1:39" ht="14.4" x14ac:dyDescent="0.3">
      <c r="A8" s="59">
        <v>3</v>
      </c>
      <c r="B8" s="92">
        <v>46135</v>
      </c>
      <c r="C8" s="28" t="s">
        <v>43</v>
      </c>
      <c r="D8" s="203" t="s">
        <v>90</v>
      </c>
      <c r="E8" s="69" t="s">
        <v>100</v>
      </c>
      <c r="F8" s="69" t="s">
        <v>132</v>
      </c>
      <c r="G8" s="28">
        <v>1004</v>
      </c>
      <c r="H8" s="28">
        <v>43.38</v>
      </c>
      <c r="I8" s="28">
        <v>180</v>
      </c>
      <c r="J8" s="28">
        <v>228</v>
      </c>
      <c r="K8" s="28">
        <v>8.6</v>
      </c>
      <c r="L8" s="28">
        <v>10</v>
      </c>
      <c r="M8" s="28">
        <v>11</v>
      </c>
      <c r="N8" s="28">
        <v>31</v>
      </c>
      <c r="O8" s="28">
        <v>0</v>
      </c>
      <c r="P8" s="28">
        <v>20</v>
      </c>
      <c r="Q8" s="28">
        <v>693</v>
      </c>
      <c r="R8" s="28">
        <v>29107</v>
      </c>
      <c r="S8" s="28">
        <v>600</v>
      </c>
      <c r="T8" s="59">
        <v>614</v>
      </c>
      <c r="U8" s="60">
        <f>0.617</f>
        <v>0.61699999999999999</v>
      </c>
      <c r="V8" s="60">
        <f>T8*U8</f>
        <v>378.83800000000002</v>
      </c>
      <c r="W8" s="59">
        <v>26</v>
      </c>
      <c r="X8" s="60">
        <f>Y8/W8</f>
        <v>74.230769230769226</v>
      </c>
      <c r="Y8" s="60">
        <v>1930</v>
      </c>
      <c r="Z8" s="60"/>
      <c r="AA8" s="60">
        <v>44380</v>
      </c>
      <c r="AB8" s="62">
        <f>AA8-V8</f>
        <v>44001.161999999997</v>
      </c>
      <c r="AC8" s="200">
        <v>46137</v>
      </c>
      <c r="AD8" s="63">
        <f>44066</f>
        <v>44066</v>
      </c>
      <c r="AE8" s="63"/>
      <c r="AF8" s="103">
        <f>AD8-AB8</f>
        <v>64.838000000003376</v>
      </c>
      <c r="AH8" s="68">
        <f>AF8+AB8</f>
        <v>44066</v>
      </c>
      <c r="AK8" s="215" t="s">
        <v>163</v>
      </c>
      <c r="AL8" s="216">
        <v>425393.99999999994</v>
      </c>
      <c r="AM8"/>
    </row>
    <row r="9" spans="1:39" ht="14.4" x14ac:dyDescent="0.3">
      <c r="A9" s="59">
        <v>4</v>
      </c>
      <c r="B9" s="92">
        <v>46137</v>
      </c>
      <c r="C9" s="28" t="s">
        <v>43</v>
      </c>
      <c r="D9" s="203" t="s">
        <v>90</v>
      </c>
      <c r="E9" s="69" t="s">
        <v>100</v>
      </c>
      <c r="F9" s="69" t="s">
        <v>132</v>
      </c>
      <c r="G9" s="28">
        <v>1004</v>
      </c>
      <c r="H9" s="28">
        <v>43.65</v>
      </c>
      <c r="I9" s="28">
        <v>171</v>
      </c>
      <c r="J9" s="28">
        <v>238</v>
      </c>
      <c r="K9" s="28">
        <v>8.8000000000000007</v>
      </c>
      <c r="L9" s="28">
        <v>11</v>
      </c>
      <c r="M9" s="28">
        <v>8</v>
      </c>
      <c r="N9" s="28">
        <v>30</v>
      </c>
      <c r="O9" s="28">
        <v>2</v>
      </c>
      <c r="P9" s="28">
        <v>20</v>
      </c>
      <c r="Q9" s="28">
        <v>685</v>
      </c>
      <c r="R9" s="28">
        <v>87146</v>
      </c>
      <c r="S9" s="28">
        <v>457</v>
      </c>
      <c r="T9" s="59">
        <v>458</v>
      </c>
      <c r="U9" s="60">
        <f>289/458</f>
        <v>0.63100436681222705</v>
      </c>
      <c r="V9" s="60">
        <f t="shared" ref="V9:V14" si="1">T9*U9</f>
        <v>289</v>
      </c>
      <c r="W9" s="59">
        <v>21</v>
      </c>
      <c r="X9" s="60">
        <f t="shared" ref="X9:X25" si="2">Y9/W9</f>
        <v>74.747619047619054</v>
      </c>
      <c r="Y9" s="60">
        <v>1569.7</v>
      </c>
      <c r="Z9" s="60"/>
      <c r="AA9" s="60">
        <v>33006</v>
      </c>
      <c r="AB9" s="62">
        <f>AA9-V9</f>
        <v>32717</v>
      </c>
      <c r="AC9" s="200">
        <v>46137</v>
      </c>
      <c r="AD9" s="63">
        <f>32913.9</f>
        <v>32913.9</v>
      </c>
      <c r="AE9" s="63"/>
      <c r="AF9" s="103">
        <f>AD9-AB9</f>
        <v>196.90000000000146</v>
      </c>
      <c r="AH9" s="68">
        <f>AF9+AB9</f>
        <v>32913.9</v>
      </c>
      <c r="AK9" s="215" t="s">
        <v>185</v>
      </c>
      <c r="AL9" s="216">
        <v>878238.90000000014</v>
      </c>
      <c r="AM9"/>
    </row>
    <row r="10" spans="1:39" ht="14.4" x14ac:dyDescent="0.3">
      <c r="A10" s="59">
        <v>5</v>
      </c>
      <c r="B10" s="92">
        <v>46137</v>
      </c>
      <c r="C10" s="28" t="s">
        <v>43</v>
      </c>
      <c r="D10" s="203" t="s">
        <v>90</v>
      </c>
      <c r="E10" s="69" t="s">
        <v>100</v>
      </c>
      <c r="F10" s="69" t="s">
        <v>132</v>
      </c>
      <c r="G10" s="28">
        <v>1002</v>
      </c>
      <c r="H10" s="28">
        <v>42.68</v>
      </c>
      <c r="I10" s="28">
        <v>176</v>
      </c>
      <c r="J10" s="28">
        <v>226</v>
      </c>
      <c r="K10" s="28">
        <v>10.5</v>
      </c>
      <c r="L10" s="28">
        <v>19</v>
      </c>
      <c r="M10" s="28">
        <v>13</v>
      </c>
      <c r="N10" s="28">
        <v>33</v>
      </c>
      <c r="O10" s="28">
        <v>2</v>
      </c>
      <c r="P10" s="28">
        <v>17</v>
      </c>
      <c r="Q10" s="28">
        <v>687</v>
      </c>
      <c r="R10" s="28">
        <v>87093</v>
      </c>
      <c r="S10" s="28">
        <v>528</v>
      </c>
      <c r="T10" s="59">
        <v>527</v>
      </c>
      <c r="U10" s="60">
        <f t="shared" ref="U10:U13" si="3">289/458</f>
        <v>0.63100436681222705</v>
      </c>
      <c r="V10" s="60">
        <f>T10*U10</f>
        <v>332.53930131004364</v>
      </c>
      <c r="W10" s="59">
        <v>23</v>
      </c>
      <c r="X10" s="60">
        <f t="shared" si="2"/>
        <v>76.847826086956516</v>
      </c>
      <c r="Y10" s="60">
        <f>1767.5</f>
        <v>1767.5</v>
      </c>
      <c r="Z10" s="60"/>
      <c r="AA10" s="60">
        <v>38919</v>
      </c>
      <c r="AB10" s="62">
        <f t="shared" ref="AB10:AB17" si="4">AA10-V10</f>
        <v>38586.46069868996</v>
      </c>
      <c r="AC10" s="200">
        <v>46140</v>
      </c>
      <c r="AD10" s="63">
        <v>38461.599999999999</v>
      </c>
      <c r="AE10" s="63"/>
      <c r="AF10" s="64">
        <f>AB10-AD10</f>
        <v>124.86069868996128</v>
      </c>
      <c r="AH10" s="68">
        <f>AF10+AD10</f>
        <v>38586.46069868996</v>
      </c>
      <c r="AK10" s="215" t="s">
        <v>90</v>
      </c>
      <c r="AL10" s="216">
        <v>595207.81269868999</v>
      </c>
      <c r="AM10"/>
    </row>
    <row r="11" spans="1:39" ht="14.4" x14ac:dyDescent="0.3">
      <c r="A11" s="59">
        <v>6</v>
      </c>
      <c r="B11" s="92">
        <v>46140</v>
      </c>
      <c r="C11" s="28" t="s">
        <v>43</v>
      </c>
      <c r="D11" s="203" t="s">
        <v>90</v>
      </c>
      <c r="E11" s="69" t="s">
        <v>100</v>
      </c>
      <c r="F11" s="69" t="s">
        <v>132</v>
      </c>
      <c r="G11" s="28">
        <v>1005</v>
      </c>
      <c r="H11" s="28">
        <v>42.59</v>
      </c>
      <c r="I11" s="28">
        <v>164</v>
      </c>
      <c r="J11" s="28">
        <v>227</v>
      </c>
      <c r="K11" s="28">
        <v>8.6999999999999993</v>
      </c>
      <c r="L11" s="28">
        <v>19</v>
      </c>
      <c r="M11" s="28">
        <v>10</v>
      </c>
      <c r="N11" s="28">
        <v>16</v>
      </c>
      <c r="O11" s="28">
        <v>5</v>
      </c>
      <c r="P11" s="28">
        <v>21</v>
      </c>
      <c r="Q11" s="28">
        <v>696</v>
      </c>
      <c r="R11" s="28">
        <v>37581</v>
      </c>
      <c r="S11" s="28">
        <v>603</v>
      </c>
      <c r="T11" s="59">
        <v>609</v>
      </c>
      <c r="U11" s="60">
        <f>439.1/609</f>
        <v>0.72101806239737276</v>
      </c>
      <c r="V11" s="60">
        <f>439.1</f>
        <v>439.1</v>
      </c>
      <c r="W11" s="59">
        <v>26</v>
      </c>
      <c r="X11" s="60">
        <f t="shared" si="2"/>
        <v>75.542307692307688</v>
      </c>
      <c r="Y11" s="60">
        <v>1964.1</v>
      </c>
      <c r="Z11" s="60"/>
      <c r="AA11" s="60">
        <v>44874</v>
      </c>
      <c r="AB11" s="62">
        <f t="shared" si="4"/>
        <v>44434.9</v>
      </c>
      <c r="AC11" s="200">
        <v>46140</v>
      </c>
      <c r="AD11" s="63">
        <f>44720</f>
        <v>44720</v>
      </c>
      <c r="AE11" s="63"/>
      <c r="AF11" s="103">
        <f>AD11-AB11</f>
        <v>285.09999999999854</v>
      </c>
      <c r="AG11" s="68"/>
      <c r="AH11" s="68">
        <f>AF11+AB11</f>
        <v>44720</v>
      </c>
      <c r="AK11" s="215" t="s">
        <v>111</v>
      </c>
      <c r="AL11" s="216">
        <v>272967.55000000005</v>
      </c>
      <c r="AM11"/>
    </row>
    <row r="12" spans="1:39" ht="14.4" x14ac:dyDescent="0.3">
      <c r="A12" s="59">
        <v>7</v>
      </c>
      <c r="B12" s="92">
        <v>46142</v>
      </c>
      <c r="C12" s="28" t="s">
        <v>43</v>
      </c>
      <c r="D12" s="203" t="s">
        <v>90</v>
      </c>
      <c r="E12" s="69" t="s">
        <v>100</v>
      </c>
      <c r="F12" s="69" t="s">
        <v>132</v>
      </c>
      <c r="G12" s="28">
        <v>1010</v>
      </c>
      <c r="H12" s="28">
        <v>42.68</v>
      </c>
      <c r="I12" s="28">
        <v>179</v>
      </c>
      <c r="J12" s="28">
        <v>232</v>
      </c>
      <c r="K12" s="28">
        <v>9.3000000000000007</v>
      </c>
      <c r="L12" s="28">
        <v>12</v>
      </c>
      <c r="M12" s="28">
        <v>8</v>
      </c>
      <c r="N12" s="28">
        <v>28</v>
      </c>
      <c r="O12" s="28">
        <v>0</v>
      </c>
      <c r="P12" s="28">
        <v>21</v>
      </c>
      <c r="Q12" s="28">
        <v>692</v>
      </c>
      <c r="R12" s="28">
        <v>35967</v>
      </c>
      <c r="S12" s="28">
        <v>564</v>
      </c>
      <c r="T12" s="59">
        <v>559</v>
      </c>
      <c r="U12" s="60">
        <f t="shared" si="3"/>
        <v>0.63100436681222705</v>
      </c>
      <c r="V12" s="60">
        <v>352.17</v>
      </c>
      <c r="W12" s="59">
        <v>20</v>
      </c>
      <c r="X12" s="60">
        <f t="shared" si="2"/>
        <v>70.424999999999997</v>
      </c>
      <c r="Y12" s="60">
        <f>1408.5</f>
        <v>1408.5</v>
      </c>
      <c r="Z12" s="60"/>
      <c r="AA12" s="60">
        <v>41366</v>
      </c>
      <c r="AB12" s="62">
        <f>AA12-V12</f>
        <v>41013.83</v>
      </c>
      <c r="AC12" s="200">
        <v>46142</v>
      </c>
      <c r="AD12" s="63">
        <f>42450.8-Y12-V12</f>
        <v>40690.130000000005</v>
      </c>
      <c r="AE12" s="63"/>
      <c r="AF12" s="64">
        <f>AB12-AD12</f>
        <v>323.69999999999709</v>
      </c>
      <c r="AG12" s="62"/>
      <c r="AH12" s="68">
        <f>AF12+AD12</f>
        <v>41013.83</v>
      </c>
      <c r="AK12" s="215" t="s">
        <v>125</v>
      </c>
      <c r="AL12" s="216">
        <v>1075633</v>
      </c>
      <c r="AM12"/>
    </row>
    <row r="13" spans="1:39" ht="14.4" x14ac:dyDescent="0.3">
      <c r="A13" s="59">
        <v>8</v>
      </c>
      <c r="B13" s="92">
        <v>46142</v>
      </c>
      <c r="C13" s="28" t="s">
        <v>43</v>
      </c>
      <c r="D13" s="203" t="s">
        <v>90</v>
      </c>
      <c r="E13" s="69" t="s">
        <v>100</v>
      </c>
      <c r="F13" s="69" t="s">
        <v>132</v>
      </c>
      <c r="G13" s="28">
        <v>1013</v>
      </c>
      <c r="H13" s="62">
        <v>43.38</v>
      </c>
      <c r="I13" s="28">
        <v>161</v>
      </c>
      <c r="J13" s="28">
        <v>232</v>
      </c>
      <c r="K13" s="28">
        <v>9.5</v>
      </c>
      <c r="L13" s="28">
        <v>10</v>
      </c>
      <c r="M13" s="28">
        <v>18</v>
      </c>
      <c r="N13" s="28">
        <v>28</v>
      </c>
      <c r="O13" s="28">
        <v>2</v>
      </c>
      <c r="P13" s="28">
        <v>18</v>
      </c>
      <c r="Q13" s="28">
        <v>687</v>
      </c>
      <c r="R13" s="28">
        <v>37582</v>
      </c>
      <c r="S13" s="28">
        <v>585</v>
      </c>
      <c r="T13" s="59">
        <v>618</v>
      </c>
      <c r="U13" s="60">
        <f t="shared" si="3"/>
        <v>0.63100436681222705</v>
      </c>
      <c r="V13" s="60">
        <v>401.7</v>
      </c>
      <c r="W13" s="59">
        <v>27</v>
      </c>
      <c r="X13" s="60">
        <f t="shared" si="2"/>
        <v>73.69</v>
      </c>
      <c r="Y13" s="60">
        <f>27*73.69</f>
        <v>1989.6299999999999</v>
      </c>
      <c r="Z13" s="60"/>
      <c r="AA13" s="60">
        <v>44038</v>
      </c>
      <c r="AB13" s="62">
        <f t="shared" si="4"/>
        <v>43636.3</v>
      </c>
      <c r="AC13" s="200">
        <v>46142</v>
      </c>
      <c r="AD13" s="63">
        <f>44024.5</f>
        <v>44024.5</v>
      </c>
      <c r="AE13" s="63"/>
      <c r="AF13" s="103">
        <f>AD13-AB13</f>
        <v>388.19999999999709</v>
      </c>
      <c r="AG13" s="65"/>
      <c r="AH13" s="60">
        <f>AF13+AB13</f>
        <v>44024.5</v>
      </c>
      <c r="AI13" s="61"/>
      <c r="AK13" s="215" t="s">
        <v>160</v>
      </c>
      <c r="AL13" s="216">
        <v>873962.9</v>
      </c>
      <c r="AM13"/>
    </row>
    <row r="14" spans="1:39" ht="14.4" x14ac:dyDescent="0.3">
      <c r="A14" s="59">
        <v>9</v>
      </c>
      <c r="B14" s="92">
        <v>46147</v>
      </c>
      <c r="C14" s="28" t="s">
        <v>43</v>
      </c>
      <c r="D14" s="203" t="s">
        <v>90</v>
      </c>
      <c r="E14" s="69" t="s">
        <v>100</v>
      </c>
      <c r="F14" s="69" t="s">
        <v>132</v>
      </c>
      <c r="G14" s="28">
        <v>1006</v>
      </c>
      <c r="H14" s="62">
        <v>43.03</v>
      </c>
      <c r="I14" s="28">
        <v>188</v>
      </c>
      <c r="J14" s="28">
        <v>227</v>
      </c>
      <c r="K14" s="28">
        <v>8.5</v>
      </c>
      <c r="L14" s="28">
        <v>17</v>
      </c>
      <c r="M14" s="28">
        <v>17</v>
      </c>
      <c r="N14" s="28">
        <v>28</v>
      </c>
      <c r="O14" s="28">
        <v>0</v>
      </c>
      <c r="P14" s="28">
        <v>21</v>
      </c>
      <c r="Q14" s="28">
        <v>684</v>
      </c>
      <c r="R14" s="28">
        <v>66919</v>
      </c>
      <c r="S14" s="28">
        <v>547</v>
      </c>
      <c r="T14" s="59">
        <v>547</v>
      </c>
      <c r="U14" s="60">
        <f>0.65</f>
        <v>0.65</v>
      </c>
      <c r="V14" s="60">
        <f t="shared" si="1"/>
        <v>355.55</v>
      </c>
      <c r="W14" s="59">
        <v>22</v>
      </c>
      <c r="X14" s="60">
        <f t="shared" si="2"/>
        <v>72.940909090909088</v>
      </c>
      <c r="Y14" s="60">
        <v>1604.7</v>
      </c>
      <c r="Z14" s="60"/>
      <c r="AA14" s="60">
        <v>40966</v>
      </c>
      <c r="AB14" s="62">
        <f t="shared" si="4"/>
        <v>40610.449999999997</v>
      </c>
      <c r="AC14" s="200">
        <v>46147</v>
      </c>
      <c r="AD14" s="63">
        <f>42570.3-1604.7-355.55</f>
        <v>40610.050000000003</v>
      </c>
      <c r="AE14" s="63"/>
      <c r="AF14" s="64">
        <f t="shared" ref="AF14:AF28" si="5">AB14-AD14</f>
        <v>0.39999999999417923</v>
      </c>
      <c r="AH14" s="60">
        <f>AF14+AD14</f>
        <v>40610.449999999997</v>
      </c>
      <c r="AI14" s="62"/>
      <c r="AK14" s="215" t="s">
        <v>68</v>
      </c>
      <c r="AL14" s="216">
        <v>2687555.6000000006</v>
      </c>
      <c r="AM14"/>
    </row>
    <row r="15" spans="1:39" ht="14.4" x14ac:dyDescent="0.3">
      <c r="A15" s="59">
        <v>10</v>
      </c>
      <c r="B15" s="92">
        <v>46147</v>
      </c>
      <c r="C15" s="28" t="s">
        <v>43</v>
      </c>
      <c r="D15" s="203" t="s">
        <v>90</v>
      </c>
      <c r="E15" s="69" t="s">
        <v>100</v>
      </c>
      <c r="F15" s="69" t="s">
        <v>132</v>
      </c>
      <c r="G15" s="28">
        <v>1007</v>
      </c>
      <c r="H15" s="62">
        <v>42.32</v>
      </c>
      <c r="I15" s="28">
        <v>199</v>
      </c>
      <c r="J15" s="28">
        <v>228</v>
      </c>
      <c r="K15" s="28">
        <v>9.6999999999999993</v>
      </c>
      <c r="L15" s="28">
        <v>12</v>
      </c>
      <c r="M15" s="28">
        <v>12</v>
      </c>
      <c r="N15" s="28">
        <v>46</v>
      </c>
      <c r="O15" s="28">
        <v>4</v>
      </c>
      <c r="P15" s="28">
        <v>26</v>
      </c>
      <c r="Q15" s="28">
        <v>667</v>
      </c>
      <c r="R15" s="28">
        <v>35051</v>
      </c>
      <c r="S15" s="28">
        <v>643</v>
      </c>
      <c r="T15" s="59">
        <v>644</v>
      </c>
      <c r="U15" s="60">
        <v>0.65</v>
      </c>
      <c r="V15" s="60">
        <f>T15*U15</f>
        <v>418.6</v>
      </c>
      <c r="W15" s="59">
        <v>28</v>
      </c>
      <c r="X15" s="60">
        <f t="shared" si="2"/>
        <v>75.421428571428578</v>
      </c>
      <c r="Y15" s="60">
        <f>2111.8</f>
        <v>2111.8000000000002</v>
      </c>
      <c r="Z15" s="60"/>
      <c r="AA15" s="60">
        <v>47959</v>
      </c>
      <c r="AB15" s="62">
        <f t="shared" si="4"/>
        <v>47540.4</v>
      </c>
      <c r="AC15" s="200">
        <v>46147</v>
      </c>
      <c r="AD15" s="63">
        <f>47464</f>
        <v>47464</v>
      </c>
      <c r="AE15" s="63"/>
      <c r="AF15" s="64">
        <f t="shared" si="5"/>
        <v>76.400000000001455</v>
      </c>
      <c r="AH15" s="60">
        <f>AF15+AD15</f>
        <v>47540.4</v>
      </c>
      <c r="AK15" s="215" t="s">
        <v>116</v>
      </c>
      <c r="AL15" s="216">
        <v>847581.45</v>
      </c>
      <c r="AM15"/>
    </row>
    <row r="16" spans="1:39" ht="14.4" x14ac:dyDescent="0.3">
      <c r="A16" s="59">
        <v>11</v>
      </c>
      <c r="B16" s="92">
        <v>46148</v>
      </c>
      <c r="C16" s="28" t="s">
        <v>43</v>
      </c>
      <c r="D16" s="203" t="s">
        <v>90</v>
      </c>
      <c r="E16" s="69" t="s">
        <v>100</v>
      </c>
      <c r="F16" s="69" t="s">
        <v>132</v>
      </c>
      <c r="G16" s="28">
        <v>1008</v>
      </c>
      <c r="H16" s="62">
        <v>43.21</v>
      </c>
      <c r="I16" s="28">
        <v>164</v>
      </c>
      <c r="J16" s="28">
        <v>230</v>
      </c>
      <c r="K16" s="28">
        <v>10.4</v>
      </c>
      <c r="L16" s="28">
        <v>12</v>
      </c>
      <c r="M16" s="28">
        <v>18</v>
      </c>
      <c r="N16" s="28">
        <v>20</v>
      </c>
      <c r="O16" s="28">
        <v>4</v>
      </c>
      <c r="P16" s="28">
        <v>36</v>
      </c>
      <c r="Q16" s="28">
        <v>675</v>
      </c>
      <c r="R16" s="28">
        <v>14643</v>
      </c>
      <c r="S16" s="28">
        <v>537</v>
      </c>
      <c r="T16" s="59">
        <v>537</v>
      </c>
      <c r="U16" s="60">
        <v>0.65</v>
      </c>
      <c r="V16" s="60">
        <f>T16*U16</f>
        <v>349.05</v>
      </c>
      <c r="W16" s="59">
        <v>22</v>
      </c>
      <c r="X16" s="60">
        <f t="shared" si="2"/>
        <v>71.640909090909091</v>
      </c>
      <c r="Y16" s="60">
        <v>1576.1</v>
      </c>
      <c r="Z16" s="60"/>
      <c r="AA16" s="60">
        <v>38952</v>
      </c>
      <c r="AB16" s="62">
        <f>AA16-V16</f>
        <v>38602.949999999997</v>
      </c>
      <c r="AC16" s="200">
        <v>46148</v>
      </c>
      <c r="AD16" s="63">
        <f>40137.1-Y16-V16</f>
        <v>38211.949999999997</v>
      </c>
      <c r="AE16" s="63"/>
      <c r="AF16" s="64">
        <f>AB16-AD16</f>
        <v>391</v>
      </c>
      <c r="AH16" s="60">
        <f t="shared" ref="AH16:AH18" si="6">AF16+AD16</f>
        <v>38602.949999999997</v>
      </c>
      <c r="AK16" s="215" t="s">
        <v>118</v>
      </c>
      <c r="AL16" s="216">
        <v>49307.45</v>
      </c>
      <c r="AM16"/>
    </row>
    <row r="17" spans="1:39" ht="14.4" x14ac:dyDescent="0.3">
      <c r="A17" s="59">
        <v>12</v>
      </c>
      <c r="B17" s="92">
        <v>46148</v>
      </c>
      <c r="C17" s="28" t="s">
        <v>43</v>
      </c>
      <c r="D17" s="203" t="s">
        <v>90</v>
      </c>
      <c r="E17" s="69" t="s">
        <v>100</v>
      </c>
      <c r="F17" s="69" t="s">
        <v>132</v>
      </c>
      <c r="G17" s="28">
        <v>1009</v>
      </c>
      <c r="H17" s="62">
        <v>42.32</v>
      </c>
      <c r="I17" s="28">
        <v>183</v>
      </c>
      <c r="J17" s="28">
        <v>227</v>
      </c>
      <c r="K17" s="28">
        <v>9.6</v>
      </c>
      <c r="L17" s="28">
        <v>10</v>
      </c>
      <c r="M17" s="28">
        <v>16</v>
      </c>
      <c r="N17" s="28">
        <v>49</v>
      </c>
      <c r="O17" s="28">
        <v>0</v>
      </c>
      <c r="P17" s="28">
        <v>17</v>
      </c>
      <c r="Q17" s="28">
        <v>675</v>
      </c>
      <c r="R17" s="28">
        <v>773</v>
      </c>
      <c r="S17" s="28">
        <v>572</v>
      </c>
      <c r="T17" s="59">
        <v>572</v>
      </c>
      <c r="U17" s="60">
        <v>0.65</v>
      </c>
      <c r="V17" s="60">
        <f t="shared" ref="V17" si="7">T17*U17</f>
        <v>371.8</v>
      </c>
      <c r="W17" s="59">
        <v>23</v>
      </c>
      <c r="X17" s="60">
        <f t="shared" si="2"/>
        <v>73.095652173913052</v>
      </c>
      <c r="Y17" s="60">
        <v>1681.2</v>
      </c>
      <c r="Z17" s="60"/>
      <c r="AA17" s="60">
        <v>42344</v>
      </c>
      <c r="AB17" s="62">
        <f t="shared" si="4"/>
        <v>41972.2</v>
      </c>
      <c r="AC17" s="200">
        <v>46148</v>
      </c>
      <c r="AD17" s="63">
        <f>41541</f>
        <v>41541</v>
      </c>
      <c r="AE17" s="63"/>
      <c r="AF17" s="64">
        <f>AB17-AD17</f>
        <v>431.19999999999709</v>
      </c>
      <c r="AH17" s="60">
        <f t="shared" si="6"/>
        <v>41972.2</v>
      </c>
      <c r="AK17" s="215" t="s">
        <v>196</v>
      </c>
      <c r="AL17" s="216">
        <v>8244996.612698691</v>
      </c>
      <c r="AM17"/>
    </row>
    <row r="18" spans="1:39" ht="14.4" x14ac:dyDescent="0.3">
      <c r="A18" s="59">
        <v>13</v>
      </c>
      <c r="B18" s="92">
        <v>46151</v>
      </c>
      <c r="C18" s="1" t="s">
        <v>43</v>
      </c>
      <c r="D18" s="203" t="s">
        <v>90</v>
      </c>
      <c r="E18" s="69" t="s">
        <v>100</v>
      </c>
      <c r="F18" s="69" t="s">
        <v>132</v>
      </c>
      <c r="G18" s="1">
        <v>1011</v>
      </c>
      <c r="H18" s="72">
        <v>42.5</v>
      </c>
      <c r="I18" s="1">
        <v>174</v>
      </c>
      <c r="J18" s="1">
        <v>225</v>
      </c>
      <c r="K18" s="1">
        <v>8.9</v>
      </c>
      <c r="L18" s="1">
        <v>14</v>
      </c>
      <c r="M18" s="1">
        <v>18</v>
      </c>
      <c r="N18" s="1">
        <v>41</v>
      </c>
      <c r="O18" s="1">
        <v>0</v>
      </c>
      <c r="P18" s="1">
        <v>13</v>
      </c>
      <c r="Q18" s="1">
        <v>684</v>
      </c>
      <c r="R18" s="1">
        <v>82154</v>
      </c>
      <c r="S18" s="1">
        <v>584</v>
      </c>
      <c r="T18" s="57">
        <v>585</v>
      </c>
      <c r="U18" s="30">
        <v>0.65</v>
      </c>
      <c r="V18" s="30">
        <f>0.65*T18</f>
        <v>380.25</v>
      </c>
      <c r="W18" s="57">
        <v>25</v>
      </c>
      <c r="X18" s="30">
        <f t="shared" si="2"/>
        <v>67.2</v>
      </c>
      <c r="Y18" s="30">
        <v>1680</v>
      </c>
      <c r="Z18" s="30"/>
      <c r="AA18" s="30">
        <f>44445</f>
        <v>44445</v>
      </c>
      <c r="AB18" s="72">
        <f>AA18-V18</f>
        <v>44064.75</v>
      </c>
      <c r="AC18" s="200">
        <v>46151</v>
      </c>
      <c r="AD18" s="63">
        <f>43454</f>
        <v>43454</v>
      </c>
      <c r="AE18" s="63"/>
      <c r="AF18" s="64">
        <f>AB18-AD18</f>
        <v>610.75</v>
      </c>
      <c r="AG18" s="3"/>
      <c r="AH18" s="60">
        <f t="shared" si="6"/>
        <v>44064.75</v>
      </c>
      <c r="AK18"/>
      <c r="AL18"/>
      <c r="AM18"/>
    </row>
    <row r="19" spans="1:39" ht="14.4" x14ac:dyDescent="0.3">
      <c r="A19" s="59">
        <v>14</v>
      </c>
      <c r="B19" s="92">
        <v>46153</v>
      </c>
      <c r="C19" s="28" t="s">
        <v>43</v>
      </c>
      <c r="D19" s="207" t="s">
        <v>118</v>
      </c>
      <c r="E19" s="69" t="s">
        <v>100</v>
      </c>
      <c r="F19" s="69" t="s">
        <v>123</v>
      </c>
      <c r="G19" s="28">
        <v>1012</v>
      </c>
      <c r="H19" s="62">
        <v>42.76</v>
      </c>
      <c r="I19" s="28">
        <v>176</v>
      </c>
      <c r="J19" s="28">
        <v>228</v>
      </c>
      <c r="K19" s="28">
        <v>8.9</v>
      </c>
      <c r="L19" s="28">
        <v>16</v>
      </c>
      <c r="M19" s="28">
        <v>13</v>
      </c>
      <c r="N19" s="28">
        <v>22</v>
      </c>
      <c r="O19" s="28">
        <v>2</v>
      </c>
      <c r="P19" s="28">
        <v>30</v>
      </c>
      <c r="Q19" s="28">
        <v>684</v>
      </c>
      <c r="R19" s="28">
        <v>82770</v>
      </c>
      <c r="S19" s="28">
        <v>667</v>
      </c>
      <c r="T19" s="59">
        <v>667</v>
      </c>
      <c r="U19" s="60">
        <v>0.65</v>
      </c>
      <c r="V19" s="60">
        <f>0.65*667</f>
        <v>433.55</v>
      </c>
      <c r="W19" s="59">
        <v>25</v>
      </c>
      <c r="X19" s="60">
        <f t="shared" si="2"/>
        <v>71.316000000000003</v>
      </c>
      <c r="Y19" s="60">
        <v>1782.9</v>
      </c>
      <c r="Z19" s="60"/>
      <c r="AA19" s="60">
        <f>49741</f>
        <v>49741</v>
      </c>
      <c r="AB19" s="62">
        <f>49741-V19</f>
        <v>49307.45</v>
      </c>
      <c r="AC19" s="200">
        <v>46153</v>
      </c>
      <c r="AD19" s="63">
        <f>49355</f>
        <v>49355</v>
      </c>
      <c r="AE19" s="63"/>
      <c r="AF19" s="64">
        <f>AD19-AB19</f>
        <v>47.55000000000291</v>
      </c>
      <c r="AH19" s="60">
        <f>AF19+AB19</f>
        <v>49355</v>
      </c>
      <c r="AK19"/>
      <c r="AL19"/>
      <c r="AM19"/>
    </row>
    <row r="20" spans="1:39" ht="14.4" x14ac:dyDescent="0.3">
      <c r="A20" s="59">
        <v>15</v>
      </c>
      <c r="B20" s="92">
        <v>46154</v>
      </c>
      <c r="C20" s="28" t="s">
        <v>43</v>
      </c>
      <c r="D20" s="204" t="s">
        <v>68</v>
      </c>
      <c r="E20" s="69" t="s">
        <v>100</v>
      </c>
      <c r="F20" s="69" t="s">
        <v>132</v>
      </c>
      <c r="G20" s="28">
        <v>1015</v>
      </c>
      <c r="H20" s="62">
        <v>43.47</v>
      </c>
      <c r="I20" s="28">
        <v>172</v>
      </c>
      <c r="J20" s="28">
        <v>230</v>
      </c>
      <c r="K20" s="28">
        <v>8.6999999999999993</v>
      </c>
      <c r="L20" s="28">
        <v>12</v>
      </c>
      <c r="M20" s="28">
        <v>21</v>
      </c>
      <c r="N20" s="28">
        <v>32</v>
      </c>
      <c r="O20" s="28">
        <v>4</v>
      </c>
      <c r="P20" s="28">
        <v>9</v>
      </c>
      <c r="Q20" s="28">
        <v>688</v>
      </c>
      <c r="R20" s="69" t="s">
        <v>68</v>
      </c>
      <c r="S20" s="28">
        <v>605</v>
      </c>
      <c r="T20" s="59">
        <v>605</v>
      </c>
      <c r="U20" s="60">
        <v>0.65</v>
      </c>
      <c r="V20" s="60">
        <f>U20*S20</f>
        <v>393.25</v>
      </c>
      <c r="W20" s="59">
        <v>25</v>
      </c>
      <c r="X20" s="60">
        <f t="shared" si="2"/>
        <v>72</v>
      </c>
      <c r="Y20" s="60">
        <v>1800</v>
      </c>
      <c r="Z20" s="60"/>
      <c r="AA20" s="60">
        <v>46136</v>
      </c>
      <c r="AB20" s="62">
        <f>46136-V20</f>
        <v>45742.75</v>
      </c>
      <c r="AC20" s="200">
        <v>46154</v>
      </c>
      <c r="AD20" s="63">
        <f>45333</f>
        <v>45333</v>
      </c>
      <c r="AE20" s="63"/>
      <c r="AF20" s="64">
        <f t="shared" ref="AF20:AF27" si="8">AB20-AD20</f>
        <v>409.75</v>
      </c>
      <c r="AH20" s="60">
        <f>AF20+AD20</f>
        <v>45742.75</v>
      </c>
      <c r="AK20"/>
      <c r="AL20"/>
      <c r="AM20"/>
    </row>
    <row r="21" spans="1:39" ht="14.4" x14ac:dyDescent="0.3">
      <c r="A21" s="59">
        <v>16</v>
      </c>
      <c r="B21" s="92">
        <v>46155</v>
      </c>
      <c r="C21" s="28" t="s">
        <v>43</v>
      </c>
      <c r="D21" s="204" t="s">
        <v>68</v>
      </c>
      <c r="E21" s="69" t="s">
        <v>100</v>
      </c>
      <c r="F21" s="69" t="s">
        <v>132</v>
      </c>
      <c r="G21" s="28">
        <v>1014</v>
      </c>
      <c r="H21" s="62">
        <v>42.15</v>
      </c>
      <c r="I21" s="28">
        <v>177</v>
      </c>
      <c r="J21" s="28">
        <v>223</v>
      </c>
      <c r="K21" s="28">
        <v>8.5</v>
      </c>
      <c r="L21" s="28">
        <v>11</v>
      </c>
      <c r="M21" s="28">
        <v>21</v>
      </c>
      <c r="N21" s="28">
        <v>40</v>
      </c>
      <c r="O21" s="28">
        <v>0</v>
      </c>
      <c r="P21" s="28">
        <v>30</v>
      </c>
      <c r="Q21" s="28">
        <v>671</v>
      </c>
      <c r="R21" s="69" t="s">
        <v>68</v>
      </c>
      <c r="S21" s="28">
        <v>575</v>
      </c>
      <c r="T21" s="59">
        <v>575</v>
      </c>
      <c r="U21" s="60">
        <v>0.65</v>
      </c>
      <c r="V21" s="60">
        <f t="shared" ref="V21" si="9">U21*S21</f>
        <v>373.75</v>
      </c>
      <c r="W21" s="59">
        <v>24</v>
      </c>
      <c r="X21" s="60">
        <f t="shared" si="2"/>
        <v>73.791666666666671</v>
      </c>
      <c r="Y21" s="60">
        <v>1771</v>
      </c>
      <c r="Z21" s="60"/>
      <c r="AA21" s="60">
        <v>43873</v>
      </c>
      <c r="AB21" s="62">
        <f>AA21-V21</f>
        <v>43499.25</v>
      </c>
      <c r="AC21" s="200">
        <v>46157</v>
      </c>
      <c r="AD21" s="63">
        <v>43110</v>
      </c>
      <c r="AE21" s="63"/>
      <c r="AF21" s="64">
        <f t="shared" si="8"/>
        <v>389.25</v>
      </c>
      <c r="AG21" s="68"/>
      <c r="AH21" s="60">
        <f t="shared" ref="AH21:AH29" si="10">AF21+AD21</f>
        <v>43499.25</v>
      </c>
      <c r="AK21"/>
      <c r="AL21"/>
      <c r="AM21"/>
    </row>
    <row r="22" spans="1:39" ht="14.4" x14ac:dyDescent="0.3">
      <c r="A22" s="59">
        <v>17</v>
      </c>
      <c r="B22" s="92">
        <v>46157</v>
      </c>
      <c r="C22" s="28" t="s">
        <v>43</v>
      </c>
      <c r="D22" s="204" t="s">
        <v>68</v>
      </c>
      <c r="E22" s="69" t="s">
        <v>100</v>
      </c>
      <c r="F22" s="69" t="s">
        <v>132</v>
      </c>
      <c r="G22" s="28">
        <v>1016</v>
      </c>
      <c r="H22" s="62">
        <v>43.47</v>
      </c>
      <c r="I22" s="28">
        <v>172</v>
      </c>
      <c r="J22" s="28">
        <v>230</v>
      </c>
      <c r="K22" s="28">
        <v>8.6999999999999993</v>
      </c>
      <c r="L22" s="28">
        <v>12</v>
      </c>
      <c r="M22" s="28">
        <v>21</v>
      </c>
      <c r="N22" s="28">
        <v>32</v>
      </c>
      <c r="O22" s="28">
        <v>4</v>
      </c>
      <c r="P22" s="28">
        <v>9</v>
      </c>
      <c r="Q22" s="28">
        <v>688</v>
      </c>
      <c r="R22" s="69" t="s">
        <v>68</v>
      </c>
      <c r="S22" s="28">
        <v>638</v>
      </c>
      <c r="T22" s="59">
        <v>638</v>
      </c>
      <c r="U22" s="60">
        <v>0.65</v>
      </c>
      <c r="V22" s="60">
        <f>U22*S22</f>
        <v>414.7</v>
      </c>
      <c r="W22" s="59">
        <v>27</v>
      </c>
      <c r="X22" s="60">
        <f t="shared" si="2"/>
        <v>73</v>
      </c>
      <c r="Y22" s="60">
        <v>1971</v>
      </c>
      <c r="Z22" s="60"/>
      <c r="AA22" s="60">
        <v>48908</v>
      </c>
      <c r="AB22" s="62">
        <f t="shared" ref="AB22" si="11">AA22-V22</f>
        <v>48493.3</v>
      </c>
      <c r="AC22" s="200">
        <v>46160</v>
      </c>
      <c r="AD22" s="63">
        <v>48024</v>
      </c>
      <c r="AE22" s="63"/>
      <c r="AF22" s="64">
        <f t="shared" si="8"/>
        <v>469.30000000000291</v>
      </c>
      <c r="AH22" s="60">
        <f t="shared" si="10"/>
        <v>48493.3</v>
      </c>
      <c r="AK22"/>
      <c r="AL22"/>
      <c r="AM22"/>
    </row>
    <row r="23" spans="1:39" x14ac:dyDescent="0.25">
      <c r="A23" s="59">
        <v>18</v>
      </c>
      <c r="B23" s="92">
        <v>46160</v>
      </c>
      <c r="C23" s="28" t="s">
        <v>43</v>
      </c>
      <c r="D23" s="203" t="s">
        <v>90</v>
      </c>
      <c r="E23" s="69" t="s">
        <v>100</v>
      </c>
      <c r="F23" s="69" t="s">
        <v>132</v>
      </c>
      <c r="G23" s="28">
        <v>1018</v>
      </c>
      <c r="H23" s="62">
        <v>43.47</v>
      </c>
      <c r="I23" s="28">
        <v>173</v>
      </c>
      <c r="J23" s="28">
        <v>233</v>
      </c>
      <c r="K23" s="28">
        <v>8.5</v>
      </c>
      <c r="L23" s="28">
        <v>16</v>
      </c>
      <c r="M23" s="28">
        <v>11</v>
      </c>
      <c r="N23" s="28">
        <v>35</v>
      </c>
      <c r="O23" s="28">
        <v>0</v>
      </c>
      <c r="P23" s="28">
        <v>22</v>
      </c>
      <c r="Q23" s="28">
        <v>678</v>
      </c>
      <c r="R23" s="28">
        <v>31510</v>
      </c>
      <c r="S23" s="28">
        <v>566</v>
      </c>
      <c r="T23" s="59">
        <v>566</v>
      </c>
      <c r="U23" s="60">
        <f>V23/T23</f>
        <v>0.65017667844522964</v>
      </c>
      <c r="V23" s="60">
        <v>368</v>
      </c>
      <c r="W23" s="59">
        <v>24</v>
      </c>
      <c r="X23" s="60">
        <f t="shared" si="2"/>
        <v>72</v>
      </c>
      <c r="Y23" s="60">
        <v>1728</v>
      </c>
      <c r="Z23" s="60"/>
      <c r="AA23" s="60">
        <v>42581</v>
      </c>
      <c r="AB23" s="62">
        <f t="shared" ref="AB23:AB29" si="12">AA23-V23</f>
        <v>42213</v>
      </c>
      <c r="AC23" s="200">
        <v>46162</v>
      </c>
      <c r="AD23" s="63">
        <v>41773</v>
      </c>
      <c r="AE23" s="63"/>
      <c r="AF23" s="64">
        <f t="shared" si="8"/>
        <v>440</v>
      </c>
      <c r="AH23" s="60">
        <f t="shared" si="10"/>
        <v>42213</v>
      </c>
    </row>
    <row r="24" spans="1:39" x14ac:dyDescent="0.25">
      <c r="A24" s="59">
        <v>19</v>
      </c>
      <c r="B24" s="92">
        <v>46161</v>
      </c>
      <c r="C24" s="28" t="s">
        <v>43</v>
      </c>
      <c r="D24" s="204" t="s">
        <v>68</v>
      </c>
      <c r="E24" s="69" t="s">
        <v>100</v>
      </c>
      <c r="F24" s="69" t="s">
        <v>132</v>
      </c>
      <c r="G24" s="28">
        <v>1019</v>
      </c>
      <c r="H24" s="62">
        <v>42.06</v>
      </c>
      <c r="I24" s="28">
        <v>172</v>
      </c>
      <c r="J24" s="28">
        <v>225</v>
      </c>
      <c r="K24" s="28">
        <v>8.5</v>
      </c>
      <c r="L24" s="28">
        <v>14</v>
      </c>
      <c r="M24" s="28">
        <v>13</v>
      </c>
      <c r="N24" s="28">
        <v>41</v>
      </c>
      <c r="O24" s="28">
        <v>0</v>
      </c>
      <c r="P24" s="28">
        <v>26</v>
      </c>
      <c r="Q24" s="28">
        <v>676</v>
      </c>
      <c r="R24" s="69" t="s">
        <v>68</v>
      </c>
      <c r="S24" s="28">
        <v>1322</v>
      </c>
      <c r="T24" s="59">
        <v>1323</v>
      </c>
      <c r="U24" s="60">
        <f>V24/T24</f>
        <v>0.6500377928949358</v>
      </c>
      <c r="V24" s="60">
        <v>860</v>
      </c>
      <c r="W24" s="59">
        <v>55</v>
      </c>
      <c r="X24" s="60">
        <f t="shared" si="2"/>
        <v>72.454545454545453</v>
      </c>
      <c r="Y24" s="60">
        <v>3985</v>
      </c>
      <c r="Z24" s="60"/>
      <c r="AA24" s="60">
        <v>99494</v>
      </c>
      <c r="AB24" s="62">
        <f t="shared" si="12"/>
        <v>98634</v>
      </c>
      <c r="AC24" s="200">
        <v>46164</v>
      </c>
      <c r="AD24" s="63">
        <f>97586</f>
        <v>97586</v>
      </c>
      <c r="AE24" s="63"/>
      <c r="AF24" s="64">
        <f t="shared" si="8"/>
        <v>1048</v>
      </c>
      <c r="AH24" s="60">
        <f t="shared" si="10"/>
        <v>98634</v>
      </c>
    </row>
    <row r="25" spans="1:39" x14ac:dyDescent="0.25">
      <c r="A25" s="59">
        <v>20</v>
      </c>
      <c r="B25" s="92">
        <v>46168</v>
      </c>
      <c r="C25" s="28" t="s">
        <v>43</v>
      </c>
      <c r="D25" s="204" t="s">
        <v>68</v>
      </c>
      <c r="E25" s="69" t="s">
        <v>100</v>
      </c>
      <c r="F25" s="69" t="s">
        <v>132</v>
      </c>
      <c r="G25" s="28">
        <v>1020</v>
      </c>
      <c r="H25" s="62">
        <v>42.76</v>
      </c>
      <c r="I25" s="28">
        <v>172</v>
      </c>
      <c r="J25" s="28">
        <v>230</v>
      </c>
      <c r="K25" s="28">
        <v>8.8000000000000007</v>
      </c>
      <c r="L25" s="28">
        <v>11</v>
      </c>
      <c r="M25" s="28">
        <v>14</v>
      </c>
      <c r="N25" s="28">
        <v>40</v>
      </c>
      <c r="O25" s="28">
        <v>0</v>
      </c>
      <c r="P25" s="28">
        <v>13</v>
      </c>
      <c r="Q25" s="28">
        <v>687</v>
      </c>
      <c r="R25" s="69" t="s">
        <v>68</v>
      </c>
      <c r="S25" s="28">
        <v>535</v>
      </c>
      <c r="T25" s="59">
        <v>535</v>
      </c>
      <c r="U25" s="60">
        <v>0.65</v>
      </c>
      <c r="V25" s="60">
        <f t="shared" ref="V25:V27" si="13">U25*S25</f>
        <v>347.75</v>
      </c>
      <c r="W25" s="59">
        <v>22</v>
      </c>
      <c r="X25" s="60">
        <f t="shared" si="2"/>
        <v>72.272727272727266</v>
      </c>
      <c r="Y25" s="60">
        <v>1590</v>
      </c>
      <c r="Z25" s="60"/>
      <c r="AA25" s="60">
        <v>39919</v>
      </c>
      <c r="AB25" s="62">
        <f t="shared" si="12"/>
        <v>39571.25</v>
      </c>
      <c r="AC25" s="200">
        <v>46168</v>
      </c>
      <c r="AD25" s="63">
        <f>39269</f>
        <v>39269</v>
      </c>
      <c r="AE25" s="63"/>
      <c r="AF25" s="64">
        <f t="shared" si="8"/>
        <v>302.25</v>
      </c>
      <c r="AH25" s="60">
        <f t="shared" si="10"/>
        <v>39571.25</v>
      </c>
    </row>
    <row r="26" spans="1:39" x14ac:dyDescent="0.25">
      <c r="A26" s="59">
        <v>21</v>
      </c>
      <c r="B26" s="92">
        <v>46170</v>
      </c>
      <c r="C26" s="28" t="s">
        <v>43</v>
      </c>
      <c r="D26" s="204" t="s">
        <v>68</v>
      </c>
      <c r="E26" s="69" t="s">
        <v>100</v>
      </c>
      <c r="F26" s="69" t="s">
        <v>132</v>
      </c>
      <c r="G26" s="28">
        <v>1022</v>
      </c>
      <c r="H26" s="62">
        <v>42.5</v>
      </c>
      <c r="I26" s="28">
        <v>175</v>
      </c>
      <c r="J26" s="28">
        <v>223</v>
      </c>
      <c r="K26" s="28">
        <v>8.6999999999999993</v>
      </c>
      <c r="L26" s="28">
        <v>17</v>
      </c>
      <c r="M26" s="28">
        <v>19</v>
      </c>
      <c r="N26" s="28">
        <v>36</v>
      </c>
      <c r="O26" s="28">
        <v>0</v>
      </c>
      <c r="P26" s="28">
        <v>41</v>
      </c>
      <c r="Q26" s="28">
        <v>659</v>
      </c>
      <c r="R26" s="69" t="s">
        <v>68</v>
      </c>
      <c r="S26" s="28">
        <v>414</v>
      </c>
      <c r="T26" s="59">
        <v>414</v>
      </c>
      <c r="U26" s="60">
        <f>0.65</f>
        <v>0.65</v>
      </c>
      <c r="V26" s="60">
        <f t="shared" si="13"/>
        <v>269.10000000000002</v>
      </c>
      <c r="W26" s="59">
        <v>19</v>
      </c>
      <c r="X26" s="60">
        <f>Y26/W26</f>
        <v>73.368421052631575</v>
      </c>
      <c r="Y26" s="60">
        <v>1394</v>
      </c>
      <c r="Z26" s="60"/>
      <c r="AA26" s="60">
        <v>30903</v>
      </c>
      <c r="AB26" s="62">
        <f t="shared" si="12"/>
        <v>30633.9</v>
      </c>
      <c r="AC26" s="200">
        <v>46170</v>
      </c>
      <c r="AD26" s="63">
        <v>30377</v>
      </c>
      <c r="AE26" s="63"/>
      <c r="AF26" s="64">
        <f t="shared" si="8"/>
        <v>256.90000000000146</v>
      </c>
      <c r="AH26" s="60">
        <f t="shared" si="10"/>
        <v>30633.9</v>
      </c>
    </row>
    <row r="27" spans="1:39" x14ac:dyDescent="0.25">
      <c r="A27" s="59">
        <v>22</v>
      </c>
      <c r="B27" s="92">
        <v>46170</v>
      </c>
      <c r="C27" s="28" t="s">
        <v>43</v>
      </c>
      <c r="D27" s="204" t="s">
        <v>68</v>
      </c>
      <c r="E27" s="69" t="s">
        <v>100</v>
      </c>
      <c r="F27" s="69" t="s">
        <v>132</v>
      </c>
      <c r="G27" s="28">
        <v>1021</v>
      </c>
      <c r="H27" s="62">
        <v>42.59</v>
      </c>
      <c r="I27" s="28">
        <v>171</v>
      </c>
      <c r="J27" s="28">
        <v>227</v>
      </c>
      <c r="K27" s="28">
        <v>8.8000000000000007</v>
      </c>
      <c r="L27" s="28">
        <v>19</v>
      </c>
      <c r="M27" s="28">
        <v>10</v>
      </c>
      <c r="N27" s="28">
        <v>30</v>
      </c>
      <c r="O27" s="28">
        <v>0</v>
      </c>
      <c r="P27" s="28">
        <v>36</v>
      </c>
      <c r="Q27" s="28">
        <v>670</v>
      </c>
      <c r="R27" s="69" t="s">
        <v>68</v>
      </c>
      <c r="S27" s="28">
        <v>998</v>
      </c>
      <c r="T27" s="59">
        <v>1001</v>
      </c>
      <c r="U27" s="60">
        <v>0.65</v>
      </c>
      <c r="V27" s="60">
        <f t="shared" si="13"/>
        <v>648.70000000000005</v>
      </c>
      <c r="W27" s="59">
        <v>40</v>
      </c>
      <c r="X27" s="60">
        <f>2902/40</f>
        <v>72.55</v>
      </c>
      <c r="Y27" s="60">
        <v>2902</v>
      </c>
      <c r="Z27" s="60"/>
      <c r="AA27" s="60">
        <v>74281</v>
      </c>
      <c r="AB27" s="62">
        <f t="shared" si="12"/>
        <v>73632.3</v>
      </c>
      <c r="AC27" s="200">
        <v>46170</v>
      </c>
      <c r="AD27" s="63">
        <f>73630</f>
        <v>73630</v>
      </c>
      <c r="AE27" s="63"/>
      <c r="AF27" s="64">
        <f t="shared" si="8"/>
        <v>2.3000000000029104</v>
      </c>
      <c r="AG27" s="63"/>
      <c r="AH27" s="60">
        <f t="shared" si="10"/>
        <v>73632.3</v>
      </c>
    </row>
    <row r="28" spans="1:39" x14ac:dyDescent="0.25">
      <c r="A28" s="59">
        <v>23</v>
      </c>
      <c r="B28" s="92">
        <v>46171</v>
      </c>
      <c r="C28" s="28" t="s">
        <v>43</v>
      </c>
      <c r="D28" s="204" t="s">
        <v>68</v>
      </c>
      <c r="E28" s="69" t="s">
        <v>100</v>
      </c>
      <c r="F28" s="69" t="s">
        <v>132</v>
      </c>
      <c r="G28" s="28">
        <v>1023</v>
      </c>
      <c r="H28" s="62">
        <v>42.41</v>
      </c>
      <c r="I28" s="28">
        <v>174</v>
      </c>
      <c r="J28" s="28">
        <v>226</v>
      </c>
      <c r="K28" s="28">
        <v>8.8000000000000007</v>
      </c>
      <c r="L28" s="28">
        <v>14</v>
      </c>
      <c r="M28" s="28">
        <v>15</v>
      </c>
      <c r="N28" s="28">
        <v>37</v>
      </c>
      <c r="O28" s="28">
        <v>0</v>
      </c>
      <c r="P28" s="28">
        <v>32</v>
      </c>
      <c r="Q28" s="28">
        <v>671</v>
      </c>
      <c r="R28" s="69" t="s">
        <v>68</v>
      </c>
      <c r="S28" s="28">
        <v>645</v>
      </c>
      <c r="T28" s="59">
        <v>649</v>
      </c>
      <c r="U28" s="60">
        <v>0.65</v>
      </c>
      <c r="V28" s="60">
        <f>U28*T28</f>
        <v>421.85</v>
      </c>
      <c r="W28" s="59">
        <v>27</v>
      </c>
      <c r="X28" s="60">
        <f>Y28/W28</f>
        <v>72.81481481481481</v>
      </c>
      <c r="Y28" s="60">
        <v>1966</v>
      </c>
      <c r="Z28" s="60"/>
      <c r="AA28" s="60">
        <v>47982</v>
      </c>
      <c r="AB28" s="62">
        <f t="shared" si="12"/>
        <v>47560.15</v>
      </c>
      <c r="AC28" s="200">
        <v>46171</v>
      </c>
      <c r="AD28" s="63">
        <v>47061.599999999999</v>
      </c>
      <c r="AE28" s="63"/>
      <c r="AF28" s="64">
        <f t="shared" si="5"/>
        <v>498.55000000000291</v>
      </c>
      <c r="AG28" s="63"/>
      <c r="AH28" s="60">
        <f t="shared" si="10"/>
        <v>47560.15</v>
      </c>
    </row>
    <row r="29" spans="1:39" x14ac:dyDescent="0.25">
      <c r="A29" s="59">
        <v>24</v>
      </c>
      <c r="B29" s="92">
        <v>46175</v>
      </c>
      <c r="C29" s="28" t="s">
        <v>43</v>
      </c>
      <c r="D29" s="204" t="s">
        <v>68</v>
      </c>
      <c r="E29" s="69" t="s">
        <v>100</v>
      </c>
      <c r="F29" s="69" t="s">
        <v>132</v>
      </c>
      <c r="G29" s="28">
        <v>1026</v>
      </c>
      <c r="H29" s="62">
        <v>42.53</v>
      </c>
      <c r="I29" s="28">
        <v>177</v>
      </c>
      <c r="J29" s="28">
        <v>217</v>
      </c>
      <c r="K29" s="28">
        <v>8.3000000000000007</v>
      </c>
      <c r="L29" s="28">
        <v>17</v>
      </c>
      <c r="M29" s="28">
        <v>20</v>
      </c>
      <c r="N29" s="28">
        <v>40</v>
      </c>
      <c r="O29" s="28">
        <v>2</v>
      </c>
      <c r="P29" s="28">
        <v>35</v>
      </c>
      <c r="Q29" s="28">
        <v>665</v>
      </c>
      <c r="R29" s="69" t="s">
        <v>68</v>
      </c>
      <c r="S29" s="28">
        <v>890</v>
      </c>
      <c r="T29" s="59">
        <v>890</v>
      </c>
      <c r="U29" s="60">
        <v>0.65</v>
      </c>
      <c r="V29" s="60">
        <f>T29*U29</f>
        <v>578.5</v>
      </c>
      <c r="W29" s="59">
        <v>37</v>
      </c>
      <c r="X29" s="60">
        <f>Y29/W29</f>
        <v>72.054054054054049</v>
      </c>
      <c r="Y29" s="60">
        <v>2666</v>
      </c>
      <c r="Z29" s="60"/>
      <c r="AA29" s="60">
        <v>66342</v>
      </c>
      <c r="AB29" s="62">
        <f t="shared" si="12"/>
        <v>65763.5</v>
      </c>
      <c r="AC29" s="200">
        <v>46175</v>
      </c>
      <c r="AD29" s="63">
        <v>65116</v>
      </c>
      <c r="AE29" s="63"/>
      <c r="AF29" s="64">
        <f>AB29-AD29</f>
        <v>647.5</v>
      </c>
      <c r="AG29" s="63"/>
      <c r="AH29" s="60">
        <f t="shared" si="10"/>
        <v>65763.5</v>
      </c>
    </row>
    <row r="30" spans="1:39" ht="36" x14ac:dyDescent="0.25">
      <c r="A30" s="84">
        <v>0</v>
      </c>
      <c r="B30" s="93">
        <v>46175</v>
      </c>
      <c r="C30" s="85" t="s">
        <v>43</v>
      </c>
      <c r="D30" s="86">
        <v>0</v>
      </c>
      <c r="E30" s="86"/>
      <c r="F30" s="86"/>
      <c r="G30" s="85">
        <v>1024</v>
      </c>
      <c r="H30" s="87">
        <v>41.09</v>
      </c>
      <c r="I30" s="85">
        <v>183</v>
      </c>
      <c r="J30" s="85">
        <v>220</v>
      </c>
      <c r="K30" s="85">
        <v>8.9</v>
      </c>
      <c r="L30" s="85">
        <v>12</v>
      </c>
      <c r="M30" s="85">
        <v>14</v>
      </c>
      <c r="N30" s="85">
        <v>49</v>
      </c>
      <c r="O30" s="85">
        <v>0</v>
      </c>
      <c r="P30" s="85">
        <v>17</v>
      </c>
      <c r="Q30" s="85">
        <v>682</v>
      </c>
      <c r="R30" s="86">
        <v>87036</v>
      </c>
      <c r="S30" s="85">
        <v>0</v>
      </c>
      <c r="T30" s="84">
        <v>0</v>
      </c>
      <c r="U30" s="88">
        <v>0.65</v>
      </c>
      <c r="V30" s="88">
        <f>T30*U30</f>
        <v>0</v>
      </c>
      <c r="W30" s="84">
        <v>31</v>
      </c>
      <c r="X30" s="88">
        <f>Y30/W30</f>
        <v>71.451612903225808</v>
      </c>
      <c r="Y30" s="88">
        <v>2215</v>
      </c>
      <c r="Z30" s="88"/>
      <c r="AA30" s="88">
        <v>0</v>
      </c>
      <c r="AB30" s="87">
        <v>0</v>
      </c>
      <c r="AC30" s="202">
        <v>46175</v>
      </c>
      <c r="AD30" s="89">
        <v>0</v>
      </c>
      <c r="AE30" s="89"/>
      <c r="AF30" s="90">
        <v>0</v>
      </c>
      <c r="AG30" s="91" t="s">
        <v>101</v>
      </c>
      <c r="AH30" s="60"/>
    </row>
    <row r="31" spans="1:39" x14ac:dyDescent="0.25">
      <c r="A31" s="59">
        <v>25</v>
      </c>
      <c r="B31" s="92">
        <v>46178</v>
      </c>
      <c r="C31" s="28" t="s">
        <v>43</v>
      </c>
      <c r="D31" s="206" t="s">
        <v>91</v>
      </c>
      <c r="E31" s="69" t="s">
        <v>75</v>
      </c>
      <c r="F31" s="69" t="s">
        <v>123</v>
      </c>
      <c r="G31" s="28">
        <v>1027</v>
      </c>
      <c r="H31" s="62">
        <v>44.09</v>
      </c>
      <c r="I31" s="28">
        <v>176</v>
      </c>
      <c r="J31" s="28">
        <v>232</v>
      </c>
      <c r="K31" s="28">
        <v>8.8000000000000007</v>
      </c>
      <c r="L31" s="28">
        <v>16</v>
      </c>
      <c r="M31" s="28">
        <v>20</v>
      </c>
      <c r="N31" s="28">
        <v>21</v>
      </c>
      <c r="O31" s="28">
        <v>0</v>
      </c>
      <c r="P31" s="28">
        <v>20</v>
      </c>
      <c r="Q31" s="28">
        <v>684</v>
      </c>
      <c r="R31" s="69" t="s">
        <v>75</v>
      </c>
      <c r="S31" s="28">
        <v>810</v>
      </c>
      <c r="T31" s="59">
        <v>805</v>
      </c>
      <c r="U31" s="60">
        <v>0.65</v>
      </c>
      <c r="V31" s="60">
        <v>526</v>
      </c>
      <c r="W31" s="59">
        <v>27</v>
      </c>
      <c r="X31" s="60">
        <f>Y31/W31</f>
        <v>70.111111111111114</v>
      </c>
      <c r="Y31" s="60">
        <v>1893</v>
      </c>
      <c r="Z31" s="60"/>
      <c r="AA31" s="60">
        <v>60031</v>
      </c>
      <c r="AB31" s="62">
        <f>AA31-V31</f>
        <v>59505</v>
      </c>
      <c r="AC31" s="200">
        <v>46178</v>
      </c>
      <c r="AD31" s="63">
        <v>58913.9</v>
      </c>
      <c r="AE31" s="63"/>
      <c r="AF31" s="64">
        <f t="shared" ref="AF31:AF36" si="14">AB31-AD31</f>
        <v>591.09999999999854</v>
      </c>
      <c r="AG31" s="63"/>
      <c r="AH31" s="60">
        <f t="shared" ref="AH31:AH58" si="15">AF31+AD31</f>
        <v>59505</v>
      </c>
    </row>
    <row r="32" spans="1:39" x14ac:dyDescent="0.25">
      <c r="A32" s="59">
        <v>26</v>
      </c>
      <c r="B32" s="92">
        <v>46179</v>
      </c>
      <c r="C32" s="28" t="s">
        <v>43</v>
      </c>
      <c r="D32" s="206" t="s">
        <v>91</v>
      </c>
      <c r="E32" s="69" t="s">
        <v>75</v>
      </c>
      <c r="F32" s="69" t="s">
        <v>123</v>
      </c>
      <c r="G32" s="28">
        <v>1028</v>
      </c>
      <c r="H32" s="62">
        <v>45.41</v>
      </c>
      <c r="I32" s="28">
        <v>187</v>
      </c>
      <c r="J32" s="28">
        <v>240</v>
      </c>
      <c r="K32" s="28">
        <v>7.6</v>
      </c>
      <c r="L32" s="28">
        <v>18</v>
      </c>
      <c r="M32" s="28">
        <v>17</v>
      </c>
      <c r="N32" s="28">
        <v>15</v>
      </c>
      <c r="O32" s="28">
        <v>3</v>
      </c>
      <c r="P32" s="28">
        <v>32</v>
      </c>
      <c r="Q32" s="28">
        <v>669</v>
      </c>
      <c r="R32" s="69" t="s">
        <v>75</v>
      </c>
      <c r="S32" s="28">
        <v>1201</v>
      </c>
      <c r="T32" s="59">
        <v>1201</v>
      </c>
      <c r="U32" s="60">
        <f>780/1201</f>
        <v>0.64945878434637805</v>
      </c>
      <c r="V32" s="60">
        <v>780</v>
      </c>
      <c r="W32" s="59">
        <v>40</v>
      </c>
      <c r="X32" s="60">
        <f>Y32/40</f>
        <v>69.275000000000006</v>
      </c>
      <c r="Y32" s="60">
        <v>2771</v>
      </c>
      <c r="Z32" s="60"/>
      <c r="AA32" s="60">
        <v>89375</v>
      </c>
      <c r="AB32" s="62">
        <f>AA32-V32</f>
        <v>88595</v>
      </c>
      <c r="AC32" s="200">
        <v>46179</v>
      </c>
      <c r="AD32" s="63">
        <v>88081</v>
      </c>
      <c r="AE32" s="63"/>
      <c r="AF32" s="64">
        <f t="shared" si="14"/>
        <v>514</v>
      </c>
      <c r="AG32" s="63"/>
      <c r="AH32" s="60">
        <f t="shared" si="15"/>
        <v>88595</v>
      </c>
    </row>
    <row r="33" spans="1:34" x14ac:dyDescent="0.25">
      <c r="A33" s="59">
        <v>27</v>
      </c>
      <c r="B33" s="92">
        <v>46179</v>
      </c>
      <c r="C33" s="28" t="s">
        <v>43</v>
      </c>
      <c r="D33" s="206" t="s">
        <v>91</v>
      </c>
      <c r="E33" s="69" t="s">
        <v>75</v>
      </c>
      <c r="F33" s="69" t="s">
        <v>123</v>
      </c>
      <c r="G33" s="28">
        <v>1029</v>
      </c>
      <c r="H33" s="62">
        <v>45.41</v>
      </c>
      <c r="I33" s="28">
        <v>187</v>
      </c>
      <c r="J33" s="28">
        <v>241</v>
      </c>
      <c r="K33" s="28">
        <v>8.8000000000000007</v>
      </c>
      <c r="L33" s="28">
        <v>13</v>
      </c>
      <c r="M33" s="28">
        <v>20</v>
      </c>
      <c r="N33" s="28">
        <v>23</v>
      </c>
      <c r="O33" s="28">
        <v>0</v>
      </c>
      <c r="P33" s="28">
        <v>11</v>
      </c>
      <c r="Q33" s="28">
        <v>685</v>
      </c>
      <c r="R33" s="69" t="s">
        <v>75</v>
      </c>
      <c r="S33" s="28">
        <v>746</v>
      </c>
      <c r="T33" s="59">
        <v>745</v>
      </c>
      <c r="U33" s="60">
        <f>V33/T33</f>
        <v>0.64966442953020132</v>
      </c>
      <c r="V33" s="60">
        <v>484</v>
      </c>
      <c r="W33" s="59">
        <v>25</v>
      </c>
      <c r="X33" s="60">
        <f>Y33/25</f>
        <v>72.64</v>
      </c>
      <c r="Y33" s="60">
        <v>1816</v>
      </c>
      <c r="Z33" s="60"/>
      <c r="AA33" s="60">
        <v>55159</v>
      </c>
      <c r="AB33" s="62">
        <f>AA33-V33</f>
        <v>54675</v>
      </c>
      <c r="AC33" s="200">
        <v>46179</v>
      </c>
      <c r="AD33" s="63">
        <v>54456</v>
      </c>
      <c r="AE33" s="63"/>
      <c r="AF33" s="64">
        <f t="shared" si="14"/>
        <v>219</v>
      </c>
      <c r="AG33" s="63"/>
      <c r="AH33" s="60">
        <f t="shared" si="15"/>
        <v>54675</v>
      </c>
    </row>
    <row r="34" spans="1:34" x14ac:dyDescent="0.25">
      <c r="A34" s="59">
        <v>28</v>
      </c>
      <c r="B34" s="92">
        <v>46180</v>
      </c>
      <c r="C34" s="28" t="s">
        <v>43</v>
      </c>
      <c r="D34" s="206" t="s">
        <v>91</v>
      </c>
      <c r="E34" s="69" t="s">
        <v>75</v>
      </c>
      <c r="F34" s="69" t="s">
        <v>123</v>
      </c>
      <c r="G34" s="28">
        <v>1030</v>
      </c>
      <c r="H34" s="62">
        <v>43.82</v>
      </c>
      <c r="I34" s="28">
        <v>184</v>
      </c>
      <c r="J34" s="28">
        <v>231</v>
      </c>
      <c r="K34" s="28">
        <v>91</v>
      </c>
      <c r="L34" s="28">
        <v>15</v>
      </c>
      <c r="M34" s="28">
        <v>20</v>
      </c>
      <c r="N34" s="28">
        <v>27</v>
      </c>
      <c r="O34" s="28">
        <v>0</v>
      </c>
      <c r="P34" s="28">
        <v>33</v>
      </c>
      <c r="Q34" s="28">
        <v>675</v>
      </c>
      <c r="R34" s="69" t="s">
        <v>75</v>
      </c>
      <c r="S34" s="28">
        <v>1230</v>
      </c>
      <c r="T34" s="59">
        <v>1234</v>
      </c>
      <c r="U34" s="60">
        <v>0.65</v>
      </c>
      <c r="V34" s="60">
        <v>800</v>
      </c>
      <c r="W34" s="59">
        <v>41</v>
      </c>
      <c r="X34" s="60">
        <f>Y34/W34</f>
        <v>70.487804878048777</v>
      </c>
      <c r="Y34" s="60">
        <v>2890</v>
      </c>
      <c r="Z34" s="60"/>
      <c r="AA34" s="60">
        <v>89158.5</v>
      </c>
      <c r="AB34" s="62">
        <v>88358.5</v>
      </c>
      <c r="AC34" s="200">
        <v>46180</v>
      </c>
      <c r="AD34" s="63">
        <v>87867.85</v>
      </c>
      <c r="AE34" s="63"/>
      <c r="AF34" s="64">
        <f t="shared" si="14"/>
        <v>490.64999999999418</v>
      </c>
      <c r="AG34" s="63"/>
      <c r="AH34" s="60">
        <f t="shared" si="15"/>
        <v>88358.5</v>
      </c>
    </row>
    <row r="35" spans="1:34" x14ac:dyDescent="0.25">
      <c r="A35" s="59">
        <v>29</v>
      </c>
      <c r="B35" s="92">
        <v>46182</v>
      </c>
      <c r="C35" s="28" t="s">
        <v>43</v>
      </c>
      <c r="D35" s="206" t="s">
        <v>91</v>
      </c>
      <c r="E35" s="69" t="s">
        <v>75</v>
      </c>
      <c r="F35" s="69" t="s">
        <v>123</v>
      </c>
      <c r="G35" s="28">
        <v>1031</v>
      </c>
      <c r="H35" s="62">
        <v>44.44</v>
      </c>
      <c r="I35" s="28">
        <v>188</v>
      </c>
      <c r="J35" s="28">
        <v>241</v>
      </c>
      <c r="K35" s="28">
        <v>8.5</v>
      </c>
      <c r="L35" s="28">
        <v>13</v>
      </c>
      <c r="M35" s="28">
        <v>9</v>
      </c>
      <c r="N35" s="28">
        <v>28</v>
      </c>
      <c r="O35" s="28">
        <v>2</v>
      </c>
      <c r="P35" s="28">
        <v>23</v>
      </c>
      <c r="Q35" s="28">
        <v>677</v>
      </c>
      <c r="R35" s="69" t="s">
        <v>75</v>
      </c>
      <c r="S35" s="28">
        <v>1318</v>
      </c>
      <c r="T35" s="59">
        <v>1318</v>
      </c>
      <c r="U35" s="60">
        <v>0.65</v>
      </c>
      <c r="V35" s="60">
        <f>T35*U35</f>
        <v>856.7</v>
      </c>
      <c r="W35" s="59">
        <v>44</v>
      </c>
      <c r="X35" s="60">
        <f>Y35/44</f>
        <v>71.61363636363636</v>
      </c>
      <c r="Y35" s="60">
        <v>3151</v>
      </c>
      <c r="Z35" s="60"/>
      <c r="AA35" s="60">
        <v>94315</v>
      </c>
      <c r="AB35" s="62">
        <f>AA35-V35</f>
        <v>93458.3</v>
      </c>
      <c r="AC35" s="200">
        <v>46182</v>
      </c>
      <c r="AD35" s="63">
        <v>92903</v>
      </c>
      <c r="AE35" s="63"/>
      <c r="AF35" s="64">
        <f t="shared" si="14"/>
        <v>555.30000000000291</v>
      </c>
      <c r="AG35" s="63"/>
      <c r="AH35" s="60">
        <f t="shared" si="15"/>
        <v>93458.3</v>
      </c>
    </row>
    <row r="36" spans="1:34" x14ac:dyDescent="0.25">
      <c r="A36" s="59">
        <v>30</v>
      </c>
      <c r="B36" s="92">
        <v>46182</v>
      </c>
      <c r="C36" s="28" t="s">
        <v>43</v>
      </c>
      <c r="D36" s="206" t="s">
        <v>91</v>
      </c>
      <c r="E36" s="69" t="s">
        <v>75</v>
      </c>
      <c r="F36" s="69" t="s">
        <v>123</v>
      </c>
      <c r="G36" s="28">
        <v>1032</v>
      </c>
      <c r="H36" s="62">
        <v>43.65</v>
      </c>
      <c r="I36" s="28">
        <v>184</v>
      </c>
      <c r="J36" s="28">
        <v>235</v>
      </c>
      <c r="K36" s="28">
        <v>8.1</v>
      </c>
      <c r="L36" s="28">
        <v>10</v>
      </c>
      <c r="M36" s="28">
        <v>15</v>
      </c>
      <c r="N36" s="28">
        <v>27</v>
      </c>
      <c r="O36" s="28">
        <v>0</v>
      </c>
      <c r="P36" s="28">
        <v>27</v>
      </c>
      <c r="Q36" s="28">
        <v>679</v>
      </c>
      <c r="R36" s="69" t="s">
        <v>75</v>
      </c>
      <c r="S36" s="28">
        <v>1104</v>
      </c>
      <c r="T36" s="59">
        <f>721+360</f>
        <v>1081</v>
      </c>
      <c r="U36" s="60">
        <v>0.65</v>
      </c>
      <c r="V36" s="60">
        <f>T36*U36</f>
        <v>702.65</v>
      </c>
      <c r="W36" s="59">
        <v>36</v>
      </c>
      <c r="X36" s="60">
        <f>Y36/W36</f>
        <v>71.472222222222229</v>
      </c>
      <c r="Y36" s="60">
        <v>2573</v>
      </c>
      <c r="Z36" s="60"/>
      <c r="AA36" s="60">
        <v>77198</v>
      </c>
      <c r="AB36" s="62">
        <f>AA36-V36</f>
        <v>76495.350000000006</v>
      </c>
      <c r="AC36" s="200">
        <v>46182</v>
      </c>
      <c r="AD36" s="60">
        <v>75770.100000000006</v>
      </c>
      <c r="AE36" s="63"/>
      <c r="AF36" s="64">
        <f t="shared" si="14"/>
        <v>725.25</v>
      </c>
      <c r="AG36" s="63"/>
      <c r="AH36" s="60">
        <f t="shared" si="15"/>
        <v>76495.350000000006</v>
      </c>
    </row>
    <row r="37" spans="1:34" x14ac:dyDescent="0.25">
      <c r="A37" s="59">
        <v>31</v>
      </c>
      <c r="B37" s="92">
        <v>46183</v>
      </c>
      <c r="C37" s="28" t="s">
        <v>43</v>
      </c>
      <c r="D37" s="206" t="s">
        <v>91</v>
      </c>
      <c r="E37" s="69" t="s">
        <v>75</v>
      </c>
      <c r="F37" s="69" t="s">
        <v>123</v>
      </c>
      <c r="G37" s="28">
        <v>1033</v>
      </c>
      <c r="H37" s="62">
        <v>45.06</v>
      </c>
      <c r="I37" s="28">
        <v>186</v>
      </c>
      <c r="J37" s="28">
        <v>238</v>
      </c>
      <c r="K37" s="28">
        <v>8.1</v>
      </c>
      <c r="L37" s="28">
        <v>20</v>
      </c>
      <c r="M37" s="28">
        <v>15</v>
      </c>
      <c r="N37" s="28">
        <v>18</v>
      </c>
      <c r="O37" s="28">
        <v>1</v>
      </c>
      <c r="P37" s="28">
        <v>28</v>
      </c>
      <c r="Q37" s="28">
        <v>675</v>
      </c>
      <c r="R37" s="69" t="s">
        <v>75</v>
      </c>
      <c r="S37" s="28">
        <v>1108</v>
      </c>
      <c r="T37" s="59">
        <v>1108</v>
      </c>
      <c r="U37" s="60">
        <v>0.65</v>
      </c>
      <c r="V37" s="60">
        <f>T37*0.65</f>
        <v>720.2</v>
      </c>
      <c r="W37" s="59">
        <v>37</v>
      </c>
      <c r="X37" s="60">
        <f>Y37/37</f>
        <v>72.264864864864876</v>
      </c>
      <c r="Y37" s="60">
        <v>2673.8</v>
      </c>
      <c r="Z37" s="60"/>
      <c r="AA37" s="60">
        <v>78781</v>
      </c>
      <c r="AB37" s="62">
        <f>AA37-V37</f>
        <v>78060.800000000003</v>
      </c>
      <c r="AC37" s="200">
        <v>46183</v>
      </c>
      <c r="AD37" s="60">
        <f>78060</f>
        <v>78060</v>
      </c>
      <c r="AE37" s="63"/>
      <c r="AF37" s="64"/>
      <c r="AG37" s="63" t="s">
        <v>73</v>
      </c>
      <c r="AH37" s="60">
        <f t="shared" si="15"/>
        <v>78060</v>
      </c>
    </row>
    <row r="38" spans="1:34" x14ac:dyDescent="0.25">
      <c r="A38" s="59">
        <v>32</v>
      </c>
      <c r="B38" s="92">
        <v>46184</v>
      </c>
      <c r="C38" s="28" t="s">
        <v>43</v>
      </c>
      <c r="D38" s="205" t="s">
        <v>116</v>
      </c>
      <c r="E38" s="69" t="s">
        <v>103</v>
      </c>
      <c r="F38" s="69" t="s">
        <v>123</v>
      </c>
      <c r="G38" s="28">
        <v>1034</v>
      </c>
      <c r="H38" s="62">
        <v>48.41</v>
      </c>
      <c r="I38" s="28">
        <v>185</v>
      </c>
      <c r="J38" s="28">
        <v>258</v>
      </c>
      <c r="K38" s="28">
        <v>7.4</v>
      </c>
      <c r="L38" s="28">
        <v>22</v>
      </c>
      <c r="M38" s="28">
        <v>11</v>
      </c>
      <c r="N38" s="28">
        <v>14</v>
      </c>
      <c r="O38" s="28">
        <v>0</v>
      </c>
      <c r="P38" s="28">
        <v>6</v>
      </c>
      <c r="Q38" s="28">
        <v>679</v>
      </c>
      <c r="R38" s="69" t="s">
        <v>103</v>
      </c>
      <c r="S38" s="28">
        <v>591</v>
      </c>
      <c r="T38" s="59">
        <v>591</v>
      </c>
      <c r="U38" s="60">
        <v>0.65</v>
      </c>
      <c r="V38" s="60">
        <f>T38*U38</f>
        <v>384.15000000000003</v>
      </c>
      <c r="W38" s="59">
        <v>24</v>
      </c>
      <c r="X38" s="60">
        <f>Y38/W38</f>
        <v>73.666666666666671</v>
      </c>
      <c r="Y38" s="60">
        <v>1768</v>
      </c>
      <c r="Z38" s="60"/>
      <c r="AA38" s="60">
        <v>43436</v>
      </c>
      <c r="AB38" s="62">
        <f>AA38-V38</f>
        <v>43051.85</v>
      </c>
      <c r="AC38" s="200">
        <v>46184</v>
      </c>
      <c r="AD38" s="60">
        <v>42945.65</v>
      </c>
      <c r="AE38" s="63"/>
      <c r="AF38" s="64">
        <f>AB38-AD38</f>
        <v>106.19999999999709</v>
      </c>
      <c r="AG38" s="63"/>
      <c r="AH38" s="60">
        <f t="shared" si="15"/>
        <v>43051.85</v>
      </c>
    </row>
    <row r="39" spans="1:34" x14ac:dyDescent="0.25">
      <c r="A39" s="59">
        <v>33</v>
      </c>
      <c r="B39" s="92">
        <v>46184</v>
      </c>
      <c r="C39" s="28" t="s">
        <v>43</v>
      </c>
      <c r="D39" s="205" t="s">
        <v>116</v>
      </c>
      <c r="E39" s="69" t="s">
        <v>103</v>
      </c>
      <c r="F39" s="69" t="s">
        <v>123</v>
      </c>
      <c r="G39" s="28">
        <v>1035</v>
      </c>
      <c r="H39" s="62">
        <v>45.06</v>
      </c>
      <c r="I39" s="28">
        <v>188</v>
      </c>
      <c r="J39" s="28">
        <v>240</v>
      </c>
      <c r="K39" s="28">
        <v>7.1</v>
      </c>
      <c r="L39" s="28">
        <v>23</v>
      </c>
      <c r="M39" s="28">
        <v>16</v>
      </c>
      <c r="N39" s="28">
        <v>21</v>
      </c>
      <c r="O39" s="28">
        <v>4</v>
      </c>
      <c r="P39" s="28">
        <v>15</v>
      </c>
      <c r="Q39" s="28">
        <v>665</v>
      </c>
      <c r="R39" s="69" t="s">
        <v>103</v>
      </c>
      <c r="S39" s="28">
        <v>867</v>
      </c>
      <c r="T39" s="59">
        <v>867</v>
      </c>
      <c r="U39" s="60">
        <f>0.65</f>
        <v>0.65</v>
      </c>
      <c r="V39" s="60">
        <f>U39*T39</f>
        <v>563.55000000000007</v>
      </c>
      <c r="W39" s="59">
        <v>36</v>
      </c>
      <c r="X39" s="60">
        <f>Y39/W39</f>
        <v>72.927777777777777</v>
      </c>
      <c r="Y39" s="60">
        <v>2625.4</v>
      </c>
      <c r="Z39" s="60"/>
      <c r="AA39" s="60">
        <v>61930</v>
      </c>
      <c r="AB39" s="62">
        <v>61366.55</v>
      </c>
      <c r="AC39" s="200">
        <v>46184</v>
      </c>
      <c r="AD39" s="60">
        <v>61179</v>
      </c>
      <c r="AE39" s="63"/>
      <c r="AF39" s="64">
        <f>AB39-AD39</f>
        <v>187.55000000000291</v>
      </c>
      <c r="AG39" s="63"/>
      <c r="AH39" s="60">
        <f t="shared" si="15"/>
        <v>61366.55</v>
      </c>
    </row>
    <row r="40" spans="1:34" x14ac:dyDescent="0.25">
      <c r="A40" s="59">
        <v>34</v>
      </c>
      <c r="B40" s="92">
        <v>46185</v>
      </c>
      <c r="C40" s="28" t="s">
        <v>43</v>
      </c>
      <c r="D40" s="205" t="s">
        <v>116</v>
      </c>
      <c r="E40" s="69" t="s">
        <v>103</v>
      </c>
      <c r="F40" s="69" t="s">
        <v>123</v>
      </c>
      <c r="G40" s="28">
        <v>1036</v>
      </c>
      <c r="H40" s="62">
        <v>44.88</v>
      </c>
      <c r="I40" s="28">
        <v>185</v>
      </c>
      <c r="J40" s="28">
        <v>236</v>
      </c>
      <c r="K40" s="28">
        <v>7.5</v>
      </c>
      <c r="L40" s="28">
        <v>18</v>
      </c>
      <c r="M40" s="28">
        <v>19</v>
      </c>
      <c r="N40" s="28">
        <v>27</v>
      </c>
      <c r="O40" s="28">
        <v>0</v>
      </c>
      <c r="P40" s="28">
        <v>16</v>
      </c>
      <c r="Q40" s="28">
        <v>671</v>
      </c>
      <c r="R40" s="69" t="s">
        <v>103</v>
      </c>
      <c r="S40" s="28">
        <v>884</v>
      </c>
      <c r="T40" s="59">
        <v>884</v>
      </c>
      <c r="U40" s="60">
        <v>0.65</v>
      </c>
      <c r="V40" s="60">
        <f>T40*U40</f>
        <v>574.6</v>
      </c>
      <c r="W40" s="59">
        <v>38</v>
      </c>
      <c r="X40" s="60">
        <f>Y40/38</f>
        <v>69.692105263157899</v>
      </c>
      <c r="Y40" s="60">
        <v>2648.3</v>
      </c>
      <c r="Z40" s="60"/>
      <c r="AA40" s="60">
        <v>65368</v>
      </c>
      <c r="AB40" s="62">
        <f t="shared" ref="AB40:AB43" si="16">AA40-V40</f>
        <v>64793.4</v>
      </c>
      <c r="AC40" s="200">
        <v>46185</v>
      </c>
      <c r="AD40" s="60">
        <f>64571.4</f>
        <v>64571.4</v>
      </c>
      <c r="AE40" s="63"/>
      <c r="AF40" s="64">
        <f>AB40-AD40</f>
        <v>222</v>
      </c>
      <c r="AG40" s="63"/>
      <c r="AH40" s="60">
        <f t="shared" si="15"/>
        <v>64793.4</v>
      </c>
    </row>
    <row r="41" spans="1:34" x14ac:dyDescent="0.25">
      <c r="A41" s="59">
        <v>35</v>
      </c>
      <c r="B41" s="92">
        <v>46186</v>
      </c>
      <c r="C41" s="28" t="s">
        <v>43</v>
      </c>
      <c r="D41" s="205" t="s">
        <v>116</v>
      </c>
      <c r="E41" s="69" t="s">
        <v>103</v>
      </c>
      <c r="F41" s="69" t="s">
        <v>123</v>
      </c>
      <c r="G41" s="28">
        <v>1037</v>
      </c>
      <c r="H41" s="62">
        <v>44.62</v>
      </c>
      <c r="I41" s="28">
        <v>184</v>
      </c>
      <c r="J41" s="28">
        <v>234</v>
      </c>
      <c r="K41" s="28">
        <v>7.3</v>
      </c>
      <c r="L41" s="28">
        <v>18</v>
      </c>
      <c r="M41" s="28">
        <v>20</v>
      </c>
      <c r="N41" s="28">
        <v>23</v>
      </c>
      <c r="O41" s="28">
        <v>0</v>
      </c>
      <c r="P41" s="28">
        <v>33</v>
      </c>
      <c r="Q41" s="28">
        <v>663</v>
      </c>
      <c r="R41" s="69" t="s">
        <v>103</v>
      </c>
      <c r="S41" s="28">
        <v>966</v>
      </c>
      <c r="T41" s="59">
        <v>966</v>
      </c>
      <c r="U41" s="60">
        <v>0.65</v>
      </c>
      <c r="V41" s="60">
        <f>T41*U41</f>
        <v>627.9</v>
      </c>
      <c r="W41" s="59"/>
      <c r="X41" s="60"/>
      <c r="Y41" s="60">
        <v>2853</v>
      </c>
      <c r="Z41" s="60"/>
      <c r="AA41" s="60">
        <v>70726</v>
      </c>
      <c r="AB41" s="62">
        <f t="shared" si="16"/>
        <v>70098.100000000006</v>
      </c>
      <c r="AC41" s="200">
        <v>46186</v>
      </c>
      <c r="AD41" s="60">
        <v>70098.100000000006</v>
      </c>
      <c r="AE41" s="63"/>
      <c r="AF41" s="64"/>
      <c r="AG41" s="63" t="s">
        <v>73</v>
      </c>
      <c r="AH41" s="60">
        <f t="shared" si="15"/>
        <v>70098.100000000006</v>
      </c>
    </row>
    <row r="42" spans="1:34" x14ac:dyDescent="0.25">
      <c r="A42" s="59">
        <v>36</v>
      </c>
      <c r="B42" s="92">
        <v>46188</v>
      </c>
      <c r="C42" s="28" t="s">
        <v>43</v>
      </c>
      <c r="D42" s="205" t="s">
        <v>116</v>
      </c>
      <c r="E42" s="69" t="s">
        <v>103</v>
      </c>
      <c r="F42" s="69" t="s">
        <v>123</v>
      </c>
      <c r="G42" s="28">
        <v>1038</v>
      </c>
      <c r="H42" s="62">
        <v>44</v>
      </c>
      <c r="I42" s="28">
        <v>186</v>
      </c>
      <c r="J42" s="28">
        <v>233</v>
      </c>
      <c r="K42" s="28">
        <v>7.6</v>
      </c>
      <c r="L42" s="28">
        <v>17</v>
      </c>
      <c r="M42" s="28">
        <v>16</v>
      </c>
      <c r="N42" s="28">
        <v>28</v>
      </c>
      <c r="O42" s="28">
        <v>2</v>
      </c>
      <c r="P42" s="28">
        <v>22</v>
      </c>
      <c r="Q42" s="28">
        <v>676</v>
      </c>
      <c r="R42" s="69" t="s">
        <v>103</v>
      </c>
      <c r="S42" s="28">
        <v>1325</v>
      </c>
      <c r="T42" s="59">
        <v>1325</v>
      </c>
      <c r="U42" s="60">
        <v>0.65</v>
      </c>
      <c r="V42" s="60">
        <f>T42*U42</f>
        <v>861.25</v>
      </c>
      <c r="W42" s="59"/>
      <c r="X42" s="60"/>
      <c r="Y42" s="60"/>
      <c r="Z42" s="60"/>
      <c r="AA42" s="60">
        <v>97807</v>
      </c>
      <c r="AB42" s="62">
        <f t="shared" si="16"/>
        <v>96945.75</v>
      </c>
      <c r="AC42" s="200">
        <v>46188</v>
      </c>
      <c r="AD42" s="60">
        <v>96945.75</v>
      </c>
      <c r="AE42" s="63"/>
      <c r="AF42" s="64"/>
      <c r="AG42" s="63"/>
      <c r="AH42" s="60">
        <f t="shared" si="15"/>
        <v>96945.75</v>
      </c>
    </row>
    <row r="43" spans="1:34" x14ac:dyDescent="0.25">
      <c r="A43" s="59">
        <v>37</v>
      </c>
      <c r="B43" s="92">
        <v>46189</v>
      </c>
      <c r="C43" s="28" t="s">
        <v>114</v>
      </c>
      <c r="D43" s="205" t="s">
        <v>116</v>
      </c>
      <c r="E43" s="69" t="s">
        <v>103</v>
      </c>
      <c r="F43" s="69" t="s">
        <v>123</v>
      </c>
      <c r="G43" s="28">
        <v>1039</v>
      </c>
      <c r="H43" s="62">
        <v>44.7</v>
      </c>
      <c r="I43" s="28">
        <v>186</v>
      </c>
      <c r="J43" s="28">
        <v>240</v>
      </c>
      <c r="K43" s="28">
        <v>7.1</v>
      </c>
      <c r="L43" s="28">
        <v>15</v>
      </c>
      <c r="M43" s="28">
        <v>12</v>
      </c>
      <c r="N43" s="28">
        <v>25</v>
      </c>
      <c r="O43" s="28">
        <v>3</v>
      </c>
      <c r="P43" s="28">
        <v>22</v>
      </c>
      <c r="Q43" s="28">
        <v>672</v>
      </c>
      <c r="R43" s="69" t="s">
        <v>103</v>
      </c>
      <c r="S43" s="28">
        <v>1428</v>
      </c>
      <c r="T43" s="59">
        <v>1428</v>
      </c>
      <c r="U43" s="60">
        <v>0.65</v>
      </c>
      <c r="V43" s="60">
        <f>T43*U43</f>
        <v>928.2</v>
      </c>
      <c r="W43" s="59">
        <v>60</v>
      </c>
      <c r="X43" s="60"/>
      <c r="Y43" s="60">
        <v>4281.8</v>
      </c>
      <c r="Z43" s="60"/>
      <c r="AA43" s="145">
        <v>101669</v>
      </c>
      <c r="AB43" s="62">
        <f t="shared" si="16"/>
        <v>100740.8</v>
      </c>
      <c r="AC43" s="200">
        <v>46189</v>
      </c>
      <c r="AD43" s="60">
        <f t="shared" ref="AD43:AD63" si="17">AB43</f>
        <v>100740.8</v>
      </c>
      <c r="AE43" s="63"/>
      <c r="AF43" s="64"/>
      <c r="AG43" s="63"/>
      <c r="AH43" s="60">
        <f t="shared" si="15"/>
        <v>100740.8</v>
      </c>
    </row>
    <row r="44" spans="1:34" x14ac:dyDescent="0.25">
      <c r="A44" s="59">
        <v>38</v>
      </c>
      <c r="B44" s="92">
        <v>46190</v>
      </c>
      <c r="C44" s="28" t="s">
        <v>114</v>
      </c>
      <c r="D44" s="205" t="s">
        <v>116</v>
      </c>
      <c r="E44" s="69" t="s">
        <v>103</v>
      </c>
      <c r="F44" s="69" t="s">
        <v>123</v>
      </c>
      <c r="G44" s="28">
        <v>1040</v>
      </c>
      <c r="H44" s="62">
        <v>44.07</v>
      </c>
      <c r="I44" s="28">
        <v>182</v>
      </c>
      <c r="J44" s="28">
        <v>234</v>
      </c>
      <c r="K44" s="28">
        <v>8.1999999999999993</v>
      </c>
      <c r="L44" s="28">
        <v>9</v>
      </c>
      <c r="M44" s="28">
        <v>14</v>
      </c>
      <c r="N44" s="28">
        <v>33</v>
      </c>
      <c r="O44" s="28">
        <v>5</v>
      </c>
      <c r="P44" s="28">
        <v>22</v>
      </c>
      <c r="Q44" s="28">
        <v>672</v>
      </c>
      <c r="R44" s="69" t="s">
        <v>103</v>
      </c>
      <c r="S44" s="28">
        <f>455+1030</f>
        <v>1485</v>
      </c>
      <c r="T44" s="59">
        <v>1485</v>
      </c>
      <c r="U44" s="60">
        <f>0.65</f>
        <v>0.65</v>
      </c>
      <c r="V44" s="60">
        <f>T44*U44</f>
        <v>965.25</v>
      </c>
      <c r="W44" s="59">
        <f>16+37</f>
        <v>53</v>
      </c>
      <c r="X44" s="60">
        <f>Y44/W44</f>
        <v>69.335849056603777</v>
      </c>
      <c r="Y44" s="60">
        <f>1179.8+2495</f>
        <v>3674.8</v>
      </c>
      <c r="Z44" s="60"/>
      <c r="AA44" s="164">
        <f>35047.8+77188</f>
        <v>112235.8</v>
      </c>
      <c r="AB44" s="62">
        <f t="shared" ref="AB44:AB51" si="18">AA44-V44</f>
        <v>111270.55</v>
      </c>
      <c r="AC44" s="200">
        <v>46190</v>
      </c>
      <c r="AD44" s="60">
        <f t="shared" si="17"/>
        <v>111270.55</v>
      </c>
      <c r="AE44" s="63"/>
      <c r="AF44" s="64"/>
      <c r="AG44" s="63" t="s">
        <v>151</v>
      </c>
      <c r="AH44" s="60">
        <f t="shared" si="15"/>
        <v>111270.55</v>
      </c>
    </row>
    <row r="45" spans="1:34" x14ac:dyDescent="0.25">
      <c r="A45" s="59">
        <v>39</v>
      </c>
      <c r="B45" s="92">
        <v>46191</v>
      </c>
      <c r="C45" s="28" t="s">
        <v>114</v>
      </c>
      <c r="D45" s="205" t="s">
        <v>116</v>
      </c>
      <c r="E45" s="69" t="s">
        <v>103</v>
      </c>
      <c r="F45" s="69" t="s">
        <v>123</v>
      </c>
      <c r="G45" s="28">
        <v>1041</v>
      </c>
      <c r="H45" s="62">
        <v>43.73</v>
      </c>
      <c r="I45" s="28">
        <v>187</v>
      </c>
      <c r="J45" s="28">
        <v>229</v>
      </c>
      <c r="K45" s="28">
        <v>8.1</v>
      </c>
      <c r="L45" s="28">
        <v>12</v>
      </c>
      <c r="M45" s="28">
        <v>15</v>
      </c>
      <c r="N45" s="28">
        <v>36</v>
      </c>
      <c r="O45" s="28">
        <v>5</v>
      </c>
      <c r="P45" s="28">
        <v>26</v>
      </c>
      <c r="Q45" s="28">
        <v>669</v>
      </c>
      <c r="R45" s="69" t="s">
        <v>103</v>
      </c>
      <c r="S45" s="28">
        <v>2039</v>
      </c>
      <c r="T45" s="59">
        <v>2039</v>
      </c>
      <c r="U45" s="60">
        <v>0.65</v>
      </c>
      <c r="V45" s="60">
        <f>U45*T45</f>
        <v>1325.3500000000001</v>
      </c>
      <c r="W45" s="59"/>
      <c r="X45" s="60"/>
      <c r="Y45" s="60"/>
      <c r="Z45" s="60"/>
      <c r="AA45" s="164">
        <v>155376</v>
      </c>
      <c r="AB45" s="62">
        <f t="shared" si="18"/>
        <v>154050.65</v>
      </c>
      <c r="AC45" s="200">
        <v>46191</v>
      </c>
      <c r="AD45" s="60">
        <f t="shared" si="17"/>
        <v>154050.65</v>
      </c>
      <c r="AE45" s="63"/>
      <c r="AF45" s="64"/>
      <c r="AG45" s="63" t="s">
        <v>151</v>
      </c>
      <c r="AH45" s="60">
        <f t="shared" si="15"/>
        <v>154050.65</v>
      </c>
    </row>
    <row r="46" spans="1:34" x14ac:dyDescent="0.25">
      <c r="A46" s="59">
        <v>40</v>
      </c>
      <c r="B46" s="92">
        <v>46192</v>
      </c>
      <c r="C46" s="28" t="s">
        <v>114</v>
      </c>
      <c r="D46" s="205" t="s">
        <v>116</v>
      </c>
      <c r="E46" s="69" t="s">
        <v>103</v>
      </c>
      <c r="F46" s="69" t="s">
        <v>123</v>
      </c>
      <c r="G46" s="28">
        <v>1042</v>
      </c>
      <c r="H46" s="62">
        <v>45.01</v>
      </c>
      <c r="I46" s="28">
        <v>188</v>
      </c>
      <c r="J46" s="28">
        <v>235</v>
      </c>
      <c r="K46" s="28">
        <v>7.4</v>
      </c>
      <c r="L46" s="28">
        <v>17</v>
      </c>
      <c r="M46" s="28">
        <v>13</v>
      </c>
      <c r="N46" s="28">
        <v>24</v>
      </c>
      <c r="O46" s="28">
        <v>0</v>
      </c>
      <c r="P46" s="28">
        <v>39</v>
      </c>
      <c r="Q46" s="28">
        <v>665</v>
      </c>
      <c r="R46" s="69" t="s">
        <v>103</v>
      </c>
      <c r="S46" s="28">
        <v>719</v>
      </c>
      <c r="T46" s="59">
        <v>719</v>
      </c>
      <c r="U46" s="60">
        <v>0.65</v>
      </c>
      <c r="V46" s="60">
        <f>U46*T46</f>
        <v>467.35</v>
      </c>
      <c r="W46" s="59">
        <v>25</v>
      </c>
      <c r="X46" s="60">
        <f>Y46/W46</f>
        <v>73.536000000000001</v>
      </c>
      <c r="Y46" s="60">
        <f>890+457.2+491.2</f>
        <v>1838.4</v>
      </c>
      <c r="Z46" s="60"/>
      <c r="AA46" s="60">
        <v>51687.6</v>
      </c>
      <c r="AB46" s="62">
        <f t="shared" si="18"/>
        <v>51220.25</v>
      </c>
      <c r="AC46" s="200">
        <v>46192</v>
      </c>
      <c r="AD46" s="60">
        <f t="shared" si="17"/>
        <v>51220.25</v>
      </c>
      <c r="AE46" s="63"/>
      <c r="AF46" s="64"/>
      <c r="AG46" s="63"/>
      <c r="AH46" s="60">
        <f t="shared" si="15"/>
        <v>51220.25</v>
      </c>
    </row>
    <row r="47" spans="1:34" x14ac:dyDescent="0.25">
      <c r="A47" s="59">
        <v>41</v>
      </c>
      <c r="B47" s="92">
        <v>46195</v>
      </c>
      <c r="C47" s="28" t="s">
        <v>114</v>
      </c>
      <c r="D47" s="205" t="s">
        <v>116</v>
      </c>
      <c r="E47" s="69" t="s">
        <v>103</v>
      </c>
      <c r="F47" s="69" t="s">
        <v>123</v>
      </c>
      <c r="G47" s="28">
        <v>1043</v>
      </c>
      <c r="H47" s="62">
        <v>44.62</v>
      </c>
      <c r="I47" s="28">
        <v>193</v>
      </c>
      <c r="J47" s="28">
        <v>231</v>
      </c>
      <c r="K47" s="28">
        <v>7.4</v>
      </c>
      <c r="L47" s="28">
        <v>17</v>
      </c>
      <c r="M47" s="28">
        <v>22</v>
      </c>
      <c r="N47" s="28">
        <v>25</v>
      </c>
      <c r="O47" s="28">
        <v>2</v>
      </c>
      <c r="P47" s="28">
        <v>27</v>
      </c>
      <c r="Q47" s="28">
        <v>666</v>
      </c>
      <c r="R47" s="69" t="s">
        <v>103</v>
      </c>
      <c r="S47" s="28">
        <v>1309</v>
      </c>
      <c r="T47" s="59">
        <v>1309</v>
      </c>
      <c r="U47" s="60">
        <v>0.65</v>
      </c>
      <c r="V47" s="60">
        <f>T47*U47</f>
        <v>850.85</v>
      </c>
      <c r="W47" s="59">
        <f>25+19</f>
        <v>44</v>
      </c>
      <c r="X47" s="60">
        <f>3221.6/44</f>
        <v>73.218181818181819</v>
      </c>
      <c r="Y47" s="60">
        <v>3221.6</v>
      </c>
      <c r="Z47" s="60"/>
      <c r="AA47" s="145">
        <v>94894.399999999994</v>
      </c>
      <c r="AB47" s="62">
        <f t="shared" si="18"/>
        <v>94043.549999999988</v>
      </c>
      <c r="AC47" s="200">
        <v>46195</v>
      </c>
      <c r="AD47" s="60">
        <f t="shared" si="17"/>
        <v>94043.549999999988</v>
      </c>
      <c r="AE47" s="63"/>
      <c r="AF47" s="64"/>
      <c r="AG47" s="63"/>
      <c r="AH47" s="60">
        <f t="shared" si="15"/>
        <v>94043.549999999988</v>
      </c>
    </row>
    <row r="48" spans="1:34" x14ac:dyDescent="0.25">
      <c r="A48" s="59">
        <v>42</v>
      </c>
      <c r="B48" s="92">
        <v>46196</v>
      </c>
      <c r="C48" s="28" t="s">
        <v>114</v>
      </c>
      <c r="D48" s="205" t="s">
        <v>125</v>
      </c>
      <c r="E48" s="69" t="s">
        <v>126</v>
      </c>
      <c r="F48" s="69" t="s">
        <v>132</v>
      </c>
      <c r="G48" s="28">
        <v>1044</v>
      </c>
      <c r="H48" s="62">
        <v>47.57</v>
      </c>
      <c r="I48" s="28">
        <v>186</v>
      </c>
      <c r="J48" s="28">
        <v>260</v>
      </c>
      <c r="K48" s="28">
        <v>7.8</v>
      </c>
      <c r="L48" s="28">
        <v>8</v>
      </c>
      <c r="M48" s="28">
        <v>10</v>
      </c>
      <c r="N48" s="28">
        <v>28</v>
      </c>
      <c r="O48" s="28">
        <v>0</v>
      </c>
      <c r="P48" s="28">
        <v>14</v>
      </c>
      <c r="Q48" s="28">
        <v>667</v>
      </c>
      <c r="R48" s="69" t="s">
        <v>126</v>
      </c>
      <c r="S48" s="28">
        <v>1440</v>
      </c>
      <c r="T48" s="59">
        <v>1440</v>
      </c>
      <c r="U48" s="60">
        <f>0.65</f>
        <v>0.65</v>
      </c>
      <c r="V48" s="60">
        <f>T48*U48</f>
        <v>936</v>
      </c>
      <c r="W48" s="59">
        <v>48</v>
      </c>
      <c r="X48" s="60">
        <f>Y48/W48</f>
        <v>74.875</v>
      </c>
      <c r="Y48" s="60">
        <v>3594</v>
      </c>
      <c r="Z48" s="60"/>
      <c r="AA48" s="164">
        <f>109098</f>
        <v>109098</v>
      </c>
      <c r="AB48" s="62">
        <f t="shared" si="18"/>
        <v>108162</v>
      </c>
      <c r="AC48" s="200">
        <v>46196</v>
      </c>
      <c r="AD48" s="60">
        <f t="shared" si="17"/>
        <v>108162</v>
      </c>
      <c r="AE48" s="63"/>
      <c r="AF48" s="64"/>
      <c r="AG48" s="63" t="s">
        <v>151</v>
      </c>
      <c r="AH48" s="60">
        <f t="shared" si="15"/>
        <v>108162</v>
      </c>
    </row>
    <row r="49" spans="1:34" x14ac:dyDescent="0.25">
      <c r="A49" s="59">
        <v>43</v>
      </c>
      <c r="B49" s="92">
        <v>46198</v>
      </c>
      <c r="C49" s="28" t="s">
        <v>114</v>
      </c>
      <c r="D49" s="205" t="s">
        <v>125</v>
      </c>
      <c r="E49" s="69" t="s">
        <v>126</v>
      </c>
      <c r="F49" s="69" t="s">
        <v>132</v>
      </c>
      <c r="G49" s="28">
        <v>1045</v>
      </c>
      <c r="H49" s="62">
        <v>46.47</v>
      </c>
      <c r="I49" s="28">
        <v>184</v>
      </c>
      <c r="J49" s="28">
        <v>253</v>
      </c>
      <c r="K49" s="28">
        <v>8.1</v>
      </c>
      <c r="L49" s="28">
        <v>13</v>
      </c>
      <c r="M49" s="28">
        <v>9</v>
      </c>
      <c r="N49" s="28">
        <v>18</v>
      </c>
      <c r="O49" s="28">
        <v>0</v>
      </c>
      <c r="P49" s="28">
        <v>31</v>
      </c>
      <c r="Q49" s="28">
        <v>666</v>
      </c>
      <c r="R49" s="69" t="s">
        <v>126</v>
      </c>
      <c r="S49" s="28">
        <v>1321</v>
      </c>
      <c r="T49" s="59">
        <v>1321</v>
      </c>
      <c r="U49" s="60">
        <v>0.65</v>
      </c>
      <c r="V49" s="60">
        <f>U49*T49</f>
        <v>858.65</v>
      </c>
      <c r="W49" s="59">
        <v>44</v>
      </c>
      <c r="X49" s="60">
        <f>Y49/W49</f>
        <v>73.931818181818187</v>
      </c>
      <c r="Y49" s="60">
        <v>3253</v>
      </c>
      <c r="Z49" s="60"/>
      <c r="AA49" s="164">
        <f>102851-Y49</f>
        <v>99598</v>
      </c>
      <c r="AB49" s="62">
        <f t="shared" si="18"/>
        <v>98739.35</v>
      </c>
      <c r="AC49" s="200">
        <v>46199</v>
      </c>
      <c r="AD49" s="60">
        <f t="shared" si="17"/>
        <v>98739.35</v>
      </c>
      <c r="AE49" s="63"/>
      <c r="AF49" s="64"/>
      <c r="AG49" s="63" t="s">
        <v>151</v>
      </c>
      <c r="AH49" s="60">
        <f t="shared" si="15"/>
        <v>98739.35</v>
      </c>
    </row>
    <row r="50" spans="1:34" x14ac:dyDescent="0.25">
      <c r="A50" s="59">
        <v>44</v>
      </c>
      <c r="B50" s="92">
        <v>46199</v>
      </c>
      <c r="C50" s="28" t="s">
        <v>114</v>
      </c>
      <c r="D50" s="205" t="s">
        <v>125</v>
      </c>
      <c r="E50" s="69" t="s">
        <v>126</v>
      </c>
      <c r="F50" s="69" t="s">
        <v>132</v>
      </c>
      <c r="G50" s="28">
        <v>1046</v>
      </c>
      <c r="H50" s="62">
        <v>45.71</v>
      </c>
      <c r="I50" s="28">
        <v>190</v>
      </c>
      <c r="J50" s="28">
        <v>239</v>
      </c>
      <c r="K50" s="28">
        <v>8.5</v>
      </c>
      <c r="L50" s="28">
        <v>20</v>
      </c>
      <c r="M50" s="28">
        <v>20</v>
      </c>
      <c r="N50" s="28">
        <v>18</v>
      </c>
      <c r="O50" s="28">
        <v>3</v>
      </c>
      <c r="P50" s="28">
        <v>22</v>
      </c>
      <c r="Q50" s="28">
        <v>673</v>
      </c>
      <c r="R50" s="69" t="s">
        <v>126</v>
      </c>
      <c r="S50" s="28">
        <v>1500</v>
      </c>
      <c r="T50" s="59">
        <v>1500</v>
      </c>
      <c r="U50" s="60">
        <v>0.65</v>
      </c>
      <c r="V50" s="60">
        <f>U50*T50</f>
        <v>975</v>
      </c>
      <c r="W50" s="59">
        <f>50</f>
        <v>50</v>
      </c>
      <c r="X50" s="60">
        <f>Y50/50</f>
        <v>72.013999999999996</v>
      </c>
      <c r="Y50" s="60">
        <f>3600.7</f>
        <v>3600.7</v>
      </c>
      <c r="Z50" s="60"/>
      <c r="AA50" s="164">
        <v>116651.4</v>
      </c>
      <c r="AB50" s="62">
        <f t="shared" si="18"/>
        <v>115676.4</v>
      </c>
      <c r="AC50" s="200">
        <v>46200</v>
      </c>
      <c r="AD50" s="60">
        <f t="shared" si="17"/>
        <v>115676.4</v>
      </c>
      <c r="AE50" s="63"/>
      <c r="AF50" s="64"/>
      <c r="AG50" s="63" t="s">
        <v>151</v>
      </c>
      <c r="AH50" s="60">
        <f t="shared" si="15"/>
        <v>115676.4</v>
      </c>
    </row>
    <row r="51" spans="1:34" x14ac:dyDescent="0.25">
      <c r="A51" s="59">
        <v>45</v>
      </c>
      <c r="B51" s="92">
        <v>46200</v>
      </c>
      <c r="C51" s="28" t="s">
        <v>114</v>
      </c>
      <c r="D51" s="205" t="s">
        <v>125</v>
      </c>
      <c r="E51" s="69" t="s">
        <v>126</v>
      </c>
      <c r="F51" s="69" t="s">
        <v>132</v>
      </c>
      <c r="G51" s="28">
        <v>1047</v>
      </c>
      <c r="H51" s="62">
        <v>45.81</v>
      </c>
      <c r="I51" s="28">
        <v>196</v>
      </c>
      <c r="J51" s="28">
        <v>240</v>
      </c>
      <c r="K51" s="28">
        <v>8</v>
      </c>
      <c r="L51" s="28">
        <v>21</v>
      </c>
      <c r="M51" s="28">
        <v>16</v>
      </c>
      <c r="N51" s="28">
        <v>24</v>
      </c>
      <c r="O51" s="28">
        <v>0</v>
      </c>
      <c r="P51" s="28">
        <v>24</v>
      </c>
      <c r="Q51" s="28">
        <v>663</v>
      </c>
      <c r="R51" s="69" t="s">
        <v>126</v>
      </c>
      <c r="S51" s="28">
        <v>1502</v>
      </c>
      <c r="T51" s="59">
        <v>1502</v>
      </c>
      <c r="U51" s="60">
        <v>0.65</v>
      </c>
      <c r="V51" s="60">
        <f>T51*U51</f>
        <v>976.30000000000007</v>
      </c>
      <c r="W51" s="59">
        <v>50</v>
      </c>
      <c r="X51" s="60">
        <f>Y51/50</f>
        <v>70.828000000000003</v>
      </c>
      <c r="Y51" s="60">
        <v>3541.4</v>
      </c>
      <c r="Z51" s="60"/>
      <c r="AA51" s="164">
        <v>110815.8</v>
      </c>
      <c r="AB51" s="62">
        <f t="shared" si="18"/>
        <v>109839.5</v>
      </c>
      <c r="AC51" s="200">
        <v>46200</v>
      </c>
      <c r="AD51" s="60">
        <f t="shared" si="17"/>
        <v>109839.5</v>
      </c>
      <c r="AE51" s="63"/>
      <c r="AF51" s="64"/>
      <c r="AG51" s="63" t="s">
        <v>151</v>
      </c>
      <c r="AH51" s="60">
        <f t="shared" si="15"/>
        <v>109839.5</v>
      </c>
    </row>
    <row r="52" spans="1:34" x14ac:dyDescent="0.25">
      <c r="A52" s="59">
        <v>46</v>
      </c>
      <c r="B52" s="92">
        <v>46201</v>
      </c>
      <c r="C52" s="28" t="s">
        <v>114</v>
      </c>
      <c r="D52" s="205" t="s">
        <v>125</v>
      </c>
      <c r="E52" s="69" t="s">
        <v>126</v>
      </c>
      <c r="F52" s="69" t="s">
        <v>132</v>
      </c>
      <c r="G52" s="28">
        <v>1048</v>
      </c>
      <c r="H52" s="62">
        <v>46.42</v>
      </c>
      <c r="I52" s="28">
        <v>197</v>
      </c>
      <c r="J52" s="28">
        <v>248</v>
      </c>
      <c r="K52" s="28">
        <v>7.8</v>
      </c>
      <c r="L52" s="28">
        <v>16</v>
      </c>
      <c r="M52" s="28">
        <v>15</v>
      </c>
      <c r="N52" s="28">
        <v>26</v>
      </c>
      <c r="O52" s="28">
        <v>0</v>
      </c>
      <c r="P52" s="28">
        <v>27</v>
      </c>
      <c r="Q52" s="28">
        <v>657</v>
      </c>
      <c r="R52" s="69" t="s">
        <v>126</v>
      </c>
      <c r="S52" s="28">
        <v>1170</v>
      </c>
      <c r="T52" s="59">
        <v>1170</v>
      </c>
      <c r="U52" s="60">
        <v>0.65</v>
      </c>
      <c r="V52" s="60">
        <f>T52*U52</f>
        <v>760.5</v>
      </c>
      <c r="W52" s="59">
        <v>39</v>
      </c>
      <c r="X52" s="60">
        <f>Y52/39</f>
        <v>74.697435897435895</v>
      </c>
      <c r="Y52" s="60">
        <f>2913.2</f>
        <v>2913.2</v>
      </c>
      <c r="Z52" s="60"/>
      <c r="AA52" s="164">
        <f>87594.5-Y52</f>
        <v>84681.3</v>
      </c>
      <c r="AB52" s="62">
        <f t="shared" ref="AB52:AB114" si="19">AA52-V52</f>
        <v>83920.8</v>
      </c>
      <c r="AC52" s="200">
        <v>46201</v>
      </c>
      <c r="AD52" s="60">
        <f t="shared" si="17"/>
        <v>83920.8</v>
      </c>
      <c r="AE52" s="63"/>
      <c r="AF52" s="64"/>
      <c r="AG52" s="63" t="s">
        <v>151</v>
      </c>
      <c r="AH52" s="60">
        <f t="shared" si="15"/>
        <v>83920.8</v>
      </c>
    </row>
    <row r="53" spans="1:34" x14ac:dyDescent="0.25">
      <c r="A53" s="59">
        <v>47</v>
      </c>
      <c r="B53" s="92">
        <v>46202</v>
      </c>
      <c r="C53" s="28" t="s">
        <v>114</v>
      </c>
      <c r="D53" s="205" t="s">
        <v>125</v>
      </c>
      <c r="E53" s="69" t="s">
        <v>126</v>
      </c>
      <c r="F53" s="69" t="s">
        <v>132</v>
      </c>
      <c r="G53" s="28">
        <v>1049</v>
      </c>
      <c r="H53" s="62">
        <v>45.63</v>
      </c>
      <c r="I53" s="28">
        <v>188</v>
      </c>
      <c r="J53" s="28">
        <v>250</v>
      </c>
      <c r="K53" s="28">
        <v>7.7</v>
      </c>
      <c r="L53" s="28">
        <v>3</v>
      </c>
      <c r="M53" s="28">
        <v>8</v>
      </c>
      <c r="N53" s="28">
        <v>32</v>
      </c>
      <c r="O53" s="28">
        <v>4</v>
      </c>
      <c r="P53" s="28">
        <v>21</v>
      </c>
      <c r="Q53" s="28">
        <v>673</v>
      </c>
      <c r="R53" s="69" t="s">
        <v>126</v>
      </c>
      <c r="S53" s="28">
        <v>1504</v>
      </c>
      <c r="T53" s="59">
        <v>1504</v>
      </c>
      <c r="U53" s="145">
        <v>0.65</v>
      </c>
      <c r="V53" s="60">
        <f>T53*U53</f>
        <v>977.6</v>
      </c>
      <c r="W53" s="59">
        <v>50</v>
      </c>
      <c r="X53" s="145">
        <f t="shared" ref="X53:X114" si="20">Y53/W53</f>
        <v>72.313999999999993</v>
      </c>
      <c r="Y53" s="145">
        <f>3615.7</f>
        <v>3615.7</v>
      </c>
      <c r="Z53" s="145"/>
      <c r="AA53" s="164">
        <f>107540.1-Y53</f>
        <v>103924.40000000001</v>
      </c>
      <c r="AB53" s="62">
        <f t="shared" si="19"/>
        <v>102946.8</v>
      </c>
      <c r="AC53" s="200">
        <v>46202</v>
      </c>
      <c r="AD53" s="60">
        <f t="shared" si="17"/>
        <v>102946.8</v>
      </c>
      <c r="AE53" s="146"/>
      <c r="AF53" s="147"/>
      <c r="AG53" s="63" t="s">
        <v>151</v>
      </c>
      <c r="AH53" s="60">
        <f t="shared" si="15"/>
        <v>102946.8</v>
      </c>
    </row>
    <row r="54" spans="1:34" x14ac:dyDescent="0.25">
      <c r="A54" s="59">
        <v>48</v>
      </c>
      <c r="B54" s="92">
        <v>46203</v>
      </c>
      <c r="C54" s="28" t="s">
        <v>114</v>
      </c>
      <c r="D54" s="205" t="s">
        <v>125</v>
      </c>
      <c r="E54" s="69" t="s">
        <v>126</v>
      </c>
      <c r="F54" s="69" t="s">
        <v>132</v>
      </c>
      <c r="G54" s="28">
        <v>1050</v>
      </c>
      <c r="H54" s="62">
        <v>46.07</v>
      </c>
      <c r="I54" s="28">
        <v>191</v>
      </c>
      <c r="J54" s="28">
        <v>246</v>
      </c>
      <c r="K54" s="28">
        <v>8.1</v>
      </c>
      <c r="L54" s="28">
        <v>14</v>
      </c>
      <c r="M54" s="28">
        <v>15</v>
      </c>
      <c r="N54" s="28">
        <v>26</v>
      </c>
      <c r="O54" s="28">
        <v>4</v>
      </c>
      <c r="P54" s="28">
        <v>14</v>
      </c>
      <c r="Q54" s="28">
        <v>672</v>
      </c>
      <c r="R54" s="69" t="s">
        <v>126</v>
      </c>
      <c r="S54" s="28">
        <v>3007</v>
      </c>
      <c r="T54" s="59">
        <v>3007</v>
      </c>
      <c r="U54" s="145">
        <f>0.65</f>
        <v>0.65</v>
      </c>
      <c r="V54" s="60">
        <f>T54*U54</f>
        <v>1954.55</v>
      </c>
      <c r="W54" s="59">
        <v>100</v>
      </c>
      <c r="X54" s="145">
        <f t="shared" si="20"/>
        <v>70.522999999999996</v>
      </c>
      <c r="Y54" s="145">
        <f>7052.3</f>
        <v>7052.3</v>
      </c>
      <c r="Z54" s="145"/>
      <c r="AA54" s="164">
        <f>223527.1</f>
        <v>223527.1</v>
      </c>
      <c r="AB54" s="62">
        <f t="shared" si="19"/>
        <v>221572.55000000002</v>
      </c>
      <c r="AC54" s="200">
        <v>46203</v>
      </c>
      <c r="AD54" s="60">
        <f t="shared" si="17"/>
        <v>221572.55000000002</v>
      </c>
      <c r="AE54" s="146"/>
      <c r="AF54" s="147"/>
      <c r="AG54" s="63" t="s">
        <v>151</v>
      </c>
      <c r="AH54" s="60">
        <f t="shared" si="15"/>
        <v>221572.55000000002</v>
      </c>
    </row>
    <row r="55" spans="1:34" x14ac:dyDescent="0.25">
      <c r="A55" s="59">
        <v>49</v>
      </c>
      <c r="B55" s="92">
        <v>46204</v>
      </c>
      <c r="C55" s="28" t="s">
        <v>114</v>
      </c>
      <c r="D55" s="205" t="s">
        <v>125</v>
      </c>
      <c r="E55" s="69" t="s">
        <v>126</v>
      </c>
      <c r="F55" s="69" t="s">
        <v>132</v>
      </c>
      <c r="G55" s="28">
        <v>1051</v>
      </c>
      <c r="H55" s="62">
        <v>43.82</v>
      </c>
      <c r="I55" s="28">
        <v>178</v>
      </c>
      <c r="J55" s="28">
        <v>231</v>
      </c>
      <c r="K55" s="28">
        <v>8.3000000000000007</v>
      </c>
      <c r="L55" s="28">
        <v>12</v>
      </c>
      <c r="M55" s="28">
        <v>15</v>
      </c>
      <c r="N55" s="28">
        <v>36</v>
      </c>
      <c r="O55" s="28">
        <v>4</v>
      </c>
      <c r="P55" s="28">
        <v>13</v>
      </c>
      <c r="Q55" s="28">
        <v>682</v>
      </c>
      <c r="R55" s="69" t="s">
        <v>126</v>
      </c>
      <c r="S55" s="28">
        <v>751</v>
      </c>
      <c r="T55" s="59">
        <v>751</v>
      </c>
      <c r="U55" s="145">
        <v>0.65</v>
      </c>
      <c r="V55" s="60">
        <f>T55*U55</f>
        <v>488.15000000000003</v>
      </c>
      <c r="W55" s="59">
        <v>25</v>
      </c>
      <c r="X55" s="145">
        <f t="shared" si="20"/>
        <v>71.92</v>
      </c>
      <c r="Y55" s="145">
        <f>1798</f>
        <v>1798</v>
      </c>
      <c r="Z55" s="145"/>
      <c r="AA55" s="164">
        <f>57966</f>
        <v>57966</v>
      </c>
      <c r="AB55" s="62">
        <f t="shared" si="19"/>
        <v>57477.85</v>
      </c>
      <c r="AC55" s="200">
        <v>46204</v>
      </c>
      <c r="AD55" s="60">
        <f t="shared" si="17"/>
        <v>57477.85</v>
      </c>
      <c r="AE55" s="146"/>
      <c r="AF55" s="147"/>
      <c r="AG55" s="63" t="s">
        <v>151</v>
      </c>
      <c r="AH55" s="60">
        <f t="shared" si="15"/>
        <v>57477.85</v>
      </c>
    </row>
    <row r="56" spans="1:34" x14ac:dyDescent="0.25">
      <c r="A56" s="59">
        <v>50</v>
      </c>
      <c r="B56" s="92">
        <v>46205</v>
      </c>
      <c r="C56" s="28" t="s">
        <v>114</v>
      </c>
      <c r="D56" s="205" t="s">
        <v>125</v>
      </c>
      <c r="E56" s="69" t="s">
        <v>126</v>
      </c>
      <c r="F56" s="69" t="s">
        <v>123</v>
      </c>
      <c r="G56" s="28">
        <v>1051</v>
      </c>
      <c r="H56" s="62">
        <v>43.82</v>
      </c>
      <c r="I56" s="28">
        <v>178</v>
      </c>
      <c r="J56" s="28">
        <v>231</v>
      </c>
      <c r="K56" s="28">
        <v>8.3000000000000007</v>
      </c>
      <c r="L56" s="28">
        <v>12</v>
      </c>
      <c r="M56" s="28">
        <v>15</v>
      </c>
      <c r="N56" s="28">
        <v>36</v>
      </c>
      <c r="O56" s="28">
        <v>4</v>
      </c>
      <c r="P56" s="28">
        <v>13</v>
      </c>
      <c r="Q56" s="28">
        <v>682</v>
      </c>
      <c r="R56" s="69" t="s">
        <v>126</v>
      </c>
      <c r="S56" s="28">
        <f>2407</f>
        <v>2407</v>
      </c>
      <c r="T56" s="59">
        <f>2407</f>
        <v>2407</v>
      </c>
      <c r="U56" s="145">
        <v>0.65</v>
      </c>
      <c r="V56" s="60">
        <f t="shared" ref="V56:V92" si="21">T56*U56</f>
        <v>1564.55</v>
      </c>
      <c r="W56" s="59">
        <f>81</f>
        <v>81</v>
      </c>
      <c r="X56" s="145">
        <f t="shared" si="20"/>
        <v>72.946913580246914</v>
      </c>
      <c r="Y56" s="145">
        <f>5908.7</f>
        <v>5908.7</v>
      </c>
      <c r="Z56" s="145"/>
      <c r="AA56" s="164">
        <f>178862.3</f>
        <v>178862.3</v>
      </c>
      <c r="AB56" s="62">
        <f t="shared" si="19"/>
        <v>177297.75</v>
      </c>
      <c r="AC56" s="200">
        <v>46205</v>
      </c>
      <c r="AD56" s="145">
        <f t="shared" si="17"/>
        <v>177297.75</v>
      </c>
      <c r="AE56" s="146"/>
      <c r="AF56" s="147"/>
      <c r="AG56" s="63" t="s">
        <v>151</v>
      </c>
      <c r="AH56" s="60">
        <f t="shared" si="15"/>
        <v>177297.75</v>
      </c>
    </row>
    <row r="57" spans="1:34" x14ac:dyDescent="0.25">
      <c r="A57" s="59">
        <v>51</v>
      </c>
      <c r="B57" s="92">
        <v>46209</v>
      </c>
      <c r="C57" s="28" t="s">
        <v>114</v>
      </c>
      <c r="D57" s="205" t="s">
        <v>160</v>
      </c>
      <c r="E57" s="69" t="s">
        <v>161</v>
      </c>
      <c r="F57" s="69" t="s">
        <v>132</v>
      </c>
      <c r="G57" s="28">
        <v>1052</v>
      </c>
      <c r="H57" s="62">
        <v>45.59</v>
      </c>
      <c r="I57" s="28">
        <v>184</v>
      </c>
      <c r="J57" s="28">
        <v>242</v>
      </c>
      <c r="K57" s="28">
        <v>8.1</v>
      </c>
      <c r="L57" s="28">
        <v>15</v>
      </c>
      <c r="M57" s="28">
        <v>18</v>
      </c>
      <c r="N57" s="28">
        <v>21</v>
      </c>
      <c r="O57" s="28">
        <v>0</v>
      </c>
      <c r="P57" s="28">
        <v>23</v>
      </c>
      <c r="Q57" s="28">
        <v>669</v>
      </c>
      <c r="R57" s="69" t="s">
        <v>161</v>
      </c>
      <c r="S57" s="28">
        <v>3007</v>
      </c>
      <c r="T57" s="59">
        <f>3007</f>
        <v>3007</v>
      </c>
      <c r="U57" s="145">
        <v>0.65</v>
      </c>
      <c r="V57" s="145">
        <f t="shared" si="21"/>
        <v>1954.55</v>
      </c>
      <c r="W57" s="59">
        <v>101</v>
      </c>
      <c r="X57" s="145">
        <f t="shared" si="20"/>
        <v>73.152475247524748</v>
      </c>
      <c r="Y57" s="145">
        <f>7388.4</f>
        <v>7388.4</v>
      </c>
      <c r="Z57" s="145"/>
      <c r="AA57" s="164">
        <f>218773.5</f>
        <v>218773.5</v>
      </c>
      <c r="AB57" s="62">
        <f t="shared" si="19"/>
        <v>216818.95</v>
      </c>
      <c r="AC57" s="200">
        <v>46209</v>
      </c>
      <c r="AD57" s="145">
        <f t="shared" si="17"/>
        <v>216818.95</v>
      </c>
      <c r="AE57" s="146"/>
      <c r="AF57" s="147"/>
      <c r="AG57" s="63" t="s">
        <v>151</v>
      </c>
      <c r="AH57" s="60">
        <f t="shared" si="15"/>
        <v>216818.95</v>
      </c>
    </row>
    <row r="58" spans="1:34" x14ac:dyDescent="0.25">
      <c r="A58" s="59">
        <v>52</v>
      </c>
      <c r="B58" s="92">
        <v>46210</v>
      </c>
      <c r="C58" s="28" t="s">
        <v>114</v>
      </c>
      <c r="D58" s="205" t="s">
        <v>160</v>
      </c>
      <c r="E58" s="69" t="s">
        <v>161</v>
      </c>
      <c r="F58" s="69" t="s">
        <v>132</v>
      </c>
      <c r="G58" s="28">
        <v>1053</v>
      </c>
      <c r="H58" s="62">
        <v>45.76</v>
      </c>
      <c r="I58" s="28">
        <v>182</v>
      </c>
      <c r="J58" s="28">
        <v>248</v>
      </c>
      <c r="K58" s="28">
        <v>7.9</v>
      </c>
      <c r="L58" s="28">
        <v>10</v>
      </c>
      <c r="M58" s="28">
        <v>13</v>
      </c>
      <c r="N58" s="28">
        <v>23</v>
      </c>
      <c r="O58" s="28">
        <v>0</v>
      </c>
      <c r="P58" s="28">
        <v>23</v>
      </c>
      <c r="Q58" s="28">
        <v>675</v>
      </c>
      <c r="R58" s="69" t="s">
        <v>161</v>
      </c>
      <c r="S58" s="28">
        <v>2125</v>
      </c>
      <c r="T58" s="59">
        <v>2125</v>
      </c>
      <c r="U58" s="145">
        <v>0.65</v>
      </c>
      <c r="V58" s="145">
        <f t="shared" si="21"/>
        <v>1381.25</v>
      </c>
      <c r="W58" s="59">
        <v>71</v>
      </c>
      <c r="X58" s="145">
        <f t="shared" si="20"/>
        <v>72.823943661971825</v>
      </c>
      <c r="Y58" s="145">
        <f>5170.5</f>
        <v>5170.5</v>
      </c>
      <c r="Z58" s="145"/>
      <c r="AA58" s="164">
        <f>155007</f>
        <v>155007</v>
      </c>
      <c r="AB58" s="62">
        <f t="shared" si="19"/>
        <v>153625.75</v>
      </c>
      <c r="AC58" s="200">
        <v>46210</v>
      </c>
      <c r="AD58" s="145">
        <f t="shared" si="17"/>
        <v>153625.75</v>
      </c>
      <c r="AE58" s="146"/>
      <c r="AF58" s="147"/>
      <c r="AG58" s="63" t="s">
        <v>151</v>
      </c>
      <c r="AH58" s="60">
        <f t="shared" si="15"/>
        <v>153625.75</v>
      </c>
    </row>
    <row r="59" spans="1:34" x14ac:dyDescent="0.25">
      <c r="A59" s="59">
        <v>53</v>
      </c>
      <c r="B59" s="92">
        <v>46213</v>
      </c>
      <c r="C59" s="28" t="s">
        <v>114</v>
      </c>
      <c r="D59" s="205" t="s">
        <v>160</v>
      </c>
      <c r="E59" s="69" t="s">
        <v>161</v>
      </c>
      <c r="F59" s="69" t="s">
        <v>132</v>
      </c>
      <c r="G59" s="28">
        <v>1054</v>
      </c>
      <c r="H59" s="62">
        <v>45.67</v>
      </c>
      <c r="I59" s="28">
        <v>182</v>
      </c>
      <c r="J59" s="28">
        <v>244</v>
      </c>
      <c r="K59" s="28">
        <v>8</v>
      </c>
      <c r="L59" s="28">
        <v>16</v>
      </c>
      <c r="M59" s="28">
        <v>14</v>
      </c>
      <c r="N59" s="28">
        <v>17</v>
      </c>
      <c r="O59" s="28">
        <v>3</v>
      </c>
      <c r="P59" s="28">
        <v>20</v>
      </c>
      <c r="Q59" s="28">
        <v>680</v>
      </c>
      <c r="R59" s="69" t="s">
        <v>161</v>
      </c>
      <c r="S59" s="28">
        <v>2995</v>
      </c>
      <c r="T59" s="59">
        <v>2995</v>
      </c>
      <c r="U59" s="145">
        <v>0.65</v>
      </c>
      <c r="V59" s="60">
        <f t="shared" si="21"/>
        <v>1946.75</v>
      </c>
      <c r="W59" s="59">
        <v>100</v>
      </c>
      <c r="X59" s="145">
        <f t="shared" si="20"/>
        <v>74.099999999999994</v>
      </c>
      <c r="Y59" s="145">
        <f>7410</f>
        <v>7410</v>
      </c>
      <c r="Z59" s="145"/>
      <c r="AA59" s="164">
        <v>217375.1</v>
      </c>
      <c r="AB59" s="62">
        <f t="shared" si="19"/>
        <v>215428.35</v>
      </c>
      <c r="AC59" s="200">
        <v>46213</v>
      </c>
      <c r="AD59" s="145">
        <f t="shared" si="17"/>
        <v>215428.35</v>
      </c>
      <c r="AE59" s="146"/>
      <c r="AF59" s="147"/>
      <c r="AG59" s="63" t="s">
        <v>151</v>
      </c>
      <c r="AH59" s="60">
        <f t="shared" ref="AH59" si="22">AF59+AD59</f>
        <v>215428.35</v>
      </c>
    </row>
    <row r="60" spans="1:34" x14ac:dyDescent="0.25">
      <c r="A60" s="59">
        <v>54</v>
      </c>
      <c r="B60" s="92">
        <v>46214</v>
      </c>
      <c r="C60" s="28" t="s">
        <v>114</v>
      </c>
      <c r="D60" s="205" t="s">
        <v>160</v>
      </c>
      <c r="E60" s="69" t="s">
        <v>161</v>
      </c>
      <c r="F60" s="69" t="s">
        <v>132</v>
      </c>
      <c r="G60" s="28">
        <v>1055</v>
      </c>
      <c r="H60" s="62">
        <v>45.85</v>
      </c>
      <c r="I60" s="28">
        <v>178</v>
      </c>
      <c r="J60" s="28">
        <v>242</v>
      </c>
      <c r="K60" s="28">
        <v>8.1</v>
      </c>
      <c r="L60" s="28">
        <v>24</v>
      </c>
      <c r="M60" s="28">
        <v>12</v>
      </c>
      <c r="N60" s="28">
        <v>23</v>
      </c>
      <c r="O60" s="28">
        <v>0</v>
      </c>
      <c r="P60" s="28">
        <v>13</v>
      </c>
      <c r="Q60" s="28">
        <v>680</v>
      </c>
      <c r="R60" s="69" t="s">
        <v>161</v>
      </c>
      <c r="S60" s="28">
        <v>1529</v>
      </c>
      <c r="T60" s="59">
        <v>1529</v>
      </c>
      <c r="U60" s="145">
        <v>0.65</v>
      </c>
      <c r="V60" s="60">
        <f t="shared" si="21"/>
        <v>993.85</v>
      </c>
      <c r="W60" s="59">
        <v>50</v>
      </c>
      <c r="X60" s="145">
        <f t="shared" si="20"/>
        <v>74.213999999999999</v>
      </c>
      <c r="Y60" s="145">
        <f>3710.7</f>
        <v>3710.7</v>
      </c>
      <c r="Z60" s="145"/>
      <c r="AA60" s="164">
        <v>107790</v>
      </c>
      <c r="AB60" s="60">
        <f t="shared" si="19"/>
        <v>106796.15</v>
      </c>
      <c r="AC60" s="150">
        <v>46333</v>
      </c>
      <c r="AD60" s="145">
        <f t="shared" si="17"/>
        <v>106796.15</v>
      </c>
      <c r="AE60" s="146"/>
      <c r="AF60" s="147"/>
      <c r="AG60" s="63" t="s">
        <v>151</v>
      </c>
      <c r="AH60" s="60">
        <f t="shared" ref="AH60:AH63" si="23">AF60+AD60</f>
        <v>106796.15</v>
      </c>
    </row>
    <row r="61" spans="1:34" x14ac:dyDescent="0.25">
      <c r="A61" s="59">
        <v>55</v>
      </c>
      <c r="B61" s="92">
        <v>46215</v>
      </c>
      <c r="C61" s="28" t="s">
        <v>114</v>
      </c>
      <c r="D61" s="205" t="s">
        <v>160</v>
      </c>
      <c r="E61" s="69" t="s">
        <v>161</v>
      </c>
      <c r="F61" s="69" t="s">
        <v>132</v>
      </c>
      <c r="G61" s="28">
        <v>101</v>
      </c>
      <c r="H61" s="62">
        <v>46.82</v>
      </c>
      <c r="I61" s="28">
        <v>181</v>
      </c>
      <c r="J61" s="28">
        <v>249</v>
      </c>
      <c r="K61" s="28">
        <v>8</v>
      </c>
      <c r="L61" s="28">
        <v>13</v>
      </c>
      <c r="M61" s="28">
        <v>20</v>
      </c>
      <c r="N61" s="28">
        <v>19</v>
      </c>
      <c r="O61" s="28">
        <v>0</v>
      </c>
      <c r="P61" s="28">
        <v>17</v>
      </c>
      <c r="Q61" s="28">
        <v>670</v>
      </c>
      <c r="R61" s="69" t="s">
        <v>161</v>
      </c>
      <c r="S61" s="28">
        <v>1314</v>
      </c>
      <c r="T61" s="59">
        <v>1314</v>
      </c>
      <c r="U61" s="145">
        <v>0.65</v>
      </c>
      <c r="V61" s="60">
        <f t="shared" si="21"/>
        <v>854.1</v>
      </c>
      <c r="W61" s="59">
        <f>19+25</f>
        <v>44</v>
      </c>
      <c r="X61" s="145">
        <f t="shared" si="20"/>
        <v>71.779545454545456</v>
      </c>
      <c r="Y61" s="145">
        <v>3158.3</v>
      </c>
      <c r="Z61" s="145"/>
      <c r="AA61" s="169">
        <v>93055.8</v>
      </c>
      <c r="AB61" s="60">
        <f t="shared" si="19"/>
        <v>92201.7</v>
      </c>
      <c r="AC61" s="150">
        <v>46363</v>
      </c>
      <c r="AD61" s="145">
        <f t="shared" si="17"/>
        <v>92201.7</v>
      </c>
      <c r="AE61" s="146"/>
      <c r="AF61" s="147"/>
      <c r="AG61" s="63" t="s">
        <v>151</v>
      </c>
      <c r="AH61" s="60">
        <f t="shared" si="23"/>
        <v>92201.7</v>
      </c>
    </row>
    <row r="62" spans="1:34" x14ac:dyDescent="0.25">
      <c r="A62" s="59">
        <v>56</v>
      </c>
      <c r="B62" s="92">
        <v>46216</v>
      </c>
      <c r="C62" s="28" t="s">
        <v>114</v>
      </c>
      <c r="D62" s="205" t="s">
        <v>160</v>
      </c>
      <c r="E62" s="69" t="s">
        <v>161</v>
      </c>
      <c r="F62" s="69" t="s">
        <v>123</v>
      </c>
      <c r="G62" s="28">
        <v>102</v>
      </c>
      <c r="H62" s="62">
        <v>46.29</v>
      </c>
      <c r="I62" s="28">
        <v>184</v>
      </c>
      <c r="J62" s="28">
        <v>250</v>
      </c>
      <c r="K62" s="28">
        <v>8.1999999999999993</v>
      </c>
      <c r="L62" s="28">
        <v>11</v>
      </c>
      <c r="M62" s="28">
        <v>14</v>
      </c>
      <c r="N62" s="28">
        <v>23</v>
      </c>
      <c r="O62" s="28">
        <v>2</v>
      </c>
      <c r="P62" s="28">
        <v>17</v>
      </c>
      <c r="Q62" s="28">
        <v>677</v>
      </c>
      <c r="R62" s="69" t="s">
        <v>161</v>
      </c>
      <c r="S62" s="28">
        <v>1284</v>
      </c>
      <c r="T62" s="59">
        <v>1284</v>
      </c>
      <c r="U62" s="145">
        <v>0.65</v>
      </c>
      <c r="V62" s="60">
        <f t="shared" si="21"/>
        <v>834.6</v>
      </c>
      <c r="W62" s="59">
        <v>43</v>
      </c>
      <c r="X62" s="145">
        <f t="shared" si="20"/>
        <v>72.123255813953492</v>
      </c>
      <c r="Y62" s="145">
        <v>3101.3</v>
      </c>
      <c r="Z62" s="145"/>
      <c r="AA62" s="169">
        <v>89926.6</v>
      </c>
      <c r="AB62" s="60">
        <f t="shared" si="19"/>
        <v>89092</v>
      </c>
      <c r="AC62" s="150" t="s">
        <v>162</v>
      </c>
      <c r="AD62" s="145">
        <f t="shared" si="17"/>
        <v>89092</v>
      </c>
      <c r="AE62" s="146"/>
      <c r="AF62" s="147"/>
      <c r="AG62" s="63" t="s">
        <v>151</v>
      </c>
      <c r="AH62" s="60">
        <f t="shared" si="23"/>
        <v>89092</v>
      </c>
    </row>
    <row r="63" spans="1:34" x14ac:dyDescent="0.25">
      <c r="A63" s="59">
        <v>57</v>
      </c>
      <c r="B63" s="92">
        <v>46217</v>
      </c>
      <c r="C63" s="28" t="s">
        <v>114</v>
      </c>
      <c r="D63" s="205" t="s">
        <v>163</v>
      </c>
      <c r="E63" s="69" t="s">
        <v>164</v>
      </c>
      <c r="F63" s="69" t="s">
        <v>132</v>
      </c>
      <c r="G63" s="28">
        <v>103</v>
      </c>
      <c r="H63" s="62">
        <v>46.29</v>
      </c>
      <c r="I63" s="28">
        <v>168</v>
      </c>
      <c r="J63" s="28">
        <v>252</v>
      </c>
      <c r="K63" s="28">
        <v>7.6</v>
      </c>
      <c r="L63" s="28">
        <v>11</v>
      </c>
      <c r="M63" s="28">
        <v>10</v>
      </c>
      <c r="N63" s="28">
        <v>19</v>
      </c>
      <c r="O63" s="28">
        <v>0</v>
      </c>
      <c r="P63" s="28">
        <v>18</v>
      </c>
      <c r="Q63" s="28">
        <v>682</v>
      </c>
      <c r="R63" s="69" t="s">
        <v>164</v>
      </c>
      <c r="S63" s="28">
        <v>1289</v>
      </c>
      <c r="T63" s="59">
        <v>1289</v>
      </c>
      <c r="U63" s="145">
        <v>0.65</v>
      </c>
      <c r="V63" s="60">
        <f t="shared" si="21"/>
        <v>837.85</v>
      </c>
      <c r="W63" s="59">
        <f>24+19</f>
        <v>43</v>
      </c>
      <c r="X63" s="145">
        <f t="shared" si="20"/>
        <v>73.958139534883713</v>
      </c>
      <c r="Y63" s="145">
        <f>3180.2</f>
        <v>3180.2</v>
      </c>
      <c r="Z63" s="145"/>
      <c r="AA63" s="169">
        <v>97176.4</v>
      </c>
      <c r="AB63" s="60">
        <f t="shared" si="19"/>
        <v>96338.549999999988</v>
      </c>
      <c r="AC63" s="150" t="s">
        <v>165</v>
      </c>
      <c r="AD63" s="145">
        <f t="shared" si="17"/>
        <v>96338.549999999988</v>
      </c>
      <c r="AE63" s="146"/>
      <c r="AF63" s="147"/>
      <c r="AG63" s="63" t="s">
        <v>151</v>
      </c>
      <c r="AH63" s="60">
        <f t="shared" si="23"/>
        <v>96338.549999999988</v>
      </c>
    </row>
    <row r="64" spans="1:34" x14ac:dyDescent="0.25">
      <c r="A64" s="59">
        <v>58</v>
      </c>
      <c r="B64" s="92">
        <v>46218</v>
      </c>
      <c r="C64" s="28" t="s">
        <v>114</v>
      </c>
      <c r="D64" s="205" t="s">
        <v>163</v>
      </c>
      <c r="E64" s="69" t="s">
        <v>164</v>
      </c>
      <c r="F64" s="69" t="s">
        <v>132</v>
      </c>
      <c r="G64" s="28">
        <v>104</v>
      </c>
      <c r="H64" s="62">
        <v>46.82</v>
      </c>
      <c r="I64" s="28">
        <v>178</v>
      </c>
      <c r="J64" s="28">
        <v>251</v>
      </c>
      <c r="K64" s="28">
        <v>7.3</v>
      </c>
      <c r="L64" s="28">
        <v>17</v>
      </c>
      <c r="M64" s="28">
        <v>12</v>
      </c>
      <c r="N64" s="28">
        <v>13</v>
      </c>
      <c r="O64" s="28">
        <v>0</v>
      </c>
      <c r="P64" s="28">
        <v>21</v>
      </c>
      <c r="Q64" s="28">
        <v>677</v>
      </c>
      <c r="R64" s="69" t="s">
        <v>164</v>
      </c>
      <c r="S64" s="28">
        <v>1333</v>
      </c>
      <c r="T64" s="59">
        <v>1333</v>
      </c>
      <c r="U64" s="145">
        <v>0.65</v>
      </c>
      <c r="V64" s="60">
        <f t="shared" si="21"/>
        <v>866.45</v>
      </c>
      <c r="W64" s="59">
        <f>25+19</f>
        <v>44</v>
      </c>
      <c r="X64" s="145">
        <f t="shared" si="20"/>
        <v>75.915909090909096</v>
      </c>
      <c r="Y64" s="145">
        <f>3340.3</f>
        <v>3340.3</v>
      </c>
      <c r="Z64" s="145"/>
      <c r="AA64" s="169">
        <f>98914</f>
        <v>98914</v>
      </c>
      <c r="AB64" s="60">
        <f t="shared" si="19"/>
        <v>98047.55</v>
      </c>
      <c r="AC64" s="150" t="s">
        <v>168</v>
      </c>
      <c r="AD64" s="145">
        <f t="shared" ref="AD64:AD70" si="24">AB64</f>
        <v>98047.55</v>
      </c>
      <c r="AE64" s="146"/>
      <c r="AF64" s="147"/>
      <c r="AG64" s="63" t="s">
        <v>151</v>
      </c>
      <c r="AH64" s="60">
        <f t="shared" ref="AH64:AH67" si="25">AF64+AD64</f>
        <v>98047.55</v>
      </c>
    </row>
    <row r="65" spans="1:34" x14ac:dyDescent="0.25">
      <c r="A65" s="59">
        <v>59</v>
      </c>
      <c r="B65" s="92">
        <v>46219</v>
      </c>
      <c r="C65" s="28" t="s">
        <v>114</v>
      </c>
      <c r="D65" s="205" t="s">
        <v>163</v>
      </c>
      <c r="E65" s="69" t="s">
        <v>164</v>
      </c>
      <c r="F65" s="69" t="s">
        <v>132</v>
      </c>
      <c r="G65" s="28">
        <v>105</v>
      </c>
      <c r="H65" s="62">
        <v>47.35</v>
      </c>
      <c r="I65" s="28">
        <v>173</v>
      </c>
      <c r="J65" s="28">
        <v>255</v>
      </c>
      <c r="K65" s="28">
        <v>7.4</v>
      </c>
      <c r="L65" s="28">
        <v>10</v>
      </c>
      <c r="M65" s="28">
        <v>17</v>
      </c>
      <c r="N65" s="28">
        <v>17</v>
      </c>
      <c r="O65" s="28">
        <v>3</v>
      </c>
      <c r="P65" s="28">
        <v>20</v>
      </c>
      <c r="Q65" s="28">
        <v>678</v>
      </c>
      <c r="R65" s="69" t="s">
        <v>164</v>
      </c>
      <c r="S65" s="28">
        <v>2445</v>
      </c>
      <c r="T65" s="59">
        <v>2445</v>
      </c>
      <c r="U65" s="145">
        <v>0.65</v>
      </c>
      <c r="V65" s="60">
        <f t="shared" si="21"/>
        <v>1589.25</v>
      </c>
      <c r="W65" s="59">
        <v>81</v>
      </c>
      <c r="X65" s="145">
        <f t="shared" si="20"/>
        <v>72.892592592592592</v>
      </c>
      <c r="Y65" s="145">
        <v>5904.3</v>
      </c>
      <c r="Z65" s="145"/>
      <c r="AA65" s="164">
        <f>179117.3</f>
        <v>179117.3</v>
      </c>
      <c r="AB65" s="60">
        <f t="shared" si="19"/>
        <v>177528.05</v>
      </c>
      <c r="AC65" s="150" t="s">
        <v>169</v>
      </c>
      <c r="AD65" s="145">
        <f t="shared" si="24"/>
        <v>177528.05</v>
      </c>
      <c r="AE65" s="146"/>
      <c r="AF65" s="147"/>
      <c r="AG65" s="63" t="s">
        <v>151</v>
      </c>
      <c r="AH65" s="60">
        <f t="shared" si="25"/>
        <v>177528.05</v>
      </c>
    </row>
    <row r="66" spans="1:34" x14ac:dyDescent="0.25">
      <c r="A66" s="59">
        <v>60</v>
      </c>
      <c r="B66" s="92">
        <v>46220</v>
      </c>
      <c r="C66" s="28" t="s">
        <v>114</v>
      </c>
      <c r="D66" s="205" t="s">
        <v>163</v>
      </c>
      <c r="E66" s="69" t="s">
        <v>164</v>
      </c>
      <c r="F66" s="69" t="s">
        <v>123</v>
      </c>
      <c r="G66" s="28">
        <v>106</v>
      </c>
      <c r="H66" s="62">
        <v>46.42</v>
      </c>
      <c r="I66" s="28">
        <v>178</v>
      </c>
      <c r="J66" s="28">
        <v>250</v>
      </c>
      <c r="K66" s="28">
        <v>7.7</v>
      </c>
      <c r="L66" s="28">
        <v>9</v>
      </c>
      <c r="M66" s="28">
        <v>15</v>
      </c>
      <c r="N66" s="28">
        <v>20</v>
      </c>
      <c r="O66" s="28">
        <v>0</v>
      </c>
      <c r="P66" s="28">
        <v>24</v>
      </c>
      <c r="Q66" s="28">
        <v>670</v>
      </c>
      <c r="R66" s="69" t="s">
        <v>164</v>
      </c>
      <c r="S66" s="28">
        <v>735</v>
      </c>
      <c r="T66" s="59">
        <v>735</v>
      </c>
      <c r="U66" s="145">
        <v>0.65</v>
      </c>
      <c r="V66" s="60">
        <f t="shared" si="21"/>
        <v>477.75</v>
      </c>
      <c r="W66" s="59">
        <v>25</v>
      </c>
      <c r="X66" s="145">
        <f t="shared" si="20"/>
        <v>74.396000000000001</v>
      </c>
      <c r="Y66" s="145">
        <v>1859.9</v>
      </c>
      <c r="Z66" s="145"/>
      <c r="AA66" s="164">
        <v>53957.599999999999</v>
      </c>
      <c r="AB66" s="60">
        <f t="shared" si="19"/>
        <v>53479.85</v>
      </c>
      <c r="AC66" s="150" t="s">
        <v>170</v>
      </c>
      <c r="AD66" s="145">
        <f t="shared" si="24"/>
        <v>53479.85</v>
      </c>
      <c r="AE66" s="146"/>
      <c r="AF66" s="147"/>
      <c r="AG66" s="63" t="s">
        <v>151</v>
      </c>
      <c r="AH66" s="60">
        <f t="shared" si="25"/>
        <v>53479.85</v>
      </c>
    </row>
    <row r="67" spans="1:34" x14ac:dyDescent="0.25">
      <c r="A67" s="59">
        <v>61</v>
      </c>
      <c r="B67" s="92">
        <v>46221</v>
      </c>
      <c r="C67" s="28" t="s">
        <v>114</v>
      </c>
      <c r="D67" s="204" t="s">
        <v>68</v>
      </c>
      <c r="E67" s="69" t="s">
        <v>102</v>
      </c>
      <c r="F67" s="69" t="s">
        <v>132</v>
      </c>
      <c r="G67" s="28">
        <v>107</v>
      </c>
      <c r="H67" s="62">
        <v>43.51</v>
      </c>
      <c r="I67" s="28">
        <v>180</v>
      </c>
      <c r="J67" s="28">
        <v>237</v>
      </c>
      <c r="K67" s="28">
        <v>7.9</v>
      </c>
      <c r="L67" s="28">
        <v>11</v>
      </c>
      <c r="M67" s="28">
        <v>14</v>
      </c>
      <c r="N67" s="28">
        <v>30</v>
      </c>
      <c r="O67" s="28">
        <v>0</v>
      </c>
      <c r="P67" s="28">
        <v>19</v>
      </c>
      <c r="Q67" s="28">
        <v>680</v>
      </c>
      <c r="R67" s="69" t="s">
        <v>102</v>
      </c>
      <c r="S67" s="28">
        <v>1201</v>
      </c>
      <c r="T67" s="59">
        <v>1201</v>
      </c>
      <c r="U67" s="145">
        <v>0.65</v>
      </c>
      <c r="V67" s="60">
        <f t="shared" si="21"/>
        <v>780.65</v>
      </c>
      <c r="W67" s="59">
        <v>40</v>
      </c>
      <c r="X67" s="145">
        <f t="shared" si="20"/>
        <v>75.27000000000001</v>
      </c>
      <c r="Y67" s="145">
        <v>3010.8</v>
      </c>
      <c r="Z67" s="145"/>
      <c r="AA67" s="164">
        <v>90902.9</v>
      </c>
      <c r="AB67" s="60">
        <f t="shared" si="19"/>
        <v>90122.25</v>
      </c>
      <c r="AC67" s="150" t="s">
        <v>171</v>
      </c>
      <c r="AD67" s="145">
        <f t="shared" si="24"/>
        <v>90122.25</v>
      </c>
      <c r="AE67" s="146"/>
      <c r="AF67" s="147"/>
      <c r="AG67" s="63" t="s">
        <v>151</v>
      </c>
      <c r="AH67" s="60">
        <f t="shared" si="25"/>
        <v>90122.25</v>
      </c>
    </row>
    <row r="68" spans="1:34" x14ac:dyDescent="0.25">
      <c r="A68" s="59">
        <v>62</v>
      </c>
      <c r="B68" s="92">
        <v>46223</v>
      </c>
      <c r="C68" s="28" t="s">
        <v>114</v>
      </c>
      <c r="D68" s="204" t="s">
        <v>68</v>
      </c>
      <c r="E68" s="69" t="s">
        <v>102</v>
      </c>
      <c r="F68" s="69" t="s">
        <v>132</v>
      </c>
      <c r="G68" s="28">
        <v>108</v>
      </c>
      <c r="H68" s="62">
        <v>42.9</v>
      </c>
      <c r="I68" s="28">
        <v>182</v>
      </c>
      <c r="J68" s="28">
        <v>236</v>
      </c>
      <c r="K68" s="28">
        <v>8.1999999999999993</v>
      </c>
      <c r="L68" s="28">
        <v>8</v>
      </c>
      <c r="M68" s="28">
        <v>14</v>
      </c>
      <c r="N68" s="28">
        <v>20</v>
      </c>
      <c r="O68" s="28">
        <v>0</v>
      </c>
      <c r="P68" s="28">
        <v>19</v>
      </c>
      <c r="Q68" s="28">
        <v>693</v>
      </c>
      <c r="R68" s="69" t="s">
        <v>102</v>
      </c>
      <c r="S68" s="28">
        <v>1082</v>
      </c>
      <c r="T68" s="59">
        <v>1082</v>
      </c>
      <c r="U68" s="145">
        <v>0.65</v>
      </c>
      <c r="V68" s="145">
        <f t="shared" si="21"/>
        <v>703.30000000000007</v>
      </c>
      <c r="W68" s="59">
        <f>25+1+11</f>
        <v>37</v>
      </c>
      <c r="X68" s="145">
        <f t="shared" si="20"/>
        <v>71.383783783783784</v>
      </c>
      <c r="Y68" s="145">
        <v>2641.2</v>
      </c>
      <c r="Z68" s="145"/>
      <c r="AA68" s="164">
        <v>83487.7</v>
      </c>
      <c r="AB68" s="60">
        <f t="shared" si="19"/>
        <v>82784.399999999994</v>
      </c>
      <c r="AC68" s="150" t="s">
        <v>172</v>
      </c>
      <c r="AD68" s="145">
        <f t="shared" si="24"/>
        <v>82784.399999999994</v>
      </c>
      <c r="AE68" s="146"/>
      <c r="AF68" s="147"/>
      <c r="AG68" s="63" t="s">
        <v>151</v>
      </c>
      <c r="AH68" s="60">
        <f t="shared" ref="AH68" si="26">AF68+AD68</f>
        <v>82784.399999999994</v>
      </c>
    </row>
    <row r="69" spans="1:34" x14ac:dyDescent="0.25">
      <c r="A69" s="59">
        <v>63</v>
      </c>
      <c r="B69" s="92">
        <v>46224</v>
      </c>
      <c r="C69" s="28" t="s">
        <v>114</v>
      </c>
      <c r="D69" s="204" t="s">
        <v>68</v>
      </c>
      <c r="E69" s="69" t="s">
        <v>102</v>
      </c>
      <c r="F69" s="69" t="s">
        <v>132</v>
      </c>
      <c r="G69" s="28">
        <v>109</v>
      </c>
      <c r="H69" s="62">
        <v>44.75</v>
      </c>
      <c r="I69" s="28">
        <v>173</v>
      </c>
      <c r="J69" s="28">
        <v>242</v>
      </c>
      <c r="K69" s="28">
        <v>8.3000000000000007</v>
      </c>
      <c r="L69" s="28">
        <v>6</v>
      </c>
      <c r="M69" s="28">
        <v>10</v>
      </c>
      <c r="N69" s="28">
        <v>28</v>
      </c>
      <c r="O69" s="28">
        <v>0</v>
      </c>
      <c r="P69" s="28">
        <v>23</v>
      </c>
      <c r="Q69" s="28">
        <v>684</v>
      </c>
      <c r="R69" s="69" t="s">
        <v>102</v>
      </c>
      <c r="S69" s="28">
        <v>2219</v>
      </c>
      <c r="T69" s="59">
        <v>2219</v>
      </c>
      <c r="U69" s="145">
        <v>0.65</v>
      </c>
      <c r="V69" s="145">
        <f t="shared" si="21"/>
        <v>1442.3500000000001</v>
      </c>
      <c r="W69" s="59">
        <v>75</v>
      </c>
      <c r="X69" s="145">
        <f t="shared" si="20"/>
        <v>70.741333333333344</v>
      </c>
      <c r="Y69" s="145">
        <v>5305.6</v>
      </c>
      <c r="Z69" s="145"/>
      <c r="AA69" s="164">
        <v>169027.7</v>
      </c>
      <c r="AB69" s="60">
        <f t="shared" si="19"/>
        <v>167585.35</v>
      </c>
      <c r="AC69" s="150" t="s">
        <v>173</v>
      </c>
      <c r="AD69" s="145">
        <f t="shared" si="24"/>
        <v>167585.35</v>
      </c>
      <c r="AE69" s="146"/>
      <c r="AF69" s="147"/>
      <c r="AG69" s="63" t="s">
        <v>151</v>
      </c>
      <c r="AH69" s="60">
        <f t="shared" ref="AH69" si="27">AF69+AD69</f>
        <v>167585.35</v>
      </c>
    </row>
    <row r="70" spans="1:34" x14ac:dyDescent="0.25">
      <c r="A70" s="59">
        <v>64</v>
      </c>
      <c r="B70" s="92">
        <v>46225</v>
      </c>
      <c r="C70" s="28" t="s">
        <v>114</v>
      </c>
      <c r="D70" s="204" t="s">
        <v>68</v>
      </c>
      <c r="E70" s="69" t="s">
        <v>102</v>
      </c>
      <c r="F70" s="69" t="s">
        <v>132</v>
      </c>
      <c r="G70" s="28">
        <v>110</v>
      </c>
      <c r="H70" s="62">
        <v>41.71</v>
      </c>
      <c r="I70" s="28">
        <v>173</v>
      </c>
      <c r="J70" s="28">
        <v>225</v>
      </c>
      <c r="K70" s="28">
        <v>7.7</v>
      </c>
      <c r="L70" s="28">
        <v>6</v>
      </c>
      <c r="M70" s="28">
        <v>17</v>
      </c>
      <c r="N70" s="28">
        <v>38</v>
      </c>
      <c r="O70" s="28">
        <v>0</v>
      </c>
      <c r="P70" s="28">
        <v>12</v>
      </c>
      <c r="Q70" s="28">
        <v>694</v>
      </c>
      <c r="R70" s="69" t="s">
        <v>102</v>
      </c>
      <c r="S70" s="28">
        <v>2389</v>
      </c>
      <c r="T70" s="59">
        <v>2389</v>
      </c>
      <c r="U70" s="145">
        <v>0.65</v>
      </c>
      <c r="V70" s="145">
        <f t="shared" si="21"/>
        <v>1552.8500000000001</v>
      </c>
      <c r="W70" s="59">
        <v>80</v>
      </c>
      <c r="X70" s="145">
        <f t="shared" si="20"/>
        <v>74.10499999999999</v>
      </c>
      <c r="Y70" s="145">
        <v>5928.4</v>
      </c>
      <c r="Z70" s="145"/>
      <c r="AA70" s="164">
        <v>180138.3</v>
      </c>
      <c r="AB70" s="60">
        <f t="shared" si="19"/>
        <v>178585.44999999998</v>
      </c>
      <c r="AC70" s="150" t="s">
        <v>174</v>
      </c>
      <c r="AD70" s="145">
        <f t="shared" si="24"/>
        <v>178585.44999999998</v>
      </c>
      <c r="AE70" s="146"/>
      <c r="AF70" s="147"/>
      <c r="AG70" s="63" t="s">
        <v>151</v>
      </c>
      <c r="AH70" s="60">
        <f t="shared" ref="AH70" si="28">AF70+AD70</f>
        <v>178585.44999999998</v>
      </c>
    </row>
    <row r="71" spans="1:34" x14ac:dyDescent="0.25">
      <c r="A71" s="59">
        <v>65</v>
      </c>
      <c r="B71" s="92">
        <v>46226</v>
      </c>
      <c r="C71" s="28" t="s">
        <v>114</v>
      </c>
      <c r="D71" s="204" t="s">
        <v>68</v>
      </c>
      <c r="E71" s="69" t="s">
        <v>102</v>
      </c>
      <c r="F71" s="69" t="s">
        <v>132</v>
      </c>
      <c r="G71" s="28">
        <v>111</v>
      </c>
      <c r="H71" s="62">
        <v>42.19</v>
      </c>
      <c r="I71" s="28">
        <v>176</v>
      </c>
      <c r="J71" s="28">
        <v>229</v>
      </c>
      <c r="K71" s="28">
        <v>8.4</v>
      </c>
      <c r="L71" s="28">
        <v>5</v>
      </c>
      <c r="M71" s="28">
        <v>15</v>
      </c>
      <c r="N71" s="28">
        <v>34</v>
      </c>
      <c r="O71" s="28">
        <v>2</v>
      </c>
      <c r="P71" s="28">
        <v>29</v>
      </c>
      <c r="Q71" s="28">
        <v>674</v>
      </c>
      <c r="R71" s="69" t="s">
        <v>102</v>
      </c>
      <c r="S71" s="28">
        <v>3005</v>
      </c>
      <c r="T71" s="59">
        <v>3005</v>
      </c>
      <c r="U71" s="145">
        <v>0.65</v>
      </c>
      <c r="V71" s="145">
        <f t="shared" si="21"/>
        <v>1953.25</v>
      </c>
      <c r="W71" s="59">
        <v>100</v>
      </c>
      <c r="X71" s="145">
        <f t="shared" si="20"/>
        <v>73.573999999999998</v>
      </c>
      <c r="Y71" s="145">
        <v>7357.4</v>
      </c>
      <c r="Z71" s="145"/>
      <c r="AA71" s="164">
        <v>226482.5</v>
      </c>
      <c r="AB71" s="60">
        <f t="shared" si="19"/>
        <v>224529.25</v>
      </c>
      <c r="AC71" s="150" t="s">
        <v>175</v>
      </c>
      <c r="AD71" s="145">
        <f t="shared" ref="AD71:AD75" si="29">AB71</f>
        <v>224529.25</v>
      </c>
      <c r="AE71" s="146"/>
      <c r="AF71" s="147"/>
      <c r="AG71" s="63" t="s">
        <v>151</v>
      </c>
      <c r="AH71" s="60">
        <f t="shared" ref="AH71" si="30">AF71+AD71</f>
        <v>224529.25</v>
      </c>
    </row>
    <row r="72" spans="1:34" x14ac:dyDescent="0.25">
      <c r="A72" s="59">
        <v>66</v>
      </c>
      <c r="B72" s="92">
        <v>46227</v>
      </c>
      <c r="C72" s="28" t="s">
        <v>114</v>
      </c>
      <c r="D72" s="204" t="s">
        <v>68</v>
      </c>
      <c r="E72" s="69" t="s">
        <v>102</v>
      </c>
      <c r="F72" s="69" t="s">
        <v>132</v>
      </c>
      <c r="G72" s="28">
        <v>112</v>
      </c>
      <c r="H72" s="62">
        <v>42.1</v>
      </c>
      <c r="I72" s="28">
        <v>176</v>
      </c>
      <c r="J72" s="28">
        <v>226</v>
      </c>
      <c r="K72" s="28">
        <v>8.5</v>
      </c>
      <c r="L72" s="28">
        <v>6</v>
      </c>
      <c r="M72" s="28">
        <v>9</v>
      </c>
      <c r="N72" s="28">
        <v>33</v>
      </c>
      <c r="O72" s="28">
        <v>4</v>
      </c>
      <c r="P72" s="28">
        <v>38</v>
      </c>
      <c r="Q72" s="28">
        <v>675</v>
      </c>
      <c r="R72" s="69" t="s">
        <v>102</v>
      </c>
      <c r="S72" s="28">
        <v>2714</v>
      </c>
      <c r="T72" s="59">
        <v>2714</v>
      </c>
      <c r="U72" s="145">
        <v>0.65</v>
      </c>
      <c r="V72" s="145">
        <f t="shared" si="21"/>
        <v>1764.1000000000001</v>
      </c>
      <c r="W72" s="59">
        <v>90</v>
      </c>
      <c r="X72" s="145">
        <f t="shared" si="20"/>
        <v>73.717777777777783</v>
      </c>
      <c r="Y72" s="145">
        <v>6634.6</v>
      </c>
      <c r="Z72" s="145"/>
      <c r="AA72" s="164">
        <v>208062.5</v>
      </c>
      <c r="AB72" s="60">
        <f t="shared" si="19"/>
        <v>206298.4</v>
      </c>
      <c r="AC72" s="150" t="s">
        <v>176</v>
      </c>
      <c r="AD72" s="145">
        <f t="shared" si="29"/>
        <v>206298.4</v>
      </c>
      <c r="AE72" s="146"/>
      <c r="AF72" s="147"/>
      <c r="AG72" s="63" t="s">
        <v>151</v>
      </c>
      <c r="AH72" s="60">
        <f t="shared" ref="AH72:AH74" si="31">AF72+AD72</f>
        <v>206298.4</v>
      </c>
    </row>
    <row r="73" spans="1:34" x14ac:dyDescent="0.25">
      <c r="A73" s="59">
        <v>67</v>
      </c>
      <c r="B73" s="92">
        <v>46228</v>
      </c>
      <c r="C73" s="28" t="s">
        <v>114</v>
      </c>
      <c r="D73" s="204" t="s">
        <v>68</v>
      </c>
      <c r="E73" s="69" t="s">
        <v>102</v>
      </c>
      <c r="F73" s="69" t="s">
        <v>132</v>
      </c>
      <c r="G73" s="28">
        <v>113</v>
      </c>
      <c r="H73" s="62">
        <v>42.28</v>
      </c>
      <c r="I73" s="28">
        <v>172</v>
      </c>
      <c r="J73" s="28">
        <v>232</v>
      </c>
      <c r="K73" s="28">
        <v>8.6999999999999993</v>
      </c>
      <c r="L73" s="28">
        <v>7</v>
      </c>
      <c r="M73" s="28">
        <v>15</v>
      </c>
      <c r="N73" s="28">
        <v>25</v>
      </c>
      <c r="O73" s="28">
        <v>5</v>
      </c>
      <c r="P73" s="28">
        <v>24</v>
      </c>
      <c r="Q73" s="28">
        <v>681</v>
      </c>
      <c r="R73" s="69" t="s">
        <v>102</v>
      </c>
      <c r="S73" s="28">
        <v>1835</v>
      </c>
      <c r="T73" s="59">
        <v>1835</v>
      </c>
      <c r="U73" s="145">
        <v>0.65</v>
      </c>
      <c r="V73" s="145">
        <f t="shared" si="21"/>
        <v>1192.75</v>
      </c>
      <c r="W73" s="59">
        <v>61</v>
      </c>
      <c r="X73" s="145">
        <f t="shared" si="20"/>
        <v>73.686885245901635</v>
      </c>
      <c r="Y73" s="145">
        <v>4494.8999999999996</v>
      </c>
      <c r="Z73" s="145"/>
      <c r="AA73" s="164">
        <v>139024.70000000001</v>
      </c>
      <c r="AB73" s="60">
        <f t="shared" si="19"/>
        <v>137831.95000000001</v>
      </c>
      <c r="AC73" s="150" t="s">
        <v>180</v>
      </c>
      <c r="AD73" s="145">
        <f t="shared" si="29"/>
        <v>137831.95000000001</v>
      </c>
      <c r="AE73" s="146"/>
      <c r="AF73" s="147"/>
      <c r="AG73" s="63" t="s">
        <v>151</v>
      </c>
      <c r="AH73" s="60">
        <f t="shared" si="31"/>
        <v>137831.95000000001</v>
      </c>
    </row>
    <row r="74" spans="1:34" x14ac:dyDescent="0.25">
      <c r="A74" s="59">
        <v>68</v>
      </c>
      <c r="B74" s="92">
        <v>46230</v>
      </c>
      <c r="C74" s="28" t="s">
        <v>114</v>
      </c>
      <c r="D74" s="204" t="s">
        <v>68</v>
      </c>
      <c r="E74" s="69" t="s">
        <v>102</v>
      </c>
      <c r="F74" s="69" t="s">
        <v>132</v>
      </c>
      <c r="G74" s="28">
        <v>114</v>
      </c>
      <c r="H74" s="62">
        <v>43.33</v>
      </c>
      <c r="I74" s="28">
        <v>178</v>
      </c>
      <c r="J74" s="28">
        <v>239</v>
      </c>
      <c r="K74" s="212">
        <v>9</v>
      </c>
      <c r="L74" s="28">
        <v>8</v>
      </c>
      <c r="M74" s="28">
        <v>16</v>
      </c>
      <c r="N74" s="28">
        <v>26</v>
      </c>
      <c r="O74" s="28">
        <v>2</v>
      </c>
      <c r="P74" s="28">
        <v>16</v>
      </c>
      <c r="Q74" s="28">
        <v>684</v>
      </c>
      <c r="R74" s="69" t="s">
        <v>102</v>
      </c>
      <c r="S74" s="28">
        <v>1653</v>
      </c>
      <c r="T74" s="59">
        <v>1653</v>
      </c>
      <c r="U74" s="145">
        <v>0.65</v>
      </c>
      <c r="V74" s="145">
        <f t="shared" si="21"/>
        <v>1074.45</v>
      </c>
      <c r="W74" s="59">
        <v>56</v>
      </c>
      <c r="X74" s="145">
        <f t="shared" si="20"/>
        <v>71.260714285714286</v>
      </c>
      <c r="Y74" s="145">
        <v>3990.6</v>
      </c>
      <c r="Z74" s="145"/>
      <c r="AA74" s="164">
        <v>123721.7</v>
      </c>
      <c r="AB74" s="60">
        <f t="shared" si="19"/>
        <v>122647.25</v>
      </c>
      <c r="AC74" s="150" t="s">
        <v>179</v>
      </c>
      <c r="AD74" s="145">
        <f t="shared" si="29"/>
        <v>122647.25</v>
      </c>
      <c r="AE74" s="146"/>
      <c r="AF74" s="147"/>
      <c r="AG74" s="63" t="s">
        <v>151</v>
      </c>
      <c r="AH74" s="60">
        <f t="shared" si="31"/>
        <v>122647.25</v>
      </c>
    </row>
    <row r="75" spans="1:34" x14ac:dyDescent="0.25">
      <c r="A75" s="59">
        <v>69</v>
      </c>
      <c r="B75" s="92">
        <v>46231</v>
      </c>
      <c r="C75" s="28" t="s">
        <v>114</v>
      </c>
      <c r="D75" s="204" t="s">
        <v>68</v>
      </c>
      <c r="E75" s="69" t="s">
        <v>102</v>
      </c>
      <c r="F75" s="69" t="s">
        <v>132</v>
      </c>
      <c r="G75" s="28">
        <v>115</v>
      </c>
      <c r="H75" s="62">
        <v>44.26</v>
      </c>
      <c r="I75" s="28">
        <v>174</v>
      </c>
      <c r="J75" s="28">
        <v>239</v>
      </c>
      <c r="K75" s="212">
        <v>9</v>
      </c>
      <c r="L75" s="28">
        <v>5</v>
      </c>
      <c r="M75" s="28">
        <v>13</v>
      </c>
      <c r="N75" s="28">
        <v>31</v>
      </c>
      <c r="O75" s="28">
        <v>1</v>
      </c>
      <c r="P75" s="28">
        <v>23</v>
      </c>
      <c r="Q75" s="28">
        <v>680</v>
      </c>
      <c r="R75" s="69" t="s">
        <v>102</v>
      </c>
      <c r="S75" s="28">
        <v>1795</v>
      </c>
      <c r="T75" s="59">
        <v>1795</v>
      </c>
      <c r="U75" s="145">
        <v>0.65</v>
      </c>
      <c r="V75" s="145">
        <f t="shared" si="21"/>
        <v>1166.75</v>
      </c>
      <c r="W75" s="59">
        <v>60</v>
      </c>
      <c r="X75" s="145">
        <f t="shared" si="20"/>
        <v>72.418333333333337</v>
      </c>
      <c r="Y75" s="145">
        <v>4345.1000000000004</v>
      </c>
      <c r="Z75" s="145"/>
      <c r="AA75" s="164">
        <v>136250.70000000001</v>
      </c>
      <c r="AB75" s="60">
        <f t="shared" si="19"/>
        <v>135083.95000000001</v>
      </c>
      <c r="AC75" s="150" t="s">
        <v>181</v>
      </c>
      <c r="AD75" s="145">
        <f t="shared" si="29"/>
        <v>135083.95000000001</v>
      </c>
      <c r="AE75" s="146"/>
      <c r="AF75" s="147"/>
      <c r="AG75" s="63" t="s">
        <v>151</v>
      </c>
      <c r="AH75" s="60">
        <f t="shared" ref="AH75" si="32">AF75+AD75</f>
        <v>135083.95000000001</v>
      </c>
    </row>
    <row r="76" spans="1:34" x14ac:dyDescent="0.25">
      <c r="A76" s="59">
        <v>70</v>
      </c>
      <c r="B76" s="92">
        <v>46232</v>
      </c>
      <c r="C76" s="28" t="s">
        <v>114</v>
      </c>
      <c r="D76" s="204" t="s">
        <v>68</v>
      </c>
      <c r="E76" s="69" t="s">
        <v>102</v>
      </c>
      <c r="F76" s="69" t="s">
        <v>132</v>
      </c>
      <c r="G76" s="28">
        <v>116</v>
      </c>
      <c r="H76" s="62">
        <v>43.07</v>
      </c>
      <c r="I76" s="28">
        <v>172</v>
      </c>
      <c r="J76" s="28">
        <v>241</v>
      </c>
      <c r="K76" s="28">
        <v>8.8000000000000007</v>
      </c>
      <c r="L76" s="28">
        <v>5</v>
      </c>
      <c r="M76" s="28">
        <v>13</v>
      </c>
      <c r="N76" s="28">
        <v>27</v>
      </c>
      <c r="O76" s="28">
        <v>2</v>
      </c>
      <c r="P76" s="28">
        <v>26</v>
      </c>
      <c r="Q76" s="28">
        <v>679</v>
      </c>
      <c r="R76" s="69" t="s">
        <v>102</v>
      </c>
      <c r="S76" s="28">
        <v>1811</v>
      </c>
      <c r="T76" s="59">
        <v>1811</v>
      </c>
      <c r="U76" s="145">
        <v>0.65</v>
      </c>
      <c r="V76" s="145">
        <f t="shared" si="21"/>
        <v>1177.1500000000001</v>
      </c>
      <c r="W76" s="59">
        <v>60</v>
      </c>
      <c r="X76" s="145">
        <f t="shared" si="20"/>
        <v>71.681666666666658</v>
      </c>
      <c r="Y76" s="145">
        <v>4300.8999999999996</v>
      </c>
      <c r="Z76" s="145"/>
      <c r="AA76" s="164">
        <f>'No Dryied Issued RCN'!K33</f>
        <v>137037.70000000001</v>
      </c>
      <c r="AB76" s="60">
        <f t="shared" si="19"/>
        <v>135860.55000000002</v>
      </c>
      <c r="AC76" s="150" t="s">
        <v>182</v>
      </c>
      <c r="AD76" s="145">
        <f t="shared" ref="AD76" si="33">AB76</f>
        <v>135860.55000000002</v>
      </c>
      <c r="AE76" s="146"/>
      <c r="AF76" s="147"/>
      <c r="AG76" s="63" t="s">
        <v>151</v>
      </c>
      <c r="AH76" s="60">
        <f t="shared" ref="AH76" si="34">AF76+AD76</f>
        <v>135860.55000000002</v>
      </c>
    </row>
    <row r="77" spans="1:34" x14ac:dyDescent="0.25">
      <c r="A77" s="59">
        <v>71</v>
      </c>
      <c r="B77" s="92">
        <v>46233</v>
      </c>
      <c r="C77" s="28" t="s">
        <v>114</v>
      </c>
      <c r="D77" s="204" t="s">
        <v>68</v>
      </c>
      <c r="E77" s="69" t="s">
        <v>102</v>
      </c>
      <c r="F77" s="69" t="s">
        <v>132</v>
      </c>
      <c r="G77" s="28">
        <v>117</v>
      </c>
      <c r="H77" s="62">
        <v>41.97</v>
      </c>
      <c r="I77" s="28">
        <v>176</v>
      </c>
      <c r="J77" s="28">
        <v>228</v>
      </c>
      <c r="K77" s="28">
        <v>8.4</v>
      </c>
      <c r="L77" s="28">
        <v>5</v>
      </c>
      <c r="M77" s="28">
        <v>16</v>
      </c>
      <c r="N77" s="28">
        <v>28</v>
      </c>
      <c r="O77" s="28">
        <v>0</v>
      </c>
      <c r="P77" s="28">
        <v>35</v>
      </c>
      <c r="Q77" s="28">
        <v>680</v>
      </c>
      <c r="R77" s="69" t="s">
        <v>102</v>
      </c>
      <c r="S77" s="28">
        <v>1797</v>
      </c>
      <c r="T77" s="59">
        <v>1797</v>
      </c>
      <c r="U77" s="145">
        <v>0.65</v>
      </c>
      <c r="V77" s="145">
        <f t="shared" si="21"/>
        <v>1168.05</v>
      </c>
      <c r="W77" s="59">
        <v>60</v>
      </c>
      <c r="X77" s="145">
        <f t="shared" si="20"/>
        <v>71.958333333333329</v>
      </c>
      <c r="Y77" s="145">
        <v>4317.5</v>
      </c>
      <c r="Z77" s="145"/>
      <c r="AA77" s="164">
        <v>136449.79999999999</v>
      </c>
      <c r="AB77" s="60">
        <f t="shared" si="19"/>
        <v>135281.75</v>
      </c>
      <c r="AC77" s="150" t="s">
        <v>183</v>
      </c>
      <c r="AD77" s="145">
        <f t="shared" ref="AD77:AD79" si="35">AB77</f>
        <v>135281.75</v>
      </c>
      <c r="AE77" s="146"/>
      <c r="AF77" s="147"/>
      <c r="AG77" s="63" t="s">
        <v>151</v>
      </c>
      <c r="AH77" s="60">
        <f t="shared" ref="AH77" si="36">AF77+AD77</f>
        <v>135281.75</v>
      </c>
    </row>
    <row r="78" spans="1:34" x14ac:dyDescent="0.25">
      <c r="A78" s="59">
        <v>72</v>
      </c>
      <c r="B78" s="92">
        <v>46234</v>
      </c>
      <c r="C78" s="28" t="s">
        <v>114</v>
      </c>
      <c r="D78" s="204" t="s">
        <v>68</v>
      </c>
      <c r="E78" s="69" t="s">
        <v>102</v>
      </c>
      <c r="F78" s="69" t="s">
        <v>132</v>
      </c>
      <c r="G78" s="28">
        <v>118</v>
      </c>
      <c r="H78" s="62">
        <v>43.47</v>
      </c>
      <c r="I78" s="28">
        <v>172</v>
      </c>
      <c r="J78" s="28">
        <v>232</v>
      </c>
      <c r="K78" s="28">
        <v>8.4</v>
      </c>
      <c r="L78" s="28">
        <v>5</v>
      </c>
      <c r="M78" s="28">
        <v>15</v>
      </c>
      <c r="N78" s="28">
        <v>29</v>
      </c>
      <c r="O78" s="28">
        <v>0</v>
      </c>
      <c r="P78" s="28">
        <v>37</v>
      </c>
      <c r="Q78" s="28">
        <v>673</v>
      </c>
      <c r="R78" s="69" t="s">
        <v>102</v>
      </c>
      <c r="S78" s="28">
        <v>1716</v>
      </c>
      <c r="T78" s="59">
        <v>1716</v>
      </c>
      <c r="U78" s="145">
        <v>0.65</v>
      </c>
      <c r="V78" s="145">
        <f t="shared" si="21"/>
        <v>1115.4000000000001</v>
      </c>
      <c r="W78" s="59">
        <v>57</v>
      </c>
      <c r="X78" s="145">
        <f t="shared" si="20"/>
        <v>72.280701754385959</v>
      </c>
      <c r="Y78" s="145">
        <v>4120</v>
      </c>
      <c r="Z78" s="145"/>
      <c r="AA78" s="164">
        <v>129860.2</v>
      </c>
      <c r="AB78" s="60">
        <f t="shared" si="19"/>
        <v>128744.8</v>
      </c>
      <c r="AC78" s="150" t="s">
        <v>184</v>
      </c>
      <c r="AD78" s="145">
        <f t="shared" si="35"/>
        <v>128744.8</v>
      </c>
      <c r="AE78" s="146"/>
      <c r="AF78" s="147"/>
      <c r="AG78" s="63" t="s">
        <v>151</v>
      </c>
      <c r="AH78" s="60">
        <f t="shared" ref="AH78" si="37">AF78+AD78</f>
        <v>128744.8</v>
      </c>
    </row>
    <row r="79" spans="1:34" x14ac:dyDescent="0.25">
      <c r="A79" s="59">
        <v>73</v>
      </c>
      <c r="B79" s="92">
        <v>46236</v>
      </c>
      <c r="C79" s="28" t="s">
        <v>114</v>
      </c>
      <c r="D79" s="204" t="s">
        <v>68</v>
      </c>
      <c r="E79" s="69" t="s">
        <v>102</v>
      </c>
      <c r="F79" s="69" t="s">
        <v>132</v>
      </c>
      <c r="G79" s="28">
        <v>119</v>
      </c>
      <c r="H79" s="62">
        <v>43.47</v>
      </c>
      <c r="I79" s="28">
        <v>175</v>
      </c>
      <c r="J79" s="28">
        <v>237</v>
      </c>
      <c r="K79" s="28">
        <v>8.4</v>
      </c>
      <c r="L79" s="28">
        <v>7</v>
      </c>
      <c r="M79" s="28">
        <v>16</v>
      </c>
      <c r="N79" s="28">
        <v>25</v>
      </c>
      <c r="O79" s="28">
        <v>1</v>
      </c>
      <c r="P79" s="28">
        <v>26</v>
      </c>
      <c r="Q79" s="28">
        <v>679</v>
      </c>
      <c r="R79" s="69" t="s">
        <v>102</v>
      </c>
      <c r="S79" s="28">
        <v>1583</v>
      </c>
      <c r="T79" s="59">
        <v>1583</v>
      </c>
      <c r="U79" s="145">
        <v>0.65</v>
      </c>
      <c r="V79" s="145">
        <f t="shared" si="21"/>
        <v>1028.95</v>
      </c>
      <c r="W79" s="59">
        <v>53</v>
      </c>
      <c r="X79" s="145">
        <f t="shared" si="20"/>
        <v>73.677358490566036</v>
      </c>
      <c r="Y79" s="145">
        <v>3904.9</v>
      </c>
      <c r="Z79" s="145"/>
      <c r="AA79" s="164">
        <f>'No Dryied Issued RCN'!K36</f>
        <v>118474.3</v>
      </c>
      <c r="AB79" s="60">
        <f t="shared" si="19"/>
        <v>117445.35</v>
      </c>
      <c r="AC79" s="150">
        <v>46030</v>
      </c>
      <c r="AD79" s="145">
        <f t="shared" si="35"/>
        <v>117445.35</v>
      </c>
      <c r="AE79" s="146"/>
      <c r="AF79" s="147"/>
      <c r="AG79" s="63" t="s">
        <v>151</v>
      </c>
      <c r="AH79" s="60">
        <f t="shared" ref="AH79" si="38">AF79+AD79</f>
        <v>117445.35</v>
      </c>
    </row>
    <row r="80" spans="1:34" x14ac:dyDescent="0.25">
      <c r="A80" s="59">
        <v>74</v>
      </c>
      <c r="B80" s="92">
        <v>46237</v>
      </c>
      <c r="C80" s="28" t="s">
        <v>114</v>
      </c>
      <c r="D80" s="204" t="s">
        <v>68</v>
      </c>
      <c r="E80" s="69" t="s">
        <v>102</v>
      </c>
      <c r="F80" s="69" t="s">
        <v>132</v>
      </c>
      <c r="G80" s="28">
        <v>120</v>
      </c>
      <c r="H80" s="62">
        <v>42.63</v>
      </c>
      <c r="I80" s="28">
        <v>175</v>
      </c>
      <c r="J80" s="28">
        <v>224</v>
      </c>
      <c r="K80" s="28">
        <v>8.1999999999999993</v>
      </c>
      <c r="L80" s="28">
        <v>11</v>
      </c>
      <c r="M80" s="28">
        <v>15</v>
      </c>
      <c r="N80" s="28">
        <v>33</v>
      </c>
      <c r="O80" s="28">
        <v>0</v>
      </c>
      <c r="P80" s="28">
        <v>22</v>
      </c>
      <c r="Q80" s="28">
        <v>687</v>
      </c>
      <c r="R80" s="69" t="s">
        <v>102</v>
      </c>
      <c r="S80" s="28">
        <v>1506</v>
      </c>
      <c r="T80" s="59">
        <v>1506</v>
      </c>
      <c r="U80" s="145">
        <v>0.65</v>
      </c>
      <c r="V80" s="145">
        <f t="shared" si="21"/>
        <v>978.9</v>
      </c>
      <c r="W80" s="59">
        <v>50</v>
      </c>
      <c r="X80" s="145">
        <f t="shared" si="20"/>
        <v>72.546000000000006</v>
      </c>
      <c r="Y80" s="145">
        <v>3627.3</v>
      </c>
      <c r="Z80" s="145"/>
      <c r="AA80" s="164">
        <f>'No Dryied Issued RCN'!K37</f>
        <v>113632.09999999999</v>
      </c>
      <c r="AB80" s="60">
        <f t="shared" si="19"/>
        <v>112653.2</v>
      </c>
      <c r="AC80" s="150">
        <v>46089</v>
      </c>
      <c r="AD80" s="145">
        <f t="shared" ref="AD80:AD92" si="39">AB80</f>
        <v>112653.2</v>
      </c>
      <c r="AE80" s="146"/>
      <c r="AF80" s="147"/>
      <c r="AG80" s="63" t="s">
        <v>151</v>
      </c>
      <c r="AH80" s="60">
        <f t="shared" ref="AH80:AH81" si="40">AF80+AD80</f>
        <v>112653.2</v>
      </c>
    </row>
    <row r="81" spans="1:35" x14ac:dyDescent="0.25">
      <c r="A81" s="59">
        <v>75</v>
      </c>
      <c r="B81" s="92">
        <v>46237</v>
      </c>
      <c r="C81" s="28" t="s">
        <v>114</v>
      </c>
      <c r="D81" s="204" t="s">
        <v>111</v>
      </c>
      <c r="E81" s="69" t="s">
        <v>112</v>
      </c>
      <c r="F81" s="69" t="s">
        <v>132</v>
      </c>
      <c r="G81" s="28">
        <v>120</v>
      </c>
      <c r="H81" s="62">
        <v>40.69</v>
      </c>
      <c r="I81" s="28">
        <v>189</v>
      </c>
      <c r="J81" s="28">
        <v>212</v>
      </c>
      <c r="K81" s="28">
        <v>8.1999999999999993</v>
      </c>
      <c r="L81" s="28">
        <v>7</v>
      </c>
      <c r="M81" s="28">
        <v>15</v>
      </c>
      <c r="N81" s="28">
        <v>64</v>
      </c>
      <c r="O81" s="28">
        <v>0</v>
      </c>
      <c r="P81" s="28">
        <v>17</v>
      </c>
      <c r="Q81" s="28">
        <v>678</v>
      </c>
      <c r="R81" s="69" t="s">
        <v>112</v>
      </c>
      <c r="S81" s="28">
        <v>300</v>
      </c>
      <c r="T81" s="59">
        <v>300</v>
      </c>
      <c r="U81" s="145">
        <v>0.65</v>
      </c>
      <c r="V81" s="145">
        <f t="shared" si="21"/>
        <v>195</v>
      </c>
      <c r="W81" s="59">
        <v>10</v>
      </c>
      <c r="X81" s="145">
        <f t="shared" si="20"/>
        <v>71.599999999999994</v>
      </c>
      <c r="Y81" s="145">
        <v>716</v>
      </c>
      <c r="Z81" s="145"/>
      <c r="AA81" s="164">
        <f>'No Dryied Issued RCN'!K38</f>
        <v>21406.2</v>
      </c>
      <c r="AB81" s="60">
        <f t="shared" si="19"/>
        <v>21211.200000000001</v>
      </c>
      <c r="AC81" s="150">
        <v>46089</v>
      </c>
      <c r="AD81" s="145">
        <f t="shared" si="39"/>
        <v>21211.200000000001</v>
      </c>
      <c r="AE81" s="146"/>
      <c r="AF81" s="147"/>
      <c r="AG81" s="63" t="s">
        <v>151</v>
      </c>
      <c r="AH81" s="60">
        <f t="shared" si="40"/>
        <v>21211.200000000001</v>
      </c>
    </row>
    <row r="82" spans="1:35" x14ac:dyDescent="0.25">
      <c r="A82" s="59">
        <v>76</v>
      </c>
      <c r="B82" s="92">
        <v>46238</v>
      </c>
      <c r="C82" s="28" t="s">
        <v>114</v>
      </c>
      <c r="D82" s="204" t="s">
        <v>111</v>
      </c>
      <c r="E82" s="69" t="s">
        <v>112</v>
      </c>
      <c r="F82" s="69" t="s">
        <v>132</v>
      </c>
      <c r="G82" s="28">
        <v>121</v>
      </c>
      <c r="H82" s="62">
        <v>42.94</v>
      </c>
      <c r="I82" s="28">
        <v>171</v>
      </c>
      <c r="J82" s="28">
        <v>227</v>
      </c>
      <c r="K82" s="28">
        <v>8.3000000000000007</v>
      </c>
      <c r="L82" s="28">
        <v>6</v>
      </c>
      <c r="M82" s="28">
        <v>20</v>
      </c>
      <c r="N82" s="28">
        <v>27</v>
      </c>
      <c r="O82" s="28">
        <v>2</v>
      </c>
      <c r="P82" s="28">
        <v>24</v>
      </c>
      <c r="Q82" s="28">
        <v>686</v>
      </c>
      <c r="R82" s="69" t="s">
        <v>112</v>
      </c>
      <c r="S82" s="28">
        <v>450</v>
      </c>
      <c r="T82" s="59">
        <v>450</v>
      </c>
      <c r="U82" s="145">
        <v>0.65</v>
      </c>
      <c r="V82" s="145">
        <f t="shared" si="21"/>
        <v>292.5</v>
      </c>
      <c r="W82" s="59">
        <v>15</v>
      </c>
      <c r="X82" s="145">
        <f t="shared" si="20"/>
        <v>76.86666666666666</v>
      </c>
      <c r="Y82" s="145">
        <v>1153</v>
      </c>
      <c r="Z82" s="145"/>
      <c r="AA82" s="164">
        <f>'No Dryied Issued RCN'!K40</f>
        <v>32234.699999999997</v>
      </c>
      <c r="AB82" s="60">
        <f t="shared" si="19"/>
        <v>31942.199999999997</v>
      </c>
      <c r="AC82" s="150">
        <v>46120</v>
      </c>
      <c r="AD82" s="145">
        <f t="shared" si="39"/>
        <v>31942.199999999997</v>
      </c>
      <c r="AE82" s="146"/>
      <c r="AF82" s="147"/>
      <c r="AG82" s="63" t="s">
        <v>151</v>
      </c>
      <c r="AH82" s="60">
        <f t="shared" ref="AH82" si="41">AF82+AD82</f>
        <v>31942.199999999997</v>
      </c>
      <c r="AI82" s="28" t="s">
        <v>189</v>
      </c>
    </row>
    <row r="83" spans="1:35" x14ac:dyDescent="0.25">
      <c r="A83" s="59">
        <v>77</v>
      </c>
      <c r="B83" s="92">
        <v>46238</v>
      </c>
      <c r="C83" s="28" t="s">
        <v>114</v>
      </c>
      <c r="D83" s="204" t="s">
        <v>68</v>
      </c>
      <c r="E83" s="69" t="s">
        <v>102</v>
      </c>
      <c r="F83" s="69" t="s">
        <v>132</v>
      </c>
      <c r="G83" s="28">
        <v>121</v>
      </c>
      <c r="H83" s="62">
        <v>42.94</v>
      </c>
      <c r="I83" s="28">
        <v>171</v>
      </c>
      <c r="J83" s="28">
        <v>227</v>
      </c>
      <c r="K83" s="28">
        <v>8.3000000000000007</v>
      </c>
      <c r="L83" s="28">
        <v>6</v>
      </c>
      <c r="M83" s="28">
        <v>20</v>
      </c>
      <c r="N83" s="28">
        <v>27</v>
      </c>
      <c r="O83" s="28">
        <v>2</v>
      </c>
      <c r="P83" s="28">
        <v>24</v>
      </c>
      <c r="Q83" s="28">
        <v>686</v>
      </c>
      <c r="R83" s="69" t="s">
        <v>102</v>
      </c>
      <c r="S83" s="28">
        <v>1656</v>
      </c>
      <c r="T83" s="59">
        <v>1656</v>
      </c>
      <c r="U83" s="145">
        <v>0.65</v>
      </c>
      <c r="V83" s="145">
        <f t="shared" si="21"/>
        <v>1076.4000000000001</v>
      </c>
      <c r="W83" s="59">
        <v>55</v>
      </c>
      <c r="X83" s="145">
        <f t="shared" si="20"/>
        <v>72.965454545454548</v>
      </c>
      <c r="Y83" s="145">
        <v>4013.1</v>
      </c>
      <c r="Z83" s="145"/>
      <c r="AA83" s="164">
        <f>'No Dryied Issued RCN'!K39</f>
        <v>125120.4</v>
      </c>
      <c r="AB83" s="60">
        <f t="shared" si="19"/>
        <v>124044</v>
      </c>
      <c r="AC83" s="150">
        <v>46120</v>
      </c>
      <c r="AD83" s="145">
        <f t="shared" si="39"/>
        <v>124044</v>
      </c>
      <c r="AE83" s="146"/>
      <c r="AF83" s="147"/>
      <c r="AG83" s="63" t="s">
        <v>151</v>
      </c>
      <c r="AH83" s="60">
        <f t="shared" ref="AH83" si="42">AF83+AD83</f>
        <v>124044</v>
      </c>
      <c r="AI83" s="28" t="s">
        <v>189</v>
      </c>
    </row>
    <row r="84" spans="1:35" x14ac:dyDescent="0.25">
      <c r="A84" s="59">
        <v>78</v>
      </c>
      <c r="B84" s="92">
        <v>46239</v>
      </c>
      <c r="C84" s="28" t="s">
        <v>114</v>
      </c>
      <c r="D84" s="204" t="s">
        <v>68</v>
      </c>
      <c r="E84" s="69" t="s">
        <v>102</v>
      </c>
      <c r="F84" s="69" t="s">
        <v>132</v>
      </c>
      <c r="G84" s="28">
        <v>122</v>
      </c>
      <c r="H84" s="62">
        <v>42.72</v>
      </c>
      <c r="I84" s="28">
        <v>174</v>
      </c>
      <c r="J84" s="28">
        <v>231</v>
      </c>
      <c r="K84" s="28">
        <v>8.4</v>
      </c>
      <c r="L84" s="28">
        <v>7</v>
      </c>
      <c r="M84" s="28">
        <v>15</v>
      </c>
      <c r="N84" s="28">
        <v>37</v>
      </c>
      <c r="O84" s="28">
        <v>0</v>
      </c>
      <c r="P84" s="28">
        <v>15</v>
      </c>
      <c r="Q84" s="28">
        <v>687</v>
      </c>
      <c r="R84" s="69" t="s">
        <v>102</v>
      </c>
      <c r="S84" s="28">
        <f>731+115</f>
        <v>846</v>
      </c>
      <c r="T84" s="59">
        <v>846</v>
      </c>
      <c r="U84" s="145">
        <v>0.65</v>
      </c>
      <c r="V84" s="145">
        <f t="shared" si="21"/>
        <v>549.9</v>
      </c>
      <c r="W84" s="59">
        <v>29</v>
      </c>
      <c r="X84" s="145">
        <f t="shared" si="20"/>
        <v>72.258620689655174</v>
      </c>
      <c r="Y84" s="145">
        <v>2095.5</v>
      </c>
      <c r="Z84" s="145"/>
      <c r="AA84" s="164">
        <v>63793.599999999999</v>
      </c>
      <c r="AB84" s="60">
        <f t="shared" si="19"/>
        <v>63243.7</v>
      </c>
      <c r="AC84" s="150">
        <v>46150</v>
      </c>
      <c r="AD84" s="145">
        <f t="shared" si="39"/>
        <v>63243.7</v>
      </c>
      <c r="AE84" s="146"/>
      <c r="AF84" s="147"/>
      <c r="AG84" s="63" t="s">
        <v>151</v>
      </c>
      <c r="AH84" s="60">
        <f t="shared" ref="AH84:AH86" si="43">AF84+AD84</f>
        <v>63243.7</v>
      </c>
    </row>
    <row r="85" spans="1:35" x14ac:dyDescent="0.25">
      <c r="A85" s="59">
        <v>79</v>
      </c>
      <c r="B85" s="92">
        <v>46239</v>
      </c>
      <c r="C85" s="28" t="s">
        <v>114</v>
      </c>
      <c r="D85" s="204" t="s">
        <v>111</v>
      </c>
      <c r="E85" s="69" t="s">
        <v>112</v>
      </c>
      <c r="F85" s="69" t="s">
        <v>132</v>
      </c>
      <c r="G85" s="28">
        <v>122</v>
      </c>
      <c r="H85" s="62">
        <v>40.119999999999997</v>
      </c>
      <c r="I85" s="28">
        <v>184</v>
      </c>
      <c r="J85" s="28">
        <v>212</v>
      </c>
      <c r="K85" s="28">
        <v>7.8</v>
      </c>
      <c r="L85" s="28">
        <v>11</v>
      </c>
      <c r="M85" s="28">
        <v>20</v>
      </c>
      <c r="N85" s="28">
        <v>36</v>
      </c>
      <c r="O85" s="28">
        <v>0</v>
      </c>
      <c r="P85" s="28">
        <v>17</v>
      </c>
      <c r="Q85" s="28">
        <v>695</v>
      </c>
      <c r="R85" s="69" t="s">
        <v>112</v>
      </c>
      <c r="S85" s="28">
        <v>450</v>
      </c>
      <c r="T85" s="59">
        <v>450</v>
      </c>
      <c r="U85" s="145">
        <v>0.65</v>
      </c>
      <c r="V85" s="145">
        <f t="shared" si="21"/>
        <v>292.5</v>
      </c>
      <c r="W85" s="59">
        <v>15</v>
      </c>
      <c r="X85" s="145">
        <f t="shared" si="20"/>
        <v>73.819999999999993</v>
      </c>
      <c r="Y85" s="145">
        <v>1107.3</v>
      </c>
      <c r="Z85" s="145"/>
      <c r="AA85" s="164">
        <f>'No Dryied Issued RCN'!K42</f>
        <v>31952.500000000004</v>
      </c>
      <c r="AB85" s="60">
        <f t="shared" si="19"/>
        <v>31660.000000000004</v>
      </c>
      <c r="AC85" s="150">
        <v>46150</v>
      </c>
      <c r="AD85" s="145">
        <f t="shared" si="39"/>
        <v>31660.000000000004</v>
      </c>
      <c r="AE85" s="146"/>
      <c r="AF85" s="147"/>
      <c r="AG85" s="63" t="s">
        <v>151</v>
      </c>
      <c r="AH85" s="60">
        <f t="shared" si="43"/>
        <v>31660.000000000004</v>
      </c>
    </row>
    <row r="86" spans="1:35" x14ac:dyDescent="0.25">
      <c r="A86" s="59">
        <v>80</v>
      </c>
      <c r="B86" s="92">
        <v>46239</v>
      </c>
      <c r="C86" s="28" t="s">
        <v>114</v>
      </c>
      <c r="D86" s="204" t="s">
        <v>185</v>
      </c>
      <c r="E86" s="69" t="s">
        <v>187</v>
      </c>
      <c r="F86" s="69" t="s">
        <v>132</v>
      </c>
      <c r="G86" s="28">
        <v>122</v>
      </c>
      <c r="H86" s="62">
        <v>42.32</v>
      </c>
      <c r="I86" s="28">
        <v>173</v>
      </c>
      <c r="J86" s="28">
        <v>234</v>
      </c>
      <c r="K86" s="28">
        <v>9</v>
      </c>
      <c r="L86" s="28">
        <v>4</v>
      </c>
      <c r="M86" s="28">
        <v>8</v>
      </c>
      <c r="N86" s="28">
        <v>45</v>
      </c>
      <c r="O86" s="28">
        <v>0</v>
      </c>
      <c r="P86" s="28">
        <v>17</v>
      </c>
      <c r="Q86" s="28">
        <v>683</v>
      </c>
      <c r="R86" s="69" t="s">
        <v>188</v>
      </c>
      <c r="S86" s="28">
        <v>300</v>
      </c>
      <c r="T86" s="59">
        <v>300</v>
      </c>
      <c r="U86" s="145">
        <v>0.65</v>
      </c>
      <c r="V86" s="145">
        <f t="shared" si="21"/>
        <v>195</v>
      </c>
      <c r="W86" s="59">
        <v>10</v>
      </c>
      <c r="X86" s="145">
        <f t="shared" si="20"/>
        <v>65.58</v>
      </c>
      <c r="Y86" s="145">
        <v>655.8</v>
      </c>
      <c r="Z86" s="145"/>
      <c r="AA86" s="164">
        <f>'No Dryied Issued RCN'!K43</f>
        <v>22623.100000000002</v>
      </c>
      <c r="AB86" s="60">
        <f t="shared" si="19"/>
        <v>22428.100000000002</v>
      </c>
      <c r="AC86" s="150">
        <v>46150</v>
      </c>
      <c r="AD86" s="145">
        <f t="shared" si="39"/>
        <v>22428.100000000002</v>
      </c>
      <c r="AE86" s="146"/>
      <c r="AF86" s="147"/>
      <c r="AG86" s="63" t="s">
        <v>151</v>
      </c>
      <c r="AH86" s="60">
        <f t="shared" si="43"/>
        <v>22428.100000000002</v>
      </c>
    </row>
    <row r="87" spans="1:35" x14ac:dyDescent="0.25">
      <c r="A87" s="59">
        <v>81</v>
      </c>
      <c r="B87" s="92">
        <v>46240</v>
      </c>
      <c r="C87" s="28" t="s">
        <v>114</v>
      </c>
      <c r="D87" s="204" t="s">
        <v>68</v>
      </c>
      <c r="E87" s="69" t="s">
        <v>102</v>
      </c>
      <c r="F87" s="69" t="s">
        <v>132</v>
      </c>
      <c r="G87" s="28">
        <v>123</v>
      </c>
      <c r="H87" s="62">
        <v>41.27</v>
      </c>
      <c r="I87" s="28">
        <v>178</v>
      </c>
      <c r="J87" s="28">
        <v>229</v>
      </c>
      <c r="K87" s="28">
        <v>8.6</v>
      </c>
      <c r="L87" s="28">
        <v>4</v>
      </c>
      <c r="M87" s="28">
        <v>6</v>
      </c>
      <c r="N87" s="28">
        <v>46</v>
      </c>
      <c r="O87" s="28">
        <v>1</v>
      </c>
      <c r="P87" s="28">
        <v>24</v>
      </c>
      <c r="Q87" s="28">
        <v>683</v>
      </c>
      <c r="R87" s="69" t="s">
        <v>102</v>
      </c>
      <c r="S87" s="28">
        <v>412</v>
      </c>
      <c r="T87" s="59">
        <v>412</v>
      </c>
      <c r="U87" s="145">
        <v>0.65</v>
      </c>
      <c r="V87" s="145">
        <f t="shared" si="21"/>
        <v>267.8</v>
      </c>
      <c r="W87" s="59">
        <v>14</v>
      </c>
      <c r="X87" s="145">
        <f t="shared" si="20"/>
        <v>76.95714285714287</v>
      </c>
      <c r="Y87" s="145">
        <v>1077.4000000000001</v>
      </c>
      <c r="Z87" s="145"/>
      <c r="AA87" s="164">
        <f>'No Dryied Issued RCN'!K44</f>
        <v>31551.399999999998</v>
      </c>
      <c r="AB87" s="60">
        <f t="shared" si="19"/>
        <v>31283.599999999999</v>
      </c>
      <c r="AC87" s="150">
        <v>46181</v>
      </c>
      <c r="AD87" s="145">
        <f t="shared" si="39"/>
        <v>31283.599999999999</v>
      </c>
      <c r="AE87" s="146"/>
      <c r="AF87" s="147"/>
      <c r="AG87" s="63" t="s">
        <v>151</v>
      </c>
      <c r="AH87" s="60">
        <f t="shared" ref="AH87:AH89" si="44">AF87+AD87</f>
        <v>31283.599999999999</v>
      </c>
    </row>
    <row r="88" spans="1:35" x14ac:dyDescent="0.25">
      <c r="A88" s="59">
        <v>82</v>
      </c>
      <c r="B88" s="92">
        <v>46240</v>
      </c>
      <c r="C88" s="28" t="s">
        <v>114</v>
      </c>
      <c r="D88" s="204" t="s">
        <v>111</v>
      </c>
      <c r="E88" s="69" t="s">
        <v>112</v>
      </c>
      <c r="F88" s="69" t="s">
        <v>132</v>
      </c>
      <c r="G88" s="28">
        <v>123</v>
      </c>
      <c r="H88" s="62">
        <v>39.24</v>
      </c>
      <c r="I88" s="28">
        <v>183</v>
      </c>
      <c r="J88" s="28">
        <v>214</v>
      </c>
      <c r="K88" s="28">
        <v>8.4</v>
      </c>
      <c r="L88" s="28">
        <v>3</v>
      </c>
      <c r="M88" s="28">
        <v>14</v>
      </c>
      <c r="N88" s="28">
        <v>52</v>
      </c>
      <c r="O88" s="28">
        <v>0</v>
      </c>
      <c r="P88" s="28">
        <v>18</v>
      </c>
      <c r="Q88" s="28">
        <v>691</v>
      </c>
      <c r="R88" s="69" t="s">
        <v>112</v>
      </c>
      <c r="S88" s="28">
        <v>450</v>
      </c>
      <c r="T88" s="59">
        <v>450</v>
      </c>
      <c r="U88" s="145">
        <v>0.65</v>
      </c>
      <c r="V88" s="145">
        <f t="shared" si="21"/>
        <v>292.5</v>
      </c>
      <c r="W88" s="59">
        <v>15</v>
      </c>
      <c r="X88" s="145">
        <f t="shared" si="20"/>
        <v>77.599999999999994</v>
      </c>
      <c r="Y88" s="145">
        <v>1164</v>
      </c>
      <c r="Z88" s="145"/>
      <c r="AA88" s="164">
        <f>'No Dryied Issued RCN'!K45</f>
        <v>33165.800000000003</v>
      </c>
      <c r="AB88" s="60">
        <f t="shared" si="19"/>
        <v>32873.300000000003</v>
      </c>
      <c r="AC88" s="150">
        <v>46181</v>
      </c>
      <c r="AD88" s="145">
        <f t="shared" si="39"/>
        <v>32873.300000000003</v>
      </c>
      <c r="AE88" s="146"/>
      <c r="AF88" s="147"/>
      <c r="AG88" s="63" t="s">
        <v>151</v>
      </c>
      <c r="AH88" s="60">
        <f t="shared" si="44"/>
        <v>32873.300000000003</v>
      </c>
    </row>
    <row r="89" spans="1:35" x14ac:dyDescent="0.25">
      <c r="A89" s="59">
        <v>83</v>
      </c>
      <c r="B89" s="92">
        <v>46240</v>
      </c>
      <c r="C89" s="28" t="s">
        <v>114</v>
      </c>
      <c r="D89" s="204" t="s">
        <v>185</v>
      </c>
      <c r="E89" s="69" t="s">
        <v>187</v>
      </c>
      <c r="F89" s="69" t="s">
        <v>132</v>
      </c>
      <c r="G89" s="28">
        <v>123</v>
      </c>
      <c r="H89" s="62">
        <v>42.68</v>
      </c>
      <c r="I89" s="28">
        <v>172</v>
      </c>
      <c r="J89" s="28">
        <v>233</v>
      </c>
      <c r="K89" s="28">
        <v>8.4</v>
      </c>
      <c r="L89" s="28">
        <v>6</v>
      </c>
      <c r="M89" s="28">
        <v>12</v>
      </c>
      <c r="N89" s="28">
        <v>31</v>
      </c>
      <c r="O89" s="28">
        <v>2</v>
      </c>
      <c r="P89" s="28">
        <v>35</v>
      </c>
      <c r="Q89" s="28">
        <v>672</v>
      </c>
      <c r="R89" s="69" t="s">
        <v>188</v>
      </c>
      <c r="S89" s="28">
        <v>300</v>
      </c>
      <c r="T89" s="59">
        <v>300</v>
      </c>
      <c r="U89" s="145">
        <v>0.65</v>
      </c>
      <c r="V89" s="145">
        <f t="shared" si="21"/>
        <v>195</v>
      </c>
      <c r="W89" s="59">
        <v>10</v>
      </c>
      <c r="X89" s="145">
        <f t="shared" si="20"/>
        <v>78.08</v>
      </c>
      <c r="Y89" s="145">
        <v>780.8</v>
      </c>
      <c r="Z89" s="145"/>
      <c r="AA89" s="164">
        <f>'No Dryied Issued RCN'!K46</f>
        <v>22491.9</v>
      </c>
      <c r="AB89" s="60">
        <f t="shared" si="19"/>
        <v>22296.9</v>
      </c>
      <c r="AC89" s="150">
        <v>46181</v>
      </c>
      <c r="AD89" s="145">
        <f t="shared" si="39"/>
        <v>22296.9</v>
      </c>
      <c r="AE89" s="146"/>
      <c r="AF89" s="147"/>
      <c r="AG89" s="63" t="s">
        <v>151</v>
      </c>
      <c r="AH89" s="60">
        <f t="shared" si="44"/>
        <v>22296.9</v>
      </c>
    </row>
    <row r="90" spans="1:35" x14ac:dyDescent="0.25">
      <c r="A90" s="59">
        <v>84</v>
      </c>
      <c r="B90" s="92">
        <v>46243</v>
      </c>
      <c r="C90" s="28" t="s">
        <v>114</v>
      </c>
      <c r="D90" s="204" t="s">
        <v>111</v>
      </c>
      <c r="E90" s="69" t="s">
        <v>112</v>
      </c>
      <c r="F90" s="69" t="s">
        <v>132</v>
      </c>
      <c r="G90" s="28">
        <v>124</v>
      </c>
      <c r="H90" s="62">
        <v>40.25</v>
      </c>
      <c r="I90" s="28">
        <v>187</v>
      </c>
      <c r="J90" s="28">
        <v>226</v>
      </c>
      <c r="K90" s="28">
        <v>7.6</v>
      </c>
      <c r="L90" s="28">
        <v>5</v>
      </c>
      <c r="M90" s="28">
        <v>13</v>
      </c>
      <c r="N90" s="28">
        <v>40</v>
      </c>
      <c r="O90" s="28">
        <v>1</v>
      </c>
      <c r="P90" s="28">
        <v>16</v>
      </c>
      <c r="Q90" s="28">
        <v>690</v>
      </c>
      <c r="R90" s="69" t="s">
        <v>112</v>
      </c>
      <c r="S90" s="28">
        <f>1451+636</f>
        <v>2087</v>
      </c>
      <c r="T90" s="59">
        <v>2087</v>
      </c>
      <c r="U90" s="145">
        <v>0.65</v>
      </c>
      <c r="V90" s="145">
        <f t="shared" si="21"/>
        <v>1356.55</v>
      </c>
      <c r="W90" s="59">
        <f>50+21</f>
        <v>71</v>
      </c>
      <c r="X90" s="145">
        <f t="shared" si="20"/>
        <v>72.825352112676057</v>
      </c>
      <c r="Y90" s="145">
        <f>3599.9+1570.7</f>
        <v>5170.6000000000004</v>
      </c>
      <c r="Z90" s="145"/>
      <c r="AA90" s="164">
        <f>'No Dryied Issued RCN'!K47+'No Dryied Issued RCN'!K48-'FINAL DRY RCN-YAKRO-2026'!T64</f>
        <v>120296.40000000002</v>
      </c>
      <c r="AB90" s="60">
        <f t="shared" si="19"/>
        <v>118939.85000000002</v>
      </c>
      <c r="AC90" s="150">
        <v>46273</v>
      </c>
      <c r="AD90" s="145">
        <f t="shared" si="39"/>
        <v>118939.85000000002</v>
      </c>
      <c r="AE90" s="146"/>
      <c r="AF90" s="147"/>
      <c r="AG90" s="63" t="s">
        <v>151</v>
      </c>
      <c r="AH90" s="60">
        <f t="shared" ref="AH90" si="45">AF90+AD90</f>
        <v>118939.85000000002</v>
      </c>
    </row>
    <row r="91" spans="1:35" x14ac:dyDescent="0.25">
      <c r="A91" s="59">
        <v>85</v>
      </c>
      <c r="B91" s="92">
        <v>46243</v>
      </c>
      <c r="C91" s="28" t="s">
        <v>114</v>
      </c>
      <c r="D91" s="204" t="s">
        <v>111</v>
      </c>
      <c r="E91" s="69" t="s">
        <v>112</v>
      </c>
      <c r="F91" s="69" t="s">
        <v>123</v>
      </c>
      <c r="G91" s="28">
        <v>124</v>
      </c>
      <c r="H91" s="62">
        <v>40.25</v>
      </c>
      <c r="I91" s="28">
        <v>187</v>
      </c>
      <c r="J91" s="28">
        <v>226</v>
      </c>
      <c r="K91" s="28">
        <v>7.6</v>
      </c>
      <c r="L91" s="28">
        <v>5</v>
      </c>
      <c r="M91" s="28">
        <v>13</v>
      </c>
      <c r="N91" s="28">
        <v>40</v>
      </c>
      <c r="O91" s="28">
        <v>1</v>
      </c>
      <c r="P91" s="28">
        <v>16</v>
      </c>
      <c r="Q91" s="28">
        <v>690</v>
      </c>
      <c r="R91" s="69" t="s">
        <v>112</v>
      </c>
      <c r="S91" s="28">
        <v>531</v>
      </c>
      <c r="T91" s="59">
        <v>531</v>
      </c>
      <c r="U91" s="145">
        <v>1</v>
      </c>
      <c r="V91" s="145">
        <v>531</v>
      </c>
      <c r="W91" s="59"/>
      <c r="X91" s="145"/>
      <c r="Y91" s="145"/>
      <c r="Z91" s="145"/>
      <c r="AA91" s="164">
        <f>'FINAL DRY RCN-YAKRO-2026'!R64</f>
        <v>36872</v>
      </c>
      <c r="AB91" s="60">
        <f t="shared" si="19"/>
        <v>36341</v>
      </c>
      <c r="AC91" s="150">
        <v>46273</v>
      </c>
      <c r="AD91" s="145">
        <f t="shared" si="39"/>
        <v>36341</v>
      </c>
      <c r="AE91" s="146"/>
      <c r="AF91" s="147"/>
      <c r="AG91" s="63" t="s">
        <v>151</v>
      </c>
      <c r="AH91" s="60">
        <f t="shared" ref="AH91" si="46">AF91+AD91</f>
        <v>36341</v>
      </c>
    </row>
    <row r="92" spans="1:35" x14ac:dyDescent="0.25">
      <c r="A92" s="59">
        <v>86</v>
      </c>
      <c r="B92" s="92">
        <v>46244</v>
      </c>
      <c r="C92" s="28" t="s">
        <v>114</v>
      </c>
      <c r="D92" s="204" t="s">
        <v>185</v>
      </c>
      <c r="E92" s="69" t="s">
        <v>187</v>
      </c>
      <c r="F92" s="69" t="s">
        <v>132</v>
      </c>
      <c r="G92" s="28">
        <v>125</v>
      </c>
      <c r="H92" s="62">
        <v>43.64</v>
      </c>
      <c r="I92" s="28">
        <v>177</v>
      </c>
      <c r="J92" s="28">
        <v>240</v>
      </c>
      <c r="K92" s="28">
        <v>7.8</v>
      </c>
      <c r="L92" s="28">
        <v>6</v>
      </c>
      <c r="M92" s="28">
        <v>11</v>
      </c>
      <c r="N92" s="28">
        <v>25</v>
      </c>
      <c r="O92" s="28">
        <v>0</v>
      </c>
      <c r="P92" s="28">
        <v>35</v>
      </c>
      <c r="Q92" s="28">
        <v>671</v>
      </c>
      <c r="R92" s="69" t="s">
        <v>188</v>
      </c>
      <c r="S92" s="28">
        <v>1214</v>
      </c>
      <c r="T92" s="59">
        <v>1214</v>
      </c>
      <c r="U92" s="145">
        <v>0.65</v>
      </c>
      <c r="V92" s="145">
        <f t="shared" si="21"/>
        <v>789.1</v>
      </c>
      <c r="W92" s="59">
        <v>41</v>
      </c>
      <c r="X92" s="145">
        <f t="shared" si="20"/>
        <v>71.707317073170728</v>
      </c>
      <c r="Y92" s="145">
        <v>2940</v>
      </c>
      <c r="Z92" s="145"/>
      <c r="AA92" s="164">
        <f>'No Dryied Issued RCN'!K49</f>
        <v>93569.1</v>
      </c>
      <c r="AB92" s="60">
        <f t="shared" si="19"/>
        <v>92780</v>
      </c>
      <c r="AC92" s="150">
        <v>46303</v>
      </c>
      <c r="AD92" s="145">
        <f t="shared" si="39"/>
        <v>92780</v>
      </c>
      <c r="AE92" s="146"/>
      <c r="AF92" s="147"/>
      <c r="AG92" s="63" t="s">
        <v>151</v>
      </c>
      <c r="AH92" s="60">
        <f t="shared" ref="AH92:AH96" si="47">AF92+AD92</f>
        <v>92780</v>
      </c>
    </row>
    <row r="93" spans="1:35" x14ac:dyDescent="0.25">
      <c r="A93" s="59">
        <v>87</v>
      </c>
      <c r="B93" s="92">
        <v>46245</v>
      </c>
      <c r="C93" s="28" t="s">
        <v>114</v>
      </c>
      <c r="D93" s="204" t="s">
        <v>185</v>
      </c>
      <c r="E93" s="69" t="s">
        <v>187</v>
      </c>
      <c r="F93" s="69" t="s">
        <v>132</v>
      </c>
      <c r="G93" s="28">
        <v>126</v>
      </c>
      <c r="H93" s="62">
        <v>43.56</v>
      </c>
      <c r="I93" s="28">
        <v>181</v>
      </c>
      <c r="J93" s="28">
        <v>236</v>
      </c>
      <c r="K93" s="28">
        <v>8.3000000000000007</v>
      </c>
      <c r="L93" s="28">
        <v>5</v>
      </c>
      <c r="M93" s="28">
        <v>18</v>
      </c>
      <c r="N93" s="28">
        <v>24</v>
      </c>
      <c r="O93" s="28">
        <v>2</v>
      </c>
      <c r="P93" s="28">
        <v>13</v>
      </c>
      <c r="Q93" s="28">
        <v>694</v>
      </c>
      <c r="R93" s="69" t="s">
        <v>188</v>
      </c>
      <c r="S93" s="28">
        <v>1816</v>
      </c>
      <c r="T93" s="59">
        <v>1816</v>
      </c>
      <c r="U93" s="145">
        <v>0.65</v>
      </c>
      <c r="V93" s="145">
        <v>1180.4000000000001</v>
      </c>
      <c r="W93" s="59">
        <v>60</v>
      </c>
      <c r="X93" s="145">
        <f t="shared" si="20"/>
        <v>71.98</v>
      </c>
      <c r="Y93" s="145">
        <v>4318.8</v>
      </c>
      <c r="Z93" s="145"/>
      <c r="AA93" s="164">
        <v>139173.70000000001</v>
      </c>
      <c r="AB93" s="60">
        <f t="shared" si="19"/>
        <v>137993.30000000002</v>
      </c>
      <c r="AC93" s="150">
        <v>46334</v>
      </c>
      <c r="AD93" s="145">
        <f>AB93</f>
        <v>137993.30000000002</v>
      </c>
      <c r="AE93" s="146"/>
      <c r="AF93" s="147"/>
      <c r="AG93" s="63" t="s">
        <v>151</v>
      </c>
      <c r="AH93" s="60">
        <f t="shared" si="47"/>
        <v>137993.30000000002</v>
      </c>
    </row>
    <row r="94" spans="1:35" x14ac:dyDescent="0.25">
      <c r="A94" s="59">
        <v>88</v>
      </c>
      <c r="B94" s="92">
        <v>46246</v>
      </c>
      <c r="C94" s="28" t="s">
        <v>114</v>
      </c>
      <c r="D94" s="204" t="s">
        <v>185</v>
      </c>
      <c r="E94" s="69" t="s">
        <v>187</v>
      </c>
      <c r="F94" s="69" t="s">
        <v>132</v>
      </c>
      <c r="G94" s="28">
        <v>127</v>
      </c>
      <c r="H94" s="62">
        <v>43.25</v>
      </c>
      <c r="I94" s="28">
        <v>173</v>
      </c>
      <c r="J94" s="28">
        <v>231</v>
      </c>
      <c r="K94" s="28">
        <v>8</v>
      </c>
      <c r="L94" s="28">
        <v>6</v>
      </c>
      <c r="M94" s="28">
        <v>20</v>
      </c>
      <c r="N94" s="28">
        <v>27</v>
      </c>
      <c r="O94" s="28">
        <v>0</v>
      </c>
      <c r="P94" s="28">
        <v>24</v>
      </c>
      <c r="Q94" s="28">
        <v>685</v>
      </c>
      <c r="R94" s="69" t="s">
        <v>188</v>
      </c>
      <c r="S94" s="28">
        <v>1840</v>
      </c>
      <c r="T94" s="59">
        <v>1840</v>
      </c>
      <c r="U94" s="145">
        <v>0.65</v>
      </c>
      <c r="V94" s="145">
        <v>1196</v>
      </c>
      <c r="W94" s="59">
        <v>60</v>
      </c>
      <c r="X94" s="145">
        <f t="shared" si="20"/>
        <v>73.271666666666675</v>
      </c>
      <c r="Y94" s="145">
        <v>4396.3</v>
      </c>
      <c r="Z94" s="145"/>
      <c r="AA94" s="164">
        <v>141222.29999999999</v>
      </c>
      <c r="AB94" s="60">
        <f t="shared" si="19"/>
        <v>140026.29999999999</v>
      </c>
      <c r="AC94" s="150">
        <v>46364</v>
      </c>
      <c r="AD94" s="145">
        <v>140026.29999999999</v>
      </c>
      <c r="AE94" s="146"/>
      <c r="AF94" s="147"/>
      <c r="AG94" s="63" t="s">
        <v>151</v>
      </c>
      <c r="AH94" s="60">
        <f t="shared" si="47"/>
        <v>140026.29999999999</v>
      </c>
    </row>
    <row r="95" spans="1:35" x14ac:dyDescent="0.25">
      <c r="A95" s="59">
        <v>89</v>
      </c>
      <c r="B95" s="92">
        <v>46247</v>
      </c>
      <c r="C95" s="28" t="s">
        <v>114</v>
      </c>
      <c r="D95" s="204" t="s">
        <v>185</v>
      </c>
      <c r="E95" s="69" t="s">
        <v>187</v>
      </c>
      <c r="F95" s="69" t="s">
        <v>132</v>
      </c>
      <c r="G95" s="28">
        <v>128</v>
      </c>
      <c r="H95" s="62">
        <v>44.48</v>
      </c>
      <c r="I95" s="28">
        <v>177</v>
      </c>
      <c r="J95" s="28">
        <v>239</v>
      </c>
      <c r="K95" s="28">
        <v>7.8</v>
      </c>
      <c r="L95" s="28">
        <v>9</v>
      </c>
      <c r="M95" s="28">
        <v>20</v>
      </c>
      <c r="N95" s="28">
        <v>21</v>
      </c>
      <c r="O95" s="28">
        <v>4</v>
      </c>
      <c r="P95" s="28">
        <v>2</v>
      </c>
      <c r="Q95" s="28">
        <v>699</v>
      </c>
      <c r="R95" s="69" t="s">
        <v>188</v>
      </c>
      <c r="S95" s="28">
        <v>1975</v>
      </c>
      <c r="T95" s="59">
        <v>1975</v>
      </c>
      <c r="U95" s="145">
        <v>0.65</v>
      </c>
      <c r="V95" s="145">
        <v>1283.75</v>
      </c>
      <c r="W95" s="59">
        <v>66</v>
      </c>
      <c r="X95" s="145">
        <f t="shared" si="20"/>
        <v>72.2</v>
      </c>
      <c r="Y95" s="145">
        <v>4765.2</v>
      </c>
      <c r="Z95" s="145"/>
      <c r="AA95" s="164">
        <v>146970</v>
      </c>
      <c r="AB95" s="60">
        <f t="shared" si="19"/>
        <v>145686.25</v>
      </c>
      <c r="AC95" s="150" t="s">
        <v>190</v>
      </c>
      <c r="AD95" s="145">
        <v>145686.25</v>
      </c>
      <c r="AE95" s="146"/>
      <c r="AF95" s="147"/>
      <c r="AG95" s="63" t="s">
        <v>151</v>
      </c>
      <c r="AH95" s="60">
        <v>145686.25</v>
      </c>
    </row>
    <row r="96" spans="1:35" x14ac:dyDescent="0.25">
      <c r="A96" s="59">
        <v>90</v>
      </c>
      <c r="B96" s="92">
        <v>46248</v>
      </c>
      <c r="C96" s="28" t="s">
        <v>114</v>
      </c>
      <c r="D96" s="204" t="s">
        <v>185</v>
      </c>
      <c r="E96" s="69" t="s">
        <v>187</v>
      </c>
      <c r="F96" s="69" t="s">
        <v>132</v>
      </c>
      <c r="G96" s="28">
        <v>129</v>
      </c>
      <c r="H96" s="62">
        <v>44.79</v>
      </c>
      <c r="I96" s="28">
        <v>179</v>
      </c>
      <c r="J96" s="28">
        <v>247</v>
      </c>
      <c r="K96" s="28">
        <v>7.7</v>
      </c>
      <c r="L96" s="28">
        <v>5</v>
      </c>
      <c r="M96" s="28">
        <v>8</v>
      </c>
      <c r="N96" s="28">
        <v>22</v>
      </c>
      <c r="O96" s="28">
        <v>0</v>
      </c>
      <c r="P96" s="28">
        <v>17</v>
      </c>
      <c r="Q96" s="28">
        <v>688</v>
      </c>
      <c r="R96" s="69" t="s">
        <v>188</v>
      </c>
      <c r="S96" s="28">
        <v>2267</v>
      </c>
      <c r="T96" s="59">
        <v>2267</v>
      </c>
      <c r="U96" s="145">
        <v>0.65</v>
      </c>
      <c r="V96" s="145">
        <v>1473.55</v>
      </c>
      <c r="W96" s="59">
        <v>75</v>
      </c>
      <c r="X96" s="145">
        <f t="shared" si="20"/>
        <v>73.304000000000002</v>
      </c>
      <c r="Y96" s="145">
        <v>5497.8</v>
      </c>
      <c r="Z96" s="145"/>
      <c r="AA96" s="164">
        <v>168931</v>
      </c>
      <c r="AB96" s="60">
        <f t="shared" si="19"/>
        <v>167457.45000000001</v>
      </c>
      <c r="AC96" s="150" t="s">
        <v>192</v>
      </c>
      <c r="AD96" s="60">
        <v>167457.45000000001</v>
      </c>
      <c r="AE96" s="146"/>
      <c r="AF96" s="147"/>
      <c r="AG96" s="63" t="s">
        <v>151</v>
      </c>
      <c r="AH96" s="60">
        <f t="shared" si="47"/>
        <v>167457.45000000001</v>
      </c>
    </row>
    <row r="97" spans="1:34" x14ac:dyDescent="0.25">
      <c r="A97" s="59">
        <v>91</v>
      </c>
      <c r="B97" s="92">
        <v>46251</v>
      </c>
      <c r="C97" s="28" t="s">
        <v>114</v>
      </c>
      <c r="D97" s="204" t="s">
        <v>185</v>
      </c>
      <c r="E97" s="69" t="s">
        <v>187</v>
      </c>
      <c r="F97" s="69" t="s">
        <v>132</v>
      </c>
      <c r="G97" s="28">
        <v>130</v>
      </c>
      <c r="H97" s="62">
        <v>43.11</v>
      </c>
      <c r="I97" s="28">
        <v>183</v>
      </c>
      <c r="J97" s="28">
        <v>234</v>
      </c>
      <c r="K97" s="28">
        <v>8.1</v>
      </c>
      <c r="L97" s="28">
        <v>5</v>
      </c>
      <c r="M97" s="28">
        <v>14</v>
      </c>
      <c r="N97" s="28">
        <v>20</v>
      </c>
      <c r="O97" s="28">
        <v>0</v>
      </c>
      <c r="P97" s="28">
        <v>38</v>
      </c>
      <c r="Q97" s="28">
        <v>669</v>
      </c>
      <c r="R97" s="69" t="s">
        <v>188</v>
      </c>
      <c r="S97" s="28">
        <v>1307</v>
      </c>
      <c r="T97" s="59">
        <v>1307</v>
      </c>
      <c r="U97" s="145">
        <v>0.65</v>
      </c>
      <c r="V97" s="145">
        <v>849.55</v>
      </c>
      <c r="W97" s="59">
        <v>45</v>
      </c>
      <c r="X97" s="145">
        <f t="shared" si="20"/>
        <v>70.204444444444434</v>
      </c>
      <c r="Y97" s="145">
        <v>3159.2</v>
      </c>
      <c r="Z97" s="145"/>
      <c r="AA97" s="164">
        <v>98858.6</v>
      </c>
      <c r="AB97" s="60">
        <f t="shared" si="19"/>
        <v>98009.05</v>
      </c>
      <c r="AC97" s="213" t="s">
        <v>193</v>
      </c>
      <c r="AD97" s="145">
        <v>98009.05</v>
      </c>
      <c r="AE97" s="146"/>
      <c r="AF97" s="147"/>
      <c r="AG97" s="63" t="s">
        <v>151</v>
      </c>
      <c r="AH97" s="60">
        <v>98009.25</v>
      </c>
    </row>
    <row r="98" spans="1:34" x14ac:dyDescent="0.25">
      <c r="A98" s="59">
        <v>92</v>
      </c>
      <c r="B98" s="92">
        <v>46252</v>
      </c>
      <c r="C98" s="28" t="s">
        <v>114</v>
      </c>
      <c r="D98" s="204" t="s">
        <v>185</v>
      </c>
      <c r="E98" s="69" t="s">
        <v>187</v>
      </c>
      <c r="F98" s="69" t="s">
        <v>123</v>
      </c>
      <c r="G98" s="28">
        <v>131</v>
      </c>
      <c r="H98" s="62">
        <v>43.74</v>
      </c>
      <c r="I98" s="28">
        <v>181</v>
      </c>
      <c r="J98" s="28">
        <v>231</v>
      </c>
      <c r="K98" s="28">
        <v>7.8</v>
      </c>
      <c r="L98" s="28">
        <v>8</v>
      </c>
      <c r="M98" s="28">
        <v>21</v>
      </c>
      <c r="N98" s="28">
        <v>26</v>
      </c>
      <c r="O98" s="28">
        <v>3</v>
      </c>
      <c r="P98" s="28">
        <v>19</v>
      </c>
      <c r="Q98" s="28">
        <v>682</v>
      </c>
      <c r="R98" s="69" t="s">
        <v>188</v>
      </c>
      <c r="S98" s="28">
        <v>703</v>
      </c>
      <c r="T98" s="59">
        <v>703</v>
      </c>
      <c r="U98" s="145">
        <v>0.65</v>
      </c>
      <c r="V98" s="145">
        <v>456.95</v>
      </c>
      <c r="W98" s="59">
        <v>23</v>
      </c>
      <c r="X98" s="145">
        <f t="shared" si="20"/>
        <v>70.382608695652166</v>
      </c>
      <c r="Y98" s="145">
        <v>1618.8</v>
      </c>
      <c r="Z98" s="145"/>
      <c r="AA98" s="164">
        <v>52018.5</v>
      </c>
      <c r="AB98" s="60">
        <f t="shared" si="19"/>
        <v>51561.55</v>
      </c>
      <c r="AC98" s="213" t="s">
        <v>194</v>
      </c>
      <c r="AD98" s="145">
        <v>51156.55</v>
      </c>
      <c r="AE98" s="146"/>
      <c r="AF98" s="147"/>
      <c r="AG98" s="63" t="s">
        <v>151</v>
      </c>
      <c r="AH98" s="60">
        <v>51156.55</v>
      </c>
    </row>
    <row r="99" spans="1:34" x14ac:dyDescent="0.25">
      <c r="A99" s="59">
        <v>93</v>
      </c>
      <c r="B99" s="92">
        <v>46253</v>
      </c>
      <c r="C99" s="28" t="s">
        <v>114</v>
      </c>
      <c r="D99" s="204" t="s">
        <v>68</v>
      </c>
      <c r="E99" s="69" t="s">
        <v>102</v>
      </c>
      <c r="F99" s="69" t="s">
        <v>132</v>
      </c>
      <c r="G99" s="28">
        <v>132</v>
      </c>
      <c r="H99" s="62">
        <v>43.83</v>
      </c>
      <c r="I99" s="28">
        <v>179</v>
      </c>
      <c r="J99" s="28">
        <v>231</v>
      </c>
      <c r="K99" s="28">
        <v>7.5</v>
      </c>
      <c r="L99" s="28">
        <v>6</v>
      </c>
      <c r="M99" s="28">
        <v>25</v>
      </c>
      <c r="N99" s="28">
        <v>28</v>
      </c>
      <c r="O99" s="28">
        <v>0</v>
      </c>
      <c r="P99" s="28">
        <v>17</v>
      </c>
      <c r="Q99" s="28">
        <v>686</v>
      </c>
      <c r="R99" s="69" t="s">
        <v>102</v>
      </c>
      <c r="S99" s="28">
        <v>2262</v>
      </c>
      <c r="T99" s="59">
        <v>2262</v>
      </c>
      <c r="U99" s="145">
        <v>0.65</v>
      </c>
      <c r="V99" s="145">
        <v>1470.3</v>
      </c>
      <c r="W99" s="59">
        <v>75</v>
      </c>
      <c r="X99" s="145">
        <f t="shared" si="20"/>
        <v>71.765333333333331</v>
      </c>
      <c r="Y99" s="145">
        <v>5382.4</v>
      </c>
      <c r="Z99" s="145"/>
      <c r="AA99" s="164">
        <v>155454.79999999999</v>
      </c>
      <c r="AB99" s="60">
        <f t="shared" si="19"/>
        <v>153984.5</v>
      </c>
      <c r="AC99" s="213" t="s">
        <v>194</v>
      </c>
      <c r="AD99" s="145">
        <v>153984.5</v>
      </c>
      <c r="AE99" s="146"/>
      <c r="AF99" s="147"/>
      <c r="AG99" s="63" t="s">
        <v>202</v>
      </c>
      <c r="AH99" s="60">
        <v>153984.5</v>
      </c>
    </row>
    <row r="100" spans="1:34" x14ac:dyDescent="0.25">
      <c r="A100" s="59">
        <v>94</v>
      </c>
      <c r="B100" s="92">
        <v>46253</v>
      </c>
      <c r="C100" s="28" t="s">
        <v>114</v>
      </c>
      <c r="D100" s="204" t="s">
        <v>68</v>
      </c>
      <c r="E100" s="69" t="s">
        <v>102</v>
      </c>
      <c r="F100" s="69" t="s">
        <v>132</v>
      </c>
      <c r="G100" s="28">
        <v>133</v>
      </c>
      <c r="H100" s="62">
        <v>44.22</v>
      </c>
      <c r="I100" s="28">
        <v>175</v>
      </c>
      <c r="J100" s="28">
        <v>244</v>
      </c>
      <c r="K100" s="28">
        <v>7.7</v>
      </c>
      <c r="L100" s="28">
        <v>7</v>
      </c>
      <c r="M100" s="28">
        <v>6</v>
      </c>
      <c r="N100" s="28">
        <v>37</v>
      </c>
      <c r="O100" s="28">
        <v>2</v>
      </c>
      <c r="P100" s="28">
        <v>13</v>
      </c>
      <c r="Q100" s="28">
        <v>683</v>
      </c>
      <c r="R100" s="69" t="s">
        <v>102</v>
      </c>
      <c r="S100" s="28">
        <v>1668</v>
      </c>
      <c r="T100" s="59">
        <v>1668</v>
      </c>
      <c r="U100" s="145">
        <v>0.65</v>
      </c>
      <c r="V100" s="28">
        <v>1084.2</v>
      </c>
      <c r="W100" s="59">
        <v>56</v>
      </c>
      <c r="X100" s="145">
        <f t="shared" si="20"/>
        <v>73.776785714285708</v>
      </c>
      <c r="Y100" s="145">
        <v>4131.5</v>
      </c>
      <c r="Z100" s="145"/>
      <c r="AA100" s="217">
        <v>115785.60000000001</v>
      </c>
      <c r="AB100" s="60">
        <f t="shared" si="19"/>
        <v>114701.40000000001</v>
      </c>
      <c r="AC100" s="213" t="s">
        <v>201</v>
      </c>
      <c r="AD100" s="59">
        <v>114701.4</v>
      </c>
      <c r="AE100" s="57"/>
      <c r="AF100" s="59"/>
      <c r="AG100" s="63" t="s">
        <v>202</v>
      </c>
      <c r="AH100" s="60">
        <v>114701.4</v>
      </c>
    </row>
    <row r="101" spans="1:34" x14ac:dyDescent="0.25">
      <c r="A101" s="59">
        <v>95</v>
      </c>
      <c r="B101" s="92">
        <v>46254</v>
      </c>
      <c r="C101" s="28" t="s">
        <v>114</v>
      </c>
      <c r="D101" s="204" t="s">
        <v>68</v>
      </c>
      <c r="E101" s="69" t="s">
        <v>102</v>
      </c>
      <c r="F101" s="69" t="s">
        <v>132</v>
      </c>
      <c r="G101" s="28">
        <v>134</v>
      </c>
      <c r="H101" s="62">
        <v>43.51</v>
      </c>
      <c r="I101" s="28">
        <v>176</v>
      </c>
      <c r="J101" s="28">
        <v>230</v>
      </c>
      <c r="K101" s="28">
        <v>7.9</v>
      </c>
      <c r="L101" s="28">
        <v>6</v>
      </c>
      <c r="M101" s="28">
        <v>14</v>
      </c>
      <c r="N101" s="28">
        <v>36</v>
      </c>
      <c r="O101" s="28">
        <v>0</v>
      </c>
      <c r="P101" s="28">
        <v>24</v>
      </c>
      <c r="Q101" s="28">
        <v>684</v>
      </c>
      <c r="R101" s="69" t="s">
        <v>102</v>
      </c>
      <c r="S101" s="28">
        <v>2261</v>
      </c>
      <c r="T101" s="59">
        <v>2261</v>
      </c>
      <c r="U101" s="145">
        <v>0.65</v>
      </c>
      <c r="V101" s="28">
        <v>1469.65</v>
      </c>
      <c r="W101" s="59">
        <v>75</v>
      </c>
      <c r="X101" s="145">
        <f t="shared" si="20"/>
        <v>70.706666666666663</v>
      </c>
      <c r="Y101" s="145">
        <v>5303</v>
      </c>
      <c r="Z101" s="145"/>
      <c r="AA101" s="217">
        <v>156514.1</v>
      </c>
      <c r="AB101" s="60">
        <f t="shared" si="19"/>
        <v>155044.45000000001</v>
      </c>
      <c r="AC101" s="213" t="s">
        <v>201</v>
      </c>
      <c r="AD101" s="59">
        <v>155044.45000000001</v>
      </c>
      <c r="AE101" s="57"/>
      <c r="AF101" s="59"/>
      <c r="AG101" s="63" t="s">
        <v>202</v>
      </c>
      <c r="AH101" s="60">
        <v>155044.45000000001</v>
      </c>
    </row>
    <row r="102" spans="1:34" x14ac:dyDescent="0.25">
      <c r="A102" s="59">
        <v>96</v>
      </c>
      <c r="B102" s="92">
        <v>46255</v>
      </c>
      <c r="C102" s="28" t="s">
        <v>114</v>
      </c>
      <c r="D102" s="204" t="s">
        <v>68</v>
      </c>
      <c r="E102" s="69" t="s">
        <v>102</v>
      </c>
      <c r="F102" s="69" t="s">
        <v>132</v>
      </c>
      <c r="G102" s="28">
        <v>135</v>
      </c>
      <c r="H102" s="62">
        <v>43.29</v>
      </c>
      <c r="I102" s="28">
        <v>174</v>
      </c>
      <c r="J102" s="28">
        <v>237</v>
      </c>
      <c r="K102" s="28">
        <v>8</v>
      </c>
      <c r="L102" s="28">
        <v>7</v>
      </c>
      <c r="M102" s="28">
        <v>16</v>
      </c>
      <c r="N102" s="28">
        <v>32</v>
      </c>
      <c r="O102" s="28">
        <v>3</v>
      </c>
      <c r="P102" s="28">
        <v>13</v>
      </c>
      <c r="Q102" s="28">
        <v>686</v>
      </c>
      <c r="R102" s="69" t="s">
        <v>102</v>
      </c>
      <c r="S102" s="28">
        <v>2069</v>
      </c>
      <c r="T102" s="59">
        <v>2069</v>
      </c>
      <c r="U102" s="145">
        <v>0.65</v>
      </c>
      <c r="V102" s="28">
        <v>1344.85</v>
      </c>
      <c r="W102" s="59">
        <v>69</v>
      </c>
      <c r="X102" s="145">
        <f t="shared" si="20"/>
        <v>72.61014492753624</v>
      </c>
      <c r="Y102" s="145">
        <v>5010.1000000000004</v>
      </c>
      <c r="Z102" s="145"/>
      <c r="AA102" s="217">
        <v>145119.79999999999</v>
      </c>
      <c r="AB102" s="60">
        <f t="shared" si="19"/>
        <v>143774.94999999998</v>
      </c>
      <c r="AC102" s="213" t="s">
        <v>203</v>
      </c>
      <c r="AD102" s="59">
        <v>143774.95000000001</v>
      </c>
      <c r="AE102" s="57"/>
      <c r="AF102" s="59"/>
      <c r="AG102" s="63" t="s">
        <v>202</v>
      </c>
      <c r="AH102" s="60">
        <v>143774.95000000001</v>
      </c>
    </row>
    <row r="103" spans="1:34" x14ac:dyDescent="0.25">
      <c r="A103" s="59">
        <v>97</v>
      </c>
      <c r="B103" s="92">
        <v>46256</v>
      </c>
      <c r="C103" s="28" t="s">
        <v>114</v>
      </c>
      <c r="D103" s="204" t="s">
        <v>68</v>
      </c>
      <c r="E103" s="69" t="s">
        <v>102</v>
      </c>
      <c r="F103" s="69" t="s">
        <v>132</v>
      </c>
      <c r="G103" s="28">
        <v>136</v>
      </c>
      <c r="H103" s="62">
        <v>42.64</v>
      </c>
      <c r="I103" s="28">
        <v>170</v>
      </c>
      <c r="J103" s="28">
        <v>234</v>
      </c>
      <c r="K103" s="28">
        <v>8.4</v>
      </c>
      <c r="L103" s="28">
        <v>6</v>
      </c>
      <c r="M103" s="28">
        <v>14</v>
      </c>
      <c r="N103" s="28">
        <v>33</v>
      </c>
      <c r="O103" s="28">
        <v>0</v>
      </c>
      <c r="P103" s="28">
        <v>0</v>
      </c>
      <c r="Q103" s="28">
        <v>707</v>
      </c>
      <c r="R103" s="69" t="s">
        <v>102</v>
      </c>
      <c r="S103" s="28">
        <v>434</v>
      </c>
      <c r="T103" s="59">
        <v>434</v>
      </c>
      <c r="U103" s="145">
        <v>0.65</v>
      </c>
      <c r="V103" s="28">
        <v>282.10000000000002</v>
      </c>
      <c r="W103" s="59">
        <v>15</v>
      </c>
      <c r="X103" s="145">
        <f t="shared" si="20"/>
        <v>68.733333333333334</v>
      </c>
      <c r="Y103" s="145">
        <v>1031</v>
      </c>
      <c r="Z103" s="145"/>
      <c r="AA103" s="217">
        <v>30908.6</v>
      </c>
      <c r="AB103" s="60">
        <f t="shared" si="19"/>
        <v>30626.5</v>
      </c>
      <c r="AC103" s="213" t="s">
        <v>206</v>
      </c>
      <c r="AD103" s="222">
        <f>Table4[[#This Row],[Net Wt (Without Jute Bag)]]</f>
        <v>30626.5</v>
      </c>
      <c r="AE103" s="57"/>
      <c r="AF103" s="59"/>
      <c r="AG103" s="63" t="s">
        <v>202</v>
      </c>
      <c r="AH103" s="60">
        <f t="shared" ref="AH103:AH114" si="48">AF103+AD103</f>
        <v>30626.5</v>
      </c>
    </row>
    <row r="104" spans="1:34" x14ac:dyDescent="0.25">
      <c r="A104" s="59">
        <v>98</v>
      </c>
      <c r="B104" s="92">
        <v>46256</v>
      </c>
      <c r="C104" s="28" t="s">
        <v>114</v>
      </c>
      <c r="D104" s="204" t="s">
        <v>99</v>
      </c>
      <c r="E104" s="69" t="s">
        <v>205</v>
      </c>
      <c r="F104" s="69" t="s">
        <v>132</v>
      </c>
      <c r="G104" s="28">
        <v>136</v>
      </c>
      <c r="H104" s="62">
        <v>42.64</v>
      </c>
      <c r="I104" s="28">
        <v>170</v>
      </c>
      <c r="J104" s="28">
        <v>234</v>
      </c>
      <c r="K104" s="28">
        <v>8.4</v>
      </c>
      <c r="L104" s="28">
        <v>6</v>
      </c>
      <c r="M104" s="28">
        <v>14</v>
      </c>
      <c r="N104" s="28">
        <v>33</v>
      </c>
      <c r="O104" s="28">
        <v>0</v>
      </c>
      <c r="P104" s="28">
        <v>0</v>
      </c>
      <c r="Q104" s="28">
        <v>707</v>
      </c>
      <c r="R104" s="69" t="s">
        <v>205</v>
      </c>
      <c r="S104" s="28">
        <v>520</v>
      </c>
      <c r="T104" s="59">
        <v>520</v>
      </c>
      <c r="U104" s="145">
        <v>0.65</v>
      </c>
      <c r="V104" s="28">
        <v>338</v>
      </c>
      <c r="W104" s="59">
        <v>20</v>
      </c>
      <c r="X104" s="145">
        <f t="shared" si="20"/>
        <v>72.215000000000003</v>
      </c>
      <c r="Y104" s="145">
        <v>1444.3</v>
      </c>
      <c r="Z104" s="145"/>
      <c r="AA104" s="217">
        <v>41864.199999999997</v>
      </c>
      <c r="AB104" s="60">
        <f t="shared" si="19"/>
        <v>41526.199999999997</v>
      </c>
      <c r="AC104" s="213" t="s">
        <v>204</v>
      </c>
      <c r="AD104" s="222">
        <f>Table4[[#This Row],[Net Wt (Without Jute Bag)]]</f>
        <v>41526.199999999997</v>
      </c>
      <c r="AE104" s="57"/>
      <c r="AF104" s="59"/>
      <c r="AG104" s="63" t="s">
        <v>151</v>
      </c>
      <c r="AH104" s="60">
        <f t="shared" si="48"/>
        <v>41526.199999999997</v>
      </c>
    </row>
    <row r="105" spans="1:34" x14ac:dyDescent="0.25">
      <c r="A105" s="59">
        <v>99</v>
      </c>
      <c r="B105" s="92">
        <v>46256</v>
      </c>
      <c r="C105" s="28" t="s">
        <v>114</v>
      </c>
      <c r="D105" s="204" t="s">
        <v>99</v>
      </c>
      <c r="E105" s="69" t="s">
        <v>205</v>
      </c>
      <c r="F105" s="69" t="s">
        <v>123</v>
      </c>
      <c r="G105" s="28">
        <v>136</v>
      </c>
      <c r="H105" s="62">
        <v>42.64</v>
      </c>
      <c r="I105" s="28">
        <v>170</v>
      </c>
      <c r="J105" s="28">
        <v>234</v>
      </c>
      <c r="K105" s="28">
        <v>8.4</v>
      </c>
      <c r="L105" s="28">
        <v>6</v>
      </c>
      <c r="M105" s="28">
        <v>14</v>
      </c>
      <c r="N105" s="28">
        <v>33</v>
      </c>
      <c r="O105" s="28">
        <v>0</v>
      </c>
      <c r="P105" s="28">
        <v>0</v>
      </c>
      <c r="Q105" s="28">
        <v>707</v>
      </c>
      <c r="R105" s="69" t="s">
        <v>205</v>
      </c>
      <c r="S105" s="28">
        <v>724</v>
      </c>
      <c r="T105" s="59">
        <v>724</v>
      </c>
      <c r="U105" s="145">
        <v>0.65</v>
      </c>
      <c r="V105" s="28">
        <v>470.6</v>
      </c>
      <c r="W105" s="59">
        <v>24</v>
      </c>
      <c r="X105" s="145">
        <f t="shared" si="20"/>
        <v>68.916666666666671</v>
      </c>
      <c r="Y105" s="145">
        <v>1654</v>
      </c>
      <c r="Z105" s="145"/>
      <c r="AA105" s="217">
        <v>51414.400000000001</v>
      </c>
      <c r="AB105" s="60">
        <f t="shared" si="19"/>
        <v>50943.8</v>
      </c>
      <c r="AC105" s="213" t="s">
        <v>206</v>
      </c>
      <c r="AD105" s="222">
        <f>Table4[[#This Row],[Net Wt (Without Jute Bag)]]</f>
        <v>50943.8</v>
      </c>
      <c r="AE105" s="57"/>
      <c r="AF105" s="59"/>
      <c r="AG105" s="63" t="s">
        <v>202</v>
      </c>
      <c r="AH105" s="60">
        <f t="shared" si="48"/>
        <v>50943.8</v>
      </c>
    </row>
    <row r="106" spans="1:34" x14ac:dyDescent="0.25">
      <c r="A106" s="59">
        <v>100</v>
      </c>
      <c r="B106" s="92">
        <v>46258</v>
      </c>
      <c r="C106" s="28" t="s">
        <v>114</v>
      </c>
      <c r="D106" s="204" t="s">
        <v>68</v>
      </c>
      <c r="E106" s="69" t="s">
        <v>102</v>
      </c>
      <c r="F106" s="69" t="s">
        <v>123</v>
      </c>
      <c r="G106" s="28">
        <v>137</v>
      </c>
      <c r="H106" s="62">
        <v>42.19</v>
      </c>
      <c r="I106" s="28">
        <v>188</v>
      </c>
      <c r="J106" s="28">
        <v>215</v>
      </c>
      <c r="K106" s="28">
        <v>7</v>
      </c>
      <c r="L106" s="28">
        <v>13</v>
      </c>
      <c r="M106" s="28">
        <v>11</v>
      </c>
      <c r="N106" s="28">
        <v>45</v>
      </c>
      <c r="O106" s="28">
        <v>0</v>
      </c>
      <c r="P106" s="28">
        <v>13</v>
      </c>
      <c r="Q106" s="28">
        <v>694</v>
      </c>
      <c r="R106" s="69" t="s">
        <v>102</v>
      </c>
      <c r="S106" s="28">
        <v>3170</v>
      </c>
      <c r="T106" s="59">
        <v>3170</v>
      </c>
      <c r="U106" s="145">
        <v>0.65</v>
      </c>
      <c r="V106" s="28">
        <v>2060.5</v>
      </c>
      <c r="W106" s="59">
        <v>105</v>
      </c>
      <c r="X106" s="145">
        <f t="shared" si="20"/>
        <v>73.431428571428569</v>
      </c>
      <c r="Y106" s="145">
        <v>7710.3</v>
      </c>
      <c r="Z106" s="145"/>
      <c r="AA106" s="217">
        <v>225128.9</v>
      </c>
      <c r="AB106" s="60">
        <f t="shared" si="19"/>
        <v>223068.4</v>
      </c>
      <c r="AC106" s="213" t="s">
        <v>206</v>
      </c>
      <c r="AD106" s="222">
        <f>Table4[[#This Row],[Net Wt (Without Jute Bag)]]</f>
        <v>223068.4</v>
      </c>
      <c r="AE106" s="57"/>
      <c r="AF106" s="59"/>
      <c r="AG106" s="63" t="s">
        <v>202</v>
      </c>
      <c r="AH106" s="60">
        <f t="shared" si="48"/>
        <v>223068.4</v>
      </c>
    </row>
    <row r="107" spans="1:34" x14ac:dyDescent="0.25">
      <c r="A107" s="59">
        <v>101</v>
      </c>
      <c r="B107" s="92">
        <v>46261</v>
      </c>
      <c r="C107" s="28" t="s">
        <v>114</v>
      </c>
      <c r="D107" s="204" t="s">
        <v>68</v>
      </c>
      <c r="E107" s="69" t="s">
        <v>102</v>
      </c>
      <c r="F107" s="69" t="s">
        <v>123</v>
      </c>
      <c r="G107" s="28">
        <v>139</v>
      </c>
      <c r="H107" s="62">
        <v>42.19</v>
      </c>
      <c r="I107" s="28">
        <v>188</v>
      </c>
      <c r="J107" s="28">
        <v>215</v>
      </c>
      <c r="K107" s="28">
        <v>7</v>
      </c>
      <c r="L107" s="28">
        <v>13</v>
      </c>
      <c r="M107" s="28">
        <v>11</v>
      </c>
      <c r="N107" s="28">
        <v>45</v>
      </c>
      <c r="O107" s="28">
        <v>0</v>
      </c>
      <c r="P107" s="28">
        <v>13</v>
      </c>
      <c r="Q107" s="28">
        <v>694</v>
      </c>
      <c r="R107" s="69" t="s">
        <v>102</v>
      </c>
      <c r="T107" s="59"/>
      <c r="U107" s="145"/>
      <c r="W107" s="59"/>
      <c r="X107" s="145"/>
      <c r="Y107" s="145"/>
      <c r="Z107" s="145"/>
      <c r="AA107" s="217"/>
      <c r="AB107" s="60">
        <v>4078.7</v>
      </c>
      <c r="AC107" s="213" t="s">
        <v>209</v>
      </c>
      <c r="AD107" s="60">
        <v>4078.7</v>
      </c>
      <c r="AE107" s="57"/>
      <c r="AF107" s="59"/>
      <c r="AG107" s="63" t="s">
        <v>202</v>
      </c>
      <c r="AH107" s="60">
        <v>4078.7</v>
      </c>
    </row>
    <row r="108" spans="1:34" x14ac:dyDescent="0.25">
      <c r="A108" s="59">
        <v>102</v>
      </c>
      <c r="B108" s="92">
        <v>46261</v>
      </c>
      <c r="C108" s="28" t="s">
        <v>114</v>
      </c>
      <c r="D108" s="204" t="s">
        <v>208</v>
      </c>
      <c r="E108" s="69" t="s">
        <v>79</v>
      </c>
      <c r="F108" s="69" t="s">
        <v>123</v>
      </c>
      <c r="G108" s="28">
        <v>138</v>
      </c>
      <c r="H108" s="62">
        <v>43.16</v>
      </c>
      <c r="I108" s="28">
        <v>190</v>
      </c>
      <c r="J108" s="28">
        <v>238</v>
      </c>
      <c r="K108" s="28">
        <v>7.8</v>
      </c>
      <c r="L108" s="28">
        <v>4</v>
      </c>
      <c r="M108" s="28">
        <v>15</v>
      </c>
      <c r="N108" s="28">
        <v>40</v>
      </c>
      <c r="O108" s="28">
        <v>0</v>
      </c>
      <c r="P108" s="28">
        <v>14</v>
      </c>
      <c r="Q108" s="28">
        <v>683</v>
      </c>
      <c r="R108" s="69" t="s">
        <v>79</v>
      </c>
      <c r="S108" s="28">
        <v>1643</v>
      </c>
      <c r="T108" s="59">
        <v>1643</v>
      </c>
      <c r="U108" s="145">
        <v>0.65</v>
      </c>
      <c r="V108" s="28">
        <v>1067.95</v>
      </c>
      <c r="W108" s="59">
        <v>57</v>
      </c>
      <c r="X108" s="145">
        <f t="shared" si="20"/>
        <v>69.9719298245614</v>
      </c>
      <c r="Y108" s="145">
        <v>3988.4</v>
      </c>
      <c r="Z108" s="145"/>
      <c r="AA108" s="217">
        <v>121247.6</v>
      </c>
      <c r="AB108" s="60">
        <f t="shared" si="19"/>
        <v>120179.65000000001</v>
      </c>
      <c r="AC108" s="213" t="s">
        <v>209</v>
      </c>
      <c r="AD108" s="222">
        <f>Table4[[#This Row],[Net Wt (Without Jute Bag)]]</f>
        <v>120179.65000000001</v>
      </c>
      <c r="AE108" s="57"/>
      <c r="AF108" s="59"/>
      <c r="AG108" s="63" t="s">
        <v>202</v>
      </c>
      <c r="AH108" s="60">
        <f t="shared" si="48"/>
        <v>120179.65000000001</v>
      </c>
    </row>
    <row r="109" spans="1:34" x14ac:dyDescent="0.25">
      <c r="A109" s="59">
        <v>103</v>
      </c>
      <c r="B109" s="92">
        <v>46262</v>
      </c>
      <c r="C109" s="28" t="s">
        <v>114</v>
      </c>
      <c r="D109" s="204" t="s">
        <v>211</v>
      </c>
      <c r="E109" s="69" t="s">
        <v>212</v>
      </c>
      <c r="F109" s="69" t="s">
        <v>132</v>
      </c>
      <c r="G109" s="28">
        <v>140</v>
      </c>
      <c r="H109" s="62">
        <v>44.31</v>
      </c>
      <c r="I109" s="28">
        <v>186</v>
      </c>
      <c r="J109" s="28">
        <v>243</v>
      </c>
      <c r="K109" s="28">
        <v>8</v>
      </c>
      <c r="L109" s="28">
        <v>7</v>
      </c>
      <c r="M109" s="28">
        <v>15</v>
      </c>
      <c r="N109" s="28">
        <v>25</v>
      </c>
      <c r="O109" s="28">
        <v>2</v>
      </c>
      <c r="P109" s="28">
        <v>22</v>
      </c>
      <c r="Q109" s="28">
        <v>678</v>
      </c>
      <c r="R109" s="69" t="s">
        <v>212</v>
      </c>
      <c r="S109" s="28">
        <v>2750</v>
      </c>
      <c r="T109" s="59">
        <v>2750</v>
      </c>
      <c r="U109" s="145">
        <v>0.65</v>
      </c>
      <c r="V109" s="28">
        <v>1787.5</v>
      </c>
      <c r="W109" s="59">
        <v>91</v>
      </c>
      <c r="X109" s="145">
        <f t="shared" si="20"/>
        <v>72.878021978021977</v>
      </c>
      <c r="Y109" s="145">
        <v>6631.9</v>
      </c>
      <c r="Z109" s="145"/>
      <c r="AA109" s="217">
        <v>203828.6</v>
      </c>
      <c r="AB109" s="60">
        <f t="shared" si="19"/>
        <v>202041.1</v>
      </c>
      <c r="AC109" s="213" t="s">
        <v>210</v>
      </c>
      <c r="AD109" s="222">
        <f>Table4[[#This Row],[Net Wt (Without Jute Bag)]]</f>
        <v>202041.1</v>
      </c>
      <c r="AE109" s="57"/>
      <c r="AF109" s="59"/>
      <c r="AG109" s="63" t="s">
        <v>151</v>
      </c>
      <c r="AH109" s="60">
        <f t="shared" si="48"/>
        <v>202041.1</v>
      </c>
    </row>
    <row r="110" spans="1:34" x14ac:dyDescent="0.25">
      <c r="A110" s="59">
        <v>104</v>
      </c>
      <c r="B110" s="92">
        <v>46263</v>
      </c>
      <c r="C110" s="28" t="s">
        <v>114</v>
      </c>
      <c r="D110" s="204" t="s">
        <v>211</v>
      </c>
      <c r="E110" s="69" t="s">
        <v>212</v>
      </c>
      <c r="F110" s="69" t="s">
        <v>132</v>
      </c>
      <c r="G110" s="28">
        <v>141</v>
      </c>
      <c r="H110" s="62">
        <v>43.34</v>
      </c>
      <c r="I110" s="28">
        <v>180</v>
      </c>
      <c r="J110" s="28">
        <v>240</v>
      </c>
      <c r="K110" s="28">
        <v>8.3000000000000007</v>
      </c>
      <c r="L110" s="28">
        <v>4</v>
      </c>
      <c r="M110" s="28">
        <v>10</v>
      </c>
      <c r="N110" s="28">
        <v>34</v>
      </c>
      <c r="O110" s="28">
        <v>0</v>
      </c>
      <c r="P110" s="28">
        <v>9</v>
      </c>
      <c r="Q110" s="28">
        <v>694</v>
      </c>
      <c r="R110" s="69" t="s">
        <v>212</v>
      </c>
      <c r="S110" s="28">
        <v>3655</v>
      </c>
      <c r="T110" s="59">
        <v>3655</v>
      </c>
      <c r="U110" s="145">
        <v>0.65</v>
      </c>
      <c r="V110" s="28">
        <v>2375.75</v>
      </c>
      <c r="W110" s="59">
        <v>122</v>
      </c>
      <c r="X110" s="145">
        <f t="shared" si="20"/>
        <v>73.09754098360655</v>
      </c>
      <c r="Y110" s="145">
        <v>8917.9</v>
      </c>
      <c r="Z110" s="145"/>
      <c r="AA110" s="217">
        <v>271127.2</v>
      </c>
      <c r="AB110" s="60">
        <f t="shared" si="19"/>
        <v>268751.45</v>
      </c>
      <c r="AC110" s="213" t="s">
        <v>213</v>
      </c>
      <c r="AD110" s="222">
        <f>Table4[[#This Row],[Net Wt (Without Jute Bag)]]</f>
        <v>268751.45</v>
      </c>
      <c r="AE110" s="57"/>
      <c r="AF110" s="59"/>
      <c r="AG110" s="63" t="s">
        <v>151</v>
      </c>
      <c r="AH110" s="60">
        <f t="shared" si="48"/>
        <v>268751.45</v>
      </c>
    </row>
    <row r="111" spans="1:34" x14ac:dyDescent="0.25">
      <c r="A111" s="59">
        <v>105</v>
      </c>
      <c r="B111" s="92">
        <v>46265</v>
      </c>
      <c r="C111" s="28" t="s">
        <v>114</v>
      </c>
      <c r="D111" s="204" t="s">
        <v>215</v>
      </c>
      <c r="E111" s="69" t="s">
        <v>216</v>
      </c>
      <c r="F111" s="69" t="s">
        <v>132</v>
      </c>
      <c r="G111" s="28">
        <v>142</v>
      </c>
      <c r="H111" s="62">
        <v>43.07</v>
      </c>
      <c r="I111" s="28">
        <v>184</v>
      </c>
      <c r="J111" s="28">
        <v>229</v>
      </c>
      <c r="K111" s="28">
        <v>7.8</v>
      </c>
      <c r="L111" s="28">
        <v>88</v>
      </c>
      <c r="M111" s="28">
        <v>12</v>
      </c>
      <c r="N111" s="28">
        <v>33</v>
      </c>
      <c r="O111" s="28">
        <v>0</v>
      </c>
      <c r="P111" s="28">
        <v>19</v>
      </c>
      <c r="Q111" s="28">
        <v>690</v>
      </c>
      <c r="R111" s="69" t="s">
        <v>216</v>
      </c>
      <c r="S111" s="28">
        <v>3328</v>
      </c>
      <c r="T111" s="59">
        <v>3328</v>
      </c>
      <c r="U111" s="145">
        <v>0.65</v>
      </c>
      <c r="V111" s="28">
        <v>2163.1999999999998</v>
      </c>
      <c r="W111" s="59">
        <v>110</v>
      </c>
      <c r="X111" s="145">
        <f t="shared" si="20"/>
        <v>74.009090909090915</v>
      </c>
      <c r="Y111" s="145">
        <v>8141</v>
      </c>
      <c r="Z111" s="145"/>
      <c r="AA111" s="217">
        <v>249746.8</v>
      </c>
      <c r="AB111" s="60">
        <f t="shared" si="19"/>
        <v>247583.59999999998</v>
      </c>
      <c r="AC111" s="213" t="s">
        <v>214</v>
      </c>
      <c r="AD111" s="222">
        <f>Table4[[#This Row],[Net Wt (Without Jute Bag)]]</f>
        <v>247583.59999999998</v>
      </c>
      <c r="AE111" s="57"/>
      <c r="AF111" s="59"/>
      <c r="AG111" s="63" t="s">
        <v>151</v>
      </c>
      <c r="AH111" s="60">
        <f t="shared" si="48"/>
        <v>247583.59999999998</v>
      </c>
    </row>
    <row r="112" spans="1:34" x14ac:dyDescent="0.25">
      <c r="A112" s="59">
        <v>106</v>
      </c>
      <c r="B112" s="92">
        <v>46266</v>
      </c>
      <c r="C112" s="28" t="s">
        <v>114</v>
      </c>
      <c r="D112" s="204" t="s">
        <v>215</v>
      </c>
      <c r="E112" s="69" t="s">
        <v>216</v>
      </c>
      <c r="F112" s="69" t="s">
        <v>132</v>
      </c>
      <c r="G112" s="28">
        <v>143</v>
      </c>
      <c r="H112" s="62">
        <v>43.17</v>
      </c>
      <c r="I112" s="28">
        <v>177</v>
      </c>
      <c r="J112" s="28">
        <v>235</v>
      </c>
      <c r="K112" s="28">
        <v>7.3</v>
      </c>
      <c r="L112" s="28">
        <v>5</v>
      </c>
      <c r="M112" s="28">
        <v>15</v>
      </c>
      <c r="N112" s="28">
        <v>31</v>
      </c>
      <c r="O112" s="28">
        <v>0</v>
      </c>
      <c r="P112" s="28">
        <v>13</v>
      </c>
      <c r="Q112" s="28">
        <v>694</v>
      </c>
      <c r="R112" s="69" t="s">
        <v>216</v>
      </c>
      <c r="S112" s="28">
        <v>2409</v>
      </c>
      <c r="T112" s="59">
        <v>2409</v>
      </c>
      <c r="U112" s="145">
        <v>0.65</v>
      </c>
      <c r="V112" s="28">
        <v>1565.85</v>
      </c>
      <c r="W112" s="59">
        <v>80</v>
      </c>
      <c r="X112" s="145">
        <f t="shared" si="20"/>
        <v>72.849999999999994</v>
      </c>
      <c r="Y112" s="145">
        <v>5828</v>
      </c>
      <c r="Z112" s="145"/>
      <c r="AA112" s="217">
        <v>181595.3</v>
      </c>
      <c r="AB112" s="60">
        <f t="shared" si="19"/>
        <v>180029.44999999998</v>
      </c>
      <c r="AC112" s="213">
        <v>46031</v>
      </c>
      <c r="AD112" s="222">
        <f>Table4[[#This Row],[Net Wt (Without Jute Bag)]]</f>
        <v>180029.44999999998</v>
      </c>
      <c r="AE112" s="57"/>
      <c r="AF112" s="59"/>
      <c r="AG112" s="63" t="s">
        <v>151</v>
      </c>
      <c r="AH112" s="60">
        <f t="shared" si="48"/>
        <v>180029.44999999998</v>
      </c>
    </row>
    <row r="113" spans="1:34" x14ac:dyDescent="0.25">
      <c r="A113" s="59">
        <v>107</v>
      </c>
      <c r="B113" s="92">
        <v>46267</v>
      </c>
      <c r="C113" s="28" t="s">
        <v>114</v>
      </c>
      <c r="D113" s="204" t="s">
        <v>215</v>
      </c>
      <c r="E113" s="69" t="s">
        <v>216</v>
      </c>
      <c r="F113" s="69" t="s">
        <v>132</v>
      </c>
      <c r="G113" s="28">
        <v>144</v>
      </c>
      <c r="H113" s="62">
        <v>42.95</v>
      </c>
      <c r="I113" s="28">
        <v>182</v>
      </c>
      <c r="J113" s="28">
        <v>237</v>
      </c>
      <c r="K113" s="28">
        <v>7.5</v>
      </c>
      <c r="L113" s="28">
        <v>7</v>
      </c>
      <c r="M113" s="28">
        <v>9</v>
      </c>
      <c r="N113" s="28">
        <v>33</v>
      </c>
      <c r="O113" s="28">
        <v>2</v>
      </c>
      <c r="P113" s="28">
        <v>19</v>
      </c>
      <c r="Q113" s="28">
        <v>681</v>
      </c>
      <c r="R113" s="69" t="s">
        <v>216</v>
      </c>
      <c r="S113" s="28">
        <v>1509</v>
      </c>
      <c r="T113" s="59">
        <v>1509</v>
      </c>
      <c r="U113" s="145">
        <v>0.65</v>
      </c>
      <c r="V113" s="28">
        <v>980.85</v>
      </c>
      <c r="W113" s="59">
        <v>50</v>
      </c>
      <c r="X113" s="145">
        <f t="shared" si="20"/>
        <v>75.319999999999993</v>
      </c>
      <c r="Y113" s="145">
        <v>3766</v>
      </c>
      <c r="Z113" s="145"/>
      <c r="AA113" s="217">
        <v>111281.8</v>
      </c>
      <c r="AB113" s="60">
        <f t="shared" si="19"/>
        <v>110300.95</v>
      </c>
      <c r="AC113" s="213">
        <v>46062</v>
      </c>
      <c r="AD113" s="222">
        <f>Table4[[#This Row],[Net Wt (Without Jute Bag)]]</f>
        <v>110300.95</v>
      </c>
      <c r="AE113" s="57"/>
      <c r="AF113" s="59"/>
      <c r="AG113" s="63" t="s">
        <v>151</v>
      </c>
      <c r="AH113" s="60">
        <f t="shared" si="48"/>
        <v>110300.95</v>
      </c>
    </row>
    <row r="114" spans="1:34" x14ac:dyDescent="0.25">
      <c r="A114" s="59">
        <v>108</v>
      </c>
      <c r="B114" s="92">
        <v>46268</v>
      </c>
      <c r="C114" s="28" t="s">
        <v>114</v>
      </c>
      <c r="D114" s="204" t="s">
        <v>215</v>
      </c>
      <c r="E114" s="69" t="s">
        <v>216</v>
      </c>
      <c r="F114" s="69" t="s">
        <v>132</v>
      </c>
      <c r="G114" s="28">
        <v>145</v>
      </c>
      <c r="H114" s="62">
        <v>43.25</v>
      </c>
      <c r="I114" s="28">
        <v>182</v>
      </c>
      <c r="J114" s="28">
        <v>235</v>
      </c>
      <c r="K114" s="28">
        <v>7.4</v>
      </c>
      <c r="L114" s="28">
        <v>9</v>
      </c>
      <c r="M114" s="28">
        <v>18</v>
      </c>
      <c r="N114" s="28">
        <v>28</v>
      </c>
      <c r="O114" s="28">
        <v>0</v>
      </c>
      <c r="P114" s="28">
        <v>13</v>
      </c>
      <c r="Q114" s="28">
        <v>688</v>
      </c>
      <c r="R114" s="69" t="s">
        <v>216</v>
      </c>
      <c r="S114" s="28">
        <v>1878</v>
      </c>
      <c r="T114" s="59">
        <v>1878</v>
      </c>
      <c r="U114" s="145">
        <v>0.65</v>
      </c>
      <c r="V114" s="28">
        <v>1220.7</v>
      </c>
      <c r="W114" s="59">
        <v>62</v>
      </c>
      <c r="X114" s="145">
        <f t="shared" si="20"/>
        <v>74.729032258064507</v>
      </c>
      <c r="Y114" s="145">
        <v>4633.2</v>
      </c>
      <c r="Z114" s="145"/>
      <c r="AA114" s="217">
        <v>137741.79999999999</v>
      </c>
      <c r="AB114" s="60">
        <f t="shared" si="19"/>
        <v>136521.09999999998</v>
      </c>
      <c r="AC114" s="213">
        <v>46062</v>
      </c>
      <c r="AD114" s="222">
        <f>Table4[[#This Row],[Net Wt (Without Jute Bag)]]</f>
        <v>136521.09999999998</v>
      </c>
      <c r="AE114" s="57"/>
      <c r="AF114" s="59"/>
      <c r="AG114" s="63" t="s">
        <v>151</v>
      </c>
      <c r="AH114" s="60">
        <f t="shared" si="48"/>
        <v>136521.09999999998</v>
      </c>
    </row>
    <row r="115" spans="1:34" x14ac:dyDescent="0.25">
      <c r="A115" s="59">
        <v>109</v>
      </c>
      <c r="B115" s="92">
        <v>46269</v>
      </c>
      <c r="C115" s="28" t="s">
        <v>114</v>
      </c>
      <c r="D115" s="204" t="s">
        <v>215</v>
      </c>
      <c r="E115" s="69" t="s">
        <v>216</v>
      </c>
      <c r="F115" s="69" t="s">
        <v>132</v>
      </c>
      <c r="G115" s="28">
        <v>146</v>
      </c>
      <c r="H115" s="62">
        <v>43.08</v>
      </c>
      <c r="I115" s="28">
        <v>181</v>
      </c>
      <c r="J115" s="28">
        <v>237</v>
      </c>
      <c r="K115" s="28">
        <v>7.7</v>
      </c>
      <c r="L115" s="28">
        <v>6</v>
      </c>
      <c r="M115" s="28">
        <v>15</v>
      </c>
      <c r="N115" s="28">
        <v>28</v>
      </c>
      <c r="O115" s="28">
        <v>0</v>
      </c>
      <c r="P115" s="28">
        <v>31</v>
      </c>
      <c r="Q115" s="28">
        <v>673</v>
      </c>
      <c r="R115" s="69" t="s">
        <v>216</v>
      </c>
      <c r="S115" s="28">
        <v>2101</v>
      </c>
      <c r="T115" s="59">
        <v>2101</v>
      </c>
      <c r="U115" s="145">
        <v>0.65</v>
      </c>
      <c r="V115" s="28">
        <v>1365.65</v>
      </c>
      <c r="W115" s="59">
        <v>70</v>
      </c>
      <c r="X115" s="145">
        <f>Y115/W115</f>
        <v>74.232857142857142</v>
      </c>
      <c r="Y115" s="145">
        <v>5196.3</v>
      </c>
      <c r="Z115" s="145"/>
      <c r="AA115" s="217">
        <v>157494.1</v>
      </c>
      <c r="AB115" s="60">
        <f>AA115-V115</f>
        <v>156128.45000000001</v>
      </c>
      <c r="AC115" s="213">
        <v>46090</v>
      </c>
      <c r="AD115" s="222">
        <f>Table4[[#This Row],[Net Wt (Without Jute Bag)]]</f>
        <v>156128.45000000001</v>
      </c>
      <c r="AE115" s="57"/>
      <c r="AF115" s="59"/>
      <c r="AG115" s="63" t="s">
        <v>151</v>
      </c>
      <c r="AH115" s="60">
        <f>AF115+AD115</f>
        <v>156128.45000000001</v>
      </c>
    </row>
    <row r="116" spans="1:34" x14ac:dyDescent="0.25">
      <c r="A116" s="59">
        <v>110</v>
      </c>
      <c r="B116" s="92">
        <v>46270</v>
      </c>
      <c r="C116" s="28" t="s">
        <v>114</v>
      </c>
      <c r="D116" s="204" t="s">
        <v>215</v>
      </c>
      <c r="E116" s="69" t="s">
        <v>216</v>
      </c>
      <c r="F116" s="69" t="s">
        <v>132</v>
      </c>
      <c r="G116" s="28">
        <v>147</v>
      </c>
      <c r="H116" s="62">
        <v>42.55</v>
      </c>
      <c r="I116" s="28">
        <v>172</v>
      </c>
      <c r="J116" s="28">
        <v>229</v>
      </c>
      <c r="K116" s="28">
        <v>7.5</v>
      </c>
      <c r="L116" s="28">
        <v>8</v>
      </c>
      <c r="M116" s="28">
        <v>12</v>
      </c>
      <c r="N116" s="28">
        <v>39</v>
      </c>
      <c r="O116" s="28">
        <v>4</v>
      </c>
      <c r="P116" s="28">
        <v>25</v>
      </c>
      <c r="Q116" s="28">
        <v>673</v>
      </c>
      <c r="R116" s="69" t="s">
        <v>216</v>
      </c>
      <c r="S116" s="28">
        <v>2145</v>
      </c>
      <c r="T116" s="59">
        <v>2145</v>
      </c>
      <c r="U116" s="145">
        <v>0.65</v>
      </c>
      <c r="V116" s="28">
        <v>1394.25</v>
      </c>
      <c r="W116" s="59">
        <v>71</v>
      </c>
      <c r="X116" s="145">
        <f>Y116/W116</f>
        <v>72.826760563380276</v>
      </c>
      <c r="Y116" s="145">
        <v>5170.7</v>
      </c>
      <c r="Z116" s="145"/>
      <c r="AA116" s="217">
        <v>162638</v>
      </c>
      <c r="AB116" s="60">
        <f>AA116-V116</f>
        <v>161243.75</v>
      </c>
      <c r="AC116" s="213">
        <v>46121</v>
      </c>
      <c r="AD116" s="222">
        <f>Table4[[#This Row],[Net Wt (Without Jute Bag)]]</f>
        <v>161243.75</v>
      </c>
      <c r="AE116" s="57"/>
      <c r="AF116" s="59"/>
      <c r="AG116" s="63" t="s">
        <v>151</v>
      </c>
      <c r="AH116" s="60">
        <f>AF116+AD116</f>
        <v>161243.75</v>
      </c>
    </row>
    <row r="117" spans="1:34" x14ac:dyDescent="0.25">
      <c r="A117" s="59">
        <v>111</v>
      </c>
      <c r="B117" s="92">
        <v>46272</v>
      </c>
      <c r="C117" s="28" t="s">
        <v>114</v>
      </c>
      <c r="D117" s="204" t="s">
        <v>215</v>
      </c>
      <c r="E117" s="69" t="s">
        <v>216</v>
      </c>
      <c r="F117" s="69" t="s">
        <v>123</v>
      </c>
      <c r="G117" s="28">
        <v>148</v>
      </c>
      <c r="H117" s="62">
        <v>43.74</v>
      </c>
      <c r="I117" s="28">
        <v>183</v>
      </c>
      <c r="J117" s="28">
        <v>238</v>
      </c>
      <c r="K117" s="28">
        <v>7.6</v>
      </c>
      <c r="L117" s="28">
        <v>5</v>
      </c>
      <c r="M117" s="28">
        <v>9</v>
      </c>
      <c r="N117" s="28">
        <v>36</v>
      </c>
      <c r="O117" s="28">
        <v>0</v>
      </c>
      <c r="P117" s="28">
        <v>24</v>
      </c>
      <c r="Q117" s="28">
        <v>680</v>
      </c>
      <c r="R117" s="69" t="s">
        <v>216</v>
      </c>
      <c r="S117" s="28">
        <v>2513</v>
      </c>
      <c r="T117" s="59">
        <v>2513</v>
      </c>
      <c r="U117" s="145">
        <v>0.65</v>
      </c>
      <c r="V117" s="28">
        <v>1633.45</v>
      </c>
      <c r="W117" s="59">
        <v>83</v>
      </c>
      <c r="X117" s="145">
        <f>Y117/W117</f>
        <v>70.955421686746988</v>
      </c>
      <c r="Y117" s="145">
        <v>5889.3</v>
      </c>
      <c r="Z117" s="145"/>
      <c r="AA117" s="217">
        <v>189168.4</v>
      </c>
      <c r="AB117" s="60">
        <f>AA117-V117</f>
        <v>187534.94999999998</v>
      </c>
      <c r="AC117" s="213">
        <v>46151</v>
      </c>
      <c r="AD117" s="222">
        <f>Table4[[#This Row],[Net Wt (Without Jute Bag)]]</f>
        <v>187534.94999999998</v>
      </c>
      <c r="AE117" s="57"/>
      <c r="AF117" s="59"/>
      <c r="AG117" s="63" t="s">
        <v>151</v>
      </c>
      <c r="AH117" s="60">
        <f>AF117+AD117</f>
        <v>187534.94999999998</v>
      </c>
    </row>
    <row r="118" spans="1:34" x14ac:dyDescent="0.25">
      <c r="A118" s="59">
        <v>112</v>
      </c>
      <c r="B118" s="92">
        <v>46273</v>
      </c>
      <c r="C118" s="28" t="s">
        <v>114</v>
      </c>
      <c r="D118" s="204" t="s">
        <v>219</v>
      </c>
      <c r="E118" s="69" t="s">
        <v>220</v>
      </c>
      <c r="F118" s="69" t="s">
        <v>132</v>
      </c>
      <c r="G118" s="28">
        <v>149</v>
      </c>
      <c r="H118" s="62">
        <v>45.77</v>
      </c>
      <c r="I118" s="28">
        <v>181</v>
      </c>
      <c r="J118" s="28">
        <v>248</v>
      </c>
      <c r="K118" s="28">
        <v>7.4</v>
      </c>
      <c r="L118" s="28">
        <v>10</v>
      </c>
      <c r="M118" s="28">
        <v>11</v>
      </c>
      <c r="N118" s="28">
        <v>29</v>
      </c>
      <c r="O118" s="28">
        <v>0</v>
      </c>
      <c r="P118" s="28">
        <v>24</v>
      </c>
      <c r="Q118" s="28">
        <v>669</v>
      </c>
      <c r="R118" s="69" t="s">
        <v>220</v>
      </c>
      <c r="S118" s="28">
        <v>1712</v>
      </c>
      <c r="T118" s="59">
        <v>1712</v>
      </c>
      <c r="U118" s="145">
        <v>0.65</v>
      </c>
      <c r="V118" s="28">
        <v>1112.8</v>
      </c>
      <c r="W118" s="59">
        <v>55</v>
      </c>
      <c r="X118" s="145">
        <f>Y118/W118</f>
        <v>70.294545454545457</v>
      </c>
      <c r="Y118" s="145">
        <v>3866.2</v>
      </c>
      <c r="Z118" s="145"/>
      <c r="AA118" s="217">
        <v>123542.7</v>
      </c>
      <c r="AB118" s="60">
        <f>AA118-V118</f>
        <v>122429.9</v>
      </c>
      <c r="AC118" s="213">
        <v>46243</v>
      </c>
      <c r="AD118" s="222">
        <f>Table4[[#This Row],[Net Wt (Without Jute Bag)]]</f>
        <v>122429.9</v>
      </c>
      <c r="AE118" s="57"/>
      <c r="AF118" s="59"/>
      <c r="AG118" s="63" t="s">
        <v>151</v>
      </c>
      <c r="AH118" s="60">
        <f>AF118+AD118</f>
        <v>122429.9</v>
      </c>
    </row>
    <row r="119" spans="1:34" x14ac:dyDescent="0.25">
      <c r="A119" s="59">
        <v>113</v>
      </c>
      <c r="B119" s="92">
        <v>46274</v>
      </c>
      <c r="C119" s="28" t="s">
        <v>114</v>
      </c>
      <c r="D119" s="204" t="s">
        <v>219</v>
      </c>
      <c r="E119" s="69" t="s">
        <v>220</v>
      </c>
      <c r="F119" s="69" t="s">
        <v>132</v>
      </c>
      <c r="G119" s="28">
        <v>150</v>
      </c>
      <c r="H119" s="62">
        <v>43.83</v>
      </c>
      <c r="I119" s="28">
        <v>181</v>
      </c>
      <c r="J119" s="28">
        <v>241</v>
      </c>
      <c r="K119" s="28">
        <v>7.3</v>
      </c>
      <c r="L119" s="28">
        <v>7</v>
      </c>
      <c r="M119" s="28">
        <v>8</v>
      </c>
      <c r="N119" s="28">
        <v>31</v>
      </c>
      <c r="O119" s="28">
        <v>2</v>
      </c>
      <c r="P119" s="28">
        <v>15</v>
      </c>
      <c r="Q119" s="28">
        <v>687</v>
      </c>
      <c r="R119" s="69" t="s">
        <v>220</v>
      </c>
      <c r="S119" s="28">
        <v>2756</v>
      </c>
      <c r="T119" s="59">
        <v>2756</v>
      </c>
      <c r="U119" s="145">
        <v>0.65</v>
      </c>
      <c r="V119" s="28">
        <v>1791.4</v>
      </c>
      <c r="W119" s="59">
        <v>88</v>
      </c>
      <c r="X119" s="145">
        <f>Y119/W119</f>
        <v>71.853409090909096</v>
      </c>
      <c r="Y119" s="145">
        <v>6323.1</v>
      </c>
      <c r="Z119" s="145"/>
      <c r="AA119" s="217">
        <v>197154.2</v>
      </c>
      <c r="AB119" s="60">
        <f>AA119-V119</f>
        <v>195362.80000000002</v>
      </c>
      <c r="AC119" s="213">
        <v>46243</v>
      </c>
      <c r="AD119" s="222">
        <f>Table4[[#This Row],[Net Wt (Without Jute Bag)]]</f>
        <v>195362.80000000002</v>
      </c>
      <c r="AE119" s="229"/>
      <c r="AF119" s="228"/>
      <c r="AG119" s="63" t="s">
        <v>151</v>
      </c>
      <c r="AH119" s="60">
        <f>AF119+AD119</f>
        <v>195362.80000000002</v>
      </c>
    </row>
    <row r="120" spans="1:34" x14ac:dyDescent="0.25">
      <c r="A120" s="59"/>
      <c r="B120" s="92"/>
      <c r="D120" s="204"/>
      <c r="E120" s="69"/>
      <c r="F120" s="69"/>
      <c r="H120" s="62"/>
      <c r="R120" s="69"/>
      <c r="T120" s="59"/>
      <c r="U120" s="145"/>
      <c r="W120" s="59"/>
      <c r="X120" s="145"/>
      <c r="Y120" s="145"/>
      <c r="Z120" s="145"/>
      <c r="AA120" s="217"/>
      <c r="AC120" s="213"/>
      <c r="AD120" s="228"/>
      <c r="AE120" s="229"/>
      <c r="AF120" s="228"/>
      <c r="AG120" s="57"/>
      <c r="AH120" s="60"/>
    </row>
    <row r="121" spans="1:34" x14ac:dyDescent="0.25">
      <c r="A121" s="59"/>
      <c r="B121" s="92"/>
      <c r="D121" s="204"/>
      <c r="E121" s="69"/>
      <c r="F121" s="69"/>
      <c r="H121" s="62"/>
      <c r="R121" s="69"/>
      <c r="T121" s="59"/>
      <c r="U121" s="145"/>
      <c r="W121" s="59"/>
      <c r="X121" s="145"/>
      <c r="Y121" s="145"/>
      <c r="Z121" s="145"/>
      <c r="AA121" s="217"/>
      <c r="AC121" s="213"/>
      <c r="AD121" s="228"/>
      <c r="AE121" s="229"/>
      <c r="AF121" s="228"/>
      <c r="AG121" s="57"/>
      <c r="AH121" s="60"/>
    </row>
    <row r="122" spans="1:34" x14ac:dyDescent="0.25">
      <c r="A122" s="59"/>
      <c r="B122" s="92"/>
      <c r="D122" s="204"/>
      <c r="E122" s="69"/>
      <c r="F122" s="69"/>
      <c r="H122" s="62"/>
      <c r="R122" s="69"/>
      <c r="T122" s="59"/>
      <c r="U122" s="145"/>
      <c r="W122" s="59"/>
      <c r="X122" s="145"/>
      <c r="Y122" s="145"/>
      <c r="Z122" s="145"/>
      <c r="AA122" s="217"/>
      <c r="AC122" s="213"/>
      <c r="AD122" s="228"/>
      <c r="AE122" s="229"/>
      <c r="AF122" s="228"/>
      <c r="AG122" s="57"/>
      <c r="AH122" s="60"/>
    </row>
    <row r="123" spans="1:34" x14ac:dyDescent="0.25">
      <c r="A123" s="59"/>
      <c r="B123" s="92"/>
      <c r="D123" s="204"/>
      <c r="E123" s="69"/>
      <c r="F123" s="69"/>
      <c r="H123" s="62"/>
      <c r="R123" s="69"/>
      <c r="T123" s="59"/>
      <c r="U123" s="145"/>
      <c r="W123" s="59"/>
      <c r="X123" s="145"/>
      <c r="Y123" s="145"/>
      <c r="Z123" s="145"/>
      <c r="AA123" s="217"/>
      <c r="AC123" s="213"/>
      <c r="AD123" s="228"/>
      <c r="AE123" s="229"/>
      <c r="AF123" s="228"/>
      <c r="AG123" s="57"/>
      <c r="AH123" s="60"/>
    </row>
    <row r="124" spans="1:34" x14ac:dyDescent="0.25">
      <c r="A124" s="59"/>
      <c r="B124" s="92"/>
      <c r="D124" s="204"/>
      <c r="E124" s="69"/>
      <c r="F124" s="69"/>
      <c r="H124" s="62"/>
      <c r="R124" s="69"/>
      <c r="T124" s="59"/>
      <c r="U124" s="145"/>
      <c r="W124" s="59"/>
      <c r="X124" s="145"/>
      <c r="Y124" s="145"/>
      <c r="Z124" s="145"/>
      <c r="AA124" s="217"/>
      <c r="AC124" s="213"/>
      <c r="AD124" s="228"/>
      <c r="AE124" s="229"/>
      <c r="AF124" s="228"/>
      <c r="AG124" s="57"/>
      <c r="AH124" s="60"/>
    </row>
    <row r="125" spans="1:34" x14ac:dyDescent="0.25">
      <c r="A125" s="59"/>
      <c r="B125" s="92"/>
      <c r="D125" s="204"/>
      <c r="E125" s="69"/>
      <c r="F125" s="69"/>
      <c r="H125" s="62"/>
      <c r="R125" s="69"/>
      <c r="T125" s="59"/>
      <c r="U125" s="145"/>
      <c r="W125" s="59"/>
      <c r="X125" s="145"/>
      <c r="Y125" s="145"/>
      <c r="Z125" s="145"/>
      <c r="AA125" s="217"/>
      <c r="AC125" s="213"/>
      <c r="AD125" s="228"/>
      <c r="AE125" s="229"/>
      <c r="AF125" s="228"/>
      <c r="AG125" s="57"/>
      <c r="AH125" s="60"/>
    </row>
    <row r="126" spans="1:34" ht="14.4" x14ac:dyDescent="0.3">
      <c r="B126" s="95"/>
      <c r="C126" s="66"/>
      <c r="D126" s="201"/>
      <c r="E126" s="201"/>
      <c r="F126" s="201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218">
        <f>AVERAGE(Q6:Q119)</f>
        <v>680.42105263157896</v>
      </c>
      <c r="R126" s="66"/>
      <c r="S126" s="208">
        <f>SUM(S6:S119)</f>
        <v>153891</v>
      </c>
      <c r="T126" s="208">
        <f>SUM(T6:T119)</f>
        <v>153924</v>
      </c>
      <c r="U126" s="220">
        <f>AVERAGE(U6:U119)</f>
        <v>0.65346347977754893</v>
      </c>
      <c r="V126" s="218">
        <f>SUM(V6:V119)/1000</f>
        <v>100.27993730131004</v>
      </c>
      <c r="W126" s="208">
        <f>SUM(W6:W119)</f>
        <v>5165</v>
      </c>
      <c r="X126" s="220">
        <f>AVERAGE(X6:X119)</f>
        <v>72.61317262169436</v>
      </c>
      <c r="Y126" s="67"/>
      <c r="Z126" s="67"/>
      <c r="AA126" s="219">
        <f>SUBTOTAL(9,AA6:AA119)</f>
        <v>11347053.799999999</v>
      </c>
      <c r="AB126" s="218">
        <f>SUBTOTAL(9,AB6:AB119)</f>
        <v>11250852.662698684</v>
      </c>
      <c r="AC126" s="67"/>
      <c r="AD126" s="218">
        <f>SUM(AD6:AD119)</f>
        <v>11242979.879999993</v>
      </c>
      <c r="AE126" s="67"/>
      <c r="AF126" s="218">
        <f>SUM(AF6:AF119)/1000</f>
        <v>12.599338698689964</v>
      </c>
      <c r="AH126" s="221">
        <f>SUM(AH6:AH119)/1000</f>
        <v>11253.013240698683</v>
      </c>
    </row>
    <row r="127" spans="1:34" x14ac:dyDescent="0.25">
      <c r="AA127" s="110">
        <f>AA126/1000</f>
        <v>11347.0538</v>
      </c>
      <c r="AB127" s="68">
        <f>AB126/1000</f>
        <v>11250.852662698684</v>
      </c>
      <c r="AD127" s="68">
        <f>AD126/1000</f>
        <v>11242.979879999993</v>
      </c>
    </row>
    <row r="128" spans="1:34" x14ac:dyDescent="0.25">
      <c r="B128" s="94" t="s">
        <v>218</v>
      </c>
      <c r="AA128" s="68"/>
      <c r="AB128" s="68"/>
      <c r="AD128" s="68"/>
      <c r="AE128" s="68"/>
    </row>
    <row r="129" spans="15:30" x14ac:dyDescent="0.25">
      <c r="T129" s="68"/>
      <c r="AA129" s="61"/>
      <c r="AB129" s="68"/>
      <c r="AD129" s="68"/>
    </row>
    <row r="130" spans="15:30" x14ac:dyDescent="0.25">
      <c r="U130" s="68"/>
      <c r="Z130" s="68"/>
      <c r="AA130" s="68"/>
      <c r="AB130" s="68"/>
      <c r="AD130" s="68"/>
    </row>
    <row r="131" spans="15:30" x14ac:dyDescent="0.25">
      <c r="X131" s="68"/>
      <c r="Y131" s="68"/>
      <c r="Z131" s="68"/>
      <c r="AA131" s="61"/>
      <c r="AB131" s="68"/>
    </row>
    <row r="132" spans="15:30" x14ac:dyDescent="0.25">
      <c r="Y132" s="68"/>
      <c r="AA132" s="68"/>
      <c r="AB132" s="68"/>
    </row>
    <row r="133" spans="15:30" x14ac:dyDescent="0.25">
      <c r="Y133" s="68"/>
      <c r="Z133" s="68"/>
      <c r="AA133" s="68"/>
    </row>
    <row r="134" spans="15:30" x14ac:dyDescent="0.25">
      <c r="AB134" s="68"/>
    </row>
    <row r="136" spans="15:30" x14ac:dyDescent="0.25">
      <c r="AB136" s="68"/>
    </row>
    <row r="137" spans="15:30" x14ac:dyDescent="0.25">
      <c r="AB137" s="68"/>
    </row>
    <row r="144" spans="15:30" ht="14.4" x14ac:dyDescent="0.3">
      <c r="O144" s="83"/>
    </row>
    <row r="145" spans="32:32" x14ac:dyDescent="0.25">
      <c r="AF145" s="62"/>
    </row>
  </sheetData>
  <mergeCells count="1">
    <mergeCell ref="B4:AF4"/>
  </mergeCells>
  <pageMargins left="0.7" right="0.7" top="0.75" bottom="0.75" header="0.3" footer="0.3"/>
  <pageSetup paperSize="9" orientation="portrait"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DRY RCN-YAKRO-2026</vt:lpstr>
      <vt:lpstr>No Dryied Issued RCN</vt:lpstr>
      <vt:lpstr>Bouake Dring RCN</vt:lpstr>
      <vt:lpstr>Issued to Production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deepak kumar singh singh</cp:lastModifiedBy>
  <dcterms:created xsi:type="dcterms:W3CDTF">2026-04-23T13:41:55Z</dcterms:created>
  <dcterms:modified xsi:type="dcterms:W3CDTF">2026-09-09T21:22:38Z</dcterms:modified>
</cp:coreProperties>
</file>