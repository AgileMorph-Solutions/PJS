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d89d82e3295d7df/Desktop/Production Digitalization Pilot/"/>
    </mc:Choice>
  </mc:AlternateContent>
  <xr:revisionPtr revIDLastSave="0" documentId="8_{49F48DD6-EBCE-4D44-8438-B2E5069B6A9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livery Plan" sheetId="1" r:id="rId1"/>
    <sheet name="Truck Reception" sheetId="2" r:id="rId2"/>
    <sheet name="Warehouse Receiving" sheetId="3" r:id="rId3"/>
    <sheet name="Drying" sheetId="4" r:id="rId4"/>
    <sheet name="Drying &amp; Sorting" sheetId="5" r:id="rId5"/>
    <sheet name="Dispatch" sheetId="6" r:id="rId6"/>
    <sheet name="Stock Transfers" sheetId="7" r:id="rId7"/>
    <sheet name="Jute Bags" sheetId="8" r:id="rId8"/>
    <sheet name="Activity Ledger" sheetId="9" r:id="rId9"/>
    <sheet name="Suppliers" sheetId="10" r:id="rId10"/>
  </sheets>
  <definedNames>
    <definedName name="_xlnm._FilterDatabase" localSheetId="8" hidden="1">'Activity Ledger'!$A$1:$T$53</definedName>
    <definedName name="_xlnm._FilterDatabase" localSheetId="0" hidden="1">'Delivery Plan'!$A$1:$T$11</definedName>
    <definedName name="_xlnm._FilterDatabase" localSheetId="5" hidden="1">Dispatch!$A$1:$AN$28</definedName>
    <definedName name="_xlnm._FilterDatabase" localSheetId="3" hidden="1">Drying!$A$1:$BA$31</definedName>
    <definedName name="_xlnm._FilterDatabase" localSheetId="4" hidden="1">'Drying &amp; Sorting'!$A$1:$Z$31</definedName>
    <definedName name="_xlnm._FilterDatabase" localSheetId="7" hidden="1">'Jute Bags'!$A$1:$L$31</definedName>
    <definedName name="_xlnm._FilterDatabase" localSheetId="6" hidden="1">'Stock Transfers'!$A$1:$AJ$26</definedName>
    <definedName name="_xlnm._FilterDatabase" localSheetId="9" hidden="1">Suppliers!$A$1:$B$26</definedName>
    <definedName name="_xlnm._FilterDatabase" localSheetId="1" hidden="1">'Truck Reception'!$A$1:$AO$77</definedName>
    <definedName name="_xlnm._FilterDatabase" localSheetId="2" hidden="1">'Warehouse Receiving'!$A$1:$BM$59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8" l="1"/>
  <c r="L3" i="8" s="1"/>
  <c r="L4" i="8" s="1"/>
  <c r="L5" i="8" s="1"/>
  <c r="L6" i="8" s="1"/>
  <c r="L7" i="8" s="1"/>
  <c r="L8" i="8" s="1"/>
  <c r="L9" i="8" s="1"/>
  <c r="L10" i="8" s="1"/>
  <c r="L11" i="8" s="1"/>
  <c r="L12" i="8" s="1"/>
  <c r="L13" i="8" s="1"/>
  <c r="L14" i="8" s="1"/>
  <c r="L15" i="8" s="1"/>
  <c r="L16" i="8" s="1"/>
  <c r="L17" i="8" s="1"/>
  <c r="L18" i="8" s="1"/>
  <c r="L19" i="8" s="1"/>
  <c r="L20" i="8" s="1"/>
  <c r="L21" i="8" s="1"/>
  <c r="L22" i="8" s="1"/>
  <c r="L23" i="8" s="1"/>
  <c r="L24" i="8" s="1"/>
  <c r="L25" i="8" s="1"/>
  <c r="L26" i="8" s="1"/>
  <c r="L27" i="8" s="1"/>
  <c r="L28" i="8" s="1"/>
  <c r="L29" i="8" s="1"/>
  <c r="L30" i="8" s="1"/>
  <c r="L31" i="8" s="1"/>
  <c r="AJ26" i="7"/>
  <c r="AI26" i="7"/>
  <c r="AG26" i="7"/>
  <c r="D26" i="7"/>
  <c r="AJ25" i="7"/>
  <c r="AI25" i="7"/>
  <c r="AG25" i="7" s="1"/>
  <c r="D25" i="7"/>
  <c r="AJ24" i="7"/>
  <c r="AI24" i="7"/>
  <c r="D24" i="7"/>
  <c r="AJ23" i="7"/>
  <c r="AI23" i="7"/>
  <c r="D23" i="7"/>
  <c r="AJ22" i="7"/>
  <c r="AI22" i="7"/>
  <c r="D22" i="7"/>
  <c r="AJ21" i="7"/>
  <c r="AI21" i="7"/>
  <c r="AG21" i="7" s="1"/>
  <c r="D21" i="7"/>
  <c r="AJ20" i="7"/>
  <c r="AI20" i="7"/>
  <c r="AG20" i="7"/>
  <c r="D20" i="7"/>
  <c r="AJ19" i="7"/>
  <c r="AI19" i="7"/>
  <c r="D19" i="7"/>
  <c r="AJ18" i="7"/>
  <c r="AI18" i="7"/>
  <c r="D18" i="7"/>
  <c r="AJ17" i="7"/>
  <c r="AI17" i="7"/>
  <c r="D17" i="7"/>
  <c r="AJ16" i="7"/>
  <c r="AI16" i="7"/>
  <c r="AG16" i="7"/>
  <c r="D16" i="7"/>
  <c r="AJ15" i="7"/>
  <c r="AI15" i="7"/>
  <c r="D15" i="7"/>
  <c r="AJ14" i="7"/>
  <c r="AI14" i="7"/>
  <c r="D14" i="7"/>
  <c r="AJ13" i="7"/>
  <c r="AI13" i="7"/>
  <c r="D13" i="7"/>
  <c r="AJ12" i="7"/>
  <c r="AI12" i="7"/>
  <c r="AG12" i="7"/>
  <c r="D12" i="7"/>
  <c r="AJ11" i="7"/>
  <c r="AI11" i="7"/>
  <c r="D11" i="7"/>
  <c r="AJ10" i="7"/>
  <c r="AI10" i="7"/>
  <c r="D10" i="7"/>
  <c r="AJ9" i="7"/>
  <c r="AI9" i="7"/>
  <c r="D9" i="7"/>
  <c r="AJ8" i="7"/>
  <c r="AI8" i="7"/>
  <c r="D8" i="7"/>
  <c r="AJ7" i="7"/>
  <c r="AI7" i="7"/>
  <c r="AG7" i="7"/>
  <c r="D7" i="7"/>
  <c r="AJ6" i="7"/>
  <c r="AI6" i="7"/>
  <c r="D6" i="7"/>
  <c r="AJ5" i="7"/>
  <c r="AI5" i="7"/>
  <c r="D5" i="7"/>
  <c r="AJ4" i="7"/>
  <c r="AI4" i="7"/>
  <c r="AG4" i="7"/>
  <c r="D4" i="7"/>
  <c r="AJ3" i="7"/>
  <c r="AI3" i="7"/>
  <c r="D3" i="7"/>
  <c r="AJ2" i="7"/>
  <c r="AI2" i="7"/>
  <c r="D2" i="7"/>
  <c r="AI28" i="6"/>
  <c r="AG28" i="6"/>
  <c r="AE28" i="6"/>
  <c r="AN28" i="6" s="1"/>
  <c r="AD28" i="6"/>
  <c r="Z28" i="6"/>
  <c r="AI27" i="6"/>
  <c r="AG27" i="6"/>
  <c r="AE27" i="6"/>
  <c r="AN27" i="6" s="1"/>
  <c r="AD27" i="6"/>
  <c r="AH27" i="6" s="1"/>
  <c r="Z27" i="6"/>
  <c r="AI26" i="6"/>
  <c r="AG26" i="6"/>
  <c r="AE26" i="6"/>
  <c r="AN26" i="6" s="1"/>
  <c r="AD26" i="6"/>
  <c r="AF26" i="6" s="1"/>
  <c r="Z26" i="6"/>
  <c r="AI25" i="6"/>
  <c r="AG25" i="6"/>
  <c r="AE25" i="6"/>
  <c r="AN25" i="6" s="1"/>
  <c r="AD25" i="6"/>
  <c r="Z25" i="6"/>
  <c r="AI24" i="6"/>
  <c r="AG24" i="6"/>
  <c r="AE24" i="6"/>
  <c r="AN24" i="6" s="1"/>
  <c r="AD24" i="6"/>
  <c r="AH24" i="6" s="1"/>
  <c r="Z24" i="6"/>
  <c r="AI23" i="6"/>
  <c r="AG23" i="6"/>
  <c r="AE23" i="6"/>
  <c r="AN23" i="6" s="1"/>
  <c r="AD23" i="6"/>
  <c r="AH23" i="6" s="1"/>
  <c r="Z23" i="6"/>
  <c r="AI22" i="6"/>
  <c r="AG22" i="6"/>
  <c r="AE22" i="6"/>
  <c r="AN22" i="6" s="1"/>
  <c r="AD22" i="6"/>
  <c r="Z22" i="6"/>
  <c r="AI21" i="6"/>
  <c r="AG21" i="6"/>
  <c r="AE21" i="6"/>
  <c r="AN21" i="6" s="1"/>
  <c r="AD21" i="6"/>
  <c r="AH21" i="6" s="1"/>
  <c r="Z21" i="6"/>
  <c r="AI20" i="6"/>
  <c r="AG20" i="6"/>
  <c r="AE20" i="6"/>
  <c r="AN20" i="6" s="1"/>
  <c r="AD20" i="6"/>
  <c r="AH20" i="6" s="1"/>
  <c r="Z20" i="6"/>
  <c r="AI19" i="6"/>
  <c r="AG19" i="6"/>
  <c r="AE19" i="6"/>
  <c r="AN19" i="6" s="1"/>
  <c r="AD19" i="6"/>
  <c r="Z19" i="6"/>
  <c r="AI18" i="6"/>
  <c r="AG18" i="6"/>
  <c r="AE18" i="6"/>
  <c r="AN18" i="6" s="1"/>
  <c r="AD18" i="6"/>
  <c r="AH18" i="6" s="1"/>
  <c r="Z18" i="6"/>
  <c r="AI17" i="6"/>
  <c r="AG17" i="6"/>
  <c r="AE17" i="6"/>
  <c r="AN17" i="6" s="1"/>
  <c r="AD17" i="6"/>
  <c r="AF17" i="6" s="1"/>
  <c r="Z17" i="6"/>
  <c r="AI16" i="6"/>
  <c r="AG16" i="6"/>
  <c r="AE16" i="6"/>
  <c r="AN16" i="6" s="1"/>
  <c r="AD16" i="6"/>
  <c r="Z16" i="6"/>
  <c r="AI15" i="6"/>
  <c r="AG15" i="6"/>
  <c r="AE15" i="6"/>
  <c r="AN15" i="6" s="1"/>
  <c r="AD15" i="6"/>
  <c r="AH15" i="6" s="1"/>
  <c r="Z15" i="6"/>
  <c r="AI14" i="6"/>
  <c r="AG14" i="6"/>
  <c r="AE14" i="6"/>
  <c r="AN14" i="6" s="1"/>
  <c r="AD14" i="6"/>
  <c r="AH14" i="6" s="1"/>
  <c r="Z14" i="6"/>
  <c r="AI13" i="6"/>
  <c r="AG13" i="6"/>
  <c r="AE13" i="6"/>
  <c r="AN13" i="6" s="1"/>
  <c r="AD13" i="6"/>
  <c r="Z13" i="6"/>
  <c r="AI12" i="6"/>
  <c r="AG12" i="6"/>
  <c r="AE12" i="6"/>
  <c r="AN12" i="6" s="1"/>
  <c r="AD12" i="6"/>
  <c r="AH12" i="6" s="1"/>
  <c r="Z12" i="6"/>
  <c r="AI11" i="6"/>
  <c r="AG11" i="6"/>
  <c r="AE11" i="6"/>
  <c r="AN11" i="6" s="1"/>
  <c r="AD11" i="6"/>
  <c r="AF11" i="6" s="1"/>
  <c r="Z11" i="6"/>
  <c r="AI10" i="6"/>
  <c r="AG10" i="6"/>
  <c r="AE10" i="6"/>
  <c r="AN10" i="6" s="1"/>
  <c r="AD10" i="6"/>
  <c r="Z10" i="6"/>
  <c r="AI9" i="6"/>
  <c r="AG9" i="6"/>
  <c r="AE9" i="6"/>
  <c r="AN9" i="6" s="1"/>
  <c r="AD9" i="6"/>
  <c r="AH9" i="6" s="1"/>
  <c r="Z9" i="6"/>
  <c r="AI8" i="6"/>
  <c r="AG8" i="6"/>
  <c r="AE8" i="6"/>
  <c r="AN8" i="6" s="1"/>
  <c r="AD8" i="6"/>
  <c r="AH8" i="6" s="1"/>
  <c r="Z8" i="6"/>
  <c r="AI7" i="6"/>
  <c r="AG7" i="6"/>
  <c r="AE7" i="6"/>
  <c r="AN7" i="6" s="1"/>
  <c r="AD7" i="6"/>
  <c r="Z7" i="6"/>
  <c r="AI6" i="6"/>
  <c r="AG6" i="6"/>
  <c r="AE6" i="6"/>
  <c r="AN6" i="6" s="1"/>
  <c r="AD6" i="6"/>
  <c r="AH6" i="6" s="1"/>
  <c r="Z6" i="6"/>
  <c r="AI5" i="6"/>
  <c r="AG5" i="6"/>
  <c r="AE5" i="6"/>
  <c r="AN5" i="6" s="1"/>
  <c r="AD5" i="6"/>
  <c r="AH5" i="6" s="1"/>
  <c r="Z5" i="6"/>
  <c r="AI4" i="6"/>
  <c r="AG4" i="6"/>
  <c r="AE4" i="6"/>
  <c r="AN4" i="6" s="1"/>
  <c r="AD4" i="6"/>
  <c r="Z4" i="6"/>
  <c r="AI3" i="6"/>
  <c r="AG3" i="6"/>
  <c r="AE3" i="6"/>
  <c r="AN3" i="6" s="1"/>
  <c r="AD3" i="6"/>
  <c r="AH3" i="6" s="1"/>
  <c r="Z3" i="6"/>
  <c r="AI2" i="6"/>
  <c r="AG2" i="6"/>
  <c r="AE2" i="6"/>
  <c r="AN2" i="6" s="1"/>
  <c r="AD2" i="6"/>
  <c r="AH2" i="6" s="1"/>
  <c r="Z2" i="6"/>
  <c r="U31" i="5"/>
  <c r="U30" i="5"/>
  <c r="U29" i="5"/>
  <c r="U28" i="5"/>
  <c r="U27" i="5"/>
  <c r="U26" i="5"/>
  <c r="U25" i="5"/>
  <c r="U24" i="5"/>
  <c r="U23" i="5"/>
  <c r="U22" i="5"/>
  <c r="U21" i="5"/>
  <c r="U20" i="5"/>
  <c r="U19" i="5"/>
  <c r="U18" i="5"/>
  <c r="U17" i="5"/>
  <c r="U16" i="5"/>
  <c r="U15" i="5"/>
  <c r="U14" i="5"/>
  <c r="U13" i="5"/>
  <c r="U12" i="5"/>
  <c r="U11" i="5"/>
  <c r="U10" i="5"/>
  <c r="U9" i="5"/>
  <c r="U8" i="5"/>
  <c r="U7" i="5"/>
  <c r="U6" i="5"/>
  <c r="U5" i="5"/>
  <c r="U4" i="5"/>
  <c r="U3" i="5"/>
  <c r="U2" i="5"/>
  <c r="AO31" i="4"/>
  <c r="AG31" i="4"/>
  <c r="BA31" i="4" s="1"/>
  <c r="AO30" i="4"/>
  <c r="AG30" i="4"/>
  <c r="BA30" i="4" s="1"/>
  <c r="AO29" i="4"/>
  <c r="AG29" i="4"/>
  <c r="BA29" i="4" s="1"/>
  <c r="AO28" i="4"/>
  <c r="AG28" i="4"/>
  <c r="BA28" i="4" s="1"/>
  <c r="AO27" i="4"/>
  <c r="AG27" i="4"/>
  <c r="BA27" i="4" s="1"/>
  <c r="AO26" i="4"/>
  <c r="AG26" i="4"/>
  <c r="BA26" i="4" s="1"/>
  <c r="AO25" i="4"/>
  <c r="AG25" i="4"/>
  <c r="BA25" i="4" s="1"/>
  <c r="AO24" i="4"/>
  <c r="AG24" i="4"/>
  <c r="BA24" i="4" s="1"/>
  <c r="AO23" i="4"/>
  <c r="AG23" i="4"/>
  <c r="BA23" i="4" s="1"/>
  <c r="AO22" i="4"/>
  <c r="AG22" i="4"/>
  <c r="BA22" i="4" s="1"/>
  <c r="AO21" i="4"/>
  <c r="AG21" i="4"/>
  <c r="BA21" i="4" s="1"/>
  <c r="AO20" i="4"/>
  <c r="AG20" i="4"/>
  <c r="BA20" i="4" s="1"/>
  <c r="AO19" i="4"/>
  <c r="AG19" i="4"/>
  <c r="BA19" i="4" s="1"/>
  <c r="AO18" i="4"/>
  <c r="AG18" i="4"/>
  <c r="BA18" i="4" s="1"/>
  <c r="AO17" i="4"/>
  <c r="AG17" i="4"/>
  <c r="BA17" i="4" s="1"/>
  <c r="AO16" i="4"/>
  <c r="AG16" i="4"/>
  <c r="BA16" i="4" s="1"/>
  <c r="AO15" i="4"/>
  <c r="AG15" i="4"/>
  <c r="BA15" i="4" s="1"/>
  <c r="AO14" i="4"/>
  <c r="AG14" i="4"/>
  <c r="BA14" i="4" s="1"/>
  <c r="AO13" i="4"/>
  <c r="AG13" i="4"/>
  <c r="BA13" i="4" s="1"/>
  <c r="AO12" i="4"/>
  <c r="AG12" i="4"/>
  <c r="BA12" i="4" s="1"/>
  <c r="AO11" i="4"/>
  <c r="AG11" i="4"/>
  <c r="BA11" i="4" s="1"/>
  <c r="AO10" i="4"/>
  <c r="AG10" i="4"/>
  <c r="BA10" i="4" s="1"/>
  <c r="AO9" i="4"/>
  <c r="AG9" i="4"/>
  <c r="BA9" i="4" s="1"/>
  <c r="AO8" i="4"/>
  <c r="AG8" i="4"/>
  <c r="BA8" i="4" s="1"/>
  <c r="AO7" i="4"/>
  <c r="AG7" i="4"/>
  <c r="BA7" i="4" s="1"/>
  <c r="AO6" i="4"/>
  <c r="AG6" i="4"/>
  <c r="BA6" i="4" s="1"/>
  <c r="AO5" i="4"/>
  <c r="AG5" i="4"/>
  <c r="BA5" i="4" s="1"/>
  <c r="AO4" i="4"/>
  <c r="AG4" i="4"/>
  <c r="BA4" i="4" s="1"/>
  <c r="AO3" i="4"/>
  <c r="AG3" i="4"/>
  <c r="BA3" i="4" s="1"/>
  <c r="AO2" i="4"/>
  <c r="AG2" i="4"/>
  <c r="BA2" i="4" s="1"/>
  <c r="BJ59" i="3"/>
  <c r="BH59" i="3"/>
  <c r="BF59" i="3"/>
  <c r="BE59" i="3"/>
  <c r="BA59" i="3"/>
  <c r="AT59" i="3"/>
  <c r="AR59" i="3"/>
  <c r="AP59" i="3"/>
  <c r="AO59" i="3"/>
  <c r="AQ59" i="3" s="1"/>
  <c r="AK59" i="3"/>
  <c r="AD59" i="3"/>
  <c r="Z59" i="3"/>
  <c r="BJ58" i="3"/>
  <c r="BH58" i="3"/>
  <c r="BF58" i="3"/>
  <c r="BE58" i="3"/>
  <c r="BI58" i="3" s="1"/>
  <c r="BA58" i="3"/>
  <c r="AT58" i="3"/>
  <c r="AR58" i="3"/>
  <c r="AP58" i="3"/>
  <c r="AO58" i="3"/>
  <c r="AQ58" i="3" s="1"/>
  <c r="AK58" i="3"/>
  <c r="AD58" i="3"/>
  <c r="Z58" i="3"/>
  <c r="BJ57" i="3"/>
  <c r="BH57" i="3"/>
  <c r="BF57" i="3"/>
  <c r="BE57" i="3"/>
  <c r="BG57" i="3" s="1"/>
  <c r="BA57" i="3"/>
  <c r="AT57" i="3"/>
  <c r="AR57" i="3"/>
  <c r="AP57" i="3"/>
  <c r="AO57" i="3"/>
  <c r="AS57" i="3" s="1"/>
  <c r="AK57" i="3"/>
  <c r="AD57" i="3"/>
  <c r="Z57" i="3"/>
  <c r="BJ56" i="3"/>
  <c r="BH56" i="3"/>
  <c r="BF56" i="3"/>
  <c r="BE56" i="3"/>
  <c r="BA56" i="3"/>
  <c r="AT56" i="3"/>
  <c r="AR56" i="3"/>
  <c r="AP56" i="3"/>
  <c r="AO56" i="3"/>
  <c r="AQ56" i="3" s="1"/>
  <c r="AK56" i="3"/>
  <c r="AD56" i="3"/>
  <c r="Z56" i="3"/>
  <c r="BJ55" i="3"/>
  <c r="BH55" i="3"/>
  <c r="BF55" i="3"/>
  <c r="BE55" i="3"/>
  <c r="BI55" i="3" s="1"/>
  <c r="BA55" i="3"/>
  <c r="AT55" i="3"/>
  <c r="AR55" i="3"/>
  <c r="AP55" i="3"/>
  <c r="AO55" i="3"/>
  <c r="AQ55" i="3" s="1"/>
  <c r="AK55" i="3"/>
  <c r="AD55" i="3"/>
  <c r="Z55" i="3"/>
  <c r="BJ54" i="3"/>
  <c r="BH54" i="3"/>
  <c r="BF54" i="3"/>
  <c r="BE54" i="3"/>
  <c r="BI54" i="3" s="1"/>
  <c r="BA54" i="3"/>
  <c r="AT54" i="3"/>
  <c r="AR54" i="3"/>
  <c r="AP54" i="3"/>
  <c r="AO54" i="3"/>
  <c r="AS54" i="3" s="1"/>
  <c r="AK54" i="3"/>
  <c r="AD54" i="3"/>
  <c r="Z54" i="3"/>
  <c r="BJ53" i="3"/>
  <c r="BH53" i="3"/>
  <c r="BF53" i="3"/>
  <c r="BE53" i="3"/>
  <c r="BA53" i="3"/>
  <c r="AT53" i="3"/>
  <c r="AR53" i="3"/>
  <c r="AP53" i="3"/>
  <c r="AO53" i="3"/>
  <c r="AQ53" i="3" s="1"/>
  <c r="AK53" i="3"/>
  <c r="AD53" i="3"/>
  <c r="Z53" i="3"/>
  <c r="BJ52" i="3"/>
  <c r="BH52" i="3"/>
  <c r="BF52" i="3"/>
  <c r="BE52" i="3"/>
  <c r="BG52" i="3" s="1"/>
  <c r="BA52" i="3"/>
  <c r="AT52" i="3"/>
  <c r="AR52" i="3"/>
  <c r="AP52" i="3"/>
  <c r="AO52" i="3"/>
  <c r="AQ52" i="3" s="1"/>
  <c r="AK52" i="3"/>
  <c r="AD52" i="3"/>
  <c r="Z52" i="3"/>
  <c r="BJ51" i="3"/>
  <c r="BH51" i="3"/>
  <c r="BF51" i="3"/>
  <c r="BE51" i="3"/>
  <c r="BG51" i="3" s="1"/>
  <c r="BA51" i="3"/>
  <c r="AT51" i="3"/>
  <c r="AR51" i="3"/>
  <c r="AP51" i="3"/>
  <c r="AO51" i="3"/>
  <c r="AS51" i="3" s="1"/>
  <c r="AK51" i="3"/>
  <c r="AD51" i="3"/>
  <c r="Z51" i="3"/>
  <c r="BJ50" i="3"/>
  <c r="BH50" i="3"/>
  <c r="BF50" i="3"/>
  <c r="BE50" i="3"/>
  <c r="BA50" i="3"/>
  <c r="AT50" i="3"/>
  <c r="AR50" i="3"/>
  <c r="AP50" i="3"/>
  <c r="AO50" i="3"/>
  <c r="AQ50" i="3" s="1"/>
  <c r="AK50" i="3"/>
  <c r="AD50" i="3"/>
  <c r="Z50" i="3"/>
  <c r="BJ49" i="3"/>
  <c r="BH49" i="3"/>
  <c r="BF49" i="3"/>
  <c r="BE49" i="3"/>
  <c r="BG49" i="3" s="1"/>
  <c r="BA49" i="3"/>
  <c r="AT49" i="3"/>
  <c r="AR49" i="3"/>
  <c r="AP49" i="3"/>
  <c r="AO49" i="3"/>
  <c r="AQ49" i="3" s="1"/>
  <c r="AK49" i="3"/>
  <c r="AD49" i="3"/>
  <c r="Z49" i="3"/>
  <c r="BJ48" i="3"/>
  <c r="BH48" i="3"/>
  <c r="BF48" i="3"/>
  <c r="BE48" i="3"/>
  <c r="BI48" i="3" s="1"/>
  <c r="BA48" i="3"/>
  <c r="AT48" i="3"/>
  <c r="AR48" i="3"/>
  <c r="AP48" i="3"/>
  <c r="AO48" i="3"/>
  <c r="AS48" i="3" s="1"/>
  <c r="AK48" i="3"/>
  <c r="AD48" i="3"/>
  <c r="Z48" i="3"/>
  <c r="BJ47" i="3"/>
  <c r="BH47" i="3"/>
  <c r="BF47" i="3"/>
  <c r="BE47" i="3"/>
  <c r="BA47" i="3"/>
  <c r="AT47" i="3"/>
  <c r="AR47" i="3"/>
  <c r="AP47" i="3"/>
  <c r="AO47" i="3"/>
  <c r="AQ47" i="3" s="1"/>
  <c r="AK47" i="3"/>
  <c r="AD47" i="3"/>
  <c r="Z47" i="3"/>
  <c r="BJ46" i="3"/>
  <c r="BH46" i="3"/>
  <c r="BF46" i="3"/>
  <c r="BE46" i="3"/>
  <c r="BG46" i="3" s="1"/>
  <c r="BA46" i="3"/>
  <c r="AT46" i="3"/>
  <c r="AR46" i="3"/>
  <c r="AP46" i="3"/>
  <c r="AO46" i="3"/>
  <c r="AS46" i="3" s="1"/>
  <c r="AK46" i="3"/>
  <c r="AD46" i="3"/>
  <c r="Z46" i="3"/>
  <c r="BJ45" i="3"/>
  <c r="BH45" i="3"/>
  <c r="BF45" i="3"/>
  <c r="BE45" i="3"/>
  <c r="BG45" i="3" s="1"/>
  <c r="BA45" i="3"/>
  <c r="AT45" i="3"/>
  <c r="AR45" i="3"/>
  <c r="AP45" i="3"/>
  <c r="AO45" i="3"/>
  <c r="AS45" i="3" s="1"/>
  <c r="AK45" i="3"/>
  <c r="AD45" i="3"/>
  <c r="Z45" i="3"/>
  <c r="BJ44" i="3"/>
  <c r="BH44" i="3"/>
  <c r="BF44" i="3"/>
  <c r="BE44" i="3"/>
  <c r="BA44" i="3"/>
  <c r="AT44" i="3"/>
  <c r="AR44" i="3"/>
  <c r="AP44" i="3"/>
  <c r="AO44" i="3"/>
  <c r="AQ44" i="3" s="1"/>
  <c r="AK44" i="3"/>
  <c r="AD44" i="3"/>
  <c r="Z44" i="3"/>
  <c r="BJ43" i="3"/>
  <c r="BH43" i="3"/>
  <c r="BF43" i="3"/>
  <c r="BE43" i="3"/>
  <c r="BI43" i="3" s="1"/>
  <c r="BA43" i="3"/>
  <c r="AT43" i="3"/>
  <c r="AR43" i="3"/>
  <c r="AP43" i="3"/>
  <c r="AO43" i="3"/>
  <c r="AQ43" i="3" s="1"/>
  <c r="AK43" i="3"/>
  <c r="AD43" i="3"/>
  <c r="Z43" i="3"/>
  <c r="BJ42" i="3"/>
  <c r="BH42" i="3"/>
  <c r="BF42" i="3"/>
  <c r="BE42" i="3"/>
  <c r="BG42" i="3" s="1"/>
  <c r="BA42" i="3"/>
  <c r="AT42" i="3"/>
  <c r="AR42" i="3"/>
  <c r="AP42" i="3"/>
  <c r="AO42" i="3"/>
  <c r="AS42" i="3" s="1"/>
  <c r="AK42" i="3"/>
  <c r="AD42" i="3"/>
  <c r="Z42" i="3"/>
  <c r="BJ41" i="3"/>
  <c r="BH41" i="3"/>
  <c r="BF41" i="3"/>
  <c r="BE41" i="3"/>
  <c r="BA41" i="3"/>
  <c r="AT41" i="3"/>
  <c r="AR41" i="3"/>
  <c r="AP41" i="3"/>
  <c r="AO41" i="3"/>
  <c r="AQ41" i="3" s="1"/>
  <c r="AK41" i="3"/>
  <c r="AD41" i="3"/>
  <c r="Z41" i="3"/>
  <c r="BJ40" i="3"/>
  <c r="BH40" i="3"/>
  <c r="BF40" i="3"/>
  <c r="BE40" i="3"/>
  <c r="BI40" i="3" s="1"/>
  <c r="BA40" i="3"/>
  <c r="AT40" i="3"/>
  <c r="AR40" i="3"/>
  <c r="AP40" i="3"/>
  <c r="AO40" i="3"/>
  <c r="AQ40" i="3" s="1"/>
  <c r="AK40" i="3"/>
  <c r="AD40" i="3"/>
  <c r="Z40" i="3"/>
  <c r="BJ39" i="3"/>
  <c r="BH39" i="3"/>
  <c r="BF39" i="3"/>
  <c r="BE39" i="3"/>
  <c r="BI39" i="3" s="1"/>
  <c r="BA39" i="3"/>
  <c r="AT39" i="3"/>
  <c r="AR39" i="3"/>
  <c r="AP39" i="3"/>
  <c r="AO39" i="3"/>
  <c r="AS39" i="3" s="1"/>
  <c r="AK39" i="3"/>
  <c r="AD39" i="3"/>
  <c r="Z39" i="3"/>
  <c r="BJ38" i="3"/>
  <c r="BH38" i="3"/>
  <c r="BF38" i="3"/>
  <c r="BE38" i="3"/>
  <c r="BA38" i="3"/>
  <c r="AT38" i="3"/>
  <c r="AR38" i="3"/>
  <c r="AP38" i="3"/>
  <c r="AO38" i="3"/>
  <c r="AQ38" i="3" s="1"/>
  <c r="AK38" i="3"/>
  <c r="AD38" i="3"/>
  <c r="Z38" i="3"/>
  <c r="BJ37" i="3"/>
  <c r="BH37" i="3"/>
  <c r="BF37" i="3"/>
  <c r="BE37" i="3"/>
  <c r="BI37" i="3" s="1"/>
  <c r="BA37" i="3"/>
  <c r="AT37" i="3"/>
  <c r="AR37" i="3"/>
  <c r="AP37" i="3"/>
  <c r="AO37" i="3"/>
  <c r="AS37" i="3" s="1"/>
  <c r="AK37" i="3"/>
  <c r="AD37" i="3"/>
  <c r="Z37" i="3"/>
  <c r="BJ36" i="3"/>
  <c r="BH36" i="3"/>
  <c r="BF36" i="3"/>
  <c r="BE36" i="3"/>
  <c r="BI36" i="3" s="1"/>
  <c r="BA36" i="3"/>
  <c r="AT36" i="3"/>
  <c r="AR36" i="3"/>
  <c r="AP36" i="3"/>
  <c r="AO36" i="3"/>
  <c r="AS36" i="3" s="1"/>
  <c r="AK36" i="3"/>
  <c r="AD36" i="3"/>
  <c r="Z36" i="3"/>
  <c r="BJ35" i="3"/>
  <c r="BH35" i="3"/>
  <c r="BF35" i="3"/>
  <c r="BE35" i="3"/>
  <c r="BA35" i="3"/>
  <c r="AT35" i="3"/>
  <c r="AR35" i="3"/>
  <c r="AP35" i="3"/>
  <c r="AO35" i="3"/>
  <c r="AQ35" i="3" s="1"/>
  <c r="AK35" i="3"/>
  <c r="AD35" i="3"/>
  <c r="Z35" i="3"/>
  <c r="BJ34" i="3"/>
  <c r="BH34" i="3"/>
  <c r="BF34" i="3"/>
  <c r="BE34" i="3"/>
  <c r="BG34" i="3" s="1"/>
  <c r="BA34" i="3"/>
  <c r="AT34" i="3"/>
  <c r="AR34" i="3"/>
  <c r="AP34" i="3"/>
  <c r="AO34" i="3"/>
  <c r="AQ34" i="3" s="1"/>
  <c r="AK34" i="3"/>
  <c r="AD34" i="3"/>
  <c r="Z34" i="3"/>
  <c r="BJ33" i="3"/>
  <c r="BH33" i="3"/>
  <c r="BF33" i="3"/>
  <c r="BE33" i="3"/>
  <c r="BI33" i="3" s="1"/>
  <c r="BA33" i="3"/>
  <c r="AT33" i="3"/>
  <c r="AR33" i="3"/>
  <c r="AP33" i="3"/>
  <c r="AO33" i="3"/>
  <c r="AS33" i="3" s="1"/>
  <c r="AK33" i="3"/>
  <c r="AD33" i="3"/>
  <c r="Z33" i="3"/>
  <c r="BJ32" i="3"/>
  <c r="BH32" i="3"/>
  <c r="BF32" i="3"/>
  <c r="BE32" i="3"/>
  <c r="BA32" i="3"/>
  <c r="AT32" i="3"/>
  <c r="AR32" i="3"/>
  <c r="AP32" i="3"/>
  <c r="AO32" i="3"/>
  <c r="AQ32" i="3" s="1"/>
  <c r="AK32" i="3"/>
  <c r="AD32" i="3"/>
  <c r="Z32" i="3"/>
  <c r="BJ31" i="3"/>
  <c r="BH31" i="3"/>
  <c r="BF31" i="3"/>
  <c r="BE31" i="3"/>
  <c r="BG31" i="3" s="1"/>
  <c r="BA31" i="3"/>
  <c r="AT31" i="3"/>
  <c r="AR31" i="3"/>
  <c r="AP31" i="3"/>
  <c r="AO31" i="3"/>
  <c r="AS31" i="3" s="1"/>
  <c r="AK31" i="3"/>
  <c r="AD31" i="3"/>
  <c r="Z31" i="3"/>
  <c r="BJ30" i="3"/>
  <c r="BH30" i="3"/>
  <c r="BF30" i="3"/>
  <c r="BE30" i="3"/>
  <c r="BI30" i="3" s="1"/>
  <c r="BA30" i="3"/>
  <c r="AT30" i="3"/>
  <c r="AR30" i="3"/>
  <c r="AP30" i="3"/>
  <c r="AO30" i="3"/>
  <c r="AS30" i="3" s="1"/>
  <c r="AK30" i="3"/>
  <c r="AD30" i="3"/>
  <c r="Z30" i="3"/>
  <c r="BJ29" i="3"/>
  <c r="BH29" i="3"/>
  <c r="BF29" i="3"/>
  <c r="BE29" i="3"/>
  <c r="BA29" i="3"/>
  <c r="AT29" i="3"/>
  <c r="AR29" i="3"/>
  <c r="AP29" i="3"/>
  <c r="AO29" i="3"/>
  <c r="AQ29" i="3" s="1"/>
  <c r="AK29" i="3"/>
  <c r="AD29" i="3"/>
  <c r="Z29" i="3"/>
  <c r="BJ28" i="3"/>
  <c r="BH28" i="3"/>
  <c r="BF28" i="3"/>
  <c r="BE28" i="3"/>
  <c r="BI28" i="3" s="1"/>
  <c r="BA28" i="3"/>
  <c r="AT28" i="3"/>
  <c r="AR28" i="3"/>
  <c r="AP28" i="3"/>
  <c r="AO28" i="3"/>
  <c r="AS28" i="3" s="1"/>
  <c r="AK28" i="3"/>
  <c r="AD28" i="3"/>
  <c r="Z28" i="3"/>
  <c r="BJ27" i="3"/>
  <c r="BH27" i="3"/>
  <c r="BF27" i="3"/>
  <c r="BE27" i="3"/>
  <c r="BG27" i="3" s="1"/>
  <c r="BA27" i="3"/>
  <c r="AT27" i="3"/>
  <c r="AR27" i="3"/>
  <c r="AP27" i="3"/>
  <c r="AO27" i="3"/>
  <c r="AS27" i="3" s="1"/>
  <c r="AK27" i="3"/>
  <c r="AD27" i="3"/>
  <c r="Z27" i="3"/>
  <c r="BJ26" i="3"/>
  <c r="BH26" i="3"/>
  <c r="BF26" i="3"/>
  <c r="BE26" i="3"/>
  <c r="BA26" i="3"/>
  <c r="AT26" i="3"/>
  <c r="AR26" i="3"/>
  <c r="AP26" i="3"/>
  <c r="AO26" i="3"/>
  <c r="AQ26" i="3" s="1"/>
  <c r="AK26" i="3"/>
  <c r="AD26" i="3"/>
  <c r="Z26" i="3"/>
  <c r="BJ25" i="3"/>
  <c r="BH25" i="3"/>
  <c r="BF25" i="3"/>
  <c r="BE25" i="3"/>
  <c r="BI25" i="3" s="1"/>
  <c r="BA25" i="3"/>
  <c r="AT25" i="3"/>
  <c r="AR25" i="3"/>
  <c r="AP25" i="3"/>
  <c r="AO25" i="3"/>
  <c r="AS25" i="3" s="1"/>
  <c r="AK25" i="3"/>
  <c r="AD25" i="3"/>
  <c r="Z25" i="3"/>
  <c r="BJ24" i="3"/>
  <c r="BH24" i="3"/>
  <c r="BF24" i="3"/>
  <c r="BE24" i="3"/>
  <c r="BI24" i="3" s="1"/>
  <c r="BA24" i="3"/>
  <c r="AT24" i="3"/>
  <c r="AR24" i="3"/>
  <c r="AP24" i="3"/>
  <c r="AO24" i="3"/>
  <c r="AS24" i="3" s="1"/>
  <c r="AK24" i="3"/>
  <c r="AD24" i="3"/>
  <c r="Z24" i="3"/>
  <c r="BJ23" i="3"/>
  <c r="BH23" i="3"/>
  <c r="BF23" i="3"/>
  <c r="BE23" i="3"/>
  <c r="BA23" i="3"/>
  <c r="AT23" i="3"/>
  <c r="AR23" i="3"/>
  <c r="AP23" i="3"/>
  <c r="AO23" i="3"/>
  <c r="AQ23" i="3" s="1"/>
  <c r="AK23" i="3"/>
  <c r="AD23" i="3"/>
  <c r="Z23" i="3"/>
  <c r="BJ22" i="3"/>
  <c r="BH22" i="3"/>
  <c r="BF22" i="3"/>
  <c r="BE22" i="3"/>
  <c r="BG22" i="3" s="1"/>
  <c r="BA22" i="3"/>
  <c r="AT22" i="3"/>
  <c r="AR22" i="3"/>
  <c r="AP22" i="3"/>
  <c r="AO22" i="3"/>
  <c r="AQ22" i="3" s="1"/>
  <c r="AK22" i="3"/>
  <c r="AD22" i="3"/>
  <c r="Z22" i="3"/>
  <c r="BJ21" i="3"/>
  <c r="BH21" i="3"/>
  <c r="BF21" i="3"/>
  <c r="BE21" i="3"/>
  <c r="BI21" i="3" s="1"/>
  <c r="BA21" i="3"/>
  <c r="AT21" i="3"/>
  <c r="AR21" i="3"/>
  <c r="AP21" i="3"/>
  <c r="AO21" i="3"/>
  <c r="AS21" i="3" s="1"/>
  <c r="AK21" i="3"/>
  <c r="AD21" i="3"/>
  <c r="Z21" i="3"/>
  <c r="BJ20" i="3"/>
  <c r="BH20" i="3"/>
  <c r="BF20" i="3"/>
  <c r="BE20" i="3"/>
  <c r="BA20" i="3"/>
  <c r="AT20" i="3"/>
  <c r="AR20" i="3"/>
  <c r="AP20" i="3"/>
  <c r="AO20" i="3"/>
  <c r="AQ20" i="3" s="1"/>
  <c r="AK20" i="3"/>
  <c r="AD20" i="3"/>
  <c r="Z20" i="3"/>
  <c r="BJ19" i="3"/>
  <c r="BH19" i="3"/>
  <c r="BF19" i="3"/>
  <c r="BE19" i="3"/>
  <c r="BI19" i="3" s="1"/>
  <c r="BA19" i="3"/>
  <c r="AT19" i="3"/>
  <c r="AR19" i="3"/>
  <c r="AP19" i="3"/>
  <c r="AO19" i="3"/>
  <c r="AQ19" i="3" s="1"/>
  <c r="AK19" i="3"/>
  <c r="AD19" i="3"/>
  <c r="Z19" i="3"/>
  <c r="BJ18" i="3"/>
  <c r="BH18" i="3"/>
  <c r="BF18" i="3"/>
  <c r="BE18" i="3"/>
  <c r="BG18" i="3" s="1"/>
  <c r="BA18" i="3"/>
  <c r="AT18" i="3"/>
  <c r="AR18" i="3"/>
  <c r="AP18" i="3"/>
  <c r="AO18" i="3"/>
  <c r="AS18" i="3" s="1"/>
  <c r="AK18" i="3"/>
  <c r="AD18" i="3"/>
  <c r="Z18" i="3"/>
  <c r="BJ17" i="3"/>
  <c r="BH17" i="3"/>
  <c r="BF17" i="3"/>
  <c r="BE17" i="3"/>
  <c r="BA17" i="3"/>
  <c r="AT17" i="3"/>
  <c r="AR17" i="3"/>
  <c r="AP17" i="3"/>
  <c r="AO17" i="3"/>
  <c r="AQ17" i="3" s="1"/>
  <c r="AK17" i="3"/>
  <c r="AD17" i="3"/>
  <c r="Z17" i="3"/>
  <c r="BJ16" i="3"/>
  <c r="BH16" i="3"/>
  <c r="BF16" i="3"/>
  <c r="BE16" i="3"/>
  <c r="BG16" i="3" s="1"/>
  <c r="BA16" i="3"/>
  <c r="AT16" i="3"/>
  <c r="AR16" i="3"/>
  <c r="AP16" i="3"/>
  <c r="AO16" i="3"/>
  <c r="AS16" i="3" s="1"/>
  <c r="AK16" i="3"/>
  <c r="AD16" i="3"/>
  <c r="Z16" i="3"/>
  <c r="BJ15" i="3"/>
  <c r="BH15" i="3"/>
  <c r="BF15" i="3"/>
  <c r="BE15" i="3"/>
  <c r="BG15" i="3" s="1"/>
  <c r="BA15" i="3"/>
  <c r="AT15" i="3"/>
  <c r="AR15" i="3"/>
  <c r="AP15" i="3"/>
  <c r="AO15" i="3"/>
  <c r="AS15" i="3" s="1"/>
  <c r="AK15" i="3"/>
  <c r="AD15" i="3"/>
  <c r="Z15" i="3"/>
  <c r="BJ14" i="3"/>
  <c r="BH14" i="3"/>
  <c r="BF14" i="3"/>
  <c r="BE14" i="3"/>
  <c r="BA14" i="3"/>
  <c r="AT14" i="3"/>
  <c r="AR14" i="3"/>
  <c r="AP14" i="3"/>
  <c r="AO14" i="3"/>
  <c r="AQ14" i="3" s="1"/>
  <c r="AK14" i="3"/>
  <c r="AD14" i="3"/>
  <c r="Z14" i="3"/>
  <c r="BJ13" i="3"/>
  <c r="BH13" i="3"/>
  <c r="BF13" i="3"/>
  <c r="BE13" i="3"/>
  <c r="BG13" i="3" s="1"/>
  <c r="BA13" i="3"/>
  <c r="AT13" i="3"/>
  <c r="AR13" i="3"/>
  <c r="AP13" i="3"/>
  <c r="AO13" i="3"/>
  <c r="AQ13" i="3" s="1"/>
  <c r="AK13" i="3"/>
  <c r="AD13" i="3"/>
  <c r="Z13" i="3"/>
  <c r="BJ12" i="3"/>
  <c r="BH12" i="3"/>
  <c r="BF12" i="3"/>
  <c r="BE12" i="3"/>
  <c r="BI12" i="3" s="1"/>
  <c r="BA12" i="3"/>
  <c r="AT12" i="3"/>
  <c r="AR12" i="3"/>
  <c r="AP12" i="3"/>
  <c r="AO12" i="3"/>
  <c r="AS12" i="3" s="1"/>
  <c r="AK12" i="3"/>
  <c r="AD12" i="3"/>
  <c r="Z12" i="3"/>
  <c r="BJ11" i="3"/>
  <c r="BH11" i="3"/>
  <c r="BF11" i="3"/>
  <c r="BE11" i="3"/>
  <c r="BA11" i="3"/>
  <c r="AT11" i="3"/>
  <c r="AR11" i="3"/>
  <c r="AP11" i="3"/>
  <c r="AO11" i="3"/>
  <c r="AQ11" i="3" s="1"/>
  <c r="AK11" i="3"/>
  <c r="AD11" i="3"/>
  <c r="Z11" i="3"/>
  <c r="BJ10" i="3"/>
  <c r="BH10" i="3"/>
  <c r="BF10" i="3"/>
  <c r="BE10" i="3"/>
  <c r="BI10" i="3" s="1"/>
  <c r="BA10" i="3"/>
  <c r="AT10" i="3"/>
  <c r="AR10" i="3"/>
  <c r="AP10" i="3"/>
  <c r="AO10" i="3"/>
  <c r="AK10" i="3"/>
  <c r="AD10" i="3"/>
  <c r="Z10" i="3"/>
  <c r="BJ9" i="3"/>
  <c r="BH9" i="3"/>
  <c r="BF9" i="3"/>
  <c r="BE9" i="3"/>
  <c r="BI9" i="3" s="1"/>
  <c r="BA9" i="3"/>
  <c r="AT9" i="3"/>
  <c r="AR9" i="3"/>
  <c r="AP9" i="3"/>
  <c r="AO9" i="3"/>
  <c r="AS9" i="3" s="1"/>
  <c r="AK9" i="3"/>
  <c r="AD9" i="3"/>
  <c r="Z9" i="3"/>
  <c r="BJ8" i="3"/>
  <c r="BH8" i="3"/>
  <c r="BF8" i="3"/>
  <c r="BE8" i="3"/>
  <c r="BA8" i="3"/>
  <c r="AT8" i="3"/>
  <c r="AR8" i="3"/>
  <c r="AP8" i="3"/>
  <c r="AO8" i="3"/>
  <c r="AQ8" i="3" s="1"/>
  <c r="AK8" i="3"/>
  <c r="AD8" i="3"/>
  <c r="Z8" i="3"/>
  <c r="BJ7" i="3"/>
  <c r="BH7" i="3"/>
  <c r="BF7" i="3"/>
  <c r="BE7" i="3"/>
  <c r="BI7" i="3" s="1"/>
  <c r="BA7" i="3"/>
  <c r="AT7" i="3"/>
  <c r="AR7" i="3"/>
  <c r="AP7" i="3"/>
  <c r="AO7" i="3"/>
  <c r="AK7" i="3"/>
  <c r="AD7" i="3"/>
  <c r="Z7" i="3"/>
  <c r="BJ6" i="3"/>
  <c r="BH6" i="3"/>
  <c r="BF6" i="3"/>
  <c r="BE6" i="3"/>
  <c r="BG6" i="3" s="1"/>
  <c r="BA6" i="3"/>
  <c r="AT6" i="3"/>
  <c r="AR6" i="3"/>
  <c r="AP6" i="3"/>
  <c r="AO6" i="3"/>
  <c r="AS6" i="3" s="1"/>
  <c r="AK6" i="3"/>
  <c r="AD6" i="3"/>
  <c r="Z6" i="3"/>
  <c r="BJ5" i="3"/>
  <c r="BH5" i="3"/>
  <c r="BF5" i="3"/>
  <c r="BE5" i="3"/>
  <c r="BA5" i="3"/>
  <c r="AT5" i="3"/>
  <c r="AR5" i="3"/>
  <c r="AP5" i="3"/>
  <c r="AO5" i="3"/>
  <c r="AQ5" i="3" s="1"/>
  <c r="AK5" i="3"/>
  <c r="AD5" i="3"/>
  <c r="Z5" i="3"/>
  <c r="BJ4" i="3"/>
  <c r="BH4" i="3"/>
  <c r="BF4" i="3"/>
  <c r="BE4" i="3"/>
  <c r="BG4" i="3" s="1"/>
  <c r="BA4" i="3"/>
  <c r="AT4" i="3"/>
  <c r="AR4" i="3"/>
  <c r="AP4" i="3"/>
  <c r="AO4" i="3"/>
  <c r="AK4" i="3"/>
  <c r="AD4" i="3"/>
  <c r="Z4" i="3"/>
  <c r="BJ3" i="3"/>
  <c r="BH3" i="3"/>
  <c r="BF3" i="3"/>
  <c r="BE3" i="3"/>
  <c r="BG3" i="3" s="1"/>
  <c r="BA3" i="3"/>
  <c r="AT3" i="3"/>
  <c r="AR3" i="3"/>
  <c r="AP3" i="3"/>
  <c r="AO3" i="3"/>
  <c r="AQ3" i="3" s="1"/>
  <c r="AK3" i="3"/>
  <c r="AD3" i="3"/>
  <c r="Z3" i="3"/>
  <c r="BJ2" i="3"/>
  <c r="BH2" i="3"/>
  <c r="BF2" i="3"/>
  <c r="BE2" i="3"/>
  <c r="BA2" i="3"/>
  <c r="AT2" i="3"/>
  <c r="AR2" i="3"/>
  <c r="AP2" i="3"/>
  <c r="AO2" i="3"/>
  <c r="AQ2" i="3" s="1"/>
  <c r="AK2" i="3"/>
  <c r="AD2" i="3"/>
  <c r="Z2" i="3"/>
  <c r="V77" i="2"/>
  <c r="AC77" i="2" s="1"/>
  <c r="V76" i="2"/>
  <c r="AC76" i="2" s="1"/>
  <c r="V75" i="2"/>
  <c r="AC75" i="2" s="1"/>
  <c r="V74" i="2"/>
  <c r="AC74" i="2" s="1"/>
  <c r="V73" i="2"/>
  <c r="AC73" i="2" s="1"/>
  <c r="V72" i="2"/>
  <c r="AC72" i="2" s="1"/>
  <c r="V71" i="2"/>
  <c r="AC71" i="2" s="1"/>
  <c r="V70" i="2"/>
  <c r="AC70" i="2" s="1"/>
  <c r="V69" i="2"/>
  <c r="AC69" i="2" s="1"/>
  <c r="V68" i="2"/>
  <c r="AC68" i="2" s="1"/>
  <c r="V67" i="2"/>
  <c r="AC67" i="2" s="1"/>
  <c r="V66" i="2"/>
  <c r="AC66" i="2" s="1"/>
  <c r="V65" i="2"/>
  <c r="AC65" i="2" s="1"/>
  <c r="V64" i="2"/>
  <c r="AC64" i="2" s="1"/>
  <c r="V63" i="2"/>
  <c r="AC63" i="2" s="1"/>
  <c r="V62" i="2"/>
  <c r="AC62" i="2" s="1"/>
  <c r="V61" i="2"/>
  <c r="AC61" i="2" s="1"/>
  <c r="V60" i="2"/>
  <c r="AC60" i="2" s="1"/>
  <c r="V59" i="2"/>
  <c r="AC59" i="2" s="1"/>
  <c r="V58" i="2"/>
  <c r="AC58" i="2" s="1"/>
  <c r="V56" i="2"/>
  <c r="AC56" i="2" s="1"/>
  <c r="V55" i="2"/>
  <c r="AC55" i="2" s="1"/>
  <c r="V53" i="2"/>
  <c r="AC53" i="2" s="1"/>
  <c r="V52" i="2"/>
  <c r="AC52" i="2" s="1"/>
  <c r="V51" i="2"/>
  <c r="AC51" i="2" s="1"/>
  <c r="V49" i="2"/>
  <c r="AC49" i="2" s="1"/>
  <c r="V48" i="2"/>
  <c r="AC48" i="2" s="1"/>
  <c r="V47" i="2"/>
  <c r="AC47" i="2" s="1"/>
  <c r="V46" i="2"/>
  <c r="AC46" i="2" s="1"/>
  <c r="V45" i="2"/>
  <c r="AC45" i="2" s="1"/>
  <c r="V44" i="2"/>
  <c r="AC44" i="2" s="1"/>
  <c r="V43" i="2"/>
  <c r="AC43" i="2" s="1"/>
  <c r="V42" i="2"/>
  <c r="AC42" i="2" s="1"/>
  <c r="V41" i="2"/>
  <c r="AC41" i="2" s="1"/>
  <c r="V40" i="2"/>
  <c r="AC40" i="2" s="1"/>
  <c r="V39" i="2"/>
  <c r="AC39" i="2" s="1"/>
  <c r="V38" i="2"/>
  <c r="AC38" i="2" s="1"/>
  <c r="V37" i="2"/>
  <c r="AC37" i="2" s="1"/>
  <c r="V35" i="2"/>
  <c r="AC35" i="2" s="1"/>
  <c r="V33" i="2"/>
  <c r="AC33" i="2" s="1"/>
  <c r="V28" i="2"/>
  <c r="AC28" i="2" s="1"/>
  <c r="V25" i="2"/>
  <c r="AC25" i="2" s="1"/>
  <c r="V22" i="2"/>
  <c r="AC22" i="2" s="1"/>
  <c r="V21" i="2"/>
  <c r="AC21" i="2" s="1"/>
  <c r="V19" i="2"/>
  <c r="AC19" i="2" s="1"/>
  <c r="V18" i="2"/>
  <c r="AC18" i="2" s="1"/>
  <c r="V17" i="2"/>
  <c r="AC17" i="2" s="1"/>
  <c r="V14" i="2"/>
  <c r="AC14" i="2" s="1"/>
  <c r="V13" i="2"/>
  <c r="AC13" i="2" s="1"/>
  <c r="V12" i="2"/>
  <c r="AC12" i="2" s="1"/>
  <c r="V11" i="2"/>
  <c r="AC11" i="2" s="1"/>
  <c r="V9" i="2"/>
  <c r="AC9" i="2" s="1"/>
  <c r="V8" i="2"/>
  <c r="AC8" i="2" s="1"/>
  <c r="V7" i="2"/>
  <c r="AC7" i="2" s="1"/>
  <c r="V6" i="2"/>
  <c r="AC6" i="2" s="1"/>
  <c r="V5" i="2"/>
  <c r="AC5" i="2" s="1"/>
  <c r="V3" i="2"/>
  <c r="AC3" i="2" s="1"/>
  <c r="V2" i="2"/>
  <c r="AC2" i="2" s="1"/>
  <c r="P11" i="1"/>
  <c r="O11" i="1"/>
  <c r="N11" i="1"/>
  <c r="P10" i="1"/>
  <c r="O10" i="1"/>
  <c r="N10" i="1"/>
  <c r="R10" i="1" s="1"/>
  <c r="P9" i="1"/>
  <c r="O9" i="1"/>
  <c r="N9" i="1"/>
  <c r="R9" i="1" s="1"/>
  <c r="P8" i="1"/>
  <c r="O8" i="1"/>
  <c r="N8" i="1"/>
  <c r="R8" i="1" s="1"/>
  <c r="P7" i="1"/>
  <c r="O7" i="1"/>
  <c r="N7" i="1"/>
  <c r="Q7" i="1" s="1"/>
  <c r="P6" i="1"/>
  <c r="O6" i="1"/>
  <c r="N6" i="1"/>
  <c r="P5" i="1"/>
  <c r="O5" i="1"/>
  <c r="N5" i="1"/>
  <c r="R5" i="1" s="1"/>
  <c r="P4" i="1"/>
  <c r="O4" i="1"/>
  <c r="N4" i="1"/>
  <c r="Q4" i="1" s="1"/>
  <c r="P3" i="1"/>
  <c r="O3" i="1"/>
  <c r="N3" i="1"/>
  <c r="R3" i="1" s="1"/>
  <c r="P2" i="1"/>
  <c r="O2" i="1"/>
  <c r="N2" i="1"/>
  <c r="R2" i="1" s="1"/>
  <c r="AG2" i="7" l="1"/>
  <c r="AG18" i="7"/>
  <c r="AG24" i="7"/>
  <c r="AG22" i="7"/>
  <c r="AG8" i="7"/>
  <c r="AG19" i="7"/>
  <c r="AG9" i="7"/>
  <c r="AG11" i="7"/>
  <c r="AG6" i="7"/>
  <c r="AG3" i="7"/>
  <c r="AG13" i="7"/>
  <c r="BI57" i="3"/>
  <c r="AH26" i="6"/>
  <c r="AG15" i="7"/>
  <c r="AH17" i="6"/>
  <c r="AG10" i="7"/>
  <c r="AG5" i="7"/>
  <c r="BI27" i="3"/>
  <c r="BG28" i="3"/>
  <c r="AS38" i="3"/>
  <c r="AS17" i="3"/>
  <c r="BI34" i="3"/>
  <c r="BG36" i="3"/>
  <c r="BI6" i="3"/>
  <c r="BI13" i="3"/>
  <c r="BI42" i="3"/>
  <c r="BG43" i="3"/>
  <c r="BG7" i="3"/>
  <c r="BG21" i="3"/>
  <c r="AH11" i="6"/>
  <c r="AS59" i="3"/>
  <c r="AS53" i="3"/>
  <c r="AS3" i="3"/>
  <c r="BI49" i="3"/>
  <c r="AG17" i="7"/>
  <c r="AS23" i="3"/>
  <c r="BG58" i="3"/>
  <c r="AF2" i="6"/>
  <c r="BG30" i="3"/>
  <c r="AS32" i="3"/>
  <c r="BG37" i="3"/>
  <c r="Q10" i="1"/>
  <c r="BG9" i="3"/>
  <c r="AS11" i="3"/>
  <c r="BI15" i="3"/>
  <c r="BI22" i="3"/>
  <c r="BI51" i="3"/>
  <c r="AF8" i="6"/>
  <c r="AS5" i="3"/>
  <c r="BG10" i="3"/>
  <c r="BI16" i="3"/>
  <c r="BI45" i="3"/>
  <c r="BI52" i="3"/>
  <c r="AF14" i="6"/>
  <c r="BG25" i="3"/>
  <c r="BI31" i="3"/>
  <c r="BG54" i="3"/>
  <c r="AS56" i="3"/>
  <c r="BI3" i="3"/>
  <c r="BG33" i="3"/>
  <c r="AS35" i="3"/>
  <c r="BG40" i="3"/>
  <c r="BI46" i="3"/>
  <c r="AF20" i="6"/>
  <c r="BI18" i="3"/>
  <c r="AF5" i="6"/>
  <c r="Q5" i="1"/>
  <c r="BI4" i="3"/>
  <c r="AS29" i="3"/>
  <c r="AF23" i="6"/>
  <c r="AS47" i="3"/>
  <c r="BG24" i="3"/>
  <c r="AS26" i="3"/>
  <c r="R7" i="1"/>
  <c r="BG39" i="3"/>
  <c r="AS41" i="3"/>
  <c r="AS20" i="3"/>
  <c r="BG12" i="3"/>
  <c r="AS14" i="3"/>
  <c r="BG19" i="3"/>
  <c r="BG48" i="3"/>
  <c r="AS50" i="3"/>
  <c r="BG55" i="3"/>
  <c r="AS2" i="3"/>
  <c r="AS8" i="3"/>
  <c r="AS44" i="3"/>
  <c r="AG14" i="7"/>
  <c r="AH13" i="6"/>
  <c r="AF13" i="6"/>
  <c r="AQ4" i="3"/>
  <c r="AS4" i="3"/>
  <c r="AQ39" i="3"/>
  <c r="AQ45" i="3"/>
  <c r="AH19" i="6"/>
  <c r="AF19" i="6"/>
  <c r="Q8" i="1"/>
  <c r="BG14" i="3"/>
  <c r="BI14" i="3"/>
  <c r="BG32" i="3"/>
  <c r="BI32" i="3"/>
  <c r="AF25" i="6"/>
  <c r="AH25" i="6"/>
  <c r="AF28" i="6"/>
  <c r="AH28" i="6"/>
  <c r="AQ9" i="3"/>
  <c r="AQ15" i="3"/>
  <c r="AQ21" i="3"/>
  <c r="AQ27" i="3"/>
  <c r="AQ51" i="3"/>
  <c r="BG2" i="3"/>
  <c r="BI2" i="3"/>
  <c r="AS10" i="3"/>
  <c r="AQ10" i="3"/>
  <c r="BG20" i="3"/>
  <c r="BI20" i="3"/>
  <c r="BG50" i="3"/>
  <c r="BI50" i="3"/>
  <c r="BG56" i="3"/>
  <c r="BI56" i="3"/>
  <c r="AF10" i="6"/>
  <c r="AH10" i="6"/>
  <c r="AQ6" i="3"/>
  <c r="AQ57" i="3"/>
  <c r="AQ12" i="3"/>
  <c r="AQ18" i="3"/>
  <c r="AQ24" i="3"/>
  <c r="AQ30" i="3"/>
  <c r="AQ36" i="3"/>
  <c r="AQ42" i="3"/>
  <c r="AQ48" i="3"/>
  <c r="AQ54" i="3"/>
  <c r="AH16" i="6"/>
  <c r="AF16" i="6"/>
  <c r="Q3" i="1"/>
  <c r="AQ7" i="3"/>
  <c r="AS7" i="3"/>
  <c r="R11" i="1"/>
  <c r="Q11" i="1"/>
  <c r="AQ33" i="3"/>
  <c r="AH4" i="6"/>
  <c r="AF4" i="6"/>
  <c r="BG8" i="3"/>
  <c r="BI8" i="3"/>
  <c r="BG26" i="3"/>
  <c r="BI26" i="3"/>
  <c r="BG38" i="3"/>
  <c r="BI38" i="3"/>
  <c r="BG44" i="3"/>
  <c r="BI44" i="3"/>
  <c r="Q6" i="1"/>
  <c r="R6" i="1"/>
  <c r="BG5" i="3"/>
  <c r="BI5" i="3"/>
  <c r="AH22" i="6"/>
  <c r="AF22" i="6"/>
  <c r="BG11" i="3"/>
  <c r="BI11" i="3"/>
  <c r="BG17" i="3"/>
  <c r="BI17" i="3"/>
  <c r="BG23" i="3"/>
  <c r="BI23" i="3"/>
  <c r="BG29" i="3"/>
  <c r="BI29" i="3"/>
  <c r="BG35" i="3"/>
  <c r="BI35" i="3"/>
  <c r="BG41" i="3"/>
  <c r="BI41" i="3"/>
  <c r="BG47" i="3"/>
  <c r="BI47" i="3"/>
  <c r="BG53" i="3"/>
  <c r="BI53" i="3"/>
  <c r="BG59" i="3"/>
  <c r="BI59" i="3"/>
  <c r="AF7" i="6"/>
  <c r="AH7" i="6"/>
  <c r="AG23" i="7"/>
  <c r="AQ16" i="3"/>
  <c r="AQ25" i="3"/>
  <c r="AQ28" i="3"/>
  <c r="AQ37" i="3"/>
  <c r="AQ46" i="3"/>
  <c r="AS43" i="3"/>
  <c r="AS49" i="3"/>
  <c r="AS52" i="3"/>
  <c r="AS55" i="3"/>
  <c r="AS58" i="3"/>
  <c r="AF3" i="6"/>
  <c r="AF6" i="6"/>
  <c r="AF12" i="6"/>
  <c r="AF15" i="6"/>
  <c r="AF18" i="6"/>
  <c r="AF24" i="6"/>
  <c r="AF27" i="6"/>
  <c r="R4" i="1"/>
  <c r="Q9" i="1"/>
  <c r="AQ31" i="3"/>
  <c r="AS13" i="3"/>
  <c r="AS19" i="3"/>
  <c r="AS22" i="3"/>
  <c r="AS34" i="3"/>
  <c r="AS40" i="3"/>
  <c r="AF9" i="6"/>
  <c r="AF21" i="6"/>
  <c r="Q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Pré-alerte avant arrivée. Un Delivery Plan peut être lié à plusieurs Truck Receptions. Le camion peut aussi être reçu sans Delivery Plan.</t>
        </r>
      </text>
    </comment>
    <comment ref="M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Les plans sont reconstruits pour illustrer le fonctionnement de l’application en 2026. CANCELLED reste visible pour montrer le traitement des exceptions.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OpenAI</author>
  </authors>
  <commentList>
    <comment ref="A1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Leave this blank to add a new row. For an existing row, keep it as it is.</t>
        </r>
      </text>
    </comment>
    <comment ref="T1" authorId="1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La source historique 2026 ne stocke pas le Tare truck séparément. Ne pas le reconstruire artificiellement. Dans la future application: Net Weight = Gross Weight - Tare Weight.</t>
        </r>
      </text>
    </comment>
    <comment ref="AD1" authorId="1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GRN Quantity = quantité officiellement reconnue comme entrée en stock. Elle reste distincte du Paid Weight. Dans cette vue 2026, elle est alignée sur le Net Weight des réceptions acceptées.</t>
        </r>
      </text>
    </comment>
    <comment ref="AJ1" authorId="1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Facultatif. Un camion peut être créé même si aucun Delivery Plan n’existe.</t>
        </r>
      </text>
    </comment>
    <comment ref="AN1" authorId="1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PLANNED FROM START / NOT PLANNED / TO BE LINKED-REGULARIZED. Ce champ remplace le simple oui/non Linked to Plan Later.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OpenAI</author>
  </authors>
  <commentList>
    <comment ref="A1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Leave this blank to add a new row. For an existing row, keep it as it is.</t>
        </r>
      </text>
    </comment>
    <comment ref="AC1" authorId="1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GRN Quantity = quantité officiellement reconnue comme reçue en stock. Elle n’est pas le Paid Weight.</t>
        </r>
      </text>
    </comment>
    <comment ref="AP1" authorId="1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KOR calculé automatiquement si Good Kernel, Immature et Spotted sont disponibles: [GK + 0.5×(Immature+Spotted)]×0.17637.</t>
        </r>
      </text>
    </comment>
    <comment ref="BF1" authorId="1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Même logique de calcul automatique pour la qualité finale lorsque les composantes de coupe sont saisies.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OpenAI</author>
  </authors>
  <commentList>
    <comment ref="A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Leave this blank to add a new row. For an existing row, keep it as it is.</t>
        </r>
      </text>
    </comment>
    <comment ref="AG1" authorId="1" shapeId="0" xr:uid="{00000000-0006-0000-0300-000002000000}">
      <text>
        <r>
          <rPr>
            <sz val="11"/>
            <color theme="1"/>
            <rFont val="Calibri"/>
            <family val="2"/>
            <scheme val="minor"/>
          </rPr>
          <t>KOR calculé automatiquement à partir des composantes de coupe lorsque Good Kernel, Immature et Spotted existent. Sinon, la valeur historique est reprise.</t>
        </r>
      </text>
    </comment>
    <comment ref="AZ1" authorId="1" shapeId="0" xr:uid="{00000000-0006-0000-0300-000003000000}">
      <text>
        <r>
          <rPr>
            <sz val="11"/>
            <color theme="1"/>
            <rFont val="Calibri"/>
            <family val="2"/>
            <scheme val="minor"/>
          </rPr>
          <t>Valeur KOR enregistrée dans le fichier historique 2026, conservée pour comparaison avec le calcul automatique.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Leave this blank to add a new row. For an existing row, keep it as it is.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OpenAI</author>
  </authors>
  <commentList>
    <comment ref="A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Leave this blank to add a new row. For an existing row, keep it as it is.</t>
        </r>
      </text>
    </comment>
    <comment ref="AE1" authorId="1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KOR calculé automatiquement: [Good Kernel + 0.5×(Immature+Spotted)]×0.17637.</t>
        </r>
      </text>
    </comment>
    <comment ref="AM1" authorId="1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KOR historique conservé pour contrôler le calcul automatique. Les colonnes Bags Received / Gross Weight at Yakro ont été retirées du Dispatch: elles appartiennent à la réception destination.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OpenAI</author>
  </authors>
  <commentList>
    <comment ref="A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Leave this blank to add a new row. For an existing row, keep it as it is.</t>
        </r>
      </text>
    </comment>
    <comment ref="Q1" authorId="1" shapeId="0" xr:uid="{00000000-0006-0000-0600-000002000000}">
      <text>
        <r>
          <rPr>
            <sz val="11"/>
            <color theme="1"/>
            <rFont val="Calibri"/>
            <family val="2"/>
            <scheme val="minor"/>
          </rPr>
          <t>Bags Received est saisi par Yamoussoukro / Factory à la réception. Il reste vide tant que le camion est en transit.</t>
        </r>
      </text>
    </comment>
    <comment ref="AG1" authorId="1" shapeId="0" xr:uid="{00000000-0006-0000-0600-000003000000}">
      <text>
        <r>
          <rPr>
            <sz val="11"/>
            <color theme="1"/>
            <rFont val="Calibri"/>
            <family val="2"/>
            <scheme val="minor"/>
          </rPr>
          <t>Statut système basé sur la réception destination et la réconciliation des écarts.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OpenAI</author>
  </authors>
  <commentList>
    <comment ref="A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Leave this blank to add a new row. For an existing row, keep it as it is.</t>
        </r>
      </text>
    </comment>
    <comment ref="L1" authorId="1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Balance calculé automatiquement: solde précédent + Bags Received - Bags Issued.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Leave this blank to add a new row. For an existing row, keep it as it is.</t>
        </r>
      </text>
    </comment>
  </commentList>
</comments>
</file>

<file path=xl/sharedStrings.xml><?xml version="1.0" encoding="utf-8"?>
<sst xmlns="http://schemas.openxmlformats.org/spreadsheetml/2006/main" count="4145" uniqueCount="1243">
  <si>
    <t>Delivery Plan ID</t>
  </si>
  <si>
    <t>Campaign</t>
  </si>
  <si>
    <t>Planning Date</t>
  </si>
  <si>
    <t>LBA Code</t>
  </si>
  <si>
    <t>Supplier Name</t>
  </si>
  <si>
    <t>Expected Origin</t>
  </si>
  <si>
    <t>Destination Warehouse</t>
  </si>
  <si>
    <t>Expected Delivery Start</t>
  </si>
  <si>
    <t>Expected Delivery End</t>
  </si>
  <si>
    <t>Expected Quantity (kg)</t>
  </si>
  <si>
    <t>Expected Trucks</t>
  </si>
  <si>
    <t>Purchase / Funding Reference</t>
  </si>
  <si>
    <t>Plan Status</t>
  </si>
  <si>
    <t>Actual Received Quantity (kg)</t>
  </si>
  <si>
    <t>Actual Arrivals</t>
  </si>
  <si>
    <t>Accepted Trucks</t>
  </si>
  <si>
    <t>Remaining Quantity (kg)</t>
  </si>
  <si>
    <t>Quantity Variance (kg)</t>
  </si>
  <si>
    <t>Planning Scenario</t>
  </si>
  <si>
    <t>Planning Basis</t>
  </si>
  <si>
    <t>DP-BKE-2026-001</t>
  </si>
  <si>
    <t>LBA-002-SCA</t>
  </si>
  <si>
    <t>VAVOUA</t>
  </si>
  <si>
    <t>BKE-003</t>
  </si>
  <si>
    <t>Not available in 2026 source</t>
  </si>
  <si>
    <t>DELIVERED</t>
  </si>
  <si>
    <t>NORMAL</t>
  </si>
  <si>
    <t>Reconstructed from 2026 actual receipts; Delivery Plan did not exist as a structured legacy field.</t>
  </si>
  <si>
    <t>DP-BKE-2026-002</t>
  </si>
  <si>
    <t>LBA-011-ASR</t>
  </si>
  <si>
    <t>MANKONO</t>
  </si>
  <si>
    <t>BKE-001</t>
  </si>
  <si>
    <t>EARLY DELIVERY</t>
  </si>
  <si>
    <t>DP-BKE-2026-003</t>
  </si>
  <si>
    <t>LBA-018-COP</t>
  </si>
  <si>
    <t>KATIOLA</t>
  </si>
  <si>
    <t>LATE DELIVERY</t>
  </si>
  <si>
    <t>DP-BKE-2026-004</t>
  </si>
  <si>
    <t>LBA-021-SAN</t>
  </si>
  <si>
    <t>ORIGIN MISMATCH</t>
  </si>
  <si>
    <t>DP-BKE-2026-005</t>
  </si>
  <si>
    <t>LBA-004-WEB</t>
  </si>
  <si>
    <t>DABAKALA</t>
  </si>
  <si>
    <t>WAREHOUSE CHANGE</t>
  </si>
  <si>
    <t>DP-BKE-2026-006</t>
  </si>
  <si>
    <t>LBA-010-CAP</t>
  </si>
  <si>
    <t>BOUAKE</t>
  </si>
  <si>
    <t>BKE-002</t>
  </si>
  <si>
    <t>PLAN EXCESS</t>
  </si>
  <si>
    <t>DP-BKE-2026-007</t>
  </si>
  <si>
    <t>LBA-003-HER</t>
  </si>
  <si>
    <t>NIAKARA</t>
  </si>
  <si>
    <t>CANCELLED</t>
  </si>
  <si>
    <t>CANCELLED PLAN ARRIVAL</t>
  </si>
  <si>
    <t>DP-BKE-2026-008</t>
  </si>
  <si>
    <t>LBA-015-OUM</t>
  </si>
  <si>
    <t>MULTI-TRUCK NORMAL</t>
  </si>
  <si>
    <t>DP-BKE-2026-009</t>
  </si>
  <si>
    <t>LBA-016-NOU</t>
  </si>
  <si>
    <t>DP-BKE-2026-010</t>
  </si>
  <si>
    <t>LBA-005-JAV</t>
  </si>
  <si>
    <t>Receipt ID</t>
  </si>
  <si>
    <t>Arrival Date</t>
  </si>
  <si>
    <t>Offloading Date</t>
  </si>
  <si>
    <t>Payment Type</t>
  </si>
  <si>
    <t>Warehouse Location</t>
  </si>
  <si>
    <t>Warehouse Code</t>
  </si>
  <si>
    <t>Supplier Code</t>
  </si>
  <si>
    <t>Truck No</t>
  </si>
  <si>
    <t>Fiche Code</t>
  </si>
  <si>
    <t>Fiche No</t>
  </si>
  <si>
    <t>Origin</t>
  </si>
  <si>
    <t>Moisture (%)</t>
  </si>
  <si>
    <t>Nut Count</t>
  </si>
  <si>
    <t>KOR</t>
  </si>
  <si>
    <t>Final KOR</t>
  </si>
  <si>
    <t>Quality Result</t>
  </si>
  <si>
    <t>Rejection Reason</t>
  </si>
  <si>
    <t>Gross Weight (kg)</t>
  </si>
  <si>
    <t>Tare Weight (kg)</t>
  </si>
  <si>
    <t>Net Weight (kg)</t>
  </si>
  <si>
    <t>Paid Weight (kg)</t>
  </si>
  <si>
    <t>Bags Count</t>
  </si>
  <si>
    <t>Good Bags</t>
  </si>
  <si>
    <t>Humid Bags</t>
  </si>
  <si>
    <t>Torn Bags</t>
  </si>
  <si>
    <t>Refraction (kg)</t>
  </si>
  <si>
    <t>Price (CFA/kg)</t>
  </si>
  <si>
    <t>Amount (CFA)</t>
  </si>
  <si>
    <t>GRN Quantity (kg)</t>
  </si>
  <si>
    <t>Lot No</t>
  </si>
  <si>
    <t>Bin No</t>
  </si>
  <si>
    <t>Remarks</t>
  </si>
  <si>
    <t>Week</t>
  </si>
  <si>
    <t>Planned Delivery?</t>
  </si>
  <si>
    <t>Reception Type</t>
  </si>
  <si>
    <t>Planning / Exception Flag</t>
  </si>
  <si>
    <t>Exception Approval Status</t>
  </si>
  <si>
    <t>Plan Link Status</t>
  </si>
  <si>
    <t>Receipt Status</t>
  </si>
  <si>
    <t>REC-BKE-2026-0001</t>
  </si>
  <si>
    <t>CREDIT</t>
  </si>
  <si>
    <t>LBA-006-IMA</t>
  </si>
  <si>
    <t>827KT01</t>
  </si>
  <si>
    <t>0401-0007</t>
  </si>
  <si>
    <t>DIANRA</t>
  </si>
  <si>
    <t>ACCEPTED</t>
  </si>
  <si>
    <t>LOT-BKE-2026-0001</t>
  </si>
  <si>
    <t>W-8 Feb</t>
  </si>
  <si>
    <t>NO</t>
  </si>
  <si>
    <t>UNPLANNED</t>
  </si>
  <si>
    <t>UNPLANNED - known LBA, no pre-alert</t>
  </si>
  <si>
    <t>APPROVED</t>
  </si>
  <si>
    <t>NOT PLANNED</t>
  </si>
  <si>
    <t>STOCKED</t>
  </si>
  <si>
    <t>REC-BKE-2026-0002</t>
  </si>
  <si>
    <t>LBA-007-CAS</t>
  </si>
  <si>
    <t>793LT03</t>
  </si>
  <si>
    <t>0429-0040</t>
  </si>
  <si>
    <t>LOT-BKE-2026-0002</t>
  </si>
  <si>
    <t>REC-BKE-2026-0003</t>
  </si>
  <si>
    <t>524LS01</t>
  </si>
  <si>
    <t>REJECTED</t>
  </si>
  <si>
    <t>REJECT</t>
  </si>
  <si>
    <t>UNPLANNED / QUALITY REJECTED</t>
  </si>
  <si>
    <t>N/A - REJECTED</t>
  </si>
  <si>
    <t>REC-BKE-2026-0004</t>
  </si>
  <si>
    <t>8287GH03</t>
  </si>
  <si>
    <t>0426-0187</t>
  </si>
  <si>
    <t>LOT-BKE-2026-0003</t>
  </si>
  <si>
    <t>BKE-002-BIN-004 / BKE-002-BIN-006</t>
  </si>
  <si>
    <t>YES</t>
  </si>
  <si>
    <t>PLANNED WITH EXCEPTION</t>
  </si>
  <si>
    <t>PLAN CANCELLED - ARRIVAL RECORDED; WAREHOUSE CHANGE</t>
  </si>
  <si>
    <t>PLANNED FROM START</t>
  </si>
  <si>
    <t>REC-BKE-2026-0005</t>
  </si>
  <si>
    <t>LBA-009-SCO</t>
  </si>
  <si>
    <t>338KX01</t>
  </si>
  <si>
    <t>0426-0203</t>
  </si>
  <si>
    <t>LOT-BKE-2026-0004</t>
  </si>
  <si>
    <t>REC-BKE-2026-0006</t>
  </si>
  <si>
    <t>LBA-013-DAG</t>
  </si>
  <si>
    <t>3633LZ04</t>
  </si>
  <si>
    <t>0425-0068</t>
  </si>
  <si>
    <t>LOT-BKE-2026-0005</t>
  </si>
  <si>
    <t>BKE-002-BIN-003</t>
  </si>
  <si>
    <t>REC-BKE-2026-0007</t>
  </si>
  <si>
    <t>LBA-014-BAY</t>
  </si>
  <si>
    <t>3509KJ01</t>
  </si>
  <si>
    <t>0426-0194</t>
  </si>
  <si>
    <t>LOT-BKE-2026-0006</t>
  </si>
  <si>
    <t>REC-BKE-2026-0008</t>
  </si>
  <si>
    <t>28JZ01</t>
  </si>
  <si>
    <t>0426-0347</t>
  </si>
  <si>
    <t>LOT-BKE-2026-0007</t>
  </si>
  <si>
    <t>REC-BKE-2026-0009</t>
  </si>
  <si>
    <t>AA398TS04</t>
  </si>
  <si>
    <t>EARLY DELIVERY; ORIGIN MISMATCH</t>
  </si>
  <si>
    <t>REC-BKE-2026-0010</t>
  </si>
  <si>
    <t>AA864JL01</t>
  </si>
  <si>
    <t>0419-0180</t>
  </si>
  <si>
    <t>LOT-BKE-2026-0008</t>
  </si>
  <si>
    <t>PLANNED</t>
  </si>
  <si>
    <t>ON PLAN</t>
  </si>
  <si>
    <t>NOT REQUIRED</t>
  </si>
  <si>
    <t>REC-BKE-2026-0011</t>
  </si>
  <si>
    <t>5176LG04</t>
  </si>
  <si>
    <t>0425-0212</t>
  </si>
  <si>
    <t>LOT-BKE-2026-0009</t>
  </si>
  <si>
    <t>REC-BKE-2026-0012</t>
  </si>
  <si>
    <t>AA562YL04</t>
  </si>
  <si>
    <t>0431-0277</t>
  </si>
  <si>
    <t>LOT-BKE-2026-0010</t>
  </si>
  <si>
    <t>REC-BKE-2026-0013</t>
  </si>
  <si>
    <t>2138HC01</t>
  </si>
  <si>
    <t>0426-0340</t>
  </si>
  <si>
    <t>LOT-BKE-2026-0011</t>
  </si>
  <si>
    <t>REC-BKE-2026-0014</t>
  </si>
  <si>
    <t>AA533NN</t>
  </si>
  <si>
    <t>KORHOGO</t>
  </si>
  <si>
    <t>REC-BKE-2026-0015</t>
  </si>
  <si>
    <t>913HB04</t>
  </si>
  <si>
    <t>KOUTO</t>
  </si>
  <si>
    <t>REC-BKE-2026-0016</t>
  </si>
  <si>
    <t>285LA01</t>
  </si>
  <si>
    <t>0429-0005</t>
  </si>
  <si>
    <t>LOT-BKE-2026-0012</t>
  </si>
  <si>
    <t>REC-BKE-2026-0017</t>
  </si>
  <si>
    <t>LBA-012-KPE</t>
  </si>
  <si>
    <t>AA057ER03</t>
  </si>
  <si>
    <t>0426-0365</t>
  </si>
  <si>
    <t>LOT-BKE-2026-0013</t>
  </si>
  <si>
    <t>REC-BKE-2026-0018</t>
  </si>
  <si>
    <t>LBA-008-COB</t>
  </si>
  <si>
    <t>2415CV03</t>
  </si>
  <si>
    <t>0420-0149</t>
  </si>
  <si>
    <t>LOT-BKE-2026-0014</t>
  </si>
  <si>
    <t>UNPLANNED - approval required at arrival</t>
  </si>
  <si>
    <t>TO BE LINKED / REGULARIZED</t>
  </si>
  <si>
    <t>REC-BKE-2026-0019</t>
  </si>
  <si>
    <t>9719FC01</t>
  </si>
  <si>
    <t>REC-BKE-2026-0020</t>
  </si>
  <si>
    <t>838LX01</t>
  </si>
  <si>
    <t>0425-0055</t>
  </si>
  <si>
    <t>LOT-BKE-2026-0015</t>
  </si>
  <si>
    <t>REC-BKE-2026-0021</t>
  </si>
  <si>
    <t>LBA-017-DPV</t>
  </si>
  <si>
    <t>32LA01</t>
  </si>
  <si>
    <t>0420-0251</t>
  </si>
  <si>
    <t>LOT-BKE-2026-0016</t>
  </si>
  <si>
    <t>REC-BKE-2026-0022</t>
  </si>
  <si>
    <t>6103GZ03</t>
  </si>
  <si>
    <t>DIKODOUGOU</t>
  </si>
  <si>
    <t>REC-BKE-2026-0023</t>
  </si>
  <si>
    <t>REC-BKE-2026-0024</t>
  </si>
  <si>
    <t>2766HC01</t>
  </si>
  <si>
    <t>0425-0001</t>
  </si>
  <si>
    <t>LOT-BKE-2026-0017</t>
  </si>
  <si>
    <t>W-9 Feb</t>
  </si>
  <si>
    <t>REC-BKE-2026-0025</t>
  </si>
  <si>
    <t>9149EL04</t>
  </si>
  <si>
    <t>REC-BKE-2026-0026</t>
  </si>
  <si>
    <t>AA518FY01</t>
  </si>
  <si>
    <t>REC-BKE-2026-0027</t>
  </si>
  <si>
    <t>3619 EJ 03</t>
  </si>
  <si>
    <t>BOUNDIALI</t>
  </si>
  <si>
    <t>LOT-BKE-2026-0018</t>
  </si>
  <si>
    <t>REC-BKE-2026-0028</t>
  </si>
  <si>
    <t>1148CV03</t>
  </si>
  <si>
    <t>KANI</t>
  </si>
  <si>
    <t>REC-BKE-2026-0029</t>
  </si>
  <si>
    <t>YAKRO FACTORY</t>
  </si>
  <si>
    <t>REC-BKE-2026-0030</t>
  </si>
  <si>
    <t>2023 HF 01</t>
  </si>
  <si>
    <t>BOTRO</t>
  </si>
  <si>
    <t>REC-BKE-2026-0031</t>
  </si>
  <si>
    <t>AA 465 KK 01</t>
  </si>
  <si>
    <t>SEGUELA</t>
  </si>
  <si>
    <t>REC-BKE-2026-0032</t>
  </si>
  <si>
    <t>374LK01</t>
  </si>
  <si>
    <t>LOT-BKE-2026-0019</t>
  </si>
  <si>
    <t>W-10 Mar</t>
  </si>
  <si>
    <t>REC-BKE-2026-0033</t>
  </si>
  <si>
    <t>2766 HC 01</t>
  </si>
  <si>
    <t>REC-BKE-2026-0034</t>
  </si>
  <si>
    <t>6085HR03</t>
  </si>
  <si>
    <t>LOT-BKE-2026-0020</t>
  </si>
  <si>
    <t>PLAN CANCELLED - ARRIVAL RECORDED</t>
  </si>
  <si>
    <t>REC-BKE-2026-0035</t>
  </si>
  <si>
    <t>AA653PE03</t>
  </si>
  <si>
    <t>REC-BKE-2026-0036</t>
  </si>
  <si>
    <t>6690GB01</t>
  </si>
  <si>
    <t>LOT-BKE-2026-0021</t>
  </si>
  <si>
    <t>W-11 Mar</t>
  </si>
  <si>
    <t>REC-BKE-2026-0037</t>
  </si>
  <si>
    <t>8573GA01</t>
  </si>
  <si>
    <t>LOT-BKE-2026-0022</t>
  </si>
  <si>
    <t>REC-BKE-2026-0038</t>
  </si>
  <si>
    <t>AA869FY01</t>
  </si>
  <si>
    <t>LOT-BKE-2026-0023</t>
  </si>
  <si>
    <t>REC-BKE-2026-0039</t>
  </si>
  <si>
    <t>LOT-BKE-2026-0024</t>
  </si>
  <si>
    <t>BKE-001-BIN-015</t>
  </si>
  <si>
    <t>W-12 Mar</t>
  </si>
  <si>
    <t>REC-BKE-2026-0040</t>
  </si>
  <si>
    <t>4137LG04</t>
  </si>
  <si>
    <t>LOT-BKE-2026-0025</t>
  </si>
  <si>
    <t>BKE-001-BIN-016</t>
  </si>
  <si>
    <t>REC-BKE-2026-0041</t>
  </si>
  <si>
    <t>LOT-BKE-2026-0026</t>
  </si>
  <si>
    <t>REC-BKE-2026-0042</t>
  </si>
  <si>
    <t>616KY03</t>
  </si>
  <si>
    <t>LOT-BKE-2026-0027</t>
  </si>
  <si>
    <t>REC-BKE-2026-0043</t>
  </si>
  <si>
    <t>DUEKOUE</t>
  </si>
  <si>
    <t>LOT-BKE-2026-0028</t>
  </si>
  <si>
    <t>W-13 Mar</t>
  </si>
  <si>
    <t>REC-BKE-2026-0044</t>
  </si>
  <si>
    <t>2023HF01</t>
  </si>
  <si>
    <t>LOT-BKE-2026-0029</t>
  </si>
  <si>
    <t>REC-BKE-2026-0045</t>
  </si>
  <si>
    <t>LOT-BKE-2026-0030</t>
  </si>
  <si>
    <t>REC-BKE-2026-0046</t>
  </si>
  <si>
    <t>5012HJ01</t>
  </si>
  <si>
    <t>LOT-BKE-2026-0031</t>
  </si>
  <si>
    <t>REC-BKE-2026-0047</t>
  </si>
  <si>
    <t>AA562YC04</t>
  </si>
  <si>
    <t>LOT-BKE-2026-0032</t>
  </si>
  <si>
    <t>W-14 Mar</t>
  </si>
  <si>
    <t>REC-BKE-2026-0048</t>
  </si>
  <si>
    <t>AA343VP04</t>
  </si>
  <si>
    <t>LOT-BKE-2026-0033</t>
  </si>
  <si>
    <t>W-15 Mar</t>
  </si>
  <si>
    <t>REC-BKE-2026-0049</t>
  </si>
  <si>
    <t>AA562YL04/354LH01</t>
  </si>
  <si>
    <t>REC-BKE-2026-0050</t>
  </si>
  <si>
    <t>AA721PZ01</t>
  </si>
  <si>
    <t>LOT-BKE-2026-0034</t>
  </si>
  <si>
    <t>REC-BKE-2026-0051</t>
  </si>
  <si>
    <t>8454CF04</t>
  </si>
  <si>
    <t>LOT-BKE-2026-0035</t>
  </si>
  <si>
    <t>SCOOP BENKADY_CDAG</t>
  </si>
  <si>
    <t>REC-BKE-2026-0052</t>
  </si>
  <si>
    <t>953LU01</t>
  </si>
  <si>
    <t>LOT-BKE-2026-0036</t>
  </si>
  <si>
    <t>REC-BKE-2026-0053</t>
  </si>
  <si>
    <t>6238JL01/4363HU01</t>
  </si>
  <si>
    <t>REC-BKE-2026-0054</t>
  </si>
  <si>
    <t>4669CP03</t>
  </si>
  <si>
    <t>LOT-BKE-2026-0037</t>
  </si>
  <si>
    <t>W-16 Mar</t>
  </si>
  <si>
    <t>REC-BKE-2026-0055</t>
  </si>
  <si>
    <t>6305EP01</t>
  </si>
  <si>
    <t xml:space="preserve">KOUASSI </t>
  </si>
  <si>
    <t>LOT-BKE-2026-0038</t>
  </si>
  <si>
    <t>BKE-002-BIN-031</t>
  </si>
  <si>
    <t>W-17 Mar</t>
  </si>
  <si>
    <t>REC-BKE-2026-0056</t>
  </si>
  <si>
    <t>8229FV02/9908BG01</t>
  </si>
  <si>
    <t>REC-BKE-2026-0057</t>
  </si>
  <si>
    <t>4852HV03</t>
  </si>
  <si>
    <t>LOT-BKE-2026-0039</t>
  </si>
  <si>
    <t>REC-BKE-2026-0058</t>
  </si>
  <si>
    <t>AA245YN03</t>
  </si>
  <si>
    <t>LOT-BKE-2026-0040</t>
  </si>
  <si>
    <t>REC-BKE-2026-0059</t>
  </si>
  <si>
    <t>AA231VP04</t>
  </si>
  <si>
    <t>LOT-BKE-2026-0041</t>
  </si>
  <si>
    <t>REC-BKE-2026-0060</t>
  </si>
  <si>
    <t>2563GY01</t>
  </si>
  <si>
    <t>LOT-BKE-2026-0042</t>
  </si>
  <si>
    <t>REC-BKE-2026-0061</t>
  </si>
  <si>
    <t>7242JS01</t>
  </si>
  <si>
    <t>LOT-BKE-2026-0043</t>
  </si>
  <si>
    <t>REC-BKE-2026-0062</t>
  </si>
  <si>
    <t>BROBO</t>
  </si>
  <si>
    <t>LOT-BKE-2026-0044</t>
  </si>
  <si>
    <t>SCOOPS PS</t>
  </si>
  <si>
    <t>REC-BKE-2026-0063</t>
  </si>
  <si>
    <t>9900KU03</t>
  </si>
  <si>
    <t>LOT-BKE-2026-0045</t>
  </si>
  <si>
    <t>REC-BKE-2026-0064</t>
  </si>
  <si>
    <t>LOT-BKE-2026-0046</t>
  </si>
  <si>
    <t>REC-BKE-2026-0065</t>
  </si>
  <si>
    <t>LOT-BKE-2026-0047</t>
  </si>
  <si>
    <t>REC-BKE-2026-0066</t>
  </si>
  <si>
    <t>9640GEE04</t>
  </si>
  <si>
    <t>LOT-BKE-2026-0048</t>
  </si>
  <si>
    <t>WAREHOUSE CHANGE; PLAN EXCESS</t>
  </si>
  <si>
    <t>REC-BKE-2026-0067</t>
  </si>
  <si>
    <t>2318JK01</t>
  </si>
  <si>
    <t>LOT-BKE-2026-0049</t>
  </si>
  <si>
    <t>REC-BKE-2026-0068</t>
  </si>
  <si>
    <t>BEOUMI</t>
  </si>
  <si>
    <t>LOT-BKE-2026-0050</t>
  </si>
  <si>
    <t>REC-BKE-2026-0069</t>
  </si>
  <si>
    <t>LOT-BKE-2026-0051</t>
  </si>
  <si>
    <t>LATE DELIVERY; WAREHOUSE CHANGE</t>
  </si>
  <si>
    <t>REC-BKE-2026-0070</t>
  </si>
  <si>
    <t>A044CA</t>
  </si>
  <si>
    <t>LOT-BKE-2026-0052</t>
  </si>
  <si>
    <t>REC-BKE-2026-0071</t>
  </si>
  <si>
    <t>LOT-BKE-2026-0053</t>
  </si>
  <si>
    <t>REC-BKE-2026-0072</t>
  </si>
  <si>
    <t>9611CV03</t>
  </si>
  <si>
    <t>LOT-BKE-2026-0054</t>
  </si>
  <si>
    <t>BKE-001-BIN-023</t>
  </si>
  <si>
    <t>REC-BKE-2026-0073</t>
  </si>
  <si>
    <t>LOT-BKE-2026-0055</t>
  </si>
  <si>
    <t>REC-BKE-2026-0074</t>
  </si>
  <si>
    <t>LOT-BKE-2026-0056</t>
  </si>
  <si>
    <t>REC-BKE-2026-0075</t>
  </si>
  <si>
    <t>SAMATIGUILA</t>
  </si>
  <si>
    <t>LOT-BKE-2026-0057</t>
  </si>
  <si>
    <t>KONE ADAMA</t>
  </si>
  <si>
    <t>REC-BKE-2026-0076</t>
  </si>
  <si>
    <t>0429-0180</t>
  </si>
  <si>
    <t>LOT-BKE-2026-0058</t>
  </si>
  <si>
    <t>Row ID</t>
  </si>
  <si>
    <t>No</t>
  </si>
  <si>
    <t>Warehouse</t>
  </si>
  <si>
    <t>Unloading Bin</t>
  </si>
  <si>
    <t>After Drying Bin</t>
  </si>
  <si>
    <t>Scale Location</t>
  </si>
  <si>
    <t>Warehouse Receipt No</t>
  </si>
  <si>
    <t>Fiche CCA No</t>
  </si>
  <si>
    <t>Arrival Date (as written)</t>
  </si>
  <si>
    <t>Discharge Date</t>
  </si>
  <si>
    <t>Discharge Date (as written)</t>
  </si>
  <si>
    <t>Recondition Bags</t>
  </si>
  <si>
    <t>Total Bags in Lot</t>
  </si>
  <si>
    <t>Export Bags</t>
  </si>
  <si>
    <t>Bio Bags</t>
  </si>
  <si>
    <t>Brousse Bags</t>
  </si>
  <si>
    <t>Total Bags Received</t>
  </si>
  <si>
    <t>Gross Weight Received (kg)</t>
  </si>
  <si>
    <t>Total Refraction (kg)</t>
  </si>
  <si>
    <t>GRN Fresh Quantity (kg)</t>
  </si>
  <si>
    <t>GRN Dried Quantity (kg)</t>
  </si>
  <si>
    <t>Sample – Rejection (g)</t>
  </si>
  <si>
    <t>Sample – Void (g)</t>
  </si>
  <si>
    <t>Sample – Oil (g)</t>
  </si>
  <si>
    <t>Sample – Total Defect (g)</t>
  </si>
  <si>
    <t>Sample – Good Kernel (g)</t>
  </si>
  <si>
    <t>Sample – Immature (g)</t>
  </si>
  <si>
    <t>Sample – Spotted (g)</t>
  </si>
  <si>
    <t>Sample – Total Kernels (g)</t>
  </si>
  <si>
    <t>Sample – KOR</t>
  </si>
  <si>
    <t>Sample – Shot</t>
  </si>
  <si>
    <t>Sample – FOT</t>
  </si>
  <si>
    <t>Sample – Useful Kernels Yield (%)</t>
  </si>
  <si>
    <t>Sample – Total Yield (%)</t>
  </si>
  <si>
    <t>Sample – Moisture (%)</t>
  </si>
  <si>
    <t>Sample – Nut Count</t>
  </si>
  <si>
    <t>Sample – Shell (g)</t>
  </si>
  <si>
    <t>Final – Rejection (g)</t>
  </si>
  <si>
    <t>Final – Void (g)</t>
  </si>
  <si>
    <t>Final – Oil (g)</t>
  </si>
  <si>
    <t>Final – Total Defect (g)</t>
  </si>
  <si>
    <t>Final – Good Kernel (g)</t>
  </si>
  <si>
    <t>Final – Immature (g)</t>
  </si>
  <si>
    <t>Final – Spotted (g)</t>
  </si>
  <si>
    <t>Final – Total Kernels (g)</t>
  </si>
  <si>
    <t>Final – KOR</t>
  </si>
  <si>
    <t>Final – Shot</t>
  </si>
  <si>
    <t>Final – FOT</t>
  </si>
  <si>
    <t>Final – Useful Kernels Yield (%)</t>
  </si>
  <si>
    <t>Final – Total Yield (%)</t>
  </si>
  <si>
    <t>Final – Moisture (%)</t>
  </si>
  <si>
    <t>Final – Nut Count</t>
  </si>
  <si>
    <t>Final – Shell (g)</t>
  </si>
  <si>
    <t>RCV-BKE-2026-0001</t>
  </si>
  <si>
    <t>INSIDE</t>
  </si>
  <si>
    <t>16-Feb</t>
  </si>
  <si>
    <t>RCV-BKE-2026-0002</t>
  </si>
  <si>
    <t>RCV-BKE-2026-0003</t>
  </si>
  <si>
    <t>17-Feb</t>
  </si>
  <si>
    <t>RCV-BKE-2026-0004</t>
  </si>
  <si>
    <t>RCV-BKE-2026-0005</t>
  </si>
  <si>
    <t>RCV-BKE-2026-0006</t>
  </si>
  <si>
    <t>RCV-BKE-2026-0007</t>
  </si>
  <si>
    <t>RCV-BKE-2026-0008</t>
  </si>
  <si>
    <t>18-Feb</t>
  </si>
  <si>
    <t>RCV-BKE-2026-0009</t>
  </si>
  <si>
    <t>RCV-BKE-2026-0010</t>
  </si>
  <si>
    <t>RCV-BKE-2026-0011</t>
  </si>
  <si>
    <t>RCV-BKE-2026-0012</t>
  </si>
  <si>
    <t>19-Feb</t>
  </si>
  <si>
    <t>RCV-BKE-2026-0013</t>
  </si>
  <si>
    <t>RCV-BKE-2026-0014</t>
  </si>
  <si>
    <t>20-Feb</t>
  </si>
  <si>
    <t>RCV-BKE-2026-0015</t>
  </si>
  <si>
    <t>21-Feb</t>
  </si>
  <si>
    <t>RCV-BKE-2026-0016</t>
  </si>
  <si>
    <t>RCV-BKE-2026-0017</t>
  </si>
  <si>
    <t>24-Feb</t>
  </si>
  <si>
    <t>RCV-BKE-2026-0018</t>
  </si>
  <si>
    <t>25-Feb</t>
  </si>
  <si>
    <t>RCV-BKE-2026-0019</t>
  </si>
  <si>
    <t>05-Mar</t>
  </si>
  <si>
    <t>RCV-BKE-2026-0020</t>
  </si>
  <si>
    <t>07-Mar</t>
  </si>
  <si>
    <t>RCV-BKE-2026-0021</t>
  </si>
  <si>
    <t>11-Mar</t>
  </si>
  <si>
    <t>RCV-BKE-2026-0022</t>
  </si>
  <si>
    <t>12-Mar</t>
  </si>
  <si>
    <t>RCV-BKE-2026-0023</t>
  </si>
  <si>
    <t>14-Mar</t>
  </si>
  <si>
    <t>RCV-BKE-2026-0024</t>
  </si>
  <si>
    <t>15-Mar</t>
  </si>
  <si>
    <t>16-Mar</t>
  </si>
  <si>
    <t>RCV-BKE-2026-0025</t>
  </si>
  <si>
    <t>RCV-BKE-2026-0026</t>
  </si>
  <si>
    <t>17-Mar</t>
  </si>
  <si>
    <t>RCV-BKE-2026-0027</t>
  </si>
  <si>
    <t>19-Mar</t>
  </si>
  <si>
    <t>22-Mar</t>
  </si>
  <si>
    <t>RCV-BKE-2026-0028</t>
  </si>
  <si>
    <t>21-Mar</t>
  </si>
  <si>
    <t>23-Mar</t>
  </si>
  <si>
    <t>RCV-BKE-2026-0029</t>
  </si>
  <si>
    <t>RCV-BKE-2026-0030</t>
  </si>
  <si>
    <t>26-Mar</t>
  </si>
  <si>
    <t>RCV-BKE-2026-0031</t>
  </si>
  <si>
    <t>RCV-BKE-2026-0032</t>
  </si>
  <si>
    <t>01-Apr</t>
  </si>
  <si>
    <t>02-Apr</t>
  </si>
  <si>
    <t>RCV-BKE-2026-0033</t>
  </si>
  <si>
    <t>06-Apr</t>
  </si>
  <si>
    <t>07-Apr</t>
  </si>
  <si>
    <t>RCV-BKE-2026-0034</t>
  </si>
  <si>
    <t>10-Apr</t>
  </si>
  <si>
    <t>RCV-BKE-2026-0035</t>
  </si>
  <si>
    <t>RCV-BKE-2026-0036</t>
  </si>
  <si>
    <t>11-Apr</t>
  </si>
  <si>
    <t>RCV-BKE-2026-0037</t>
  </si>
  <si>
    <t>16-Apr</t>
  </si>
  <si>
    <t>RCV-BKE-2026-0038</t>
  </si>
  <si>
    <t>18-Apr</t>
  </si>
  <si>
    <t>19-Apr</t>
  </si>
  <si>
    <t>RCV-BKE-2026-0039</t>
  </si>
  <si>
    <t>21-Apr</t>
  </si>
  <si>
    <t>22-Apr</t>
  </si>
  <si>
    <t>RCV-BKE-2026-0040</t>
  </si>
  <si>
    <t>RCV-BKE-2026-0041</t>
  </si>
  <si>
    <t>23-Apr</t>
  </si>
  <si>
    <t>RCV-BKE-2026-0042</t>
  </si>
  <si>
    <t>24-Apr</t>
  </si>
  <si>
    <t>RCV-BKE-2026-0043</t>
  </si>
  <si>
    <t>25-Apr</t>
  </si>
  <si>
    <t>RCV-BKE-2026-0044</t>
  </si>
  <si>
    <t>RCV-BKE-2026-0045</t>
  </si>
  <si>
    <t>02-May</t>
  </si>
  <si>
    <t>RCV-BKE-2026-0046</t>
  </si>
  <si>
    <t>03-May</t>
  </si>
  <si>
    <t>RCV-BKE-2026-0047</t>
  </si>
  <si>
    <t>05-May</t>
  </si>
  <si>
    <t>RCV-BKE-2026-0048</t>
  </si>
  <si>
    <t>04-May</t>
  </si>
  <si>
    <t>RCV-BKE-2026-0049</t>
  </si>
  <si>
    <t>RCV-BKE-2026-0050</t>
  </si>
  <si>
    <t>RCV-BKE-2026-0051</t>
  </si>
  <si>
    <t>RCV-BKE-2026-0052</t>
  </si>
  <si>
    <t>RCV-BKE-2026-0053</t>
  </si>
  <si>
    <t>RCV-BKE-2026-0054</t>
  </si>
  <si>
    <t>RCV-BKE-2026-0055</t>
  </si>
  <si>
    <t>RCV-BKE-2026-0056</t>
  </si>
  <si>
    <t>RCV-BKE-2026-0057</t>
  </si>
  <si>
    <t>08-May</t>
  </si>
  <si>
    <t>RCV-BKE-2026-0058</t>
  </si>
  <si>
    <t>07-May</t>
  </si>
  <si>
    <t>Drying Date</t>
  </si>
  <si>
    <t>Source Bin</t>
  </si>
  <si>
    <t>Destination Bin</t>
  </si>
  <si>
    <t>CCAK Supplier Code</t>
  </si>
  <si>
    <t>Status</t>
  </si>
  <si>
    <t>Dry Type</t>
  </si>
  <si>
    <t>Destination</t>
  </si>
  <si>
    <t>Issued Gross Weight with Bags &amp; Pallets (kg)</t>
  </si>
  <si>
    <t>Issued Pallet Weight (kg)</t>
  </si>
  <si>
    <t>Issued Gross Weight with Bags (kg)</t>
  </si>
  <si>
    <t>Issued Bags</t>
  </si>
  <si>
    <t>Issued Net Weight (kg)</t>
  </si>
  <si>
    <t>Received Gross Weight with Bags &amp; Pallets (kg)</t>
  </si>
  <si>
    <t>Received Pallet Weight (kg)</t>
  </si>
  <si>
    <t>Received Gross Weight with Bags (kg)</t>
  </si>
  <si>
    <t>Received Bags</t>
  </si>
  <si>
    <t>Received Net Weight (kg)</t>
  </si>
  <si>
    <t>Input Moisture (%)</t>
  </si>
  <si>
    <t>Input Nut Count</t>
  </si>
  <si>
    <t>Input KOR</t>
  </si>
  <si>
    <t>Output Moisture (%)</t>
  </si>
  <si>
    <t>Output Nut Count</t>
  </si>
  <si>
    <t>Output KOR</t>
  </si>
  <si>
    <t>Oil (g)</t>
  </si>
  <si>
    <t>Rejection (g)</t>
  </si>
  <si>
    <t>Good Kernel (g)</t>
  </si>
  <si>
    <t>Immature (g)</t>
  </si>
  <si>
    <t>Spotted (g)</t>
  </si>
  <si>
    <t>Shell (g)</t>
  </si>
  <si>
    <t>Void (g)</t>
  </si>
  <si>
    <t>Drying Loss (kg)</t>
  </si>
  <si>
    <t>Triage Loss (kg)</t>
  </si>
  <si>
    <t>Damaged Nuts (kg)</t>
  </si>
  <si>
    <t>Input Bags for Drying</t>
  </si>
  <si>
    <t>Output Bags After Drying</t>
  </si>
  <si>
    <t>Drying or Picking</t>
  </si>
  <si>
    <t>Issued to Production</t>
  </si>
  <si>
    <t>Re-drying Date</t>
  </si>
  <si>
    <t>Moisture After First Re-dry (%)</t>
  </si>
  <si>
    <t>Moisture After Second Dry (%)</t>
  </si>
  <si>
    <t>Historical Output KOR</t>
  </si>
  <si>
    <t>KOR Variance</t>
  </si>
  <si>
    <t>DRY-YAK-2026-001</t>
  </si>
  <si>
    <t>ANAGROCI-01</t>
  </si>
  <si>
    <t>BIN-013</t>
  </si>
  <si>
    <t>ANA-01-DRY</t>
  </si>
  <si>
    <t>LOT-YAK-2026-0193</t>
  </si>
  <si>
    <t>OK</t>
  </si>
  <si>
    <t>Supplier</t>
  </si>
  <si>
    <t>Dryied</t>
  </si>
  <si>
    <t>Scaled</t>
  </si>
  <si>
    <t>Empilage in Production Area</t>
  </si>
  <si>
    <t>DRY-YAK-2026-002</t>
  </si>
  <si>
    <t>LOT-YAK-2026-0197</t>
  </si>
  <si>
    <t xml:space="preserve">Direct offload for dry </t>
  </si>
  <si>
    <t>DRY-YAK-2026-003</t>
  </si>
  <si>
    <t>BIN-001</t>
  </si>
  <si>
    <t>ANA-02-DRY</t>
  </si>
  <si>
    <t>LOT-YAK-2026-0160</t>
  </si>
  <si>
    <t>BIN</t>
  </si>
  <si>
    <t>DRY-YAK-2026-004</t>
  </si>
  <si>
    <t>LOT-YAK-2026-0179</t>
  </si>
  <si>
    <t>DRY-YAK-2026-005</t>
  </si>
  <si>
    <t>BIN-03B</t>
  </si>
  <si>
    <t>LOT-YAK-2026-BIN-03B</t>
  </si>
  <si>
    <t>DRY-YAK-2026-006</t>
  </si>
  <si>
    <t>Issued To Production</t>
  </si>
  <si>
    <t>DRY-YAK-2026-007</t>
  </si>
  <si>
    <t xml:space="preserve">Dryied </t>
  </si>
  <si>
    <t>DRY-YAK-2026-008</t>
  </si>
  <si>
    <t>DRY-YAK-2026-009</t>
  </si>
  <si>
    <t>ANA-03B-DRY</t>
  </si>
  <si>
    <t>LOT-YAK-2026-87036</t>
  </si>
  <si>
    <t>Dried</t>
  </si>
  <si>
    <t>BIN IN CALIBRATION AREA</t>
  </si>
  <si>
    <t>DRY-YAK-2026-010</t>
  </si>
  <si>
    <t>DRY-YAK-2026-011</t>
  </si>
  <si>
    <t>DRY-YAK-2026-012</t>
  </si>
  <si>
    <t>DRY-YAK-2026-013</t>
  </si>
  <si>
    <t>BIN-015</t>
  </si>
  <si>
    <t>LOT-YAK-2026-BIN-015</t>
  </si>
  <si>
    <t>DRY-YAK-2026-014</t>
  </si>
  <si>
    <t>DRY-YAK-2026-015</t>
  </si>
  <si>
    <t>BIN-005</t>
  </si>
  <si>
    <t>ANA-05A-DRY</t>
  </si>
  <si>
    <t>LOT-YAK-2026-BIN-005</t>
  </si>
  <si>
    <t>DRY-YAK-2026-016</t>
  </si>
  <si>
    <t>DRY-YAK-2026-017</t>
  </si>
  <si>
    <t>ISSUE TO CALIBRATION</t>
  </si>
  <si>
    <t>DRY-YAK-2026-018</t>
  </si>
  <si>
    <t xml:space="preserve">ISSUE TO CALIBRATION </t>
  </si>
  <si>
    <t>DRY-YAK-2026-019</t>
  </si>
  <si>
    <t>DRY-YAK-2026-020</t>
  </si>
  <si>
    <t>DRY-YAK-2026-021</t>
  </si>
  <si>
    <t xml:space="preserve">Dried </t>
  </si>
  <si>
    <t>scaled</t>
  </si>
  <si>
    <t>DRY-YAK-2026-022</t>
  </si>
  <si>
    <t>DRY-YAK-2026-023</t>
  </si>
  <si>
    <t>BIN-016</t>
  </si>
  <si>
    <t>ANA-016-DRY</t>
  </si>
  <si>
    <t>LOT-YAK-2026-BIN-016</t>
  </si>
  <si>
    <t>DRY-YAK-2026-024</t>
  </si>
  <si>
    <t>DRY-YAK-2026-025</t>
  </si>
  <si>
    <t>BIN-007</t>
  </si>
  <si>
    <t>ANA-07A-DRY</t>
  </si>
  <si>
    <t>LOT-YAK-2026-BIN-007</t>
  </si>
  <si>
    <t>DRY-YAK-2026-026</t>
  </si>
  <si>
    <t>DRY-YAK-2026-027</t>
  </si>
  <si>
    <t>DRY-YAK-2026-028</t>
  </si>
  <si>
    <t>DRY-YAK-2026-029</t>
  </si>
  <si>
    <t>DRY-YAK-2026-030</t>
  </si>
  <si>
    <t>Date</t>
  </si>
  <si>
    <t>Supplier Code (Anagroci)</t>
  </si>
  <si>
    <t>Supplier Code (CCAK)</t>
  </si>
  <si>
    <t>Issued Net Weight, GRN (kg)</t>
  </si>
  <si>
    <t>Received Net Weight After Drying (kg)</t>
  </si>
  <si>
    <t>Damaged Nuts, Triage (kg)</t>
  </si>
  <si>
    <t>DS-BKE-2026-001</t>
  </si>
  <si>
    <t>BKE-002-BIN-003- DRIED</t>
  </si>
  <si>
    <t>813, 805</t>
  </si>
  <si>
    <t>KOUNAHIRI/ MANKONO</t>
  </si>
  <si>
    <t>DAGNOGO KARIM/SCOPPAS SCOOPS</t>
  </si>
  <si>
    <t>LBA-013-DAG/ LBA-009-SCO</t>
  </si>
  <si>
    <t>0525-0068/ 0426-0203</t>
  </si>
  <si>
    <t>161/ 180</t>
  </si>
  <si>
    <t>DRYING</t>
  </si>
  <si>
    <t>DS-BKE-2026-002</t>
  </si>
  <si>
    <t>BKE-002-BIN-004</t>
  </si>
  <si>
    <t>BKE-002-BIN-004-DRIED</t>
  </si>
  <si>
    <t>807, 809</t>
  </si>
  <si>
    <t>NIAKARA/ NIAKARA</t>
  </si>
  <si>
    <t>DAGNOGO KARIM/SCOOPS HERE B</t>
  </si>
  <si>
    <t>LBA-013-DAG/ LBA-003-HER</t>
  </si>
  <si>
    <t>0525-0068/ 0425-0187</t>
  </si>
  <si>
    <t>160/ 162</t>
  </si>
  <si>
    <t>DRYING+PICKING</t>
  </si>
  <si>
    <t>DS-BKE-2026-003</t>
  </si>
  <si>
    <t>DS-BKE-2026-004</t>
  </si>
  <si>
    <t>DS-BKE-2026-005</t>
  </si>
  <si>
    <t>DS-BKE-2026-006</t>
  </si>
  <si>
    <t>DS-BKE-2026-007</t>
  </si>
  <si>
    <t>DS-BKE-2026-008</t>
  </si>
  <si>
    <t>BKE-001-BIN-007</t>
  </si>
  <si>
    <t>BKE-001-BIN-007-DRIED</t>
  </si>
  <si>
    <t>FERKE</t>
  </si>
  <si>
    <t>SCOOPS ASER</t>
  </si>
  <si>
    <t>DS-BKE-2026-009</t>
  </si>
  <si>
    <t>BKE-001-BIN-016-DRIED</t>
  </si>
  <si>
    <t>SCOOPASS</t>
  </si>
  <si>
    <t>DIS-007-SPA</t>
  </si>
  <si>
    <t>DS-BKE-2026-010</t>
  </si>
  <si>
    <t>BKE-002-BIN-014</t>
  </si>
  <si>
    <t>BKE-002-BIN-014-DRIED</t>
  </si>
  <si>
    <t>PRIKRO</t>
  </si>
  <si>
    <t>CAPCD SCOOPS</t>
  </si>
  <si>
    <t>RAIN</t>
  </si>
  <si>
    <t>DS-BKE-2026-011</t>
  </si>
  <si>
    <t>REDRYING</t>
  </si>
  <si>
    <t>DS-BKE-2026-012</t>
  </si>
  <si>
    <t>DS-BKE-2026-013</t>
  </si>
  <si>
    <t>DS-BKE-2026-014</t>
  </si>
  <si>
    <t>DS-BKE-2026-015</t>
  </si>
  <si>
    <t>BKE-001-BIN-015-DRIED</t>
  </si>
  <si>
    <t xml:space="preserve">DABAKALA </t>
  </si>
  <si>
    <t>SCOOPS HERE B</t>
  </si>
  <si>
    <t>0425-0187</t>
  </si>
  <si>
    <t>DS-BKE-2026-016</t>
  </si>
  <si>
    <t>SCOOPS AH AL NOUR</t>
  </si>
  <si>
    <t>DS-BKE-2026-017</t>
  </si>
  <si>
    <t>BKE-002-BIN-006</t>
  </si>
  <si>
    <t>BKE-002-BIN-006-DRIED</t>
  </si>
  <si>
    <t>809, 790</t>
  </si>
  <si>
    <t>DIANRA/ NIAKARA</t>
  </si>
  <si>
    <t>CAPCD SCOOPS/ SCOOPS HERE B</t>
  </si>
  <si>
    <t>LBA-010-CAP/ LBA-003-HER</t>
  </si>
  <si>
    <t>0431-0277/ 0425-0187</t>
  </si>
  <si>
    <t>168/ 161</t>
  </si>
  <si>
    <t>DS-BKE-2026-018</t>
  </si>
  <si>
    <t>DS-BKE-2026-019</t>
  </si>
  <si>
    <t>DS-BKE-2026-020</t>
  </si>
  <si>
    <t>BKE-001-BIN-021</t>
  </si>
  <si>
    <t>BKE-001-BIN-021-DRIED</t>
  </si>
  <si>
    <t>DS-BKE-2026-021</t>
  </si>
  <si>
    <t>BKE-001-BIN-018</t>
  </si>
  <si>
    <t>BKE-001-BIN-018-DRIED</t>
  </si>
  <si>
    <t>DUEKOUE, KOUNAHIRI</t>
  </si>
  <si>
    <t>SCOOPS ASER/ SCOOPS COBAN</t>
  </si>
  <si>
    <t>LBA-011-ASR/ LBA-008-COB</t>
  </si>
  <si>
    <t>0426-0340/ 0410-0149</t>
  </si>
  <si>
    <t>173, 163</t>
  </si>
  <si>
    <t>DS-BKE-2026-022</t>
  </si>
  <si>
    <t>0426-0340/ 0420-0149</t>
  </si>
  <si>
    <t>DS-BKE-2026-023</t>
  </si>
  <si>
    <t>DS-BKE-2026-024</t>
  </si>
  <si>
    <t>BKE-002-BIN-028</t>
  </si>
  <si>
    <t>BKE-002-BIN-028-DRIED</t>
  </si>
  <si>
    <t xml:space="preserve">SCOOPS BAY SCOOPS </t>
  </si>
  <si>
    <t>DS-BKE-2026-025</t>
  </si>
  <si>
    <t>BKE-001-BIN-024</t>
  </si>
  <si>
    <t>BKE-001-BIN-024-DRIED</t>
  </si>
  <si>
    <t>ZOUKOUGBOU</t>
  </si>
  <si>
    <t>DS-BKE-2026-026</t>
  </si>
  <si>
    <t>BKE-001-BIN-023-DRIED</t>
  </si>
  <si>
    <t>SCOOPS COOPRAKA</t>
  </si>
  <si>
    <t>DS-BKE-2026-027</t>
  </si>
  <si>
    <t>MBAHIAKRO</t>
  </si>
  <si>
    <t>DS-BKE-2026-028</t>
  </si>
  <si>
    <t>CASP-S SCOOPS, SCOOPS DIENE</t>
  </si>
  <si>
    <t>DS-BKE-2026-029</t>
  </si>
  <si>
    <t>SCOOPS OUMI</t>
  </si>
  <si>
    <t>DS-BKE-2026-030</t>
  </si>
  <si>
    <t>Loading Date</t>
  </si>
  <si>
    <t>Voyage Number</t>
  </si>
  <si>
    <t>Warehouse or Direct</t>
  </si>
  <si>
    <t>Bin</t>
  </si>
  <si>
    <t>Transporter</t>
  </si>
  <si>
    <t>Driver</t>
  </si>
  <si>
    <t>Phone</t>
  </si>
  <si>
    <t>Bags Loaded (This Bin)</t>
  </si>
  <si>
    <t>Total Bags</t>
  </si>
  <si>
    <t>Unloading Status</t>
  </si>
  <si>
    <t>Total Defect (g)</t>
  </si>
  <si>
    <t>Total Kernels (g)</t>
  </si>
  <si>
    <t>Shot</t>
  </si>
  <si>
    <t>FOT</t>
  </si>
  <si>
    <t>Useful Kernels Yield (%)</t>
  </si>
  <si>
    <t>Total Yield (%)</t>
  </si>
  <si>
    <t>Historical KOR</t>
  </si>
  <si>
    <t>DSP-BKE-2026-001</t>
  </si>
  <si>
    <t>BKT001</t>
  </si>
  <si>
    <t>WH</t>
  </si>
  <si>
    <t>BKE-002-BIN-012</t>
  </si>
  <si>
    <t>1796GC01/3922BB04</t>
  </si>
  <si>
    <t>SONEL TRANS</t>
  </si>
  <si>
    <t>TRAOREBAKARY</t>
  </si>
  <si>
    <t>REACHED</t>
  </si>
  <si>
    <t>UNLOADED</t>
  </si>
  <si>
    <t>DSP-BKE-2026-002</t>
  </si>
  <si>
    <t>BKT002</t>
  </si>
  <si>
    <t>7957-GN-01/3599-KV-01</t>
  </si>
  <si>
    <t>CAMARA MAGAH</t>
  </si>
  <si>
    <t>DOSSOADAMA</t>
  </si>
  <si>
    <t>DSP-BKE-2026-003</t>
  </si>
  <si>
    <t>BKT003</t>
  </si>
  <si>
    <t>3334-FN-01</t>
  </si>
  <si>
    <t>DIABYMAMOUDOU</t>
  </si>
  <si>
    <t>DSP-BKE-2026-004</t>
  </si>
  <si>
    <t>BKT004</t>
  </si>
  <si>
    <t>847HH04/850HH04</t>
  </si>
  <si>
    <t>KONEZAKARIDJA</t>
  </si>
  <si>
    <t>DSP-BKE-2026-005</t>
  </si>
  <si>
    <t>BKT005</t>
  </si>
  <si>
    <t>DIRECT-001</t>
  </si>
  <si>
    <t>DIRECT</t>
  </si>
  <si>
    <t>9008JH04/9011JH04</t>
  </si>
  <si>
    <t>SANOGOOUMAR</t>
  </si>
  <si>
    <t>DSP-BKE-2026-006</t>
  </si>
  <si>
    <t>BKT006</t>
  </si>
  <si>
    <t>DIRECT-002</t>
  </si>
  <si>
    <t>AA244BT03/3762BN01</t>
  </si>
  <si>
    <t>SYLLAYACOUBA</t>
  </si>
  <si>
    <t>DSP-BKE-2026-007</t>
  </si>
  <si>
    <t>BKT007</t>
  </si>
  <si>
    <t>MULTI-BIN / MULTI-LINE LOAD</t>
  </si>
  <si>
    <t>997JY01/4285CH04</t>
  </si>
  <si>
    <t>BERTHEADAMA</t>
  </si>
  <si>
    <t>DSP-BKE-2026-008</t>
  </si>
  <si>
    <t>BKE-001-BIN-008</t>
  </si>
  <si>
    <t>DSP-BKE-2026-009</t>
  </si>
  <si>
    <t>BKT008</t>
  </si>
  <si>
    <t>DIRECT-003</t>
  </si>
  <si>
    <t>827KT01/57AY01</t>
  </si>
  <si>
    <t>COULIBALYKARIGA</t>
  </si>
  <si>
    <t>DSP-BKE-2026-010</t>
  </si>
  <si>
    <t>BKT009</t>
  </si>
  <si>
    <t>BKE-001-BIN-017</t>
  </si>
  <si>
    <t>6477GX01/5949GZ01</t>
  </si>
  <si>
    <t>DIABATESOUTRAILA</t>
  </si>
  <si>
    <t>DSP-BKE-2026-011</t>
  </si>
  <si>
    <t>BKT010</t>
  </si>
  <si>
    <t>7668KL04/6826KU04</t>
  </si>
  <si>
    <t>SANGAREBRAHIMA</t>
  </si>
  <si>
    <t>DSP-BKE-2026-012</t>
  </si>
  <si>
    <t>BKT011</t>
  </si>
  <si>
    <t>DIRECT-004</t>
  </si>
  <si>
    <t>1011JP01/1602JE03</t>
  </si>
  <si>
    <t>TRAOREZAKARIA</t>
  </si>
  <si>
    <t>DSP-BKE-2026-013</t>
  </si>
  <si>
    <t>BKT012</t>
  </si>
  <si>
    <t>9584GX03/4742BB04</t>
  </si>
  <si>
    <t>DIALLOSIKKOU</t>
  </si>
  <si>
    <t>DSP-BKE-2026-014</t>
  </si>
  <si>
    <t>BKT013</t>
  </si>
  <si>
    <t>DIRECT005</t>
  </si>
  <si>
    <t>DIRECT-005</t>
  </si>
  <si>
    <t>1447JT01/7010EJ04</t>
  </si>
  <si>
    <t>SANGAREKARIM</t>
  </si>
  <si>
    <t>DSP-BKE-2026-015</t>
  </si>
  <si>
    <t>BKT014</t>
  </si>
  <si>
    <t>BKE002</t>
  </si>
  <si>
    <t>BKE-003-BIN-021</t>
  </si>
  <si>
    <t>7650HB07/2995CX04</t>
  </si>
  <si>
    <t>RAHIMIABASI</t>
  </si>
  <si>
    <t>DSP-BKE-2026-016</t>
  </si>
  <si>
    <t>BKT015</t>
  </si>
  <si>
    <t>BKE001</t>
  </si>
  <si>
    <t>9828JC03/4903AJ04</t>
  </si>
  <si>
    <t>KONATEMEFOUNGO</t>
  </si>
  <si>
    <t>DSP-BKE-2026-017</t>
  </si>
  <si>
    <t>BKT016</t>
  </si>
  <si>
    <t>BKE-002-BIN-021</t>
  </si>
  <si>
    <t>AA562FZ01/6302CS04</t>
  </si>
  <si>
    <t>COULIBALYSOUMAILA</t>
  </si>
  <si>
    <t>DSP-BKE-2026-018</t>
  </si>
  <si>
    <t>BKT017</t>
  </si>
  <si>
    <t>AA087XL03/2469EK03</t>
  </si>
  <si>
    <t>KAREMBEMALICK</t>
  </si>
  <si>
    <t>DSP-BKE-2026-019</t>
  </si>
  <si>
    <t>BKT018</t>
  </si>
  <si>
    <t>BKE-001-BIN-009</t>
  </si>
  <si>
    <t>9652HR01/8325GN01</t>
  </si>
  <si>
    <t>POUDIOGABOUREHIMA</t>
  </si>
  <si>
    <t>DSP-BKE-2026-020</t>
  </si>
  <si>
    <t>BKT019</t>
  </si>
  <si>
    <t>AA350AM01/9546JL01</t>
  </si>
  <si>
    <t>KONEKARIM</t>
  </si>
  <si>
    <t>DSP-BKE-2026-021</t>
  </si>
  <si>
    <t>BKT020</t>
  </si>
  <si>
    <t>BKE-002-BIN-020</t>
  </si>
  <si>
    <t>6964KV01/9943JP01</t>
  </si>
  <si>
    <t>DISSAYAYA</t>
  </si>
  <si>
    <t>DSP-BKE-2026-022</t>
  </si>
  <si>
    <t>BKT021</t>
  </si>
  <si>
    <t>4974FC01/8694BA01</t>
  </si>
  <si>
    <t>KONEMOUSSA</t>
  </si>
  <si>
    <t>DSP-BKE-2026-023</t>
  </si>
  <si>
    <t>BKE-001-BIN-011</t>
  </si>
  <si>
    <t>DSP-BKE-2026-024</t>
  </si>
  <si>
    <t>BKT-097</t>
  </si>
  <si>
    <t>MARCHE DEGRO/ INSIDE</t>
  </si>
  <si>
    <t>DIRECT-022</t>
  </si>
  <si>
    <t>4170LJ03/8364GS01</t>
  </si>
  <si>
    <t>DIARRASSOUBA</t>
  </si>
  <si>
    <t>DSP-BKE-2026-025</t>
  </si>
  <si>
    <t>BKT173</t>
  </si>
  <si>
    <t>DIRECT, WH</t>
  </si>
  <si>
    <t>DIRECT-085, BKE-001-BIN23</t>
  </si>
  <si>
    <t>AA517ZT01/2496CB04</t>
  </si>
  <si>
    <t>KONE LASSINA JUNIOR</t>
  </si>
  <si>
    <t>DSP-BKE-2026-026</t>
  </si>
  <si>
    <t>BKT-250</t>
  </si>
  <si>
    <t>MARCHE DEGROS/ INSIDE</t>
  </si>
  <si>
    <t>BKE-001-BIN-015, BKE-001-BIN-008</t>
  </si>
  <si>
    <t>10FK03/6498BC04</t>
  </si>
  <si>
    <t xml:space="preserve">ZON HASSIMI </t>
  </si>
  <si>
    <t>IN TRANSIT</t>
  </si>
  <si>
    <t>DSP-BKE-2026-027</t>
  </si>
  <si>
    <t>BKT-326</t>
  </si>
  <si>
    <t>BKE-003-BIN-001</t>
  </si>
  <si>
    <t>5019FE04/2606JT01</t>
  </si>
  <si>
    <t>KONATE YACOU</t>
  </si>
  <si>
    <t>Month</t>
  </si>
  <si>
    <t>Dry or Undry</t>
  </si>
  <si>
    <t>Transfer ID</t>
  </si>
  <si>
    <t>Truck Registration</t>
  </si>
  <si>
    <t>Lot Dry</t>
  </si>
  <si>
    <t>CCA Fiche No</t>
  </si>
  <si>
    <t>From Warehouse</t>
  </si>
  <si>
    <t>To Warehouse</t>
  </si>
  <si>
    <t>Bags Dispatched</t>
  </si>
  <si>
    <t>Bags Received</t>
  </si>
  <si>
    <t>Damaged Bags</t>
  </si>
  <si>
    <t>New Jute Bags Used</t>
  </si>
  <si>
    <t>Reconditioned Bags</t>
  </si>
  <si>
    <t>Laissez-Passer (Entry)</t>
  </si>
  <si>
    <t>Loaded Truck Weight (kg)</t>
  </si>
  <si>
    <t>Empty Truck Weight (kg)</t>
  </si>
  <si>
    <t>Net Weight at Arrival (kg)</t>
  </si>
  <si>
    <t>Net Weight Dispatched (kg)</t>
  </si>
  <si>
    <t>KOR Received</t>
  </si>
  <si>
    <t>KOR Dispatched</t>
  </si>
  <si>
    <t>Moisture Received (%)</t>
  </si>
  <si>
    <t>Moisture Dispatched (%)</t>
  </si>
  <si>
    <t>Nut Count at Arrival</t>
  </si>
  <si>
    <t>Comment</t>
  </si>
  <si>
    <t>Transfer Status</t>
  </si>
  <si>
    <t>Receipt Date</t>
  </si>
  <si>
    <t>Bag Variance</t>
  </si>
  <si>
    <t>Weight Variance (kg)</t>
  </si>
  <si>
    <t>TRF-BKE-2026-001</t>
  </si>
  <si>
    <t>LOT-YAK-2026-0002</t>
  </si>
  <si>
    <t>951</t>
  </si>
  <si>
    <t>TRF-BKE-2026-002</t>
  </si>
  <si>
    <t>LOT-YAK-2026-0003</t>
  </si>
  <si>
    <t>952</t>
  </si>
  <si>
    <t>TRF-BKE-2026-003</t>
  </si>
  <si>
    <t>953</t>
  </si>
  <si>
    <t>TRF-BKE-2026-004</t>
  </si>
  <si>
    <t>LOT-YAK-2026-0004</t>
  </si>
  <si>
    <t>954</t>
  </si>
  <si>
    <t>TRF-BKE-2026-005</t>
  </si>
  <si>
    <t>LOT-YAK-2026-0005</t>
  </si>
  <si>
    <t>955</t>
  </si>
  <si>
    <t>TRF-BKE-2026-006</t>
  </si>
  <si>
    <t>956</t>
  </si>
  <si>
    <t>TRF-BKE-2026-007</t>
  </si>
  <si>
    <t>LOT-YAK-2026-0007</t>
  </si>
  <si>
    <t>957</t>
  </si>
  <si>
    <t>BKE-002-BIN-012 / BKE-001-BIN-008</t>
  </si>
  <si>
    <t>BKE-002 / BKE-001</t>
  </si>
  <si>
    <t>TRF-BKE-2026-008</t>
  </si>
  <si>
    <t>LOT-YAK-2026-0010</t>
  </si>
  <si>
    <t>958</t>
  </si>
  <si>
    <t>TRF-BKE-2026-009</t>
  </si>
  <si>
    <t>LOT-YAK-2026-0012</t>
  </si>
  <si>
    <t>959</t>
  </si>
  <si>
    <t>TRF-BKE-2026-010</t>
  </si>
  <si>
    <t>960</t>
  </si>
  <si>
    <t>TRF-BKE-2026-011</t>
  </si>
  <si>
    <t>961</t>
  </si>
  <si>
    <t>TRF-BKE-2026-012</t>
  </si>
  <si>
    <t>LOT-YAK-2026-0009</t>
  </si>
  <si>
    <t>962</t>
  </si>
  <si>
    <t>TRF-BKE-2026-013</t>
  </si>
  <si>
    <t>LOT-YAK-2026-0020</t>
  </si>
  <si>
    <t>963</t>
  </si>
  <si>
    <t>TRF-BKE-2026-014</t>
  </si>
  <si>
    <t>LOT-YAK-2026-0014</t>
  </si>
  <si>
    <t>964</t>
  </si>
  <si>
    <t>TRF-BKE-2026-015</t>
  </si>
  <si>
    <t>965</t>
  </si>
  <si>
    <t>TRF-BKE-2026-016</t>
  </si>
  <si>
    <t>LOT-YAK-2026-0013</t>
  </si>
  <si>
    <t>966</t>
  </si>
  <si>
    <t>TRF-BKE-2026-017</t>
  </si>
  <si>
    <t>LOT-YAK-2026-0018</t>
  </si>
  <si>
    <t>967</t>
  </si>
  <si>
    <t>TRF-BKE-2026-018</t>
  </si>
  <si>
    <t>LOT-YAK-2026-0021</t>
  </si>
  <si>
    <t>968</t>
  </si>
  <si>
    <t>TRF-BKE-2026-019</t>
  </si>
  <si>
    <t>969</t>
  </si>
  <si>
    <t>TRF-BKE-2026-020</t>
  </si>
  <si>
    <t>LOT-YAK-2026-0017</t>
  </si>
  <si>
    <t>970</t>
  </si>
  <si>
    <t>TRF-BKE-2026-021</t>
  </si>
  <si>
    <t>LOT-YAK-2026-0016</t>
  </si>
  <si>
    <t>971</t>
  </si>
  <si>
    <t>BKE-001-BIN-009 / BKE-001-BIN-011</t>
  </si>
  <si>
    <t>TRF-BKE-2026-022</t>
  </si>
  <si>
    <t>LOT-YAK-2026-0097</t>
  </si>
  <si>
    <t>147</t>
  </si>
  <si>
    <t>TRF-BKE-2026-023</t>
  </si>
  <si>
    <t>LOT-YAK-2026-0173</t>
  </si>
  <si>
    <t>628</t>
  </si>
  <si>
    <t>TRF-BKE-2026-024</t>
  </si>
  <si>
    <t>LOT-YAK-2026-0250</t>
  </si>
  <si>
    <t>475</t>
  </si>
  <si>
    <t>TRF-BKE-2026-025</t>
  </si>
  <si>
    <t>1201</t>
  </si>
  <si>
    <t>Date (as written)</t>
  </si>
  <si>
    <t>Activity Type</t>
  </si>
  <si>
    <t>Bags Issued</t>
  </si>
  <si>
    <t>Balance</t>
  </si>
  <si>
    <t>JBM-BKE-2026-001</t>
  </si>
  <si>
    <t>10-Feb</t>
  </si>
  <si>
    <t>PURCHASE / RECEIPT</t>
  </si>
  <si>
    <t>JBM-BKE-2026-002</t>
  </si>
  <si>
    <t>11-Feb</t>
  </si>
  <si>
    <t>SUPPLIER ISSUE</t>
  </si>
  <si>
    <t>JBM-BKE-2026-003</t>
  </si>
  <si>
    <t>JBM-BKE-2026-004</t>
  </si>
  <si>
    <t>13-Feb</t>
  </si>
  <si>
    <t>JBM-BKE-2026-005</t>
  </si>
  <si>
    <t>JBM-BKE-2026-006</t>
  </si>
  <si>
    <t>JBM-BKE-2026-007</t>
  </si>
  <si>
    <t>14-Feb</t>
  </si>
  <si>
    <t>LBA-001-SOC</t>
  </si>
  <si>
    <t>JBM-BKE-2026-008</t>
  </si>
  <si>
    <t>JBM-BKE-2026-009</t>
  </si>
  <si>
    <t>JBM-BKE-2026-010</t>
  </si>
  <si>
    <t>JBM-BKE-2026-011</t>
  </si>
  <si>
    <t>JBM-BKE-2026-012</t>
  </si>
  <si>
    <t>DIS-003-DEM</t>
  </si>
  <si>
    <t>JBM-BKE-2026-013</t>
  </si>
  <si>
    <t>26-Feb</t>
  </si>
  <si>
    <t>DIS-001-SCO</t>
  </si>
  <si>
    <t>JBM-BKE-2026-014</t>
  </si>
  <si>
    <t>28-Feb</t>
  </si>
  <si>
    <t>JBM-BKE-2026-015</t>
  </si>
  <si>
    <t>02-Mar</t>
  </si>
  <si>
    <t>DIS-004-PAS</t>
  </si>
  <si>
    <t>JBM-BKE-2026-016</t>
  </si>
  <si>
    <t>03-Mar</t>
  </si>
  <si>
    <t>DIS-002-COR</t>
  </si>
  <si>
    <t>JBM-BKE-2026-017</t>
  </si>
  <si>
    <t>04-Mar</t>
  </si>
  <si>
    <t>JBM-BKE-2026-018</t>
  </si>
  <si>
    <t>DIS-008-FOU</t>
  </si>
  <si>
    <t>JBM-BKE-2026-019</t>
  </si>
  <si>
    <t>06-Mar</t>
  </si>
  <si>
    <t>LBA-020-SKS</t>
  </si>
  <si>
    <t>JBM-BKE-2026-020</t>
  </si>
  <si>
    <t>JBM-BKE-2026-021</t>
  </si>
  <si>
    <t>JBM-BKE-2026-022</t>
  </si>
  <si>
    <t>09-Mar</t>
  </si>
  <si>
    <t>JBM-BKE-2026-023</t>
  </si>
  <si>
    <t>JBM-BKE-2026-024</t>
  </si>
  <si>
    <t>13-Mar</t>
  </si>
  <si>
    <t>DIS-017-MAS</t>
  </si>
  <si>
    <t>JBM-BKE-2026-025</t>
  </si>
  <si>
    <t>JBM-BKE-2026-026</t>
  </si>
  <si>
    <t>JBM-BKE-2026-027</t>
  </si>
  <si>
    <t>JBM-BKE-2026-028</t>
  </si>
  <si>
    <t>JBM-BKE-2026-029</t>
  </si>
  <si>
    <t>JBM-BKE-2026-030</t>
  </si>
  <si>
    <t>Particulars</t>
  </si>
  <si>
    <t>Offloaded</t>
  </si>
  <si>
    <t>Bags</t>
  </si>
  <si>
    <t>Quantity (MT)</t>
  </si>
  <si>
    <t>Vendor</t>
  </si>
  <si>
    <t>Rate</t>
  </si>
  <si>
    <t>Total</t>
  </si>
  <si>
    <t>Reference No</t>
  </si>
  <si>
    <t>Gross Weight with Pallet (kg)</t>
  </si>
  <si>
    <t>Pallet Count</t>
  </si>
  <si>
    <t>Gross Weight without Pallet (kg)</t>
  </si>
  <si>
    <t>ACT-2026-0001</t>
  </si>
  <si>
    <t>OFFLOADING / RECEIPT</t>
  </si>
  <si>
    <t>Warehouse Receiving / RCV-BKE-2026-0001</t>
  </si>
  <si>
    <t>Generated automatically from validated operation</t>
  </si>
  <si>
    <t>ACT-2026-0002</t>
  </si>
  <si>
    <t>Warehouse Receiving / RCV-BKE-2026-0002</t>
  </si>
  <si>
    <t>ACT-2026-0003</t>
  </si>
  <si>
    <t>Warehouse Receiving / RCV-BKE-2026-0003</t>
  </si>
  <si>
    <t>ACT-2026-0004</t>
  </si>
  <si>
    <t>22-Feb</t>
  </si>
  <si>
    <t>Warehouse Receiving / RCV-BKE-2026-0004</t>
  </si>
  <si>
    <t>ACT-2026-0005</t>
  </si>
  <si>
    <t>23-Feb</t>
  </si>
  <si>
    <t>Warehouse Receiving / RCV-BKE-2026-0005</t>
  </si>
  <si>
    <t>ACT-2026-0006</t>
  </si>
  <si>
    <t>Warehouse Receiving / RCV-BKE-2026-0006</t>
  </si>
  <si>
    <t>ACT-2026-0007</t>
  </si>
  <si>
    <t>Warehouse Receiving / RCV-BKE-2026-0007</t>
  </si>
  <si>
    <t>ACT-2026-0008</t>
  </si>
  <si>
    <t>Warehouse Receiving / RCV-BKE-2026-0008</t>
  </si>
  <si>
    <t>ACT-2026-0009</t>
  </si>
  <si>
    <t>01-Mar</t>
  </si>
  <si>
    <t>Warehouse Receiving / RCV-BKE-2026-0009</t>
  </si>
  <si>
    <t>ACT-2026-0010</t>
  </si>
  <si>
    <t>Warehouse Receiving / RCV-BKE-2026-0010</t>
  </si>
  <si>
    <t>ACT-2026-0011</t>
  </si>
  <si>
    <t>Warehouse Receiving / RCV-BKE-2026-0011</t>
  </si>
  <si>
    <t>ACT-2026-0012</t>
  </si>
  <si>
    <t>Warehouse Receiving / RCV-BKE-2026-0012</t>
  </si>
  <si>
    <t>ACT-2026-0013</t>
  </si>
  <si>
    <t>Warehouse Receiving / RCV-BKE-2026-0013</t>
  </si>
  <si>
    <t>ACT-2026-0014</t>
  </si>
  <si>
    <t>27-Mar</t>
  </si>
  <si>
    <t>Warehouse Receiving / RCV-BKE-2026-0014</t>
  </si>
  <si>
    <t>ACT-2026-0015</t>
  </si>
  <si>
    <t>08-Apr</t>
  </si>
  <si>
    <t>Warehouse Receiving / RCV-BKE-2026-0015</t>
  </si>
  <si>
    <t>ACT-2026-0016</t>
  </si>
  <si>
    <t>09-Apr</t>
  </si>
  <si>
    <t>Warehouse Receiving / RCV-BKE-2026-0016</t>
  </si>
  <si>
    <t>ACT-2026-0017</t>
  </si>
  <si>
    <t>Warehouse Receiving / RCV-BKE-2026-0017</t>
  </si>
  <si>
    <t>ACT-2026-0018</t>
  </si>
  <si>
    <t>Warehouse Receiving / RCV-BKE-2026-0018</t>
  </si>
  <si>
    <t>ACT-2026-0019</t>
  </si>
  <si>
    <t>Warehouse Receiving / RCV-BKE-2026-0019</t>
  </si>
  <si>
    <t>ACT-2026-0020</t>
  </si>
  <si>
    <t>Warehouse Receiving / RCV-BKE-2026-0020</t>
  </si>
  <si>
    <t>ACT-2026-0021</t>
  </si>
  <si>
    <t>DRYING / SORTING</t>
  </si>
  <si>
    <t>Drying Operations / DRY-BKE-2026-001</t>
  </si>
  <si>
    <t>DRY-BKE-2026-001</t>
  </si>
  <si>
    <t>ACT-2026-0022</t>
  </si>
  <si>
    <t>Drying Operations / DRY-BKE-2026-002</t>
  </si>
  <si>
    <t>DRY-BKE-2026-002</t>
  </si>
  <si>
    <t>ACT-2026-0023</t>
  </si>
  <si>
    <t>Drying Operations / DRY-BKE-2026-003</t>
  </si>
  <si>
    <t>DRY-BKE-2026-003</t>
  </si>
  <si>
    <t>ACT-2026-0024</t>
  </si>
  <si>
    <t>03-Jun</t>
  </si>
  <si>
    <t>Drying Operations / DRY-BKE-2026-004</t>
  </si>
  <si>
    <t>DRY-BKE-2026-004</t>
  </si>
  <si>
    <t>ACT-2026-0025</t>
  </si>
  <si>
    <t>10-Mar</t>
  </si>
  <si>
    <t>Drying Operations / DRY-BKE-2026-005</t>
  </si>
  <si>
    <t>DRY-BKE-2026-005</t>
  </si>
  <si>
    <t>ACT-2026-0026</t>
  </si>
  <si>
    <t>Drying Operations / DRY-BKE-2026-006</t>
  </si>
  <si>
    <t>DRY-BKE-2026-006</t>
  </si>
  <si>
    <t>ACT-2026-0027</t>
  </si>
  <si>
    <t>04-Apr</t>
  </si>
  <si>
    <t>Drying Operations / DRY-BKE-2026-007</t>
  </si>
  <si>
    <t>DRY-BKE-2026-007</t>
  </si>
  <si>
    <t>ACT-2026-0028</t>
  </si>
  <si>
    <t>13-Apr</t>
  </si>
  <si>
    <t>Drying Operations / DRY-BKE-2026-008</t>
  </si>
  <si>
    <t>DRY-BKE-2026-008</t>
  </si>
  <si>
    <t>ACT-2026-0029</t>
  </si>
  <si>
    <t>Drying Operations / DRY-BKE-2026-009</t>
  </si>
  <si>
    <t>DRY-BKE-2026-009</t>
  </si>
  <si>
    <t>ACT-2026-0030</t>
  </si>
  <si>
    <t>Drying Operations / DRY-BKE-2026-010</t>
  </si>
  <si>
    <t>DRY-BKE-2026-010</t>
  </si>
  <si>
    <t>ACT-2026-0031</t>
  </si>
  <si>
    <t>15-May</t>
  </si>
  <si>
    <t>Drying Operations / DRY-BKE-2026-011</t>
  </si>
  <si>
    <t>DRY-BKE-2026-011</t>
  </si>
  <si>
    <t>ACT-2026-0032</t>
  </si>
  <si>
    <t>17-May</t>
  </si>
  <si>
    <t>Drying Operations / DRY-BKE-2026-012</t>
  </si>
  <si>
    <t>SCOOPS AC SOURCING, SCOOPS DPVICA</t>
  </si>
  <si>
    <t>DRY-BKE-2026-012</t>
  </si>
  <si>
    <t>ACT-2026-0033</t>
  </si>
  <si>
    <t>TRANSFER DISPATCH</t>
  </si>
  <si>
    <t>Stock Transfers / BKT-2026-001</t>
  </si>
  <si>
    <t>YAMOUSSOUKRO / FACTORY</t>
  </si>
  <si>
    <t>BKT-2026-001</t>
  </si>
  <si>
    <t>ACT-2026-0034</t>
  </si>
  <si>
    <t>Stock Transfers / BKT-2026-002</t>
  </si>
  <si>
    <t>BKT-2026-002</t>
  </si>
  <si>
    <t>ACT-2026-0035</t>
  </si>
  <si>
    <t>Stock Transfers / BKT-2026-003</t>
  </si>
  <si>
    <t>BKT-2026-003</t>
  </si>
  <si>
    <t>ACT-2026-0036</t>
  </si>
  <si>
    <t>18-Mar</t>
  </si>
  <si>
    <t>Stock Transfers / BKT-2026-004</t>
  </si>
  <si>
    <t>BKT-2026-004</t>
  </si>
  <si>
    <t>ACT-2026-0037</t>
  </si>
  <si>
    <t>Stock Transfers / BKT-2026-005</t>
  </si>
  <si>
    <t>BKT-2026-005</t>
  </si>
  <si>
    <t>ACT-2026-0038</t>
  </si>
  <si>
    <t>Stock Transfers / BKT-2026-006</t>
  </si>
  <si>
    <t>BKT-2026-006</t>
  </si>
  <si>
    <t>ACT-2026-0039</t>
  </si>
  <si>
    <t>Stock Transfers / BKT-2026-007</t>
  </si>
  <si>
    <t>BKT-2026-007</t>
  </si>
  <si>
    <t>ACT-2026-0040</t>
  </si>
  <si>
    <t>Stock Transfers / BKT-2026-008</t>
  </si>
  <si>
    <t>BKT-2026-008</t>
  </si>
  <si>
    <t>ACT-2026-0041</t>
  </si>
  <si>
    <t>Stock Transfers / BKT-2026-009</t>
  </si>
  <si>
    <t>BKT-2026-009</t>
  </si>
  <si>
    <t>ACT-2026-0042</t>
  </si>
  <si>
    <t>Stock Transfers / BKT-2026-010</t>
  </si>
  <si>
    <t>BKT-2026-010</t>
  </si>
  <si>
    <t>ACT-2026-0043</t>
  </si>
  <si>
    <t>Jute Bags Ledger / JBM-BKE-2026-001</t>
  </si>
  <si>
    <t>JUTE BAGS RECEIVED</t>
  </si>
  <si>
    <t>ACT-2026-0044</t>
  </si>
  <si>
    <t>Jute Bags Ledger / JBM-BKE-2026-002</t>
  </si>
  <si>
    <t>ACT-2026-0045</t>
  </si>
  <si>
    <t>Jute Bags Ledger / JBM-BKE-2026-003</t>
  </si>
  <si>
    <t>ACT-2026-0046</t>
  </si>
  <si>
    <t>Jute Bags Ledger / JBM-BKE-2026-004</t>
  </si>
  <si>
    <t>ACT-2026-0047</t>
  </si>
  <si>
    <t>Jute Bags Ledger / JBM-BKE-2026-005</t>
  </si>
  <si>
    <t>ACT-2026-0048</t>
  </si>
  <si>
    <t>Jute Bags Ledger / JBM-BKE-2026-006</t>
  </si>
  <si>
    <t>ACT-2026-0049</t>
  </si>
  <si>
    <t>Jute Bags Ledger / JBM-BKE-2026-007</t>
  </si>
  <si>
    <t>ACT-2026-0050</t>
  </si>
  <si>
    <t>Jute Bags Ledger / JBM-BKE-2026-008</t>
  </si>
  <si>
    <t>ACT-2026-0051</t>
  </si>
  <si>
    <t>Jute Bags Ledger / JBM-BKE-2026-009</t>
  </si>
  <si>
    <t>ACT-2026-0052</t>
  </si>
  <si>
    <t>Jute Bags Ledger / JBM-BKE-2026-010</t>
  </si>
  <si>
    <t>LBA-012-CPE</t>
  </si>
  <si>
    <t>LBA-019-FRA</t>
  </si>
  <si>
    <t>LBA-022-NEG</t>
  </si>
  <si>
    <t>LBA-023-AGR</t>
  </si>
  <si>
    <t>SCAAMT COOP CA</t>
  </si>
  <si>
    <t>SCOOP ASER</t>
  </si>
  <si>
    <t>SANOGO SINDOU</t>
  </si>
  <si>
    <t>SCOOPS WEBE</t>
  </si>
  <si>
    <t>CAPCD-SCOOPS</t>
  </si>
  <si>
    <t>SCOOPS-OUMI/KONE SIDY</t>
  </si>
  <si>
    <t>COP JAVA SCOOPS</t>
  </si>
  <si>
    <t>SCOOP IMANE</t>
  </si>
  <si>
    <t>CASP-S SCOOPS</t>
  </si>
  <si>
    <t>SCOPPAS SCOOPS</t>
  </si>
  <si>
    <t>DAGNOGO KARIM</t>
  </si>
  <si>
    <t>SCOOPS BAY SCOOPS</t>
  </si>
  <si>
    <t>SCOOPS KPESSO</t>
  </si>
  <si>
    <t>SCOOP-CA/COBAN</t>
  </si>
  <si>
    <t>SCOOPS DPVICA</t>
  </si>
  <si>
    <t>KOUASSI DJE FABRICE</t>
  </si>
  <si>
    <t>SCOOPS-SOCOSIDJI</t>
  </si>
  <si>
    <t>CPAS SCOOPS</t>
  </si>
  <si>
    <t>SCOOPS FRA PRO</t>
  </si>
  <si>
    <t>SCOOPS SKS</t>
  </si>
  <si>
    <t>SCOOPS AGRO NEGOCE</t>
  </si>
  <si>
    <t>AGRICAS IVOIRE</t>
  </si>
  <si>
    <t>AV2744KK0R</t>
  </si>
  <si>
    <t>9970HE07</t>
  </si>
  <si>
    <t>2596FZ03</t>
  </si>
  <si>
    <t>AA141VT01</t>
  </si>
  <si>
    <t>4981JR04</t>
  </si>
  <si>
    <t>8188KU03</t>
  </si>
  <si>
    <t>5116HF01</t>
  </si>
  <si>
    <t xml:space="preserve">Lot No </t>
  </si>
  <si>
    <t>13</t>
  </si>
  <si>
    <t>8</t>
  </si>
  <si>
    <t>12</t>
  </si>
  <si>
    <t>387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</si>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</sst>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-mmm\-yyyy"/>
    <numFmt numFmtId="166" formatCode="#,##0.00;[Red]\(#,##0.00\);\-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0"/>
      <color rgb="FFFFFFFF"/>
      <name val="Arial"/>
    </font>
    <font>
      <sz val="9"/>
      <color rgb="FF323131"/>
      <name val="Arial"/>
    </font>
    <font>
      <sz val="9"/>
      <color rgb="FF008000"/>
      <name val="Arial"/>
    </font>
    <font>
      <sz val="9"/>
      <color rgb="FF7A7878"/>
      <name val="Consolas"/>
    </font>
    <font>
      <b/>
      <sz val="9"/>
      <color rgb="FF008F37"/>
      <name val="Arial"/>
    </font>
    <font>
      <b/>
      <sz val="9"/>
      <color rgb="FFC0392B"/>
      <name val="Arial"/>
    </font>
  </fonts>
  <fills count="7">
    <fill>
      <patternFill patternType="none"/>
    </fill>
    <fill>
      <patternFill patternType="gray125"/>
    </fill>
    <fill>
      <patternFill patternType="solid">
        <fgColor rgb="FF053B23"/>
      </patternFill>
    </fill>
    <fill>
      <patternFill patternType="solid">
        <fgColor rgb="FFE0F3DE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4CCCC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8F37"/>
      </bottom>
      <diagonal/>
    </border>
    <border>
      <left/>
      <right/>
      <top/>
      <bottom style="thin">
        <color rgb="FFE8E7E7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165" fontId="4" fillId="3" borderId="2" xfId="0" applyNumberFormat="1" applyFont="1" applyFill="1" applyBorder="1" applyAlignment="1">
      <alignment vertical="center"/>
    </xf>
    <xf numFmtId="166" fontId="4" fillId="3" borderId="2" xfId="0" applyNumberFormat="1" applyFont="1" applyFill="1" applyBorder="1" applyAlignment="1">
      <alignment horizontal="right" vertical="center"/>
    </xf>
    <xf numFmtId="166" fontId="4" fillId="3" borderId="2" xfId="0" applyNumberFormat="1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166" fontId="3" fillId="3" borderId="2" xfId="0" applyNumberFormat="1" applyFont="1" applyFill="1" applyBorder="1" applyAlignment="1">
      <alignment horizontal="right" vertical="center"/>
    </xf>
    <xf numFmtId="166" fontId="3" fillId="3" borderId="2" xfId="0" applyNumberFormat="1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5" fillId="5" borderId="2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165" fontId="4" fillId="5" borderId="2" xfId="0" applyNumberFormat="1" applyFont="1" applyFill="1" applyBorder="1" applyAlignment="1">
      <alignment vertical="center"/>
    </xf>
    <xf numFmtId="166" fontId="4" fillId="5" borderId="2" xfId="0" applyNumberFormat="1" applyFont="1" applyFill="1" applyBorder="1" applyAlignment="1">
      <alignment horizontal="right" vertical="center"/>
    </xf>
    <xf numFmtId="166" fontId="4" fillId="5" borderId="2" xfId="0" applyNumberFormat="1" applyFont="1" applyFill="1" applyBorder="1" applyAlignment="1">
      <alignment vertical="center"/>
    </xf>
    <xf numFmtId="166" fontId="3" fillId="5" borderId="2" xfId="0" applyNumberFormat="1" applyFont="1" applyFill="1" applyBorder="1" applyAlignment="1">
      <alignment horizontal="right" vertical="center"/>
    </xf>
    <xf numFmtId="166" fontId="3" fillId="5" borderId="2" xfId="0" applyNumberFormat="1" applyFont="1" applyFill="1" applyBorder="1" applyAlignment="1">
      <alignment vertical="center"/>
    </xf>
    <xf numFmtId="2" fontId="4" fillId="3" borderId="2" xfId="0" applyNumberFormat="1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right" vertical="center"/>
    </xf>
    <xf numFmtId="2" fontId="4" fillId="5" borderId="2" xfId="0" applyNumberFormat="1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right" vertical="center"/>
    </xf>
    <xf numFmtId="0" fontId="7" fillId="6" borderId="2" xfId="0" applyFont="1" applyFill="1" applyBorder="1" applyAlignment="1">
      <alignment vertical="center"/>
    </xf>
    <xf numFmtId="0" fontId="3" fillId="5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right" vertical="center"/>
    </xf>
    <xf numFmtId="2" fontId="3" fillId="3" borderId="2" xfId="0" applyNumberFormat="1" applyFont="1" applyFill="1" applyBorder="1" applyAlignment="1">
      <alignment horizontal="right" vertical="center"/>
    </xf>
    <xf numFmtId="0" fontId="3" fillId="5" borderId="2" xfId="0" applyFont="1" applyFill="1" applyBorder="1" applyAlignment="1">
      <alignment horizontal="right" vertical="center"/>
    </xf>
    <xf numFmtId="2" fontId="3" fillId="5" borderId="2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right" vertical="center"/>
    </xf>
    <xf numFmtId="14" fontId="2" fillId="2" borderId="1" xfId="0" applyNumberFormat="1" applyFont="1" applyFill="1" applyBorder="1" applyAlignment="1">
      <alignment vertical="center" wrapText="1"/>
    </xf>
    <xf numFmtId="14" fontId="4" fillId="3" borderId="2" xfId="0" applyNumberFormat="1" applyFont="1" applyFill="1" applyBorder="1" applyAlignment="1">
      <alignment vertical="center"/>
    </xf>
    <xf numFmtId="14" fontId="4" fillId="5" borderId="2" xfId="0" applyNumberFormat="1" applyFont="1" applyFill="1" applyBorder="1" applyAlignment="1">
      <alignment vertical="center"/>
    </xf>
    <xf numFmtId="14" fontId="0" fillId="0" borderId="0" xfId="0" applyNumberFormat="1"/>
    <xf numFmtId="165" fontId="4" fillId="3" borderId="2" xfId="0" applyNumberFormat="1" applyFont="1" applyFill="1" applyBorder="1" applyAlignment="1">
      <alignment horizontal="left" vertical="center"/>
    </xf>
    <xf numFmtId="165" fontId="4" fillId="5" borderId="2" xfId="0" applyNumberFormat="1" applyFont="1" applyFill="1" applyBorder="1" applyAlignment="1">
      <alignment horizontal="left" vertical="center"/>
    </xf>
    <xf numFmtId="49" fontId="4" fillId="3" borderId="2" xfId="0" applyNumberFormat="1" applyFont="1" applyFill="1" applyBorder="1" applyAlignment="1">
      <alignment vertical="center"/>
    </xf>
    <xf numFmtId="49" fontId="4" fillId="5" borderId="2" xfId="0" applyNumberFormat="1" applyFont="1" applyFill="1" applyBorder="1" applyAlignment="1">
      <alignment vertical="center"/>
    </xf>
    <xf numFmtId="49" fontId="5" fillId="3" borderId="2" xfId="0" applyNumberFormat="1" applyFont="1" applyFill="1" applyBorder="1" applyAlignment="1">
      <alignment vertical="center"/>
    </xf>
    <xf numFmtId="49" fontId="5" fillId="5" borderId="2" xfId="0" applyNumberFormat="1" applyFont="1" applyFill="1" applyBorder="1" applyAlignment="1">
      <alignment vertical="center"/>
    </xf>
    <xf numFmtId="1" fontId="4" fillId="3" borderId="2" xfId="0" applyNumberFormat="1" applyFont="1" applyFill="1" applyBorder="1" applyAlignment="1">
      <alignment vertical="center"/>
    </xf>
    <xf numFmtId="1" fontId="4" fillId="5" borderId="2" xfId="0" applyNumberFormat="1" applyFont="1" applyFill="1" applyBorder="1" applyAlignment="1">
      <alignment vertical="center"/>
    </xf>
    <xf numFmtId="1" fontId="5" fillId="3" borderId="2" xfId="0" applyNumberFormat="1" applyFont="1" applyFill="1" applyBorder="1" applyAlignment="1">
      <alignment vertical="center"/>
    </xf>
    <xf numFmtId="1" fontId="5" fillId="5" borderId="2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49" fontId="5" fillId="3" borderId="2" xfId="0" applyNumberFormat="1" applyFont="1" applyFill="1" applyBorder="1" applyAlignment="1">
      <alignment horizontal="center" vertical="center"/>
    </xf>
    <xf numFmtId="49" fontId="5" fillId="5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B23C04E-293E-4C5C-9E25-0B117C0C74DE}">
  <we:reference id="wa200010215" version="2.0.0.1" store="fr-FR" storeType="OMEX"/>
  <we:alternateReferences>
    <we:reference id="wa200010215" version="2.0.0.1" store="" storeType="OMEX"/>
  </we:alternateReferences>
  <we:properties>
    <we:property name="bps.codex_control.document_id" value="&quot;a25954dc-332c-4244-8039-7e7ee9f7d9c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8DC556"/>
  </sheetPr>
  <dimension ref="A1:T11"/>
  <sheetViews>
    <sheetView showGridLines="0" tabSelected="1" workbookViewId="0">
      <pane xSplit="1" ySplit="1" topLeftCell="B2" activePane="bottomRight" state="frozen"/>
      <selection pane="topRight"/>
      <selection pane="bottomLeft"/>
      <selection pane="bottomRight" activeCell="B23" sqref="B23"/>
    </sheetView>
  </sheetViews>
  <sheetFormatPr baseColWidth="10" defaultColWidth="8.88671875" defaultRowHeight="14.4" x14ac:dyDescent="0.3"/>
  <cols>
    <col min="1" max="1" width="20" customWidth="1"/>
    <col min="2" max="4" width="14" customWidth="1"/>
    <col min="5" max="5" width="26" customWidth="1"/>
    <col min="6" max="7" width="14" customWidth="1"/>
    <col min="8" max="8" width="15.109375" style="34" bestFit="1" customWidth="1"/>
    <col min="9" max="9" width="14.21875" style="34" bestFit="1" customWidth="1"/>
    <col min="10" max="11" width="14" customWidth="1"/>
    <col min="12" max="12" width="18" customWidth="1"/>
    <col min="13" max="13" width="26" customWidth="1"/>
    <col min="14" max="14" width="18" customWidth="1"/>
    <col min="15" max="19" width="14" customWidth="1"/>
    <col min="20" max="20" width="26" customWidth="1"/>
  </cols>
  <sheetData>
    <row r="1" spans="1:20" ht="34.049999999999997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1" t="s">
        <v>7</v>
      </c>
      <c r="I1" s="3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x14ac:dyDescent="0.3">
      <c r="A2" s="3" t="s">
        <v>20</v>
      </c>
      <c r="B2" s="4">
        <v>2026</v>
      </c>
      <c r="C2" s="5">
        <v>46069</v>
      </c>
      <c r="D2" s="4" t="s">
        <v>21</v>
      </c>
      <c r="E2" s="4" t="s">
        <v>1208</v>
      </c>
      <c r="F2" s="4" t="s">
        <v>22</v>
      </c>
      <c r="G2" s="4" t="s">
        <v>23</v>
      </c>
      <c r="H2" s="32">
        <v>46071</v>
      </c>
      <c r="I2" s="32">
        <v>46149</v>
      </c>
      <c r="J2" s="6">
        <v>142424</v>
      </c>
      <c r="K2" s="7">
        <v>4</v>
      </c>
      <c r="L2" s="4" t="s">
        <v>24</v>
      </c>
      <c r="M2" s="8" t="s">
        <v>25</v>
      </c>
      <c r="N2" s="9">
        <f>SUMIFS('Truck Reception'!$AD$2:$AD$500,'Truck Reception'!$AJ$2:$AJ$500,A2)</f>
        <v>142424</v>
      </c>
      <c r="O2" s="10">
        <f>COUNTIF('Truck Reception'!$AJ$2:$AJ$500,A2)</f>
        <v>4</v>
      </c>
      <c r="P2" s="10">
        <f>COUNTIFS('Truck Reception'!$AJ$2:$AJ$500,A2,'Truck Reception'!$AO$2:$AO$500,"STOCKED")</f>
        <v>3</v>
      </c>
      <c r="Q2" s="9">
        <f t="shared" ref="Q2:Q11" si="0">J2-N2</f>
        <v>0</v>
      </c>
      <c r="R2" s="9">
        <f t="shared" ref="R2:R11" si="1">N2-J2</f>
        <v>0</v>
      </c>
      <c r="S2" s="11" t="s">
        <v>26</v>
      </c>
      <c r="T2" s="4" t="s">
        <v>27</v>
      </c>
    </row>
    <row r="3" spans="1:20" x14ac:dyDescent="0.3">
      <c r="A3" s="12" t="s">
        <v>28</v>
      </c>
      <c r="B3" s="13">
        <v>2026</v>
      </c>
      <c r="C3" s="14">
        <v>46068</v>
      </c>
      <c r="D3" s="13" t="s">
        <v>29</v>
      </c>
      <c r="E3" s="13" t="s">
        <v>1209</v>
      </c>
      <c r="F3" s="13" t="s">
        <v>30</v>
      </c>
      <c r="G3" s="13" t="s">
        <v>31</v>
      </c>
      <c r="H3" s="33">
        <v>46071</v>
      </c>
      <c r="I3" s="33">
        <v>46146</v>
      </c>
      <c r="J3" s="15">
        <v>149036</v>
      </c>
      <c r="K3" s="16">
        <v>4</v>
      </c>
      <c r="L3" s="13" t="s">
        <v>24</v>
      </c>
      <c r="M3" s="8" t="s">
        <v>25</v>
      </c>
      <c r="N3" s="17">
        <f>SUMIFS('Truck Reception'!$AD$2:$AD$500,'Truck Reception'!$AJ$2:$AJ$500,A3)</f>
        <v>149036</v>
      </c>
      <c r="O3" s="18">
        <f>COUNTIF('Truck Reception'!$AJ$2:$AJ$500,A3)</f>
        <v>4</v>
      </c>
      <c r="P3" s="18">
        <f>COUNTIFS('Truck Reception'!$AJ$2:$AJ$500,A3,'Truck Reception'!$AO$2:$AO$500,"STOCKED")</f>
        <v>3</v>
      </c>
      <c r="Q3" s="17">
        <f t="shared" si="0"/>
        <v>0</v>
      </c>
      <c r="R3" s="17">
        <f t="shared" si="1"/>
        <v>0</v>
      </c>
      <c r="S3" s="11" t="s">
        <v>32</v>
      </c>
      <c r="T3" s="13" t="s">
        <v>27</v>
      </c>
    </row>
    <row r="4" spans="1:20" x14ac:dyDescent="0.3">
      <c r="A4" s="3" t="s">
        <v>33</v>
      </c>
      <c r="B4" s="4">
        <v>2026</v>
      </c>
      <c r="C4" s="5">
        <v>46075</v>
      </c>
      <c r="D4" s="4" t="s">
        <v>34</v>
      </c>
      <c r="E4" s="4" t="s">
        <v>734</v>
      </c>
      <c r="F4" s="4" t="s">
        <v>35</v>
      </c>
      <c r="G4" s="4" t="s">
        <v>23</v>
      </c>
      <c r="H4" s="32">
        <v>46077</v>
      </c>
      <c r="I4" s="32">
        <v>46145</v>
      </c>
      <c r="J4" s="6">
        <v>116106</v>
      </c>
      <c r="K4" s="7">
        <v>4</v>
      </c>
      <c r="L4" s="4" t="s">
        <v>24</v>
      </c>
      <c r="M4" s="8" t="s">
        <v>25</v>
      </c>
      <c r="N4" s="9">
        <f>SUMIFS('Truck Reception'!$AD$2:$AD$500,'Truck Reception'!$AJ$2:$AJ$500,A4)</f>
        <v>116106</v>
      </c>
      <c r="O4" s="10">
        <f>COUNTIF('Truck Reception'!$AJ$2:$AJ$500,A4)</f>
        <v>4</v>
      </c>
      <c r="P4" s="10">
        <f>COUNTIFS('Truck Reception'!$AJ$2:$AJ$500,A4,'Truck Reception'!$AO$2:$AO$500,"STOCKED")</f>
        <v>3</v>
      </c>
      <c r="Q4" s="9">
        <f t="shared" si="0"/>
        <v>0</v>
      </c>
      <c r="R4" s="9">
        <f t="shared" si="1"/>
        <v>0</v>
      </c>
      <c r="S4" s="11" t="s">
        <v>36</v>
      </c>
      <c r="T4" s="4" t="s">
        <v>27</v>
      </c>
    </row>
    <row r="5" spans="1:20" x14ac:dyDescent="0.3">
      <c r="A5" s="12" t="s">
        <v>37</v>
      </c>
      <c r="B5" s="13">
        <v>2026</v>
      </c>
      <c r="C5" s="14">
        <v>46120</v>
      </c>
      <c r="D5" s="13" t="s">
        <v>38</v>
      </c>
      <c r="E5" s="13" t="s">
        <v>1210</v>
      </c>
      <c r="F5" s="13" t="s">
        <v>30</v>
      </c>
      <c r="G5" s="13"/>
      <c r="H5" s="33">
        <v>46122</v>
      </c>
      <c r="I5" s="33">
        <v>46146</v>
      </c>
      <c r="J5" s="15">
        <v>134389</v>
      </c>
      <c r="K5" s="16">
        <v>4</v>
      </c>
      <c r="L5" s="13" t="s">
        <v>24</v>
      </c>
      <c r="M5" s="8" t="s">
        <v>25</v>
      </c>
      <c r="N5" s="17">
        <f>SUMIFS('Truck Reception'!$AD$2:$AD$500,'Truck Reception'!$AJ$2:$AJ$500,A5)</f>
        <v>134389</v>
      </c>
      <c r="O5" s="18">
        <f>COUNTIF('Truck Reception'!$AJ$2:$AJ$500,A5)</f>
        <v>4</v>
      </c>
      <c r="P5" s="18">
        <f>COUNTIFS('Truck Reception'!$AJ$2:$AJ$500,A5,'Truck Reception'!$AO$2:$AO$500,"STOCKED")</f>
        <v>3</v>
      </c>
      <c r="Q5" s="17">
        <f t="shared" si="0"/>
        <v>0</v>
      </c>
      <c r="R5" s="17">
        <f t="shared" si="1"/>
        <v>0</v>
      </c>
      <c r="S5" s="11" t="s">
        <v>39</v>
      </c>
      <c r="T5" s="13" t="s">
        <v>27</v>
      </c>
    </row>
    <row r="6" spans="1:20" x14ac:dyDescent="0.3">
      <c r="A6" s="3" t="s">
        <v>40</v>
      </c>
      <c r="B6" s="4">
        <v>2026</v>
      </c>
      <c r="C6" s="5">
        <v>46069</v>
      </c>
      <c r="D6" s="4" t="s">
        <v>41</v>
      </c>
      <c r="E6" s="4" t="s">
        <v>1211</v>
      </c>
      <c r="F6" s="4" t="s">
        <v>42</v>
      </c>
      <c r="G6" s="4" t="s">
        <v>23</v>
      </c>
      <c r="H6" s="32">
        <v>46071</v>
      </c>
      <c r="I6" s="32">
        <v>46146</v>
      </c>
      <c r="J6" s="6">
        <v>126434</v>
      </c>
      <c r="K6" s="7">
        <v>4</v>
      </c>
      <c r="L6" s="4" t="s">
        <v>24</v>
      </c>
      <c r="M6" s="8" t="s">
        <v>25</v>
      </c>
      <c r="N6" s="9">
        <f>SUMIFS('Truck Reception'!$AD$2:$AD$500,'Truck Reception'!$AJ$2:$AJ$500,A6)</f>
        <v>126434</v>
      </c>
      <c r="O6" s="10">
        <f>COUNTIF('Truck Reception'!$AJ$2:$AJ$500,A6)</f>
        <v>4</v>
      </c>
      <c r="P6" s="10">
        <f>COUNTIFS('Truck Reception'!$AJ$2:$AJ$500,A6,'Truck Reception'!$AO$2:$AO$500,"STOCKED")</f>
        <v>3</v>
      </c>
      <c r="Q6" s="9">
        <f t="shared" si="0"/>
        <v>0</v>
      </c>
      <c r="R6" s="9">
        <f t="shared" si="1"/>
        <v>0</v>
      </c>
      <c r="S6" s="11" t="s">
        <v>43</v>
      </c>
      <c r="T6" s="4" t="s">
        <v>27</v>
      </c>
    </row>
    <row r="7" spans="1:20" x14ac:dyDescent="0.3">
      <c r="A7" s="12" t="s">
        <v>44</v>
      </c>
      <c r="B7" s="13">
        <v>2026</v>
      </c>
      <c r="C7" s="14">
        <v>46069</v>
      </c>
      <c r="D7" s="13" t="s">
        <v>45</v>
      </c>
      <c r="E7" s="13" t="s">
        <v>1212</v>
      </c>
      <c r="F7" s="13" t="s">
        <v>46</v>
      </c>
      <c r="G7" s="13" t="s">
        <v>47</v>
      </c>
      <c r="H7" s="33">
        <v>46071</v>
      </c>
      <c r="I7" s="33">
        <v>46145</v>
      </c>
      <c r="J7" s="15">
        <v>78715</v>
      </c>
      <c r="K7" s="16">
        <v>3</v>
      </c>
      <c r="L7" s="13" t="s">
        <v>24</v>
      </c>
      <c r="M7" s="8" t="s">
        <v>25</v>
      </c>
      <c r="N7" s="17">
        <f>SUMIFS('Truck Reception'!$AD$2:$AD$500,'Truck Reception'!$AJ$2:$AJ$500,A7)</f>
        <v>92606</v>
      </c>
      <c r="O7" s="18">
        <f>COUNTIF('Truck Reception'!$AJ$2:$AJ$500,A7)</f>
        <v>3</v>
      </c>
      <c r="P7" s="18">
        <f>COUNTIFS('Truck Reception'!$AJ$2:$AJ$500,A7,'Truck Reception'!$AO$2:$AO$500,"STOCKED")</f>
        <v>3</v>
      </c>
      <c r="Q7" s="17">
        <f t="shared" si="0"/>
        <v>-13891</v>
      </c>
      <c r="R7" s="17">
        <f t="shared" si="1"/>
        <v>13891</v>
      </c>
      <c r="S7" s="11" t="s">
        <v>48</v>
      </c>
      <c r="T7" s="13" t="s">
        <v>27</v>
      </c>
    </row>
    <row r="8" spans="1:20" x14ac:dyDescent="0.3">
      <c r="A8" s="3" t="s">
        <v>49</v>
      </c>
      <c r="B8" s="4">
        <v>2026</v>
      </c>
      <c r="C8" s="5">
        <v>46068</v>
      </c>
      <c r="D8" s="4" t="s">
        <v>50</v>
      </c>
      <c r="E8" s="4" t="s">
        <v>695</v>
      </c>
      <c r="F8" s="4" t="s">
        <v>51</v>
      </c>
      <c r="G8" s="4" t="s">
        <v>31</v>
      </c>
      <c r="H8" s="32">
        <v>46070</v>
      </c>
      <c r="I8" s="32">
        <v>46144</v>
      </c>
      <c r="J8" s="6">
        <v>135594</v>
      </c>
      <c r="K8" s="7">
        <v>3</v>
      </c>
      <c r="L8" s="4" t="s">
        <v>24</v>
      </c>
      <c r="M8" s="11" t="s">
        <v>52</v>
      </c>
      <c r="N8" s="9">
        <f>SUMIFS('Truck Reception'!$AD$2:$AD$500,'Truck Reception'!$AJ$2:$AJ$500,A8)</f>
        <v>135594</v>
      </c>
      <c r="O8" s="10">
        <f>COUNTIF('Truck Reception'!$AJ$2:$AJ$500,A8)</f>
        <v>3</v>
      </c>
      <c r="P8" s="10">
        <f>COUNTIFS('Truck Reception'!$AJ$2:$AJ$500,A8,'Truck Reception'!$AO$2:$AO$500,"STOCKED")</f>
        <v>3</v>
      </c>
      <c r="Q8" s="9">
        <f t="shared" si="0"/>
        <v>0</v>
      </c>
      <c r="R8" s="9">
        <f t="shared" si="1"/>
        <v>0</v>
      </c>
      <c r="S8" s="11" t="s">
        <v>53</v>
      </c>
      <c r="T8" s="4" t="s">
        <v>27</v>
      </c>
    </row>
    <row r="9" spans="1:20" x14ac:dyDescent="0.3">
      <c r="A9" s="12" t="s">
        <v>54</v>
      </c>
      <c r="B9" s="13">
        <v>2026</v>
      </c>
      <c r="C9" s="14">
        <v>46068</v>
      </c>
      <c r="D9" s="13" t="s">
        <v>55</v>
      </c>
      <c r="E9" s="13" t="s">
        <v>1213</v>
      </c>
      <c r="F9" s="13" t="s">
        <v>46</v>
      </c>
      <c r="G9" s="13" t="s">
        <v>31</v>
      </c>
      <c r="H9" s="33">
        <v>46070</v>
      </c>
      <c r="I9" s="33">
        <v>46146</v>
      </c>
      <c r="J9" s="15">
        <v>141898</v>
      </c>
      <c r="K9" s="16">
        <v>3</v>
      </c>
      <c r="L9" s="13" t="s">
        <v>24</v>
      </c>
      <c r="M9" s="8" t="s">
        <v>25</v>
      </c>
      <c r="N9" s="17">
        <f>SUMIFS('Truck Reception'!$AD$2:$AD$500,'Truck Reception'!$AJ$2:$AJ$500,A9)</f>
        <v>141898</v>
      </c>
      <c r="O9" s="18">
        <f>COUNTIF('Truck Reception'!$AJ$2:$AJ$500,A9)</f>
        <v>3</v>
      </c>
      <c r="P9" s="18">
        <f>COUNTIFS('Truck Reception'!$AJ$2:$AJ$500,A9,'Truck Reception'!$AO$2:$AO$500,"STOCKED")</f>
        <v>3</v>
      </c>
      <c r="Q9" s="17">
        <f t="shared" si="0"/>
        <v>0</v>
      </c>
      <c r="R9" s="17">
        <f t="shared" si="1"/>
        <v>0</v>
      </c>
      <c r="S9" s="11" t="s">
        <v>56</v>
      </c>
      <c r="T9" s="13" t="s">
        <v>27</v>
      </c>
    </row>
    <row r="10" spans="1:20" x14ac:dyDescent="0.3">
      <c r="A10" s="3" t="s">
        <v>57</v>
      </c>
      <c r="B10" s="4">
        <v>2026</v>
      </c>
      <c r="C10" s="5">
        <v>46072</v>
      </c>
      <c r="D10" s="4" t="s">
        <v>58</v>
      </c>
      <c r="E10" s="4" t="s">
        <v>698</v>
      </c>
      <c r="F10" s="4" t="s">
        <v>35</v>
      </c>
      <c r="G10" s="4" t="s">
        <v>31</v>
      </c>
      <c r="H10" s="32">
        <v>46074</v>
      </c>
      <c r="I10" s="32">
        <v>46146</v>
      </c>
      <c r="J10" s="6">
        <v>128412</v>
      </c>
      <c r="K10" s="7">
        <v>3</v>
      </c>
      <c r="L10" s="4" t="s">
        <v>24</v>
      </c>
      <c r="M10" s="8" t="s">
        <v>25</v>
      </c>
      <c r="N10" s="9">
        <f>SUMIFS('Truck Reception'!$AD$2:$AD$500,'Truck Reception'!$AJ$2:$AJ$500,A10)</f>
        <v>128412</v>
      </c>
      <c r="O10" s="10">
        <f>COUNTIF('Truck Reception'!$AJ$2:$AJ$500,A10)</f>
        <v>3</v>
      </c>
      <c r="P10" s="10">
        <f>COUNTIFS('Truck Reception'!$AJ$2:$AJ$500,A10,'Truck Reception'!$AO$2:$AO$500,"STOCKED")</f>
        <v>3</v>
      </c>
      <c r="Q10" s="9">
        <f t="shared" si="0"/>
        <v>0</v>
      </c>
      <c r="R10" s="9">
        <f t="shared" si="1"/>
        <v>0</v>
      </c>
      <c r="S10" s="11" t="s">
        <v>56</v>
      </c>
      <c r="T10" s="4" t="s">
        <v>27</v>
      </c>
    </row>
    <row r="11" spans="1:20" x14ac:dyDescent="0.3">
      <c r="A11" s="12" t="s">
        <v>59</v>
      </c>
      <c r="B11" s="13">
        <v>2026</v>
      </c>
      <c r="C11" s="14">
        <v>46070</v>
      </c>
      <c r="D11" s="13" t="s">
        <v>60</v>
      </c>
      <c r="E11" s="13" t="s">
        <v>1214</v>
      </c>
      <c r="F11" s="13" t="s">
        <v>22</v>
      </c>
      <c r="G11" s="13" t="s">
        <v>23</v>
      </c>
      <c r="H11" s="33">
        <v>46072</v>
      </c>
      <c r="I11" s="33">
        <v>46144</v>
      </c>
      <c r="J11" s="15">
        <v>141583</v>
      </c>
      <c r="K11" s="16">
        <v>3</v>
      </c>
      <c r="L11" s="13" t="s">
        <v>24</v>
      </c>
      <c r="M11" s="8" t="s">
        <v>25</v>
      </c>
      <c r="N11" s="17">
        <f>SUMIFS('Truck Reception'!$AD$2:$AD$500,'Truck Reception'!$AJ$2:$AJ$500,A11)</f>
        <v>141583</v>
      </c>
      <c r="O11" s="18">
        <f>COUNTIF('Truck Reception'!$AJ$2:$AJ$500,A11)</f>
        <v>3</v>
      </c>
      <c r="P11" s="18">
        <f>COUNTIFS('Truck Reception'!$AJ$2:$AJ$500,A11,'Truck Reception'!$AO$2:$AO$500,"STOCKED")</f>
        <v>3</v>
      </c>
      <c r="Q11" s="17">
        <f t="shared" si="0"/>
        <v>0</v>
      </c>
      <c r="R11" s="17">
        <f t="shared" si="1"/>
        <v>0</v>
      </c>
      <c r="S11" s="11" t="s">
        <v>56</v>
      </c>
      <c r="T11" s="13" t="s">
        <v>27</v>
      </c>
    </row>
  </sheetData>
  <autoFilter ref="A1:T11" xr:uid="{00000000-0009-0000-0000-000000000000}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8F37"/>
  </sheetPr>
  <dimension ref="A1:AO77"/>
  <sheetViews>
    <sheetView showGridLines="0" workbookViewId="0">
      <pane xSplit="1" ySplit="1" topLeftCell="S2" activePane="bottomRight" state="frozen"/>
      <selection pane="topRight"/>
      <selection pane="bottomLeft"/>
      <selection pane="bottomRight" activeCell="U2" sqref="U2"/>
    </sheetView>
  </sheetViews>
  <sheetFormatPr baseColWidth="10" defaultColWidth="8.88671875" defaultRowHeight="14.4" x14ac:dyDescent="0.3"/>
  <cols>
    <col min="1" max="1" width="20" customWidth="1"/>
    <col min="2" max="4" width="14" customWidth="1"/>
    <col min="5" max="5" width="14.77734375" customWidth="1"/>
    <col min="6" max="6" width="14" customWidth="1"/>
    <col min="7" max="7" width="26" customWidth="1"/>
    <col min="8" max="8" width="14" customWidth="1"/>
    <col min="9" max="9" width="16.33203125" bestFit="1" customWidth="1"/>
    <col min="10" max="10" width="20" customWidth="1"/>
    <col min="11" max="11" width="10.88671875" bestFit="1" customWidth="1"/>
    <col min="12" max="17" width="14" customWidth="1"/>
    <col min="18" max="18" width="26" customWidth="1"/>
    <col min="19" max="30" width="14" customWidth="1"/>
    <col min="31" max="31" width="16" bestFit="1" customWidth="1"/>
    <col min="32" max="32" width="28.21875" bestFit="1" customWidth="1"/>
    <col min="33" max="33" width="26" customWidth="1"/>
    <col min="34" max="35" width="14" customWidth="1"/>
    <col min="36" max="36" width="20" customWidth="1"/>
    <col min="37" max="41" width="26" customWidth="1"/>
  </cols>
  <sheetData>
    <row r="1" spans="1:41" s="1" customFormat="1" ht="34.049999999999997" customHeight="1" x14ac:dyDescent="0.3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4</v>
      </c>
      <c r="H1" s="2" t="s">
        <v>67</v>
      </c>
      <c r="I1" s="2" t="s">
        <v>68</v>
      </c>
      <c r="J1" s="2" t="s">
        <v>69</v>
      </c>
      <c r="K1" s="2" t="s">
        <v>70</v>
      </c>
      <c r="L1" s="2" t="s">
        <v>71</v>
      </c>
      <c r="M1" s="2" t="s">
        <v>72</v>
      </c>
      <c r="N1" s="2" t="s">
        <v>73</v>
      </c>
      <c r="O1" s="2" t="s">
        <v>74</v>
      </c>
      <c r="P1" s="2" t="s">
        <v>75</v>
      </c>
      <c r="Q1" s="2" t="s">
        <v>76</v>
      </c>
      <c r="R1" s="2" t="s">
        <v>77</v>
      </c>
      <c r="S1" s="2" t="s">
        <v>78</v>
      </c>
      <c r="T1" s="2" t="s">
        <v>79</v>
      </c>
      <c r="U1" s="2" t="s">
        <v>80</v>
      </c>
      <c r="V1" s="2" t="s">
        <v>81</v>
      </c>
      <c r="W1" s="2" t="s">
        <v>82</v>
      </c>
      <c r="X1" s="2" t="s">
        <v>83</v>
      </c>
      <c r="Y1" s="2" t="s">
        <v>84</v>
      </c>
      <c r="Z1" s="2" t="s">
        <v>85</v>
      </c>
      <c r="AA1" s="2" t="s">
        <v>86</v>
      </c>
      <c r="AB1" s="2" t="s">
        <v>87</v>
      </c>
      <c r="AC1" s="2" t="s">
        <v>88</v>
      </c>
      <c r="AD1" s="2" t="s">
        <v>89</v>
      </c>
      <c r="AE1" s="2" t="s">
        <v>90</v>
      </c>
      <c r="AF1" s="2" t="s">
        <v>91</v>
      </c>
      <c r="AG1" s="2" t="s">
        <v>92</v>
      </c>
      <c r="AH1" s="2" t="s">
        <v>93</v>
      </c>
      <c r="AI1" s="2" t="s">
        <v>94</v>
      </c>
      <c r="AJ1" s="2" t="s">
        <v>0</v>
      </c>
      <c r="AK1" s="2" t="s">
        <v>95</v>
      </c>
      <c r="AL1" s="2" t="s">
        <v>96</v>
      </c>
      <c r="AM1" s="2" t="s">
        <v>97</v>
      </c>
      <c r="AN1" s="2" t="s">
        <v>98</v>
      </c>
      <c r="AO1" s="2" t="s">
        <v>99</v>
      </c>
    </row>
    <row r="2" spans="1:41" x14ac:dyDescent="0.3">
      <c r="A2" s="3" t="s">
        <v>100</v>
      </c>
      <c r="B2" s="5">
        <v>46069</v>
      </c>
      <c r="C2" s="5">
        <v>46069</v>
      </c>
      <c r="D2" s="4" t="s">
        <v>101</v>
      </c>
      <c r="E2" s="4" t="s">
        <v>46</v>
      </c>
      <c r="F2" s="4" t="s">
        <v>47</v>
      </c>
      <c r="G2" s="4" t="s">
        <v>1215</v>
      </c>
      <c r="H2" s="4" t="s">
        <v>102</v>
      </c>
      <c r="I2" s="37" t="s">
        <v>103</v>
      </c>
      <c r="J2" s="3" t="s">
        <v>104</v>
      </c>
      <c r="K2" s="37">
        <v>72515</v>
      </c>
      <c r="L2" s="4" t="s">
        <v>105</v>
      </c>
      <c r="M2" s="19">
        <v>10.199999999999999</v>
      </c>
      <c r="N2" s="20">
        <v>172</v>
      </c>
      <c r="O2" s="20">
        <v>47.69</v>
      </c>
      <c r="P2" s="20">
        <v>48.4</v>
      </c>
      <c r="Q2" s="4" t="s">
        <v>106</v>
      </c>
      <c r="R2" s="20"/>
      <c r="S2" s="6">
        <v>41300</v>
      </c>
      <c r="T2" s="6"/>
      <c r="U2" s="6">
        <v>40822</v>
      </c>
      <c r="V2" s="9">
        <f>IF(OR(U2="",AA2=""),"",U2-AA2)</f>
        <v>40762</v>
      </c>
      <c r="W2" s="6">
        <v>478</v>
      </c>
      <c r="X2" s="6">
        <v>463</v>
      </c>
      <c r="Y2" s="6">
        <v>0</v>
      </c>
      <c r="Z2" s="6">
        <v>15</v>
      </c>
      <c r="AA2" s="6">
        <v>60</v>
      </c>
      <c r="AB2" s="20">
        <v>470</v>
      </c>
      <c r="AC2" s="9">
        <f>IF(OR(V2="",AB2=""),"",V2*AB2)</f>
        <v>19158140</v>
      </c>
      <c r="AD2" s="6">
        <v>40822</v>
      </c>
      <c r="AE2" s="39" t="s">
        <v>107</v>
      </c>
      <c r="AF2" s="37"/>
      <c r="AG2" s="4"/>
      <c r="AH2" s="4" t="s">
        <v>108</v>
      </c>
      <c r="AI2" s="4" t="s">
        <v>109</v>
      </c>
      <c r="AJ2" s="3"/>
      <c r="AK2" s="4" t="s">
        <v>110</v>
      </c>
      <c r="AL2" s="11" t="s">
        <v>111</v>
      </c>
      <c r="AM2" s="11" t="s">
        <v>112</v>
      </c>
      <c r="AN2" s="11" t="s">
        <v>113</v>
      </c>
      <c r="AO2" s="8" t="s">
        <v>114</v>
      </c>
    </row>
    <row r="3" spans="1:41" x14ac:dyDescent="0.3">
      <c r="A3" s="12" t="s">
        <v>115</v>
      </c>
      <c r="B3" s="14">
        <v>46069</v>
      </c>
      <c r="C3" s="14">
        <v>46069</v>
      </c>
      <c r="D3" s="13" t="s">
        <v>101</v>
      </c>
      <c r="E3" s="13" t="s">
        <v>46</v>
      </c>
      <c r="F3" s="13" t="s">
        <v>47</v>
      </c>
      <c r="G3" s="13" t="s">
        <v>1216</v>
      </c>
      <c r="H3" s="13" t="s">
        <v>116</v>
      </c>
      <c r="I3" s="38" t="s">
        <v>117</v>
      </c>
      <c r="J3" s="12" t="s">
        <v>118</v>
      </c>
      <c r="K3" s="38">
        <v>72533</v>
      </c>
      <c r="L3" s="13" t="s">
        <v>30</v>
      </c>
      <c r="M3" s="21">
        <v>9</v>
      </c>
      <c r="N3" s="22">
        <v>165</v>
      </c>
      <c r="O3" s="22">
        <v>48.41</v>
      </c>
      <c r="P3" s="22">
        <v>48.22</v>
      </c>
      <c r="Q3" s="13" t="s">
        <v>106</v>
      </c>
      <c r="R3" s="22"/>
      <c r="S3" s="15">
        <v>50880</v>
      </c>
      <c r="T3" s="15"/>
      <c r="U3" s="15">
        <v>50252</v>
      </c>
      <c r="V3" s="17">
        <f>IF(OR(U3="",AA3=""),"",U3-AA3)</f>
        <v>49976</v>
      </c>
      <c r="W3" s="15">
        <v>628</v>
      </c>
      <c r="X3" s="15">
        <v>559</v>
      </c>
      <c r="Y3" s="15">
        <v>0</v>
      </c>
      <c r="Z3" s="15">
        <v>69</v>
      </c>
      <c r="AA3" s="15">
        <v>276</v>
      </c>
      <c r="AB3" s="22">
        <v>490</v>
      </c>
      <c r="AC3" s="17">
        <f>IF(OR(V3="",AB3=""),"",V3*AB3)</f>
        <v>24488240</v>
      </c>
      <c r="AD3" s="15">
        <v>50252</v>
      </c>
      <c r="AE3" s="40" t="s">
        <v>119</v>
      </c>
      <c r="AF3" s="38"/>
      <c r="AG3" s="13"/>
      <c r="AH3" s="13" t="s">
        <v>108</v>
      </c>
      <c r="AI3" s="13" t="s">
        <v>109</v>
      </c>
      <c r="AJ3" s="12"/>
      <c r="AK3" s="13" t="s">
        <v>110</v>
      </c>
      <c r="AL3" s="11" t="s">
        <v>111</v>
      </c>
      <c r="AM3" s="11" t="s">
        <v>112</v>
      </c>
      <c r="AN3" s="11" t="s">
        <v>113</v>
      </c>
      <c r="AO3" s="8" t="s">
        <v>114</v>
      </c>
    </row>
    <row r="4" spans="1:41" x14ac:dyDescent="0.3">
      <c r="A4" s="3" t="s">
        <v>120</v>
      </c>
      <c r="B4" s="5">
        <v>46069</v>
      </c>
      <c r="C4" s="5"/>
      <c r="D4" s="4" t="s">
        <v>101</v>
      </c>
      <c r="E4" s="4" t="s">
        <v>46</v>
      </c>
      <c r="F4" s="4"/>
      <c r="G4" s="4" t="s">
        <v>1216</v>
      </c>
      <c r="H4" s="4" t="s">
        <v>116</v>
      </c>
      <c r="I4" s="37" t="s">
        <v>121</v>
      </c>
      <c r="J4" s="3"/>
      <c r="K4" s="37"/>
      <c r="L4" s="4" t="s">
        <v>30</v>
      </c>
      <c r="M4" s="19">
        <v>8.6999999999999993</v>
      </c>
      <c r="N4" s="20">
        <v>164</v>
      </c>
      <c r="O4" s="20">
        <v>44.35</v>
      </c>
      <c r="P4" s="20"/>
      <c r="Q4" s="4" t="s">
        <v>122</v>
      </c>
      <c r="R4" s="20" t="s">
        <v>123</v>
      </c>
      <c r="S4" s="6">
        <v>0</v>
      </c>
      <c r="T4" s="6"/>
      <c r="U4" s="6">
        <v>0</v>
      </c>
      <c r="V4" s="9">
        <v>0</v>
      </c>
      <c r="W4" s="6">
        <v>0</v>
      </c>
      <c r="X4" s="6"/>
      <c r="Y4" s="6"/>
      <c r="Z4" s="6"/>
      <c r="AA4" s="6"/>
      <c r="AB4" s="20">
        <v>0</v>
      </c>
      <c r="AC4" s="9">
        <v>0</v>
      </c>
      <c r="AD4" s="6"/>
      <c r="AE4" s="39"/>
      <c r="AF4" s="37"/>
      <c r="AG4" s="4" t="s">
        <v>123</v>
      </c>
      <c r="AH4" s="4"/>
      <c r="AI4" s="4" t="s">
        <v>109</v>
      </c>
      <c r="AJ4" s="3"/>
      <c r="AK4" s="4" t="s">
        <v>110</v>
      </c>
      <c r="AL4" s="23" t="s">
        <v>124</v>
      </c>
      <c r="AM4" s="23" t="s">
        <v>125</v>
      </c>
      <c r="AN4" s="11" t="s">
        <v>113</v>
      </c>
      <c r="AO4" s="23" t="s">
        <v>122</v>
      </c>
    </row>
    <row r="5" spans="1:41" x14ac:dyDescent="0.3">
      <c r="A5" s="12" t="s">
        <v>126</v>
      </c>
      <c r="B5" s="14">
        <v>46070</v>
      </c>
      <c r="C5" s="14">
        <v>46070</v>
      </c>
      <c r="D5" s="13" t="s">
        <v>101</v>
      </c>
      <c r="E5" s="13" t="s">
        <v>46</v>
      </c>
      <c r="F5" s="13" t="s">
        <v>47</v>
      </c>
      <c r="G5" s="13" t="s">
        <v>695</v>
      </c>
      <c r="H5" s="13" t="s">
        <v>50</v>
      </c>
      <c r="I5" s="38" t="s">
        <v>127</v>
      </c>
      <c r="J5" s="12" t="s">
        <v>128</v>
      </c>
      <c r="K5" s="38">
        <v>72615</v>
      </c>
      <c r="L5" s="13" t="s">
        <v>51</v>
      </c>
      <c r="M5" s="21">
        <v>11.4</v>
      </c>
      <c r="N5" s="22">
        <v>162</v>
      </c>
      <c r="O5" s="22">
        <v>46.11</v>
      </c>
      <c r="P5" s="22"/>
      <c r="Q5" s="13" t="s">
        <v>106</v>
      </c>
      <c r="R5" s="22"/>
      <c r="S5" s="15">
        <v>45420</v>
      </c>
      <c r="T5" s="15"/>
      <c r="U5" s="15">
        <v>44908</v>
      </c>
      <c r="V5" s="17">
        <f>IF(OR(U5="",AA5=""),"",U5-AA5)</f>
        <v>44876</v>
      </c>
      <c r="W5" s="15">
        <v>512</v>
      </c>
      <c r="X5" s="15">
        <v>504</v>
      </c>
      <c r="Y5" s="15">
        <v>0</v>
      </c>
      <c r="Z5" s="15">
        <v>8</v>
      </c>
      <c r="AA5" s="15">
        <v>32</v>
      </c>
      <c r="AB5" s="22">
        <v>470</v>
      </c>
      <c r="AC5" s="17">
        <f>IF(OR(V5="",AB5=""),"",V5*AB5)</f>
        <v>21091720</v>
      </c>
      <c r="AD5" s="15">
        <v>44908</v>
      </c>
      <c r="AE5" s="40" t="s">
        <v>129</v>
      </c>
      <c r="AF5" s="38" t="s">
        <v>130</v>
      </c>
      <c r="AG5" s="13"/>
      <c r="AH5" s="13" t="s">
        <v>108</v>
      </c>
      <c r="AI5" s="13" t="s">
        <v>131</v>
      </c>
      <c r="AJ5" s="12" t="s">
        <v>49</v>
      </c>
      <c r="AK5" s="13" t="s">
        <v>132</v>
      </c>
      <c r="AL5" s="11" t="s">
        <v>133</v>
      </c>
      <c r="AM5" s="11" t="s">
        <v>112</v>
      </c>
      <c r="AN5" s="8" t="s">
        <v>134</v>
      </c>
      <c r="AO5" s="8" t="s">
        <v>114</v>
      </c>
    </row>
    <row r="6" spans="1:41" x14ac:dyDescent="0.3">
      <c r="A6" s="3" t="s">
        <v>135</v>
      </c>
      <c r="B6" s="5">
        <v>46070</v>
      </c>
      <c r="C6" s="5">
        <v>46070</v>
      </c>
      <c r="D6" s="4" t="s">
        <v>101</v>
      </c>
      <c r="E6" s="4" t="s">
        <v>46</v>
      </c>
      <c r="F6" s="4" t="s">
        <v>23</v>
      </c>
      <c r="G6" s="4" t="s">
        <v>1217</v>
      </c>
      <c r="H6" s="4" t="s">
        <v>136</v>
      </c>
      <c r="I6" s="37" t="s">
        <v>137</v>
      </c>
      <c r="J6" s="3" t="s">
        <v>138</v>
      </c>
      <c r="K6" s="37">
        <v>72540</v>
      </c>
      <c r="L6" s="4" t="s">
        <v>46</v>
      </c>
      <c r="M6" s="19">
        <v>9.5</v>
      </c>
      <c r="N6" s="20">
        <v>166</v>
      </c>
      <c r="O6" s="20">
        <v>48.57</v>
      </c>
      <c r="P6" s="20">
        <v>48.04</v>
      </c>
      <c r="Q6" s="4" t="s">
        <v>106</v>
      </c>
      <c r="R6" s="20"/>
      <c r="S6" s="6">
        <v>35320</v>
      </c>
      <c r="T6" s="6"/>
      <c r="U6" s="6">
        <v>34895</v>
      </c>
      <c r="V6" s="9">
        <f>IF(OR(U6="",AA6=""),"",U6-AA6)</f>
        <v>34795</v>
      </c>
      <c r="W6" s="6">
        <v>425</v>
      </c>
      <c r="X6" s="6">
        <v>400</v>
      </c>
      <c r="Y6" s="6">
        <v>0</v>
      </c>
      <c r="Z6" s="6">
        <v>25</v>
      </c>
      <c r="AA6" s="6">
        <v>100</v>
      </c>
      <c r="AB6" s="20">
        <v>470</v>
      </c>
      <c r="AC6" s="9">
        <f>IF(OR(V6="",AB6=""),"",V6*AB6)</f>
        <v>16353650</v>
      </c>
      <c r="AD6" s="6">
        <v>34895</v>
      </c>
      <c r="AE6" s="39" t="s">
        <v>139</v>
      </c>
      <c r="AF6" s="37"/>
      <c r="AG6" s="4"/>
      <c r="AH6" s="4" t="s">
        <v>108</v>
      </c>
      <c r="AI6" s="4" t="s">
        <v>109</v>
      </c>
      <c r="AJ6" s="3"/>
      <c r="AK6" s="4" t="s">
        <v>110</v>
      </c>
      <c r="AL6" s="11" t="s">
        <v>111</v>
      </c>
      <c r="AM6" s="11" t="s">
        <v>112</v>
      </c>
      <c r="AN6" s="11" t="s">
        <v>113</v>
      </c>
      <c r="AO6" s="8" t="s">
        <v>114</v>
      </c>
    </row>
    <row r="7" spans="1:41" x14ac:dyDescent="0.3">
      <c r="A7" s="12" t="s">
        <v>140</v>
      </c>
      <c r="B7" s="14">
        <v>46070</v>
      </c>
      <c r="C7" s="14">
        <v>46070</v>
      </c>
      <c r="D7" s="13" t="s">
        <v>101</v>
      </c>
      <c r="E7" s="13" t="s">
        <v>46</v>
      </c>
      <c r="F7" s="13" t="s">
        <v>47</v>
      </c>
      <c r="G7" s="13" t="s">
        <v>1218</v>
      </c>
      <c r="H7" s="13" t="s">
        <v>141</v>
      </c>
      <c r="I7" s="38" t="s">
        <v>142</v>
      </c>
      <c r="J7" s="12" t="s">
        <v>143</v>
      </c>
      <c r="K7" s="38">
        <v>72569</v>
      </c>
      <c r="L7" s="13" t="s">
        <v>51</v>
      </c>
      <c r="M7" s="21">
        <v>11.5</v>
      </c>
      <c r="N7" s="22">
        <v>161</v>
      </c>
      <c r="O7" s="22">
        <v>47.87</v>
      </c>
      <c r="P7" s="22"/>
      <c r="Q7" s="13" t="s">
        <v>106</v>
      </c>
      <c r="R7" s="22"/>
      <c r="S7" s="15">
        <v>50760</v>
      </c>
      <c r="T7" s="15"/>
      <c r="U7" s="15">
        <v>50174</v>
      </c>
      <c r="V7" s="17">
        <f>IF(OR(U7="",AA7=""),"",U7-AA7)</f>
        <v>49622</v>
      </c>
      <c r="W7" s="15">
        <v>586</v>
      </c>
      <c r="X7" s="15">
        <v>556</v>
      </c>
      <c r="Y7" s="15">
        <v>12</v>
      </c>
      <c r="Z7" s="15">
        <v>18</v>
      </c>
      <c r="AA7" s="15">
        <v>552</v>
      </c>
      <c r="AB7" s="22">
        <v>470</v>
      </c>
      <c r="AC7" s="17">
        <f>IF(OR(V7="",AB7=""),"",V7*AB7)</f>
        <v>23322340</v>
      </c>
      <c r="AD7" s="15">
        <v>50174</v>
      </c>
      <c r="AE7" s="40" t="s">
        <v>144</v>
      </c>
      <c r="AF7" s="38" t="s">
        <v>145</v>
      </c>
      <c r="AG7" s="13"/>
      <c r="AH7" s="13" t="s">
        <v>108</v>
      </c>
      <c r="AI7" s="13" t="s">
        <v>109</v>
      </c>
      <c r="AJ7" s="12"/>
      <c r="AK7" s="13" t="s">
        <v>110</v>
      </c>
      <c r="AL7" s="11" t="s">
        <v>111</v>
      </c>
      <c r="AM7" s="11" t="s">
        <v>112</v>
      </c>
      <c r="AN7" s="11" t="s">
        <v>113</v>
      </c>
      <c r="AO7" s="8" t="s">
        <v>114</v>
      </c>
    </row>
    <row r="8" spans="1:41" x14ac:dyDescent="0.3">
      <c r="A8" s="3" t="s">
        <v>146</v>
      </c>
      <c r="B8" s="5">
        <v>46070</v>
      </c>
      <c r="C8" s="5">
        <v>46070</v>
      </c>
      <c r="D8" s="4" t="s">
        <v>101</v>
      </c>
      <c r="E8" s="4" t="s">
        <v>46</v>
      </c>
      <c r="F8" s="4" t="s">
        <v>47</v>
      </c>
      <c r="G8" s="4" t="s">
        <v>1219</v>
      </c>
      <c r="H8" s="4" t="s">
        <v>147</v>
      </c>
      <c r="I8" s="37" t="s">
        <v>148</v>
      </c>
      <c r="J8" s="3" t="s">
        <v>149</v>
      </c>
      <c r="K8" s="37">
        <v>72607</v>
      </c>
      <c r="L8" s="4" t="s">
        <v>30</v>
      </c>
      <c r="M8" s="19">
        <v>9.1</v>
      </c>
      <c r="N8" s="20">
        <v>163</v>
      </c>
      <c r="O8" s="20">
        <v>47.08</v>
      </c>
      <c r="P8" s="20">
        <v>47.16</v>
      </c>
      <c r="Q8" s="4" t="s">
        <v>106</v>
      </c>
      <c r="R8" s="20"/>
      <c r="S8" s="6">
        <v>39460</v>
      </c>
      <c r="T8" s="6"/>
      <c r="U8" s="6">
        <v>39018</v>
      </c>
      <c r="V8" s="9">
        <f>IF(OR(U8="",AA8=""),"",U8-AA8)</f>
        <v>38998</v>
      </c>
      <c r="W8" s="6">
        <v>442</v>
      </c>
      <c r="X8" s="6">
        <v>437</v>
      </c>
      <c r="Y8" s="6">
        <v>0</v>
      </c>
      <c r="Z8" s="6">
        <v>5</v>
      </c>
      <c r="AA8" s="6">
        <v>20</v>
      </c>
      <c r="AB8" s="20">
        <v>470</v>
      </c>
      <c r="AC8" s="9">
        <f>IF(OR(V8="",AB8=""),"",V8*AB8)</f>
        <v>18329060</v>
      </c>
      <c r="AD8" s="6">
        <v>39018</v>
      </c>
      <c r="AE8" s="39" t="s">
        <v>150</v>
      </c>
      <c r="AF8" s="37"/>
      <c r="AG8" s="4"/>
      <c r="AH8" s="4" t="s">
        <v>108</v>
      </c>
      <c r="AI8" s="4" t="s">
        <v>109</v>
      </c>
      <c r="AJ8" s="3"/>
      <c r="AK8" s="4" t="s">
        <v>110</v>
      </c>
      <c r="AL8" s="11" t="s">
        <v>111</v>
      </c>
      <c r="AM8" s="11" t="s">
        <v>112</v>
      </c>
      <c r="AN8" s="11" t="s">
        <v>113</v>
      </c>
      <c r="AO8" s="8" t="s">
        <v>114</v>
      </c>
    </row>
    <row r="9" spans="1:41" x14ac:dyDescent="0.3">
      <c r="A9" s="12" t="s">
        <v>151</v>
      </c>
      <c r="B9" s="14">
        <v>46070</v>
      </c>
      <c r="C9" s="14">
        <v>46070</v>
      </c>
      <c r="D9" s="13" t="s">
        <v>101</v>
      </c>
      <c r="E9" s="13" t="s">
        <v>46</v>
      </c>
      <c r="F9" s="13" t="s">
        <v>47</v>
      </c>
      <c r="G9" s="13" t="s">
        <v>1213</v>
      </c>
      <c r="H9" s="13" t="s">
        <v>55</v>
      </c>
      <c r="I9" s="38" t="s">
        <v>152</v>
      </c>
      <c r="J9" s="12" t="s">
        <v>153</v>
      </c>
      <c r="K9" s="38">
        <v>72564</v>
      </c>
      <c r="L9" s="13" t="s">
        <v>46</v>
      </c>
      <c r="M9" s="21">
        <v>9.1999999999999993</v>
      </c>
      <c r="N9" s="22">
        <v>172</v>
      </c>
      <c r="O9" s="22">
        <v>48.04</v>
      </c>
      <c r="P9" s="22">
        <v>48.4</v>
      </c>
      <c r="Q9" s="13" t="s">
        <v>106</v>
      </c>
      <c r="R9" s="22"/>
      <c r="S9" s="15">
        <v>49020</v>
      </c>
      <c r="T9" s="15"/>
      <c r="U9" s="15">
        <v>48450</v>
      </c>
      <c r="V9" s="17">
        <f>IF(OR(U9="",AA9=""),"",U9-AA9)</f>
        <v>48390</v>
      </c>
      <c r="W9" s="15">
        <v>570</v>
      </c>
      <c r="X9" s="15">
        <v>555</v>
      </c>
      <c r="Y9" s="15">
        <v>0</v>
      </c>
      <c r="Z9" s="15">
        <v>15</v>
      </c>
      <c r="AA9" s="15">
        <v>60</v>
      </c>
      <c r="AB9" s="22">
        <v>470</v>
      </c>
      <c r="AC9" s="17">
        <f>IF(OR(V9="",AB9=""),"",V9*AB9)</f>
        <v>22743300</v>
      </c>
      <c r="AD9" s="15">
        <v>48450</v>
      </c>
      <c r="AE9" s="40" t="s">
        <v>154</v>
      </c>
      <c r="AF9" s="38"/>
      <c r="AG9" s="13"/>
      <c r="AH9" s="13" t="s">
        <v>108</v>
      </c>
      <c r="AI9" s="13" t="s">
        <v>131</v>
      </c>
      <c r="AJ9" s="12" t="s">
        <v>54</v>
      </c>
      <c r="AK9" s="13" t="s">
        <v>132</v>
      </c>
      <c r="AL9" s="11" t="s">
        <v>43</v>
      </c>
      <c r="AM9" s="11" t="s">
        <v>112</v>
      </c>
      <c r="AN9" s="8" t="s">
        <v>134</v>
      </c>
      <c r="AO9" s="8" t="s">
        <v>114</v>
      </c>
    </row>
    <row r="10" spans="1:41" x14ac:dyDescent="0.3">
      <c r="A10" s="3" t="s">
        <v>155</v>
      </c>
      <c r="B10" s="5">
        <v>46070</v>
      </c>
      <c r="C10" s="5"/>
      <c r="D10" s="4" t="s">
        <v>101</v>
      </c>
      <c r="E10" s="4" t="s">
        <v>46</v>
      </c>
      <c r="F10" s="4"/>
      <c r="G10" s="4" t="s">
        <v>1209</v>
      </c>
      <c r="H10" s="4" t="s">
        <v>29</v>
      </c>
      <c r="I10" s="37" t="s">
        <v>156</v>
      </c>
      <c r="J10" s="3"/>
      <c r="K10" s="37"/>
      <c r="L10" s="4" t="s">
        <v>46</v>
      </c>
      <c r="M10" s="19">
        <v>9.3000000000000007</v>
      </c>
      <c r="N10" s="20">
        <v>185</v>
      </c>
      <c r="O10" s="20">
        <v>45.4</v>
      </c>
      <c r="P10" s="20"/>
      <c r="Q10" s="4" t="s">
        <v>122</v>
      </c>
      <c r="R10" s="20" t="s">
        <v>123</v>
      </c>
      <c r="S10" s="6">
        <v>0</v>
      </c>
      <c r="T10" s="6"/>
      <c r="U10" s="6">
        <v>0</v>
      </c>
      <c r="V10" s="9">
        <v>0</v>
      </c>
      <c r="W10" s="6">
        <v>0</v>
      </c>
      <c r="X10" s="6"/>
      <c r="Y10" s="6"/>
      <c r="Z10" s="6"/>
      <c r="AA10" s="6"/>
      <c r="AB10" s="20">
        <v>0</v>
      </c>
      <c r="AC10" s="9">
        <v>0</v>
      </c>
      <c r="AD10" s="6"/>
      <c r="AE10" s="39"/>
      <c r="AF10" s="37"/>
      <c r="AG10" s="4" t="s">
        <v>123</v>
      </c>
      <c r="AH10" s="4"/>
      <c r="AI10" s="4" t="s">
        <v>131</v>
      </c>
      <c r="AJ10" s="3" t="s">
        <v>28</v>
      </c>
      <c r="AK10" s="4" t="s">
        <v>132</v>
      </c>
      <c r="AL10" s="11" t="s">
        <v>157</v>
      </c>
      <c r="AM10" s="23" t="s">
        <v>125</v>
      </c>
      <c r="AN10" s="8" t="s">
        <v>134</v>
      </c>
      <c r="AO10" s="23" t="s">
        <v>122</v>
      </c>
    </row>
    <row r="11" spans="1:41" x14ac:dyDescent="0.3">
      <c r="A11" s="12" t="s">
        <v>158</v>
      </c>
      <c r="B11" s="14">
        <v>46071</v>
      </c>
      <c r="C11" s="14">
        <v>46071</v>
      </c>
      <c r="D11" s="13" t="s">
        <v>101</v>
      </c>
      <c r="E11" s="13" t="s">
        <v>46</v>
      </c>
      <c r="F11" s="13" t="s">
        <v>23</v>
      </c>
      <c r="G11" s="13" t="s">
        <v>1208</v>
      </c>
      <c r="H11" s="13" t="s">
        <v>21</v>
      </c>
      <c r="I11" s="38" t="s">
        <v>159</v>
      </c>
      <c r="J11" s="12" t="s">
        <v>160</v>
      </c>
      <c r="K11" s="38">
        <v>72517</v>
      </c>
      <c r="L11" s="13" t="s">
        <v>22</v>
      </c>
      <c r="M11" s="21">
        <v>9.5</v>
      </c>
      <c r="N11" s="22">
        <v>178</v>
      </c>
      <c r="O11" s="22">
        <v>46.81</v>
      </c>
      <c r="P11" s="22">
        <v>47.16</v>
      </c>
      <c r="Q11" s="13" t="s">
        <v>106</v>
      </c>
      <c r="R11" s="22"/>
      <c r="S11" s="15">
        <v>52060</v>
      </c>
      <c r="T11" s="15"/>
      <c r="U11" s="15">
        <v>51446</v>
      </c>
      <c r="V11" s="17">
        <f>IF(OR(U11="",AA11=""),"",U11-AA11)</f>
        <v>51302</v>
      </c>
      <c r="W11" s="15">
        <v>614</v>
      </c>
      <c r="X11" s="15">
        <v>578</v>
      </c>
      <c r="Y11" s="15">
        <v>0</v>
      </c>
      <c r="Z11" s="15">
        <v>36</v>
      </c>
      <c r="AA11" s="15">
        <v>144</v>
      </c>
      <c r="AB11" s="22">
        <v>470</v>
      </c>
      <c r="AC11" s="17">
        <f>IF(OR(V11="",AB11=""),"",V11*AB11)</f>
        <v>24111940</v>
      </c>
      <c r="AD11" s="15">
        <v>51446</v>
      </c>
      <c r="AE11" s="40" t="s">
        <v>161</v>
      </c>
      <c r="AF11" s="38"/>
      <c r="AG11" s="13"/>
      <c r="AH11" s="13" t="s">
        <v>108</v>
      </c>
      <c r="AI11" s="13" t="s">
        <v>131</v>
      </c>
      <c r="AJ11" s="12" t="s">
        <v>20</v>
      </c>
      <c r="AK11" s="13" t="s">
        <v>162</v>
      </c>
      <c r="AL11" s="8" t="s">
        <v>163</v>
      </c>
      <c r="AM11" s="24" t="s">
        <v>164</v>
      </c>
      <c r="AN11" s="8" t="s">
        <v>134</v>
      </c>
      <c r="AO11" s="8" t="s">
        <v>114</v>
      </c>
    </row>
    <row r="12" spans="1:41" x14ac:dyDescent="0.3">
      <c r="A12" s="3" t="s">
        <v>165</v>
      </c>
      <c r="B12" s="5">
        <v>46071</v>
      </c>
      <c r="C12" s="5">
        <v>46071</v>
      </c>
      <c r="D12" s="4" t="s">
        <v>101</v>
      </c>
      <c r="E12" s="4" t="s">
        <v>46</v>
      </c>
      <c r="F12" s="4" t="s">
        <v>23</v>
      </c>
      <c r="G12" s="4" t="s">
        <v>1211</v>
      </c>
      <c r="H12" s="4" t="s">
        <v>41</v>
      </c>
      <c r="I12" s="37" t="s">
        <v>166</v>
      </c>
      <c r="J12" s="3" t="s">
        <v>167</v>
      </c>
      <c r="K12" s="37">
        <v>72568</v>
      </c>
      <c r="L12" s="4" t="s">
        <v>42</v>
      </c>
      <c r="M12" s="19">
        <v>9.6</v>
      </c>
      <c r="N12" s="20">
        <v>182</v>
      </c>
      <c r="O12" s="20">
        <v>48.22</v>
      </c>
      <c r="P12" s="20">
        <v>48.4</v>
      </c>
      <c r="Q12" s="4" t="s">
        <v>106</v>
      </c>
      <c r="R12" s="20"/>
      <c r="S12" s="6">
        <v>41540</v>
      </c>
      <c r="T12" s="6"/>
      <c r="U12" s="6">
        <v>41087</v>
      </c>
      <c r="V12" s="9">
        <f>IF(OR(U12="",AA12=""),"",U12-AA12)</f>
        <v>40915</v>
      </c>
      <c r="W12" s="6">
        <v>453</v>
      </c>
      <c r="X12" s="6">
        <v>410</v>
      </c>
      <c r="Y12" s="6">
        <v>0</v>
      </c>
      <c r="Z12" s="6">
        <v>43</v>
      </c>
      <c r="AA12" s="6">
        <v>172</v>
      </c>
      <c r="AB12" s="20">
        <v>475</v>
      </c>
      <c r="AC12" s="9">
        <f>IF(OR(V12="",AB12=""),"",V12*AB12)</f>
        <v>19434625</v>
      </c>
      <c r="AD12" s="6">
        <v>41087</v>
      </c>
      <c r="AE12" s="39" t="s">
        <v>168</v>
      </c>
      <c r="AF12" s="37"/>
      <c r="AG12" s="4"/>
      <c r="AH12" s="4" t="s">
        <v>108</v>
      </c>
      <c r="AI12" s="4" t="s">
        <v>131</v>
      </c>
      <c r="AJ12" s="3" t="s">
        <v>40</v>
      </c>
      <c r="AK12" s="4" t="s">
        <v>162</v>
      </c>
      <c r="AL12" s="8" t="s">
        <v>163</v>
      </c>
      <c r="AM12" s="25" t="s">
        <v>164</v>
      </c>
      <c r="AN12" s="8" t="s">
        <v>134</v>
      </c>
      <c r="AO12" s="8" t="s">
        <v>114</v>
      </c>
    </row>
    <row r="13" spans="1:41" x14ac:dyDescent="0.3">
      <c r="A13" s="12" t="s">
        <v>169</v>
      </c>
      <c r="B13" s="14">
        <v>46071</v>
      </c>
      <c r="C13" s="14">
        <v>46071</v>
      </c>
      <c r="D13" s="13" t="s">
        <v>101</v>
      </c>
      <c r="E13" s="13" t="s">
        <v>46</v>
      </c>
      <c r="F13" s="13" t="s">
        <v>47</v>
      </c>
      <c r="G13" s="13" t="s">
        <v>1212</v>
      </c>
      <c r="H13" s="13" t="s">
        <v>45</v>
      </c>
      <c r="I13" s="38" t="s">
        <v>170</v>
      </c>
      <c r="J13" s="12" t="s">
        <v>171</v>
      </c>
      <c r="K13" s="38">
        <v>72523</v>
      </c>
      <c r="L13" s="13" t="s">
        <v>105</v>
      </c>
      <c r="M13" s="21">
        <v>11.2</v>
      </c>
      <c r="N13" s="22">
        <v>168</v>
      </c>
      <c r="O13" s="22">
        <v>48.04</v>
      </c>
      <c r="P13" s="22"/>
      <c r="Q13" s="13" t="s">
        <v>106</v>
      </c>
      <c r="R13" s="22"/>
      <c r="S13" s="15">
        <v>40560</v>
      </c>
      <c r="T13" s="15"/>
      <c r="U13" s="15">
        <v>40097</v>
      </c>
      <c r="V13" s="17">
        <f>IF(OR(U13="",AA13=""),"",U13-AA13)</f>
        <v>40057</v>
      </c>
      <c r="W13" s="15">
        <v>463</v>
      </c>
      <c r="X13" s="15">
        <v>453</v>
      </c>
      <c r="Y13" s="15">
        <v>0</v>
      </c>
      <c r="Z13" s="15">
        <v>10</v>
      </c>
      <c r="AA13" s="15">
        <v>40</v>
      </c>
      <c r="AB13" s="22">
        <v>475</v>
      </c>
      <c r="AC13" s="17">
        <f>IF(OR(V13="",AB13=""),"",V13*AB13)</f>
        <v>19027075</v>
      </c>
      <c r="AD13" s="15">
        <v>40097</v>
      </c>
      <c r="AE13" s="40" t="s">
        <v>172</v>
      </c>
      <c r="AF13" s="38"/>
      <c r="AG13" s="13"/>
      <c r="AH13" s="13" t="s">
        <v>108</v>
      </c>
      <c r="AI13" s="13" t="s">
        <v>131</v>
      </c>
      <c r="AJ13" s="12" t="s">
        <v>44</v>
      </c>
      <c r="AK13" s="13" t="s">
        <v>132</v>
      </c>
      <c r="AL13" s="11" t="s">
        <v>39</v>
      </c>
      <c r="AM13" s="11" t="s">
        <v>112</v>
      </c>
      <c r="AN13" s="8" t="s">
        <v>134</v>
      </c>
      <c r="AO13" s="8" t="s">
        <v>114</v>
      </c>
    </row>
    <row r="14" spans="1:41" x14ac:dyDescent="0.3">
      <c r="A14" s="3" t="s">
        <v>173</v>
      </c>
      <c r="B14" s="5">
        <v>46071</v>
      </c>
      <c r="C14" s="5">
        <v>46071</v>
      </c>
      <c r="D14" s="4" t="s">
        <v>101</v>
      </c>
      <c r="E14" s="4" t="s">
        <v>46</v>
      </c>
      <c r="F14" s="4" t="s">
        <v>23</v>
      </c>
      <c r="G14" s="4" t="s">
        <v>1209</v>
      </c>
      <c r="H14" s="4" t="s">
        <v>29</v>
      </c>
      <c r="I14" s="37" t="s">
        <v>174</v>
      </c>
      <c r="J14" s="3" t="s">
        <v>175</v>
      </c>
      <c r="K14" s="37">
        <v>72501</v>
      </c>
      <c r="L14" s="4" t="s">
        <v>30</v>
      </c>
      <c r="M14" s="19">
        <v>8.6</v>
      </c>
      <c r="N14" s="20">
        <v>171</v>
      </c>
      <c r="O14" s="20">
        <v>47.6</v>
      </c>
      <c r="P14" s="20">
        <v>47.87</v>
      </c>
      <c r="Q14" s="4" t="s">
        <v>106</v>
      </c>
      <c r="R14" s="20"/>
      <c r="S14" s="6">
        <v>46680</v>
      </c>
      <c r="T14" s="6"/>
      <c r="U14" s="6">
        <v>46118</v>
      </c>
      <c r="V14" s="9">
        <f>IF(OR(U14="",AA14=""),"",U14-AA14)</f>
        <v>45966</v>
      </c>
      <c r="W14" s="6">
        <v>562</v>
      </c>
      <c r="X14" s="6">
        <v>524</v>
      </c>
      <c r="Y14" s="6">
        <v>0</v>
      </c>
      <c r="Z14" s="6">
        <v>38</v>
      </c>
      <c r="AA14" s="6">
        <v>152</v>
      </c>
      <c r="AB14" s="20">
        <v>470</v>
      </c>
      <c r="AC14" s="9">
        <f>IF(OR(V14="",AB14=""),"",V14*AB14)</f>
        <v>21604020</v>
      </c>
      <c r="AD14" s="6">
        <v>46118</v>
      </c>
      <c r="AE14" s="39" t="s">
        <v>176</v>
      </c>
      <c r="AF14" s="37"/>
      <c r="AG14" s="4"/>
      <c r="AH14" s="4" t="s">
        <v>108</v>
      </c>
      <c r="AI14" s="4" t="s">
        <v>131</v>
      </c>
      <c r="AJ14" s="3" t="s">
        <v>28</v>
      </c>
      <c r="AK14" s="4" t="s">
        <v>132</v>
      </c>
      <c r="AL14" s="11" t="s">
        <v>43</v>
      </c>
      <c r="AM14" s="11" t="s">
        <v>112</v>
      </c>
      <c r="AN14" s="8" t="s">
        <v>134</v>
      </c>
      <c r="AO14" s="8" t="s">
        <v>114</v>
      </c>
    </row>
    <row r="15" spans="1:41" x14ac:dyDescent="0.3">
      <c r="A15" s="12" t="s">
        <v>177</v>
      </c>
      <c r="B15" s="14">
        <v>46071</v>
      </c>
      <c r="C15" s="14"/>
      <c r="D15" s="13" t="s">
        <v>101</v>
      </c>
      <c r="E15" s="13" t="s">
        <v>46</v>
      </c>
      <c r="F15" s="13"/>
      <c r="G15" s="13" t="s">
        <v>1211</v>
      </c>
      <c r="H15" s="13" t="s">
        <v>41</v>
      </c>
      <c r="I15" s="38" t="s">
        <v>178</v>
      </c>
      <c r="J15" s="12"/>
      <c r="K15" s="38"/>
      <c r="L15" s="13" t="s">
        <v>179</v>
      </c>
      <c r="M15" s="21">
        <v>8.1</v>
      </c>
      <c r="N15" s="22">
        <v>178</v>
      </c>
      <c r="O15" s="22">
        <v>44.35</v>
      </c>
      <c r="P15" s="22"/>
      <c r="Q15" s="13" t="s">
        <v>122</v>
      </c>
      <c r="R15" s="22" t="s">
        <v>123</v>
      </c>
      <c r="S15" s="15">
        <v>0</v>
      </c>
      <c r="T15" s="15"/>
      <c r="U15" s="15"/>
      <c r="V15" s="17">
        <v>0</v>
      </c>
      <c r="W15" s="15">
        <v>0</v>
      </c>
      <c r="X15" s="15"/>
      <c r="Y15" s="15"/>
      <c r="Z15" s="15"/>
      <c r="AA15" s="15"/>
      <c r="AB15" s="22"/>
      <c r="AC15" s="17">
        <v>0</v>
      </c>
      <c r="AD15" s="15"/>
      <c r="AE15" s="40"/>
      <c r="AF15" s="38"/>
      <c r="AG15" s="13" t="s">
        <v>123</v>
      </c>
      <c r="AH15" s="13"/>
      <c r="AI15" s="13" t="s">
        <v>131</v>
      </c>
      <c r="AJ15" s="12" t="s">
        <v>40</v>
      </c>
      <c r="AK15" s="13" t="s">
        <v>132</v>
      </c>
      <c r="AL15" s="11" t="s">
        <v>39</v>
      </c>
      <c r="AM15" s="23" t="s">
        <v>125</v>
      </c>
      <c r="AN15" s="8" t="s">
        <v>134</v>
      </c>
      <c r="AO15" s="23" t="s">
        <v>122</v>
      </c>
    </row>
    <row r="16" spans="1:41" x14ac:dyDescent="0.3">
      <c r="A16" s="3" t="s">
        <v>180</v>
      </c>
      <c r="B16" s="5">
        <v>46071</v>
      </c>
      <c r="C16" s="5"/>
      <c r="D16" s="4" t="s">
        <v>101</v>
      </c>
      <c r="E16" s="4" t="s">
        <v>46</v>
      </c>
      <c r="F16" s="4"/>
      <c r="G16" s="4" t="s">
        <v>1217</v>
      </c>
      <c r="H16" s="4" t="s">
        <v>136</v>
      </c>
      <c r="I16" s="37" t="s">
        <v>181</v>
      </c>
      <c r="J16" s="3"/>
      <c r="K16" s="37"/>
      <c r="L16" s="4" t="s">
        <v>182</v>
      </c>
      <c r="M16" s="19">
        <v>7.5</v>
      </c>
      <c r="N16" s="20">
        <v>170</v>
      </c>
      <c r="O16" s="20">
        <v>44.7</v>
      </c>
      <c r="P16" s="20"/>
      <c r="Q16" s="4" t="s">
        <v>122</v>
      </c>
      <c r="R16" s="20" t="s">
        <v>123</v>
      </c>
      <c r="S16" s="6">
        <v>0</v>
      </c>
      <c r="T16" s="6"/>
      <c r="U16" s="6"/>
      <c r="V16" s="9">
        <v>0</v>
      </c>
      <c r="W16" s="6">
        <v>0</v>
      </c>
      <c r="X16" s="6"/>
      <c r="Y16" s="6"/>
      <c r="Z16" s="6"/>
      <c r="AA16" s="6"/>
      <c r="AB16" s="20"/>
      <c r="AC16" s="9">
        <v>0</v>
      </c>
      <c r="AD16" s="6"/>
      <c r="AE16" s="39"/>
      <c r="AF16" s="37"/>
      <c r="AG16" s="4" t="s">
        <v>123</v>
      </c>
      <c r="AH16" s="4"/>
      <c r="AI16" s="4" t="s">
        <v>109</v>
      </c>
      <c r="AJ16" s="3"/>
      <c r="AK16" s="4" t="s">
        <v>110</v>
      </c>
      <c r="AL16" s="23" t="s">
        <v>124</v>
      </c>
      <c r="AM16" s="23" t="s">
        <v>125</v>
      </c>
      <c r="AN16" s="11" t="s">
        <v>113</v>
      </c>
      <c r="AO16" s="23" t="s">
        <v>122</v>
      </c>
    </row>
    <row r="17" spans="1:41" x14ac:dyDescent="0.3">
      <c r="A17" s="12" t="s">
        <v>183</v>
      </c>
      <c r="B17" s="14">
        <v>46072</v>
      </c>
      <c r="C17" s="14">
        <v>46072</v>
      </c>
      <c r="D17" s="13" t="s">
        <v>101</v>
      </c>
      <c r="E17" s="13" t="s">
        <v>46</v>
      </c>
      <c r="F17" s="13" t="s">
        <v>23</v>
      </c>
      <c r="G17" s="13" t="s">
        <v>1214</v>
      </c>
      <c r="H17" s="13" t="s">
        <v>60</v>
      </c>
      <c r="I17" s="38" t="s">
        <v>184</v>
      </c>
      <c r="J17" s="12" t="s">
        <v>185</v>
      </c>
      <c r="K17" s="38">
        <v>72553</v>
      </c>
      <c r="L17" s="13" t="s">
        <v>22</v>
      </c>
      <c r="M17" s="21">
        <v>8.1999999999999993</v>
      </c>
      <c r="N17" s="22">
        <v>178</v>
      </c>
      <c r="O17" s="22">
        <v>47.52</v>
      </c>
      <c r="P17" s="22">
        <v>48.04</v>
      </c>
      <c r="Q17" s="13" t="s">
        <v>106</v>
      </c>
      <c r="R17" s="22"/>
      <c r="S17" s="15">
        <v>44040</v>
      </c>
      <c r="T17" s="15"/>
      <c r="U17" s="15">
        <v>43478</v>
      </c>
      <c r="V17" s="17">
        <f>IF(OR(U17="",AA17=""),"",U17-AA17)</f>
        <v>43402</v>
      </c>
      <c r="W17" s="15">
        <v>562</v>
      </c>
      <c r="X17" s="15">
        <v>543</v>
      </c>
      <c r="Y17" s="15">
        <v>0</v>
      </c>
      <c r="Z17" s="15">
        <v>19</v>
      </c>
      <c r="AA17" s="15">
        <v>76</v>
      </c>
      <c r="AB17" s="22">
        <v>475</v>
      </c>
      <c r="AC17" s="17">
        <f>IF(OR(V17="",AB17=""),"",V17*AB17)</f>
        <v>20615950</v>
      </c>
      <c r="AD17" s="15">
        <v>43478</v>
      </c>
      <c r="AE17" s="40" t="s">
        <v>186</v>
      </c>
      <c r="AF17" s="38"/>
      <c r="AG17" s="13"/>
      <c r="AH17" s="13" t="s">
        <v>108</v>
      </c>
      <c r="AI17" s="13" t="s">
        <v>131</v>
      </c>
      <c r="AJ17" s="12" t="s">
        <v>59</v>
      </c>
      <c r="AK17" s="13" t="s">
        <v>162</v>
      </c>
      <c r="AL17" s="8" t="s">
        <v>163</v>
      </c>
      <c r="AM17" s="24" t="s">
        <v>164</v>
      </c>
      <c r="AN17" s="8" t="s">
        <v>134</v>
      </c>
      <c r="AO17" s="8" t="s">
        <v>114</v>
      </c>
    </row>
    <row r="18" spans="1:41" x14ac:dyDescent="0.3">
      <c r="A18" s="3" t="s">
        <v>187</v>
      </c>
      <c r="B18" s="5">
        <v>46072</v>
      </c>
      <c r="C18" s="5">
        <v>46072</v>
      </c>
      <c r="D18" s="4" t="s">
        <v>101</v>
      </c>
      <c r="E18" s="4" t="s">
        <v>46</v>
      </c>
      <c r="F18" s="4" t="s">
        <v>23</v>
      </c>
      <c r="G18" s="4" t="s">
        <v>1220</v>
      </c>
      <c r="H18" s="4" t="s">
        <v>188</v>
      </c>
      <c r="I18" s="37" t="s">
        <v>189</v>
      </c>
      <c r="J18" s="3" t="s">
        <v>190</v>
      </c>
      <c r="K18" s="37">
        <v>72549</v>
      </c>
      <c r="L18" s="4" t="s">
        <v>105</v>
      </c>
      <c r="M18" s="19">
        <v>8.6999999999999993</v>
      </c>
      <c r="N18" s="20">
        <v>178</v>
      </c>
      <c r="O18" s="20">
        <v>46.99</v>
      </c>
      <c r="P18" s="20">
        <v>47.34</v>
      </c>
      <c r="Q18" s="4" t="s">
        <v>106</v>
      </c>
      <c r="R18" s="20"/>
      <c r="S18" s="6">
        <v>43860</v>
      </c>
      <c r="T18" s="6"/>
      <c r="U18" s="6">
        <v>43350</v>
      </c>
      <c r="V18" s="9">
        <f>IF(OR(U18="",AA18=""),"",U18-AA18)</f>
        <v>43302</v>
      </c>
      <c r="W18" s="6">
        <v>510</v>
      </c>
      <c r="X18" s="6">
        <v>498</v>
      </c>
      <c r="Y18" s="6">
        <v>0</v>
      </c>
      <c r="Z18" s="6">
        <v>12</v>
      </c>
      <c r="AA18" s="6">
        <v>48</v>
      </c>
      <c r="AB18" s="20">
        <v>470</v>
      </c>
      <c r="AC18" s="9">
        <f>IF(OR(V18="",AB18=""),"",V18*AB18)</f>
        <v>20351940</v>
      </c>
      <c r="AD18" s="6">
        <v>43350</v>
      </c>
      <c r="AE18" s="39" t="s">
        <v>191</v>
      </c>
      <c r="AF18" s="37"/>
      <c r="AG18" s="4"/>
      <c r="AH18" s="4" t="s">
        <v>108</v>
      </c>
      <c r="AI18" s="4" t="s">
        <v>109</v>
      </c>
      <c r="AJ18" s="3"/>
      <c r="AK18" s="4" t="s">
        <v>110</v>
      </c>
      <c r="AL18" s="11" t="s">
        <v>111</v>
      </c>
      <c r="AM18" s="11" t="s">
        <v>112</v>
      </c>
      <c r="AN18" s="11" t="s">
        <v>113</v>
      </c>
      <c r="AO18" s="8" t="s">
        <v>114</v>
      </c>
    </row>
    <row r="19" spans="1:41" x14ac:dyDescent="0.3">
      <c r="A19" s="12" t="s">
        <v>192</v>
      </c>
      <c r="B19" s="14">
        <v>46073</v>
      </c>
      <c r="C19" s="14">
        <v>46073</v>
      </c>
      <c r="D19" s="13" t="s">
        <v>101</v>
      </c>
      <c r="E19" s="13" t="s">
        <v>46</v>
      </c>
      <c r="F19" s="13" t="s">
        <v>47</v>
      </c>
      <c r="G19" s="13" t="s">
        <v>1221</v>
      </c>
      <c r="H19" s="13" t="s">
        <v>193</v>
      </c>
      <c r="I19" s="38" t="s">
        <v>194</v>
      </c>
      <c r="J19" s="12" t="s">
        <v>195</v>
      </c>
      <c r="K19" s="38">
        <v>72529</v>
      </c>
      <c r="L19" s="13" t="s">
        <v>105</v>
      </c>
      <c r="M19" s="21">
        <v>8.5</v>
      </c>
      <c r="N19" s="22">
        <v>167</v>
      </c>
      <c r="O19" s="22">
        <v>46.64</v>
      </c>
      <c r="P19" s="22">
        <v>46.72</v>
      </c>
      <c r="Q19" s="13" t="s">
        <v>106</v>
      </c>
      <c r="R19" s="22"/>
      <c r="S19" s="15">
        <v>51300</v>
      </c>
      <c r="T19" s="15"/>
      <c r="U19" s="15">
        <v>50693</v>
      </c>
      <c r="V19" s="17">
        <f>IF(OR(U19="",AA19=""),"",U19-AA19)</f>
        <v>50441</v>
      </c>
      <c r="W19" s="15">
        <v>607</v>
      </c>
      <c r="X19" s="15">
        <v>544</v>
      </c>
      <c r="Y19" s="15"/>
      <c r="Z19" s="15">
        <v>63</v>
      </c>
      <c r="AA19" s="15">
        <v>252</v>
      </c>
      <c r="AB19" s="22">
        <v>480</v>
      </c>
      <c r="AC19" s="17">
        <f>IF(OR(V19="",AB19=""),"",V19*AB19)</f>
        <v>24211680</v>
      </c>
      <c r="AD19" s="15">
        <v>50693</v>
      </c>
      <c r="AE19" s="40" t="s">
        <v>196</v>
      </c>
      <c r="AF19" s="38"/>
      <c r="AG19" s="13"/>
      <c r="AH19" s="13" t="s">
        <v>108</v>
      </c>
      <c r="AI19" s="13" t="s">
        <v>109</v>
      </c>
      <c r="AJ19" s="12"/>
      <c r="AK19" s="13" t="s">
        <v>110</v>
      </c>
      <c r="AL19" s="11" t="s">
        <v>197</v>
      </c>
      <c r="AM19" s="11" t="s">
        <v>112</v>
      </c>
      <c r="AN19" s="11" t="s">
        <v>198</v>
      </c>
      <c r="AO19" s="8" t="s">
        <v>114</v>
      </c>
    </row>
    <row r="20" spans="1:41" x14ac:dyDescent="0.3">
      <c r="A20" s="3" t="s">
        <v>199</v>
      </c>
      <c r="B20" s="5">
        <v>46073</v>
      </c>
      <c r="C20" s="5"/>
      <c r="D20" s="4" t="s">
        <v>101</v>
      </c>
      <c r="E20" s="4" t="s">
        <v>46</v>
      </c>
      <c r="F20" s="4"/>
      <c r="G20" s="4" t="s">
        <v>1221</v>
      </c>
      <c r="H20" s="4" t="s">
        <v>193</v>
      </c>
      <c r="I20" s="37" t="s">
        <v>200</v>
      </c>
      <c r="J20" s="3"/>
      <c r="K20" s="37"/>
      <c r="L20" s="4" t="s">
        <v>105</v>
      </c>
      <c r="M20" s="19">
        <v>9.3000000000000007</v>
      </c>
      <c r="N20" s="20">
        <v>165</v>
      </c>
      <c r="O20" s="20">
        <v>45.23</v>
      </c>
      <c r="P20" s="20"/>
      <c r="Q20" s="4" t="s">
        <v>122</v>
      </c>
      <c r="R20" s="20" t="s">
        <v>123</v>
      </c>
      <c r="S20" s="6">
        <v>0</v>
      </c>
      <c r="T20" s="6"/>
      <c r="U20" s="6"/>
      <c r="V20" s="9">
        <v>0</v>
      </c>
      <c r="W20" s="6">
        <v>0</v>
      </c>
      <c r="X20" s="6"/>
      <c r="Y20" s="6"/>
      <c r="Z20" s="6"/>
      <c r="AA20" s="6"/>
      <c r="AB20" s="20"/>
      <c r="AC20" s="9">
        <v>0</v>
      </c>
      <c r="AD20" s="6"/>
      <c r="AE20" s="39"/>
      <c r="AF20" s="37"/>
      <c r="AG20" s="4" t="s">
        <v>123</v>
      </c>
      <c r="AH20" s="4"/>
      <c r="AI20" s="4" t="s">
        <v>109</v>
      </c>
      <c r="AJ20" s="3"/>
      <c r="AK20" s="4" t="s">
        <v>110</v>
      </c>
      <c r="AL20" s="23" t="s">
        <v>124</v>
      </c>
      <c r="AM20" s="23" t="s">
        <v>125</v>
      </c>
      <c r="AN20" s="11" t="s">
        <v>113</v>
      </c>
      <c r="AO20" s="23" t="s">
        <v>122</v>
      </c>
    </row>
    <row r="21" spans="1:41" x14ac:dyDescent="0.3">
      <c r="A21" s="12" t="s">
        <v>201</v>
      </c>
      <c r="B21" s="14">
        <v>46074</v>
      </c>
      <c r="C21" s="14">
        <v>46074</v>
      </c>
      <c r="D21" s="13" t="s">
        <v>101</v>
      </c>
      <c r="E21" s="13" t="s">
        <v>46</v>
      </c>
      <c r="F21" s="13" t="s">
        <v>23</v>
      </c>
      <c r="G21" s="13" t="s">
        <v>698</v>
      </c>
      <c r="H21" s="13" t="s">
        <v>58</v>
      </c>
      <c r="I21" s="38" t="s">
        <v>202</v>
      </c>
      <c r="J21" s="12" t="s">
        <v>203</v>
      </c>
      <c r="K21" s="38">
        <v>72593</v>
      </c>
      <c r="L21" s="13" t="s">
        <v>35</v>
      </c>
      <c r="M21" s="21">
        <v>9</v>
      </c>
      <c r="N21" s="22">
        <v>165</v>
      </c>
      <c r="O21" s="22">
        <v>48.92</v>
      </c>
      <c r="P21" s="22"/>
      <c r="Q21" s="13" t="s">
        <v>106</v>
      </c>
      <c r="R21" s="22"/>
      <c r="S21" s="15">
        <v>46380</v>
      </c>
      <c r="T21" s="15"/>
      <c r="U21" s="15">
        <v>45843</v>
      </c>
      <c r="V21" s="17">
        <f>IF(OR(U21="",AA21=""),"",U21-AA21)</f>
        <v>45759</v>
      </c>
      <c r="W21" s="15">
        <v>537</v>
      </c>
      <c r="X21" s="15">
        <v>516</v>
      </c>
      <c r="Y21" s="15">
        <v>0</v>
      </c>
      <c r="Z21" s="15">
        <v>21</v>
      </c>
      <c r="AA21" s="15">
        <v>84</v>
      </c>
      <c r="AB21" s="22">
        <v>475</v>
      </c>
      <c r="AC21" s="17">
        <f>IF(OR(V21="",AB21=""),"",V21*AB21)</f>
        <v>21735525</v>
      </c>
      <c r="AD21" s="15">
        <v>45843</v>
      </c>
      <c r="AE21" s="40" t="s">
        <v>204</v>
      </c>
      <c r="AF21" s="38"/>
      <c r="AG21" s="13"/>
      <c r="AH21" s="13" t="s">
        <v>108</v>
      </c>
      <c r="AI21" s="13" t="s">
        <v>131</v>
      </c>
      <c r="AJ21" s="12" t="s">
        <v>57</v>
      </c>
      <c r="AK21" s="13" t="s">
        <v>132</v>
      </c>
      <c r="AL21" s="11" t="s">
        <v>43</v>
      </c>
      <c r="AM21" s="11" t="s">
        <v>112</v>
      </c>
      <c r="AN21" s="8" t="s">
        <v>134</v>
      </c>
      <c r="AO21" s="8" t="s">
        <v>114</v>
      </c>
    </row>
    <row r="22" spans="1:41" x14ac:dyDescent="0.3">
      <c r="A22" s="3" t="s">
        <v>205</v>
      </c>
      <c r="B22" s="5">
        <v>46074</v>
      </c>
      <c r="C22" s="5">
        <v>46074</v>
      </c>
      <c r="D22" s="4" t="s">
        <v>101</v>
      </c>
      <c r="E22" s="4" t="s">
        <v>46</v>
      </c>
      <c r="F22" s="4" t="s">
        <v>47</v>
      </c>
      <c r="G22" s="4" t="s">
        <v>1222</v>
      </c>
      <c r="H22" s="4" t="s">
        <v>206</v>
      </c>
      <c r="I22" s="37" t="s">
        <v>207</v>
      </c>
      <c r="J22" s="3" t="s">
        <v>208</v>
      </c>
      <c r="K22" s="37">
        <v>68145</v>
      </c>
      <c r="L22" s="4" t="s">
        <v>105</v>
      </c>
      <c r="M22" s="19">
        <v>9.3000000000000007</v>
      </c>
      <c r="N22" s="20">
        <v>166</v>
      </c>
      <c r="O22" s="20">
        <v>46.11</v>
      </c>
      <c r="P22" s="20"/>
      <c r="Q22" s="4" t="s">
        <v>106</v>
      </c>
      <c r="R22" s="20"/>
      <c r="S22" s="6">
        <v>40740</v>
      </c>
      <c r="T22" s="6"/>
      <c r="U22" s="6">
        <v>40220</v>
      </c>
      <c r="V22" s="9">
        <f>IF(OR(U22="",AA22=""),"",U22-AA22)</f>
        <v>40112</v>
      </c>
      <c r="W22" s="6">
        <v>520</v>
      </c>
      <c r="X22" s="6">
        <v>493</v>
      </c>
      <c r="Y22" s="6">
        <v>0</v>
      </c>
      <c r="Z22" s="6">
        <v>27</v>
      </c>
      <c r="AA22" s="6">
        <v>108</v>
      </c>
      <c r="AB22" s="20">
        <v>475</v>
      </c>
      <c r="AC22" s="9">
        <f>IF(OR(V22="",AB22=""),"",V22*AB22)</f>
        <v>19053200</v>
      </c>
      <c r="AD22" s="6">
        <v>40220</v>
      </c>
      <c r="AE22" s="39" t="s">
        <v>209</v>
      </c>
      <c r="AF22" s="37"/>
      <c r="AG22" s="4"/>
      <c r="AH22" s="4" t="s">
        <v>108</v>
      </c>
      <c r="AI22" s="4" t="s">
        <v>109</v>
      </c>
      <c r="AJ22" s="3"/>
      <c r="AK22" s="4" t="s">
        <v>110</v>
      </c>
      <c r="AL22" s="11" t="s">
        <v>111</v>
      </c>
      <c r="AM22" s="11" t="s">
        <v>112</v>
      </c>
      <c r="AN22" s="11" t="s">
        <v>113</v>
      </c>
      <c r="AO22" s="8" t="s">
        <v>114</v>
      </c>
    </row>
    <row r="23" spans="1:41" x14ac:dyDescent="0.3">
      <c r="A23" s="12" t="s">
        <v>210</v>
      </c>
      <c r="B23" s="14">
        <v>46075</v>
      </c>
      <c r="C23" s="14"/>
      <c r="D23" s="13" t="s">
        <v>101</v>
      </c>
      <c r="E23" s="13" t="s">
        <v>46</v>
      </c>
      <c r="F23" s="13"/>
      <c r="G23" s="13" t="s">
        <v>695</v>
      </c>
      <c r="H23" s="13" t="s">
        <v>50</v>
      </c>
      <c r="I23" s="38" t="s">
        <v>211</v>
      </c>
      <c r="J23" s="12"/>
      <c r="K23" s="38"/>
      <c r="L23" s="13" t="s">
        <v>212</v>
      </c>
      <c r="M23" s="21">
        <v>9.6</v>
      </c>
      <c r="N23" s="22">
        <v>170</v>
      </c>
      <c r="O23" s="22">
        <v>45.4</v>
      </c>
      <c r="P23" s="22"/>
      <c r="Q23" s="13" t="s">
        <v>122</v>
      </c>
      <c r="R23" s="22" t="s">
        <v>123</v>
      </c>
      <c r="S23" s="15">
        <v>0</v>
      </c>
      <c r="T23" s="15"/>
      <c r="U23" s="15"/>
      <c r="V23" s="17">
        <v>0</v>
      </c>
      <c r="W23" s="15">
        <v>0</v>
      </c>
      <c r="X23" s="15"/>
      <c r="Y23" s="15"/>
      <c r="Z23" s="15"/>
      <c r="AA23" s="15"/>
      <c r="AB23" s="22"/>
      <c r="AC23" s="17">
        <v>0</v>
      </c>
      <c r="AD23" s="15"/>
      <c r="AE23" s="40"/>
      <c r="AF23" s="38"/>
      <c r="AG23" s="13" t="s">
        <v>123</v>
      </c>
      <c r="AH23" s="13"/>
      <c r="AI23" s="13" t="s">
        <v>109</v>
      </c>
      <c r="AJ23" s="12"/>
      <c r="AK23" s="13" t="s">
        <v>110</v>
      </c>
      <c r="AL23" s="23" t="s">
        <v>124</v>
      </c>
      <c r="AM23" s="23" t="s">
        <v>125</v>
      </c>
      <c r="AN23" s="11" t="s">
        <v>113</v>
      </c>
      <c r="AO23" s="23" t="s">
        <v>122</v>
      </c>
    </row>
    <row r="24" spans="1:41" x14ac:dyDescent="0.3">
      <c r="A24" s="3" t="s">
        <v>213</v>
      </c>
      <c r="B24" s="5">
        <v>46076</v>
      </c>
      <c r="C24" s="5"/>
      <c r="D24" s="4" t="s">
        <v>101</v>
      </c>
      <c r="E24" s="4" t="s">
        <v>46</v>
      </c>
      <c r="F24" s="4"/>
      <c r="G24" s="4" t="s">
        <v>1213</v>
      </c>
      <c r="H24" s="4" t="s">
        <v>55</v>
      </c>
      <c r="I24" s="37" t="s">
        <v>152</v>
      </c>
      <c r="J24" s="3"/>
      <c r="K24" s="37"/>
      <c r="L24" s="4" t="s">
        <v>30</v>
      </c>
      <c r="M24" s="19">
        <v>8.1999999999999993</v>
      </c>
      <c r="N24" s="20">
        <v>174</v>
      </c>
      <c r="O24" s="20">
        <v>45.05</v>
      </c>
      <c r="P24" s="20"/>
      <c r="Q24" s="4" t="s">
        <v>122</v>
      </c>
      <c r="R24" s="20" t="s">
        <v>123</v>
      </c>
      <c r="S24" s="6">
        <v>0</v>
      </c>
      <c r="T24" s="6"/>
      <c r="U24" s="6"/>
      <c r="V24" s="9">
        <v>0</v>
      </c>
      <c r="W24" s="6">
        <v>0</v>
      </c>
      <c r="X24" s="6"/>
      <c r="Y24" s="6"/>
      <c r="Z24" s="6"/>
      <c r="AA24" s="6">
        <v>0</v>
      </c>
      <c r="AB24" s="20"/>
      <c r="AC24" s="9">
        <v>0</v>
      </c>
      <c r="AD24" s="6"/>
      <c r="AE24" s="39"/>
      <c r="AF24" s="37"/>
      <c r="AG24" s="4" t="s">
        <v>123</v>
      </c>
      <c r="AH24" s="4"/>
      <c r="AI24" s="4" t="s">
        <v>109</v>
      </c>
      <c r="AJ24" s="3"/>
      <c r="AK24" s="4" t="s">
        <v>110</v>
      </c>
      <c r="AL24" s="23" t="s">
        <v>124</v>
      </c>
      <c r="AM24" s="23" t="s">
        <v>125</v>
      </c>
      <c r="AN24" s="11" t="s">
        <v>113</v>
      </c>
      <c r="AO24" s="23" t="s">
        <v>122</v>
      </c>
    </row>
    <row r="25" spans="1:41" x14ac:dyDescent="0.3">
      <c r="A25" s="12" t="s">
        <v>214</v>
      </c>
      <c r="B25" s="14">
        <v>46077</v>
      </c>
      <c r="C25" s="14">
        <v>46077</v>
      </c>
      <c r="D25" s="13" t="s">
        <v>101</v>
      </c>
      <c r="E25" s="13" t="s">
        <v>46</v>
      </c>
      <c r="F25" s="13" t="s">
        <v>23</v>
      </c>
      <c r="G25" s="13" t="s">
        <v>734</v>
      </c>
      <c r="H25" s="13" t="s">
        <v>34</v>
      </c>
      <c r="I25" s="38" t="s">
        <v>215</v>
      </c>
      <c r="J25" s="12" t="s">
        <v>216</v>
      </c>
      <c r="K25" s="38">
        <v>72620</v>
      </c>
      <c r="L25" s="13" t="s">
        <v>35</v>
      </c>
      <c r="M25" s="21">
        <v>9.4</v>
      </c>
      <c r="N25" s="22">
        <v>174</v>
      </c>
      <c r="O25" s="22">
        <v>47.87</v>
      </c>
      <c r="P25" s="22"/>
      <c r="Q25" s="13" t="s">
        <v>106</v>
      </c>
      <c r="R25" s="22"/>
      <c r="S25" s="15">
        <v>39020</v>
      </c>
      <c r="T25" s="15"/>
      <c r="U25" s="15">
        <v>38569</v>
      </c>
      <c r="V25" s="17">
        <f>IF(OR(U25="",AA25=""),"",U25-AA25)</f>
        <v>38529</v>
      </c>
      <c r="W25" s="15">
        <v>451</v>
      </c>
      <c r="X25" s="15">
        <v>441</v>
      </c>
      <c r="Y25" s="15">
        <v>0</v>
      </c>
      <c r="Z25" s="15">
        <v>10</v>
      </c>
      <c r="AA25" s="15">
        <v>40</v>
      </c>
      <c r="AB25" s="22">
        <v>475</v>
      </c>
      <c r="AC25" s="17">
        <f>IF(OR(V25="",AB25=""),"",V25*AB25)</f>
        <v>18301275</v>
      </c>
      <c r="AD25" s="15">
        <v>38569</v>
      </c>
      <c r="AE25" s="40" t="s">
        <v>217</v>
      </c>
      <c r="AF25" s="38"/>
      <c r="AG25" s="13"/>
      <c r="AH25" s="13" t="s">
        <v>218</v>
      </c>
      <c r="AI25" s="13" t="s">
        <v>131</v>
      </c>
      <c r="AJ25" s="12" t="s">
        <v>33</v>
      </c>
      <c r="AK25" s="13" t="s">
        <v>162</v>
      </c>
      <c r="AL25" s="8" t="s">
        <v>163</v>
      </c>
      <c r="AM25" s="24" t="s">
        <v>164</v>
      </c>
      <c r="AN25" s="8" t="s">
        <v>134</v>
      </c>
      <c r="AO25" s="8" t="s">
        <v>114</v>
      </c>
    </row>
    <row r="26" spans="1:41" x14ac:dyDescent="0.3">
      <c r="A26" s="3" t="s">
        <v>219</v>
      </c>
      <c r="B26" s="5">
        <v>46077</v>
      </c>
      <c r="C26" s="5"/>
      <c r="D26" s="4" t="s">
        <v>101</v>
      </c>
      <c r="E26" s="4" t="s">
        <v>46</v>
      </c>
      <c r="F26" s="4"/>
      <c r="G26" s="4" t="s">
        <v>1218</v>
      </c>
      <c r="H26" s="4" t="s">
        <v>141</v>
      </c>
      <c r="I26" s="37" t="s">
        <v>220</v>
      </c>
      <c r="J26" s="3"/>
      <c r="K26" s="37"/>
      <c r="L26" s="4" t="s">
        <v>51</v>
      </c>
      <c r="M26" s="19">
        <v>11.7</v>
      </c>
      <c r="N26" s="20">
        <v>161</v>
      </c>
      <c r="O26" s="20">
        <v>45.05</v>
      </c>
      <c r="P26" s="20"/>
      <c r="Q26" s="4" t="s">
        <v>122</v>
      </c>
      <c r="R26" s="20" t="s">
        <v>123</v>
      </c>
      <c r="S26" s="6">
        <v>0</v>
      </c>
      <c r="T26" s="6"/>
      <c r="U26" s="6">
        <v>0</v>
      </c>
      <c r="V26" s="9">
        <v>0</v>
      </c>
      <c r="W26" s="6">
        <v>0</v>
      </c>
      <c r="X26" s="6"/>
      <c r="Y26" s="6"/>
      <c r="Z26" s="6"/>
      <c r="AA26" s="6"/>
      <c r="AB26" s="20"/>
      <c r="AC26" s="9">
        <v>0</v>
      </c>
      <c r="AD26" s="6"/>
      <c r="AE26" s="39"/>
      <c r="AF26" s="37"/>
      <c r="AG26" s="4" t="s">
        <v>123</v>
      </c>
      <c r="AH26" s="4"/>
      <c r="AI26" s="4" t="s">
        <v>109</v>
      </c>
      <c r="AJ26" s="3"/>
      <c r="AK26" s="4" t="s">
        <v>110</v>
      </c>
      <c r="AL26" s="23" t="s">
        <v>124</v>
      </c>
      <c r="AM26" s="23" t="s">
        <v>125</v>
      </c>
      <c r="AN26" s="11" t="s">
        <v>113</v>
      </c>
      <c r="AO26" s="23" t="s">
        <v>122</v>
      </c>
    </row>
    <row r="27" spans="1:41" x14ac:dyDescent="0.3">
      <c r="A27" s="12" t="s">
        <v>221</v>
      </c>
      <c r="B27" s="14">
        <v>46077</v>
      </c>
      <c r="C27" s="14"/>
      <c r="D27" s="13" t="s">
        <v>101</v>
      </c>
      <c r="E27" s="13" t="s">
        <v>46</v>
      </c>
      <c r="F27" s="13"/>
      <c r="G27" s="13" t="s">
        <v>698</v>
      </c>
      <c r="H27" s="13" t="s">
        <v>58</v>
      </c>
      <c r="I27" s="38" t="s">
        <v>222</v>
      </c>
      <c r="J27" s="12"/>
      <c r="K27" s="38"/>
      <c r="L27" s="13" t="s">
        <v>35</v>
      </c>
      <c r="M27" s="21">
        <v>10.9</v>
      </c>
      <c r="N27" s="22">
        <v>174</v>
      </c>
      <c r="O27" s="22">
        <v>44.88</v>
      </c>
      <c r="P27" s="22"/>
      <c r="Q27" s="13" t="s">
        <v>122</v>
      </c>
      <c r="R27" s="22" t="s">
        <v>123</v>
      </c>
      <c r="S27" s="15">
        <v>0</v>
      </c>
      <c r="T27" s="15"/>
      <c r="U27" s="15">
        <v>0</v>
      </c>
      <c r="V27" s="17">
        <v>0</v>
      </c>
      <c r="W27" s="15">
        <v>0</v>
      </c>
      <c r="X27" s="15"/>
      <c r="Y27" s="15"/>
      <c r="Z27" s="15"/>
      <c r="AA27" s="15"/>
      <c r="AB27" s="22"/>
      <c r="AC27" s="17">
        <v>0</v>
      </c>
      <c r="AD27" s="15"/>
      <c r="AE27" s="40"/>
      <c r="AF27" s="38"/>
      <c r="AG27" s="13" t="s">
        <v>123</v>
      </c>
      <c r="AH27" s="13"/>
      <c r="AI27" s="13" t="s">
        <v>109</v>
      </c>
      <c r="AJ27" s="12"/>
      <c r="AK27" s="13" t="s">
        <v>110</v>
      </c>
      <c r="AL27" s="23" t="s">
        <v>124</v>
      </c>
      <c r="AM27" s="23" t="s">
        <v>125</v>
      </c>
      <c r="AN27" s="11" t="s">
        <v>113</v>
      </c>
      <c r="AO27" s="23" t="s">
        <v>122</v>
      </c>
    </row>
    <row r="28" spans="1:41" x14ac:dyDescent="0.3">
      <c r="A28" s="3" t="s">
        <v>223</v>
      </c>
      <c r="B28" s="5">
        <v>46078</v>
      </c>
      <c r="C28" s="5">
        <v>46078</v>
      </c>
      <c r="D28" s="4" t="s">
        <v>101</v>
      </c>
      <c r="E28" s="4" t="s">
        <v>46</v>
      </c>
      <c r="F28" s="4" t="s">
        <v>23</v>
      </c>
      <c r="G28" s="4" t="s">
        <v>1216</v>
      </c>
      <c r="H28" s="4" t="s">
        <v>116</v>
      </c>
      <c r="I28" s="37" t="s">
        <v>224</v>
      </c>
      <c r="J28" s="3" t="s">
        <v>118</v>
      </c>
      <c r="K28" s="37">
        <v>68659</v>
      </c>
      <c r="L28" s="4" t="s">
        <v>225</v>
      </c>
      <c r="M28" s="19">
        <v>8</v>
      </c>
      <c r="N28" s="20">
        <v>175</v>
      </c>
      <c r="O28" s="20">
        <v>46.11</v>
      </c>
      <c r="P28" s="20"/>
      <c r="Q28" s="4" t="s">
        <v>106</v>
      </c>
      <c r="R28" s="20"/>
      <c r="S28" s="6">
        <v>51380</v>
      </c>
      <c r="T28" s="6"/>
      <c r="U28" s="6">
        <v>50744</v>
      </c>
      <c r="V28" s="9">
        <f>IF(OR(U28="",AA28=""),"",U28-AA28)</f>
        <v>50624</v>
      </c>
      <c r="W28" s="6">
        <v>636</v>
      </c>
      <c r="X28" s="6">
        <v>606</v>
      </c>
      <c r="Y28" s="6">
        <v>0</v>
      </c>
      <c r="Z28" s="6">
        <v>30</v>
      </c>
      <c r="AA28" s="6">
        <v>120</v>
      </c>
      <c r="AB28" s="20">
        <v>490</v>
      </c>
      <c r="AC28" s="9">
        <f>IF(OR(V28="",AB28=""),"",V28*AB28)</f>
        <v>24805760</v>
      </c>
      <c r="AD28" s="6">
        <v>50744</v>
      </c>
      <c r="AE28" s="39" t="s">
        <v>226</v>
      </c>
      <c r="AF28" s="37"/>
      <c r="AG28" s="4"/>
      <c r="AH28" s="4" t="s">
        <v>218</v>
      </c>
      <c r="AI28" s="4" t="s">
        <v>109</v>
      </c>
      <c r="AJ28" s="3"/>
      <c r="AK28" s="4" t="s">
        <v>110</v>
      </c>
      <c r="AL28" s="11" t="s">
        <v>111</v>
      </c>
      <c r="AM28" s="11" t="s">
        <v>112</v>
      </c>
      <c r="AN28" s="11" t="s">
        <v>113</v>
      </c>
      <c r="AO28" s="8" t="s">
        <v>114</v>
      </c>
    </row>
    <row r="29" spans="1:41" x14ac:dyDescent="0.3">
      <c r="A29" s="12" t="s">
        <v>227</v>
      </c>
      <c r="B29" s="14">
        <v>46079</v>
      </c>
      <c r="C29" s="14"/>
      <c r="D29" s="13" t="s">
        <v>101</v>
      </c>
      <c r="E29" s="13" t="s">
        <v>46</v>
      </c>
      <c r="F29" s="13"/>
      <c r="G29" s="13" t="s">
        <v>1215</v>
      </c>
      <c r="H29" s="13" t="s">
        <v>102</v>
      </c>
      <c r="I29" s="38" t="s">
        <v>228</v>
      </c>
      <c r="J29" s="12"/>
      <c r="K29" s="38"/>
      <c r="L29" s="13" t="s">
        <v>229</v>
      </c>
      <c r="M29" s="21">
        <v>8.3000000000000007</v>
      </c>
      <c r="N29" s="22">
        <v>180</v>
      </c>
      <c r="O29" s="22">
        <v>41</v>
      </c>
      <c r="P29" s="22"/>
      <c r="Q29" s="13" t="s">
        <v>122</v>
      </c>
      <c r="R29" s="22" t="s">
        <v>123</v>
      </c>
      <c r="S29" s="15">
        <v>0</v>
      </c>
      <c r="T29" s="15"/>
      <c r="U29" s="15"/>
      <c r="V29" s="17">
        <v>0</v>
      </c>
      <c r="W29" s="15"/>
      <c r="X29" s="15"/>
      <c r="Y29" s="15"/>
      <c r="Z29" s="15"/>
      <c r="AA29" s="15"/>
      <c r="AB29" s="22">
        <v>0</v>
      </c>
      <c r="AC29" s="17">
        <v>0</v>
      </c>
      <c r="AD29" s="15"/>
      <c r="AE29" s="40"/>
      <c r="AF29" s="38"/>
      <c r="AG29" s="13" t="s">
        <v>123</v>
      </c>
      <c r="AH29" s="13"/>
      <c r="AI29" s="13" t="s">
        <v>109</v>
      </c>
      <c r="AJ29" s="12"/>
      <c r="AK29" s="13" t="s">
        <v>110</v>
      </c>
      <c r="AL29" s="23" t="s">
        <v>124</v>
      </c>
      <c r="AM29" s="23" t="s">
        <v>125</v>
      </c>
      <c r="AN29" s="11" t="s">
        <v>113</v>
      </c>
      <c r="AO29" s="23" t="s">
        <v>122</v>
      </c>
    </row>
    <row r="30" spans="1:41" x14ac:dyDescent="0.3">
      <c r="A30" s="3" t="s">
        <v>230</v>
      </c>
      <c r="B30" s="5">
        <v>46081</v>
      </c>
      <c r="C30" s="5"/>
      <c r="D30" s="4" t="s">
        <v>101</v>
      </c>
      <c r="E30" s="4" t="s">
        <v>231</v>
      </c>
      <c r="F30" s="4"/>
      <c r="G30" s="4" t="s">
        <v>1208</v>
      </c>
      <c r="H30" s="4" t="s">
        <v>21</v>
      </c>
      <c r="I30" s="37" t="s">
        <v>1230</v>
      </c>
      <c r="J30" s="3"/>
      <c r="K30" s="37"/>
      <c r="L30" s="4" t="s">
        <v>22</v>
      </c>
      <c r="M30" s="19">
        <v>7.9</v>
      </c>
      <c r="N30" s="20">
        <v>183</v>
      </c>
      <c r="O30" s="20">
        <v>45.23</v>
      </c>
      <c r="P30" s="20"/>
      <c r="Q30" s="4" t="s">
        <v>122</v>
      </c>
      <c r="R30" s="20" t="s">
        <v>123</v>
      </c>
      <c r="S30" s="6">
        <v>0</v>
      </c>
      <c r="T30" s="6"/>
      <c r="U30" s="6"/>
      <c r="V30" s="9">
        <v>0</v>
      </c>
      <c r="W30" s="6"/>
      <c r="X30" s="6"/>
      <c r="Y30" s="6"/>
      <c r="Z30" s="6"/>
      <c r="AA30" s="6"/>
      <c r="AB30" s="20"/>
      <c r="AC30" s="9">
        <v>0</v>
      </c>
      <c r="AD30" s="6"/>
      <c r="AE30" s="39"/>
      <c r="AF30" s="37"/>
      <c r="AG30" s="4" t="s">
        <v>123</v>
      </c>
      <c r="AH30" s="4"/>
      <c r="AI30" s="4" t="s">
        <v>131</v>
      </c>
      <c r="AJ30" s="3" t="s">
        <v>20</v>
      </c>
      <c r="AK30" s="4" t="s">
        <v>162</v>
      </c>
      <c r="AL30" s="8" t="s">
        <v>163</v>
      </c>
      <c r="AM30" s="23" t="s">
        <v>125</v>
      </c>
      <c r="AN30" s="8" t="s">
        <v>134</v>
      </c>
      <c r="AO30" s="23" t="s">
        <v>122</v>
      </c>
    </row>
    <row r="31" spans="1:41" x14ac:dyDescent="0.3">
      <c r="A31" s="12" t="s">
        <v>232</v>
      </c>
      <c r="B31" s="14">
        <v>46085</v>
      </c>
      <c r="C31" s="14"/>
      <c r="D31" s="13" t="s">
        <v>101</v>
      </c>
      <c r="E31" s="13" t="s">
        <v>46</v>
      </c>
      <c r="F31" s="13"/>
      <c r="G31" s="13" t="s">
        <v>1219</v>
      </c>
      <c r="H31" s="13" t="s">
        <v>147</v>
      </c>
      <c r="I31" s="38" t="s">
        <v>233</v>
      </c>
      <c r="J31" s="12"/>
      <c r="K31" s="38"/>
      <c r="L31" s="13" t="s">
        <v>234</v>
      </c>
      <c r="M31" s="21">
        <v>10</v>
      </c>
      <c r="N31" s="22">
        <v>170</v>
      </c>
      <c r="O31" s="22">
        <v>44.26</v>
      </c>
      <c r="P31" s="22"/>
      <c r="Q31" s="13" t="s">
        <v>122</v>
      </c>
      <c r="R31" s="22" t="s">
        <v>123</v>
      </c>
      <c r="S31" s="15">
        <v>0</v>
      </c>
      <c r="T31" s="15"/>
      <c r="U31" s="15"/>
      <c r="V31" s="17">
        <v>0</v>
      </c>
      <c r="W31" s="15"/>
      <c r="X31" s="15"/>
      <c r="Y31" s="15"/>
      <c r="Z31" s="15"/>
      <c r="AA31" s="15"/>
      <c r="AB31" s="22"/>
      <c r="AC31" s="17">
        <v>0</v>
      </c>
      <c r="AD31" s="15"/>
      <c r="AE31" s="40"/>
      <c r="AF31" s="38"/>
      <c r="AG31" s="13" t="s">
        <v>123</v>
      </c>
      <c r="AH31" s="13"/>
      <c r="AI31" s="13" t="s">
        <v>109</v>
      </c>
      <c r="AJ31" s="12"/>
      <c r="AK31" s="13" t="s">
        <v>110</v>
      </c>
      <c r="AL31" s="23" t="s">
        <v>124</v>
      </c>
      <c r="AM31" s="23" t="s">
        <v>125</v>
      </c>
      <c r="AN31" s="11" t="s">
        <v>113</v>
      </c>
      <c r="AO31" s="23" t="s">
        <v>122</v>
      </c>
    </row>
    <row r="32" spans="1:41" x14ac:dyDescent="0.3">
      <c r="A32" s="3" t="s">
        <v>235</v>
      </c>
      <c r="B32" s="5">
        <v>46085</v>
      </c>
      <c r="C32" s="5"/>
      <c r="D32" s="4" t="s">
        <v>101</v>
      </c>
      <c r="E32" s="4" t="s">
        <v>46</v>
      </c>
      <c r="F32" s="4"/>
      <c r="G32" s="4" t="s">
        <v>1212</v>
      </c>
      <c r="H32" s="4" t="s">
        <v>45</v>
      </c>
      <c r="I32" s="37" t="s">
        <v>236</v>
      </c>
      <c r="J32" s="3"/>
      <c r="K32" s="37"/>
      <c r="L32" s="4" t="s">
        <v>237</v>
      </c>
      <c r="M32" s="19">
        <v>7.9</v>
      </c>
      <c r="N32" s="20">
        <v>178</v>
      </c>
      <c r="O32" s="20">
        <v>42.06</v>
      </c>
      <c r="P32" s="20"/>
      <c r="Q32" s="4" t="s">
        <v>122</v>
      </c>
      <c r="R32" s="20" t="s">
        <v>123</v>
      </c>
      <c r="S32" s="6">
        <v>0</v>
      </c>
      <c r="T32" s="6"/>
      <c r="U32" s="6"/>
      <c r="V32" s="9">
        <v>0</v>
      </c>
      <c r="W32" s="6"/>
      <c r="X32" s="6"/>
      <c r="Y32" s="6"/>
      <c r="Z32" s="6"/>
      <c r="AA32" s="6"/>
      <c r="AB32" s="20"/>
      <c r="AC32" s="9">
        <v>0</v>
      </c>
      <c r="AD32" s="6"/>
      <c r="AE32" s="39"/>
      <c r="AF32" s="37"/>
      <c r="AG32" s="4" t="s">
        <v>123</v>
      </c>
      <c r="AH32" s="4"/>
      <c r="AI32" s="4" t="s">
        <v>109</v>
      </c>
      <c r="AJ32" s="3"/>
      <c r="AK32" s="4" t="s">
        <v>110</v>
      </c>
      <c r="AL32" s="23" t="s">
        <v>124</v>
      </c>
      <c r="AM32" s="23" t="s">
        <v>125</v>
      </c>
      <c r="AN32" s="11" t="s">
        <v>113</v>
      </c>
      <c r="AO32" s="23" t="s">
        <v>122</v>
      </c>
    </row>
    <row r="33" spans="1:41" x14ac:dyDescent="0.3">
      <c r="A33" s="12" t="s">
        <v>238</v>
      </c>
      <c r="B33" s="14">
        <v>46086</v>
      </c>
      <c r="C33" s="14">
        <v>46086</v>
      </c>
      <c r="D33" s="13" t="s">
        <v>101</v>
      </c>
      <c r="E33" s="13" t="s">
        <v>46</v>
      </c>
      <c r="F33" s="13" t="s">
        <v>23</v>
      </c>
      <c r="G33" s="13" t="s">
        <v>1218</v>
      </c>
      <c r="H33" s="13" t="s">
        <v>141</v>
      </c>
      <c r="I33" s="38" t="s">
        <v>239</v>
      </c>
      <c r="J33" s="12" t="s">
        <v>143</v>
      </c>
      <c r="K33" s="38">
        <v>77662</v>
      </c>
      <c r="L33" s="13" t="s">
        <v>51</v>
      </c>
      <c r="M33" s="21">
        <v>9.6999999999999993</v>
      </c>
      <c r="N33" s="22">
        <v>160</v>
      </c>
      <c r="O33" s="22">
        <v>46.02</v>
      </c>
      <c r="P33" s="22"/>
      <c r="Q33" s="13" t="s">
        <v>106</v>
      </c>
      <c r="R33" s="22"/>
      <c r="S33" s="15">
        <v>46760</v>
      </c>
      <c r="T33" s="15"/>
      <c r="U33" s="15">
        <v>46256</v>
      </c>
      <c r="V33" s="17">
        <f>IF(OR(U33="",AA33=""),"",U33-AA33)</f>
        <v>46216</v>
      </c>
      <c r="W33" s="15">
        <v>504</v>
      </c>
      <c r="X33" s="15">
        <v>494</v>
      </c>
      <c r="Y33" s="15">
        <v>0</v>
      </c>
      <c r="Z33" s="15">
        <v>10</v>
      </c>
      <c r="AA33" s="15">
        <v>40</v>
      </c>
      <c r="AB33" s="22">
        <v>485</v>
      </c>
      <c r="AC33" s="17">
        <f>IF(OR(V33="",AB33=""),"",V33*AB33)</f>
        <v>22414760</v>
      </c>
      <c r="AD33" s="15">
        <v>46256</v>
      </c>
      <c r="AE33" s="40" t="s">
        <v>240</v>
      </c>
      <c r="AF33" s="38"/>
      <c r="AG33" s="13"/>
      <c r="AH33" s="13" t="s">
        <v>241</v>
      </c>
      <c r="AI33" s="13" t="s">
        <v>109</v>
      </c>
      <c r="AJ33" s="12"/>
      <c r="AK33" s="13" t="s">
        <v>110</v>
      </c>
      <c r="AL33" s="11" t="s">
        <v>111</v>
      </c>
      <c r="AM33" s="11" t="s">
        <v>112</v>
      </c>
      <c r="AN33" s="11" t="s">
        <v>113</v>
      </c>
      <c r="AO33" s="8" t="s">
        <v>114</v>
      </c>
    </row>
    <row r="34" spans="1:41" x14ac:dyDescent="0.3">
      <c r="A34" s="3" t="s">
        <v>242</v>
      </c>
      <c r="B34" s="5">
        <v>46087</v>
      </c>
      <c r="C34" s="5"/>
      <c r="D34" s="4" t="s">
        <v>101</v>
      </c>
      <c r="E34" s="4" t="s">
        <v>46</v>
      </c>
      <c r="F34" s="4"/>
      <c r="G34" s="4" t="s">
        <v>734</v>
      </c>
      <c r="H34" s="4" t="s">
        <v>34</v>
      </c>
      <c r="I34" s="37" t="s">
        <v>243</v>
      </c>
      <c r="J34" s="3"/>
      <c r="K34" s="37"/>
      <c r="L34" s="4" t="s">
        <v>35</v>
      </c>
      <c r="M34" s="19">
        <v>9.6</v>
      </c>
      <c r="N34" s="20">
        <v>168</v>
      </c>
      <c r="O34" s="20">
        <v>44.44</v>
      </c>
      <c r="P34" s="20"/>
      <c r="Q34" s="4" t="s">
        <v>122</v>
      </c>
      <c r="R34" s="20" t="s">
        <v>123</v>
      </c>
      <c r="S34" s="6">
        <v>0</v>
      </c>
      <c r="T34" s="6"/>
      <c r="U34" s="6"/>
      <c r="V34" s="9">
        <v>0</v>
      </c>
      <c r="W34" s="6"/>
      <c r="X34" s="6"/>
      <c r="Y34" s="6"/>
      <c r="Z34" s="6"/>
      <c r="AA34" s="6"/>
      <c r="AB34" s="20"/>
      <c r="AC34" s="9">
        <v>0</v>
      </c>
      <c r="AD34" s="6"/>
      <c r="AE34" s="39"/>
      <c r="AF34" s="37"/>
      <c r="AG34" s="4" t="s">
        <v>123</v>
      </c>
      <c r="AH34" s="4"/>
      <c r="AI34" s="4" t="s">
        <v>131</v>
      </c>
      <c r="AJ34" s="3" t="s">
        <v>33</v>
      </c>
      <c r="AK34" s="4" t="s">
        <v>162</v>
      </c>
      <c r="AL34" s="8" t="s">
        <v>163</v>
      </c>
      <c r="AM34" s="23" t="s">
        <v>125</v>
      </c>
      <c r="AN34" s="8" t="s">
        <v>134</v>
      </c>
      <c r="AO34" s="23" t="s">
        <v>122</v>
      </c>
    </row>
    <row r="35" spans="1:41" x14ac:dyDescent="0.3">
      <c r="A35" s="12" t="s">
        <v>244</v>
      </c>
      <c r="B35" s="14">
        <v>46088</v>
      </c>
      <c r="C35" s="14">
        <v>46088</v>
      </c>
      <c r="D35" s="13" t="s">
        <v>101</v>
      </c>
      <c r="E35" s="13" t="s">
        <v>46</v>
      </c>
      <c r="F35" s="13" t="s">
        <v>31</v>
      </c>
      <c r="G35" s="13" t="s">
        <v>695</v>
      </c>
      <c r="H35" s="13" t="s">
        <v>50</v>
      </c>
      <c r="I35" s="38" t="s">
        <v>245</v>
      </c>
      <c r="J35" s="12" t="s">
        <v>128</v>
      </c>
      <c r="K35" s="38">
        <v>77633</v>
      </c>
      <c r="L35" s="13" t="s">
        <v>51</v>
      </c>
      <c r="M35" s="21">
        <v>9.8000000000000007</v>
      </c>
      <c r="N35" s="22">
        <v>168</v>
      </c>
      <c r="O35" s="22">
        <v>46.11</v>
      </c>
      <c r="P35" s="22"/>
      <c r="Q35" s="13" t="s">
        <v>106</v>
      </c>
      <c r="R35" s="22"/>
      <c r="S35" s="15">
        <v>46040</v>
      </c>
      <c r="T35" s="15"/>
      <c r="U35" s="15">
        <v>45492</v>
      </c>
      <c r="V35" s="17">
        <f>IF(OR(U35="",AA35=""),"",U35-AA35)</f>
        <v>45460</v>
      </c>
      <c r="W35" s="15">
        <v>548</v>
      </c>
      <c r="X35" s="15">
        <v>540</v>
      </c>
      <c r="Y35" s="15">
        <v>0</v>
      </c>
      <c r="Z35" s="15">
        <v>8</v>
      </c>
      <c r="AA35" s="15">
        <v>32</v>
      </c>
      <c r="AB35" s="22">
        <v>485</v>
      </c>
      <c r="AC35" s="17">
        <f>IF(OR(V35="",AB35=""),"",V35*AB35)</f>
        <v>22048100</v>
      </c>
      <c r="AD35" s="15">
        <v>45492</v>
      </c>
      <c r="AE35" s="40" t="s">
        <v>246</v>
      </c>
      <c r="AF35" s="38"/>
      <c r="AG35" s="13"/>
      <c r="AH35" s="13" t="s">
        <v>241</v>
      </c>
      <c r="AI35" s="13" t="s">
        <v>131</v>
      </c>
      <c r="AJ35" s="12" t="s">
        <v>49</v>
      </c>
      <c r="AK35" s="13" t="s">
        <v>132</v>
      </c>
      <c r="AL35" s="11" t="s">
        <v>247</v>
      </c>
      <c r="AM35" s="11" t="s">
        <v>112</v>
      </c>
      <c r="AN35" s="8" t="s">
        <v>134</v>
      </c>
      <c r="AO35" s="8" t="s">
        <v>114</v>
      </c>
    </row>
    <row r="36" spans="1:41" x14ac:dyDescent="0.3">
      <c r="A36" s="3" t="s">
        <v>248</v>
      </c>
      <c r="B36" s="5">
        <v>46090</v>
      </c>
      <c r="C36" s="5"/>
      <c r="D36" s="4" t="s">
        <v>101</v>
      </c>
      <c r="E36" s="4" t="s">
        <v>46</v>
      </c>
      <c r="F36" s="4"/>
      <c r="G36" s="4" t="s">
        <v>1220</v>
      </c>
      <c r="H36" s="4" t="s">
        <v>188</v>
      </c>
      <c r="I36" s="37" t="s">
        <v>249</v>
      </c>
      <c r="J36" s="3"/>
      <c r="K36" s="37"/>
      <c r="L36" s="4" t="s">
        <v>105</v>
      </c>
      <c r="M36" s="19">
        <v>9.1</v>
      </c>
      <c r="N36" s="20">
        <v>170</v>
      </c>
      <c r="O36" s="20">
        <v>44.35</v>
      </c>
      <c r="P36" s="20"/>
      <c r="Q36" s="4" t="s">
        <v>122</v>
      </c>
      <c r="R36" s="20" t="s">
        <v>123</v>
      </c>
      <c r="S36" s="6">
        <v>0</v>
      </c>
      <c r="T36" s="6"/>
      <c r="U36" s="6"/>
      <c r="V36" s="9">
        <v>0</v>
      </c>
      <c r="W36" s="6"/>
      <c r="X36" s="6"/>
      <c r="Y36" s="6"/>
      <c r="Z36" s="6"/>
      <c r="AA36" s="6"/>
      <c r="AB36" s="20"/>
      <c r="AC36" s="9">
        <v>0</v>
      </c>
      <c r="AD36" s="6"/>
      <c r="AE36" s="39"/>
      <c r="AF36" s="37"/>
      <c r="AG36" s="4" t="s">
        <v>123</v>
      </c>
      <c r="AH36" s="4"/>
      <c r="AI36" s="4" t="s">
        <v>109</v>
      </c>
      <c r="AJ36" s="3"/>
      <c r="AK36" s="4" t="s">
        <v>110</v>
      </c>
      <c r="AL36" s="23" t="s">
        <v>124</v>
      </c>
      <c r="AM36" s="23" t="s">
        <v>125</v>
      </c>
      <c r="AN36" s="11" t="s">
        <v>113</v>
      </c>
      <c r="AO36" s="23" t="s">
        <v>122</v>
      </c>
    </row>
    <row r="37" spans="1:41" x14ac:dyDescent="0.3">
      <c r="A37" s="12" t="s">
        <v>250</v>
      </c>
      <c r="B37" s="14">
        <v>46092</v>
      </c>
      <c r="C37" s="14">
        <v>46092</v>
      </c>
      <c r="D37" s="13" t="s">
        <v>101</v>
      </c>
      <c r="E37" s="13" t="s">
        <v>46</v>
      </c>
      <c r="F37" s="13" t="s">
        <v>31</v>
      </c>
      <c r="G37" s="13" t="s">
        <v>1217</v>
      </c>
      <c r="H37" s="13" t="s">
        <v>136</v>
      </c>
      <c r="I37" s="38" t="s">
        <v>251</v>
      </c>
      <c r="J37" s="12" t="s">
        <v>138</v>
      </c>
      <c r="K37" s="38">
        <v>75589</v>
      </c>
      <c r="L37" s="13" t="s">
        <v>22</v>
      </c>
      <c r="M37" s="21">
        <v>9.9</v>
      </c>
      <c r="N37" s="22">
        <v>185</v>
      </c>
      <c r="O37" s="22">
        <v>45.23</v>
      </c>
      <c r="P37" s="22"/>
      <c r="Q37" s="13" t="s">
        <v>106</v>
      </c>
      <c r="R37" s="22"/>
      <c r="S37" s="15">
        <v>48580</v>
      </c>
      <c r="T37" s="15"/>
      <c r="U37" s="15">
        <v>47967</v>
      </c>
      <c r="V37" s="17">
        <f t="shared" ref="V37:V49" si="0">IF(OR(U37="",AA37=""),"",U37-AA37)</f>
        <v>47935</v>
      </c>
      <c r="W37" s="15">
        <v>613</v>
      </c>
      <c r="X37" s="15">
        <v>605</v>
      </c>
      <c r="Y37" s="15">
        <v>0</v>
      </c>
      <c r="Z37" s="15">
        <v>8</v>
      </c>
      <c r="AA37" s="15">
        <v>32</v>
      </c>
      <c r="AB37" s="22">
        <v>485</v>
      </c>
      <c r="AC37" s="17">
        <f t="shared" ref="AC37:AC49" si="1">IF(OR(V37="",AB37=""),"",V37*AB37)</f>
        <v>23248475</v>
      </c>
      <c r="AD37" s="15">
        <v>47967</v>
      </c>
      <c r="AE37" s="40" t="s">
        <v>252</v>
      </c>
      <c r="AF37" s="38"/>
      <c r="AG37" s="13"/>
      <c r="AH37" s="13" t="s">
        <v>253</v>
      </c>
      <c r="AI37" s="13" t="s">
        <v>109</v>
      </c>
      <c r="AJ37" s="12"/>
      <c r="AK37" s="13" t="s">
        <v>110</v>
      </c>
      <c r="AL37" s="11" t="s">
        <v>111</v>
      </c>
      <c r="AM37" s="11" t="s">
        <v>112</v>
      </c>
      <c r="AN37" s="11" t="s">
        <v>113</v>
      </c>
      <c r="AO37" s="8" t="s">
        <v>114</v>
      </c>
    </row>
    <row r="38" spans="1:41" x14ac:dyDescent="0.3">
      <c r="A38" s="3" t="s">
        <v>254</v>
      </c>
      <c r="B38" s="5">
        <v>46093</v>
      </c>
      <c r="C38" s="5">
        <v>46093</v>
      </c>
      <c r="D38" s="4" t="s">
        <v>101</v>
      </c>
      <c r="E38" s="4" t="s">
        <v>46</v>
      </c>
      <c r="F38" s="4" t="s">
        <v>31</v>
      </c>
      <c r="G38" s="4" t="s">
        <v>1221</v>
      </c>
      <c r="H38" s="4" t="s">
        <v>193</v>
      </c>
      <c r="I38" s="37" t="s">
        <v>255</v>
      </c>
      <c r="J38" s="3" t="s">
        <v>195</v>
      </c>
      <c r="K38" s="37">
        <v>72647</v>
      </c>
      <c r="L38" s="4" t="s">
        <v>237</v>
      </c>
      <c r="M38" s="19">
        <v>7.5</v>
      </c>
      <c r="N38" s="20">
        <v>166</v>
      </c>
      <c r="O38" s="20">
        <v>45.4</v>
      </c>
      <c r="P38" s="20"/>
      <c r="Q38" s="4" t="s">
        <v>106</v>
      </c>
      <c r="R38" s="20"/>
      <c r="S38" s="6">
        <v>40300</v>
      </c>
      <c r="T38" s="6"/>
      <c r="U38" s="6">
        <v>39784</v>
      </c>
      <c r="V38" s="9">
        <f t="shared" si="0"/>
        <v>39744</v>
      </c>
      <c r="W38" s="6">
        <v>516</v>
      </c>
      <c r="X38" s="6">
        <v>506</v>
      </c>
      <c r="Y38" s="6">
        <v>0</v>
      </c>
      <c r="Z38" s="6">
        <v>10</v>
      </c>
      <c r="AA38" s="6">
        <v>40</v>
      </c>
      <c r="AB38" s="20">
        <v>485</v>
      </c>
      <c r="AC38" s="9">
        <f t="shared" si="1"/>
        <v>19275840</v>
      </c>
      <c r="AD38" s="6">
        <v>39784</v>
      </c>
      <c r="AE38" s="39" t="s">
        <v>256</v>
      </c>
      <c r="AF38" s="37"/>
      <c r="AG38" s="4"/>
      <c r="AH38" s="4" t="s">
        <v>253</v>
      </c>
      <c r="AI38" s="4" t="s">
        <v>109</v>
      </c>
      <c r="AJ38" s="3"/>
      <c r="AK38" s="4" t="s">
        <v>110</v>
      </c>
      <c r="AL38" s="11" t="s">
        <v>111</v>
      </c>
      <c r="AM38" s="11" t="s">
        <v>112</v>
      </c>
      <c r="AN38" s="11" t="s">
        <v>113</v>
      </c>
      <c r="AO38" s="8" t="s">
        <v>114</v>
      </c>
    </row>
    <row r="39" spans="1:41" x14ac:dyDescent="0.3">
      <c r="A39" s="12" t="s">
        <v>257</v>
      </c>
      <c r="B39" s="14">
        <v>46095</v>
      </c>
      <c r="C39" s="14">
        <v>46095</v>
      </c>
      <c r="D39" s="13" t="s">
        <v>101</v>
      </c>
      <c r="E39" s="13" t="s">
        <v>46</v>
      </c>
      <c r="F39" s="13" t="s">
        <v>47</v>
      </c>
      <c r="G39" s="13" t="s">
        <v>1211</v>
      </c>
      <c r="H39" s="13" t="s">
        <v>41</v>
      </c>
      <c r="I39" s="38" t="s">
        <v>258</v>
      </c>
      <c r="J39" s="12" t="s">
        <v>167</v>
      </c>
      <c r="K39" s="38">
        <v>82147</v>
      </c>
      <c r="L39" s="13" t="s">
        <v>42</v>
      </c>
      <c r="M39" s="21">
        <v>8.6</v>
      </c>
      <c r="N39" s="22">
        <v>166</v>
      </c>
      <c r="O39" s="22">
        <v>47.26</v>
      </c>
      <c r="P39" s="22"/>
      <c r="Q39" s="13" t="s">
        <v>106</v>
      </c>
      <c r="R39" s="22"/>
      <c r="S39" s="15">
        <v>44880</v>
      </c>
      <c r="T39" s="15"/>
      <c r="U39" s="15">
        <v>44340</v>
      </c>
      <c r="V39" s="17">
        <f t="shared" si="0"/>
        <v>44308</v>
      </c>
      <c r="W39" s="15">
        <v>540</v>
      </c>
      <c r="X39" s="15">
        <v>532</v>
      </c>
      <c r="Y39" s="15">
        <v>0</v>
      </c>
      <c r="Z39" s="15">
        <v>8</v>
      </c>
      <c r="AA39" s="15">
        <v>32</v>
      </c>
      <c r="AB39" s="22">
        <v>495</v>
      </c>
      <c r="AC39" s="17">
        <f t="shared" si="1"/>
        <v>21932460</v>
      </c>
      <c r="AD39" s="15">
        <v>44340</v>
      </c>
      <c r="AE39" s="40" t="s">
        <v>259</v>
      </c>
      <c r="AF39" s="38"/>
      <c r="AG39" s="13"/>
      <c r="AH39" s="13" t="s">
        <v>253</v>
      </c>
      <c r="AI39" s="13" t="s">
        <v>131</v>
      </c>
      <c r="AJ39" s="12" t="s">
        <v>40</v>
      </c>
      <c r="AK39" s="13" t="s">
        <v>132</v>
      </c>
      <c r="AL39" s="11" t="s">
        <v>43</v>
      </c>
      <c r="AM39" s="11" t="s">
        <v>112</v>
      </c>
      <c r="AN39" s="8" t="s">
        <v>134</v>
      </c>
      <c r="AO39" s="8" t="s">
        <v>114</v>
      </c>
    </row>
    <row r="40" spans="1:41" x14ac:dyDescent="0.3">
      <c r="A40" s="3" t="s">
        <v>260</v>
      </c>
      <c r="B40" s="5">
        <v>46096</v>
      </c>
      <c r="C40" s="5">
        <v>46097</v>
      </c>
      <c r="D40" s="4" t="s">
        <v>101</v>
      </c>
      <c r="E40" s="4" t="s">
        <v>46</v>
      </c>
      <c r="F40" s="4" t="s">
        <v>31</v>
      </c>
      <c r="G40" s="4" t="s">
        <v>695</v>
      </c>
      <c r="H40" s="4" t="s">
        <v>50</v>
      </c>
      <c r="I40" s="37" t="s">
        <v>127</v>
      </c>
      <c r="J40" s="3" t="s">
        <v>128</v>
      </c>
      <c r="K40" s="37">
        <v>82869</v>
      </c>
      <c r="L40" s="4" t="s">
        <v>42</v>
      </c>
      <c r="M40" s="19">
        <v>12.2</v>
      </c>
      <c r="N40" s="20">
        <v>189</v>
      </c>
      <c r="O40" s="20">
        <v>45.15</v>
      </c>
      <c r="P40" s="20"/>
      <c r="Q40" s="4" t="s">
        <v>106</v>
      </c>
      <c r="R40" s="20"/>
      <c r="S40" s="6">
        <v>39880</v>
      </c>
      <c r="T40" s="6"/>
      <c r="U40" s="6">
        <v>39405</v>
      </c>
      <c r="V40" s="9">
        <f t="shared" si="0"/>
        <v>39325</v>
      </c>
      <c r="W40" s="6">
        <v>475</v>
      </c>
      <c r="X40" s="6">
        <v>455</v>
      </c>
      <c r="Y40" s="6">
        <v>0</v>
      </c>
      <c r="Z40" s="6">
        <v>20</v>
      </c>
      <c r="AA40" s="6">
        <v>80</v>
      </c>
      <c r="AB40" s="20">
        <v>485</v>
      </c>
      <c r="AC40" s="9">
        <f t="shared" si="1"/>
        <v>19072625</v>
      </c>
      <c r="AD40" s="6">
        <v>39405</v>
      </c>
      <c r="AE40" s="39" t="s">
        <v>261</v>
      </c>
      <c r="AF40" s="37" t="s">
        <v>262</v>
      </c>
      <c r="AG40" s="4"/>
      <c r="AH40" s="4" t="s">
        <v>263</v>
      </c>
      <c r="AI40" s="4" t="s">
        <v>109</v>
      </c>
      <c r="AJ40" s="3"/>
      <c r="AK40" s="4" t="s">
        <v>110</v>
      </c>
      <c r="AL40" s="11" t="s">
        <v>111</v>
      </c>
      <c r="AM40" s="11" t="s">
        <v>112</v>
      </c>
      <c r="AN40" s="11" t="s">
        <v>113</v>
      </c>
      <c r="AO40" s="8" t="s">
        <v>114</v>
      </c>
    </row>
    <row r="41" spans="1:41" x14ac:dyDescent="0.3">
      <c r="A41" s="12" t="s">
        <v>264</v>
      </c>
      <c r="B41" s="14">
        <v>46096</v>
      </c>
      <c r="C41" s="14">
        <v>46097</v>
      </c>
      <c r="D41" s="13" t="s">
        <v>101</v>
      </c>
      <c r="E41" s="13" t="s">
        <v>46</v>
      </c>
      <c r="F41" s="13" t="s">
        <v>31</v>
      </c>
      <c r="G41" s="13" t="s">
        <v>698</v>
      </c>
      <c r="H41" s="13" t="s">
        <v>58</v>
      </c>
      <c r="I41" s="38" t="s">
        <v>265</v>
      </c>
      <c r="J41" s="12" t="s">
        <v>203</v>
      </c>
      <c r="K41" s="38">
        <v>82143</v>
      </c>
      <c r="L41" s="13" t="s">
        <v>35</v>
      </c>
      <c r="M41" s="21">
        <v>11</v>
      </c>
      <c r="N41" s="22">
        <v>164</v>
      </c>
      <c r="O41" s="22">
        <v>46.03</v>
      </c>
      <c r="P41" s="22"/>
      <c r="Q41" s="13" t="s">
        <v>106</v>
      </c>
      <c r="R41" s="22"/>
      <c r="S41" s="15">
        <v>43640</v>
      </c>
      <c r="T41" s="15"/>
      <c r="U41" s="15">
        <v>43128</v>
      </c>
      <c r="V41" s="17">
        <f t="shared" si="0"/>
        <v>43088</v>
      </c>
      <c r="W41" s="15">
        <v>512</v>
      </c>
      <c r="X41" s="15">
        <v>502</v>
      </c>
      <c r="Y41" s="15">
        <v>0</v>
      </c>
      <c r="Z41" s="15">
        <v>10</v>
      </c>
      <c r="AA41" s="15">
        <v>40</v>
      </c>
      <c r="AB41" s="22">
        <v>490</v>
      </c>
      <c r="AC41" s="17">
        <f t="shared" si="1"/>
        <v>21113120</v>
      </c>
      <c r="AD41" s="15">
        <v>43128</v>
      </c>
      <c r="AE41" s="40" t="s">
        <v>266</v>
      </c>
      <c r="AF41" s="38" t="s">
        <v>267</v>
      </c>
      <c r="AG41" s="13"/>
      <c r="AH41" s="13" t="s">
        <v>263</v>
      </c>
      <c r="AI41" s="13" t="s">
        <v>109</v>
      </c>
      <c r="AJ41" s="12"/>
      <c r="AK41" s="13" t="s">
        <v>110</v>
      </c>
      <c r="AL41" s="11" t="s">
        <v>111</v>
      </c>
      <c r="AM41" s="11" t="s">
        <v>112</v>
      </c>
      <c r="AN41" s="11" t="s">
        <v>113</v>
      </c>
      <c r="AO41" s="8" t="s">
        <v>114</v>
      </c>
    </row>
    <row r="42" spans="1:41" x14ac:dyDescent="0.3">
      <c r="A42" s="3" t="s">
        <v>268</v>
      </c>
      <c r="B42" s="5">
        <v>46098</v>
      </c>
      <c r="C42" s="5">
        <v>46098</v>
      </c>
      <c r="D42" s="4" t="s">
        <v>101</v>
      </c>
      <c r="E42" s="4" t="s">
        <v>46</v>
      </c>
      <c r="F42" s="4" t="s">
        <v>23</v>
      </c>
      <c r="G42" s="4" t="s">
        <v>1220</v>
      </c>
      <c r="H42" s="4" t="s">
        <v>188</v>
      </c>
      <c r="I42" s="37" t="s">
        <v>189</v>
      </c>
      <c r="J42" s="3" t="s">
        <v>190</v>
      </c>
      <c r="K42" s="37">
        <v>82164</v>
      </c>
      <c r="L42" s="4" t="s">
        <v>105</v>
      </c>
      <c r="M42" s="19">
        <v>9.4</v>
      </c>
      <c r="N42" s="20">
        <v>162</v>
      </c>
      <c r="O42" s="20">
        <v>46.03</v>
      </c>
      <c r="P42" s="20"/>
      <c r="Q42" s="4" t="s">
        <v>106</v>
      </c>
      <c r="R42" s="20"/>
      <c r="S42" s="6">
        <v>39920</v>
      </c>
      <c r="T42" s="6"/>
      <c r="U42" s="6">
        <v>39441</v>
      </c>
      <c r="V42" s="9">
        <f t="shared" si="0"/>
        <v>39401</v>
      </c>
      <c r="W42" s="6">
        <v>479</v>
      </c>
      <c r="X42" s="6">
        <v>469</v>
      </c>
      <c r="Y42" s="6">
        <v>0</v>
      </c>
      <c r="Z42" s="6">
        <v>10</v>
      </c>
      <c r="AA42" s="6">
        <v>40</v>
      </c>
      <c r="AB42" s="20">
        <v>490</v>
      </c>
      <c r="AC42" s="9">
        <f t="shared" si="1"/>
        <v>19306490</v>
      </c>
      <c r="AD42" s="6">
        <v>39441</v>
      </c>
      <c r="AE42" s="39" t="s">
        <v>269</v>
      </c>
      <c r="AF42" s="37"/>
      <c r="AG42" s="4"/>
      <c r="AH42" s="4" t="s">
        <v>263</v>
      </c>
      <c r="AI42" s="4" t="s">
        <v>109</v>
      </c>
      <c r="AJ42" s="3"/>
      <c r="AK42" s="4" t="s">
        <v>110</v>
      </c>
      <c r="AL42" s="11" t="s">
        <v>197</v>
      </c>
      <c r="AM42" s="11" t="s">
        <v>112</v>
      </c>
      <c r="AN42" s="11" t="s">
        <v>198</v>
      </c>
      <c r="AO42" s="8" t="s">
        <v>114</v>
      </c>
    </row>
    <row r="43" spans="1:41" x14ac:dyDescent="0.3">
      <c r="A43" s="12" t="s">
        <v>270</v>
      </c>
      <c r="B43" s="14">
        <v>46100</v>
      </c>
      <c r="C43" s="14">
        <v>46103</v>
      </c>
      <c r="D43" s="13" t="s">
        <v>101</v>
      </c>
      <c r="E43" s="13" t="s">
        <v>46</v>
      </c>
      <c r="F43" s="13" t="s">
        <v>31</v>
      </c>
      <c r="G43" s="13" t="s">
        <v>1215</v>
      </c>
      <c r="H43" s="13" t="s">
        <v>102</v>
      </c>
      <c r="I43" s="38" t="s">
        <v>271</v>
      </c>
      <c r="J43" s="12" t="s">
        <v>104</v>
      </c>
      <c r="K43" s="38">
        <v>82151</v>
      </c>
      <c r="L43" s="13" t="s">
        <v>234</v>
      </c>
      <c r="M43" s="21">
        <v>10.3</v>
      </c>
      <c r="N43" s="22">
        <v>163</v>
      </c>
      <c r="O43" s="22">
        <v>44.44</v>
      </c>
      <c r="P43" s="22"/>
      <c r="Q43" s="13" t="s">
        <v>106</v>
      </c>
      <c r="R43" s="22"/>
      <c r="S43" s="15">
        <v>40740</v>
      </c>
      <c r="T43" s="15"/>
      <c r="U43" s="15">
        <v>40276</v>
      </c>
      <c r="V43" s="17">
        <f t="shared" si="0"/>
        <v>40236</v>
      </c>
      <c r="W43" s="15">
        <v>464</v>
      </c>
      <c r="X43" s="15">
        <v>454</v>
      </c>
      <c r="Y43" s="15">
        <v>0</v>
      </c>
      <c r="Z43" s="15">
        <v>10</v>
      </c>
      <c r="AA43" s="15">
        <v>40</v>
      </c>
      <c r="AB43" s="22">
        <v>485</v>
      </c>
      <c r="AC43" s="17">
        <f t="shared" si="1"/>
        <v>19514460</v>
      </c>
      <c r="AD43" s="15">
        <v>40276</v>
      </c>
      <c r="AE43" s="40" t="s">
        <v>272</v>
      </c>
      <c r="AF43" s="38"/>
      <c r="AG43" s="13"/>
      <c r="AH43" s="13" t="s">
        <v>263</v>
      </c>
      <c r="AI43" s="13" t="s">
        <v>109</v>
      </c>
      <c r="AJ43" s="12"/>
      <c r="AK43" s="13" t="s">
        <v>110</v>
      </c>
      <c r="AL43" s="11" t="s">
        <v>111</v>
      </c>
      <c r="AM43" s="11" t="s">
        <v>112</v>
      </c>
      <c r="AN43" s="11" t="s">
        <v>113</v>
      </c>
      <c r="AO43" s="8" t="s">
        <v>114</v>
      </c>
    </row>
    <row r="44" spans="1:41" x14ac:dyDescent="0.3">
      <c r="A44" s="3" t="s">
        <v>273</v>
      </c>
      <c r="B44" s="5">
        <v>46102</v>
      </c>
      <c r="C44" s="5">
        <v>46104</v>
      </c>
      <c r="D44" s="4" t="s">
        <v>101</v>
      </c>
      <c r="E44" s="4" t="s">
        <v>46</v>
      </c>
      <c r="F44" s="4" t="s">
        <v>31</v>
      </c>
      <c r="G44" s="4" t="s">
        <v>1209</v>
      </c>
      <c r="H44" s="4" t="s">
        <v>29</v>
      </c>
      <c r="I44" s="37" t="s">
        <v>156</v>
      </c>
      <c r="J44" s="3" t="s">
        <v>175</v>
      </c>
      <c r="K44" s="37">
        <v>82130</v>
      </c>
      <c r="L44" s="4" t="s">
        <v>274</v>
      </c>
      <c r="M44" s="19">
        <v>10.7</v>
      </c>
      <c r="N44" s="20">
        <v>181</v>
      </c>
      <c r="O44" s="20">
        <v>46.2</v>
      </c>
      <c r="P44" s="20"/>
      <c r="Q44" s="4" t="s">
        <v>106</v>
      </c>
      <c r="R44" s="20"/>
      <c r="S44" s="6">
        <v>55220</v>
      </c>
      <c r="T44" s="6"/>
      <c r="U44" s="6">
        <v>54542</v>
      </c>
      <c r="V44" s="9">
        <f t="shared" si="0"/>
        <v>54478</v>
      </c>
      <c r="W44" s="6">
        <v>678</v>
      </c>
      <c r="X44" s="6">
        <v>662</v>
      </c>
      <c r="Y44" s="6">
        <v>0</v>
      </c>
      <c r="Z44" s="6">
        <v>16</v>
      </c>
      <c r="AA44" s="6">
        <v>64</v>
      </c>
      <c r="AB44" s="20">
        <v>490</v>
      </c>
      <c r="AC44" s="9">
        <f t="shared" si="1"/>
        <v>26694220</v>
      </c>
      <c r="AD44" s="6">
        <v>54542</v>
      </c>
      <c r="AE44" s="39" t="s">
        <v>275</v>
      </c>
      <c r="AF44" s="37"/>
      <c r="AG44" s="4"/>
      <c r="AH44" s="4" t="s">
        <v>276</v>
      </c>
      <c r="AI44" s="4" t="s">
        <v>131</v>
      </c>
      <c r="AJ44" s="3" t="s">
        <v>28</v>
      </c>
      <c r="AK44" s="4" t="s">
        <v>132</v>
      </c>
      <c r="AL44" s="11" t="s">
        <v>39</v>
      </c>
      <c r="AM44" s="11" t="s">
        <v>112</v>
      </c>
      <c r="AN44" s="8" t="s">
        <v>134</v>
      </c>
      <c r="AO44" s="8" t="s">
        <v>114</v>
      </c>
    </row>
    <row r="45" spans="1:41" x14ac:dyDescent="0.3">
      <c r="A45" s="12" t="s">
        <v>277</v>
      </c>
      <c r="B45" s="14">
        <v>46104</v>
      </c>
      <c r="C45" s="14">
        <v>46104</v>
      </c>
      <c r="D45" s="13" t="s">
        <v>101</v>
      </c>
      <c r="E45" s="13" t="s">
        <v>46</v>
      </c>
      <c r="F45" s="13" t="s">
        <v>23</v>
      </c>
      <c r="G45" s="13" t="s">
        <v>1219</v>
      </c>
      <c r="H45" s="13" t="s">
        <v>147</v>
      </c>
      <c r="I45" s="38" t="s">
        <v>278</v>
      </c>
      <c r="J45" s="12" t="s">
        <v>149</v>
      </c>
      <c r="K45" s="38">
        <v>78072</v>
      </c>
      <c r="L45" s="13" t="s">
        <v>234</v>
      </c>
      <c r="M45" s="21">
        <v>10.1</v>
      </c>
      <c r="N45" s="22">
        <v>163</v>
      </c>
      <c r="O45" s="22">
        <v>46.56</v>
      </c>
      <c r="P45" s="22"/>
      <c r="Q45" s="13" t="s">
        <v>106</v>
      </c>
      <c r="R45" s="22"/>
      <c r="S45" s="15">
        <v>18140</v>
      </c>
      <c r="T45" s="15"/>
      <c r="U45" s="15">
        <v>17944</v>
      </c>
      <c r="V45" s="17">
        <f t="shared" si="0"/>
        <v>17924</v>
      </c>
      <c r="W45" s="15">
        <v>196</v>
      </c>
      <c r="X45" s="15">
        <v>191</v>
      </c>
      <c r="Y45" s="15">
        <v>0</v>
      </c>
      <c r="Z45" s="15">
        <v>5</v>
      </c>
      <c r="AA45" s="15">
        <v>20</v>
      </c>
      <c r="AB45" s="22">
        <v>490</v>
      </c>
      <c r="AC45" s="17">
        <f t="shared" si="1"/>
        <v>8782760</v>
      </c>
      <c r="AD45" s="15">
        <v>17944</v>
      </c>
      <c r="AE45" s="40" t="s">
        <v>279</v>
      </c>
      <c r="AF45" s="38"/>
      <c r="AG45" s="13"/>
      <c r="AH45" s="13" t="s">
        <v>276</v>
      </c>
      <c r="AI45" s="13" t="s">
        <v>109</v>
      </c>
      <c r="AJ45" s="12"/>
      <c r="AK45" s="13" t="s">
        <v>110</v>
      </c>
      <c r="AL45" s="11" t="s">
        <v>111</v>
      </c>
      <c r="AM45" s="11" t="s">
        <v>112</v>
      </c>
      <c r="AN45" s="11" t="s">
        <v>113</v>
      </c>
      <c r="AO45" s="8" t="s">
        <v>114</v>
      </c>
    </row>
    <row r="46" spans="1:41" x14ac:dyDescent="0.3">
      <c r="A46" s="3" t="s">
        <v>280</v>
      </c>
      <c r="B46" s="5">
        <v>46107</v>
      </c>
      <c r="C46" s="5">
        <v>46107</v>
      </c>
      <c r="D46" s="4" t="s">
        <v>101</v>
      </c>
      <c r="E46" s="4" t="s">
        <v>231</v>
      </c>
      <c r="F46" s="4"/>
      <c r="G46" s="4" t="s">
        <v>1214</v>
      </c>
      <c r="H46" s="4" t="s">
        <v>60</v>
      </c>
      <c r="I46" s="37" t="s">
        <v>184</v>
      </c>
      <c r="J46" s="3" t="s">
        <v>185</v>
      </c>
      <c r="K46" s="37">
        <v>83406</v>
      </c>
      <c r="L46" s="4" t="s">
        <v>22</v>
      </c>
      <c r="M46" s="19">
        <v>9.6</v>
      </c>
      <c r="N46" s="20">
        <v>187</v>
      </c>
      <c r="O46" s="20">
        <v>44.17</v>
      </c>
      <c r="P46" s="20"/>
      <c r="Q46" s="4" t="s">
        <v>106</v>
      </c>
      <c r="R46" s="20"/>
      <c r="S46" s="6">
        <v>46300</v>
      </c>
      <c r="T46" s="6"/>
      <c r="U46" s="6">
        <v>45728</v>
      </c>
      <c r="V46" s="9">
        <f t="shared" si="0"/>
        <v>45692</v>
      </c>
      <c r="W46" s="6">
        <v>572</v>
      </c>
      <c r="X46" s="6">
        <v>563</v>
      </c>
      <c r="Y46" s="6">
        <v>0</v>
      </c>
      <c r="Z46" s="6">
        <v>9</v>
      </c>
      <c r="AA46" s="6">
        <v>36</v>
      </c>
      <c r="AB46" s="20">
        <v>485</v>
      </c>
      <c r="AC46" s="9">
        <f t="shared" si="1"/>
        <v>22160620</v>
      </c>
      <c r="AD46" s="6">
        <v>45728</v>
      </c>
      <c r="AE46" s="39" t="s">
        <v>281</v>
      </c>
      <c r="AF46" s="37"/>
      <c r="AG46" s="4"/>
      <c r="AH46" s="4" t="s">
        <v>276</v>
      </c>
      <c r="AI46" s="4" t="s">
        <v>131</v>
      </c>
      <c r="AJ46" s="3" t="s">
        <v>59</v>
      </c>
      <c r="AK46" s="4" t="s">
        <v>162</v>
      </c>
      <c r="AL46" s="8" t="s">
        <v>163</v>
      </c>
      <c r="AM46" s="25" t="s">
        <v>164</v>
      </c>
      <c r="AN46" s="8" t="s">
        <v>134</v>
      </c>
      <c r="AO46" s="8" t="s">
        <v>114</v>
      </c>
    </row>
    <row r="47" spans="1:41" x14ac:dyDescent="0.3">
      <c r="A47" s="12" t="s">
        <v>282</v>
      </c>
      <c r="B47" s="14">
        <v>46107</v>
      </c>
      <c r="C47" s="14">
        <v>46107</v>
      </c>
      <c r="D47" s="13" t="s">
        <v>101</v>
      </c>
      <c r="E47" s="13" t="s">
        <v>46</v>
      </c>
      <c r="F47" s="13" t="s">
        <v>31</v>
      </c>
      <c r="G47" s="13" t="s">
        <v>1213</v>
      </c>
      <c r="H47" s="13" t="s">
        <v>55</v>
      </c>
      <c r="I47" s="38" t="s">
        <v>283</v>
      </c>
      <c r="J47" s="12" t="s">
        <v>153</v>
      </c>
      <c r="K47" s="38">
        <v>88279</v>
      </c>
      <c r="L47" s="13" t="s">
        <v>30</v>
      </c>
      <c r="M47" s="21">
        <v>8.1999999999999993</v>
      </c>
      <c r="N47" s="22">
        <v>178</v>
      </c>
      <c r="O47" s="22">
        <v>44.18</v>
      </c>
      <c r="P47" s="22"/>
      <c r="Q47" s="13" t="s">
        <v>106</v>
      </c>
      <c r="R47" s="22"/>
      <c r="S47" s="15">
        <v>45480</v>
      </c>
      <c r="T47" s="15"/>
      <c r="U47" s="15">
        <v>44935</v>
      </c>
      <c r="V47" s="17">
        <f t="shared" si="0"/>
        <v>44899</v>
      </c>
      <c r="W47" s="15">
        <v>545</v>
      </c>
      <c r="X47" s="15">
        <v>536</v>
      </c>
      <c r="Y47" s="15">
        <v>0</v>
      </c>
      <c r="Z47" s="15">
        <v>9</v>
      </c>
      <c r="AA47" s="15">
        <v>36</v>
      </c>
      <c r="AB47" s="22">
        <v>485</v>
      </c>
      <c r="AC47" s="17">
        <f t="shared" si="1"/>
        <v>21776015</v>
      </c>
      <c r="AD47" s="15">
        <v>44935</v>
      </c>
      <c r="AE47" s="40" t="s">
        <v>284</v>
      </c>
      <c r="AF47" s="38"/>
      <c r="AG47" s="13"/>
      <c r="AH47" s="13" t="s">
        <v>276</v>
      </c>
      <c r="AI47" s="13" t="s">
        <v>131</v>
      </c>
      <c r="AJ47" s="12" t="s">
        <v>54</v>
      </c>
      <c r="AK47" s="13" t="s">
        <v>132</v>
      </c>
      <c r="AL47" s="11" t="s">
        <v>39</v>
      </c>
      <c r="AM47" s="11" t="s">
        <v>112</v>
      </c>
      <c r="AN47" s="8" t="s">
        <v>134</v>
      </c>
      <c r="AO47" s="8" t="s">
        <v>114</v>
      </c>
    </row>
    <row r="48" spans="1:41" x14ac:dyDescent="0.3">
      <c r="A48" s="3" t="s">
        <v>285</v>
      </c>
      <c r="B48" s="5">
        <v>46113</v>
      </c>
      <c r="C48" s="5">
        <v>46114</v>
      </c>
      <c r="D48" s="4" t="s">
        <v>101</v>
      </c>
      <c r="E48" s="4" t="s">
        <v>231</v>
      </c>
      <c r="F48" s="4"/>
      <c r="G48" s="4" t="s">
        <v>1222</v>
      </c>
      <c r="H48" s="4" t="s">
        <v>206</v>
      </c>
      <c r="I48" s="37" t="s">
        <v>286</v>
      </c>
      <c r="J48" s="3" t="s">
        <v>208</v>
      </c>
      <c r="K48" s="37">
        <v>82173</v>
      </c>
      <c r="L48" s="4" t="s">
        <v>105</v>
      </c>
      <c r="M48" s="19">
        <v>8.5</v>
      </c>
      <c r="N48" s="20">
        <v>168</v>
      </c>
      <c r="O48" s="20">
        <v>42.24</v>
      </c>
      <c r="P48" s="20"/>
      <c r="Q48" s="4" t="s">
        <v>106</v>
      </c>
      <c r="R48" s="20"/>
      <c r="S48" s="6">
        <v>40440</v>
      </c>
      <c r="T48" s="6"/>
      <c r="U48" s="6">
        <v>39950</v>
      </c>
      <c r="V48" s="9">
        <f t="shared" si="0"/>
        <v>39870</v>
      </c>
      <c r="W48" s="6">
        <v>490</v>
      </c>
      <c r="X48" s="6">
        <v>470</v>
      </c>
      <c r="Y48" s="6">
        <v>0</v>
      </c>
      <c r="Z48" s="6">
        <v>20</v>
      </c>
      <c r="AA48" s="6">
        <v>80</v>
      </c>
      <c r="AB48" s="20">
        <v>480</v>
      </c>
      <c r="AC48" s="9">
        <f t="shared" si="1"/>
        <v>19137600</v>
      </c>
      <c r="AD48" s="6">
        <v>39950</v>
      </c>
      <c r="AE48" s="39" t="s">
        <v>287</v>
      </c>
      <c r="AF48" s="37"/>
      <c r="AG48" s="4"/>
      <c r="AH48" s="4" t="s">
        <v>288</v>
      </c>
      <c r="AI48" s="4" t="s">
        <v>109</v>
      </c>
      <c r="AJ48" s="3"/>
      <c r="AK48" s="4" t="s">
        <v>110</v>
      </c>
      <c r="AL48" s="11" t="s">
        <v>111</v>
      </c>
      <c r="AM48" s="11" t="s">
        <v>112</v>
      </c>
      <c r="AN48" s="11" t="s">
        <v>113</v>
      </c>
      <c r="AO48" s="8" t="s">
        <v>114</v>
      </c>
    </row>
    <row r="49" spans="1:41" x14ac:dyDescent="0.3">
      <c r="A49" s="12" t="s">
        <v>289</v>
      </c>
      <c r="B49" s="14">
        <v>46118</v>
      </c>
      <c r="C49" s="14">
        <v>46119</v>
      </c>
      <c r="D49" s="13" t="s">
        <v>101</v>
      </c>
      <c r="E49" s="13" t="s">
        <v>46</v>
      </c>
      <c r="F49" s="13" t="s">
        <v>47</v>
      </c>
      <c r="G49" s="13" t="s">
        <v>1212</v>
      </c>
      <c r="H49" s="13" t="s">
        <v>45</v>
      </c>
      <c r="I49" s="38" t="s">
        <v>290</v>
      </c>
      <c r="J49" s="12" t="s">
        <v>171</v>
      </c>
      <c r="K49" s="38">
        <v>80522</v>
      </c>
      <c r="L49" s="13" t="s">
        <v>46</v>
      </c>
      <c r="M49" s="21">
        <v>11.7</v>
      </c>
      <c r="N49" s="22">
        <v>160</v>
      </c>
      <c r="O49" s="22">
        <v>41.79</v>
      </c>
      <c r="P49" s="22"/>
      <c r="Q49" s="13" t="s">
        <v>106</v>
      </c>
      <c r="R49" s="22"/>
      <c r="S49" s="15">
        <v>12240</v>
      </c>
      <c r="T49" s="15"/>
      <c r="U49" s="15">
        <v>12091</v>
      </c>
      <c r="V49" s="17">
        <f t="shared" si="0"/>
        <v>12015</v>
      </c>
      <c r="W49" s="15">
        <v>149</v>
      </c>
      <c r="X49" s="15">
        <v>130</v>
      </c>
      <c r="Y49" s="15">
        <v>0</v>
      </c>
      <c r="Z49" s="15">
        <v>19</v>
      </c>
      <c r="AA49" s="15">
        <v>76</v>
      </c>
      <c r="AB49" s="22">
        <v>485</v>
      </c>
      <c r="AC49" s="17">
        <f t="shared" si="1"/>
        <v>5827275</v>
      </c>
      <c r="AD49" s="15">
        <v>12091</v>
      </c>
      <c r="AE49" s="40" t="s">
        <v>291</v>
      </c>
      <c r="AF49" s="38"/>
      <c r="AG49" s="13"/>
      <c r="AH49" s="13" t="s">
        <v>292</v>
      </c>
      <c r="AI49" s="13" t="s">
        <v>131</v>
      </c>
      <c r="AJ49" s="12" t="s">
        <v>44</v>
      </c>
      <c r="AK49" s="13" t="s">
        <v>162</v>
      </c>
      <c r="AL49" s="8" t="s">
        <v>163</v>
      </c>
      <c r="AM49" s="24" t="s">
        <v>164</v>
      </c>
      <c r="AN49" s="8" t="s">
        <v>134</v>
      </c>
      <c r="AO49" s="8" t="s">
        <v>114</v>
      </c>
    </row>
    <row r="50" spans="1:41" x14ac:dyDescent="0.3">
      <c r="A50" s="3" t="s">
        <v>293</v>
      </c>
      <c r="B50" s="5">
        <v>46120</v>
      </c>
      <c r="C50" s="5"/>
      <c r="D50" s="4"/>
      <c r="E50" s="4" t="s">
        <v>46</v>
      </c>
      <c r="F50" s="4"/>
      <c r="G50" s="4" t="s">
        <v>1222</v>
      </c>
      <c r="H50" s="4" t="s">
        <v>206</v>
      </c>
      <c r="I50" s="37" t="s">
        <v>294</v>
      </c>
      <c r="J50" s="3"/>
      <c r="K50" s="37"/>
      <c r="L50" s="4" t="s">
        <v>105</v>
      </c>
      <c r="M50" s="19">
        <v>12.4</v>
      </c>
      <c r="N50" s="20">
        <v>160</v>
      </c>
      <c r="O50" s="20">
        <v>40.565100000000001</v>
      </c>
      <c r="P50" s="20"/>
      <c r="Q50" s="4" t="s">
        <v>122</v>
      </c>
      <c r="R50" s="20" t="s">
        <v>123</v>
      </c>
      <c r="S50" s="6">
        <v>0</v>
      </c>
      <c r="T50" s="6"/>
      <c r="U50" s="6"/>
      <c r="V50" s="9">
        <v>0</v>
      </c>
      <c r="W50" s="6"/>
      <c r="X50" s="6"/>
      <c r="Y50" s="6"/>
      <c r="Z50" s="6"/>
      <c r="AA50" s="6"/>
      <c r="AB50" s="20"/>
      <c r="AC50" s="9">
        <v>0</v>
      </c>
      <c r="AD50" s="6"/>
      <c r="AE50" s="39"/>
      <c r="AF50" s="37"/>
      <c r="AG50" s="4" t="s">
        <v>123</v>
      </c>
      <c r="AH50" s="4"/>
      <c r="AI50" s="4" t="s">
        <v>109</v>
      </c>
      <c r="AJ50" s="3"/>
      <c r="AK50" s="4" t="s">
        <v>110</v>
      </c>
      <c r="AL50" s="23" t="s">
        <v>124</v>
      </c>
      <c r="AM50" s="23" t="s">
        <v>125</v>
      </c>
      <c r="AN50" s="11" t="s">
        <v>113</v>
      </c>
      <c r="AO50" s="23" t="s">
        <v>122</v>
      </c>
    </row>
    <row r="51" spans="1:41" x14ac:dyDescent="0.3">
      <c r="A51" s="12" t="s">
        <v>295</v>
      </c>
      <c r="B51" s="14">
        <v>46122</v>
      </c>
      <c r="C51" s="14">
        <v>46122</v>
      </c>
      <c r="D51" s="13" t="s">
        <v>101</v>
      </c>
      <c r="E51" s="13" t="s">
        <v>231</v>
      </c>
      <c r="F51" s="13"/>
      <c r="G51" s="13" t="s">
        <v>1208</v>
      </c>
      <c r="H51" s="13" t="s">
        <v>21</v>
      </c>
      <c r="I51" s="38" t="s">
        <v>296</v>
      </c>
      <c r="J51" s="12" t="s">
        <v>160</v>
      </c>
      <c r="K51" s="38">
        <v>78912</v>
      </c>
      <c r="L51" s="13" t="s">
        <v>22</v>
      </c>
      <c r="M51" s="21">
        <v>10.8</v>
      </c>
      <c r="N51" s="22">
        <v>189</v>
      </c>
      <c r="O51" s="22">
        <v>44.26</v>
      </c>
      <c r="P51" s="22"/>
      <c r="Q51" s="13" t="s">
        <v>106</v>
      </c>
      <c r="R51" s="22"/>
      <c r="S51" s="15">
        <v>51020</v>
      </c>
      <c r="T51" s="15"/>
      <c r="U51" s="15">
        <v>50362</v>
      </c>
      <c r="V51" s="17">
        <f>IF(OR(U51="",AA51=""),"",U51-AA51)</f>
        <v>50178</v>
      </c>
      <c r="W51" s="15">
        <v>658</v>
      </c>
      <c r="X51" s="15">
        <v>612</v>
      </c>
      <c r="Y51" s="15">
        <v>0</v>
      </c>
      <c r="Z51" s="15">
        <v>46</v>
      </c>
      <c r="AA51" s="15">
        <v>184</v>
      </c>
      <c r="AB51" s="22">
        <v>515</v>
      </c>
      <c r="AC51" s="17">
        <f>IF(OR(V51="",AB51=""),"",V51*AB51)</f>
        <v>25841670</v>
      </c>
      <c r="AD51" s="15">
        <v>50362</v>
      </c>
      <c r="AE51" s="40" t="s">
        <v>297</v>
      </c>
      <c r="AF51" s="38"/>
      <c r="AG51" s="13"/>
      <c r="AH51" s="13" t="s">
        <v>292</v>
      </c>
      <c r="AI51" s="13" t="s">
        <v>131</v>
      </c>
      <c r="AJ51" s="12" t="s">
        <v>20</v>
      </c>
      <c r="AK51" s="13" t="s">
        <v>162</v>
      </c>
      <c r="AL51" s="8" t="s">
        <v>163</v>
      </c>
      <c r="AM51" s="24" t="s">
        <v>164</v>
      </c>
      <c r="AN51" s="8" t="s">
        <v>134</v>
      </c>
      <c r="AO51" s="8" t="s">
        <v>114</v>
      </c>
    </row>
    <row r="52" spans="1:41" x14ac:dyDescent="0.3">
      <c r="A52" s="3" t="s">
        <v>298</v>
      </c>
      <c r="B52" s="5">
        <v>46122</v>
      </c>
      <c r="C52" s="5">
        <v>46122</v>
      </c>
      <c r="D52" s="4" t="s">
        <v>101</v>
      </c>
      <c r="E52" s="4" t="s">
        <v>231</v>
      </c>
      <c r="F52" s="4"/>
      <c r="G52" s="4" t="s">
        <v>1210</v>
      </c>
      <c r="H52" s="4" t="s">
        <v>38</v>
      </c>
      <c r="I52" s="37" t="s">
        <v>299</v>
      </c>
      <c r="J52" s="3"/>
      <c r="K52" s="37">
        <v>37970</v>
      </c>
      <c r="L52" s="4" t="s">
        <v>30</v>
      </c>
      <c r="M52" s="19">
        <v>13.7</v>
      </c>
      <c r="N52" s="20">
        <v>166</v>
      </c>
      <c r="O52" s="20">
        <v>43.38</v>
      </c>
      <c r="P52" s="20"/>
      <c r="Q52" s="4" t="s">
        <v>106</v>
      </c>
      <c r="R52" s="20"/>
      <c r="S52" s="6">
        <v>42110</v>
      </c>
      <c r="T52" s="6"/>
      <c r="U52" s="6">
        <v>41622</v>
      </c>
      <c r="V52" s="9">
        <f>IF(OR(U52="",AA52=""),"",U52-AA52)</f>
        <v>41526</v>
      </c>
      <c r="W52" s="6">
        <v>488</v>
      </c>
      <c r="X52" s="6">
        <v>464</v>
      </c>
      <c r="Y52" s="6">
        <v>0</v>
      </c>
      <c r="Z52" s="6">
        <v>24</v>
      </c>
      <c r="AA52" s="6">
        <v>96</v>
      </c>
      <c r="AB52" s="20">
        <v>500</v>
      </c>
      <c r="AC52" s="9">
        <f>IF(OR(V52="",AB52=""),"",V52*AB52)</f>
        <v>20763000</v>
      </c>
      <c r="AD52" s="6">
        <v>41622</v>
      </c>
      <c r="AE52" s="39" t="s">
        <v>300</v>
      </c>
      <c r="AF52" s="37"/>
      <c r="AG52" s="4" t="s">
        <v>301</v>
      </c>
      <c r="AH52" s="4" t="s">
        <v>292</v>
      </c>
      <c r="AI52" s="4" t="s">
        <v>131</v>
      </c>
      <c r="AJ52" s="3" t="s">
        <v>37</v>
      </c>
      <c r="AK52" s="4" t="s">
        <v>162</v>
      </c>
      <c r="AL52" s="8" t="s">
        <v>163</v>
      </c>
      <c r="AM52" s="25" t="s">
        <v>164</v>
      </c>
      <c r="AN52" s="8" t="s">
        <v>134</v>
      </c>
      <c r="AO52" s="8" t="s">
        <v>114</v>
      </c>
    </row>
    <row r="53" spans="1:41" x14ac:dyDescent="0.3">
      <c r="A53" s="12" t="s">
        <v>302</v>
      </c>
      <c r="B53" s="14">
        <v>46122</v>
      </c>
      <c r="C53" s="14">
        <v>46123</v>
      </c>
      <c r="D53" s="13" t="s">
        <v>101</v>
      </c>
      <c r="E53" s="13" t="s">
        <v>46</v>
      </c>
      <c r="F53" s="13" t="s">
        <v>31</v>
      </c>
      <c r="G53" s="13" t="s">
        <v>698</v>
      </c>
      <c r="H53" s="13" t="s">
        <v>58</v>
      </c>
      <c r="I53" s="38" t="s">
        <v>303</v>
      </c>
      <c r="J53" s="12" t="s">
        <v>203</v>
      </c>
      <c r="K53" s="38">
        <v>18448</v>
      </c>
      <c r="L53" s="13" t="s">
        <v>51</v>
      </c>
      <c r="M53" s="21">
        <v>12.1</v>
      </c>
      <c r="N53" s="22">
        <v>159</v>
      </c>
      <c r="O53" s="22">
        <v>41.53</v>
      </c>
      <c r="P53" s="22"/>
      <c r="Q53" s="13" t="s">
        <v>106</v>
      </c>
      <c r="R53" s="22"/>
      <c r="S53" s="15">
        <v>41680</v>
      </c>
      <c r="T53" s="15"/>
      <c r="U53" s="15">
        <v>41234</v>
      </c>
      <c r="V53" s="17">
        <f>IF(OR(U53="",AA53=""),"",U53-AA53)</f>
        <v>41082</v>
      </c>
      <c r="W53" s="15">
        <v>446</v>
      </c>
      <c r="X53" s="15">
        <v>427</v>
      </c>
      <c r="Y53" s="15">
        <v>19</v>
      </c>
      <c r="Z53" s="15">
        <v>0</v>
      </c>
      <c r="AA53" s="15">
        <v>152</v>
      </c>
      <c r="AB53" s="22">
        <v>490</v>
      </c>
      <c r="AC53" s="17">
        <f>IF(OR(V53="",AB53=""),"",V53*AB53)</f>
        <v>20130180</v>
      </c>
      <c r="AD53" s="15">
        <v>41234</v>
      </c>
      <c r="AE53" s="40" t="s">
        <v>304</v>
      </c>
      <c r="AF53" s="38"/>
      <c r="AG53" s="13"/>
      <c r="AH53" s="13" t="s">
        <v>292</v>
      </c>
      <c r="AI53" s="13" t="s">
        <v>131</v>
      </c>
      <c r="AJ53" s="12" t="s">
        <v>57</v>
      </c>
      <c r="AK53" s="13" t="s">
        <v>132</v>
      </c>
      <c r="AL53" s="11" t="s">
        <v>39</v>
      </c>
      <c r="AM53" s="11" t="s">
        <v>112</v>
      </c>
      <c r="AN53" s="8" t="s">
        <v>134</v>
      </c>
      <c r="AO53" s="8" t="s">
        <v>114</v>
      </c>
    </row>
    <row r="54" spans="1:41" x14ac:dyDescent="0.3">
      <c r="A54" s="3" t="s">
        <v>305</v>
      </c>
      <c r="B54" s="5">
        <v>46127</v>
      </c>
      <c r="C54" s="5"/>
      <c r="D54" s="4"/>
      <c r="E54" s="4" t="s">
        <v>231</v>
      </c>
      <c r="F54" s="4"/>
      <c r="G54" s="4" t="s">
        <v>1210</v>
      </c>
      <c r="H54" s="4" t="s">
        <v>38</v>
      </c>
      <c r="I54" s="37" t="s">
        <v>306</v>
      </c>
      <c r="J54" s="3"/>
      <c r="K54" s="37"/>
      <c r="L54" s="4" t="s">
        <v>46</v>
      </c>
      <c r="M54" s="19">
        <v>13.2</v>
      </c>
      <c r="N54" s="20">
        <v>161</v>
      </c>
      <c r="O54" s="20">
        <v>40.03</v>
      </c>
      <c r="P54" s="20"/>
      <c r="Q54" s="4" t="s">
        <v>122</v>
      </c>
      <c r="R54" s="20" t="s">
        <v>123</v>
      </c>
      <c r="S54" s="6">
        <v>0</v>
      </c>
      <c r="T54" s="6"/>
      <c r="U54" s="6"/>
      <c r="V54" s="9">
        <v>0</v>
      </c>
      <c r="W54" s="6"/>
      <c r="X54" s="6"/>
      <c r="Y54" s="6"/>
      <c r="Z54" s="6"/>
      <c r="AA54" s="6"/>
      <c r="AB54" s="20"/>
      <c r="AC54" s="9">
        <v>0</v>
      </c>
      <c r="AD54" s="6"/>
      <c r="AE54" s="39"/>
      <c r="AF54" s="37"/>
      <c r="AG54" s="4" t="s">
        <v>123</v>
      </c>
      <c r="AH54" s="4"/>
      <c r="AI54" s="4" t="s">
        <v>131</v>
      </c>
      <c r="AJ54" s="3" t="s">
        <v>37</v>
      </c>
      <c r="AK54" s="4" t="s">
        <v>132</v>
      </c>
      <c r="AL54" s="11" t="s">
        <v>39</v>
      </c>
      <c r="AM54" s="23" t="s">
        <v>125</v>
      </c>
      <c r="AN54" s="8" t="s">
        <v>134</v>
      </c>
      <c r="AO54" s="23" t="s">
        <v>122</v>
      </c>
    </row>
    <row r="55" spans="1:41" x14ac:dyDescent="0.3">
      <c r="A55" s="12" t="s">
        <v>307</v>
      </c>
      <c r="B55" s="14">
        <v>46128</v>
      </c>
      <c r="C55" s="14">
        <v>46128</v>
      </c>
      <c r="D55" s="13" t="s">
        <v>101</v>
      </c>
      <c r="E55" s="13" t="s">
        <v>46</v>
      </c>
      <c r="F55" s="13" t="s">
        <v>47</v>
      </c>
      <c r="G55" s="13" t="s">
        <v>734</v>
      </c>
      <c r="H55" s="13" t="s">
        <v>34</v>
      </c>
      <c r="I55" s="38" t="s">
        <v>308</v>
      </c>
      <c r="J55" s="12" t="s">
        <v>216</v>
      </c>
      <c r="K55" s="38">
        <v>19865</v>
      </c>
      <c r="L55" s="13" t="s">
        <v>35</v>
      </c>
      <c r="M55" s="21">
        <v>9.4</v>
      </c>
      <c r="N55" s="22">
        <v>160</v>
      </c>
      <c r="O55" s="22">
        <v>42.32</v>
      </c>
      <c r="P55" s="22"/>
      <c r="Q55" s="13" t="s">
        <v>106</v>
      </c>
      <c r="R55" s="22"/>
      <c r="S55" s="15">
        <v>39680</v>
      </c>
      <c r="T55" s="15"/>
      <c r="U55" s="15">
        <v>39212</v>
      </c>
      <c r="V55" s="17">
        <f>IF(OR(U55="",AA55=""),"",U55-AA55)</f>
        <v>39144</v>
      </c>
      <c r="W55" s="15">
        <v>468</v>
      </c>
      <c r="X55" s="15">
        <v>451</v>
      </c>
      <c r="Y55" s="15">
        <v>0</v>
      </c>
      <c r="Z55" s="15">
        <v>17</v>
      </c>
      <c r="AA55" s="15">
        <v>68</v>
      </c>
      <c r="AB55" s="22">
        <v>510</v>
      </c>
      <c r="AC55" s="17">
        <f>IF(OR(V55="",AB55=""),"",V55*AB55)</f>
        <v>19963440</v>
      </c>
      <c r="AD55" s="15">
        <v>39212</v>
      </c>
      <c r="AE55" s="40" t="s">
        <v>309</v>
      </c>
      <c r="AF55" s="38"/>
      <c r="AG55" s="13"/>
      <c r="AH55" s="13" t="s">
        <v>310</v>
      </c>
      <c r="AI55" s="13" t="s">
        <v>131</v>
      </c>
      <c r="AJ55" s="12" t="s">
        <v>33</v>
      </c>
      <c r="AK55" s="13" t="s">
        <v>132</v>
      </c>
      <c r="AL55" s="11" t="s">
        <v>43</v>
      </c>
      <c r="AM55" s="11" t="s">
        <v>112</v>
      </c>
      <c r="AN55" s="8" t="s">
        <v>134</v>
      </c>
      <c r="AO55" s="8" t="s">
        <v>114</v>
      </c>
    </row>
    <row r="56" spans="1:41" x14ac:dyDescent="0.3">
      <c r="A56" s="3" t="s">
        <v>311</v>
      </c>
      <c r="B56" s="5">
        <v>46130</v>
      </c>
      <c r="C56" s="5">
        <v>46131</v>
      </c>
      <c r="D56" s="4" t="s">
        <v>101</v>
      </c>
      <c r="E56" s="4" t="s">
        <v>46</v>
      </c>
      <c r="F56" s="4" t="s">
        <v>47</v>
      </c>
      <c r="G56" s="4" t="s">
        <v>1212</v>
      </c>
      <c r="H56" s="4" t="s">
        <v>45</v>
      </c>
      <c r="I56" s="37" t="s">
        <v>312</v>
      </c>
      <c r="J56" s="3" t="s">
        <v>171</v>
      </c>
      <c r="K56" s="37">
        <v>87092</v>
      </c>
      <c r="L56" s="4" t="s">
        <v>313</v>
      </c>
      <c r="M56" s="19">
        <v>9.6999999999999993</v>
      </c>
      <c r="N56" s="20">
        <v>160</v>
      </c>
      <c r="O56" s="20">
        <v>41.27</v>
      </c>
      <c r="P56" s="20"/>
      <c r="Q56" s="4" t="s">
        <v>106</v>
      </c>
      <c r="R56" s="20"/>
      <c r="S56" s="6">
        <v>25360</v>
      </c>
      <c r="T56" s="6"/>
      <c r="U56" s="6">
        <v>25013</v>
      </c>
      <c r="V56" s="9">
        <f>IF(OR(U56="",AA56=""),"",U56-AA56)</f>
        <v>24969</v>
      </c>
      <c r="W56" s="6">
        <v>347</v>
      </c>
      <c r="X56" s="6">
        <v>336</v>
      </c>
      <c r="Y56" s="6">
        <v>0</v>
      </c>
      <c r="Z56" s="6">
        <v>11</v>
      </c>
      <c r="AA56" s="6">
        <v>44</v>
      </c>
      <c r="AB56" s="20">
        <v>500</v>
      </c>
      <c r="AC56" s="9">
        <f>IF(OR(V56="",AB56=""),"",V56*AB56)</f>
        <v>12484500</v>
      </c>
      <c r="AD56" s="6">
        <v>25013</v>
      </c>
      <c r="AE56" s="39" t="s">
        <v>314</v>
      </c>
      <c r="AF56" s="37" t="s">
        <v>315</v>
      </c>
      <c r="AG56" s="4"/>
      <c r="AH56" s="4" t="s">
        <v>316</v>
      </c>
      <c r="AI56" s="4" t="s">
        <v>109</v>
      </c>
      <c r="AJ56" s="3"/>
      <c r="AK56" s="4" t="s">
        <v>110</v>
      </c>
      <c r="AL56" s="11" t="s">
        <v>111</v>
      </c>
      <c r="AM56" s="11" t="s">
        <v>112</v>
      </c>
      <c r="AN56" s="11" t="s">
        <v>113</v>
      </c>
      <c r="AO56" s="8" t="s">
        <v>114</v>
      </c>
    </row>
    <row r="57" spans="1:41" x14ac:dyDescent="0.3">
      <c r="A57" s="12" t="s">
        <v>317</v>
      </c>
      <c r="B57" s="14">
        <v>46133</v>
      </c>
      <c r="C57" s="14"/>
      <c r="D57" s="13"/>
      <c r="E57" s="13" t="s">
        <v>231</v>
      </c>
      <c r="F57" s="13"/>
      <c r="G57" s="13" t="s">
        <v>1214</v>
      </c>
      <c r="H57" s="13" t="s">
        <v>60</v>
      </c>
      <c r="I57" s="38" t="s">
        <v>318</v>
      </c>
      <c r="J57" s="12"/>
      <c r="K57" s="38"/>
      <c r="L57" s="13" t="s">
        <v>22</v>
      </c>
      <c r="M57" s="21">
        <v>12.7</v>
      </c>
      <c r="N57" s="22">
        <v>184</v>
      </c>
      <c r="O57" s="22">
        <v>39.85</v>
      </c>
      <c r="P57" s="22"/>
      <c r="Q57" s="13" t="s">
        <v>122</v>
      </c>
      <c r="R57" s="22" t="s">
        <v>123</v>
      </c>
      <c r="S57" s="15">
        <v>0</v>
      </c>
      <c r="T57" s="15"/>
      <c r="U57" s="15"/>
      <c r="V57" s="17">
        <v>0</v>
      </c>
      <c r="W57" s="15"/>
      <c r="X57" s="15"/>
      <c r="Y57" s="15"/>
      <c r="Z57" s="15"/>
      <c r="AA57" s="15"/>
      <c r="AB57" s="22"/>
      <c r="AC57" s="17">
        <v>0</v>
      </c>
      <c r="AD57" s="15"/>
      <c r="AE57" s="40"/>
      <c r="AF57" s="38"/>
      <c r="AG57" s="13" t="s">
        <v>123</v>
      </c>
      <c r="AH57" s="13"/>
      <c r="AI57" s="13" t="s">
        <v>109</v>
      </c>
      <c r="AJ57" s="12"/>
      <c r="AK57" s="13" t="s">
        <v>110</v>
      </c>
      <c r="AL57" s="23" t="s">
        <v>124</v>
      </c>
      <c r="AM57" s="23" t="s">
        <v>125</v>
      </c>
      <c r="AN57" s="11" t="s">
        <v>113</v>
      </c>
      <c r="AO57" s="23" t="s">
        <v>122</v>
      </c>
    </row>
    <row r="58" spans="1:41" x14ac:dyDescent="0.3">
      <c r="A58" s="3" t="s">
        <v>319</v>
      </c>
      <c r="B58" s="5">
        <v>46133</v>
      </c>
      <c r="C58" s="5">
        <v>46134</v>
      </c>
      <c r="D58" s="4" t="s">
        <v>101</v>
      </c>
      <c r="E58" s="4" t="s">
        <v>46</v>
      </c>
      <c r="F58" s="4" t="s">
        <v>47</v>
      </c>
      <c r="G58" s="4" t="s">
        <v>1221</v>
      </c>
      <c r="H58" s="4" t="s">
        <v>193</v>
      </c>
      <c r="I58" s="37" t="s">
        <v>320</v>
      </c>
      <c r="J58" s="3" t="s">
        <v>195</v>
      </c>
      <c r="K58" s="37">
        <v>67796</v>
      </c>
      <c r="L58" s="4" t="s">
        <v>105</v>
      </c>
      <c r="M58" s="19">
        <v>9.1999999999999993</v>
      </c>
      <c r="N58" s="20">
        <v>159</v>
      </c>
      <c r="O58" s="20">
        <v>41.44</v>
      </c>
      <c r="P58" s="20"/>
      <c r="Q58" s="4" t="s">
        <v>106</v>
      </c>
      <c r="R58" s="20"/>
      <c r="S58" s="6">
        <v>41660</v>
      </c>
      <c r="T58" s="6"/>
      <c r="U58" s="6">
        <v>41196</v>
      </c>
      <c r="V58" s="9">
        <f t="shared" ref="V58:V77" si="2">IF(OR(U58="",AA58=""),"",U58-AA58)</f>
        <v>41144</v>
      </c>
      <c r="W58" s="6">
        <v>464</v>
      </c>
      <c r="X58" s="6">
        <v>451</v>
      </c>
      <c r="Y58" s="6">
        <v>0</v>
      </c>
      <c r="Z58" s="6">
        <v>13</v>
      </c>
      <c r="AA58" s="6">
        <v>52</v>
      </c>
      <c r="AB58" s="20">
        <v>500</v>
      </c>
      <c r="AC58" s="9">
        <f t="shared" ref="AC58:AC77" si="3">IF(OR(V58="",AB58=""),"",V58*AB58)</f>
        <v>20572000</v>
      </c>
      <c r="AD58" s="6">
        <v>41196</v>
      </c>
      <c r="AE58" s="39" t="s">
        <v>321</v>
      </c>
      <c r="AF58" s="37"/>
      <c r="AG58" s="4"/>
      <c r="AH58" s="4" t="s">
        <v>316</v>
      </c>
      <c r="AI58" s="4" t="s">
        <v>109</v>
      </c>
      <c r="AJ58" s="3"/>
      <c r="AK58" s="4" t="s">
        <v>110</v>
      </c>
      <c r="AL58" s="11" t="s">
        <v>111</v>
      </c>
      <c r="AM58" s="11" t="s">
        <v>112</v>
      </c>
      <c r="AN58" s="11" t="s">
        <v>113</v>
      </c>
      <c r="AO58" s="8" t="s">
        <v>114</v>
      </c>
    </row>
    <row r="59" spans="1:41" x14ac:dyDescent="0.3">
      <c r="A59" s="12" t="s">
        <v>322</v>
      </c>
      <c r="B59" s="14">
        <v>46134</v>
      </c>
      <c r="C59" s="14">
        <v>46134</v>
      </c>
      <c r="D59" s="13" t="s">
        <v>101</v>
      </c>
      <c r="E59" s="13" t="s">
        <v>46</v>
      </c>
      <c r="F59" s="13" t="s">
        <v>47</v>
      </c>
      <c r="G59" s="13" t="s">
        <v>734</v>
      </c>
      <c r="H59" s="13" t="s">
        <v>34</v>
      </c>
      <c r="I59" s="38" t="s">
        <v>323</v>
      </c>
      <c r="J59" s="12" t="s">
        <v>216</v>
      </c>
      <c r="K59" s="38">
        <v>19859</v>
      </c>
      <c r="L59" s="13" t="s">
        <v>179</v>
      </c>
      <c r="M59" s="21">
        <v>9.1</v>
      </c>
      <c r="N59" s="22">
        <v>168</v>
      </c>
      <c r="O59" s="22">
        <v>41.09</v>
      </c>
      <c r="P59" s="22"/>
      <c r="Q59" s="13" t="s">
        <v>106</v>
      </c>
      <c r="R59" s="22"/>
      <c r="S59" s="15">
        <v>39560</v>
      </c>
      <c r="T59" s="15"/>
      <c r="U59" s="15">
        <v>39099</v>
      </c>
      <c r="V59" s="17">
        <f t="shared" si="2"/>
        <v>39051</v>
      </c>
      <c r="W59" s="15">
        <v>461</v>
      </c>
      <c r="X59" s="15">
        <v>449</v>
      </c>
      <c r="Y59" s="15">
        <v>0</v>
      </c>
      <c r="Z59" s="15">
        <v>12</v>
      </c>
      <c r="AA59" s="15">
        <v>48</v>
      </c>
      <c r="AB59" s="22">
        <v>500</v>
      </c>
      <c r="AC59" s="17">
        <f t="shared" si="3"/>
        <v>19525500</v>
      </c>
      <c r="AD59" s="15">
        <v>39099</v>
      </c>
      <c r="AE59" s="40" t="s">
        <v>324</v>
      </c>
      <c r="AF59" s="38" t="s">
        <v>315</v>
      </c>
      <c r="AG59" s="13"/>
      <c r="AH59" s="13" t="s">
        <v>316</v>
      </c>
      <c r="AI59" s="13" t="s">
        <v>109</v>
      </c>
      <c r="AJ59" s="12"/>
      <c r="AK59" s="13" t="s">
        <v>110</v>
      </c>
      <c r="AL59" s="11" t="s">
        <v>111</v>
      </c>
      <c r="AM59" s="11" t="s">
        <v>112</v>
      </c>
      <c r="AN59" s="11" t="s">
        <v>113</v>
      </c>
      <c r="AO59" s="8" t="s">
        <v>114</v>
      </c>
    </row>
    <row r="60" spans="1:41" x14ac:dyDescent="0.3">
      <c r="A60" s="3" t="s">
        <v>325</v>
      </c>
      <c r="B60" s="5">
        <v>46134</v>
      </c>
      <c r="C60" s="5">
        <v>46135</v>
      </c>
      <c r="D60" s="4" t="s">
        <v>101</v>
      </c>
      <c r="E60" s="4" t="s">
        <v>46</v>
      </c>
      <c r="F60" s="4" t="s">
        <v>31</v>
      </c>
      <c r="G60" s="4" t="s">
        <v>1216</v>
      </c>
      <c r="H60" s="4" t="s">
        <v>116</v>
      </c>
      <c r="I60" s="37" t="s">
        <v>326</v>
      </c>
      <c r="J60" s="3" t="s">
        <v>118</v>
      </c>
      <c r="K60" s="37">
        <v>38397</v>
      </c>
      <c r="L60" s="4" t="s">
        <v>30</v>
      </c>
      <c r="M60" s="19">
        <v>11.9</v>
      </c>
      <c r="N60" s="20">
        <v>166</v>
      </c>
      <c r="O60" s="20">
        <v>41.09</v>
      </c>
      <c r="P60" s="20"/>
      <c r="Q60" s="4" t="s">
        <v>106</v>
      </c>
      <c r="R60" s="20"/>
      <c r="S60" s="6">
        <v>41220</v>
      </c>
      <c r="T60" s="6"/>
      <c r="U60" s="6">
        <v>40749</v>
      </c>
      <c r="V60" s="9">
        <f t="shared" si="2"/>
        <v>40549</v>
      </c>
      <c r="W60" s="6">
        <v>471</v>
      </c>
      <c r="X60" s="6">
        <v>446</v>
      </c>
      <c r="Y60" s="6">
        <v>25</v>
      </c>
      <c r="Z60" s="6">
        <v>0</v>
      </c>
      <c r="AA60" s="6">
        <v>200</v>
      </c>
      <c r="AB60" s="20">
        <v>490</v>
      </c>
      <c r="AC60" s="9">
        <f t="shared" si="3"/>
        <v>19869010</v>
      </c>
      <c r="AD60" s="6">
        <v>40749</v>
      </c>
      <c r="AE60" s="39" t="s">
        <v>327</v>
      </c>
      <c r="AF60" s="37"/>
      <c r="AG60" s="4"/>
      <c r="AH60" s="4" t="s">
        <v>316</v>
      </c>
      <c r="AI60" s="4" t="s">
        <v>109</v>
      </c>
      <c r="AJ60" s="3"/>
      <c r="AK60" s="4" t="s">
        <v>110</v>
      </c>
      <c r="AL60" s="11" t="s">
        <v>111</v>
      </c>
      <c r="AM60" s="11" t="s">
        <v>112</v>
      </c>
      <c r="AN60" s="11" t="s">
        <v>113</v>
      </c>
      <c r="AO60" s="8" t="s">
        <v>114</v>
      </c>
    </row>
    <row r="61" spans="1:41" x14ac:dyDescent="0.3">
      <c r="A61" s="12" t="s">
        <v>328</v>
      </c>
      <c r="B61" s="14">
        <v>46135</v>
      </c>
      <c r="C61" s="14">
        <v>46136</v>
      </c>
      <c r="D61" s="13" t="s">
        <v>101</v>
      </c>
      <c r="E61" s="13" t="s">
        <v>46</v>
      </c>
      <c r="F61" s="13" t="s">
        <v>31</v>
      </c>
      <c r="G61" s="13" t="s">
        <v>1217</v>
      </c>
      <c r="H61" s="13" t="s">
        <v>136</v>
      </c>
      <c r="I61" s="38" t="s">
        <v>329</v>
      </c>
      <c r="J61" s="12" t="s">
        <v>138</v>
      </c>
      <c r="K61" s="38">
        <v>31708</v>
      </c>
      <c r="L61" s="13" t="s">
        <v>42</v>
      </c>
      <c r="M61" s="21">
        <v>11.7</v>
      </c>
      <c r="N61" s="22">
        <v>184</v>
      </c>
      <c r="O61" s="22">
        <v>41.79</v>
      </c>
      <c r="P61" s="22"/>
      <c r="Q61" s="13" t="s">
        <v>106</v>
      </c>
      <c r="R61" s="22"/>
      <c r="S61" s="15">
        <v>40400</v>
      </c>
      <c r="T61" s="15"/>
      <c r="U61" s="15">
        <v>39890</v>
      </c>
      <c r="V61" s="17">
        <f t="shared" si="2"/>
        <v>39730</v>
      </c>
      <c r="W61" s="15">
        <v>510</v>
      </c>
      <c r="X61" s="15">
        <v>490</v>
      </c>
      <c r="Y61" s="15">
        <v>20</v>
      </c>
      <c r="Z61" s="15">
        <v>0</v>
      </c>
      <c r="AA61" s="15">
        <v>160</v>
      </c>
      <c r="AB61" s="22">
        <v>485</v>
      </c>
      <c r="AC61" s="17">
        <f t="shared" si="3"/>
        <v>19269050</v>
      </c>
      <c r="AD61" s="15">
        <v>39890</v>
      </c>
      <c r="AE61" s="40" t="s">
        <v>330</v>
      </c>
      <c r="AF61" s="38"/>
      <c r="AG61" s="13"/>
      <c r="AH61" s="13"/>
      <c r="AI61" s="13" t="s">
        <v>109</v>
      </c>
      <c r="AJ61" s="12"/>
      <c r="AK61" s="13" t="s">
        <v>110</v>
      </c>
      <c r="AL61" s="11" t="s">
        <v>197</v>
      </c>
      <c r="AM61" s="11" t="s">
        <v>112</v>
      </c>
      <c r="AN61" s="11" t="s">
        <v>198</v>
      </c>
      <c r="AO61" s="8" t="s">
        <v>114</v>
      </c>
    </row>
    <row r="62" spans="1:41" x14ac:dyDescent="0.3">
      <c r="A62" s="3" t="s">
        <v>331</v>
      </c>
      <c r="B62" s="5">
        <v>46136</v>
      </c>
      <c r="C62" s="5">
        <v>46137</v>
      </c>
      <c r="D62" s="4" t="s">
        <v>101</v>
      </c>
      <c r="E62" s="4" t="s">
        <v>46</v>
      </c>
      <c r="F62" s="4" t="s">
        <v>31</v>
      </c>
      <c r="G62" s="4" t="s">
        <v>1218</v>
      </c>
      <c r="H62" s="4" t="s">
        <v>141</v>
      </c>
      <c r="I62" s="37" t="s">
        <v>332</v>
      </c>
      <c r="J62" s="3" t="s">
        <v>143</v>
      </c>
      <c r="K62" s="37">
        <v>18679</v>
      </c>
      <c r="L62" s="4" t="s">
        <v>51</v>
      </c>
      <c r="M62" s="19">
        <v>11</v>
      </c>
      <c r="N62" s="20">
        <v>160</v>
      </c>
      <c r="O62" s="20">
        <v>44.09</v>
      </c>
      <c r="P62" s="20"/>
      <c r="Q62" s="4" t="s">
        <v>106</v>
      </c>
      <c r="R62" s="20"/>
      <c r="S62" s="6">
        <v>46840</v>
      </c>
      <c r="T62" s="6"/>
      <c r="U62" s="6">
        <v>46305</v>
      </c>
      <c r="V62" s="9">
        <f t="shared" si="2"/>
        <v>46145</v>
      </c>
      <c r="W62" s="6">
        <v>535</v>
      </c>
      <c r="X62" s="6">
        <v>515</v>
      </c>
      <c r="Y62" s="6">
        <v>20</v>
      </c>
      <c r="Z62" s="6">
        <v>0</v>
      </c>
      <c r="AA62" s="6">
        <v>160</v>
      </c>
      <c r="AB62" s="20">
        <v>510</v>
      </c>
      <c r="AC62" s="9">
        <f t="shared" si="3"/>
        <v>23533950</v>
      </c>
      <c r="AD62" s="6">
        <v>46305</v>
      </c>
      <c r="AE62" s="39" t="s">
        <v>333</v>
      </c>
      <c r="AF62" s="37"/>
      <c r="AG62" s="4"/>
      <c r="AH62" s="4"/>
      <c r="AI62" s="4" t="s">
        <v>109</v>
      </c>
      <c r="AJ62" s="3"/>
      <c r="AK62" s="4" t="s">
        <v>110</v>
      </c>
      <c r="AL62" s="11" t="s">
        <v>111</v>
      </c>
      <c r="AM62" s="11" t="s">
        <v>112</v>
      </c>
      <c r="AN62" s="11" t="s">
        <v>113</v>
      </c>
      <c r="AO62" s="8" t="s">
        <v>114</v>
      </c>
    </row>
    <row r="63" spans="1:41" x14ac:dyDescent="0.3">
      <c r="A63" s="12" t="s">
        <v>334</v>
      </c>
      <c r="B63" s="14">
        <v>46136</v>
      </c>
      <c r="C63" s="14">
        <v>46137</v>
      </c>
      <c r="D63" s="13" t="s">
        <v>101</v>
      </c>
      <c r="E63" s="13" t="s">
        <v>231</v>
      </c>
      <c r="F63" s="13"/>
      <c r="G63" s="13" t="s">
        <v>1210</v>
      </c>
      <c r="H63" s="13" t="s">
        <v>38</v>
      </c>
      <c r="I63" s="38" t="s">
        <v>1231</v>
      </c>
      <c r="J63" s="12"/>
      <c r="K63" s="38">
        <v>32358</v>
      </c>
      <c r="L63" s="13" t="s">
        <v>335</v>
      </c>
      <c r="M63" s="21">
        <v>14.2</v>
      </c>
      <c r="N63" s="22">
        <v>160</v>
      </c>
      <c r="O63" s="22">
        <v>42.76</v>
      </c>
      <c r="P63" s="22"/>
      <c r="Q63" s="13" t="s">
        <v>106</v>
      </c>
      <c r="R63" s="22"/>
      <c r="S63" s="15">
        <v>46090</v>
      </c>
      <c r="T63" s="15"/>
      <c r="U63" s="15">
        <v>45557</v>
      </c>
      <c r="V63" s="17">
        <f t="shared" si="2"/>
        <v>45317</v>
      </c>
      <c r="W63" s="15">
        <v>533</v>
      </c>
      <c r="X63" s="15">
        <v>503</v>
      </c>
      <c r="Y63" s="15">
        <v>30</v>
      </c>
      <c r="Z63" s="15">
        <v>0</v>
      </c>
      <c r="AA63" s="15">
        <v>240</v>
      </c>
      <c r="AB63" s="22">
        <v>515</v>
      </c>
      <c r="AC63" s="17">
        <f t="shared" si="3"/>
        <v>23338255</v>
      </c>
      <c r="AD63" s="15">
        <v>45557</v>
      </c>
      <c r="AE63" s="40" t="s">
        <v>336</v>
      </c>
      <c r="AF63" s="38"/>
      <c r="AG63" s="13" t="s">
        <v>337</v>
      </c>
      <c r="AH63" s="13"/>
      <c r="AI63" s="13" t="s">
        <v>131</v>
      </c>
      <c r="AJ63" s="12" t="s">
        <v>37</v>
      </c>
      <c r="AK63" s="13" t="s">
        <v>132</v>
      </c>
      <c r="AL63" s="11" t="s">
        <v>39</v>
      </c>
      <c r="AM63" s="11" t="s">
        <v>112</v>
      </c>
      <c r="AN63" s="8" t="s">
        <v>134</v>
      </c>
      <c r="AO63" s="8" t="s">
        <v>114</v>
      </c>
    </row>
    <row r="64" spans="1:41" x14ac:dyDescent="0.3">
      <c r="A64" s="3" t="s">
        <v>338</v>
      </c>
      <c r="B64" s="5">
        <v>46144</v>
      </c>
      <c r="C64" s="5">
        <v>46144</v>
      </c>
      <c r="D64" s="4" t="s">
        <v>101</v>
      </c>
      <c r="E64" s="4" t="s">
        <v>46</v>
      </c>
      <c r="F64" s="4" t="s">
        <v>31</v>
      </c>
      <c r="G64" s="4" t="s">
        <v>695</v>
      </c>
      <c r="H64" s="4" t="s">
        <v>50</v>
      </c>
      <c r="I64" s="37" t="s">
        <v>339</v>
      </c>
      <c r="J64" s="3" t="s">
        <v>128</v>
      </c>
      <c r="K64" s="37">
        <v>18615</v>
      </c>
      <c r="L64" s="4" t="s">
        <v>51</v>
      </c>
      <c r="M64" s="19">
        <v>11.4</v>
      </c>
      <c r="N64" s="20">
        <v>169</v>
      </c>
      <c r="O64" s="20">
        <v>40.380000000000003</v>
      </c>
      <c r="P64" s="20"/>
      <c r="Q64" s="4" t="s">
        <v>106</v>
      </c>
      <c r="R64" s="20"/>
      <c r="S64" s="6">
        <v>45740</v>
      </c>
      <c r="T64" s="6"/>
      <c r="U64" s="6">
        <v>45194</v>
      </c>
      <c r="V64" s="9">
        <f t="shared" si="2"/>
        <v>44914</v>
      </c>
      <c r="W64" s="6">
        <v>546</v>
      </c>
      <c r="X64" s="6">
        <v>511</v>
      </c>
      <c r="Y64" s="6">
        <v>35</v>
      </c>
      <c r="Z64" s="6">
        <v>0</v>
      </c>
      <c r="AA64" s="6">
        <v>280</v>
      </c>
      <c r="AB64" s="20">
        <v>460</v>
      </c>
      <c r="AC64" s="9">
        <f t="shared" si="3"/>
        <v>20660440</v>
      </c>
      <c r="AD64" s="6">
        <v>45194</v>
      </c>
      <c r="AE64" s="39" t="s">
        <v>340</v>
      </c>
      <c r="AF64" s="37"/>
      <c r="AG64" s="4"/>
      <c r="AH64" s="4"/>
      <c r="AI64" s="4" t="s">
        <v>131</v>
      </c>
      <c r="AJ64" s="3" t="s">
        <v>49</v>
      </c>
      <c r="AK64" s="4" t="s">
        <v>132</v>
      </c>
      <c r="AL64" s="11" t="s">
        <v>247</v>
      </c>
      <c r="AM64" s="11" t="s">
        <v>112</v>
      </c>
      <c r="AN64" s="8" t="s">
        <v>134</v>
      </c>
      <c r="AO64" s="8" t="s">
        <v>114</v>
      </c>
    </row>
    <row r="65" spans="1:41" x14ac:dyDescent="0.3">
      <c r="A65" s="12" t="s">
        <v>341</v>
      </c>
      <c r="B65" s="14">
        <v>46144</v>
      </c>
      <c r="C65" s="14">
        <v>46145</v>
      </c>
      <c r="D65" s="13" t="s">
        <v>101</v>
      </c>
      <c r="E65" s="13" t="s">
        <v>231</v>
      </c>
      <c r="F65" s="13"/>
      <c r="G65" s="13" t="s">
        <v>1214</v>
      </c>
      <c r="H65" s="13" t="s">
        <v>60</v>
      </c>
      <c r="I65" s="38" t="s">
        <v>1232</v>
      </c>
      <c r="J65" s="12" t="s">
        <v>185</v>
      </c>
      <c r="K65" s="38">
        <v>87106</v>
      </c>
      <c r="L65" s="13" t="s">
        <v>22</v>
      </c>
      <c r="M65" s="21">
        <v>10.6</v>
      </c>
      <c r="N65" s="22">
        <v>176</v>
      </c>
      <c r="O65" s="22">
        <v>42.59</v>
      </c>
      <c r="P65" s="22"/>
      <c r="Q65" s="13" t="s">
        <v>106</v>
      </c>
      <c r="R65" s="22"/>
      <c r="S65" s="15">
        <v>53020</v>
      </c>
      <c r="T65" s="15"/>
      <c r="U65" s="15">
        <v>52377</v>
      </c>
      <c r="V65" s="17">
        <f t="shared" si="2"/>
        <v>52217</v>
      </c>
      <c r="W65" s="15">
        <v>643</v>
      </c>
      <c r="X65" s="15">
        <v>623</v>
      </c>
      <c r="Y65" s="15">
        <v>20</v>
      </c>
      <c r="Z65" s="15">
        <v>0</v>
      </c>
      <c r="AA65" s="15">
        <v>160</v>
      </c>
      <c r="AB65" s="22">
        <v>475</v>
      </c>
      <c r="AC65" s="17">
        <f t="shared" si="3"/>
        <v>24803075</v>
      </c>
      <c r="AD65" s="15">
        <v>52377</v>
      </c>
      <c r="AE65" s="40" t="s">
        <v>342</v>
      </c>
      <c r="AF65" s="38"/>
      <c r="AG65" s="13"/>
      <c r="AH65" s="13"/>
      <c r="AI65" s="13" t="s">
        <v>131</v>
      </c>
      <c r="AJ65" s="12" t="s">
        <v>59</v>
      </c>
      <c r="AK65" s="13" t="s">
        <v>162</v>
      </c>
      <c r="AL65" s="8" t="s">
        <v>163</v>
      </c>
      <c r="AM65" s="24" t="s">
        <v>164</v>
      </c>
      <c r="AN65" s="8" t="s">
        <v>134</v>
      </c>
      <c r="AO65" s="8" t="s">
        <v>114</v>
      </c>
    </row>
    <row r="66" spans="1:41" x14ac:dyDescent="0.3">
      <c r="A66" s="3" t="s">
        <v>343</v>
      </c>
      <c r="B66" s="5">
        <v>46144</v>
      </c>
      <c r="C66" s="5">
        <v>46147</v>
      </c>
      <c r="D66" s="4" t="s">
        <v>101</v>
      </c>
      <c r="E66" s="4" t="s">
        <v>231</v>
      </c>
      <c r="F66" s="4"/>
      <c r="G66" s="4" t="s">
        <v>1222</v>
      </c>
      <c r="H66" s="4" t="s">
        <v>206</v>
      </c>
      <c r="I66" s="37" t="s">
        <v>1233</v>
      </c>
      <c r="J66" s="3" t="s">
        <v>208</v>
      </c>
      <c r="K66" s="37">
        <v>37590</v>
      </c>
      <c r="L66" s="4" t="s">
        <v>105</v>
      </c>
      <c r="M66" s="19">
        <v>12.7</v>
      </c>
      <c r="N66" s="20">
        <v>162</v>
      </c>
      <c r="O66" s="20">
        <v>42.85</v>
      </c>
      <c r="P66" s="20"/>
      <c r="Q66" s="4" t="s">
        <v>106</v>
      </c>
      <c r="R66" s="20"/>
      <c r="S66" s="6">
        <v>45610</v>
      </c>
      <c r="T66" s="6"/>
      <c r="U66" s="6">
        <v>45125</v>
      </c>
      <c r="V66" s="9">
        <f t="shared" si="2"/>
        <v>44805</v>
      </c>
      <c r="W66" s="6">
        <v>485</v>
      </c>
      <c r="X66" s="6">
        <v>445</v>
      </c>
      <c r="Y66" s="6">
        <v>40</v>
      </c>
      <c r="Z66" s="6">
        <v>0</v>
      </c>
      <c r="AA66" s="6">
        <v>320</v>
      </c>
      <c r="AB66" s="20">
        <v>465</v>
      </c>
      <c r="AC66" s="9">
        <f t="shared" si="3"/>
        <v>20834325</v>
      </c>
      <c r="AD66" s="6">
        <v>45125</v>
      </c>
      <c r="AE66" s="39" t="s">
        <v>344</v>
      </c>
      <c r="AF66" s="37"/>
      <c r="AG66" s="4"/>
      <c r="AH66" s="4"/>
      <c r="AI66" s="4" t="s">
        <v>109</v>
      </c>
      <c r="AJ66" s="3"/>
      <c r="AK66" s="4" t="s">
        <v>110</v>
      </c>
      <c r="AL66" s="11" t="s">
        <v>111</v>
      </c>
      <c r="AM66" s="11" t="s">
        <v>112</v>
      </c>
      <c r="AN66" s="11" t="s">
        <v>113</v>
      </c>
      <c r="AO66" s="8" t="s">
        <v>114</v>
      </c>
    </row>
    <row r="67" spans="1:41" x14ac:dyDescent="0.3">
      <c r="A67" s="12" t="s">
        <v>345</v>
      </c>
      <c r="B67" s="14">
        <v>46145</v>
      </c>
      <c r="C67" s="14">
        <v>46146</v>
      </c>
      <c r="D67" s="13" t="s">
        <v>101</v>
      </c>
      <c r="E67" s="13" t="s">
        <v>46</v>
      </c>
      <c r="F67" s="13" t="s">
        <v>31</v>
      </c>
      <c r="G67" s="13" t="s">
        <v>1212</v>
      </c>
      <c r="H67" s="13" t="s">
        <v>45</v>
      </c>
      <c r="I67" s="38" t="s">
        <v>346</v>
      </c>
      <c r="J67" s="12" t="s">
        <v>171</v>
      </c>
      <c r="K67" s="38">
        <v>87046</v>
      </c>
      <c r="L67" s="13" t="s">
        <v>46</v>
      </c>
      <c r="M67" s="21">
        <v>9.3000000000000007</v>
      </c>
      <c r="N67" s="22">
        <v>158</v>
      </c>
      <c r="O67" s="22">
        <v>42.32</v>
      </c>
      <c r="P67" s="22"/>
      <c r="Q67" s="13" t="s">
        <v>106</v>
      </c>
      <c r="R67" s="22"/>
      <c r="S67" s="15">
        <v>40900</v>
      </c>
      <c r="T67" s="15"/>
      <c r="U67" s="15">
        <v>40418</v>
      </c>
      <c r="V67" s="17">
        <f t="shared" si="2"/>
        <v>40366</v>
      </c>
      <c r="W67" s="15">
        <v>482</v>
      </c>
      <c r="X67" s="15">
        <v>469</v>
      </c>
      <c r="Y67" s="15">
        <v>0</v>
      </c>
      <c r="Z67" s="15">
        <v>13</v>
      </c>
      <c r="AA67" s="15">
        <v>52</v>
      </c>
      <c r="AB67" s="22">
        <v>465</v>
      </c>
      <c r="AC67" s="17">
        <f t="shared" si="3"/>
        <v>18770190</v>
      </c>
      <c r="AD67" s="15">
        <v>40418</v>
      </c>
      <c r="AE67" s="40" t="s">
        <v>347</v>
      </c>
      <c r="AF67" s="38"/>
      <c r="AG67" s="13"/>
      <c r="AH67" s="13"/>
      <c r="AI67" s="13" t="s">
        <v>131</v>
      </c>
      <c r="AJ67" s="12" t="s">
        <v>44</v>
      </c>
      <c r="AK67" s="13" t="s">
        <v>132</v>
      </c>
      <c r="AL67" s="11" t="s">
        <v>348</v>
      </c>
      <c r="AM67" s="11" t="s">
        <v>112</v>
      </c>
      <c r="AN67" s="8" t="s">
        <v>134</v>
      </c>
      <c r="AO67" s="8" t="s">
        <v>114</v>
      </c>
    </row>
    <row r="68" spans="1:41" x14ac:dyDescent="0.3">
      <c r="A68" s="3" t="s">
        <v>349</v>
      </c>
      <c r="B68" s="5">
        <v>46145</v>
      </c>
      <c r="C68" s="5">
        <v>46146</v>
      </c>
      <c r="D68" s="4" t="s">
        <v>101</v>
      </c>
      <c r="E68" s="4" t="s">
        <v>46</v>
      </c>
      <c r="F68" s="4" t="s">
        <v>31</v>
      </c>
      <c r="G68" s="4" t="s">
        <v>1220</v>
      </c>
      <c r="H68" s="4" t="s">
        <v>188</v>
      </c>
      <c r="I68" s="37" t="s">
        <v>350</v>
      </c>
      <c r="J68" s="3" t="s">
        <v>190</v>
      </c>
      <c r="K68" s="37">
        <v>32757</v>
      </c>
      <c r="L68" s="4" t="s">
        <v>234</v>
      </c>
      <c r="M68" s="19">
        <v>9.8000000000000007</v>
      </c>
      <c r="N68" s="20">
        <v>158</v>
      </c>
      <c r="O68" s="20">
        <v>41.62</v>
      </c>
      <c r="P68" s="20"/>
      <c r="Q68" s="4" t="s">
        <v>106</v>
      </c>
      <c r="R68" s="20"/>
      <c r="S68" s="6">
        <v>41020</v>
      </c>
      <c r="T68" s="6"/>
      <c r="U68" s="6">
        <v>40532</v>
      </c>
      <c r="V68" s="9">
        <f t="shared" si="2"/>
        <v>40484</v>
      </c>
      <c r="W68" s="6">
        <v>488</v>
      </c>
      <c r="X68" s="6">
        <v>476</v>
      </c>
      <c r="Y68" s="6">
        <v>0</v>
      </c>
      <c r="Z68" s="6">
        <v>12</v>
      </c>
      <c r="AA68" s="6">
        <v>48</v>
      </c>
      <c r="AB68" s="20">
        <v>460</v>
      </c>
      <c r="AC68" s="9">
        <f t="shared" si="3"/>
        <v>18622640</v>
      </c>
      <c r="AD68" s="6">
        <v>40532</v>
      </c>
      <c r="AE68" s="39" t="s">
        <v>351</v>
      </c>
      <c r="AF68" s="37"/>
      <c r="AG68" s="4"/>
      <c r="AH68" s="4"/>
      <c r="AI68" s="4" t="s">
        <v>109</v>
      </c>
      <c r="AJ68" s="3"/>
      <c r="AK68" s="4" t="s">
        <v>110</v>
      </c>
      <c r="AL68" s="11" t="s">
        <v>111</v>
      </c>
      <c r="AM68" s="11" t="s">
        <v>112</v>
      </c>
      <c r="AN68" s="11" t="s">
        <v>113</v>
      </c>
      <c r="AO68" s="8" t="s">
        <v>114</v>
      </c>
    </row>
    <row r="69" spans="1:41" x14ac:dyDescent="0.3">
      <c r="A69" s="12" t="s">
        <v>352</v>
      </c>
      <c r="B69" s="14">
        <v>46146</v>
      </c>
      <c r="C69" s="14">
        <v>46146</v>
      </c>
      <c r="D69" s="13" t="s">
        <v>101</v>
      </c>
      <c r="E69" s="13" t="s">
        <v>46</v>
      </c>
      <c r="F69" s="13" t="s">
        <v>31</v>
      </c>
      <c r="G69" s="13" t="s">
        <v>1219</v>
      </c>
      <c r="H69" s="13" t="s">
        <v>147</v>
      </c>
      <c r="I69" s="38" t="s">
        <v>278</v>
      </c>
      <c r="J69" s="12" t="s">
        <v>149</v>
      </c>
      <c r="K69" s="38">
        <v>32834</v>
      </c>
      <c r="L69" s="13" t="s">
        <v>353</v>
      </c>
      <c r="M69" s="21">
        <v>10.4</v>
      </c>
      <c r="N69" s="22">
        <v>157</v>
      </c>
      <c r="O69" s="22">
        <v>42.32</v>
      </c>
      <c r="P69" s="22"/>
      <c r="Q69" s="13" t="s">
        <v>106</v>
      </c>
      <c r="R69" s="22"/>
      <c r="S69" s="15">
        <v>13180</v>
      </c>
      <c r="T69" s="15"/>
      <c r="U69" s="15">
        <v>13025</v>
      </c>
      <c r="V69" s="17">
        <f t="shared" si="2"/>
        <v>12993</v>
      </c>
      <c r="W69" s="15">
        <v>155</v>
      </c>
      <c r="X69" s="15">
        <v>147</v>
      </c>
      <c r="Y69" s="15">
        <v>0</v>
      </c>
      <c r="Z69" s="15">
        <v>8</v>
      </c>
      <c r="AA69" s="15">
        <v>32</v>
      </c>
      <c r="AB69" s="22">
        <v>470</v>
      </c>
      <c r="AC69" s="17">
        <f t="shared" si="3"/>
        <v>6106710</v>
      </c>
      <c r="AD69" s="15">
        <v>13025</v>
      </c>
      <c r="AE69" s="40" t="s">
        <v>354</v>
      </c>
      <c r="AF69" s="38"/>
      <c r="AG69" s="13"/>
      <c r="AH69" s="13"/>
      <c r="AI69" s="13" t="s">
        <v>109</v>
      </c>
      <c r="AJ69" s="12"/>
      <c r="AK69" s="13" t="s">
        <v>110</v>
      </c>
      <c r="AL69" s="11" t="s">
        <v>111</v>
      </c>
      <c r="AM69" s="11" t="s">
        <v>112</v>
      </c>
      <c r="AN69" s="11" t="s">
        <v>113</v>
      </c>
      <c r="AO69" s="8" t="s">
        <v>114</v>
      </c>
    </row>
    <row r="70" spans="1:41" x14ac:dyDescent="0.3">
      <c r="A70" s="3" t="s">
        <v>355</v>
      </c>
      <c r="B70" s="5">
        <v>46146</v>
      </c>
      <c r="C70" s="5">
        <v>46146</v>
      </c>
      <c r="D70" s="4" t="s">
        <v>101</v>
      </c>
      <c r="E70" s="4" t="s">
        <v>46</v>
      </c>
      <c r="F70" s="4" t="s">
        <v>31</v>
      </c>
      <c r="G70" s="4" t="s">
        <v>734</v>
      </c>
      <c r="H70" s="4" t="s">
        <v>34</v>
      </c>
      <c r="I70" s="37" t="s">
        <v>215</v>
      </c>
      <c r="J70" s="3" t="s">
        <v>216</v>
      </c>
      <c r="K70" s="37">
        <v>18794</v>
      </c>
      <c r="L70" s="4" t="s">
        <v>35</v>
      </c>
      <c r="M70" s="19">
        <v>8</v>
      </c>
      <c r="N70" s="20">
        <v>167</v>
      </c>
      <c r="O70" s="20">
        <v>42.32</v>
      </c>
      <c r="P70" s="20"/>
      <c r="Q70" s="4" t="s">
        <v>106</v>
      </c>
      <c r="R70" s="20"/>
      <c r="S70" s="6">
        <v>38800</v>
      </c>
      <c r="T70" s="6"/>
      <c r="U70" s="6">
        <v>38325</v>
      </c>
      <c r="V70" s="9">
        <f t="shared" si="2"/>
        <v>38277</v>
      </c>
      <c r="W70" s="6">
        <v>475</v>
      </c>
      <c r="X70" s="6">
        <v>463</v>
      </c>
      <c r="Y70" s="6">
        <v>0</v>
      </c>
      <c r="Z70" s="6">
        <v>12</v>
      </c>
      <c r="AA70" s="6">
        <v>48</v>
      </c>
      <c r="AB70" s="20">
        <v>470</v>
      </c>
      <c r="AC70" s="9">
        <f t="shared" si="3"/>
        <v>17990190</v>
      </c>
      <c r="AD70" s="6">
        <v>38325</v>
      </c>
      <c r="AE70" s="39" t="s">
        <v>356</v>
      </c>
      <c r="AF70" s="37"/>
      <c r="AG70" s="4"/>
      <c r="AH70" s="4"/>
      <c r="AI70" s="4" t="s">
        <v>131</v>
      </c>
      <c r="AJ70" s="3" t="s">
        <v>33</v>
      </c>
      <c r="AK70" s="4" t="s">
        <v>132</v>
      </c>
      <c r="AL70" s="11" t="s">
        <v>357</v>
      </c>
      <c r="AM70" s="11" t="s">
        <v>112</v>
      </c>
      <c r="AN70" s="8" t="s">
        <v>134</v>
      </c>
      <c r="AO70" s="8" t="s">
        <v>114</v>
      </c>
    </row>
    <row r="71" spans="1:41" x14ac:dyDescent="0.3">
      <c r="A71" s="12" t="s">
        <v>358</v>
      </c>
      <c r="B71" s="14">
        <v>46146</v>
      </c>
      <c r="C71" s="14">
        <v>46147</v>
      </c>
      <c r="D71" s="13" t="s">
        <v>101</v>
      </c>
      <c r="E71" s="13" t="s">
        <v>46</v>
      </c>
      <c r="F71" s="13" t="s">
        <v>31</v>
      </c>
      <c r="G71" s="13" t="s">
        <v>1209</v>
      </c>
      <c r="H71" s="13" t="s">
        <v>29</v>
      </c>
      <c r="I71" s="38" t="s">
        <v>359</v>
      </c>
      <c r="J71" s="12" t="s">
        <v>175</v>
      </c>
      <c r="K71" s="38">
        <v>32069</v>
      </c>
      <c r="L71" s="13" t="s">
        <v>225</v>
      </c>
      <c r="M71" s="21">
        <v>10.6</v>
      </c>
      <c r="N71" s="22">
        <v>173</v>
      </c>
      <c r="O71" s="22">
        <v>41.97</v>
      </c>
      <c r="P71" s="22"/>
      <c r="Q71" s="13" t="s">
        <v>106</v>
      </c>
      <c r="R71" s="22"/>
      <c r="S71" s="15">
        <v>48960</v>
      </c>
      <c r="T71" s="15"/>
      <c r="U71" s="15">
        <v>48376</v>
      </c>
      <c r="V71" s="17">
        <f t="shared" si="2"/>
        <v>48316</v>
      </c>
      <c r="W71" s="15">
        <v>584</v>
      </c>
      <c r="X71" s="15">
        <v>569</v>
      </c>
      <c r="Y71" s="15">
        <v>0</v>
      </c>
      <c r="Z71" s="15">
        <v>15</v>
      </c>
      <c r="AA71" s="15">
        <v>60</v>
      </c>
      <c r="AB71" s="22">
        <v>470</v>
      </c>
      <c r="AC71" s="17">
        <f t="shared" si="3"/>
        <v>22708520</v>
      </c>
      <c r="AD71" s="15">
        <v>48376</v>
      </c>
      <c r="AE71" s="40" t="s">
        <v>360</v>
      </c>
      <c r="AF71" s="38"/>
      <c r="AG71" s="13"/>
      <c r="AH71" s="13"/>
      <c r="AI71" s="13" t="s">
        <v>131</v>
      </c>
      <c r="AJ71" s="12" t="s">
        <v>28</v>
      </c>
      <c r="AK71" s="13" t="s">
        <v>132</v>
      </c>
      <c r="AL71" s="11" t="s">
        <v>39</v>
      </c>
      <c r="AM71" s="11" t="s">
        <v>112</v>
      </c>
      <c r="AN71" s="8" t="s">
        <v>134</v>
      </c>
      <c r="AO71" s="8" t="s">
        <v>114</v>
      </c>
    </row>
    <row r="72" spans="1:41" x14ac:dyDescent="0.3">
      <c r="A72" s="3" t="s">
        <v>361</v>
      </c>
      <c r="B72" s="5">
        <v>46146</v>
      </c>
      <c r="C72" s="5">
        <v>46147</v>
      </c>
      <c r="D72" s="4" t="s">
        <v>101</v>
      </c>
      <c r="E72" s="4" t="s">
        <v>46</v>
      </c>
      <c r="F72" s="4" t="s">
        <v>31</v>
      </c>
      <c r="G72" s="4" t="s">
        <v>698</v>
      </c>
      <c r="H72" s="4" t="s">
        <v>58</v>
      </c>
      <c r="I72" s="37" t="s">
        <v>303</v>
      </c>
      <c r="J72" s="3" t="s">
        <v>203</v>
      </c>
      <c r="K72" s="37">
        <v>18783</v>
      </c>
      <c r="L72" s="4" t="s">
        <v>35</v>
      </c>
      <c r="M72" s="19">
        <v>9.6</v>
      </c>
      <c r="N72" s="20">
        <v>162</v>
      </c>
      <c r="O72" s="20">
        <v>41.79</v>
      </c>
      <c r="P72" s="20"/>
      <c r="Q72" s="4" t="s">
        <v>106</v>
      </c>
      <c r="R72" s="20"/>
      <c r="S72" s="6">
        <v>41820</v>
      </c>
      <c r="T72" s="6"/>
      <c r="U72" s="6">
        <v>41335</v>
      </c>
      <c r="V72" s="9">
        <f t="shared" si="2"/>
        <v>41295</v>
      </c>
      <c r="W72" s="6">
        <v>485</v>
      </c>
      <c r="X72" s="6">
        <v>475</v>
      </c>
      <c r="Y72" s="6">
        <v>0</v>
      </c>
      <c r="Z72" s="6">
        <v>10</v>
      </c>
      <c r="AA72" s="6">
        <v>40</v>
      </c>
      <c r="AB72" s="20">
        <v>465</v>
      </c>
      <c r="AC72" s="9">
        <f t="shared" si="3"/>
        <v>19202175</v>
      </c>
      <c r="AD72" s="6">
        <v>41335</v>
      </c>
      <c r="AE72" s="39" t="s">
        <v>362</v>
      </c>
      <c r="AF72" s="37"/>
      <c r="AG72" s="4"/>
      <c r="AH72" s="4"/>
      <c r="AI72" s="4" t="s">
        <v>131</v>
      </c>
      <c r="AJ72" s="3" t="s">
        <v>57</v>
      </c>
      <c r="AK72" s="4" t="s">
        <v>162</v>
      </c>
      <c r="AL72" s="8" t="s">
        <v>163</v>
      </c>
      <c r="AM72" s="25" t="s">
        <v>164</v>
      </c>
      <c r="AN72" s="8" t="s">
        <v>134</v>
      </c>
      <c r="AO72" s="8" t="s">
        <v>114</v>
      </c>
    </row>
    <row r="73" spans="1:41" x14ac:dyDescent="0.3">
      <c r="A73" s="12" t="s">
        <v>363</v>
      </c>
      <c r="B73" s="14">
        <v>46146</v>
      </c>
      <c r="C73" s="14">
        <v>46147</v>
      </c>
      <c r="D73" s="13" t="s">
        <v>101</v>
      </c>
      <c r="E73" s="13" t="s">
        <v>46</v>
      </c>
      <c r="F73" s="13" t="s">
        <v>31</v>
      </c>
      <c r="G73" s="13" t="s">
        <v>1213</v>
      </c>
      <c r="H73" s="13" t="s">
        <v>55</v>
      </c>
      <c r="I73" s="38" t="s">
        <v>364</v>
      </c>
      <c r="J73" s="12" t="s">
        <v>153</v>
      </c>
      <c r="K73" s="38">
        <v>31994</v>
      </c>
      <c r="L73" s="13" t="s">
        <v>179</v>
      </c>
      <c r="M73" s="21">
        <v>11</v>
      </c>
      <c r="N73" s="22">
        <v>181</v>
      </c>
      <c r="O73" s="22">
        <v>42.15</v>
      </c>
      <c r="P73" s="22"/>
      <c r="Q73" s="13" t="s">
        <v>106</v>
      </c>
      <c r="R73" s="22"/>
      <c r="S73" s="15">
        <v>49100</v>
      </c>
      <c r="T73" s="15"/>
      <c r="U73" s="15">
        <v>48513</v>
      </c>
      <c r="V73" s="17">
        <f t="shared" si="2"/>
        <v>48353</v>
      </c>
      <c r="W73" s="15">
        <v>587</v>
      </c>
      <c r="X73" s="15">
        <v>567</v>
      </c>
      <c r="Y73" s="15">
        <v>20</v>
      </c>
      <c r="Z73" s="15">
        <v>0</v>
      </c>
      <c r="AA73" s="15">
        <v>160</v>
      </c>
      <c r="AB73" s="22">
        <v>465</v>
      </c>
      <c r="AC73" s="17">
        <f t="shared" si="3"/>
        <v>22484145</v>
      </c>
      <c r="AD73" s="15">
        <v>48513</v>
      </c>
      <c r="AE73" s="40" t="s">
        <v>365</v>
      </c>
      <c r="AF73" s="38" t="s">
        <v>366</v>
      </c>
      <c r="AG73" s="13"/>
      <c r="AH73" s="13"/>
      <c r="AI73" s="13" t="s">
        <v>131</v>
      </c>
      <c r="AJ73" s="12" t="s">
        <v>54</v>
      </c>
      <c r="AK73" s="13" t="s">
        <v>132</v>
      </c>
      <c r="AL73" s="11" t="s">
        <v>39</v>
      </c>
      <c r="AM73" s="11" t="s">
        <v>112</v>
      </c>
      <c r="AN73" s="8" t="s">
        <v>134</v>
      </c>
      <c r="AO73" s="8" t="s">
        <v>114</v>
      </c>
    </row>
    <row r="74" spans="1:41" x14ac:dyDescent="0.3">
      <c r="A74" s="3" t="s">
        <v>367</v>
      </c>
      <c r="B74" s="5">
        <v>46146</v>
      </c>
      <c r="C74" s="5">
        <v>46147</v>
      </c>
      <c r="D74" s="4" t="s">
        <v>101</v>
      </c>
      <c r="E74" s="4" t="s">
        <v>46</v>
      </c>
      <c r="F74" s="4" t="s">
        <v>31</v>
      </c>
      <c r="G74" s="4" t="s">
        <v>1215</v>
      </c>
      <c r="H74" s="4" t="s">
        <v>102</v>
      </c>
      <c r="I74" s="37" t="s">
        <v>283</v>
      </c>
      <c r="J74" s="3" t="s">
        <v>104</v>
      </c>
      <c r="K74" s="37">
        <v>13117</v>
      </c>
      <c r="L74" s="4" t="s">
        <v>46</v>
      </c>
      <c r="M74" s="19">
        <v>8</v>
      </c>
      <c r="N74" s="20">
        <v>177</v>
      </c>
      <c r="O74" s="20">
        <v>41.62</v>
      </c>
      <c r="P74" s="20"/>
      <c r="Q74" s="4" t="s">
        <v>106</v>
      </c>
      <c r="R74" s="20"/>
      <c r="S74" s="6">
        <v>45540</v>
      </c>
      <c r="T74" s="6"/>
      <c r="U74" s="6">
        <v>44964</v>
      </c>
      <c r="V74" s="9">
        <f t="shared" si="2"/>
        <v>44932</v>
      </c>
      <c r="W74" s="6">
        <v>576</v>
      </c>
      <c r="X74" s="6">
        <v>568</v>
      </c>
      <c r="Y74" s="6">
        <v>0</v>
      </c>
      <c r="Z74" s="6">
        <v>8</v>
      </c>
      <c r="AA74" s="6">
        <v>32</v>
      </c>
      <c r="AB74" s="20">
        <v>460</v>
      </c>
      <c r="AC74" s="9">
        <f t="shared" si="3"/>
        <v>20668720</v>
      </c>
      <c r="AD74" s="6">
        <v>44964</v>
      </c>
      <c r="AE74" s="39" t="s">
        <v>368</v>
      </c>
      <c r="AF74" s="37"/>
      <c r="AG74" s="4"/>
      <c r="AH74" s="4"/>
      <c r="AI74" s="4" t="s">
        <v>109</v>
      </c>
      <c r="AJ74" s="3"/>
      <c r="AK74" s="4" t="s">
        <v>110</v>
      </c>
      <c r="AL74" s="11" t="s">
        <v>111</v>
      </c>
      <c r="AM74" s="11" t="s">
        <v>112</v>
      </c>
      <c r="AN74" s="11" t="s">
        <v>113</v>
      </c>
      <c r="AO74" s="8" t="s">
        <v>114</v>
      </c>
    </row>
    <row r="75" spans="1:41" x14ac:dyDescent="0.3">
      <c r="A75" s="12" t="s">
        <v>369</v>
      </c>
      <c r="B75" s="14">
        <v>46146</v>
      </c>
      <c r="C75" s="14">
        <v>46147</v>
      </c>
      <c r="D75" s="13" t="s">
        <v>101</v>
      </c>
      <c r="E75" s="13" t="s">
        <v>231</v>
      </c>
      <c r="F75" s="13"/>
      <c r="G75" s="13" t="s">
        <v>1211</v>
      </c>
      <c r="H75" s="13" t="s">
        <v>41</v>
      </c>
      <c r="I75" s="38" t="s">
        <v>1234</v>
      </c>
      <c r="J75" s="12" t="s">
        <v>167</v>
      </c>
      <c r="K75" s="38">
        <v>18946</v>
      </c>
      <c r="L75" s="13" t="s">
        <v>42</v>
      </c>
      <c r="M75" s="21">
        <v>12.6</v>
      </c>
      <c r="N75" s="22">
        <v>173</v>
      </c>
      <c r="O75" s="22">
        <v>43.91</v>
      </c>
      <c r="P75" s="22"/>
      <c r="Q75" s="13" t="s">
        <v>106</v>
      </c>
      <c r="R75" s="22"/>
      <c r="S75" s="15">
        <v>41510</v>
      </c>
      <c r="T75" s="15"/>
      <c r="U75" s="15">
        <v>41007</v>
      </c>
      <c r="V75" s="17">
        <f t="shared" si="2"/>
        <v>40567</v>
      </c>
      <c r="W75" s="15">
        <v>503</v>
      </c>
      <c r="X75" s="15">
        <v>448</v>
      </c>
      <c r="Y75" s="15">
        <v>55</v>
      </c>
      <c r="Z75" s="15">
        <v>0</v>
      </c>
      <c r="AA75" s="15">
        <v>440</v>
      </c>
      <c r="AB75" s="22">
        <v>465</v>
      </c>
      <c r="AC75" s="17">
        <f t="shared" si="3"/>
        <v>18863655</v>
      </c>
      <c r="AD75" s="15">
        <v>41007</v>
      </c>
      <c r="AE75" s="40" t="s">
        <v>370</v>
      </c>
      <c r="AF75" s="38"/>
      <c r="AG75" s="13"/>
      <c r="AH75" s="13"/>
      <c r="AI75" s="13" t="s">
        <v>131</v>
      </c>
      <c r="AJ75" s="12" t="s">
        <v>40</v>
      </c>
      <c r="AK75" s="13" t="s">
        <v>162</v>
      </c>
      <c r="AL75" s="8" t="s">
        <v>163</v>
      </c>
      <c r="AM75" s="24" t="s">
        <v>164</v>
      </c>
      <c r="AN75" s="8" t="s">
        <v>134</v>
      </c>
      <c r="AO75" s="8" t="s">
        <v>114</v>
      </c>
    </row>
    <row r="76" spans="1:41" x14ac:dyDescent="0.3">
      <c r="A76" s="3" t="s">
        <v>371</v>
      </c>
      <c r="B76" s="5">
        <v>46146</v>
      </c>
      <c r="C76" s="5">
        <v>46150</v>
      </c>
      <c r="D76" s="4" t="s">
        <v>101</v>
      </c>
      <c r="E76" s="4" t="s">
        <v>231</v>
      </c>
      <c r="F76" s="4"/>
      <c r="G76" s="4" t="s">
        <v>1210</v>
      </c>
      <c r="H76" s="4" t="s">
        <v>38</v>
      </c>
      <c r="I76" s="37" t="s">
        <v>1235</v>
      </c>
      <c r="J76" s="3"/>
      <c r="K76" s="37">
        <v>89077</v>
      </c>
      <c r="L76" s="4" t="s">
        <v>372</v>
      </c>
      <c r="M76" s="19">
        <v>8.5</v>
      </c>
      <c r="N76" s="20">
        <v>183</v>
      </c>
      <c r="O76" s="20">
        <v>43.65</v>
      </c>
      <c r="P76" s="20"/>
      <c r="Q76" s="4" t="s">
        <v>106</v>
      </c>
      <c r="R76" s="20"/>
      <c r="S76" s="6">
        <v>47800</v>
      </c>
      <c r="T76" s="6"/>
      <c r="U76" s="6">
        <v>47210</v>
      </c>
      <c r="V76" s="9">
        <f t="shared" si="2"/>
        <v>47170</v>
      </c>
      <c r="W76" s="6">
        <v>590</v>
      </c>
      <c r="X76" s="6">
        <v>580</v>
      </c>
      <c r="Y76" s="6">
        <v>0</v>
      </c>
      <c r="Z76" s="6">
        <v>10</v>
      </c>
      <c r="AA76" s="6">
        <v>40</v>
      </c>
      <c r="AB76" s="20">
        <v>495</v>
      </c>
      <c r="AC76" s="9">
        <f t="shared" si="3"/>
        <v>23349150</v>
      </c>
      <c r="AD76" s="6">
        <v>47210</v>
      </c>
      <c r="AE76" s="39" t="s">
        <v>373</v>
      </c>
      <c r="AF76" s="37"/>
      <c r="AG76" s="4" t="s">
        <v>374</v>
      </c>
      <c r="AH76" s="4"/>
      <c r="AI76" s="4" t="s">
        <v>131</v>
      </c>
      <c r="AJ76" s="3" t="s">
        <v>37</v>
      </c>
      <c r="AK76" s="4" t="s">
        <v>132</v>
      </c>
      <c r="AL76" s="11" t="s">
        <v>39</v>
      </c>
      <c r="AM76" s="11" t="s">
        <v>112</v>
      </c>
      <c r="AN76" s="8" t="s">
        <v>134</v>
      </c>
      <c r="AO76" s="8" t="s">
        <v>114</v>
      </c>
    </row>
    <row r="77" spans="1:41" x14ac:dyDescent="0.3">
      <c r="A77" s="12" t="s">
        <v>375</v>
      </c>
      <c r="B77" s="14">
        <v>46149</v>
      </c>
      <c r="C77" s="14">
        <v>46150</v>
      </c>
      <c r="D77" s="13" t="s">
        <v>101</v>
      </c>
      <c r="E77" s="13" t="s">
        <v>231</v>
      </c>
      <c r="F77" s="13"/>
      <c r="G77" s="13" t="s">
        <v>1208</v>
      </c>
      <c r="H77" s="13" t="s">
        <v>21</v>
      </c>
      <c r="I77" s="38" t="s">
        <v>1236</v>
      </c>
      <c r="J77" s="12" t="s">
        <v>376</v>
      </c>
      <c r="K77" s="38">
        <v>78898</v>
      </c>
      <c r="L77" s="13" t="s">
        <v>22</v>
      </c>
      <c r="M77" s="21">
        <v>9.8000000000000007</v>
      </c>
      <c r="N77" s="22">
        <v>180</v>
      </c>
      <c r="O77" s="22">
        <v>42.15</v>
      </c>
      <c r="P77" s="22"/>
      <c r="Q77" s="13" t="s">
        <v>106</v>
      </c>
      <c r="R77" s="22"/>
      <c r="S77" s="15">
        <v>41140</v>
      </c>
      <c r="T77" s="15"/>
      <c r="U77" s="15">
        <v>40616</v>
      </c>
      <c r="V77" s="17">
        <f t="shared" si="2"/>
        <v>40560</v>
      </c>
      <c r="W77" s="15">
        <v>524</v>
      </c>
      <c r="X77" s="15">
        <v>514</v>
      </c>
      <c r="Y77" s="15">
        <v>0</v>
      </c>
      <c r="Z77" s="15">
        <v>14</v>
      </c>
      <c r="AA77" s="15">
        <v>56</v>
      </c>
      <c r="AB77" s="22">
        <v>454</v>
      </c>
      <c r="AC77" s="17">
        <f t="shared" si="3"/>
        <v>18414240</v>
      </c>
      <c r="AD77" s="15">
        <v>40616</v>
      </c>
      <c r="AE77" s="40" t="s">
        <v>377</v>
      </c>
      <c r="AF77" s="38"/>
      <c r="AG77" s="13"/>
      <c r="AH77" s="13"/>
      <c r="AI77" s="13" t="s">
        <v>131</v>
      </c>
      <c r="AJ77" s="12" t="s">
        <v>20</v>
      </c>
      <c r="AK77" s="13" t="s">
        <v>162</v>
      </c>
      <c r="AL77" s="8" t="s">
        <v>163</v>
      </c>
      <c r="AM77" s="24" t="s">
        <v>164</v>
      </c>
      <c r="AN77" s="8" t="s">
        <v>134</v>
      </c>
      <c r="AO77" s="8" t="s">
        <v>114</v>
      </c>
    </row>
  </sheetData>
  <autoFilter ref="A1:AO77" xr:uid="{00000000-0009-0000-0000-000001000000}"/>
  <dataValidations count="2">
    <dataValidation type="list" allowBlank="1" sqref="AI2:AI500" xr:uid="{00000000-0002-0000-0100-000000000000}">
      <formula1>"YES,NO"</formula1>
    </dataValidation>
    <dataValidation type="list" allowBlank="1" sqref="Q2:Q500" xr:uid="{00000000-0002-0000-0100-000001000000}">
      <formula1>"ACCEPTED,REJECTED,HOLD"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8F37"/>
  </sheetPr>
  <dimension ref="A1:BM59"/>
  <sheetViews>
    <sheetView showGridLines="0" workbookViewId="0">
      <pane xSplit="1" ySplit="1" topLeftCell="B6" activePane="bottomRight" state="frozen"/>
      <selection pane="topRight"/>
      <selection pane="bottomLeft"/>
      <selection pane="bottomRight" activeCell="AG2" sqref="AG2"/>
    </sheetView>
  </sheetViews>
  <sheetFormatPr baseColWidth="10" defaultColWidth="8.88671875" defaultRowHeight="14.4" x14ac:dyDescent="0.3"/>
  <cols>
    <col min="1" max="1" width="14" customWidth="1"/>
    <col min="2" max="2" width="5.6640625" bestFit="1" customWidth="1"/>
    <col min="3" max="5" width="14" customWidth="1"/>
    <col min="6" max="6" width="16" bestFit="1" customWidth="1"/>
    <col min="7" max="7" width="14" customWidth="1"/>
    <col min="8" max="8" width="13.21875" bestFit="1" customWidth="1"/>
    <col min="9" max="9" width="15.33203125" bestFit="1" customWidth="1"/>
    <col min="10" max="10" width="11.21875" bestFit="1" customWidth="1"/>
    <col min="11" max="13" width="14" customWidth="1"/>
    <col min="14" max="14" width="18" customWidth="1"/>
    <col min="15" max="15" width="14" customWidth="1"/>
    <col min="16" max="16" width="26" customWidth="1"/>
    <col min="17" max="44" width="14" customWidth="1"/>
    <col min="45" max="45" width="18" customWidth="1"/>
    <col min="46" max="60" width="14" customWidth="1"/>
    <col min="61" max="61" width="18" customWidth="1"/>
    <col min="62" max="65" width="14" customWidth="1"/>
  </cols>
  <sheetData>
    <row r="1" spans="1:65" s="1" customFormat="1" ht="34.049999999999997" customHeight="1" x14ac:dyDescent="0.3">
      <c r="A1" s="2" t="s">
        <v>378</v>
      </c>
      <c r="B1" s="2" t="s">
        <v>379</v>
      </c>
      <c r="C1" s="2" t="s">
        <v>380</v>
      </c>
      <c r="D1" s="2" t="s">
        <v>381</v>
      </c>
      <c r="E1" s="2" t="s">
        <v>382</v>
      </c>
      <c r="F1" s="2" t="s">
        <v>90</v>
      </c>
      <c r="G1" s="2" t="s">
        <v>383</v>
      </c>
      <c r="H1" s="2" t="s">
        <v>384</v>
      </c>
      <c r="I1" s="2" t="s">
        <v>385</v>
      </c>
      <c r="J1" s="2" t="s">
        <v>68</v>
      </c>
      <c r="K1" s="2" t="s">
        <v>62</v>
      </c>
      <c r="L1" s="2" t="s">
        <v>386</v>
      </c>
      <c r="M1" s="2" t="s">
        <v>387</v>
      </c>
      <c r="N1" s="2" t="s">
        <v>388</v>
      </c>
      <c r="O1" s="2" t="s">
        <v>71</v>
      </c>
      <c r="P1" s="2" t="s">
        <v>4</v>
      </c>
      <c r="Q1" s="2" t="s">
        <v>67</v>
      </c>
      <c r="R1" s="2" t="s">
        <v>83</v>
      </c>
      <c r="S1" s="2" t="s">
        <v>84</v>
      </c>
      <c r="T1" s="2" t="s">
        <v>85</v>
      </c>
      <c r="U1" s="2" t="s">
        <v>389</v>
      </c>
      <c r="V1" s="2" t="s">
        <v>390</v>
      </c>
      <c r="W1" s="2" t="s">
        <v>391</v>
      </c>
      <c r="X1" s="2" t="s">
        <v>392</v>
      </c>
      <c r="Y1" s="2" t="s">
        <v>393</v>
      </c>
      <c r="Z1" s="2" t="s">
        <v>394</v>
      </c>
      <c r="AA1" s="2" t="s">
        <v>395</v>
      </c>
      <c r="AB1" s="2" t="s">
        <v>396</v>
      </c>
      <c r="AC1" s="2" t="s">
        <v>89</v>
      </c>
      <c r="AD1" s="2" t="s">
        <v>81</v>
      </c>
      <c r="AE1" s="2" t="s">
        <v>80</v>
      </c>
      <c r="AF1" s="2" t="s">
        <v>397</v>
      </c>
      <c r="AG1" s="2" t="s">
        <v>398</v>
      </c>
      <c r="AH1" s="2" t="s">
        <v>399</v>
      </c>
      <c r="AI1" s="2" t="s">
        <v>400</v>
      </c>
      <c r="AJ1" s="2" t="s">
        <v>401</v>
      </c>
      <c r="AK1" s="2" t="s">
        <v>402</v>
      </c>
      <c r="AL1" s="2" t="s">
        <v>403</v>
      </c>
      <c r="AM1" s="2" t="s">
        <v>404</v>
      </c>
      <c r="AN1" s="2" t="s">
        <v>405</v>
      </c>
      <c r="AO1" s="2" t="s">
        <v>406</v>
      </c>
      <c r="AP1" s="2" t="s">
        <v>407</v>
      </c>
      <c r="AQ1" s="2" t="s">
        <v>408</v>
      </c>
      <c r="AR1" s="2" t="s">
        <v>409</v>
      </c>
      <c r="AS1" s="2" t="s">
        <v>410</v>
      </c>
      <c r="AT1" s="2" t="s">
        <v>411</v>
      </c>
      <c r="AU1" s="2" t="s">
        <v>412</v>
      </c>
      <c r="AV1" s="2" t="s">
        <v>413</v>
      </c>
      <c r="AW1" s="2" t="s">
        <v>414</v>
      </c>
      <c r="AX1" s="2" t="s">
        <v>415</v>
      </c>
      <c r="AY1" s="2" t="s">
        <v>416</v>
      </c>
      <c r="AZ1" s="2" t="s">
        <v>417</v>
      </c>
      <c r="BA1" s="2" t="s">
        <v>418</v>
      </c>
      <c r="BB1" s="2" t="s">
        <v>419</v>
      </c>
      <c r="BC1" s="2" t="s">
        <v>420</v>
      </c>
      <c r="BD1" s="2" t="s">
        <v>421</v>
      </c>
      <c r="BE1" s="2" t="s">
        <v>422</v>
      </c>
      <c r="BF1" s="2" t="s">
        <v>423</v>
      </c>
      <c r="BG1" s="2" t="s">
        <v>424</v>
      </c>
      <c r="BH1" s="2" t="s">
        <v>425</v>
      </c>
      <c r="BI1" s="2" t="s">
        <v>426</v>
      </c>
      <c r="BJ1" s="2" t="s">
        <v>427</v>
      </c>
      <c r="BK1" s="2" t="s">
        <v>428</v>
      </c>
      <c r="BL1" s="2" t="s">
        <v>429</v>
      </c>
      <c r="BM1" s="2" t="s">
        <v>430</v>
      </c>
    </row>
    <row r="2" spans="1:65" x14ac:dyDescent="0.3">
      <c r="A2" s="3" t="s">
        <v>431</v>
      </c>
      <c r="B2" s="41">
        <v>1</v>
      </c>
      <c r="C2" s="4" t="s">
        <v>47</v>
      </c>
      <c r="D2" s="4"/>
      <c r="E2" s="4"/>
      <c r="F2" s="39" t="s">
        <v>107</v>
      </c>
      <c r="G2" s="4" t="s">
        <v>432</v>
      </c>
      <c r="H2" s="37">
        <v>801</v>
      </c>
      <c r="I2" s="37">
        <v>72515</v>
      </c>
      <c r="J2" s="37" t="s">
        <v>103</v>
      </c>
      <c r="K2" s="5">
        <v>46069</v>
      </c>
      <c r="L2" s="5" t="s">
        <v>433</v>
      </c>
      <c r="M2" s="5">
        <v>46069</v>
      </c>
      <c r="N2" s="5" t="s">
        <v>433</v>
      </c>
      <c r="O2" s="4" t="s">
        <v>105</v>
      </c>
      <c r="P2" s="4" t="s">
        <v>1215</v>
      </c>
      <c r="Q2" s="4" t="s">
        <v>102</v>
      </c>
      <c r="R2" s="6">
        <v>463</v>
      </c>
      <c r="S2" s="6">
        <v>0</v>
      </c>
      <c r="T2" s="6">
        <v>15</v>
      </c>
      <c r="U2" s="20"/>
      <c r="V2" s="20">
        <v>478</v>
      </c>
      <c r="W2" s="20"/>
      <c r="X2" s="20"/>
      <c r="Y2" s="20"/>
      <c r="Z2" s="26">
        <f t="shared" ref="Z2:Z33" si="0">SUM(R2:U2)</f>
        <v>478</v>
      </c>
      <c r="AA2" s="6">
        <v>41300</v>
      </c>
      <c r="AB2" s="6">
        <v>60</v>
      </c>
      <c r="AC2" s="6">
        <v>40822</v>
      </c>
      <c r="AD2" s="9">
        <f t="shared" ref="AD2:AD33" si="1">IF(OR(AE2="",AB2=""),"",AE2-AB2)</f>
        <v>40762</v>
      </c>
      <c r="AE2" s="6">
        <v>40822</v>
      </c>
      <c r="AF2" s="6">
        <v>40822</v>
      </c>
      <c r="AG2" s="6"/>
      <c r="AH2" s="20"/>
      <c r="AI2" s="20"/>
      <c r="AJ2" s="20"/>
      <c r="AK2" s="26" t="str">
        <f t="shared" ref="AK2:AK33" si="2">IF(COUNTA(AH2:AJ2)=0,"",SUM(AH2:AJ2))</f>
        <v/>
      </c>
      <c r="AL2" s="20"/>
      <c r="AM2" s="4"/>
      <c r="AN2" s="4"/>
      <c r="AO2" s="26" t="str">
        <f t="shared" ref="AO2:AO33" si="3">IF(COUNTA(AL2:AN2)=0,"",SUM(AL2:AN2))</f>
        <v/>
      </c>
      <c r="AP2" s="26" t="str">
        <f t="shared" ref="AP2:AP33" si="4">IF(COUNTA(AL2:AN2)&lt;3,"",(AL2+0.5*(AM2+AN2))*0.17637)</f>
        <v/>
      </c>
      <c r="AQ2" s="26" t="str">
        <f t="shared" ref="AQ2:AQ33" si="5">IF(AO2="","",AO2*0.17637)</f>
        <v/>
      </c>
      <c r="AR2" s="26" t="str">
        <f t="shared" ref="AR2:AR33" si="6">IF(COUNTA(AJ2,AH2,AL2:AN2)=0,"",(AJ2+AH2+AL2+AM2+AN2)*0.17637)</f>
        <v/>
      </c>
      <c r="AS2" s="27" t="str">
        <f t="shared" ref="AS2:AS33" si="7">IF(AO2="","",AO2/1000)</f>
        <v/>
      </c>
      <c r="AT2" s="27" t="str">
        <f t="shared" ref="AT2:AT33" si="8">IF(COUNTA(AH2,AJ2,AL2:AN2)=0,"",SUM(AH2,AJ2,AL2:AN2)/1000)</f>
        <v/>
      </c>
      <c r="AU2" s="19">
        <v>10.199999999999999</v>
      </c>
      <c r="AV2" s="20">
        <v>172</v>
      </c>
      <c r="AW2" s="20"/>
      <c r="AX2" s="20"/>
      <c r="AY2" s="20"/>
      <c r="AZ2" s="20"/>
      <c r="BA2" s="26" t="str">
        <f t="shared" ref="BA2:BA33" si="9">IF(COUNTA(AX2:AZ2)=0,"",SUM(AX2:AZ2))</f>
        <v/>
      </c>
      <c r="BB2" s="20"/>
      <c r="BC2" s="4"/>
      <c r="BD2" s="4"/>
      <c r="BE2" s="26" t="str">
        <f t="shared" ref="BE2:BE33" si="10">IF(COUNTA(BB2:BD2)=0,"",SUM(BB2:BD2))</f>
        <v/>
      </c>
      <c r="BF2" s="26" t="str">
        <f t="shared" ref="BF2:BF33" si="11">IF(COUNTA(BB2:BD2)&lt;3,"",(BB2+0.5*(BC2+BD2))*0.17637)</f>
        <v/>
      </c>
      <c r="BG2" s="26" t="str">
        <f t="shared" ref="BG2:BG33" si="12">IF(BE2="","",BE2*0.17637)</f>
        <v/>
      </c>
      <c r="BH2" s="26" t="str">
        <f t="shared" ref="BH2:BH33" si="13">IF(COUNTA(AZ2,AX2,BB2:BD2)=0,"",(AZ2+AX2+BB2+BC2+BD2)*0.17637)</f>
        <v/>
      </c>
      <c r="BI2" s="27" t="str">
        <f t="shared" ref="BI2:BI33" si="14">IF(BE2="","",BE2/1000)</f>
        <v/>
      </c>
      <c r="BJ2" s="27" t="str">
        <f t="shared" ref="BJ2:BJ33" si="15">IF(COUNTA(AX2,AZ2,BB2:BD2)=0,"",SUM(AX2,AZ2,BB2:BD2)/1000)</f>
        <v/>
      </c>
      <c r="BK2" s="19">
        <v>10.199999999999999</v>
      </c>
      <c r="BL2" s="20">
        <v>172</v>
      </c>
      <c r="BM2" s="20"/>
    </row>
    <row r="3" spans="1:65" x14ac:dyDescent="0.3">
      <c r="A3" s="12" t="s">
        <v>434</v>
      </c>
      <c r="B3" s="42">
        <v>2</v>
      </c>
      <c r="C3" s="13" t="s">
        <v>47</v>
      </c>
      <c r="D3" s="13"/>
      <c r="E3" s="13"/>
      <c r="F3" s="40" t="s">
        <v>119</v>
      </c>
      <c r="G3" s="13" t="s">
        <v>432</v>
      </c>
      <c r="H3" s="38">
        <v>802</v>
      </c>
      <c r="I3" s="38">
        <v>72533</v>
      </c>
      <c r="J3" s="38" t="s">
        <v>117</v>
      </c>
      <c r="K3" s="14">
        <v>46069</v>
      </c>
      <c r="L3" s="14" t="s">
        <v>433</v>
      </c>
      <c r="M3" s="14">
        <v>46069</v>
      </c>
      <c r="N3" s="14" t="s">
        <v>433</v>
      </c>
      <c r="O3" s="13" t="s">
        <v>30</v>
      </c>
      <c r="P3" s="13" t="s">
        <v>1216</v>
      </c>
      <c r="Q3" s="13" t="s">
        <v>116</v>
      </c>
      <c r="R3" s="15">
        <v>559</v>
      </c>
      <c r="S3" s="15">
        <v>0</v>
      </c>
      <c r="T3" s="15">
        <v>69</v>
      </c>
      <c r="U3" s="22"/>
      <c r="V3" s="22">
        <v>628</v>
      </c>
      <c r="W3" s="22"/>
      <c r="X3" s="22"/>
      <c r="Y3" s="22"/>
      <c r="Z3" s="28">
        <f t="shared" si="0"/>
        <v>628</v>
      </c>
      <c r="AA3" s="15">
        <v>50880</v>
      </c>
      <c r="AB3" s="15">
        <v>276</v>
      </c>
      <c r="AC3" s="15">
        <v>50252</v>
      </c>
      <c r="AD3" s="17">
        <f t="shared" si="1"/>
        <v>49976</v>
      </c>
      <c r="AE3" s="15">
        <v>50252</v>
      </c>
      <c r="AF3" s="15">
        <v>50252</v>
      </c>
      <c r="AG3" s="15"/>
      <c r="AH3" s="22"/>
      <c r="AI3" s="22"/>
      <c r="AJ3" s="22"/>
      <c r="AK3" s="28" t="str">
        <f t="shared" si="2"/>
        <v/>
      </c>
      <c r="AL3" s="22"/>
      <c r="AM3" s="13"/>
      <c r="AN3" s="13"/>
      <c r="AO3" s="28" t="str">
        <f t="shared" si="3"/>
        <v/>
      </c>
      <c r="AP3" s="28" t="str">
        <f t="shared" si="4"/>
        <v/>
      </c>
      <c r="AQ3" s="28" t="str">
        <f t="shared" si="5"/>
        <v/>
      </c>
      <c r="AR3" s="28" t="str">
        <f t="shared" si="6"/>
        <v/>
      </c>
      <c r="AS3" s="29" t="str">
        <f t="shared" si="7"/>
        <v/>
      </c>
      <c r="AT3" s="29" t="str">
        <f t="shared" si="8"/>
        <v/>
      </c>
      <c r="AU3" s="21">
        <v>9</v>
      </c>
      <c r="AV3" s="22">
        <v>165</v>
      </c>
      <c r="AW3" s="22"/>
      <c r="AX3" s="22"/>
      <c r="AY3" s="22"/>
      <c r="AZ3" s="22"/>
      <c r="BA3" s="28" t="str">
        <f t="shared" si="9"/>
        <v/>
      </c>
      <c r="BB3" s="22"/>
      <c r="BC3" s="13"/>
      <c r="BD3" s="13"/>
      <c r="BE3" s="28" t="str">
        <f t="shared" si="10"/>
        <v/>
      </c>
      <c r="BF3" s="28" t="str">
        <f t="shared" si="11"/>
        <v/>
      </c>
      <c r="BG3" s="28" t="str">
        <f t="shared" si="12"/>
        <v/>
      </c>
      <c r="BH3" s="28" t="str">
        <f t="shared" si="13"/>
        <v/>
      </c>
      <c r="BI3" s="29" t="str">
        <f t="shared" si="14"/>
        <v/>
      </c>
      <c r="BJ3" s="29" t="str">
        <f t="shared" si="15"/>
        <v/>
      </c>
      <c r="BK3" s="21">
        <v>9</v>
      </c>
      <c r="BL3" s="22">
        <v>165</v>
      </c>
      <c r="BM3" s="22"/>
    </row>
    <row r="4" spans="1:65" x14ac:dyDescent="0.3">
      <c r="A4" s="3" t="s">
        <v>435</v>
      </c>
      <c r="B4" s="41">
        <v>3</v>
      </c>
      <c r="C4" s="4" t="s">
        <v>47</v>
      </c>
      <c r="D4" s="4" t="s">
        <v>130</v>
      </c>
      <c r="E4" s="4"/>
      <c r="F4" s="39" t="s">
        <v>129</v>
      </c>
      <c r="G4" s="4" t="s">
        <v>432</v>
      </c>
      <c r="H4" s="37">
        <v>809</v>
      </c>
      <c r="I4" s="37">
        <v>72615</v>
      </c>
      <c r="J4" s="37" t="s">
        <v>127</v>
      </c>
      <c r="K4" s="5">
        <v>46070</v>
      </c>
      <c r="L4" s="5" t="s">
        <v>436</v>
      </c>
      <c r="M4" s="5">
        <v>46070</v>
      </c>
      <c r="N4" s="5" t="s">
        <v>436</v>
      </c>
      <c r="O4" s="4" t="s">
        <v>51</v>
      </c>
      <c r="P4" s="4" t="s">
        <v>695</v>
      </c>
      <c r="Q4" s="4" t="s">
        <v>50</v>
      </c>
      <c r="R4" s="6">
        <v>504</v>
      </c>
      <c r="S4" s="6">
        <v>0</v>
      </c>
      <c r="T4" s="6">
        <v>8</v>
      </c>
      <c r="U4" s="20"/>
      <c r="V4" s="20">
        <v>512</v>
      </c>
      <c r="W4" s="20"/>
      <c r="X4" s="20"/>
      <c r="Y4" s="20"/>
      <c r="Z4" s="26">
        <f t="shared" si="0"/>
        <v>512</v>
      </c>
      <c r="AA4" s="6">
        <v>45420</v>
      </c>
      <c r="AB4" s="6">
        <v>32</v>
      </c>
      <c r="AC4" s="6">
        <v>44908</v>
      </c>
      <c r="AD4" s="9">
        <f t="shared" si="1"/>
        <v>44876</v>
      </c>
      <c r="AE4" s="6">
        <v>44908</v>
      </c>
      <c r="AF4" s="6">
        <v>44908</v>
      </c>
      <c r="AG4" s="6"/>
      <c r="AH4" s="20"/>
      <c r="AI4" s="20"/>
      <c r="AJ4" s="20"/>
      <c r="AK4" s="26" t="str">
        <f t="shared" si="2"/>
        <v/>
      </c>
      <c r="AL4" s="20"/>
      <c r="AM4" s="4"/>
      <c r="AN4" s="4"/>
      <c r="AO4" s="26" t="str">
        <f t="shared" si="3"/>
        <v/>
      </c>
      <c r="AP4" s="26" t="str">
        <f t="shared" si="4"/>
        <v/>
      </c>
      <c r="AQ4" s="26" t="str">
        <f t="shared" si="5"/>
        <v/>
      </c>
      <c r="AR4" s="26" t="str">
        <f t="shared" si="6"/>
        <v/>
      </c>
      <c r="AS4" s="27" t="str">
        <f t="shared" si="7"/>
        <v/>
      </c>
      <c r="AT4" s="27" t="str">
        <f t="shared" si="8"/>
        <v/>
      </c>
      <c r="AU4" s="19">
        <v>11.4</v>
      </c>
      <c r="AV4" s="20">
        <v>162</v>
      </c>
      <c r="AW4" s="20"/>
      <c r="AX4" s="20"/>
      <c r="AY4" s="20"/>
      <c r="AZ4" s="20"/>
      <c r="BA4" s="26" t="str">
        <f t="shared" si="9"/>
        <v/>
      </c>
      <c r="BB4" s="20"/>
      <c r="BC4" s="4"/>
      <c r="BD4" s="4"/>
      <c r="BE4" s="26" t="str">
        <f t="shared" si="10"/>
        <v/>
      </c>
      <c r="BF4" s="26" t="str">
        <f t="shared" si="11"/>
        <v/>
      </c>
      <c r="BG4" s="26" t="str">
        <f t="shared" si="12"/>
        <v/>
      </c>
      <c r="BH4" s="26" t="str">
        <f t="shared" si="13"/>
        <v/>
      </c>
      <c r="BI4" s="27" t="str">
        <f t="shared" si="14"/>
        <v/>
      </c>
      <c r="BJ4" s="27" t="str">
        <f t="shared" si="15"/>
        <v/>
      </c>
      <c r="BK4" s="19">
        <v>11.4</v>
      </c>
      <c r="BL4" s="20">
        <v>162</v>
      </c>
      <c r="BM4" s="20"/>
    </row>
    <row r="5" spans="1:65" x14ac:dyDescent="0.3">
      <c r="A5" s="12" t="s">
        <v>437</v>
      </c>
      <c r="B5" s="42">
        <v>4</v>
      </c>
      <c r="C5" s="13" t="s">
        <v>23</v>
      </c>
      <c r="D5" s="13"/>
      <c r="E5" s="13"/>
      <c r="F5" s="40" t="s">
        <v>139</v>
      </c>
      <c r="G5" s="13" t="s">
        <v>432</v>
      </c>
      <c r="H5" s="38">
        <v>811</v>
      </c>
      <c r="I5" s="38">
        <v>72540</v>
      </c>
      <c r="J5" s="38" t="s">
        <v>137</v>
      </c>
      <c r="K5" s="14">
        <v>46070</v>
      </c>
      <c r="L5" s="14" t="s">
        <v>436</v>
      </c>
      <c r="M5" s="14">
        <v>46070</v>
      </c>
      <c r="N5" s="14" t="s">
        <v>436</v>
      </c>
      <c r="O5" s="13" t="s">
        <v>46</v>
      </c>
      <c r="P5" s="13" t="s">
        <v>1217</v>
      </c>
      <c r="Q5" s="13" t="s">
        <v>136</v>
      </c>
      <c r="R5" s="15">
        <v>400</v>
      </c>
      <c r="S5" s="15">
        <v>0</v>
      </c>
      <c r="T5" s="15">
        <v>25</v>
      </c>
      <c r="U5" s="22"/>
      <c r="V5" s="22">
        <v>425</v>
      </c>
      <c r="W5" s="22"/>
      <c r="X5" s="22"/>
      <c r="Y5" s="22"/>
      <c r="Z5" s="28">
        <f t="shared" si="0"/>
        <v>425</v>
      </c>
      <c r="AA5" s="15">
        <v>35320</v>
      </c>
      <c r="AB5" s="15">
        <v>100</v>
      </c>
      <c r="AC5" s="15">
        <v>34895</v>
      </c>
      <c r="AD5" s="17">
        <f t="shared" si="1"/>
        <v>34795</v>
      </c>
      <c r="AE5" s="15">
        <v>34895</v>
      </c>
      <c r="AF5" s="15">
        <v>34895</v>
      </c>
      <c r="AG5" s="15"/>
      <c r="AH5" s="22"/>
      <c r="AI5" s="22"/>
      <c r="AJ5" s="22"/>
      <c r="AK5" s="28" t="str">
        <f t="shared" si="2"/>
        <v/>
      </c>
      <c r="AL5" s="22"/>
      <c r="AM5" s="13"/>
      <c r="AN5" s="13"/>
      <c r="AO5" s="28" t="str">
        <f t="shared" si="3"/>
        <v/>
      </c>
      <c r="AP5" s="28" t="str">
        <f t="shared" si="4"/>
        <v/>
      </c>
      <c r="AQ5" s="28" t="str">
        <f t="shared" si="5"/>
        <v/>
      </c>
      <c r="AR5" s="28" t="str">
        <f t="shared" si="6"/>
        <v/>
      </c>
      <c r="AS5" s="29" t="str">
        <f t="shared" si="7"/>
        <v/>
      </c>
      <c r="AT5" s="29" t="str">
        <f t="shared" si="8"/>
        <v/>
      </c>
      <c r="AU5" s="21">
        <v>9.5</v>
      </c>
      <c r="AV5" s="22">
        <v>166</v>
      </c>
      <c r="AW5" s="22"/>
      <c r="AX5" s="22"/>
      <c r="AY5" s="22"/>
      <c r="AZ5" s="22"/>
      <c r="BA5" s="28" t="str">
        <f t="shared" si="9"/>
        <v/>
      </c>
      <c r="BB5" s="22"/>
      <c r="BC5" s="13"/>
      <c r="BD5" s="13"/>
      <c r="BE5" s="28" t="str">
        <f t="shared" si="10"/>
        <v/>
      </c>
      <c r="BF5" s="28" t="str">
        <f t="shared" si="11"/>
        <v/>
      </c>
      <c r="BG5" s="28" t="str">
        <f t="shared" si="12"/>
        <v/>
      </c>
      <c r="BH5" s="28" t="str">
        <f t="shared" si="13"/>
        <v/>
      </c>
      <c r="BI5" s="29" t="str">
        <f t="shared" si="14"/>
        <v/>
      </c>
      <c r="BJ5" s="29" t="str">
        <f t="shared" si="15"/>
        <v/>
      </c>
      <c r="BK5" s="21">
        <v>9.5</v>
      </c>
      <c r="BL5" s="22">
        <v>166</v>
      </c>
      <c r="BM5" s="22"/>
    </row>
    <row r="6" spans="1:65" x14ac:dyDescent="0.3">
      <c r="A6" s="3" t="s">
        <v>438</v>
      </c>
      <c r="B6" s="41">
        <v>5</v>
      </c>
      <c r="C6" s="4" t="s">
        <v>47</v>
      </c>
      <c r="D6" s="4" t="s">
        <v>145</v>
      </c>
      <c r="E6" s="4"/>
      <c r="F6" s="39" t="s">
        <v>144</v>
      </c>
      <c r="G6" s="4" t="s">
        <v>432</v>
      </c>
      <c r="H6" s="37">
        <v>805</v>
      </c>
      <c r="I6" s="37">
        <v>72569</v>
      </c>
      <c r="J6" s="37" t="s">
        <v>142</v>
      </c>
      <c r="K6" s="5">
        <v>46070</v>
      </c>
      <c r="L6" s="5" t="s">
        <v>436</v>
      </c>
      <c r="M6" s="5">
        <v>46070</v>
      </c>
      <c r="N6" s="5" t="s">
        <v>436</v>
      </c>
      <c r="O6" s="4" t="s">
        <v>51</v>
      </c>
      <c r="P6" s="4" t="s">
        <v>1218</v>
      </c>
      <c r="Q6" s="4" t="s">
        <v>141</v>
      </c>
      <c r="R6" s="6">
        <v>556</v>
      </c>
      <c r="S6" s="6">
        <v>12</v>
      </c>
      <c r="T6" s="6">
        <v>18</v>
      </c>
      <c r="U6" s="20"/>
      <c r="V6" s="20">
        <v>586</v>
      </c>
      <c r="W6" s="20"/>
      <c r="X6" s="20"/>
      <c r="Y6" s="20"/>
      <c r="Z6" s="26">
        <f t="shared" si="0"/>
        <v>586</v>
      </c>
      <c r="AA6" s="6">
        <v>50760</v>
      </c>
      <c r="AB6" s="6">
        <v>552</v>
      </c>
      <c r="AC6" s="6">
        <v>50174</v>
      </c>
      <c r="AD6" s="9">
        <f t="shared" si="1"/>
        <v>49622</v>
      </c>
      <c r="AE6" s="6">
        <v>50174</v>
      </c>
      <c r="AF6" s="6">
        <v>50174</v>
      </c>
      <c r="AG6" s="6"/>
      <c r="AH6" s="20"/>
      <c r="AI6" s="20"/>
      <c r="AJ6" s="20"/>
      <c r="AK6" s="26" t="str">
        <f t="shared" si="2"/>
        <v/>
      </c>
      <c r="AL6" s="20"/>
      <c r="AM6" s="4"/>
      <c r="AN6" s="4"/>
      <c r="AO6" s="26" t="str">
        <f t="shared" si="3"/>
        <v/>
      </c>
      <c r="AP6" s="26" t="str">
        <f t="shared" si="4"/>
        <v/>
      </c>
      <c r="AQ6" s="26" t="str">
        <f t="shared" si="5"/>
        <v/>
      </c>
      <c r="AR6" s="26" t="str">
        <f t="shared" si="6"/>
        <v/>
      </c>
      <c r="AS6" s="27" t="str">
        <f t="shared" si="7"/>
        <v/>
      </c>
      <c r="AT6" s="27" t="str">
        <f t="shared" si="8"/>
        <v/>
      </c>
      <c r="AU6" s="19">
        <v>11.5</v>
      </c>
      <c r="AV6" s="20">
        <v>161</v>
      </c>
      <c r="AW6" s="20"/>
      <c r="AX6" s="20"/>
      <c r="AY6" s="20"/>
      <c r="AZ6" s="20"/>
      <c r="BA6" s="26" t="str">
        <f t="shared" si="9"/>
        <v/>
      </c>
      <c r="BB6" s="20"/>
      <c r="BC6" s="4"/>
      <c r="BD6" s="4"/>
      <c r="BE6" s="26" t="str">
        <f t="shared" si="10"/>
        <v/>
      </c>
      <c r="BF6" s="26" t="str">
        <f t="shared" si="11"/>
        <v/>
      </c>
      <c r="BG6" s="26" t="str">
        <f t="shared" si="12"/>
        <v/>
      </c>
      <c r="BH6" s="26" t="str">
        <f t="shared" si="13"/>
        <v/>
      </c>
      <c r="BI6" s="27" t="str">
        <f t="shared" si="14"/>
        <v/>
      </c>
      <c r="BJ6" s="27" t="str">
        <f t="shared" si="15"/>
        <v/>
      </c>
      <c r="BK6" s="19">
        <v>11.5</v>
      </c>
      <c r="BL6" s="20">
        <v>161</v>
      </c>
      <c r="BM6" s="20"/>
    </row>
    <row r="7" spans="1:65" x14ac:dyDescent="0.3">
      <c r="A7" s="12" t="s">
        <v>439</v>
      </c>
      <c r="B7" s="42">
        <v>6</v>
      </c>
      <c r="C7" s="13" t="s">
        <v>47</v>
      </c>
      <c r="D7" s="13"/>
      <c r="E7" s="13"/>
      <c r="F7" s="40" t="s">
        <v>150</v>
      </c>
      <c r="G7" s="13" t="s">
        <v>432</v>
      </c>
      <c r="H7" s="38">
        <v>804</v>
      </c>
      <c r="I7" s="38">
        <v>72607</v>
      </c>
      <c r="J7" s="38" t="s">
        <v>148</v>
      </c>
      <c r="K7" s="14">
        <v>46070</v>
      </c>
      <c r="L7" s="14" t="s">
        <v>436</v>
      </c>
      <c r="M7" s="14">
        <v>46070</v>
      </c>
      <c r="N7" s="14" t="s">
        <v>436</v>
      </c>
      <c r="O7" s="13" t="s">
        <v>30</v>
      </c>
      <c r="P7" s="13" t="s">
        <v>1219</v>
      </c>
      <c r="Q7" s="13" t="s">
        <v>147</v>
      </c>
      <c r="R7" s="15">
        <v>437</v>
      </c>
      <c r="S7" s="15">
        <v>0</v>
      </c>
      <c r="T7" s="15">
        <v>5</v>
      </c>
      <c r="U7" s="22"/>
      <c r="V7" s="22">
        <v>442</v>
      </c>
      <c r="W7" s="22"/>
      <c r="X7" s="22"/>
      <c r="Y7" s="22"/>
      <c r="Z7" s="28">
        <f t="shared" si="0"/>
        <v>442</v>
      </c>
      <c r="AA7" s="15">
        <v>39460</v>
      </c>
      <c r="AB7" s="15">
        <v>20</v>
      </c>
      <c r="AC7" s="15">
        <v>39018</v>
      </c>
      <c r="AD7" s="17">
        <f t="shared" si="1"/>
        <v>38998</v>
      </c>
      <c r="AE7" s="15">
        <v>39018</v>
      </c>
      <c r="AF7" s="15">
        <v>39018</v>
      </c>
      <c r="AG7" s="15"/>
      <c r="AH7" s="22"/>
      <c r="AI7" s="22"/>
      <c r="AJ7" s="22"/>
      <c r="AK7" s="28" t="str">
        <f t="shared" si="2"/>
        <v/>
      </c>
      <c r="AL7" s="22"/>
      <c r="AM7" s="13"/>
      <c r="AN7" s="13"/>
      <c r="AO7" s="28" t="str">
        <f t="shared" si="3"/>
        <v/>
      </c>
      <c r="AP7" s="28" t="str">
        <f t="shared" si="4"/>
        <v/>
      </c>
      <c r="AQ7" s="28" t="str">
        <f t="shared" si="5"/>
        <v/>
      </c>
      <c r="AR7" s="28" t="str">
        <f t="shared" si="6"/>
        <v/>
      </c>
      <c r="AS7" s="29" t="str">
        <f t="shared" si="7"/>
        <v/>
      </c>
      <c r="AT7" s="29" t="str">
        <f t="shared" si="8"/>
        <v/>
      </c>
      <c r="AU7" s="21">
        <v>9.1</v>
      </c>
      <c r="AV7" s="22">
        <v>163</v>
      </c>
      <c r="AW7" s="22"/>
      <c r="AX7" s="22"/>
      <c r="AY7" s="22"/>
      <c r="AZ7" s="22"/>
      <c r="BA7" s="28" t="str">
        <f t="shared" si="9"/>
        <v/>
      </c>
      <c r="BB7" s="22"/>
      <c r="BC7" s="13"/>
      <c r="BD7" s="13"/>
      <c r="BE7" s="28" t="str">
        <f t="shared" si="10"/>
        <v/>
      </c>
      <c r="BF7" s="28" t="str">
        <f t="shared" si="11"/>
        <v/>
      </c>
      <c r="BG7" s="28" t="str">
        <f t="shared" si="12"/>
        <v/>
      </c>
      <c r="BH7" s="28" t="str">
        <f t="shared" si="13"/>
        <v/>
      </c>
      <c r="BI7" s="29" t="str">
        <f t="shared" si="14"/>
        <v/>
      </c>
      <c r="BJ7" s="29" t="str">
        <f t="shared" si="15"/>
        <v/>
      </c>
      <c r="BK7" s="21">
        <v>9.1</v>
      </c>
      <c r="BL7" s="22">
        <v>163</v>
      </c>
      <c r="BM7" s="22"/>
    </row>
    <row r="8" spans="1:65" x14ac:dyDescent="0.3">
      <c r="A8" s="3" t="s">
        <v>440</v>
      </c>
      <c r="B8" s="41">
        <v>7</v>
      </c>
      <c r="C8" s="4" t="s">
        <v>47</v>
      </c>
      <c r="D8" s="4"/>
      <c r="E8" s="4"/>
      <c r="F8" s="39" t="s">
        <v>154</v>
      </c>
      <c r="G8" s="4" t="s">
        <v>432</v>
      </c>
      <c r="H8" s="37">
        <v>808</v>
      </c>
      <c r="I8" s="37">
        <v>72564</v>
      </c>
      <c r="J8" s="37" t="s">
        <v>152</v>
      </c>
      <c r="K8" s="5">
        <v>46070</v>
      </c>
      <c r="L8" s="5" t="s">
        <v>436</v>
      </c>
      <c r="M8" s="5">
        <v>46070</v>
      </c>
      <c r="N8" s="5" t="s">
        <v>436</v>
      </c>
      <c r="O8" s="4" t="s">
        <v>46</v>
      </c>
      <c r="P8" s="4" t="s">
        <v>1213</v>
      </c>
      <c r="Q8" s="4" t="s">
        <v>55</v>
      </c>
      <c r="R8" s="6">
        <v>555</v>
      </c>
      <c r="S8" s="6">
        <v>0</v>
      </c>
      <c r="T8" s="6">
        <v>15</v>
      </c>
      <c r="U8" s="20"/>
      <c r="V8" s="20">
        <v>570</v>
      </c>
      <c r="W8" s="20"/>
      <c r="X8" s="20"/>
      <c r="Y8" s="20"/>
      <c r="Z8" s="26">
        <f t="shared" si="0"/>
        <v>570</v>
      </c>
      <c r="AA8" s="6">
        <v>49020</v>
      </c>
      <c r="AB8" s="6">
        <v>60</v>
      </c>
      <c r="AC8" s="6">
        <v>48450</v>
      </c>
      <c r="AD8" s="9">
        <f t="shared" si="1"/>
        <v>48390</v>
      </c>
      <c r="AE8" s="6">
        <v>48450</v>
      </c>
      <c r="AF8" s="6">
        <v>48450</v>
      </c>
      <c r="AG8" s="6"/>
      <c r="AH8" s="20"/>
      <c r="AI8" s="20"/>
      <c r="AJ8" s="20"/>
      <c r="AK8" s="26" t="str">
        <f t="shared" si="2"/>
        <v/>
      </c>
      <c r="AL8" s="20"/>
      <c r="AM8" s="4"/>
      <c r="AN8" s="4"/>
      <c r="AO8" s="26" t="str">
        <f t="shared" si="3"/>
        <v/>
      </c>
      <c r="AP8" s="26" t="str">
        <f t="shared" si="4"/>
        <v/>
      </c>
      <c r="AQ8" s="26" t="str">
        <f t="shared" si="5"/>
        <v/>
      </c>
      <c r="AR8" s="26" t="str">
        <f t="shared" si="6"/>
        <v/>
      </c>
      <c r="AS8" s="27" t="str">
        <f t="shared" si="7"/>
        <v/>
      </c>
      <c r="AT8" s="27" t="str">
        <f t="shared" si="8"/>
        <v/>
      </c>
      <c r="AU8" s="19">
        <v>9.1999999999999993</v>
      </c>
      <c r="AV8" s="20">
        <v>172</v>
      </c>
      <c r="AW8" s="20"/>
      <c r="AX8" s="20"/>
      <c r="AY8" s="20"/>
      <c r="AZ8" s="20"/>
      <c r="BA8" s="26" t="str">
        <f t="shared" si="9"/>
        <v/>
      </c>
      <c r="BB8" s="20"/>
      <c r="BC8" s="4"/>
      <c r="BD8" s="4"/>
      <c r="BE8" s="26" t="str">
        <f t="shared" si="10"/>
        <v/>
      </c>
      <c r="BF8" s="26" t="str">
        <f t="shared" si="11"/>
        <v/>
      </c>
      <c r="BG8" s="26" t="str">
        <f t="shared" si="12"/>
        <v/>
      </c>
      <c r="BH8" s="26" t="str">
        <f t="shared" si="13"/>
        <v/>
      </c>
      <c r="BI8" s="27" t="str">
        <f t="shared" si="14"/>
        <v/>
      </c>
      <c r="BJ8" s="27" t="str">
        <f t="shared" si="15"/>
        <v/>
      </c>
      <c r="BK8" s="19">
        <v>9.1999999999999993</v>
      </c>
      <c r="BL8" s="20">
        <v>172</v>
      </c>
      <c r="BM8" s="20"/>
    </row>
    <row r="9" spans="1:65" x14ac:dyDescent="0.3">
      <c r="A9" s="12" t="s">
        <v>441</v>
      </c>
      <c r="B9" s="42">
        <v>8</v>
      </c>
      <c r="C9" s="13" t="s">
        <v>23</v>
      </c>
      <c r="D9" s="13"/>
      <c r="E9" s="13"/>
      <c r="F9" s="40" t="s">
        <v>161</v>
      </c>
      <c r="G9" s="13" t="s">
        <v>432</v>
      </c>
      <c r="H9" s="38">
        <v>815</v>
      </c>
      <c r="I9" s="38">
        <v>72517</v>
      </c>
      <c r="J9" s="38" t="s">
        <v>159</v>
      </c>
      <c r="K9" s="14">
        <v>46071</v>
      </c>
      <c r="L9" s="14" t="s">
        <v>442</v>
      </c>
      <c r="M9" s="14">
        <v>46071</v>
      </c>
      <c r="N9" s="14" t="s">
        <v>442</v>
      </c>
      <c r="O9" s="13" t="s">
        <v>22</v>
      </c>
      <c r="P9" s="13" t="s">
        <v>1208</v>
      </c>
      <c r="Q9" s="13" t="s">
        <v>21</v>
      </c>
      <c r="R9" s="15">
        <v>578</v>
      </c>
      <c r="S9" s="15">
        <v>0</v>
      </c>
      <c r="T9" s="15">
        <v>36</v>
      </c>
      <c r="U9" s="22"/>
      <c r="V9" s="22">
        <v>614</v>
      </c>
      <c r="W9" s="22"/>
      <c r="X9" s="22"/>
      <c r="Y9" s="22"/>
      <c r="Z9" s="28">
        <f t="shared" si="0"/>
        <v>614</v>
      </c>
      <c r="AA9" s="15">
        <v>52060</v>
      </c>
      <c r="AB9" s="15">
        <v>144</v>
      </c>
      <c r="AC9" s="15">
        <v>51446</v>
      </c>
      <c r="AD9" s="17">
        <f t="shared" si="1"/>
        <v>51302</v>
      </c>
      <c r="AE9" s="15">
        <v>51446</v>
      </c>
      <c r="AF9" s="15">
        <v>51446</v>
      </c>
      <c r="AG9" s="15"/>
      <c r="AH9" s="22"/>
      <c r="AI9" s="22"/>
      <c r="AJ9" s="22"/>
      <c r="AK9" s="28" t="str">
        <f t="shared" si="2"/>
        <v/>
      </c>
      <c r="AL9" s="22"/>
      <c r="AM9" s="13"/>
      <c r="AN9" s="13"/>
      <c r="AO9" s="28" t="str">
        <f t="shared" si="3"/>
        <v/>
      </c>
      <c r="AP9" s="28" t="str">
        <f t="shared" si="4"/>
        <v/>
      </c>
      <c r="AQ9" s="28" t="str">
        <f t="shared" si="5"/>
        <v/>
      </c>
      <c r="AR9" s="28" t="str">
        <f t="shared" si="6"/>
        <v/>
      </c>
      <c r="AS9" s="29" t="str">
        <f t="shared" si="7"/>
        <v/>
      </c>
      <c r="AT9" s="29" t="str">
        <f t="shared" si="8"/>
        <v/>
      </c>
      <c r="AU9" s="21">
        <v>9.5</v>
      </c>
      <c r="AV9" s="22">
        <v>178</v>
      </c>
      <c r="AW9" s="22"/>
      <c r="AX9" s="22"/>
      <c r="AY9" s="22"/>
      <c r="AZ9" s="22"/>
      <c r="BA9" s="28" t="str">
        <f t="shared" si="9"/>
        <v/>
      </c>
      <c r="BB9" s="22"/>
      <c r="BC9" s="13"/>
      <c r="BD9" s="13"/>
      <c r="BE9" s="28" t="str">
        <f t="shared" si="10"/>
        <v/>
      </c>
      <c r="BF9" s="28" t="str">
        <f t="shared" si="11"/>
        <v/>
      </c>
      <c r="BG9" s="28" t="str">
        <f t="shared" si="12"/>
        <v/>
      </c>
      <c r="BH9" s="28" t="str">
        <f t="shared" si="13"/>
        <v/>
      </c>
      <c r="BI9" s="29" t="str">
        <f t="shared" si="14"/>
        <v/>
      </c>
      <c r="BJ9" s="29" t="str">
        <f t="shared" si="15"/>
        <v/>
      </c>
      <c r="BK9" s="21">
        <v>9.5</v>
      </c>
      <c r="BL9" s="22">
        <v>178</v>
      </c>
      <c r="BM9" s="22"/>
    </row>
    <row r="10" spans="1:65" x14ac:dyDescent="0.3">
      <c r="A10" s="3" t="s">
        <v>443</v>
      </c>
      <c r="B10" s="41">
        <v>9</v>
      </c>
      <c r="C10" s="4" t="s">
        <v>23</v>
      </c>
      <c r="D10" s="4"/>
      <c r="E10" s="4"/>
      <c r="F10" s="39" t="s">
        <v>168</v>
      </c>
      <c r="G10" s="4" t="s">
        <v>432</v>
      </c>
      <c r="H10" s="37">
        <v>817</v>
      </c>
      <c r="I10" s="37">
        <v>72568</v>
      </c>
      <c r="J10" s="37" t="s">
        <v>166</v>
      </c>
      <c r="K10" s="5">
        <v>46071</v>
      </c>
      <c r="L10" s="5" t="s">
        <v>442</v>
      </c>
      <c r="M10" s="5">
        <v>46071</v>
      </c>
      <c r="N10" s="5" t="s">
        <v>442</v>
      </c>
      <c r="O10" s="4" t="s">
        <v>42</v>
      </c>
      <c r="P10" s="4" t="s">
        <v>1211</v>
      </c>
      <c r="Q10" s="4" t="s">
        <v>41</v>
      </c>
      <c r="R10" s="6">
        <v>410</v>
      </c>
      <c r="S10" s="6">
        <v>0</v>
      </c>
      <c r="T10" s="6">
        <v>43</v>
      </c>
      <c r="U10" s="20"/>
      <c r="V10" s="20">
        <v>453</v>
      </c>
      <c r="W10" s="20"/>
      <c r="X10" s="20"/>
      <c r="Y10" s="20"/>
      <c r="Z10" s="26">
        <f t="shared" si="0"/>
        <v>453</v>
      </c>
      <c r="AA10" s="6">
        <v>41540</v>
      </c>
      <c r="AB10" s="6">
        <v>172</v>
      </c>
      <c r="AC10" s="6">
        <v>41087</v>
      </c>
      <c r="AD10" s="9">
        <f t="shared" si="1"/>
        <v>40915</v>
      </c>
      <c r="AE10" s="6">
        <v>41087</v>
      </c>
      <c r="AF10" s="6">
        <v>41087</v>
      </c>
      <c r="AG10" s="6"/>
      <c r="AH10" s="20"/>
      <c r="AI10" s="20"/>
      <c r="AJ10" s="20"/>
      <c r="AK10" s="26" t="str">
        <f t="shared" si="2"/>
        <v/>
      </c>
      <c r="AL10" s="20"/>
      <c r="AM10" s="4"/>
      <c r="AN10" s="4"/>
      <c r="AO10" s="26" t="str">
        <f t="shared" si="3"/>
        <v/>
      </c>
      <c r="AP10" s="26" t="str">
        <f t="shared" si="4"/>
        <v/>
      </c>
      <c r="AQ10" s="26" t="str">
        <f t="shared" si="5"/>
        <v/>
      </c>
      <c r="AR10" s="26" t="str">
        <f t="shared" si="6"/>
        <v/>
      </c>
      <c r="AS10" s="27" t="str">
        <f t="shared" si="7"/>
        <v/>
      </c>
      <c r="AT10" s="27" t="str">
        <f t="shared" si="8"/>
        <v/>
      </c>
      <c r="AU10" s="19">
        <v>9.6</v>
      </c>
      <c r="AV10" s="20">
        <v>182</v>
      </c>
      <c r="AW10" s="20"/>
      <c r="AX10" s="20"/>
      <c r="AY10" s="20"/>
      <c r="AZ10" s="20"/>
      <c r="BA10" s="26" t="str">
        <f t="shared" si="9"/>
        <v/>
      </c>
      <c r="BB10" s="20"/>
      <c r="BC10" s="4"/>
      <c r="BD10" s="4"/>
      <c r="BE10" s="26" t="str">
        <f t="shared" si="10"/>
        <v/>
      </c>
      <c r="BF10" s="26" t="str">
        <f t="shared" si="11"/>
        <v/>
      </c>
      <c r="BG10" s="26" t="str">
        <f t="shared" si="12"/>
        <v/>
      </c>
      <c r="BH10" s="26" t="str">
        <f t="shared" si="13"/>
        <v/>
      </c>
      <c r="BI10" s="27" t="str">
        <f t="shared" si="14"/>
        <v/>
      </c>
      <c r="BJ10" s="27" t="str">
        <f t="shared" si="15"/>
        <v/>
      </c>
      <c r="BK10" s="19">
        <v>9.6</v>
      </c>
      <c r="BL10" s="20">
        <v>182</v>
      </c>
      <c r="BM10" s="20"/>
    </row>
    <row r="11" spans="1:65" x14ac:dyDescent="0.3">
      <c r="A11" s="12" t="s">
        <v>444</v>
      </c>
      <c r="B11" s="42">
        <v>10</v>
      </c>
      <c r="C11" s="13" t="s">
        <v>47</v>
      </c>
      <c r="D11" s="13"/>
      <c r="E11" s="13"/>
      <c r="F11" s="40" t="s">
        <v>172</v>
      </c>
      <c r="G11" s="13" t="s">
        <v>432</v>
      </c>
      <c r="H11" s="38">
        <v>812</v>
      </c>
      <c r="I11" s="38">
        <v>72523</v>
      </c>
      <c r="J11" s="38" t="s">
        <v>170</v>
      </c>
      <c r="K11" s="14">
        <v>46071</v>
      </c>
      <c r="L11" s="14" t="s">
        <v>442</v>
      </c>
      <c r="M11" s="14">
        <v>46071</v>
      </c>
      <c r="N11" s="14" t="s">
        <v>442</v>
      </c>
      <c r="O11" s="13" t="s">
        <v>105</v>
      </c>
      <c r="P11" s="13" t="s">
        <v>1212</v>
      </c>
      <c r="Q11" s="13" t="s">
        <v>45</v>
      </c>
      <c r="R11" s="15">
        <v>453</v>
      </c>
      <c r="S11" s="15">
        <v>0</v>
      </c>
      <c r="T11" s="15">
        <v>10</v>
      </c>
      <c r="U11" s="22"/>
      <c r="V11" s="22">
        <v>463</v>
      </c>
      <c r="W11" s="22"/>
      <c r="X11" s="22"/>
      <c r="Y11" s="22"/>
      <c r="Z11" s="28">
        <f t="shared" si="0"/>
        <v>463</v>
      </c>
      <c r="AA11" s="15">
        <v>40560</v>
      </c>
      <c r="AB11" s="15">
        <v>40</v>
      </c>
      <c r="AC11" s="15">
        <v>40097</v>
      </c>
      <c r="AD11" s="17">
        <f t="shared" si="1"/>
        <v>40057</v>
      </c>
      <c r="AE11" s="15">
        <v>40097</v>
      </c>
      <c r="AF11" s="15">
        <v>40097</v>
      </c>
      <c r="AG11" s="15"/>
      <c r="AH11" s="22"/>
      <c r="AI11" s="22"/>
      <c r="AJ11" s="22"/>
      <c r="AK11" s="28" t="str">
        <f t="shared" si="2"/>
        <v/>
      </c>
      <c r="AL11" s="22"/>
      <c r="AM11" s="13"/>
      <c r="AN11" s="13"/>
      <c r="AO11" s="28" t="str">
        <f t="shared" si="3"/>
        <v/>
      </c>
      <c r="AP11" s="28" t="str">
        <f t="shared" si="4"/>
        <v/>
      </c>
      <c r="AQ11" s="28" t="str">
        <f t="shared" si="5"/>
        <v/>
      </c>
      <c r="AR11" s="28" t="str">
        <f t="shared" si="6"/>
        <v/>
      </c>
      <c r="AS11" s="29" t="str">
        <f t="shared" si="7"/>
        <v/>
      </c>
      <c r="AT11" s="29" t="str">
        <f t="shared" si="8"/>
        <v/>
      </c>
      <c r="AU11" s="21">
        <v>11.2</v>
      </c>
      <c r="AV11" s="22">
        <v>168</v>
      </c>
      <c r="AW11" s="22"/>
      <c r="AX11" s="22"/>
      <c r="AY11" s="22"/>
      <c r="AZ11" s="22"/>
      <c r="BA11" s="28" t="str">
        <f t="shared" si="9"/>
        <v/>
      </c>
      <c r="BB11" s="22"/>
      <c r="BC11" s="13"/>
      <c r="BD11" s="13"/>
      <c r="BE11" s="28" t="str">
        <f t="shared" si="10"/>
        <v/>
      </c>
      <c r="BF11" s="28" t="str">
        <f t="shared" si="11"/>
        <v/>
      </c>
      <c r="BG11" s="28" t="str">
        <f t="shared" si="12"/>
        <v/>
      </c>
      <c r="BH11" s="28" t="str">
        <f t="shared" si="13"/>
        <v/>
      </c>
      <c r="BI11" s="29" t="str">
        <f t="shared" si="14"/>
        <v/>
      </c>
      <c r="BJ11" s="29" t="str">
        <f t="shared" si="15"/>
        <v/>
      </c>
      <c r="BK11" s="21">
        <v>11.2</v>
      </c>
      <c r="BL11" s="22">
        <v>168</v>
      </c>
      <c r="BM11" s="22"/>
    </row>
    <row r="12" spans="1:65" x14ac:dyDescent="0.3">
      <c r="A12" s="3" t="s">
        <v>445</v>
      </c>
      <c r="B12" s="41">
        <v>11</v>
      </c>
      <c r="C12" s="4" t="s">
        <v>23</v>
      </c>
      <c r="D12" s="4"/>
      <c r="E12" s="4"/>
      <c r="F12" s="39" t="s">
        <v>176</v>
      </c>
      <c r="G12" s="4" t="s">
        <v>432</v>
      </c>
      <c r="H12" s="37">
        <v>814</v>
      </c>
      <c r="I12" s="37">
        <v>72501</v>
      </c>
      <c r="J12" s="37" t="s">
        <v>174</v>
      </c>
      <c r="K12" s="5">
        <v>46071</v>
      </c>
      <c r="L12" s="5" t="s">
        <v>442</v>
      </c>
      <c r="M12" s="5">
        <v>46071</v>
      </c>
      <c r="N12" s="5" t="s">
        <v>442</v>
      </c>
      <c r="O12" s="4" t="s">
        <v>30</v>
      </c>
      <c r="P12" s="4" t="s">
        <v>1209</v>
      </c>
      <c r="Q12" s="4" t="s">
        <v>29</v>
      </c>
      <c r="R12" s="6">
        <v>524</v>
      </c>
      <c r="S12" s="6">
        <v>0</v>
      </c>
      <c r="T12" s="6">
        <v>38</v>
      </c>
      <c r="U12" s="20"/>
      <c r="V12" s="20">
        <v>562</v>
      </c>
      <c r="W12" s="20"/>
      <c r="X12" s="20"/>
      <c r="Y12" s="20"/>
      <c r="Z12" s="26">
        <f t="shared" si="0"/>
        <v>562</v>
      </c>
      <c r="AA12" s="6">
        <v>46680</v>
      </c>
      <c r="AB12" s="6">
        <v>152</v>
      </c>
      <c r="AC12" s="6">
        <v>46118</v>
      </c>
      <c r="AD12" s="9">
        <f t="shared" si="1"/>
        <v>45966</v>
      </c>
      <c r="AE12" s="6">
        <v>46118</v>
      </c>
      <c r="AF12" s="6">
        <v>46118</v>
      </c>
      <c r="AG12" s="6"/>
      <c r="AH12" s="20"/>
      <c r="AI12" s="20"/>
      <c r="AJ12" s="20"/>
      <c r="AK12" s="26" t="str">
        <f t="shared" si="2"/>
        <v/>
      </c>
      <c r="AL12" s="20"/>
      <c r="AM12" s="4"/>
      <c r="AN12" s="4"/>
      <c r="AO12" s="26" t="str">
        <f t="shared" si="3"/>
        <v/>
      </c>
      <c r="AP12" s="26" t="str">
        <f t="shared" si="4"/>
        <v/>
      </c>
      <c r="AQ12" s="26" t="str">
        <f t="shared" si="5"/>
        <v/>
      </c>
      <c r="AR12" s="26" t="str">
        <f t="shared" si="6"/>
        <v/>
      </c>
      <c r="AS12" s="27" t="str">
        <f t="shared" si="7"/>
        <v/>
      </c>
      <c r="AT12" s="27" t="str">
        <f t="shared" si="8"/>
        <v/>
      </c>
      <c r="AU12" s="19">
        <v>8.6</v>
      </c>
      <c r="AV12" s="20">
        <v>171</v>
      </c>
      <c r="AW12" s="20"/>
      <c r="AX12" s="20"/>
      <c r="AY12" s="20"/>
      <c r="AZ12" s="20"/>
      <c r="BA12" s="26" t="str">
        <f t="shared" si="9"/>
        <v/>
      </c>
      <c r="BB12" s="20"/>
      <c r="BC12" s="4"/>
      <c r="BD12" s="4"/>
      <c r="BE12" s="26" t="str">
        <f t="shared" si="10"/>
        <v/>
      </c>
      <c r="BF12" s="26" t="str">
        <f t="shared" si="11"/>
        <v/>
      </c>
      <c r="BG12" s="26" t="str">
        <f t="shared" si="12"/>
        <v/>
      </c>
      <c r="BH12" s="26" t="str">
        <f t="shared" si="13"/>
        <v/>
      </c>
      <c r="BI12" s="27" t="str">
        <f t="shared" si="14"/>
        <v/>
      </c>
      <c r="BJ12" s="27" t="str">
        <f t="shared" si="15"/>
        <v/>
      </c>
      <c r="BK12" s="19">
        <v>8.6</v>
      </c>
      <c r="BL12" s="20">
        <v>171</v>
      </c>
      <c r="BM12" s="20"/>
    </row>
    <row r="13" spans="1:65" x14ac:dyDescent="0.3">
      <c r="A13" s="12" t="s">
        <v>446</v>
      </c>
      <c r="B13" s="42">
        <v>12</v>
      </c>
      <c r="C13" s="13" t="s">
        <v>23</v>
      </c>
      <c r="D13" s="13"/>
      <c r="E13" s="13"/>
      <c r="F13" s="40" t="s">
        <v>186</v>
      </c>
      <c r="G13" s="13" t="s">
        <v>432</v>
      </c>
      <c r="H13" s="38">
        <v>823</v>
      </c>
      <c r="I13" s="38">
        <v>72553</v>
      </c>
      <c r="J13" s="38" t="s">
        <v>184</v>
      </c>
      <c r="K13" s="14">
        <v>46072</v>
      </c>
      <c r="L13" s="14" t="s">
        <v>447</v>
      </c>
      <c r="M13" s="14">
        <v>46072</v>
      </c>
      <c r="N13" s="14" t="s">
        <v>447</v>
      </c>
      <c r="O13" s="13" t="s">
        <v>22</v>
      </c>
      <c r="P13" s="13" t="s">
        <v>1214</v>
      </c>
      <c r="Q13" s="13" t="s">
        <v>60</v>
      </c>
      <c r="R13" s="15">
        <v>543</v>
      </c>
      <c r="S13" s="15">
        <v>0</v>
      </c>
      <c r="T13" s="15">
        <v>19</v>
      </c>
      <c r="U13" s="22"/>
      <c r="V13" s="22">
        <v>562</v>
      </c>
      <c r="W13" s="22"/>
      <c r="X13" s="22"/>
      <c r="Y13" s="22"/>
      <c r="Z13" s="28">
        <f t="shared" si="0"/>
        <v>562</v>
      </c>
      <c r="AA13" s="15">
        <v>44040</v>
      </c>
      <c r="AB13" s="15">
        <v>76</v>
      </c>
      <c r="AC13" s="15">
        <v>43478</v>
      </c>
      <c r="AD13" s="17">
        <f t="shared" si="1"/>
        <v>43402</v>
      </c>
      <c r="AE13" s="15">
        <v>43478</v>
      </c>
      <c r="AF13" s="15">
        <v>43478</v>
      </c>
      <c r="AG13" s="15"/>
      <c r="AH13" s="22"/>
      <c r="AI13" s="22"/>
      <c r="AJ13" s="22"/>
      <c r="AK13" s="28" t="str">
        <f t="shared" si="2"/>
        <v/>
      </c>
      <c r="AL13" s="22"/>
      <c r="AM13" s="13"/>
      <c r="AN13" s="13"/>
      <c r="AO13" s="28" t="str">
        <f t="shared" si="3"/>
        <v/>
      </c>
      <c r="AP13" s="28" t="str">
        <f t="shared" si="4"/>
        <v/>
      </c>
      <c r="AQ13" s="28" t="str">
        <f t="shared" si="5"/>
        <v/>
      </c>
      <c r="AR13" s="28" t="str">
        <f t="shared" si="6"/>
        <v/>
      </c>
      <c r="AS13" s="29" t="str">
        <f t="shared" si="7"/>
        <v/>
      </c>
      <c r="AT13" s="29" t="str">
        <f t="shared" si="8"/>
        <v/>
      </c>
      <c r="AU13" s="21">
        <v>8.1999999999999993</v>
      </c>
      <c r="AV13" s="22">
        <v>178</v>
      </c>
      <c r="AW13" s="22"/>
      <c r="AX13" s="22"/>
      <c r="AY13" s="22"/>
      <c r="AZ13" s="22"/>
      <c r="BA13" s="28" t="str">
        <f t="shared" si="9"/>
        <v/>
      </c>
      <c r="BB13" s="22"/>
      <c r="BC13" s="13"/>
      <c r="BD13" s="13"/>
      <c r="BE13" s="28" t="str">
        <f t="shared" si="10"/>
        <v/>
      </c>
      <c r="BF13" s="28" t="str">
        <f t="shared" si="11"/>
        <v/>
      </c>
      <c r="BG13" s="28" t="str">
        <f t="shared" si="12"/>
        <v/>
      </c>
      <c r="BH13" s="28" t="str">
        <f t="shared" si="13"/>
        <v/>
      </c>
      <c r="BI13" s="29" t="str">
        <f t="shared" si="14"/>
        <v/>
      </c>
      <c r="BJ13" s="29" t="str">
        <f t="shared" si="15"/>
        <v/>
      </c>
      <c r="BK13" s="21">
        <v>8.1999999999999993</v>
      </c>
      <c r="BL13" s="22">
        <v>178</v>
      </c>
      <c r="BM13" s="22"/>
    </row>
    <row r="14" spans="1:65" x14ac:dyDescent="0.3">
      <c r="A14" s="3" t="s">
        <v>448</v>
      </c>
      <c r="B14" s="41">
        <v>13</v>
      </c>
      <c r="C14" s="4" t="s">
        <v>23</v>
      </c>
      <c r="D14" s="4"/>
      <c r="E14" s="4"/>
      <c r="F14" s="39" t="s">
        <v>191</v>
      </c>
      <c r="G14" s="4" t="s">
        <v>432</v>
      </c>
      <c r="H14" s="37">
        <v>825</v>
      </c>
      <c r="I14" s="37">
        <v>72549</v>
      </c>
      <c r="J14" s="37" t="s">
        <v>189</v>
      </c>
      <c r="K14" s="5">
        <v>46072</v>
      </c>
      <c r="L14" s="5" t="s">
        <v>447</v>
      </c>
      <c r="M14" s="5">
        <v>46072</v>
      </c>
      <c r="N14" s="5" t="s">
        <v>447</v>
      </c>
      <c r="O14" s="4" t="s">
        <v>105</v>
      </c>
      <c r="P14" s="4" t="s">
        <v>1220</v>
      </c>
      <c r="Q14" s="4" t="s">
        <v>188</v>
      </c>
      <c r="R14" s="6">
        <v>498</v>
      </c>
      <c r="S14" s="6">
        <v>0</v>
      </c>
      <c r="T14" s="6">
        <v>12</v>
      </c>
      <c r="U14" s="20"/>
      <c r="V14" s="20">
        <v>510</v>
      </c>
      <c r="W14" s="20"/>
      <c r="X14" s="20"/>
      <c r="Y14" s="20"/>
      <c r="Z14" s="26">
        <f t="shared" si="0"/>
        <v>510</v>
      </c>
      <c r="AA14" s="6">
        <v>43860</v>
      </c>
      <c r="AB14" s="6">
        <v>48</v>
      </c>
      <c r="AC14" s="6">
        <v>43350</v>
      </c>
      <c r="AD14" s="9">
        <f t="shared" si="1"/>
        <v>43302</v>
      </c>
      <c r="AE14" s="6">
        <v>43350</v>
      </c>
      <c r="AF14" s="6">
        <v>43350</v>
      </c>
      <c r="AG14" s="6"/>
      <c r="AH14" s="20"/>
      <c r="AI14" s="20"/>
      <c r="AJ14" s="20"/>
      <c r="AK14" s="26" t="str">
        <f t="shared" si="2"/>
        <v/>
      </c>
      <c r="AL14" s="20"/>
      <c r="AM14" s="4"/>
      <c r="AN14" s="4"/>
      <c r="AO14" s="26" t="str">
        <f t="shared" si="3"/>
        <v/>
      </c>
      <c r="AP14" s="26" t="str">
        <f t="shared" si="4"/>
        <v/>
      </c>
      <c r="AQ14" s="26" t="str">
        <f t="shared" si="5"/>
        <v/>
      </c>
      <c r="AR14" s="26" t="str">
        <f t="shared" si="6"/>
        <v/>
      </c>
      <c r="AS14" s="27" t="str">
        <f t="shared" si="7"/>
        <v/>
      </c>
      <c r="AT14" s="27" t="str">
        <f t="shared" si="8"/>
        <v/>
      </c>
      <c r="AU14" s="19">
        <v>8.6999999999999993</v>
      </c>
      <c r="AV14" s="20">
        <v>178</v>
      </c>
      <c r="AW14" s="20"/>
      <c r="AX14" s="20"/>
      <c r="AY14" s="20"/>
      <c r="AZ14" s="20"/>
      <c r="BA14" s="26" t="str">
        <f t="shared" si="9"/>
        <v/>
      </c>
      <c r="BB14" s="20"/>
      <c r="BC14" s="4"/>
      <c r="BD14" s="4"/>
      <c r="BE14" s="26" t="str">
        <f t="shared" si="10"/>
        <v/>
      </c>
      <c r="BF14" s="26" t="str">
        <f t="shared" si="11"/>
        <v/>
      </c>
      <c r="BG14" s="26" t="str">
        <f t="shared" si="12"/>
        <v/>
      </c>
      <c r="BH14" s="26" t="str">
        <f t="shared" si="13"/>
        <v/>
      </c>
      <c r="BI14" s="27" t="str">
        <f t="shared" si="14"/>
        <v/>
      </c>
      <c r="BJ14" s="27" t="str">
        <f t="shared" si="15"/>
        <v/>
      </c>
      <c r="BK14" s="19">
        <v>8.6999999999999993</v>
      </c>
      <c r="BL14" s="20">
        <v>178</v>
      </c>
      <c r="BM14" s="20"/>
    </row>
    <row r="15" spans="1:65" x14ac:dyDescent="0.3">
      <c r="A15" s="12" t="s">
        <v>449</v>
      </c>
      <c r="B15" s="42">
        <v>14</v>
      </c>
      <c r="C15" s="13" t="s">
        <v>47</v>
      </c>
      <c r="D15" s="13"/>
      <c r="E15" s="13"/>
      <c r="F15" s="40" t="s">
        <v>196</v>
      </c>
      <c r="G15" s="13" t="s">
        <v>432</v>
      </c>
      <c r="H15" s="38">
        <v>836</v>
      </c>
      <c r="I15" s="38">
        <v>72529</v>
      </c>
      <c r="J15" s="38" t="s">
        <v>194</v>
      </c>
      <c r="K15" s="14">
        <v>46073</v>
      </c>
      <c r="L15" s="14" t="s">
        <v>450</v>
      </c>
      <c r="M15" s="14">
        <v>46073</v>
      </c>
      <c r="N15" s="14" t="s">
        <v>450</v>
      </c>
      <c r="O15" s="13" t="s">
        <v>105</v>
      </c>
      <c r="P15" s="13" t="s">
        <v>1221</v>
      </c>
      <c r="Q15" s="13" t="s">
        <v>193</v>
      </c>
      <c r="R15" s="15">
        <v>544</v>
      </c>
      <c r="S15" s="15"/>
      <c r="T15" s="15">
        <v>63</v>
      </c>
      <c r="U15" s="22"/>
      <c r="V15" s="22">
        <v>607</v>
      </c>
      <c r="W15" s="22"/>
      <c r="X15" s="22"/>
      <c r="Y15" s="22"/>
      <c r="Z15" s="28">
        <f t="shared" si="0"/>
        <v>607</v>
      </c>
      <c r="AA15" s="15">
        <v>51300</v>
      </c>
      <c r="AB15" s="15">
        <v>252</v>
      </c>
      <c r="AC15" s="15">
        <v>50693</v>
      </c>
      <c r="AD15" s="17">
        <f t="shared" si="1"/>
        <v>50441</v>
      </c>
      <c r="AE15" s="15">
        <v>50693</v>
      </c>
      <c r="AF15" s="15">
        <v>50693</v>
      </c>
      <c r="AG15" s="15"/>
      <c r="AH15" s="22"/>
      <c r="AI15" s="22"/>
      <c r="AJ15" s="22"/>
      <c r="AK15" s="28" t="str">
        <f t="shared" si="2"/>
        <v/>
      </c>
      <c r="AL15" s="22"/>
      <c r="AM15" s="13"/>
      <c r="AN15" s="13"/>
      <c r="AO15" s="28" t="str">
        <f t="shared" si="3"/>
        <v/>
      </c>
      <c r="AP15" s="28" t="str">
        <f t="shared" si="4"/>
        <v/>
      </c>
      <c r="AQ15" s="28" t="str">
        <f t="shared" si="5"/>
        <v/>
      </c>
      <c r="AR15" s="28" t="str">
        <f t="shared" si="6"/>
        <v/>
      </c>
      <c r="AS15" s="29" t="str">
        <f t="shared" si="7"/>
        <v/>
      </c>
      <c r="AT15" s="29" t="str">
        <f t="shared" si="8"/>
        <v/>
      </c>
      <c r="AU15" s="21">
        <v>8.5</v>
      </c>
      <c r="AV15" s="22">
        <v>167</v>
      </c>
      <c r="AW15" s="22"/>
      <c r="AX15" s="22"/>
      <c r="AY15" s="22"/>
      <c r="AZ15" s="22"/>
      <c r="BA15" s="28" t="str">
        <f t="shared" si="9"/>
        <v/>
      </c>
      <c r="BB15" s="22"/>
      <c r="BC15" s="13"/>
      <c r="BD15" s="13"/>
      <c r="BE15" s="28" t="str">
        <f t="shared" si="10"/>
        <v/>
      </c>
      <c r="BF15" s="28" t="str">
        <f t="shared" si="11"/>
        <v/>
      </c>
      <c r="BG15" s="28" t="str">
        <f t="shared" si="12"/>
        <v/>
      </c>
      <c r="BH15" s="28" t="str">
        <f t="shared" si="13"/>
        <v/>
      </c>
      <c r="BI15" s="29" t="str">
        <f t="shared" si="14"/>
        <v/>
      </c>
      <c r="BJ15" s="29" t="str">
        <f t="shared" si="15"/>
        <v/>
      </c>
      <c r="BK15" s="21">
        <v>8.5</v>
      </c>
      <c r="BL15" s="22">
        <v>167</v>
      </c>
      <c r="BM15" s="22"/>
    </row>
    <row r="16" spans="1:65" x14ac:dyDescent="0.3">
      <c r="A16" s="3" t="s">
        <v>451</v>
      </c>
      <c r="B16" s="41">
        <v>15</v>
      </c>
      <c r="C16" s="4" t="s">
        <v>23</v>
      </c>
      <c r="D16" s="4"/>
      <c r="E16" s="4"/>
      <c r="F16" s="39" t="s">
        <v>204</v>
      </c>
      <c r="G16" s="4" t="s">
        <v>432</v>
      </c>
      <c r="H16" s="37">
        <v>842</v>
      </c>
      <c r="I16" s="37">
        <v>72593</v>
      </c>
      <c r="J16" s="37" t="s">
        <v>202</v>
      </c>
      <c r="K16" s="5">
        <v>46074</v>
      </c>
      <c r="L16" s="5" t="s">
        <v>452</v>
      </c>
      <c r="M16" s="5">
        <v>46074</v>
      </c>
      <c r="N16" s="5" t="s">
        <v>452</v>
      </c>
      <c r="O16" s="4" t="s">
        <v>35</v>
      </c>
      <c r="P16" s="4" t="s">
        <v>698</v>
      </c>
      <c r="Q16" s="4" t="s">
        <v>58</v>
      </c>
      <c r="R16" s="6">
        <v>516</v>
      </c>
      <c r="S16" s="6">
        <v>0</v>
      </c>
      <c r="T16" s="6">
        <v>21</v>
      </c>
      <c r="U16" s="20"/>
      <c r="V16" s="20">
        <v>537</v>
      </c>
      <c r="W16" s="20"/>
      <c r="X16" s="20"/>
      <c r="Y16" s="20"/>
      <c r="Z16" s="26">
        <f t="shared" si="0"/>
        <v>537</v>
      </c>
      <c r="AA16" s="6">
        <v>46380</v>
      </c>
      <c r="AB16" s="6">
        <v>84</v>
      </c>
      <c r="AC16" s="6">
        <v>45843</v>
      </c>
      <c r="AD16" s="9">
        <f t="shared" si="1"/>
        <v>45759</v>
      </c>
      <c r="AE16" s="6">
        <v>45843</v>
      </c>
      <c r="AF16" s="6">
        <v>45843</v>
      </c>
      <c r="AG16" s="6"/>
      <c r="AH16" s="20"/>
      <c r="AI16" s="20"/>
      <c r="AJ16" s="20"/>
      <c r="AK16" s="26" t="str">
        <f t="shared" si="2"/>
        <v/>
      </c>
      <c r="AL16" s="20"/>
      <c r="AM16" s="4"/>
      <c r="AN16" s="4"/>
      <c r="AO16" s="26" t="str">
        <f t="shared" si="3"/>
        <v/>
      </c>
      <c r="AP16" s="26" t="str">
        <f t="shared" si="4"/>
        <v/>
      </c>
      <c r="AQ16" s="26" t="str">
        <f t="shared" si="5"/>
        <v/>
      </c>
      <c r="AR16" s="26" t="str">
        <f t="shared" si="6"/>
        <v/>
      </c>
      <c r="AS16" s="27" t="str">
        <f t="shared" si="7"/>
        <v/>
      </c>
      <c r="AT16" s="27" t="str">
        <f t="shared" si="8"/>
        <v/>
      </c>
      <c r="AU16" s="19">
        <v>9</v>
      </c>
      <c r="AV16" s="20">
        <v>165</v>
      </c>
      <c r="AW16" s="20"/>
      <c r="AX16" s="20"/>
      <c r="AY16" s="20"/>
      <c r="AZ16" s="20"/>
      <c r="BA16" s="26" t="str">
        <f t="shared" si="9"/>
        <v/>
      </c>
      <c r="BB16" s="20"/>
      <c r="BC16" s="4"/>
      <c r="BD16" s="4"/>
      <c r="BE16" s="26" t="str">
        <f t="shared" si="10"/>
        <v/>
      </c>
      <c r="BF16" s="26" t="str">
        <f t="shared" si="11"/>
        <v/>
      </c>
      <c r="BG16" s="26" t="str">
        <f t="shared" si="12"/>
        <v/>
      </c>
      <c r="BH16" s="26" t="str">
        <f t="shared" si="13"/>
        <v/>
      </c>
      <c r="BI16" s="27" t="str">
        <f t="shared" si="14"/>
        <v/>
      </c>
      <c r="BJ16" s="27" t="str">
        <f t="shared" si="15"/>
        <v/>
      </c>
      <c r="BK16" s="19">
        <v>9</v>
      </c>
      <c r="BL16" s="20">
        <v>165</v>
      </c>
      <c r="BM16" s="20"/>
    </row>
    <row r="17" spans="1:65" x14ac:dyDescent="0.3">
      <c r="A17" s="12" t="s">
        <v>453</v>
      </c>
      <c r="B17" s="42">
        <v>16</v>
      </c>
      <c r="C17" s="13" t="s">
        <v>47</v>
      </c>
      <c r="D17" s="13"/>
      <c r="E17" s="13"/>
      <c r="F17" s="40" t="s">
        <v>209</v>
      </c>
      <c r="G17" s="13" t="s">
        <v>432</v>
      </c>
      <c r="H17" s="38">
        <v>844</v>
      </c>
      <c r="I17" s="38">
        <v>68145</v>
      </c>
      <c r="J17" s="38" t="s">
        <v>207</v>
      </c>
      <c r="K17" s="14">
        <v>46074</v>
      </c>
      <c r="L17" s="14" t="s">
        <v>452</v>
      </c>
      <c r="M17" s="14">
        <v>46074</v>
      </c>
      <c r="N17" s="14" t="s">
        <v>452</v>
      </c>
      <c r="O17" s="13" t="s">
        <v>105</v>
      </c>
      <c r="P17" s="13" t="s">
        <v>1222</v>
      </c>
      <c r="Q17" s="13" t="s">
        <v>206</v>
      </c>
      <c r="R17" s="15">
        <v>493</v>
      </c>
      <c r="S17" s="15">
        <v>0</v>
      </c>
      <c r="T17" s="15">
        <v>27</v>
      </c>
      <c r="U17" s="22"/>
      <c r="V17" s="22">
        <v>520</v>
      </c>
      <c r="W17" s="22"/>
      <c r="X17" s="22"/>
      <c r="Y17" s="22"/>
      <c r="Z17" s="28">
        <f t="shared" si="0"/>
        <v>520</v>
      </c>
      <c r="AA17" s="15">
        <v>40740</v>
      </c>
      <c r="AB17" s="15">
        <v>108</v>
      </c>
      <c r="AC17" s="15">
        <v>40220</v>
      </c>
      <c r="AD17" s="17">
        <f t="shared" si="1"/>
        <v>40112</v>
      </c>
      <c r="AE17" s="15">
        <v>40220</v>
      </c>
      <c r="AF17" s="15">
        <v>40220</v>
      </c>
      <c r="AG17" s="15"/>
      <c r="AH17" s="22"/>
      <c r="AI17" s="22"/>
      <c r="AJ17" s="22"/>
      <c r="AK17" s="28" t="str">
        <f t="shared" si="2"/>
        <v/>
      </c>
      <c r="AL17" s="22"/>
      <c r="AM17" s="13"/>
      <c r="AN17" s="13"/>
      <c r="AO17" s="28" t="str">
        <f t="shared" si="3"/>
        <v/>
      </c>
      <c r="AP17" s="28" t="str">
        <f t="shared" si="4"/>
        <v/>
      </c>
      <c r="AQ17" s="28" t="str">
        <f t="shared" si="5"/>
        <v/>
      </c>
      <c r="AR17" s="28" t="str">
        <f t="shared" si="6"/>
        <v/>
      </c>
      <c r="AS17" s="29" t="str">
        <f t="shared" si="7"/>
        <v/>
      </c>
      <c r="AT17" s="29" t="str">
        <f t="shared" si="8"/>
        <v/>
      </c>
      <c r="AU17" s="21">
        <v>9.3000000000000007</v>
      </c>
      <c r="AV17" s="22">
        <v>166</v>
      </c>
      <c r="AW17" s="22"/>
      <c r="AX17" s="22"/>
      <c r="AY17" s="22"/>
      <c r="AZ17" s="22"/>
      <c r="BA17" s="28" t="str">
        <f t="shared" si="9"/>
        <v/>
      </c>
      <c r="BB17" s="22"/>
      <c r="BC17" s="13"/>
      <c r="BD17" s="13"/>
      <c r="BE17" s="28" t="str">
        <f t="shared" si="10"/>
        <v/>
      </c>
      <c r="BF17" s="28" t="str">
        <f t="shared" si="11"/>
        <v/>
      </c>
      <c r="BG17" s="28" t="str">
        <f t="shared" si="12"/>
        <v/>
      </c>
      <c r="BH17" s="28" t="str">
        <f t="shared" si="13"/>
        <v/>
      </c>
      <c r="BI17" s="29" t="str">
        <f t="shared" si="14"/>
        <v/>
      </c>
      <c r="BJ17" s="29" t="str">
        <f t="shared" si="15"/>
        <v/>
      </c>
      <c r="BK17" s="21">
        <v>9.3000000000000007</v>
      </c>
      <c r="BL17" s="22">
        <v>166</v>
      </c>
      <c r="BM17" s="22"/>
    </row>
    <row r="18" spans="1:65" x14ac:dyDescent="0.3">
      <c r="A18" s="3" t="s">
        <v>454</v>
      </c>
      <c r="B18" s="41">
        <v>17</v>
      </c>
      <c r="C18" s="4" t="s">
        <v>23</v>
      </c>
      <c r="D18" s="4"/>
      <c r="E18" s="4"/>
      <c r="F18" s="39" t="s">
        <v>217</v>
      </c>
      <c r="G18" s="4" t="s">
        <v>432</v>
      </c>
      <c r="H18" s="37">
        <v>768</v>
      </c>
      <c r="I18" s="37">
        <v>72620</v>
      </c>
      <c r="J18" s="37" t="s">
        <v>215</v>
      </c>
      <c r="K18" s="5">
        <v>46077</v>
      </c>
      <c r="L18" s="5" t="s">
        <v>455</v>
      </c>
      <c r="M18" s="5">
        <v>46077</v>
      </c>
      <c r="N18" s="5" t="s">
        <v>455</v>
      </c>
      <c r="O18" s="4" t="s">
        <v>35</v>
      </c>
      <c r="P18" s="4" t="s">
        <v>734</v>
      </c>
      <c r="Q18" s="4" t="s">
        <v>34</v>
      </c>
      <c r="R18" s="6">
        <v>441</v>
      </c>
      <c r="S18" s="6">
        <v>0</v>
      </c>
      <c r="T18" s="6">
        <v>10</v>
      </c>
      <c r="U18" s="20"/>
      <c r="V18" s="20">
        <v>451</v>
      </c>
      <c r="W18" s="20"/>
      <c r="X18" s="20"/>
      <c r="Y18" s="20"/>
      <c r="Z18" s="26">
        <f t="shared" si="0"/>
        <v>451</v>
      </c>
      <c r="AA18" s="6">
        <v>39020</v>
      </c>
      <c r="AB18" s="6">
        <v>40</v>
      </c>
      <c r="AC18" s="6">
        <v>38569</v>
      </c>
      <c r="AD18" s="9">
        <f t="shared" si="1"/>
        <v>38529</v>
      </c>
      <c r="AE18" s="6">
        <v>38569</v>
      </c>
      <c r="AF18" s="6">
        <v>38569</v>
      </c>
      <c r="AG18" s="6"/>
      <c r="AH18" s="20"/>
      <c r="AI18" s="20"/>
      <c r="AJ18" s="20"/>
      <c r="AK18" s="26" t="str">
        <f t="shared" si="2"/>
        <v/>
      </c>
      <c r="AL18" s="20"/>
      <c r="AM18" s="4"/>
      <c r="AN18" s="4"/>
      <c r="AO18" s="26" t="str">
        <f t="shared" si="3"/>
        <v/>
      </c>
      <c r="AP18" s="26" t="str">
        <f t="shared" si="4"/>
        <v/>
      </c>
      <c r="AQ18" s="26" t="str">
        <f t="shared" si="5"/>
        <v/>
      </c>
      <c r="AR18" s="26" t="str">
        <f t="shared" si="6"/>
        <v/>
      </c>
      <c r="AS18" s="27" t="str">
        <f t="shared" si="7"/>
        <v/>
      </c>
      <c r="AT18" s="27" t="str">
        <f t="shared" si="8"/>
        <v/>
      </c>
      <c r="AU18" s="19">
        <v>9.4</v>
      </c>
      <c r="AV18" s="20">
        <v>174</v>
      </c>
      <c r="AW18" s="20"/>
      <c r="AX18" s="20"/>
      <c r="AY18" s="20"/>
      <c r="AZ18" s="20"/>
      <c r="BA18" s="26" t="str">
        <f t="shared" si="9"/>
        <v/>
      </c>
      <c r="BB18" s="20"/>
      <c r="BC18" s="4"/>
      <c r="BD18" s="4"/>
      <c r="BE18" s="26" t="str">
        <f t="shared" si="10"/>
        <v/>
      </c>
      <c r="BF18" s="26" t="str">
        <f t="shared" si="11"/>
        <v/>
      </c>
      <c r="BG18" s="26" t="str">
        <f t="shared" si="12"/>
        <v/>
      </c>
      <c r="BH18" s="26" t="str">
        <f t="shared" si="13"/>
        <v/>
      </c>
      <c r="BI18" s="27" t="str">
        <f t="shared" si="14"/>
        <v/>
      </c>
      <c r="BJ18" s="27" t="str">
        <f t="shared" si="15"/>
        <v/>
      </c>
      <c r="BK18" s="19">
        <v>9.4</v>
      </c>
      <c r="BL18" s="20">
        <v>174</v>
      </c>
      <c r="BM18" s="20"/>
    </row>
    <row r="19" spans="1:65" x14ac:dyDescent="0.3">
      <c r="A19" s="12" t="s">
        <v>456</v>
      </c>
      <c r="B19" s="42">
        <v>18</v>
      </c>
      <c r="C19" s="13" t="s">
        <v>23</v>
      </c>
      <c r="D19" s="13"/>
      <c r="E19" s="13"/>
      <c r="F19" s="40" t="s">
        <v>226</v>
      </c>
      <c r="G19" s="13" t="s">
        <v>432</v>
      </c>
      <c r="H19" s="38">
        <v>778</v>
      </c>
      <c r="I19" s="38">
        <v>68659</v>
      </c>
      <c r="J19" s="38" t="s">
        <v>224</v>
      </c>
      <c r="K19" s="14">
        <v>46078</v>
      </c>
      <c r="L19" s="14" t="s">
        <v>457</v>
      </c>
      <c r="M19" s="14">
        <v>46078</v>
      </c>
      <c r="N19" s="14" t="s">
        <v>457</v>
      </c>
      <c r="O19" s="13" t="s">
        <v>225</v>
      </c>
      <c r="P19" s="13" t="s">
        <v>1216</v>
      </c>
      <c r="Q19" s="13" t="s">
        <v>116</v>
      </c>
      <c r="R19" s="15">
        <v>606</v>
      </c>
      <c r="S19" s="15">
        <v>0</v>
      </c>
      <c r="T19" s="15">
        <v>30</v>
      </c>
      <c r="U19" s="22"/>
      <c r="V19" s="22">
        <v>636</v>
      </c>
      <c r="W19" s="22"/>
      <c r="X19" s="22"/>
      <c r="Y19" s="22"/>
      <c r="Z19" s="28">
        <f t="shared" si="0"/>
        <v>636</v>
      </c>
      <c r="AA19" s="15">
        <v>51380</v>
      </c>
      <c r="AB19" s="15">
        <v>120</v>
      </c>
      <c r="AC19" s="15">
        <v>50744</v>
      </c>
      <c r="AD19" s="17">
        <f t="shared" si="1"/>
        <v>50624</v>
      </c>
      <c r="AE19" s="15">
        <v>50744</v>
      </c>
      <c r="AF19" s="15">
        <v>50744</v>
      </c>
      <c r="AG19" s="15"/>
      <c r="AH19" s="22"/>
      <c r="AI19" s="22"/>
      <c r="AJ19" s="22"/>
      <c r="AK19" s="28" t="str">
        <f t="shared" si="2"/>
        <v/>
      </c>
      <c r="AL19" s="22"/>
      <c r="AM19" s="13"/>
      <c r="AN19" s="13"/>
      <c r="AO19" s="28" t="str">
        <f t="shared" si="3"/>
        <v/>
      </c>
      <c r="AP19" s="28" t="str">
        <f t="shared" si="4"/>
        <v/>
      </c>
      <c r="AQ19" s="28" t="str">
        <f t="shared" si="5"/>
        <v/>
      </c>
      <c r="AR19" s="28" t="str">
        <f t="shared" si="6"/>
        <v/>
      </c>
      <c r="AS19" s="29" t="str">
        <f t="shared" si="7"/>
        <v/>
      </c>
      <c r="AT19" s="29" t="str">
        <f t="shared" si="8"/>
        <v/>
      </c>
      <c r="AU19" s="21">
        <v>8</v>
      </c>
      <c r="AV19" s="22">
        <v>175</v>
      </c>
      <c r="AW19" s="22"/>
      <c r="AX19" s="22"/>
      <c r="AY19" s="22"/>
      <c r="AZ19" s="22"/>
      <c r="BA19" s="28" t="str">
        <f t="shared" si="9"/>
        <v/>
      </c>
      <c r="BB19" s="22"/>
      <c r="BC19" s="13"/>
      <c r="BD19" s="13"/>
      <c r="BE19" s="28" t="str">
        <f t="shared" si="10"/>
        <v/>
      </c>
      <c r="BF19" s="28" t="str">
        <f t="shared" si="11"/>
        <v/>
      </c>
      <c r="BG19" s="28" t="str">
        <f t="shared" si="12"/>
        <v/>
      </c>
      <c r="BH19" s="28" t="str">
        <f t="shared" si="13"/>
        <v/>
      </c>
      <c r="BI19" s="29" t="str">
        <f t="shared" si="14"/>
        <v/>
      </c>
      <c r="BJ19" s="29" t="str">
        <f t="shared" si="15"/>
        <v/>
      </c>
      <c r="BK19" s="21">
        <v>8</v>
      </c>
      <c r="BL19" s="22">
        <v>175</v>
      </c>
      <c r="BM19" s="22"/>
    </row>
    <row r="20" spans="1:65" x14ac:dyDescent="0.3">
      <c r="A20" s="3" t="s">
        <v>458</v>
      </c>
      <c r="B20" s="41">
        <v>19</v>
      </c>
      <c r="C20" s="4" t="s">
        <v>23</v>
      </c>
      <c r="D20" s="4"/>
      <c r="E20" s="4"/>
      <c r="F20" s="39" t="s">
        <v>240</v>
      </c>
      <c r="G20" s="4" t="s">
        <v>432</v>
      </c>
      <c r="H20" s="37">
        <v>1238</v>
      </c>
      <c r="I20" s="37">
        <v>77662</v>
      </c>
      <c r="J20" s="37" t="s">
        <v>239</v>
      </c>
      <c r="K20" s="5">
        <v>46086</v>
      </c>
      <c r="L20" s="5" t="s">
        <v>459</v>
      </c>
      <c r="M20" s="5">
        <v>46086</v>
      </c>
      <c r="N20" s="5" t="s">
        <v>459</v>
      </c>
      <c r="O20" s="4" t="s">
        <v>51</v>
      </c>
      <c r="P20" s="4" t="s">
        <v>1218</v>
      </c>
      <c r="Q20" s="4" t="s">
        <v>141</v>
      </c>
      <c r="R20" s="6">
        <v>494</v>
      </c>
      <c r="S20" s="6">
        <v>0</v>
      </c>
      <c r="T20" s="6">
        <v>10</v>
      </c>
      <c r="U20" s="20"/>
      <c r="V20" s="20">
        <v>504</v>
      </c>
      <c r="W20" s="20"/>
      <c r="X20" s="20"/>
      <c r="Y20" s="20"/>
      <c r="Z20" s="26">
        <f t="shared" si="0"/>
        <v>504</v>
      </c>
      <c r="AA20" s="6">
        <v>46760</v>
      </c>
      <c r="AB20" s="6">
        <v>40</v>
      </c>
      <c r="AC20" s="6">
        <v>46256</v>
      </c>
      <c r="AD20" s="9">
        <f t="shared" si="1"/>
        <v>46216</v>
      </c>
      <c r="AE20" s="6">
        <v>46256</v>
      </c>
      <c r="AF20" s="6">
        <v>46256</v>
      </c>
      <c r="AG20" s="6"/>
      <c r="AH20" s="20"/>
      <c r="AI20" s="20"/>
      <c r="AJ20" s="20"/>
      <c r="AK20" s="26" t="str">
        <f t="shared" si="2"/>
        <v/>
      </c>
      <c r="AL20" s="20"/>
      <c r="AM20" s="4"/>
      <c r="AN20" s="4"/>
      <c r="AO20" s="26" t="str">
        <f t="shared" si="3"/>
        <v/>
      </c>
      <c r="AP20" s="26" t="str">
        <f t="shared" si="4"/>
        <v/>
      </c>
      <c r="AQ20" s="26" t="str">
        <f t="shared" si="5"/>
        <v/>
      </c>
      <c r="AR20" s="26" t="str">
        <f t="shared" si="6"/>
        <v/>
      </c>
      <c r="AS20" s="27" t="str">
        <f t="shared" si="7"/>
        <v/>
      </c>
      <c r="AT20" s="27" t="str">
        <f t="shared" si="8"/>
        <v/>
      </c>
      <c r="AU20" s="19">
        <v>9.6999999999999993</v>
      </c>
      <c r="AV20" s="20">
        <v>160</v>
      </c>
      <c r="AW20" s="20"/>
      <c r="AX20" s="20"/>
      <c r="AY20" s="20"/>
      <c r="AZ20" s="20"/>
      <c r="BA20" s="26" t="str">
        <f t="shared" si="9"/>
        <v/>
      </c>
      <c r="BB20" s="20"/>
      <c r="BC20" s="4"/>
      <c r="BD20" s="4"/>
      <c r="BE20" s="26" t="str">
        <f t="shared" si="10"/>
        <v/>
      </c>
      <c r="BF20" s="26" t="str">
        <f t="shared" si="11"/>
        <v/>
      </c>
      <c r="BG20" s="26" t="str">
        <f t="shared" si="12"/>
        <v/>
      </c>
      <c r="BH20" s="26" t="str">
        <f t="shared" si="13"/>
        <v/>
      </c>
      <c r="BI20" s="27" t="str">
        <f t="shared" si="14"/>
        <v/>
      </c>
      <c r="BJ20" s="27" t="str">
        <f t="shared" si="15"/>
        <v/>
      </c>
      <c r="BK20" s="19">
        <v>9.6999999999999993</v>
      </c>
      <c r="BL20" s="20">
        <v>160</v>
      </c>
      <c r="BM20" s="20"/>
    </row>
    <row r="21" spans="1:65" x14ac:dyDescent="0.3">
      <c r="A21" s="12" t="s">
        <v>460</v>
      </c>
      <c r="B21" s="42">
        <v>20</v>
      </c>
      <c r="C21" s="13" t="s">
        <v>31</v>
      </c>
      <c r="D21" s="13"/>
      <c r="E21" s="13"/>
      <c r="F21" s="40" t="s">
        <v>246</v>
      </c>
      <c r="G21" s="13" t="s">
        <v>432</v>
      </c>
      <c r="H21" s="38">
        <v>202</v>
      </c>
      <c r="I21" s="38">
        <v>77633</v>
      </c>
      <c r="J21" s="38" t="s">
        <v>245</v>
      </c>
      <c r="K21" s="14">
        <v>46088</v>
      </c>
      <c r="L21" s="14" t="s">
        <v>461</v>
      </c>
      <c r="M21" s="14">
        <v>46088</v>
      </c>
      <c r="N21" s="14" t="s">
        <v>461</v>
      </c>
      <c r="O21" s="13" t="s">
        <v>51</v>
      </c>
      <c r="P21" s="13" t="s">
        <v>695</v>
      </c>
      <c r="Q21" s="13" t="s">
        <v>50</v>
      </c>
      <c r="R21" s="15">
        <v>540</v>
      </c>
      <c r="S21" s="15">
        <v>0</v>
      </c>
      <c r="T21" s="15">
        <v>8</v>
      </c>
      <c r="U21" s="22"/>
      <c r="V21" s="22">
        <v>548</v>
      </c>
      <c r="W21" s="22"/>
      <c r="X21" s="22"/>
      <c r="Y21" s="22"/>
      <c r="Z21" s="28">
        <f t="shared" si="0"/>
        <v>548</v>
      </c>
      <c r="AA21" s="15">
        <v>46040</v>
      </c>
      <c r="AB21" s="15">
        <v>32</v>
      </c>
      <c r="AC21" s="15">
        <v>45492</v>
      </c>
      <c r="AD21" s="17">
        <f t="shared" si="1"/>
        <v>45460</v>
      </c>
      <c r="AE21" s="15">
        <v>45492</v>
      </c>
      <c r="AF21" s="15">
        <v>45492</v>
      </c>
      <c r="AG21" s="15"/>
      <c r="AH21" s="22"/>
      <c r="AI21" s="22"/>
      <c r="AJ21" s="22"/>
      <c r="AK21" s="28" t="str">
        <f t="shared" si="2"/>
        <v/>
      </c>
      <c r="AL21" s="22"/>
      <c r="AM21" s="13"/>
      <c r="AN21" s="13"/>
      <c r="AO21" s="28" t="str">
        <f t="shared" si="3"/>
        <v/>
      </c>
      <c r="AP21" s="28" t="str">
        <f t="shared" si="4"/>
        <v/>
      </c>
      <c r="AQ21" s="28" t="str">
        <f t="shared" si="5"/>
        <v/>
      </c>
      <c r="AR21" s="28" t="str">
        <f t="shared" si="6"/>
        <v/>
      </c>
      <c r="AS21" s="29" t="str">
        <f t="shared" si="7"/>
        <v/>
      </c>
      <c r="AT21" s="29" t="str">
        <f t="shared" si="8"/>
        <v/>
      </c>
      <c r="AU21" s="21">
        <v>9.8000000000000007</v>
      </c>
      <c r="AV21" s="22">
        <v>168</v>
      </c>
      <c r="AW21" s="22"/>
      <c r="AX21" s="22"/>
      <c r="AY21" s="22"/>
      <c r="AZ21" s="22"/>
      <c r="BA21" s="28" t="str">
        <f t="shared" si="9"/>
        <v/>
      </c>
      <c r="BB21" s="22"/>
      <c r="BC21" s="13"/>
      <c r="BD21" s="13"/>
      <c r="BE21" s="28" t="str">
        <f t="shared" si="10"/>
        <v/>
      </c>
      <c r="BF21" s="28" t="str">
        <f t="shared" si="11"/>
        <v/>
      </c>
      <c r="BG21" s="28" t="str">
        <f t="shared" si="12"/>
        <v/>
      </c>
      <c r="BH21" s="28" t="str">
        <f t="shared" si="13"/>
        <v/>
      </c>
      <c r="BI21" s="29" t="str">
        <f t="shared" si="14"/>
        <v/>
      </c>
      <c r="BJ21" s="29" t="str">
        <f t="shared" si="15"/>
        <v/>
      </c>
      <c r="BK21" s="21">
        <v>9.8000000000000007</v>
      </c>
      <c r="BL21" s="22">
        <v>168</v>
      </c>
      <c r="BM21" s="22"/>
    </row>
    <row r="22" spans="1:65" x14ac:dyDescent="0.3">
      <c r="A22" s="3" t="s">
        <v>462</v>
      </c>
      <c r="B22" s="41">
        <v>21</v>
      </c>
      <c r="C22" s="4" t="s">
        <v>31</v>
      </c>
      <c r="D22" s="4"/>
      <c r="E22" s="4"/>
      <c r="F22" s="39" t="s">
        <v>252</v>
      </c>
      <c r="G22" s="4" t="s">
        <v>432</v>
      </c>
      <c r="H22" s="37">
        <v>225</v>
      </c>
      <c r="I22" s="37">
        <v>75589</v>
      </c>
      <c r="J22" s="37" t="s">
        <v>251</v>
      </c>
      <c r="K22" s="5">
        <v>46092</v>
      </c>
      <c r="L22" s="5" t="s">
        <v>463</v>
      </c>
      <c r="M22" s="5">
        <v>46092</v>
      </c>
      <c r="N22" s="5" t="s">
        <v>463</v>
      </c>
      <c r="O22" s="4" t="s">
        <v>22</v>
      </c>
      <c r="P22" s="4" t="s">
        <v>1217</v>
      </c>
      <c r="Q22" s="4" t="s">
        <v>136</v>
      </c>
      <c r="R22" s="6">
        <v>605</v>
      </c>
      <c r="S22" s="6">
        <v>0</v>
      </c>
      <c r="T22" s="6">
        <v>8</v>
      </c>
      <c r="U22" s="20"/>
      <c r="V22" s="20">
        <v>613</v>
      </c>
      <c r="W22" s="20"/>
      <c r="X22" s="20"/>
      <c r="Y22" s="20"/>
      <c r="Z22" s="26">
        <f t="shared" si="0"/>
        <v>613</v>
      </c>
      <c r="AA22" s="6">
        <v>48580</v>
      </c>
      <c r="AB22" s="6">
        <v>32</v>
      </c>
      <c r="AC22" s="6">
        <v>47967</v>
      </c>
      <c r="AD22" s="9">
        <f t="shared" si="1"/>
        <v>47935</v>
      </c>
      <c r="AE22" s="6">
        <v>47967</v>
      </c>
      <c r="AF22" s="6">
        <v>47967</v>
      </c>
      <c r="AG22" s="6"/>
      <c r="AH22" s="20"/>
      <c r="AI22" s="20"/>
      <c r="AJ22" s="20"/>
      <c r="AK22" s="26" t="str">
        <f t="shared" si="2"/>
        <v/>
      </c>
      <c r="AL22" s="20"/>
      <c r="AM22" s="4"/>
      <c r="AN22" s="4"/>
      <c r="AO22" s="26" t="str">
        <f t="shared" si="3"/>
        <v/>
      </c>
      <c r="AP22" s="26" t="str">
        <f t="shared" si="4"/>
        <v/>
      </c>
      <c r="AQ22" s="26" t="str">
        <f t="shared" si="5"/>
        <v/>
      </c>
      <c r="AR22" s="26" t="str">
        <f t="shared" si="6"/>
        <v/>
      </c>
      <c r="AS22" s="27" t="str">
        <f t="shared" si="7"/>
        <v/>
      </c>
      <c r="AT22" s="27" t="str">
        <f t="shared" si="8"/>
        <v/>
      </c>
      <c r="AU22" s="19">
        <v>9.9</v>
      </c>
      <c r="AV22" s="20">
        <v>185</v>
      </c>
      <c r="AW22" s="20"/>
      <c r="AX22" s="20"/>
      <c r="AY22" s="20"/>
      <c r="AZ22" s="20"/>
      <c r="BA22" s="26" t="str">
        <f t="shared" si="9"/>
        <v/>
      </c>
      <c r="BB22" s="20"/>
      <c r="BC22" s="4"/>
      <c r="BD22" s="4"/>
      <c r="BE22" s="26" t="str">
        <f t="shared" si="10"/>
        <v/>
      </c>
      <c r="BF22" s="26" t="str">
        <f t="shared" si="11"/>
        <v/>
      </c>
      <c r="BG22" s="26" t="str">
        <f t="shared" si="12"/>
        <v/>
      </c>
      <c r="BH22" s="26" t="str">
        <f t="shared" si="13"/>
        <v/>
      </c>
      <c r="BI22" s="27" t="str">
        <f t="shared" si="14"/>
        <v/>
      </c>
      <c r="BJ22" s="27" t="str">
        <f t="shared" si="15"/>
        <v/>
      </c>
      <c r="BK22" s="19">
        <v>9.9</v>
      </c>
      <c r="BL22" s="20">
        <v>185</v>
      </c>
      <c r="BM22" s="20"/>
    </row>
    <row r="23" spans="1:65" x14ac:dyDescent="0.3">
      <c r="A23" s="12" t="s">
        <v>464</v>
      </c>
      <c r="B23" s="42">
        <v>22</v>
      </c>
      <c r="C23" s="13" t="s">
        <v>31</v>
      </c>
      <c r="D23" s="13"/>
      <c r="E23" s="13"/>
      <c r="F23" s="40" t="s">
        <v>256</v>
      </c>
      <c r="G23" s="13" t="s">
        <v>432</v>
      </c>
      <c r="H23" s="38">
        <v>237</v>
      </c>
      <c r="I23" s="38">
        <v>72647</v>
      </c>
      <c r="J23" s="38" t="s">
        <v>255</v>
      </c>
      <c r="K23" s="14">
        <v>46093</v>
      </c>
      <c r="L23" s="14" t="s">
        <v>465</v>
      </c>
      <c r="M23" s="14">
        <v>46093</v>
      </c>
      <c r="N23" s="14" t="s">
        <v>465</v>
      </c>
      <c r="O23" s="13" t="s">
        <v>237</v>
      </c>
      <c r="P23" s="13" t="s">
        <v>1221</v>
      </c>
      <c r="Q23" s="13" t="s">
        <v>193</v>
      </c>
      <c r="R23" s="15">
        <v>506</v>
      </c>
      <c r="S23" s="15">
        <v>0</v>
      </c>
      <c r="T23" s="15">
        <v>10</v>
      </c>
      <c r="U23" s="22"/>
      <c r="V23" s="22">
        <v>516</v>
      </c>
      <c r="W23" s="22"/>
      <c r="X23" s="22"/>
      <c r="Y23" s="22"/>
      <c r="Z23" s="28">
        <f t="shared" si="0"/>
        <v>516</v>
      </c>
      <c r="AA23" s="15">
        <v>40300</v>
      </c>
      <c r="AB23" s="15">
        <v>40</v>
      </c>
      <c r="AC23" s="15">
        <v>39784</v>
      </c>
      <c r="AD23" s="17">
        <f t="shared" si="1"/>
        <v>39744</v>
      </c>
      <c r="AE23" s="15">
        <v>39784</v>
      </c>
      <c r="AF23" s="15">
        <v>39784</v>
      </c>
      <c r="AG23" s="15"/>
      <c r="AH23" s="22"/>
      <c r="AI23" s="22"/>
      <c r="AJ23" s="22"/>
      <c r="AK23" s="28" t="str">
        <f t="shared" si="2"/>
        <v/>
      </c>
      <c r="AL23" s="22"/>
      <c r="AM23" s="13"/>
      <c r="AN23" s="13"/>
      <c r="AO23" s="28" t="str">
        <f t="shared" si="3"/>
        <v/>
      </c>
      <c r="AP23" s="28" t="str">
        <f t="shared" si="4"/>
        <v/>
      </c>
      <c r="AQ23" s="28" t="str">
        <f t="shared" si="5"/>
        <v/>
      </c>
      <c r="AR23" s="28" t="str">
        <f t="shared" si="6"/>
        <v/>
      </c>
      <c r="AS23" s="29" t="str">
        <f t="shared" si="7"/>
        <v/>
      </c>
      <c r="AT23" s="29" t="str">
        <f t="shared" si="8"/>
        <v/>
      </c>
      <c r="AU23" s="21">
        <v>7.5</v>
      </c>
      <c r="AV23" s="22">
        <v>166</v>
      </c>
      <c r="AW23" s="22"/>
      <c r="AX23" s="22"/>
      <c r="AY23" s="22"/>
      <c r="AZ23" s="22"/>
      <c r="BA23" s="28" t="str">
        <f t="shared" si="9"/>
        <v/>
      </c>
      <c r="BB23" s="22"/>
      <c r="BC23" s="13"/>
      <c r="BD23" s="13"/>
      <c r="BE23" s="28" t="str">
        <f t="shared" si="10"/>
        <v/>
      </c>
      <c r="BF23" s="28" t="str">
        <f t="shared" si="11"/>
        <v/>
      </c>
      <c r="BG23" s="28" t="str">
        <f t="shared" si="12"/>
        <v/>
      </c>
      <c r="BH23" s="28" t="str">
        <f t="shared" si="13"/>
        <v/>
      </c>
      <c r="BI23" s="29" t="str">
        <f t="shared" si="14"/>
        <v/>
      </c>
      <c r="BJ23" s="29" t="str">
        <f t="shared" si="15"/>
        <v/>
      </c>
      <c r="BK23" s="21">
        <v>7.5</v>
      </c>
      <c r="BL23" s="22">
        <v>166</v>
      </c>
      <c r="BM23" s="22"/>
    </row>
    <row r="24" spans="1:65" x14ac:dyDescent="0.3">
      <c r="A24" s="3" t="s">
        <v>466</v>
      </c>
      <c r="B24" s="41">
        <v>23</v>
      </c>
      <c r="C24" s="4" t="s">
        <v>47</v>
      </c>
      <c r="D24" s="4"/>
      <c r="E24" s="4"/>
      <c r="F24" s="39" t="s">
        <v>259</v>
      </c>
      <c r="G24" s="4" t="s">
        <v>432</v>
      </c>
      <c r="H24" s="37">
        <v>246</v>
      </c>
      <c r="I24" s="37">
        <v>82147</v>
      </c>
      <c r="J24" s="37" t="s">
        <v>258</v>
      </c>
      <c r="K24" s="5">
        <v>46095</v>
      </c>
      <c r="L24" s="5" t="s">
        <v>467</v>
      </c>
      <c r="M24" s="5">
        <v>46095</v>
      </c>
      <c r="N24" s="5" t="s">
        <v>467</v>
      </c>
      <c r="O24" s="4" t="s">
        <v>42</v>
      </c>
      <c r="P24" s="4" t="s">
        <v>1211</v>
      </c>
      <c r="Q24" s="4" t="s">
        <v>41</v>
      </c>
      <c r="R24" s="6">
        <v>532</v>
      </c>
      <c r="S24" s="6">
        <v>0</v>
      </c>
      <c r="T24" s="6">
        <v>8</v>
      </c>
      <c r="U24" s="20"/>
      <c r="V24" s="20">
        <v>540</v>
      </c>
      <c r="W24" s="20"/>
      <c r="X24" s="20"/>
      <c r="Y24" s="20"/>
      <c r="Z24" s="26">
        <f t="shared" si="0"/>
        <v>540</v>
      </c>
      <c r="AA24" s="6">
        <v>44880</v>
      </c>
      <c r="AB24" s="6">
        <v>32</v>
      </c>
      <c r="AC24" s="6">
        <v>44340</v>
      </c>
      <c r="AD24" s="9">
        <f t="shared" si="1"/>
        <v>44308</v>
      </c>
      <c r="AE24" s="6">
        <v>44340</v>
      </c>
      <c r="AF24" s="6">
        <v>44340</v>
      </c>
      <c r="AG24" s="6"/>
      <c r="AH24" s="20"/>
      <c r="AI24" s="20"/>
      <c r="AJ24" s="20"/>
      <c r="AK24" s="26" t="str">
        <f t="shared" si="2"/>
        <v/>
      </c>
      <c r="AL24" s="20"/>
      <c r="AM24" s="4"/>
      <c r="AN24" s="4"/>
      <c r="AO24" s="26" t="str">
        <f t="shared" si="3"/>
        <v/>
      </c>
      <c r="AP24" s="26" t="str">
        <f t="shared" si="4"/>
        <v/>
      </c>
      <c r="AQ24" s="26" t="str">
        <f t="shared" si="5"/>
        <v/>
      </c>
      <c r="AR24" s="26" t="str">
        <f t="shared" si="6"/>
        <v/>
      </c>
      <c r="AS24" s="27" t="str">
        <f t="shared" si="7"/>
        <v/>
      </c>
      <c r="AT24" s="27" t="str">
        <f t="shared" si="8"/>
        <v/>
      </c>
      <c r="AU24" s="19">
        <v>8.6</v>
      </c>
      <c r="AV24" s="20">
        <v>166</v>
      </c>
      <c r="AW24" s="20"/>
      <c r="AX24" s="20"/>
      <c r="AY24" s="20"/>
      <c r="AZ24" s="20"/>
      <c r="BA24" s="26" t="str">
        <f t="shared" si="9"/>
        <v/>
      </c>
      <c r="BB24" s="20"/>
      <c r="BC24" s="4"/>
      <c r="BD24" s="4"/>
      <c r="BE24" s="26" t="str">
        <f t="shared" si="10"/>
        <v/>
      </c>
      <c r="BF24" s="26" t="str">
        <f t="shared" si="11"/>
        <v/>
      </c>
      <c r="BG24" s="26" t="str">
        <f t="shared" si="12"/>
        <v/>
      </c>
      <c r="BH24" s="26" t="str">
        <f t="shared" si="13"/>
        <v/>
      </c>
      <c r="BI24" s="27" t="str">
        <f t="shared" si="14"/>
        <v/>
      </c>
      <c r="BJ24" s="27" t="str">
        <f t="shared" si="15"/>
        <v/>
      </c>
      <c r="BK24" s="19">
        <v>8.6</v>
      </c>
      <c r="BL24" s="20">
        <v>166</v>
      </c>
      <c r="BM24" s="20"/>
    </row>
    <row r="25" spans="1:65" x14ac:dyDescent="0.3">
      <c r="A25" s="12" t="s">
        <v>468</v>
      </c>
      <c r="B25" s="42">
        <v>24</v>
      </c>
      <c r="C25" s="13" t="s">
        <v>31</v>
      </c>
      <c r="D25" s="13" t="s">
        <v>262</v>
      </c>
      <c r="E25" s="13"/>
      <c r="F25" s="40" t="s">
        <v>261</v>
      </c>
      <c r="G25" s="13" t="s">
        <v>432</v>
      </c>
      <c r="H25" s="38">
        <v>108</v>
      </c>
      <c r="I25" s="38">
        <v>82869</v>
      </c>
      <c r="J25" s="38" t="s">
        <v>127</v>
      </c>
      <c r="K25" s="14">
        <v>46096</v>
      </c>
      <c r="L25" s="14" t="s">
        <v>469</v>
      </c>
      <c r="M25" s="14">
        <v>46097</v>
      </c>
      <c r="N25" s="14" t="s">
        <v>470</v>
      </c>
      <c r="O25" s="13" t="s">
        <v>42</v>
      </c>
      <c r="P25" s="13" t="s">
        <v>695</v>
      </c>
      <c r="Q25" s="13" t="s">
        <v>50</v>
      </c>
      <c r="R25" s="15">
        <v>455</v>
      </c>
      <c r="S25" s="15">
        <v>0</v>
      </c>
      <c r="T25" s="15">
        <v>20</v>
      </c>
      <c r="U25" s="22"/>
      <c r="V25" s="22">
        <v>475</v>
      </c>
      <c r="W25" s="22"/>
      <c r="X25" s="22"/>
      <c r="Y25" s="22"/>
      <c r="Z25" s="28">
        <f t="shared" si="0"/>
        <v>475</v>
      </c>
      <c r="AA25" s="15">
        <v>39880</v>
      </c>
      <c r="AB25" s="15">
        <v>80</v>
      </c>
      <c r="AC25" s="15">
        <v>39405</v>
      </c>
      <c r="AD25" s="17">
        <f t="shared" si="1"/>
        <v>39325</v>
      </c>
      <c r="AE25" s="15">
        <v>39405</v>
      </c>
      <c r="AF25" s="15">
        <v>39405</v>
      </c>
      <c r="AG25" s="15"/>
      <c r="AH25" s="22"/>
      <c r="AI25" s="22"/>
      <c r="AJ25" s="22"/>
      <c r="AK25" s="28" t="str">
        <f t="shared" si="2"/>
        <v/>
      </c>
      <c r="AL25" s="22"/>
      <c r="AM25" s="13"/>
      <c r="AN25" s="13"/>
      <c r="AO25" s="28" t="str">
        <f t="shared" si="3"/>
        <v/>
      </c>
      <c r="AP25" s="28" t="str">
        <f t="shared" si="4"/>
        <v/>
      </c>
      <c r="AQ25" s="28" t="str">
        <f t="shared" si="5"/>
        <v/>
      </c>
      <c r="AR25" s="28" t="str">
        <f t="shared" si="6"/>
        <v/>
      </c>
      <c r="AS25" s="29" t="str">
        <f t="shared" si="7"/>
        <v/>
      </c>
      <c r="AT25" s="29" t="str">
        <f t="shared" si="8"/>
        <v/>
      </c>
      <c r="AU25" s="21">
        <v>12.2</v>
      </c>
      <c r="AV25" s="22">
        <v>189</v>
      </c>
      <c r="AW25" s="22"/>
      <c r="AX25" s="22"/>
      <c r="AY25" s="22"/>
      <c r="AZ25" s="22"/>
      <c r="BA25" s="28" t="str">
        <f t="shared" si="9"/>
        <v/>
      </c>
      <c r="BB25" s="22"/>
      <c r="BC25" s="13"/>
      <c r="BD25" s="13"/>
      <c r="BE25" s="28" t="str">
        <f t="shared" si="10"/>
        <v/>
      </c>
      <c r="BF25" s="28" t="str">
        <f t="shared" si="11"/>
        <v/>
      </c>
      <c r="BG25" s="28" t="str">
        <f t="shared" si="12"/>
        <v/>
      </c>
      <c r="BH25" s="28" t="str">
        <f t="shared" si="13"/>
        <v/>
      </c>
      <c r="BI25" s="29" t="str">
        <f t="shared" si="14"/>
        <v/>
      </c>
      <c r="BJ25" s="29" t="str">
        <f t="shared" si="15"/>
        <v/>
      </c>
      <c r="BK25" s="21">
        <v>12.2</v>
      </c>
      <c r="BL25" s="22">
        <v>189</v>
      </c>
      <c r="BM25" s="22"/>
    </row>
    <row r="26" spans="1:65" x14ac:dyDescent="0.3">
      <c r="A26" s="3" t="s">
        <v>471</v>
      </c>
      <c r="B26" s="41">
        <v>25</v>
      </c>
      <c r="C26" s="4" t="s">
        <v>31</v>
      </c>
      <c r="D26" s="4" t="s">
        <v>267</v>
      </c>
      <c r="E26" s="4"/>
      <c r="F26" s="39" t="s">
        <v>266</v>
      </c>
      <c r="G26" s="4" t="s">
        <v>432</v>
      </c>
      <c r="H26" s="37">
        <v>109</v>
      </c>
      <c r="I26" s="37">
        <v>82143</v>
      </c>
      <c r="J26" s="37" t="s">
        <v>265</v>
      </c>
      <c r="K26" s="5">
        <v>46096</v>
      </c>
      <c r="L26" s="5" t="s">
        <v>469</v>
      </c>
      <c r="M26" s="5">
        <v>46097</v>
      </c>
      <c r="N26" s="5" t="s">
        <v>470</v>
      </c>
      <c r="O26" s="4" t="s">
        <v>35</v>
      </c>
      <c r="P26" s="4" t="s">
        <v>698</v>
      </c>
      <c r="Q26" s="4" t="s">
        <v>58</v>
      </c>
      <c r="R26" s="6">
        <v>502</v>
      </c>
      <c r="S26" s="6">
        <v>0</v>
      </c>
      <c r="T26" s="6">
        <v>10</v>
      </c>
      <c r="U26" s="20"/>
      <c r="V26" s="20">
        <v>512</v>
      </c>
      <c r="W26" s="20"/>
      <c r="X26" s="20"/>
      <c r="Y26" s="20"/>
      <c r="Z26" s="26">
        <f t="shared" si="0"/>
        <v>512</v>
      </c>
      <c r="AA26" s="6">
        <v>43640</v>
      </c>
      <c r="AB26" s="6">
        <v>40</v>
      </c>
      <c r="AC26" s="6">
        <v>43128</v>
      </c>
      <c r="AD26" s="9">
        <f t="shared" si="1"/>
        <v>43088</v>
      </c>
      <c r="AE26" s="6">
        <v>43128</v>
      </c>
      <c r="AF26" s="6">
        <v>43128</v>
      </c>
      <c r="AG26" s="6"/>
      <c r="AH26" s="20"/>
      <c r="AI26" s="20"/>
      <c r="AJ26" s="20"/>
      <c r="AK26" s="26" t="str">
        <f t="shared" si="2"/>
        <v/>
      </c>
      <c r="AL26" s="20"/>
      <c r="AM26" s="4"/>
      <c r="AN26" s="4"/>
      <c r="AO26" s="26" t="str">
        <f t="shared" si="3"/>
        <v/>
      </c>
      <c r="AP26" s="26" t="str">
        <f t="shared" si="4"/>
        <v/>
      </c>
      <c r="AQ26" s="26" t="str">
        <f t="shared" si="5"/>
        <v/>
      </c>
      <c r="AR26" s="26" t="str">
        <f t="shared" si="6"/>
        <v/>
      </c>
      <c r="AS26" s="27" t="str">
        <f t="shared" si="7"/>
        <v/>
      </c>
      <c r="AT26" s="27" t="str">
        <f t="shared" si="8"/>
        <v/>
      </c>
      <c r="AU26" s="19">
        <v>11</v>
      </c>
      <c r="AV26" s="20">
        <v>164</v>
      </c>
      <c r="AW26" s="20"/>
      <c r="AX26" s="20"/>
      <c r="AY26" s="20"/>
      <c r="AZ26" s="20"/>
      <c r="BA26" s="26" t="str">
        <f t="shared" si="9"/>
        <v/>
      </c>
      <c r="BB26" s="20"/>
      <c r="BC26" s="4"/>
      <c r="BD26" s="4"/>
      <c r="BE26" s="26" t="str">
        <f t="shared" si="10"/>
        <v/>
      </c>
      <c r="BF26" s="26" t="str">
        <f t="shared" si="11"/>
        <v/>
      </c>
      <c r="BG26" s="26" t="str">
        <f t="shared" si="12"/>
        <v/>
      </c>
      <c r="BH26" s="26" t="str">
        <f t="shared" si="13"/>
        <v/>
      </c>
      <c r="BI26" s="27" t="str">
        <f t="shared" si="14"/>
        <v/>
      </c>
      <c r="BJ26" s="27" t="str">
        <f t="shared" si="15"/>
        <v/>
      </c>
      <c r="BK26" s="19">
        <v>11</v>
      </c>
      <c r="BL26" s="20">
        <v>164</v>
      </c>
      <c r="BM26" s="20"/>
    </row>
    <row r="27" spans="1:65" x14ac:dyDescent="0.3">
      <c r="A27" s="12" t="s">
        <v>472</v>
      </c>
      <c r="B27" s="42">
        <v>26</v>
      </c>
      <c r="C27" s="13" t="s">
        <v>23</v>
      </c>
      <c r="D27" s="13"/>
      <c r="E27" s="13"/>
      <c r="F27" s="40" t="s">
        <v>269</v>
      </c>
      <c r="G27" s="13" t="s">
        <v>432</v>
      </c>
      <c r="H27" s="38">
        <v>117</v>
      </c>
      <c r="I27" s="38">
        <v>82164</v>
      </c>
      <c r="J27" s="38" t="s">
        <v>189</v>
      </c>
      <c r="K27" s="14">
        <v>46098</v>
      </c>
      <c r="L27" s="14" t="s">
        <v>473</v>
      </c>
      <c r="M27" s="14">
        <v>46098</v>
      </c>
      <c r="N27" s="14" t="s">
        <v>473</v>
      </c>
      <c r="O27" s="13" t="s">
        <v>105</v>
      </c>
      <c r="P27" s="13" t="s">
        <v>1220</v>
      </c>
      <c r="Q27" s="13" t="s">
        <v>188</v>
      </c>
      <c r="R27" s="15">
        <v>469</v>
      </c>
      <c r="S27" s="15">
        <v>0</v>
      </c>
      <c r="T27" s="15">
        <v>10</v>
      </c>
      <c r="U27" s="22"/>
      <c r="V27" s="22">
        <v>479</v>
      </c>
      <c r="W27" s="22"/>
      <c r="X27" s="22"/>
      <c r="Y27" s="22"/>
      <c r="Z27" s="28">
        <f t="shared" si="0"/>
        <v>479</v>
      </c>
      <c r="AA27" s="15">
        <v>39920</v>
      </c>
      <c r="AB27" s="15">
        <v>40</v>
      </c>
      <c r="AC27" s="15">
        <v>39441</v>
      </c>
      <c r="AD27" s="17">
        <f t="shared" si="1"/>
        <v>39401</v>
      </c>
      <c r="AE27" s="15">
        <v>39441</v>
      </c>
      <c r="AF27" s="15">
        <v>39441</v>
      </c>
      <c r="AG27" s="15"/>
      <c r="AH27" s="22"/>
      <c r="AI27" s="22"/>
      <c r="AJ27" s="22"/>
      <c r="AK27" s="28" t="str">
        <f t="shared" si="2"/>
        <v/>
      </c>
      <c r="AL27" s="22"/>
      <c r="AM27" s="13"/>
      <c r="AN27" s="13"/>
      <c r="AO27" s="28" t="str">
        <f t="shared" si="3"/>
        <v/>
      </c>
      <c r="AP27" s="28" t="str">
        <f t="shared" si="4"/>
        <v/>
      </c>
      <c r="AQ27" s="28" t="str">
        <f t="shared" si="5"/>
        <v/>
      </c>
      <c r="AR27" s="28" t="str">
        <f t="shared" si="6"/>
        <v/>
      </c>
      <c r="AS27" s="29" t="str">
        <f t="shared" si="7"/>
        <v/>
      </c>
      <c r="AT27" s="29" t="str">
        <f t="shared" si="8"/>
        <v/>
      </c>
      <c r="AU27" s="21">
        <v>9.4</v>
      </c>
      <c r="AV27" s="22">
        <v>162</v>
      </c>
      <c r="AW27" s="22"/>
      <c r="AX27" s="22"/>
      <c r="AY27" s="22"/>
      <c r="AZ27" s="22"/>
      <c r="BA27" s="28" t="str">
        <f t="shared" si="9"/>
        <v/>
      </c>
      <c r="BB27" s="22"/>
      <c r="BC27" s="13"/>
      <c r="BD27" s="13"/>
      <c r="BE27" s="28" t="str">
        <f t="shared" si="10"/>
        <v/>
      </c>
      <c r="BF27" s="28" t="str">
        <f t="shared" si="11"/>
        <v/>
      </c>
      <c r="BG27" s="28" t="str">
        <f t="shared" si="12"/>
        <v/>
      </c>
      <c r="BH27" s="28" t="str">
        <f t="shared" si="13"/>
        <v/>
      </c>
      <c r="BI27" s="29" t="str">
        <f t="shared" si="14"/>
        <v/>
      </c>
      <c r="BJ27" s="29" t="str">
        <f t="shared" si="15"/>
        <v/>
      </c>
      <c r="BK27" s="21">
        <v>9.4</v>
      </c>
      <c r="BL27" s="22">
        <v>162</v>
      </c>
      <c r="BM27" s="22"/>
    </row>
    <row r="28" spans="1:65" x14ac:dyDescent="0.3">
      <c r="A28" s="3" t="s">
        <v>474</v>
      </c>
      <c r="B28" s="41">
        <v>27</v>
      </c>
      <c r="C28" s="4" t="s">
        <v>31</v>
      </c>
      <c r="D28" s="4"/>
      <c r="E28" s="4"/>
      <c r="F28" s="39" t="s">
        <v>272</v>
      </c>
      <c r="G28" s="4" t="s">
        <v>432</v>
      </c>
      <c r="H28" s="37">
        <v>130</v>
      </c>
      <c r="I28" s="37">
        <v>82151</v>
      </c>
      <c r="J28" s="37" t="s">
        <v>271</v>
      </c>
      <c r="K28" s="5">
        <v>46100</v>
      </c>
      <c r="L28" s="5" t="s">
        <v>475</v>
      </c>
      <c r="M28" s="5">
        <v>46103</v>
      </c>
      <c r="N28" s="5" t="s">
        <v>476</v>
      </c>
      <c r="O28" s="4" t="s">
        <v>234</v>
      </c>
      <c r="P28" s="4" t="s">
        <v>1215</v>
      </c>
      <c r="Q28" s="4" t="s">
        <v>102</v>
      </c>
      <c r="R28" s="6">
        <v>454</v>
      </c>
      <c r="S28" s="6">
        <v>0</v>
      </c>
      <c r="T28" s="6">
        <v>10</v>
      </c>
      <c r="U28" s="20"/>
      <c r="V28" s="20">
        <v>464</v>
      </c>
      <c r="W28" s="20"/>
      <c r="X28" s="20"/>
      <c r="Y28" s="20"/>
      <c r="Z28" s="26">
        <f t="shared" si="0"/>
        <v>464</v>
      </c>
      <c r="AA28" s="6">
        <v>40740</v>
      </c>
      <c r="AB28" s="6">
        <v>40</v>
      </c>
      <c r="AC28" s="6">
        <v>40276</v>
      </c>
      <c r="AD28" s="9">
        <f t="shared" si="1"/>
        <v>40236</v>
      </c>
      <c r="AE28" s="6">
        <v>40276</v>
      </c>
      <c r="AF28" s="6">
        <v>40276</v>
      </c>
      <c r="AG28" s="6"/>
      <c r="AH28" s="20"/>
      <c r="AI28" s="20"/>
      <c r="AJ28" s="20"/>
      <c r="AK28" s="26" t="str">
        <f t="shared" si="2"/>
        <v/>
      </c>
      <c r="AL28" s="20"/>
      <c r="AM28" s="4"/>
      <c r="AN28" s="4"/>
      <c r="AO28" s="26" t="str">
        <f t="shared" si="3"/>
        <v/>
      </c>
      <c r="AP28" s="26" t="str">
        <f t="shared" si="4"/>
        <v/>
      </c>
      <c r="AQ28" s="26" t="str">
        <f t="shared" si="5"/>
        <v/>
      </c>
      <c r="AR28" s="26" t="str">
        <f t="shared" si="6"/>
        <v/>
      </c>
      <c r="AS28" s="27" t="str">
        <f t="shared" si="7"/>
        <v/>
      </c>
      <c r="AT28" s="27" t="str">
        <f t="shared" si="8"/>
        <v/>
      </c>
      <c r="AU28" s="19">
        <v>10.3</v>
      </c>
      <c r="AV28" s="20">
        <v>163</v>
      </c>
      <c r="AW28" s="20"/>
      <c r="AX28" s="20"/>
      <c r="AY28" s="20"/>
      <c r="AZ28" s="20"/>
      <c r="BA28" s="26" t="str">
        <f t="shared" si="9"/>
        <v/>
      </c>
      <c r="BB28" s="20"/>
      <c r="BC28" s="4"/>
      <c r="BD28" s="4"/>
      <c r="BE28" s="26" t="str">
        <f t="shared" si="10"/>
        <v/>
      </c>
      <c r="BF28" s="26" t="str">
        <f t="shared" si="11"/>
        <v/>
      </c>
      <c r="BG28" s="26" t="str">
        <f t="shared" si="12"/>
        <v/>
      </c>
      <c r="BH28" s="26" t="str">
        <f t="shared" si="13"/>
        <v/>
      </c>
      <c r="BI28" s="27" t="str">
        <f t="shared" si="14"/>
        <v/>
      </c>
      <c r="BJ28" s="27" t="str">
        <f t="shared" si="15"/>
        <v/>
      </c>
      <c r="BK28" s="19">
        <v>10.3</v>
      </c>
      <c r="BL28" s="20">
        <v>163</v>
      </c>
      <c r="BM28" s="20"/>
    </row>
    <row r="29" spans="1:65" x14ac:dyDescent="0.3">
      <c r="A29" s="12" t="s">
        <v>477</v>
      </c>
      <c r="B29" s="42">
        <v>28</v>
      </c>
      <c r="C29" s="13" t="s">
        <v>31</v>
      </c>
      <c r="D29" s="13"/>
      <c r="E29" s="13"/>
      <c r="F29" s="40" t="s">
        <v>275</v>
      </c>
      <c r="G29" s="13" t="s">
        <v>432</v>
      </c>
      <c r="H29" s="38">
        <v>131</v>
      </c>
      <c r="I29" s="38">
        <v>82130</v>
      </c>
      <c r="J29" s="38" t="s">
        <v>156</v>
      </c>
      <c r="K29" s="14">
        <v>46102</v>
      </c>
      <c r="L29" s="14" t="s">
        <v>478</v>
      </c>
      <c r="M29" s="14">
        <v>46104</v>
      </c>
      <c r="N29" s="14" t="s">
        <v>479</v>
      </c>
      <c r="O29" s="13" t="s">
        <v>274</v>
      </c>
      <c r="P29" s="13" t="s">
        <v>1209</v>
      </c>
      <c r="Q29" s="13" t="s">
        <v>29</v>
      </c>
      <c r="R29" s="15">
        <v>662</v>
      </c>
      <c r="S29" s="15">
        <v>0</v>
      </c>
      <c r="T29" s="15">
        <v>16</v>
      </c>
      <c r="U29" s="22"/>
      <c r="V29" s="22">
        <v>678</v>
      </c>
      <c r="W29" s="22"/>
      <c r="X29" s="22"/>
      <c r="Y29" s="22"/>
      <c r="Z29" s="28">
        <f t="shared" si="0"/>
        <v>678</v>
      </c>
      <c r="AA29" s="15">
        <v>55220</v>
      </c>
      <c r="AB29" s="15">
        <v>64</v>
      </c>
      <c r="AC29" s="15">
        <v>54542</v>
      </c>
      <c r="AD29" s="17">
        <f t="shared" si="1"/>
        <v>54478</v>
      </c>
      <c r="AE29" s="15">
        <v>54542</v>
      </c>
      <c r="AF29" s="15">
        <v>54542</v>
      </c>
      <c r="AG29" s="15"/>
      <c r="AH29" s="22"/>
      <c r="AI29" s="22"/>
      <c r="AJ29" s="22"/>
      <c r="AK29" s="28" t="str">
        <f t="shared" si="2"/>
        <v/>
      </c>
      <c r="AL29" s="22"/>
      <c r="AM29" s="13"/>
      <c r="AN29" s="13"/>
      <c r="AO29" s="28" t="str">
        <f t="shared" si="3"/>
        <v/>
      </c>
      <c r="AP29" s="28" t="str">
        <f t="shared" si="4"/>
        <v/>
      </c>
      <c r="AQ29" s="28" t="str">
        <f t="shared" si="5"/>
        <v/>
      </c>
      <c r="AR29" s="28" t="str">
        <f t="shared" si="6"/>
        <v/>
      </c>
      <c r="AS29" s="29" t="str">
        <f t="shared" si="7"/>
        <v/>
      </c>
      <c r="AT29" s="29" t="str">
        <f t="shared" si="8"/>
        <v/>
      </c>
      <c r="AU29" s="21">
        <v>10.7</v>
      </c>
      <c r="AV29" s="22">
        <v>181</v>
      </c>
      <c r="AW29" s="22"/>
      <c r="AX29" s="22"/>
      <c r="AY29" s="22"/>
      <c r="AZ29" s="22"/>
      <c r="BA29" s="28" t="str">
        <f t="shared" si="9"/>
        <v/>
      </c>
      <c r="BB29" s="22"/>
      <c r="BC29" s="13"/>
      <c r="BD29" s="13"/>
      <c r="BE29" s="28" t="str">
        <f t="shared" si="10"/>
        <v/>
      </c>
      <c r="BF29" s="28" t="str">
        <f t="shared" si="11"/>
        <v/>
      </c>
      <c r="BG29" s="28" t="str">
        <f t="shared" si="12"/>
        <v/>
      </c>
      <c r="BH29" s="28" t="str">
        <f t="shared" si="13"/>
        <v/>
      </c>
      <c r="BI29" s="29" t="str">
        <f t="shared" si="14"/>
        <v/>
      </c>
      <c r="BJ29" s="29" t="str">
        <f t="shared" si="15"/>
        <v/>
      </c>
      <c r="BK29" s="21">
        <v>10.7</v>
      </c>
      <c r="BL29" s="22">
        <v>181</v>
      </c>
      <c r="BM29" s="22"/>
    </row>
    <row r="30" spans="1:65" x14ac:dyDescent="0.3">
      <c r="A30" s="3" t="s">
        <v>480</v>
      </c>
      <c r="B30" s="41">
        <v>29</v>
      </c>
      <c r="C30" s="4" t="s">
        <v>23</v>
      </c>
      <c r="D30" s="4"/>
      <c r="E30" s="4"/>
      <c r="F30" s="39" t="s">
        <v>279</v>
      </c>
      <c r="G30" s="4" t="s">
        <v>432</v>
      </c>
      <c r="H30" s="37">
        <v>133</v>
      </c>
      <c r="I30" s="37">
        <v>78072</v>
      </c>
      <c r="J30" s="37" t="s">
        <v>278</v>
      </c>
      <c r="K30" s="5">
        <v>46104</v>
      </c>
      <c r="L30" s="5" t="s">
        <v>479</v>
      </c>
      <c r="M30" s="5">
        <v>46104</v>
      </c>
      <c r="N30" s="5" t="s">
        <v>479</v>
      </c>
      <c r="O30" s="4" t="s">
        <v>234</v>
      </c>
      <c r="P30" s="4" t="s">
        <v>1219</v>
      </c>
      <c r="Q30" s="4" t="s">
        <v>147</v>
      </c>
      <c r="R30" s="6">
        <v>191</v>
      </c>
      <c r="S30" s="6">
        <v>0</v>
      </c>
      <c r="T30" s="6">
        <v>5</v>
      </c>
      <c r="U30" s="20"/>
      <c r="V30" s="20">
        <v>196</v>
      </c>
      <c r="W30" s="20"/>
      <c r="X30" s="20"/>
      <c r="Y30" s="20"/>
      <c r="Z30" s="26">
        <f t="shared" si="0"/>
        <v>196</v>
      </c>
      <c r="AA30" s="6">
        <v>18140</v>
      </c>
      <c r="AB30" s="6">
        <v>20</v>
      </c>
      <c r="AC30" s="6">
        <v>17944</v>
      </c>
      <c r="AD30" s="9">
        <f t="shared" si="1"/>
        <v>17924</v>
      </c>
      <c r="AE30" s="6">
        <v>17944</v>
      </c>
      <c r="AF30" s="6">
        <v>17944</v>
      </c>
      <c r="AG30" s="6"/>
      <c r="AH30" s="20"/>
      <c r="AI30" s="20"/>
      <c r="AJ30" s="20"/>
      <c r="AK30" s="26" t="str">
        <f t="shared" si="2"/>
        <v/>
      </c>
      <c r="AL30" s="20"/>
      <c r="AM30" s="4"/>
      <c r="AN30" s="4"/>
      <c r="AO30" s="26" t="str">
        <f t="shared" si="3"/>
        <v/>
      </c>
      <c r="AP30" s="26" t="str">
        <f t="shared" si="4"/>
        <v/>
      </c>
      <c r="AQ30" s="26" t="str">
        <f t="shared" si="5"/>
        <v/>
      </c>
      <c r="AR30" s="26" t="str">
        <f t="shared" si="6"/>
        <v/>
      </c>
      <c r="AS30" s="27" t="str">
        <f t="shared" si="7"/>
        <v/>
      </c>
      <c r="AT30" s="27" t="str">
        <f t="shared" si="8"/>
        <v/>
      </c>
      <c r="AU30" s="19">
        <v>10.1</v>
      </c>
      <c r="AV30" s="20">
        <v>163</v>
      </c>
      <c r="AW30" s="20"/>
      <c r="AX30" s="20"/>
      <c r="AY30" s="20"/>
      <c r="AZ30" s="20"/>
      <c r="BA30" s="26" t="str">
        <f t="shared" si="9"/>
        <v/>
      </c>
      <c r="BB30" s="20"/>
      <c r="BC30" s="4"/>
      <c r="BD30" s="4"/>
      <c r="BE30" s="26" t="str">
        <f t="shared" si="10"/>
        <v/>
      </c>
      <c r="BF30" s="26" t="str">
        <f t="shared" si="11"/>
        <v/>
      </c>
      <c r="BG30" s="26" t="str">
        <f t="shared" si="12"/>
        <v/>
      </c>
      <c r="BH30" s="26" t="str">
        <f t="shared" si="13"/>
        <v/>
      </c>
      <c r="BI30" s="27" t="str">
        <f t="shared" si="14"/>
        <v/>
      </c>
      <c r="BJ30" s="27" t="str">
        <f t="shared" si="15"/>
        <v/>
      </c>
      <c r="BK30" s="19">
        <v>10.1</v>
      </c>
      <c r="BL30" s="20">
        <v>163</v>
      </c>
      <c r="BM30" s="20"/>
    </row>
    <row r="31" spans="1:65" x14ac:dyDescent="0.3">
      <c r="A31" s="12" t="s">
        <v>481</v>
      </c>
      <c r="B31" s="42">
        <v>30</v>
      </c>
      <c r="C31" s="13"/>
      <c r="D31" s="13"/>
      <c r="E31" s="13"/>
      <c r="F31" s="40" t="s">
        <v>281</v>
      </c>
      <c r="G31" s="13" t="s">
        <v>432</v>
      </c>
      <c r="H31" s="38">
        <v>654</v>
      </c>
      <c r="I31" s="38">
        <v>83406</v>
      </c>
      <c r="J31" s="38" t="s">
        <v>184</v>
      </c>
      <c r="K31" s="14">
        <v>46107</v>
      </c>
      <c r="L31" s="14" t="s">
        <v>482</v>
      </c>
      <c r="M31" s="14">
        <v>46107</v>
      </c>
      <c r="N31" s="14" t="s">
        <v>482</v>
      </c>
      <c r="O31" s="13" t="s">
        <v>22</v>
      </c>
      <c r="P31" s="13" t="s">
        <v>1214</v>
      </c>
      <c r="Q31" s="13" t="s">
        <v>60</v>
      </c>
      <c r="R31" s="15">
        <v>563</v>
      </c>
      <c r="S31" s="15">
        <v>0</v>
      </c>
      <c r="T31" s="15">
        <v>9</v>
      </c>
      <c r="U31" s="22"/>
      <c r="V31" s="22">
        <v>572</v>
      </c>
      <c r="W31" s="22"/>
      <c r="X31" s="22"/>
      <c r="Y31" s="22"/>
      <c r="Z31" s="28">
        <f t="shared" si="0"/>
        <v>572</v>
      </c>
      <c r="AA31" s="15">
        <v>46300</v>
      </c>
      <c r="AB31" s="15">
        <v>36</v>
      </c>
      <c r="AC31" s="15">
        <v>45728</v>
      </c>
      <c r="AD31" s="17">
        <f t="shared" si="1"/>
        <v>45692</v>
      </c>
      <c r="AE31" s="15">
        <v>45728</v>
      </c>
      <c r="AF31" s="15">
        <v>45728</v>
      </c>
      <c r="AG31" s="15"/>
      <c r="AH31" s="22"/>
      <c r="AI31" s="22"/>
      <c r="AJ31" s="22"/>
      <c r="AK31" s="28" t="str">
        <f t="shared" si="2"/>
        <v/>
      </c>
      <c r="AL31" s="22"/>
      <c r="AM31" s="13"/>
      <c r="AN31" s="13"/>
      <c r="AO31" s="28" t="str">
        <f t="shared" si="3"/>
        <v/>
      </c>
      <c r="AP31" s="28" t="str">
        <f t="shared" si="4"/>
        <v/>
      </c>
      <c r="AQ31" s="28" t="str">
        <f t="shared" si="5"/>
        <v/>
      </c>
      <c r="AR31" s="28" t="str">
        <f t="shared" si="6"/>
        <v/>
      </c>
      <c r="AS31" s="29" t="str">
        <f t="shared" si="7"/>
        <v/>
      </c>
      <c r="AT31" s="29" t="str">
        <f t="shared" si="8"/>
        <v/>
      </c>
      <c r="AU31" s="21">
        <v>9.6</v>
      </c>
      <c r="AV31" s="22">
        <v>187</v>
      </c>
      <c r="AW31" s="22"/>
      <c r="AX31" s="22"/>
      <c r="AY31" s="22"/>
      <c r="AZ31" s="22"/>
      <c r="BA31" s="28" t="str">
        <f t="shared" si="9"/>
        <v/>
      </c>
      <c r="BB31" s="22"/>
      <c r="BC31" s="13"/>
      <c r="BD31" s="13"/>
      <c r="BE31" s="28" t="str">
        <f t="shared" si="10"/>
        <v/>
      </c>
      <c r="BF31" s="28" t="str">
        <f t="shared" si="11"/>
        <v/>
      </c>
      <c r="BG31" s="28" t="str">
        <f t="shared" si="12"/>
        <v/>
      </c>
      <c r="BH31" s="28" t="str">
        <f t="shared" si="13"/>
        <v/>
      </c>
      <c r="BI31" s="29" t="str">
        <f t="shared" si="14"/>
        <v/>
      </c>
      <c r="BJ31" s="29" t="str">
        <f t="shared" si="15"/>
        <v/>
      </c>
      <c r="BK31" s="21">
        <v>9.6</v>
      </c>
      <c r="BL31" s="22">
        <v>187</v>
      </c>
      <c r="BM31" s="22"/>
    </row>
    <row r="32" spans="1:65" x14ac:dyDescent="0.3">
      <c r="A32" s="3" t="s">
        <v>483</v>
      </c>
      <c r="B32" s="41">
        <v>31</v>
      </c>
      <c r="C32" s="4" t="s">
        <v>31</v>
      </c>
      <c r="D32" s="4"/>
      <c r="E32" s="4"/>
      <c r="F32" s="39" t="s">
        <v>284</v>
      </c>
      <c r="G32" s="4" t="s">
        <v>432</v>
      </c>
      <c r="H32" s="37">
        <v>147</v>
      </c>
      <c r="I32" s="37">
        <v>88279</v>
      </c>
      <c r="J32" s="37" t="s">
        <v>283</v>
      </c>
      <c r="K32" s="5">
        <v>46107</v>
      </c>
      <c r="L32" s="5" t="s">
        <v>482</v>
      </c>
      <c r="M32" s="5">
        <v>46107</v>
      </c>
      <c r="N32" s="5" t="s">
        <v>482</v>
      </c>
      <c r="O32" s="4" t="s">
        <v>30</v>
      </c>
      <c r="P32" s="4" t="s">
        <v>1213</v>
      </c>
      <c r="Q32" s="4" t="s">
        <v>55</v>
      </c>
      <c r="R32" s="6">
        <v>536</v>
      </c>
      <c r="S32" s="6">
        <v>0</v>
      </c>
      <c r="T32" s="6">
        <v>9</v>
      </c>
      <c r="U32" s="20"/>
      <c r="V32" s="20">
        <v>545</v>
      </c>
      <c r="W32" s="20"/>
      <c r="X32" s="20"/>
      <c r="Y32" s="20"/>
      <c r="Z32" s="26">
        <f t="shared" si="0"/>
        <v>545</v>
      </c>
      <c r="AA32" s="6">
        <v>45480</v>
      </c>
      <c r="AB32" s="6">
        <v>36</v>
      </c>
      <c r="AC32" s="6">
        <v>44935</v>
      </c>
      <c r="AD32" s="9">
        <f t="shared" si="1"/>
        <v>44899</v>
      </c>
      <c r="AE32" s="6">
        <v>44935</v>
      </c>
      <c r="AF32" s="6">
        <v>44935</v>
      </c>
      <c r="AG32" s="6"/>
      <c r="AH32" s="20"/>
      <c r="AI32" s="20"/>
      <c r="AJ32" s="20"/>
      <c r="AK32" s="26" t="str">
        <f t="shared" si="2"/>
        <v/>
      </c>
      <c r="AL32" s="20"/>
      <c r="AM32" s="4"/>
      <c r="AN32" s="4"/>
      <c r="AO32" s="26" t="str">
        <f t="shared" si="3"/>
        <v/>
      </c>
      <c r="AP32" s="26" t="str">
        <f t="shared" si="4"/>
        <v/>
      </c>
      <c r="AQ32" s="26" t="str">
        <f t="shared" si="5"/>
        <v/>
      </c>
      <c r="AR32" s="26" t="str">
        <f t="shared" si="6"/>
        <v/>
      </c>
      <c r="AS32" s="27" t="str">
        <f t="shared" si="7"/>
        <v/>
      </c>
      <c r="AT32" s="27" t="str">
        <f t="shared" si="8"/>
        <v/>
      </c>
      <c r="AU32" s="19">
        <v>8.1999999999999993</v>
      </c>
      <c r="AV32" s="20">
        <v>178</v>
      </c>
      <c r="AW32" s="20"/>
      <c r="AX32" s="20"/>
      <c r="AY32" s="20"/>
      <c r="AZ32" s="20"/>
      <c r="BA32" s="26" t="str">
        <f t="shared" si="9"/>
        <v/>
      </c>
      <c r="BB32" s="20"/>
      <c r="BC32" s="4"/>
      <c r="BD32" s="4"/>
      <c r="BE32" s="26" t="str">
        <f t="shared" si="10"/>
        <v/>
      </c>
      <c r="BF32" s="26" t="str">
        <f t="shared" si="11"/>
        <v/>
      </c>
      <c r="BG32" s="26" t="str">
        <f t="shared" si="12"/>
        <v/>
      </c>
      <c r="BH32" s="26" t="str">
        <f t="shared" si="13"/>
        <v/>
      </c>
      <c r="BI32" s="27" t="str">
        <f t="shared" si="14"/>
        <v/>
      </c>
      <c r="BJ32" s="27" t="str">
        <f t="shared" si="15"/>
        <v/>
      </c>
      <c r="BK32" s="19">
        <v>8.1999999999999993</v>
      </c>
      <c r="BL32" s="20">
        <v>178</v>
      </c>
      <c r="BM32" s="20"/>
    </row>
    <row r="33" spans="1:65" x14ac:dyDescent="0.3">
      <c r="A33" s="12" t="s">
        <v>484</v>
      </c>
      <c r="B33" s="42">
        <v>32</v>
      </c>
      <c r="C33" s="13"/>
      <c r="D33" s="13"/>
      <c r="E33" s="13"/>
      <c r="F33" s="40" t="s">
        <v>287</v>
      </c>
      <c r="G33" s="13" t="s">
        <v>432</v>
      </c>
      <c r="H33" s="38">
        <v>662</v>
      </c>
      <c r="I33" s="38">
        <v>82173</v>
      </c>
      <c r="J33" s="38" t="s">
        <v>286</v>
      </c>
      <c r="K33" s="14">
        <v>46113</v>
      </c>
      <c r="L33" s="14" t="s">
        <v>485</v>
      </c>
      <c r="M33" s="14">
        <v>46114</v>
      </c>
      <c r="N33" s="14" t="s">
        <v>486</v>
      </c>
      <c r="O33" s="13" t="s">
        <v>105</v>
      </c>
      <c r="P33" s="13" t="s">
        <v>1222</v>
      </c>
      <c r="Q33" s="13" t="s">
        <v>206</v>
      </c>
      <c r="R33" s="15">
        <v>470</v>
      </c>
      <c r="S33" s="15">
        <v>0</v>
      </c>
      <c r="T33" s="15">
        <v>20</v>
      </c>
      <c r="U33" s="22"/>
      <c r="V33" s="22">
        <v>490</v>
      </c>
      <c r="W33" s="22"/>
      <c r="X33" s="22"/>
      <c r="Y33" s="22"/>
      <c r="Z33" s="28">
        <f t="shared" si="0"/>
        <v>490</v>
      </c>
      <c r="AA33" s="15">
        <v>40440</v>
      </c>
      <c r="AB33" s="15">
        <v>80</v>
      </c>
      <c r="AC33" s="15">
        <v>39950</v>
      </c>
      <c r="AD33" s="17">
        <f t="shared" si="1"/>
        <v>39870</v>
      </c>
      <c r="AE33" s="15">
        <v>39950</v>
      </c>
      <c r="AF33" s="15">
        <v>39950</v>
      </c>
      <c r="AG33" s="15"/>
      <c r="AH33" s="22"/>
      <c r="AI33" s="22"/>
      <c r="AJ33" s="22"/>
      <c r="AK33" s="28" t="str">
        <f t="shared" si="2"/>
        <v/>
      </c>
      <c r="AL33" s="22"/>
      <c r="AM33" s="13"/>
      <c r="AN33" s="13"/>
      <c r="AO33" s="28" t="str">
        <f t="shared" si="3"/>
        <v/>
      </c>
      <c r="AP33" s="28" t="str">
        <f t="shared" si="4"/>
        <v/>
      </c>
      <c r="AQ33" s="28" t="str">
        <f t="shared" si="5"/>
        <v/>
      </c>
      <c r="AR33" s="28" t="str">
        <f t="shared" si="6"/>
        <v/>
      </c>
      <c r="AS33" s="29" t="str">
        <f t="shared" si="7"/>
        <v/>
      </c>
      <c r="AT33" s="29" t="str">
        <f t="shared" si="8"/>
        <v/>
      </c>
      <c r="AU33" s="21">
        <v>8.5</v>
      </c>
      <c r="AV33" s="22">
        <v>168</v>
      </c>
      <c r="AW33" s="22"/>
      <c r="AX33" s="22"/>
      <c r="AY33" s="22"/>
      <c r="AZ33" s="22"/>
      <c r="BA33" s="28" t="str">
        <f t="shared" si="9"/>
        <v/>
      </c>
      <c r="BB33" s="22"/>
      <c r="BC33" s="13"/>
      <c r="BD33" s="13"/>
      <c r="BE33" s="28" t="str">
        <f t="shared" si="10"/>
        <v/>
      </c>
      <c r="BF33" s="28" t="str">
        <f t="shared" si="11"/>
        <v/>
      </c>
      <c r="BG33" s="28" t="str">
        <f t="shared" si="12"/>
        <v/>
      </c>
      <c r="BH33" s="28" t="str">
        <f t="shared" si="13"/>
        <v/>
      </c>
      <c r="BI33" s="29" t="str">
        <f t="shared" si="14"/>
        <v/>
      </c>
      <c r="BJ33" s="29" t="str">
        <f t="shared" si="15"/>
        <v/>
      </c>
      <c r="BK33" s="21">
        <v>8.5</v>
      </c>
      <c r="BL33" s="22">
        <v>168</v>
      </c>
      <c r="BM33" s="22"/>
    </row>
    <row r="34" spans="1:65" x14ac:dyDescent="0.3">
      <c r="A34" s="3" t="s">
        <v>487</v>
      </c>
      <c r="B34" s="41">
        <v>33</v>
      </c>
      <c r="C34" s="4" t="s">
        <v>47</v>
      </c>
      <c r="D34" s="4"/>
      <c r="E34" s="4"/>
      <c r="F34" s="39" t="s">
        <v>291</v>
      </c>
      <c r="G34" s="4" t="s">
        <v>432</v>
      </c>
      <c r="H34" s="37">
        <v>1184</v>
      </c>
      <c r="I34" s="37">
        <v>80522</v>
      </c>
      <c r="J34" s="37" t="s">
        <v>290</v>
      </c>
      <c r="K34" s="5">
        <v>46118</v>
      </c>
      <c r="L34" s="5" t="s">
        <v>488</v>
      </c>
      <c r="M34" s="5">
        <v>46119</v>
      </c>
      <c r="N34" s="5" t="s">
        <v>489</v>
      </c>
      <c r="O34" s="4" t="s">
        <v>46</v>
      </c>
      <c r="P34" s="4" t="s">
        <v>1212</v>
      </c>
      <c r="Q34" s="4" t="s">
        <v>45</v>
      </c>
      <c r="R34" s="6">
        <v>130</v>
      </c>
      <c r="S34" s="6">
        <v>0</v>
      </c>
      <c r="T34" s="6">
        <v>19</v>
      </c>
      <c r="U34" s="20"/>
      <c r="V34" s="20">
        <v>149</v>
      </c>
      <c r="W34" s="20"/>
      <c r="X34" s="20"/>
      <c r="Y34" s="20"/>
      <c r="Z34" s="26">
        <f t="shared" ref="Z34:Z59" si="16">SUM(R34:U34)</f>
        <v>149</v>
      </c>
      <c r="AA34" s="6">
        <v>12240</v>
      </c>
      <c r="AB34" s="6">
        <v>76</v>
      </c>
      <c r="AC34" s="6">
        <v>12091</v>
      </c>
      <c r="AD34" s="9">
        <f t="shared" ref="AD34:AD65" si="17">IF(OR(AE34="",AB34=""),"",AE34-AB34)</f>
        <v>12015</v>
      </c>
      <c r="AE34" s="6">
        <v>12091</v>
      </c>
      <c r="AF34" s="6">
        <v>12091</v>
      </c>
      <c r="AG34" s="6"/>
      <c r="AH34" s="20"/>
      <c r="AI34" s="20"/>
      <c r="AJ34" s="20"/>
      <c r="AK34" s="26" t="str">
        <f t="shared" ref="AK34:AK65" si="18">IF(COUNTA(AH34:AJ34)=0,"",SUM(AH34:AJ34))</f>
        <v/>
      </c>
      <c r="AL34" s="20"/>
      <c r="AM34" s="4"/>
      <c r="AN34" s="4"/>
      <c r="AO34" s="26" t="str">
        <f t="shared" ref="AO34:AO65" si="19">IF(COUNTA(AL34:AN34)=0,"",SUM(AL34:AN34))</f>
        <v/>
      </c>
      <c r="AP34" s="26" t="str">
        <f t="shared" ref="AP34:AP59" si="20">IF(COUNTA(AL34:AN34)&lt;3,"",(AL34+0.5*(AM34+AN34))*0.17637)</f>
        <v/>
      </c>
      <c r="AQ34" s="26" t="str">
        <f t="shared" ref="AQ34:AQ59" si="21">IF(AO34="","",AO34*0.17637)</f>
        <v/>
      </c>
      <c r="AR34" s="26" t="str">
        <f t="shared" ref="AR34:AR59" si="22">IF(COUNTA(AJ34,AH34,AL34:AN34)=0,"",(AJ34+AH34+AL34+AM34+AN34)*0.17637)</f>
        <v/>
      </c>
      <c r="AS34" s="27" t="str">
        <f t="shared" ref="AS34:AS59" si="23">IF(AO34="","",AO34/1000)</f>
        <v/>
      </c>
      <c r="AT34" s="27" t="str">
        <f t="shared" ref="AT34:AT59" si="24">IF(COUNTA(AH34,AJ34,AL34:AN34)=0,"",SUM(AH34,AJ34,AL34:AN34)/1000)</f>
        <v/>
      </c>
      <c r="AU34" s="19">
        <v>11.7</v>
      </c>
      <c r="AV34" s="20">
        <v>160</v>
      </c>
      <c r="AW34" s="20"/>
      <c r="AX34" s="20"/>
      <c r="AY34" s="20"/>
      <c r="AZ34" s="20"/>
      <c r="BA34" s="26" t="str">
        <f t="shared" ref="BA34:BA65" si="25">IF(COUNTA(AX34:AZ34)=0,"",SUM(AX34:AZ34))</f>
        <v/>
      </c>
      <c r="BB34" s="20"/>
      <c r="BC34" s="4"/>
      <c r="BD34" s="4"/>
      <c r="BE34" s="26" t="str">
        <f t="shared" ref="BE34:BE65" si="26">IF(COUNTA(BB34:BD34)=0,"",SUM(BB34:BD34))</f>
        <v/>
      </c>
      <c r="BF34" s="26" t="str">
        <f t="shared" ref="BF34:BF59" si="27">IF(COUNTA(BB34:BD34)&lt;3,"",(BB34+0.5*(BC34+BD34))*0.17637)</f>
        <v/>
      </c>
      <c r="BG34" s="26" t="str">
        <f t="shared" ref="BG34:BG59" si="28">IF(BE34="","",BE34*0.17637)</f>
        <v/>
      </c>
      <c r="BH34" s="26" t="str">
        <f t="shared" ref="BH34:BH59" si="29">IF(COUNTA(AZ34,AX34,BB34:BD34)=0,"",(AZ34+AX34+BB34+BC34+BD34)*0.17637)</f>
        <v/>
      </c>
      <c r="BI34" s="27" t="str">
        <f t="shared" ref="BI34:BI59" si="30">IF(BE34="","",BE34/1000)</f>
        <v/>
      </c>
      <c r="BJ34" s="27" t="str">
        <f t="shared" ref="BJ34:BJ59" si="31">IF(COUNTA(AX34,AZ34,BB34:BD34)=0,"",SUM(AX34,AZ34,BB34:BD34)/1000)</f>
        <v/>
      </c>
      <c r="BK34" s="19">
        <v>11.7</v>
      </c>
      <c r="BL34" s="20">
        <v>160</v>
      </c>
      <c r="BM34" s="20"/>
    </row>
    <row r="35" spans="1:65" x14ac:dyDescent="0.3">
      <c r="A35" s="12" t="s">
        <v>490</v>
      </c>
      <c r="B35" s="42">
        <v>34</v>
      </c>
      <c r="C35" s="13"/>
      <c r="D35" s="13"/>
      <c r="E35" s="13"/>
      <c r="F35" s="40" t="s">
        <v>297</v>
      </c>
      <c r="G35" s="13" t="s">
        <v>432</v>
      </c>
      <c r="H35" s="38">
        <v>675</v>
      </c>
      <c r="I35" s="38">
        <v>78912</v>
      </c>
      <c r="J35" s="38" t="s">
        <v>296</v>
      </c>
      <c r="K35" s="14">
        <v>46122</v>
      </c>
      <c r="L35" s="14" t="s">
        <v>491</v>
      </c>
      <c r="M35" s="14">
        <v>46122</v>
      </c>
      <c r="N35" s="14" t="s">
        <v>491</v>
      </c>
      <c r="O35" s="13" t="s">
        <v>22</v>
      </c>
      <c r="P35" s="13" t="s">
        <v>1208</v>
      </c>
      <c r="Q35" s="13" t="s">
        <v>21</v>
      </c>
      <c r="R35" s="15">
        <v>612</v>
      </c>
      <c r="S35" s="15">
        <v>0</v>
      </c>
      <c r="T35" s="15">
        <v>46</v>
      </c>
      <c r="U35" s="22"/>
      <c r="V35" s="22">
        <v>658</v>
      </c>
      <c r="W35" s="22"/>
      <c r="X35" s="22"/>
      <c r="Y35" s="22"/>
      <c r="Z35" s="28">
        <f t="shared" si="16"/>
        <v>658</v>
      </c>
      <c r="AA35" s="15">
        <v>51020</v>
      </c>
      <c r="AB35" s="15">
        <v>184</v>
      </c>
      <c r="AC35" s="15">
        <v>50362</v>
      </c>
      <c r="AD35" s="17">
        <f t="shared" si="17"/>
        <v>50178</v>
      </c>
      <c r="AE35" s="15">
        <v>50362</v>
      </c>
      <c r="AF35" s="15">
        <v>50362</v>
      </c>
      <c r="AG35" s="15"/>
      <c r="AH35" s="22"/>
      <c r="AI35" s="22"/>
      <c r="AJ35" s="22"/>
      <c r="AK35" s="28" t="str">
        <f t="shared" si="18"/>
        <v/>
      </c>
      <c r="AL35" s="22"/>
      <c r="AM35" s="13"/>
      <c r="AN35" s="13"/>
      <c r="AO35" s="28" t="str">
        <f t="shared" si="19"/>
        <v/>
      </c>
      <c r="AP35" s="28" t="str">
        <f t="shared" si="20"/>
        <v/>
      </c>
      <c r="AQ35" s="28" t="str">
        <f t="shared" si="21"/>
        <v/>
      </c>
      <c r="AR35" s="28" t="str">
        <f t="shared" si="22"/>
        <v/>
      </c>
      <c r="AS35" s="29" t="str">
        <f t="shared" si="23"/>
        <v/>
      </c>
      <c r="AT35" s="29" t="str">
        <f t="shared" si="24"/>
        <v/>
      </c>
      <c r="AU35" s="21">
        <v>10.8</v>
      </c>
      <c r="AV35" s="22">
        <v>189</v>
      </c>
      <c r="AW35" s="22"/>
      <c r="AX35" s="22"/>
      <c r="AY35" s="22"/>
      <c r="AZ35" s="22"/>
      <c r="BA35" s="28" t="str">
        <f t="shared" si="25"/>
        <v/>
      </c>
      <c r="BB35" s="22"/>
      <c r="BC35" s="13"/>
      <c r="BD35" s="13"/>
      <c r="BE35" s="28" t="str">
        <f t="shared" si="26"/>
        <v/>
      </c>
      <c r="BF35" s="28" t="str">
        <f t="shared" si="27"/>
        <v/>
      </c>
      <c r="BG35" s="28" t="str">
        <f t="shared" si="28"/>
        <v/>
      </c>
      <c r="BH35" s="28" t="str">
        <f t="shared" si="29"/>
        <v/>
      </c>
      <c r="BI35" s="29" t="str">
        <f t="shared" si="30"/>
        <v/>
      </c>
      <c r="BJ35" s="29" t="str">
        <f t="shared" si="31"/>
        <v/>
      </c>
      <c r="BK35" s="21">
        <v>10.8</v>
      </c>
      <c r="BL35" s="22">
        <v>189</v>
      </c>
      <c r="BM35" s="22"/>
    </row>
    <row r="36" spans="1:65" x14ac:dyDescent="0.3">
      <c r="A36" s="3" t="s">
        <v>492</v>
      </c>
      <c r="B36" s="41">
        <v>35</v>
      </c>
      <c r="C36" s="4"/>
      <c r="D36" s="4"/>
      <c r="E36" s="4"/>
      <c r="F36" s="39" t="s">
        <v>300</v>
      </c>
      <c r="G36" s="4" t="s">
        <v>432</v>
      </c>
      <c r="H36" s="37">
        <v>679</v>
      </c>
      <c r="I36" s="37">
        <v>37970</v>
      </c>
      <c r="J36" s="37" t="s">
        <v>299</v>
      </c>
      <c r="K36" s="5">
        <v>46122</v>
      </c>
      <c r="L36" s="5" t="s">
        <v>491</v>
      </c>
      <c r="M36" s="5">
        <v>46122</v>
      </c>
      <c r="N36" s="5" t="s">
        <v>491</v>
      </c>
      <c r="O36" s="4" t="s">
        <v>30</v>
      </c>
      <c r="P36" s="4" t="s">
        <v>1210</v>
      </c>
      <c r="Q36" s="4" t="s">
        <v>38</v>
      </c>
      <c r="R36" s="6">
        <v>464</v>
      </c>
      <c r="S36" s="6">
        <v>0</v>
      </c>
      <c r="T36" s="6">
        <v>24</v>
      </c>
      <c r="U36" s="20"/>
      <c r="V36" s="20">
        <v>488</v>
      </c>
      <c r="W36" s="20"/>
      <c r="X36" s="20"/>
      <c r="Y36" s="20"/>
      <c r="Z36" s="26">
        <f t="shared" si="16"/>
        <v>488</v>
      </c>
      <c r="AA36" s="6">
        <v>42110</v>
      </c>
      <c r="AB36" s="6">
        <v>96</v>
      </c>
      <c r="AC36" s="6">
        <v>41622</v>
      </c>
      <c r="AD36" s="9">
        <f t="shared" si="17"/>
        <v>41526</v>
      </c>
      <c r="AE36" s="6">
        <v>41622</v>
      </c>
      <c r="AF36" s="6">
        <v>41622</v>
      </c>
      <c r="AG36" s="6"/>
      <c r="AH36" s="20"/>
      <c r="AI36" s="20"/>
      <c r="AJ36" s="20"/>
      <c r="AK36" s="26" t="str">
        <f t="shared" si="18"/>
        <v/>
      </c>
      <c r="AL36" s="20"/>
      <c r="AM36" s="4"/>
      <c r="AN36" s="4"/>
      <c r="AO36" s="26" t="str">
        <f t="shared" si="19"/>
        <v/>
      </c>
      <c r="AP36" s="26" t="str">
        <f t="shared" si="20"/>
        <v/>
      </c>
      <c r="AQ36" s="26" t="str">
        <f t="shared" si="21"/>
        <v/>
      </c>
      <c r="AR36" s="26" t="str">
        <f t="shared" si="22"/>
        <v/>
      </c>
      <c r="AS36" s="27" t="str">
        <f t="shared" si="23"/>
        <v/>
      </c>
      <c r="AT36" s="27" t="str">
        <f t="shared" si="24"/>
        <v/>
      </c>
      <c r="AU36" s="19">
        <v>13.7</v>
      </c>
      <c r="AV36" s="20">
        <v>166</v>
      </c>
      <c r="AW36" s="20"/>
      <c r="AX36" s="20"/>
      <c r="AY36" s="20"/>
      <c r="AZ36" s="20"/>
      <c r="BA36" s="26" t="str">
        <f t="shared" si="25"/>
        <v/>
      </c>
      <c r="BB36" s="20"/>
      <c r="BC36" s="4"/>
      <c r="BD36" s="4"/>
      <c r="BE36" s="26" t="str">
        <f t="shared" si="26"/>
        <v/>
      </c>
      <c r="BF36" s="26" t="str">
        <f t="shared" si="27"/>
        <v/>
      </c>
      <c r="BG36" s="26" t="str">
        <f t="shared" si="28"/>
        <v/>
      </c>
      <c r="BH36" s="26" t="str">
        <f t="shared" si="29"/>
        <v/>
      </c>
      <c r="BI36" s="27" t="str">
        <f t="shared" si="30"/>
        <v/>
      </c>
      <c r="BJ36" s="27" t="str">
        <f t="shared" si="31"/>
        <v/>
      </c>
      <c r="BK36" s="19">
        <v>13.7</v>
      </c>
      <c r="BL36" s="20">
        <v>166</v>
      </c>
      <c r="BM36" s="20"/>
    </row>
    <row r="37" spans="1:65" x14ac:dyDescent="0.3">
      <c r="A37" s="12" t="s">
        <v>493</v>
      </c>
      <c r="B37" s="42">
        <v>36</v>
      </c>
      <c r="C37" s="13" t="s">
        <v>31</v>
      </c>
      <c r="D37" s="13"/>
      <c r="E37" s="13"/>
      <c r="F37" s="40" t="s">
        <v>304</v>
      </c>
      <c r="G37" s="13" t="s">
        <v>432</v>
      </c>
      <c r="H37" s="38">
        <v>1109</v>
      </c>
      <c r="I37" s="38">
        <v>18448</v>
      </c>
      <c r="J37" s="38" t="s">
        <v>303</v>
      </c>
      <c r="K37" s="14">
        <v>46122</v>
      </c>
      <c r="L37" s="14" t="s">
        <v>491</v>
      </c>
      <c r="M37" s="14">
        <v>46123</v>
      </c>
      <c r="N37" s="14" t="s">
        <v>494</v>
      </c>
      <c r="O37" s="13" t="s">
        <v>51</v>
      </c>
      <c r="P37" s="13" t="s">
        <v>698</v>
      </c>
      <c r="Q37" s="13" t="s">
        <v>58</v>
      </c>
      <c r="R37" s="15">
        <v>427</v>
      </c>
      <c r="S37" s="15">
        <v>19</v>
      </c>
      <c r="T37" s="15">
        <v>0</v>
      </c>
      <c r="U37" s="22"/>
      <c r="V37" s="22">
        <v>446</v>
      </c>
      <c r="W37" s="22"/>
      <c r="X37" s="22"/>
      <c r="Y37" s="22"/>
      <c r="Z37" s="28">
        <f t="shared" si="16"/>
        <v>446</v>
      </c>
      <c r="AA37" s="15">
        <v>41680</v>
      </c>
      <c r="AB37" s="15">
        <v>152</v>
      </c>
      <c r="AC37" s="15">
        <v>41234</v>
      </c>
      <c r="AD37" s="17">
        <f t="shared" si="17"/>
        <v>41082</v>
      </c>
      <c r="AE37" s="15">
        <v>41234</v>
      </c>
      <c r="AF37" s="15">
        <v>41234</v>
      </c>
      <c r="AG37" s="15"/>
      <c r="AH37" s="22"/>
      <c r="AI37" s="22"/>
      <c r="AJ37" s="22"/>
      <c r="AK37" s="28" t="str">
        <f t="shared" si="18"/>
        <v/>
      </c>
      <c r="AL37" s="22"/>
      <c r="AM37" s="13"/>
      <c r="AN37" s="13"/>
      <c r="AO37" s="28" t="str">
        <f t="shared" si="19"/>
        <v/>
      </c>
      <c r="AP37" s="28" t="str">
        <f t="shared" si="20"/>
        <v/>
      </c>
      <c r="AQ37" s="28" t="str">
        <f t="shared" si="21"/>
        <v/>
      </c>
      <c r="AR37" s="28" t="str">
        <f t="shared" si="22"/>
        <v/>
      </c>
      <c r="AS37" s="29" t="str">
        <f t="shared" si="23"/>
        <v/>
      </c>
      <c r="AT37" s="29" t="str">
        <f t="shared" si="24"/>
        <v/>
      </c>
      <c r="AU37" s="21">
        <v>12.1</v>
      </c>
      <c r="AV37" s="22">
        <v>159</v>
      </c>
      <c r="AW37" s="22"/>
      <c r="AX37" s="22"/>
      <c r="AY37" s="22"/>
      <c r="AZ37" s="22"/>
      <c r="BA37" s="28" t="str">
        <f t="shared" si="25"/>
        <v/>
      </c>
      <c r="BB37" s="22"/>
      <c r="BC37" s="13"/>
      <c r="BD37" s="13"/>
      <c r="BE37" s="28" t="str">
        <f t="shared" si="26"/>
        <v/>
      </c>
      <c r="BF37" s="28" t="str">
        <f t="shared" si="27"/>
        <v/>
      </c>
      <c r="BG37" s="28" t="str">
        <f t="shared" si="28"/>
        <v/>
      </c>
      <c r="BH37" s="28" t="str">
        <f t="shared" si="29"/>
        <v/>
      </c>
      <c r="BI37" s="29" t="str">
        <f t="shared" si="30"/>
        <v/>
      </c>
      <c r="BJ37" s="29" t="str">
        <f t="shared" si="31"/>
        <v/>
      </c>
      <c r="BK37" s="21">
        <v>12.1</v>
      </c>
      <c r="BL37" s="22">
        <v>159</v>
      </c>
      <c r="BM37" s="22"/>
    </row>
    <row r="38" spans="1:65" x14ac:dyDescent="0.3">
      <c r="A38" s="3" t="s">
        <v>495</v>
      </c>
      <c r="B38" s="41">
        <v>37</v>
      </c>
      <c r="C38" s="4" t="s">
        <v>47</v>
      </c>
      <c r="D38" s="4"/>
      <c r="E38" s="4"/>
      <c r="F38" s="39" t="s">
        <v>309</v>
      </c>
      <c r="G38" s="4" t="s">
        <v>432</v>
      </c>
      <c r="H38" s="37">
        <v>1144</v>
      </c>
      <c r="I38" s="37">
        <v>19865</v>
      </c>
      <c r="J38" s="37" t="s">
        <v>308</v>
      </c>
      <c r="K38" s="5">
        <v>46128</v>
      </c>
      <c r="L38" s="5" t="s">
        <v>496</v>
      </c>
      <c r="M38" s="5">
        <v>46128</v>
      </c>
      <c r="N38" s="5" t="s">
        <v>496</v>
      </c>
      <c r="O38" s="4" t="s">
        <v>35</v>
      </c>
      <c r="P38" s="4" t="s">
        <v>734</v>
      </c>
      <c r="Q38" s="4" t="s">
        <v>34</v>
      </c>
      <c r="R38" s="6">
        <v>451</v>
      </c>
      <c r="S38" s="6">
        <v>0</v>
      </c>
      <c r="T38" s="6">
        <v>17</v>
      </c>
      <c r="U38" s="20"/>
      <c r="V38" s="20">
        <v>468</v>
      </c>
      <c r="W38" s="20"/>
      <c r="X38" s="20"/>
      <c r="Y38" s="20"/>
      <c r="Z38" s="26">
        <f t="shared" si="16"/>
        <v>468</v>
      </c>
      <c r="AA38" s="6">
        <v>39680</v>
      </c>
      <c r="AB38" s="6">
        <v>68</v>
      </c>
      <c r="AC38" s="6">
        <v>39212</v>
      </c>
      <c r="AD38" s="9">
        <f t="shared" si="17"/>
        <v>39144</v>
      </c>
      <c r="AE38" s="6">
        <v>39212</v>
      </c>
      <c r="AF38" s="6">
        <v>39212</v>
      </c>
      <c r="AG38" s="6"/>
      <c r="AH38" s="20"/>
      <c r="AI38" s="20"/>
      <c r="AJ38" s="20"/>
      <c r="AK38" s="26" t="str">
        <f t="shared" si="18"/>
        <v/>
      </c>
      <c r="AL38" s="20"/>
      <c r="AM38" s="4"/>
      <c r="AN38" s="4"/>
      <c r="AO38" s="26" t="str">
        <f t="shared" si="19"/>
        <v/>
      </c>
      <c r="AP38" s="26" t="str">
        <f t="shared" si="20"/>
        <v/>
      </c>
      <c r="AQ38" s="26" t="str">
        <f t="shared" si="21"/>
        <v/>
      </c>
      <c r="AR38" s="26" t="str">
        <f t="shared" si="22"/>
        <v/>
      </c>
      <c r="AS38" s="27" t="str">
        <f t="shared" si="23"/>
        <v/>
      </c>
      <c r="AT38" s="27" t="str">
        <f t="shared" si="24"/>
        <v/>
      </c>
      <c r="AU38" s="19">
        <v>9.4</v>
      </c>
      <c r="AV38" s="20">
        <v>160</v>
      </c>
      <c r="AW38" s="20"/>
      <c r="AX38" s="20"/>
      <c r="AY38" s="20"/>
      <c r="AZ38" s="20"/>
      <c r="BA38" s="26" t="str">
        <f t="shared" si="25"/>
        <v/>
      </c>
      <c r="BB38" s="20"/>
      <c r="BC38" s="4"/>
      <c r="BD38" s="4"/>
      <c r="BE38" s="26" t="str">
        <f t="shared" si="26"/>
        <v/>
      </c>
      <c r="BF38" s="26" t="str">
        <f t="shared" si="27"/>
        <v/>
      </c>
      <c r="BG38" s="26" t="str">
        <f t="shared" si="28"/>
        <v/>
      </c>
      <c r="BH38" s="26" t="str">
        <f t="shared" si="29"/>
        <v/>
      </c>
      <c r="BI38" s="27" t="str">
        <f t="shared" si="30"/>
        <v/>
      </c>
      <c r="BJ38" s="27" t="str">
        <f t="shared" si="31"/>
        <v/>
      </c>
      <c r="BK38" s="19">
        <v>9.4</v>
      </c>
      <c r="BL38" s="20">
        <v>160</v>
      </c>
      <c r="BM38" s="20"/>
    </row>
    <row r="39" spans="1:65" x14ac:dyDescent="0.3">
      <c r="A39" s="12" t="s">
        <v>497</v>
      </c>
      <c r="B39" s="42">
        <v>38</v>
      </c>
      <c r="C39" s="13" t="s">
        <v>47</v>
      </c>
      <c r="D39" s="13" t="s">
        <v>315</v>
      </c>
      <c r="E39" s="13"/>
      <c r="F39" s="40" t="s">
        <v>314</v>
      </c>
      <c r="G39" s="13" t="s">
        <v>432</v>
      </c>
      <c r="H39" s="38">
        <v>263</v>
      </c>
      <c r="I39" s="38">
        <v>87092</v>
      </c>
      <c r="J39" s="38" t="s">
        <v>312</v>
      </c>
      <c r="K39" s="14">
        <v>46130</v>
      </c>
      <c r="L39" s="14" t="s">
        <v>498</v>
      </c>
      <c r="M39" s="14">
        <v>46131</v>
      </c>
      <c r="N39" s="14" t="s">
        <v>499</v>
      </c>
      <c r="O39" s="13" t="s">
        <v>313</v>
      </c>
      <c r="P39" s="13" t="s">
        <v>1212</v>
      </c>
      <c r="Q39" s="13" t="s">
        <v>45</v>
      </c>
      <c r="R39" s="15">
        <v>336</v>
      </c>
      <c r="S39" s="15">
        <v>0</v>
      </c>
      <c r="T39" s="15">
        <v>11</v>
      </c>
      <c r="U39" s="22"/>
      <c r="V39" s="22">
        <v>347</v>
      </c>
      <c r="W39" s="22"/>
      <c r="X39" s="22"/>
      <c r="Y39" s="22"/>
      <c r="Z39" s="28">
        <f t="shared" si="16"/>
        <v>347</v>
      </c>
      <c r="AA39" s="15">
        <v>25360</v>
      </c>
      <c r="AB39" s="15">
        <v>44</v>
      </c>
      <c r="AC39" s="15">
        <v>25013</v>
      </c>
      <c r="AD39" s="17">
        <f t="shared" si="17"/>
        <v>24969</v>
      </c>
      <c r="AE39" s="15">
        <v>25013</v>
      </c>
      <c r="AF39" s="15">
        <v>25013</v>
      </c>
      <c r="AG39" s="15"/>
      <c r="AH39" s="22"/>
      <c r="AI39" s="22"/>
      <c r="AJ39" s="22"/>
      <c r="AK39" s="28" t="str">
        <f t="shared" si="18"/>
        <v/>
      </c>
      <c r="AL39" s="22"/>
      <c r="AM39" s="13"/>
      <c r="AN39" s="13"/>
      <c r="AO39" s="28" t="str">
        <f t="shared" si="19"/>
        <v/>
      </c>
      <c r="AP39" s="28" t="str">
        <f t="shared" si="20"/>
        <v/>
      </c>
      <c r="AQ39" s="28" t="str">
        <f t="shared" si="21"/>
        <v/>
      </c>
      <c r="AR39" s="28" t="str">
        <f t="shared" si="22"/>
        <v/>
      </c>
      <c r="AS39" s="29" t="str">
        <f t="shared" si="23"/>
        <v/>
      </c>
      <c r="AT39" s="29" t="str">
        <f t="shared" si="24"/>
        <v/>
      </c>
      <c r="AU39" s="21">
        <v>9.6999999999999993</v>
      </c>
      <c r="AV39" s="22">
        <v>160</v>
      </c>
      <c r="AW39" s="22"/>
      <c r="AX39" s="22"/>
      <c r="AY39" s="22"/>
      <c r="AZ39" s="22"/>
      <c r="BA39" s="28" t="str">
        <f t="shared" si="25"/>
        <v/>
      </c>
      <c r="BB39" s="22"/>
      <c r="BC39" s="13"/>
      <c r="BD39" s="13"/>
      <c r="BE39" s="28" t="str">
        <f t="shared" si="26"/>
        <v/>
      </c>
      <c r="BF39" s="28" t="str">
        <f t="shared" si="27"/>
        <v/>
      </c>
      <c r="BG39" s="28" t="str">
        <f t="shared" si="28"/>
        <v/>
      </c>
      <c r="BH39" s="28" t="str">
        <f t="shared" si="29"/>
        <v/>
      </c>
      <c r="BI39" s="29" t="str">
        <f t="shared" si="30"/>
        <v/>
      </c>
      <c r="BJ39" s="29" t="str">
        <f t="shared" si="31"/>
        <v/>
      </c>
      <c r="BK39" s="21">
        <v>9.6999999999999993</v>
      </c>
      <c r="BL39" s="22">
        <v>160</v>
      </c>
      <c r="BM39" s="22"/>
    </row>
    <row r="40" spans="1:65" x14ac:dyDescent="0.3">
      <c r="A40" s="3" t="s">
        <v>500</v>
      </c>
      <c r="B40" s="41">
        <v>39</v>
      </c>
      <c r="C40" s="4" t="s">
        <v>47</v>
      </c>
      <c r="D40" s="4"/>
      <c r="E40" s="4"/>
      <c r="F40" s="39" t="s">
        <v>321</v>
      </c>
      <c r="G40" s="4" t="s">
        <v>432</v>
      </c>
      <c r="H40" s="37">
        <v>286</v>
      </c>
      <c r="I40" s="37">
        <v>67796</v>
      </c>
      <c r="J40" s="37" t="s">
        <v>320</v>
      </c>
      <c r="K40" s="5">
        <v>46133</v>
      </c>
      <c r="L40" s="5" t="s">
        <v>501</v>
      </c>
      <c r="M40" s="5">
        <v>46134</v>
      </c>
      <c r="N40" s="5" t="s">
        <v>502</v>
      </c>
      <c r="O40" s="4" t="s">
        <v>105</v>
      </c>
      <c r="P40" s="4" t="s">
        <v>1221</v>
      </c>
      <c r="Q40" s="4" t="s">
        <v>193</v>
      </c>
      <c r="R40" s="6">
        <v>451</v>
      </c>
      <c r="S40" s="6">
        <v>0</v>
      </c>
      <c r="T40" s="6">
        <v>13</v>
      </c>
      <c r="U40" s="20"/>
      <c r="V40" s="20">
        <v>464</v>
      </c>
      <c r="W40" s="20"/>
      <c r="X40" s="20"/>
      <c r="Y40" s="20"/>
      <c r="Z40" s="26">
        <f t="shared" si="16"/>
        <v>464</v>
      </c>
      <c r="AA40" s="6">
        <v>41660</v>
      </c>
      <c r="AB40" s="6">
        <v>52</v>
      </c>
      <c r="AC40" s="6">
        <v>41196</v>
      </c>
      <c r="AD40" s="9">
        <f t="shared" si="17"/>
        <v>41144</v>
      </c>
      <c r="AE40" s="6">
        <v>41196</v>
      </c>
      <c r="AF40" s="6">
        <v>41196</v>
      </c>
      <c r="AG40" s="6"/>
      <c r="AH40" s="20"/>
      <c r="AI40" s="20"/>
      <c r="AJ40" s="20"/>
      <c r="AK40" s="26" t="str">
        <f t="shared" si="18"/>
        <v/>
      </c>
      <c r="AL40" s="20"/>
      <c r="AM40" s="4"/>
      <c r="AN40" s="4"/>
      <c r="AO40" s="26" t="str">
        <f t="shared" si="19"/>
        <v/>
      </c>
      <c r="AP40" s="26" t="str">
        <f t="shared" si="20"/>
        <v/>
      </c>
      <c r="AQ40" s="26" t="str">
        <f t="shared" si="21"/>
        <v/>
      </c>
      <c r="AR40" s="26" t="str">
        <f t="shared" si="22"/>
        <v/>
      </c>
      <c r="AS40" s="27" t="str">
        <f t="shared" si="23"/>
        <v/>
      </c>
      <c r="AT40" s="27" t="str">
        <f t="shared" si="24"/>
        <v/>
      </c>
      <c r="AU40" s="19">
        <v>9.1999999999999993</v>
      </c>
      <c r="AV40" s="20">
        <v>159</v>
      </c>
      <c r="AW40" s="20"/>
      <c r="AX40" s="20"/>
      <c r="AY40" s="20"/>
      <c r="AZ40" s="20"/>
      <c r="BA40" s="26" t="str">
        <f t="shared" si="25"/>
        <v/>
      </c>
      <c r="BB40" s="20"/>
      <c r="BC40" s="4"/>
      <c r="BD40" s="4"/>
      <c r="BE40" s="26" t="str">
        <f t="shared" si="26"/>
        <v/>
      </c>
      <c r="BF40" s="26" t="str">
        <f t="shared" si="27"/>
        <v/>
      </c>
      <c r="BG40" s="26" t="str">
        <f t="shared" si="28"/>
        <v/>
      </c>
      <c r="BH40" s="26" t="str">
        <f t="shared" si="29"/>
        <v/>
      </c>
      <c r="BI40" s="27" t="str">
        <f t="shared" si="30"/>
        <v/>
      </c>
      <c r="BJ40" s="27" t="str">
        <f t="shared" si="31"/>
        <v/>
      </c>
      <c r="BK40" s="19">
        <v>9.1999999999999993</v>
      </c>
      <c r="BL40" s="20">
        <v>159</v>
      </c>
      <c r="BM40" s="20"/>
    </row>
    <row r="41" spans="1:65" x14ac:dyDescent="0.3">
      <c r="A41" s="12" t="s">
        <v>503</v>
      </c>
      <c r="B41" s="42">
        <v>40</v>
      </c>
      <c r="C41" s="13" t="s">
        <v>47</v>
      </c>
      <c r="D41" s="13" t="s">
        <v>315</v>
      </c>
      <c r="E41" s="13"/>
      <c r="F41" s="40" t="s">
        <v>324</v>
      </c>
      <c r="G41" s="13" t="s">
        <v>432</v>
      </c>
      <c r="H41" s="38">
        <v>285</v>
      </c>
      <c r="I41" s="38">
        <v>19859</v>
      </c>
      <c r="J41" s="38" t="s">
        <v>323</v>
      </c>
      <c r="K41" s="14">
        <v>46134</v>
      </c>
      <c r="L41" s="14" t="s">
        <v>502</v>
      </c>
      <c r="M41" s="14">
        <v>46134</v>
      </c>
      <c r="N41" s="14" t="s">
        <v>502</v>
      </c>
      <c r="O41" s="13" t="s">
        <v>179</v>
      </c>
      <c r="P41" s="13" t="s">
        <v>734</v>
      </c>
      <c r="Q41" s="13" t="s">
        <v>34</v>
      </c>
      <c r="R41" s="15">
        <v>449</v>
      </c>
      <c r="S41" s="15">
        <v>0</v>
      </c>
      <c r="T41" s="15">
        <v>12</v>
      </c>
      <c r="U41" s="22"/>
      <c r="V41" s="22">
        <v>461</v>
      </c>
      <c r="W41" s="22"/>
      <c r="X41" s="22"/>
      <c r="Y41" s="22"/>
      <c r="Z41" s="28">
        <f t="shared" si="16"/>
        <v>461</v>
      </c>
      <c r="AA41" s="15">
        <v>39560</v>
      </c>
      <c r="AB41" s="15">
        <v>48</v>
      </c>
      <c r="AC41" s="15">
        <v>39099</v>
      </c>
      <c r="AD41" s="17">
        <f t="shared" si="17"/>
        <v>39051</v>
      </c>
      <c r="AE41" s="15">
        <v>39099</v>
      </c>
      <c r="AF41" s="15">
        <v>39099</v>
      </c>
      <c r="AG41" s="15"/>
      <c r="AH41" s="22"/>
      <c r="AI41" s="22"/>
      <c r="AJ41" s="22"/>
      <c r="AK41" s="28" t="str">
        <f t="shared" si="18"/>
        <v/>
      </c>
      <c r="AL41" s="22"/>
      <c r="AM41" s="13"/>
      <c r="AN41" s="13"/>
      <c r="AO41" s="28" t="str">
        <f t="shared" si="19"/>
        <v/>
      </c>
      <c r="AP41" s="28" t="str">
        <f t="shared" si="20"/>
        <v/>
      </c>
      <c r="AQ41" s="28" t="str">
        <f t="shared" si="21"/>
        <v/>
      </c>
      <c r="AR41" s="28" t="str">
        <f t="shared" si="22"/>
        <v/>
      </c>
      <c r="AS41" s="29" t="str">
        <f t="shared" si="23"/>
        <v/>
      </c>
      <c r="AT41" s="29" t="str">
        <f t="shared" si="24"/>
        <v/>
      </c>
      <c r="AU41" s="21">
        <v>9.1</v>
      </c>
      <c r="AV41" s="22">
        <v>168</v>
      </c>
      <c r="AW41" s="22"/>
      <c r="AX41" s="22"/>
      <c r="AY41" s="22"/>
      <c r="AZ41" s="22"/>
      <c r="BA41" s="28" t="str">
        <f t="shared" si="25"/>
        <v/>
      </c>
      <c r="BB41" s="22"/>
      <c r="BC41" s="13"/>
      <c r="BD41" s="13"/>
      <c r="BE41" s="28" t="str">
        <f t="shared" si="26"/>
        <v/>
      </c>
      <c r="BF41" s="28" t="str">
        <f t="shared" si="27"/>
        <v/>
      </c>
      <c r="BG41" s="28" t="str">
        <f t="shared" si="28"/>
        <v/>
      </c>
      <c r="BH41" s="28" t="str">
        <f t="shared" si="29"/>
        <v/>
      </c>
      <c r="BI41" s="29" t="str">
        <f t="shared" si="30"/>
        <v/>
      </c>
      <c r="BJ41" s="29" t="str">
        <f t="shared" si="31"/>
        <v/>
      </c>
      <c r="BK41" s="21">
        <v>9.1</v>
      </c>
      <c r="BL41" s="22">
        <v>168</v>
      </c>
      <c r="BM41" s="22"/>
    </row>
    <row r="42" spans="1:65" x14ac:dyDescent="0.3">
      <c r="A42" s="3" t="s">
        <v>504</v>
      </c>
      <c r="B42" s="41">
        <v>41</v>
      </c>
      <c r="C42" s="4" t="s">
        <v>31</v>
      </c>
      <c r="D42" s="4"/>
      <c r="E42" s="4"/>
      <c r="F42" s="39" t="s">
        <v>327</v>
      </c>
      <c r="G42" s="4" t="s">
        <v>432</v>
      </c>
      <c r="H42" s="37">
        <v>289</v>
      </c>
      <c r="I42" s="37">
        <v>38397</v>
      </c>
      <c r="J42" s="37" t="s">
        <v>326</v>
      </c>
      <c r="K42" s="5">
        <v>46134</v>
      </c>
      <c r="L42" s="5" t="s">
        <v>502</v>
      </c>
      <c r="M42" s="5">
        <v>46135</v>
      </c>
      <c r="N42" s="5" t="s">
        <v>505</v>
      </c>
      <c r="O42" s="4" t="s">
        <v>30</v>
      </c>
      <c r="P42" s="4" t="s">
        <v>1216</v>
      </c>
      <c r="Q42" s="4" t="s">
        <v>116</v>
      </c>
      <c r="R42" s="6">
        <v>446</v>
      </c>
      <c r="S42" s="6">
        <v>25</v>
      </c>
      <c r="T42" s="6">
        <v>0</v>
      </c>
      <c r="U42" s="20"/>
      <c r="V42" s="20">
        <v>471</v>
      </c>
      <c r="W42" s="20"/>
      <c r="X42" s="20"/>
      <c r="Y42" s="20"/>
      <c r="Z42" s="26">
        <f t="shared" si="16"/>
        <v>471</v>
      </c>
      <c r="AA42" s="6">
        <v>41220</v>
      </c>
      <c r="AB42" s="6">
        <v>200</v>
      </c>
      <c r="AC42" s="6">
        <v>40749</v>
      </c>
      <c r="AD42" s="9">
        <f t="shared" si="17"/>
        <v>40549</v>
      </c>
      <c r="AE42" s="6">
        <v>40749</v>
      </c>
      <c r="AF42" s="6">
        <v>40749</v>
      </c>
      <c r="AG42" s="6"/>
      <c r="AH42" s="20"/>
      <c r="AI42" s="20"/>
      <c r="AJ42" s="20"/>
      <c r="AK42" s="26" t="str">
        <f t="shared" si="18"/>
        <v/>
      </c>
      <c r="AL42" s="20"/>
      <c r="AM42" s="4"/>
      <c r="AN42" s="4"/>
      <c r="AO42" s="26" t="str">
        <f t="shared" si="19"/>
        <v/>
      </c>
      <c r="AP42" s="26" t="str">
        <f t="shared" si="20"/>
        <v/>
      </c>
      <c r="AQ42" s="26" t="str">
        <f t="shared" si="21"/>
        <v/>
      </c>
      <c r="AR42" s="26" t="str">
        <f t="shared" si="22"/>
        <v/>
      </c>
      <c r="AS42" s="27" t="str">
        <f t="shared" si="23"/>
        <v/>
      </c>
      <c r="AT42" s="27" t="str">
        <f t="shared" si="24"/>
        <v/>
      </c>
      <c r="AU42" s="19">
        <v>11.9</v>
      </c>
      <c r="AV42" s="20">
        <v>166</v>
      </c>
      <c r="AW42" s="20"/>
      <c r="AX42" s="20"/>
      <c r="AY42" s="20"/>
      <c r="AZ42" s="20"/>
      <c r="BA42" s="26" t="str">
        <f t="shared" si="25"/>
        <v/>
      </c>
      <c r="BB42" s="20"/>
      <c r="BC42" s="4"/>
      <c r="BD42" s="4"/>
      <c r="BE42" s="26" t="str">
        <f t="shared" si="26"/>
        <v/>
      </c>
      <c r="BF42" s="26" t="str">
        <f t="shared" si="27"/>
        <v/>
      </c>
      <c r="BG42" s="26" t="str">
        <f t="shared" si="28"/>
        <v/>
      </c>
      <c r="BH42" s="26" t="str">
        <f t="shared" si="29"/>
        <v/>
      </c>
      <c r="BI42" s="27" t="str">
        <f t="shared" si="30"/>
        <v/>
      </c>
      <c r="BJ42" s="27" t="str">
        <f t="shared" si="31"/>
        <v/>
      </c>
      <c r="BK42" s="19">
        <v>11.9</v>
      </c>
      <c r="BL42" s="20">
        <v>166</v>
      </c>
      <c r="BM42" s="20"/>
    </row>
    <row r="43" spans="1:65" x14ac:dyDescent="0.3">
      <c r="A43" s="12" t="s">
        <v>506</v>
      </c>
      <c r="B43" s="42">
        <v>42</v>
      </c>
      <c r="C43" s="13" t="s">
        <v>31</v>
      </c>
      <c r="D43" s="13"/>
      <c r="E43" s="13"/>
      <c r="F43" s="40" t="s">
        <v>330</v>
      </c>
      <c r="G43" s="13" t="s">
        <v>432</v>
      </c>
      <c r="H43" s="38">
        <v>296</v>
      </c>
      <c r="I43" s="38">
        <v>31708</v>
      </c>
      <c r="J43" s="38" t="s">
        <v>329</v>
      </c>
      <c r="K43" s="14">
        <v>46135</v>
      </c>
      <c r="L43" s="14" t="s">
        <v>505</v>
      </c>
      <c r="M43" s="14">
        <v>46136</v>
      </c>
      <c r="N43" s="14" t="s">
        <v>507</v>
      </c>
      <c r="O43" s="13" t="s">
        <v>42</v>
      </c>
      <c r="P43" s="13" t="s">
        <v>1217</v>
      </c>
      <c r="Q43" s="13" t="s">
        <v>136</v>
      </c>
      <c r="R43" s="15">
        <v>490</v>
      </c>
      <c r="S43" s="15">
        <v>20</v>
      </c>
      <c r="T43" s="15">
        <v>0</v>
      </c>
      <c r="U43" s="22"/>
      <c r="V43" s="22">
        <v>510</v>
      </c>
      <c r="W43" s="22"/>
      <c r="X43" s="22"/>
      <c r="Y43" s="22"/>
      <c r="Z43" s="28">
        <f t="shared" si="16"/>
        <v>510</v>
      </c>
      <c r="AA43" s="15">
        <v>40400</v>
      </c>
      <c r="AB43" s="15">
        <v>160</v>
      </c>
      <c r="AC43" s="15">
        <v>39890</v>
      </c>
      <c r="AD43" s="17">
        <f t="shared" si="17"/>
        <v>39730</v>
      </c>
      <c r="AE43" s="15">
        <v>39890</v>
      </c>
      <c r="AF43" s="15">
        <v>39890</v>
      </c>
      <c r="AG43" s="15"/>
      <c r="AH43" s="22"/>
      <c r="AI43" s="22"/>
      <c r="AJ43" s="22"/>
      <c r="AK43" s="28" t="str">
        <f t="shared" si="18"/>
        <v/>
      </c>
      <c r="AL43" s="22"/>
      <c r="AM43" s="13"/>
      <c r="AN43" s="13"/>
      <c r="AO43" s="28" t="str">
        <f t="shared" si="19"/>
        <v/>
      </c>
      <c r="AP43" s="28" t="str">
        <f t="shared" si="20"/>
        <v/>
      </c>
      <c r="AQ43" s="28" t="str">
        <f t="shared" si="21"/>
        <v/>
      </c>
      <c r="AR43" s="28" t="str">
        <f t="shared" si="22"/>
        <v/>
      </c>
      <c r="AS43" s="29" t="str">
        <f t="shared" si="23"/>
        <v/>
      </c>
      <c r="AT43" s="29" t="str">
        <f t="shared" si="24"/>
        <v/>
      </c>
      <c r="AU43" s="21">
        <v>11.7</v>
      </c>
      <c r="AV43" s="22">
        <v>184</v>
      </c>
      <c r="AW43" s="22"/>
      <c r="AX43" s="22"/>
      <c r="AY43" s="22"/>
      <c r="AZ43" s="22"/>
      <c r="BA43" s="28" t="str">
        <f t="shared" si="25"/>
        <v/>
      </c>
      <c r="BB43" s="22"/>
      <c r="BC43" s="13"/>
      <c r="BD43" s="13"/>
      <c r="BE43" s="28" t="str">
        <f t="shared" si="26"/>
        <v/>
      </c>
      <c r="BF43" s="28" t="str">
        <f t="shared" si="27"/>
        <v/>
      </c>
      <c r="BG43" s="28" t="str">
        <f t="shared" si="28"/>
        <v/>
      </c>
      <c r="BH43" s="28" t="str">
        <f t="shared" si="29"/>
        <v/>
      </c>
      <c r="BI43" s="29" t="str">
        <f t="shared" si="30"/>
        <v/>
      </c>
      <c r="BJ43" s="29" t="str">
        <f t="shared" si="31"/>
        <v/>
      </c>
      <c r="BK43" s="21">
        <v>11.7</v>
      </c>
      <c r="BL43" s="22">
        <v>184</v>
      </c>
      <c r="BM43" s="22"/>
    </row>
    <row r="44" spans="1:65" x14ac:dyDescent="0.3">
      <c r="A44" s="3" t="s">
        <v>508</v>
      </c>
      <c r="B44" s="41">
        <v>43</v>
      </c>
      <c r="C44" s="4" t="s">
        <v>31</v>
      </c>
      <c r="D44" s="4"/>
      <c r="E44" s="4"/>
      <c r="F44" s="39" t="s">
        <v>333</v>
      </c>
      <c r="G44" s="4" t="s">
        <v>432</v>
      </c>
      <c r="H44" s="37">
        <v>356</v>
      </c>
      <c r="I44" s="37">
        <v>18679</v>
      </c>
      <c r="J44" s="37" t="s">
        <v>332</v>
      </c>
      <c r="K44" s="5">
        <v>46136</v>
      </c>
      <c r="L44" s="5" t="s">
        <v>507</v>
      </c>
      <c r="M44" s="5">
        <v>46137</v>
      </c>
      <c r="N44" s="5" t="s">
        <v>509</v>
      </c>
      <c r="O44" s="4" t="s">
        <v>51</v>
      </c>
      <c r="P44" s="4" t="s">
        <v>1218</v>
      </c>
      <c r="Q44" s="4" t="s">
        <v>141</v>
      </c>
      <c r="R44" s="6">
        <v>515</v>
      </c>
      <c r="S44" s="6">
        <v>20</v>
      </c>
      <c r="T44" s="6">
        <v>0</v>
      </c>
      <c r="U44" s="20"/>
      <c r="V44" s="20">
        <v>535</v>
      </c>
      <c r="W44" s="20"/>
      <c r="X44" s="20"/>
      <c r="Y44" s="20"/>
      <c r="Z44" s="26">
        <f t="shared" si="16"/>
        <v>535</v>
      </c>
      <c r="AA44" s="6">
        <v>46840</v>
      </c>
      <c r="AB44" s="6">
        <v>160</v>
      </c>
      <c r="AC44" s="6">
        <v>46305</v>
      </c>
      <c r="AD44" s="9">
        <f t="shared" si="17"/>
        <v>46145</v>
      </c>
      <c r="AE44" s="6">
        <v>46305</v>
      </c>
      <c r="AF44" s="6">
        <v>46305</v>
      </c>
      <c r="AG44" s="6"/>
      <c r="AH44" s="20"/>
      <c r="AI44" s="20"/>
      <c r="AJ44" s="20"/>
      <c r="AK44" s="26" t="str">
        <f t="shared" si="18"/>
        <v/>
      </c>
      <c r="AL44" s="20"/>
      <c r="AM44" s="4"/>
      <c r="AN44" s="4"/>
      <c r="AO44" s="26" t="str">
        <f t="shared" si="19"/>
        <v/>
      </c>
      <c r="AP44" s="26" t="str">
        <f t="shared" si="20"/>
        <v/>
      </c>
      <c r="AQ44" s="26" t="str">
        <f t="shared" si="21"/>
        <v/>
      </c>
      <c r="AR44" s="26" t="str">
        <f t="shared" si="22"/>
        <v/>
      </c>
      <c r="AS44" s="27" t="str">
        <f t="shared" si="23"/>
        <v/>
      </c>
      <c r="AT44" s="27" t="str">
        <f t="shared" si="24"/>
        <v/>
      </c>
      <c r="AU44" s="19">
        <v>11</v>
      </c>
      <c r="AV44" s="20">
        <v>160</v>
      </c>
      <c r="AW44" s="20"/>
      <c r="AX44" s="20"/>
      <c r="AY44" s="20"/>
      <c r="AZ44" s="20"/>
      <c r="BA44" s="26" t="str">
        <f t="shared" si="25"/>
        <v/>
      </c>
      <c r="BB44" s="20"/>
      <c r="BC44" s="4"/>
      <c r="BD44" s="4"/>
      <c r="BE44" s="26" t="str">
        <f t="shared" si="26"/>
        <v/>
      </c>
      <c r="BF44" s="26" t="str">
        <f t="shared" si="27"/>
        <v/>
      </c>
      <c r="BG44" s="26" t="str">
        <f t="shared" si="28"/>
        <v/>
      </c>
      <c r="BH44" s="26" t="str">
        <f t="shared" si="29"/>
        <v/>
      </c>
      <c r="BI44" s="27" t="str">
        <f t="shared" si="30"/>
        <v/>
      </c>
      <c r="BJ44" s="27" t="str">
        <f t="shared" si="31"/>
        <v/>
      </c>
      <c r="BK44" s="19">
        <v>11</v>
      </c>
      <c r="BL44" s="20">
        <v>160</v>
      </c>
      <c r="BM44" s="20"/>
    </row>
    <row r="45" spans="1:65" x14ac:dyDescent="0.3">
      <c r="A45" s="12" t="s">
        <v>510</v>
      </c>
      <c r="B45" s="42">
        <v>44</v>
      </c>
      <c r="C45" s="13"/>
      <c r="D45" s="13"/>
      <c r="E45" s="13"/>
      <c r="F45" s="40" t="s">
        <v>336</v>
      </c>
      <c r="G45" s="13" t="s">
        <v>432</v>
      </c>
      <c r="H45" s="38">
        <v>722</v>
      </c>
      <c r="I45" s="38">
        <v>32358</v>
      </c>
      <c r="J45" s="38" t="s">
        <v>1231</v>
      </c>
      <c r="K45" s="14">
        <v>46136</v>
      </c>
      <c r="L45" s="14" t="s">
        <v>507</v>
      </c>
      <c r="M45" s="14">
        <v>46137</v>
      </c>
      <c r="N45" s="14" t="s">
        <v>509</v>
      </c>
      <c r="O45" s="13" t="s">
        <v>335</v>
      </c>
      <c r="P45" s="13" t="s">
        <v>1210</v>
      </c>
      <c r="Q45" s="13" t="s">
        <v>38</v>
      </c>
      <c r="R45" s="15">
        <v>503</v>
      </c>
      <c r="S45" s="15">
        <v>30</v>
      </c>
      <c r="T45" s="15">
        <v>0</v>
      </c>
      <c r="U45" s="22"/>
      <c r="V45" s="22">
        <v>533</v>
      </c>
      <c r="W45" s="22"/>
      <c r="X45" s="22"/>
      <c r="Y45" s="22"/>
      <c r="Z45" s="28">
        <f t="shared" si="16"/>
        <v>533</v>
      </c>
      <c r="AA45" s="15">
        <v>46090</v>
      </c>
      <c r="AB45" s="15">
        <v>240</v>
      </c>
      <c r="AC45" s="15">
        <v>45557</v>
      </c>
      <c r="AD45" s="17">
        <f t="shared" si="17"/>
        <v>45317</v>
      </c>
      <c r="AE45" s="15">
        <v>45557</v>
      </c>
      <c r="AF45" s="15">
        <v>45557</v>
      </c>
      <c r="AG45" s="15"/>
      <c r="AH45" s="22"/>
      <c r="AI45" s="22"/>
      <c r="AJ45" s="22"/>
      <c r="AK45" s="28" t="str">
        <f t="shared" si="18"/>
        <v/>
      </c>
      <c r="AL45" s="22"/>
      <c r="AM45" s="13"/>
      <c r="AN45" s="13"/>
      <c r="AO45" s="28" t="str">
        <f t="shared" si="19"/>
        <v/>
      </c>
      <c r="AP45" s="28" t="str">
        <f t="shared" si="20"/>
        <v/>
      </c>
      <c r="AQ45" s="28" t="str">
        <f t="shared" si="21"/>
        <v/>
      </c>
      <c r="AR45" s="28" t="str">
        <f t="shared" si="22"/>
        <v/>
      </c>
      <c r="AS45" s="29" t="str">
        <f t="shared" si="23"/>
        <v/>
      </c>
      <c r="AT45" s="29" t="str">
        <f t="shared" si="24"/>
        <v/>
      </c>
      <c r="AU45" s="21">
        <v>14.2</v>
      </c>
      <c r="AV45" s="22">
        <v>160</v>
      </c>
      <c r="AW45" s="22"/>
      <c r="AX45" s="22"/>
      <c r="AY45" s="22"/>
      <c r="AZ45" s="22"/>
      <c r="BA45" s="28" t="str">
        <f t="shared" si="25"/>
        <v/>
      </c>
      <c r="BB45" s="22"/>
      <c r="BC45" s="13"/>
      <c r="BD45" s="13"/>
      <c r="BE45" s="28" t="str">
        <f t="shared" si="26"/>
        <v/>
      </c>
      <c r="BF45" s="28" t="str">
        <f t="shared" si="27"/>
        <v/>
      </c>
      <c r="BG45" s="28" t="str">
        <f t="shared" si="28"/>
        <v/>
      </c>
      <c r="BH45" s="28" t="str">
        <f t="shared" si="29"/>
        <v/>
      </c>
      <c r="BI45" s="29" t="str">
        <f t="shared" si="30"/>
        <v/>
      </c>
      <c r="BJ45" s="29" t="str">
        <f t="shared" si="31"/>
        <v/>
      </c>
      <c r="BK45" s="21">
        <v>14.2</v>
      </c>
      <c r="BL45" s="22">
        <v>160</v>
      </c>
      <c r="BM45" s="22"/>
    </row>
    <row r="46" spans="1:65" x14ac:dyDescent="0.3">
      <c r="A46" s="3" t="s">
        <v>511</v>
      </c>
      <c r="B46" s="41">
        <v>45</v>
      </c>
      <c r="C46" s="4" t="s">
        <v>31</v>
      </c>
      <c r="D46" s="4"/>
      <c r="E46" s="4"/>
      <c r="F46" s="39" t="s">
        <v>340</v>
      </c>
      <c r="G46" s="4" t="s">
        <v>432</v>
      </c>
      <c r="H46" s="37">
        <v>386</v>
      </c>
      <c r="I46" s="37">
        <v>18615</v>
      </c>
      <c r="J46" s="37" t="s">
        <v>339</v>
      </c>
      <c r="K46" s="5">
        <v>46144</v>
      </c>
      <c r="L46" s="5" t="s">
        <v>512</v>
      </c>
      <c r="M46" s="5">
        <v>46144</v>
      </c>
      <c r="N46" s="5" t="s">
        <v>512</v>
      </c>
      <c r="O46" s="4" t="s">
        <v>51</v>
      </c>
      <c r="P46" s="4" t="s">
        <v>695</v>
      </c>
      <c r="Q46" s="4" t="s">
        <v>50</v>
      </c>
      <c r="R46" s="6">
        <v>511</v>
      </c>
      <c r="S46" s="6">
        <v>35</v>
      </c>
      <c r="T46" s="6">
        <v>0</v>
      </c>
      <c r="U46" s="20"/>
      <c r="V46" s="20">
        <v>546</v>
      </c>
      <c r="W46" s="20"/>
      <c r="X46" s="20"/>
      <c r="Y46" s="20"/>
      <c r="Z46" s="26">
        <f t="shared" si="16"/>
        <v>546</v>
      </c>
      <c r="AA46" s="6">
        <v>45740</v>
      </c>
      <c r="AB46" s="6">
        <v>280</v>
      </c>
      <c r="AC46" s="6">
        <v>45194</v>
      </c>
      <c r="AD46" s="9">
        <f t="shared" si="17"/>
        <v>44914</v>
      </c>
      <c r="AE46" s="6">
        <v>45194</v>
      </c>
      <c r="AF46" s="6">
        <v>45194</v>
      </c>
      <c r="AG46" s="6"/>
      <c r="AH46" s="20"/>
      <c r="AI46" s="20"/>
      <c r="AJ46" s="20"/>
      <c r="AK46" s="26" t="str">
        <f t="shared" si="18"/>
        <v/>
      </c>
      <c r="AL46" s="20"/>
      <c r="AM46" s="4"/>
      <c r="AN46" s="4"/>
      <c r="AO46" s="26" t="str">
        <f t="shared" si="19"/>
        <v/>
      </c>
      <c r="AP46" s="26" t="str">
        <f t="shared" si="20"/>
        <v/>
      </c>
      <c r="AQ46" s="26" t="str">
        <f t="shared" si="21"/>
        <v/>
      </c>
      <c r="AR46" s="26" t="str">
        <f t="shared" si="22"/>
        <v/>
      </c>
      <c r="AS46" s="27" t="str">
        <f t="shared" si="23"/>
        <v/>
      </c>
      <c r="AT46" s="27" t="str">
        <f t="shared" si="24"/>
        <v/>
      </c>
      <c r="AU46" s="19">
        <v>11.4</v>
      </c>
      <c r="AV46" s="20">
        <v>169</v>
      </c>
      <c r="AW46" s="20"/>
      <c r="AX46" s="20"/>
      <c r="AY46" s="20"/>
      <c r="AZ46" s="20"/>
      <c r="BA46" s="26" t="str">
        <f t="shared" si="25"/>
        <v/>
      </c>
      <c r="BB46" s="20"/>
      <c r="BC46" s="4"/>
      <c r="BD46" s="4"/>
      <c r="BE46" s="26" t="str">
        <f t="shared" si="26"/>
        <v/>
      </c>
      <c r="BF46" s="26" t="str">
        <f t="shared" si="27"/>
        <v/>
      </c>
      <c r="BG46" s="26" t="str">
        <f t="shared" si="28"/>
        <v/>
      </c>
      <c r="BH46" s="26" t="str">
        <f t="shared" si="29"/>
        <v/>
      </c>
      <c r="BI46" s="27" t="str">
        <f t="shared" si="30"/>
        <v/>
      </c>
      <c r="BJ46" s="27" t="str">
        <f t="shared" si="31"/>
        <v/>
      </c>
      <c r="BK46" s="19">
        <v>11.4</v>
      </c>
      <c r="BL46" s="20">
        <v>169</v>
      </c>
      <c r="BM46" s="20"/>
    </row>
    <row r="47" spans="1:65" x14ac:dyDescent="0.3">
      <c r="A47" s="12" t="s">
        <v>513</v>
      </c>
      <c r="B47" s="42">
        <v>46</v>
      </c>
      <c r="C47" s="13"/>
      <c r="D47" s="13"/>
      <c r="E47" s="13"/>
      <c r="F47" s="40" t="s">
        <v>342</v>
      </c>
      <c r="G47" s="13" t="s">
        <v>432</v>
      </c>
      <c r="H47" s="38">
        <v>418</v>
      </c>
      <c r="I47" s="38">
        <v>87106</v>
      </c>
      <c r="J47" s="38" t="s">
        <v>1232</v>
      </c>
      <c r="K47" s="14">
        <v>46144</v>
      </c>
      <c r="L47" s="14" t="s">
        <v>512</v>
      </c>
      <c r="M47" s="14">
        <v>46145</v>
      </c>
      <c r="N47" s="14" t="s">
        <v>514</v>
      </c>
      <c r="O47" s="13" t="s">
        <v>22</v>
      </c>
      <c r="P47" s="13" t="s">
        <v>1214</v>
      </c>
      <c r="Q47" s="13" t="s">
        <v>60</v>
      </c>
      <c r="R47" s="15">
        <v>623</v>
      </c>
      <c r="S47" s="15">
        <v>20</v>
      </c>
      <c r="T47" s="15">
        <v>0</v>
      </c>
      <c r="U47" s="22"/>
      <c r="V47" s="22">
        <v>643</v>
      </c>
      <c r="W47" s="22"/>
      <c r="X47" s="22"/>
      <c r="Y47" s="22"/>
      <c r="Z47" s="28">
        <f t="shared" si="16"/>
        <v>643</v>
      </c>
      <c r="AA47" s="15">
        <v>53020</v>
      </c>
      <c r="AB47" s="15">
        <v>160</v>
      </c>
      <c r="AC47" s="15">
        <v>52377</v>
      </c>
      <c r="AD47" s="17">
        <f t="shared" si="17"/>
        <v>52217</v>
      </c>
      <c r="AE47" s="15">
        <v>52377</v>
      </c>
      <c r="AF47" s="15">
        <v>52377</v>
      </c>
      <c r="AG47" s="15"/>
      <c r="AH47" s="22"/>
      <c r="AI47" s="22"/>
      <c r="AJ47" s="22"/>
      <c r="AK47" s="28" t="str">
        <f t="shared" si="18"/>
        <v/>
      </c>
      <c r="AL47" s="22"/>
      <c r="AM47" s="13"/>
      <c r="AN47" s="13"/>
      <c r="AO47" s="28" t="str">
        <f t="shared" si="19"/>
        <v/>
      </c>
      <c r="AP47" s="28" t="str">
        <f t="shared" si="20"/>
        <v/>
      </c>
      <c r="AQ47" s="28" t="str">
        <f t="shared" si="21"/>
        <v/>
      </c>
      <c r="AR47" s="28" t="str">
        <f t="shared" si="22"/>
        <v/>
      </c>
      <c r="AS47" s="29" t="str">
        <f t="shared" si="23"/>
        <v/>
      </c>
      <c r="AT47" s="29" t="str">
        <f t="shared" si="24"/>
        <v/>
      </c>
      <c r="AU47" s="21">
        <v>10.6</v>
      </c>
      <c r="AV47" s="22">
        <v>176</v>
      </c>
      <c r="AW47" s="22"/>
      <c r="AX47" s="22"/>
      <c r="AY47" s="22"/>
      <c r="AZ47" s="22"/>
      <c r="BA47" s="28" t="str">
        <f t="shared" si="25"/>
        <v/>
      </c>
      <c r="BB47" s="22"/>
      <c r="BC47" s="13"/>
      <c r="BD47" s="13"/>
      <c r="BE47" s="28" t="str">
        <f t="shared" si="26"/>
        <v/>
      </c>
      <c r="BF47" s="28" t="str">
        <f t="shared" si="27"/>
        <v/>
      </c>
      <c r="BG47" s="28" t="str">
        <f t="shared" si="28"/>
        <v/>
      </c>
      <c r="BH47" s="28" t="str">
        <f t="shared" si="29"/>
        <v/>
      </c>
      <c r="BI47" s="29" t="str">
        <f t="shared" si="30"/>
        <v/>
      </c>
      <c r="BJ47" s="29" t="str">
        <f t="shared" si="31"/>
        <v/>
      </c>
      <c r="BK47" s="21">
        <v>10.6</v>
      </c>
      <c r="BL47" s="22">
        <v>176</v>
      </c>
      <c r="BM47" s="22"/>
    </row>
    <row r="48" spans="1:65" x14ac:dyDescent="0.3">
      <c r="A48" s="3" t="s">
        <v>515</v>
      </c>
      <c r="B48" s="41">
        <v>47</v>
      </c>
      <c r="C48" s="4"/>
      <c r="D48" s="4"/>
      <c r="E48" s="4"/>
      <c r="F48" s="39" t="s">
        <v>344</v>
      </c>
      <c r="G48" s="4" t="s">
        <v>432</v>
      </c>
      <c r="H48" s="37">
        <v>425</v>
      </c>
      <c r="I48" s="37">
        <v>37590</v>
      </c>
      <c r="J48" s="37" t="s">
        <v>1233</v>
      </c>
      <c r="K48" s="5">
        <v>46144</v>
      </c>
      <c r="L48" s="5" t="s">
        <v>512</v>
      </c>
      <c r="M48" s="5">
        <v>46147</v>
      </c>
      <c r="N48" s="5" t="s">
        <v>516</v>
      </c>
      <c r="O48" s="4" t="s">
        <v>105</v>
      </c>
      <c r="P48" s="4" t="s">
        <v>1222</v>
      </c>
      <c r="Q48" s="4" t="s">
        <v>206</v>
      </c>
      <c r="R48" s="6">
        <v>445</v>
      </c>
      <c r="S48" s="6">
        <v>40</v>
      </c>
      <c r="T48" s="6">
        <v>0</v>
      </c>
      <c r="U48" s="20"/>
      <c r="V48" s="20">
        <v>485</v>
      </c>
      <c r="W48" s="20"/>
      <c r="X48" s="20"/>
      <c r="Y48" s="20"/>
      <c r="Z48" s="26">
        <f t="shared" si="16"/>
        <v>485</v>
      </c>
      <c r="AA48" s="6">
        <v>45610</v>
      </c>
      <c r="AB48" s="6">
        <v>320</v>
      </c>
      <c r="AC48" s="6">
        <v>45125</v>
      </c>
      <c r="AD48" s="9">
        <f t="shared" si="17"/>
        <v>44805</v>
      </c>
      <c r="AE48" s="6">
        <v>45125</v>
      </c>
      <c r="AF48" s="6">
        <v>45125</v>
      </c>
      <c r="AG48" s="6"/>
      <c r="AH48" s="20"/>
      <c r="AI48" s="20"/>
      <c r="AJ48" s="20"/>
      <c r="AK48" s="26" t="str">
        <f t="shared" si="18"/>
        <v/>
      </c>
      <c r="AL48" s="20"/>
      <c r="AM48" s="4"/>
      <c r="AN48" s="4"/>
      <c r="AO48" s="26" t="str">
        <f t="shared" si="19"/>
        <v/>
      </c>
      <c r="AP48" s="26" t="str">
        <f t="shared" si="20"/>
        <v/>
      </c>
      <c r="AQ48" s="26" t="str">
        <f t="shared" si="21"/>
        <v/>
      </c>
      <c r="AR48" s="26" t="str">
        <f t="shared" si="22"/>
        <v/>
      </c>
      <c r="AS48" s="27" t="str">
        <f t="shared" si="23"/>
        <v/>
      </c>
      <c r="AT48" s="27" t="str">
        <f t="shared" si="24"/>
        <v/>
      </c>
      <c r="AU48" s="19">
        <v>12.7</v>
      </c>
      <c r="AV48" s="20">
        <v>162</v>
      </c>
      <c r="AW48" s="20"/>
      <c r="AX48" s="20"/>
      <c r="AY48" s="20"/>
      <c r="AZ48" s="20"/>
      <c r="BA48" s="26" t="str">
        <f t="shared" si="25"/>
        <v/>
      </c>
      <c r="BB48" s="20"/>
      <c r="BC48" s="4"/>
      <c r="BD48" s="4"/>
      <c r="BE48" s="26" t="str">
        <f t="shared" si="26"/>
        <v/>
      </c>
      <c r="BF48" s="26" t="str">
        <f t="shared" si="27"/>
        <v/>
      </c>
      <c r="BG48" s="26" t="str">
        <f t="shared" si="28"/>
        <v/>
      </c>
      <c r="BH48" s="26" t="str">
        <f t="shared" si="29"/>
        <v/>
      </c>
      <c r="BI48" s="27" t="str">
        <f t="shared" si="30"/>
        <v/>
      </c>
      <c r="BJ48" s="27" t="str">
        <f t="shared" si="31"/>
        <v/>
      </c>
      <c r="BK48" s="19">
        <v>12.7</v>
      </c>
      <c r="BL48" s="20">
        <v>162</v>
      </c>
      <c r="BM48" s="20"/>
    </row>
    <row r="49" spans="1:65" x14ac:dyDescent="0.3">
      <c r="A49" s="12" t="s">
        <v>517</v>
      </c>
      <c r="B49" s="42">
        <v>48</v>
      </c>
      <c r="C49" s="13" t="s">
        <v>31</v>
      </c>
      <c r="D49" s="13"/>
      <c r="E49" s="13"/>
      <c r="F49" s="40" t="s">
        <v>347</v>
      </c>
      <c r="G49" s="13" t="s">
        <v>432</v>
      </c>
      <c r="H49" s="38">
        <v>398</v>
      </c>
      <c r="I49" s="38">
        <v>87046</v>
      </c>
      <c r="J49" s="38" t="s">
        <v>346</v>
      </c>
      <c r="K49" s="14">
        <v>46145</v>
      </c>
      <c r="L49" s="14" t="s">
        <v>514</v>
      </c>
      <c r="M49" s="14">
        <v>46146</v>
      </c>
      <c r="N49" s="14" t="s">
        <v>518</v>
      </c>
      <c r="O49" s="13" t="s">
        <v>46</v>
      </c>
      <c r="P49" s="13" t="s">
        <v>1212</v>
      </c>
      <c r="Q49" s="13" t="s">
        <v>45</v>
      </c>
      <c r="R49" s="15">
        <v>469</v>
      </c>
      <c r="S49" s="15">
        <v>0</v>
      </c>
      <c r="T49" s="15">
        <v>13</v>
      </c>
      <c r="U49" s="22"/>
      <c r="V49" s="22">
        <v>482</v>
      </c>
      <c r="W49" s="22"/>
      <c r="X49" s="22"/>
      <c r="Y49" s="22"/>
      <c r="Z49" s="28">
        <f t="shared" si="16"/>
        <v>482</v>
      </c>
      <c r="AA49" s="15">
        <v>40900</v>
      </c>
      <c r="AB49" s="15">
        <v>52</v>
      </c>
      <c r="AC49" s="15">
        <v>40418</v>
      </c>
      <c r="AD49" s="17">
        <f t="shared" si="17"/>
        <v>40366</v>
      </c>
      <c r="AE49" s="15">
        <v>40418</v>
      </c>
      <c r="AF49" s="15">
        <v>40418</v>
      </c>
      <c r="AG49" s="15"/>
      <c r="AH49" s="22"/>
      <c r="AI49" s="22"/>
      <c r="AJ49" s="22"/>
      <c r="AK49" s="28" t="str">
        <f t="shared" si="18"/>
        <v/>
      </c>
      <c r="AL49" s="22"/>
      <c r="AM49" s="13"/>
      <c r="AN49" s="13"/>
      <c r="AO49" s="28" t="str">
        <f t="shared" si="19"/>
        <v/>
      </c>
      <c r="AP49" s="28" t="str">
        <f t="shared" si="20"/>
        <v/>
      </c>
      <c r="AQ49" s="28" t="str">
        <f t="shared" si="21"/>
        <v/>
      </c>
      <c r="AR49" s="28" t="str">
        <f t="shared" si="22"/>
        <v/>
      </c>
      <c r="AS49" s="29" t="str">
        <f t="shared" si="23"/>
        <v/>
      </c>
      <c r="AT49" s="29" t="str">
        <f t="shared" si="24"/>
        <v/>
      </c>
      <c r="AU49" s="21">
        <v>9.3000000000000007</v>
      </c>
      <c r="AV49" s="22">
        <v>158</v>
      </c>
      <c r="AW49" s="22"/>
      <c r="AX49" s="22"/>
      <c r="AY49" s="22"/>
      <c r="AZ49" s="22"/>
      <c r="BA49" s="28" t="str">
        <f t="shared" si="25"/>
        <v/>
      </c>
      <c r="BB49" s="22"/>
      <c r="BC49" s="13"/>
      <c r="BD49" s="13"/>
      <c r="BE49" s="28" t="str">
        <f t="shared" si="26"/>
        <v/>
      </c>
      <c r="BF49" s="28" t="str">
        <f t="shared" si="27"/>
        <v/>
      </c>
      <c r="BG49" s="28" t="str">
        <f t="shared" si="28"/>
        <v/>
      </c>
      <c r="BH49" s="28" t="str">
        <f t="shared" si="29"/>
        <v/>
      </c>
      <c r="BI49" s="29" t="str">
        <f t="shared" si="30"/>
        <v/>
      </c>
      <c r="BJ49" s="29" t="str">
        <f t="shared" si="31"/>
        <v/>
      </c>
      <c r="BK49" s="21">
        <v>9.3000000000000007</v>
      </c>
      <c r="BL49" s="22">
        <v>158</v>
      </c>
      <c r="BM49" s="22"/>
    </row>
    <row r="50" spans="1:65" x14ac:dyDescent="0.3">
      <c r="A50" s="3" t="s">
        <v>519</v>
      </c>
      <c r="B50" s="41">
        <v>49</v>
      </c>
      <c r="C50" s="4" t="s">
        <v>31</v>
      </c>
      <c r="D50" s="4"/>
      <c r="E50" s="4"/>
      <c r="F50" s="39" t="s">
        <v>351</v>
      </c>
      <c r="G50" s="4" t="s">
        <v>432</v>
      </c>
      <c r="H50" s="37">
        <v>397</v>
      </c>
      <c r="I50" s="37">
        <v>32757</v>
      </c>
      <c r="J50" s="37" t="s">
        <v>350</v>
      </c>
      <c r="K50" s="5">
        <v>46145</v>
      </c>
      <c r="L50" s="5" t="s">
        <v>514</v>
      </c>
      <c r="M50" s="5">
        <v>46146</v>
      </c>
      <c r="N50" s="5" t="s">
        <v>518</v>
      </c>
      <c r="O50" s="4" t="s">
        <v>234</v>
      </c>
      <c r="P50" s="4" t="s">
        <v>1220</v>
      </c>
      <c r="Q50" s="4" t="s">
        <v>188</v>
      </c>
      <c r="R50" s="6">
        <v>476</v>
      </c>
      <c r="S50" s="6">
        <v>0</v>
      </c>
      <c r="T50" s="6">
        <v>12</v>
      </c>
      <c r="U50" s="20"/>
      <c r="V50" s="20">
        <v>488</v>
      </c>
      <c r="W50" s="20"/>
      <c r="X50" s="20"/>
      <c r="Y50" s="20"/>
      <c r="Z50" s="26">
        <f t="shared" si="16"/>
        <v>488</v>
      </c>
      <c r="AA50" s="6">
        <v>41020</v>
      </c>
      <c r="AB50" s="6">
        <v>48</v>
      </c>
      <c r="AC50" s="6">
        <v>40532</v>
      </c>
      <c r="AD50" s="9">
        <f t="shared" si="17"/>
        <v>40484</v>
      </c>
      <c r="AE50" s="6">
        <v>40532</v>
      </c>
      <c r="AF50" s="6">
        <v>40532</v>
      </c>
      <c r="AG50" s="6"/>
      <c r="AH50" s="20"/>
      <c r="AI50" s="20"/>
      <c r="AJ50" s="20"/>
      <c r="AK50" s="26" t="str">
        <f t="shared" si="18"/>
        <v/>
      </c>
      <c r="AL50" s="20"/>
      <c r="AM50" s="4"/>
      <c r="AN50" s="4"/>
      <c r="AO50" s="26" t="str">
        <f t="shared" si="19"/>
        <v/>
      </c>
      <c r="AP50" s="26" t="str">
        <f t="shared" si="20"/>
        <v/>
      </c>
      <c r="AQ50" s="26" t="str">
        <f t="shared" si="21"/>
        <v/>
      </c>
      <c r="AR50" s="26" t="str">
        <f t="shared" si="22"/>
        <v/>
      </c>
      <c r="AS50" s="27" t="str">
        <f t="shared" si="23"/>
        <v/>
      </c>
      <c r="AT50" s="27" t="str">
        <f t="shared" si="24"/>
        <v/>
      </c>
      <c r="AU50" s="19">
        <v>9.8000000000000007</v>
      </c>
      <c r="AV50" s="20">
        <v>158</v>
      </c>
      <c r="AW50" s="20"/>
      <c r="AX50" s="20"/>
      <c r="AY50" s="20"/>
      <c r="AZ50" s="20"/>
      <c r="BA50" s="26" t="str">
        <f t="shared" si="25"/>
        <v/>
      </c>
      <c r="BB50" s="20"/>
      <c r="BC50" s="4"/>
      <c r="BD50" s="4"/>
      <c r="BE50" s="26" t="str">
        <f t="shared" si="26"/>
        <v/>
      </c>
      <c r="BF50" s="26" t="str">
        <f t="shared" si="27"/>
        <v/>
      </c>
      <c r="BG50" s="26" t="str">
        <f t="shared" si="28"/>
        <v/>
      </c>
      <c r="BH50" s="26" t="str">
        <f t="shared" si="29"/>
        <v/>
      </c>
      <c r="BI50" s="27" t="str">
        <f t="shared" si="30"/>
        <v/>
      </c>
      <c r="BJ50" s="27" t="str">
        <f t="shared" si="31"/>
        <v/>
      </c>
      <c r="BK50" s="19">
        <v>9.8000000000000007</v>
      </c>
      <c r="BL50" s="20">
        <v>158</v>
      </c>
      <c r="BM50" s="20"/>
    </row>
    <row r="51" spans="1:65" x14ac:dyDescent="0.3">
      <c r="A51" s="12" t="s">
        <v>520</v>
      </c>
      <c r="B51" s="42">
        <v>50</v>
      </c>
      <c r="C51" s="13" t="s">
        <v>31</v>
      </c>
      <c r="D51" s="13"/>
      <c r="E51" s="13"/>
      <c r="F51" s="40" t="s">
        <v>354</v>
      </c>
      <c r="G51" s="13" t="s">
        <v>432</v>
      </c>
      <c r="H51" s="38">
        <v>301</v>
      </c>
      <c r="I51" s="38">
        <v>32834</v>
      </c>
      <c r="J51" s="38" t="s">
        <v>278</v>
      </c>
      <c r="K51" s="14">
        <v>46146</v>
      </c>
      <c r="L51" s="14" t="s">
        <v>518</v>
      </c>
      <c r="M51" s="14">
        <v>46146</v>
      </c>
      <c r="N51" s="14" t="s">
        <v>518</v>
      </c>
      <c r="O51" s="13" t="s">
        <v>353</v>
      </c>
      <c r="P51" s="13" t="s">
        <v>1219</v>
      </c>
      <c r="Q51" s="13" t="s">
        <v>147</v>
      </c>
      <c r="R51" s="15">
        <v>147</v>
      </c>
      <c r="S51" s="15">
        <v>0</v>
      </c>
      <c r="T51" s="15">
        <v>8</v>
      </c>
      <c r="U51" s="22"/>
      <c r="V51" s="22">
        <v>155</v>
      </c>
      <c r="W51" s="22"/>
      <c r="X51" s="22"/>
      <c r="Y51" s="22"/>
      <c r="Z51" s="28">
        <f t="shared" si="16"/>
        <v>155</v>
      </c>
      <c r="AA51" s="15">
        <v>13180</v>
      </c>
      <c r="AB51" s="15">
        <v>32</v>
      </c>
      <c r="AC51" s="15">
        <v>13025</v>
      </c>
      <c r="AD51" s="17">
        <f t="shared" si="17"/>
        <v>12993</v>
      </c>
      <c r="AE51" s="15">
        <v>13025</v>
      </c>
      <c r="AF51" s="15">
        <v>13025</v>
      </c>
      <c r="AG51" s="15"/>
      <c r="AH51" s="22"/>
      <c r="AI51" s="22"/>
      <c r="AJ51" s="22"/>
      <c r="AK51" s="28" t="str">
        <f t="shared" si="18"/>
        <v/>
      </c>
      <c r="AL51" s="22"/>
      <c r="AM51" s="13"/>
      <c r="AN51" s="13"/>
      <c r="AO51" s="28" t="str">
        <f t="shared" si="19"/>
        <v/>
      </c>
      <c r="AP51" s="28" t="str">
        <f t="shared" si="20"/>
        <v/>
      </c>
      <c r="AQ51" s="28" t="str">
        <f t="shared" si="21"/>
        <v/>
      </c>
      <c r="AR51" s="28" t="str">
        <f t="shared" si="22"/>
        <v/>
      </c>
      <c r="AS51" s="29" t="str">
        <f t="shared" si="23"/>
        <v/>
      </c>
      <c r="AT51" s="29" t="str">
        <f t="shared" si="24"/>
        <v/>
      </c>
      <c r="AU51" s="21">
        <v>10.4</v>
      </c>
      <c r="AV51" s="22">
        <v>157</v>
      </c>
      <c r="AW51" s="22"/>
      <c r="AX51" s="22"/>
      <c r="AY51" s="22"/>
      <c r="AZ51" s="22"/>
      <c r="BA51" s="28" t="str">
        <f t="shared" si="25"/>
        <v/>
      </c>
      <c r="BB51" s="22"/>
      <c r="BC51" s="13"/>
      <c r="BD51" s="13"/>
      <c r="BE51" s="28" t="str">
        <f t="shared" si="26"/>
        <v/>
      </c>
      <c r="BF51" s="28" t="str">
        <f t="shared" si="27"/>
        <v/>
      </c>
      <c r="BG51" s="28" t="str">
        <f t="shared" si="28"/>
        <v/>
      </c>
      <c r="BH51" s="28" t="str">
        <f t="shared" si="29"/>
        <v/>
      </c>
      <c r="BI51" s="29" t="str">
        <f t="shared" si="30"/>
        <v/>
      </c>
      <c r="BJ51" s="29" t="str">
        <f t="shared" si="31"/>
        <v/>
      </c>
      <c r="BK51" s="21">
        <v>10.4</v>
      </c>
      <c r="BL51" s="22">
        <v>157</v>
      </c>
      <c r="BM51" s="22"/>
    </row>
    <row r="52" spans="1:65" x14ac:dyDescent="0.3">
      <c r="A52" s="3" t="s">
        <v>521</v>
      </c>
      <c r="B52" s="41">
        <v>51</v>
      </c>
      <c r="C52" s="4" t="s">
        <v>31</v>
      </c>
      <c r="D52" s="4"/>
      <c r="E52" s="4"/>
      <c r="F52" s="39" t="s">
        <v>356</v>
      </c>
      <c r="G52" s="4" t="s">
        <v>432</v>
      </c>
      <c r="H52" s="37">
        <v>302</v>
      </c>
      <c r="I52" s="37">
        <v>18794</v>
      </c>
      <c r="J52" s="37" t="s">
        <v>215</v>
      </c>
      <c r="K52" s="5">
        <v>46146</v>
      </c>
      <c r="L52" s="5" t="s">
        <v>518</v>
      </c>
      <c r="M52" s="5">
        <v>46146</v>
      </c>
      <c r="N52" s="5" t="s">
        <v>518</v>
      </c>
      <c r="O52" s="4" t="s">
        <v>35</v>
      </c>
      <c r="P52" s="4" t="s">
        <v>734</v>
      </c>
      <c r="Q52" s="4" t="s">
        <v>34</v>
      </c>
      <c r="R52" s="6">
        <v>463</v>
      </c>
      <c r="S52" s="6">
        <v>0</v>
      </c>
      <c r="T52" s="6">
        <v>12</v>
      </c>
      <c r="U52" s="20"/>
      <c r="V52" s="20">
        <v>475</v>
      </c>
      <c r="W52" s="20"/>
      <c r="X52" s="20"/>
      <c r="Y52" s="20"/>
      <c r="Z52" s="26">
        <f t="shared" si="16"/>
        <v>475</v>
      </c>
      <c r="AA52" s="6">
        <v>38800</v>
      </c>
      <c r="AB52" s="6">
        <v>48</v>
      </c>
      <c r="AC52" s="6">
        <v>38325</v>
      </c>
      <c r="AD52" s="9">
        <f t="shared" si="17"/>
        <v>38277</v>
      </c>
      <c r="AE52" s="6">
        <v>38325</v>
      </c>
      <c r="AF52" s="6">
        <v>38325</v>
      </c>
      <c r="AG52" s="6"/>
      <c r="AH52" s="20"/>
      <c r="AI52" s="20"/>
      <c r="AJ52" s="20"/>
      <c r="AK52" s="26" t="str">
        <f t="shared" si="18"/>
        <v/>
      </c>
      <c r="AL52" s="20"/>
      <c r="AM52" s="4"/>
      <c r="AN52" s="4"/>
      <c r="AO52" s="26" t="str">
        <f t="shared" si="19"/>
        <v/>
      </c>
      <c r="AP52" s="26" t="str">
        <f t="shared" si="20"/>
        <v/>
      </c>
      <c r="AQ52" s="26" t="str">
        <f t="shared" si="21"/>
        <v/>
      </c>
      <c r="AR52" s="26" t="str">
        <f t="shared" si="22"/>
        <v/>
      </c>
      <c r="AS52" s="27" t="str">
        <f t="shared" si="23"/>
        <v/>
      </c>
      <c r="AT52" s="27" t="str">
        <f t="shared" si="24"/>
        <v/>
      </c>
      <c r="AU52" s="19">
        <v>8</v>
      </c>
      <c r="AV52" s="20">
        <v>167</v>
      </c>
      <c r="AW52" s="20"/>
      <c r="AX52" s="20"/>
      <c r="AY52" s="20"/>
      <c r="AZ52" s="20"/>
      <c r="BA52" s="26" t="str">
        <f t="shared" si="25"/>
        <v/>
      </c>
      <c r="BB52" s="20"/>
      <c r="BC52" s="4"/>
      <c r="BD52" s="4"/>
      <c r="BE52" s="26" t="str">
        <f t="shared" si="26"/>
        <v/>
      </c>
      <c r="BF52" s="26" t="str">
        <f t="shared" si="27"/>
        <v/>
      </c>
      <c r="BG52" s="26" t="str">
        <f t="shared" si="28"/>
        <v/>
      </c>
      <c r="BH52" s="26" t="str">
        <f t="shared" si="29"/>
        <v/>
      </c>
      <c r="BI52" s="27" t="str">
        <f t="shared" si="30"/>
        <v/>
      </c>
      <c r="BJ52" s="27" t="str">
        <f t="shared" si="31"/>
        <v/>
      </c>
      <c r="BK52" s="19">
        <v>8</v>
      </c>
      <c r="BL52" s="20">
        <v>167</v>
      </c>
      <c r="BM52" s="20"/>
    </row>
    <row r="53" spans="1:65" x14ac:dyDescent="0.3">
      <c r="A53" s="12" t="s">
        <v>522</v>
      </c>
      <c r="B53" s="42">
        <v>52</v>
      </c>
      <c r="C53" s="13" t="s">
        <v>31</v>
      </c>
      <c r="D53" s="13"/>
      <c r="E53" s="13"/>
      <c r="F53" s="40" t="s">
        <v>360</v>
      </c>
      <c r="G53" s="13" t="s">
        <v>432</v>
      </c>
      <c r="H53" s="38">
        <v>303</v>
      </c>
      <c r="I53" s="38">
        <v>32069</v>
      </c>
      <c r="J53" s="38" t="s">
        <v>359</v>
      </c>
      <c r="K53" s="14">
        <v>46146</v>
      </c>
      <c r="L53" s="14" t="s">
        <v>518</v>
      </c>
      <c r="M53" s="14">
        <v>46147</v>
      </c>
      <c r="N53" s="14" t="s">
        <v>516</v>
      </c>
      <c r="O53" s="13" t="s">
        <v>225</v>
      </c>
      <c r="P53" s="13" t="s">
        <v>1209</v>
      </c>
      <c r="Q53" s="13" t="s">
        <v>29</v>
      </c>
      <c r="R53" s="15">
        <v>569</v>
      </c>
      <c r="S53" s="15">
        <v>0</v>
      </c>
      <c r="T53" s="15">
        <v>15</v>
      </c>
      <c r="U53" s="22"/>
      <c r="V53" s="22">
        <v>584</v>
      </c>
      <c r="W53" s="22"/>
      <c r="X53" s="22"/>
      <c r="Y53" s="22"/>
      <c r="Z53" s="28">
        <f t="shared" si="16"/>
        <v>584</v>
      </c>
      <c r="AA53" s="15">
        <v>48960</v>
      </c>
      <c r="AB53" s="15">
        <v>60</v>
      </c>
      <c r="AC53" s="15">
        <v>48376</v>
      </c>
      <c r="AD53" s="17">
        <f t="shared" si="17"/>
        <v>48316</v>
      </c>
      <c r="AE53" s="15">
        <v>48376</v>
      </c>
      <c r="AF53" s="15">
        <v>48376</v>
      </c>
      <c r="AG53" s="15"/>
      <c r="AH53" s="22"/>
      <c r="AI53" s="22"/>
      <c r="AJ53" s="22"/>
      <c r="AK53" s="28" t="str">
        <f t="shared" si="18"/>
        <v/>
      </c>
      <c r="AL53" s="22"/>
      <c r="AM53" s="13"/>
      <c r="AN53" s="13"/>
      <c r="AO53" s="28" t="str">
        <f t="shared" si="19"/>
        <v/>
      </c>
      <c r="AP53" s="28" t="str">
        <f t="shared" si="20"/>
        <v/>
      </c>
      <c r="AQ53" s="28" t="str">
        <f t="shared" si="21"/>
        <v/>
      </c>
      <c r="AR53" s="28" t="str">
        <f t="shared" si="22"/>
        <v/>
      </c>
      <c r="AS53" s="29" t="str">
        <f t="shared" si="23"/>
        <v/>
      </c>
      <c r="AT53" s="29" t="str">
        <f t="shared" si="24"/>
        <v/>
      </c>
      <c r="AU53" s="21">
        <v>10.6</v>
      </c>
      <c r="AV53" s="22">
        <v>173</v>
      </c>
      <c r="AW53" s="22"/>
      <c r="AX53" s="22"/>
      <c r="AY53" s="22"/>
      <c r="AZ53" s="22"/>
      <c r="BA53" s="28" t="str">
        <f t="shared" si="25"/>
        <v/>
      </c>
      <c r="BB53" s="22"/>
      <c r="BC53" s="13"/>
      <c r="BD53" s="13"/>
      <c r="BE53" s="28" t="str">
        <f t="shared" si="26"/>
        <v/>
      </c>
      <c r="BF53" s="28" t="str">
        <f t="shared" si="27"/>
        <v/>
      </c>
      <c r="BG53" s="28" t="str">
        <f t="shared" si="28"/>
        <v/>
      </c>
      <c r="BH53" s="28" t="str">
        <f t="shared" si="29"/>
        <v/>
      </c>
      <c r="BI53" s="29" t="str">
        <f t="shared" si="30"/>
        <v/>
      </c>
      <c r="BJ53" s="29" t="str">
        <f t="shared" si="31"/>
        <v/>
      </c>
      <c r="BK53" s="21">
        <v>10.6</v>
      </c>
      <c r="BL53" s="22">
        <v>173</v>
      </c>
      <c r="BM53" s="22"/>
    </row>
    <row r="54" spans="1:65" x14ac:dyDescent="0.3">
      <c r="A54" s="3" t="s">
        <v>523</v>
      </c>
      <c r="B54" s="41">
        <v>53</v>
      </c>
      <c r="C54" s="4" t="s">
        <v>31</v>
      </c>
      <c r="D54" s="4"/>
      <c r="E54" s="4"/>
      <c r="F54" s="39" t="s">
        <v>362</v>
      </c>
      <c r="G54" s="4" t="s">
        <v>432</v>
      </c>
      <c r="H54" s="37">
        <v>304</v>
      </c>
      <c r="I54" s="37">
        <v>18783</v>
      </c>
      <c r="J54" s="37" t="s">
        <v>303</v>
      </c>
      <c r="K54" s="5">
        <v>46146</v>
      </c>
      <c r="L54" s="5" t="s">
        <v>518</v>
      </c>
      <c r="M54" s="5">
        <v>46147</v>
      </c>
      <c r="N54" s="5" t="s">
        <v>516</v>
      </c>
      <c r="O54" s="4" t="s">
        <v>35</v>
      </c>
      <c r="P54" s="4" t="s">
        <v>698</v>
      </c>
      <c r="Q54" s="4" t="s">
        <v>58</v>
      </c>
      <c r="R54" s="6">
        <v>475</v>
      </c>
      <c r="S54" s="6">
        <v>0</v>
      </c>
      <c r="T54" s="6">
        <v>10</v>
      </c>
      <c r="U54" s="20"/>
      <c r="V54" s="20">
        <v>485</v>
      </c>
      <c r="W54" s="20"/>
      <c r="X54" s="20"/>
      <c r="Y54" s="20"/>
      <c r="Z54" s="26">
        <f t="shared" si="16"/>
        <v>485</v>
      </c>
      <c r="AA54" s="6">
        <v>41820</v>
      </c>
      <c r="AB54" s="6">
        <v>40</v>
      </c>
      <c r="AC54" s="6">
        <v>41335</v>
      </c>
      <c r="AD54" s="9">
        <f t="shared" si="17"/>
        <v>41295</v>
      </c>
      <c r="AE54" s="6">
        <v>41335</v>
      </c>
      <c r="AF54" s="6">
        <v>41335</v>
      </c>
      <c r="AG54" s="6"/>
      <c r="AH54" s="20"/>
      <c r="AI54" s="20"/>
      <c r="AJ54" s="20"/>
      <c r="AK54" s="26" t="str">
        <f t="shared" si="18"/>
        <v/>
      </c>
      <c r="AL54" s="20"/>
      <c r="AM54" s="4"/>
      <c r="AN54" s="4"/>
      <c r="AO54" s="26" t="str">
        <f t="shared" si="19"/>
        <v/>
      </c>
      <c r="AP54" s="26" t="str">
        <f t="shared" si="20"/>
        <v/>
      </c>
      <c r="AQ54" s="26" t="str">
        <f t="shared" si="21"/>
        <v/>
      </c>
      <c r="AR54" s="26" t="str">
        <f t="shared" si="22"/>
        <v/>
      </c>
      <c r="AS54" s="27" t="str">
        <f t="shared" si="23"/>
        <v/>
      </c>
      <c r="AT54" s="27" t="str">
        <f t="shared" si="24"/>
        <v/>
      </c>
      <c r="AU54" s="19">
        <v>9.6</v>
      </c>
      <c r="AV54" s="20">
        <v>162</v>
      </c>
      <c r="AW54" s="20"/>
      <c r="AX54" s="20"/>
      <c r="AY54" s="20"/>
      <c r="AZ54" s="20"/>
      <c r="BA54" s="26" t="str">
        <f t="shared" si="25"/>
        <v/>
      </c>
      <c r="BB54" s="20"/>
      <c r="BC54" s="4"/>
      <c r="BD54" s="4"/>
      <c r="BE54" s="26" t="str">
        <f t="shared" si="26"/>
        <v/>
      </c>
      <c r="BF54" s="26" t="str">
        <f t="shared" si="27"/>
        <v/>
      </c>
      <c r="BG54" s="26" t="str">
        <f t="shared" si="28"/>
        <v/>
      </c>
      <c r="BH54" s="26" t="str">
        <f t="shared" si="29"/>
        <v/>
      </c>
      <c r="BI54" s="27" t="str">
        <f t="shared" si="30"/>
        <v/>
      </c>
      <c r="BJ54" s="27" t="str">
        <f t="shared" si="31"/>
        <v/>
      </c>
      <c r="BK54" s="19">
        <v>9.6</v>
      </c>
      <c r="BL54" s="20">
        <v>162</v>
      </c>
      <c r="BM54" s="20"/>
    </row>
    <row r="55" spans="1:65" x14ac:dyDescent="0.3">
      <c r="A55" s="12" t="s">
        <v>524</v>
      </c>
      <c r="B55" s="42">
        <v>54</v>
      </c>
      <c r="C55" s="13" t="s">
        <v>31</v>
      </c>
      <c r="D55" s="13" t="s">
        <v>366</v>
      </c>
      <c r="E55" s="13"/>
      <c r="F55" s="40" t="s">
        <v>365</v>
      </c>
      <c r="G55" s="13" t="s">
        <v>432</v>
      </c>
      <c r="H55" s="38">
        <v>305</v>
      </c>
      <c r="I55" s="38">
        <v>31994</v>
      </c>
      <c r="J55" s="38" t="s">
        <v>364</v>
      </c>
      <c r="K55" s="14">
        <v>46146</v>
      </c>
      <c r="L55" s="14" t="s">
        <v>518</v>
      </c>
      <c r="M55" s="14">
        <v>46147</v>
      </c>
      <c r="N55" s="14" t="s">
        <v>516</v>
      </c>
      <c r="O55" s="13" t="s">
        <v>179</v>
      </c>
      <c r="P55" s="13" t="s">
        <v>1213</v>
      </c>
      <c r="Q55" s="13" t="s">
        <v>55</v>
      </c>
      <c r="R55" s="15">
        <v>567</v>
      </c>
      <c r="S55" s="15">
        <v>20</v>
      </c>
      <c r="T55" s="15">
        <v>0</v>
      </c>
      <c r="U55" s="22"/>
      <c r="V55" s="22">
        <v>587</v>
      </c>
      <c r="W55" s="22"/>
      <c r="X55" s="22"/>
      <c r="Y55" s="22"/>
      <c r="Z55" s="28">
        <f t="shared" si="16"/>
        <v>587</v>
      </c>
      <c r="AA55" s="15">
        <v>49100</v>
      </c>
      <c r="AB55" s="15">
        <v>160</v>
      </c>
      <c r="AC55" s="15">
        <v>48513</v>
      </c>
      <c r="AD55" s="17">
        <f t="shared" si="17"/>
        <v>48353</v>
      </c>
      <c r="AE55" s="15">
        <v>48513</v>
      </c>
      <c r="AF55" s="15">
        <v>48513</v>
      </c>
      <c r="AG55" s="15"/>
      <c r="AH55" s="22"/>
      <c r="AI55" s="22"/>
      <c r="AJ55" s="22"/>
      <c r="AK55" s="28" t="str">
        <f t="shared" si="18"/>
        <v/>
      </c>
      <c r="AL55" s="22"/>
      <c r="AM55" s="13"/>
      <c r="AN55" s="13"/>
      <c r="AO55" s="28" t="str">
        <f t="shared" si="19"/>
        <v/>
      </c>
      <c r="AP55" s="28" t="str">
        <f t="shared" si="20"/>
        <v/>
      </c>
      <c r="AQ55" s="28" t="str">
        <f t="shared" si="21"/>
        <v/>
      </c>
      <c r="AR55" s="28" t="str">
        <f t="shared" si="22"/>
        <v/>
      </c>
      <c r="AS55" s="29" t="str">
        <f t="shared" si="23"/>
        <v/>
      </c>
      <c r="AT55" s="29" t="str">
        <f t="shared" si="24"/>
        <v/>
      </c>
      <c r="AU55" s="21">
        <v>11</v>
      </c>
      <c r="AV55" s="22">
        <v>181</v>
      </c>
      <c r="AW55" s="22"/>
      <c r="AX55" s="22"/>
      <c r="AY55" s="22"/>
      <c r="AZ55" s="22"/>
      <c r="BA55" s="28" t="str">
        <f t="shared" si="25"/>
        <v/>
      </c>
      <c r="BB55" s="22"/>
      <c r="BC55" s="13"/>
      <c r="BD55" s="13"/>
      <c r="BE55" s="28" t="str">
        <f t="shared" si="26"/>
        <v/>
      </c>
      <c r="BF55" s="28" t="str">
        <f t="shared" si="27"/>
        <v/>
      </c>
      <c r="BG55" s="28" t="str">
        <f t="shared" si="28"/>
        <v/>
      </c>
      <c r="BH55" s="28" t="str">
        <f t="shared" si="29"/>
        <v/>
      </c>
      <c r="BI55" s="29" t="str">
        <f t="shared" si="30"/>
        <v/>
      </c>
      <c r="BJ55" s="29" t="str">
        <f t="shared" si="31"/>
        <v/>
      </c>
      <c r="BK55" s="21">
        <v>11</v>
      </c>
      <c r="BL55" s="22">
        <v>181</v>
      </c>
      <c r="BM55" s="22"/>
    </row>
    <row r="56" spans="1:65" x14ac:dyDescent="0.3">
      <c r="A56" s="3" t="s">
        <v>525</v>
      </c>
      <c r="B56" s="41">
        <v>55</v>
      </c>
      <c r="C56" s="4" t="s">
        <v>31</v>
      </c>
      <c r="D56" s="4"/>
      <c r="E56" s="4"/>
      <c r="F56" s="39" t="s">
        <v>368</v>
      </c>
      <c r="G56" s="4" t="s">
        <v>432</v>
      </c>
      <c r="H56" s="37">
        <v>306</v>
      </c>
      <c r="I56" s="37">
        <v>13117</v>
      </c>
      <c r="J56" s="37" t="s">
        <v>283</v>
      </c>
      <c r="K56" s="5">
        <v>46146</v>
      </c>
      <c r="L56" s="5" t="s">
        <v>518</v>
      </c>
      <c r="M56" s="5">
        <v>46147</v>
      </c>
      <c r="N56" s="5" t="s">
        <v>516</v>
      </c>
      <c r="O56" s="4" t="s">
        <v>46</v>
      </c>
      <c r="P56" s="4" t="s">
        <v>1215</v>
      </c>
      <c r="Q56" s="4" t="s">
        <v>102</v>
      </c>
      <c r="R56" s="6">
        <v>568</v>
      </c>
      <c r="S56" s="6">
        <v>0</v>
      </c>
      <c r="T56" s="6">
        <v>8</v>
      </c>
      <c r="U56" s="20"/>
      <c r="V56" s="20">
        <v>576</v>
      </c>
      <c r="W56" s="20"/>
      <c r="X56" s="20"/>
      <c r="Y56" s="20"/>
      <c r="Z56" s="26">
        <f t="shared" si="16"/>
        <v>576</v>
      </c>
      <c r="AA56" s="6">
        <v>45540</v>
      </c>
      <c r="AB56" s="6">
        <v>32</v>
      </c>
      <c r="AC56" s="6">
        <v>44964</v>
      </c>
      <c r="AD56" s="9">
        <f t="shared" si="17"/>
        <v>44932</v>
      </c>
      <c r="AE56" s="6">
        <v>44964</v>
      </c>
      <c r="AF56" s="6">
        <v>44964</v>
      </c>
      <c r="AG56" s="6"/>
      <c r="AH56" s="20"/>
      <c r="AI56" s="20"/>
      <c r="AJ56" s="20"/>
      <c r="AK56" s="26" t="str">
        <f t="shared" si="18"/>
        <v/>
      </c>
      <c r="AL56" s="20"/>
      <c r="AM56" s="4"/>
      <c r="AN56" s="4"/>
      <c r="AO56" s="26" t="str">
        <f t="shared" si="19"/>
        <v/>
      </c>
      <c r="AP56" s="26" t="str">
        <f t="shared" si="20"/>
        <v/>
      </c>
      <c r="AQ56" s="26" t="str">
        <f t="shared" si="21"/>
        <v/>
      </c>
      <c r="AR56" s="26" t="str">
        <f t="shared" si="22"/>
        <v/>
      </c>
      <c r="AS56" s="27" t="str">
        <f t="shared" si="23"/>
        <v/>
      </c>
      <c r="AT56" s="27" t="str">
        <f t="shared" si="24"/>
        <v/>
      </c>
      <c r="AU56" s="19">
        <v>8</v>
      </c>
      <c r="AV56" s="20">
        <v>177</v>
      </c>
      <c r="AW56" s="20"/>
      <c r="AX56" s="20"/>
      <c r="AY56" s="20"/>
      <c r="AZ56" s="20"/>
      <c r="BA56" s="26" t="str">
        <f t="shared" si="25"/>
        <v/>
      </c>
      <c r="BB56" s="20"/>
      <c r="BC56" s="4"/>
      <c r="BD56" s="4"/>
      <c r="BE56" s="26" t="str">
        <f t="shared" si="26"/>
        <v/>
      </c>
      <c r="BF56" s="26" t="str">
        <f t="shared" si="27"/>
        <v/>
      </c>
      <c r="BG56" s="26" t="str">
        <f t="shared" si="28"/>
        <v/>
      </c>
      <c r="BH56" s="26" t="str">
        <f t="shared" si="29"/>
        <v/>
      </c>
      <c r="BI56" s="27" t="str">
        <f t="shared" si="30"/>
        <v/>
      </c>
      <c r="BJ56" s="27" t="str">
        <f t="shared" si="31"/>
        <v/>
      </c>
      <c r="BK56" s="19">
        <v>8</v>
      </c>
      <c r="BL56" s="20">
        <v>177</v>
      </c>
      <c r="BM56" s="20"/>
    </row>
    <row r="57" spans="1:65" x14ac:dyDescent="0.3">
      <c r="A57" s="12" t="s">
        <v>526</v>
      </c>
      <c r="B57" s="42">
        <v>56</v>
      </c>
      <c r="C57" s="13"/>
      <c r="D57" s="13"/>
      <c r="E57" s="13"/>
      <c r="F57" s="40" t="s">
        <v>370</v>
      </c>
      <c r="G57" s="13" t="s">
        <v>432</v>
      </c>
      <c r="H57" s="38">
        <v>429</v>
      </c>
      <c r="I57" s="38">
        <v>18946</v>
      </c>
      <c r="J57" s="38" t="s">
        <v>1234</v>
      </c>
      <c r="K57" s="14">
        <v>46146</v>
      </c>
      <c r="L57" s="14" t="s">
        <v>518</v>
      </c>
      <c r="M57" s="14">
        <v>46147</v>
      </c>
      <c r="N57" s="14" t="s">
        <v>516</v>
      </c>
      <c r="O57" s="13" t="s">
        <v>42</v>
      </c>
      <c r="P57" s="13" t="s">
        <v>1211</v>
      </c>
      <c r="Q57" s="13" t="s">
        <v>41</v>
      </c>
      <c r="R57" s="15">
        <v>448</v>
      </c>
      <c r="S57" s="15">
        <v>55</v>
      </c>
      <c r="T57" s="15">
        <v>0</v>
      </c>
      <c r="U57" s="22"/>
      <c r="V57" s="22">
        <v>503</v>
      </c>
      <c r="W57" s="22"/>
      <c r="X57" s="22"/>
      <c r="Y57" s="22"/>
      <c r="Z57" s="28">
        <f t="shared" si="16"/>
        <v>503</v>
      </c>
      <c r="AA57" s="15">
        <v>41510</v>
      </c>
      <c r="AB57" s="15">
        <v>440</v>
      </c>
      <c r="AC57" s="15">
        <v>41007</v>
      </c>
      <c r="AD57" s="17">
        <f t="shared" si="17"/>
        <v>40567</v>
      </c>
      <c r="AE57" s="15">
        <v>41007</v>
      </c>
      <c r="AF57" s="15">
        <v>41007</v>
      </c>
      <c r="AG57" s="15"/>
      <c r="AH57" s="22"/>
      <c r="AI57" s="22"/>
      <c r="AJ57" s="22"/>
      <c r="AK57" s="28" t="str">
        <f t="shared" si="18"/>
        <v/>
      </c>
      <c r="AL57" s="22"/>
      <c r="AM57" s="13"/>
      <c r="AN57" s="13"/>
      <c r="AO57" s="28" t="str">
        <f t="shared" si="19"/>
        <v/>
      </c>
      <c r="AP57" s="28" t="str">
        <f t="shared" si="20"/>
        <v/>
      </c>
      <c r="AQ57" s="28" t="str">
        <f t="shared" si="21"/>
        <v/>
      </c>
      <c r="AR57" s="28" t="str">
        <f t="shared" si="22"/>
        <v/>
      </c>
      <c r="AS57" s="29" t="str">
        <f t="shared" si="23"/>
        <v/>
      </c>
      <c r="AT57" s="29" t="str">
        <f t="shared" si="24"/>
        <v/>
      </c>
      <c r="AU57" s="21">
        <v>12.6</v>
      </c>
      <c r="AV57" s="22">
        <v>173</v>
      </c>
      <c r="AW57" s="22"/>
      <c r="AX57" s="22"/>
      <c r="AY57" s="22"/>
      <c r="AZ57" s="22"/>
      <c r="BA57" s="28" t="str">
        <f t="shared" si="25"/>
        <v/>
      </c>
      <c r="BB57" s="22"/>
      <c r="BC57" s="13"/>
      <c r="BD57" s="13"/>
      <c r="BE57" s="28" t="str">
        <f t="shared" si="26"/>
        <v/>
      </c>
      <c r="BF57" s="28" t="str">
        <f t="shared" si="27"/>
        <v/>
      </c>
      <c r="BG57" s="28" t="str">
        <f t="shared" si="28"/>
        <v/>
      </c>
      <c r="BH57" s="28" t="str">
        <f t="shared" si="29"/>
        <v/>
      </c>
      <c r="BI57" s="29" t="str">
        <f t="shared" si="30"/>
        <v/>
      </c>
      <c r="BJ57" s="29" t="str">
        <f t="shared" si="31"/>
        <v/>
      </c>
      <c r="BK57" s="21">
        <v>12.6</v>
      </c>
      <c r="BL57" s="22">
        <v>173</v>
      </c>
      <c r="BM57" s="22"/>
    </row>
    <row r="58" spans="1:65" x14ac:dyDescent="0.3">
      <c r="A58" s="3" t="s">
        <v>527</v>
      </c>
      <c r="B58" s="41">
        <v>57</v>
      </c>
      <c r="C58" s="4"/>
      <c r="D58" s="4"/>
      <c r="E58" s="4"/>
      <c r="F58" s="39" t="s">
        <v>373</v>
      </c>
      <c r="G58" s="4" t="s">
        <v>432</v>
      </c>
      <c r="H58" s="37">
        <v>441</v>
      </c>
      <c r="I58" s="37">
        <v>89077</v>
      </c>
      <c r="J58" s="37" t="s">
        <v>1235</v>
      </c>
      <c r="K58" s="5">
        <v>46146</v>
      </c>
      <c r="L58" s="5" t="s">
        <v>518</v>
      </c>
      <c r="M58" s="5">
        <v>46150</v>
      </c>
      <c r="N58" s="5" t="s">
        <v>528</v>
      </c>
      <c r="O58" s="4" t="s">
        <v>372</v>
      </c>
      <c r="P58" s="4" t="s">
        <v>1210</v>
      </c>
      <c r="Q58" s="4" t="s">
        <v>38</v>
      </c>
      <c r="R58" s="6">
        <v>580</v>
      </c>
      <c r="S58" s="6">
        <v>0</v>
      </c>
      <c r="T58" s="6">
        <v>10</v>
      </c>
      <c r="U58" s="20"/>
      <c r="V58" s="20">
        <v>590</v>
      </c>
      <c r="W58" s="20"/>
      <c r="X58" s="20"/>
      <c r="Y58" s="20"/>
      <c r="Z58" s="26">
        <f t="shared" si="16"/>
        <v>590</v>
      </c>
      <c r="AA58" s="6">
        <v>47800</v>
      </c>
      <c r="AB58" s="6">
        <v>40</v>
      </c>
      <c r="AC58" s="6">
        <v>47210</v>
      </c>
      <c r="AD58" s="9">
        <f t="shared" si="17"/>
        <v>47170</v>
      </c>
      <c r="AE58" s="6">
        <v>47210</v>
      </c>
      <c r="AF58" s="6">
        <v>47210</v>
      </c>
      <c r="AG58" s="6"/>
      <c r="AH58" s="20"/>
      <c r="AI58" s="20"/>
      <c r="AJ58" s="20"/>
      <c r="AK58" s="26" t="str">
        <f t="shared" si="18"/>
        <v/>
      </c>
      <c r="AL58" s="20"/>
      <c r="AM58" s="4"/>
      <c r="AN58" s="4"/>
      <c r="AO58" s="26" t="str">
        <f t="shared" si="19"/>
        <v/>
      </c>
      <c r="AP58" s="26" t="str">
        <f t="shared" si="20"/>
        <v/>
      </c>
      <c r="AQ58" s="26" t="str">
        <f t="shared" si="21"/>
        <v/>
      </c>
      <c r="AR58" s="26" t="str">
        <f t="shared" si="22"/>
        <v/>
      </c>
      <c r="AS58" s="27" t="str">
        <f t="shared" si="23"/>
        <v/>
      </c>
      <c r="AT58" s="27" t="str">
        <f t="shared" si="24"/>
        <v/>
      </c>
      <c r="AU58" s="19">
        <v>8.5</v>
      </c>
      <c r="AV58" s="20">
        <v>183</v>
      </c>
      <c r="AW58" s="20"/>
      <c r="AX58" s="20"/>
      <c r="AY58" s="20"/>
      <c r="AZ58" s="20"/>
      <c r="BA58" s="26" t="str">
        <f t="shared" si="25"/>
        <v/>
      </c>
      <c r="BB58" s="20"/>
      <c r="BC58" s="4"/>
      <c r="BD58" s="4"/>
      <c r="BE58" s="26" t="str">
        <f t="shared" si="26"/>
        <v/>
      </c>
      <c r="BF58" s="26" t="str">
        <f t="shared" si="27"/>
        <v/>
      </c>
      <c r="BG58" s="26" t="str">
        <f t="shared" si="28"/>
        <v/>
      </c>
      <c r="BH58" s="26" t="str">
        <f t="shared" si="29"/>
        <v/>
      </c>
      <c r="BI58" s="27" t="str">
        <f t="shared" si="30"/>
        <v/>
      </c>
      <c r="BJ58" s="27" t="str">
        <f t="shared" si="31"/>
        <v/>
      </c>
      <c r="BK58" s="19">
        <v>8.5</v>
      </c>
      <c r="BL58" s="20">
        <v>183</v>
      </c>
      <c r="BM58" s="20"/>
    </row>
    <row r="59" spans="1:65" x14ac:dyDescent="0.3">
      <c r="A59" s="12" t="s">
        <v>529</v>
      </c>
      <c r="B59" s="42">
        <v>58</v>
      </c>
      <c r="C59" s="13"/>
      <c r="D59" s="13"/>
      <c r="E59" s="13"/>
      <c r="F59" s="40" t="s">
        <v>377</v>
      </c>
      <c r="G59" s="13" t="s">
        <v>432</v>
      </c>
      <c r="H59" s="38">
        <v>442</v>
      </c>
      <c r="I59" s="38">
        <v>78898</v>
      </c>
      <c r="J59" s="38" t="s">
        <v>1236</v>
      </c>
      <c r="K59" s="14">
        <v>46149</v>
      </c>
      <c r="L59" s="14" t="s">
        <v>530</v>
      </c>
      <c r="M59" s="14">
        <v>46150</v>
      </c>
      <c r="N59" s="14" t="s">
        <v>528</v>
      </c>
      <c r="O59" s="13" t="s">
        <v>22</v>
      </c>
      <c r="P59" s="13" t="s">
        <v>1208</v>
      </c>
      <c r="Q59" s="13" t="s">
        <v>21</v>
      </c>
      <c r="R59" s="15">
        <v>514</v>
      </c>
      <c r="S59" s="15">
        <v>0</v>
      </c>
      <c r="T59" s="15">
        <v>14</v>
      </c>
      <c r="U59" s="22"/>
      <c r="V59" s="22">
        <v>524</v>
      </c>
      <c r="W59" s="22"/>
      <c r="X59" s="22"/>
      <c r="Y59" s="22"/>
      <c r="Z59" s="28">
        <f t="shared" si="16"/>
        <v>528</v>
      </c>
      <c r="AA59" s="15">
        <v>41140</v>
      </c>
      <c r="AB59" s="15">
        <v>56</v>
      </c>
      <c r="AC59" s="15">
        <v>40616</v>
      </c>
      <c r="AD59" s="17">
        <f t="shared" si="17"/>
        <v>40560</v>
      </c>
      <c r="AE59" s="15">
        <v>40616</v>
      </c>
      <c r="AF59" s="15">
        <v>40616</v>
      </c>
      <c r="AG59" s="15"/>
      <c r="AH59" s="22"/>
      <c r="AI59" s="22"/>
      <c r="AJ59" s="22"/>
      <c r="AK59" s="28" t="str">
        <f t="shared" si="18"/>
        <v/>
      </c>
      <c r="AL59" s="22"/>
      <c r="AM59" s="13"/>
      <c r="AN59" s="13"/>
      <c r="AO59" s="28" t="str">
        <f t="shared" si="19"/>
        <v/>
      </c>
      <c r="AP59" s="28" t="str">
        <f t="shared" si="20"/>
        <v/>
      </c>
      <c r="AQ59" s="28" t="str">
        <f t="shared" si="21"/>
        <v/>
      </c>
      <c r="AR59" s="28" t="str">
        <f t="shared" si="22"/>
        <v/>
      </c>
      <c r="AS59" s="29" t="str">
        <f t="shared" si="23"/>
        <v/>
      </c>
      <c r="AT59" s="29" t="str">
        <f t="shared" si="24"/>
        <v/>
      </c>
      <c r="AU59" s="21">
        <v>9.8000000000000007</v>
      </c>
      <c r="AV59" s="22">
        <v>180</v>
      </c>
      <c r="AW59" s="22"/>
      <c r="AX59" s="22"/>
      <c r="AY59" s="22"/>
      <c r="AZ59" s="22"/>
      <c r="BA59" s="28" t="str">
        <f t="shared" si="25"/>
        <v/>
      </c>
      <c r="BB59" s="22"/>
      <c r="BC59" s="13"/>
      <c r="BD59" s="13"/>
      <c r="BE59" s="28" t="str">
        <f t="shared" si="26"/>
        <v/>
      </c>
      <c r="BF59" s="28" t="str">
        <f t="shared" si="27"/>
        <v/>
      </c>
      <c r="BG59" s="28" t="str">
        <f t="shared" si="28"/>
        <v/>
      </c>
      <c r="BH59" s="28" t="str">
        <f t="shared" si="29"/>
        <v/>
      </c>
      <c r="BI59" s="29" t="str">
        <f t="shared" si="30"/>
        <v/>
      </c>
      <c r="BJ59" s="29" t="str">
        <f t="shared" si="31"/>
        <v/>
      </c>
      <c r="BK59" s="21">
        <v>9.8000000000000007</v>
      </c>
      <c r="BL59" s="22">
        <v>180</v>
      </c>
      <c r="BM59" s="22"/>
    </row>
  </sheetData>
  <autoFilter ref="A1:BM59" xr:uid="{00000000-0009-0000-0000-000002000000}"/>
  <pageMargins left="0.7" right="0.7" top="0.75" bottom="0.75" header="0.3" footer="0.3"/>
  <pageSetup orientation="portrait" horizontalDpi="4294967295" verticalDpi="429496729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8F37"/>
  </sheetPr>
  <dimension ref="A1:BA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H2" sqref="H2"/>
    </sheetView>
  </sheetViews>
  <sheetFormatPr baseColWidth="10" defaultColWidth="8.88671875" defaultRowHeight="14.4" x14ac:dyDescent="0.3"/>
  <cols>
    <col min="1" max="1" width="14" customWidth="1"/>
    <col min="2" max="2" width="5.6640625" bestFit="1" customWidth="1"/>
    <col min="3" max="6" width="14" customWidth="1"/>
    <col min="7" max="7" width="18.6640625" bestFit="1" customWidth="1"/>
    <col min="8" max="8" width="19.77734375" bestFit="1" customWidth="1"/>
    <col min="9" max="9" width="13.21875" bestFit="1" customWidth="1"/>
    <col min="10" max="10" width="10.88671875" bestFit="1" customWidth="1"/>
    <col min="11" max="11" width="14" customWidth="1"/>
    <col min="12" max="12" width="26" customWidth="1"/>
    <col min="13" max="14" width="14" customWidth="1"/>
    <col min="15" max="15" width="26" customWidth="1"/>
    <col min="16" max="17" width="14" customWidth="1"/>
    <col min="18" max="18" width="18" customWidth="1"/>
    <col min="19" max="19" width="14" customWidth="1"/>
    <col min="20" max="20" width="18" customWidth="1"/>
    <col min="21" max="22" width="14" customWidth="1"/>
    <col min="23" max="25" width="18" customWidth="1"/>
    <col min="26" max="29" width="14" customWidth="1"/>
    <col min="30" max="30" width="12.33203125" bestFit="1" customWidth="1"/>
    <col min="31" max="46" width="14" customWidth="1"/>
    <col min="47" max="47" width="26" customWidth="1"/>
    <col min="48" max="49" width="14" customWidth="1"/>
    <col min="50" max="51" width="18" customWidth="1"/>
    <col min="52" max="53" width="14" customWidth="1"/>
  </cols>
  <sheetData>
    <row r="1" spans="1:53" s="1" customFormat="1" ht="34.049999999999997" customHeight="1" x14ac:dyDescent="0.3">
      <c r="A1" s="2" t="s">
        <v>378</v>
      </c>
      <c r="B1" s="2" t="s">
        <v>379</v>
      </c>
      <c r="C1" s="2" t="s">
        <v>531</v>
      </c>
      <c r="D1" s="2" t="s">
        <v>380</v>
      </c>
      <c r="E1" s="2" t="s">
        <v>532</v>
      </c>
      <c r="F1" s="2" t="s">
        <v>533</v>
      </c>
      <c r="G1" s="2" t="s">
        <v>90</v>
      </c>
      <c r="H1" s="2" t="s">
        <v>1237</v>
      </c>
      <c r="I1" s="2" t="s">
        <v>384</v>
      </c>
      <c r="J1" s="2" t="s">
        <v>70</v>
      </c>
      <c r="K1" s="2" t="s">
        <v>71</v>
      </c>
      <c r="L1" s="2" t="s">
        <v>4</v>
      </c>
      <c r="M1" s="2" t="s">
        <v>67</v>
      </c>
      <c r="N1" s="2" t="s">
        <v>534</v>
      </c>
      <c r="O1" s="2" t="s">
        <v>535</v>
      </c>
      <c r="P1" s="2" t="s">
        <v>536</v>
      </c>
      <c r="Q1" s="2" t="s">
        <v>537</v>
      </c>
      <c r="R1" s="2" t="s">
        <v>538</v>
      </c>
      <c r="S1" s="2" t="s">
        <v>539</v>
      </c>
      <c r="T1" s="2" t="s">
        <v>540</v>
      </c>
      <c r="U1" s="2" t="s">
        <v>541</v>
      </c>
      <c r="V1" s="2" t="s">
        <v>542</v>
      </c>
      <c r="W1" s="2" t="s">
        <v>543</v>
      </c>
      <c r="X1" s="2" t="s">
        <v>544</v>
      </c>
      <c r="Y1" s="2" t="s">
        <v>545</v>
      </c>
      <c r="Z1" s="2" t="s">
        <v>546</v>
      </c>
      <c r="AA1" s="2" t="s">
        <v>547</v>
      </c>
      <c r="AB1" s="2" t="s">
        <v>548</v>
      </c>
      <c r="AC1" s="2" t="s">
        <v>549</v>
      </c>
      <c r="AD1" s="2" t="s">
        <v>550</v>
      </c>
      <c r="AE1" s="2" t="s">
        <v>551</v>
      </c>
      <c r="AF1" s="2" t="s">
        <v>552</v>
      </c>
      <c r="AG1" s="2" t="s">
        <v>553</v>
      </c>
      <c r="AH1" s="2" t="s">
        <v>554</v>
      </c>
      <c r="AI1" s="2" t="s">
        <v>555</v>
      </c>
      <c r="AJ1" s="2" t="s">
        <v>556</v>
      </c>
      <c r="AK1" s="2" t="s">
        <v>557</v>
      </c>
      <c r="AL1" s="2" t="s">
        <v>558</v>
      </c>
      <c r="AM1" s="2" t="s">
        <v>559</v>
      </c>
      <c r="AN1" s="2" t="s">
        <v>560</v>
      </c>
      <c r="AO1" s="2" t="s">
        <v>561</v>
      </c>
      <c r="AP1" s="2" t="s">
        <v>562</v>
      </c>
      <c r="AQ1" s="2" t="s">
        <v>563</v>
      </c>
      <c r="AR1" s="2" t="s">
        <v>564</v>
      </c>
      <c r="AS1" s="2" t="s">
        <v>565</v>
      </c>
      <c r="AT1" s="2" t="s">
        <v>566</v>
      </c>
      <c r="AU1" s="2" t="s">
        <v>92</v>
      </c>
      <c r="AV1" s="2" t="s">
        <v>567</v>
      </c>
      <c r="AW1" s="2" t="s">
        <v>568</v>
      </c>
      <c r="AX1" s="2" t="s">
        <v>569</v>
      </c>
      <c r="AY1" s="2" t="s">
        <v>570</v>
      </c>
      <c r="AZ1" s="2" t="s">
        <v>571</v>
      </c>
      <c r="BA1" s="2" t="s">
        <v>572</v>
      </c>
    </row>
    <row r="2" spans="1:53" x14ac:dyDescent="0.3">
      <c r="A2" s="3" t="s">
        <v>573</v>
      </c>
      <c r="B2" s="41">
        <v>1</v>
      </c>
      <c r="C2" s="5">
        <v>46142</v>
      </c>
      <c r="D2" s="4" t="s">
        <v>574</v>
      </c>
      <c r="E2" s="4" t="s">
        <v>575</v>
      </c>
      <c r="F2" s="4" t="s">
        <v>576</v>
      </c>
      <c r="G2" s="39" t="s">
        <v>577</v>
      </c>
      <c r="H2" s="39">
        <v>193</v>
      </c>
      <c r="I2" s="37"/>
      <c r="J2" s="37">
        <v>773</v>
      </c>
      <c r="K2" s="4"/>
      <c r="L2" s="4"/>
      <c r="M2" s="4"/>
      <c r="N2" s="4"/>
      <c r="O2" s="4" t="s">
        <v>578</v>
      </c>
      <c r="P2" s="4" t="s">
        <v>579</v>
      </c>
      <c r="Q2" s="4" t="s">
        <v>576</v>
      </c>
      <c r="R2" s="6">
        <v>43680</v>
      </c>
      <c r="S2" s="6">
        <v>0</v>
      </c>
      <c r="T2" s="6">
        <v>43680</v>
      </c>
      <c r="U2" s="20">
        <v>531</v>
      </c>
      <c r="V2" s="6">
        <v>43149</v>
      </c>
      <c r="W2" s="6">
        <v>44299</v>
      </c>
      <c r="X2" s="6">
        <v>1955</v>
      </c>
      <c r="Y2" s="6">
        <v>42344</v>
      </c>
      <c r="Z2" s="20">
        <v>572</v>
      </c>
      <c r="AA2" s="6">
        <v>41772</v>
      </c>
      <c r="AB2" s="19">
        <v>11.8</v>
      </c>
      <c r="AC2" s="20">
        <v>185</v>
      </c>
      <c r="AD2" s="19">
        <v>43.03</v>
      </c>
      <c r="AE2" s="19">
        <v>9.6</v>
      </c>
      <c r="AF2" s="20">
        <v>183</v>
      </c>
      <c r="AG2" s="26">
        <f t="shared" ref="AG2:AG31" si="0">IF(COUNTA(AJ2:AL2)&lt;3,AZ2,(AJ2+0.5*(AK2+AL2))*0.17637)</f>
        <v>42.328800000000001</v>
      </c>
      <c r="AH2" s="20">
        <v>0</v>
      </c>
      <c r="AI2" s="20">
        <v>49</v>
      </c>
      <c r="AJ2" s="20">
        <v>227</v>
      </c>
      <c r="AK2" s="4">
        <v>10</v>
      </c>
      <c r="AL2" s="4">
        <v>16</v>
      </c>
      <c r="AM2" s="20">
        <v>675</v>
      </c>
      <c r="AN2" s="20">
        <v>17</v>
      </c>
      <c r="AO2" s="9">
        <f t="shared" ref="AO2:AO31" si="1">IF(OR(V2="",AA2=""),"",V2-AA2)</f>
        <v>1377</v>
      </c>
      <c r="AP2" s="6"/>
      <c r="AQ2" s="6"/>
      <c r="AR2" s="20">
        <v>540</v>
      </c>
      <c r="AS2" s="20">
        <v>572</v>
      </c>
      <c r="AT2" s="4" t="s">
        <v>580</v>
      </c>
      <c r="AU2" s="4" t="s">
        <v>581</v>
      </c>
      <c r="AV2" s="4" t="s">
        <v>582</v>
      </c>
      <c r="AW2" s="5"/>
      <c r="AX2" s="19"/>
      <c r="AY2" s="19"/>
      <c r="AZ2" s="20">
        <v>43.32</v>
      </c>
      <c r="BA2" s="26">
        <f t="shared" ref="BA2:BA31" si="2">IF(OR(AG2="",AZ2=""),"",AG2-AZ2)</f>
        <v>-0.99119999999999919</v>
      </c>
    </row>
    <row r="3" spans="1:53" x14ac:dyDescent="0.3">
      <c r="A3" s="12" t="s">
        <v>583</v>
      </c>
      <c r="B3" s="42">
        <v>2</v>
      </c>
      <c r="C3" s="14">
        <v>46142</v>
      </c>
      <c r="D3" s="13" t="s">
        <v>574</v>
      </c>
      <c r="E3" s="13" t="s">
        <v>575</v>
      </c>
      <c r="F3" s="13" t="s">
        <v>576</v>
      </c>
      <c r="G3" s="40" t="s">
        <v>584</v>
      </c>
      <c r="H3" s="40">
        <v>197</v>
      </c>
      <c r="I3" s="38"/>
      <c r="J3" s="38">
        <v>14643</v>
      </c>
      <c r="K3" s="13"/>
      <c r="L3" s="13"/>
      <c r="M3" s="13"/>
      <c r="N3" s="13"/>
      <c r="O3" s="13" t="s">
        <v>585</v>
      </c>
      <c r="P3" s="13" t="s">
        <v>579</v>
      </c>
      <c r="Q3" s="13" t="s">
        <v>576</v>
      </c>
      <c r="R3" s="15">
        <v>40480</v>
      </c>
      <c r="S3" s="15">
        <v>0</v>
      </c>
      <c r="T3" s="15">
        <v>40480</v>
      </c>
      <c r="U3" s="22">
        <v>453</v>
      </c>
      <c r="V3" s="15">
        <v>40027</v>
      </c>
      <c r="W3" s="15">
        <v>40602</v>
      </c>
      <c r="X3" s="15">
        <v>1650</v>
      </c>
      <c r="Y3" s="15">
        <v>38952</v>
      </c>
      <c r="Z3" s="22">
        <v>536</v>
      </c>
      <c r="AA3" s="15">
        <v>38416</v>
      </c>
      <c r="AB3" s="21">
        <v>11.8</v>
      </c>
      <c r="AC3" s="22">
        <v>160</v>
      </c>
      <c r="AD3" s="21">
        <v>43.12</v>
      </c>
      <c r="AE3" s="21">
        <v>10.4</v>
      </c>
      <c r="AF3" s="22">
        <v>164</v>
      </c>
      <c r="AG3" s="28">
        <f t="shared" si="0"/>
        <v>43.210650000000001</v>
      </c>
      <c r="AH3" s="22">
        <v>4</v>
      </c>
      <c r="AI3" s="22">
        <v>20</v>
      </c>
      <c r="AJ3" s="22">
        <v>230</v>
      </c>
      <c r="AK3" s="13">
        <v>12</v>
      </c>
      <c r="AL3" s="13">
        <v>18</v>
      </c>
      <c r="AM3" s="22">
        <v>675</v>
      </c>
      <c r="AN3" s="22">
        <v>36</v>
      </c>
      <c r="AO3" s="17">
        <f t="shared" si="1"/>
        <v>1611</v>
      </c>
      <c r="AP3" s="15"/>
      <c r="AQ3" s="15"/>
      <c r="AR3" s="22">
        <v>465</v>
      </c>
      <c r="AS3" s="22">
        <v>536</v>
      </c>
      <c r="AT3" s="13" t="s">
        <v>580</v>
      </c>
      <c r="AU3" s="13" t="s">
        <v>581</v>
      </c>
      <c r="AV3" s="13" t="s">
        <v>582</v>
      </c>
      <c r="AW3" s="14"/>
      <c r="AX3" s="21"/>
      <c r="AY3" s="21"/>
      <c r="AZ3" s="22">
        <v>43.21</v>
      </c>
      <c r="BA3" s="28">
        <f t="shared" si="2"/>
        <v>6.5000000000026148E-4</v>
      </c>
    </row>
    <row r="4" spans="1:53" x14ac:dyDescent="0.3">
      <c r="A4" s="3" t="s">
        <v>586</v>
      </c>
      <c r="B4" s="41">
        <v>3</v>
      </c>
      <c r="C4" s="5">
        <v>46145</v>
      </c>
      <c r="D4" s="4" t="s">
        <v>574</v>
      </c>
      <c r="E4" s="4" t="s">
        <v>587</v>
      </c>
      <c r="F4" s="4" t="s">
        <v>588</v>
      </c>
      <c r="G4" s="39" t="s">
        <v>589</v>
      </c>
      <c r="H4" s="39">
        <v>160</v>
      </c>
      <c r="I4" s="37"/>
      <c r="J4" s="37">
        <v>82124</v>
      </c>
      <c r="K4" s="4"/>
      <c r="L4" s="4"/>
      <c r="M4" s="4"/>
      <c r="N4" s="4"/>
      <c r="O4" s="4" t="s">
        <v>578</v>
      </c>
      <c r="P4" s="4" t="s">
        <v>46</v>
      </c>
      <c r="Q4" s="4" t="s">
        <v>588</v>
      </c>
      <c r="R4" s="6">
        <v>54180</v>
      </c>
      <c r="S4" s="6">
        <v>0</v>
      </c>
      <c r="T4" s="6">
        <v>54180</v>
      </c>
      <c r="U4" s="20">
        <v>646</v>
      </c>
      <c r="V4" s="6">
        <v>53534</v>
      </c>
      <c r="W4" s="6">
        <v>55082</v>
      </c>
      <c r="X4" s="6">
        <v>2044</v>
      </c>
      <c r="Y4" s="6">
        <v>53038</v>
      </c>
      <c r="Z4" s="20">
        <v>701</v>
      </c>
      <c r="AA4" s="6">
        <v>52337</v>
      </c>
      <c r="AB4" s="19">
        <v>15.4</v>
      </c>
      <c r="AC4" s="20">
        <v>158</v>
      </c>
      <c r="AD4" s="19">
        <v>43.56</v>
      </c>
      <c r="AE4" s="19">
        <v>10.5</v>
      </c>
      <c r="AF4" s="20">
        <v>170</v>
      </c>
      <c r="AG4" s="26">
        <f t="shared" si="0"/>
        <v>44.26887</v>
      </c>
      <c r="AH4" s="20">
        <v>0</v>
      </c>
      <c r="AI4" s="20">
        <v>27</v>
      </c>
      <c r="AJ4" s="20">
        <v>244</v>
      </c>
      <c r="AK4" s="4">
        <v>10</v>
      </c>
      <c r="AL4" s="4">
        <v>4</v>
      </c>
      <c r="AM4" s="20">
        <v>674</v>
      </c>
      <c r="AN4" s="20">
        <v>37</v>
      </c>
      <c r="AO4" s="9">
        <f t="shared" si="1"/>
        <v>1197</v>
      </c>
      <c r="AP4" s="6"/>
      <c r="AQ4" s="6"/>
      <c r="AR4" s="20">
        <v>631</v>
      </c>
      <c r="AS4" s="20">
        <v>701</v>
      </c>
      <c r="AT4" s="4" t="s">
        <v>580</v>
      </c>
      <c r="AU4" s="4" t="s">
        <v>581</v>
      </c>
      <c r="AV4" s="4" t="s">
        <v>590</v>
      </c>
      <c r="AW4" s="5"/>
      <c r="AX4" s="19"/>
      <c r="AY4" s="19"/>
      <c r="AZ4" s="20">
        <v>44.26</v>
      </c>
      <c r="BA4" s="26">
        <f t="shared" si="2"/>
        <v>8.8700000000017099E-3</v>
      </c>
    </row>
    <row r="5" spans="1:53" x14ac:dyDescent="0.3">
      <c r="A5" s="12" t="s">
        <v>591</v>
      </c>
      <c r="B5" s="42">
        <v>4</v>
      </c>
      <c r="C5" s="14">
        <v>46146</v>
      </c>
      <c r="D5" s="13" t="s">
        <v>574</v>
      </c>
      <c r="E5" s="13" t="s">
        <v>575</v>
      </c>
      <c r="F5" s="13" t="s">
        <v>576</v>
      </c>
      <c r="G5" s="40" t="s">
        <v>592</v>
      </c>
      <c r="H5" s="40">
        <v>179</v>
      </c>
      <c r="I5" s="38"/>
      <c r="J5" s="38">
        <v>66919</v>
      </c>
      <c r="K5" s="13"/>
      <c r="L5" s="13"/>
      <c r="M5" s="13"/>
      <c r="N5" s="13"/>
      <c r="O5" s="13"/>
      <c r="P5" s="13" t="s">
        <v>46</v>
      </c>
      <c r="Q5" s="13" t="s">
        <v>576</v>
      </c>
      <c r="R5" s="15">
        <v>42480</v>
      </c>
      <c r="S5" s="15">
        <v>0</v>
      </c>
      <c r="T5" s="15">
        <v>42480</v>
      </c>
      <c r="U5" s="22">
        <v>577</v>
      </c>
      <c r="V5" s="15">
        <v>41903</v>
      </c>
      <c r="W5" s="15">
        <v>42599</v>
      </c>
      <c r="X5" s="15">
        <v>1633</v>
      </c>
      <c r="Y5" s="15">
        <v>40966</v>
      </c>
      <c r="Z5" s="22">
        <v>547</v>
      </c>
      <c r="AA5" s="15">
        <v>40419</v>
      </c>
      <c r="AB5" s="21">
        <v>10.5</v>
      </c>
      <c r="AC5" s="22">
        <v>184</v>
      </c>
      <c r="AD5" s="21">
        <v>42.41</v>
      </c>
      <c r="AE5" s="21">
        <v>8.5</v>
      </c>
      <c r="AF5" s="22">
        <v>188</v>
      </c>
      <c r="AG5" s="28">
        <f t="shared" si="0"/>
        <v>43.210650000000001</v>
      </c>
      <c r="AH5" s="22">
        <v>2</v>
      </c>
      <c r="AI5" s="22">
        <v>22</v>
      </c>
      <c r="AJ5" s="22">
        <v>234</v>
      </c>
      <c r="AK5" s="13">
        <v>12</v>
      </c>
      <c r="AL5" s="13">
        <v>10</v>
      </c>
      <c r="AM5" s="22">
        <v>681</v>
      </c>
      <c r="AN5" s="22">
        <v>34</v>
      </c>
      <c r="AO5" s="17">
        <f t="shared" si="1"/>
        <v>1484</v>
      </c>
      <c r="AP5" s="15"/>
      <c r="AQ5" s="15"/>
      <c r="AR5" s="22">
        <v>599</v>
      </c>
      <c r="AS5" s="22">
        <v>547</v>
      </c>
      <c r="AT5" s="13" t="s">
        <v>580</v>
      </c>
      <c r="AU5" s="13" t="s">
        <v>581</v>
      </c>
      <c r="AV5" s="13" t="s">
        <v>582</v>
      </c>
      <c r="AW5" s="14"/>
      <c r="AX5" s="21"/>
      <c r="AY5" s="21"/>
      <c r="AZ5" s="22">
        <v>43.03</v>
      </c>
      <c r="BA5" s="28">
        <f t="shared" si="2"/>
        <v>0.18064999999999998</v>
      </c>
    </row>
    <row r="6" spans="1:53" x14ac:dyDescent="0.3">
      <c r="A6" s="3" t="s">
        <v>593</v>
      </c>
      <c r="B6" s="41">
        <v>5</v>
      </c>
      <c r="C6" s="5">
        <v>46164</v>
      </c>
      <c r="D6" s="4" t="s">
        <v>574</v>
      </c>
      <c r="E6" s="4" t="s">
        <v>594</v>
      </c>
      <c r="F6" s="4" t="s">
        <v>576</v>
      </c>
      <c r="G6" s="39" t="s">
        <v>595</v>
      </c>
      <c r="H6" s="39" t="s">
        <v>594</v>
      </c>
      <c r="I6" s="37"/>
      <c r="J6" s="37">
        <v>51237</v>
      </c>
      <c r="K6" s="4"/>
      <c r="L6" s="4"/>
      <c r="M6" s="4"/>
      <c r="N6" s="4"/>
      <c r="O6" s="4" t="s">
        <v>578</v>
      </c>
      <c r="P6" s="4" t="s">
        <v>594</v>
      </c>
      <c r="Q6" s="4" t="s">
        <v>576</v>
      </c>
      <c r="R6" s="6">
        <v>46553</v>
      </c>
      <c r="S6" s="6">
        <v>5930</v>
      </c>
      <c r="T6" s="6">
        <v>40623</v>
      </c>
      <c r="U6" s="20">
        <v>540</v>
      </c>
      <c r="V6" s="6">
        <v>40083</v>
      </c>
      <c r="W6" s="6">
        <v>41509</v>
      </c>
      <c r="X6" s="6">
        <v>1590</v>
      </c>
      <c r="Y6" s="6">
        <v>39919</v>
      </c>
      <c r="Z6" s="20">
        <v>535</v>
      </c>
      <c r="AA6" s="6">
        <v>39384</v>
      </c>
      <c r="AB6" s="19">
        <v>10.8</v>
      </c>
      <c r="AC6" s="20">
        <v>178</v>
      </c>
      <c r="AD6" s="19">
        <v>42.24</v>
      </c>
      <c r="AE6" s="19">
        <v>8.8000000000000007</v>
      </c>
      <c r="AF6" s="20">
        <v>172</v>
      </c>
      <c r="AG6" s="26">
        <f t="shared" si="0"/>
        <v>42.769725000000001</v>
      </c>
      <c r="AH6" s="20">
        <v>0</v>
      </c>
      <c r="AI6" s="20">
        <v>40</v>
      </c>
      <c r="AJ6" s="20">
        <v>230</v>
      </c>
      <c r="AK6" s="4">
        <v>11</v>
      </c>
      <c r="AL6" s="4">
        <v>14</v>
      </c>
      <c r="AM6" s="20">
        <v>687</v>
      </c>
      <c r="AN6" s="20">
        <v>13</v>
      </c>
      <c r="AO6" s="9">
        <f t="shared" si="1"/>
        <v>699</v>
      </c>
      <c r="AP6" s="6"/>
      <c r="AQ6" s="6"/>
      <c r="AR6" s="20">
        <v>540</v>
      </c>
      <c r="AS6" s="20">
        <v>535</v>
      </c>
      <c r="AT6" s="4" t="s">
        <v>580</v>
      </c>
      <c r="AU6" s="4" t="s">
        <v>581</v>
      </c>
      <c r="AV6" s="4" t="s">
        <v>567</v>
      </c>
      <c r="AW6" s="5"/>
      <c r="AX6" s="19"/>
      <c r="AY6" s="19"/>
      <c r="AZ6" s="20">
        <v>42.76</v>
      </c>
      <c r="BA6" s="26">
        <f t="shared" si="2"/>
        <v>9.7250000000030923E-3</v>
      </c>
    </row>
    <row r="7" spans="1:53" x14ac:dyDescent="0.3">
      <c r="A7" s="12" t="s">
        <v>596</v>
      </c>
      <c r="B7" s="42">
        <v>6</v>
      </c>
      <c r="C7" s="14">
        <v>46167</v>
      </c>
      <c r="D7" s="13" t="s">
        <v>574</v>
      </c>
      <c r="E7" s="13" t="s">
        <v>594</v>
      </c>
      <c r="F7" s="13" t="s">
        <v>576</v>
      </c>
      <c r="G7" s="40" t="s">
        <v>595</v>
      </c>
      <c r="H7" s="40" t="s">
        <v>594</v>
      </c>
      <c r="I7" s="38"/>
      <c r="J7" s="38">
        <v>82120</v>
      </c>
      <c r="K7" s="13"/>
      <c r="L7" s="13"/>
      <c r="M7" s="13"/>
      <c r="N7" s="13"/>
      <c r="O7" s="13" t="s">
        <v>578</v>
      </c>
      <c r="P7" s="13" t="s">
        <v>594</v>
      </c>
      <c r="Q7" s="13" t="s">
        <v>576</v>
      </c>
      <c r="R7" s="15">
        <v>78459</v>
      </c>
      <c r="S7" s="15">
        <v>2490</v>
      </c>
      <c r="T7" s="15">
        <v>75969</v>
      </c>
      <c r="U7" s="22">
        <v>1001</v>
      </c>
      <c r="V7" s="15">
        <v>74968</v>
      </c>
      <c r="W7" s="15">
        <v>77183</v>
      </c>
      <c r="X7" s="15">
        <v>2902</v>
      </c>
      <c r="Y7" s="15">
        <v>74281</v>
      </c>
      <c r="Z7" s="22">
        <v>998</v>
      </c>
      <c r="AA7" s="15">
        <v>73283</v>
      </c>
      <c r="AB7" s="21">
        <v>10.5</v>
      </c>
      <c r="AC7" s="22">
        <v>174</v>
      </c>
      <c r="AD7" s="21">
        <v>42.24</v>
      </c>
      <c r="AE7" s="21">
        <v>8.8000000000000007</v>
      </c>
      <c r="AF7" s="22">
        <v>171</v>
      </c>
      <c r="AG7" s="28">
        <f t="shared" si="0"/>
        <v>42.593355000000003</v>
      </c>
      <c r="AH7" s="22">
        <v>3</v>
      </c>
      <c r="AI7" s="22">
        <v>30</v>
      </c>
      <c r="AJ7" s="22">
        <v>227</v>
      </c>
      <c r="AK7" s="13">
        <v>19</v>
      </c>
      <c r="AL7" s="13">
        <v>10</v>
      </c>
      <c r="AM7" s="22">
        <v>670</v>
      </c>
      <c r="AN7" s="22">
        <v>36</v>
      </c>
      <c r="AO7" s="17">
        <f t="shared" si="1"/>
        <v>1685</v>
      </c>
      <c r="AP7" s="15"/>
      <c r="AQ7" s="15"/>
      <c r="AR7" s="22">
        <v>1001</v>
      </c>
      <c r="AS7" s="22">
        <v>998</v>
      </c>
      <c r="AT7" s="13" t="s">
        <v>580</v>
      </c>
      <c r="AU7" s="13" t="s">
        <v>581</v>
      </c>
      <c r="AV7" s="13" t="s">
        <v>597</v>
      </c>
      <c r="AW7" s="14"/>
      <c r="AX7" s="21"/>
      <c r="AY7" s="21"/>
      <c r="AZ7" s="22">
        <v>42.59</v>
      </c>
      <c r="BA7" s="28">
        <f t="shared" si="2"/>
        <v>3.3549999999991087E-3</v>
      </c>
    </row>
    <row r="8" spans="1:53" x14ac:dyDescent="0.3">
      <c r="A8" s="3" t="s">
        <v>598</v>
      </c>
      <c r="B8" s="41">
        <v>7</v>
      </c>
      <c r="C8" s="5">
        <v>46168</v>
      </c>
      <c r="D8" s="4" t="s">
        <v>574</v>
      </c>
      <c r="E8" s="4" t="s">
        <v>594</v>
      </c>
      <c r="F8" s="4" t="s">
        <v>576</v>
      </c>
      <c r="G8" s="39" t="s">
        <v>595</v>
      </c>
      <c r="H8" s="39" t="s">
        <v>594</v>
      </c>
      <c r="I8" s="37"/>
      <c r="J8" s="37">
        <v>82869</v>
      </c>
      <c r="K8" s="4"/>
      <c r="L8" s="4"/>
      <c r="M8" s="4"/>
      <c r="N8" s="4"/>
      <c r="O8" s="4" t="s">
        <v>578</v>
      </c>
      <c r="P8" s="4" t="s">
        <v>594</v>
      </c>
      <c r="Q8" s="4" t="s">
        <v>576</v>
      </c>
      <c r="R8" s="6">
        <v>32489</v>
      </c>
      <c r="S8" s="6">
        <v>1016</v>
      </c>
      <c r="T8" s="6">
        <v>31473</v>
      </c>
      <c r="U8" s="20">
        <v>414</v>
      </c>
      <c r="V8" s="6">
        <v>31059</v>
      </c>
      <c r="W8" s="6">
        <v>32297</v>
      </c>
      <c r="X8" s="6">
        <v>1394</v>
      </c>
      <c r="Y8" s="6">
        <v>30903</v>
      </c>
      <c r="Z8" s="20">
        <v>414</v>
      </c>
      <c r="AA8" s="6">
        <v>30489</v>
      </c>
      <c r="AB8" s="19">
        <v>10.1</v>
      </c>
      <c r="AC8" s="20">
        <v>174</v>
      </c>
      <c r="AD8" s="19">
        <v>42.15</v>
      </c>
      <c r="AE8" s="19">
        <v>8.6999999999999993</v>
      </c>
      <c r="AF8" s="20">
        <v>175</v>
      </c>
      <c r="AG8" s="26">
        <f t="shared" si="0"/>
        <v>42.50517</v>
      </c>
      <c r="AH8" s="20">
        <v>0</v>
      </c>
      <c r="AI8" s="20">
        <v>36</v>
      </c>
      <c r="AJ8" s="20">
        <v>223</v>
      </c>
      <c r="AK8" s="4">
        <v>17</v>
      </c>
      <c r="AL8" s="4">
        <v>19</v>
      </c>
      <c r="AM8" s="20">
        <v>659</v>
      </c>
      <c r="AN8" s="20">
        <v>41</v>
      </c>
      <c r="AO8" s="9">
        <f t="shared" si="1"/>
        <v>570</v>
      </c>
      <c r="AP8" s="6"/>
      <c r="AQ8" s="6"/>
      <c r="AR8" s="20">
        <v>414</v>
      </c>
      <c r="AS8" s="20">
        <v>414</v>
      </c>
      <c r="AT8" s="4" t="s">
        <v>599</v>
      </c>
      <c r="AU8" s="4" t="s">
        <v>581</v>
      </c>
      <c r="AV8" s="4" t="s">
        <v>597</v>
      </c>
      <c r="AW8" s="5"/>
      <c r="AX8" s="19"/>
      <c r="AY8" s="19"/>
      <c r="AZ8" s="20">
        <v>42.5</v>
      </c>
      <c r="BA8" s="26">
        <f t="shared" si="2"/>
        <v>5.1699999999996749E-3</v>
      </c>
    </row>
    <row r="9" spans="1:53" x14ac:dyDescent="0.3">
      <c r="A9" s="12" t="s">
        <v>600</v>
      </c>
      <c r="B9" s="42">
        <v>8</v>
      </c>
      <c r="C9" s="14">
        <v>46169</v>
      </c>
      <c r="D9" s="13" t="s">
        <v>574</v>
      </c>
      <c r="E9" s="13" t="s">
        <v>594</v>
      </c>
      <c r="F9" s="13" t="s">
        <v>576</v>
      </c>
      <c r="G9" s="40" t="s">
        <v>595</v>
      </c>
      <c r="H9" s="40" t="s">
        <v>594</v>
      </c>
      <c r="I9" s="38"/>
      <c r="J9" s="38">
        <v>82153</v>
      </c>
      <c r="K9" s="13"/>
      <c r="L9" s="13"/>
      <c r="M9" s="13"/>
      <c r="N9" s="13"/>
      <c r="O9" s="13" t="s">
        <v>578</v>
      </c>
      <c r="P9" s="13" t="s">
        <v>594</v>
      </c>
      <c r="Q9" s="13" t="s">
        <v>576</v>
      </c>
      <c r="R9" s="15">
        <v>50394</v>
      </c>
      <c r="S9" s="15">
        <v>1523.9</v>
      </c>
      <c r="T9" s="15">
        <v>48870.1</v>
      </c>
      <c r="U9" s="22">
        <v>638</v>
      </c>
      <c r="V9" s="15">
        <v>48232.1</v>
      </c>
      <c r="W9" s="15">
        <v>49948</v>
      </c>
      <c r="X9" s="15">
        <v>1966</v>
      </c>
      <c r="Y9" s="15">
        <v>47982</v>
      </c>
      <c r="Z9" s="22">
        <v>645</v>
      </c>
      <c r="AA9" s="15">
        <v>47337</v>
      </c>
      <c r="AB9" s="21">
        <v>10.5</v>
      </c>
      <c r="AC9" s="22">
        <v>177</v>
      </c>
      <c r="AD9" s="21">
        <v>42.24</v>
      </c>
      <c r="AE9" s="21">
        <v>8.8000000000000007</v>
      </c>
      <c r="AF9" s="22">
        <v>174</v>
      </c>
      <c r="AG9" s="28">
        <f t="shared" si="0"/>
        <v>42.416984999999997</v>
      </c>
      <c r="AH9" s="22">
        <v>0</v>
      </c>
      <c r="AI9" s="22">
        <v>37</v>
      </c>
      <c r="AJ9" s="22">
        <v>226</v>
      </c>
      <c r="AK9" s="13">
        <v>14</v>
      </c>
      <c r="AL9" s="13">
        <v>15</v>
      </c>
      <c r="AM9" s="22">
        <v>671</v>
      </c>
      <c r="AN9" s="22">
        <v>32</v>
      </c>
      <c r="AO9" s="17">
        <f t="shared" si="1"/>
        <v>895.09999999999854</v>
      </c>
      <c r="AP9" s="15"/>
      <c r="AQ9" s="15"/>
      <c r="AR9" s="22">
        <v>638</v>
      </c>
      <c r="AS9" s="22">
        <v>645</v>
      </c>
      <c r="AT9" s="13" t="s">
        <v>599</v>
      </c>
      <c r="AU9" s="13" t="s">
        <v>581</v>
      </c>
      <c r="AV9" s="13" t="s">
        <v>597</v>
      </c>
      <c r="AW9" s="14"/>
      <c r="AX9" s="21"/>
      <c r="AY9" s="21"/>
      <c r="AZ9" s="22">
        <v>42.41</v>
      </c>
      <c r="BA9" s="28">
        <f t="shared" si="2"/>
        <v>6.985000000000241E-3</v>
      </c>
    </row>
    <row r="10" spans="1:53" x14ac:dyDescent="0.3">
      <c r="A10" s="3" t="s">
        <v>601</v>
      </c>
      <c r="B10" s="41">
        <v>9</v>
      </c>
      <c r="C10" s="5">
        <v>46170</v>
      </c>
      <c r="D10" s="4" t="s">
        <v>574</v>
      </c>
      <c r="E10" s="4" t="s">
        <v>575</v>
      </c>
      <c r="F10" s="4" t="s">
        <v>602</v>
      </c>
      <c r="G10" s="39" t="s">
        <v>603</v>
      </c>
      <c r="H10" s="39">
        <v>87036</v>
      </c>
      <c r="I10" s="37"/>
      <c r="J10" s="37">
        <v>87036</v>
      </c>
      <c r="K10" s="4"/>
      <c r="L10" s="4"/>
      <c r="M10" s="4"/>
      <c r="N10" s="4"/>
      <c r="O10" s="4" t="s">
        <v>578</v>
      </c>
      <c r="P10" s="4" t="s">
        <v>579</v>
      </c>
      <c r="Q10" s="4" t="s">
        <v>602</v>
      </c>
      <c r="R10" s="6">
        <v>55860</v>
      </c>
      <c r="S10" s="6">
        <v>0</v>
      </c>
      <c r="T10" s="6">
        <v>55860</v>
      </c>
      <c r="U10" s="20">
        <v>690</v>
      </c>
      <c r="V10" s="6">
        <v>55170</v>
      </c>
      <c r="W10" s="6">
        <v>56876</v>
      </c>
      <c r="X10" s="6">
        <v>2215</v>
      </c>
      <c r="Y10" s="6">
        <v>54661</v>
      </c>
      <c r="Z10" s="20">
        <v>751</v>
      </c>
      <c r="AA10" s="6">
        <v>53910</v>
      </c>
      <c r="AB10" s="19">
        <v>10.4</v>
      </c>
      <c r="AC10" s="20">
        <v>175</v>
      </c>
      <c r="AD10" s="19">
        <v>41.88</v>
      </c>
      <c r="AE10" s="19">
        <v>8.9</v>
      </c>
      <c r="AF10" s="20">
        <v>183</v>
      </c>
      <c r="AG10" s="26">
        <f t="shared" si="0"/>
        <v>41.094209999999997</v>
      </c>
      <c r="AH10" s="20">
        <v>0</v>
      </c>
      <c r="AI10" s="20">
        <v>49</v>
      </c>
      <c r="AJ10" s="20">
        <v>220</v>
      </c>
      <c r="AK10" s="4">
        <v>12</v>
      </c>
      <c r="AL10" s="4">
        <v>14</v>
      </c>
      <c r="AM10" s="20">
        <v>682</v>
      </c>
      <c r="AN10" s="20">
        <v>17</v>
      </c>
      <c r="AO10" s="9">
        <f t="shared" si="1"/>
        <v>1260</v>
      </c>
      <c r="AP10" s="6"/>
      <c r="AQ10" s="6"/>
      <c r="AR10" s="20">
        <v>734</v>
      </c>
      <c r="AS10" s="20">
        <v>751</v>
      </c>
      <c r="AT10" s="4" t="s">
        <v>604</v>
      </c>
      <c r="AU10" s="4" t="s">
        <v>581</v>
      </c>
      <c r="AV10" s="4" t="s">
        <v>605</v>
      </c>
      <c r="AW10" s="5"/>
      <c r="AX10" s="19"/>
      <c r="AY10" s="19"/>
      <c r="AZ10" s="20">
        <v>41.09</v>
      </c>
      <c r="BA10" s="26">
        <f t="shared" si="2"/>
        <v>4.2099999999933857E-3</v>
      </c>
    </row>
    <row r="11" spans="1:53" x14ac:dyDescent="0.3">
      <c r="A11" s="12" t="s">
        <v>606</v>
      </c>
      <c r="B11" s="42">
        <v>10</v>
      </c>
      <c r="C11" s="14">
        <v>46171</v>
      </c>
      <c r="D11" s="13" t="s">
        <v>574</v>
      </c>
      <c r="E11" s="13" t="s">
        <v>594</v>
      </c>
      <c r="F11" s="13" t="s">
        <v>602</v>
      </c>
      <c r="G11" s="40" t="s">
        <v>595</v>
      </c>
      <c r="H11" s="40" t="s">
        <v>594</v>
      </c>
      <c r="I11" s="38"/>
      <c r="J11" s="38" t="s">
        <v>594</v>
      </c>
      <c r="K11" s="13"/>
      <c r="L11" s="13"/>
      <c r="M11" s="13"/>
      <c r="N11" s="13"/>
      <c r="O11" s="13" t="s">
        <v>578</v>
      </c>
      <c r="P11" s="13" t="s">
        <v>594</v>
      </c>
      <c r="Q11" s="13" t="s">
        <v>602</v>
      </c>
      <c r="R11" s="15">
        <v>69877</v>
      </c>
      <c r="S11" s="15">
        <v>2206</v>
      </c>
      <c r="T11" s="15">
        <v>67671</v>
      </c>
      <c r="U11" s="22">
        <v>893</v>
      </c>
      <c r="V11" s="15">
        <v>66778</v>
      </c>
      <c r="W11" s="15">
        <v>68376</v>
      </c>
      <c r="X11" s="15">
        <v>2668</v>
      </c>
      <c r="Y11" s="15">
        <v>65708</v>
      </c>
      <c r="Z11" s="22">
        <v>912</v>
      </c>
      <c r="AA11" s="15">
        <v>64796</v>
      </c>
      <c r="AB11" s="21">
        <v>10.199999999999999</v>
      </c>
      <c r="AC11" s="22">
        <v>174</v>
      </c>
      <c r="AD11" s="21">
        <v>42.65</v>
      </c>
      <c r="AE11" s="21">
        <v>8.6</v>
      </c>
      <c r="AF11" s="22">
        <v>170</v>
      </c>
      <c r="AG11" s="28">
        <f t="shared" si="0"/>
        <v>43.034280000000003</v>
      </c>
      <c r="AH11" s="22">
        <v>2</v>
      </c>
      <c r="AI11" s="22">
        <v>28</v>
      </c>
      <c r="AJ11" s="22">
        <v>230</v>
      </c>
      <c r="AK11" s="13">
        <v>18</v>
      </c>
      <c r="AL11" s="13">
        <v>10</v>
      </c>
      <c r="AM11" s="22">
        <v>678</v>
      </c>
      <c r="AN11" s="22">
        <v>26</v>
      </c>
      <c r="AO11" s="17">
        <f t="shared" si="1"/>
        <v>1982</v>
      </c>
      <c r="AP11" s="15"/>
      <c r="AQ11" s="15"/>
      <c r="AR11" s="22">
        <v>893</v>
      </c>
      <c r="AS11" s="22">
        <v>912</v>
      </c>
      <c r="AT11" s="13" t="s">
        <v>604</v>
      </c>
      <c r="AU11" s="13" t="s">
        <v>581</v>
      </c>
      <c r="AV11" s="13" t="s">
        <v>605</v>
      </c>
      <c r="AW11" s="14"/>
      <c r="AX11" s="21"/>
      <c r="AY11" s="21"/>
      <c r="AZ11" s="22">
        <v>43.03</v>
      </c>
      <c r="BA11" s="28">
        <f t="shared" si="2"/>
        <v>4.2800000000013938E-3</v>
      </c>
    </row>
    <row r="12" spans="1:53" x14ac:dyDescent="0.3">
      <c r="A12" s="3" t="s">
        <v>607</v>
      </c>
      <c r="B12" s="41">
        <v>11</v>
      </c>
      <c r="C12" s="5">
        <v>46172</v>
      </c>
      <c r="D12" s="4" t="s">
        <v>574</v>
      </c>
      <c r="E12" s="4" t="s">
        <v>594</v>
      </c>
      <c r="F12" s="4" t="s">
        <v>576</v>
      </c>
      <c r="G12" s="39" t="s">
        <v>595</v>
      </c>
      <c r="H12" s="39" t="s">
        <v>594</v>
      </c>
      <c r="I12" s="37"/>
      <c r="J12" s="37" t="s">
        <v>594</v>
      </c>
      <c r="K12" s="4"/>
      <c r="L12" s="4"/>
      <c r="M12" s="4"/>
      <c r="N12" s="4"/>
      <c r="O12" s="4" t="s">
        <v>578</v>
      </c>
      <c r="P12" s="4" t="s">
        <v>594</v>
      </c>
      <c r="Q12" s="4" t="s">
        <v>576</v>
      </c>
      <c r="R12" s="6">
        <v>69809</v>
      </c>
      <c r="S12" s="6">
        <v>2206</v>
      </c>
      <c r="T12" s="6">
        <v>67603</v>
      </c>
      <c r="U12" s="20">
        <v>898</v>
      </c>
      <c r="V12" s="6">
        <v>66705</v>
      </c>
      <c r="W12" s="6">
        <v>69008</v>
      </c>
      <c r="X12" s="6">
        <v>2666</v>
      </c>
      <c r="Y12" s="6">
        <v>66342</v>
      </c>
      <c r="Z12" s="20">
        <v>890</v>
      </c>
      <c r="AA12" s="6">
        <v>65452</v>
      </c>
      <c r="AB12" s="19">
        <v>10.7</v>
      </c>
      <c r="AC12" s="20">
        <v>175</v>
      </c>
      <c r="AD12" s="19">
        <v>42.06</v>
      </c>
      <c r="AE12" s="19">
        <v>8.3000000000000007</v>
      </c>
      <c r="AF12" s="20">
        <v>177</v>
      </c>
      <c r="AG12" s="26">
        <f t="shared" si="0"/>
        <v>41.535134999999997</v>
      </c>
      <c r="AH12" s="20">
        <v>2</v>
      </c>
      <c r="AI12" s="20">
        <v>40</v>
      </c>
      <c r="AJ12" s="20">
        <v>217</v>
      </c>
      <c r="AK12" s="4">
        <v>17</v>
      </c>
      <c r="AL12" s="4">
        <v>20</v>
      </c>
      <c r="AM12" s="20">
        <v>665</v>
      </c>
      <c r="AN12" s="20">
        <v>35</v>
      </c>
      <c r="AO12" s="9">
        <f t="shared" si="1"/>
        <v>1253</v>
      </c>
      <c r="AP12" s="6"/>
      <c r="AQ12" s="6"/>
      <c r="AR12" s="20">
        <v>898</v>
      </c>
      <c r="AS12" s="20">
        <v>890</v>
      </c>
      <c r="AT12" s="4" t="s">
        <v>604</v>
      </c>
      <c r="AU12" s="4" t="s">
        <v>581</v>
      </c>
      <c r="AV12" s="4" t="s">
        <v>597</v>
      </c>
      <c r="AW12" s="5"/>
      <c r="AX12" s="19"/>
      <c r="AY12" s="19"/>
      <c r="AZ12" s="20">
        <v>41.53</v>
      </c>
      <c r="BA12" s="26">
        <f t="shared" si="2"/>
        <v>5.1349999999956708E-3</v>
      </c>
    </row>
    <row r="13" spans="1:53" x14ac:dyDescent="0.3">
      <c r="A13" s="12" t="s">
        <v>608</v>
      </c>
      <c r="B13" s="42">
        <v>12</v>
      </c>
      <c r="C13" s="14">
        <v>46174</v>
      </c>
      <c r="D13" s="13" t="s">
        <v>574</v>
      </c>
      <c r="E13" s="13" t="s">
        <v>594</v>
      </c>
      <c r="F13" s="13" t="s">
        <v>602</v>
      </c>
      <c r="G13" s="40" t="s">
        <v>595</v>
      </c>
      <c r="H13" s="40" t="s">
        <v>594</v>
      </c>
      <c r="I13" s="38"/>
      <c r="J13" s="38" t="s">
        <v>594</v>
      </c>
      <c r="K13" s="13"/>
      <c r="L13" s="13"/>
      <c r="M13" s="13"/>
      <c r="N13" s="13"/>
      <c r="O13" s="13" t="s">
        <v>578</v>
      </c>
      <c r="P13" s="13" t="s">
        <v>594</v>
      </c>
      <c r="Q13" s="13" t="s">
        <v>602</v>
      </c>
      <c r="R13" s="15">
        <v>52187</v>
      </c>
      <c r="S13" s="15">
        <v>1671</v>
      </c>
      <c r="T13" s="15">
        <v>50516</v>
      </c>
      <c r="U13" s="22">
        <v>660</v>
      </c>
      <c r="V13" s="15">
        <v>49856</v>
      </c>
      <c r="W13" s="15">
        <v>50641.7</v>
      </c>
      <c r="X13" s="15">
        <v>1969</v>
      </c>
      <c r="Y13" s="15">
        <v>48672.7</v>
      </c>
      <c r="Z13" s="22">
        <v>740</v>
      </c>
      <c r="AA13" s="15">
        <v>47932.7</v>
      </c>
      <c r="AB13" s="21">
        <v>11.2</v>
      </c>
      <c r="AC13" s="22">
        <v>170</v>
      </c>
      <c r="AD13" s="21">
        <v>41.27</v>
      </c>
      <c r="AE13" s="21">
        <v>8.6999999999999993</v>
      </c>
      <c r="AF13" s="22">
        <v>170</v>
      </c>
      <c r="AG13" s="28">
        <f t="shared" si="0"/>
        <v>41.270580000000002</v>
      </c>
      <c r="AH13" s="22">
        <v>0</v>
      </c>
      <c r="AI13" s="22">
        <v>48</v>
      </c>
      <c r="AJ13" s="22">
        <v>222</v>
      </c>
      <c r="AK13" s="13">
        <v>10</v>
      </c>
      <c r="AL13" s="13">
        <v>14</v>
      </c>
      <c r="AM13" s="22">
        <v>678</v>
      </c>
      <c r="AN13" s="22">
        <v>23</v>
      </c>
      <c r="AO13" s="17">
        <f t="shared" si="1"/>
        <v>1923.3000000000029</v>
      </c>
      <c r="AP13" s="15"/>
      <c r="AQ13" s="15"/>
      <c r="AR13" s="22">
        <v>660</v>
      </c>
      <c r="AS13" s="22">
        <v>740</v>
      </c>
      <c r="AT13" s="13" t="s">
        <v>604</v>
      </c>
      <c r="AU13" s="13" t="s">
        <v>581</v>
      </c>
      <c r="AV13" s="13" t="s">
        <v>605</v>
      </c>
      <c r="AW13" s="14"/>
      <c r="AX13" s="21"/>
      <c r="AY13" s="21"/>
      <c r="AZ13" s="22">
        <v>41.27</v>
      </c>
      <c r="BA13" s="28">
        <f t="shared" si="2"/>
        <v>5.7999999999935881E-4</v>
      </c>
    </row>
    <row r="14" spans="1:53" x14ac:dyDescent="0.3">
      <c r="A14" s="3" t="s">
        <v>609</v>
      </c>
      <c r="B14" s="41">
        <v>13</v>
      </c>
      <c r="C14" s="5">
        <v>46175</v>
      </c>
      <c r="D14" s="4" t="s">
        <v>574</v>
      </c>
      <c r="E14" s="4" t="s">
        <v>610</v>
      </c>
      <c r="F14" s="4" t="s">
        <v>602</v>
      </c>
      <c r="G14" s="39" t="s">
        <v>611</v>
      </c>
      <c r="H14" s="39" t="s">
        <v>610</v>
      </c>
      <c r="I14" s="37"/>
      <c r="J14" s="37">
        <v>87130</v>
      </c>
      <c r="K14" s="4"/>
      <c r="L14" s="4"/>
      <c r="M14" s="4"/>
      <c r="N14" s="4"/>
      <c r="O14" s="4" t="s">
        <v>585</v>
      </c>
      <c r="P14" s="4" t="s">
        <v>579</v>
      </c>
      <c r="Q14" s="4" t="s">
        <v>602</v>
      </c>
      <c r="R14" s="6">
        <v>56200</v>
      </c>
      <c r="S14" s="6">
        <v>0</v>
      </c>
      <c r="T14" s="6">
        <v>56200</v>
      </c>
      <c r="U14" s="20">
        <v>724</v>
      </c>
      <c r="V14" s="6">
        <v>55476</v>
      </c>
      <c r="W14" s="6">
        <v>57460</v>
      </c>
      <c r="X14" s="6">
        <v>2240</v>
      </c>
      <c r="Y14" s="6">
        <v>55220</v>
      </c>
      <c r="Z14" s="20">
        <v>772</v>
      </c>
      <c r="AA14" s="6">
        <v>54448</v>
      </c>
      <c r="AB14" s="19">
        <v>10.4</v>
      </c>
      <c r="AC14" s="20">
        <v>164</v>
      </c>
      <c r="AD14" s="19">
        <v>41.88</v>
      </c>
      <c r="AE14" s="19">
        <v>8.9</v>
      </c>
      <c r="AF14" s="20">
        <v>174</v>
      </c>
      <c r="AG14" s="26">
        <f t="shared" si="0"/>
        <v>41.976059999999997</v>
      </c>
      <c r="AH14" s="20">
        <v>0</v>
      </c>
      <c r="AI14" s="20">
        <v>39</v>
      </c>
      <c r="AJ14" s="20">
        <v>219</v>
      </c>
      <c r="AK14" s="4">
        <v>21</v>
      </c>
      <c r="AL14" s="4">
        <v>17</v>
      </c>
      <c r="AM14" s="20">
        <v>688</v>
      </c>
      <c r="AN14" s="20">
        <v>15</v>
      </c>
      <c r="AO14" s="9">
        <f t="shared" si="1"/>
        <v>1028</v>
      </c>
      <c r="AP14" s="6"/>
      <c r="AQ14" s="6"/>
      <c r="AR14" s="20">
        <v>740</v>
      </c>
      <c r="AS14" s="20">
        <v>772</v>
      </c>
      <c r="AT14" s="4" t="s">
        <v>604</v>
      </c>
      <c r="AU14" s="4" t="s">
        <v>581</v>
      </c>
      <c r="AV14" s="4" t="s">
        <v>605</v>
      </c>
      <c r="AW14" s="5"/>
      <c r="AX14" s="19"/>
      <c r="AY14" s="19"/>
      <c r="AZ14" s="20">
        <v>41.97</v>
      </c>
      <c r="BA14" s="26">
        <f t="shared" si="2"/>
        <v>6.0599999999979559E-3</v>
      </c>
    </row>
    <row r="15" spans="1:53" x14ac:dyDescent="0.3">
      <c r="A15" s="12" t="s">
        <v>612</v>
      </c>
      <c r="B15" s="42">
        <v>14</v>
      </c>
      <c r="C15" s="14">
        <v>46176</v>
      </c>
      <c r="D15" s="13" t="s">
        <v>574</v>
      </c>
      <c r="E15" s="13" t="s">
        <v>594</v>
      </c>
      <c r="F15" s="13" t="s">
        <v>602</v>
      </c>
      <c r="G15" s="40" t="s">
        <v>595</v>
      </c>
      <c r="H15" s="40" t="s">
        <v>594</v>
      </c>
      <c r="I15" s="38"/>
      <c r="J15" s="38" t="s">
        <v>594</v>
      </c>
      <c r="K15" s="13"/>
      <c r="L15" s="13"/>
      <c r="M15" s="13"/>
      <c r="N15" s="13"/>
      <c r="O15" s="13" t="s">
        <v>578</v>
      </c>
      <c r="P15" s="13" t="s">
        <v>594</v>
      </c>
      <c r="Q15" s="13" t="s">
        <v>602</v>
      </c>
      <c r="R15" s="15">
        <v>57551</v>
      </c>
      <c r="S15" s="15">
        <v>1801</v>
      </c>
      <c r="T15" s="15">
        <v>55750</v>
      </c>
      <c r="U15" s="22">
        <v>750</v>
      </c>
      <c r="V15" s="15">
        <v>55000</v>
      </c>
      <c r="W15" s="15">
        <v>57075</v>
      </c>
      <c r="X15" s="15">
        <v>2285</v>
      </c>
      <c r="Y15" s="15">
        <v>54790</v>
      </c>
      <c r="Z15" s="22">
        <v>749</v>
      </c>
      <c r="AA15" s="15">
        <v>54041</v>
      </c>
      <c r="AB15" s="21">
        <v>10.199999999999999</v>
      </c>
      <c r="AC15" s="22">
        <v>175</v>
      </c>
      <c r="AD15" s="21">
        <v>40.65</v>
      </c>
      <c r="AE15" s="21">
        <v>8.8000000000000007</v>
      </c>
      <c r="AF15" s="22">
        <v>180</v>
      </c>
      <c r="AG15" s="28">
        <f t="shared" si="0"/>
        <v>40.829655000000002</v>
      </c>
      <c r="AH15" s="22">
        <v>0</v>
      </c>
      <c r="AI15" s="22">
        <v>42</v>
      </c>
      <c r="AJ15" s="22">
        <v>214</v>
      </c>
      <c r="AK15" s="13">
        <v>19</v>
      </c>
      <c r="AL15" s="13">
        <v>16</v>
      </c>
      <c r="AM15" s="22">
        <v>686</v>
      </c>
      <c r="AN15" s="22">
        <v>18</v>
      </c>
      <c r="AO15" s="17">
        <f t="shared" si="1"/>
        <v>959</v>
      </c>
      <c r="AP15" s="15"/>
      <c r="AQ15" s="15"/>
      <c r="AR15" s="22">
        <v>750</v>
      </c>
      <c r="AS15" s="22">
        <v>749</v>
      </c>
      <c r="AT15" s="13" t="s">
        <v>604</v>
      </c>
      <c r="AU15" s="13" t="s">
        <v>581</v>
      </c>
      <c r="AV15" s="13" t="s">
        <v>605</v>
      </c>
      <c r="AW15" s="14"/>
      <c r="AX15" s="21"/>
      <c r="AY15" s="21"/>
      <c r="AZ15" s="22">
        <v>40.82</v>
      </c>
      <c r="BA15" s="28">
        <f t="shared" si="2"/>
        <v>9.6550000000021896E-3</v>
      </c>
    </row>
    <row r="16" spans="1:53" x14ac:dyDescent="0.3">
      <c r="A16" s="3" t="s">
        <v>613</v>
      </c>
      <c r="B16" s="41">
        <v>15</v>
      </c>
      <c r="C16" s="5">
        <v>46178</v>
      </c>
      <c r="D16" s="4" t="s">
        <v>574</v>
      </c>
      <c r="E16" s="4" t="s">
        <v>614</v>
      </c>
      <c r="F16" s="4" t="s">
        <v>615</v>
      </c>
      <c r="G16" s="39" t="s">
        <v>616</v>
      </c>
      <c r="H16" s="39" t="s">
        <v>614</v>
      </c>
      <c r="I16" s="37"/>
      <c r="J16" s="37" t="s">
        <v>614</v>
      </c>
      <c r="K16" s="4"/>
      <c r="L16" s="4"/>
      <c r="M16" s="4"/>
      <c r="N16" s="4"/>
      <c r="O16" s="4"/>
      <c r="P16" s="4" t="s">
        <v>614</v>
      </c>
      <c r="Q16" s="4" t="s">
        <v>615</v>
      </c>
      <c r="R16" s="6">
        <v>61767</v>
      </c>
      <c r="S16" s="6">
        <v>2475</v>
      </c>
      <c r="T16" s="6">
        <v>59292</v>
      </c>
      <c r="U16" s="20">
        <v>780</v>
      </c>
      <c r="V16" s="6">
        <v>58512</v>
      </c>
      <c r="W16" s="6">
        <v>60785.2</v>
      </c>
      <c r="X16" s="6">
        <v>2349.1999999999998</v>
      </c>
      <c r="Y16" s="6">
        <v>58436</v>
      </c>
      <c r="Z16" s="20">
        <v>785</v>
      </c>
      <c r="AA16" s="6">
        <v>57651</v>
      </c>
      <c r="AB16" s="19">
        <v>9.8000000000000007</v>
      </c>
      <c r="AC16" s="20">
        <v>180</v>
      </c>
      <c r="AD16" s="19">
        <v>42.24</v>
      </c>
      <c r="AE16" s="19">
        <v>8.5</v>
      </c>
      <c r="AF16" s="20">
        <v>187</v>
      </c>
      <c r="AG16" s="26">
        <f t="shared" si="0"/>
        <v>42.769725000000001</v>
      </c>
      <c r="AH16" s="20">
        <v>2</v>
      </c>
      <c r="AI16" s="20">
        <v>36</v>
      </c>
      <c r="AJ16" s="20">
        <v>226</v>
      </c>
      <c r="AK16" s="4">
        <v>14</v>
      </c>
      <c r="AL16" s="4">
        <v>19</v>
      </c>
      <c r="AM16" s="20">
        <v>677</v>
      </c>
      <c r="AN16" s="20">
        <v>20</v>
      </c>
      <c r="AO16" s="9">
        <f t="shared" si="1"/>
        <v>861</v>
      </c>
      <c r="AP16" s="6"/>
      <c r="AQ16" s="6"/>
      <c r="AR16" s="20">
        <v>780</v>
      </c>
      <c r="AS16" s="20">
        <v>785</v>
      </c>
      <c r="AT16" s="4" t="s">
        <v>604</v>
      </c>
      <c r="AU16" s="4" t="s">
        <v>581</v>
      </c>
      <c r="AV16" s="4" t="s">
        <v>605</v>
      </c>
      <c r="AW16" s="5"/>
      <c r="AX16" s="19"/>
      <c r="AY16" s="19"/>
      <c r="AZ16" s="20">
        <v>42.76</v>
      </c>
      <c r="BA16" s="26">
        <f t="shared" si="2"/>
        <v>9.7250000000030923E-3</v>
      </c>
    </row>
    <row r="17" spans="1:53" x14ac:dyDescent="0.3">
      <c r="A17" s="12" t="s">
        <v>617</v>
      </c>
      <c r="B17" s="42">
        <v>16</v>
      </c>
      <c r="C17" s="14">
        <v>46179</v>
      </c>
      <c r="D17" s="13" t="s">
        <v>574</v>
      </c>
      <c r="E17" s="13" t="s">
        <v>614</v>
      </c>
      <c r="F17" s="13" t="s">
        <v>615</v>
      </c>
      <c r="G17" s="40" t="s">
        <v>616</v>
      </c>
      <c r="H17" s="40" t="s">
        <v>614</v>
      </c>
      <c r="I17" s="38"/>
      <c r="J17" s="38" t="s">
        <v>614</v>
      </c>
      <c r="K17" s="13"/>
      <c r="L17" s="13"/>
      <c r="M17" s="13"/>
      <c r="N17" s="13"/>
      <c r="O17" s="13"/>
      <c r="P17" s="13" t="s">
        <v>614</v>
      </c>
      <c r="Q17" s="13" t="s">
        <v>615</v>
      </c>
      <c r="R17" s="15">
        <v>51163</v>
      </c>
      <c r="S17" s="15">
        <v>1651</v>
      </c>
      <c r="T17" s="15">
        <v>49512</v>
      </c>
      <c r="U17" s="22">
        <v>660</v>
      </c>
      <c r="V17" s="15">
        <v>48852</v>
      </c>
      <c r="W17" s="15">
        <v>50909.8</v>
      </c>
      <c r="X17" s="15">
        <v>2032.6</v>
      </c>
      <c r="Y17" s="15">
        <v>48877.2</v>
      </c>
      <c r="Z17" s="22">
        <v>656</v>
      </c>
      <c r="AA17" s="15">
        <v>48221.2</v>
      </c>
      <c r="AB17" s="21">
        <v>9.8000000000000007</v>
      </c>
      <c r="AC17" s="22">
        <v>181</v>
      </c>
      <c r="AD17" s="21">
        <v>43.47</v>
      </c>
      <c r="AE17" s="21">
        <v>7.9</v>
      </c>
      <c r="AF17" s="22">
        <v>177</v>
      </c>
      <c r="AG17" s="28">
        <f t="shared" si="0"/>
        <v>43.739759999999997</v>
      </c>
      <c r="AH17" s="22">
        <v>0</v>
      </c>
      <c r="AI17" s="22">
        <v>34</v>
      </c>
      <c r="AJ17" s="22">
        <v>233</v>
      </c>
      <c r="AK17" s="13">
        <v>13</v>
      </c>
      <c r="AL17" s="13">
        <v>17</v>
      </c>
      <c r="AM17" s="22">
        <v>689</v>
      </c>
      <c r="AN17" s="22">
        <v>9</v>
      </c>
      <c r="AO17" s="17">
        <f t="shared" si="1"/>
        <v>630.80000000000291</v>
      </c>
      <c r="AP17" s="15"/>
      <c r="AQ17" s="15"/>
      <c r="AR17" s="22">
        <v>660</v>
      </c>
      <c r="AS17" s="22">
        <v>656</v>
      </c>
      <c r="AT17" s="13" t="s">
        <v>604</v>
      </c>
      <c r="AU17" s="13" t="s">
        <v>581</v>
      </c>
      <c r="AV17" s="13" t="s">
        <v>605</v>
      </c>
      <c r="AW17" s="14"/>
      <c r="AX17" s="21"/>
      <c r="AY17" s="21"/>
      <c r="AZ17" s="22">
        <v>43.73</v>
      </c>
      <c r="BA17" s="28">
        <f t="shared" si="2"/>
        <v>9.7599999999999909E-3</v>
      </c>
    </row>
    <row r="18" spans="1:53" x14ac:dyDescent="0.3">
      <c r="A18" s="3" t="s">
        <v>618</v>
      </c>
      <c r="B18" s="41">
        <v>17</v>
      </c>
      <c r="C18" s="5">
        <v>46181</v>
      </c>
      <c r="D18" s="4" t="s">
        <v>574</v>
      </c>
      <c r="E18" s="4" t="s">
        <v>614</v>
      </c>
      <c r="F18" s="4" t="s">
        <v>615</v>
      </c>
      <c r="G18" s="39" t="s">
        <v>616</v>
      </c>
      <c r="H18" s="39" t="s">
        <v>614</v>
      </c>
      <c r="I18" s="37"/>
      <c r="J18" s="37" t="s">
        <v>614</v>
      </c>
      <c r="K18" s="4"/>
      <c r="L18" s="4"/>
      <c r="M18" s="4"/>
      <c r="N18" s="4"/>
      <c r="O18" s="4"/>
      <c r="P18" s="4" t="s">
        <v>614</v>
      </c>
      <c r="Q18" s="4" t="s">
        <v>615</v>
      </c>
      <c r="R18" s="6">
        <v>56895</v>
      </c>
      <c r="S18" s="6">
        <v>1876</v>
      </c>
      <c r="T18" s="6">
        <v>55019</v>
      </c>
      <c r="U18" s="20">
        <v>750</v>
      </c>
      <c r="V18" s="6">
        <v>54269</v>
      </c>
      <c r="W18" s="6">
        <v>54217</v>
      </c>
      <c r="X18" s="6">
        <v>0</v>
      </c>
      <c r="Y18" s="6">
        <v>54217</v>
      </c>
      <c r="Z18" s="20">
        <v>641</v>
      </c>
      <c r="AA18" s="6">
        <v>53576</v>
      </c>
      <c r="AB18" s="19">
        <v>8.9</v>
      </c>
      <c r="AC18" s="20">
        <v>186</v>
      </c>
      <c r="AD18" s="19">
        <v>42.32</v>
      </c>
      <c r="AE18" s="19">
        <v>8.1999999999999993</v>
      </c>
      <c r="AF18" s="20">
        <v>184</v>
      </c>
      <c r="AG18" s="26">
        <f t="shared" si="0"/>
        <v>42.593355000000003</v>
      </c>
      <c r="AH18" s="20">
        <v>2</v>
      </c>
      <c r="AI18" s="20">
        <v>30</v>
      </c>
      <c r="AJ18" s="20">
        <v>227</v>
      </c>
      <c r="AK18" s="4">
        <v>16</v>
      </c>
      <c r="AL18" s="4">
        <v>13</v>
      </c>
      <c r="AM18" s="20">
        <v>675</v>
      </c>
      <c r="AN18" s="20">
        <v>32</v>
      </c>
      <c r="AO18" s="9">
        <f t="shared" si="1"/>
        <v>693</v>
      </c>
      <c r="AP18" s="6"/>
      <c r="AQ18" s="6"/>
      <c r="AR18" s="20">
        <v>750</v>
      </c>
      <c r="AS18" s="20">
        <v>641</v>
      </c>
      <c r="AT18" s="4" t="s">
        <v>604</v>
      </c>
      <c r="AU18" s="4" t="s">
        <v>581</v>
      </c>
      <c r="AV18" s="4" t="s">
        <v>619</v>
      </c>
      <c r="AW18" s="5"/>
      <c r="AX18" s="19"/>
      <c r="AY18" s="19"/>
      <c r="AZ18" s="20">
        <v>42.59</v>
      </c>
      <c r="BA18" s="26">
        <f t="shared" si="2"/>
        <v>3.3549999999991087E-3</v>
      </c>
    </row>
    <row r="19" spans="1:53" x14ac:dyDescent="0.3">
      <c r="A19" s="12" t="s">
        <v>620</v>
      </c>
      <c r="B19" s="42">
        <v>18</v>
      </c>
      <c r="C19" s="14">
        <v>46182</v>
      </c>
      <c r="D19" s="13" t="s">
        <v>574</v>
      </c>
      <c r="E19" s="13" t="s">
        <v>614</v>
      </c>
      <c r="F19" s="13" t="s">
        <v>615</v>
      </c>
      <c r="G19" s="40" t="s">
        <v>616</v>
      </c>
      <c r="H19" s="40" t="s">
        <v>614</v>
      </c>
      <c r="I19" s="38"/>
      <c r="J19" s="38" t="s">
        <v>614</v>
      </c>
      <c r="K19" s="13"/>
      <c r="L19" s="13"/>
      <c r="M19" s="13"/>
      <c r="N19" s="13"/>
      <c r="O19" s="13"/>
      <c r="P19" s="13" t="s">
        <v>614</v>
      </c>
      <c r="Q19" s="13" t="s">
        <v>615</v>
      </c>
      <c r="R19" s="15">
        <v>67330.3</v>
      </c>
      <c r="S19" s="15">
        <v>2267</v>
      </c>
      <c r="T19" s="15">
        <v>65063.3</v>
      </c>
      <c r="U19" s="22">
        <v>930</v>
      </c>
      <c r="V19" s="15">
        <v>64133.3</v>
      </c>
      <c r="W19" s="15">
        <v>66705</v>
      </c>
      <c r="X19" s="15">
        <v>2568</v>
      </c>
      <c r="Y19" s="15">
        <v>64137</v>
      </c>
      <c r="Z19" s="22">
        <v>943</v>
      </c>
      <c r="AA19" s="15">
        <v>63194</v>
      </c>
      <c r="AB19" s="21">
        <v>8.5</v>
      </c>
      <c r="AC19" s="22">
        <v>188</v>
      </c>
      <c r="AD19" s="21">
        <v>42.68</v>
      </c>
      <c r="AE19" s="21">
        <v>7.8</v>
      </c>
      <c r="AF19" s="22">
        <v>182</v>
      </c>
      <c r="AG19" s="28">
        <f t="shared" si="0"/>
        <v>43.651575000000001</v>
      </c>
      <c r="AH19" s="22">
        <v>2</v>
      </c>
      <c r="AI19" s="22">
        <v>36</v>
      </c>
      <c r="AJ19" s="22">
        <v>237</v>
      </c>
      <c r="AK19" s="13">
        <v>9</v>
      </c>
      <c r="AL19" s="13">
        <v>12</v>
      </c>
      <c r="AM19" s="22">
        <v>686</v>
      </c>
      <c r="AN19" s="22">
        <v>13</v>
      </c>
      <c r="AO19" s="17">
        <f t="shared" si="1"/>
        <v>939.30000000000291</v>
      </c>
      <c r="AP19" s="15"/>
      <c r="AQ19" s="15"/>
      <c r="AR19" s="22">
        <v>930</v>
      </c>
      <c r="AS19" s="22">
        <v>395</v>
      </c>
      <c r="AT19" s="13" t="s">
        <v>604</v>
      </c>
      <c r="AU19" s="13" t="s">
        <v>581</v>
      </c>
      <c r="AV19" s="13" t="s">
        <v>621</v>
      </c>
      <c r="AW19" s="14"/>
      <c r="AX19" s="21"/>
      <c r="AY19" s="21"/>
      <c r="AZ19" s="22">
        <v>43.65</v>
      </c>
      <c r="BA19" s="28">
        <f t="shared" si="2"/>
        <v>1.5750000000025466E-3</v>
      </c>
    </row>
    <row r="20" spans="1:53" x14ac:dyDescent="0.3">
      <c r="A20" s="3" t="s">
        <v>622</v>
      </c>
      <c r="B20" s="41">
        <v>19</v>
      </c>
      <c r="C20" s="5">
        <v>46183</v>
      </c>
      <c r="D20" s="4" t="s">
        <v>574</v>
      </c>
      <c r="E20" s="4" t="s">
        <v>614</v>
      </c>
      <c r="F20" s="4" t="s">
        <v>615</v>
      </c>
      <c r="G20" s="39" t="s">
        <v>616</v>
      </c>
      <c r="H20" s="39" t="s">
        <v>614</v>
      </c>
      <c r="I20" s="37"/>
      <c r="J20" s="37" t="s">
        <v>614</v>
      </c>
      <c r="K20" s="4"/>
      <c r="L20" s="4"/>
      <c r="M20" s="4"/>
      <c r="N20" s="4"/>
      <c r="O20" s="4"/>
      <c r="P20" s="4" t="s">
        <v>614</v>
      </c>
      <c r="Q20" s="4" t="s">
        <v>615</v>
      </c>
      <c r="R20" s="6">
        <v>28436.400000000001</v>
      </c>
      <c r="S20" s="6">
        <v>935</v>
      </c>
      <c r="T20" s="6">
        <v>27501.4</v>
      </c>
      <c r="U20" s="20">
        <v>390</v>
      </c>
      <c r="V20" s="6">
        <v>27111.4</v>
      </c>
      <c r="W20" s="6">
        <v>27973</v>
      </c>
      <c r="X20" s="6">
        <v>1077</v>
      </c>
      <c r="Y20" s="6">
        <v>26896</v>
      </c>
      <c r="Z20" s="20">
        <v>395</v>
      </c>
      <c r="AA20" s="6">
        <v>26501</v>
      </c>
      <c r="AB20" s="19">
        <v>8.5</v>
      </c>
      <c r="AC20" s="20">
        <v>188</v>
      </c>
      <c r="AD20" s="19">
        <v>42.68</v>
      </c>
      <c r="AE20" s="19">
        <v>7.8</v>
      </c>
      <c r="AF20" s="20">
        <v>182</v>
      </c>
      <c r="AG20" s="26">
        <f t="shared" si="0"/>
        <v>43.651575000000001</v>
      </c>
      <c r="AH20" s="20">
        <v>2</v>
      </c>
      <c r="AI20" s="20">
        <v>36</v>
      </c>
      <c r="AJ20" s="20">
        <v>237</v>
      </c>
      <c r="AK20" s="4">
        <v>9</v>
      </c>
      <c r="AL20" s="4">
        <v>12</v>
      </c>
      <c r="AM20" s="20">
        <v>686</v>
      </c>
      <c r="AN20" s="20">
        <v>13</v>
      </c>
      <c r="AO20" s="9">
        <f t="shared" si="1"/>
        <v>610.40000000000146</v>
      </c>
      <c r="AP20" s="6"/>
      <c r="AQ20" s="6"/>
      <c r="AR20" s="20">
        <v>390</v>
      </c>
      <c r="AS20" s="20">
        <v>943</v>
      </c>
      <c r="AT20" s="4"/>
      <c r="AU20" s="4" t="s">
        <v>581</v>
      </c>
      <c r="AV20" s="4"/>
      <c r="AW20" s="5"/>
      <c r="AX20" s="19"/>
      <c r="AY20" s="19"/>
      <c r="AZ20" s="20">
        <v>43.65</v>
      </c>
      <c r="BA20" s="26">
        <f t="shared" si="2"/>
        <v>1.5750000000025466E-3</v>
      </c>
    </row>
    <row r="21" spans="1:53" x14ac:dyDescent="0.3">
      <c r="A21" s="12" t="s">
        <v>623</v>
      </c>
      <c r="B21" s="42">
        <v>20</v>
      </c>
      <c r="C21" s="14">
        <v>46184</v>
      </c>
      <c r="D21" s="13" t="s">
        <v>574</v>
      </c>
      <c r="E21" s="13" t="s">
        <v>614</v>
      </c>
      <c r="F21" s="13" t="s">
        <v>615</v>
      </c>
      <c r="G21" s="40" t="s">
        <v>616</v>
      </c>
      <c r="H21" s="40" t="s">
        <v>614</v>
      </c>
      <c r="I21" s="38"/>
      <c r="J21" s="38" t="s">
        <v>614</v>
      </c>
      <c r="K21" s="13"/>
      <c r="L21" s="13"/>
      <c r="M21" s="13"/>
      <c r="N21" s="13"/>
      <c r="O21" s="13"/>
      <c r="P21" s="13" t="s">
        <v>614</v>
      </c>
      <c r="Q21" s="13" t="s">
        <v>615</v>
      </c>
      <c r="R21" s="15">
        <v>67576.5</v>
      </c>
      <c r="S21" s="15">
        <v>2047</v>
      </c>
      <c r="T21" s="15">
        <v>65529.5</v>
      </c>
      <c r="U21" s="22">
        <v>870</v>
      </c>
      <c r="V21" s="15">
        <v>64659.5</v>
      </c>
      <c r="W21" s="15">
        <v>68016</v>
      </c>
      <c r="X21" s="15">
        <v>2648</v>
      </c>
      <c r="Y21" s="15">
        <v>65368</v>
      </c>
      <c r="Z21" s="22">
        <v>884</v>
      </c>
      <c r="AA21" s="15">
        <v>64484</v>
      </c>
      <c r="AB21" s="21">
        <v>9.8000000000000007</v>
      </c>
      <c r="AC21" s="22">
        <v>187</v>
      </c>
      <c r="AD21" s="21">
        <v>43.56</v>
      </c>
      <c r="AE21" s="21">
        <v>7.9</v>
      </c>
      <c r="AF21" s="22">
        <v>190</v>
      </c>
      <c r="AG21" s="28">
        <f t="shared" si="0"/>
        <v>43.210650000000001</v>
      </c>
      <c r="AH21" s="22">
        <v>2</v>
      </c>
      <c r="AI21" s="22">
        <v>34</v>
      </c>
      <c r="AJ21" s="22">
        <v>230</v>
      </c>
      <c r="AK21" s="13">
        <v>15</v>
      </c>
      <c r="AL21" s="13">
        <v>15</v>
      </c>
      <c r="AM21" s="22">
        <v>660</v>
      </c>
      <c r="AN21" s="22">
        <v>34</v>
      </c>
      <c r="AO21" s="17">
        <f t="shared" si="1"/>
        <v>175.5</v>
      </c>
      <c r="AP21" s="15"/>
      <c r="AQ21" s="15"/>
      <c r="AR21" s="22">
        <v>870</v>
      </c>
      <c r="AS21" s="22">
        <v>884</v>
      </c>
      <c r="AT21" s="13" t="s">
        <v>604</v>
      </c>
      <c r="AU21" s="13" t="s">
        <v>581</v>
      </c>
      <c r="AV21" s="13" t="s">
        <v>567</v>
      </c>
      <c r="AW21" s="14"/>
      <c r="AX21" s="21"/>
      <c r="AY21" s="21"/>
      <c r="AZ21" s="22">
        <v>43.21</v>
      </c>
      <c r="BA21" s="28">
        <f t="shared" si="2"/>
        <v>6.5000000000026148E-4</v>
      </c>
    </row>
    <row r="22" spans="1:53" x14ac:dyDescent="0.3">
      <c r="A22" s="3" t="s">
        <v>624</v>
      </c>
      <c r="B22" s="41">
        <v>21</v>
      </c>
      <c r="C22" s="5">
        <v>46185</v>
      </c>
      <c r="D22" s="4" t="s">
        <v>574</v>
      </c>
      <c r="E22" s="4" t="s">
        <v>614</v>
      </c>
      <c r="F22" s="4" t="s">
        <v>615</v>
      </c>
      <c r="G22" s="39" t="s">
        <v>616</v>
      </c>
      <c r="H22" s="39" t="s">
        <v>614</v>
      </c>
      <c r="I22" s="37"/>
      <c r="J22" s="37" t="s">
        <v>614</v>
      </c>
      <c r="K22" s="4"/>
      <c r="L22" s="4"/>
      <c r="M22" s="4"/>
      <c r="N22" s="4"/>
      <c r="O22" s="4"/>
      <c r="P22" s="4" t="s">
        <v>614</v>
      </c>
      <c r="Q22" s="4" t="s">
        <v>615</v>
      </c>
      <c r="R22" s="6">
        <v>74750</v>
      </c>
      <c r="S22" s="6">
        <v>2353</v>
      </c>
      <c r="T22" s="6">
        <v>72397</v>
      </c>
      <c r="U22" s="20">
        <v>990</v>
      </c>
      <c r="V22" s="6">
        <v>71407</v>
      </c>
      <c r="W22" s="6">
        <v>73569</v>
      </c>
      <c r="X22" s="6">
        <v>2853</v>
      </c>
      <c r="Y22" s="6">
        <v>70716</v>
      </c>
      <c r="Z22" s="20">
        <v>966</v>
      </c>
      <c r="AA22" s="6">
        <v>69750</v>
      </c>
      <c r="AB22" s="19">
        <v>9.6</v>
      </c>
      <c r="AC22" s="20">
        <v>173</v>
      </c>
      <c r="AD22" s="19">
        <v>43.47</v>
      </c>
      <c r="AE22" s="19">
        <v>7.3</v>
      </c>
      <c r="AF22" s="20">
        <v>179</v>
      </c>
      <c r="AG22" s="26">
        <f t="shared" si="0"/>
        <v>44.004314999999998</v>
      </c>
      <c r="AH22" s="20">
        <v>0</v>
      </c>
      <c r="AI22" s="20">
        <v>30</v>
      </c>
      <c r="AJ22" s="20">
        <v>235</v>
      </c>
      <c r="AK22" s="4">
        <v>15</v>
      </c>
      <c r="AL22" s="4">
        <v>14</v>
      </c>
      <c r="AM22" s="20">
        <v>658</v>
      </c>
      <c r="AN22" s="20">
        <v>38</v>
      </c>
      <c r="AO22" s="9">
        <f t="shared" si="1"/>
        <v>1657</v>
      </c>
      <c r="AP22" s="6"/>
      <c r="AQ22" s="6"/>
      <c r="AR22" s="20">
        <v>990</v>
      </c>
      <c r="AS22" s="20">
        <v>966</v>
      </c>
      <c r="AT22" s="4" t="s">
        <v>625</v>
      </c>
      <c r="AU22" s="4" t="s">
        <v>626</v>
      </c>
      <c r="AV22" s="4"/>
      <c r="AW22" s="5"/>
      <c r="AX22" s="19"/>
      <c r="AY22" s="19"/>
      <c r="AZ22" s="20">
        <v>44</v>
      </c>
      <c r="BA22" s="26">
        <f t="shared" si="2"/>
        <v>4.3149999999982924E-3</v>
      </c>
    </row>
    <row r="23" spans="1:53" x14ac:dyDescent="0.3">
      <c r="A23" s="12" t="s">
        <v>627</v>
      </c>
      <c r="B23" s="42">
        <v>22</v>
      </c>
      <c r="C23" s="14">
        <v>46186</v>
      </c>
      <c r="D23" s="13" t="s">
        <v>574</v>
      </c>
      <c r="E23" s="13" t="s">
        <v>614</v>
      </c>
      <c r="F23" s="13" t="s">
        <v>615</v>
      </c>
      <c r="G23" s="40" t="s">
        <v>616</v>
      </c>
      <c r="H23" s="40" t="s">
        <v>614</v>
      </c>
      <c r="I23" s="38"/>
      <c r="J23" s="38" t="s">
        <v>614</v>
      </c>
      <c r="K23" s="13"/>
      <c r="L23" s="13"/>
      <c r="M23" s="13"/>
      <c r="N23" s="13"/>
      <c r="O23" s="13"/>
      <c r="P23" s="13" t="s">
        <v>614</v>
      </c>
      <c r="Q23" s="13" t="s">
        <v>615</v>
      </c>
      <c r="R23" s="15">
        <v>101655</v>
      </c>
      <c r="S23" s="15">
        <v>3208</v>
      </c>
      <c r="T23" s="15">
        <v>98447</v>
      </c>
      <c r="U23" s="22">
        <v>1322</v>
      </c>
      <c r="V23" s="15">
        <v>97125</v>
      </c>
      <c r="W23" s="15">
        <v>101548</v>
      </c>
      <c r="X23" s="15">
        <v>3740</v>
      </c>
      <c r="Y23" s="15">
        <v>97808</v>
      </c>
      <c r="Z23" s="22">
        <v>1325</v>
      </c>
      <c r="AA23" s="15">
        <v>96483</v>
      </c>
      <c r="AB23" s="21">
        <v>9</v>
      </c>
      <c r="AC23" s="22">
        <v>175</v>
      </c>
      <c r="AD23" s="21">
        <v>43.21</v>
      </c>
      <c r="AE23" s="21">
        <v>8.1</v>
      </c>
      <c r="AF23" s="22">
        <v>182</v>
      </c>
      <c r="AG23" s="28">
        <f t="shared" si="0"/>
        <v>44.357055000000003</v>
      </c>
      <c r="AH23" s="22">
        <v>3</v>
      </c>
      <c r="AI23" s="22">
        <v>20</v>
      </c>
      <c r="AJ23" s="22">
        <v>238</v>
      </c>
      <c r="AK23" s="13">
        <v>17</v>
      </c>
      <c r="AL23" s="13">
        <v>10</v>
      </c>
      <c r="AM23" s="22">
        <v>673</v>
      </c>
      <c r="AN23" s="22">
        <v>24</v>
      </c>
      <c r="AO23" s="17">
        <f t="shared" si="1"/>
        <v>642</v>
      </c>
      <c r="AP23" s="15"/>
      <c r="AQ23" s="15"/>
      <c r="AR23" s="22">
        <v>1322</v>
      </c>
      <c r="AS23" s="22">
        <v>1325</v>
      </c>
      <c r="AT23" s="13" t="s">
        <v>625</v>
      </c>
      <c r="AU23" s="13" t="s">
        <v>581</v>
      </c>
      <c r="AV23" s="13"/>
      <c r="AW23" s="14"/>
      <c r="AX23" s="21"/>
      <c r="AY23" s="21"/>
      <c r="AZ23" s="22">
        <v>44.35</v>
      </c>
      <c r="BA23" s="28">
        <f t="shared" si="2"/>
        <v>7.0550000000011437E-3</v>
      </c>
    </row>
    <row r="24" spans="1:53" x14ac:dyDescent="0.3">
      <c r="A24" s="3" t="s">
        <v>628</v>
      </c>
      <c r="B24" s="41">
        <v>23</v>
      </c>
      <c r="C24" s="5">
        <v>46187</v>
      </c>
      <c r="D24" s="4" t="s">
        <v>574</v>
      </c>
      <c r="E24" s="4" t="s">
        <v>629</v>
      </c>
      <c r="F24" s="4" t="s">
        <v>630</v>
      </c>
      <c r="G24" s="39" t="s">
        <v>631</v>
      </c>
      <c r="H24" s="39" t="s">
        <v>629</v>
      </c>
      <c r="I24" s="37"/>
      <c r="J24" s="37">
        <v>30581</v>
      </c>
      <c r="K24" s="4"/>
      <c r="L24" s="4"/>
      <c r="M24" s="4"/>
      <c r="N24" s="4"/>
      <c r="O24" s="4" t="s">
        <v>585</v>
      </c>
      <c r="P24" s="4" t="s">
        <v>629</v>
      </c>
      <c r="Q24" s="4" t="s">
        <v>630</v>
      </c>
      <c r="R24" s="6">
        <v>37730</v>
      </c>
      <c r="S24" s="6">
        <v>0</v>
      </c>
      <c r="T24" s="6">
        <v>37730</v>
      </c>
      <c r="U24" s="20">
        <v>513</v>
      </c>
      <c r="V24" s="6">
        <v>37217</v>
      </c>
      <c r="W24" s="6">
        <v>38195</v>
      </c>
      <c r="X24" s="6">
        <v>1323</v>
      </c>
      <c r="Y24" s="6">
        <v>36872</v>
      </c>
      <c r="Z24" s="20">
        <v>531</v>
      </c>
      <c r="AA24" s="6">
        <v>36341</v>
      </c>
      <c r="AB24" s="19">
        <v>10</v>
      </c>
      <c r="AC24" s="20">
        <v>183</v>
      </c>
      <c r="AD24" s="19">
        <v>39.85</v>
      </c>
      <c r="AE24" s="19">
        <v>9</v>
      </c>
      <c r="AF24" s="20">
        <v>185</v>
      </c>
      <c r="AG24" s="26">
        <f t="shared" si="0"/>
        <v>39.85962</v>
      </c>
      <c r="AH24" s="20">
        <v>0</v>
      </c>
      <c r="AI24" s="20">
        <v>46</v>
      </c>
      <c r="AJ24" s="20">
        <v>210</v>
      </c>
      <c r="AK24" s="4">
        <v>15</v>
      </c>
      <c r="AL24" s="4">
        <v>17</v>
      </c>
      <c r="AM24" s="20">
        <v>675</v>
      </c>
      <c r="AN24" s="20">
        <v>29</v>
      </c>
      <c r="AO24" s="9">
        <f t="shared" si="1"/>
        <v>876</v>
      </c>
      <c r="AP24" s="6"/>
      <c r="AQ24" s="6"/>
      <c r="AR24" s="20">
        <v>531</v>
      </c>
      <c r="AS24" s="20">
        <v>531</v>
      </c>
      <c r="AT24" s="4" t="s">
        <v>604</v>
      </c>
      <c r="AU24" s="4" t="s">
        <v>581</v>
      </c>
      <c r="AV24" s="4"/>
      <c r="AW24" s="5"/>
      <c r="AX24" s="19"/>
      <c r="AY24" s="19"/>
      <c r="AZ24" s="20">
        <v>39.85</v>
      </c>
      <c r="BA24" s="26">
        <f t="shared" si="2"/>
        <v>9.6199999999981856E-3</v>
      </c>
    </row>
    <row r="25" spans="1:53" x14ac:dyDescent="0.3">
      <c r="A25" s="12" t="s">
        <v>632</v>
      </c>
      <c r="B25" s="42">
        <v>24</v>
      </c>
      <c r="C25" s="14">
        <v>46188</v>
      </c>
      <c r="D25" s="13" t="s">
        <v>574</v>
      </c>
      <c r="E25" s="13" t="s">
        <v>614</v>
      </c>
      <c r="F25" s="13" t="s">
        <v>615</v>
      </c>
      <c r="G25" s="40" t="s">
        <v>616</v>
      </c>
      <c r="H25" s="40" t="s">
        <v>614</v>
      </c>
      <c r="I25" s="38"/>
      <c r="J25" s="38" t="s">
        <v>614</v>
      </c>
      <c r="K25" s="13"/>
      <c r="L25" s="13"/>
      <c r="M25" s="13"/>
      <c r="N25" s="13"/>
      <c r="O25" s="13"/>
      <c r="P25" s="13" t="s">
        <v>614</v>
      </c>
      <c r="Q25" s="13" t="s">
        <v>615</v>
      </c>
      <c r="R25" s="15">
        <v>106477.4</v>
      </c>
      <c r="S25" s="15">
        <v>3234</v>
      </c>
      <c r="T25" s="15">
        <v>103243.4</v>
      </c>
      <c r="U25" s="22">
        <v>1353</v>
      </c>
      <c r="V25" s="15">
        <v>101890.4</v>
      </c>
      <c r="W25" s="15">
        <v>105951</v>
      </c>
      <c r="X25" s="15">
        <v>4281</v>
      </c>
      <c r="Y25" s="15">
        <v>101670</v>
      </c>
      <c r="Z25" s="22">
        <v>1428</v>
      </c>
      <c r="AA25" s="15">
        <v>100242</v>
      </c>
      <c r="AB25" s="21">
        <v>9.5</v>
      </c>
      <c r="AC25" s="22">
        <v>180</v>
      </c>
      <c r="AD25" s="21">
        <v>43.47</v>
      </c>
      <c r="AE25" s="21">
        <v>7.8</v>
      </c>
      <c r="AF25" s="22">
        <v>177</v>
      </c>
      <c r="AG25" s="28">
        <f t="shared" si="0"/>
        <v>43.298834999999997</v>
      </c>
      <c r="AH25" s="22">
        <v>4</v>
      </c>
      <c r="AI25" s="22">
        <v>31</v>
      </c>
      <c r="AJ25" s="22">
        <v>231</v>
      </c>
      <c r="AK25" s="13">
        <v>16</v>
      </c>
      <c r="AL25" s="13">
        <v>13</v>
      </c>
      <c r="AM25" s="22">
        <v>688</v>
      </c>
      <c r="AN25" s="22">
        <v>12</v>
      </c>
      <c r="AO25" s="17">
        <f t="shared" si="1"/>
        <v>1648.3999999999942</v>
      </c>
      <c r="AP25" s="15"/>
      <c r="AQ25" s="15"/>
      <c r="AR25" s="22">
        <v>1353</v>
      </c>
      <c r="AS25" s="22">
        <v>1428</v>
      </c>
      <c r="AT25" s="13" t="s">
        <v>625</v>
      </c>
      <c r="AU25" s="13" t="s">
        <v>581</v>
      </c>
      <c r="AV25" s="13"/>
      <c r="AW25" s="14"/>
      <c r="AX25" s="21"/>
      <c r="AY25" s="21"/>
      <c r="AZ25" s="22">
        <v>43.29</v>
      </c>
      <c r="BA25" s="28">
        <f t="shared" si="2"/>
        <v>8.8349999999977058E-3</v>
      </c>
    </row>
    <row r="26" spans="1:53" x14ac:dyDescent="0.3">
      <c r="A26" s="3" t="s">
        <v>633</v>
      </c>
      <c r="B26" s="41">
        <v>25</v>
      </c>
      <c r="C26" s="5">
        <v>46192</v>
      </c>
      <c r="D26" s="4" t="s">
        <v>574</v>
      </c>
      <c r="E26" s="4" t="s">
        <v>634</v>
      </c>
      <c r="F26" s="4" t="s">
        <v>635</v>
      </c>
      <c r="G26" s="39" t="s">
        <v>636</v>
      </c>
      <c r="H26" s="39" t="s">
        <v>634</v>
      </c>
      <c r="I26" s="37"/>
      <c r="J26" s="37" t="s">
        <v>634</v>
      </c>
      <c r="K26" s="4"/>
      <c r="L26" s="4"/>
      <c r="M26" s="4"/>
      <c r="N26" s="4"/>
      <c r="O26" s="4"/>
      <c r="P26" s="4" t="s">
        <v>634</v>
      </c>
      <c r="Q26" s="4" t="s">
        <v>635</v>
      </c>
      <c r="R26" s="6">
        <v>25319.200000000001</v>
      </c>
      <c r="S26" s="6">
        <v>698</v>
      </c>
      <c r="T26" s="6">
        <v>24621.200000000001</v>
      </c>
      <c r="U26" s="20">
        <v>300</v>
      </c>
      <c r="V26" s="6">
        <v>24321.200000000001</v>
      </c>
      <c r="W26" s="6">
        <v>24929.200000000001</v>
      </c>
      <c r="X26" s="6">
        <v>988.4</v>
      </c>
      <c r="Y26" s="6">
        <v>23940.799999999999</v>
      </c>
      <c r="Z26" s="20">
        <v>331</v>
      </c>
      <c r="AA26" s="6">
        <v>23609.8</v>
      </c>
      <c r="AB26" s="19">
        <v>10.7</v>
      </c>
      <c r="AC26" s="20">
        <v>175</v>
      </c>
      <c r="AD26" s="19">
        <v>39.68</v>
      </c>
      <c r="AE26" s="19">
        <v>9.4</v>
      </c>
      <c r="AF26" s="20">
        <v>176</v>
      </c>
      <c r="AG26" s="26">
        <f t="shared" si="0"/>
        <v>40.565100000000001</v>
      </c>
      <c r="AH26" s="20">
        <v>2</v>
      </c>
      <c r="AI26" s="20">
        <v>41</v>
      </c>
      <c r="AJ26" s="20">
        <v>216</v>
      </c>
      <c r="AK26" s="4">
        <v>16</v>
      </c>
      <c r="AL26" s="4">
        <v>12</v>
      </c>
      <c r="AM26" s="20">
        <v>674</v>
      </c>
      <c r="AN26" s="20">
        <v>33</v>
      </c>
      <c r="AO26" s="9">
        <f t="shared" si="1"/>
        <v>711.40000000000146</v>
      </c>
      <c r="AP26" s="6"/>
      <c r="AQ26" s="6"/>
      <c r="AR26" s="20">
        <v>300</v>
      </c>
      <c r="AS26" s="20">
        <v>331</v>
      </c>
      <c r="AT26" s="4" t="s">
        <v>625</v>
      </c>
      <c r="AU26" s="4" t="s">
        <v>626</v>
      </c>
      <c r="AV26" s="4"/>
      <c r="AW26" s="5"/>
      <c r="AX26" s="19"/>
      <c r="AY26" s="19"/>
      <c r="AZ26" s="20">
        <v>40.56</v>
      </c>
      <c r="BA26" s="26">
        <f t="shared" si="2"/>
        <v>5.0999999999987722E-3</v>
      </c>
    </row>
    <row r="27" spans="1:53" x14ac:dyDescent="0.3">
      <c r="A27" s="12" t="s">
        <v>637</v>
      </c>
      <c r="B27" s="42">
        <v>26</v>
      </c>
      <c r="C27" s="14">
        <v>46193</v>
      </c>
      <c r="D27" s="13" t="s">
        <v>574</v>
      </c>
      <c r="E27" s="13" t="s">
        <v>634</v>
      </c>
      <c r="F27" s="13" t="s">
        <v>635</v>
      </c>
      <c r="G27" s="40" t="s">
        <v>636</v>
      </c>
      <c r="H27" s="40" t="s">
        <v>634</v>
      </c>
      <c r="I27" s="38"/>
      <c r="J27" s="38" t="s">
        <v>634</v>
      </c>
      <c r="K27" s="13"/>
      <c r="L27" s="13"/>
      <c r="M27" s="13"/>
      <c r="N27" s="13"/>
      <c r="O27" s="13"/>
      <c r="P27" s="13" t="s">
        <v>634</v>
      </c>
      <c r="Q27" s="13" t="s">
        <v>635</v>
      </c>
      <c r="R27" s="15">
        <v>24780</v>
      </c>
      <c r="S27" s="15">
        <v>737.8</v>
      </c>
      <c r="T27" s="15">
        <v>24042.2</v>
      </c>
      <c r="U27" s="22">
        <v>300</v>
      </c>
      <c r="V27" s="15">
        <v>23742.2</v>
      </c>
      <c r="W27" s="15">
        <v>24704.400000000001</v>
      </c>
      <c r="X27" s="15">
        <v>1002.6</v>
      </c>
      <c r="Y27" s="15">
        <v>23701.8</v>
      </c>
      <c r="Z27" s="22">
        <v>308</v>
      </c>
      <c r="AA27" s="15">
        <v>23393.8</v>
      </c>
      <c r="AB27" s="21">
        <v>10.7</v>
      </c>
      <c r="AC27" s="22">
        <v>175</v>
      </c>
      <c r="AD27" s="21">
        <v>39.68</v>
      </c>
      <c r="AE27" s="21">
        <v>9.4</v>
      </c>
      <c r="AF27" s="22">
        <v>176</v>
      </c>
      <c r="AG27" s="28">
        <f t="shared" si="0"/>
        <v>40.565100000000001</v>
      </c>
      <c r="AH27" s="22">
        <v>2</v>
      </c>
      <c r="AI27" s="22">
        <v>41</v>
      </c>
      <c r="AJ27" s="22">
        <v>216</v>
      </c>
      <c r="AK27" s="13">
        <v>16</v>
      </c>
      <c r="AL27" s="13">
        <v>12</v>
      </c>
      <c r="AM27" s="22">
        <v>674</v>
      </c>
      <c r="AN27" s="22">
        <v>33</v>
      </c>
      <c r="AO27" s="17">
        <f t="shared" si="1"/>
        <v>348.40000000000146</v>
      </c>
      <c r="AP27" s="15"/>
      <c r="AQ27" s="15"/>
      <c r="AR27" s="22">
        <v>300</v>
      </c>
      <c r="AS27" s="22">
        <v>308</v>
      </c>
      <c r="AT27" s="13" t="s">
        <v>625</v>
      </c>
      <c r="AU27" s="13" t="s">
        <v>626</v>
      </c>
      <c r="AV27" s="13"/>
      <c r="AW27" s="14"/>
      <c r="AX27" s="21"/>
      <c r="AY27" s="21"/>
      <c r="AZ27" s="22">
        <v>40.56</v>
      </c>
      <c r="BA27" s="28">
        <f t="shared" si="2"/>
        <v>5.0999999999987722E-3</v>
      </c>
    </row>
    <row r="28" spans="1:53" x14ac:dyDescent="0.3">
      <c r="A28" s="3" t="s">
        <v>638</v>
      </c>
      <c r="B28" s="41">
        <v>27</v>
      </c>
      <c r="C28" s="5">
        <v>46197</v>
      </c>
      <c r="D28" s="4" t="s">
        <v>574</v>
      </c>
      <c r="E28" s="4" t="s">
        <v>634</v>
      </c>
      <c r="F28" s="4" t="s">
        <v>635</v>
      </c>
      <c r="G28" s="39" t="s">
        <v>636</v>
      </c>
      <c r="H28" s="39" t="s">
        <v>634</v>
      </c>
      <c r="I28" s="37"/>
      <c r="J28" s="37" t="s">
        <v>634</v>
      </c>
      <c r="K28" s="4"/>
      <c r="L28" s="4"/>
      <c r="M28" s="4"/>
      <c r="N28" s="4"/>
      <c r="O28" s="4"/>
      <c r="P28" s="4" t="s">
        <v>634</v>
      </c>
      <c r="Q28" s="4" t="s">
        <v>635</v>
      </c>
      <c r="R28" s="6">
        <v>35380.400000000001</v>
      </c>
      <c r="S28" s="6">
        <v>1537.2</v>
      </c>
      <c r="T28" s="6">
        <v>33843.199999999997</v>
      </c>
      <c r="U28" s="20">
        <v>471</v>
      </c>
      <c r="V28" s="6">
        <v>33372.199999999997</v>
      </c>
      <c r="W28" s="6">
        <v>34799.599999999999</v>
      </c>
      <c r="X28" s="6">
        <v>1442.4</v>
      </c>
      <c r="Y28" s="6">
        <v>33357.199999999997</v>
      </c>
      <c r="Z28" s="20">
        <v>449</v>
      </c>
      <c r="AA28" s="6">
        <v>32908.199999999997</v>
      </c>
      <c r="AB28" s="19">
        <v>10</v>
      </c>
      <c r="AC28" s="20">
        <v>176</v>
      </c>
      <c r="AD28" s="19">
        <v>43.38</v>
      </c>
      <c r="AE28" s="19">
        <v>8.4</v>
      </c>
      <c r="AF28" s="20">
        <v>177</v>
      </c>
      <c r="AG28" s="26">
        <f t="shared" si="0"/>
        <v>43.122464999999998</v>
      </c>
      <c r="AH28" s="20">
        <v>0</v>
      </c>
      <c r="AI28" s="20">
        <v>27</v>
      </c>
      <c r="AJ28" s="20">
        <v>226</v>
      </c>
      <c r="AK28" s="4">
        <v>15</v>
      </c>
      <c r="AL28" s="4">
        <v>22</v>
      </c>
      <c r="AM28" s="20">
        <v>685</v>
      </c>
      <c r="AN28" s="20">
        <v>17</v>
      </c>
      <c r="AO28" s="9">
        <f t="shared" si="1"/>
        <v>464</v>
      </c>
      <c r="AP28" s="6"/>
      <c r="AQ28" s="6"/>
      <c r="AR28" s="20">
        <v>471</v>
      </c>
      <c r="AS28" s="20">
        <v>449</v>
      </c>
      <c r="AT28" s="4" t="s">
        <v>625</v>
      </c>
      <c r="AU28" s="4" t="s">
        <v>626</v>
      </c>
      <c r="AV28" s="4"/>
      <c r="AW28" s="5"/>
      <c r="AX28" s="19"/>
      <c r="AY28" s="19"/>
      <c r="AZ28" s="20">
        <v>43.12</v>
      </c>
      <c r="BA28" s="26">
        <f t="shared" si="2"/>
        <v>2.4650000000008276E-3</v>
      </c>
    </row>
    <row r="29" spans="1:53" x14ac:dyDescent="0.3">
      <c r="A29" s="12" t="s">
        <v>639</v>
      </c>
      <c r="B29" s="42">
        <v>28</v>
      </c>
      <c r="C29" s="14">
        <v>46198</v>
      </c>
      <c r="D29" s="13" t="s">
        <v>574</v>
      </c>
      <c r="E29" s="13" t="s">
        <v>634</v>
      </c>
      <c r="F29" s="13" t="s">
        <v>635</v>
      </c>
      <c r="G29" s="40" t="s">
        <v>636</v>
      </c>
      <c r="H29" s="40" t="s">
        <v>634</v>
      </c>
      <c r="I29" s="38"/>
      <c r="J29" s="38" t="s">
        <v>634</v>
      </c>
      <c r="K29" s="13"/>
      <c r="L29" s="13"/>
      <c r="M29" s="13"/>
      <c r="N29" s="13"/>
      <c r="O29" s="13"/>
      <c r="P29" s="13" t="s">
        <v>634</v>
      </c>
      <c r="Q29" s="13" t="s">
        <v>635</v>
      </c>
      <c r="R29" s="15">
        <v>70200.799999999988</v>
      </c>
      <c r="S29" s="15">
        <v>2453.6</v>
      </c>
      <c r="T29" s="15">
        <v>67747.199999999983</v>
      </c>
      <c r="U29" s="22">
        <v>897</v>
      </c>
      <c r="V29" s="15">
        <v>66850.199999999983</v>
      </c>
      <c r="W29" s="15">
        <v>68894.7</v>
      </c>
      <c r="X29" s="15">
        <v>2743.4</v>
      </c>
      <c r="Y29" s="15">
        <v>66151.3</v>
      </c>
      <c r="Z29" s="22">
        <v>898</v>
      </c>
      <c r="AA29" s="15">
        <v>65253.3</v>
      </c>
      <c r="AB29" s="21">
        <v>11.2</v>
      </c>
      <c r="AC29" s="22">
        <v>173</v>
      </c>
      <c r="AD29" s="21">
        <v>41.97</v>
      </c>
      <c r="AE29" s="21">
        <v>9.4</v>
      </c>
      <c r="AF29" s="22">
        <v>176</v>
      </c>
      <c r="AG29" s="28">
        <f t="shared" si="0"/>
        <v>42.328800000000001</v>
      </c>
      <c r="AH29" s="22">
        <v>2</v>
      </c>
      <c r="AI29" s="22">
        <v>35</v>
      </c>
      <c r="AJ29" s="22">
        <v>226</v>
      </c>
      <c r="AK29" s="13">
        <v>16</v>
      </c>
      <c r="AL29" s="13">
        <v>12</v>
      </c>
      <c r="AM29" s="22">
        <v>686</v>
      </c>
      <c r="AN29" s="22">
        <v>27</v>
      </c>
      <c r="AO29" s="17">
        <f t="shared" si="1"/>
        <v>1596.8999999999796</v>
      </c>
      <c r="AP29" s="15"/>
      <c r="AQ29" s="15"/>
      <c r="AR29" s="22">
        <v>897</v>
      </c>
      <c r="AS29" s="22">
        <v>872</v>
      </c>
      <c r="AT29" s="13" t="s">
        <v>625</v>
      </c>
      <c r="AU29" s="13" t="s">
        <v>626</v>
      </c>
      <c r="AV29" s="13"/>
      <c r="AW29" s="14"/>
      <c r="AX29" s="21"/>
      <c r="AY29" s="21"/>
      <c r="AZ29" s="22">
        <v>42.32</v>
      </c>
      <c r="BA29" s="28">
        <f t="shared" si="2"/>
        <v>8.8000000000008072E-3</v>
      </c>
    </row>
    <row r="30" spans="1:53" x14ac:dyDescent="0.3">
      <c r="A30" s="3" t="s">
        <v>640</v>
      </c>
      <c r="B30" s="41">
        <v>29</v>
      </c>
      <c r="C30" s="5">
        <v>46199</v>
      </c>
      <c r="D30" s="4" t="s">
        <v>574</v>
      </c>
      <c r="E30" s="4" t="s">
        <v>634</v>
      </c>
      <c r="F30" s="4" t="s">
        <v>635</v>
      </c>
      <c r="G30" s="39" t="s">
        <v>636</v>
      </c>
      <c r="H30" s="39" t="s">
        <v>634</v>
      </c>
      <c r="I30" s="37"/>
      <c r="J30" s="37" t="s">
        <v>634</v>
      </c>
      <c r="K30" s="4"/>
      <c r="L30" s="4"/>
      <c r="M30" s="4"/>
      <c r="N30" s="4"/>
      <c r="O30" s="4"/>
      <c r="P30" s="4" t="s">
        <v>634</v>
      </c>
      <c r="Q30" s="4" t="s">
        <v>635</v>
      </c>
      <c r="R30" s="6">
        <v>35604</v>
      </c>
      <c r="S30" s="6">
        <v>1090.5999999999999</v>
      </c>
      <c r="T30" s="6">
        <v>34513.4</v>
      </c>
      <c r="U30" s="20">
        <v>450</v>
      </c>
      <c r="V30" s="6">
        <v>34063.4</v>
      </c>
      <c r="W30" s="6">
        <v>35340</v>
      </c>
      <c r="X30" s="6">
        <v>1256.4000000000001</v>
      </c>
      <c r="Y30" s="6">
        <v>34083.599999999999</v>
      </c>
      <c r="Z30" s="20">
        <v>459</v>
      </c>
      <c r="AA30" s="6">
        <v>33624.6</v>
      </c>
      <c r="AB30" s="19">
        <v>10.4</v>
      </c>
      <c r="AC30" s="20">
        <v>179</v>
      </c>
      <c r="AD30" s="19">
        <v>42.94</v>
      </c>
      <c r="AE30" s="19">
        <v>8.1</v>
      </c>
      <c r="AF30" s="20">
        <v>180</v>
      </c>
      <c r="AG30" s="26">
        <f t="shared" si="0"/>
        <v>42.946095</v>
      </c>
      <c r="AH30" s="20">
        <v>0</v>
      </c>
      <c r="AI30" s="20">
        <v>33</v>
      </c>
      <c r="AJ30" s="20">
        <v>230</v>
      </c>
      <c r="AK30" s="4">
        <v>15</v>
      </c>
      <c r="AL30" s="4">
        <v>12</v>
      </c>
      <c r="AM30" s="20">
        <v>676</v>
      </c>
      <c r="AN30" s="20">
        <v>29</v>
      </c>
      <c r="AO30" s="9">
        <f t="shared" si="1"/>
        <v>438.80000000000291</v>
      </c>
      <c r="AP30" s="6"/>
      <c r="AQ30" s="6"/>
      <c r="AR30" s="20">
        <v>450</v>
      </c>
      <c r="AS30" s="20">
        <v>459</v>
      </c>
      <c r="AT30" s="4" t="s">
        <v>625</v>
      </c>
      <c r="AU30" s="4" t="s">
        <v>626</v>
      </c>
      <c r="AV30" s="4"/>
      <c r="AW30" s="5"/>
      <c r="AX30" s="19"/>
      <c r="AY30" s="19"/>
      <c r="AZ30" s="20">
        <v>42.95</v>
      </c>
      <c r="BA30" s="26">
        <f t="shared" si="2"/>
        <v>-3.9050000000031559E-3</v>
      </c>
    </row>
    <row r="31" spans="1:53" x14ac:dyDescent="0.3">
      <c r="A31" s="12" t="s">
        <v>641</v>
      </c>
      <c r="B31" s="42">
        <v>30</v>
      </c>
      <c r="C31" s="14">
        <v>46200</v>
      </c>
      <c r="D31" s="13" t="s">
        <v>574</v>
      </c>
      <c r="E31" s="13" t="s">
        <v>634</v>
      </c>
      <c r="F31" s="13" t="s">
        <v>635</v>
      </c>
      <c r="G31" s="40" t="s">
        <v>636</v>
      </c>
      <c r="H31" s="40" t="s">
        <v>634</v>
      </c>
      <c r="I31" s="38"/>
      <c r="J31" s="38" t="s">
        <v>634</v>
      </c>
      <c r="K31" s="13"/>
      <c r="L31" s="13"/>
      <c r="M31" s="13"/>
      <c r="N31" s="13"/>
      <c r="O31" s="13"/>
      <c r="P31" s="13" t="s">
        <v>634</v>
      </c>
      <c r="Q31" s="13" t="s">
        <v>635</v>
      </c>
      <c r="R31" s="15">
        <v>61590</v>
      </c>
      <c r="S31" s="15">
        <v>1839.4</v>
      </c>
      <c r="T31" s="15">
        <v>59750.6</v>
      </c>
      <c r="U31" s="22">
        <v>750</v>
      </c>
      <c r="V31" s="15">
        <v>59000.6</v>
      </c>
      <c r="W31" s="15">
        <v>61125.2</v>
      </c>
      <c r="X31" s="15">
        <v>2548.4</v>
      </c>
      <c r="Y31" s="15">
        <v>58576.800000000003</v>
      </c>
      <c r="Z31" s="22">
        <v>787</v>
      </c>
      <c r="AA31" s="15">
        <v>57789.8</v>
      </c>
      <c r="AB31" s="21">
        <v>9.8000000000000007</v>
      </c>
      <c r="AC31" s="22">
        <v>179</v>
      </c>
      <c r="AD31" s="21">
        <v>42.86</v>
      </c>
      <c r="AE31" s="21">
        <v>8</v>
      </c>
      <c r="AF31" s="22">
        <v>176</v>
      </c>
      <c r="AG31" s="28">
        <f t="shared" si="0"/>
        <v>42.857909999999997</v>
      </c>
      <c r="AH31" s="22">
        <v>0</v>
      </c>
      <c r="AI31" s="22">
        <v>33</v>
      </c>
      <c r="AJ31" s="22">
        <v>226</v>
      </c>
      <c r="AK31" s="13">
        <v>18</v>
      </c>
      <c r="AL31" s="13">
        <v>16</v>
      </c>
      <c r="AM31" s="22">
        <v>679</v>
      </c>
      <c r="AN31" s="22">
        <v>22</v>
      </c>
      <c r="AO31" s="17">
        <f t="shared" si="1"/>
        <v>1210.7999999999956</v>
      </c>
      <c r="AP31" s="15"/>
      <c r="AQ31" s="15"/>
      <c r="AR31" s="22">
        <v>750</v>
      </c>
      <c r="AS31" s="22">
        <v>787</v>
      </c>
      <c r="AT31" s="13" t="s">
        <v>625</v>
      </c>
      <c r="AU31" s="13" t="s">
        <v>626</v>
      </c>
      <c r="AV31" s="13"/>
      <c r="AW31" s="14"/>
      <c r="AX31" s="21"/>
      <c r="AY31" s="21"/>
      <c r="AZ31" s="22">
        <v>42.85</v>
      </c>
      <c r="BA31" s="28">
        <f t="shared" si="2"/>
        <v>7.9099999999954207E-3</v>
      </c>
    </row>
  </sheetData>
  <autoFilter ref="A1:BA31" xr:uid="{00000000-0009-0000-0000-000003000000}"/>
  <pageMargins left="0.7" right="0.7" top="0.75" bottom="0.75" header="0.3" footer="0.3"/>
  <pageSetup orientation="portrait" horizontalDpi="4294967295" verticalDpi="429496729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8F37"/>
  </sheetPr>
  <dimension ref="A1:Z3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Q9" sqref="Q9"/>
    </sheetView>
  </sheetViews>
  <sheetFormatPr baseColWidth="10" defaultColWidth="8.88671875" defaultRowHeight="14.4" x14ac:dyDescent="0.3"/>
  <cols>
    <col min="1" max="1" width="14" customWidth="1"/>
    <col min="2" max="2" width="5.6640625" bestFit="1" customWidth="1"/>
    <col min="3" max="6" width="14" customWidth="1"/>
    <col min="7" max="7" width="11.33203125" style="48" bestFit="1" customWidth="1"/>
    <col min="8" max="8" width="13.21875" bestFit="1" customWidth="1"/>
    <col min="9" max="9" width="14" customWidth="1"/>
    <col min="10" max="10" width="26" customWidth="1"/>
    <col min="11" max="12" width="14" customWidth="1"/>
    <col min="13" max="14" width="18" customWidth="1"/>
    <col min="15" max="16" width="14" customWidth="1"/>
    <col min="17" max="17" width="12.33203125" bestFit="1" customWidth="1"/>
    <col min="18" max="25" width="14" customWidth="1"/>
    <col min="26" max="26" width="26" customWidth="1"/>
  </cols>
  <sheetData>
    <row r="1" spans="1:26" s="1" customFormat="1" ht="40.799999999999997" customHeight="1" thickBot="1" x14ac:dyDescent="0.35">
      <c r="A1" s="2" t="s">
        <v>378</v>
      </c>
      <c r="B1" s="2" t="s">
        <v>379</v>
      </c>
      <c r="C1" s="2" t="s">
        <v>642</v>
      </c>
      <c r="D1" s="2" t="s">
        <v>380</v>
      </c>
      <c r="E1" s="2" t="s">
        <v>381</v>
      </c>
      <c r="F1" s="2" t="s">
        <v>382</v>
      </c>
      <c r="G1" s="45" t="s">
        <v>1237</v>
      </c>
      <c r="H1" s="2" t="s">
        <v>384</v>
      </c>
      <c r="I1" s="2" t="s">
        <v>71</v>
      </c>
      <c r="J1" s="2" t="s">
        <v>4</v>
      </c>
      <c r="K1" s="2" t="s">
        <v>643</v>
      </c>
      <c r="L1" s="2" t="s">
        <v>644</v>
      </c>
      <c r="M1" s="2" t="s">
        <v>645</v>
      </c>
      <c r="N1" s="2" t="s">
        <v>646</v>
      </c>
      <c r="O1" s="2" t="s">
        <v>548</v>
      </c>
      <c r="P1" s="2" t="s">
        <v>549</v>
      </c>
      <c r="Q1" s="2" t="s">
        <v>550</v>
      </c>
      <c r="R1" s="2" t="s">
        <v>551</v>
      </c>
      <c r="S1" s="2" t="s">
        <v>552</v>
      </c>
      <c r="T1" s="2" t="s">
        <v>553</v>
      </c>
      <c r="U1" s="2" t="s">
        <v>561</v>
      </c>
      <c r="V1" s="2" t="s">
        <v>647</v>
      </c>
      <c r="W1" s="2" t="s">
        <v>564</v>
      </c>
      <c r="X1" s="2" t="s">
        <v>565</v>
      </c>
      <c r="Y1" s="2" t="s">
        <v>566</v>
      </c>
      <c r="Z1" s="2" t="s">
        <v>92</v>
      </c>
    </row>
    <row r="2" spans="1:26" x14ac:dyDescent="0.3">
      <c r="A2" s="3" t="s">
        <v>648</v>
      </c>
      <c r="B2" s="41">
        <v>1</v>
      </c>
      <c r="C2" s="5">
        <v>46073</v>
      </c>
      <c r="D2" s="4" t="s">
        <v>47</v>
      </c>
      <c r="E2" s="4" t="s">
        <v>145</v>
      </c>
      <c r="F2" s="4" t="s">
        <v>649</v>
      </c>
      <c r="G2" s="46" t="s">
        <v>1238</v>
      </c>
      <c r="H2" s="37" t="s">
        <v>650</v>
      </c>
      <c r="I2" s="4" t="s">
        <v>651</v>
      </c>
      <c r="J2" s="4" t="s">
        <v>652</v>
      </c>
      <c r="K2" s="4" t="s">
        <v>653</v>
      </c>
      <c r="L2" s="4" t="s">
        <v>654</v>
      </c>
      <c r="M2" s="6">
        <v>33917</v>
      </c>
      <c r="N2" s="6">
        <v>33408.245000000003</v>
      </c>
      <c r="O2" s="19">
        <v>11</v>
      </c>
      <c r="P2" s="20" t="s">
        <v>655</v>
      </c>
      <c r="Q2" s="19">
        <v>47.61</v>
      </c>
      <c r="R2" s="19">
        <v>9.5</v>
      </c>
      <c r="S2" s="20">
        <v>176</v>
      </c>
      <c r="T2" s="20">
        <v>47.26</v>
      </c>
      <c r="U2" s="9">
        <f t="shared" ref="U2:U31" si="0">IF(OR(M2="",N2=""),"",M2-N2)</f>
        <v>508.75499999999738</v>
      </c>
      <c r="V2" s="6"/>
      <c r="W2" s="20">
        <v>406</v>
      </c>
      <c r="X2" s="20">
        <v>434</v>
      </c>
      <c r="Y2" s="4" t="s">
        <v>656</v>
      </c>
      <c r="Z2" s="4"/>
    </row>
    <row r="3" spans="1:26" x14ac:dyDescent="0.3">
      <c r="A3" s="12" t="s">
        <v>657</v>
      </c>
      <c r="B3" s="42">
        <v>2</v>
      </c>
      <c r="C3" s="14">
        <v>46074</v>
      </c>
      <c r="D3" s="13" t="s">
        <v>47</v>
      </c>
      <c r="E3" s="13" t="s">
        <v>658</v>
      </c>
      <c r="F3" s="13" t="s">
        <v>659</v>
      </c>
      <c r="G3" s="47" t="s">
        <v>1239</v>
      </c>
      <c r="H3" s="38" t="s">
        <v>660</v>
      </c>
      <c r="I3" s="13" t="s">
        <v>661</v>
      </c>
      <c r="J3" s="13" t="s">
        <v>662</v>
      </c>
      <c r="K3" s="13" t="s">
        <v>663</v>
      </c>
      <c r="L3" s="13" t="s">
        <v>664</v>
      </c>
      <c r="M3" s="15">
        <v>25265</v>
      </c>
      <c r="N3" s="15">
        <v>24835.494999999999</v>
      </c>
      <c r="O3" s="21">
        <v>11.4</v>
      </c>
      <c r="P3" s="22" t="s">
        <v>665</v>
      </c>
      <c r="Q3" s="21">
        <v>46.39</v>
      </c>
      <c r="R3" s="21">
        <v>9.6999999999999993</v>
      </c>
      <c r="S3" s="22">
        <v>171</v>
      </c>
      <c r="T3" s="22">
        <v>46.73</v>
      </c>
      <c r="U3" s="17">
        <f t="shared" si="0"/>
        <v>429.50500000000102</v>
      </c>
      <c r="V3" s="15">
        <v>216</v>
      </c>
      <c r="W3" s="22">
        <v>290</v>
      </c>
      <c r="X3" s="22">
        <v>320</v>
      </c>
      <c r="Y3" s="13" t="s">
        <v>666</v>
      </c>
      <c r="Z3" s="13"/>
    </row>
    <row r="4" spans="1:26" x14ac:dyDescent="0.3">
      <c r="A4" s="3" t="s">
        <v>667</v>
      </c>
      <c r="B4" s="41">
        <v>3</v>
      </c>
      <c r="C4" s="5">
        <v>46076</v>
      </c>
      <c r="D4" s="4" t="s">
        <v>47</v>
      </c>
      <c r="E4" s="4" t="s">
        <v>145</v>
      </c>
      <c r="F4" s="4" t="s">
        <v>649</v>
      </c>
      <c r="G4" s="46" t="s">
        <v>1238</v>
      </c>
      <c r="H4" s="37" t="s">
        <v>650</v>
      </c>
      <c r="I4" s="4" t="s">
        <v>651</v>
      </c>
      <c r="J4" s="4" t="s">
        <v>652</v>
      </c>
      <c r="K4" s="4" t="s">
        <v>653</v>
      </c>
      <c r="L4" s="4" t="s">
        <v>654</v>
      </c>
      <c r="M4" s="6">
        <v>29573</v>
      </c>
      <c r="N4" s="6">
        <v>29129.404999999999</v>
      </c>
      <c r="O4" s="19">
        <v>11</v>
      </c>
      <c r="P4" s="20" t="s">
        <v>655</v>
      </c>
      <c r="Q4" s="19">
        <v>47.61</v>
      </c>
      <c r="R4" s="19">
        <v>9.5</v>
      </c>
      <c r="S4" s="20">
        <v>176</v>
      </c>
      <c r="T4" s="20">
        <v>47.26</v>
      </c>
      <c r="U4" s="9">
        <f t="shared" si="0"/>
        <v>443.59500000000116</v>
      </c>
      <c r="V4" s="6"/>
      <c r="W4" s="20">
        <v>354</v>
      </c>
      <c r="X4" s="20">
        <v>386</v>
      </c>
      <c r="Y4" s="4" t="s">
        <v>656</v>
      </c>
      <c r="Z4" s="4"/>
    </row>
    <row r="5" spans="1:26" x14ac:dyDescent="0.3">
      <c r="A5" s="12" t="s">
        <v>668</v>
      </c>
      <c r="B5" s="42">
        <v>4</v>
      </c>
      <c r="C5" s="14">
        <v>46078</v>
      </c>
      <c r="D5" s="13" t="s">
        <v>47</v>
      </c>
      <c r="E5" s="13" t="s">
        <v>145</v>
      </c>
      <c r="F5" s="13" t="s">
        <v>649</v>
      </c>
      <c r="G5" s="47" t="s">
        <v>1238</v>
      </c>
      <c r="H5" s="38" t="s">
        <v>650</v>
      </c>
      <c r="I5" s="13" t="s">
        <v>651</v>
      </c>
      <c r="J5" s="13" t="s">
        <v>652</v>
      </c>
      <c r="K5" s="13" t="s">
        <v>653</v>
      </c>
      <c r="L5" s="13" t="s">
        <v>654</v>
      </c>
      <c r="M5" s="15">
        <v>35276</v>
      </c>
      <c r="N5" s="15">
        <v>34746.86</v>
      </c>
      <c r="O5" s="21">
        <v>11</v>
      </c>
      <c r="P5" s="22" t="s">
        <v>655</v>
      </c>
      <c r="Q5" s="21">
        <v>47.61</v>
      </c>
      <c r="R5" s="21">
        <v>9.5</v>
      </c>
      <c r="S5" s="22">
        <v>176</v>
      </c>
      <c r="T5" s="22">
        <v>47.26</v>
      </c>
      <c r="U5" s="17">
        <f t="shared" si="0"/>
        <v>529.13999999999942</v>
      </c>
      <c r="V5" s="15">
        <v>76</v>
      </c>
      <c r="W5" s="22">
        <v>416</v>
      </c>
      <c r="X5" s="22">
        <v>442</v>
      </c>
      <c r="Y5" s="13" t="s">
        <v>666</v>
      </c>
      <c r="Z5" s="13"/>
    </row>
    <row r="6" spans="1:26" x14ac:dyDescent="0.3">
      <c r="A6" s="3" t="s">
        <v>669</v>
      </c>
      <c r="B6" s="41">
        <v>5</v>
      </c>
      <c r="C6" s="5">
        <v>46079</v>
      </c>
      <c r="D6" s="4" t="s">
        <v>47</v>
      </c>
      <c r="E6" s="4" t="s">
        <v>658</v>
      </c>
      <c r="F6" s="4" t="s">
        <v>659</v>
      </c>
      <c r="G6" s="46" t="s">
        <v>1239</v>
      </c>
      <c r="H6" s="37" t="s">
        <v>660</v>
      </c>
      <c r="I6" s="4" t="s">
        <v>651</v>
      </c>
      <c r="J6" s="4" t="s">
        <v>662</v>
      </c>
      <c r="K6" s="4" t="s">
        <v>663</v>
      </c>
      <c r="L6" s="4" t="s">
        <v>664</v>
      </c>
      <c r="M6" s="6">
        <v>21780</v>
      </c>
      <c r="N6" s="6">
        <v>21409.74</v>
      </c>
      <c r="O6" s="19">
        <v>11.4</v>
      </c>
      <c r="P6" s="20" t="s">
        <v>665</v>
      </c>
      <c r="Q6" s="19">
        <v>46.39</v>
      </c>
      <c r="R6" s="19">
        <v>9.6999999999999993</v>
      </c>
      <c r="S6" s="20">
        <v>171</v>
      </c>
      <c r="T6" s="20">
        <v>46.73</v>
      </c>
      <c r="U6" s="9">
        <f t="shared" si="0"/>
        <v>370.2599999999984</v>
      </c>
      <c r="V6" s="6">
        <v>43</v>
      </c>
      <c r="W6" s="20">
        <v>250</v>
      </c>
      <c r="X6" s="20">
        <v>259</v>
      </c>
      <c r="Y6" s="4" t="s">
        <v>666</v>
      </c>
      <c r="Z6" s="4"/>
    </row>
    <row r="7" spans="1:26" x14ac:dyDescent="0.3">
      <c r="A7" s="12" t="s">
        <v>670</v>
      </c>
      <c r="B7" s="42">
        <v>6</v>
      </c>
      <c r="C7" s="14">
        <v>46080</v>
      </c>
      <c r="D7" s="13" t="s">
        <v>47</v>
      </c>
      <c r="E7" s="13" t="s">
        <v>658</v>
      </c>
      <c r="F7" s="13" t="s">
        <v>659</v>
      </c>
      <c r="G7" s="47" t="s">
        <v>1239</v>
      </c>
      <c r="H7" s="38" t="s">
        <v>660</v>
      </c>
      <c r="I7" s="13" t="s">
        <v>651</v>
      </c>
      <c r="J7" s="13" t="s">
        <v>662</v>
      </c>
      <c r="K7" s="13" t="s">
        <v>663</v>
      </c>
      <c r="L7" s="13" t="s">
        <v>664</v>
      </c>
      <c r="M7" s="15">
        <v>26224</v>
      </c>
      <c r="N7" s="15">
        <v>25778.191999999999</v>
      </c>
      <c r="O7" s="21">
        <v>11.4</v>
      </c>
      <c r="P7" s="22" t="s">
        <v>665</v>
      </c>
      <c r="Q7" s="21">
        <v>46.39</v>
      </c>
      <c r="R7" s="21">
        <v>9.6999999999999993</v>
      </c>
      <c r="S7" s="22">
        <v>171</v>
      </c>
      <c r="T7" s="22">
        <v>46.73</v>
      </c>
      <c r="U7" s="17">
        <f t="shared" si="0"/>
        <v>445.8080000000009</v>
      </c>
      <c r="V7" s="15">
        <v>64</v>
      </c>
      <c r="W7" s="22">
        <v>301</v>
      </c>
      <c r="X7" s="22">
        <v>335</v>
      </c>
      <c r="Y7" s="13" t="s">
        <v>666</v>
      </c>
      <c r="Z7" s="13"/>
    </row>
    <row r="8" spans="1:26" x14ac:dyDescent="0.3">
      <c r="A8" s="3" t="s">
        <v>671</v>
      </c>
      <c r="B8" s="41">
        <v>7</v>
      </c>
      <c r="C8" s="5">
        <v>46084</v>
      </c>
      <c r="D8" s="4" t="s">
        <v>47</v>
      </c>
      <c r="E8" s="4" t="s">
        <v>658</v>
      </c>
      <c r="F8" s="4" t="s">
        <v>659</v>
      </c>
      <c r="G8" s="46" t="s">
        <v>1239</v>
      </c>
      <c r="H8" s="37" t="s">
        <v>660</v>
      </c>
      <c r="I8" s="4" t="s">
        <v>651</v>
      </c>
      <c r="J8" s="4" t="s">
        <v>662</v>
      </c>
      <c r="K8" s="4" t="s">
        <v>663</v>
      </c>
      <c r="L8" s="4" t="s">
        <v>664</v>
      </c>
      <c r="M8" s="6">
        <v>12198</v>
      </c>
      <c r="N8" s="6">
        <v>11990.634</v>
      </c>
      <c r="O8" s="19">
        <v>11.4</v>
      </c>
      <c r="P8" s="20" t="s">
        <v>665</v>
      </c>
      <c r="Q8" s="19">
        <v>46.39</v>
      </c>
      <c r="R8" s="19">
        <v>9.6999999999999993</v>
      </c>
      <c r="S8" s="20">
        <v>171</v>
      </c>
      <c r="T8" s="20">
        <v>46.73</v>
      </c>
      <c r="U8" s="9">
        <f t="shared" si="0"/>
        <v>207.36599999999999</v>
      </c>
      <c r="V8" s="6">
        <v>42</v>
      </c>
      <c r="W8" s="20">
        <v>140</v>
      </c>
      <c r="X8" s="20">
        <v>126</v>
      </c>
      <c r="Y8" s="4" t="s">
        <v>666</v>
      </c>
      <c r="Z8" s="4"/>
    </row>
    <row r="9" spans="1:26" x14ac:dyDescent="0.3">
      <c r="A9" s="12" t="s">
        <v>672</v>
      </c>
      <c r="B9" s="42">
        <v>8</v>
      </c>
      <c r="C9" s="14">
        <v>46084</v>
      </c>
      <c r="D9" s="13" t="s">
        <v>31</v>
      </c>
      <c r="E9" s="13" t="s">
        <v>673</v>
      </c>
      <c r="F9" s="13" t="s">
        <v>674</v>
      </c>
      <c r="G9" s="47">
        <v>112</v>
      </c>
      <c r="H9" s="38">
        <v>1214</v>
      </c>
      <c r="I9" s="13" t="s">
        <v>675</v>
      </c>
      <c r="J9" s="13" t="s">
        <v>676</v>
      </c>
      <c r="K9" s="13" t="s">
        <v>29</v>
      </c>
      <c r="L9" s="13" t="s">
        <v>175</v>
      </c>
      <c r="M9" s="15">
        <v>12102</v>
      </c>
      <c r="N9" s="15">
        <v>11859.96</v>
      </c>
      <c r="O9" s="21">
        <v>11.7</v>
      </c>
      <c r="P9" s="22">
        <v>170</v>
      </c>
      <c r="Q9" s="21">
        <v>47.27</v>
      </c>
      <c r="R9" s="21">
        <v>9.6999999999999993</v>
      </c>
      <c r="S9" s="22">
        <v>178</v>
      </c>
      <c r="T9" s="22">
        <v>47.44</v>
      </c>
      <c r="U9" s="17">
        <f t="shared" si="0"/>
        <v>242.04000000000087</v>
      </c>
      <c r="V9" s="15">
        <v>53</v>
      </c>
      <c r="W9" s="22">
        <v>160</v>
      </c>
      <c r="X9" s="22">
        <v>139</v>
      </c>
      <c r="Y9" s="13" t="s">
        <v>666</v>
      </c>
      <c r="Z9" s="13"/>
    </row>
    <row r="10" spans="1:26" x14ac:dyDescent="0.3">
      <c r="A10" s="3" t="s">
        <v>677</v>
      </c>
      <c r="B10" s="41">
        <v>9</v>
      </c>
      <c r="C10" s="5">
        <v>46115</v>
      </c>
      <c r="D10" s="4" t="s">
        <v>31</v>
      </c>
      <c r="E10" s="4" t="s">
        <v>267</v>
      </c>
      <c r="F10" s="4" t="s">
        <v>678</v>
      </c>
      <c r="G10" s="46">
        <v>113</v>
      </c>
      <c r="H10" s="37">
        <v>1215</v>
      </c>
      <c r="I10" s="4" t="s">
        <v>234</v>
      </c>
      <c r="J10" s="4" t="s">
        <v>679</v>
      </c>
      <c r="K10" s="4" t="s">
        <v>680</v>
      </c>
      <c r="L10" s="4"/>
      <c r="M10" s="6">
        <v>22371</v>
      </c>
      <c r="N10" s="6">
        <v>22057.806</v>
      </c>
      <c r="O10" s="19">
        <v>10.5</v>
      </c>
      <c r="P10" s="20">
        <v>177</v>
      </c>
      <c r="Q10" s="19">
        <v>47.27</v>
      </c>
      <c r="R10" s="19">
        <v>9.1</v>
      </c>
      <c r="S10" s="20">
        <v>180</v>
      </c>
      <c r="T10" s="20">
        <v>47.61</v>
      </c>
      <c r="U10" s="9">
        <f t="shared" si="0"/>
        <v>313.19399999999951</v>
      </c>
      <c r="V10" s="6"/>
      <c r="W10" s="20">
        <v>257</v>
      </c>
      <c r="X10" s="20">
        <v>285</v>
      </c>
      <c r="Y10" s="4" t="s">
        <v>656</v>
      </c>
      <c r="Z10" s="4"/>
    </row>
    <row r="11" spans="1:26" x14ac:dyDescent="0.3">
      <c r="A11" s="12" t="s">
        <v>681</v>
      </c>
      <c r="B11" s="42">
        <v>10</v>
      </c>
      <c r="C11" s="14">
        <v>46145</v>
      </c>
      <c r="D11" s="13" t="s">
        <v>47</v>
      </c>
      <c r="E11" s="13" t="s">
        <v>682</v>
      </c>
      <c r="F11" s="13" t="s">
        <v>683</v>
      </c>
      <c r="G11" s="47">
        <v>58</v>
      </c>
      <c r="H11" s="38">
        <v>760</v>
      </c>
      <c r="I11" s="13" t="s">
        <v>684</v>
      </c>
      <c r="J11" s="13" t="s">
        <v>685</v>
      </c>
      <c r="K11" s="13" t="s">
        <v>45</v>
      </c>
      <c r="L11" s="13" t="s">
        <v>171</v>
      </c>
      <c r="M11" s="15">
        <v>33414</v>
      </c>
      <c r="N11" s="15">
        <v>33046.446000000004</v>
      </c>
      <c r="O11" s="21">
        <v>10.3</v>
      </c>
      <c r="P11" s="22">
        <v>183</v>
      </c>
      <c r="Q11" s="21">
        <v>48.15</v>
      </c>
      <c r="R11" s="21">
        <v>9.1999999999999993</v>
      </c>
      <c r="S11" s="22">
        <v>185</v>
      </c>
      <c r="T11" s="22">
        <v>48.32</v>
      </c>
      <c r="U11" s="17">
        <f t="shared" si="0"/>
        <v>367.55399999999645</v>
      </c>
      <c r="V11" s="15"/>
      <c r="W11" s="22">
        <v>384</v>
      </c>
      <c r="X11" s="22">
        <v>127</v>
      </c>
      <c r="Y11" s="13" t="s">
        <v>656</v>
      </c>
      <c r="Z11" s="13" t="s">
        <v>686</v>
      </c>
    </row>
    <row r="12" spans="1:26" x14ac:dyDescent="0.3">
      <c r="A12" s="3" t="s">
        <v>687</v>
      </c>
      <c r="B12" s="41">
        <v>11</v>
      </c>
      <c r="C12" s="5">
        <v>46176</v>
      </c>
      <c r="D12" s="4" t="s">
        <v>47</v>
      </c>
      <c r="E12" s="4" t="s">
        <v>682</v>
      </c>
      <c r="F12" s="4" t="s">
        <v>683</v>
      </c>
      <c r="G12" s="46">
        <v>58</v>
      </c>
      <c r="H12" s="37">
        <v>760</v>
      </c>
      <c r="I12" s="4" t="s">
        <v>684</v>
      </c>
      <c r="J12" s="4" t="s">
        <v>685</v>
      </c>
      <c r="K12" s="4" t="s">
        <v>45</v>
      </c>
      <c r="L12" s="4" t="s">
        <v>171</v>
      </c>
      <c r="M12" s="6">
        <v>22363</v>
      </c>
      <c r="N12" s="6">
        <v>22117.007000000001</v>
      </c>
      <c r="O12" s="19">
        <v>10.3</v>
      </c>
      <c r="P12" s="20">
        <v>183</v>
      </c>
      <c r="Q12" s="19">
        <v>48.15</v>
      </c>
      <c r="R12" s="19">
        <v>9.1999999999999993</v>
      </c>
      <c r="S12" s="20">
        <v>185</v>
      </c>
      <c r="T12" s="20">
        <v>48.32</v>
      </c>
      <c r="U12" s="9">
        <f t="shared" si="0"/>
        <v>245.99299999999857</v>
      </c>
      <c r="V12" s="6"/>
      <c r="W12" s="20">
        <v>257</v>
      </c>
      <c r="X12" s="20">
        <v>295</v>
      </c>
      <c r="Y12" s="4" t="s">
        <v>688</v>
      </c>
      <c r="Z12" s="4"/>
    </row>
    <row r="13" spans="1:26" x14ac:dyDescent="0.3">
      <c r="A13" s="12" t="s">
        <v>689</v>
      </c>
      <c r="B13" s="42">
        <v>12</v>
      </c>
      <c r="C13" s="14">
        <v>46090</v>
      </c>
      <c r="D13" s="13" t="s">
        <v>31</v>
      </c>
      <c r="E13" s="13" t="s">
        <v>673</v>
      </c>
      <c r="F13" s="13" t="s">
        <v>674</v>
      </c>
      <c r="G13" s="47">
        <v>112</v>
      </c>
      <c r="H13" s="38">
        <v>1214</v>
      </c>
      <c r="I13" s="13" t="s">
        <v>675</v>
      </c>
      <c r="J13" s="13" t="s">
        <v>676</v>
      </c>
      <c r="K13" s="13" t="s">
        <v>29</v>
      </c>
      <c r="L13" s="13" t="s">
        <v>175</v>
      </c>
      <c r="M13" s="15">
        <v>10060</v>
      </c>
      <c r="N13" s="15">
        <v>9858.7999999999993</v>
      </c>
      <c r="O13" s="21">
        <v>11.7</v>
      </c>
      <c r="P13" s="22">
        <v>170</v>
      </c>
      <c r="Q13" s="21">
        <v>47.27</v>
      </c>
      <c r="R13" s="21">
        <v>9.6999999999999993</v>
      </c>
      <c r="S13" s="22">
        <v>178</v>
      </c>
      <c r="T13" s="22">
        <v>47.44</v>
      </c>
      <c r="U13" s="17">
        <f t="shared" si="0"/>
        <v>201.20000000000073</v>
      </c>
      <c r="V13" s="15">
        <v>263</v>
      </c>
      <c r="W13" s="22">
        <v>133</v>
      </c>
      <c r="X13" s="22">
        <v>135</v>
      </c>
      <c r="Y13" s="13" t="s">
        <v>666</v>
      </c>
      <c r="Z13" s="13"/>
    </row>
    <row r="14" spans="1:26" x14ac:dyDescent="0.3">
      <c r="A14" s="3" t="s">
        <v>690</v>
      </c>
      <c r="B14" s="41">
        <v>13</v>
      </c>
      <c r="C14" s="5">
        <v>46090</v>
      </c>
      <c r="D14" s="4" t="s">
        <v>47</v>
      </c>
      <c r="E14" s="4" t="s">
        <v>682</v>
      </c>
      <c r="F14" s="4" t="s">
        <v>683</v>
      </c>
      <c r="G14" s="46">
        <v>58</v>
      </c>
      <c r="H14" s="37">
        <v>760</v>
      </c>
      <c r="I14" s="4" t="s">
        <v>684</v>
      </c>
      <c r="J14" s="4" t="s">
        <v>685</v>
      </c>
      <c r="K14" s="4" t="s">
        <v>45</v>
      </c>
      <c r="L14" s="4" t="s">
        <v>171</v>
      </c>
      <c r="M14" s="6">
        <v>8267</v>
      </c>
      <c r="N14" s="6">
        <v>8176.0630000000001</v>
      </c>
      <c r="O14" s="19">
        <v>10.3</v>
      </c>
      <c r="P14" s="20">
        <v>183</v>
      </c>
      <c r="Q14" s="19">
        <v>48.15</v>
      </c>
      <c r="R14" s="19">
        <v>9.1999999999999993</v>
      </c>
      <c r="S14" s="20">
        <v>185</v>
      </c>
      <c r="T14" s="20">
        <v>48.32</v>
      </c>
      <c r="U14" s="9">
        <f t="shared" si="0"/>
        <v>90.936999999999898</v>
      </c>
      <c r="V14" s="6"/>
      <c r="W14" s="20">
        <v>95</v>
      </c>
      <c r="X14" s="20">
        <v>127</v>
      </c>
      <c r="Y14" s="4" t="s">
        <v>656</v>
      </c>
      <c r="Z14" s="4"/>
    </row>
    <row r="15" spans="1:26" x14ac:dyDescent="0.3">
      <c r="A15" s="12" t="s">
        <v>691</v>
      </c>
      <c r="B15" s="42">
        <v>14</v>
      </c>
      <c r="C15" s="14">
        <v>46091</v>
      </c>
      <c r="D15" s="13" t="s">
        <v>31</v>
      </c>
      <c r="E15" s="13" t="s">
        <v>673</v>
      </c>
      <c r="F15" s="13" t="s">
        <v>674</v>
      </c>
      <c r="G15" s="47">
        <v>112</v>
      </c>
      <c r="H15" s="38">
        <v>1214</v>
      </c>
      <c r="I15" s="13" t="s">
        <v>675</v>
      </c>
      <c r="J15" s="13" t="s">
        <v>676</v>
      </c>
      <c r="K15" s="13" t="s">
        <v>29</v>
      </c>
      <c r="L15" s="13" t="s">
        <v>175</v>
      </c>
      <c r="M15" s="15">
        <v>20498</v>
      </c>
      <c r="N15" s="15">
        <v>20088.04</v>
      </c>
      <c r="O15" s="21">
        <v>11.7</v>
      </c>
      <c r="P15" s="22">
        <v>170</v>
      </c>
      <c r="Q15" s="21">
        <v>47.27</v>
      </c>
      <c r="R15" s="21">
        <v>9.6999999999999993</v>
      </c>
      <c r="S15" s="22">
        <v>178</v>
      </c>
      <c r="T15" s="22">
        <v>47.44</v>
      </c>
      <c r="U15" s="17">
        <f t="shared" si="0"/>
        <v>409.95999999999913</v>
      </c>
      <c r="V15" s="15">
        <v>207</v>
      </c>
      <c r="W15" s="22">
        <v>271</v>
      </c>
      <c r="X15" s="22">
        <v>262</v>
      </c>
      <c r="Y15" s="13" t="s">
        <v>666</v>
      </c>
      <c r="Z15" s="13"/>
    </row>
    <row r="16" spans="1:26" x14ac:dyDescent="0.3">
      <c r="A16" s="3" t="s">
        <v>692</v>
      </c>
      <c r="B16" s="41">
        <v>15</v>
      </c>
      <c r="C16" s="5">
        <v>46097</v>
      </c>
      <c r="D16" s="4" t="s">
        <v>31</v>
      </c>
      <c r="E16" s="4" t="s">
        <v>262</v>
      </c>
      <c r="F16" s="4" t="s">
        <v>693</v>
      </c>
      <c r="G16" s="46">
        <v>206</v>
      </c>
      <c r="H16" s="37">
        <v>108</v>
      </c>
      <c r="I16" s="4" t="s">
        <v>694</v>
      </c>
      <c r="J16" s="4" t="s">
        <v>695</v>
      </c>
      <c r="K16" s="4" t="s">
        <v>50</v>
      </c>
      <c r="L16" s="4" t="s">
        <v>696</v>
      </c>
      <c r="M16" s="6">
        <v>39325</v>
      </c>
      <c r="N16" s="6">
        <v>38459.85</v>
      </c>
      <c r="O16" s="19">
        <v>12.2</v>
      </c>
      <c r="P16" s="20">
        <v>189</v>
      </c>
      <c r="Q16" s="19">
        <v>45.15</v>
      </c>
      <c r="R16" s="19">
        <v>10</v>
      </c>
      <c r="S16" s="20">
        <v>185</v>
      </c>
      <c r="T16" s="20">
        <v>45.32</v>
      </c>
      <c r="U16" s="9">
        <f t="shared" si="0"/>
        <v>865.15000000000146</v>
      </c>
      <c r="V16" s="6">
        <v>120</v>
      </c>
      <c r="W16" s="20">
        <v>475</v>
      </c>
      <c r="X16" s="20">
        <v>474</v>
      </c>
      <c r="Y16" s="4" t="s">
        <v>666</v>
      </c>
      <c r="Z16" s="4"/>
    </row>
    <row r="17" spans="1:26" x14ac:dyDescent="0.3">
      <c r="A17" s="12" t="s">
        <v>697</v>
      </c>
      <c r="B17" s="42">
        <v>16</v>
      </c>
      <c r="C17" s="14">
        <v>46098</v>
      </c>
      <c r="D17" s="13" t="s">
        <v>31</v>
      </c>
      <c r="E17" s="13" t="s">
        <v>267</v>
      </c>
      <c r="F17" s="13" t="s">
        <v>678</v>
      </c>
      <c r="G17" s="47">
        <v>207</v>
      </c>
      <c r="H17" s="38">
        <v>109</v>
      </c>
      <c r="I17" s="13" t="s">
        <v>35</v>
      </c>
      <c r="J17" s="13" t="s">
        <v>698</v>
      </c>
      <c r="K17" s="13" t="s">
        <v>58</v>
      </c>
      <c r="L17" s="13" t="s">
        <v>203</v>
      </c>
      <c r="M17" s="15">
        <v>43088</v>
      </c>
      <c r="N17" s="15">
        <v>42441.68</v>
      </c>
      <c r="O17" s="21">
        <v>11</v>
      </c>
      <c r="P17" s="22">
        <v>164</v>
      </c>
      <c r="Q17" s="21">
        <v>46.03</v>
      </c>
      <c r="R17" s="21">
        <v>9.5</v>
      </c>
      <c r="S17" s="22">
        <v>171</v>
      </c>
      <c r="T17" s="22">
        <v>46.56</v>
      </c>
      <c r="U17" s="17">
        <f t="shared" si="0"/>
        <v>646.31999999999971</v>
      </c>
      <c r="V17" s="15">
        <v>163</v>
      </c>
      <c r="W17" s="22">
        <v>512</v>
      </c>
      <c r="X17" s="22">
        <v>523</v>
      </c>
      <c r="Y17" s="13" t="s">
        <v>666</v>
      </c>
      <c r="Z17" s="13"/>
    </row>
    <row r="18" spans="1:26" x14ac:dyDescent="0.3">
      <c r="A18" s="3" t="s">
        <v>699</v>
      </c>
      <c r="B18" s="41">
        <v>17</v>
      </c>
      <c r="C18" s="5">
        <v>46108</v>
      </c>
      <c r="D18" s="4" t="s">
        <v>47</v>
      </c>
      <c r="E18" s="4" t="s">
        <v>700</v>
      </c>
      <c r="F18" s="4" t="s">
        <v>701</v>
      </c>
      <c r="G18" s="46" t="s">
        <v>1240</v>
      </c>
      <c r="H18" s="37" t="s">
        <v>702</v>
      </c>
      <c r="I18" s="4" t="s">
        <v>703</v>
      </c>
      <c r="J18" s="4" t="s">
        <v>704</v>
      </c>
      <c r="K18" s="4" t="s">
        <v>705</v>
      </c>
      <c r="L18" s="4" t="s">
        <v>706</v>
      </c>
      <c r="M18" s="6">
        <v>30456</v>
      </c>
      <c r="N18" s="6">
        <v>29877.335999999999</v>
      </c>
      <c r="O18" s="19">
        <v>11.2</v>
      </c>
      <c r="P18" s="20" t="s">
        <v>707</v>
      </c>
      <c r="Q18" s="19">
        <v>48.19</v>
      </c>
      <c r="R18" s="19">
        <v>9.3000000000000007</v>
      </c>
      <c r="S18" s="20">
        <v>177</v>
      </c>
      <c r="T18" s="20">
        <v>47.97</v>
      </c>
      <c r="U18" s="9">
        <f t="shared" si="0"/>
        <v>578.66400000000067</v>
      </c>
      <c r="V18" s="6"/>
      <c r="W18" s="20">
        <v>376</v>
      </c>
      <c r="X18" s="20">
        <v>381</v>
      </c>
      <c r="Y18" s="4" t="s">
        <v>656</v>
      </c>
      <c r="Z18" s="4"/>
    </row>
    <row r="19" spans="1:26" x14ac:dyDescent="0.3">
      <c r="A19" s="12" t="s">
        <v>708</v>
      </c>
      <c r="B19" s="42">
        <v>18</v>
      </c>
      <c r="C19" s="14">
        <v>46111</v>
      </c>
      <c r="D19" s="13" t="s">
        <v>47</v>
      </c>
      <c r="E19" s="13" t="s">
        <v>700</v>
      </c>
      <c r="F19" s="13" t="s">
        <v>701</v>
      </c>
      <c r="G19" s="47" t="s">
        <v>1240</v>
      </c>
      <c r="H19" s="38" t="s">
        <v>702</v>
      </c>
      <c r="I19" s="13" t="s">
        <v>703</v>
      </c>
      <c r="J19" s="13" t="s">
        <v>704</v>
      </c>
      <c r="K19" s="13" t="s">
        <v>705</v>
      </c>
      <c r="L19" s="13" t="s">
        <v>706</v>
      </c>
      <c r="M19" s="15">
        <v>20331</v>
      </c>
      <c r="N19" s="15">
        <v>19944.710999999999</v>
      </c>
      <c r="O19" s="21">
        <v>11.2</v>
      </c>
      <c r="P19" s="22" t="s">
        <v>707</v>
      </c>
      <c r="Q19" s="21">
        <v>48.19</v>
      </c>
      <c r="R19" s="21">
        <v>9.3000000000000007</v>
      </c>
      <c r="S19" s="22">
        <v>177</v>
      </c>
      <c r="T19" s="22">
        <v>47.97</v>
      </c>
      <c r="U19" s="17">
        <f t="shared" si="0"/>
        <v>386.28900000000067</v>
      </c>
      <c r="V19" s="15"/>
      <c r="W19" s="22">
        <v>251</v>
      </c>
      <c r="X19" s="22">
        <v>268</v>
      </c>
      <c r="Y19" s="13" t="s">
        <v>656</v>
      </c>
      <c r="Z19" s="13"/>
    </row>
    <row r="20" spans="1:26" x14ac:dyDescent="0.3">
      <c r="A20" s="3" t="s">
        <v>709</v>
      </c>
      <c r="B20" s="41">
        <v>19</v>
      </c>
      <c r="C20" s="5">
        <v>46112</v>
      </c>
      <c r="D20" s="4" t="s">
        <v>47</v>
      </c>
      <c r="E20" s="4" t="s">
        <v>700</v>
      </c>
      <c r="F20" s="4" t="s">
        <v>701</v>
      </c>
      <c r="G20" s="46" t="s">
        <v>1240</v>
      </c>
      <c r="H20" s="37" t="s">
        <v>702</v>
      </c>
      <c r="I20" s="4" t="s">
        <v>703</v>
      </c>
      <c r="J20" s="4" t="s">
        <v>704</v>
      </c>
      <c r="K20" s="4" t="s">
        <v>705</v>
      </c>
      <c r="L20" s="4" t="s">
        <v>706</v>
      </c>
      <c r="M20" s="6">
        <v>30780</v>
      </c>
      <c r="N20" s="6">
        <v>30195.18</v>
      </c>
      <c r="O20" s="19">
        <v>11.2</v>
      </c>
      <c r="P20" s="20" t="s">
        <v>707</v>
      </c>
      <c r="Q20" s="19">
        <v>48.19</v>
      </c>
      <c r="R20" s="19">
        <v>9.3000000000000007</v>
      </c>
      <c r="S20" s="20">
        <v>177</v>
      </c>
      <c r="T20" s="20">
        <v>47.97</v>
      </c>
      <c r="U20" s="9">
        <f t="shared" si="0"/>
        <v>584.81999999999971</v>
      </c>
      <c r="V20" s="6"/>
      <c r="W20" s="20">
        <v>380</v>
      </c>
      <c r="X20" s="20">
        <v>413</v>
      </c>
      <c r="Y20" s="4" t="s">
        <v>656</v>
      </c>
      <c r="Z20" s="4"/>
    </row>
    <row r="21" spans="1:26" x14ac:dyDescent="0.3">
      <c r="A21" s="12" t="s">
        <v>710</v>
      </c>
      <c r="B21" s="42">
        <v>20</v>
      </c>
      <c r="C21" s="14">
        <v>46116</v>
      </c>
      <c r="D21" s="13" t="s">
        <v>31</v>
      </c>
      <c r="E21" s="13" t="s">
        <v>711</v>
      </c>
      <c r="F21" s="13" t="s">
        <v>712</v>
      </c>
      <c r="G21" s="47">
        <v>262</v>
      </c>
      <c r="H21" s="38">
        <v>1164</v>
      </c>
      <c r="I21" s="13" t="s">
        <v>274</v>
      </c>
      <c r="J21" s="13" t="s">
        <v>676</v>
      </c>
      <c r="K21" s="13" t="s">
        <v>29</v>
      </c>
      <c r="L21" s="13" t="s">
        <v>175</v>
      </c>
      <c r="M21" s="15">
        <v>32006</v>
      </c>
      <c r="N21" s="15">
        <v>31301.867999999999</v>
      </c>
      <c r="O21" s="21">
        <v>11.6</v>
      </c>
      <c r="P21" s="22">
        <v>168</v>
      </c>
      <c r="Q21" s="21">
        <v>44.97</v>
      </c>
      <c r="R21" s="21">
        <v>9.4</v>
      </c>
      <c r="S21" s="22">
        <v>174</v>
      </c>
      <c r="T21" s="22">
        <v>45.15</v>
      </c>
      <c r="U21" s="17">
        <f t="shared" si="0"/>
        <v>704.13200000000143</v>
      </c>
      <c r="V21" s="15">
        <v>275</v>
      </c>
      <c r="W21" s="22">
        <v>319</v>
      </c>
      <c r="X21" s="22">
        <v>312</v>
      </c>
      <c r="Y21" s="13" t="s">
        <v>666</v>
      </c>
      <c r="Z21" s="13"/>
    </row>
    <row r="22" spans="1:26" x14ac:dyDescent="0.3">
      <c r="A22" s="3" t="s">
        <v>713</v>
      </c>
      <c r="B22" s="41">
        <v>21</v>
      </c>
      <c r="C22" s="5">
        <v>46116</v>
      </c>
      <c r="D22" s="4" t="s">
        <v>31</v>
      </c>
      <c r="E22" s="4" t="s">
        <v>714</v>
      </c>
      <c r="F22" s="4" t="s">
        <v>715</v>
      </c>
      <c r="G22" s="46">
        <v>246253</v>
      </c>
      <c r="H22" s="37">
        <v>1481155</v>
      </c>
      <c r="I22" s="4" t="s">
        <v>716</v>
      </c>
      <c r="J22" s="4" t="s">
        <v>717</v>
      </c>
      <c r="K22" s="4" t="s">
        <v>718</v>
      </c>
      <c r="L22" s="4" t="s">
        <v>719</v>
      </c>
      <c r="M22" s="6">
        <v>35827</v>
      </c>
      <c r="N22" s="6">
        <v>35325.421999999999</v>
      </c>
      <c r="O22" s="19">
        <v>11</v>
      </c>
      <c r="P22" s="20" t="s">
        <v>720</v>
      </c>
      <c r="Q22" s="19">
        <v>44.09</v>
      </c>
      <c r="R22" s="19">
        <v>9.6</v>
      </c>
      <c r="S22" s="20">
        <v>174</v>
      </c>
      <c r="T22" s="20">
        <v>44.35</v>
      </c>
      <c r="U22" s="9">
        <f t="shared" si="0"/>
        <v>501.57800000000134</v>
      </c>
      <c r="V22" s="6">
        <v>291</v>
      </c>
      <c r="W22" s="20">
        <v>423</v>
      </c>
      <c r="X22" s="20">
        <v>433</v>
      </c>
      <c r="Y22" s="4" t="s">
        <v>666</v>
      </c>
      <c r="Z22" s="4"/>
    </row>
    <row r="23" spans="1:26" x14ac:dyDescent="0.3">
      <c r="A23" s="12" t="s">
        <v>721</v>
      </c>
      <c r="B23" s="42">
        <v>22</v>
      </c>
      <c r="C23" s="14">
        <v>46119</v>
      </c>
      <c r="D23" s="13" t="s">
        <v>31</v>
      </c>
      <c r="E23" s="13" t="s">
        <v>714</v>
      </c>
      <c r="F23" s="13" t="s">
        <v>715</v>
      </c>
      <c r="G23" s="47">
        <v>246253</v>
      </c>
      <c r="H23" s="38">
        <v>1481155</v>
      </c>
      <c r="I23" s="13" t="s">
        <v>716</v>
      </c>
      <c r="J23" s="13" t="s">
        <v>717</v>
      </c>
      <c r="K23" s="13" t="s">
        <v>718</v>
      </c>
      <c r="L23" s="13" t="s">
        <v>722</v>
      </c>
      <c r="M23" s="15">
        <v>24223</v>
      </c>
      <c r="N23" s="15">
        <v>23883.878000000001</v>
      </c>
      <c r="O23" s="21">
        <v>11</v>
      </c>
      <c r="P23" s="22" t="s">
        <v>720</v>
      </c>
      <c r="Q23" s="21">
        <v>44.09</v>
      </c>
      <c r="R23" s="21">
        <v>9.6</v>
      </c>
      <c r="S23" s="22">
        <v>174</v>
      </c>
      <c r="T23" s="22">
        <v>44.35</v>
      </c>
      <c r="U23" s="17">
        <f t="shared" si="0"/>
        <v>339.12199999999939</v>
      </c>
      <c r="V23" s="15">
        <v>398</v>
      </c>
      <c r="W23" s="22">
        <v>286</v>
      </c>
      <c r="X23" s="22">
        <v>292</v>
      </c>
      <c r="Y23" s="13" t="s">
        <v>666</v>
      </c>
      <c r="Z23" s="13"/>
    </row>
    <row r="24" spans="1:26" x14ac:dyDescent="0.3">
      <c r="A24" s="3" t="s">
        <v>723</v>
      </c>
      <c r="B24" s="41">
        <v>23</v>
      </c>
      <c r="C24" s="5">
        <v>46121</v>
      </c>
      <c r="D24" s="4" t="s">
        <v>31</v>
      </c>
      <c r="E24" s="4" t="s">
        <v>714</v>
      </c>
      <c r="F24" s="4" t="s">
        <v>715</v>
      </c>
      <c r="G24" s="46">
        <v>246253</v>
      </c>
      <c r="H24" s="37">
        <v>1481155</v>
      </c>
      <c r="I24" s="4" t="s">
        <v>716</v>
      </c>
      <c r="J24" s="4" t="s">
        <v>717</v>
      </c>
      <c r="K24" s="4" t="s">
        <v>718</v>
      </c>
      <c r="L24" s="4" t="s">
        <v>722</v>
      </c>
      <c r="M24" s="6">
        <v>44466</v>
      </c>
      <c r="N24" s="6">
        <v>43843.476000000002</v>
      </c>
      <c r="O24" s="19">
        <v>11</v>
      </c>
      <c r="P24" s="20" t="s">
        <v>720</v>
      </c>
      <c r="Q24" s="19">
        <v>44.09</v>
      </c>
      <c r="R24" s="19">
        <v>9.6</v>
      </c>
      <c r="S24" s="20">
        <v>174</v>
      </c>
      <c r="T24" s="20">
        <v>44.35</v>
      </c>
      <c r="U24" s="9">
        <f t="shared" si="0"/>
        <v>622.52399999999761</v>
      </c>
      <c r="V24" s="6">
        <v>177</v>
      </c>
      <c r="W24" s="20">
        <v>525</v>
      </c>
      <c r="X24" s="20">
        <v>518</v>
      </c>
      <c r="Y24" s="4" t="s">
        <v>666</v>
      </c>
      <c r="Z24" s="4"/>
    </row>
    <row r="25" spans="1:26" x14ac:dyDescent="0.3">
      <c r="A25" s="12" t="s">
        <v>724</v>
      </c>
      <c r="B25" s="42">
        <v>24</v>
      </c>
      <c r="C25" s="14">
        <v>46125</v>
      </c>
      <c r="D25" s="13" t="s">
        <v>47</v>
      </c>
      <c r="E25" s="13" t="s">
        <v>725</v>
      </c>
      <c r="F25" s="13" t="s">
        <v>726</v>
      </c>
      <c r="G25" s="47">
        <v>315</v>
      </c>
      <c r="H25" s="38">
        <v>1117</v>
      </c>
      <c r="I25" s="13"/>
      <c r="J25" s="13" t="s">
        <v>727</v>
      </c>
      <c r="K25" s="13" t="s">
        <v>147</v>
      </c>
      <c r="L25" s="13" t="s">
        <v>149</v>
      </c>
      <c r="M25" s="15">
        <v>19100</v>
      </c>
      <c r="N25" s="15">
        <v>18507.900000000001</v>
      </c>
      <c r="O25" s="21">
        <v>13.3</v>
      </c>
      <c r="P25" s="22">
        <v>161</v>
      </c>
      <c r="Q25" s="21">
        <v>42.51</v>
      </c>
      <c r="R25" s="21">
        <v>10.199999999999999</v>
      </c>
      <c r="S25" s="22">
        <v>169</v>
      </c>
      <c r="T25" s="22">
        <v>42.15</v>
      </c>
      <c r="U25" s="17">
        <f t="shared" si="0"/>
        <v>592.09999999999854</v>
      </c>
      <c r="V25" s="15">
        <v>543</v>
      </c>
      <c r="W25" s="22">
        <v>232</v>
      </c>
      <c r="X25" s="22">
        <v>228</v>
      </c>
      <c r="Y25" s="13" t="s">
        <v>666</v>
      </c>
      <c r="Z25" s="13"/>
    </row>
    <row r="26" spans="1:26" x14ac:dyDescent="0.3">
      <c r="A26" s="3" t="s">
        <v>728</v>
      </c>
      <c r="B26" s="41">
        <v>25</v>
      </c>
      <c r="C26" s="5">
        <v>46141</v>
      </c>
      <c r="D26" s="4" t="s">
        <v>31</v>
      </c>
      <c r="E26" s="4" t="s">
        <v>729</v>
      </c>
      <c r="F26" s="4" t="s">
        <v>730</v>
      </c>
      <c r="G26" s="46">
        <v>415</v>
      </c>
      <c r="H26" s="37">
        <v>367</v>
      </c>
      <c r="I26" s="4" t="s">
        <v>731</v>
      </c>
      <c r="J26" s="4" t="s">
        <v>685</v>
      </c>
      <c r="K26" s="4" t="s">
        <v>45</v>
      </c>
      <c r="L26" s="4" t="s">
        <v>171</v>
      </c>
      <c r="M26" s="6">
        <v>32868</v>
      </c>
      <c r="N26" s="6">
        <v>31914.828000000001</v>
      </c>
      <c r="O26" s="19">
        <v>12.3</v>
      </c>
      <c r="P26" s="20">
        <v>163</v>
      </c>
      <c r="Q26" s="19">
        <v>42.50517</v>
      </c>
      <c r="R26" s="19">
        <v>9.4</v>
      </c>
      <c r="S26" s="20">
        <v>174</v>
      </c>
      <c r="T26" s="20">
        <v>43.03</v>
      </c>
      <c r="U26" s="9">
        <f t="shared" si="0"/>
        <v>953.17199999999866</v>
      </c>
      <c r="V26" s="6">
        <v>87</v>
      </c>
      <c r="W26" s="20">
        <v>432</v>
      </c>
      <c r="X26" s="20">
        <v>439</v>
      </c>
      <c r="Y26" s="4" t="s">
        <v>666</v>
      </c>
      <c r="Z26" s="4"/>
    </row>
    <row r="27" spans="1:26" x14ac:dyDescent="0.3">
      <c r="A27" s="12" t="s">
        <v>732</v>
      </c>
      <c r="B27" s="42">
        <v>26</v>
      </c>
      <c r="C27" s="14">
        <v>46142</v>
      </c>
      <c r="D27" s="13" t="s">
        <v>31</v>
      </c>
      <c r="E27" s="13" t="s">
        <v>366</v>
      </c>
      <c r="F27" s="13" t="s">
        <v>733</v>
      </c>
      <c r="G27" s="47">
        <v>429</v>
      </c>
      <c r="H27" s="38">
        <v>381</v>
      </c>
      <c r="I27" s="13" t="s">
        <v>179</v>
      </c>
      <c r="J27" s="13" t="s">
        <v>734</v>
      </c>
      <c r="K27" s="13" t="s">
        <v>34</v>
      </c>
      <c r="L27" s="13" t="s">
        <v>216</v>
      </c>
      <c r="M27" s="15">
        <v>22180</v>
      </c>
      <c r="N27" s="15">
        <v>21558</v>
      </c>
      <c r="O27" s="21">
        <v>11.6</v>
      </c>
      <c r="P27" s="22">
        <v>162</v>
      </c>
      <c r="Q27" s="21">
        <v>41.27</v>
      </c>
      <c r="R27" s="21">
        <v>10.4</v>
      </c>
      <c r="S27" s="22">
        <v>168</v>
      </c>
      <c r="T27" s="22">
        <v>41.79</v>
      </c>
      <c r="U27" s="17">
        <f t="shared" si="0"/>
        <v>622</v>
      </c>
      <c r="V27" s="15">
        <v>127</v>
      </c>
      <c r="W27" s="22">
        <v>250</v>
      </c>
      <c r="X27" s="22">
        <v>276</v>
      </c>
      <c r="Y27" s="13" t="s">
        <v>666</v>
      </c>
      <c r="Z27" s="13"/>
    </row>
    <row r="28" spans="1:26" x14ac:dyDescent="0.3">
      <c r="A28" s="3" t="s">
        <v>735</v>
      </c>
      <c r="B28" s="41">
        <v>27</v>
      </c>
      <c r="C28" s="5">
        <v>46146</v>
      </c>
      <c r="D28" s="4" t="s">
        <v>47</v>
      </c>
      <c r="E28" s="4" t="s">
        <v>725</v>
      </c>
      <c r="F28" s="4" t="s">
        <v>726</v>
      </c>
      <c r="G28" s="46">
        <v>407</v>
      </c>
      <c r="H28" s="37">
        <v>359</v>
      </c>
      <c r="I28" s="4" t="s">
        <v>736</v>
      </c>
      <c r="J28" s="4" t="s">
        <v>727</v>
      </c>
      <c r="K28" s="4" t="s">
        <v>147</v>
      </c>
      <c r="L28" s="4" t="s">
        <v>149</v>
      </c>
      <c r="M28" s="6">
        <v>16214</v>
      </c>
      <c r="N28" s="6">
        <v>15889</v>
      </c>
      <c r="O28" s="19">
        <v>11.6</v>
      </c>
      <c r="P28" s="20">
        <v>175</v>
      </c>
      <c r="Q28" s="19">
        <v>42.15</v>
      </c>
      <c r="R28" s="19">
        <v>10</v>
      </c>
      <c r="S28" s="20">
        <v>179</v>
      </c>
      <c r="T28" s="20">
        <v>42.5</v>
      </c>
      <c r="U28" s="9">
        <f t="shared" si="0"/>
        <v>325</v>
      </c>
      <c r="V28" s="6">
        <v>115</v>
      </c>
      <c r="W28" s="20">
        <v>210</v>
      </c>
      <c r="X28" s="20">
        <v>221</v>
      </c>
      <c r="Y28" s="4" t="s">
        <v>666</v>
      </c>
      <c r="Z28" s="4"/>
    </row>
    <row r="29" spans="1:26" x14ac:dyDescent="0.3">
      <c r="A29" s="12" t="s">
        <v>737</v>
      </c>
      <c r="B29" s="42">
        <v>28</v>
      </c>
      <c r="C29" s="14">
        <v>46147</v>
      </c>
      <c r="D29" s="13" t="s">
        <v>31</v>
      </c>
      <c r="E29" s="13" t="s">
        <v>366</v>
      </c>
      <c r="F29" s="13" t="s">
        <v>733</v>
      </c>
      <c r="G29" s="47" t="s">
        <v>1241</v>
      </c>
      <c r="H29" s="38">
        <v>289353</v>
      </c>
      <c r="I29" s="13" t="s">
        <v>105</v>
      </c>
      <c r="J29" s="13" t="s">
        <v>738</v>
      </c>
      <c r="K29" s="13" t="s">
        <v>116</v>
      </c>
      <c r="L29" s="13" t="s">
        <v>118</v>
      </c>
      <c r="M29" s="15">
        <v>27370</v>
      </c>
      <c r="N29" s="15">
        <v>26540</v>
      </c>
      <c r="O29" s="21">
        <v>11.9</v>
      </c>
      <c r="P29" s="22">
        <v>166</v>
      </c>
      <c r="Q29" s="21">
        <v>41.09</v>
      </c>
      <c r="R29" s="21">
        <v>9.6999999999999993</v>
      </c>
      <c r="S29" s="22">
        <v>169</v>
      </c>
      <c r="T29" s="22">
        <v>42.06</v>
      </c>
      <c r="U29" s="17">
        <f t="shared" si="0"/>
        <v>830</v>
      </c>
      <c r="V29" s="15">
        <v>122</v>
      </c>
      <c r="W29" s="22">
        <v>322</v>
      </c>
      <c r="X29" s="22">
        <v>319</v>
      </c>
      <c r="Y29" s="13" t="s">
        <v>666</v>
      </c>
      <c r="Z29" s="13"/>
    </row>
    <row r="30" spans="1:26" x14ac:dyDescent="0.3">
      <c r="A30" s="3" t="s">
        <v>739</v>
      </c>
      <c r="B30" s="41">
        <v>29</v>
      </c>
      <c r="C30" s="5">
        <v>46148</v>
      </c>
      <c r="D30" s="4" t="s">
        <v>31</v>
      </c>
      <c r="E30" s="4" t="s">
        <v>366</v>
      </c>
      <c r="F30" s="4" t="s">
        <v>733</v>
      </c>
      <c r="G30" s="46">
        <v>453</v>
      </c>
      <c r="H30" s="37">
        <v>305</v>
      </c>
      <c r="I30" s="4" t="s">
        <v>46</v>
      </c>
      <c r="J30" s="4" t="s">
        <v>740</v>
      </c>
      <c r="K30" s="4" t="s">
        <v>55</v>
      </c>
      <c r="L30" s="4" t="s">
        <v>153</v>
      </c>
      <c r="M30" s="6">
        <v>27572</v>
      </c>
      <c r="N30" s="6">
        <v>26883</v>
      </c>
      <c r="O30" s="19">
        <v>14</v>
      </c>
      <c r="P30" s="20">
        <v>181</v>
      </c>
      <c r="Q30" s="19">
        <v>42.15</v>
      </c>
      <c r="R30" s="19">
        <v>12.1</v>
      </c>
      <c r="S30" s="20"/>
      <c r="T30" s="20"/>
      <c r="U30" s="9">
        <f t="shared" si="0"/>
        <v>689</v>
      </c>
      <c r="V30" s="6">
        <v>146</v>
      </c>
      <c r="W30" s="20">
        <v>335</v>
      </c>
      <c r="X30" s="20">
        <v>351</v>
      </c>
      <c r="Y30" s="4" t="s">
        <v>666</v>
      </c>
      <c r="Z30" s="4"/>
    </row>
    <row r="31" spans="1:26" x14ac:dyDescent="0.3">
      <c r="A31" s="12" t="s">
        <v>741</v>
      </c>
      <c r="B31" s="42">
        <v>30</v>
      </c>
      <c r="C31" s="14">
        <v>46150</v>
      </c>
      <c r="D31" s="13" t="s">
        <v>31</v>
      </c>
      <c r="E31" s="13" t="s">
        <v>366</v>
      </c>
      <c r="F31" s="13" t="s">
        <v>733</v>
      </c>
      <c r="G31" s="47">
        <v>453</v>
      </c>
      <c r="H31" s="38">
        <v>305</v>
      </c>
      <c r="I31" s="13" t="s">
        <v>46</v>
      </c>
      <c r="J31" s="13" t="s">
        <v>740</v>
      </c>
      <c r="K31" s="13" t="s">
        <v>55</v>
      </c>
      <c r="L31" s="13" t="s">
        <v>153</v>
      </c>
      <c r="M31" s="15">
        <v>26470</v>
      </c>
      <c r="N31" s="15">
        <v>25862</v>
      </c>
      <c r="O31" s="21">
        <v>12.1</v>
      </c>
      <c r="P31" s="22">
        <v>181</v>
      </c>
      <c r="Q31" s="21">
        <v>42.15</v>
      </c>
      <c r="R31" s="21">
        <v>9.8000000000000007</v>
      </c>
      <c r="S31" s="22">
        <v>185</v>
      </c>
      <c r="T31" s="22">
        <v>43.21</v>
      </c>
      <c r="U31" s="17">
        <f t="shared" si="0"/>
        <v>608</v>
      </c>
      <c r="V31" s="15"/>
      <c r="W31" s="22">
        <v>351</v>
      </c>
      <c r="X31" s="22">
        <v>352</v>
      </c>
      <c r="Y31" s="13" t="s">
        <v>656</v>
      </c>
      <c r="Z31" s="13"/>
    </row>
  </sheetData>
  <autoFilter ref="A1:Z31" xr:uid="{00000000-0009-0000-0000-000004000000}"/>
  <pageMargins left="0.7" right="0.7" top="0.75" bottom="0.75" header="0.3" footer="0.3"/>
  <pageSetup orientation="portrait" horizontalDpi="4294967295" verticalDpi="429496729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8F37"/>
  </sheetPr>
  <dimension ref="A1:AN28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14" customWidth="1"/>
    <col min="2" max="2" width="5.6640625" bestFit="1" customWidth="1"/>
    <col min="3" max="3" width="14" customWidth="1"/>
    <col min="4" max="4" width="17.109375" bestFit="1" customWidth="1"/>
    <col min="5" max="5" width="26" customWidth="1"/>
    <col min="6" max="10" width="14" customWidth="1"/>
    <col min="11" max="11" width="18.6640625" bestFit="1" customWidth="1"/>
    <col min="12" max="14" width="14" customWidth="1"/>
    <col min="15" max="15" width="13.21875" bestFit="1" customWidth="1"/>
    <col min="16" max="16" width="15.33203125" bestFit="1" customWidth="1"/>
    <col min="17" max="20" width="14" customWidth="1"/>
    <col min="21" max="22" width="26" customWidth="1"/>
    <col min="23" max="40" width="14" customWidth="1"/>
  </cols>
  <sheetData>
    <row r="1" spans="1:40" s="1" customFormat="1" ht="34.049999999999997" customHeight="1" x14ac:dyDescent="0.3">
      <c r="A1" s="2" t="s">
        <v>378</v>
      </c>
      <c r="B1" s="2" t="s">
        <v>379</v>
      </c>
      <c r="C1" s="2" t="s">
        <v>742</v>
      </c>
      <c r="D1" s="2" t="s">
        <v>743</v>
      </c>
      <c r="E1" s="2" t="s">
        <v>92</v>
      </c>
      <c r="F1" s="2" t="s">
        <v>383</v>
      </c>
      <c r="G1" s="2" t="s">
        <v>380</v>
      </c>
      <c r="H1" s="2" t="s">
        <v>744</v>
      </c>
      <c r="I1" s="2" t="s">
        <v>745</v>
      </c>
      <c r="J1" s="2" t="s">
        <v>71</v>
      </c>
      <c r="K1" s="2" t="s">
        <v>68</v>
      </c>
      <c r="L1" s="2" t="s">
        <v>746</v>
      </c>
      <c r="M1" s="2" t="s">
        <v>747</v>
      </c>
      <c r="N1" s="2" t="s">
        <v>748</v>
      </c>
      <c r="O1" s="2" t="s">
        <v>384</v>
      </c>
      <c r="P1" s="2" t="s">
        <v>385</v>
      </c>
      <c r="Q1" s="2" t="s">
        <v>749</v>
      </c>
      <c r="R1" s="2" t="s">
        <v>750</v>
      </c>
      <c r="S1" s="2" t="s">
        <v>78</v>
      </c>
      <c r="T1" s="2" t="s">
        <v>80</v>
      </c>
      <c r="U1" s="2" t="s">
        <v>535</v>
      </c>
      <c r="V1" s="2" t="s">
        <v>751</v>
      </c>
      <c r="W1" s="2" t="s">
        <v>555</v>
      </c>
      <c r="X1" s="2" t="s">
        <v>560</v>
      </c>
      <c r="Y1" s="2" t="s">
        <v>554</v>
      </c>
      <c r="Z1" s="2" t="s">
        <v>752</v>
      </c>
      <c r="AA1" s="2" t="s">
        <v>556</v>
      </c>
      <c r="AB1" s="2" t="s">
        <v>557</v>
      </c>
      <c r="AC1" s="2" t="s">
        <v>558</v>
      </c>
      <c r="AD1" s="2" t="s">
        <v>753</v>
      </c>
      <c r="AE1" s="2" t="s">
        <v>74</v>
      </c>
      <c r="AF1" s="2" t="s">
        <v>754</v>
      </c>
      <c r="AG1" s="2" t="s">
        <v>755</v>
      </c>
      <c r="AH1" s="2" t="s">
        <v>756</v>
      </c>
      <c r="AI1" s="2" t="s">
        <v>757</v>
      </c>
      <c r="AJ1" s="2" t="s">
        <v>72</v>
      </c>
      <c r="AK1" s="2" t="s">
        <v>73</v>
      </c>
      <c r="AL1" s="2" t="s">
        <v>559</v>
      </c>
      <c r="AM1" s="2" t="s">
        <v>758</v>
      </c>
      <c r="AN1" s="2" t="s">
        <v>572</v>
      </c>
    </row>
    <row r="2" spans="1:40" x14ac:dyDescent="0.3">
      <c r="A2" s="3" t="s">
        <v>759</v>
      </c>
      <c r="B2" s="41">
        <v>1</v>
      </c>
      <c r="C2" s="5">
        <v>46098</v>
      </c>
      <c r="D2" s="43" t="s">
        <v>760</v>
      </c>
      <c r="E2" s="4"/>
      <c r="F2" s="4" t="s">
        <v>432</v>
      </c>
      <c r="G2" s="4" t="s">
        <v>47</v>
      </c>
      <c r="H2" s="4" t="s">
        <v>761</v>
      </c>
      <c r="I2" s="4" t="s">
        <v>762</v>
      </c>
      <c r="J2" s="4" t="s">
        <v>46</v>
      </c>
      <c r="K2" s="37" t="s">
        <v>763</v>
      </c>
      <c r="L2" s="4" t="s">
        <v>764</v>
      </c>
      <c r="M2" s="4" t="s">
        <v>765</v>
      </c>
      <c r="N2" s="4">
        <v>715347075</v>
      </c>
      <c r="O2" s="37">
        <v>951</v>
      </c>
      <c r="P2" s="37">
        <v>51505</v>
      </c>
      <c r="Q2" s="20">
        <v>951</v>
      </c>
      <c r="R2" s="6">
        <v>590</v>
      </c>
      <c r="S2" s="6">
        <v>48880</v>
      </c>
      <c r="T2" s="6">
        <v>48290</v>
      </c>
      <c r="U2" s="11" t="s">
        <v>766</v>
      </c>
      <c r="V2" s="11" t="s">
        <v>767</v>
      </c>
      <c r="W2" s="20">
        <v>20</v>
      </c>
      <c r="X2" s="20">
        <v>53</v>
      </c>
      <c r="Y2" s="20">
        <v>4</v>
      </c>
      <c r="Z2" s="26">
        <f t="shared" ref="Z2:Z28" si="0">IF(COUNTA(W2:Y2)=0,"",SUM(W2:Y2))</f>
        <v>77</v>
      </c>
      <c r="AA2" s="20">
        <v>243</v>
      </c>
      <c r="AB2" s="4">
        <v>4</v>
      </c>
      <c r="AC2" s="4">
        <v>22</v>
      </c>
      <c r="AD2" s="26">
        <f t="shared" ref="AD2:AD28" si="1">IF(COUNTA(AA2:AC2)=0,"",SUM(AA2:AC2))</f>
        <v>269</v>
      </c>
      <c r="AE2" s="26">
        <f t="shared" ref="AE2:AE28" si="2">IF(COUNTA(AA2:AC2)&lt;3,"",(AA2+0.5*(AB2+AC2))*0.17637)</f>
        <v>45.15072</v>
      </c>
      <c r="AF2" s="26">
        <f t="shared" ref="AF2:AF28" si="3">IF(AD2="","",AD2*0.17637)</f>
        <v>47.443530000000003</v>
      </c>
      <c r="AG2" s="26">
        <f t="shared" ref="AG2:AG28" si="4">IF(COUNTA(Y2,W2,AA2:AC2)=0,"",(Y2+W2+AA2+AB2+AC2)*0.17637)</f>
        <v>51.676409999999997</v>
      </c>
      <c r="AH2" s="27">
        <f t="shared" ref="AH2:AH28" si="5">IF(AD2="","",AD2/1000)</f>
        <v>0.26900000000000002</v>
      </c>
      <c r="AI2" s="27">
        <f t="shared" ref="AI2:AI28" si="6">IF(COUNTA(W2,Y2,AA2:AC2)=0,"",SUM(W2,Y2,AA2:AC2)/1000)</f>
        <v>0.29299999999999998</v>
      </c>
      <c r="AJ2" s="19">
        <v>8.8000000000000007</v>
      </c>
      <c r="AK2" s="20">
        <v>172</v>
      </c>
      <c r="AL2" s="20">
        <v>647</v>
      </c>
      <c r="AM2" s="20">
        <v>45.15072</v>
      </c>
      <c r="AN2" s="30">
        <f t="shared" ref="AN2:AN28" si="7">IF(OR(AE2="",AM2=""),"",AE2-AM2)</f>
        <v>0</v>
      </c>
    </row>
    <row r="3" spans="1:40" x14ac:dyDescent="0.3">
      <c r="A3" s="12" t="s">
        <v>768</v>
      </c>
      <c r="B3" s="42">
        <v>2</v>
      </c>
      <c r="C3" s="14">
        <v>46098</v>
      </c>
      <c r="D3" s="44" t="s">
        <v>769</v>
      </c>
      <c r="E3" s="13"/>
      <c r="F3" s="13" t="s">
        <v>432</v>
      </c>
      <c r="G3" s="13" t="s">
        <v>47</v>
      </c>
      <c r="H3" s="13" t="s">
        <v>761</v>
      </c>
      <c r="I3" s="13" t="s">
        <v>762</v>
      </c>
      <c r="J3" s="13" t="s">
        <v>46</v>
      </c>
      <c r="K3" s="38" t="s">
        <v>770</v>
      </c>
      <c r="L3" s="13" t="s">
        <v>771</v>
      </c>
      <c r="M3" s="13" t="s">
        <v>772</v>
      </c>
      <c r="N3" s="13">
        <v>504367884</v>
      </c>
      <c r="O3" s="38">
        <v>952</v>
      </c>
      <c r="P3" s="38">
        <v>51506</v>
      </c>
      <c r="Q3" s="22">
        <v>952</v>
      </c>
      <c r="R3" s="15">
        <v>590</v>
      </c>
      <c r="S3" s="15">
        <v>48680</v>
      </c>
      <c r="T3" s="15">
        <v>48090</v>
      </c>
      <c r="U3" s="11" t="s">
        <v>766</v>
      </c>
      <c r="V3" s="11" t="s">
        <v>767</v>
      </c>
      <c r="W3" s="22">
        <v>12</v>
      </c>
      <c r="X3" s="22">
        <v>62</v>
      </c>
      <c r="Y3" s="22">
        <v>0</v>
      </c>
      <c r="Z3" s="28">
        <f t="shared" si="0"/>
        <v>74</v>
      </c>
      <c r="AA3" s="22">
        <v>247</v>
      </c>
      <c r="AB3" s="13">
        <v>4</v>
      </c>
      <c r="AC3" s="13">
        <v>20</v>
      </c>
      <c r="AD3" s="28">
        <f t="shared" si="1"/>
        <v>271</v>
      </c>
      <c r="AE3" s="28">
        <f t="shared" si="2"/>
        <v>45.679830000000003</v>
      </c>
      <c r="AF3" s="28">
        <f t="shared" si="3"/>
        <v>47.79627</v>
      </c>
      <c r="AG3" s="28">
        <f t="shared" si="4"/>
        <v>49.912709999999997</v>
      </c>
      <c r="AH3" s="29">
        <f t="shared" si="5"/>
        <v>0.27100000000000002</v>
      </c>
      <c r="AI3" s="29">
        <f t="shared" si="6"/>
        <v>0.28299999999999997</v>
      </c>
      <c r="AJ3" s="21">
        <v>9.1999999999999993</v>
      </c>
      <c r="AK3" s="22">
        <v>171</v>
      </c>
      <c r="AL3" s="22">
        <v>648</v>
      </c>
      <c r="AM3" s="22">
        <v>45.679830000000003</v>
      </c>
      <c r="AN3" s="30">
        <f t="shared" si="7"/>
        <v>0</v>
      </c>
    </row>
    <row r="4" spans="1:40" x14ac:dyDescent="0.3">
      <c r="A4" s="3" t="s">
        <v>773</v>
      </c>
      <c r="B4" s="41">
        <v>3</v>
      </c>
      <c r="C4" s="5">
        <v>46098</v>
      </c>
      <c r="D4" s="43" t="s">
        <v>774</v>
      </c>
      <c r="E4" s="4"/>
      <c r="F4" s="4" t="s">
        <v>432</v>
      </c>
      <c r="G4" s="4" t="s">
        <v>47</v>
      </c>
      <c r="H4" s="4" t="s">
        <v>761</v>
      </c>
      <c r="I4" s="4" t="s">
        <v>267</v>
      </c>
      <c r="J4" s="4" t="s">
        <v>46</v>
      </c>
      <c r="K4" s="37" t="s">
        <v>775</v>
      </c>
      <c r="L4" s="4" t="s">
        <v>771</v>
      </c>
      <c r="M4" s="4" t="s">
        <v>776</v>
      </c>
      <c r="N4" s="4">
        <v>709456630</v>
      </c>
      <c r="O4" s="37">
        <v>953</v>
      </c>
      <c r="P4" s="37">
        <v>51507</v>
      </c>
      <c r="Q4" s="20">
        <v>953</v>
      </c>
      <c r="R4" s="6">
        <v>523</v>
      </c>
      <c r="S4" s="6">
        <v>42140</v>
      </c>
      <c r="T4" s="6">
        <v>41617</v>
      </c>
      <c r="U4" s="11" t="s">
        <v>766</v>
      </c>
      <c r="V4" s="11" t="s">
        <v>767</v>
      </c>
      <c r="W4" s="20">
        <v>18</v>
      </c>
      <c r="X4" s="20">
        <v>48</v>
      </c>
      <c r="Y4" s="20">
        <v>0</v>
      </c>
      <c r="Z4" s="26">
        <f t="shared" si="0"/>
        <v>66</v>
      </c>
      <c r="AA4" s="20">
        <v>252</v>
      </c>
      <c r="AB4" s="4">
        <v>4</v>
      </c>
      <c r="AC4" s="4">
        <v>24</v>
      </c>
      <c r="AD4" s="26">
        <f t="shared" si="1"/>
        <v>280</v>
      </c>
      <c r="AE4" s="26">
        <f t="shared" si="2"/>
        <v>46.91442</v>
      </c>
      <c r="AF4" s="26">
        <f t="shared" si="3"/>
        <v>49.383600000000001</v>
      </c>
      <c r="AG4" s="26">
        <f t="shared" si="4"/>
        <v>52.558259999999997</v>
      </c>
      <c r="AH4" s="27">
        <f t="shared" si="5"/>
        <v>0.28000000000000003</v>
      </c>
      <c r="AI4" s="27">
        <f t="shared" si="6"/>
        <v>0.29799999999999999</v>
      </c>
      <c r="AJ4" s="19">
        <v>9.3000000000000007</v>
      </c>
      <c r="AK4" s="20">
        <v>177</v>
      </c>
      <c r="AL4" s="20">
        <v>649</v>
      </c>
      <c r="AM4" s="20">
        <v>46.91442</v>
      </c>
      <c r="AN4" s="30">
        <f t="shared" si="7"/>
        <v>0</v>
      </c>
    </row>
    <row r="5" spans="1:40" x14ac:dyDescent="0.3">
      <c r="A5" s="12" t="s">
        <v>777</v>
      </c>
      <c r="B5" s="42">
        <v>4</v>
      </c>
      <c r="C5" s="14">
        <v>46099</v>
      </c>
      <c r="D5" s="44" t="s">
        <v>778</v>
      </c>
      <c r="E5" s="13"/>
      <c r="F5" s="13" t="s">
        <v>432</v>
      </c>
      <c r="G5" s="13" t="s">
        <v>47</v>
      </c>
      <c r="H5" s="13" t="s">
        <v>761</v>
      </c>
      <c r="I5" s="13" t="s">
        <v>762</v>
      </c>
      <c r="J5" s="13" t="s">
        <v>46</v>
      </c>
      <c r="K5" s="38" t="s">
        <v>779</v>
      </c>
      <c r="L5" s="13" t="s">
        <v>771</v>
      </c>
      <c r="M5" s="13" t="s">
        <v>780</v>
      </c>
      <c r="N5" s="13">
        <v>586985450</v>
      </c>
      <c r="O5" s="38">
        <v>954</v>
      </c>
      <c r="P5" s="38">
        <v>51508</v>
      </c>
      <c r="Q5" s="22">
        <v>954</v>
      </c>
      <c r="R5" s="15">
        <v>526</v>
      </c>
      <c r="S5" s="15">
        <v>41420</v>
      </c>
      <c r="T5" s="15">
        <v>40894</v>
      </c>
      <c r="U5" s="11" t="s">
        <v>766</v>
      </c>
      <c r="V5" s="11" t="s">
        <v>767</v>
      </c>
      <c r="W5" s="22">
        <v>12</v>
      </c>
      <c r="X5" s="22">
        <v>57</v>
      </c>
      <c r="Y5" s="22">
        <v>6</v>
      </c>
      <c r="Z5" s="28">
        <f t="shared" si="0"/>
        <v>75</v>
      </c>
      <c r="AA5" s="22">
        <v>248</v>
      </c>
      <c r="AB5" s="13">
        <v>4</v>
      </c>
      <c r="AC5" s="13">
        <v>16</v>
      </c>
      <c r="AD5" s="28">
        <f t="shared" si="1"/>
        <v>268</v>
      </c>
      <c r="AE5" s="28">
        <f t="shared" si="2"/>
        <v>45.503459999999997</v>
      </c>
      <c r="AF5" s="28">
        <f t="shared" si="3"/>
        <v>47.267159999999997</v>
      </c>
      <c r="AG5" s="28">
        <f t="shared" si="4"/>
        <v>50.44182</v>
      </c>
      <c r="AH5" s="29">
        <f t="shared" si="5"/>
        <v>0.26800000000000002</v>
      </c>
      <c r="AI5" s="29">
        <f t="shared" si="6"/>
        <v>0.28599999999999998</v>
      </c>
      <c r="AJ5" s="21">
        <v>8</v>
      </c>
      <c r="AK5" s="22">
        <v>171</v>
      </c>
      <c r="AL5" s="22">
        <v>653</v>
      </c>
      <c r="AM5" s="22">
        <v>45.503459999999997</v>
      </c>
      <c r="AN5" s="30">
        <f t="shared" si="7"/>
        <v>0</v>
      </c>
    </row>
    <row r="6" spans="1:40" x14ac:dyDescent="0.3">
      <c r="A6" s="3" t="s">
        <v>781</v>
      </c>
      <c r="B6" s="41">
        <v>5</v>
      </c>
      <c r="C6" s="5">
        <v>46099</v>
      </c>
      <c r="D6" s="43" t="s">
        <v>782</v>
      </c>
      <c r="E6" s="4"/>
      <c r="F6" s="4" t="s">
        <v>432</v>
      </c>
      <c r="G6" s="4" t="s">
        <v>783</v>
      </c>
      <c r="H6" s="4" t="s">
        <v>784</v>
      </c>
      <c r="I6" s="4" t="s">
        <v>783</v>
      </c>
      <c r="J6" s="4" t="s">
        <v>46</v>
      </c>
      <c r="K6" s="37" t="s">
        <v>785</v>
      </c>
      <c r="L6" s="4" t="s">
        <v>771</v>
      </c>
      <c r="M6" s="4" t="s">
        <v>786</v>
      </c>
      <c r="N6" s="4">
        <v>171714514</v>
      </c>
      <c r="O6" s="37">
        <v>955</v>
      </c>
      <c r="P6" s="37">
        <v>52047</v>
      </c>
      <c r="Q6" s="20">
        <v>955</v>
      </c>
      <c r="R6" s="6">
        <v>592</v>
      </c>
      <c r="S6" s="6">
        <v>50760</v>
      </c>
      <c r="T6" s="6">
        <v>50168</v>
      </c>
      <c r="U6" s="11" t="s">
        <v>766</v>
      </c>
      <c r="V6" s="11" t="s">
        <v>767</v>
      </c>
      <c r="W6" s="20">
        <v>11</v>
      </c>
      <c r="X6" s="20">
        <v>59</v>
      </c>
      <c r="Y6" s="20">
        <v>0</v>
      </c>
      <c r="Z6" s="26">
        <f t="shared" si="0"/>
        <v>70</v>
      </c>
      <c r="AA6" s="20">
        <v>251</v>
      </c>
      <c r="AB6" s="4">
        <v>2</v>
      </c>
      <c r="AC6" s="4">
        <v>18</v>
      </c>
      <c r="AD6" s="26">
        <f t="shared" si="1"/>
        <v>271</v>
      </c>
      <c r="AE6" s="26">
        <f t="shared" si="2"/>
        <v>46.03257</v>
      </c>
      <c r="AF6" s="26">
        <f t="shared" si="3"/>
        <v>47.79627</v>
      </c>
      <c r="AG6" s="26">
        <f t="shared" si="4"/>
        <v>49.736339999999998</v>
      </c>
      <c r="AH6" s="27">
        <f t="shared" si="5"/>
        <v>0.27100000000000002</v>
      </c>
      <c r="AI6" s="27">
        <f t="shared" si="6"/>
        <v>0.28199999999999997</v>
      </c>
      <c r="AJ6" s="19">
        <v>12</v>
      </c>
      <c r="AK6" s="20">
        <v>155</v>
      </c>
      <c r="AL6" s="20">
        <v>653</v>
      </c>
      <c r="AM6" s="20">
        <v>46.03257</v>
      </c>
      <c r="AN6" s="30">
        <f t="shared" si="7"/>
        <v>0</v>
      </c>
    </row>
    <row r="7" spans="1:40" x14ac:dyDescent="0.3">
      <c r="A7" s="12" t="s">
        <v>787</v>
      </c>
      <c r="B7" s="42">
        <v>6</v>
      </c>
      <c r="C7" s="14">
        <v>46104</v>
      </c>
      <c r="D7" s="44" t="s">
        <v>788</v>
      </c>
      <c r="E7" s="13"/>
      <c r="F7" s="13" t="s">
        <v>432</v>
      </c>
      <c r="G7" s="13" t="s">
        <v>789</v>
      </c>
      <c r="H7" s="13" t="s">
        <v>784</v>
      </c>
      <c r="I7" s="13" t="s">
        <v>789</v>
      </c>
      <c r="J7" s="13" t="s">
        <v>46</v>
      </c>
      <c r="K7" s="38" t="s">
        <v>790</v>
      </c>
      <c r="L7" s="13" t="s">
        <v>771</v>
      </c>
      <c r="M7" s="13" t="s">
        <v>791</v>
      </c>
      <c r="N7" s="13">
        <v>715464786</v>
      </c>
      <c r="O7" s="38">
        <v>956</v>
      </c>
      <c r="P7" s="38">
        <v>51515</v>
      </c>
      <c r="Q7" s="22">
        <v>956</v>
      </c>
      <c r="R7" s="15">
        <v>678</v>
      </c>
      <c r="S7" s="15">
        <v>54940</v>
      </c>
      <c r="T7" s="15">
        <v>54262</v>
      </c>
      <c r="U7" s="11" t="s">
        <v>766</v>
      </c>
      <c r="V7" s="11" t="s">
        <v>767</v>
      </c>
      <c r="W7" s="22">
        <v>10</v>
      </c>
      <c r="X7" s="22">
        <v>78</v>
      </c>
      <c r="Y7" s="22">
        <v>0</v>
      </c>
      <c r="Z7" s="28">
        <f t="shared" si="0"/>
        <v>88</v>
      </c>
      <c r="AA7" s="22">
        <v>241</v>
      </c>
      <c r="AB7" s="13">
        <v>6</v>
      </c>
      <c r="AC7" s="13">
        <v>28</v>
      </c>
      <c r="AD7" s="28">
        <f t="shared" si="1"/>
        <v>275</v>
      </c>
      <c r="AE7" s="28">
        <f t="shared" si="2"/>
        <v>45.503459999999997</v>
      </c>
      <c r="AF7" s="28">
        <f t="shared" si="3"/>
        <v>48.501750000000001</v>
      </c>
      <c r="AG7" s="28">
        <f t="shared" si="4"/>
        <v>50.265450000000001</v>
      </c>
      <c r="AH7" s="29">
        <f t="shared" si="5"/>
        <v>0.27500000000000002</v>
      </c>
      <c r="AI7" s="29">
        <f t="shared" si="6"/>
        <v>0.28499999999999998</v>
      </c>
      <c r="AJ7" s="21">
        <v>10.7</v>
      </c>
      <c r="AK7" s="22">
        <v>183</v>
      </c>
      <c r="AL7" s="22">
        <v>633</v>
      </c>
      <c r="AM7" s="22">
        <v>45.503459999999997</v>
      </c>
      <c r="AN7" s="30">
        <f t="shared" si="7"/>
        <v>0</v>
      </c>
    </row>
    <row r="8" spans="1:40" x14ac:dyDescent="0.3">
      <c r="A8" s="3" t="s">
        <v>792</v>
      </c>
      <c r="B8" s="41">
        <v>7</v>
      </c>
      <c r="C8" s="5">
        <v>46104</v>
      </c>
      <c r="D8" s="43" t="s">
        <v>793</v>
      </c>
      <c r="E8" s="4" t="s">
        <v>794</v>
      </c>
      <c r="F8" s="4" t="s">
        <v>432</v>
      </c>
      <c r="G8" s="4" t="s">
        <v>47</v>
      </c>
      <c r="H8" s="4" t="s">
        <v>761</v>
      </c>
      <c r="I8" s="4" t="s">
        <v>762</v>
      </c>
      <c r="J8" s="4" t="s">
        <v>46</v>
      </c>
      <c r="K8" s="37" t="s">
        <v>795</v>
      </c>
      <c r="L8" s="4" t="s">
        <v>771</v>
      </c>
      <c r="M8" s="4" t="s">
        <v>796</v>
      </c>
      <c r="N8" s="4">
        <v>531130081</v>
      </c>
      <c r="O8" s="37">
        <v>957</v>
      </c>
      <c r="P8" s="37">
        <v>51514</v>
      </c>
      <c r="Q8" s="20">
        <v>344</v>
      </c>
      <c r="R8" s="6">
        <v>494</v>
      </c>
      <c r="S8" s="6">
        <v>27990</v>
      </c>
      <c r="T8" s="6">
        <v>27646</v>
      </c>
      <c r="U8" s="11" t="s">
        <v>766</v>
      </c>
      <c r="V8" s="11" t="s">
        <v>767</v>
      </c>
      <c r="W8" s="20">
        <v>11</v>
      </c>
      <c r="X8" s="20">
        <v>75</v>
      </c>
      <c r="Y8" s="20">
        <v>0</v>
      </c>
      <c r="Z8" s="26">
        <f t="shared" si="0"/>
        <v>86</v>
      </c>
      <c r="AA8" s="20">
        <v>243</v>
      </c>
      <c r="AB8" s="4">
        <v>8</v>
      </c>
      <c r="AC8" s="4">
        <v>16</v>
      </c>
      <c r="AD8" s="26">
        <f t="shared" si="1"/>
        <v>267</v>
      </c>
      <c r="AE8" s="26">
        <f t="shared" si="2"/>
        <v>44.974350000000001</v>
      </c>
      <c r="AF8" s="26">
        <f t="shared" si="3"/>
        <v>47.090789999999998</v>
      </c>
      <c r="AG8" s="26">
        <f t="shared" si="4"/>
        <v>49.030859999999997</v>
      </c>
      <c r="AH8" s="27">
        <f t="shared" si="5"/>
        <v>0.26700000000000002</v>
      </c>
      <c r="AI8" s="27">
        <f t="shared" si="6"/>
        <v>0.27800000000000002</v>
      </c>
      <c r="AJ8" s="19">
        <v>9.8000000000000007</v>
      </c>
      <c r="AK8" s="20">
        <v>177</v>
      </c>
      <c r="AL8" s="20">
        <v>642</v>
      </c>
      <c r="AM8" s="20">
        <v>44.974350000000001</v>
      </c>
      <c r="AN8" s="30">
        <f t="shared" si="7"/>
        <v>0</v>
      </c>
    </row>
    <row r="9" spans="1:40" x14ac:dyDescent="0.3">
      <c r="A9" s="12" t="s">
        <v>797</v>
      </c>
      <c r="B9" s="42">
        <v>8</v>
      </c>
      <c r="C9" s="14">
        <v>46104</v>
      </c>
      <c r="D9" s="44" t="s">
        <v>793</v>
      </c>
      <c r="E9" s="13" t="s">
        <v>794</v>
      </c>
      <c r="F9" s="13"/>
      <c r="G9" s="13" t="s">
        <v>31</v>
      </c>
      <c r="H9" s="13" t="s">
        <v>761</v>
      </c>
      <c r="I9" s="13" t="s">
        <v>798</v>
      </c>
      <c r="J9" s="13" t="s">
        <v>46</v>
      </c>
      <c r="K9" s="38" t="s">
        <v>795</v>
      </c>
      <c r="L9" s="13" t="s">
        <v>771</v>
      </c>
      <c r="M9" s="13" t="s">
        <v>796</v>
      </c>
      <c r="N9" s="13">
        <v>531130081</v>
      </c>
      <c r="O9" s="38">
        <v>957</v>
      </c>
      <c r="P9" s="38">
        <v>51514</v>
      </c>
      <c r="Q9" s="22">
        <v>150</v>
      </c>
      <c r="R9" s="15">
        <v>0</v>
      </c>
      <c r="S9" s="15">
        <v>12210</v>
      </c>
      <c r="T9" s="15">
        <v>12060</v>
      </c>
      <c r="U9" s="24"/>
      <c r="V9" s="24"/>
      <c r="W9" s="22"/>
      <c r="X9" s="22"/>
      <c r="Y9" s="22"/>
      <c r="Z9" s="28" t="str">
        <f t="shared" si="0"/>
        <v/>
      </c>
      <c r="AA9" s="22"/>
      <c r="AB9" s="13"/>
      <c r="AC9" s="13"/>
      <c r="AD9" s="28" t="str">
        <f t="shared" si="1"/>
        <v/>
      </c>
      <c r="AE9" s="28" t="str">
        <f t="shared" si="2"/>
        <v/>
      </c>
      <c r="AF9" s="28" t="str">
        <f t="shared" si="3"/>
        <v/>
      </c>
      <c r="AG9" s="28" t="str">
        <f t="shared" si="4"/>
        <v/>
      </c>
      <c r="AH9" s="29" t="str">
        <f t="shared" si="5"/>
        <v/>
      </c>
      <c r="AI9" s="29" t="str">
        <f t="shared" si="6"/>
        <v/>
      </c>
      <c r="AJ9" s="21"/>
      <c r="AK9" s="22"/>
      <c r="AL9" s="22"/>
      <c r="AM9" s="22"/>
      <c r="AN9" s="30" t="str">
        <f t="shared" si="7"/>
        <v/>
      </c>
    </row>
    <row r="10" spans="1:40" x14ac:dyDescent="0.3">
      <c r="A10" s="3" t="s">
        <v>799</v>
      </c>
      <c r="B10" s="41">
        <v>9</v>
      </c>
      <c r="C10" s="5">
        <v>46104</v>
      </c>
      <c r="D10" s="43" t="s">
        <v>800</v>
      </c>
      <c r="E10" s="4"/>
      <c r="F10" s="4" t="s">
        <v>432</v>
      </c>
      <c r="G10" s="4" t="s">
        <v>801</v>
      </c>
      <c r="H10" s="4" t="s">
        <v>784</v>
      </c>
      <c r="I10" s="4" t="s">
        <v>801</v>
      </c>
      <c r="J10" s="4" t="s">
        <v>46</v>
      </c>
      <c r="K10" s="37" t="s">
        <v>802</v>
      </c>
      <c r="L10" s="4" t="s">
        <v>771</v>
      </c>
      <c r="M10" s="4" t="s">
        <v>803</v>
      </c>
      <c r="N10" s="4">
        <v>748503977</v>
      </c>
      <c r="O10" s="37">
        <v>958</v>
      </c>
      <c r="P10" s="37">
        <v>51510</v>
      </c>
      <c r="Q10" s="20">
        <v>958</v>
      </c>
      <c r="R10" s="6">
        <v>511</v>
      </c>
      <c r="S10" s="6">
        <v>40280</v>
      </c>
      <c r="T10" s="6">
        <v>39769</v>
      </c>
      <c r="U10" s="11" t="s">
        <v>766</v>
      </c>
      <c r="V10" s="11" t="s">
        <v>767</v>
      </c>
      <c r="W10" s="20">
        <v>12</v>
      </c>
      <c r="X10" s="20">
        <v>74</v>
      </c>
      <c r="Y10" s="20">
        <v>0</v>
      </c>
      <c r="Z10" s="26">
        <f t="shared" si="0"/>
        <v>86</v>
      </c>
      <c r="AA10" s="20">
        <v>250</v>
      </c>
      <c r="AB10" s="4">
        <v>6</v>
      </c>
      <c r="AC10" s="4">
        <v>14</v>
      </c>
      <c r="AD10" s="26">
        <f t="shared" si="1"/>
        <v>270</v>
      </c>
      <c r="AE10" s="26">
        <f t="shared" si="2"/>
        <v>45.856200000000001</v>
      </c>
      <c r="AF10" s="26">
        <f t="shared" si="3"/>
        <v>47.619900000000001</v>
      </c>
      <c r="AG10" s="26">
        <f t="shared" si="4"/>
        <v>49.736339999999998</v>
      </c>
      <c r="AH10" s="27">
        <f t="shared" si="5"/>
        <v>0.27</v>
      </c>
      <c r="AI10" s="27">
        <f t="shared" si="6"/>
        <v>0.28199999999999997</v>
      </c>
      <c r="AJ10" s="19">
        <v>9.6999999999999993</v>
      </c>
      <c r="AK10" s="20">
        <v>173</v>
      </c>
      <c r="AL10" s="20">
        <v>643</v>
      </c>
      <c r="AM10" s="20">
        <v>45.856200000000001</v>
      </c>
      <c r="AN10" s="30">
        <f t="shared" si="7"/>
        <v>0</v>
      </c>
    </row>
    <row r="11" spans="1:40" x14ac:dyDescent="0.3">
      <c r="A11" s="12" t="s">
        <v>804</v>
      </c>
      <c r="B11" s="42">
        <v>10</v>
      </c>
      <c r="C11" s="14">
        <v>46104</v>
      </c>
      <c r="D11" s="44" t="s">
        <v>805</v>
      </c>
      <c r="E11" s="13"/>
      <c r="F11" s="13" t="s">
        <v>432</v>
      </c>
      <c r="G11" s="13" t="s">
        <v>31</v>
      </c>
      <c r="H11" s="13" t="s">
        <v>761</v>
      </c>
      <c r="I11" s="13" t="s">
        <v>806</v>
      </c>
      <c r="J11" s="13" t="s">
        <v>46</v>
      </c>
      <c r="K11" s="38" t="s">
        <v>807</v>
      </c>
      <c r="L11" s="13" t="s">
        <v>771</v>
      </c>
      <c r="M11" s="13" t="s">
        <v>808</v>
      </c>
      <c r="N11" s="13">
        <v>150501306</v>
      </c>
      <c r="O11" s="38">
        <v>959</v>
      </c>
      <c r="P11" s="38">
        <v>51511</v>
      </c>
      <c r="Q11" s="22">
        <v>959</v>
      </c>
      <c r="R11" s="15">
        <v>505</v>
      </c>
      <c r="S11" s="15">
        <v>40660</v>
      </c>
      <c r="T11" s="15">
        <v>40155</v>
      </c>
      <c r="U11" s="11" t="s">
        <v>766</v>
      </c>
      <c r="V11" s="11" t="s">
        <v>767</v>
      </c>
      <c r="W11" s="22">
        <v>13</v>
      </c>
      <c r="X11" s="22">
        <v>71</v>
      </c>
      <c r="Y11" s="22">
        <v>0</v>
      </c>
      <c r="Z11" s="28">
        <f t="shared" si="0"/>
        <v>84</v>
      </c>
      <c r="AA11" s="22">
        <v>238</v>
      </c>
      <c r="AB11" s="13">
        <v>8</v>
      </c>
      <c r="AC11" s="13">
        <v>26</v>
      </c>
      <c r="AD11" s="28">
        <f t="shared" si="1"/>
        <v>272</v>
      </c>
      <c r="AE11" s="28">
        <f t="shared" si="2"/>
        <v>44.974350000000001</v>
      </c>
      <c r="AF11" s="28">
        <f t="shared" si="3"/>
        <v>47.972639999999998</v>
      </c>
      <c r="AG11" s="28">
        <f t="shared" si="4"/>
        <v>50.265450000000001</v>
      </c>
      <c r="AH11" s="29">
        <f t="shared" si="5"/>
        <v>0.27200000000000002</v>
      </c>
      <c r="AI11" s="29">
        <f t="shared" si="6"/>
        <v>0.28499999999999998</v>
      </c>
      <c r="AJ11" s="21">
        <v>9.1</v>
      </c>
      <c r="AK11" s="22">
        <v>177</v>
      </c>
      <c r="AL11" s="22">
        <v>636</v>
      </c>
      <c r="AM11" s="22">
        <v>44.974350000000001</v>
      </c>
      <c r="AN11" s="30">
        <f t="shared" si="7"/>
        <v>0</v>
      </c>
    </row>
    <row r="12" spans="1:40" x14ac:dyDescent="0.3">
      <c r="A12" s="3" t="s">
        <v>809</v>
      </c>
      <c r="B12" s="41">
        <v>11</v>
      </c>
      <c r="C12" s="5">
        <v>46104</v>
      </c>
      <c r="D12" s="43" t="s">
        <v>810</v>
      </c>
      <c r="E12" s="4"/>
      <c r="F12" s="4" t="s">
        <v>432</v>
      </c>
      <c r="G12" s="4" t="s">
        <v>47</v>
      </c>
      <c r="H12" s="4" t="s">
        <v>761</v>
      </c>
      <c r="I12" s="4" t="s">
        <v>762</v>
      </c>
      <c r="J12" s="4" t="s">
        <v>46</v>
      </c>
      <c r="K12" s="37" t="s">
        <v>811</v>
      </c>
      <c r="L12" s="4" t="s">
        <v>771</v>
      </c>
      <c r="M12" s="4" t="s">
        <v>812</v>
      </c>
      <c r="N12" s="4">
        <v>707391719</v>
      </c>
      <c r="O12" s="37">
        <v>960</v>
      </c>
      <c r="P12" s="37">
        <v>51516</v>
      </c>
      <c r="Q12" s="20">
        <v>960</v>
      </c>
      <c r="R12" s="6">
        <v>504</v>
      </c>
      <c r="S12" s="6">
        <v>40500</v>
      </c>
      <c r="T12" s="6">
        <v>39996</v>
      </c>
      <c r="U12" s="11" t="s">
        <v>766</v>
      </c>
      <c r="V12" s="11" t="s">
        <v>767</v>
      </c>
      <c r="W12" s="20">
        <v>13</v>
      </c>
      <c r="X12" s="20">
        <v>64</v>
      </c>
      <c r="Y12" s="20">
        <v>5</v>
      </c>
      <c r="Z12" s="26">
        <f t="shared" si="0"/>
        <v>82</v>
      </c>
      <c r="AA12" s="20">
        <v>243</v>
      </c>
      <c r="AB12" s="4">
        <v>4</v>
      </c>
      <c r="AC12" s="4">
        <v>22</v>
      </c>
      <c r="AD12" s="26">
        <f t="shared" si="1"/>
        <v>269</v>
      </c>
      <c r="AE12" s="26">
        <f t="shared" si="2"/>
        <v>45.15072</v>
      </c>
      <c r="AF12" s="26">
        <f t="shared" si="3"/>
        <v>47.443530000000003</v>
      </c>
      <c r="AG12" s="26">
        <f t="shared" si="4"/>
        <v>50.618189999999998</v>
      </c>
      <c r="AH12" s="27">
        <f t="shared" si="5"/>
        <v>0.26900000000000002</v>
      </c>
      <c r="AI12" s="27">
        <f t="shared" si="6"/>
        <v>0.28699999999999998</v>
      </c>
      <c r="AJ12" s="19">
        <v>8.9</v>
      </c>
      <c r="AK12" s="20">
        <v>179</v>
      </c>
      <c r="AL12" s="20">
        <v>644</v>
      </c>
      <c r="AM12" s="20">
        <v>45.15072</v>
      </c>
      <c r="AN12" s="30">
        <f t="shared" si="7"/>
        <v>0</v>
      </c>
    </row>
    <row r="13" spans="1:40" x14ac:dyDescent="0.3">
      <c r="A13" s="12" t="s">
        <v>813</v>
      </c>
      <c r="B13" s="42">
        <v>12</v>
      </c>
      <c r="C13" s="14">
        <v>46104</v>
      </c>
      <c r="D13" s="44" t="s">
        <v>814</v>
      </c>
      <c r="E13" s="13"/>
      <c r="F13" s="13" t="s">
        <v>432</v>
      </c>
      <c r="G13" s="13" t="s">
        <v>815</v>
      </c>
      <c r="H13" s="13" t="s">
        <v>784</v>
      </c>
      <c r="I13" s="13" t="s">
        <v>815</v>
      </c>
      <c r="J13" s="13" t="s">
        <v>46</v>
      </c>
      <c r="K13" s="38" t="s">
        <v>816</v>
      </c>
      <c r="L13" s="13" t="s">
        <v>771</v>
      </c>
      <c r="M13" s="13" t="s">
        <v>817</v>
      </c>
      <c r="N13" s="13">
        <v>709267406</v>
      </c>
      <c r="O13" s="38">
        <v>961</v>
      </c>
      <c r="P13" s="38">
        <v>51513</v>
      </c>
      <c r="Q13" s="22">
        <v>961</v>
      </c>
      <c r="R13" s="15">
        <v>457</v>
      </c>
      <c r="S13" s="15">
        <v>40140</v>
      </c>
      <c r="T13" s="15">
        <v>39683</v>
      </c>
      <c r="U13" s="11" t="s">
        <v>766</v>
      </c>
      <c r="V13" s="11" t="s">
        <v>767</v>
      </c>
      <c r="W13" s="22">
        <v>12</v>
      </c>
      <c r="X13" s="22">
        <v>79</v>
      </c>
      <c r="Y13" s="22">
        <v>0</v>
      </c>
      <c r="Z13" s="28">
        <f t="shared" si="0"/>
        <v>91</v>
      </c>
      <c r="AA13" s="22">
        <v>240</v>
      </c>
      <c r="AB13" s="13">
        <v>4</v>
      </c>
      <c r="AC13" s="13">
        <v>20</v>
      </c>
      <c r="AD13" s="28">
        <f t="shared" si="1"/>
        <v>264</v>
      </c>
      <c r="AE13" s="28">
        <f t="shared" si="2"/>
        <v>44.445239999999998</v>
      </c>
      <c r="AF13" s="28">
        <f t="shared" si="3"/>
        <v>46.561680000000003</v>
      </c>
      <c r="AG13" s="28">
        <f t="shared" si="4"/>
        <v>48.67812</v>
      </c>
      <c r="AH13" s="29">
        <f t="shared" si="5"/>
        <v>0.26400000000000001</v>
      </c>
      <c r="AI13" s="29">
        <f t="shared" si="6"/>
        <v>0.27600000000000002</v>
      </c>
      <c r="AJ13" s="21">
        <v>9.9</v>
      </c>
      <c r="AK13" s="22">
        <v>167</v>
      </c>
      <c r="AL13" s="22">
        <v>638</v>
      </c>
      <c r="AM13" s="22">
        <v>44.445239999999998</v>
      </c>
      <c r="AN13" s="30">
        <f t="shared" si="7"/>
        <v>0</v>
      </c>
    </row>
    <row r="14" spans="1:40" x14ac:dyDescent="0.3">
      <c r="A14" s="3" t="s">
        <v>818</v>
      </c>
      <c r="B14" s="41">
        <v>13</v>
      </c>
      <c r="C14" s="5">
        <v>46104</v>
      </c>
      <c r="D14" s="43" t="s">
        <v>819</v>
      </c>
      <c r="E14" s="4"/>
      <c r="F14" s="4" t="s">
        <v>432</v>
      </c>
      <c r="G14" s="4" t="s">
        <v>31</v>
      </c>
      <c r="H14" s="4" t="s">
        <v>761</v>
      </c>
      <c r="I14" s="4" t="s">
        <v>806</v>
      </c>
      <c r="J14" s="4" t="s">
        <v>46</v>
      </c>
      <c r="K14" s="37" t="s">
        <v>820</v>
      </c>
      <c r="L14" s="4" t="s">
        <v>764</v>
      </c>
      <c r="M14" s="4" t="s">
        <v>821</v>
      </c>
      <c r="N14" s="4">
        <v>778920896</v>
      </c>
      <c r="O14" s="37">
        <v>962</v>
      </c>
      <c r="P14" s="37">
        <v>51517</v>
      </c>
      <c r="Q14" s="20">
        <v>962</v>
      </c>
      <c r="R14" s="6">
        <v>472</v>
      </c>
      <c r="S14" s="6">
        <v>39060</v>
      </c>
      <c r="T14" s="6">
        <v>38588</v>
      </c>
      <c r="U14" s="11" t="s">
        <v>766</v>
      </c>
      <c r="V14" s="11" t="s">
        <v>767</v>
      </c>
      <c r="W14" s="20"/>
      <c r="X14" s="20"/>
      <c r="Y14" s="20"/>
      <c r="Z14" s="26" t="str">
        <f t="shared" si="0"/>
        <v/>
      </c>
      <c r="AA14" s="20"/>
      <c r="AB14" s="4"/>
      <c r="AC14" s="4"/>
      <c r="AD14" s="26" t="str">
        <f t="shared" si="1"/>
        <v/>
      </c>
      <c r="AE14" s="26" t="str">
        <f t="shared" si="2"/>
        <v/>
      </c>
      <c r="AF14" s="26" t="str">
        <f t="shared" si="3"/>
        <v/>
      </c>
      <c r="AG14" s="26" t="str">
        <f t="shared" si="4"/>
        <v/>
      </c>
      <c r="AH14" s="27" t="str">
        <f t="shared" si="5"/>
        <v/>
      </c>
      <c r="AI14" s="27" t="str">
        <f t="shared" si="6"/>
        <v/>
      </c>
      <c r="AJ14" s="19"/>
      <c r="AK14" s="20"/>
      <c r="AL14" s="20"/>
      <c r="AM14" s="20">
        <v>0</v>
      </c>
      <c r="AN14" s="30" t="str">
        <f t="shared" si="7"/>
        <v/>
      </c>
    </row>
    <row r="15" spans="1:40" x14ac:dyDescent="0.3">
      <c r="A15" s="12" t="s">
        <v>822</v>
      </c>
      <c r="B15" s="42">
        <v>14</v>
      </c>
      <c r="C15" s="14">
        <v>46105</v>
      </c>
      <c r="D15" s="44" t="s">
        <v>823</v>
      </c>
      <c r="E15" s="13"/>
      <c r="F15" s="13" t="s">
        <v>432</v>
      </c>
      <c r="G15" s="13" t="s">
        <v>824</v>
      </c>
      <c r="H15" s="13" t="s">
        <v>784</v>
      </c>
      <c r="I15" s="13" t="s">
        <v>825</v>
      </c>
      <c r="J15" s="13" t="s">
        <v>46</v>
      </c>
      <c r="K15" s="38" t="s">
        <v>826</v>
      </c>
      <c r="L15" s="13" t="s">
        <v>771</v>
      </c>
      <c r="M15" s="13" t="s">
        <v>827</v>
      </c>
      <c r="N15" s="13">
        <v>501241889</v>
      </c>
      <c r="O15" s="38">
        <v>963</v>
      </c>
      <c r="P15" s="38">
        <v>51512</v>
      </c>
      <c r="Q15" s="22">
        <v>963</v>
      </c>
      <c r="R15" s="15">
        <v>526</v>
      </c>
      <c r="S15" s="15">
        <v>38520</v>
      </c>
      <c r="T15" s="15">
        <v>37994</v>
      </c>
      <c r="U15" s="11" t="s">
        <v>766</v>
      </c>
      <c r="V15" s="11" t="s">
        <v>767</v>
      </c>
      <c r="W15" s="22">
        <v>13</v>
      </c>
      <c r="X15" s="22">
        <v>74</v>
      </c>
      <c r="Y15" s="22">
        <v>3</v>
      </c>
      <c r="Z15" s="28">
        <f t="shared" si="0"/>
        <v>90</v>
      </c>
      <c r="AA15" s="22">
        <v>237</v>
      </c>
      <c r="AB15" s="13">
        <v>6</v>
      </c>
      <c r="AC15" s="13">
        <v>22</v>
      </c>
      <c r="AD15" s="28">
        <f t="shared" si="1"/>
        <v>265</v>
      </c>
      <c r="AE15" s="28">
        <f t="shared" si="2"/>
        <v>44.26887</v>
      </c>
      <c r="AF15" s="28">
        <f t="shared" si="3"/>
        <v>46.738050000000001</v>
      </c>
      <c r="AG15" s="28">
        <f t="shared" si="4"/>
        <v>49.55997</v>
      </c>
      <c r="AH15" s="29">
        <f t="shared" si="5"/>
        <v>0.26500000000000001</v>
      </c>
      <c r="AI15" s="29">
        <f t="shared" si="6"/>
        <v>0.28100000000000003</v>
      </c>
      <c r="AJ15" s="21">
        <v>11.7</v>
      </c>
      <c r="AK15" s="22">
        <v>169</v>
      </c>
      <c r="AL15" s="22">
        <v>641</v>
      </c>
      <c r="AM15" s="22">
        <v>44.26887</v>
      </c>
      <c r="AN15" s="30">
        <f t="shared" si="7"/>
        <v>0</v>
      </c>
    </row>
    <row r="16" spans="1:40" x14ac:dyDescent="0.3">
      <c r="A16" s="3" t="s">
        <v>828</v>
      </c>
      <c r="B16" s="41">
        <v>15</v>
      </c>
      <c r="C16" s="5">
        <v>46105</v>
      </c>
      <c r="D16" s="43" t="s">
        <v>829</v>
      </c>
      <c r="E16" s="4"/>
      <c r="F16" s="4" t="s">
        <v>432</v>
      </c>
      <c r="G16" s="4" t="s">
        <v>830</v>
      </c>
      <c r="H16" s="4" t="s">
        <v>761</v>
      </c>
      <c r="I16" s="4" t="s">
        <v>831</v>
      </c>
      <c r="J16" s="4" t="s">
        <v>46</v>
      </c>
      <c r="K16" s="37" t="s">
        <v>832</v>
      </c>
      <c r="L16" s="4" t="s">
        <v>771</v>
      </c>
      <c r="M16" s="4" t="s">
        <v>833</v>
      </c>
      <c r="N16" s="4">
        <v>789993743</v>
      </c>
      <c r="O16" s="37">
        <v>964</v>
      </c>
      <c r="P16" s="37">
        <v>51519</v>
      </c>
      <c r="Q16" s="20">
        <v>964</v>
      </c>
      <c r="R16" s="6">
        <v>474</v>
      </c>
      <c r="S16" s="6">
        <v>38820</v>
      </c>
      <c r="T16" s="6">
        <v>38346</v>
      </c>
      <c r="U16" s="11" t="s">
        <v>766</v>
      </c>
      <c r="V16" s="11" t="s">
        <v>767</v>
      </c>
      <c r="W16" s="20">
        <v>13</v>
      </c>
      <c r="X16" s="20">
        <v>74</v>
      </c>
      <c r="Y16" s="20">
        <v>3</v>
      </c>
      <c r="Z16" s="26">
        <f t="shared" si="0"/>
        <v>90</v>
      </c>
      <c r="AA16" s="20">
        <v>237</v>
      </c>
      <c r="AB16" s="4">
        <v>6</v>
      </c>
      <c r="AC16" s="4">
        <v>22</v>
      </c>
      <c r="AD16" s="26">
        <f t="shared" si="1"/>
        <v>265</v>
      </c>
      <c r="AE16" s="26">
        <f t="shared" si="2"/>
        <v>44.26887</v>
      </c>
      <c r="AF16" s="26">
        <f t="shared" si="3"/>
        <v>46.738050000000001</v>
      </c>
      <c r="AG16" s="26">
        <f t="shared" si="4"/>
        <v>49.55997</v>
      </c>
      <c r="AH16" s="27">
        <f t="shared" si="5"/>
        <v>0.26500000000000001</v>
      </c>
      <c r="AI16" s="27">
        <f t="shared" si="6"/>
        <v>0.28100000000000003</v>
      </c>
      <c r="AJ16" s="19">
        <v>11.7</v>
      </c>
      <c r="AK16" s="20">
        <v>169</v>
      </c>
      <c r="AL16" s="20">
        <v>641</v>
      </c>
      <c r="AM16" s="20">
        <v>44.26887</v>
      </c>
      <c r="AN16" s="30">
        <f t="shared" si="7"/>
        <v>0</v>
      </c>
    </row>
    <row r="17" spans="1:40" x14ac:dyDescent="0.3">
      <c r="A17" s="12" t="s">
        <v>834</v>
      </c>
      <c r="B17" s="42">
        <v>16</v>
      </c>
      <c r="C17" s="14">
        <v>46105</v>
      </c>
      <c r="D17" s="44" t="s">
        <v>835</v>
      </c>
      <c r="E17" s="13"/>
      <c r="F17" s="13" t="s">
        <v>432</v>
      </c>
      <c r="G17" s="13" t="s">
        <v>836</v>
      </c>
      <c r="H17" s="13" t="s">
        <v>761</v>
      </c>
      <c r="I17" s="13" t="s">
        <v>806</v>
      </c>
      <c r="J17" s="13" t="s">
        <v>46</v>
      </c>
      <c r="K17" s="38" t="s">
        <v>837</v>
      </c>
      <c r="L17" s="13" t="s">
        <v>764</v>
      </c>
      <c r="M17" s="13" t="s">
        <v>838</v>
      </c>
      <c r="N17" s="13">
        <v>554351133</v>
      </c>
      <c r="O17" s="38">
        <v>965</v>
      </c>
      <c r="P17" s="38">
        <v>51520</v>
      </c>
      <c r="Q17" s="22">
        <v>965</v>
      </c>
      <c r="R17" s="15">
        <v>496</v>
      </c>
      <c r="S17" s="15">
        <v>40120</v>
      </c>
      <c r="T17" s="15">
        <v>39624</v>
      </c>
      <c r="U17" s="11" t="s">
        <v>766</v>
      </c>
      <c r="V17" s="11" t="s">
        <v>767</v>
      </c>
      <c r="W17" s="22">
        <v>12</v>
      </c>
      <c r="X17" s="22">
        <v>81</v>
      </c>
      <c r="Y17" s="22">
        <v>3</v>
      </c>
      <c r="Z17" s="28">
        <f t="shared" si="0"/>
        <v>96</v>
      </c>
      <c r="AA17" s="22">
        <v>240</v>
      </c>
      <c r="AB17" s="13">
        <v>4</v>
      </c>
      <c r="AC17" s="13">
        <v>20</v>
      </c>
      <c r="AD17" s="28">
        <f t="shared" si="1"/>
        <v>264</v>
      </c>
      <c r="AE17" s="28">
        <f t="shared" si="2"/>
        <v>44.445239999999998</v>
      </c>
      <c r="AF17" s="28">
        <f t="shared" si="3"/>
        <v>46.561680000000003</v>
      </c>
      <c r="AG17" s="28">
        <f t="shared" si="4"/>
        <v>49.207230000000003</v>
      </c>
      <c r="AH17" s="29">
        <f t="shared" si="5"/>
        <v>0.26400000000000001</v>
      </c>
      <c r="AI17" s="29">
        <f t="shared" si="6"/>
        <v>0.27900000000000003</v>
      </c>
      <c r="AJ17" s="21">
        <v>10</v>
      </c>
      <c r="AK17" s="22">
        <v>172</v>
      </c>
      <c r="AL17" s="22">
        <v>636</v>
      </c>
      <c r="AM17" s="22">
        <v>44.445239999999998</v>
      </c>
      <c r="AN17" s="30">
        <f t="shared" si="7"/>
        <v>0</v>
      </c>
    </row>
    <row r="18" spans="1:40" x14ac:dyDescent="0.3">
      <c r="A18" s="3" t="s">
        <v>839</v>
      </c>
      <c r="B18" s="41">
        <v>17</v>
      </c>
      <c r="C18" s="5">
        <v>46105</v>
      </c>
      <c r="D18" s="43" t="s">
        <v>840</v>
      </c>
      <c r="E18" s="4"/>
      <c r="F18" s="4" t="s">
        <v>432</v>
      </c>
      <c r="G18" s="4" t="s">
        <v>830</v>
      </c>
      <c r="H18" s="4" t="s">
        <v>761</v>
      </c>
      <c r="I18" s="4" t="s">
        <v>841</v>
      </c>
      <c r="J18" s="4" t="s">
        <v>46</v>
      </c>
      <c r="K18" s="37" t="s">
        <v>842</v>
      </c>
      <c r="L18" s="4" t="s">
        <v>764</v>
      </c>
      <c r="M18" s="4" t="s">
        <v>843</v>
      </c>
      <c r="N18" s="4">
        <v>460080257</v>
      </c>
      <c r="O18" s="37">
        <v>966</v>
      </c>
      <c r="P18" s="37">
        <v>51518</v>
      </c>
      <c r="Q18" s="20">
        <v>966</v>
      </c>
      <c r="R18" s="6">
        <v>514</v>
      </c>
      <c r="S18" s="6">
        <v>41460</v>
      </c>
      <c r="T18" s="6">
        <v>40946</v>
      </c>
      <c r="U18" s="11" t="s">
        <v>766</v>
      </c>
      <c r="V18" s="11" t="s">
        <v>767</v>
      </c>
      <c r="W18" s="20">
        <v>14</v>
      </c>
      <c r="X18" s="20">
        <v>78</v>
      </c>
      <c r="Y18" s="20">
        <v>6</v>
      </c>
      <c r="Z18" s="26">
        <f t="shared" si="0"/>
        <v>98</v>
      </c>
      <c r="AA18" s="20">
        <v>235</v>
      </c>
      <c r="AB18" s="4">
        <v>6</v>
      </c>
      <c r="AC18" s="4">
        <v>28</v>
      </c>
      <c r="AD18" s="26">
        <f t="shared" si="1"/>
        <v>269</v>
      </c>
      <c r="AE18" s="26">
        <f t="shared" si="2"/>
        <v>44.445239999999998</v>
      </c>
      <c r="AF18" s="26">
        <f t="shared" si="3"/>
        <v>47.443530000000003</v>
      </c>
      <c r="AG18" s="26">
        <f t="shared" si="4"/>
        <v>50.970930000000003</v>
      </c>
      <c r="AH18" s="27">
        <f t="shared" si="5"/>
        <v>0.26900000000000002</v>
      </c>
      <c r="AI18" s="27">
        <f t="shared" si="6"/>
        <v>0.28899999999999998</v>
      </c>
      <c r="AJ18" s="19">
        <v>9.4</v>
      </c>
      <c r="AK18" s="20">
        <v>184</v>
      </c>
      <c r="AL18" s="20">
        <v>629</v>
      </c>
      <c r="AM18" s="20">
        <v>44.445239999999998</v>
      </c>
      <c r="AN18" s="30">
        <f t="shared" si="7"/>
        <v>0</v>
      </c>
    </row>
    <row r="19" spans="1:40" x14ac:dyDescent="0.3">
      <c r="A19" s="12" t="s">
        <v>844</v>
      </c>
      <c r="B19" s="42">
        <v>18</v>
      </c>
      <c r="C19" s="14">
        <v>46105</v>
      </c>
      <c r="D19" s="44" t="s">
        <v>845</v>
      </c>
      <c r="E19" s="13"/>
      <c r="F19" s="13" t="s">
        <v>432</v>
      </c>
      <c r="G19" s="13" t="s">
        <v>836</v>
      </c>
      <c r="H19" s="13" t="s">
        <v>761</v>
      </c>
      <c r="I19" s="13" t="s">
        <v>806</v>
      </c>
      <c r="J19" s="13" t="s">
        <v>46</v>
      </c>
      <c r="K19" s="38" t="s">
        <v>846</v>
      </c>
      <c r="L19" s="13" t="s">
        <v>771</v>
      </c>
      <c r="M19" s="13" t="s">
        <v>847</v>
      </c>
      <c r="N19" s="13">
        <v>502921980</v>
      </c>
      <c r="O19" s="38">
        <v>967</v>
      </c>
      <c r="P19" s="38">
        <v>51521</v>
      </c>
      <c r="Q19" s="22">
        <v>967</v>
      </c>
      <c r="R19" s="15">
        <v>504</v>
      </c>
      <c r="S19" s="15">
        <v>41100</v>
      </c>
      <c r="T19" s="15">
        <v>40596</v>
      </c>
      <c r="U19" s="11" t="s">
        <v>766</v>
      </c>
      <c r="V19" s="11" t="s">
        <v>767</v>
      </c>
      <c r="W19" s="22">
        <v>8</v>
      </c>
      <c r="X19" s="22">
        <v>71</v>
      </c>
      <c r="Y19" s="22">
        <v>0</v>
      </c>
      <c r="Z19" s="28">
        <f t="shared" si="0"/>
        <v>79</v>
      </c>
      <c r="AA19" s="22">
        <v>238</v>
      </c>
      <c r="AB19" s="13">
        <v>8</v>
      </c>
      <c r="AC19" s="13">
        <v>24</v>
      </c>
      <c r="AD19" s="28">
        <f t="shared" si="1"/>
        <v>270</v>
      </c>
      <c r="AE19" s="28">
        <f t="shared" si="2"/>
        <v>44.797980000000003</v>
      </c>
      <c r="AF19" s="28">
        <f t="shared" si="3"/>
        <v>47.619900000000001</v>
      </c>
      <c r="AG19" s="28">
        <f t="shared" si="4"/>
        <v>49.030859999999997</v>
      </c>
      <c r="AH19" s="29">
        <f t="shared" si="5"/>
        <v>0.27</v>
      </c>
      <c r="AI19" s="29">
        <f t="shared" si="6"/>
        <v>0.27800000000000002</v>
      </c>
      <c r="AJ19" s="21">
        <v>10.5</v>
      </c>
      <c r="AK19" s="22">
        <v>169</v>
      </c>
      <c r="AL19" s="22">
        <v>648</v>
      </c>
      <c r="AM19" s="22">
        <v>44.797980000000003</v>
      </c>
      <c r="AN19" s="30">
        <f t="shared" si="7"/>
        <v>0</v>
      </c>
    </row>
    <row r="20" spans="1:40" x14ac:dyDescent="0.3">
      <c r="A20" s="3" t="s">
        <v>848</v>
      </c>
      <c r="B20" s="41">
        <v>19</v>
      </c>
      <c r="C20" s="5">
        <v>46105</v>
      </c>
      <c r="D20" s="43" t="s">
        <v>849</v>
      </c>
      <c r="E20" s="4"/>
      <c r="F20" s="4" t="s">
        <v>432</v>
      </c>
      <c r="G20" s="4" t="s">
        <v>836</v>
      </c>
      <c r="H20" s="4" t="s">
        <v>761</v>
      </c>
      <c r="I20" s="4" t="s">
        <v>850</v>
      </c>
      <c r="J20" s="4" t="s">
        <v>46</v>
      </c>
      <c r="K20" s="37" t="s">
        <v>851</v>
      </c>
      <c r="L20" s="4" t="s">
        <v>771</v>
      </c>
      <c r="M20" s="4" t="s">
        <v>852</v>
      </c>
      <c r="N20" s="4">
        <v>708099465</v>
      </c>
      <c r="O20" s="37">
        <v>968</v>
      </c>
      <c r="P20" s="37">
        <v>51522</v>
      </c>
      <c r="Q20" s="20">
        <v>968</v>
      </c>
      <c r="R20" s="6">
        <v>424</v>
      </c>
      <c r="S20" s="6">
        <v>36540</v>
      </c>
      <c r="T20" s="6">
        <v>36116</v>
      </c>
      <c r="U20" s="11" t="s">
        <v>766</v>
      </c>
      <c r="V20" s="11" t="s">
        <v>767</v>
      </c>
      <c r="W20" s="20">
        <v>16</v>
      </c>
      <c r="X20" s="20">
        <v>64</v>
      </c>
      <c r="Y20" s="20">
        <v>0</v>
      </c>
      <c r="Z20" s="26">
        <f t="shared" si="0"/>
        <v>80</v>
      </c>
      <c r="AA20" s="20">
        <v>245</v>
      </c>
      <c r="AB20" s="4">
        <v>2</v>
      </c>
      <c r="AC20" s="4">
        <v>24</v>
      </c>
      <c r="AD20" s="26">
        <f t="shared" si="1"/>
        <v>271</v>
      </c>
      <c r="AE20" s="26">
        <f t="shared" si="2"/>
        <v>45.503459999999997</v>
      </c>
      <c r="AF20" s="26">
        <f t="shared" si="3"/>
        <v>47.79627</v>
      </c>
      <c r="AG20" s="26">
        <f t="shared" si="4"/>
        <v>50.618189999999998</v>
      </c>
      <c r="AH20" s="27">
        <f t="shared" si="5"/>
        <v>0.27100000000000002</v>
      </c>
      <c r="AI20" s="27">
        <f t="shared" si="6"/>
        <v>0.28699999999999998</v>
      </c>
      <c r="AJ20" s="19">
        <v>8.4</v>
      </c>
      <c r="AK20" s="20">
        <v>175</v>
      </c>
      <c r="AL20" s="20">
        <v>644</v>
      </c>
      <c r="AM20" s="20">
        <v>45.503459999999997</v>
      </c>
      <c r="AN20" s="30">
        <f t="shared" si="7"/>
        <v>0</v>
      </c>
    </row>
    <row r="21" spans="1:40" x14ac:dyDescent="0.3">
      <c r="A21" s="12" t="s">
        <v>853</v>
      </c>
      <c r="B21" s="42">
        <v>20</v>
      </c>
      <c r="C21" s="14">
        <v>46105</v>
      </c>
      <c r="D21" s="44" t="s">
        <v>854</v>
      </c>
      <c r="E21" s="13"/>
      <c r="F21" s="13" t="s">
        <v>432</v>
      </c>
      <c r="G21" s="13" t="s">
        <v>836</v>
      </c>
      <c r="H21" s="13" t="s">
        <v>761</v>
      </c>
      <c r="I21" s="13" t="s">
        <v>850</v>
      </c>
      <c r="J21" s="13" t="s">
        <v>46</v>
      </c>
      <c r="K21" s="38" t="s">
        <v>855</v>
      </c>
      <c r="L21" s="13" t="s">
        <v>771</v>
      </c>
      <c r="M21" s="13" t="s">
        <v>856</v>
      </c>
      <c r="N21" s="13">
        <v>779774848</v>
      </c>
      <c r="O21" s="38">
        <v>969</v>
      </c>
      <c r="P21" s="38">
        <v>51523</v>
      </c>
      <c r="Q21" s="22">
        <v>969</v>
      </c>
      <c r="R21" s="15">
        <v>454</v>
      </c>
      <c r="S21" s="15">
        <v>39440</v>
      </c>
      <c r="T21" s="15">
        <v>38986</v>
      </c>
      <c r="U21" s="11" t="s">
        <v>766</v>
      </c>
      <c r="V21" s="11" t="s">
        <v>767</v>
      </c>
      <c r="W21" s="22">
        <v>16</v>
      </c>
      <c r="X21" s="22">
        <v>64</v>
      </c>
      <c r="Y21" s="22">
        <v>0</v>
      </c>
      <c r="Z21" s="28">
        <f t="shared" si="0"/>
        <v>80</v>
      </c>
      <c r="AA21" s="22">
        <v>245</v>
      </c>
      <c r="AB21" s="13">
        <v>2</v>
      </c>
      <c r="AC21" s="13">
        <v>24</v>
      </c>
      <c r="AD21" s="28">
        <f t="shared" si="1"/>
        <v>271</v>
      </c>
      <c r="AE21" s="28">
        <f t="shared" si="2"/>
        <v>45.503459999999997</v>
      </c>
      <c r="AF21" s="28">
        <f t="shared" si="3"/>
        <v>47.79627</v>
      </c>
      <c r="AG21" s="28">
        <f t="shared" si="4"/>
        <v>50.618189999999998</v>
      </c>
      <c r="AH21" s="29">
        <f t="shared" si="5"/>
        <v>0.27100000000000002</v>
      </c>
      <c r="AI21" s="29">
        <f t="shared" si="6"/>
        <v>0.28699999999999998</v>
      </c>
      <c r="AJ21" s="21">
        <v>8.4</v>
      </c>
      <c r="AK21" s="22">
        <v>175</v>
      </c>
      <c r="AL21" s="22">
        <v>644</v>
      </c>
      <c r="AM21" s="22">
        <v>45.503459999999997</v>
      </c>
      <c r="AN21" s="30">
        <f t="shared" si="7"/>
        <v>0</v>
      </c>
    </row>
    <row r="22" spans="1:40" x14ac:dyDescent="0.3">
      <c r="A22" s="3" t="s">
        <v>857</v>
      </c>
      <c r="B22" s="41">
        <v>21</v>
      </c>
      <c r="C22" s="5">
        <v>46105</v>
      </c>
      <c r="D22" s="43" t="s">
        <v>858</v>
      </c>
      <c r="E22" s="4"/>
      <c r="F22" s="4" t="s">
        <v>432</v>
      </c>
      <c r="G22" s="4" t="s">
        <v>830</v>
      </c>
      <c r="H22" s="4" t="s">
        <v>761</v>
      </c>
      <c r="I22" s="4" t="s">
        <v>859</v>
      </c>
      <c r="J22" s="4" t="s">
        <v>46</v>
      </c>
      <c r="K22" s="37" t="s">
        <v>860</v>
      </c>
      <c r="L22" s="4" t="s">
        <v>771</v>
      </c>
      <c r="M22" s="4" t="s">
        <v>861</v>
      </c>
      <c r="N22" s="4">
        <v>594908022</v>
      </c>
      <c r="O22" s="37">
        <v>970</v>
      </c>
      <c r="P22" s="37">
        <v>51525</v>
      </c>
      <c r="Q22" s="20">
        <v>970</v>
      </c>
      <c r="R22" s="6">
        <v>480</v>
      </c>
      <c r="S22" s="6">
        <v>38900</v>
      </c>
      <c r="T22" s="6">
        <v>38420</v>
      </c>
      <c r="U22" s="11" t="s">
        <v>766</v>
      </c>
      <c r="V22" s="11" t="s">
        <v>767</v>
      </c>
      <c r="W22" s="20">
        <v>12</v>
      </c>
      <c r="X22" s="20">
        <v>69</v>
      </c>
      <c r="Y22" s="20">
        <v>0</v>
      </c>
      <c r="Z22" s="26">
        <f t="shared" si="0"/>
        <v>81</v>
      </c>
      <c r="AA22" s="20">
        <v>245</v>
      </c>
      <c r="AB22" s="4">
        <v>6</v>
      </c>
      <c r="AC22" s="4">
        <v>18</v>
      </c>
      <c r="AD22" s="26">
        <f t="shared" si="1"/>
        <v>269</v>
      </c>
      <c r="AE22" s="26">
        <f t="shared" si="2"/>
        <v>45.327089999999998</v>
      </c>
      <c r="AF22" s="26">
        <f t="shared" si="3"/>
        <v>47.443530000000003</v>
      </c>
      <c r="AG22" s="26">
        <f t="shared" si="4"/>
        <v>49.55997</v>
      </c>
      <c r="AH22" s="27">
        <f t="shared" si="5"/>
        <v>0.26900000000000002</v>
      </c>
      <c r="AI22" s="27">
        <f t="shared" si="6"/>
        <v>0.28100000000000003</v>
      </c>
      <c r="AJ22" s="19">
        <v>8</v>
      </c>
      <c r="AK22" s="20">
        <v>167</v>
      </c>
      <c r="AL22" s="20">
        <v>646</v>
      </c>
      <c r="AM22" s="20">
        <v>45.327089999999998</v>
      </c>
      <c r="AN22" s="30">
        <f t="shared" si="7"/>
        <v>0</v>
      </c>
    </row>
    <row r="23" spans="1:40" x14ac:dyDescent="0.3">
      <c r="A23" s="12" t="s">
        <v>862</v>
      </c>
      <c r="B23" s="42">
        <v>22</v>
      </c>
      <c r="C23" s="14">
        <v>46105</v>
      </c>
      <c r="D23" s="44" t="s">
        <v>863</v>
      </c>
      <c r="E23" s="13" t="s">
        <v>794</v>
      </c>
      <c r="F23" s="13" t="s">
        <v>432</v>
      </c>
      <c r="G23" s="13" t="s">
        <v>836</v>
      </c>
      <c r="H23" s="13" t="s">
        <v>761</v>
      </c>
      <c r="I23" s="13" t="s">
        <v>850</v>
      </c>
      <c r="J23" s="13" t="s">
        <v>46</v>
      </c>
      <c r="K23" s="38" t="s">
        <v>864</v>
      </c>
      <c r="L23" s="13" t="s">
        <v>771</v>
      </c>
      <c r="M23" s="13" t="s">
        <v>865</v>
      </c>
      <c r="N23" s="13">
        <v>564720109</v>
      </c>
      <c r="O23" s="38">
        <v>971</v>
      </c>
      <c r="P23" s="38">
        <v>51524</v>
      </c>
      <c r="Q23" s="22">
        <v>185</v>
      </c>
      <c r="R23" s="15">
        <v>496</v>
      </c>
      <c r="S23" s="15">
        <v>14240</v>
      </c>
      <c r="T23" s="15">
        <v>14055</v>
      </c>
      <c r="U23" s="11" t="s">
        <v>766</v>
      </c>
      <c r="V23" s="11" t="s">
        <v>767</v>
      </c>
      <c r="W23" s="22">
        <v>18</v>
      </c>
      <c r="X23" s="22">
        <v>81</v>
      </c>
      <c r="Y23" s="22">
        <v>7</v>
      </c>
      <c r="Z23" s="28">
        <f t="shared" si="0"/>
        <v>106</v>
      </c>
      <c r="AA23" s="22">
        <v>236</v>
      </c>
      <c r="AB23" s="13">
        <v>6</v>
      </c>
      <c r="AC23" s="13">
        <v>22</v>
      </c>
      <c r="AD23" s="28">
        <f t="shared" si="1"/>
        <v>264</v>
      </c>
      <c r="AE23" s="28">
        <f t="shared" si="2"/>
        <v>44.092500000000001</v>
      </c>
      <c r="AF23" s="28">
        <f t="shared" si="3"/>
        <v>46.561680000000003</v>
      </c>
      <c r="AG23" s="28">
        <f t="shared" si="4"/>
        <v>50.970930000000003</v>
      </c>
      <c r="AH23" s="29">
        <f t="shared" si="5"/>
        <v>0.26400000000000001</v>
      </c>
      <c r="AI23" s="29">
        <f t="shared" si="6"/>
        <v>0.28899999999999998</v>
      </c>
      <c r="AJ23" s="21">
        <v>9.4</v>
      </c>
      <c r="AK23" s="22">
        <v>176</v>
      </c>
      <c r="AL23" s="22">
        <v>625</v>
      </c>
      <c r="AM23" s="22">
        <v>44.092500000000001</v>
      </c>
      <c r="AN23" s="30">
        <f t="shared" si="7"/>
        <v>0</v>
      </c>
    </row>
    <row r="24" spans="1:40" x14ac:dyDescent="0.3">
      <c r="A24" s="3" t="s">
        <v>866</v>
      </c>
      <c r="B24" s="41">
        <v>23</v>
      </c>
      <c r="C24" s="5">
        <v>46105</v>
      </c>
      <c r="D24" s="43" t="s">
        <v>863</v>
      </c>
      <c r="E24" s="4" t="s">
        <v>794</v>
      </c>
      <c r="F24" s="4"/>
      <c r="G24" s="4" t="s">
        <v>836</v>
      </c>
      <c r="H24" s="4" t="s">
        <v>761</v>
      </c>
      <c r="I24" s="4" t="s">
        <v>867</v>
      </c>
      <c r="J24" s="4" t="s">
        <v>46</v>
      </c>
      <c r="K24" s="37" t="s">
        <v>864</v>
      </c>
      <c r="L24" s="4" t="s">
        <v>771</v>
      </c>
      <c r="M24" s="4" t="s">
        <v>865</v>
      </c>
      <c r="N24" s="4">
        <v>564720109</v>
      </c>
      <c r="O24" s="37">
        <v>971</v>
      </c>
      <c r="P24" s="37">
        <v>51524</v>
      </c>
      <c r="Q24" s="20">
        <v>311</v>
      </c>
      <c r="R24" s="6">
        <v>0</v>
      </c>
      <c r="S24" s="6">
        <v>23940</v>
      </c>
      <c r="T24" s="6">
        <v>23629</v>
      </c>
      <c r="U24" s="25"/>
      <c r="V24" s="25"/>
      <c r="W24" s="20">
        <v>13</v>
      </c>
      <c r="X24" s="20">
        <v>67</v>
      </c>
      <c r="Y24" s="20">
        <v>0</v>
      </c>
      <c r="Z24" s="26">
        <f t="shared" si="0"/>
        <v>80</v>
      </c>
      <c r="AA24" s="20">
        <v>246</v>
      </c>
      <c r="AB24" s="4">
        <v>8</v>
      </c>
      <c r="AC24" s="4">
        <v>16</v>
      </c>
      <c r="AD24" s="26">
        <f t="shared" si="1"/>
        <v>270</v>
      </c>
      <c r="AE24" s="26">
        <f t="shared" si="2"/>
        <v>45.503459999999997</v>
      </c>
      <c r="AF24" s="26">
        <f t="shared" si="3"/>
        <v>47.619900000000001</v>
      </c>
      <c r="AG24" s="26">
        <f t="shared" si="4"/>
        <v>49.912709999999997</v>
      </c>
      <c r="AH24" s="27">
        <f t="shared" si="5"/>
        <v>0.27</v>
      </c>
      <c r="AI24" s="27">
        <f t="shared" si="6"/>
        <v>0.28299999999999997</v>
      </c>
      <c r="AJ24" s="19">
        <v>8.3000000000000007</v>
      </c>
      <c r="AK24" s="20">
        <v>172</v>
      </c>
      <c r="AL24" s="20">
        <v>643</v>
      </c>
      <c r="AM24" s="20">
        <v>45.503459999999997</v>
      </c>
      <c r="AN24" s="30">
        <f t="shared" si="7"/>
        <v>0</v>
      </c>
    </row>
    <row r="25" spans="1:40" x14ac:dyDescent="0.3">
      <c r="A25" s="12" t="s">
        <v>868</v>
      </c>
      <c r="B25" s="42">
        <v>24</v>
      </c>
      <c r="C25" s="14">
        <v>46123</v>
      </c>
      <c r="D25" s="44" t="s">
        <v>869</v>
      </c>
      <c r="E25" s="13"/>
      <c r="F25" s="13" t="s">
        <v>870</v>
      </c>
      <c r="G25" s="13" t="s">
        <v>31</v>
      </c>
      <c r="H25" s="13" t="s">
        <v>784</v>
      </c>
      <c r="I25" s="13" t="s">
        <v>871</v>
      </c>
      <c r="J25" s="13" t="s">
        <v>46</v>
      </c>
      <c r="K25" s="38" t="s">
        <v>872</v>
      </c>
      <c r="L25" s="13" t="s">
        <v>764</v>
      </c>
      <c r="M25" s="13" t="s">
        <v>873</v>
      </c>
      <c r="N25" s="13">
        <v>500946080</v>
      </c>
      <c r="O25" s="38">
        <v>147</v>
      </c>
      <c r="P25" s="38">
        <v>51579</v>
      </c>
      <c r="Q25" s="22"/>
      <c r="R25" s="15">
        <v>446</v>
      </c>
      <c r="S25" s="15">
        <v>41800</v>
      </c>
      <c r="T25" s="15">
        <v>41354</v>
      </c>
      <c r="U25" s="11" t="s">
        <v>766</v>
      </c>
      <c r="V25" s="11" t="s">
        <v>767</v>
      </c>
      <c r="W25" s="22">
        <v>23</v>
      </c>
      <c r="X25" s="22">
        <v>84</v>
      </c>
      <c r="Y25" s="22">
        <v>7</v>
      </c>
      <c r="Z25" s="28">
        <f t="shared" si="0"/>
        <v>114</v>
      </c>
      <c r="AA25" s="22">
        <v>215</v>
      </c>
      <c r="AB25" s="13">
        <v>10</v>
      </c>
      <c r="AC25" s="13">
        <v>26</v>
      </c>
      <c r="AD25" s="28">
        <f t="shared" si="1"/>
        <v>251</v>
      </c>
      <c r="AE25" s="28">
        <f t="shared" si="2"/>
        <v>41.094209999999997</v>
      </c>
      <c r="AF25" s="28">
        <f t="shared" si="3"/>
        <v>44.26887</v>
      </c>
      <c r="AG25" s="28">
        <f t="shared" si="4"/>
        <v>49.55997</v>
      </c>
      <c r="AH25" s="29">
        <f t="shared" si="5"/>
        <v>0.251</v>
      </c>
      <c r="AI25" s="29">
        <f t="shared" si="6"/>
        <v>0.28100000000000003</v>
      </c>
      <c r="AJ25" s="21">
        <v>12.4</v>
      </c>
      <c r="AK25" s="22">
        <v>156</v>
      </c>
      <c r="AL25" s="22">
        <v>630</v>
      </c>
      <c r="AM25" s="22">
        <v>41.094209999999997</v>
      </c>
      <c r="AN25" s="30">
        <f t="shared" si="7"/>
        <v>0</v>
      </c>
    </row>
    <row r="26" spans="1:40" x14ac:dyDescent="0.3">
      <c r="A26" s="3" t="s">
        <v>874</v>
      </c>
      <c r="B26" s="41">
        <v>25</v>
      </c>
      <c r="C26" s="5">
        <v>46140</v>
      </c>
      <c r="D26" s="43" t="s">
        <v>875</v>
      </c>
      <c r="E26" s="4"/>
      <c r="F26" s="4" t="s">
        <v>870</v>
      </c>
      <c r="G26" s="4" t="s">
        <v>31</v>
      </c>
      <c r="H26" s="4" t="s">
        <v>876</v>
      </c>
      <c r="I26" s="4" t="s">
        <v>877</v>
      </c>
      <c r="J26" s="4" t="s">
        <v>46</v>
      </c>
      <c r="K26" s="37" t="s">
        <v>878</v>
      </c>
      <c r="L26" s="4" t="s">
        <v>771</v>
      </c>
      <c r="M26" s="4" t="s">
        <v>879</v>
      </c>
      <c r="N26" s="4">
        <v>767211670</v>
      </c>
      <c r="O26" s="37">
        <v>628</v>
      </c>
      <c r="P26" s="37">
        <v>51651</v>
      </c>
      <c r="Q26" s="20"/>
      <c r="R26" s="6">
        <v>619</v>
      </c>
      <c r="S26" s="6">
        <v>53300</v>
      </c>
      <c r="T26" s="6">
        <v>52681</v>
      </c>
      <c r="U26" s="11" t="s">
        <v>766</v>
      </c>
      <c r="V26" s="11" t="s">
        <v>767</v>
      </c>
      <c r="W26" s="20">
        <v>19</v>
      </c>
      <c r="X26" s="20">
        <v>88</v>
      </c>
      <c r="Y26" s="20">
        <v>0</v>
      </c>
      <c r="Z26" s="26">
        <f t="shared" si="0"/>
        <v>107</v>
      </c>
      <c r="AA26" s="20">
        <v>218</v>
      </c>
      <c r="AB26" s="4">
        <v>10</v>
      </c>
      <c r="AC26" s="4">
        <v>28</v>
      </c>
      <c r="AD26" s="26">
        <f t="shared" si="1"/>
        <v>256</v>
      </c>
      <c r="AE26" s="26">
        <f t="shared" si="2"/>
        <v>41.799689999999998</v>
      </c>
      <c r="AF26" s="26">
        <f t="shared" si="3"/>
        <v>45.15072</v>
      </c>
      <c r="AG26" s="26">
        <f t="shared" si="4"/>
        <v>48.501750000000001</v>
      </c>
      <c r="AH26" s="27">
        <f t="shared" si="5"/>
        <v>0.25600000000000001</v>
      </c>
      <c r="AI26" s="27">
        <f t="shared" si="6"/>
        <v>0.27500000000000002</v>
      </c>
      <c r="AJ26" s="19">
        <v>12.8</v>
      </c>
      <c r="AK26" s="20">
        <v>160</v>
      </c>
      <c r="AL26" s="20">
        <v>631</v>
      </c>
      <c r="AM26" s="20">
        <v>41.799689999999998</v>
      </c>
      <c r="AN26" s="30">
        <f t="shared" si="7"/>
        <v>0</v>
      </c>
    </row>
    <row r="27" spans="1:40" x14ac:dyDescent="0.3">
      <c r="A27" s="12" t="s">
        <v>880</v>
      </c>
      <c r="B27" s="42">
        <v>26</v>
      </c>
      <c r="C27" s="14">
        <v>46230</v>
      </c>
      <c r="D27" s="44" t="s">
        <v>881</v>
      </c>
      <c r="E27" s="13"/>
      <c r="F27" s="13" t="s">
        <v>882</v>
      </c>
      <c r="G27" s="13" t="s">
        <v>31</v>
      </c>
      <c r="H27" s="13" t="s">
        <v>761</v>
      </c>
      <c r="I27" s="13" t="s">
        <v>883</v>
      </c>
      <c r="J27" s="13" t="s">
        <v>46</v>
      </c>
      <c r="K27" s="38" t="s">
        <v>884</v>
      </c>
      <c r="L27" s="13" t="s">
        <v>764</v>
      </c>
      <c r="M27" s="13" t="s">
        <v>885</v>
      </c>
      <c r="N27" s="13">
        <v>709344480</v>
      </c>
      <c r="O27" s="38">
        <v>475</v>
      </c>
      <c r="P27" s="38">
        <v>51733</v>
      </c>
      <c r="Q27" s="22"/>
      <c r="R27" s="15">
        <v>571</v>
      </c>
      <c r="S27" s="15">
        <v>47000</v>
      </c>
      <c r="T27" s="15">
        <v>46429</v>
      </c>
      <c r="U27" s="11" t="s">
        <v>886</v>
      </c>
      <c r="V27" s="11" t="s">
        <v>886</v>
      </c>
      <c r="W27" s="22">
        <v>16</v>
      </c>
      <c r="X27" s="22">
        <v>29</v>
      </c>
      <c r="Y27" s="22">
        <v>4</v>
      </c>
      <c r="Z27" s="28">
        <f t="shared" si="0"/>
        <v>49</v>
      </c>
      <c r="AA27" s="22">
        <v>255</v>
      </c>
      <c r="AB27" s="13">
        <v>4</v>
      </c>
      <c r="AC27" s="13">
        <v>14</v>
      </c>
      <c r="AD27" s="28">
        <f t="shared" si="1"/>
        <v>273</v>
      </c>
      <c r="AE27" s="28">
        <f t="shared" si="2"/>
        <v>46.561680000000003</v>
      </c>
      <c r="AF27" s="28">
        <f t="shared" si="3"/>
        <v>48.149009999999997</v>
      </c>
      <c r="AG27" s="28">
        <f t="shared" si="4"/>
        <v>51.676409999999997</v>
      </c>
      <c r="AH27" s="29">
        <f t="shared" si="5"/>
        <v>0.27300000000000002</v>
      </c>
      <c r="AI27" s="29">
        <f t="shared" si="6"/>
        <v>0.29299999999999998</v>
      </c>
      <c r="AJ27" s="21">
        <v>7.8</v>
      </c>
      <c r="AK27" s="22">
        <v>171</v>
      </c>
      <c r="AL27" s="22">
        <v>675</v>
      </c>
      <c r="AM27" s="22">
        <v>46.561680000000003</v>
      </c>
      <c r="AN27" s="30">
        <f t="shared" si="7"/>
        <v>0</v>
      </c>
    </row>
    <row r="28" spans="1:40" x14ac:dyDescent="0.3">
      <c r="A28" s="3" t="s">
        <v>887</v>
      </c>
      <c r="B28" s="41">
        <v>27</v>
      </c>
      <c r="C28" s="5">
        <v>46251</v>
      </c>
      <c r="D28" s="43" t="s">
        <v>888</v>
      </c>
      <c r="E28" s="4"/>
      <c r="F28" s="4" t="s">
        <v>882</v>
      </c>
      <c r="G28" s="4" t="s">
        <v>23</v>
      </c>
      <c r="H28" s="4" t="s">
        <v>761</v>
      </c>
      <c r="I28" s="4" t="s">
        <v>889</v>
      </c>
      <c r="J28" s="4" t="s">
        <v>46</v>
      </c>
      <c r="K28" s="37" t="s">
        <v>890</v>
      </c>
      <c r="L28" s="4" t="s">
        <v>764</v>
      </c>
      <c r="M28" s="4" t="s">
        <v>891</v>
      </c>
      <c r="N28" s="4">
        <v>706616964</v>
      </c>
      <c r="O28" s="37">
        <v>1201</v>
      </c>
      <c r="P28" s="37">
        <v>52948</v>
      </c>
      <c r="Q28" s="20"/>
      <c r="R28" s="6">
        <v>490</v>
      </c>
      <c r="S28" s="6">
        <v>40980</v>
      </c>
      <c r="T28" s="6">
        <v>40490</v>
      </c>
      <c r="U28" s="11" t="s">
        <v>886</v>
      </c>
      <c r="V28" s="11" t="s">
        <v>886</v>
      </c>
      <c r="W28" s="20">
        <v>7</v>
      </c>
      <c r="X28" s="20">
        <v>20</v>
      </c>
      <c r="Y28" s="20">
        <v>0</v>
      </c>
      <c r="Z28" s="26">
        <f t="shared" si="0"/>
        <v>27</v>
      </c>
      <c r="AA28" s="20">
        <v>272</v>
      </c>
      <c r="AB28" s="4">
        <v>2</v>
      </c>
      <c r="AC28" s="4">
        <v>10</v>
      </c>
      <c r="AD28" s="26">
        <f t="shared" si="1"/>
        <v>284</v>
      </c>
      <c r="AE28" s="26">
        <f t="shared" si="2"/>
        <v>49.030859999999997</v>
      </c>
      <c r="AF28" s="26">
        <f t="shared" si="3"/>
        <v>50.089080000000003</v>
      </c>
      <c r="AG28" s="26">
        <f t="shared" si="4"/>
        <v>51.32367</v>
      </c>
      <c r="AH28" s="27">
        <f t="shared" si="5"/>
        <v>0.28399999999999997</v>
      </c>
      <c r="AI28" s="27">
        <f t="shared" si="6"/>
        <v>0.29099999999999998</v>
      </c>
      <c r="AJ28" s="19">
        <v>7.4</v>
      </c>
      <c r="AK28" s="20">
        <v>176</v>
      </c>
      <c r="AL28" s="20">
        <v>683</v>
      </c>
      <c r="AM28" s="20">
        <v>49.030859999999997</v>
      </c>
      <c r="AN28" s="30">
        <f t="shared" si="7"/>
        <v>0</v>
      </c>
    </row>
  </sheetData>
  <autoFilter ref="A1:AN28" xr:uid="{00000000-0009-0000-0000-000005000000}"/>
  <pageMargins left="0.7" right="0.7" top="0.75" bottom="0.75" header="0.3" footer="0.3"/>
  <pageSetup orientation="portrait" horizontalDpi="4294967295" verticalDpi="429496729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8F37"/>
  </sheetPr>
  <dimension ref="A1:AJ26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14" customWidth="1"/>
    <col min="2" max="2" width="5.6640625" bestFit="1" customWidth="1"/>
    <col min="3" max="5" width="14" customWidth="1"/>
    <col min="6" max="6" width="20" customWidth="1"/>
    <col min="7" max="7" width="14" customWidth="1"/>
    <col min="8" max="8" width="16" bestFit="1" customWidth="1"/>
    <col min="9" max="9" width="14" customWidth="1"/>
    <col min="10" max="10" width="10.88671875" bestFit="1" customWidth="1"/>
    <col min="11" max="11" width="15.33203125" bestFit="1" customWidth="1"/>
    <col min="12" max="12" width="28.21875" bestFit="1" customWidth="1"/>
    <col min="13" max="32" width="14" customWidth="1"/>
    <col min="33" max="33" width="26" customWidth="1"/>
    <col min="34" max="36" width="14" customWidth="1"/>
  </cols>
  <sheetData>
    <row r="1" spans="1:36" s="1" customFormat="1" ht="34.049999999999997" customHeight="1" x14ac:dyDescent="0.3">
      <c r="A1" s="2" t="s">
        <v>378</v>
      </c>
      <c r="B1" s="2" t="s">
        <v>379</v>
      </c>
      <c r="C1" s="2" t="s">
        <v>642</v>
      </c>
      <c r="D1" s="2" t="s">
        <v>892</v>
      </c>
      <c r="E1" s="2" t="s">
        <v>893</v>
      </c>
      <c r="F1" s="2" t="s">
        <v>894</v>
      </c>
      <c r="G1" s="2" t="s">
        <v>895</v>
      </c>
      <c r="H1" s="2" t="s">
        <v>90</v>
      </c>
      <c r="I1" s="2" t="s">
        <v>896</v>
      </c>
      <c r="J1" s="2" t="s">
        <v>70</v>
      </c>
      <c r="K1" s="2" t="s">
        <v>897</v>
      </c>
      <c r="L1" s="2" t="s">
        <v>91</v>
      </c>
      <c r="M1" s="2" t="s">
        <v>898</v>
      </c>
      <c r="N1" s="2" t="s">
        <v>899</v>
      </c>
      <c r="O1" s="2" t="s">
        <v>71</v>
      </c>
      <c r="P1" s="2" t="s">
        <v>900</v>
      </c>
      <c r="Q1" s="2" t="s">
        <v>901</v>
      </c>
      <c r="R1" s="2" t="s">
        <v>902</v>
      </c>
      <c r="S1" s="2" t="s">
        <v>903</v>
      </c>
      <c r="T1" s="2" t="s">
        <v>904</v>
      </c>
      <c r="U1" s="2" t="s">
        <v>905</v>
      </c>
      <c r="V1" s="2" t="s">
        <v>906</v>
      </c>
      <c r="W1" s="2" t="s">
        <v>907</v>
      </c>
      <c r="X1" s="2" t="s">
        <v>395</v>
      </c>
      <c r="Y1" s="2" t="s">
        <v>908</v>
      </c>
      <c r="Z1" s="2" t="s">
        <v>909</v>
      </c>
      <c r="AA1" s="2" t="s">
        <v>910</v>
      </c>
      <c r="AB1" s="2" t="s">
        <v>911</v>
      </c>
      <c r="AC1" s="2" t="s">
        <v>912</v>
      </c>
      <c r="AD1" s="2" t="s">
        <v>913</v>
      </c>
      <c r="AE1" s="2" t="s">
        <v>914</v>
      </c>
      <c r="AF1" s="2" t="s">
        <v>915</v>
      </c>
      <c r="AG1" s="2" t="s">
        <v>916</v>
      </c>
      <c r="AH1" s="2" t="s">
        <v>917</v>
      </c>
      <c r="AI1" s="2" t="s">
        <v>918</v>
      </c>
      <c r="AJ1" s="2" t="s">
        <v>919</v>
      </c>
    </row>
    <row r="2" spans="1:36" x14ac:dyDescent="0.3">
      <c r="A2" s="3" t="s">
        <v>920</v>
      </c>
      <c r="B2" s="41">
        <v>1</v>
      </c>
      <c r="C2" s="5">
        <v>46098</v>
      </c>
      <c r="D2" s="25" t="str">
        <f t="shared" ref="D2:D26" si="0">IF(C2="","",TEXT(C2,"mmm-yyyy"))</f>
        <v>Mar-2026</v>
      </c>
      <c r="E2" s="4"/>
      <c r="F2" s="3" t="s">
        <v>760</v>
      </c>
      <c r="G2" s="4" t="s">
        <v>763</v>
      </c>
      <c r="H2" s="39" t="s">
        <v>921</v>
      </c>
      <c r="I2" s="4"/>
      <c r="J2" s="37" t="s">
        <v>922</v>
      </c>
      <c r="K2" s="37">
        <v>51505</v>
      </c>
      <c r="L2" s="37" t="s">
        <v>762</v>
      </c>
      <c r="M2" s="4" t="s">
        <v>47</v>
      </c>
      <c r="N2" s="4" t="s">
        <v>231</v>
      </c>
      <c r="O2" s="4" t="s">
        <v>46</v>
      </c>
      <c r="P2" s="20">
        <v>590</v>
      </c>
      <c r="Q2" s="6">
        <v>574</v>
      </c>
      <c r="R2" s="20"/>
      <c r="S2" s="20"/>
      <c r="T2" s="20"/>
      <c r="U2" s="4">
        <v>151</v>
      </c>
      <c r="V2" s="6">
        <v>48880</v>
      </c>
      <c r="W2" s="6"/>
      <c r="X2" s="6">
        <v>48820</v>
      </c>
      <c r="Y2" s="6">
        <v>48246</v>
      </c>
      <c r="Z2" s="6">
        <v>48290</v>
      </c>
      <c r="AA2" s="20">
        <v>45.15</v>
      </c>
      <c r="AB2" s="20">
        <v>45.15072</v>
      </c>
      <c r="AC2" s="19">
        <v>8.8000000000000007</v>
      </c>
      <c r="AD2" s="19">
        <v>8.8000000000000007</v>
      </c>
      <c r="AE2" s="20">
        <v>172</v>
      </c>
      <c r="AF2" s="25"/>
      <c r="AG2" s="11" t="str">
        <f t="shared" ref="AG2:AG26" si="1">IF(Q2="","IN TRANSIT",IF(OR(AI2&lt;&gt;0,AJ2&lt;&gt;0),"DISCREPANCY","CLOSED"))</f>
        <v>DISCREPANCY</v>
      </c>
      <c r="AH2" s="5">
        <v>46099</v>
      </c>
      <c r="AI2" s="26">
        <f t="shared" ref="AI2:AI26" si="2">IF(OR(P2="",Q2=""),"",Q2-P2)</f>
        <v>-16</v>
      </c>
      <c r="AJ2" s="9">
        <f t="shared" ref="AJ2:AJ26" si="3">IF(OR(Z2="",Y2=""),"",Y2-Z2)</f>
        <v>-44</v>
      </c>
    </row>
    <row r="3" spans="1:36" x14ac:dyDescent="0.3">
      <c r="A3" s="12" t="s">
        <v>923</v>
      </c>
      <c r="B3" s="42">
        <v>2</v>
      </c>
      <c r="C3" s="14">
        <v>46098</v>
      </c>
      <c r="D3" s="24" t="str">
        <f t="shared" si="0"/>
        <v>Mar-2026</v>
      </c>
      <c r="E3" s="13"/>
      <c r="F3" s="12" t="s">
        <v>769</v>
      </c>
      <c r="G3" s="13" t="s">
        <v>770</v>
      </c>
      <c r="H3" s="40" t="s">
        <v>924</v>
      </c>
      <c r="I3" s="13"/>
      <c r="J3" s="38" t="s">
        <v>925</v>
      </c>
      <c r="K3" s="38">
        <v>51506</v>
      </c>
      <c r="L3" s="38" t="s">
        <v>762</v>
      </c>
      <c r="M3" s="13" t="s">
        <v>47</v>
      </c>
      <c r="N3" s="13" t="s">
        <v>231</v>
      </c>
      <c r="O3" s="13" t="s">
        <v>46</v>
      </c>
      <c r="P3" s="22">
        <v>590</v>
      </c>
      <c r="Q3" s="15">
        <v>618</v>
      </c>
      <c r="R3" s="22"/>
      <c r="S3" s="22"/>
      <c r="T3" s="22"/>
      <c r="U3" s="13">
        <v>153</v>
      </c>
      <c r="V3" s="15">
        <v>48680</v>
      </c>
      <c r="W3" s="15"/>
      <c r="X3" s="15">
        <v>48620</v>
      </c>
      <c r="Y3" s="15">
        <v>48002</v>
      </c>
      <c r="Z3" s="15">
        <v>48090</v>
      </c>
      <c r="AA3" s="22">
        <v>44.94</v>
      </c>
      <c r="AB3" s="22">
        <v>45.679830000000003</v>
      </c>
      <c r="AC3" s="21">
        <v>9.5</v>
      </c>
      <c r="AD3" s="21">
        <v>9.1999999999999993</v>
      </c>
      <c r="AE3" s="22">
        <v>184</v>
      </c>
      <c r="AF3" s="24"/>
      <c r="AG3" s="11" t="str">
        <f t="shared" si="1"/>
        <v>DISCREPANCY</v>
      </c>
      <c r="AH3" s="14">
        <v>46099</v>
      </c>
      <c r="AI3" s="28">
        <f t="shared" si="2"/>
        <v>28</v>
      </c>
      <c r="AJ3" s="17">
        <f t="shared" si="3"/>
        <v>-88</v>
      </c>
    </row>
    <row r="4" spans="1:36" x14ac:dyDescent="0.3">
      <c r="A4" s="3" t="s">
        <v>926</v>
      </c>
      <c r="B4" s="41">
        <v>3</v>
      </c>
      <c r="C4" s="5">
        <v>46098</v>
      </c>
      <c r="D4" s="25" t="str">
        <f t="shared" si="0"/>
        <v>Mar-2026</v>
      </c>
      <c r="E4" s="4"/>
      <c r="F4" s="3" t="s">
        <v>774</v>
      </c>
      <c r="G4" s="4" t="s">
        <v>775</v>
      </c>
      <c r="H4" s="39"/>
      <c r="I4" s="4"/>
      <c r="J4" s="37" t="s">
        <v>927</v>
      </c>
      <c r="K4" s="37">
        <v>51507</v>
      </c>
      <c r="L4" s="37" t="s">
        <v>267</v>
      </c>
      <c r="M4" s="4" t="s">
        <v>47</v>
      </c>
      <c r="N4" s="4" t="s">
        <v>231</v>
      </c>
      <c r="O4" s="4" t="s">
        <v>46</v>
      </c>
      <c r="P4" s="20">
        <v>523</v>
      </c>
      <c r="Q4" s="6"/>
      <c r="R4" s="20"/>
      <c r="S4" s="20"/>
      <c r="T4" s="20"/>
      <c r="U4" s="4"/>
      <c r="V4" s="6">
        <v>42140</v>
      </c>
      <c r="W4" s="6"/>
      <c r="X4" s="6"/>
      <c r="Y4" s="6"/>
      <c r="Z4" s="6">
        <v>41617</v>
      </c>
      <c r="AA4" s="20"/>
      <c r="AB4" s="20">
        <v>46.91442</v>
      </c>
      <c r="AC4" s="19"/>
      <c r="AD4" s="19">
        <v>9.3000000000000007</v>
      </c>
      <c r="AE4" s="20"/>
      <c r="AF4" s="25"/>
      <c r="AG4" s="11" t="str">
        <f t="shared" si="1"/>
        <v>IN TRANSIT</v>
      </c>
      <c r="AH4" s="5"/>
      <c r="AI4" s="26" t="str">
        <f t="shared" si="2"/>
        <v/>
      </c>
      <c r="AJ4" s="9" t="str">
        <f t="shared" si="3"/>
        <v/>
      </c>
    </row>
    <row r="5" spans="1:36" x14ac:dyDescent="0.3">
      <c r="A5" s="12" t="s">
        <v>928</v>
      </c>
      <c r="B5" s="42">
        <v>4</v>
      </c>
      <c r="C5" s="14">
        <v>46099</v>
      </c>
      <c r="D5" s="24" t="str">
        <f t="shared" si="0"/>
        <v>Mar-2026</v>
      </c>
      <c r="E5" s="13"/>
      <c r="F5" s="12" t="s">
        <v>778</v>
      </c>
      <c r="G5" s="13" t="s">
        <v>779</v>
      </c>
      <c r="H5" s="40" t="s">
        <v>929</v>
      </c>
      <c r="I5" s="13"/>
      <c r="J5" s="38" t="s">
        <v>930</v>
      </c>
      <c r="K5" s="38">
        <v>51508</v>
      </c>
      <c r="L5" s="38" t="s">
        <v>762</v>
      </c>
      <c r="M5" s="13" t="s">
        <v>47</v>
      </c>
      <c r="N5" s="13" t="s">
        <v>231</v>
      </c>
      <c r="O5" s="13" t="s">
        <v>46</v>
      </c>
      <c r="P5" s="22">
        <v>526</v>
      </c>
      <c r="Q5" s="15">
        <v>521</v>
      </c>
      <c r="R5" s="22"/>
      <c r="S5" s="22"/>
      <c r="T5" s="22"/>
      <c r="U5" s="13">
        <v>154</v>
      </c>
      <c r="V5" s="15">
        <v>41420</v>
      </c>
      <c r="W5" s="15"/>
      <c r="X5" s="15">
        <v>41240</v>
      </c>
      <c r="Y5" s="15">
        <v>40719</v>
      </c>
      <c r="Z5" s="15">
        <v>40894</v>
      </c>
      <c r="AA5" s="22">
        <v>44.52</v>
      </c>
      <c r="AB5" s="22">
        <v>45.503459999999997</v>
      </c>
      <c r="AC5" s="21">
        <v>8.9</v>
      </c>
      <c r="AD5" s="21">
        <v>8</v>
      </c>
      <c r="AE5" s="22">
        <v>192</v>
      </c>
      <c r="AF5" s="24"/>
      <c r="AG5" s="11" t="str">
        <f t="shared" si="1"/>
        <v>DISCREPANCY</v>
      </c>
      <c r="AH5" s="14">
        <v>46104</v>
      </c>
      <c r="AI5" s="28">
        <f t="shared" si="2"/>
        <v>-5</v>
      </c>
      <c r="AJ5" s="17">
        <f t="shared" si="3"/>
        <v>-175</v>
      </c>
    </row>
    <row r="6" spans="1:36" x14ac:dyDescent="0.3">
      <c r="A6" s="3" t="s">
        <v>931</v>
      </c>
      <c r="B6" s="41">
        <v>5</v>
      </c>
      <c r="C6" s="5">
        <v>46099</v>
      </c>
      <c r="D6" s="25" t="str">
        <f t="shared" si="0"/>
        <v>Mar-2026</v>
      </c>
      <c r="E6" s="4"/>
      <c r="F6" s="3" t="s">
        <v>782</v>
      </c>
      <c r="G6" s="4" t="s">
        <v>785</v>
      </c>
      <c r="H6" s="39" t="s">
        <v>932</v>
      </c>
      <c r="I6" s="4"/>
      <c r="J6" s="37" t="s">
        <v>933</v>
      </c>
      <c r="K6" s="37">
        <v>52047</v>
      </c>
      <c r="L6" s="37" t="s">
        <v>783</v>
      </c>
      <c r="M6" s="4" t="s">
        <v>783</v>
      </c>
      <c r="N6" s="4" t="s">
        <v>231</v>
      </c>
      <c r="O6" s="4" t="s">
        <v>46</v>
      </c>
      <c r="P6" s="20">
        <v>592</v>
      </c>
      <c r="Q6" s="6">
        <v>608</v>
      </c>
      <c r="R6" s="20"/>
      <c r="S6" s="20"/>
      <c r="T6" s="20"/>
      <c r="U6" s="4">
        <v>155</v>
      </c>
      <c r="V6" s="6">
        <v>50760</v>
      </c>
      <c r="W6" s="6"/>
      <c r="X6" s="6">
        <v>51840</v>
      </c>
      <c r="Y6" s="6">
        <v>51232</v>
      </c>
      <c r="Z6" s="6">
        <v>50168</v>
      </c>
      <c r="AA6" s="20">
        <v>45.49</v>
      </c>
      <c r="AB6" s="20">
        <v>46.03257</v>
      </c>
      <c r="AC6" s="19">
        <v>11.2</v>
      </c>
      <c r="AD6" s="19">
        <v>12</v>
      </c>
      <c r="AE6" s="20">
        <v>157</v>
      </c>
      <c r="AF6" s="25"/>
      <c r="AG6" s="11" t="str">
        <f t="shared" si="1"/>
        <v>DISCREPANCY</v>
      </c>
      <c r="AH6" s="5">
        <v>46104</v>
      </c>
      <c r="AI6" s="26">
        <f t="shared" si="2"/>
        <v>16</v>
      </c>
      <c r="AJ6" s="9">
        <f t="shared" si="3"/>
        <v>1064</v>
      </c>
    </row>
    <row r="7" spans="1:36" x14ac:dyDescent="0.3">
      <c r="A7" s="12" t="s">
        <v>934</v>
      </c>
      <c r="B7" s="42">
        <v>6</v>
      </c>
      <c r="C7" s="14">
        <v>46104</v>
      </c>
      <c r="D7" s="24" t="str">
        <f t="shared" si="0"/>
        <v>Mar-2026</v>
      </c>
      <c r="E7" s="13"/>
      <c r="F7" s="12" t="s">
        <v>788</v>
      </c>
      <c r="G7" s="13" t="s">
        <v>790</v>
      </c>
      <c r="H7" s="40"/>
      <c r="I7" s="13"/>
      <c r="J7" s="38" t="s">
        <v>935</v>
      </c>
      <c r="K7" s="38">
        <v>51515</v>
      </c>
      <c r="L7" s="38" t="s">
        <v>789</v>
      </c>
      <c r="M7" s="13" t="s">
        <v>789</v>
      </c>
      <c r="N7" s="13" t="s">
        <v>231</v>
      </c>
      <c r="O7" s="13" t="s">
        <v>46</v>
      </c>
      <c r="P7" s="22">
        <v>678</v>
      </c>
      <c r="Q7" s="15"/>
      <c r="R7" s="22"/>
      <c r="S7" s="22"/>
      <c r="T7" s="22"/>
      <c r="U7" s="13"/>
      <c r="V7" s="15">
        <v>54940</v>
      </c>
      <c r="W7" s="15"/>
      <c r="X7" s="15"/>
      <c r="Y7" s="15"/>
      <c r="Z7" s="15">
        <v>54262</v>
      </c>
      <c r="AA7" s="22"/>
      <c r="AB7" s="22">
        <v>45.503459999999997</v>
      </c>
      <c r="AC7" s="21"/>
      <c r="AD7" s="21">
        <v>10.7</v>
      </c>
      <c r="AE7" s="22"/>
      <c r="AF7" s="24"/>
      <c r="AG7" s="11" t="str">
        <f t="shared" si="1"/>
        <v>IN TRANSIT</v>
      </c>
      <c r="AH7" s="14"/>
      <c r="AI7" s="28" t="str">
        <f t="shared" si="2"/>
        <v/>
      </c>
      <c r="AJ7" s="17" t="str">
        <f t="shared" si="3"/>
        <v/>
      </c>
    </row>
    <row r="8" spans="1:36" x14ac:dyDescent="0.3">
      <c r="A8" s="3" t="s">
        <v>936</v>
      </c>
      <c r="B8" s="41">
        <v>7</v>
      </c>
      <c r="C8" s="5">
        <v>46104</v>
      </c>
      <c r="D8" s="25" t="str">
        <f t="shared" si="0"/>
        <v>Mar-2026</v>
      </c>
      <c r="E8" s="4"/>
      <c r="F8" s="3" t="s">
        <v>793</v>
      </c>
      <c r="G8" s="4" t="s">
        <v>795</v>
      </c>
      <c r="H8" s="39" t="s">
        <v>937</v>
      </c>
      <c r="I8" s="4"/>
      <c r="J8" s="37" t="s">
        <v>938</v>
      </c>
      <c r="K8" s="37">
        <v>51514</v>
      </c>
      <c r="L8" s="37" t="s">
        <v>939</v>
      </c>
      <c r="M8" s="4" t="s">
        <v>940</v>
      </c>
      <c r="N8" s="4" t="s">
        <v>231</v>
      </c>
      <c r="O8" s="4" t="s">
        <v>46</v>
      </c>
      <c r="P8" s="20">
        <v>494</v>
      </c>
      <c r="Q8" s="6">
        <v>516</v>
      </c>
      <c r="R8" s="20"/>
      <c r="S8" s="20"/>
      <c r="T8" s="20"/>
      <c r="U8" s="4">
        <v>160</v>
      </c>
      <c r="V8" s="6">
        <v>40200</v>
      </c>
      <c r="W8" s="6"/>
      <c r="X8" s="6">
        <v>40300</v>
      </c>
      <c r="Y8" s="6">
        <v>39784</v>
      </c>
      <c r="Z8" s="6">
        <v>39706</v>
      </c>
      <c r="AA8" s="20">
        <v>44.17</v>
      </c>
      <c r="AB8" s="20">
        <v>44.974350000000001</v>
      </c>
      <c r="AC8" s="19">
        <v>9.8000000000000007</v>
      </c>
      <c r="AD8" s="19">
        <v>9.8000000000000007</v>
      </c>
      <c r="AE8" s="20">
        <v>180</v>
      </c>
      <c r="AF8" s="25"/>
      <c r="AG8" s="11" t="str">
        <f t="shared" si="1"/>
        <v>DISCREPANCY</v>
      </c>
      <c r="AH8" s="5">
        <v>46105</v>
      </c>
      <c r="AI8" s="26">
        <f t="shared" si="2"/>
        <v>22</v>
      </c>
      <c r="AJ8" s="9">
        <f t="shared" si="3"/>
        <v>78</v>
      </c>
    </row>
    <row r="9" spans="1:36" x14ac:dyDescent="0.3">
      <c r="A9" s="12" t="s">
        <v>941</v>
      </c>
      <c r="B9" s="42">
        <v>8</v>
      </c>
      <c r="C9" s="14">
        <v>46104</v>
      </c>
      <c r="D9" s="24" t="str">
        <f t="shared" si="0"/>
        <v>Mar-2026</v>
      </c>
      <c r="E9" s="13"/>
      <c r="F9" s="12" t="s">
        <v>800</v>
      </c>
      <c r="G9" s="13" t="s">
        <v>802</v>
      </c>
      <c r="H9" s="40" t="s">
        <v>942</v>
      </c>
      <c r="I9" s="13"/>
      <c r="J9" s="38" t="s">
        <v>943</v>
      </c>
      <c r="K9" s="38">
        <v>51510</v>
      </c>
      <c r="L9" s="38" t="s">
        <v>801</v>
      </c>
      <c r="M9" s="13" t="s">
        <v>801</v>
      </c>
      <c r="N9" s="13" t="s">
        <v>231</v>
      </c>
      <c r="O9" s="13" t="s">
        <v>46</v>
      </c>
      <c r="P9" s="22">
        <v>511</v>
      </c>
      <c r="Q9" s="15">
        <v>434</v>
      </c>
      <c r="R9" s="22"/>
      <c r="S9" s="22"/>
      <c r="T9" s="22"/>
      <c r="U9" s="13">
        <v>168</v>
      </c>
      <c r="V9" s="15">
        <v>40280</v>
      </c>
      <c r="W9" s="15"/>
      <c r="X9" s="15">
        <v>40400</v>
      </c>
      <c r="Y9" s="15">
        <v>39966</v>
      </c>
      <c r="Z9" s="15">
        <v>39769</v>
      </c>
      <c r="AA9" s="22">
        <v>44.88</v>
      </c>
      <c r="AB9" s="22">
        <v>45.856200000000001</v>
      </c>
      <c r="AC9" s="21">
        <v>8.9</v>
      </c>
      <c r="AD9" s="21">
        <v>9.6999999999999993</v>
      </c>
      <c r="AE9" s="22">
        <v>184</v>
      </c>
      <c r="AF9" s="24"/>
      <c r="AG9" s="11" t="str">
        <f t="shared" si="1"/>
        <v>DISCREPANCY</v>
      </c>
      <c r="AH9" s="14">
        <v>46107</v>
      </c>
      <c r="AI9" s="28">
        <f t="shared" si="2"/>
        <v>-77</v>
      </c>
      <c r="AJ9" s="17">
        <f t="shared" si="3"/>
        <v>197</v>
      </c>
    </row>
    <row r="10" spans="1:36" x14ac:dyDescent="0.3">
      <c r="A10" s="3" t="s">
        <v>944</v>
      </c>
      <c r="B10" s="41">
        <v>9</v>
      </c>
      <c r="C10" s="5">
        <v>46104</v>
      </c>
      <c r="D10" s="25" t="str">
        <f t="shared" si="0"/>
        <v>Mar-2026</v>
      </c>
      <c r="E10" s="4"/>
      <c r="F10" s="3" t="s">
        <v>805</v>
      </c>
      <c r="G10" s="4" t="s">
        <v>807</v>
      </c>
      <c r="H10" s="39" t="s">
        <v>945</v>
      </c>
      <c r="I10" s="4"/>
      <c r="J10" s="37" t="s">
        <v>946</v>
      </c>
      <c r="K10" s="37">
        <v>51511</v>
      </c>
      <c r="L10" s="37" t="s">
        <v>806</v>
      </c>
      <c r="M10" s="4" t="s">
        <v>31</v>
      </c>
      <c r="N10" s="4" t="s">
        <v>231</v>
      </c>
      <c r="O10" s="4" t="s">
        <v>46</v>
      </c>
      <c r="P10" s="20">
        <v>505</v>
      </c>
      <c r="Q10" s="6">
        <v>519</v>
      </c>
      <c r="R10" s="20"/>
      <c r="S10" s="20"/>
      <c r="T10" s="20"/>
      <c r="U10" s="4">
        <v>162</v>
      </c>
      <c r="V10" s="6">
        <v>40660</v>
      </c>
      <c r="W10" s="6"/>
      <c r="X10" s="6">
        <v>40760</v>
      </c>
      <c r="Y10" s="6">
        <v>40241</v>
      </c>
      <c r="Z10" s="6">
        <v>40155</v>
      </c>
      <c r="AA10" s="20">
        <v>44.96</v>
      </c>
      <c r="AB10" s="20">
        <v>44.974350000000001</v>
      </c>
      <c r="AC10" s="19">
        <v>8.6</v>
      </c>
      <c r="AD10" s="19">
        <v>9.1</v>
      </c>
      <c r="AE10" s="20">
        <v>178</v>
      </c>
      <c r="AF10" s="25"/>
      <c r="AG10" s="11" t="str">
        <f t="shared" si="1"/>
        <v>DISCREPANCY</v>
      </c>
      <c r="AH10" s="5">
        <v>46105</v>
      </c>
      <c r="AI10" s="26">
        <f t="shared" si="2"/>
        <v>14</v>
      </c>
      <c r="AJ10" s="9">
        <f t="shared" si="3"/>
        <v>86</v>
      </c>
    </row>
    <row r="11" spans="1:36" x14ac:dyDescent="0.3">
      <c r="A11" s="12" t="s">
        <v>947</v>
      </c>
      <c r="B11" s="42">
        <v>10</v>
      </c>
      <c r="C11" s="14">
        <v>46104</v>
      </c>
      <c r="D11" s="24" t="str">
        <f t="shared" si="0"/>
        <v>Mar-2026</v>
      </c>
      <c r="E11" s="13"/>
      <c r="F11" s="12" t="s">
        <v>810</v>
      </c>
      <c r="G11" s="13" t="s">
        <v>811</v>
      </c>
      <c r="H11" s="40" t="s">
        <v>942</v>
      </c>
      <c r="I11" s="13"/>
      <c r="J11" s="38" t="s">
        <v>948</v>
      </c>
      <c r="K11" s="38">
        <v>51516</v>
      </c>
      <c r="L11" s="38" t="s">
        <v>762</v>
      </c>
      <c r="M11" s="13" t="s">
        <v>47</v>
      </c>
      <c r="N11" s="13" t="s">
        <v>231</v>
      </c>
      <c r="O11" s="13" t="s">
        <v>46</v>
      </c>
      <c r="P11" s="22">
        <v>504</v>
      </c>
      <c r="Q11" s="15">
        <v>560</v>
      </c>
      <c r="R11" s="22"/>
      <c r="S11" s="22"/>
      <c r="T11" s="22"/>
      <c r="U11" s="13">
        <v>158</v>
      </c>
      <c r="V11" s="15">
        <v>40500</v>
      </c>
      <c r="W11" s="15"/>
      <c r="X11" s="15">
        <v>40740</v>
      </c>
      <c r="Y11" s="15">
        <v>40180</v>
      </c>
      <c r="Z11" s="15">
        <v>39996</v>
      </c>
      <c r="AA11" s="22">
        <v>44.7</v>
      </c>
      <c r="AB11" s="22">
        <v>45.15072</v>
      </c>
      <c r="AC11" s="21">
        <v>8.8000000000000007</v>
      </c>
      <c r="AD11" s="21">
        <v>8.9</v>
      </c>
      <c r="AE11" s="22">
        <v>168</v>
      </c>
      <c r="AF11" s="24"/>
      <c r="AG11" s="11" t="str">
        <f t="shared" si="1"/>
        <v>DISCREPANCY</v>
      </c>
      <c r="AH11" s="14">
        <v>46105</v>
      </c>
      <c r="AI11" s="28">
        <f t="shared" si="2"/>
        <v>56</v>
      </c>
      <c r="AJ11" s="17">
        <f t="shared" si="3"/>
        <v>184</v>
      </c>
    </row>
    <row r="12" spans="1:36" x14ac:dyDescent="0.3">
      <c r="A12" s="3" t="s">
        <v>949</v>
      </c>
      <c r="B12" s="41">
        <v>11</v>
      </c>
      <c r="C12" s="5">
        <v>46104</v>
      </c>
      <c r="D12" s="25" t="str">
        <f t="shared" si="0"/>
        <v>Mar-2026</v>
      </c>
      <c r="E12" s="4"/>
      <c r="F12" s="3" t="s">
        <v>814</v>
      </c>
      <c r="G12" s="4" t="s">
        <v>816</v>
      </c>
      <c r="H12" s="39"/>
      <c r="I12" s="4"/>
      <c r="J12" s="37" t="s">
        <v>950</v>
      </c>
      <c r="K12" s="37">
        <v>51513</v>
      </c>
      <c r="L12" s="37" t="s">
        <v>815</v>
      </c>
      <c r="M12" s="4" t="s">
        <v>815</v>
      </c>
      <c r="N12" s="4" t="s">
        <v>231</v>
      </c>
      <c r="O12" s="4" t="s">
        <v>46</v>
      </c>
      <c r="P12" s="20">
        <v>457</v>
      </c>
      <c r="Q12" s="6"/>
      <c r="R12" s="20"/>
      <c r="S12" s="20"/>
      <c r="T12" s="20"/>
      <c r="U12" s="4"/>
      <c r="V12" s="6">
        <v>40140</v>
      </c>
      <c r="W12" s="6"/>
      <c r="X12" s="6"/>
      <c r="Y12" s="6"/>
      <c r="Z12" s="6">
        <v>39683</v>
      </c>
      <c r="AA12" s="20"/>
      <c r="AB12" s="20">
        <v>44.445239999999998</v>
      </c>
      <c r="AC12" s="19"/>
      <c r="AD12" s="19">
        <v>9.9</v>
      </c>
      <c r="AE12" s="20"/>
      <c r="AF12" s="25"/>
      <c r="AG12" s="11" t="str">
        <f t="shared" si="1"/>
        <v>IN TRANSIT</v>
      </c>
      <c r="AH12" s="5"/>
      <c r="AI12" s="26" t="str">
        <f t="shared" si="2"/>
        <v/>
      </c>
      <c r="AJ12" s="9" t="str">
        <f t="shared" si="3"/>
        <v/>
      </c>
    </row>
    <row r="13" spans="1:36" x14ac:dyDescent="0.3">
      <c r="A13" s="12" t="s">
        <v>951</v>
      </c>
      <c r="B13" s="42">
        <v>12</v>
      </c>
      <c r="C13" s="14">
        <v>46104</v>
      </c>
      <c r="D13" s="24" t="str">
        <f t="shared" si="0"/>
        <v>Mar-2026</v>
      </c>
      <c r="E13" s="13"/>
      <c r="F13" s="12" t="s">
        <v>819</v>
      </c>
      <c r="G13" s="13" t="s">
        <v>820</v>
      </c>
      <c r="H13" s="40" t="s">
        <v>952</v>
      </c>
      <c r="I13" s="13"/>
      <c r="J13" s="38" t="s">
        <v>953</v>
      </c>
      <c r="K13" s="38">
        <v>51517</v>
      </c>
      <c r="L13" s="38" t="s">
        <v>806</v>
      </c>
      <c r="M13" s="13" t="s">
        <v>31</v>
      </c>
      <c r="N13" s="13" t="s">
        <v>231</v>
      </c>
      <c r="O13" s="13" t="s">
        <v>46</v>
      </c>
      <c r="P13" s="22">
        <v>472</v>
      </c>
      <c r="Q13" s="15">
        <v>513</v>
      </c>
      <c r="R13" s="22"/>
      <c r="S13" s="22"/>
      <c r="T13" s="22"/>
      <c r="U13" s="13">
        <v>157</v>
      </c>
      <c r="V13" s="15">
        <v>39060</v>
      </c>
      <c r="W13" s="15"/>
      <c r="X13" s="15">
        <v>39120</v>
      </c>
      <c r="Y13" s="15">
        <v>38607</v>
      </c>
      <c r="Z13" s="15">
        <v>38588</v>
      </c>
      <c r="AA13" s="22">
        <v>45.05</v>
      </c>
      <c r="AB13" s="22">
        <v>0</v>
      </c>
      <c r="AC13" s="21">
        <v>9.6999999999999993</v>
      </c>
      <c r="AD13" s="21"/>
      <c r="AE13" s="22">
        <v>168</v>
      </c>
      <c r="AF13" s="24"/>
      <c r="AG13" s="11" t="str">
        <f t="shared" si="1"/>
        <v>DISCREPANCY</v>
      </c>
      <c r="AH13" s="14">
        <v>46105</v>
      </c>
      <c r="AI13" s="28">
        <f t="shared" si="2"/>
        <v>41</v>
      </c>
      <c r="AJ13" s="17">
        <f t="shared" si="3"/>
        <v>19</v>
      </c>
    </row>
    <row r="14" spans="1:36" x14ac:dyDescent="0.3">
      <c r="A14" s="3" t="s">
        <v>954</v>
      </c>
      <c r="B14" s="41">
        <v>13</v>
      </c>
      <c r="C14" s="5">
        <v>46105</v>
      </c>
      <c r="D14" s="25" t="str">
        <f t="shared" si="0"/>
        <v>Mar-2026</v>
      </c>
      <c r="E14" s="4"/>
      <c r="F14" s="3" t="s">
        <v>823</v>
      </c>
      <c r="G14" s="4" t="s">
        <v>826</v>
      </c>
      <c r="H14" s="39" t="s">
        <v>955</v>
      </c>
      <c r="I14" s="4"/>
      <c r="J14" s="37" t="s">
        <v>956</v>
      </c>
      <c r="K14" s="37">
        <v>51512</v>
      </c>
      <c r="L14" s="37" t="s">
        <v>825</v>
      </c>
      <c r="M14" s="4" t="s">
        <v>824</v>
      </c>
      <c r="N14" s="4" t="s">
        <v>231</v>
      </c>
      <c r="O14" s="4" t="s">
        <v>46</v>
      </c>
      <c r="P14" s="20">
        <v>526</v>
      </c>
      <c r="Q14" s="6">
        <v>537</v>
      </c>
      <c r="R14" s="20"/>
      <c r="S14" s="20"/>
      <c r="T14" s="20"/>
      <c r="U14" s="4">
        <v>176</v>
      </c>
      <c r="V14" s="6">
        <v>38520</v>
      </c>
      <c r="W14" s="6"/>
      <c r="X14" s="6">
        <v>38380</v>
      </c>
      <c r="Y14" s="6">
        <v>37843</v>
      </c>
      <c r="Z14" s="6">
        <v>37994</v>
      </c>
      <c r="AA14" s="20">
        <v>44.26</v>
      </c>
      <c r="AB14" s="20">
        <v>44.26887</v>
      </c>
      <c r="AC14" s="19">
        <v>10.9</v>
      </c>
      <c r="AD14" s="19">
        <v>11.7</v>
      </c>
      <c r="AE14" s="20">
        <v>174</v>
      </c>
      <c r="AF14" s="25"/>
      <c r="AG14" s="11" t="str">
        <f t="shared" si="1"/>
        <v>DISCREPANCY</v>
      </c>
      <c r="AH14" s="5">
        <v>46109</v>
      </c>
      <c r="AI14" s="26">
        <f t="shared" si="2"/>
        <v>11</v>
      </c>
      <c r="AJ14" s="9">
        <f t="shared" si="3"/>
        <v>-151</v>
      </c>
    </row>
    <row r="15" spans="1:36" x14ac:dyDescent="0.3">
      <c r="A15" s="12" t="s">
        <v>957</v>
      </c>
      <c r="B15" s="42">
        <v>14</v>
      </c>
      <c r="C15" s="14">
        <v>46105</v>
      </c>
      <c r="D15" s="24" t="str">
        <f t="shared" si="0"/>
        <v>Mar-2026</v>
      </c>
      <c r="E15" s="13"/>
      <c r="F15" s="12" t="s">
        <v>829</v>
      </c>
      <c r="G15" s="13" t="s">
        <v>832</v>
      </c>
      <c r="H15" s="40" t="s">
        <v>958</v>
      </c>
      <c r="I15" s="13"/>
      <c r="J15" s="38" t="s">
        <v>959</v>
      </c>
      <c r="K15" s="38">
        <v>51519</v>
      </c>
      <c r="L15" s="38" t="s">
        <v>831</v>
      </c>
      <c r="M15" s="13" t="s">
        <v>830</v>
      </c>
      <c r="N15" s="13" t="s">
        <v>231</v>
      </c>
      <c r="O15" s="13" t="s">
        <v>46</v>
      </c>
      <c r="P15" s="22">
        <v>474</v>
      </c>
      <c r="Q15" s="15">
        <v>487</v>
      </c>
      <c r="R15" s="22"/>
      <c r="S15" s="22"/>
      <c r="T15" s="22"/>
      <c r="U15" s="13">
        <v>166</v>
      </c>
      <c r="V15" s="15">
        <v>38820</v>
      </c>
      <c r="W15" s="15"/>
      <c r="X15" s="15">
        <v>39040</v>
      </c>
      <c r="Y15" s="15">
        <v>38553</v>
      </c>
      <c r="Z15" s="15">
        <v>38346</v>
      </c>
      <c r="AA15" s="22">
        <v>44.52</v>
      </c>
      <c r="AB15" s="22">
        <v>44.26887</v>
      </c>
      <c r="AC15" s="21">
        <v>9.9</v>
      </c>
      <c r="AD15" s="21">
        <v>11.7</v>
      </c>
      <c r="AE15" s="22">
        <v>160</v>
      </c>
      <c r="AF15" s="24"/>
      <c r="AG15" s="11" t="str">
        <f t="shared" si="1"/>
        <v>DISCREPANCY</v>
      </c>
      <c r="AH15" s="14">
        <v>46107</v>
      </c>
      <c r="AI15" s="28">
        <f t="shared" si="2"/>
        <v>13</v>
      </c>
      <c r="AJ15" s="17">
        <f t="shared" si="3"/>
        <v>207</v>
      </c>
    </row>
    <row r="16" spans="1:36" x14ac:dyDescent="0.3">
      <c r="A16" s="3" t="s">
        <v>960</v>
      </c>
      <c r="B16" s="41">
        <v>15</v>
      </c>
      <c r="C16" s="5">
        <v>46105</v>
      </c>
      <c r="D16" s="25" t="str">
        <f t="shared" si="0"/>
        <v>Mar-2026</v>
      </c>
      <c r="E16" s="4"/>
      <c r="F16" s="3" t="s">
        <v>835</v>
      </c>
      <c r="G16" s="4" t="s">
        <v>837</v>
      </c>
      <c r="H16" s="39"/>
      <c r="I16" s="4"/>
      <c r="J16" s="37" t="s">
        <v>961</v>
      </c>
      <c r="K16" s="37">
        <v>51520</v>
      </c>
      <c r="L16" s="37" t="s">
        <v>806</v>
      </c>
      <c r="M16" s="4" t="s">
        <v>836</v>
      </c>
      <c r="N16" s="4" t="s">
        <v>231</v>
      </c>
      <c r="O16" s="4" t="s">
        <v>46</v>
      </c>
      <c r="P16" s="20">
        <v>496</v>
      </c>
      <c r="Q16" s="6"/>
      <c r="R16" s="20"/>
      <c r="S16" s="20"/>
      <c r="T16" s="20"/>
      <c r="U16" s="4"/>
      <c r="V16" s="6">
        <v>40120</v>
      </c>
      <c r="W16" s="6"/>
      <c r="X16" s="6"/>
      <c r="Y16" s="6"/>
      <c r="Z16" s="6">
        <v>39624</v>
      </c>
      <c r="AA16" s="20"/>
      <c r="AB16" s="20">
        <v>44.445239999999998</v>
      </c>
      <c r="AC16" s="19"/>
      <c r="AD16" s="19">
        <v>10</v>
      </c>
      <c r="AE16" s="20"/>
      <c r="AF16" s="25"/>
      <c r="AG16" s="11" t="str">
        <f t="shared" si="1"/>
        <v>IN TRANSIT</v>
      </c>
      <c r="AH16" s="5"/>
      <c r="AI16" s="26" t="str">
        <f t="shared" si="2"/>
        <v/>
      </c>
      <c r="AJ16" s="9" t="str">
        <f t="shared" si="3"/>
        <v/>
      </c>
    </row>
    <row r="17" spans="1:36" x14ac:dyDescent="0.3">
      <c r="A17" s="12" t="s">
        <v>962</v>
      </c>
      <c r="B17" s="42">
        <v>16</v>
      </c>
      <c r="C17" s="14">
        <v>46105</v>
      </c>
      <c r="D17" s="24" t="str">
        <f t="shared" si="0"/>
        <v>Mar-2026</v>
      </c>
      <c r="E17" s="13"/>
      <c r="F17" s="12" t="s">
        <v>840</v>
      </c>
      <c r="G17" s="13" t="s">
        <v>842</v>
      </c>
      <c r="H17" s="40" t="s">
        <v>963</v>
      </c>
      <c r="I17" s="13"/>
      <c r="J17" s="38" t="s">
        <v>964</v>
      </c>
      <c r="K17" s="38">
        <v>51518</v>
      </c>
      <c r="L17" s="38" t="s">
        <v>841</v>
      </c>
      <c r="M17" s="13" t="s">
        <v>830</v>
      </c>
      <c r="N17" s="13" t="s">
        <v>231</v>
      </c>
      <c r="O17" s="13" t="s">
        <v>46</v>
      </c>
      <c r="P17" s="22">
        <v>514</v>
      </c>
      <c r="Q17" s="15">
        <v>525</v>
      </c>
      <c r="R17" s="22"/>
      <c r="S17" s="22"/>
      <c r="T17" s="22"/>
      <c r="U17" s="13">
        <v>167</v>
      </c>
      <c r="V17" s="15">
        <v>41460</v>
      </c>
      <c r="W17" s="15"/>
      <c r="X17" s="15">
        <v>41560</v>
      </c>
      <c r="Y17" s="15">
        <v>41035</v>
      </c>
      <c r="Z17" s="15">
        <v>40946</v>
      </c>
      <c r="AA17" s="22">
        <v>44.35</v>
      </c>
      <c r="AB17" s="22">
        <v>44.445239999999998</v>
      </c>
      <c r="AC17" s="21">
        <v>10.3</v>
      </c>
      <c r="AD17" s="21">
        <v>9.4</v>
      </c>
      <c r="AE17" s="22">
        <v>172</v>
      </c>
      <c r="AF17" s="24"/>
      <c r="AG17" s="11" t="str">
        <f t="shared" si="1"/>
        <v>DISCREPANCY</v>
      </c>
      <c r="AH17" s="14">
        <v>46107</v>
      </c>
      <c r="AI17" s="28">
        <f t="shared" si="2"/>
        <v>11</v>
      </c>
      <c r="AJ17" s="17">
        <f t="shared" si="3"/>
        <v>89</v>
      </c>
    </row>
    <row r="18" spans="1:36" x14ac:dyDescent="0.3">
      <c r="A18" s="3" t="s">
        <v>965</v>
      </c>
      <c r="B18" s="41">
        <v>17</v>
      </c>
      <c r="C18" s="5">
        <v>46105</v>
      </c>
      <c r="D18" s="25" t="str">
        <f t="shared" si="0"/>
        <v>Mar-2026</v>
      </c>
      <c r="E18" s="4"/>
      <c r="F18" s="3" t="s">
        <v>845</v>
      </c>
      <c r="G18" s="4" t="s">
        <v>846</v>
      </c>
      <c r="H18" s="39" t="s">
        <v>966</v>
      </c>
      <c r="I18" s="4"/>
      <c r="J18" s="37" t="s">
        <v>967</v>
      </c>
      <c r="K18" s="37">
        <v>51521</v>
      </c>
      <c r="L18" s="37" t="s">
        <v>806</v>
      </c>
      <c r="M18" s="4" t="s">
        <v>836</v>
      </c>
      <c r="N18" s="4" t="s">
        <v>231</v>
      </c>
      <c r="O18" s="4" t="s">
        <v>46</v>
      </c>
      <c r="P18" s="20">
        <v>504</v>
      </c>
      <c r="Q18" s="6">
        <v>486</v>
      </c>
      <c r="R18" s="20"/>
      <c r="S18" s="20"/>
      <c r="T18" s="20"/>
      <c r="U18" s="4">
        <v>159</v>
      </c>
      <c r="V18" s="6">
        <v>41100</v>
      </c>
      <c r="W18" s="6"/>
      <c r="X18" s="6">
        <v>41160</v>
      </c>
      <c r="Y18" s="6">
        <v>40674</v>
      </c>
      <c r="Z18" s="6">
        <v>40596</v>
      </c>
      <c r="AA18" s="20">
        <v>44.52</v>
      </c>
      <c r="AB18" s="20">
        <v>44.797980000000003</v>
      </c>
      <c r="AC18" s="19">
        <v>10</v>
      </c>
      <c r="AD18" s="19">
        <v>10.5</v>
      </c>
      <c r="AE18" s="20">
        <v>185</v>
      </c>
      <c r="AF18" s="25"/>
      <c r="AG18" s="11" t="str">
        <f t="shared" si="1"/>
        <v>DISCREPANCY</v>
      </c>
      <c r="AH18" s="5">
        <v>46107</v>
      </c>
      <c r="AI18" s="26">
        <f t="shared" si="2"/>
        <v>-18</v>
      </c>
      <c r="AJ18" s="9">
        <f t="shared" si="3"/>
        <v>78</v>
      </c>
    </row>
    <row r="19" spans="1:36" x14ac:dyDescent="0.3">
      <c r="A19" s="12" t="s">
        <v>968</v>
      </c>
      <c r="B19" s="42">
        <v>18</v>
      </c>
      <c r="C19" s="14">
        <v>46105</v>
      </c>
      <c r="D19" s="24" t="str">
        <f t="shared" si="0"/>
        <v>Mar-2026</v>
      </c>
      <c r="E19" s="13"/>
      <c r="F19" s="12" t="s">
        <v>849</v>
      </c>
      <c r="G19" s="13" t="s">
        <v>851</v>
      </c>
      <c r="H19" s="40" t="s">
        <v>969</v>
      </c>
      <c r="I19" s="13"/>
      <c r="J19" s="38" t="s">
        <v>970</v>
      </c>
      <c r="K19" s="38">
        <v>51522</v>
      </c>
      <c r="L19" s="38" t="s">
        <v>850</v>
      </c>
      <c r="M19" s="13" t="s">
        <v>836</v>
      </c>
      <c r="N19" s="13" t="s">
        <v>231</v>
      </c>
      <c r="O19" s="13" t="s">
        <v>46</v>
      </c>
      <c r="P19" s="22">
        <v>424</v>
      </c>
      <c r="Q19" s="15">
        <v>439</v>
      </c>
      <c r="R19" s="22"/>
      <c r="S19" s="22"/>
      <c r="T19" s="22"/>
      <c r="U19" s="13">
        <v>172</v>
      </c>
      <c r="V19" s="15">
        <v>36540</v>
      </c>
      <c r="W19" s="15"/>
      <c r="X19" s="15">
        <v>36500</v>
      </c>
      <c r="Y19" s="15">
        <v>36061</v>
      </c>
      <c r="Z19" s="15">
        <v>36116</v>
      </c>
      <c r="AA19" s="22">
        <v>45.23</v>
      </c>
      <c r="AB19" s="22">
        <v>45.503459999999997</v>
      </c>
      <c r="AC19" s="21">
        <v>9.8000000000000007</v>
      </c>
      <c r="AD19" s="21">
        <v>8.4</v>
      </c>
      <c r="AE19" s="22">
        <v>173</v>
      </c>
      <c r="AF19" s="24"/>
      <c r="AG19" s="11" t="str">
        <f t="shared" si="1"/>
        <v>DISCREPANCY</v>
      </c>
      <c r="AH19" s="14">
        <v>46108</v>
      </c>
      <c r="AI19" s="28">
        <f t="shared" si="2"/>
        <v>15</v>
      </c>
      <c r="AJ19" s="17">
        <f t="shared" si="3"/>
        <v>-55</v>
      </c>
    </row>
    <row r="20" spans="1:36" x14ac:dyDescent="0.3">
      <c r="A20" s="3" t="s">
        <v>971</v>
      </c>
      <c r="B20" s="41">
        <v>19</v>
      </c>
      <c r="C20" s="5">
        <v>46105</v>
      </c>
      <c r="D20" s="25" t="str">
        <f t="shared" si="0"/>
        <v>Mar-2026</v>
      </c>
      <c r="E20" s="4"/>
      <c r="F20" s="3" t="s">
        <v>854</v>
      </c>
      <c r="G20" s="4" t="s">
        <v>855</v>
      </c>
      <c r="H20" s="39"/>
      <c r="I20" s="4"/>
      <c r="J20" s="37" t="s">
        <v>972</v>
      </c>
      <c r="K20" s="37">
        <v>51523</v>
      </c>
      <c r="L20" s="37" t="s">
        <v>850</v>
      </c>
      <c r="M20" s="4" t="s">
        <v>836</v>
      </c>
      <c r="N20" s="4" t="s">
        <v>231</v>
      </c>
      <c r="O20" s="4" t="s">
        <v>46</v>
      </c>
      <c r="P20" s="20">
        <v>454</v>
      </c>
      <c r="Q20" s="6"/>
      <c r="R20" s="20"/>
      <c r="S20" s="20"/>
      <c r="T20" s="20"/>
      <c r="U20" s="4"/>
      <c r="V20" s="6">
        <v>39440</v>
      </c>
      <c r="W20" s="6"/>
      <c r="X20" s="6"/>
      <c r="Y20" s="6"/>
      <c r="Z20" s="6">
        <v>38986</v>
      </c>
      <c r="AA20" s="20"/>
      <c r="AB20" s="20">
        <v>45.503459999999997</v>
      </c>
      <c r="AC20" s="19"/>
      <c r="AD20" s="19">
        <v>8.4</v>
      </c>
      <c r="AE20" s="20"/>
      <c r="AF20" s="25"/>
      <c r="AG20" s="11" t="str">
        <f t="shared" si="1"/>
        <v>IN TRANSIT</v>
      </c>
      <c r="AH20" s="5"/>
      <c r="AI20" s="26" t="str">
        <f t="shared" si="2"/>
        <v/>
      </c>
      <c r="AJ20" s="9" t="str">
        <f t="shared" si="3"/>
        <v/>
      </c>
    </row>
    <row r="21" spans="1:36" x14ac:dyDescent="0.3">
      <c r="A21" s="12" t="s">
        <v>973</v>
      </c>
      <c r="B21" s="42">
        <v>20</v>
      </c>
      <c r="C21" s="14">
        <v>46105</v>
      </c>
      <c r="D21" s="24" t="str">
        <f t="shared" si="0"/>
        <v>Mar-2026</v>
      </c>
      <c r="E21" s="13"/>
      <c r="F21" s="12" t="s">
        <v>858</v>
      </c>
      <c r="G21" s="13" t="s">
        <v>860</v>
      </c>
      <c r="H21" s="40" t="s">
        <v>974</v>
      </c>
      <c r="I21" s="13"/>
      <c r="J21" s="38" t="s">
        <v>975</v>
      </c>
      <c r="K21" s="38">
        <v>51525</v>
      </c>
      <c r="L21" s="38" t="s">
        <v>859</v>
      </c>
      <c r="M21" s="13" t="s">
        <v>830</v>
      </c>
      <c r="N21" s="13" t="s">
        <v>231</v>
      </c>
      <c r="O21" s="13" t="s">
        <v>46</v>
      </c>
      <c r="P21" s="22">
        <v>480</v>
      </c>
      <c r="Q21" s="15">
        <v>477</v>
      </c>
      <c r="R21" s="22"/>
      <c r="S21" s="22"/>
      <c r="T21" s="22"/>
      <c r="U21" s="13">
        <v>163</v>
      </c>
      <c r="V21" s="15">
        <v>38900</v>
      </c>
      <c r="W21" s="15"/>
      <c r="X21" s="15">
        <v>38600</v>
      </c>
      <c r="Y21" s="15">
        <v>38123</v>
      </c>
      <c r="Z21" s="15">
        <v>38420</v>
      </c>
      <c r="AA21" s="22">
        <v>43.82</v>
      </c>
      <c r="AB21" s="22">
        <v>45.327089999999998</v>
      </c>
      <c r="AC21" s="21">
        <v>9.8000000000000007</v>
      </c>
      <c r="AD21" s="21">
        <v>8</v>
      </c>
      <c r="AE21" s="22">
        <v>179</v>
      </c>
      <c r="AF21" s="24"/>
      <c r="AG21" s="11" t="str">
        <f t="shared" si="1"/>
        <v>DISCREPANCY</v>
      </c>
      <c r="AH21" s="14">
        <v>46107</v>
      </c>
      <c r="AI21" s="28">
        <f t="shared" si="2"/>
        <v>-3</v>
      </c>
      <c r="AJ21" s="17">
        <f t="shared" si="3"/>
        <v>-297</v>
      </c>
    </row>
    <row r="22" spans="1:36" x14ac:dyDescent="0.3">
      <c r="A22" s="3" t="s">
        <v>976</v>
      </c>
      <c r="B22" s="41">
        <v>21</v>
      </c>
      <c r="C22" s="5">
        <v>46105</v>
      </c>
      <c r="D22" s="25" t="str">
        <f t="shared" si="0"/>
        <v>Mar-2026</v>
      </c>
      <c r="E22" s="4"/>
      <c r="F22" s="3" t="s">
        <v>863</v>
      </c>
      <c r="G22" s="4" t="s">
        <v>864</v>
      </c>
      <c r="H22" s="39" t="s">
        <v>977</v>
      </c>
      <c r="I22" s="4"/>
      <c r="J22" s="37" t="s">
        <v>978</v>
      </c>
      <c r="K22" s="37">
        <v>51524</v>
      </c>
      <c r="L22" s="37" t="s">
        <v>979</v>
      </c>
      <c r="M22" s="4" t="s">
        <v>836</v>
      </c>
      <c r="N22" s="4" t="s">
        <v>231</v>
      </c>
      <c r="O22" s="4" t="s">
        <v>46</v>
      </c>
      <c r="P22" s="20">
        <v>496</v>
      </c>
      <c r="Q22" s="6">
        <v>505</v>
      </c>
      <c r="R22" s="20"/>
      <c r="S22" s="20"/>
      <c r="T22" s="20"/>
      <c r="U22" s="4">
        <v>164</v>
      </c>
      <c r="V22" s="6">
        <v>38180</v>
      </c>
      <c r="W22" s="6"/>
      <c r="X22" s="6">
        <v>38080</v>
      </c>
      <c r="Y22" s="6">
        <v>37575</v>
      </c>
      <c r="Z22" s="6">
        <v>37684</v>
      </c>
      <c r="AA22" s="20">
        <v>45.05</v>
      </c>
      <c r="AB22" s="20">
        <v>44.092500000000001</v>
      </c>
      <c r="AC22" s="19">
        <v>9.4</v>
      </c>
      <c r="AD22" s="19">
        <v>9.4</v>
      </c>
      <c r="AE22" s="20">
        <v>178</v>
      </c>
      <c r="AF22" s="25"/>
      <c r="AG22" s="11" t="str">
        <f t="shared" si="1"/>
        <v>DISCREPANCY</v>
      </c>
      <c r="AH22" s="5">
        <v>46107</v>
      </c>
      <c r="AI22" s="26">
        <f t="shared" si="2"/>
        <v>9</v>
      </c>
      <c r="AJ22" s="9">
        <f t="shared" si="3"/>
        <v>-109</v>
      </c>
    </row>
    <row r="23" spans="1:36" x14ac:dyDescent="0.3">
      <c r="A23" s="12" t="s">
        <v>980</v>
      </c>
      <c r="B23" s="42">
        <v>22</v>
      </c>
      <c r="C23" s="14">
        <v>46123</v>
      </c>
      <c r="D23" s="24" t="str">
        <f t="shared" si="0"/>
        <v>Apr-2026</v>
      </c>
      <c r="E23" s="13"/>
      <c r="F23" s="12" t="s">
        <v>869</v>
      </c>
      <c r="G23" s="13" t="s">
        <v>872</v>
      </c>
      <c r="H23" s="40" t="s">
        <v>981</v>
      </c>
      <c r="I23" s="13"/>
      <c r="J23" s="38" t="s">
        <v>982</v>
      </c>
      <c r="K23" s="38">
        <v>51579</v>
      </c>
      <c r="L23" s="38" t="s">
        <v>871</v>
      </c>
      <c r="M23" s="13" t="s">
        <v>31</v>
      </c>
      <c r="N23" s="13" t="s">
        <v>231</v>
      </c>
      <c r="O23" s="13" t="s">
        <v>46</v>
      </c>
      <c r="P23" s="22">
        <v>446</v>
      </c>
      <c r="Q23" s="15">
        <v>505</v>
      </c>
      <c r="R23" s="22"/>
      <c r="S23" s="22"/>
      <c r="T23" s="22"/>
      <c r="U23" s="13"/>
      <c r="V23" s="15">
        <v>41800</v>
      </c>
      <c r="W23" s="15"/>
      <c r="X23" s="15">
        <v>41550</v>
      </c>
      <c r="Y23" s="15">
        <v>41045</v>
      </c>
      <c r="Z23" s="15">
        <v>41354</v>
      </c>
      <c r="AA23" s="22">
        <v>41.27</v>
      </c>
      <c r="AB23" s="22">
        <v>41.094209999999997</v>
      </c>
      <c r="AC23" s="21">
        <v>13.6</v>
      </c>
      <c r="AD23" s="21">
        <v>12.4</v>
      </c>
      <c r="AE23" s="22">
        <v>164</v>
      </c>
      <c r="AF23" s="24"/>
      <c r="AG23" s="11" t="str">
        <f t="shared" si="1"/>
        <v>DISCREPANCY</v>
      </c>
      <c r="AH23" s="14">
        <v>46125</v>
      </c>
      <c r="AI23" s="28">
        <f t="shared" si="2"/>
        <v>59</v>
      </c>
      <c r="AJ23" s="17">
        <f t="shared" si="3"/>
        <v>-309</v>
      </c>
    </row>
    <row r="24" spans="1:36" x14ac:dyDescent="0.3">
      <c r="A24" s="3" t="s">
        <v>983</v>
      </c>
      <c r="B24" s="41">
        <v>23</v>
      </c>
      <c r="C24" s="5">
        <v>46140</v>
      </c>
      <c r="D24" s="25" t="str">
        <f t="shared" si="0"/>
        <v>Apr-2026</v>
      </c>
      <c r="E24" s="4"/>
      <c r="F24" s="3" t="s">
        <v>875</v>
      </c>
      <c r="G24" s="4" t="s">
        <v>878</v>
      </c>
      <c r="H24" s="39" t="s">
        <v>984</v>
      </c>
      <c r="I24" s="4"/>
      <c r="J24" s="37" t="s">
        <v>985</v>
      </c>
      <c r="K24" s="37">
        <v>51651</v>
      </c>
      <c r="L24" s="37" t="s">
        <v>877</v>
      </c>
      <c r="M24" s="4" t="s">
        <v>31</v>
      </c>
      <c r="N24" s="4" t="s">
        <v>231</v>
      </c>
      <c r="O24" s="4" t="s">
        <v>46</v>
      </c>
      <c r="P24" s="20">
        <v>619</v>
      </c>
      <c r="Q24" s="6">
        <v>620</v>
      </c>
      <c r="R24" s="20"/>
      <c r="S24" s="20"/>
      <c r="T24" s="20"/>
      <c r="U24" s="4">
        <v>623</v>
      </c>
      <c r="V24" s="6">
        <v>53300</v>
      </c>
      <c r="W24" s="6"/>
      <c r="X24" s="6">
        <v>52990</v>
      </c>
      <c r="Y24" s="6">
        <v>52370</v>
      </c>
      <c r="Z24" s="6">
        <v>52681</v>
      </c>
      <c r="AA24" s="20">
        <v>41.79</v>
      </c>
      <c r="AB24" s="20">
        <v>41.799689999999998</v>
      </c>
      <c r="AC24" s="19">
        <v>12.8</v>
      </c>
      <c r="AD24" s="19">
        <v>12.8</v>
      </c>
      <c r="AE24" s="20">
        <v>168</v>
      </c>
      <c r="AF24" s="25"/>
      <c r="AG24" s="11" t="str">
        <f t="shared" si="1"/>
        <v>DISCREPANCY</v>
      </c>
      <c r="AH24" s="5">
        <v>46142</v>
      </c>
      <c r="AI24" s="26">
        <f t="shared" si="2"/>
        <v>1</v>
      </c>
      <c r="AJ24" s="9">
        <f t="shared" si="3"/>
        <v>-311</v>
      </c>
    </row>
    <row r="25" spans="1:36" x14ac:dyDescent="0.3">
      <c r="A25" s="12" t="s">
        <v>986</v>
      </c>
      <c r="B25" s="42">
        <v>24</v>
      </c>
      <c r="C25" s="14">
        <v>46230</v>
      </c>
      <c r="D25" s="24" t="str">
        <f t="shared" si="0"/>
        <v>Jul-2026</v>
      </c>
      <c r="E25" s="13"/>
      <c r="F25" s="12" t="s">
        <v>881</v>
      </c>
      <c r="G25" s="13" t="s">
        <v>884</v>
      </c>
      <c r="H25" s="40" t="s">
        <v>987</v>
      </c>
      <c r="I25" s="13"/>
      <c r="J25" s="38" t="s">
        <v>988</v>
      </c>
      <c r="K25" s="38">
        <v>51733</v>
      </c>
      <c r="L25" s="38" t="s">
        <v>883</v>
      </c>
      <c r="M25" s="13" t="s">
        <v>31</v>
      </c>
      <c r="N25" s="13" t="s">
        <v>231</v>
      </c>
      <c r="O25" s="13" t="s">
        <v>46</v>
      </c>
      <c r="P25" s="22">
        <v>571</v>
      </c>
      <c r="Q25" s="15">
        <v>571</v>
      </c>
      <c r="R25" s="22"/>
      <c r="S25" s="22"/>
      <c r="T25" s="22"/>
      <c r="U25" s="13">
        <v>597</v>
      </c>
      <c r="V25" s="15">
        <v>47000</v>
      </c>
      <c r="W25" s="15"/>
      <c r="X25" s="15">
        <v>46870</v>
      </c>
      <c r="Y25" s="15">
        <v>46299</v>
      </c>
      <c r="Z25" s="15">
        <v>46429</v>
      </c>
      <c r="AA25" s="22">
        <v>46.03</v>
      </c>
      <c r="AB25" s="22">
        <v>46.561680000000003</v>
      </c>
      <c r="AC25" s="21">
        <v>7.8</v>
      </c>
      <c r="AD25" s="21">
        <v>7.8</v>
      </c>
      <c r="AE25" s="22">
        <v>173</v>
      </c>
      <c r="AF25" s="24"/>
      <c r="AG25" s="11" t="str">
        <f t="shared" si="1"/>
        <v>DISCREPANCY</v>
      </c>
      <c r="AH25" s="14">
        <v>46231</v>
      </c>
      <c r="AI25" s="28">
        <f t="shared" si="2"/>
        <v>0</v>
      </c>
      <c r="AJ25" s="17">
        <f t="shared" si="3"/>
        <v>-130</v>
      </c>
    </row>
    <row r="26" spans="1:36" x14ac:dyDescent="0.3">
      <c r="A26" s="3" t="s">
        <v>989</v>
      </c>
      <c r="B26" s="41">
        <v>25</v>
      </c>
      <c r="C26" s="5">
        <v>46251</v>
      </c>
      <c r="D26" s="25" t="str">
        <f t="shared" si="0"/>
        <v>Aug-2026</v>
      </c>
      <c r="E26" s="4"/>
      <c r="F26" s="3" t="s">
        <v>888</v>
      </c>
      <c r="G26" s="4" t="s">
        <v>890</v>
      </c>
      <c r="H26" s="39"/>
      <c r="I26" s="4"/>
      <c r="J26" s="37" t="s">
        <v>990</v>
      </c>
      <c r="K26" s="37">
        <v>52948</v>
      </c>
      <c r="L26" s="37" t="s">
        <v>889</v>
      </c>
      <c r="M26" s="4" t="s">
        <v>23</v>
      </c>
      <c r="N26" s="4" t="s">
        <v>231</v>
      </c>
      <c r="O26" s="4" t="s">
        <v>46</v>
      </c>
      <c r="P26" s="20">
        <v>490</v>
      </c>
      <c r="Q26" s="6"/>
      <c r="R26" s="20"/>
      <c r="S26" s="20"/>
      <c r="T26" s="20"/>
      <c r="U26" s="4"/>
      <c r="V26" s="6">
        <v>40980</v>
      </c>
      <c r="W26" s="6"/>
      <c r="X26" s="6"/>
      <c r="Y26" s="6"/>
      <c r="Z26" s="6">
        <v>40490</v>
      </c>
      <c r="AA26" s="20"/>
      <c r="AB26" s="20">
        <v>49.030859999999997</v>
      </c>
      <c r="AC26" s="19"/>
      <c r="AD26" s="19">
        <v>7.4</v>
      </c>
      <c r="AE26" s="20"/>
      <c r="AF26" s="25"/>
      <c r="AG26" s="11" t="str">
        <f t="shared" si="1"/>
        <v>IN TRANSIT</v>
      </c>
      <c r="AH26" s="5"/>
      <c r="AI26" s="26" t="str">
        <f t="shared" si="2"/>
        <v/>
      </c>
      <c r="AJ26" s="9" t="str">
        <f t="shared" si="3"/>
        <v/>
      </c>
    </row>
  </sheetData>
  <autoFilter ref="A1:AJ26" xr:uid="{00000000-0009-0000-0000-000006000000}"/>
  <pageMargins left="0.7" right="0.7" top="0.75" bottom="0.75" header="0.3" footer="0.3"/>
  <pageSetup orientation="portrait" horizontalDpi="4294967295" verticalDpi="429496729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8F37"/>
  </sheetPr>
  <dimension ref="A1:L31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14" customWidth="1"/>
    <col min="2" max="2" width="5.6640625" bestFit="1" customWidth="1"/>
    <col min="3" max="6" width="14" customWidth="1"/>
    <col min="7" max="7" width="26" customWidth="1"/>
    <col min="8" max="8" width="11.21875" bestFit="1" customWidth="1"/>
    <col min="9" max="9" width="13.21875" bestFit="1" customWidth="1"/>
    <col min="10" max="12" width="14" customWidth="1"/>
  </cols>
  <sheetData>
    <row r="1" spans="1:12" s="1" customFormat="1" ht="34.049999999999997" customHeight="1" x14ac:dyDescent="0.3">
      <c r="A1" s="2" t="s">
        <v>378</v>
      </c>
      <c r="B1" s="2" t="s">
        <v>379</v>
      </c>
      <c r="C1" s="2" t="s">
        <v>642</v>
      </c>
      <c r="D1" s="2" t="s">
        <v>991</v>
      </c>
      <c r="E1" s="2" t="s">
        <v>992</v>
      </c>
      <c r="F1" s="2" t="s">
        <v>67</v>
      </c>
      <c r="G1" s="2" t="s">
        <v>65</v>
      </c>
      <c r="H1" s="2" t="s">
        <v>68</v>
      </c>
      <c r="I1" s="2" t="s">
        <v>384</v>
      </c>
      <c r="J1" s="2" t="s">
        <v>993</v>
      </c>
      <c r="K1" s="2" t="s">
        <v>901</v>
      </c>
      <c r="L1" s="2" t="s">
        <v>994</v>
      </c>
    </row>
    <row r="2" spans="1:12" x14ac:dyDescent="0.3">
      <c r="A2" s="3" t="s">
        <v>995</v>
      </c>
      <c r="B2" s="41">
        <v>1</v>
      </c>
      <c r="C2" s="5">
        <v>46063</v>
      </c>
      <c r="D2" s="5" t="s">
        <v>996</v>
      </c>
      <c r="E2" s="4" t="s">
        <v>997</v>
      </c>
      <c r="F2" s="4"/>
      <c r="G2" s="4" t="s">
        <v>46</v>
      </c>
      <c r="H2" s="37"/>
      <c r="I2" s="37"/>
      <c r="J2" s="6"/>
      <c r="K2" s="6">
        <v>300000</v>
      </c>
      <c r="L2" s="9">
        <f>IFERROR(K2-J2,0)</f>
        <v>300000</v>
      </c>
    </row>
    <row r="3" spans="1:12" x14ac:dyDescent="0.3">
      <c r="A3" s="12" t="s">
        <v>998</v>
      </c>
      <c r="B3" s="42">
        <v>2</v>
      </c>
      <c r="C3" s="14">
        <v>46064</v>
      </c>
      <c r="D3" s="14" t="s">
        <v>999</v>
      </c>
      <c r="E3" s="13" t="s">
        <v>1000</v>
      </c>
      <c r="F3" s="13"/>
      <c r="G3" s="13" t="s">
        <v>46</v>
      </c>
      <c r="H3" s="38"/>
      <c r="I3" s="38">
        <v>503</v>
      </c>
      <c r="J3" s="15">
        <v>1500</v>
      </c>
      <c r="K3" s="15"/>
      <c r="L3" s="17">
        <f t="shared" ref="L3:L31" si="0">L2+IFERROR(K3,0)-IFERROR(J3,0)</f>
        <v>298500</v>
      </c>
    </row>
    <row r="4" spans="1:12" x14ac:dyDescent="0.3">
      <c r="A4" s="3" t="s">
        <v>1001</v>
      </c>
      <c r="B4" s="41">
        <v>3</v>
      </c>
      <c r="C4" s="5">
        <v>46064</v>
      </c>
      <c r="D4" s="5" t="s">
        <v>999</v>
      </c>
      <c r="E4" s="4" t="s">
        <v>1000</v>
      </c>
      <c r="F4" s="4" t="s">
        <v>21</v>
      </c>
      <c r="G4" s="4" t="s">
        <v>46</v>
      </c>
      <c r="H4" s="37"/>
      <c r="I4" s="37">
        <v>506</v>
      </c>
      <c r="J4" s="6">
        <v>2000</v>
      </c>
      <c r="K4" s="6"/>
      <c r="L4" s="9">
        <f t="shared" si="0"/>
        <v>296500</v>
      </c>
    </row>
    <row r="5" spans="1:12" x14ac:dyDescent="0.3">
      <c r="A5" s="12" t="s">
        <v>1002</v>
      </c>
      <c r="B5" s="42">
        <v>4</v>
      </c>
      <c r="C5" s="14">
        <v>46066</v>
      </c>
      <c r="D5" s="14" t="s">
        <v>1003</v>
      </c>
      <c r="E5" s="13" t="s">
        <v>1000</v>
      </c>
      <c r="F5" s="13" t="s">
        <v>41</v>
      </c>
      <c r="G5" s="13" t="s">
        <v>46</v>
      </c>
      <c r="H5" s="38"/>
      <c r="I5" s="38">
        <v>509</v>
      </c>
      <c r="J5" s="15">
        <v>3000</v>
      </c>
      <c r="K5" s="15"/>
      <c r="L5" s="17">
        <f t="shared" si="0"/>
        <v>293500</v>
      </c>
    </row>
    <row r="6" spans="1:12" x14ac:dyDescent="0.3">
      <c r="A6" s="3" t="s">
        <v>1004</v>
      </c>
      <c r="B6" s="41">
        <v>5</v>
      </c>
      <c r="C6" s="5">
        <v>46066</v>
      </c>
      <c r="D6" s="5" t="s">
        <v>1003</v>
      </c>
      <c r="E6" s="4" t="s">
        <v>1000</v>
      </c>
      <c r="F6" s="4" t="s">
        <v>60</v>
      </c>
      <c r="G6" s="4" t="s">
        <v>46</v>
      </c>
      <c r="H6" s="37"/>
      <c r="I6" s="37">
        <v>512</v>
      </c>
      <c r="J6" s="6">
        <v>1000</v>
      </c>
      <c r="K6" s="6"/>
      <c r="L6" s="9">
        <f t="shared" si="0"/>
        <v>292500</v>
      </c>
    </row>
    <row r="7" spans="1:12" x14ac:dyDescent="0.3">
      <c r="A7" s="12" t="s">
        <v>1005</v>
      </c>
      <c r="B7" s="42">
        <v>6</v>
      </c>
      <c r="C7" s="14">
        <v>46066</v>
      </c>
      <c r="D7" s="14" t="s">
        <v>1003</v>
      </c>
      <c r="E7" s="13" t="s">
        <v>1000</v>
      </c>
      <c r="F7" s="13" t="s">
        <v>60</v>
      </c>
      <c r="G7" s="13" t="s">
        <v>46</v>
      </c>
      <c r="H7" s="38"/>
      <c r="I7" s="38">
        <v>515</v>
      </c>
      <c r="J7" s="15">
        <v>1000</v>
      </c>
      <c r="K7" s="15"/>
      <c r="L7" s="17">
        <f t="shared" si="0"/>
        <v>291500</v>
      </c>
    </row>
    <row r="8" spans="1:12" x14ac:dyDescent="0.3">
      <c r="A8" s="3" t="s">
        <v>1006</v>
      </c>
      <c r="B8" s="41">
        <v>7</v>
      </c>
      <c r="C8" s="5">
        <v>46067</v>
      </c>
      <c r="D8" s="5" t="s">
        <v>1007</v>
      </c>
      <c r="E8" s="4" t="s">
        <v>1000</v>
      </c>
      <c r="F8" s="4" t="s">
        <v>1008</v>
      </c>
      <c r="G8" s="4" t="s">
        <v>46</v>
      </c>
      <c r="H8" s="37"/>
      <c r="I8" s="37">
        <v>518</v>
      </c>
      <c r="J8" s="6">
        <v>2000</v>
      </c>
      <c r="K8" s="6"/>
      <c r="L8" s="9">
        <f t="shared" si="0"/>
        <v>289500</v>
      </c>
    </row>
    <row r="9" spans="1:12" x14ac:dyDescent="0.3">
      <c r="A9" s="12" t="s">
        <v>1009</v>
      </c>
      <c r="B9" s="42">
        <v>8</v>
      </c>
      <c r="C9" s="14">
        <v>46072</v>
      </c>
      <c r="D9" s="14" t="s">
        <v>447</v>
      </c>
      <c r="E9" s="13" t="s">
        <v>1000</v>
      </c>
      <c r="F9" s="13" t="s">
        <v>50</v>
      </c>
      <c r="G9" s="13" t="s">
        <v>46</v>
      </c>
      <c r="H9" s="38"/>
      <c r="I9" s="38">
        <v>531</v>
      </c>
      <c r="J9" s="15">
        <v>3000</v>
      </c>
      <c r="K9" s="15"/>
      <c r="L9" s="17">
        <f t="shared" si="0"/>
        <v>286500</v>
      </c>
    </row>
    <row r="10" spans="1:12" x14ac:dyDescent="0.3">
      <c r="A10" s="3" t="s">
        <v>1010</v>
      </c>
      <c r="B10" s="41">
        <v>9</v>
      </c>
      <c r="C10" s="5">
        <v>46074</v>
      </c>
      <c r="D10" s="5" t="s">
        <v>452</v>
      </c>
      <c r="E10" s="4" t="s">
        <v>1000</v>
      </c>
      <c r="F10" s="4" t="s">
        <v>58</v>
      </c>
      <c r="G10" s="4" t="s">
        <v>46</v>
      </c>
      <c r="H10" s="37"/>
      <c r="I10" s="37">
        <v>534</v>
      </c>
      <c r="J10" s="6">
        <v>2000</v>
      </c>
      <c r="K10" s="6"/>
      <c r="L10" s="9">
        <f t="shared" si="0"/>
        <v>284500</v>
      </c>
    </row>
    <row r="11" spans="1:12" x14ac:dyDescent="0.3">
      <c r="A11" s="12" t="s">
        <v>1011</v>
      </c>
      <c r="B11" s="42">
        <v>10</v>
      </c>
      <c r="C11" s="14">
        <v>46078</v>
      </c>
      <c r="D11" s="14" t="s">
        <v>457</v>
      </c>
      <c r="E11" s="13" t="s">
        <v>1000</v>
      </c>
      <c r="F11" s="13" t="s">
        <v>116</v>
      </c>
      <c r="G11" s="13" t="s">
        <v>46</v>
      </c>
      <c r="H11" s="38"/>
      <c r="I11" s="38">
        <v>535</v>
      </c>
      <c r="J11" s="15">
        <v>3000</v>
      </c>
      <c r="K11" s="15"/>
      <c r="L11" s="17">
        <f t="shared" si="0"/>
        <v>281500</v>
      </c>
    </row>
    <row r="12" spans="1:12" x14ac:dyDescent="0.3">
      <c r="A12" s="3" t="s">
        <v>1012</v>
      </c>
      <c r="B12" s="41">
        <v>11</v>
      </c>
      <c r="C12" s="5">
        <v>46078</v>
      </c>
      <c r="D12" s="5" t="s">
        <v>457</v>
      </c>
      <c r="E12" s="4" t="s">
        <v>1000</v>
      </c>
      <c r="F12" s="4" t="s">
        <v>45</v>
      </c>
      <c r="G12" s="4" t="s">
        <v>46</v>
      </c>
      <c r="H12" s="37"/>
      <c r="I12" s="37">
        <v>543</v>
      </c>
      <c r="J12" s="6">
        <v>3000</v>
      </c>
      <c r="K12" s="6"/>
      <c r="L12" s="9">
        <f t="shared" si="0"/>
        <v>278500</v>
      </c>
    </row>
    <row r="13" spans="1:12" x14ac:dyDescent="0.3">
      <c r="A13" s="12" t="s">
        <v>1013</v>
      </c>
      <c r="B13" s="42">
        <v>12</v>
      </c>
      <c r="C13" s="14">
        <v>46078</v>
      </c>
      <c r="D13" s="14" t="s">
        <v>457</v>
      </c>
      <c r="E13" s="13" t="s">
        <v>1000</v>
      </c>
      <c r="F13" s="13" t="s">
        <v>1014</v>
      </c>
      <c r="G13" s="13" t="s">
        <v>46</v>
      </c>
      <c r="H13" s="38"/>
      <c r="I13" s="38">
        <v>546</v>
      </c>
      <c r="J13" s="15">
        <v>393</v>
      </c>
      <c r="K13" s="15"/>
      <c r="L13" s="17">
        <f t="shared" si="0"/>
        <v>278107</v>
      </c>
    </row>
    <row r="14" spans="1:12" x14ac:dyDescent="0.3">
      <c r="A14" s="3" t="s">
        <v>1015</v>
      </c>
      <c r="B14" s="41">
        <v>13</v>
      </c>
      <c r="C14" s="5">
        <v>46079</v>
      </c>
      <c r="D14" s="5" t="s">
        <v>1016</v>
      </c>
      <c r="E14" s="4" t="s">
        <v>1000</v>
      </c>
      <c r="F14" s="4" t="s">
        <v>1017</v>
      </c>
      <c r="G14" s="4" t="s">
        <v>46</v>
      </c>
      <c r="H14" s="37"/>
      <c r="I14" s="37">
        <v>549</v>
      </c>
      <c r="J14" s="6">
        <v>124</v>
      </c>
      <c r="K14" s="6"/>
      <c r="L14" s="9">
        <f t="shared" si="0"/>
        <v>277983</v>
      </c>
    </row>
    <row r="15" spans="1:12" x14ac:dyDescent="0.3">
      <c r="A15" s="12" t="s">
        <v>1018</v>
      </c>
      <c r="B15" s="42">
        <v>14</v>
      </c>
      <c r="C15" s="14">
        <v>46081</v>
      </c>
      <c r="D15" s="14" t="s">
        <v>1019</v>
      </c>
      <c r="E15" s="13" t="s">
        <v>1000</v>
      </c>
      <c r="F15" s="13" t="s">
        <v>29</v>
      </c>
      <c r="G15" s="13" t="s">
        <v>46</v>
      </c>
      <c r="H15" s="38"/>
      <c r="I15" s="38">
        <v>402</v>
      </c>
      <c r="J15" s="15">
        <v>4000</v>
      </c>
      <c r="K15" s="15"/>
      <c r="L15" s="17">
        <f t="shared" si="0"/>
        <v>273983</v>
      </c>
    </row>
    <row r="16" spans="1:12" x14ac:dyDescent="0.3">
      <c r="A16" s="3" t="s">
        <v>1020</v>
      </c>
      <c r="B16" s="41">
        <v>15</v>
      </c>
      <c r="C16" s="5">
        <v>46083</v>
      </c>
      <c r="D16" s="5" t="s">
        <v>1021</v>
      </c>
      <c r="E16" s="4" t="s">
        <v>1000</v>
      </c>
      <c r="F16" s="4" t="s">
        <v>1022</v>
      </c>
      <c r="G16" s="4" t="s">
        <v>46</v>
      </c>
      <c r="H16" s="37"/>
      <c r="I16" s="37">
        <v>407</v>
      </c>
      <c r="J16" s="6">
        <v>257</v>
      </c>
      <c r="K16" s="6"/>
      <c r="L16" s="9">
        <f t="shared" si="0"/>
        <v>273726</v>
      </c>
    </row>
    <row r="17" spans="1:12" x14ac:dyDescent="0.3">
      <c r="A17" s="12" t="s">
        <v>1023</v>
      </c>
      <c r="B17" s="42">
        <v>16</v>
      </c>
      <c r="C17" s="14">
        <v>46084</v>
      </c>
      <c r="D17" s="14" t="s">
        <v>1024</v>
      </c>
      <c r="E17" s="13" t="s">
        <v>1000</v>
      </c>
      <c r="F17" s="13" t="s">
        <v>1025</v>
      </c>
      <c r="G17" s="13" t="s">
        <v>46</v>
      </c>
      <c r="H17" s="38"/>
      <c r="I17" s="38">
        <v>408</v>
      </c>
      <c r="J17" s="15">
        <v>480</v>
      </c>
      <c r="K17" s="15"/>
      <c r="L17" s="17">
        <f t="shared" si="0"/>
        <v>273246</v>
      </c>
    </row>
    <row r="18" spans="1:12" x14ac:dyDescent="0.3">
      <c r="A18" s="3" t="s">
        <v>1026</v>
      </c>
      <c r="B18" s="41">
        <v>17</v>
      </c>
      <c r="C18" s="5">
        <v>46085</v>
      </c>
      <c r="D18" s="5" t="s">
        <v>1027</v>
      </c>
      <c r="E18" s="4" t="s">
        <v>1000</v>
      </c>
      <c r="F18" s="4" t="s">
        <v>29</v>
      </c>
      <c r="G18" s="4" t="s">
        <v>46</v>
      </c>
      <c r="H18" s="37"/>
      <c r="I18" s="37">
        <v>411</v>
      </c>
      <c r="J18" s="6">
        <v>2000</v>
      </c>
      <c r="K18" s="6"/>
      <c r="L18" s="9">
        <f t="shared" si="0"/>
        <v>271246</v>
      </c>
    </row>
    <row r="19" spans="1:12" x14ac:dyDescent="0.3">
      <c r="A19" s="12" t="s">
        <v>1028</v>
      </c>
      <c r="B19" s="42">
        <v>18</v>
      </c>
      <c r="C19" s="14">
        <v>46086</v>
      </c>
      <c r="D19" s="14" t="s">
        <v>459</v>
      </c>
      <c r="E19" s="13" t="s">
        <v>1000</v>
      </c>
      <c r="F19" s="13" t="s">
        <v>1029</v>
      </c>
      <c r="G19" s="13" t="s">
        <v>46</v>
      </c>
      <c r="H19" s="38"/>
      <c r="I19" s="38">
        <v>415</v>
      </c>
      <c r="J19" s="15">
        <v>471</v>
      </c>
      <c r="K19" s="15"/>
      <c r="L19" s="17">
        <f t="shared" si="0"/>
        <v>270775</v>
      </c>
    </row>
    <row r="20" spans="1:12" x14ac:dyDescent="0.3">
      <c r="A20" s="3" t="s">
        <v>1030</v>
      </c>
      <c r="B20" s="41">
        <v>19</v>
      </c>
      <c r="C20" s="5">
        <v>46087</v>
      </c>
      <c r="D20" s="5" t="s">
        <v>1031</v>
      </c>
      <c r="E20" s="4" t="s">
        <v>1000</v>
      </c>
      <c r="F20" s="4" t="s">
        <v>1032</v>
      </c>
      <c r="G20" s="4" t="s">
        <v>46</v>
      </c>
      <c r="H20" s="37"/>
      <c r="I20" s="37">
        <v>418</v>
      </c>
      <c r="J20" s="6">
        <v>560</v>
      </c>
      <c r="K20" s="6"/>
      <c r="L20" s="9">
        <f t="shared" si="0"/>
        <v>270215</v>
      </c>
    </row>
    <row r="21" spans="1:12" x14ac:dyDescent="0.3">
      <c r="A21" s="12" t="s">
        <v>1033</v>
      </c>
      <c r="B21" s="42">
        <v>20</v>
      </c>
      <c r="C21" s="14">
        <v>46087</v>
      </c>
      <c r="D21" s="14" t="s">
        <v>1031</v>
      </c>
      <c r="E21" s="13" t="s">
        <v>1000</v>
      </c>
      <c r="F21" s="13" t="s">
        <v>50</v>
      </c>
      <c r="G21" s="13" t="s">
        <v>46</v>
      </c>
      <c r="H21" s="38"/>
      <c r="I21" s="38">
        <v>421</v>
      </c>
      <c r="J21" s="15">
        <v>1500</v>
      </c>
      <c r="K21" s="15"/>
      <c r="L21" s="17">
        <f t="shared" si="0"/>
        <v>268715</v>
      </c>
    </row>
    <row r="22" spans="1:12" x14ac:dyDescent="0.3">
      <c r="A22" s="3" t="s">
        <v>1034</v>
      </c>
      <c r="B22" s="41">
        <v>21</v>
      </c>
      <c r="C22" s="5">
        <v>46088</v>
      </c>
      <c r="D22" s="5" t="s">
        <v>461</v>
      </c>
      <c r="E22" s="4" t="s">
        <v>1000</v>
      </c>
      <c r="F22" s="4" t="s">
        <v>1014</v>
      </c>
      <c r="G22" s="4" t="s">
        <v>46</v>
      </c>
      <c r="H22" s="37"/>
      <c r="I22" s="37">
        <v>424</v>
      </c>
      <c r="J22" s="6">
        <v>487</v>
      </c>
      <c r="K22" s="6"/>
      <c r="L22" s="9">
        <f t="shared" si="0"/>
        <v>268228</v>
      </c>
    </row>
    <row r="23" spans="1:12" x14ac:dyDescent="0.3">
      <c r="A23" s="12" t="s">
        <v>1035</v>
      </c>
      <c r="B23" s="42">
        <v>22</v>
      </c>
      <c r="C23" s="14">
        <v>46090</v>
      </c>
      <c r="D23" s="14" t="s">
        <v>1036</v>
      </c>
      <c r="E23" s="13" t="s">
        <v>1000</v>
      </c>
      <c r="F23" s="13" t="s">
        <v>680</v>
      </c>
      <c r="G23" s="13" t="s">
        <v>46</v>
      </c>
      <c r="H23" s="38"/>
      <c r="I23" s="38">
        <v>427</v>
      </c>
      <c r="J23" s="15">
        <v>479</v>
      </c>
      <c r="K23" s="15"/>
      <c r="L23" s="17">
        <f t="shared" si="0"/>
        <v>267749</v>
      </c>
    </row>
    <row r="24" spans="1:12" x14ac:dyDescent="0.3">
      <c r="A24" s="3" t="s">
        <v>1037</v>
      </c>
      <c r="B24" s="41">
        <v>23</v>
      </c>
      <c r="C24" s="5">
        <v>46092</v>
      </c>
      <c r="D24" s="5" t="s">
        <v>463</v>
      </c>
      <c r="E24" s="4" t="s">
        <v>1000</v>
      </c>
      <c r="F24" s="4" t="s">
        <v>29</v>
      </c>
      <c r="G24" s="4" t="s">
        <v>46</v>
      </c>
      <c r="H24" s="37"/>
      <c r="I24" s="37">
        <v>430</v>
      </c>
      <c r="J24" s="6">
        <v>2000</v>
      </c>
      <c r="K24" s="6"/>
      <c r="L24" s="9">
        <f t="shared" si="0"/>
        <v>265749</v>
      </c>
    </row>
    <row r="25" spans="1:12" x14ac:dyDescent="0.3">
      <c r="A25" s="12" t="s">
        <v>1038</v>
      </c>
      <c r="B25" s="42">
        <v>24</v>
      </c>
      <c r="C25" s="14">
        <v>46094</v>
      </c>
      <c r="D25" s="14" t="s">
        <v>1039</v>
      </c>
      <c r="E25" s="13" t="s">
        <v>1000</v>
      </c>
      <c r="F25" s="13" t="s">
        <v>1040</v>
      </c>
      <c r="G25" s="13" t="s">
        <v>46</v>
      </c>
      <c r="H25" s="38"/>
      <c r="I25" s="38">
        <v>412</v>
      </c>
      <c r="J25" s="15">
        <v>516</v>
      </c>
      <c r="K25" s="15"/>
      <c r="L25" s="17">
        <f t="shared" si="0"/>
        <v>265233</v>
      </c>
    </row>
    <row r="26" spans="1:12" x14ac:dyDescent="0.3">
      <c r="A26" s="3" t="s">
        <v>1041</v>
      </c>
      <c r="B26" s="41">
        <v>25</v>
      </c>
      <c r="C26" s="5">
        <v>46094</v>
      </c>
      <c r="D26" s="5" t="s">
        <v>1039</v>
      </c>
      <c r="E26" s="4" t="s">
        <v>1000</v>
      </c>
      <c r="F26" s="4" t="s">
        <v>1032</v>
      </c>
      <c r="G26" s="4" t="s">
        <v>46</v>
      </c>
      <c r="H26" s="37"/>
      <c r="I26" s="37">
        <v>435</v>
      </c>
      <c r="J26" s="6">
        <v>427</v>
      </c>
      <c r="K26" s="6"/>
      <c r="L26" s="9">
        <f t="shared" si="0"/>
        <v>264806</v>
      </c>
    </row>
    <row r="27" spans="1:12" x14ac:dyDescent="0.3">
      <c r="A27" s="12" t="s">
        <v>1042</v>
      </c>
      <c r="B27" s="42">
        <v>26</v>
      </c>
      <c r="C27" s="14">
        <v>46095</v>
      </c>
      <c r="D27" s="14" t="s">
        <v>467</v>
      </c>
      <c r="E27" s="13" t="s">
        <v>1000</v>
      </c>
      <c r="F27" s="13" t="s">
        <v>680</v>
      </c>
      <c r="G27" s="13" t="s">
        <v>46</v>
      </c>
      <c r="H27" s="38"/>
      <c r="I27" s="38">
        <v>438</v>
      </c>
      <c r="J27" s="15">
        <v>381</v>
      </c>
      <c r="K27" s="15"/>
      <c r="L27" s="17">
        <f t="shared" si="0"/>
        <v>264425</v>
      </c>
    </row>
    <row r="28" spans="1:12" x14ac:dyDescent="0.3">
      <c r="A28" s="3" t="s">
        <v>1043</v>
      </c>
      <c r="B28" s="41">
        <v>27</v>
      </c>
      <c r="C28" s="5">
        <v>46097</v>
      </c>
      <c r="D28" s="5" t="s">
        <v>470</v>
      </c>
      <c r="E28" s="4" t="s">
        <v>1000</v>
      </c>
      <c r="F28" s="4" t="s">
        <v>193</v>
      </c>
      <c r="G28" s="4" t="s">
        <v>46</v>
      </c>
      <c r="H28" s="37"/>
      <c r="I28" s="37">
        <v>441</v>
      </c>
      <c r="J28" s="6">
        <v>2000</v>
      </c>
      <c r="K28" s="6"/>
      <c r="L28" s="9">
        <f t="shared" si="0"/>
        <v>262425</v>
      </c>
    </row>
    <row r="29" spans="1:12" x14ac:dyDescent="0.3">
      <c r="A29" s="12" t="s">
        <v>1044</v>
      </c>
      <c r="B29" s="42">
        <v>28</v>
      </c>
      <c r="C29" s="14">
        <v>46098</v>
      </c>
      <c r="D29" s="14" t="s">
        <v>473</v>
      </c>
      <c r="E29" s="13" t="s">
        <v>1000</v>
      </c>
      <c r="F29" s="13" t="s">
        <v>55</v>
      </c>
      <c r="G29" s="13" t="s">
        <v>46</v>
      </c>
      <c r="H29" s="38"/>
      <c r="I29" s="38">
        <v>444</v>
      </c>
      <c r="J29" s="15">
        <v>1000</v>
      </c>
      <c r="K29" s="15"/>
      <c r="L29" s="17">
        <f t="shared" si="0"/>
        <v>261425</v>
      </c>
    </row>
    <row r="30" spans="1:12" x14ac:dyDescent="0.3">
      <c r="A30" s="3" t="s">
        <v>1045</v>
      </c>
      <c r="B30" s="41">
        <v>29</v>
      </c>
      <c r="C30" s="5">
        <v>46098</v>
      </c>
      <c r="D30" s="5" t="s">
        <v>473</v>
      </c>
      <c r="E30" s="4" t="s">
        <v>1000</v>
      </c>
      <c r="F30" s="4" t="s">
        <v>680</v>
      </c>
      <c r="G30" s="4" t="s">
        <v>46</v>
      </c>
      <c r="H30" s="37"/>
      <c r="I30" s="37">
        <v>447</v>
      </c>
      <c r="J30" s="6">
        <v>352</v>
      </c>
      <c r="K30" s="6"/>
      <c r="L30" s="9">
        <f t="shared" si="0"/>
        <v>261073</v>
      </c>
    </row>
    <row r="31" spans="1:12" x14ac:dyDescent="0.3">
      <c r="A31" s="12" t="s">
        <v>1046</v>
      </c>
      <c r="B31" s="42">
        <v>30</v>
      </c>
      <c r="C31" s="14">
        <v>46100</v>
      </c>
      <c r="D31" s="14" t="s">
        <v>475</v>
      </c>
      <c r="E31" s="13" t="s">
        <v>1000</v>
      </c>
      <c r="F31" s="13" t="s">
        <v>1032</v>
      </c>
      <c r="G31" s="13" t="s">
        <v>46</v>
      </c>
      <c r="H31" s="38"/>
      <c r="I31" s="38">
        <v>1355</v>
      </c>
      <c r="J31" s="15">
        <v>592</v>
      </c>
      <c r="K31" s="15"/>
      <c r="L31" s="17">
        <f t="shared" si="0"/>
        <v>260481</v>
      </c>
    </row>
  </sheetData>
  <autoFilter ref="A1:L31" xr:uid="{00000000-0009-0000-0000-000007000000}"/>
  <pageMargins left="0.7" right="0.7" top="0.75" bottom="0.75" header="0.3" footer="0.3"/>
  <pageSetup orientation="portrait" horizontalDpi="4294967295" verticalDpi="429496729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8F37"/>
  </sheetPr>
  <dimension ref="A1:T53"/>
  <sheetViews>
    <sheetView showGridLines="0" workbookViewId="0">
      <pane xSplit="1" ySplit="1" topLeftCell="B4" activePane="bottomRight" state="frozen"/>
      <selection pane="topRight"/>
      <selection pane="bottomLeft"/>
      <selection pane="bottomRight" activeCell="B22" sqref="B22:B53"/>
    </sheetView>
  </sheetViews>
  <sheetFormatPr baseColWidth="10" defaultColWidth="8.88671875" defaultRowHeight="14.4" x14ac:dyDescent="0.3"/>
  <cols>
    <col min="1" max="1" width="14" customWidth="1"/>
    <col min="2" max="2" width="10.5546875" customWidth="1"/>
    <col min="3" max="8" width="14" customWidth="1"/>
    <col min="9" max="9" width="10.88671875" bestFit="1" customWidth="1"/>
    <col min="10" max="10" width="16" bestFit="1" customWidth="1"/>
    <col min="11" max="13" width="14" customWidth="1"/>
    <col min="14" max="14" width="16.44140625" bestFit="1" customWidth="1"/>
    <col min="15" max="15" width="26" customWidth="1"/>
    <col min="16" max="16" width="18" customWidth="1"/>
    <col min="17" max="18" width="14" customWidth="1"/>
    <col min="19" max="19" width="18" customWidth="1"/>
    <col min="20" max="20" width="14" customWidth="1"/>
  </cols>
  <sheetData>
    <row r="1" spans="1:20" s="1" customFormat="1" ht="34.049999999999997" customHeight="1" x14ac:dyDescent="0.3">
      <c r="A1" s="2" t="s">
        <v>378</v>
      </c>
      <c r="B1" s="2" t="s">
        <v>642</v>
      </c>
      <c r="C1" s="2" t="s">
        <v>991</v>
      </c>
      <c r="D1" s="2" t="s">
        <v>992</v>
      </c>
      <c r="E1" s="2" t="s">
        <v>1047</v>
      </c>
      <c r="F1" s="2" t="s">
        <v>1048</v>
      </c>
      <c r="G1" s="2" t="s">
        <v>1049</v>
      </c>
      <c r="H1" s="2" t="s">
        <v>1050</v>
      </c>
      <c r="I1" s="2" t="s">
        <v>70</v>
      </c>
      <c r="J1" s="2" t="s">
        <v>90</v>
      </c>
      <c r="K1" s="2" t="s">
        <v>1051</v>
      </c>
      <c r="L1" s="2" t="s">
        <v>1052</v>
      </c>
      <c r="M1" s="2" t="s">
        <v>1053</v>
      </c>
      <c r="N1" s="2" t="s">
        <v>1054</v>
      </c>
      <c r="O1" s="2" t="s">
        <v>92</v>
      </c>
      <c r="P1" s="2" t="s">
        <v>1055</v>
      </c>
      <c r="Q1" s="2" t="s">
        <v>1056</v>
      </c>
      <c r="R1" s="2" t="s">
        <v>78</v>
      </c>
      <c r="S1" s="2" t="s">
        <v>1057</v>
      </c>
      <c r="T1" s="2" t="s">
        <v>80</v>
      </c>
    </row>
    <row r="2" spans="1:20" x14ac:dyDescent="0.3">
      <c r="A2" s="3" t="s">
        <v>1058</v>
      </c>
      <c r="B2" s="5" t="s">
        <v>433</v>
      </c>
      <c r="C2" s="5" t="s">
        <v>433</v>
      </c>
      <c r="D2" s="4" t="s">
        <v>1059</v>
      </c>
      <c r="E2" s="4" t="s">
        <v>1060</v>
      </c>
      <c r="F2" s="4" t="s">
        <v>131</v>
      </c>
      <c r="G2" s="20">
        <v>478</v>
      </c>
      <c r="H2" s="4">
        <v>40.822000000000003</v>
      </c>
      <c r="I2" s="37"/>
      <c r="J2" s="39" t="s">
        <v>107</v>
      </c>
      <c r="K2" s="4" t="s">
        <v>1215</v>
      </c>
      <c r="L2" s="4"/>
      <c r="M2" s="4"/>
      <c r="N2" s="37" t="s">
        <v>431</v>
      </c>
      <c r="O2" s="4" t="s">
        <v>1061</v>
      </c>
      <c r="P2" s="6"/>
      <c r="Q2" s="4"/>
      <c r="R2" s="6"/>
      <c r="S2" s="6"/>
      <c r="T2" s="6">
        <v>40822</v>
      </c>
    </row>
    <row r="3" spans="1:20" x14ac:dyDescent="0.3">
      <c r="A3" s="12" t="s">
        <v>1062</v>
      </c>
      <c r="B3" s="14" t="s">
        <v>436</v>
      </c>
      <c r="C3" s="14" t="s">
        <v>436</v>
      </c>
      <c r="D3" s="13" t="s">
        <v>1059</v>
      </c>
      <c r="E3" s="13" t="s">
        <v>1063</v>
      </c>
      <c r="F3" s="13" t="s">
        <v>131</v>
      </c>
      <c r="G3" s="22">
        <v>628</v>
      </c>
      <c r="H3" s="13">
        <v>50.252000000000002</v>
      </c>
      <c r="I3" s="38"/>
      <c r="J3" s="40" t="s">
        <v>119</v>
      </c>
      <c r="K3" s="13" t="s">
        <v>1216</v>
      </c>
      <c r="L3" s="13"/>
      <c r="M3" s="13"/>
      <c r="N3" s="38" t="s">
        <v>434</v>
      </c>
      <c r="O3" s="13" t="s">
        <v>1061</v>
      </c>
      <c r="P3" s="15"/>
      <c r="Q3" s="13"/>
      <c r="R3" s="15"/>
      <c r="S3" s="15"/>
      <c r="T3" s="15">
        <v>50252</v>
      </c>
    </row>
    <row r="4" spans="1:20" x14ac:dyDescent="0.3">
      <c r="A4" s="3" t="s">
        <v>1064</v>
      </c>
      <c r="B4" s="5" t="s">
        <v>450</v>
      </c>
      <c r="C4" s="5" t="s">
        <v>450</v>
      </c>
      <c r="D4" s="4" t="s">
        <v>1059</v>
      </c>
      <c r="E4" s="4" t="s">
        <v>1065</v>
      </c>
      <c r="F4" s="4" t="s">
        <v>131</v>
      </c>
      <c r="G4" s="20">
        <v>512</v>
      </c>
      <c r="H4" s="4">
        <v>44.908000000000001</v>
      </c>
      <c r="I4" s="37"/>
      <c r="J4" s="39" t="s">
        <v>129</v>
      </c>
      <c r="K4" s="4" t="s">
        <v>695</v>
      </c>
      <c r="L4" s="4"/>
      <c r="M4" s="4"/>
      <c r="N4" s="37" t="s">
        <v>435</v>
      </c>
      <c r="O4" s="4" t="s">
        <v>1061</v>
      </c>
      <c r="P4" s="6"/>
      <c r="Q4" s="4"/>
      <c r="R4" s="6"/>
      <c r="S4" s="6"/>
      <c r="T4" s="6">
        <v>44908</v>
      </c>
    </row>
    <row r="5" spans="1:20" x14ac:dyDescent="0.3">
      <c r="A5" s="12" t="s">
        <v>1066</v>
      </c>
      <c r="B5" s="14" t="s">
        <v>1067</v>
      </c>
      <c r="C5" s="14" t="s">
        <v>1067</v>
      </c>
      <c r="D5" s="13" t="s">
        <v>1059</v>
      </c>
      <c r="E5" s="13" t="s">
        <v>1068</v>
      </c>
      <c r="F5" s="13" t="s">
        <v>131</v>
      </c>
      <c r="G5" s="22">
        <v>425</v>
      </c>
      <c r="H5" s="13">
        <v>34.895000000000003</v>
      </c>
      <c r="I5" s="38"/>
      <c r="J5" s="40" t="s">
        <v>139</v>
      </c>
      <c r="K5" s="13" t="s">
        <v>1217</v>
      </c>
      <c r="L5" s="13"/>
      <c r="M5" s="13"/>
      <c r="N5" s="38" t="s">
        <v>437</v>
      </c>
      <c r="O5" s="13" t="s">
        <v>1061</v>
      </c>
      <c r="P5" s="15"/>
      <c r="Q5" s="13"/>
      <c r="R5" s="15"/>
      <c r="S5" s="15"/>
      <c r="T5" s="15">
        <v>34895</v>
      </c>
    </row>
    <row r="6" spans="1:20" x14ac:dyDescent="0.3">
      <c r="A6" s="3" t="s">
        <v>1069</v>
      </c>
      <c r="B6" s="5" t="s">
        <v>1070</v>
      </c>
      <c r="C6" s="5" t="s">
        <v>1070</v>
      </c>
      <c r="D6" s="4" t="s">
        <v>1059</v>
      </c>
      <c r="E6" s="4" t="s">
        <v>1071</v>
      </c>
      <c r="F6" s="4" t="s">
        <v>131</v>
      </c>
      <c r="G6" s="20">
        <v>586</v>
      </c>
      <c r="H6" s="4">
        <v>50.173999999999999</v>
      </c>
      <c r="I6" s="37"/>
      <c r="J6" s="39" t="s">
        <v>144</v>
      </c>
      <c r="K6" s="4" t="s">
        <v>1218</v>
      </c>
      <c r="L6" s="4"/>
      <c r="M6" s="4"/>
      <c r="N6" s="37" t="s">
        <v>438</v>
      </c>
      <c r="O6" s="4" t="s">
        <v>1061</v>
      </c>
      <c r="P6" s="6"/>
      <c r="Q6" s="4"/>
      <c r="R6" s="6"/>
      <c r="S6" s="6"/>
      <c r="T6" s="6">
        <v>50174</v>
      </c>
    </row>
    <row r="7" spans="1:20" x14ac:dyDescent="0.3">
      <c r="A7" s="12" t="s">
        <v>1072</v>
      </c>
      <c r="B7" s="14" t="s">
        <v>457</v>
      </c>
      <c r="C7" s="14" t="s">
        <v>457</v>
      </c>
      <c r="D7" s="13" t="s">
        <v>1059</v>
      </c>
      <c r="E7" s="13" t="s">
        <v>1073</v>
      </c>
      <c r="F7" s="13" t="s">
        <v>131</v>
      </c>
      <c r="G7" s="22">
        <v>442</v>
      </c>
      <c r="H7" s="13">
        <v>39.018000000000001</v>
      </c>
      <c r="I7" s="38"/>
      <c r="J7" s="40" t="s">
        <v>150</v>
      </c>
      <c r="K7" s="13" t="s">
        <v>1219</v>
      </c>
      <c r="L7" s="13"/>
      <c r="M7" s="13"/>
      <c r="N7" s="38" t="s">
        <v>439</v>
      </c>
      <c r="O7" s="13" t="s">
        <v>1061</v>
      </c>
      <c r="P7" s="15"/>
      <c r="Q7" s="13"/>
      <c r="R7" s="15"/>
      <c r="S7" s="15"/>
      <c r="T7" s="15">
        <v>39018</v>
      </c>
    </row>
    <row r="8" spans="1:20" x14ac:dyDescent="0.3">
      <c r="A8" s="3" t="s">
        <v>1074</v>
      </c>
      <c r="B8" s="5" t="s">
        <v>1016</v>
      </c>
      <c r="C8" s="5" t="s">
        <v>1016</v>
      </c>
      <c r="D8" s="4" t="s">
        <v>1059</v>
      </c>
      <c r="E8" s="4" t="s">
        <v>1075</v>
      </c>
      <c r="F8" s="4" t="s">
        <v>131</v>
      </c>
      <c r="G8" s="20">
        <v>570</v>
      </c>
      <c r="H8" s="4">
        <v>48.45</v>
      </c>
      <c r="I8" s="37"/>
      <c r="J8" s="39" t="s">
        <v>154</v>
      </c>
      <c r="K8" s="4" t="s">
        <v>1213</v>
      </c>
      <c r="L8" s="4"/>
      <c r="M8" s="4"/>
      <c r="N8" s="37" t="s">
        <v>440</v>
      </c>
      <c r="O8" s="4" t="s">
        <v>1061</v>
      </c>
      <c r="P8" s="6"/>
      <c r="Q8" s="4"/>
      <c r="R8" s="6"/>
      <c r="S8" s="6"/>
      <c r="T8" s="6">
        <v>48450</v>
      </c>
    </row>
    <row r="9" spans="1:20" x14ac:dyDescent="0.3">
      <c r="A9" s="12" t="s">
        <v>1076</v>
      </c>
      <c r="B9" s="14"/>
      <c r="C9" s="14"/>
      <c r="D9" s="13" t="s">
        <v>1059</v>
      </c>
      <c r="E9" s="13" t="s">
        <v>1077</v>
      </c>
      <c r="F9" s="13" t="s">
        <v>131</v>
      </c>
      <c r="G9" s="22">
        <v>614</v>
      </c>
      <c r="H9" s="13">
        <v>51.445999999999998</v>
      </c>
      <c r="I9" s="38"/>
      <c r="J9" s="40" t="s">
        <v>161</v>
      </c>
      <c r="K9" s="13" t="s">
        <v>1208</v>
      </c>
      <c r="L9" s="13"/>
      <c r="M9" s="13"/>
      <c r="N9" s="38" t="s">
        <v>441</v>
      </c>
      <c r="O9" s="13" t="s">
        <v>1061</v>
      </c>
      <c r="P9" s="15"/>
      <c r="Q9" s="13"/>
      <c r="R9" s="15"/>
      <c r="S9" s="15"/>
      <c r="T9" s="15">
        <v>51446</v>
      </c>
    </row>
    <row r="10" spans="1:20" x14ac:dyDescent="0.3">
      <c r="A10" s="3" t="s">
        <v>1078</v>
      </c>
      <c r="B10" s="5" t="s">
        <v>1079</v>
      </c>
      <c r="C10" s="5" t="s">
        <v>1079</v>
      </c>
      <c r="D10" s="4" t="s">
        <v>1059</v>
      </c>
      <c r="E10" s="4" t="s">
        <v>1080</v>
      </c>
      <c r="F10" s="4" t="s">
        <v>131</v>
      </c>
      <c r="G10" s="20">
        <v>453</v>
      </c>
      <c r="H10" s="4">
        <v>41.087000000000003</v>
      </c>
      <c r="I10" s="37"/>
      <c r="J10" s="39" t="s">
        <v>168</v>
      </c>
      <c r="K10" s="4" t="s">
        <v>1211</v>
      </c>
      <c r="L10" s="4"/>
      <c r="M10" s="4"/>
      <c r="N10" s="37" t="s">
        <v>443</v>
      </c>
      <c r="O10" s="4" t="s">
        <v>1061</v>
      </c>
      <c r="P10" s="6"/>
      <c r="Q10" s="4"/>
      <c r="R10" s="6"/>
      <c r="S10" s="6"/>
      <c r="T10" s="6">
        <v>41087</v>
      </c>
    </row>
    <row r="11" spans="1:20" x14ac:dyDescent="0.3">
      <c r="A11" s="12" t="s">
        <v>1081</v>
      </c>
      <c r="B11" s="14" t="s">
        <v>1027</v>
      </c>
      <c r="C11" s="14" t="s">
        <v>1027</v>
      </c>
      <c r="D11" s="13" t="s">
        <v>1059</v>
      </c>
      <c r="E11" s="13" t="s">
        <v>1082</v>
      </c>
      <c r="F11" s="13" t="s">
        <v>131</v>
      </c>
      <c r="G11" s="22">
        <v>463</v>
      </c>
      <c r="H11" s="13">
        <v>40.097000000000001</v>
      </c>
      <c r="I11" s="38"/>
      <c r="J11" s="40" t="s">
        <v>172</v>
      </c>
      <c r="K11" s="13" t="s">
        <v>1212</v>
      </c>
      <c r="L11" s="13"/>
      <c r="M11" s="13"/>
      <c r="N11" s="38" t="s">
        <v>444</v>
      </c>
      <c r="O11" s="13" t="s">
        <v>1061</v>
      </c>
      <c r="P11" s="15"/>
      <c r="Q11" s="13"/>
      <c r="R11" s="15"/>
      <c r="S11" s="15"/>
      <c r="T11" s="15">
        <v>40097</v>
      </c>
    </row>
    <row r="12" spans="1:20" x14ac:dyDescent="0.3">
      <c r="A12" s="3" t="s">
        <v>1083</v>
      </c>
      <c r="B12" s="5" t="s">
        <v>459</v>
      </c>
      <c r="C12" s="5" t="s">
        <v>459</v>
      </c>
      <c r="D12" s="4" t="s">
        <v>1059</v>
      </c>
      <c r="E12" s="4" t="s">
        <v>1084</v>
      </c>
      <c r="F12" s="4" t="s">
        <v>131</v>
      </c>
      <c r="G12" s="20">
        <v>562</v>
      </c>
      <c r="H12" s="4">
        <v>46.118000000000002</v>
      </c>
      <c r="I12" s="37"/>
      <c r="J12" s="39" t="s">
        <v>176</v>
      </c>
      <c r="K12" s="4" t="s">
        <v>1209</v>
      </c>
      <c r="L12" s="4"/>
      <c r="M12" s="4"/>
      <c r="N12" s="37" t="s">
        <v>445</v>
      </c>
      <c r="O12" s="4" t="s">
        <v>1061</v>
      </c>
      <c r="P12" s="6"/>
      <c r="Q12" s="4"/>
      <c r="R12" s="6"/>
      <c r="S12" s="6"/>
      <c r="T12" s="6">
        <v>46118</v>
      </c>
    </row>
    <row r="13" spans="1:20" x14ac:dyDescent="0.3">
      <c r="A13" s="12" t="s">
        <v>1085</v>
      </c>
      <c r="B13" s="14" t="s">
        <v>469</v>
      </c>
      <c r="C13" s="14" t="s">
        <v>469</v>
      </c>
      <c r="D13" s="13" t="s">
        <v>1059</v>
      </c>
      <c r="E13" s="13" t="s">
        <v>1086</v>
      </c>
      <c r="F13" s="13" t="s">
        <v>131</v>
      </c>
      <c r="G13" s="22">
        <v>562</v>
      </c>
      <c r="H13" s="13">
        <v>43.478000000000002</v>
      </c>
      <c r="I13" s="38"/>
      <c r="J13" s="40" t="s">
        <v>186</v>
      </c>
      <c r="K13" s="13" t="s">
        <v>1214</v>
      </c>
      <c r="L13" s="13"/>
      <c r="M13" s="13"/>
      <c r="N13" s="38" t="s">
        <v>446</v>
      </c>
      <c r="O13" s="13" t="s">
        <v>1061</v>
      </c>
      <c r="P13" s="15"/>
      <c r="Q13" s="13"/>
      <c r="R13" s="15"/>
      <c r="S13" s="15"/>
      <c r="T13" s="15">
        <v>43478</v>
      </c>
    </row>
    <row r="14" spans="1:20" x14ac:dyDescent="0.3">
      <c r="A14" s="3" t="s">
        <v>1087</v>
      </c>
      <c r="B14" s="5" t="s">
        <v>473</v>
      </c>
      <c r="C14" s="5" t="s">
        <v>473</v>
      </c>
      <c r="D14" s="4" t="s">
        <v>1059</v>
      </c>
      <c r="E14" s="4" t="s">
        <v>1088</v>
      </c>
      <c r="F14" s="4" t="s">
        <v>131</v>
      </c>
      <c r="G14" s="20">
        <v>510</v>
      </c>
      <c r="H14" s="4">
        <v>43.35</v>
      </c>
      <c r="I14" s="37"/>
      <c r="J14" s="39" t="s">
        <v>191</v>
      </c>
      <c r="K14" s="4" t="s">
        <v>1220</v>
      </c>
      <c r="L14" s="4"/>
      <c r="M14" s="4"/>
      <c r="N14" s="37" t="s">
        <v>448</v>
      </c>
      <c r="O14" s="4" t="s">
        <v>1061</v>
      </c>
      <c r="P14" s="6"/>
      <c r="Q14" s="4"/>
      <c r="R14" s="6"/>
      <c r="S14" s="6"/>
      <c r="T14" s="6">
        <v>43350</v>
      </c>
    </row>
    <row r="15" spans="1:20" x14ac:dyDescent="0.3">
      <c r="A15" s="12" t="s">
        <v>1089</v>
      </c>
      <c r="B15" s="14" t="s">
        <v>1090</v>
      </c>
      <c r="C15" s="14" t="s">
        <v>1090</v>
      </c>
      <c r="D15" s="13" t="s">
        <v>1059</v>
      </c>
      <c r="E15" s="13" t="s">
        <v>1091</v>
      </c>
      <c r="F15" s="13" t="s">
        <v>131</v>
      </c>
      <c r="G15" s="22">
        <v>607</v>
      </c>
      <c r="H15" s="13">
        <v>50.692999999999998</v>
      </c>
      <c r="I15" s="38"/>
      <c r="J15" s="40" t="s">
        <v>196</v>
      </c>
      <c r="K15" s="13" t="s">
        <v>1221</v>
      </c>
      <c r="L15" s="13"/>
      <c r="M15" s="13"/>
      <c r="N15" s="38" t="s">
        <v>449</v>
      </c>
      <c r="O15" s="13" t="s">
        <v>1061</v>
      </c>
      <c r="P15" s="15"/>
      <c r="Q15" s="13"/>
      <c r="R15" s="15"/>
      <c r="S15" s="15"/>
      <c r="T15" s="15">
        <v>50693</v>
      </c>
    </row>
    <row r="16" spans="1:20" x14ac:dyDescent="0.3">
      <c r="A16" s="3" t="s">
        <v>1092</v>
      </c>
      <c r="B16" s="5" t="s">
        <v>1093</v>
      </c>
      <c r="C16" s="5" t="s">
        <v>1093</v>
      </c>
      <c r="D16" s="4" t="s">
        <v>1059</v>
      </c>
      <c r="E16" s="4" t="s">
        <v>1094</v>
      </c>
      <c r="F16" s="4" t="s">
        <v>131</v>
      </c>
      <c r="G16" s="20">
        <v>537</v>
      </c>
      <c r="H16" s="4">
        <v>45.843000000000004</v>
      </c>
      <c r="I16" s="37"/>
      <c r="J16" s="39" t="s">
        <v>204</v>
      </c>
      <c r="K16" s="4" t="s">
        <v>698</v>
      </c>
      <c r="L16" s="4"/>
      <c r="M16" s="4"/>
      <c r="N16" s="37" t="s">
        <v>451</v>
      </c>
      <c r="O16" s="4" t="s">
        <v>1061</v>
      </c>
      <c r="P16" s="6"/>
      <c r="Q16" s="4"/>
      <c r="R16" s="6"/>
      <c r="S16" s="6"/>
      <c r="T16" s="6">
        <v>45843</v>
      </c>
    </row>
    <row r="17" spans="1:20" x14ac:dyDescent="0.3">
      <c r="A17" s="12" t="s">
        <v>1095</v>
      </c>
      <c r="B17" s="14" t="s">
        <v>1096</v>
      </c>
      <c r="C17" s="14" t="s">
        <v>1096</v>
      </c>
      <c r="D17" s="13" t="s">
        <v>1059</v>
      </c>
      <c r="E17" s="13" t="s">
        <v>1097</v>
      </c>
      <c r="F17" s="13" t="s">
        <v>131</v>
      </c>
      <c r="G17" s="22">
        <v>520</v>
      </c>
      <c r="H17" s="13">
        <v>40.22</v>
      </c>
      <c r="I17" s="38"/>
      <c r="J17" s="40" t="s">
        <v>209</v>
      </c>
      <c r="K17" s="13" t="s">
        <v>1222</v>
      </c>
      <c r="L17" s="13"/>
      <c r="M17" s="13"/>
      <c r="N17" s="38" t="s">
        <v>453</v>
      </c>
      <c r="O17" s="13" t="s">
        <v>1061</v>
      </c>
      <c r="P17" s="15"/>
      <c r="Q17" s="13"/>
      <c r="R17" s="15"/>
      <c r="S17" s="15"/>
      <c r="T17" s="15">
        <v>40220</v>
      </c>
    </row>
    <row r="18" spans="1:20" x14ac:dyDescent="0.3">
      <c r="A18" s="3" t="s">
        <v>1098</v>
      </c>
      <c r="B18" s="5" t="s">
        <v>516</v>
      </c>
      <c r="C18" s="5" t="s">
        <v>516</v>
      </c>
      <c r="D18" s="4" t="s">
        <v>1059</v>
      </c>
      <c r="E18" s="4" t="s">
        <v>1099</v>
      </c>
      <c r="F18" s="4" t="s">
        <v>131</v>
      </c>
      <c r="G18" s="20">
        <v>451</v>
      </c>
      <c r="H18" s="4">
        <v>38.569000000000003</v>
      </c>
      <c r="I18" s="37"/>
      <c r="J18" s="39" t="s">
        <v>217</v>
      </c>
      <c r="K18" s="4" t="s">
        <v>734</v>
      </c>
      <c r="L18" s="4"/>
      <c r="M18" s="4"/>
      <c r="N18" s="37" t="s">
        <v>454</v>
      </c>
      <c r="O18" s="4" t="s">
        <v>1061</v>
      </c>
      <c r="P18" s="6"/>
      <c r="Q18" s="4"/>
      <c r="R18" s="6"/>
      <c r="S18" s="6"/>
      <c r="T18" s="6">
        <v>38569</v>
      </c>
    </row>
    <row r="19" spans="1:20" x14ac:dyDescent="0.3">
      <c r="A19" s="12" t="s">
        <v>1100</v>
      </c>
      <c r="B19" s="14" t="s">
        <v>516</v>
      </c>
      <c r="C19" s="14" t="s">
        <v>516</v>
      </c>
      <c r="D19" s="13" t="s">
        <v>1059</v>
      </c>
      <c r="E19" s="13" t="s">
        <v>1101</v>
      </c>
      <c r="F19" s="13" t="s">
        <v>131</v>
      </c>
      <c r="G19" s="22">
        <v>636</v>
      </c>
      <c r="H19" s="13">
        <v>50.744</v>
      </c>
      <c r="I19" s="38"/>
      <c r="J19" s="40" t="s">
        <v>226</v>
      </c>
      <c r="K19" s="13" t="s">
        <v>1216</v>
      </c>
      <c r="L19" s="13"/>
      <c r="M19" s="13"/>
      <c r="N19" s="38" t="s">
        <v>456</v>
      </c>
      <c r="O19" s="13" t="s">
        <v>1061</v>
      </c>
      <c r="P19" s="15"/>
      <c r="Q19" s="13"/>
      <c r="R19" s="15"/>
      <c r="S19" s="15"/>
      <c r="T19" s="15">
        <v>50744</v>
      </c>
    </row>
    <row r="20" spans="1:20" x14ac:dyDescent="0.3">
      <c r="A20" s="3" t="s">
        <v>1102</v>
      </c>
      <c r="B20" s="5"/>
      <c r="C20" s="5"/>
      <c r="D20" s="4" t="s">
        <v>1059</v>
      </c>
      <c r="E20" s="4" t="s">
        <v>1103</v>
      </c>
      <c r="F20" s="4" t="s">
        <v>131</v>
      </c>
      <c r="G20" s="20">
        <v>504</v>
      </c>
      <c r="H20" s="4">
        <v>46.256</v>
      </c>
      <c r="I20" s="37"/>
      <c r="J20" s="39" t="s">
        <v>240</v>
      </c>
      <c r="K20" s="4" t="s">
        <v>1218</v>
      </c>
      <c r="L20" s="4"/>
      <c r="M20" s="4"/>
      <c r="N20" s="37" t="s">
        <v>458</v>
      </c>
      <c r="O20" s="4" t="s">
        <v>1061</v>
      </c>
      <c r="P20" s="6"/>
      <c r="Q20" s="4"/>
      <c r="R20" s="6"/>
      <c r="S20" s="6"/>
      <c r="T20" s="6">
        <v>46256</v>
      </c>
    </row>
    <row r="21" spans="1:20" x14ac:dyDescent="0.3">
      <c r="A21" s="12" t="s">
        <v>1104</v>
      </c>
      <c r="B21" s="14"/>
      <c r="C21" s="14"/>
      <c r="D21" s="13" t="s">
        <v>1059</v>
      </c>
      <c r="E21" s="13" t="s">
        <v>1105</v>
      </c>
      <c r="F21" s="13" t="s">
        <v>131</v>
      </c>
      <c r="G21" s="22">
        <v>548</v>
      </c>
      <c r="H21" s="13">
        <v>45.491999999999997</v>
      </c>
      <c r="I21" s="38"/>
      <c r="J21" s="40" t="s">
        <v>246</v>
      </c>
      <c r="K21" s="13" t="s">
        <v>695</v>
      </c>
      <c r="L21" s="13"/>
      <c r="M21" s="13"/>
      <c r="N21" s="38" t="s">
        <v>460</v>
      </c>
      <c r="O21" s="13" t="s">
        <v>1061</v>
      </c>
      <c r="P21" s="15"/>
      <c r="Q21" s="13"/>
      <c r="R21" s="15"/>
      <c r="S21" s="15"/>
      <c r="T21" s="15">
        <v>45492</v>
      </c>
    </row>
    <row r="22" spans="1:20" x14ac:dyDescent="0.3">
      <c r="A22" s="3" t="s">
        <v>1106</v>
      </c>
      <c r="B22" s="35">
        <v>46073</v>
      </c>
      <c r="C22" s="5" t="s">
        <v>450</v>
      </c>
      <c r="D22" s="4" t="s">
        <v>1107</v>
      </c>
      <c r="E22" s="4" t="s">
        <v>1108</v>
      </c>
      <c r="F22" s="4"/>
      <c r="G22" s="20">
        <v>434</v>
      </c>
      <c r="H22" s="4">
        <v>33.408245000000001</v>
      </c>
      <c r="I22" s="37"/>
      <c r="J22" s="39" t="s">
        <v>1238</v>
      </c>
      <c r="K22" s="4" t="s">
        <v>652</v>
      </c>
      <c r="L22" s="4"/>
      <c r="M22" s="4"/>
      <c r="N22" s="37" t="s">
        <v>1109</v>
      </c>
      <c r="O22" s="4" t="s">
        <v>1061</v>
      </c>
      <c r="P22" s="6"/>
      <c r="Q22" s="4"/>
      <c r="R22" s="6"/>
      <c r="S22" s="6"/>
      <c r="T22" s="6">
        <v>33408.245000000003</v>
      </c>
    </row>
    <row r="23" spans="1:20" x14ac:dyDescent="0.3">
      <c r="A23" s="12" t="s">
        <v>1110</v>
      </c>
      <c r="B23" s="36">
        <v>46078</v>
      </c>
      <c r="C23" s="14" t="s">
        <v>457</v>
      </c>
      <c r="D23" s="13" t="s">
        <v>1107</v>
      </c>
      <c r="E23" s="13" t="s">
        <v>1111</v>
      </c>
      <c r="F23" s="13"/>
      <c r="G23" s="22">
        <v>442</v>
      </c>
      <c r="H23" s="13">
        <v>34.746859999999998</v>
      </c>
      <c r="I23" s="38"/>
      <c r="J23" s="40" t="s">
        <v>1238</v>
      </c>
      <c r="K23" s="13" t="s">
        <v>652</v>
      </c>
      <c r="L23" s="13"/>
      <c r="M23" s="13"/>
      <c r="N23" s="38" t="s">
        <v>1112</v>
      </c>
      <c r="O23" s="13" t="s">
        <v>1061</v>
      </c>
      <c r="P23" s="15"/>
      <c r="Q23" s="13"/>
      <c r="R23" s="15"/>
      <c r="S23" s="15"/>
      <c r="T23" s="15">
        <v>34746.86</v>
      </c>
    </row>
    <row r="24" spans="1:20" x14ac:dyDescent="0.3">
      <c r="A24" s="3" t="s">
        <v>1113</v>
      </c>
      <c r="B24" s="35">
        <v>46084</v>
      </c>
      <c r="C24" s="5" t="s">
        <v>1024</v>
      </c>
      <c r="D24" s="4" t="s">
        <v>1107</v>
      </c>
      <c r="E24" s="4" t="s">
        <v>1114</v>
      </c>
      <c r="F24" s="4"/>
      <c r="G24" s="20">
        <v>139</v>
      </c>
      <c r="H24" s="4">
        <v>11.859959999999999</v>
      </c>
      <c r="I24" s="37"/>
      <c r="J24" s="39">
        <v>112</v>
      </c>
      <c r="K24" s="4" t="s">
        <v>676</v>
      </c>
      <c r="L24" s="4"/>
      <c r="M24" s="4"/>
      <c r="N24" s="37" t="s">
        <v>1115</v>
      </c>
      <c r="O24" s="4" t="s">
        <v>1061</v>
      </c>
      <c r="P24" s="6"/>
      <c r="Q24" s="4"/>
      <c r="R24" s="6"/>
      <c r="S24" s="6"/>
      <c r="T24" s="6">
        <v>11859.96</v>
      </c>
    </row>
    <row r="25" spans="1:20" x14ac:dyDescent="0.3">
      <c r="A25" s="12" t="s">
        <v>1116</v>
      </c>
      <c r="B25" s="36">
        <v>46176</v>
      </c>
      <c r="C25" s="14" t="s">
        <v>1117</v>
      </c>
      <c r="D25" s="13" t="s">
        <v>1107</v>
      </c>
      <c r="E25" s="13" t="s">
        <v>1118</v>
      </c>
      <c r="F25" s="13"/>
      <c r="G25" s="22">
        <v>295</v>
      </c>
      <c r="H25" s="13">
        <v>22.117007000000001</v>
      </c>
      <c r="I25" s="38"/>
      <c r="J25" s="40">
        <v>58</v>
      </c>
      <c r="K25" s="13" t="s">
        <v>685</v>
      </c>
      <c r="L25" s="13"/>
      <c r="M25" s="13"/>
      <c r="N25" s="38" t="s">
        <v>1119</v>
      </c>
      <c r="O25" s="13" t="s">
        <v>1061</v>
      </c>
      <c r="P25" s="15"/>
      <c r="Q25" s="13"/>
      <c r="R25" s="15"/>
      <c r="S25" s="15"/>
      <c r="T25" s="15">
        <v>22117.007000000001</v>
      </c>
    </row>
    <row r="26" spans="1:20" x14ac:dyDescent="0.3">
      <c r="A26" s="3" t="s">
        <v>1120</v>
      </c>
      <c r="B26" s="35">
        <v>46091</v>
      </c>
      <c r="C26" s="5" t="s">
        <v>1121</v>
      </c>
      <c r="D26" s="4" t="s">
        <v>1107</v>
      </c>
      <c r="E26" s="4" t="s">
        <v>1122</v>
      </c>
      <c r="F26" s="4"/>
      <c r="G26" s="20">
        <v>262</v>
      </c>
      <c r="H26" s="4">
        <v>20.088039999999999</v>
      </c>
      <c r="I26" s="37"/>
      <c r="J26" s="39">
        <v>112</v>
      </c>
      <c r="K26" s="4" t="s">
        <v>676</v>
      </c>
      <c r="L26" s="4"/>
      <c r="M26" s="4"/>
      <c r="N26" s="37" t="s">
        <v>1123</v>
      </c>
      <c r="O26" s="4" t="s">
        <v>1061</v>
      </c>
      <c r="P26" s="6"/>
      <c r="Q26" s="4"/>
      <c r="R26" s="6"/>
      <c r="S26" s="6"/>
      <c r="T26" s="6">
        <v>20088.04</v>
      </c>
    </row>
    <row r="27" spans="1:20" x14ac:dyDescent="0.3">
      <c r="A27" s="12" t="s">
        <v>1124</v>
      </c>
      <c r="B27" s="36">
        <v>46108</v>
      </c>
      <c r="C27" s="14" t="s">
        <v>1090</v>
      </c>
      <c r="D27" s="13" t="s">
        <v>1107</v>
      </c>
      <c r="E27" s="13" t="s">
        <v>1125</v>
      </c>
      <c r="F27" s="13"/>
      <c r="G27" s="22">
        <v>381</v>
      </c>
      <c r="H27" s="13">
        <v>29.877336</v>
      </c>
      <c r="I27" s="38"/>
      <c r="J27" s="40" t="s">
        <v>1240</v>
      </c>
      <c r="K27" s="13" t="s">
        <v>704</v>
      </c>
      <c r="L27" s="13"/>
      <c r="M27" s="13"/>
      <c r="N27" s="38" t="s">
        <v>1126</v>
      </c>
      <c r="O27" s="13" t="s">
        <v>1061</v>
      </c>
      <c r="P27" s="15"/>
      <c r="Q27" s="13"/>
      <c r="R27" s="15"/>
      <c r="S27" s="15"/>
      <c r="T27" s="15">
        <v>29877.335999999999</v>
      </c>
    </row>
    <row r="28" spans="1:20" x14ac:dyDescent="0.3">
      <c r="A28" s="3" t="s">
        <v>1127</v>
      </c>
      <c r="B28" s="35">
        <v>46116</v>
      </c>
      <c r="C28" s="5" t="s">
        <v>1128</v>
      </c>
      <c r="D28" s="4" t="s">
        <v>1107</v>
      </c>
      <c r="E28" s="4" t="s">
        <v>1129</v>
      </c>
      <c r="F28" s="4"/>
      <c r="G28" s="20">
        <v>433</v>
      </c>
      <c r="H28" s="4">
        <v>35.325422000000003</v>
      </c>
      <c r="I28" s="37"/>
      <c r="J28" s="39">
        <v>246253</v>
      </c>
      <c r="K28" s="4" t="s">
        <v>717</v>
      </c>
      <c r="L28" s="4"/>
      <c r="M28" s="4"/>
      <c r="N28" s="37" t="s">
        <v>1130</v>
      </c>
      <c r="O28" s="4" t="s">
        <v>1061</v>
      </c>
      <c r="P28" s="6"/>
      <c r="Q28" s="4"/>
      <c r="R28" s="6"/>
      <c r="S28" s="6"/>
      <c r="T28" s="6">
        <v>35325.421999999999</v>
      </c>
    </row>
    <row r="29" spans="1:20" x14ac:dyDescent="0.3">
      <c r="A29" s="12" t="s">
        <v>1131</v>
      </c>
      <c r="B29" s="36">
        <v>46125</v>
      </c>
      <c r="C29" s="14" t="s">
        <v>1132</v>
      </c>
      <c r="D29" s="13" t="s">
        <v>1107</v>
      </c>
      <c r="E29" s="13" t="s">
        <v>1133</v>
      </c>
      <c r="F29" s="13"/>
      <c r="G29" s="22">
        <v>228</v>
      </c>
      <c r="H29" s="13">
        <v>18.507899999999999</v>
      </c>
      <c r="I29" s="38"/>
      <c r="J29" s="40">
        <v>315</v>
      </c>
      <c r="K29" s="13" t="s">
        <v>727</v>
      </c>
      <c r="L29" s="13"/>
      <c r="M29" s="13"/>
      <c r="N29" s="38" t="s">
        <v>1134</v>
      </c>
      <c r="O29" s="13" t="s">
        <v>1061</v>
      </c>
      <c r="P29" s="15"/>
      <c r="Q29" s="13"/>
      <c r="R29" s="15"/>
      <c r="S29" s="15"/>
      <c r="T29" s="15">
        <v>18507.900000000001</v>
      </c>
    </row>
    <row r="30" spans="1:20" x14ac:dyDescent="0.3">
      <c r="A30" s="3" t="s">
        <v>1135</v>
      </c>
      <c r="B30" s="35">
        <v>46146</v>
      </c>
      <c r="C30" s="5" t="s">
        <v>518</v>
      </c>
      <c r="D30" s="4" t="s">
        <v>1107</v>
      </c>
      <c r="E30" s="4" t="s">
        <v>1136</v>
      </c>
      <c r="F30" s="4"/>
      <c r="G30" s="20">
        <v>221</v>
      </c>
      <c r="H30" s="4">
        <v>15.888999999999999</v>
      </c>
      <c r="I30" s="37"/>
      <c r="J30" s="39">
        <v>407</v>
      </c>
      <c r="K30" s="4" t="s">
        <v>727</v>
      </c>
      <c r="L30" s="4"/>
      <c r="M30" s="4"/>
      <c r="N30" s="37" t="s">
        <v>1137</v>
      </c>
      <c r="O30" s="4" t="s">
        <v>1061</v>
      </c>
      <c r="P30" s="6"/>
      <c r="Q30" s="4"/>
      <c r="R30" s="6"/>
      <c r="S30" s="6"/>
      <c r="T30" s="6">
        <v>15889</v>
      </c>
    </row>
    <row r="31" spans="1:20" x14ac:dyDescent="0.3">
      <c r="A31" s="12" t="s">
        <v>1138</v>
      </c>
      <c r="B31" s="36">
        <v>46150</v>
      </c>
      <c r="C31" s="14" t="s">
        <v>528</v>
      </c>
      <c r="D31" s="13" t="s">
        <v>1107</v>
      </c>
      <c r="E31" s="13" t="s">
        <v>1139</v>
      </c>
      <c r="F31" s="13"/>
      <c r="G31" s="22">
        <v>105</v>
      </c>
      <c r="H31" s="13">
        <v>7.8929999999999998</v>
      </c>
      <c r="I31" s="38"/>
      <c r="J31" s="40">
        <v>453</v>
      </c>
      <c r="K31" s="13" t="s">
        <v>740</v>
      </c>
      <c r="L31" s="13"/>
      <c r="M31" s="13"/>
      <c r="N31" s="38" t="s">
        <v>1140</v>
      </c>
      <c r="O31" s="13" t="s">
        <v>1061</v>
      </c>
      <c r="P31" s="15"/>
      <c r="Q31" s="13"/>
      <c r="R31" s="15"/>
      <c r="S31" s="15"/>
      <c r="T31" s="15">
        <v>7893</v>
      </c>
    </row>
    <row r="32" spans="1:20" x14ac:dyDescent="0.3">
      <c r="A32" s="3" t="s">
        <v>1141</v>
      </c>
      <c r="B32" s="35">
        <v>46157</v>
      </c>
      <c r="C32" s="5" t="s">
        <v>1142</v>
      </c>
      <c r="D32" s="4" t="s">
        <v>1107</v>
      </c>
      <c r="E32" s="4" t="s">
        <v>1143</v>
      </c>
      <c r="F32" s="4"/>
      <c r="G32" s="20">
        <v>589</v>
      </c>
      <c r="H32" s="4">
        <v>47.893000000000001</v>
      </c>
      <c r="I32" s="37"/>
      <c r="J32" s="39">
        <v>346380</v>
      </c>
      <c r="K32" s="4" t="s">
        <v>676</v>
      </c>
      <c r="L32" s="4"/>
      <c r="M32" s="4"/>
      <c r="N32" s="37" t="s">
        <v>1144</v>
      </c>
      <c r="O32" s="4" t="s">
        <v>1061</v>
      </c>
      <c r="P32" s="6"/>
      <c r="Q32" s="4"/>
      <c r="R32" s="6"/>
      <c r="S32" s="6"/>
      <c r="T32" s="6">
        <v>47893</v>
      </c>
    </row>
    <row r="33" spans="1:20" x14ac:dyDescent="0.3">
      <c r="A33" s="12" t="s">
        <v>1145</v>
      </c>
      <c r="B33" s="36">
        <v>46159</v>
      </c>
      <c r="C33" s="14" t="s">
        <v>1146</v>
      </c>
      <c r="D33" s="13" t="s">
        <v>1107</v>
      </c>
      <c r="E33" s="13" t="s">
        <v>1147</v>
      </c>
      <c r="F33" s="13"/>
      <c r="G33" s="22">
        <v>512</v>
      </c>
      <c r="H33" s="13">
        <v>41.899000000000001</v>
      </c>
      <c r="I33" s="38"/>
      <c r="J33" s="40">
        <v>323303</v>
      </c>
      <c r="K33" s="13" t="s">
        <v>1148</v>
      </c>
      <c r="L33" s="13"/>
      <c r="M33" s="13"/>
      <c r="N33" s="38" t="s">
        <v>1149</v>
      </c>
      <c r="O33" s="13" t="s">
        <v>1061</v>
      </c>
      <c r="P33" s="15"/>
      <c r="Q33" s="13"/>
      <c r="R33" s="15"/>
      <c r="S33" s="15"/>
      <c r="T33" s="15">
        <v>41899</v>
      </c>
    </row>
    <row r="34" spans="1:20" x14ac:dyDescent="0.3">
      <c r="A34" s="3" t="s">
        <v>1150</v>
      </c>
      <c r="B34" s="35">
        <v>46098</v>
      </c>
      <c r="C34" s="5" t="s">
        <v>473</v>
      </c>
      <c r="D34" s="4" t="s">
        <v>1151</v>
      </c>
      <c r="E34" s="4" t="s">
        <v>1152</v>
      </c>
      <c r="F34" s="4"/>
      <c r="G34" s="20">
        <v>590</v>
      </c>
      <c r="H34" s="4">
        <v>48.29</v>
      </c>
      <c r="I34" s="37"/>
      <c r="J34" s="39" t="s">
        <v>760</v>
      </c>
      <c r="K34" s="4" t="s">
        <v>1153</v>
      </c>
      <c r="L34" s="4"/>
      <c r="M34" s="4"/>
      <c r="N34" s="37" t="s">
        <v>1154</v>
      </c>
      <c r="O34" s="4" t="s">
        <v>1061</v>
      </c>
      <c r="P34" s="6"/>
      <c r="Q34" s="4"/>
      <c r="R34" s="6"/>
      <c r="S34" s="6"/>
      <c r="T34" s="6">
        <v>48290</v>
      </c>
    </row>
    <row r="35" spans="1:20" x14ac:dyDescent="0.3">
      <c r="A35" s="12" t="s">
        <v>1155</v>
      </c>
      <c r="B35" s="36">
        <v>46098</v>
      </c>
      <c r="C35" s="14" t="s">
        <v>473</v>
      </c>
      <c r="D35" s="13" t="s">
        <v>1151</v>
      </c>
      <c r="E35" s="13" t="s">
        <v>1156</v>
      </c>
      <c r="F35" s="13"/>
      <c r="G35" s="22">
        <v>590</v>
      </c>
      <c r="H35" s="13">
        <v>48.09</v>
      </c>
      <c r="I35" s="38"/>
      <c r="J35" s="40" t="s">
        <v>769</v>
      </c>
      <c r="K35" s="13" t="s">
        <v>1153</v>
      </c>
      <c r="L35" s="13"/>
      <c r="M35" s="13"/>
      <c r="N35" s="38" t="s">
        <v>1157</v>
      </c>
      <c r="O35" s="13" t="s">
        <v>1061</v>
      </c>
      <c r="P35" s="15"/>
      <c r="Q35" s="13"/>
      <c r="R35" s="15"/>
      <c r="S35" s="15"/>
      <c r="T35" s="15">
        <v>48090</v>
      </c>
    </row>
    <row r="36" spans="1:20" x14ac:dyDescent="0.3">
      <c r="A36" s="3" t="s">
        <v>1158</v>
      </c>
      <c r="B36" s="35">
        <v>46098</v>
      </c>
      <c r="C36" s="5" t="s">
        <v>473</v>
      </c>
      <c r="D36" s="4" t="s">
        <v>1151</v>
      </c>
      <c r="E36" s="4" t="s">
        <v>1159</v>
      </c>
      <c r="F36" s="4"/>
      <c r="G36" s="20">
        <v>523</v>
      </c>
      <c r="H36" s="4">
        <v>41.616999999999997</v>
      </c>
      <c r="I36" s="37"/>
      <c r="J36" s="39" t="s">
        <v>774</v>
      </c>
      <c r="K36" s="4" t="s">
        <v>1153</v>
      </c>
      <c r="L36" s="4"/>
      <c r="M36" s="4"/>
      <c r="N36" s="37" t="s">
        <v>1160</v>
      </c>
      <c r="O36" s="4" t="s">
        <v>1061</v>
      </c>
      <c r="P36" s="6"/>
      <c r="Q36" s="4"/>
      <c r="R36" s="6"/>
      <c r="S36" s="6"/>
      <c r="T36" s="6">
        <v>41617</v>
      </c>
    </row>
    <row r="37" spans="1:20" x14ac:dyDescent="0.3">
      <c r="A37" s="12" t="s">
        <v>1161</v>
      </c>
      <c r="B37" s="36">
        <v>46099</v>
      </c>
      <c r="C37" s="14" t="s">
        <v>1162</v>
      </c>
      <c r="D37" s="13" t="s">
        <v>1151</v>
      </c>
      <c r="E37" s="13" t="s">
        <v>1163</v>
      </c>
      <c r="F37" s="13"/>
      <c r="G37" s="22">
        <v>526</v>
      </c>
      <c r="H37" s="13">
        <v>40.893999999999998</v>
      </c>
      <c r="I37" s="38"/>
      <c r="J37" s="40" t="s">
        <v>778</v>
      </c>
      <c r="K37" s="13" t="s">
        <v>1153</v>
      </c>
      <c r="L37" s="13"/>
      <c r="M37" s="13"/>
      <c r="N37" s="38" t="s">
        <v>1164</v>
      </c>
      <c r="O37" s="13" t="s">
        <v>1061</v>
      </c>
      <c r="P37" s="15"/>
      <c r="Q37" s="13"/>
      <c r="R37" s="15"/>
      <c r="S37" s="15"/>
      <c r="T37" s="15">
        <v>40894</v>
      </c>
    </row>
    <row r="38" spans="1:20" x14ac:dyDescent="0.3">
      <c r="A38" s="3" t="s">
        <v>1165</v>
      </c>
      <c r="B38" s="35">
        <v>46099</v>
      </c>
      <c r="C38" s="5" t="s">
        <v>1162</v>
      </c>
      <c r="D38" s="4" t="s">
        <v>1151</v>
      </c>
      <c r="E38" s="4" t="s">
        <v>1166</v>
      </c>
      <c r="F38" s="4"/>
      <c r="G38" s="20">
        <v>592</v>
      </c>
      <c r="H38" s="4">
        <v>50.167999999999999</v>
      </c>
      <c r="I38" s="37"/>
      <c r="J38" s="39" t="s">
        <v>782</v>
      </c>
      <c r="K38" s="4" t="s">
        <v>1153</v>
      </c>
      <c r="L38" s="4"/>
      <c r="M38" s="4"/>
      <c r="N38" s="37" t="s">
        <v>1167</v>
      </c>
      <c r="O38" s="4" t="s">
        <v>1061</v>
      </c>
      <c r="P38" s="6"/>
      <c r="Q38" s="4"/>
      <c r="R38" s="6"/>
      <c r="S38" s="6"/>
      <c r="T38" s="6">
        <v>50168</v>
      </c>
    </row>
    <row r="39" spans="1:20" x14ac:dyDescent="0.3">
      <c r="A39" s="12" t="s">
        <v>1168</v>
      </c>
      <c r="B39" s="36">
        <v>46104</v>
      </c>
      <c r="C39" s="14" t="s">
        <v>479</v>
      </c>
      <c r="D39" s="13" t="s">
        <v>1151</v>
      </c>
      <c r="E39" s="13" t="s">
        <v>1169</v>
      </c>
      <c r="F39" s="13"/>
      <c r="G39" s="22">
        <v>678</v>
      </c>
      <c r="H39" s="13">
        <v>54.262</v>
      </c>
      <c r="I39" s="38"/>
      <c r="J39" s="40" t="s">
        <v>788</v>
      </c>
      <c r="K39" s="13" t="s">
        <v>1153</v>
      </c>
      <c r="L39" s="13"/>
      <c r="M39" s="13"/>
      <c r="N39" s="38" t="s">
        <v>1170</v>
      </c>
      <c r="O39" s="13" t="s">
        <v>1061</v>
      </c>
      <c r="P39" s="15"/>
      <c r="Q39" s="13"/>
      <c r="R39" s="15"/>
      <c r="S39" s="15"/>
      <c r="T39" s="15">
        <v>54262</v>
      </c>
    </row>
    <row r="40" spans="1:20" x14ac:dyDescent="0.3">
      <c r="A40" s="3" t="s">
        <v>1171</v>
      </c>
      <c r="B40" s="35">
        <v>46104</v>
      </c>
      <c r="C40" s="5" t="s">
        <v>479</v>
      </c>
      <c r="D40" s="4" t="s">
        <v>1151</v>
      </c>
      <c r="E40" s="4" t="s">
        <v>1172</v>
      </c>
      <c r="F40" s="4"/>
      <c r="G40" s="20">
        <v>494</v>
      </c>
      <c r="H40" s="4">
        <v>39.706000000000003</v>
      </c>
      <c r="I40" s="37"/>
      <c r="J40" s="39" t="s">
        <v>793</v>
      </c>
      <c r="K40" s="4" t="s">
        <v>1153</v>
      </c>
      <c r="L40" s="4"/>
      <c r="M40" s="4"/>
      <c r="N40" s="37" t="s">
        <v>1173</v>
      </c>
      <c r="O40" s="4" t="s">
        <v>1061</v>
      </c>
      <c r="P40" s="6"/>
      <c r="Q40" s="4"/>
      <c r="R40" s="6"/>
      <c r="S40" s="6"/>
      <c r="T40" s="6">
        <v>39706</v>
      </c>
    </row>
    <row r="41" spans="1:20" x14ac:dyDescent="0.3">
      <c r="A41" s="12" t="s">
        <v>1174</v>
      </c>
      <c r="B41" s="36">
        <v>46104</v>
      </c>
      <c r="C41" s="14" t="s">
        <v>479</v>
      </c>
      <c r="D41" s="13" t="s">
        <v>1151</v>
      </c>
      <c r="E41" s="13" t="s">
        <v>1175</v>
      </c>
      <c r="F41" s="13"/>
      <c r="G41" s="22">
        <v>511</v>
      </c>
      <c r="H41" s="13">
        <v>39.768999999999998</v>
      </c>
      <c r="I41" s="38"/>
      <c r="J41" s="40" t="s">
        <v>800</v>
      </c>
      <c r="K41" s="13" t="s">
        <v>1153</v>
      </c>
      <c r="L41" s="13"/>
      <c r="M41" s="13"/>
      <c r="N41" s="38" t="s">
        <v>1176</v>
      </c>
      <c r="O41" s="13" t="s">
        <v>1061</v>
      </c>
      <c r="P41" s="15"/>
      <c r="Q41" s="13"/>
      <c r="R41" s="15"/>
      <c r="S41" s="15"/>
      <c r="T41" s="15">
        <v>39769</v>
      </c>
    </row>
    <row r="42" spans="1:20" x14ac:dyDescent="0.3">
      <c r="A42" s="3" t="s">
        <v>1177</v>
      </c>
      <c r="B42" s="35">
        <v>46104</v>
      </c>
      <c r="C42" s="5" t="s">
        <v>479</v>
      </c>
      <c r="D42" s="4" t="s">
        <v>1151</v>
      </c>
      <c r="E42" s="4" t="s">
        <v>1178</v>
      </c>
      <c r="F42" s="4"/>
      <c r="G42" s="20">
        <v>505</v>
      </c>
      <c r="H42" s="4">
        <v>40.155000000000001</v>
      </c>
      <c r="I42" s="37"/>
      <c r="J42" s="39" t="s">
        <v>805</v>
      </c>
      <c r="K42" s="4" t="s">
        <v>1153</v>
      </c>
      <c r="L42" s="4"/>
      <c r="M42" s="4"/>
      <c r="N42" s="37" t="s">
        <v>1179</v>
      </c>
      <c r="O42" s="4" t="s">
        <v>1061</v>
      </c>
      <c r="P42" s="6"/>
      <c r="Q42" s="4"/>
      <c r="R42" s="6"/>
      <c r="S42" s="6"/>
      <c r="T42" s="6">
        <v>40155</v>
      </c>
    </row>
    <row r="43" spans="1:20" x14ac:dyDescent="0.3">
      <c r="A43" s="12" t="s">
        <v>1180</v>
      </c>
      <c r="B43" s="36">
        <v>46104</v>
      </c>
      <c r="C43" s="14" t="s">
        <v>479</v>
      </c>
      <c r="D43" s="13" t="s">
        <v>1151</v>
      </c>
      <c r="E43" s="13" t="s">
        <v>1181</v>
      </c>
      <c r="F43" s="13"/>
      <c r="G43" s="22">
        <v>504</v>
      </c>
      <c r="H43" s="13">
        <v>39.996000000000002</v>
      </c>
      <c r="I43" s="38"/>
      <c r="J43" s="40" t="s">
        <v>810</v>
      </c>
      <c r="K43" s="13" t="s">
        <v>1153</v>
      </c>
      <c r="L43" s="13"/>
      <c r="M43" s="13"/>
      <c r="N43" s="38" t="s">
        <v>1182</v>
      </c>
      <c r="O43" s="13" t="s">
        <v>1061</v>
      </c>
      <c r="P43" s="15"/>
      <c r="Q43" s="13"/>
      <c r="R43" s="15"/>
      <c r="S43" s="15"/>
      <c r="T43" s="15">
        <v>39996</v>
      </c>
    </row>
    <row r="44" spans="1:20" x14ac:dyDescent="0.3">
      <c r="A44" s="3" t="s">
        <v>1183</v>
      </c>
      <c r="B44" s="35">
        <v>46063</v>
      </c>
      <c r="C44" s="5" t="s">
        <v>996</v>
      </c>
      <c r="D44" s="4" t="s">
        <v>997</v>
      </c>
      <c r="E44" s="4" t="s">
        <v>1184</v>
      </c>
      <c r="F44" s="4"/>
      <c r="G44" s="20">
        <v>300000</v>
      </c>
      <c r="H44" s="4"/>
      <c r="I44" s="37"/>
      <c r="J44" s="39" t="s">
        <v>1242</v>
      </c>
      <c r="K44" s="4" t="s">
        <v>1185</v>
      </c>
      <c r="L44" s="4"/>
      <c r="M44" s="4"/>
      <c r="N44" s="37" t="s">
        <v>995</v>
      </c>
      <c r="O44" s="4" t="s">
        <v>1061</v>
      </c>
      <c r="P44" s="6"/>
      <c r="Q44" s="4"/>
      <c r="R44" s="6"/>
      <c r="S44" s="6"/>
      <c r="T44" s="6"/>
    </row>
    <row r="45" spans="1:20" x14ac:dyDescent="0.3">
      <c r="A45" s="12" t="s">
        <v>1186</v>
      </c>
      <c r="B45" s="36">
        <v>46064</v>
      </c>
      <c r="C45" s="14" t="s">
        <v>999</v>
      </c>
      <c r="D45" s="13" t="s">
        <v>1000</v>
      </c>
      <c r="E45" s="13" t="s">
        <v>1187</v>
      </c>
      <c r="F45" s="13"/>
      <c r="G45" s="22">
        <v>1500</v>
      </c>
      <c r="H45" s="13"/>
      <c r="I45" s="38"/>
      <c r="J45" s="40">
        <v>503</v>
      </c>
      <c r="K45" s="13" t="s">
        <v>1223</v>
      </c>
      <c r="L45" s="13"/>
      <c r="M45" s="13"/>
      <c r="N45" s="38" t="s">
        <v>998</v>
      </c>
      <c r="O45" s="13" t="s">
        <v>1061</v>
      </c>
      <c r="P45" s="15"/>
      <c r="Q45" s="13"/>
      <c r="R45" s="15"/>
      <c r="S45" s="15"/>
      <c r="T45" s="15"/>
    </row>
    <row r="46" spans="1:20" x14ac:dyDescent="0.3">
      <c r="A46" s="3" t="s">
        <v>1188</v>
      </c>
      <c r="B46" s="35">
        <v>46064</v>
      </c>
      <c r="C46" s="5" t="s">
        <v>999</v>
      </c>
      <c r="D46" s="4" t="s">
        <v>1000</v>
      </c>
      <c r="E46" s="4" t="s">
        <v>1189</v>
      </c>
      <c r="F46" s="4"/>
      <c r="G46" s="20">
        <v>2000</v>
      </c>
      <c r="H46" s="4"/>
      <c r="I46" s="37"/>
      <c r="J46" s="39">
        <v>506</v>
      </c>
      <c r="K46" s="4" t="s">
        <v>1208</v>
      </c>
      <c r="L46" s="4"/>
      <c r="M46" s="4"/>
      <c r="N46" s="37" t="s">
        <v>1001</v>
      </c>
      <c r="O46" s="4" t="s">
        <v>1061</v>
      </c>
      <c r="P46" s="6"/>
      <c r="Q46" s="4"/>
      <c r="R46" s="6"/>
      <c r="S46" s="6"/>
      <c r="T46" s="6"/>
    </row>
    <row r="47" spans="1:20" x14ac:dyDescent="0.3">
      <c r="A47" s="12" t="s">
        <v>1190</v>
      </c>
      <c r="B47" s="36">
        <v>46066</v>
      </c>
      <c r="C47" s="14" t="s">
        <v>1003</v>
      </c>
      <c r="D47" s="13" t="s">
        <v>1000</v>
      </c>
      <c r="E47" s="13" t="s">
        <v>1191</v>
      </c>
      <c r="F47" s="13"/>
      <c r="G47" s="22">
        <v>3000</v>
      </c>
      <c r="H47" s="13"/>
      <c r="I47" s="38"/>
      <c r="J47" s="40">
        <v>509</v>
      </c>
      <c r="K47" s="13" t="s">
        <v>1211</v>
      </c>
      <c r="L47" s="13"/>
      <c r="M47" s="13"/>
      <c r="N47" s="38" t="s">
        <v>1002</v>
      </c>
      <c r="O47" s="13" t="s">
        <v>1061</v>
      </c>
      <c r="P47" s="15"/>
      <c r="Q47" s="13"/>
      <c r="R47" s="15"/>
      <c r="S47" s="15"/>
      <c r="T47" s="15"/>
    </row>
    <row r="48" spans="1:20" x14ac:dyDescent="0.3">
      <c r="A48" s="3" t="s">
        <v>1192</v>
      </c>
      <c r="B48" s="35">
        <v>46066</v>
      </c>
      <c r="C48" s="5" t="s">
        <v>1003</v>
      </c>
      <c r="D48" s="4" t="s">
        <v>1000</v>
      </c>
      <c r="E48" s="4" t="s">
        <v>1193</v>
      </c>
      <c r="F48" s="4"/>
      <c r="G48" s="20">
        <v>1000</v>
      </c>
      <c r="H48" s="4"/>
      <c r="I48" s="37"/>
      <c r="J48" s="39">
        <v>512</v>
      </c>
      <c r="K48" s="4" t="s">
        <v>1214</v>
      </c>
      <c r="L48" s="4"/>
      <c r="M48" s="4"/>
      <c r="N48" s="37" t="s">
        <v>1004</v>
      </c>
      <c r="O48" s="4" t="s">
        <v>1061</v>
      </c>
      <c r="P48" s="6"/>
      <c r="Q48" s="4"/>
      <c r="R48" s="6"/>
      <c r="S48" s="6"/>
      <c r="T48" s="6"/>
    </row>
    <row r="49" spans="1:20" x14ac:dyDescent="0.3">
      <c r="A49" s="12" t="s">
        <v>1194</v>
      </c>
      <c r="B49" s="36">
        <v>46066</v>
      </c>
      <c r="C49" s="14" t="s">
        <v>1003</v>
      </c>
      <c r="D49" s="13" t="s">
        <v>1000</v>
      </c>
      <c r="E49" s="13" t="s">
        <v>1195</v>
      </c>
      <c r="F49" s="13"/>
      <c r="G49" s="22">
        <v>1000</v>
      </c>
      <c r="H49" s="13"/>
      <c r="I49" s="38"/>
      <c r="J49" s="40">
        <v>515</v>
      </c>
      <c r="K49" s="13" t="s">
        <v>1214</v>
      </c>
      <c r="L49" s="13"/>
      <c r="M49" s="13"/>
      <c r="N49" s="38" t="s">
        <v>1005</v>
      </c>
      <c r="O49" s="13" t="s">
        <v>1061</v>
      </c>
      <c r="P49" s="15"/>
      <c r="Q49" s="13"/>
      <c r="R49" s="15"/>
      <c r="S49" s="15"/>
      <c r="T49" s="15"/>
    </row>
    <row r="50" spans="1:20" x14ac:dyDescent="0.3">
      <c r="A50" s="3" t="s">
        <v>1196</v>
      </c>
      <c r="B50" s="35">
        <v>46067</v>
      </c>
      <c r="C50" s="5" t="s">
        <v>1007</v>
      </c>
      <c r="D50" s="4" t="s">
        <v>1000</v>
      </c>
      <c r="E50" s="4" t="s">
        <v>1197</v>
      </c>
      <c r="F50" s="4"/>
      <c r="G50" s="20">
        <v>2000</v>
      </c>
      <c r="H50" s="4"/>
      <c r="I50" s="37"/>
      <c r="J50" s="39">
        <v>518</v>
      </c>
      <c r="K50" s="4" t="s">
        <v>1224</v>
      </c>
      <c r="L50" s="4"/>
      <c r="M50" s="4"/>
      <c r="N50" s="37" t="s">
        <v>1006</v>
      </c>
      <c r="O50" s="4" t="s">
        <v>1061</v>
      </c>
      <c r="P50" s="6"/>
      <c r="Q50" s="4"/>
      <c r="R50" s="6"/>
      <c r="S50" s="6"/>
      <c r="T50" s="6"/>
    </row>
    <row r="51" spans="1:20" x14ac:dyDescent="0.3">
      <c r="A51" s="12" t="s">
        <v>1198</v>
      </c>
      <c r="B51" s="36">
        <v>46072</v>
      </c>
      <c r="C51" s="14" t="s">
        <v>447</v>
      </c>
      <c r="D51" s="13" t="s">
        <v>1000</v>
      </c>
      <c r="E51" s="13" t="s">
        <v>1199</v>
      </c>
      <c r="F51" s="13"/>
      <c r="G51" s="22">
        <v>3000</v>
      </c>
      <c r="H51" s="13"/>
      <c r="I51" s="38"/>
      <c r="J51" s="40">
        <v>531</v>
      </c>
      <c r="K51" s="13" t="s">
        <v>695</v>
      </c>
      <c r="L51" s="13"/>
      <c r="M51" s="13"/>
      <c r="N51" s="38" t="s">
        <v>1009</v>
      </c>
      <c r="O51" s="13" t="s">
        <v>1061</v>
      </c>
      <c r="P51" s="15"/>
      <c r="Q51" s="13"/>
      <c r="R51" s="15"/>
      <c r="S51" s="15"/>
      <c r="T51" s="15"/>
    </row>
    <row r="52" spans="1:20" x14ac:dyDescent="0.3">
      <c r="A52" s="3" t="s">
        <v>1200</v>
      </c>
      <c r="B52" s="35">
        <v>46074</v>
      </c>
      <c r="C52" s="5" t="s">
        <v>452</v>
      </c>
      <c r="D52" s="4" t="s">
        <v>1000</v>
      </c>
      <c r="E52" s="4" t="s">
        <v>1201</v>
      </c>
      <c r="F52" s="4"/>
      <c r="G52" s="20">
        <v>2000</v>
      </c>
      <c r="H52" s="4"/>
      <c r="I52" s="37"/>
      <c r="J52" s="39">
        <v>534</v>
      </c>
      <c r="K52" s="4" t="s">
        <v>698</v>
      </c>
      <c r="L52" s="4"/>
      <c r="M52" s="4"/>
      <c r="N52" s="37" t="s">
        <v>1010</v>
      </c>
      <c r="O52" s="4" t="s">
        <v>1061</v>
      </c>
      <c r="P52" s="6"/>
      <c r="Q52" s="4"/>
      <c r="R52" s="6"/>
      <c r="S52" s="6"/>
      <c r="T52" s="6"/>
    </row>
    <row r="53" spans="1:20" x14ac:dyDescent="0.3">
      <c r="A53" s="12" t="s">
        <v>1202</v>
      </c>
      <c r="B53" s="36">
        <v>46078</v>
      </c>
      <c r="C53" s="14" t="s">
        <v>457</v>
      </c>
      <c r="D53" s="13" t="s">
        <v>1000</v>
      </c>
      <c r="E53" s="13" t="s">
        <v>1203</v>
      </c>
      <c r="F53" s="13"/>
      <c r="G53" s="22">
        <v>3000</v>
      </c>
      <c r="H53" s="13"/>
      <c r="I53" s="38"/>
      <c r="J53" s="40">
        <v>535</v>
      </c>
      <c r="K53" s="13" t="s">
        <v>1216</v>
      </c>
      <c r="L53" s="13"/>
      <c r="M53" s="13"/>
      <c r="N53" s="38" t="s">
        <v>1011</v>
      </c>
      <c r="O53" s="13" t="s">
        <v>1061</v>
      </c>
      <c r="P53" s="15"/>
      <c r="Q53" s="13"/>
      <c r="R53" s="15"/>
      <c r="S53" s="15"/>
      <c r="T53" s="15"/>
    </row>
  </sheetData>
  <autoFilter ref="A1:T53" xr:uid="{00000000-0009-0000-0000-000008000000}"/>
  <pageMargins left="0.7" right="0.7" top="0.75" bottom="0.75" header="0.3" footer="0.3"/>
  <pageSetup orientation="portrait" horizontalDpi="4294967295" verticalDpi="429496729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8F37"/>
  </sheetPr>
  <dimension ref="A1:B26"/>
  <sheetViews>
    <sheetView showGridLines="0" workbookViewId="0">
      <pane xSplit="1" ySplit="1" topLeftCell="B2" activePane="bottomRight" state="frozen"/>
      <selection pane="topRight"/>
      <selection pane="bottomLeft"/>
      <selection pane="bottomRight"/>
    </sheetView>
  </sheetViews>
  <sheetFormatPr baseColWidth="10" defaultColWidth="8.88671875" defaultRowHeight="14.4" x14ac:dyDescent="0.3"/>
  <cols>
    <col min="1" max="1" width="14" customWidth="1"/>
    <col min="2" max="2" width="26" customWidth="1"/>
  </cols>
  <sheetData>
    <row r="1" spans="1:2" s="1" customFormat="1" ht="34.049999999999997" customHeight="1" x14ac:dyDescent="0.3">
      <c r="A1" s="2" t="s">
        <v>67</v>
      </c>
      <c r="B1" s="2" t="s">
        <v>4</v>
      </c>
    </row>
    <row r="2" spans="1:2" x14ac:dyDescent="0.3">
      <c r="A2" s="4" t="s">
        <v>1008</v>
      </c>
      <c r="B2" s="4" t="s">
        <v>1224</v>
      </c>
    </row>
    <row r="3" spans="1:2" x14ac:dyDescent="0.3">
      <c r="A3" s="13" t="s">
        <v>21</v>
      </c>
      <c r="B3" s="13" t="s">
        <v>1208</v>
      </c>
    </row>
    <row r="4" spans="1:2" x14ac:dyDescent="0.3">
      <c r="A4" s="4" t="s">
        <v>50</v>
      </c>
      <c r="B4" s="4" t="s">
        <v>695</v>
      </c>
    </row>
    <row r="5" spans="1:2" x14ac:dyDescent="0.3">
      <c r="A5" s="13" t="s">
        <v>41</v>
      </c>
      <c r="B5" s="13" t="s">
        <v>1211</v>
      </c>
    </row>
    <row r="6" spans="1:2" x14ac:dyDescent="0.3">
      <c r="A6" s="4" t="s">
        <v>60</v>
      </c>
      <c r="B6" s="4" t="s">
        <v>1214</v>
      </c>
    </row>
    <row r="7" spans="1:2" x14ac:dyDescent="0.3">
      <c r="A7" s="13" t="s">
        <v>102</v>
      </c>
      <c r="B7" s="13" t="s">
        <v>1215</v>
      </c>
    </row>
    <row r="8" spans="1:2" x14ac:dyDescent="0.3">
      <c r="A8" s="4" t="s">
        <v>116</v>
      </c>
      <c r="B8" s="4" t="s">
        <v>1216</v>
      </c>
    </row>
    <row r="9" spans="1:2" x14ac:dyDescent="0.3">
      <c r="A9" s="13" t="s">
        <v>193</v>
      </c>
      <c r="B9" s="13" t="s">
        <v>1221</v>
      </c>
    </row>
    <row r="10" spans="1:2" x14ac:dyDescent="0.3">
      <c r="A10" s="4" t="s">
        <v>136</v>
      </c>
      <c r="B10" s="4" t="s">
        <v>1217</v>
      </c>
    </row>
    <row r="11" spans="1:2" x14ac:dyDescent="0.3">
      <c r="A11" s="13" t="s">
        <v>45</v>
      </c>
      <c r="B11" s="13" t="s">
        <v>1212</v>
      </c>
    </row>
    <row r="12" spans="1:2" x14ac:dyDescent="0.3">
      <c r="A12" s="4" t="s">
        <v>29</v>
      </c>
      <c r="B12" s="4" t="s">
        <v>1209</v>
      </c>
    </row>
    <row r="13" spans="1:2" x14ac:dyDescent="0.3">
      <c r="A13" s="13" t="s">
        <v>1204</v>
      </c>
      <c r="B13" s="13" t="s">
        <v>1220</v>
      </c>
    </row>
    <row r="14" spans="1:2" x14ac:dyDescent="0.3">
      <c r="A14" s="4" t="s">
        <v>188</v>
      </c>
      <c r="B14" s="4" t="s">
        <v>1220</v>
      </c>
    </row>
    <row r="15" spans="1:2" x14ac:dyDescent="0.3">
      <c r="A15" s="13" t="s">
        <v>141</v>
      </c>
      <c r="B15" s="13" t="s">
        <v>1218</v>
      </c>
    </row>
    <row r="16" spans="1:2" x14ac:dyDescent="0.3">
      <c r="A16" s="4" t="s">
        <v>141</v>
      </c>
      <c r="B16" s="4" t="s">
        <v>1225</v>
      </c>
    </row>
    <row r="17" spans="1:2" x14ac:dyDescent="0.3">
      <c r="A17" s="13" t="s">
        <v>147</v>
      </c>
      <c r="B17" s="13" t="s">
        <v>1219</v>
      </c>
    </row>
    <row r="18" spans="1:2" x14ac:dyDescent="0.3">
      <c r="A18" s="4" t="s">
        <v>55</v>
      </c>
      <c r="B18" s="4" t="s">
        <v>1213</v>
      </c>
    </row>
    <row r="19" spans="1:2" x14ac:dyDescent="0.3">
      <c r="A19" s="13" t="s">
        <v>58</v>
      </c>
      <c r="B19" s="13" t="s">
        <v>698</v>
      </c>
    </row>
    <row r="20" spans="1:2" x14ac:dyDescent="0.3">
      <c r="A20" s="4" t="s">
        <v>206</v>
      </c>
      <c r="B20" s="4" t="s">
        <v>1222</v>
      </c>
    </row>
    <row r="21" spans="1:2" x14ac:dyDescent="0.3">
      <c r="A21" s="13" t="s">
        <v>34</v>
      </c>
      <c r="B21" s="13" t="s">
        <v>734</v>
      </c>
    </row>
    <row r="22" spans="1:2" x14ac:dyDescent="0.3">
      <c r="A22" s="4" t="s">
        <v>1205</v>
      </c>
      <c r="B22" s="4" t="s">
        <v>1226</v>
      </c>
    </row>
    <row r="23" spans="1:2" x14ac:dyDescent="0.3">
      <c r="A23" s="13" t="s">
        <v>1032</v>
      </c>
      <c r="B23" s="13" t="s">
        <v>1227</v>
      </c>
    </row>
    <row r="24" spans="1:2" x14ac:dyDescent="0.3">
      <c r="A24" s="4" t="s">
        <v>38</v>
      </c>
      <c r="B24" s="4" t="s">
        <v>1210</v>
      </c>
    </row>
    <row r="25" spans="1:2" x14ac:dyDescent="0.3">
      <c r="A25" s="13" t="s">
        <v>1206</v>
      </c>
      <c r="B25" s="13" t="s">
        <v>1228</v>
      </c>
    </row>
    <row r="26" spans="1:2" x14ac:dyDescent="0.3">
      <c r="A26" s="4" t="s">
        <v>1207</v>
      </c>
      <c r="B26" s="4" t="s">
        <v>1229</v>
      </c>
    </row>
  </sheetData>
  <autoFilter ref="A1:B26" xr:uid="{00000000-0009-0000-0000-000009000000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10</vt:i4>
      </vt:variant>
    </vt:vector>
  </HeadingPairs>
  <TitlesOfParts>
    <vt:vector size="10" baseType="lpstr">
      <vt:lpstr>Delivery Plan</vt:lpstr>
      <vt:lpstr>Truck Reception</vt:lpstr>
      <vt:lpstr>Warehouse Receiving</vt:lpstr>
      <vt:lpstr>Drying</vt:lpstr>
      <vt:lpstr>Drying &amp; Sorting</vt:lpstr>
      <vt:lpstr>Dispatch</vt:lpstr>
      <vt:lpstr>Stock Transfers</vt:lpstr>
      <vt:lpstr>Jute Bags</vt:lpstr>
      <vt:lpstr>Activity Ledger</vt:lpstr>
      <vt:lpstr>Suppliers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N'WODOBE INNOCENT KOUASSI</cp:lastModifiedBy>
  <dcterms:created xsi:type="dcterms:W3CDTF">2026-10-06T06:34:20Z</dcterms:created>
  <dcterms:modified xsi:type="dcterms:W3CDTF">2026-10-06T21:44:58Z</dcterms:modified>
</cp:coreProperties>
</file>