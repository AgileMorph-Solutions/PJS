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 WORK\IVORY COAST CASHEW 2026\AKASH EXPS SUPPORTING\Digitilization\"/>
    </mc:Choice>
  </mc:AlternateContent>
  <xr:revisionPtr revIDLastSave="0" documentId="13_ncr:1_{2A71B59B-423D-400E-B090-63B99B6BBF91}" xr6:coauthVersionLast="40" xr6:coauthVersionMax="40" xr10:uidLastSave="{00000000-0000-0000-0000-000000000000}"/>
  <bookViews>
    <workbookView xWindow="0" yWindow="0" windowWidth="19200" windowHeight="6790" xr2:uid="{E95943F4-7223-42F1-8570-A5155F11EAFB}"/>
  </bookViews>
  <sheets>
    <sheet name="Issued to Production Section" sheetId="1" r:id="rId1"/>
  </sheets>
  <externalReferences>
    <externalReference r:id="rId2"/>
    <externalReference r:id="rId3"/>
  </externalReferences>
  <definedNames>
    <definedName name="_xlnm._FilterDatabase" localSheetId="0" hidden="1">'Issued to Production Section'!$A$5:$AG$67</definedName>
    <definedName name="Prestataires">[1]Listes!$A$2:$A$20</definedName>
    <definedName name="Sites">[1]Listes!$B$2:$B$20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7" i="1" l="1"/>
  <c r="AD130" i="1"/>
  <c r="AH130" i="1" s="1"/>
  <c r="AB130" i="1"/>
  <c r="X130" i="1"/>
  <c r="AD129" i="1"/>
  <c r="AH129" i="1" s="1"/>
  <c r="AB129" i="1"/>
  <c r="X129" i="1"/>
  <c r="AD128" i="1"/>
  <c r="AH128" i="1" s="1"/>
  <c r="AB128" i="1"/>
  <c r="X128" i="1"/>
  <c r="AD127" i="1"/>
  <c r="AH127" i="1" s="1"/>
  <c r="AB127" i="1"/>
  <c r="X127" i="1"/>
  <c r="AD126" i="1"/>
  <c r="AH126" i="1" s="1"/>
  <c r="AB126" i="1"/>
  <c r="X126" i="1"/>
  <c r="AD125" i="1"/>
  <c r="AH125" i="1" s="1"/>
  <c r="AB125" i="1"/>
  <c r="X125" i="1"/>
  <c r="AD124" i="1"/>
  <c r="AH124" i="1" s="1"/>
  <c r="AB124" i="1"/>
  <c r="X124" i="1"/>
  <c r="AD123" i="1"/>
  <c r="AH123" i="1" s="1"/>
  <c r="AB123" i="1"/>
  <c r="X123" i="1"/>
  <c r="AD122" i="1"/>
  <c r="AH122" i="1" s="1"/>
  <c r="AB122" i="1"/>
  <c r="X122" i="1"/>
  <c r="AD121" i="1"/>
  <c r="AH121" i="1" s="1"/>
  <c r="AB121" i="1"/>
  <c r="X121" i="1"/>
  <c r="AD120" i="1"/>
  <c r="AH120" i="1" s="1"/>
  <c r="AB120" i="1"/>
  <c r="X120" i="1"/>
  <c r="AD119" i="1"/>
  <c r="AH119" i="1" s="1"/>
  <c r="AB119" i="1"/>
  <c r="X119" i="1"/>
  <c r="AD118" i="1"/>
  <c r="AH118" i="1" s="1"/>
  <c r="AB118" i="1"/>
  <c r="X118" i="1"/>
  <c r="AD117" i="1"/>
  <c r="AH117" i="1" s="1"/>
  <c r="AB117" i="1"/>
  <c r="X117" i="1"/>
  <c r="AD116" i="1"/>
  <c r="AH116" i="1" s="1"/>
  <c r="AB116" i="1"/>
  <c r="X116" i="1"/>
  <c r="AD115" i="1"/>
  <c r="AH115" i="1" s="1"/>
  <c r="AB115" i="1"/>
  <c r="X115" i="1"/>
  <c r="AD114" i="1"/>
  <c r="AH114" i="1" s="1"/>
  <c r="AB114" i="1"/>
  <c r="X114" i="1"/>
  <c r="AD113" i="1"/>
  <c r="AH113" i="1" s="1"/>
  <c r="AB113" i="1"/>
  <c r="X113" i="1"/>
  <c r="AD112" i="1"/>
  <c r="AH112" i="1" s="1"/>
  <c r="AB112" i="1"/>
  <c r="X112" i="1"/>
  <c r="AD111" i="1"/>
  <c r="AH111" i="1" s="1"/>
  <c r="AB111" i="1"/>
  <c r="X111" i="1"/>
  <c r="AD110" i="1"/>
  <c r="AH110" i="1" s="1"/>
  <c r="AB110" i="1"/>
  <c r="X110" i="1"/>
  <c r="AD109" i="1"/>
  <c r="AH109" i="1" s="1"/>
  <c r="AB109" i="1"/>
  <c r="X109" i="1"/>
  <c r="AD108" i="1"/>
  <c r="AH108" i="1" s="1"/>
  <c r="AB108" i="1"/>
  <c r="X108" i="1"/>
  <c r="AD106" i="1"/>
  <c r="AH106" i="1" s="1"/>
  <c r="AB106" i="1"/>
  <c r="X106" i="1"/>
  <c r="AD105" i="1"/>
  <c r="AH105" i="1" s="1"/>
  <c r="AB105" i="1"/>
  <c r="X105" i="1"/>
  <c r="AD104" i="1"/>
  <c r="AH104" i="1" s="1"/>
  <c r="AB104" i="1"/>
  <c r="X104" i="1"/>
  <c r="AD103" i="1"/>
  <c r="AH103" i="1" s="1"/>
  <c r="AB103" i="1"/>
  <c r="X103" i="1"/>
  <c r="AB102" i="1"/>
  <c r="X102" i="1"/>
  <c r="AB101" i="1"/>
  <c r="X101" i="1"/>
  <c r="AB100" i="1"/>
  <c r="X100" i="1"/>
  <c r="AB99" i="1"/>
  <c r="X99" i="1"/>
  <c r="AB98" i="1"/>
  <c r="X98" i="1"/>
  <c r="AB97" i="1"/>
  <c r="X97" i="1"/>
  <c r="AH96" i="1"/>
  <c r="AB96" i="1"/>
  <c r="X96" i="1"/>
  <c r="AB95" i="1"/>
  <c r="X95" i="1"/>
  <c r="AH94" i="1"/>
  <c r="AB94" i="1"/>
  <c r="X94" i="1"/>
  <c r="AD93" i="1"/>
  <c r="AH93" i="1" s="1"/>
  <c r="AB93" i="1"/>
  <c r="X93" i="1"/>
  <c r="AA92" i="1"/>
  <c r="AB92" i="1" s="1"/>
  <c r="AD92" i="1" s="1"/>
  <c r="AH92" i="1" s="1"/>
  <c r="X92" i="1"/>
  <c r="V92" i="1"/>
  <c r="AA91" i="1"/>
  <c r="AB91" i="1" s="1"/>
  <c r="AD91" i="1" s="1"/>
  <c r="AH91" i="1" s="1"/>
  <c r="AA90" i="1"/>
  <c r="AB90" i="1" s="1"/>
  <c r="AD90" i="1" s="1"/>
  <c r="AH90" i="1" s="1"/>
  <c r="Y90" i="1"/>
  <c r="W90" i="1"/>
  <c r="X90" i="1" s="1"/>
  <c r="V90" i="1"/>
  <c r="S90" i="1"/>
  <c r="AB89" i="1"/>
  <c r="AD89" i="1" s="1"/>
  <c r="AH89" i="1" s="1"/>
  <c r="AA89" i="1"/>
  <c r="X89" i="1"/>
  <c r="V89" i="1"/>
  <c r="AA88" i="1"/>
  <c r="AB88" i="1" s="1"/>
  <c r="AD88" i="1" s="1"/>
  <c r="AH88" i="1" s="1"/>
  <c r="X88" i="1"/>
  <c r="V88" i="1"/>
  <c r="AB87" i="1"/>
  <c r="AD87" i="1" s="1"/>
  <c r="AH87" i="1" s="1"/>
  <c r="AA87" i="1"/>
  <c r="X87" i="1"/>
  <c r="V87" i="1"/>
  <c r="AA86" i="1"/>
  <c r="AB86" i="1" s="1"/>
  <c r="AD86" i="1" s="1"/>
  <c r="AH86" i="1" s="1"/>
  <c r="X86" i="1"/>
  <c r="V86" i="1"/>
  <c r="AB85" i="1"/>
  <c r="AD85" i="1" s="1"/>
  <c r="AH85" i="1" s="1"/>
  <c r="AA85" i="1"/>
  <c r="X85" i="1"/>
  <c r="V85" i="1"/>
  <c r="X84" i="1"/>
  <c r="V84" i="1"/>
  <c r="AB84" i="1" s="1"/>
  <c r="AD84" i="1" s="1"/>
  <c r="AH84" i="1" s="1"/>
  <c r="S84" i="1"/>
  <c r="AB83" i="1"/>
  <c r="AD83" i="1" s="1"/>
  <c r="AH83" i="1" s="1"/>
  <c r="AA83" i="1"/>
  <c r="X83" i="1"/>
  <c r="V83" i="1"/>
  <c r="AA82" i="1"/>
  <c r="AB82" i="1" s="1"/>
  <c r="AD82" i="1" s="1"/>
  <c r="AH82" i="1" s="1"/>
  <c r="X82" i="1"/>
  <c r="V82" i="1"/>
  <c r="AB81" i="1"/>
  <c r="AD81" i="1" s="1"/>
  <c r="AH81" i="1" s="1"/>
  <c r="AA81" i="1"/>
  <c r="X81" i="1"/>
  <c r="V81" i="1"/>
  <c r="AA80" i="1"/>
  <c r="AB80" i="1" s="1"/>
  <c r="AD80" i="1" s="1"/>
  <c r="AH80" i="1" s="1"/>
  <c r="X80" i="1"/>
  <c r="V80" i="1"/>
  <c r="AB79" i="1"/>
  <c r="AD79" i="1" s="1"/>
  <c r="AH79" i="1" s="1"/>
  <c r="AA79" i="1"/>
  <c r="X79" i="1"/>
  <c r="V79" i="1"/>
  <c r="X78" i="1"/>
  <c r="V78" i="1"/>
  <c r="AB78" i="1" s="1"/>
  <c r="AD78" i="1" s="1"/>
  <c r="AH78" i="1" s="1"/>
  <c r="AB77" i="1"/>
  <c r="AD77" i="1" s="1"/>
  <c r="AH77" i="1" s="1"/>
  <c r="X77" i="1"/>
  <c r="V77" i="1"/>
  <c r="AB76" i="1"/>
  <c r="AD76" i="1" s="1"/>
  <c r="AH76" i="1" s="1"/>
  <c r="AA76" i="1"/>
  <c r="X76" i="1"/>
  <c r="V76" i="1"/>
  <c r="X75" i="1"/>
  <c r="V75" i="1"/>
  <c r="AB75" i="1" s="1"/>
  <c r="AD75" i="1" s="1"/>
  <c r="AH75" i="1" s="1"/>
  <c r="X74" i="1"/>
  <c r="V74" i="1"/>
  <c r="AB74" i="1" s="1"/>
  <c r="AD74" i="1" s="1"/>
  <c r="AH74" i="1" s="1"/>
  <c r="AB73" i="1"/>
  <c r="AD73" i="1" s="1"/>
  <c r="AH73" i="1" s="1"/>
  <c r="X73" i="1"/>
  <c r="V73" i="1"/>
  <c r="X72" i="1"/>
  <c r="V72" i="1"/>
  <c r="AB72" i="1" s="1"/>
  <c r="AD72" i="1" s="1"/>
  <c r="AH72" i="1" s="1"/>
  <c r="X71" i="1"/>
  <c r="V71" i="1"/>
  <c r="AB71" i="1" s="1"/>
  <c r="AD71" i="1" s="1"/>
  <c r="AH71" i="1" s="1"/>
  <c r="AB70" i="1"/>
  <c r="AD70" i="1" s="1"/>
  <c r="AH70" i="1" s="1"/>
  <c r="X70" i="1"/>
  <c r="V70" i="1"/>
  <c r="AB69" i="1"/>
  <c r="AD69" i="1" s="1"/>
  <c r="AH69" i="1" s="1"/>
  <c r="X69" i="1"/>
  <c r="V69" i="1"/>
  <c r="W68" i="1"/>
  <c r="X68" i="1" s="1"/>
  <c r="V68" i="1"/>
  <c r="AB68" i="1" s="1"/>
  <c r="AD68" i="1" s="1"/>
  <c r="AH68" i="1" s="1"/>
  <c r="X67" i="1"/>
  <c r="V67" i="1"/>
  <c r="AB67" i="1" s="1"/>
  <c r="AD67" i="1" s="1"/>
  <c r="AH67" i="1" s="1"/>
  <c r="AB66" i="1"/>
  <c r="AD66" i="1" s="1"/>
  <c r="AH66" i="1" s="1"/>
  <c r="X66" i="1"/>
  <c r="V66" i="1"/>
  <c r="AA65" i="1"/>
  <c r="AB65" i="1" s="1"/>
  <c r="AD65" i="1" s="1"/>
  <c r="AH65" i="1" s="1"/>
  <c r="X65" i="1"/>
  <c r="V65" i="1"/>
  <c r="AA64" i="1"/>
  <c r="AB64" i="1" s="1"/>
  <c r="AD64" i="1" s="1"/>
  <c r="AH64" i="1" s="1"/>
  <c r="Y64" i="1"/>
  <c r="X64" i="1"/>
  <c r="W64" i="1"/>
  <c r="V64" i="1"/>
  <c r="Y63" i="1"/>
  <c r="X63" i="1" s="1"/>
  <c r="W63" i="1"/>
  <c r="V63" i="1"/>
  <c r="AB63" i="1" s="1"/>
  <c r="AD63" i="1" s="1"/>
  <c r="AH63" i="1" s="1"/>
  <c r="X62" i="1"/>
  <c r="V62" i="1"/>
  <c r="AB62" i="1" s="1"/>
  <c r="AD62" i="1" s="1"/>
  <c r="AH62" i="1" s="1"/>
  <c r="X61" i="1"/>
  <c r="W61" i="1"/>
  <c r="V61" i="1"/>
  <c r="AB61" i="1" s="1"/>
  <c r="AD61" i="1" s="1"/>
  <c r="AH61" i="1" s="1"/>
  <c r="Y60" i="1"/>
  <c r="X60" i="1" s="1"/>
  <c r="V60" i="1"/>
  <c r="AB60" i="1" s="1"/>
  <c r="AD60" i="1" s="1"/>
  <c r="AH60" i="1" s="1"/>
  <c r="Y59" i="1"/>
  <c r="X59" i="1" s="1"/>
  <c r="V59" i="1"/>
  <c r="AB59" i="1" s="1"/>
  <c r="AD59" i="1" s="1"/>
  <c r="AH59" i="1" s="1"/>
  <c r="AA58" i="1"/>
  <c r="AB58" i="1" s="1"/>
  <c r="AD58" i="1" s="1"/>
  <c r="AH58" i="1" s="1"/>
  <c r="Y58" i="1"/>
  <c r="X58" i="1"/>
  <c r="V58" i="1"/>
  <c r="AA57" i="1"/>
  <c r="Y57" i="1"/>
  <c r="X57" i="1"/>
  <c r="V57" i="1"/>
  <c r="AB57" i="1" s="1"/>
  <c r="AD57" i="1" s="1"/>
  <c r="AH57" i="1" s="1"/>
  <c r="T57" i="1"/>
  <c r="AA56" i="1"/>
  <c r="Y56" i="1"/>
  <c r="W56" i="1"/>
  <c r="X56" i="1" s="1"/>
  <c r="T56" i="1"/>
  <c r="V56" i="1" s="1"/>
  <c r="AB56" i="1" s="1"/>
  <c r="AD56" i="1" s="1"/>
  <c r="AH56" i="1" s="1"/>
  <c r="S56" i="1"/>
  <c r="AB55" i="1"/>
  <c r="AD55" i="1" s="1"/>
  <c r="AH55" i="1" s="1"/>
  <c r="AA55" i="1"/>
  <c r="Y55" i="1"/>
  <c r="X55" i="1" s="1"/>
  <c r="V55" i="1"/>
  <c r="AA54" i="1"/>
  <c r="Y54" i="1"/>
  <c r="X54" i="1"/>
  <c r="U54" i="1"/>
  <c r="V54" i="1" s="1"/>
  <c r="Y53" i="1"/>
  <c r="AA53" i="1" s="1"/>
  <c r="AB53" i="1" s="1"/>
  <c r="AD53" i="1" s="1"/>
  <c r="AH53" i="1" s="1"/>
  <c r="X53" i="1"/>
  <c r="V53" i="1"/>
  <c r="Y52" i="1"/>
  <c r="AA52" i="1" s="1"/>
  <c r="AB52" i="1" s="1"/>
  <c r="AD52" i="1" s="1"/>
  <c r="AH52" i="1" s="1"/>
  <c r="V52" i="1"/>
  <c r="X51" i="1"/>
  <c r="V51" i="1"/>
  <c r="AB51" i="1" s="1"/>
  <c r="AD51" i="1" s="1"/>
  <c r="AH51" i="1" s="1"/>
  <c r="AB50" i="1"/>
  <c r="AD50" i="1" s="1"/>
  <c r="AH50" i="1" s="1"/>
  <c r="Y50" i="1"/>
  <c r="X50" i="1"/>
  <c r="W50" i="1"/>
  <c r="V50" i="1"/>
  <c r="AA49" i="1"/>
  <c r="AB49" i="1" s="1"/>
  <c r="AD49" i="1" s="1"/>
  <c r="AH49" i="1" s="1"/>
  <c r="X49" i="1"/>
  <c r="V49" i="1"/>
  <c r="AA48" i="1"/>
  <c r="AB48" i="1" s="1"/>
  <c r="AD48" i="1" s="1"/>
  <c r="AH48" i="1" s="1"/>
  <c r="X48" i="1"/>
  <c r="V48" i="1"/>
  <c r="U48" i="1"/>
  <c r="AB47" i="1"/>
  <c r="AD47" i="1" s="1"/>
  <c r="AH47" i="1" s="1"/>
  <c r="X47" i="1"/>
  <c r="W47" i="1"/>
  <c r="V47" i="1"/>
  <c r="AB46" i="1"/>
  <c r="AD46" i="1" s="1"/>
  <c r="AH46" i="1" s="1"/>
  <c r="Y46" i="1"/>
  <c r="X46" i="1"/>
  <c r="V46" i="1"/>
  <c r="AB45" i="1"/>
  <c r="AD45" i="1" s="1"/>
  <c r="AH45" i="1" s="1"/>
  <c r="V45" i="1"/>
  <c r="AA44" i="1"/>
  <c r="Y44" i="1"/>
  <c r="X44" i="1" s="1"/>
  <c r="W44" i="1"/>
  <c r="W137" i="1" s="1"/>
  <c r="U44" i="1"/>
  <c r="V44" i="1" s="1"/>
  <c r="AB44" i="1" s="1"/>
  <c r="AD44" i="1" s="1"/>
  <c r="AH44" i="1" s="1"/>
  <c r="S44" i="1"/>
  <c r="S137" i="1" s="1"/>
  <c r="V43" i="1"/>
  <c r="AB43" i="1" s="1"/>
  <c r="AD43" i="1" s="1"/>
  <c r="AH43" i="1" s="1"/>
  <c r="AH42" i="1"/>
  <c r="V42" i="1"/>
  <c r="AB42" i="1" s="1"/>
  <c r="AH41" i="1"/>
  <c r="AB41" i="1"/>
  <c r="V41" i="1"/>
  <c r="AD40" i="1"/>
  <c r="X40" i="1"/>
  <c r="V40" i="1"/>
  <c r="AB40" i="1" s="1"/>
  <c r="AF40" i="1" s="1"/>
  <c r="AH40" i="1" s="1"/>
  <c r="AH39" i="1"/>
  <c r="AF39" i="1"/>
  <c r="X39" i="1"/>
  <c r="U39" i="1"/>
  <c r="V39" i="1" s="1"/>
  <c r="X38" i="1"/>
  <c r="V38" i="1"/>
  <c r="AB38" i="1" s="1"/>
  <c r="AF38" i="1" s="1"/>
  <c r="AH38" i="1" s="1"/>
  <c r="AD37" i="1"/>
  <c r="AH37" i="1" s="1"/>
  <c r="AB37" i="1"/>
  <c r="X37" i="1"/>
  <c r="V37" i="1"/>
  <c r="X36" i="1"/>
  <c r="T36" i="1"/>
  <c r="V36" i="1" s="1"/>
  <c r="AB36" i="1" s="1"/>
  <c r="AF36" i="1" s="1"/>
  <c r="AH36" i="1" s="1"/>
  <c r="X35" i="1"/>
  <c r="V35" i="1"/>
  <c r="AB35" i="1" s="1"/>
  <c r="AF35" i="1" s="1"/>
  <c r="AH35" i="1" s="1"/>
  <c r="AH34" i="1"/>
  <c r="AF34" i="1"/>
  <c r="X34" i="1"/>
  <c r="AB33" i="1"/>
  <c r="AF33" i="1" s="1"/>
  <c r="AH33" i="1" s="1"/>
  <c r="X33" i="1"/>
  <c r="U33" i="1"/>
  <c r="AB32" i="1"/>
  <c r="AF32" i="1" s="1"/>
  <c r="AH32" i="1" s="1"/>
  <c r="X32" i="1"/>
  <c r="U32" i="1"/>
  <c r="AF31" i="1"/>
  <c r="AH31" i="1" s="1"/>
  <c r="AB31" i="1"/>
  <c r="X31" i="1"/>
  <c r="X30" i="1"/>
  <c r="V30" i="1"/>
  <c r="X29" i="1"/>
  <c r="V29" i="1"/>
  <c r="AB29" i="1" s="1"/>
  <c r="AF29" i="1" s="1"/>
  <c r="AH29" i="1" s="1"/>
  <c r="AB28" i="1"/>
  <c r="AF28" i="1" s="1"/>
  <c r="AH28" i="1" s="1"/>
  <c r="X28" i="1"/>
  <c r="V28" i="1"/>
  <c r="AD27" i="1"/>
  <c r="X27" i="1"/>
  <c r="V27" i="1"/>
  <c r="AB27" i="1" s="1"/>
  <c r="AF27" i="1" s="1"/>
  <c r="AH27" i="1" s="1"/>
  <c r="X26" i="1"/>
  <c r="U26" i="1"/>
  <c r="V26" i="1" s="1"/>
  <c r="AB26" i="1" s="1"/>
  <c r="AF26" i="1" s="1"/>
  <c r="AH26" i="1" s="1"/>
  <c r="AD25" i="1"/>
  <c r="X25" i="1"/>
  <c r="V25" i="1"/>
  <c r="AB25" i="1" s="1"/>
  <c r="AF25" i="1" s="1"/>
  <c r="AH25" i="1" s="1"/>
  <c r="AD24" i="1"/>
  <c r="AB24" i="1"/>
  <c r="AF24" i="1" s="1"/>
  <c r="AH24" i="1" s="1"/>
  <c r="X24" i="1"/>
  <c r="U24" i="1"/>
  <c r="AF23" i="1"/>
  <c r="AH23" i="1" s="1"/>
  <c r="AB23" i="1"/>
  <c r="X23" i="1"/>
  <c r="U23" i="1"/>
  <c r="X22" i="1"/>
  <c r="V22" i="1"/>
  <c r="AB22" i="1" s="1"/>
  <c r="AF22" i="1" s="1"/>
  <c r="AH22" i="1" s="1"/>
  <c r="X21" i="1"/>
  <c r="V21" i="1"/>
  <c r="AB21" i="1" s="1"/>
  <c r="AF21" i="1" s="1"/>
  <c r="AH21" i="1" s="1"/>
  <c r="AD20" i="1"/>
  <c r="X20" i="1"/>
  <c r="V20" i="1"/>
  <c r="AB20" i="1" s="1"/>
  <c r="AF20" i="1" s="1"/>
  <c r="AH20" i="1" s="1"/>
  <c r="AD19" i="1"/>
  <c r="AA19" i="1"/>
  <c r="X19" i="1"/>
  <c r="V19" i="1"/>
  <c r="AB19" i="1" s="1"/>
  <c r="AF18" i="1"/>
  <c r="AH18" i="1" s="1"/>
  <c r="AD18" i="1"/>
  <c r="AB18" i="1"/>
  <c r="AA18" i="1"/>
  <c r="X18" i="1"/>
  <c r="V18" i="1"/>
  <c r="AD17" i="1"/>
  <c r="X17" i="1"/>
  <c r="V17" i="1"/>
  <c r="AB17" i="1" s="1"/>
  <c r="AF17" i="1" s="1"/>
  <c r="AH17" i="1" s="1"/>
  <c r="AD16" i="1"/>
  <c r="AB16" i="1"/>
  <c r="AF16" i="1" s="1"/>
  <c r="AH16" i="1" s="1"/>
  <c r="X16" i="1"/>
  <c r="V16" i="1"/>
  <c r="AD15" i="1"/>
  <c r="Y15" i="1"/>
  <c r="X15" i="1"/>
  <c r="V15" i="1"/>
  <c r="AB15" i="1" s="1"/>
  <c r="AF15" i="1" s="1"/>
  <c r="AH15" i="1" s="1"/>
  <c r="AD14" i="1"/>
  <c r="X14" i="1"/>
  <c r="U14" i="1"/>
  <c r="V14" i="1" s="1"/>
  <c r="AB14" i="1" s="1"/>
  <c r="AF14" i="1" s="1"/>
  <c r="AH14" i="1" s="1"/>
  <c r="AD13" i="1"/>
  <c r="AF13" i="1" s="1"/>
  <c r="AH13" i="1" s="1"/>
  <c r="AB13" i="1"/>
  <c r="Y13" i="1"/>
  <c r="X13" i="1" s="1"/>
  <c r="U13" i="1"/>
  <c r="AB12" i="1"/>
  <c r="Y12" i="1"/>
  <c r="AD12" i="1" s="1"/>
  <c r="AF12" i="1" s="1"/>
  <c r="AH12" i="1" s="1"/>
  <c r="X12" i="1"/>
  <c r="U12" i="1"/>
  <c r="AD11" i="1"/>
  <c r="AF11" i="1" s="1"/>
  <c r="AH11" i="1" s="1"/>
  <c r="X11" i="1"/>
  <c r="V11" i="1"/>
  <c r="AB11" i="1" s="1"/>
  <c r="U11" i="1"/>
  <c r="Y10" i="1"/>
  <c r="X10" i="1" s="1"/>
  <c r="U10" i="1"/>
  <c r="V10" i="1" s="1"/>
  <c r="AB10" i="1" s="1"/>
  <c r="AF10" i="1" s="1"/>
  <c r="AH10" i="1" s="1"/>
  <c r="AD9" i="1"/>
  <c r="X9" i="1"/>
  <c r="U9" i="1"/>
  <c r="V9" i="1" s="1"/>
  <c r="AB9" i="1" s="1"/>
  <c r="AD8" i="1"/>
  <c r="X8" i="1"/>
  <c r="V8" i="1"/>
  <c r="AB8" i="1" s="1"/>
  <c r="AF8" i="1" s="1"/>
  <c r="AH8" i="1" s="1"/>
  <c r="U8" i="1"/>
  <c r="Y7" i="1"/>
  <c r="X7" i="1"/>
  <c r="U7" i="1"/>
  <c r="T7" i="1"/>
  <c r="V7" i="1" s="1"/>
  <c r="AB7" i="1" s="1"/>
  <c r="R7" i="1"/>
  <c r="AD6" i="1"/>
  <c r="AB6" i="1"/>
  <c r="AA6" i="1"/>
  <c r="AA137" i="1" s="1"/>
  <c r="AA138" i="1" s="1"/>
  <c r="Y6" i="1"/>
  <c r="V6" i="1"/>
  <c r="U6" i="1"/>
  <c r="U137" i="1" s="1"/>
  <c r="T6" i="1"/>
  <c r="T137" i="1" s="1"/>
  <c r="R6" i="1"/>
  <c r="V137" i="1" l="1"/>
  <c r="AF19" i="1"/>
  <c r="AH19" i="1" s="1"/>
  <c r="AB137" i="1"/>
  <c r="AB138" i="1" s="1"/>
  <c r="AB54" i="1"/>
  <c r="AD54" i="1" s="1"/>
  <c r="AH54" i="1" s="1"/>
  <c r="AD137" i="1"/>
  <c r="AD138" i="1" s="1"/>
  <c r="AF9" i="1"/>
  <c r="AH9" i="1" s="1"/>
  <c r="X52" i="1"/>
  <c r="X137" i="1" s="1"/>
  <c r="AF6" i="1"/>
  <c r="AF137" i="1" l="1"/>
  <c r="AH6" i="1"/>
  <c r="AH1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V12" authorId="0" shapeId="0" xr:uid="{870383C4-CB41-4E51-916B-396DAF0048EA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599*.63
352.17
prev-286.50
</t>
        </r>
      </text>
    </comment>
    <comment ref="R19" authorId="0" shapeId="0" xr:uid="{4F8B164E-52D3-4D54-ABE6-9D08B40F3A7A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Dryied from Bouake 
Bouake Cargo
</t>
        </r>
      </text>
    </comment>
  </commentList>
</comments>
</file>

<file path=xl/sharedStrings.xml><?xml version="1.0" encoding="utf-8"?>
<sst xmlns="http://schemas.openxmlformats.org/spreadsheetml/2006/main" count="789" uniqueCount="117">
  <si>
    <t>DRY RCN GIVEN TO PRODUCTION SECTION</t>
  </si>
  <si>
    <t>SI NO</t>
  </si>
  <si>
    <t>Date</t>
  </si>
  <si>
    <t>RCN</t>
  </si>
  <si>
    <t>Source Bin</t>
  </si>
  <si>
    <t xml:space="preserve">DRY BIN </t>
  </si>
  <si>
    <t xml:space="preserve">Bin Status </t>
  </si>
  <si>
    <t xml:space="preserve">BTM </t>
  </si>
  <si>
    <t>KOR-Issued</t>
  </si>
  <si>
    <t>Nut Count</t>
  </si>
  <si>
    <t>GK</t>
  </si>
  <si>
    <t>Moisture</t>
  </si>
  <si>
    <t>Immature</t>
  </si>
  <si>
    <t xml:space="preserve">Spottd </t>
  </si>
  <si>
    <t>Rejection</t>
  </si>
  <si>
    <t>OIL (Gram)</t>
  </si>
  <si>
    <t>Void (Gram)</t>
  </si>
  <si>
    <t>Shell (Gram)</t>
  </si>
  <si>
    <t>Fiche No</t>
  </si>
  <si>
    <t>Bag inStock afetr Dry</t>
  </si>
  <si>
    <t>No of Bag(Issued to Production)</t>
  </si>
  <si>
    <t>Avg Bag Wt (Empty  Bag)</t>
  </si>
  <si>
    <t>Bag Wt(Empty Bag)</t>
  </si>
  <si>
    <t>No of Pallet</t>
  </si>
  <si>
    <t>Avg Pallet Wt</t>
  </si>
  <si>
    <t>Pallet Weight (Kg)</t>
  </si>
  <si>
    <t>Gross Wt (Before Dry)</t>
  </si>
  <si>
    <t>Gross Wt (After Drying Wt with Jute Bag)</t>
  </si>
  <si>
    <t>Net Wt (Without Jute Bag)</t>
  </si>
  <si>
    <t>Date of Issue to Calibration</t>
  </si>
  <si>
    <t>Received By Production(Net Wt)</t>
  </si>
  <si>
    <t xml:space="preserve">Issued from </t>
  </si>
  <si>
    <t>Diff in Issue</t>
  </si>
  <si>
    <t xml:space="preserve">Remarks </t>
  </si>
  <si>
    <t>Check</t>
  </si>
  <si>
    <t>Row Labels</t>
  </si>
  <si>
    <t>Sum of Net Wt (Without Jute Bag)</t>
  </si>
  <si>
    <t>Dry Rcn</t>
  </si>
  <si>
    <t>BIN-013</t>
  </si>
  <si>
    <t>ANA-01</t>
  </si>
  <si>
    <t>Running</t>
  </si>
  <si>
    <t>BIN</t>
  </si>
  <si>
    <t>BIN-001</t>
  </si>
  <si>
    <t>BIN-008A</t>
  </si>
  <si>
    <t>BIN-010</t>
  </si>
  <si>
    <t>BIN-016</t>
  </si>
  <si>
    <t>BIN-02A</t>
  </si>
  <si>
    <t>BIN-02B</t>
  </si>
  <si>
    <t>BIN-03B</t>
  </si>
  <si>
    <t>BIN-05</t>
  </si>
  <si>
    <t>BKE-001-DRY</t>
  </si>
  <si>
    <t>Grand Total</t>
  </si>
  <si>
    <t>Closed</t>
  </si>
  <si>
    <t>Lot returned due to start higer KOR calibration/Staked in Calibration Area/Date of retur of CARGO-3/06/2026. (54.663)</t>
  </si>
  <si>
    <t>ANA-02-DRY</t>
  </si>
  <si>
    <t>Net wt yet pending from Calibrataion</t>
  </si>
  <si>
    <t>ANA-05A-DRY</t>
  </si>
  <si>
    <t xml:space="preserve">Dry Rcn </t>
  </si>
  <si>
    <t>Direct Issue from Bin due to Low moisture</t>
  </si>
  <si>
    <t>ANA-02A-DRY</t>
  </si>
  <si>
    <t>ANA-02B-DRY</t>
  </si>
  <si>
    <t>13/07/2026</t>
  </si>
  <si>
    <t>ANA-008A-DRY</t>
  </si>
  <si>
    <t>14/07/2026</t>
  </si>
  <si>
    <t>15/07/2026</t>
  </si>
  <si>
    <t>16/07/2026</t>
  </si>
  <si>
    <t>17/07/2026</t>
  </si>
  <si>
    <t>ANA-03B-DRY</t>
  </si>
  <si>
    <t>18/07/2026</t>
  </si>
  <si>
    <t>20/07/2026</t>
  </si>
  <si>
    <t>21/07/2026</t>
  </si>
  <si>
    <t>22/07/2026</t>
  </si>
  <si>
    <t>23/07/2026</t>
  </si>
  <si>
    <t>24/07/2026</t>
  </si>
  <si>
    <t>25/7/2026</t>
  </si>
  <si>
    <t>27/7/2026</t>
  </si>
  <si>
    <t>28/07/2026</t>
  </si>
  <si>
    <t>29/07/2026</t>
  </si>
  <si>
    <t>30/07/2026</t>
  </si>
  <si>
    <t>31/07/2026</t>
  </si>
  <si>
    <t>ANA-016-DRY</t>
  </si>
  <si>
    <t xml:space="preserve">Mixed Sampling </t>
  </si>
  <si>
    <t>BIN-010-DRY</t>
  </si>
  <si>
    <t>ANA-010-DRY</t>
  </si>
  <si>
    <t>13/08/2026</t>
  </si>
  <si>
    <t>14/08/2026</t>
  </si>
  <si>
    <t>17/08/2026</t>
  </si>
  <si>
    <t>18/08/2026</t>
  </si>
  <si>
    <t xml:space="preserve"> Dried BIN issue to calibration</t>
  </si>
  <si>
    <t>19/08/2026</t>
  </si>
  <si>
    <t>20/08/2026</t>
  </si>
  <si>
    <t>22/08/2026</t>
  </si>
  <si>
    <t>BIN-015</t>
  </si>
  <si>
    <t>ANA-015-DRY</t>
  </si>
  <si>
    <t>21/08/2026</t>
  </si>
  <si>
    <t>26/08/2026</t>
  </si>
  <si>
    <t>BIN-04</t>
  </si>
  <si>
    <t>ANA-04-DRY</t>
  </si>
  <si>
    <t>BIN-08B</t>
  </si>
  <si>
    <t>ANA-08B-DRY</t>
  </si>
  <si>
    <t>27/08/2026</t>
  </si>
  <si>
    <t>28/08/2026</t>
  </si>
  <si>
    <t>BIN-011</t>
  </si>
  <si>
    <t>ANA-011-DRY</t>
  </si>
  <si>
    <t>29/08/2026</t>
  </si>
  <si>
    <t>BIN-03C</t>
  </si>
  <si>
    <t>ANA-03C-DRY</t>
  </si>
  <si>
    <t>14/09/2026</t>
  </si>
  <si>
    <t>16/09/2026</t>
  </si>
  <si>
    <t>17/09/2026</t>
  </si>
  <si>
    <t>BIN-012</t>
  </si>
  <si>
    <t>ANA-012-DRY</t>
  </si>
  <si>
    <t>18/09/2026</t>
  </si>
  <si>
    <t>19/09/2026</t>
  </si>
  <si>
    <t>21/09/2026</t>
  </si>
  <si>
    <t>22/09/2026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</si>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</sst>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\-yyyy;@"/>
    <numFmt numFmtId="165" formatCode="_(* #,##0.0_);_(* \(#,##0.0\);_(* &quot;-&quot;??_);_(@_)"/>
    <numFmt numFmtId="166" formatCode="m/d/yyyy"/>
    <numFmt numFmtId="167" formatCode="_(* #,##0_);_(* \(#,##0\);_(* &quot;-&quot;??_);_(@_)"/>
    <numFmt numFmtId="168" formatCode="_(* #,##0.000_);_(* \(#,##0.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43" fontId="2" fillId="0" borderId="0" xfId="1" applyFont="1"/>
    <xf numFmtId="2" fontId="2" fillId="0" borderId="0" xfId="0" applyNumberFormat="1" applyFont="1"/>
    <xf numFmtId="164" fontId="2" fillId="0" borderId="0" xfId="0" applyNumberFormat="1" applyFont="1" applyAlignment="1">
      <alignment horizontal="right"/>
    </xf>
    <xf numFmtId="43" fontId="2" fillId="0" borderId="0" xfId="1" applyFont="1" applyAlignment="1">
      <alignment horizontal="center" vertical="center"/>
    </xf>
    <xf numFmtId="43" fontId="2" fillId="5" borderId="0" xfId="1" applyFont="1" applyFill="1" applyAlignment="1">
      <alignment horizontal="center" vertical="center"/>
    </xf>
    <xf numFmtId="43" fontId="2" fillId="0" borderId="0" xfId="0" applyNumberFormat="1" applyFont="1"/>
    <xf numFmtId="0" fontId="0" fillId="0" borderId="0" xfId="0" applyAlignment="1">
      <alignment horizontal="left"/>
    </xf>
    <xf numFmtId="43" fontId="0" fillId="0" borderId="0" xfId="0" applyNumberFormat="1"/>
    <xf numFmtId="43" fontId="2" fillId="5" borderId="0" xfId="1" applyFont="1" applyFill="1" applyAlignment="1">
      <alignment horizontal="center"/>
    </xf>
    <xf numFmtId="43" fontId="2" fillId="0" borderId="0" xfId="1" applyFont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6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2" fontId="2" fillId="2" borderId="0" xfId="0" applyNumberFormat="1" applyFont="1" applyFill="1" applyAlignment="1">
      <alignment vertical="center"/>
    </xf>
    <xf numFmtId="43" fontId="2" fillId="2" borderId="0" xfId="1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43" fontId="2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horizontal="center"/>
    </xf>
    <xf numFmtId="43" fontId="2" fillId="2" borderId="0" xfId="1" applyFont="1" applyFill="1" applyAlignment="1">
      <alignment horizontal="center" vertical="center" wrapText="1"/>
    </xf>
    <xf numFmtId="0" fontId="2" fillId="6" borderId="0" xfId="0" applyFont="1" applyFill="1" applyAlignment="1">
      <alignment horizontal="right" wrapText="1"/>
    </xf>
    <xf numFmtId="0" fontId="2" fillId="6" borderId="0" xfId="0" applyFont="1" applyFill="1" applyAlignment="1">
      <alignment horizontal="right"/>
    </xf>
    <xf numFmtId="43" fontId="2" fillId="0" borderId="0" xfId="1" applyFont="1" applyFill="1"/>
    <xf numFmtId="43" fontId="2" fillId="2" borderId="0" xfId="1" applyFont="1" applyFill="1"/>
    <xf numFmtId="43" fontId="2" fillId="7" borderId="0" xfId="1" applyFont="1" applyFill="1"/>
    <xf numFmtId="43" fontId="2" fillId="0" borderId="0" xfId="1" applyFont="1" applyFill="1" applyAlignment="1">
      <alignment horizontal="center" vertical="center"/>
    </xf>
    <xf numFmtId="43" fontId="2" fillId="0" borderId="0" xfId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43" fontId="2" fillId="8" borderId="0" xfId="1" applyFont="1" applyFill="1"/>
    <xf numFmtId="165" fontId="2" fillId="0" borderId="0" xfId="1" applyNumberFormat="1" applyFont="1"/>
    <xf numFmtId="166" fontId="2" fillId="0" borderId="0" xfId="0" applyNumberFormat="1" applyFont="1" applyAlignment="1">
      <alignment horizontal="center"/>
    </xf>
    <xf numFmtId="0" fontId="2" fillId="2" borderId="0" xfId="0" applyFont="1" applyFill="1"/>
    <xf numFmtId="43" fontId="2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43" fontId="0" fillId="3" borderId="0" xfId="1" applyFont="1" applyFill="1"/>
    <xf numFmtId="0" fontId="0" fillId="3" borderId="0" xfId="0" applyFill="1"/>
    <xf numFmtId="43" fontId="0" fillId="3" borderId="0" xfId="0" applyNumberFormat="1" applyFill="1"/>
    <xf numFmtId="43" fontId="4" fillId="3" borderId="0" xfId="1" applyFont="1" applyFill="1"/>
    <xf numFmtId="167" fontId="0" fillId="3" borderId="0" xfId="1" applyNumberFormat="1" applyFont="1" applyFill="1"/>
    <xf numFmtId="43" fontId="0" fillId="0" borderId="0" xfId="1" applyFont="1"/>
    <xf numFmtId="0" fontId="2" fillId="0" borderId="0" xfId="0" applyFont="1" applyAlignment="1">
      <alignment horizontal="left"/>
    </xf>
    <xf numFmtId="168" fontId="2" fillId="0" borderId="0" xfId="0" applyNumberFormat="1" applyFont="1"/>
    <xf numFmtId="0" fontId="6" fillId="0" borderId="0" xfId="2"/>
    <xf numFmtId="0" fontId="3" fillId="2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m/d/yyyy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[$-409]d\-mmm\-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[$-409]d\-mmm\-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BOUAKE%20Stock%20transf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AppData\Local\Microsoft\Olk\Attachments\ooa-066771bb-c52c-4db1-9e1c-882fe1e03102\86b47115ddb45e0d5d393db4818c3e540761219ccedc207faa38a29f055ea08d\Drying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DRY RCN-YAKRO-2026"/>
      <sheetName val=" Dryied &amp; Undry Issued RCN"/>
      <sheetName val="Bouake Dring RCN"/>
      <sheetName val="Issued to Production Section"/>
    </sheetNames>
    <sheetDataSet>
      <sheetData sheetId="0">
        <row r="15">
          <cell r="F15">
            <v>89770</v>
          </cell>
          <cell r="AL15">
            <v>644</v>
          </cell>
        </row>
        <row r="16">
          <cell r="F16">
            <v>89781</v>
          </cell>
          <cell r="AL16">
            <v>667</v>
          </cell>
        </row>
        <row r="64">
          <cell r="R64">
            <v>36872</v>
          </cell>
          <cell r="T64">
            <v>36341</v>
          </cell>
        </row>
      </sheetData>
      <sheetData sheetId="1">
        <row r="33">
          <cell r="K33">
            <v>137037.70000000001</v>
          </cell>
        </row>
        <row r="36">
          <cell r="K36">
            <v>118474.3</v>
          </cell>
        </row>
        <row r="37">
          <cell r="K37">
            <v>113632.09999999999</v>
          </cell>
        </row>
        <row r="38">
          <cell r="K38">
            <v>21406.2</v>
          </cell>
        </row>
        <row r="39">
          <cell r="K39">
            <v>125120.4</v>
          </cell>
        </row>
        <row r="40">
          <cell r="K40">
            <v>32234.699999999997</v>
          </cell>
        </row>
        <row r="42">
          <cell r="K42">
            <v>31952.500000000004</v>
          </cell>
        </row>
        <row r="43">
          <cell r="K43">
            <v>22623.100000000002</v>
          </cell>
        </row>
        <row r="44">
          <cell r="K44">
            <v>31551.399999999998</v>
          </cell>
        </row>
        <row r="45">
          <cell r="K45">
            <v>33165.800000000003</v>
          </cell>
        </row>
        <row r="46">
          <cell r="K46">
            <v>22491.9</v>
          </cell>
        </row>
        <row r="47">
          <cell r="K47">
            <v>49670.3</v>
          </cell>
        </row>
        <row r="48">
          <cell r="K48">
            <v>106967.1</v>
          </cell>
        </row>
        <row r="49">
          <cell r="K49">
            <v>93569.1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Microsoft\Olk\Attachments\ooa-066771bb-c52c-4db1-9e1c-882fe1e03102\86b47115ddb45e0d5d393db4818c3e540761219ccedc207faa38a29f055ea08d\Drying%20Repor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-Anagroci" refreshedDate="46252.302584837962" createdVersion="8" refreshedVersion="8" minRefreshableVersion="3" recordCount="93" xr:uid="{8D9B4E1B-BC5E-4A7F-B9B1-B1290805FA24}">
  <cacheSource type="worksheet">
    <worksheetSource name="Table4" r:id="rId2"/>
  </cacheSource>
  <cacheFields count="34">
    <cacheField name="SI NO" numFmtId="0">
      <sharedItems containsSemiMixedTypes="0" containsString="0" containsNumber="1" containsInteger="1" minValue="0" maxValue="92"/>
    </cacheField>
    <cacheField name="Date" numFmtId="164">
      <sharedItems containsSemiMixedTypes="0" containsNonDate="0" containsDate="1" containsString="0" minDate="2026-04-22T00:00:00" maxDate="2026-08-19T00:00:00"/>
    </cacheField>
    <cacheField name="RCN" numFmtId="0">
      <sharedItems/>
    </cacheField>
    <cacheField name="Source Bin" numFmtId="0">
      <sharedItems containsMixedTypes="1" containsNumber="1" containsInteger="1" minValue="0" maxValue="0" count="11">
        <s v="BIN-013"/>
        <s v="BKE-001-DRY"/>
        <s v="BIN-03B"/>
        <n v="0"/>
        <s v="BIN-001"/>
        <s v="BIN-05"/>
        <s v="BIN-02A"/>
        <s v="BIN-02B"/>
        <s v="BIN-008A"/>
        <s v="BIN-016"/>
        <s v="BIN-010"/>
      </sharedItems>
    </cacheField>
    <cacheField name="DRY BIN " numFmtId="0">
      <sharedItems containsBlank="1"/>
    </cacheField>
    <cacheField name="Bin Status " numFmtId="0">
      <sharedItems containsBlank="1"/>
    </cacheField>
    <cacheField name="BTM " numFmtId="0">
      <sharedItems containsSemiMixedTypes="0" containsString="0" containsNumber="1" containsInteger="1" minValue="101" maxValue="1055"/>
    </cacheField>
    <cacheField name="KOR-Issued" numFmtId="0">
      <sharedItems containsSemiMixedTypes="0" containsString="0" containsNumber="1" minValue="39.24" maxValue="48.41"/>
    </cacheField>
    <cacheField name="Nut Count" numFmtId="0">
      <sharedItems containsString="0" containsBlank="1" containsNumber="1" containsInteger="1" minValue="161" maxValue="199"/>
    </cacheField>
    <cacheField name="GK" numFmtId="0">
      <sharedItems containsString="0" containsBlank="1" containsNumber="1" containsInteger="1" minValue="212" maxValue="260"/>
    </cacheField>
    <cacheField name="Moisture" numFmtId="0">
      <sharedItems containsSemiMixedTypes="0" containsString="0" containsNumber="1" minValue="7.1" maxValue="91"/>
    </cacheField>
    <cacheField name="Immature" numFmtId="0">
      <sharedItems containsString="0" containsBlank="1" containsNumber="1" containsInteger="1" minValue="3" maxValue="24"/>
    </cacheField>
    <cacheField name="Spottd " numFmtId="0">
      <sharedItems containsString="0" containsBlank="1" containsNumber="1" containsInteger="1" minValue="6" maxValue="22"/>
    </cacheField>
    <cacheField name="Rejection" numFmtId="0">
      <sharedItems containsString="0" containsBlank="1" containsNumber="1" containsInteger="1" minValue="13" maxValue="64"/>
    </cacheField>
    <cacheField name="OIL (Gram)" numFmtId="0">
      <sharedItems containsString="0" containsBlank="1" containsNumber="1" containsInteger="1" minValue="0" maxValue="8"/>
    </cacheField>
    <cacheField name="Void (Gram)" numFmtId="0">
      <sharedItems containsString="0" containsBlank="1" containsNumber="1" containsInteger="1" minValue="2" maxValue="41"/>
    </cacheField>
    <cacheField name="Shell (Gram)" numFmtId="0">
      <sharedItems containsString="0" containsBlank="1" containsNumber="1" containsInteger="1" minValue="657" maxValue="699"/>
    </cacheField>
    <cacheField name="Fiche No" numFmtId="0">
      <sharedItems containsMixedTypes="1" containsNumber="1" containsInteger="1" minValue="773" maxValue="89781"/>
    </cacheField>
    <cacheField name="Bag inStock afetr Dry" numFmtId="0">
      <sharedItems containsSemiMixedTypes="0" containsString="0" containsNumber="1" containsInteger="1" minValue="0" maxValue="3007"/>
    </cacheField>
    <cacheField name="No of Bag(Issued to Production)" numFmtId="0">
      <sharedItems containsSemiMixedTypes="0" containsString="0" containsNumber="1" containsInteger="1" minValue="0" maxValue="3007"/>
    </cacheField>
    <cacheField name="Avg Bag Wt (Empty  Bag)" numFmtId="43">
      <sharedItems containsSemiMixedTypes="0" containsString="0" containsNumber="1" minValue="0.61699999999999999" maxValue="1"/>
    </cacheField>
    <cacheField name="Bag Wt(Empty Bag)" numFmtId="43">
      <sharedItems containsSemiMixedTypes="0" containsString="0" containsNumber="1" minValue="0" maxValue="1954.55"/>
    </cacheField>
    <cacheField name="No of Pallet" numFmtId="0">
      <sharedItems containsString="0" containsBlank="1" containsNumber="1" containsInteger="1" minValue="10" maxValue="101"/>
    </cacheField>
    <cacheField name="Avg Pallet Wt" numFmtId="43">
      <sharedItems containsString="0" containsBlank="1" containsNumber="1" minValue="65.58" maxValue="78.08"/>
    </cacheField>
    <cacheField name="Pallet Weight (Kg)" numFmtId="43">
      <sharedItems containsString="0" containsBlank="1" containsNumber="1" minValue="655.8" maxValue="7410"/>
    </cacheField>
    <cacheField name="Gross Wt (Before Dry)" numFmtId="43">
      <sharedItems containsNonDate="0" containsString="0" containsBlank="1"/>
    </cacheField>
    <cacheField name="Gross Wt (After Drying Wt with Jute Bag)" numFmtId="43">
      <sharedItems containsSemiMixedTypes="0" containsString="0" containsNumber="1" minValue="0" maxValue="226482.5"/>
    </cacheField>
    <cacheField name="Net Wt (Without Jute Bag)" numFmtId="0">
      <sharedItems containsSemiMixedTypes="0" containsString="0" containsNumber="1" minValue="0" maxValue="224529.25"/>
    </cacheField>
    <cacheField name="Date of Issue to Calibration" numFmtId="0">
      <sharedItems containsDate="1" containsMixedTypes="1" minDate="2026-01-08T00:00:00" maxDate="2026-12-09T00:00:00"/>
    </cacheField>
    <cacheField name="Received By Production(Net Wt)" numFmtId="43">
      <sharedItems containsString="0" containsBlank="1" containsNumber="1" minValue="0" maxValue="224529.25"/>
    </cacheField>
    <cacheField name="Issued from " numFmtId="43">
      <sharedItems containsBlank="1"/>
    </cacheField>
    <cacheField name="Diff in Issue" numFmtId="43">
      <sharedItems containsString="0" containsBlank="1" containsNumber="1" minValue="0" maxValue="1583.5900000000038"/>
    </cacheField>
    <cacheField name="Remarks " numFmtId="0">
      <sharedItems containsBlank="1"/>
    </cacheField>
    <cacheField name="Check" numFmtId="43">
      <sharedItems containsString="0" containsBlank="1" containsNumber="1" minValue="21211.200000000001" maxValue="224529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1"/>
    <d v="2026-04-22T00:00:00"/>
    <s v="Dry Rcn"/>
    <x v="0"/>
    <s v="ANA-01"/>
    <s v="Running"/>
    <n v="1001"/>
    <n v="43.12"/>
    <n v="172"/>
    <n v="230"/>
    <n v="8.9"/>
    <n v="16"/>
    <n v="13"/>
    <n v="20"/>
    <n v="0"/>
    <n v="25"/>
    <n v="690"/>
    <n v="89770"/>
    <n v="644"/>
    <n v="644"/>
    <n v="0.69"/>
    <n v="444.35999999999996"/>
    <n v="25"/>
    <n v="71.319999999999993"/>
    <n v="1782.9999999999998"/>
    <m/>
    <n v="48375"/>
    <n v="47930.64"/>
    <d v="2026-04-23T00:00:00"/>
    <n v="97398"/>
    <s v="BIN"/>
    <n v="1583.5900000000038"/>
    <m/>
    <n v="97398"/>
  </r>
  <r>
    <n v="2"/>
    <d v="2026-04-22T00:00:00"/>
    <s v="Dry Rcn"/>
    <x v="0"/>
    <s v="ANA-01"/>
    <s v="Running"/>
    <n v="1001"/>
    <n v="42.85"/>
    <n v="170"/>
    <n v="230"/>
    <n v="9.8000000000000007"/>
    <n v="10"/>
    <n v="16"/>
    <n v="28"/>
    <n v="8"/>
    <n v="30"/>
    <n v="689"/>
    <n v="89781"/>
    <n v="667"/>
    <n v="667"/>
    <n v="0.69"/>
    <n v="460.22999999999996"/>
    <n v="31"/>
    <n v="71.319999999999993"/>
    <n v="2210.9199999999996"/>
    <m/>
    <n v="48344"/>
    <n v="47883.77"/>
    <d v="2026-04-23T00:00:00"/>
    <m/>
    <s v="BIN"/>
    <m/>
    <m/>
    <m/>
  </r>
  <r>
    <n v="3"/>
    <d v="2026-04-23T00:00:00"/>
    <s v="Dry Rcn"/>
    <x v="0"/>
    <s v="ANA-01"/>
    <s v="Running"/>
    <n v="1004"/>
    <n v="43.38"/>
    <n v="180"/>
    <n v="228"/>
    <n v="8.6"/>
    <n v="10"/>
    <n v="11"/>
    <n v="31"/>
    <n v="0"/>
    <n v="20"/>
    <n v="693"/>
    <n v="29107"/>
    <n v="600"/>
    <n v="614"/>
    <n v="0.61699999999999999"/>
    <n v="378.83800000000002"/>
    <n v="26"/>
    <n v="74.230769230769226"/>
    <n v="1930"/>
    <m/>
    <n v="44380"/>
    <n v="44001.161999999997"/>
    <d v="2026-04-25T00:00:00"/>
    <n v="44066"/>
    <m/>
    <n v="64.838000000003376"/>
    <m/>
    <n v="44066"/>
  </r>
  <r>
    <n v="4"/>
    <d v="2026-04-25T00:00:00"/>
    <s v="Dry Rcn"/>
    <x v="0"/>
    <s v="ANA-01"/>
    <s v="Running"/>
    <n v="1004"/>
    <n v="43.65"/>
    <n v="171"/>
    <n v="238"/>
    <n v="8.8000000000000007"/>
    <n v="11"/>
    <n v="8"/>
    <n v="30"/>
    <n v="2"/>
    <n v="20"/>
    <n v="685"/>
    <n v="87146"/>
    <n v="457"/>
    <n v="458"/>
    <n v="0.63100436681222705"/>
    <n v="289"/>
    <n v="21"/>
    <n v="74.747619047619054"/>
    <n v="1569.7"/>
    <m/>
    <n v="33006"/>
    <n v="32717"/>
    <d v="2026-04-25T00:00:00"/>
    <n v="32913.9"/>
    <m/>
    <n v="196.90000000000146"/>
    <m/>
    <n v="32913.9"/>
  </r>
  <r>
    <n v="5"/>
    <d v="2026-04-25T00:00:00"/>
    <s v="Dry Rcn"/>
    <x v="0"/>
    <s v="ANA-01"/>
    <s v="Running"/>
    <n v="1002"/>
    <n v="42.68"/>
    <n v="176"/>
    <n v="226"/>
    <n v="10.5"/>
    <n v="19"/>
    <n v="13"/>
    <n v="33"/>
    <n v="2"/>
    <n v="17"/>
    <n v="687"/>
    <n v="87093"/>
    <n v="528"/>
    <n v="527"/>
    <n v="0.63100436681222705"/>
    <n v="332.53930131004364"/>
    <n v="23"/>
    <n v="76.847826086956516"/>
    <n v="1767.5"/>
    <m/>
    <n v="38919"/>
    <n v="38586.46069868996"/>
    <d v="2026-04-28T00:00:00"/>
    <n v="38461.599999999999"/>
    <m/>
    <n v="124.86069868996128"/>
    <m/>
    <n v="38586.46069868996"/>
  </r>
  <r>
    <n v="6"/>
    <d v="2026-04-28T00:00:00"/>
    <s v="Dry Rcn"/>
    <x v="0"/>
    <s v="ANA-01"/>
    <s v="Running"/>
    <n v="1005"/>
    <n v="42.59"/>
    <n v="164"/>
    <n v="227"/>
    <n v="8.6999999999999993"/>
    <n v="19"/>
    <n v="10"/>
    <n v="16"/>
    <n v="5"/>
    <n v="21"/>
    <n v="696"/>
    <n v="37581"/>
    <n v="603"/>
    <n v="609"/>
    <n v="0.72101806239737276"/>
    <n v="439.1"/>
    <n v="26"/>
    <n v="75.542307692307688"/>
    <n v="1964.1"/>
    <m/>
    <n v="44874"/>
    <n v="44434.9"/>
    <d v="2026-04-28T00:00:00"/>
    <n v="44720"/>
    <m/>
    <n v="285.09999999999854"/>
    <m/>
    <n v="44720"/>
  </r>
  <r>
    <n v="7"/>
    <d v="2026-04-30T00:00:00"/>
    <s v="Dry Rcn"/>
    <x v="0"/>
    <s v="ANA-01"/>
    <s v="Running"/>
    <n v="1010"/>
    <n v="42.68"/>
    <n v="179"/>
    <n v="232"/>
    <n v="9.3000000000000007"/>
    <n v="12"/>
    <n v="8"/>
    <n v="28"/>
    <n v="0"/>
    <n v="21"/>
    <n v="692"/>
    <n v="35967"/>
    <n v="564"/>
    <n v="559"/>
    <n v="0.63100436681222705"/>
    <n v="352.17"/>
    <n v="20"/>
    <n v="70.424999999999997"/>
    <n v="1408.5"/>
    <m/>
    <n v="41366"/>
    <n v="41013.83"/>
    <d v="2026-04-30T00:00:00"/>
    <n v="40690.130000000005"/>
    <m/>
    <n v="323.69999999999709"/>
    <m/>
    <n v="41013.83"/>
  </r>
  <r>
    <n v="8"/>
    <d v="2026-04-30T00:00:00"/>
    <s v="Dry Rcn"/>
    <x v="0"/>
    <s v="ANA-01"/>
    <s v="Running"/>
    <n v="1013"/>
    <n v="43.38"/>
    <n v="161"/>
    <n v="232"/>
    <n v="9.5"/>
    <n v="10"/>
    <n v="18"/>
    <n v="28"/>
    <n v="2"/>
    <n v="18"/>
    <n v="687"/>
    <n v="37582"/>
    <n v="585"/>
    <n v="618"/>
    <n v="0.63100436681222705"/>
    <n v="401.7"/>
    <n v="27"/>
    <n v="73.69"/>
    <n v="1989.6299999999999"/>
    <m/>
    <n v="44038"/>
    <n v="43636.3"/>
    <d v="2026-04-30T00:00:00"/>
    <n v="44024.5"/>
    <m/>
    <n v="388.19999999999709"/>
    <m/>
    <n v="44024.5"/>
  </r>
  <r>
    <n v="9"/>
    <d v="2026-05-05T00:00:00"/>
    <s v="Dry Rcn"/>
    <x v="0"/>
    <s v="ANA-01"/>
    <s v="Running"/>
    <n v="1006"/>
    <n v="43.03"/>
    <n v="188"/>
    <n v="227"/>
    <n v="8.5"/>
    <n v="17"/>
    <n v="17"/>
    <n v="28"/>
    <n v="0"/>
    <n v="21"/>
    <n v="684"/>
    <n v="66919"/>
    <n v="547"/>
    <n v="547"/>
    <n v="0.65"/>
    <n v="355.55"/>
    <n v="22"/>
    <n v="72.940909090909088"/>
    <n v="1604.7"/>
    <m/>
    <n v="40966"/>
    <n v="40610.449999999997"/>
    <d v="2026-05-05T00:00:00"/>
    <n v="40610.050000000003"/>
    <m/>
    <n v="0.39999999999417923"/>
    <m/>
    <n v="40610.449999999997"/>
  </r>
  <r>
    <n v="10"/>
    <d v="2026-05-05T00:00:00"/>
    <s v="Dry Rcn"/>
    <x v="0"/>
    <s v="ANA-01"/>
    <s v="Running"/>
    <n v="1007"/>
    <n v="42.32"/>
    <n v="199"/>
    <n v="228"/>
    <n v="9.6999999999999993"/>
    <n v="12"/>
    <n v="12"/>
    <n v="46"/>
    <n v="4"/>
    <n v="26"/>
    <n v="667"/>
    <n v="35051"/>
    <n v="643"/>
    <n v="644"/>
    <n v="0.65"/>
    <n v="418.6"/>
    <n v="28"/>
    <n v="75.421428571428578"/>
    <n v="2111.8000000000002"/>
    <m/>
    <n v="47959"/>
    <n v="47540.4"/>
    <d v="2026-05-05T00:00:00"/>
    <n v="47464"/>
    <m/>
    <n v="76.400000000001455"/>
    <m/>
    <n v="47540.4"/>
  </r>
  <r>
    <n v="11"/>
    <d v="2026-05-06T00:00:00"/>
    <s v="Dry Rcn"/>
    <x v="0"/>
    <s v="ANA-01"/>
    <s v="Running"/>
    <n v="1008"/>
    <n v="43.21"/>
    <n v="164"/>
    <n v="230"/>
    <n v="10.4"/>
    <n v="12"/>
    <n v="18"/>
    <n v="20"/>
    <n v="4"/>
    <n v="36"/>
    <n v="675"/>
    <n v="14643"/>
    <n v="537"/>
    <n v="537"/>
    <n v="0.65"/>
    <n v="349.05"/>
    <n v="22"/>
    <n v="71.640909090909091"/>
    <n v="1576.1"/>
    <m/>
    <n v="38952"/>
    <n v="38602.949999999997"/>
    <d v="2026-05-06T00:00:00"/>
    <n v="38211.949999999997"/>
    <m/>
    <n v="391"/>
    <m/>
    <n v="38602.949999999997"/>
  </r>
  <r>
    <n v="12"/>
    <d v="2026-05-06T00:00:00"/>
    <s v="Dry Rcn"/>
    <x v="0"/>
    <s v="ANA-01"/>
    <s v="Running"/>
    <n v="1009"/>
    <n v="42.32"/>
    <n v="183"/>
    <n v="227"/>
    <n v="9.6"/>
    <n v="10"/>
    <n v="16"/>
    <n v="49"/>
    <n v="0"/>
    <n v="17"/>
    <n v="675"/>
    <n v="773"/>
    <n v="572"/>
    <n v="572"/>
    <n v="0.65"/>
    <n v="371.8"/>
    <n v="23"/>
    <n v="73.095652173913052"/>
    <n v="1681.2"/>
    <m/>
    <n v="42344"/>
    <n v="41972.2"/>
    <d v="2026-05-06T00:00:00"/>
    <n v="41541"/>
    <m/>
    <n v="431.19999999999709"/>
    <m/>
    <n v="41972.2"/>
  </r>
  <r>
    <n v="13"/>
    <d v="2026-05-09T00:00:00"/>
    <s v="Dry Rcn"/>
    <x v="0"/>
    <s v="ANA-01"/>
    <s v="Running"/>
    <n v="1011"/>
    <n v="42.5"/>
    <n v="174"/>
    <n v="225"/>
    <n v="8.9"/>
    <n v="14"/>
    <n v="18"/>
    <n v="41"/>
    <n v="0"/>
    <n v="13"/>
    <n v="684"/>
    <n v="82154"/>
    <n v="584"/>
    <n v="585"/>
    <n v="0.65"/>
    <n v="380.25"/>
    <n v="25"/>
    <n v="67.2"/>
    <n v="1680"/>
    <m/>
    <n v="44445"/>
    <n v="44064.75"/>
    <d v="2026-05-09T00:00:00"/>
    <n v="43454"/>
    <m/>
    <n v="610.75"/>
    <m/>
    <n v="44064.75"/>
  </r>
  <r>
    <n v="14"/>
    <d v="2026-05-11T00:00:00"/>
    <s v="Dry Rcn"/>
    <x v="1"/>
    <s v="ANA-01"/>
    <s v="Closed"/>
    <n v="1012"/>
    <n v="42.76"/>
    <n v="176"/>
    <n v="228"/>
    <n v="8.9"/>
    <n v="16"/>
    <n v="13"/>
    <n v="22"/>
    <n v="2"/>
    <n v="30"/>
    <n v="684"/>
    <n v="82770"/>
    <n v="667"/>
    <n v="667"/>
    <n v="0.65"/>
    <n v="433.55"/>
    <n v="25"/>
    <n v="71.316000000000003"/>
    <n v="1782.9"/>
    <m/>
    <n v="49741"/>
    <n v="49307.45"/>
    <d v="2026-05-11T00:00:00"/>
    <n v="49355"/>
    <m/>
    <n v="47.55000000000291"/>
    <m/>
    <n v="49355"/>
  </r>
  <r>
    <n v="15"/>
    <d v="2026-05-12T00:00:00"/>
    <s v="Dry Rcn"/>
    <x v="2"/>
    <s v="ANA-01"/>
    <s v="Running"/>
    <n v="1015"/>
    <n v="43.47"/>
    <n v="172"/>
    <n v="230"/>
    <n v="8.6999999999999993"/>
    <n v="12"/>
    <n v="21"/>
    <n v="32"/>
    <n v="4"/>
    <n v="9"/>
    <n v="688"/>
    <s v="BIN-03B"/>
    <n v="605"/>
    <n v="605"/>
    <n v="0.65"/>
    <n v="393.25"/>
    <n v="25"/>
    <n v="72"/>
    <n v="1800"/>
    <m/>
    <n v="46136"/>
    <n v="45742.75"/>
    <d v="2026-05-12T00:00:00"/>
    <n v="45333"/>
    <m/>
    <n v="409.75"/>
    <m/>
    <n v="45742.75"/>
  </r>
  <r>
    <n v="16"/>
    <d v="2026-05-13T00:00:00"/>
    <s v="Dry Rcn"/>
    <x v="2"/>
    <s v="ANA-01"/>
    <s v="Running"/>
    <n v="1014"/>
    <n v="42.15"/>
    <n v="177"/>
    <n v="223"/>
    <n v="8.5"/>
    <n v="11"/>
    <n v="21"/>
    <n v="40"/>
    <n v="0"/>
    <n v="30"/>
    <n v="671"/>
    <s v="BIN-03B"/>
    <n v="575"/>
    <n v="575"/>
    <n v="0.65"/>
    <n v="373.75"/>
    <n v="24"/>
    <n v="73.791666666666671"/>
    <n v="1771"/>
    <m/>
    <n v="43873"/>
    <n v="43499.25"/>
    <d v="2026-05-15T00:00:00"/>
    <n v="43110"/>
    <m/>
    <n v="389.25"/>
    <m/>
    <n v="43499.25"/>
  </r>
  <r>
    <n v="17"/>
    <d v="2026-05-15T00:00:00"/>
    <s v="Dry Rcn"/>
    <x v="2"/>
    <s v="ANA-01"/>
    <s v="Running"/>
    <n v="1016"/>
    <n v="43.47"/>
    <n v="172"/>
    <n v="230"/>
    <n v="8.6999999999999993"/>
    <n v="12"/>
    <n v="21"/>
    <n v="32"/>
    <n v="4"/>
    <n v="9"/>
    <n v="688"/>
    <s v="BIN-03B"/>
    <n v="638"/>
    <n v="638"/>
    <n v="0.65"/>
    <n v="414.7"/>
    <n v="27"/>
    <n v="73"/>
    <n v="1971"/>
    <m/>
    <n v="48908"/>
    <n v="48493.3"/>
    <d v="2026-05-18T00:00:00"/>
    <n v="48024"/>
    <m/>
    <n v="469.30000000000291"/>
    <m/>
    <n v="48493.3"/>
  </r>
  <r>
    <n v="18"/>
    <d v="2026-05-18T00:00:00"/>
    <s v="Dry Rcn"/>
    <x v="0"/>
    <s v="ANA-01"/>
    <s v="Running"/>
    <n v="1018"/>
    <n v="43.47"/>
    <n v="173"/>
    <n v="233"/>
    <n v="8.5"/>
    <n v="16"/>
    <n v="11"/>
    <n v="35"/>
    <n v="0"/>
    <n v="22"/>
    <n v="678"/>
    <n v="31510"/>
    <n v="566"/>
    <n v="566"/>
    <n v="0.65017667844522964"/>
    <n v="368"/>
    <n v="24"/>
    <n v="72"/>
    <n v="1728"/>
    <m/>
    <n v="42581"/>
    <n v="42213"/>
    <d v="2026-05-20T00:00:00"/>
    <n v="41773"/>
    <m/>
    <n v="440"/>
    <m/>
    <n v="42213"/>
  </r>
  <r>
    <n v="19"/>
    <d v="2026-05-19T00:00:00"/>
    <s v="Dry Rcn"/>
    <x v="2"/>
    <s v="ANA-01"/>
    <s v="Running"/>
    <n v="1019"/>
    <n v="42.06"/>
    <n v="172"/>
    <n v="225"/>
    <n v="8.5"/>
    <n v="14"/>
    <n v="13"/>
    <n v="41"/>
    <n v="0"/>
    <n v="26"/>
    <n v="676"/>
    <s v="BIN-03B"/>
    <n v="1322"/>
    <n v="1323"/>
    <n v="0.6500377928949358"/>
    <n v="860"/>
    <n v="55"/>
    <n v="72.454545454545453"/>
    <n v="3985"/>
    <m/>
    <n v="99494"/>
    <n v="98634"/>
    <d v="2026-05-22T00:00:00"/>
    <n v="97586"/>
    <m/>
    <n v="1048"/>
    <m/>
    <n v="98634"/>
  </r>
  <r>
    <n v="20"/>
    <d v="2026-05-26T00:00:00"/>
    <s v="Dry Rcn"/>
    <x v="2"/>
    <s v="ANA-01"/>
    <s v="Running"/>
    <n v="1020"/>
    <n v="42.76"/>
    <n v="172"/>
    <n v="230"/>
    <n v="8.8000000000000007"/>
    <n v="11"/>
    <n v="14"/>
    <n v="40"/>
    <n v="0"/>
    <n v="13"/>
    <n v="687"/>
    <s v="BIN-03B"/>
    <n v="535"/>
    <n v="535"/>
    <n v="0.65"/>
    <n v="347.75"/>
    <n v="22"/>
    <n v="72.272727272727266"/>
    <n v="1590"/>
    <m/>
    <n v="39919"/>
    <n v="39571.25"/>
    <d v="2026-05-26T00:00:00"/>
    <n v="39269"/>
    <m/>
    <n v="302.25"/>
    <m/>
    <n v="39571.25"/>
  </r>
  <r>
    <n v="21"/>
    <d v="2026-05-28T00:00:00"/>
    <s v="Dry Rcn"/>
    <x v="2"/>
    <s v="ANA-01"/>
    <s v="Running"/>
    <n v="1022"/>
    <n v="42.5"/>
    <n v="175"/>
    <n v="223"/>
    <n v="8.6999999999999993"/>
    <n v="17"/>
    <n v="19"/>
    <n v="36"/>
    <n v="0"/>
    <n v="41"/>
    <n v="659"/>
    <s v="BIN-03B"/>
    <n v="414"/>
    <n v="414"/>
    <n v="0.65"/>
    <n v="269.10000000000002"/>
    <n v="19"/>
    <n v="73.368421052631575"/>
    <n v="1394"/>
    <m/>
    <n v="30903"/>
    <n v="30633.9"/>
    <d v="2026-05-28T00:00:00"/>
    <n v="30377"/>
    <m/>
    <n v="256.90000000000146"/>
    <m/>
    <n v="30633.9"/>
  </r>
  <r>
    <n v="22"/>
    <d v="2026-05-28T00:00:00"/>
    <s v="Dry Rcn"/>
    <x v="2"/>
    <s v="ANA-01"/>
    <s v="Running"/>
    <n v="1021"/>
    <n v="42.59"/>
    <n v="171"/>
    <n v="227"/>
    <n v="8.8000000000000007"/>
    <n v="19"/>
    <n v="10"/>
    <n v="30"/>
    <n v="0"/>
    <n v="36"/>
    <n v="670"/>
    <s v="BIN-03B"/>
    <n v="998"/>
    <n v="1001"/>
    <n v="0.65"/>
    <n v="648.70000000000005"/>
    <n v="40"/>
    <n v="72.55"/>
    <n v="2902"/>
    <m/>
    <n v="74281"/>
    <n v="73632.3"/>
    <d v="2026-05-28T00:00:00"/>
    <n v="73630"/>
    <m/>
    <n v="2.3000000000029104"/>
    <m/>
    <n v="73632.3"/>
  </r>
  <r>
    <n v="23"/>
    <d v="2026-05-29T00:00:00"/>
    <s v="Dry Rcn"/>
    <x v="2"/>
    <s v="ANA-01"/>
    <s v="Running"/>
    <n v="1023"/>
    <n v="42.41"/>
    <n v="174"/>
    <n v="226"/>
    <n v="8.8000000000000007"/>
    <n v="14"/>
    <n v="15"/>
    <n v="37"/>
    <n v="0"/>
    <n v="32"/>
    <n v="671"/>
    <s v="BIN-03B"/>
    <n v="645"/>
    <n v="649"/>
    <n v="0.65"/>
    <n v="421.85"/>
    <n v="27"/>
    <n v="72.81481481481481"/>
    <n v="1966"/>
    <m/>
    <n v="47982"/>
    <n v="47560.15"/>
    <d v="2026-05-29T00:00:00"/>
    <n v="47061.599999999999"/>
    <m/>
    <n v="498.55000000000291"/>
    <m/>
    <n v="47560.15"/>
  </r>
  <r>
    <n v="24"/>
    <d v="2026-06-02T00:00:00"/>
    <s v="Dry Rcn"/>
    <x v="2"/>
    <s v="ANA-01"/>
    <s v="Running"/>
    <n v="1026"/>
    <n v="42.53"/>
    <n v="177"/>
    <n v="217"/>
    <n v="8.3000000000000007"/>
    <n v="17"/>
    <n v="20"/>
    <n v="40"/>
    <n v="2"/>
    <n v="35"/>
    <n v="665"/>
    <s v="BIN-03B"/>
    <n v="890"/>
    <n v="890"/>
    <n v="0.65"/>
    <n v="578.5"/>
    <n v="37"/>
    <n v="72.054054054054049"/>
    <n v="2666"/>
    <m/>
    <n v="66342"/>
    <n v="65763.5"/>
    <d v="2026-06-02T00:00:00"/>
    <n v="65116"/>
    <m/>
    <n v="647.5"/>
    <m/>
    <n v="65763.5"/>
  </r>
  <r>
    <n v="0"/>
    <d v="2026-06-02T00:00:00"/>
    <s v="Dry Rcn"/>
    <x v="3"/>
    <m/>
    <m/>
    <n v="1024"/>
    <n v="41.09"/>
    <n v="183"/>
    <n v="220"/>
    <n v="8.9"/>
    <n v="12"/>
    <n v="14"/>
    <n v="49"/>
    <n v="0"/>
    <n v="17"/>
    <n v="682"/>
    <n v="87036"/>
    <n v="0"/>
    <n v="0"/>
    <n v="0.65"/>
    <n v="0"/>
    <n v="31"/>
    <n v="71.451612903225808"/>
    <n v="2215"/>
    <m/>
    <n v="0"/>
    <n v="0"/>
    <d v="2026-06-02T00:00:00"/>
    <n v="0"/>
    <m/>
    <n v="0"/>
    <s v="Lot returned due to start higer KOR calibration/Staked in Calibration Area/Date of retur of CARGO-3/06/2026. (54.663)"/>
    <m/>
  </r>
  <r>
    <n v="25"/>
    <d v="2026-06-05T00:00:00"/>
    <s v="Dry Rcn"/>
    <x v="4"/>
    <s v="ANA-02-DRY"/>
    <s v="Closed"/>
    <n v="1027"/>
    <n v="44.09"/>
    <n v="176"/>
    <n v="232"/>
    <n v="8.8000000000000007"/>
    <n v="16"/>
    <n v="20"/>
    <n v="21"/>
    <n v="0"/>
    <n v="20"/>
    <n v="684"/>
    <s v="ANA-02-DRY"/>
    <n v="810"/>
    <n v="805"/>
    <n v="0.65"/>
    <n v="526"/>
    <n v="27"/>
    <n v="70.111111111111114"/>
    <n v="1893"/>
    <m/>
    <n v="60031"/>
    <n v="59505"/>
    <d v="2026-06-05T00:00:00"/>
    <n v="58913.9"/>
    <m/>
    <n v="591.09999999999854"/>
    <m/>
    <n v="59505"/>
  </r>
  <r>
    <n v="26"/>
    <d v="2026-06-06T00:00:00"/>
    <s v="Dry Rcn"/>
    <x v="4"/>
    <s v="ANA-02-DRY"/>
    <s v="Closed"/>
    <n v="1028"/>
    <n v="45.41"/>
    <n v="187"/>
    <n v="240"/>
    <n v="7.6"/>
    <n v="18"/>
    <n v="17"/>
    <n v="15"/>
    <n v="3"/>
    <n v="32"/>
    <n v="669"/>
    <s v="ANA-02-DRY"/>
    <n v="1201"/>
    <n v="1201"/>
    <n v="0.64945878434637805"/>
    <n v="780"/>
    <n v="40"/>
    <n v="69.275000000000006"/>
    <n v="2771"/>
    <m/>
    <n v="89375"/>
    <n v="88595"/>
    <d v="2026-06-06T00:00:00"/>
    <n v="88081"/>
    <m/>
    <n v="514"/>
    <m/>
    <n v="88595"/>
  </r>
  <r>
    <n v="27"/>
    <d v="2026-06-06T00:00:00"/>
    <s v="Dry Rcn"/>
    <x v="4"/>
    <s v="ANA-02-DRY"/>
    <s v="Closed"/>
    <n v="1029"/>
    <n v="45.41"/>
    <n v="187"/>
    <n v="241"/>
    <n v="8.8000000000000007"/>
    <n v="13"/>
    <n v="20"/>
    <n v="23"/>
    <n v="0"/>
    <n v="11"/>
    <n v="685"/>
    <s v="ANA-02-DRY"/>
    <n v="746"/>
    <n v="745"/>
    <n v="0.64966442953020132"/>
    <n v="484"/>
    <n v="25"/>
    <n v="72.64"/>
    <n v="1816"/>
    <m/>
    <n v="55159"/>
    <n v="54675"/>
    <d v="2026-06-06T00:00:00"/>
    <n v="54456"/>
    <m/>
    <n v="219"/>
    <m/>
    <n v="54675"/>
  </r>
  <r>
    <n v="28"/>
    <d v="2026-06-07T00:00:00"/>
    <s v="Dry Rcn"/>
    <x v="4"/>
    <s v="ANA-02-DRY"/>
    <s v="Closed"/>
    <n v="1030"/>
    <n v="43.82"/>
    <n v="184"/>
    <n v="231"/>
    <n v="91"/>
    <n v="15"/>
    <n v="20"/>
    <n v="27"/>
    <n v="0"/>
    <n v="33"/>
    <n v="675"/>
    <s v="ANA-02-DRY"/>
    <n v="1230"/>
    <n v="1234"/>
    <n v="0.65"/>
    <n v="800"/>
    <n v="41"/>
    <n v="70.487804878048777"/>
    <n v="2890"/>
    <m/>
    <n v="89158.5"/>
    <n v="88358.5"/>
    <d v="2026-06-07T00:00:00"/>
    <n v="87867.85"/>
    <m/>
    <n v="490.64999999999418"/>
    <m/>
    <n v="88358.5"/>
  </r>
  <r>
    <n v="29"/>
    <d v="2026-06-09T00:00:00"/>
    <s v="Dry Rcn"/>
    <x v="4"/>
    <s v="ANA-02-DRY"/>
    <s v="Closed"/>
    <n v="1031"/>
    <n v="44.44"/>
    <n v="188"/>
    <n v="241"/>
    <n v="8.5"/>
    <n v="13"/>
    <n v="9"/>
    <n v="28"/>
    <n v="2"/>
    <n v="23"/>
    <n v="677"/>
    <s v="ANA-02-DRY"/>
    <n v="1318"/>
    <n v="1318"/>
    <n v="0.65"/>
    <n v="856.7"/>
    <n v="44"/>
    <n v="71.61363636363636"/>
    <n v="3151"/>
    <m/>
    <n v="94315"/>
    <n v="93458.3"/>
    <d v="2026-06-09T00:00:00"/>
    <n v="92903"/>
    <m/>
    <n v="555.30000000000291"/>
    <m/>
    <n v="93458.3"/>
  </r>
  <r>
    <n v="30"/>
    <d v="2026-06-09T00:00:00"/>
    <s v="Dry Rcn"/>
    <x v="4"/>
    <s v="ANA-02-DRY"/>
    <s v="Closed"/>
    <n v="1032"/>
    <n v="43.65"/>
    <n v="184"/>
    <n v="235"/>
    <n v="8.1"/>
    <n v="10"/>
    <n v="15"/>
    <n v="27"/>
    <n v="0"/>
    <n v="27"/>
    <n v="679"/>
    <s v="ANA-02-DRY"/>
    <n v="1104"/>
    <n v="1081"/>
    <n v="0.65"/>
    <n v="702.65"/>
    <n v="36"/>
    <n v="71.472222222222229"/>
    <n v="2573"/>
    <m/>
    <n v="77198"/>
    <n v="76495.350000000006"/>
    <d v="2026-06-09T00:00:00"/>
    <n v="75770.100000000006"/>
    <m/>
    <n v="725.25"/>
    <m/>
    <n v="76495.350000000006"/>
  </r>
  <r>
    <n v="31"/>
    <d v="2026-06-10T00:00:00"/>
    <s v="Dry Rcn"/>
    <x v="4"/>
    <s v="ANA-02-DRY"/>
    <s v="Closed"/>
    <n v="1033"/>
    <n v="45.06"/>
    <n v="186"/>
    <n v="238"/>
    <n v="8.1"/>
    <n v="20"/>
    <n v="15"/>
    <n v="18"/>
    <n v="1"/>
    <n v="28"/>
    <n v="675"/>
    <s v="ANA-02-DRY"/>
    <n v="1108"/>
    <n v="1108"/>
    <n v="0.65"/>
    <n v="720.2"/>
    <n v="37"/>
    <n v="72.264864864864876"/>
    <n v="2673.8"/>
    <m/>
    <n v="78781"/>
    <n v="78060.800000000003"/>
    <d v="2026-06-10T00:00:00"/>
    <n v="78060"/>
    <m/>
    <m/>
    <s v="Net wt yet pending from Calibrataion"/>
    <n v="78060"/>
  </r>
  <r>
    <n v="32"/>
    <d v="2026-06-11T00:00:00"/>
    <s v="Dry Rcn"/>
    <x v="5"/>
    <s v="ANA-05A-DRY"/>
    <s v="Closed"/>
    <n v="1034"/>
    <n v="48.41"/>
    <n v="185"/>
    <n v="258"/>
    <n v="7.4"/>
    <n v="22"/>
    <n v="11"/>
    <n v="14"/>
    <n v="0"/>
    <n v="6"/>
    <n v="679"/>
    <s v="ANA-05A-DRY"/>
    <n v="591"/>
    <n v="591"/>
    <n v="0.65"/>
    <n v="384.15000000000003"/>
    <n v="24"/>
    <n v="73.666666666666671"/>
    <n v="1768"/>
    <m/>
    <n v="43436"/>
    <n v="43051.85"/>
    <d v="2026-06-11T00:00:00"/>
    <n v="42945.65"/>
    <m/>
    <n v="106.19999999999709"/>
    <m/>
    <n v="43051.85"/>
  </r>
  <r>
    <n v="33"/>
    <d v="2026-06-11T00:00:00"/>
    <s v="Dry Rcn"/>
    <x v="5"/>
    <s v="ANA-05A-DRY"/>
    <s v="Closed"/>
    <n v="1035"/>
    <n v="45.06"/>
    <n v="188"/>
    <n v="240"/>
    <n v="7.1"/>
    <n v="23"/>
    <n v="16"/>
    <n v="21"/>
    <n v="4"/>
    <n v="15"/>
    <n v="665"/>
    <s v="ANA-05A-DRY"/>
    <n v="867"/>
    <n v="867"/>
    <n v="0.65"/>
    <n v="563.55000000000007"/>
    <n v="36"/>
    <n v="72.927777777777777"/>
    <n v="2625.4"/>
    <m/>
    <n v="61930"/>
    <n v="61366.55"/>
    <d v="2026-06-11T00:00:00"/>
    <n v="61179"/>
    <m/>
    <n v="187.55000000000291"/>
    <m/>
    <n v="61366.55"/>
  </r>
  <r>
    <n v="34"/>
    <d v="2026-06-12T00:00:00"/>
    <s v="Dry Rcn"/>
    <x v="5"/>
    <s v="ANA-05A-DRY"/>
    <s v="Closed"/>
    <n v="1036"/>
    <n v="44.88"/>
    <n v="185"/>
    <n v="236"/>
    <n v="7.5"/>
    <n v="18"/>
    <n v="19"/>
    <n v="27"/>
    <n v="0"/>
    <n v="16"/>
    <n v="671"/>
    <s v="ANA-05A-DRY"/>
    <n v="884"/>
    <n v="884"/>
    <n v="0.65"/>
    <n v="574.6"/>
    <n v="38"/>
    <n v="69.692105263157899"/>
    <n v="2648.3"/>
    <m/>
    <n v="65368"/>
    <n v="64793.4"/>
    <d v="2026-06-12T00:00:00"/>
    <n v="64571.4"/>
    <m/>
    <n v="222"/>
    <m/>
    <n v="64793.4"/>
  </r>
  <r>
    <n v="35"/>
    <d v="2026-06-13T00:00:00"/>
    <s v="Dry Rcn"/>
    <x v="5"/>
    <s v="ANA-05A-DRY"/>
    <s v="Closed"/>
    <n v="1037"/>
    <n v="44.62"/>
    <n v="184"/>
    <n v="234"/>
    <n v="7.3"/>
    <n v="18"/>
    <n v="20"/>
    <n v="23"/>
    <n v="0"/>
    <n v="33"/>
    <n v="663"/>
    <s v="ANA-05A-DRY"/>
    <n v="966"/>
    <n v="966"/>
    <n v="0.65"/>
    <n v="627.9"/>
    <m/>
    <m/>
    <n v="2853"/>
    <m/>
    <n v="70726"/>
    <n v="70098.100000000006"/>
    <d v="2026-06-13T00:00:00"/>
    <n v="70098.100000000006"/>
    <m/>
    <m/>
    <s v="Net wt yet pending from Calibrataion"/>
    <n v="70098.100000000006"/>
  </r>
  <r>
    <n v="36"/>
    <d v="2026-06-15T00:00:00"/>
    <s v="Dry Rcn"/>
    <x v="5"/>
    <s v="ANA-05A-DRY"/>
    <s v="Closed"/>
    <n v="1038"/>
    <n v="44"/>
    <n v="186"/>
    <n v="233"/>
    <n v="7.6"/>
    <n v="17"/>
    <n v="16"/>
    <n v="28"/>
    <n v="2"/>
    <n v="22"/>
    <n v="676"/>
    <s v="ANA-05A-DRY"/>
    <n v="1325"/>
    <n v="1325"/>
    <n v="0.65"/>
    <n v="861.25"/>
    <m/>
    <m/>
    <m/>
    <m/>
    <n v="97807"/>
    <n v="96945.75"/>
    <d v="2026-06-15T00:00:00"/>
    <n v="96945.75"/>
    <m/>
    <m/>
    <m/>
    <n v="96945.75"/>
  </r>
  <r>
    <n v="37"/>
    <d v="2026-06-16T00:00:00"/>
    <s v="Dry Rcn "/>
    <x v="5"/>
    <s v="ANA-05A-DRY"/>
    <s v="Closed"/>
    <n v="1039"/>
    <n v="44.7"/>
    <n v="186"/>
    <n v="240"/>
    <n v="7.1"/>
    <n v="15"/>
    <n v="12"/>
    <n v="25"/>
    <n v="3"/>
    <n v="22"/>
    <n v="672"/>
    <s v="ANA-05A-DRY"/>
    <n v="1428"/>
    <n v="1428"/>
    <n v="0.65"/>
    <n v="928.2"/>
    <n v="60"/>
    <m/>
    <n v="4281.8"/>
    <m/>
    <n v="101669"/>
    <n v="100740.8"/>
    <d v="2026-06-16T00:00:00"/>
    <n v="100740.8"/>
    <m/>
    <m/>
    <m/>
    <n v="100740.8"/>
  </r>
  <r>
    <n v="38"/>
    <d v="2026-06-17T00:00:00"/>
    <s v="Dry Rcn "/>
    <x v="5"/>
    <s v="ANA-05A-DRY"/>
    <s v="Closed"/>
    <n v="1040"/>
    <n v="44.07"/>
    <n v="182"/>
    <n v="234"/>
    <n v="8.1999999999999993"/>
    <n v="9"/>
    <n v="14"/>
    <n v="33"/>
    <n v="5"/>
    <n v="22"/>
    <n v="672"/>
    <s v="ANA-05A-DRY"/>
    <n v="1485"/>
    <n v="1485"/>
    <n v="0.65"/>
    <n v="965.25"/>
    <n v="53"/>
    <n v="69.335849056603777"/>
    <n v="3674.8"/>
    <m/>
    <n v="112235.8"/>
    <n v="111270.55"/>
    <d v="2026-06-17T00:00:00"/>
    <n v="111270.55"/>
    <m/>
    <m/>
    <s v="Direct Issue from Bin due to Low moisture"/>
    <n v="111270.55"/>
  </r>
  <r>
    <n v="39"/>
    <d v="2026-06-18T00:00:00"/>
    <s v="Dry Rcn "/>
    <x v="5"/>
    <s v="ANA-05A-DRY"/>
    <s v="Closed"/>
    <n v="1041"/>
    <n v="43.73"/>
    <n v="187"/>
    <n v="229"/>
    <n v="8.1"/>
    <n v="12"/>
    <n v="15"/>
    <n v="36"/>
    <n v="5"/>
    <n v="26"/>
    <n v="669"/>
    <s v="ANA-05A-DRY"/>
    <n v="2039"/>
    <n v="2039"/>
    <n v="0.65"/>
    <n v="1325.3500000000001"/>
    <m/>
    <m/>
    <m/>
    <m/>
    <n v="155376"/>
    <n v="154050.65"/>
    <d v="2026-06-18T00:00:00"/>
    <n v="154050.65"/>
    <m/>
    <m/>
    <s v="Direct Issue from Bin due to Low moisture"/>
    <n v="154050.65"/>
  </r>
  <r>
    <n v="40"/>
    <d v="2026-06-19T00:00:00"/>
    <s v="Dry Rcn "/>
    <x v="5"/>
    <s v="ANA-05A-DRY"/>
    <s v="Closed"/>
    <n v="1042"/>
    <n v="45.01"/>
    <n v="188"/>
    <n v="235"/>
    <n v="7.4"/>
    <n v="17"/>
    <n v="13"/>
    <n v="24"/>
    <n v="0"/>
    <n v="39"/>
    <n v="665"/>
    <s v="ANA-05A-DRY"/>
    <n v="719"/>
    <n v="719"/>
    <n v="0.65"/>
    <n v="467.35"/>
    <n v="25"/>
    <n v="73.536000000000001"/>
    <n v="1838.4"/>
    <m/>
    <n v="51687.6"/>
    <n v="51220.25"/>
    <d v="2026-06-19T00:00:00"/>
    <n v="51220.25"/>
    <m/>
    <m/>
    <m/>
    <n v="51220.25"/>
  </r>
  <r>
    <n v="41"/>
    <d v="2026-06-22T00:00:00"/>
    <s v="Dry Rcn "/>
    <x v="5"/>
    <s v="ANA-05A-DRY"/>
    <s v="Closed"/>
    <n v="1043"/>
    <n v="44.62"/>
    <n v="193"/>
    <n v="231"/>
    <n v="7.4"/>
    <n v="17"/>
    <n v="22"/>
    <n v="25"/>
    <n v="2"/>
    <n v="27"/>
    <n v="666"/>
    <s v="ANA-05A-DRY"/>
    <n v="1309"/>
    <n v="1309"/>
    <n v="0.65"/>
    <n v="850.85"/>
    <n v="44"/>
    <n v="73.218181818181819"/>
    <n v="3221.6"/>
    <m/>
    <n v="94894.399999999994"/>
    <n v="94043.549999999988"/>
    <d v="2026-06-22T00:00:00"/>
    <n v="94043.549999999988"/>
    <m/>
    <m/>
    <m/>
    <n v="94043.549999999988"/>
  </r>
  <r>
    <n v="42"/>
    <d v="2026-06-23T00:00:00"/>
    <s v="Dry Rcn "/>
    <x v="6"/>
    <s v="ANA-02A-DRY"/>
    <s v="Running"/>
    <n v="1044"/>
    <n v="47.57"/>
    <n v="186"/>
    <n v="260"/>
    <n v="7.8"/>
    <n v="8"/>
    <n v="10"/>
    <n v="28"/>
    <n v="0"/>
    <n v="14"/>
    <n v="667"/>
    <s v="ANA-02A-DRY"/>
    <n v="1440"/>
    <n v="1440"/>
    <n v="0.65"/>
    <n v="936"/>
    <n v="48"/>
    <n v="74.875"/>
    <n v="3594"/>
    <m/>
    <n v="109098"/>
    <n v="108162"/>
    <d v="2026-06-23T00:00:00"/>
    <n v="108162"/>
    <m/>
    <m/>
    <s v="Direct Issue from Bin due to Low moisture"/>
    <n v="108162"/>
  </r>
  <r>
    <n v="43"/>
    <d v="2026-06-25T00:00:00"/>
    <s v="Dry Rcn "/>
    <x v="6"/>
    <s v="ANA-02A-DRY"/>
    <s v="Running"/>
    <n v="1045"/>
    <n v="46.47"/>
    <n v="184"/>
    <n v="253"/>
    <n v="8.1"/>
    <n v="13"/>
    <n v="9"/>
    <n v="18"/>
    <n v="0"/>
    <n v="31"/>
    <n v="666"/>
    <s v="ANA-02A-DRY"/>
    <n v="1321"/>
    <n v="1321"/>
    <n v="0.65"/>
    <n v="858.65"/>
    <n v="44"/>
    <n v="73.931818181818187"/>
    <n v="3253"/>
    <m/>
    <n v="99598"/>
    <n v="98739.35"/>
    <d v="2026-06-26T00:00:00"/>
    <n v="98739.35"/>
    <m/>
    <m/>
    <s v="Direct Issue from Bin due to Low moisture"/>
    <n v="98739.35"/>
  </r>
  <r>
    <n v="44"/>
    <d v="2026-06-26T00:00:00"/>
    <s v="Dry Rcn "/>
    <x v="6"/>
    <s v="ANA-02A-DRY"/>
    <s v="Running"/>
    <n v="1046"/>
    <n v="45.71"/>
    <n v="190"/>
    <n v="239"/>
    <n v="8.5"/>
    <n v="20"/>
    <n v="20"/>
    <n v="18"/>
    <n v="3"/>
    <n v="22"/>
    <n v="673"/>
    <s v="ANA-02A-DRY"/>
    <n v="1500"/>
    <n v="1500"/>
    <n v="0.65"/>
    <n v="975"/>
    <n v="50"/>
    <n v="72.013999999999996"/>
    <n v="3600.7"/>
    <m/>
    <n v="116651.4"/>
    <n v="115676.4"/>
    <d v="2026-06-27T00:00:00"/>
    <n v="115676.4"/>
    <m/>
    <m/>
    <s v="Direct Issue from Bin due to Low moisture"/>
    <n v="115676.4"/>
  </r>
  <r>
    <n v="45"/>
    <d v="2026-06-27T00:00:00"/>
    <s v="Dry Rcn "/>
    <x v="6"/>
    <s v="ANA-02A-DRY"/>
    <s v="Running"/>
    <n v="1047"/>
    <n v="45.81"/>
    <n v="196"/>
    <n v="240"/>
    <n v="8"/>
    <n v="21"/>
    <n v="16"/>
    <n v="24"/>
    <n v="0"/>
    <n v="24"/>
    <n v="663"/>
    <s v="ANA-02A-DRY"/>
    <n v="1502"/>
    <n v="1502"/>
    <n v="0.65"/>
    <n v="976.30000000000007"/>
    <n v="50"/>
    <n v="70.828000000000003"/>
    <n v="3541.4"/>
    <m/>
    <n v="110815.8"/>
    <n v="109839.5"/>
    <d v="2026-06-27T00:00:00"/>
    <n v="109839.5"/>
    <m/>
    <m/>
    <s v="Direct Issue from Bin due to Low moisture"/>
    <n v="109839.5"/>
  </r>
  <r>
    <n v="46"/>
    <d v="2026-06-28T00:00:00"/>
    <s v="Dry Rcn "/>
    <x v="6"/>
    <s v="ANA-02A-DRY"/>
    <s v="Running"/>
    <n v="1048"/>
    <n v="46.42"/>
    <n v="197"/>
    <n v="248"/>
    <n v="7.8"/>
    <n v="16"/>
    <n v="15"/>
    <n v="26"/>
    <n v="0"/>
    <n v="27"/>
    <n v="657"/>
    <s v="ANA-02A-DRY"/>
    <n v="1170"/>
    <n v="1170"/>
    <n v="0.65"/>
    <n v="760.5"/>
    <n v="39"/>
    <n v="74.697435897435895"/>
    <n v="2913.2"/>
    <m/>
    <n v="84681.3"/>
    <n v="83920.8"/>
    <d v="2026-06-28T00:00:00"/>
    <n v="83920.8"/>
    <m/>
    <m/>
    <s v="Direct Issue from Bin due to Low moisture"/>
    <n v="83920.8"/>
  </r>
  <r>
    <n v="47"/>
    <d v="2026-06-29T00:00:00"/>
    <s v="Dry Rcn "/>
    <x v="6"/>
    <s v="ANA-02A-DRY"/>
    <s v="Running"/>
    <n v="1049"/>
    <n v="45.63"/>
    <n v="188"/>
    <n v="250"/>
    <n v="7.7"/>
    <n v="3"/>
    <n v="8"/>
    <n v="32"/>
    <n v="4"/>
    <n v="21"/>
    <n v="673"/>
    <s v="ANA-02A-DRY"/>
    <n v="1504"/>
    <n v="1504"/>
    <n v="0.65"/>
    <n v="977.6"/>
    <n v="50"/>
    <n v="72.313999999999993"/>
    <n v="3615.7"/>
    <m/>
    <n v="103924.40000000001"/>
    <n v="102946.8"/>
    <d v="2026-06-29T00:00:00"/>
    <n v="102946.8"/>
    <m/>
    <m/>
    <s v="Direct Issue from Bin due to Low moisture"/>
    <n v="102946.8"/>
  </r>
  <r>
    <n v="48"/>
    <d v="2026-06-30T00:00:00"/>
    <s v="Dry Rcn "/>
    <x v="6"/>
    <s v="ANA-02A-DRY"/>
    <s v="Running"/>
    <n v="1050"/>
    <n v="46.07"/>
    <n v="191"/>
    <n v="246"/>
    <n v="8.1"/>
    <n v="14"/>
    <n v="15"/>
    <n v="26"/>
    <n v="4"/>
    <n v="14"/>
    <n v="672"/>
    <s v="ANA-02A-DRY"/>
    <n v="3007"/>
    <n v="3007"/>
    <n v="0.65"/>
    <n v="1954.55"/>
    <n v="100"/>
    <n v="70.522999999999996"/>
    <n v="7052.3"/>
    <m/>
    <n v="223527.1"/>
    <n v="221572.55000000002"/>
    <d v="2026-06-30T00:00:00"/>
    <n v="221572.55000000002"/>
    <m/>
    <m/>
    <s v="Direct Issue from Bin due to Low moisture"/>
    <n v="221572.55000000002"/>
  </r>
  <r>
    <n v="49"/>
    <d v="2026-07-01T00:00:00"/>
    <s v="Dry Rcn "/>
    <x v="6"/>
    <s v="ANA-02A-DRY"/>
    <s v="Running"/>
    <n v="1051"/>
    <n v="43.82"/>
    <n v="178"/>
    <n v="231"/>
    <n v="8.3000000000000007"/>
    <n v="12"/>
    <n v="15"/>
    <n v="36"/>
    <n v="4"/>
    <n v="13"/>
    <n v="682"/>
    <s v="ANA-02A-DRY"/>
    <n v="751"/>
    <n v="751"/>
    <n v="0.65"/>
    <n v="488.15000000000003"/>
    <n v="25"/>
    <n v="71.92"/>
    <n v="1798"/>
    <m/>
    <n v="57966"/>
    <n v="57477.85"/>
    <d v="2026-07-01T00:00:00"/>
    <n v="57477.85"/>
    <m/>
    <m/>
    <s v="Direct Issue from Bin due to Low moisture"/>
    <n v="57477.85"/>
  </r>
  <r>
    <n v="50"/>
    <d v="2026-07-02T00:00:00"/>
    <s v="Dry Rcn "/>
    <x v="6"/>
    <s v="ANA-02A-DRY"/>
    <s v="Closed"/>
    <n v="1051"/>
    <n v="43.82"/>
    <n v="178"/>
    <n v="231"/>
    <n v="8.3000000000000007"/>
    <n v="12"/>
    <n v="15"/>
    <n v="36"/>
    <n v="4"/>
    <n v="13"/>
    <n v="682"/>
    <s v="ANA-02A-DRY"/>
    <n v="2407"/>
    <n v="2407"/>
    <n v="0.65"/>
    <n v="1564.55"/>
    <n v="81"/>
    <n v="72.946913580246914"/>
    <n v="5908.7"/>
    <m/>
    <n v="178862.3"/>
    <n v="177297.75"/>
    <d v="2026-07-02T00:00:00"/>
    <n v="177297.75"/>
    <m/>
    <m/>
    <s v="Direct Issue from Bin due to Low moisture"/>
    <n v="177297.75"/>
  </r>
  <r>
    <n v="51"/>
    <d v="2026-07-06T00:00:00"/>
    <s v="Dry Rcn "/>
    <x v="7"/>
    <s v="ANA-02B-DRY"/>
    <s v="Running"/>
    <n v="1052"/>
    <n v="45.59"/>
    <n v="184"/>
    <n v="242"/>
    <n v="8.1"/>
    <n v="15"/>
    <n v="18"/>
    <n v="21"/>
    <n v="0"/>
    <n v="23"/>
    <n v="669"/>
    <s v="ANA-02B-DRY"/>
    <n v="3007"/>
    <n v="3007"/>
    <n v="0.65"/>
    <n v="1954.55"/>
    <n v="101"/>
    <n v="73.152475247524748"/>
    <n v="7388.4"/>
    <m/>
    <n v="218773.5"/>
    <n v="216818.95"/>
    <d v="2026-07-06T00:00:00"/>
    <n v="216818.95"/>
    <m/>
    <m/>
    <s v="Direct Issue from Bin due to Low moisture"/>
    <n v="216818.95"/>
  </r>
  <r>
    <n v="52"/>
    <d v="2026-07-07T00:00:00"/>
    <s v="Dry Rcn "/>
    <x v="7"/>
    <s v="ANA-02B-DRY"/>
    <s v="Running"/>
    <n v="1053"/>
    <n v="45.76"/>
    <n v="182"/>
    <n v="248"/>
    <n v="7.9"/>
    <n v="10"/>
    <n v="13"/>
    <n v="23"/>
    <n v="0"/>
    <n v="23"/>
    <n v="675"/>
    <s v="ANA-02B-DRY"/>
    <n v="2125"/>
    <n v="2125"/>
    <n v="0.65"/>
    <n v="1381.25"/>
    <n v="71"/>
    <n v="72.823943661971825"/>
    <n v="5170.5"/>
    <m/>
    <n v="155007"/>
    <n v="153625.75"/>
    <d v="2026-07-07T00:00:00"/>
    <n v="153625.75"/>
    <m/>
    <m/>
    <s v="Direct Issue from Bin due to Low moisture"/>
    <n v="153625.75"/>
  </r>
  <r>
    <n v="53"/>
    <d v="2026-07-10T00:00:00"/>
    <s v="Dry Rcn "/>
    <x v="7"/>
    <s v="ANA-02B-DRY"/>
    <s v="Running"/>
    <n v="1054"/>
    <n v="45.67"/>
    <n v="182"/>
    <n v="244"/>
    <n v="8"/>
    <n v="16"/>
    <n v="14"/>
    <n v="17"/>
    <n v="3"/>
    <n v="20"/>
    <n v="680"/>
    <s v="ANA-02B-DRY"/>
    <n v="2995"/>
    <n v="2995"/>
    <n v="0.65"/>
    <n v="1946.75"/>
    <n v="100"/>
    <n v="74.099999999999994"/>
    <n v="7410"/>
    <m/>
    <n v="217375.1"/>
    <n v="215428.35"/>
    <d v="2026-07-10T00:00:00"/>
    <n v="215428.35"/>
    <m/>
    <m/>
    <s v="Direct Issue from Bin due to Low moisture"/>
    <n v="215428.35"/>
  </r>
  <r>
    <n v="54"/>
    <d v="2026-07-11T00:00:00"/>
    <s v="Dry Rcn "/>
    <x v="7"/>
    <s v="ANA-02B-DRY"/>
    <s v="Running"/>
    <n v="1055"/>
    <n v="45.85"/>
    <n v="178"/>
    <n v="242"/>
    <n v="8.1"/>
    <n v="24"/>
    <n v="12"/>
    <n v="23"/>
    <n v="0"/>
    <n v="13"/>
    <n v="680"/>
    <s v="ANA-02B-DRY"/>
    <n v="1529"/>
    <n v="1529"/>
    <n v="0.65"/>
    <n v="993.85"/>
    <n v="50"/>
    <n v="74.213999999999999"/>
    <n v="3710.7"/>
    <m/>
    <n v="107790"/>
    <n v="106796.15"/>
    <d v="2026-11-07T00:00:00"/>
    <n v="106796.15"/>
    <m/>
    <m/>
    <s v="Direct Issue from Bin due to Low moisture"/>
    <n v="106796.15"/>
  </r>
  <r>
    <n v="55"/>
    <d v="2026-07-12T00:00:00"/>
    <s v="Dry Rcn "/>
    <x v="7"/>
    <s v="ANA-02B-DRY"/>
    <s v="Running"/>
    <n v="101"/>
    <n v="46.82"/>
    <n v="181"/>
    <n v="249"/>
    <n v="8"/>
    <n v="13"/>
    <n v="20"/>
    <n v="19"/>
    <n v="0"/>
    <n v="17"/>
    <n v="670"/>
    <s v="ANA-02B-DRY"/>
    <n v="1314"/>
    <n v="1314"/>
    <n v="0.65"/>
    <n v="854.1"/>
    <n v="44"/>
    <n v="71.779545454545456"/>
    <n v="3158.3"/>
    <m/>
    <n v="93055.8"/>
    <n v="92201.7"/>
    <d v="2026-12-07T00:00:00"/>
    <n v="92201.7"/>
    <m/>
    <m/>
    <s v="Direct Issue from Bin due to Low moisture"/>
    <n v="92201.7"/>
  </r>
  <r>
    <n v="56"/>
    <d v="2026-07-13T00:00:00"/>
    <s v="Dry Rcn "/>
    <x v="7"/>
    <s v="ANA-02B-DRY"/>
    <s v="Closed"/>
    <n v="102"/>
    <n v="46.29"/>
    <n v="184"/>
    <n v="250"/>
    <n v="8.1999999999999993"/>
    <n v="11"/>
    <n v="14"/>
    <n v="23"/>
    <n v="2"/>
    <n v="17"/>
    <n v="677"/>
    <s v="ANA-02B-DRY"/>
    <n v="1284"/>
    <n v="1284"/>
    <n v="0.65"/>
    <n v="834.6"/>
    <n v="43"/>
    <n v="72.123255813953492"/>
    <n v="3101.3"/>
    <m/>
    <n v="89926.6"/>
    <n v="89092"/>
    <s v="13/07/2026"/>
    <n v="89092"/>
    <m/>
    <m/>
    <s v="Direct Issue from Bin due to Low moisture"/>
    <n v="89092"/>
  </r>
  <r>
    <n v="57"/>
    <d v="2026-07-14T00:00:00"/>
    <s v="Dry Rcn "/>
    <x v="8"/>
    <s v="ANA-008A-DRY"/>
    <s v="Running"/>
    <n v="103"/>
    <n v="46.29"/>
    <n v="168"/>
    <n v="252"/>
    <n v="7.6"/>
    <n v="11"/>
    <n v="10"/>
    <n v="19"/>
    <n v="0"/>
    <n v="18"/>
    <n v="682"/>
    <s v="ANA-008A-DRY"/>
    <n v="1289"/>
    <n v="1289"/>
    <n v="0.65"/>
    <n v="837.85"/>
    <n v="43"/>
    <n v="73.958139534883713"/>
    <n v="3180.2"/>
    <m/>
    <n v="97176.4"/>
    <n v="96338.549999999988"/>
    <s v="14/07/2026"/>
    <n v="96338.549999999988"/>
    <m/>
    <m/>
    <s v="Direct Issue from Bin due to Low moisture"/>
    <n v="96338.549999999988"/>
  </r>
  <r>
    <n v="58"/>
    <d v="2026-07-15T00:00:00"/>
    <s v="Dry Rcn "/>
    <x v="8"/>
    <s v="ANA-008A-DRY"/>
    <s v="Running"/>
    <n v="104"/>
    <n v="46.82"/>
    <n v="178"/>
    <n v="251"/>
    <n v="7.3"/>
    <n v="17"/>
    <n v="12"/>
    <n v="13"/>
    <n v="0"/>
    <n v="21"/>
    <n v="677"/>
    <s v="ANA-008A-DRY"/>
    <n v="1333"/>
    <n v="1333"/>
    <n v="0.65"/>
    <n v="866.45"/>
    <n v="44"/>
    <n v="75.915909090909096"/>
    <n v="3340.3"/>
    <m/>
    <n v="98914"/>
    <n v="98047.55"/>
    <s v="15/07/2026"/>
    <n v="98047.55"/>
    <m/>
    <m/>
    <s v="Direct Issue from Bin due to Low moisture"/>
    <n v="98047.55"/>
  </r>
  <r>
    <n v="59"/>
    <d v="2026-07-16T00:00:00"/>
    <s v="Dry Rcn "/>
    <x v="8"/>
    <s v="ANA-008A-DRY"/>
    <s v="Running"/>
    <n v="105"/>
    <n v="47.35"/>
    <n v="173"/>
    <n v="255"/>
    <n v="7.4"/>
    <n v="10"/>
    <n v="17"/>
    <n v="17"/>
    <n v="3"/>
    <n v="20"/>
    <n v="678"/>
    <s v="ANA-008A-DRY"/>
    <n v="2445"/>
    <n v="2445"/>
    <n v="0.65"/>
    <n v="1589.25"/>
    <n v="81"/>
    <n v="72.892592592592592"/>
    <n v="5904.3"/>
    <m/>
    <n v="179117.3"/>
    <n v="177528.05"/>
    <s v="16/07/2026"/>
    <n v="177528.05"/>
    <m/>
    <m/>
    <s v="Direct Issue from Bin due to Low moisture"/>
    <n v="177528.05"/>
  </r>
  <r>
    <n v="60"/>
    <d v="2026-07-17T00:00:00"/>
    <s v="Dry Rcn "/>
    <x v="8"/>
    <s v="ANA-008A-DRY"/>
    <s v="Closed"/>
    <n v="106"/>
    <n v="46.42"/>
    <n v="178"/>
    <n v="250"/>
    <n v="7.7"/>
    <n v="9"/>
    <n v="15"/>
    <n v="20"/>
    <n v="0"/>
    <n v="24"/>
    <n v="670"/>
    <s v="ANA-008A-DRY"/>
    <n v="735"/>
    <n v="735"/>
    <n v="0.65"/>
    <n v="477.75"/>
    <n v="25"/>
    <n v="74.396000000000001"/>
    <n v="1859.9"/>
    <m/>
    <n v="53957.599999999999"/>
    <n v="53479.85"/>
    <s v="17/07/2026"/>
    <n v="53479.85"/>
    <m/>
    <m/>
    <s v="Direct Issue from Bin due to Low moisture"/>
    <n v="53479.85"/>
  </r>
  <r>
    <n v="61"/>
    <d v="2026-07-18T00:00:00"/>
    <s v="Dry Rcn "/>
    <x v="2"/>
    <s v="ANA-03B-DRY"/>
    <s v="Running"/>
    <n v="107"/>
    <n v="43.51"/>
    <n v="180"/>
    <n v="237"/>
    <n v="7.9"/>
    <n v="11"/>
    <n v="14"/>
    <n v="30"/>
    <n v="0"/>
    <n v="19"/>
    <n v="680"/>
    <s v="ANA-03B-DRY"/>
    <n v="1201"/>
    <n v="1201"/>
    <n v="0.65"/>
    <n v="780.65"/>
    <n v="40"/>
    <n v="75.27000000000001"/>
    <n v="3010.8"/>
    <m/>
    <n v="90902.9"/>
    <n v="90122.25"/>
    <s v="18/07/2026"/>
    <n v="90122.25"/>
    <m/>
    <m/>
    <s v="Direct Issue from Bin due to Low moisture"/>
    <n v="90122.25"/>
  </r>
  <r>
    <n v="62"/>
    <d v="2026-07-20T00:00:00"/>
    <s v="Dry Rcn "/>
    <x v="2"/>
    <s v="ANA-03B-DRY"/>
    <s v="Running"/>
    <n v="108"/>
    <n v="42.9"/>
    <n v="182"/>
    <n v="236"/>
    <n v="8.1999999999999993"/>
    <n v="8"/>
    <n v="14"/>
    <n v="20"/>
    <n v="0"/>
    <n v="19"/>
    <n v="693"/>
    <s v="ANA-03B-DRY"/>
    <n v="1082"/>
    <n v="1082"/>
    <n v="0.65"/>
    <n v="703.30000000000007"/>
    <n v="37"/>
    <n v="71.383783783783784"/>
    <n v="2641.2"/>
    <m/>
    <n v="83487.7"/>
    <n v="82784.399999999994"/>
    <s v="20/07/2026"/>
    <n v="82784.399999999994"/>
    <m/>
    <m/>
    <s v="Direct Issue from Bin due to Low moisture"/>
    <n v="82784.399999999994"/>
  </r>
  <r>
    <n v="63"/>
    <d v="2026-07-21T00:00:00"/>
    <s v="Dry Rcn "/>
    <x v="2"/>
    <s v="ANA-03B-DRY"/>
    <s v="Running"/>
    <n v="109"/>
    <n v="44.75"/>
    <n v="173"/>
    <n v="242"/>
    <n v="8.3000000000000007"/>
    <n v="6"/>
    <n v="10"/>
    <n v="28"/>
    <n v="0"/>
    <n v="23"/>
    <n v="684"/>
    <s v="ANA-03B-DRY"/>
    <n v="2219"/>
    <n v="2219"/>
    <n v="0.65"/>
    <n v="1442.3500000000001"/>
    <n v="75"/>
    <n v="70.741333333333344"/>
    <n v="5305.6"/>
    <m/>
    <n v="169027.7"/>
    <n v="167585.35"/>
    <s v="21/07/2026"/>
    <n v="167585.35"/>
    <m/>
    <m/>
    <s v="Direct Issue from Bin due to Low moisture"/>
    <n v="167585.35"/>
  </r>
  <r>
    <n v="64"/>
    <d v="2026-07-22T00:00:00"/>
    <s v="Dry Rcn "/>
    <x v="2"/>
    <s v="ANA-03B-DRY"/>
    <s v="Running"/>
    <n v="110"/>
    <n v="41.71"/>
    <n v="173"/>
    <n v="225"/>
    <n v="7.7"/>
    <n v="6"/>
    <n v="17"/>
    <n v="38"/>
    <n v="0"/>
    <n v="12"/>
    <n v="694"/>
    <s v="ANA-03B-DRY"/>
    <n v="2389"/>
    <n v="2389"/>
    <n v="0.65"/>
    <n v="1552.8500000000001"/>
    <n v="80"/>
    <n v="74.10499999999999"/>
    <n v="5928.4"/>
    <m/>
    <n v="180138.3"/>
    <n v="178585.44999999998"/>
    <s v="22/07/2026"/>
    <n v="178585.44999999998"/>
    <m/>
    <m/>
    <s v="Direct Issue from Bin due to Low moisture"/>
    <n v="178585.44999999998"/>
  </r>
  <r>
    <n v="65"/>
    <d v="2026-07-23T00:00:00"/>
    <s v="Dry Rcn "/>
    <x v="2"/>
    <s v="ANA-03B-DRY"/>
    <s v="Running"/>
    <n v="111"/>
    <n v="42.19"/>
    <n v="176"/>
    <n v="229"/>
    <n v="8.4"/>
    <n v="5"/>
    <n v="15"/>
    <n v="34"/>
    <n v="2"/>
    <n v="29"/>
    <n v="674"/>
    <s v="ANA-03B-DRY"/>
    <n v="3005"/>
    <n v="3005"/>
    <n v="0.65"/>
    <n v="1953.25"/>
    <n v="100"/>
    <n v="73.573999999999998"/>
    <n v="7357.4"/>
    <m/>
    <n v="226482.5"/>
    <n v="224529.25"/>
    <s v="23/07/2026"/>
    <n v="224529.25"/>
    <m/>
    <m/>
    <s v="Direct Issue from Bin due to Low moisture"/>
    <n v="224529.25"/>
  </r>
  <r>
    <n v="66"/>
    <d v="2026-07-24T00:00:00"/>
    <s v="Dry Rcn "/>
    <x v="2"/>
    <s v="ANA-03B-DRY"/>
    <s v="Running"/>
    <n v="112"/>
    <n v="42.1"/>
    <n v="176"/>
    <n v="226"/>
    <n v="8.5"/>
    <n v="6"/>
    <n v="9"/>
    <n v="33"/>
    <n v="4"/>
    <n v="38"/>
    <n v="675"/>
    <s v="ANA-03B-DRY"/>
    <n v="2714"/>
    <n v="2714"/>
    <n v="0.65"/>
    <n v="1764.1000000000001"/>
    <n v="90"/>
    <n v="73.717777777777783"/>
    <n v="6634.6"/>
    <m/>
    <n v="208062.5"/>
    <n v="206298.4"/>
    <s v="24/07/2026"/>
    <n v="206298.4"/>
    <m/>
    <m/>
    <s v="Direct Issue from Bin due to Low moisture"/>
    <n v="206298.4"/>
  </r>
  <r>
    <n v="67"/>
    <d v="2026-07-25T00:00:00"/>
    <s v="Dry Rcn "/>
    <x v="2"/>
    <s v="ANA-03B-DRY"/>
    <s v="Running"/>
    <n v="113"/>
    <n v="42.28"/>
    <n v="172"/>
    <n v="232"/>
    <n v="8.6999999999999993"/>
    <n v="7"/>
    <n v="15"/>
    <n v="25"/>
    <n v="5"/>
    <n v="24"/>
    <n v="681"/>
    <s v="ANA-03B-DRY"/>
    <n v="1835"/>
    <n v="1835"/>
    <n v="0.65"/>
    <n v="1192.75"/>
    <n v="61"/>
    <n v="73.686885245901635"/>
    <n v="4494.8999999999996"/>
    <m/>
    <n v="139024.70000000001"/>
    <n v="137831.95000000001"/>
    <s v="25/7/2026"/>
    <n v="137831.95000000001"/>
    <m/>
    <m/>
    <s v="Direct Issue from Bin due to Low moisture"/>
    <n v="137831.95000000001"/>
  </r>
  <r>
    <n v="68"/>
    <d v="2026-07-27T00:00:00"/>
    <s v="Dry Rcn "/>
    <x v="2"/>
    <s v="ANA-03B-DRY"/>
    <s v="Running"/>
    <n v="114"/>
    <n v="43.33"/>
    <n v="178"/>
    <n v="239"/>
    <n v="9"/>
    <n v="8"/>
    <n v="16"/>
    <n v="26"/>
    <n v="2"/>
    <n v="16"/>
    <n v="684"/>
    <s v="ANA-03B-DRY"/>
    <n v="1653"/>
    <n v="1653"/>
    <n v="0.65"/>
    <n v="1074.45"/>
    <n v="56"/>
    <n v="71.260714285714286"/>
    <n v="3990.6"/>
    <m/>
    <n v="123721.7"/>
    <n v="122647.25"/>
    <s v="27/7/2026"/>
    <n v="122647.25"/>
    <m/>
    <m/>
    <s v="Direct Issue from Bin due to Low moisture"/>
    <n v="122647.25"/>
  </r>
  <r>
    <n v="69"/>
    <d v="2026-07-28T00:00:00"/>
    <s v="Dry Rcn "/>
    <x v="2"/>
    <s v="ANA-03B-DRY"/>
    <s v="Running"/>
    <n v="115"/>
    <n v="44.26"/>
    <n v="174"/>
    <n v="239"/>
    <n v="9"/>
    <n v="5"/>
    <n v="13"/>
    <n v="31"/>
    <n v="1"/>
    <n v="23"/>
    <n v="680"/>
    <s v="ANA-03B-DRY"/>
    <n v="1795"/>
    <n v="1795"/>
    <n v="0.65"/>
    <n v="1166.75"/>
    <n v="60"/>
    <n v="72.418333333333337"/>
    <n v="4345.1000000000004"/>
    <m/>
    <n v="136250.70000000001"/>
    <n v="135083.95000000001"/>
    <s v="28/07/2026"/>
    <n v="135083.95000000001"/>
    <m/>
    <m/>
    <s v="Direct Issue from Bin due to Low moisture"/>
    <n v="135083.95000000001"/>
  </r>
  <r>
    <n v="70"/>
    <d v="2026-07-29T00:00:00"/>
    <s v="Dry Rcn "/>
    <x v="2"/>
    <s v="ANA-03B-DRY"/>
    <s v="Running"/>
    <n v="116"/>
    <n v="43.07"/>
    <n v="172"/>
    <n v="241"/>
    <n v="8.8000000000000007"/>
    <n v="5"/>
    <n v="13"/>
    <n v="27"/>
    <n v="2"/>
    <n v="26"/>
    <n v="679"/>
    <s v="ANA-03B-DRY"/>
    <n v="1811"/>
    <n v="1811"/>
    <n v="0.65"/>
    <n v="1177.1500000000001"/>
    <n v="60"/>
    <n v="71.681666666666658"/>
    <n v="4300.8999999999996"/>
    <m/>
    <n v="137037.70000000001"/>
    <n v="135860.55000000002"/>
    <s v="29/07/2026"/>
    <n v="135860.55000000002"/>
    <m/>
    <m/>
    <s v="Direct Issue from Bin due to Low moisture"/>
    <n v="135860.55000000002"/>
  </r>
  <r>
    <n v="71"/>
    <d v="2026-07-30T00:00:00"/>
    <s v="Dry Rcn "/>
    <x v="2"/>
    <s v="ANA-03B-DRY"/>
    <s v="Running"/>
    <n v="117"/>
    <n v="41.97"/>
    <n v="176"/>
    <n v="228"/>
    <n v="8.4"/>
    <n v="5"/>
    <n v="16"/>
    <n v="28"/>
    <n v="0"/>
    <n v="35"/>
    <n v="680"/>
    <s v="ANA-03B-DRY"/>
    <n v="1797"/>
    <n v="1797"/>
    <n v="0.65"/>
    <n v="1168.05"/>
    <n v="60"/>
    <n v="71.958333333333329"/>
    <n v="4317.5"/>
    <m/>
    <n v="136449.79999999999"/>
    <n v="135281.75"/>
    <s v="30/07/2026"/>
    <n v="135281.75"/>
    <m/>
    <m/>
    <s v="Direct Issue from Bin due to Low moisture"/>
    <n v="135281.75"/>
  </r>
  <r>
    <n v="72"/>
    <d v="2026-07-31T00:00:00"/>
    <s v="Dry Rcn "/>
    <x v="2"/>
    <s v="ANA-03B-DRY"/>
    <s v="Running"/>
    <n v="118"/>
    <n v="43.47"/>
    <n v="172"/>
    <n v="232"/>
    <n v="8.4"/>
    <n v="5"/>
    <n v="15"/>
    <n v="29"/>
    <n v="0"/>
    <n v="37"/>
    <n v="673"/>
    <s v="ANA-03B-DRY"/>
    <n v="1716"/>
    <n v="1716"/>
    <n v="0.65"/>
    <n v="1115.4000000000001"/>
    <n v="57"/>
    <n v="72.280701754385959"/>
    <n v="4120"/>
    <m/>
    <n v="129860.2"/>
    <n v="128744.8"/>
    <s v="31/07/2026"/>
    <n v="128744.8"/>
    <m/>
    <m/>
    <s v="Direct Issue from Bin due to Low moisture"/>
    <n v="128744.8"/>
  </r>
  <r>
    <n v="73"/>
    <d v="2026-08-02T00:00:00"/>
    <s v="Dry Rcn "/>
    <x v="2"/>
    <s v="ANA-03B-DRY"/>
    <s v="Running"/>
    <n v="119"/>
    <n v="43.47"/>
    <n v="175"/>
    <n v="237"/>
    <n v="8.4"/>
    <n v="7"/>
    <n v="16"/>
    <n v="25"/>
    <n v="1"/>
    <n v="26"/>
    <n v="679"/>
    <s v="ANA-03B-DRY"/>
    <n v="1583"/>
    <n v="1583"/>
    <n v="0.65"/>
    <n v="1028.95"/>
    <n v="53"/>
    <n v="73.677358490566036"/>
    <n v="3904.9"/>
    <m/>
    <n v="118474.3"/>
    <n v="117445.35"/>
    <d v="2026-01-08T00:00:00"/>
    <n v="117445.35"/>
    <m/>
    <m/>
    <s v="Direct Issue from Bin due to Low moisture"/>
    <n v="117445.35"/>
  </r>
  <r>
    <n v="74"/>
    <d v="2026-08-03T00:00:00"/>
    <s v="Dry Rcn "/>
    <x v="2"/>
    <s v="ANA-03B-DRY"/>
    <s v="Running"/>
    <n v="120"/>
    <n v="42.63"/>
    <n v="175"/>
    <n v="224"/>
    <n v="8.1999999999999993"/>
    <n v="11"/>
    <n v="15"/>
    <n v="33"/>
    <n v="0"/>
    <n v="22"/>
    <n v="687"/>
    <s v="ANA-03B-DRY"/>
    <n v="1506"/>
    <n v="1506"/>
    <n v="0.65"/>
    <n v="978.9"/>
    <n v="50"/>
    <n v="72.546000000000006"/>
    <n v="3627.3"/>
    <m/>
    <n v="113632.09999999999"/>
    <n v="112653.2"/>
    <d v="2026-03-08T00:00:00"/>
    <n v="112653.2"/>
    <m/>
    <m/>
    <s v="Direct Issue from Bin due to Low moisture"/>
    <n v="112653.2"/>
  </r>
  <r>
    <n v="75"/>
    <d v="2026-08-03T00:00:00"/>
    <s v="Dry Rcn "/>
    <x v="9"/>
    <s v="ANA-016-DRY"/>
    <s v="Running"/>
    <n v="120"/>
    <n v="40.69"/>
    <n v="189"/>
    <n v="212"/>
    <n v="8.1999999999999993"/>
    <n v="7"/>
    <n v="15"/>
    <n v="64"/>
    <n v="0"/>
    <n v="17"/>
    <n v="678"/>
    <s v="ANA-016-DRY"/>
    <n v="300"/>
    <n v="300"/>
    <n v="0.65"/>
    <n v="195"/>
    <n v="10"/>
    <n v="71.599999999999994"/>
    <n v="716"/>
    <m/>
    <n v="21406.2"/>
    <n v="21211.200000000001"/>
    <d v="2026-03-08T00:00:00"/>
    <n v="21211.200000000001"/>
    <m/>
    <m/>
    <s v="Direct Issue from Bin due to Low moisture"/>
    <n v="21211.200000000001"/>
  </r>
  <r>
    <n v="76"/>
    <d v="2026-08-04T00:00:00"/>
    <s v="Dry Rcn "/>
    <x v="9"/>
    <s v="ANA-016-DRY"/>
    <s v="Running"/>
    <n v="121"/>
    <n v="42.94"/>
    <n v="171"/>
    <n v="227"/>
    <n v="8.3000000000000007"/>
    <n v="6"/>
    <n v="20"/>
    <n v="27"/>
    <n v="2"/>
    <n v="24"/>
    <n v="686"/>
    <s v="ANA-016-DRY"/>
    <n v="450"/>
    <n v="450"/>
    <n v="0.65"/>
    <n v="292.5"/>
    <n v="15"/>
    <n v="76.86666666666666"/>
    <n v="1153"/>
    <m/>
    <n v="32234.699999999997"/>
    <n v="31942.199999999997"/>
    <d v="2026-04-08T00:00:00"/>
    <n v="31942.199999999997"/>
    <m/>
    <m/>
    <s v="Direct Issue from Bin due to Low moisture"/>
    <n v="31942.199999999997"/>
  </r>
  <r>
    <n v="77"/>
    <d v="2026-08-04T00:00:00"/>
    <s v="Dry Rcn "/>
    <x v="2"/>
    <s v="ANA-03B-DRY"/>
    <s v="Running"/>
    <n v="121"/>
    <n v="42.94"/>
    <n v="171"/>
    <n v="227"/>
    <n v="8.3000000000000007"/>
    <n v="6"/>
    <n v="20"/>
    <n v="27"/>
    <n v="2"/>
    <n v="24"/>
    <n v="686"/>
    <s v="ANA-03B-DRY"/>
    <n v="1656"/>
    <n v="1656"/>
    <n v="0.65"/>
    <n v="1076.4000000000001"/>
    <n v="55"/>
    <n v="72.965454545454548"/>
    <n v="4013.1"/>
    <m/>
    <n v="125120.4"/>
    <n v="124044"/>
    <d v="2026-04-08T00:00:00"/>
    <n v="124044"/>
    <m/>
    <m/>
    <s v="Direct Issue from Bin due to Low moisture"/>
    <n v="124044"/>
  </r>
  <r>
    <n v="78"/>
    <d v="2026-08-05T00:00:00"/>
    <s v="Dry Rcn "/>
    <x v="2"/>
    <s v="ANA-03B-DRY"/>
    <s v="Running"/>
    <n v="122"/>
    <n v="42.72"/>
    <n v="174"/>
    <n v="231"/>
    <n v="8.4"/>
    <n v="7"/>
    <n v="15"/>
    <n v="37"/>
    <n v="0"/>
    <n v="15"/>
    <n v="687"/>
    <s v="ANA-03B-DRY"/>
    <n v="846"/>
    <n v="846"/>
    <n v="0.65"/>
    <n v="549.9"/>
    <n v="29"/>
    <n v="72.258620689655174"/>
    <n v="2095.5"/>
    <m/>
    <n v="63793.599999999999"/>
    <n v="63243.7"/>
    <d v="2026-05-08T00:00:00"/>
    <n v="63243.7"/>
    <m/>
    <m/>
    <s v="Direct Issue from Bin due to Low moisture"/>
    <n v="63243.7"/>
  </r>
  <r>
    <n v="79"/>
    <d v="2026-08-05T00:00:00"/>
    <s v="Dry Rcn "/>
    <x v="9"/>
    <s v="ANA-016-DRY"/>
    <s v="Running"/>
    <n v="122"/>
    <n v="40.119999999999997"/>
    <n v="184"/>
    <n v="212"/>
    <n v="7.8"/>
    <n v="11"/>
    <n v="20"/>
    <n v="36"/>
    <n v="0"/>
    <n v="17"/>
    <n v="695"/>
    <s v="ANA-016-DRY"/>
    <n v="450"/>
    <n v="450"/>
    <n v="0.65"/>
    <n v="292.5"/>
    <n v="15"/>
    <n v="73.819999999999993"/>
    <n v="1107.3"/>
    <m/>
    <n v="31952.500000000004"/>
    <n v="31660.000000000004"/>
    <d v="2026-05-08T00:00:00"/>
    <n v="31660.000000000004"/>
    <m/>
    <m/>
    <s v="Direct Issue from Bin due to Low moisture"/>
    <n v="31660.000000000004"/>
  </r>
  <r>
    <n v="80"/>
    <d v="2026-08-05T00:00:00"/>
    <s v="Dry Rcn "/>
    <x v="10"/>
    <s v="BIN-010-DRY"/>
    <s v="Running"/>
    <n v="122"/>
    <n v="42.32"/>
    <n v="173"/>
    <n v="234"/>
    <n v="9"/>
    <n v="4"/>
    <n v="8"/>
    <n v="45"/>
    <n v="0"/>
    <n v="17"/>
    <n v="683"/>
    <s v="ANA-010-DRY"/>
    <n v="300"/>
    <n v="300"/>
    <n v="0.65"/>
    <n v="195"/>
    <n v="10"/>
    <n v="65.58"/>
    <n v="655.8"/>
    <m/>
    <n v="22623.100000000002"/>
    <n v="22428.100000000002"/>
    <d v="2026-05-08T00:00:00"/>
    <n v="22428.100000000002"/>
    <m/>
    <m/>
    <s v="Direct Issue from Bin due to Low moisture"/>
    <n v="22428.100000000002"/>
  </r>
  <r>
    <n v="81"/>
    <d v="2026-08-06T00:00:00"/>
    <s v="Dry Rcn "/>
    <x v="2"/>
    <s v="ANA-03B-DRY"/>
    <s v="Running"/>
    <n v="123"/>
    <n v="41.27"/>
    <n v="178"/>
    <n v="229"/>
    <n v="8.6"/>
    <n v="4"/>
    <n v="6"/>
    <n v="46"/>
    <n v="1"/>
    <n v="24"/>
    <n v="683"/>
    <s v="ANA-03B-DRY"/>
    <n v="412"/>
    <n v="412"/>
    <n v="0.65"/>
    <n v="267.8"/>
    <n v="14"/>
    <n v="76.95714285714287"/>
    <n v="1077.4000000000001"/>
    <m/>
    <n v="31551.399999999998"/>
    <n v="31283.599999999999"/>
    <d v="2026-06-08T00:00:00"/>
    <n v="31283.599999999999"/>
    <m/>
    <m/>
    <s v="Direct Issue from Bin due to Low moisture"/>
    <n v="31283.599999999999"/>
  </r>
  <r>
    <n v="82"/>
    <d v="2026-08-06T00:00:00"/>
    <s v="Dry Rcn "/>
    <x v="9"/>
    <s v="ANA-016-DRY"/>
    <s v="Running"/>
    <n v="123"/>
    <n v="39.24"/>
    <n v="183"/>
    <n v="214"/>
    <n v="8.4"/>
    <n v="3"/>
    <n v="14"/>
    <n v="52"/>
    <n v="0"/>
    <n v="18"/>
    <n v="691"/>
    <s v="ANA-016-DRY"/>
    <n v="450"/>
    <n v="450"/>
    <n v="0.65"/>
    <n v="292.5"/>
    <n v="15"/>
    <n v="77.599999999999994"/>
    <n v="1164"/>
    <m/>
    <n v="33165.800000000003"/>
    <n v="32873.300000000003"/>
    <d v="2026-06-08T00:00:00"/>
    <n v="32873.300000000003"/>
    <m/>
    <m/>
    <s v="Direct Issue from Bin due to Low moisture"/>
    <n v="32873.300000000003"/>
  </r>
  <r>
    <n v="83"/>
    <d v="2026-08-06T00:00:00"/>
    <s v="Dry Rcn "/>
    <x v="10"/>
    <s v="BIN-010-DRY"/>
    <s v="Running"/>
    <n v="123"/>
    <n v="42.68"/>
    <n v="172"/>
    <n v="233"/>
    <n v="8.4"/>
    <n v="6"/>
    <n v="12"/>
    <n v="31"/>
    <n v="2"/>
    <n v="35"/>
    <n v="672"/>
    <s v="ANA-010-DRY"/>
    <n v="300"/>
    <n v="300"/>
    <n v="0.65"/>
    <n v="195"/>
    <n v="10"/>
    <n v="78.08"/>
    <n v="780.8"/>
    <m/>
    <n v="22491.9"/>
    <n v="22296.9"/>
    <d v="2026-06-08T00:00:00"/>
    <n v="22296.9"/>
    <m/>
    <m/>
    <s v="Direct Issue from Bin due to Low moisture"/>
    <n v="22296.9"/>
  </r>
  <r>
    <n v="84"/>
    <d v="2026-08-09T00:00:00"/>
    <s v="Dry Rcn "/>
    <x v="9"/>
    <s v="ANA-016-DRY"/>
    <s v="Running"/>
    <n v="124"/>
    <n v="40.25"/>
    <n v="187"/>
    <n v="226"/>
    <n v="7.6"/>
    <n v="5"/>
    <n v="13"/>
    <n v="40"/>
    <n v="1"/>
    <n v="16"/>
    <n v="690"/>
    <s v="ANA-016-DRY"/>
    <n v="2087"/>
    <n v="2087"/>
    <n v="0.65"/>
    <n v="1356.55"/>
    <n v="71"/>
    <n v="72.825352112676057"/>
    <n v="5170.6000000000004"/>
    <m/>
    <n v="120296.40000000002"/>
    <n v="118939.85000000002"/>
    <d v="2026-09-08T00:00:00"/>
    <n v="118939.85000000002"/>
    <m/>
    <m/>
    <s v="Direct Issue from Bin due to Low moisture"/>
    <n v="118939.85000000002"/>
  </r>
  <r>
    <n v="85"/>
    <d v="2026-08-09T00:00:00"/>
    <s v="Dry Rcn "/>
    <x v="9"/>
    <s v="ANA-016-DRY"/>
    <s v="Closed"/>
    <n v="124"/>
    <n v="40.25"/>
    <n v="187"/>
    <n v="226"/>
    <n v="7.6"/>
    <n v="5"/>
    <n v="13"/>
    <n v="40"/>
    <n v="1"/>
    <n v="16"/>
    <n v="690"/>
    <s v="ANA-016-DRY"/>
    <n v="531"/>
    <n v="531"/>
    <n v="1"/>
    <n v="531"/>
    <m/>
    <m/>
    <m/>
    <m/>
    <n v="36872"/>
    <n v="36341"/>
    <d v="2026-09-08T00:00:00"/>
    <n v="36341"/>
    <m/>
    <m/>
    <s v="Direct Issue from Bin due to Low moisture"/>
    <n v="36341"/>
  </r>
  <r>
    <n v="86"/>
    <d v="2026-08-10T00:00:00"/>
    <s v="Dry Rcn "/>
    <x v="10"/>
    <s v="BIN-010-DRY"/>
    <s v="Running"/>
    <n v="125"/>
    <n v="43.64"/>
    <n v="177"/>
    <n v="240"/>
    <n v="7.8"/>
    <n v="6"/>
    <n v="11"/>
    <n v="25"/>
    <n v="0"/>
    <n v="35"/>
    <n v="671"/>
    <s v="ANA-010-DRY"/>
    <n v="1214"/>
    <n v="1214"/>
    <n v="0.65"/>
    <n v="789.1"/>
    <n v="41"/>
    <n v="71.707317073170728"/>
    <n v="2940"/>
    <m/>
    <n v="93569.1"/>
    <n v="92780"/>
    <d v="2026-10-08T00:00:00"/>
    <n v="92780"/>
    <m/>
    <m/>
    <s v="Direct Issue from Bin due to Low moisture"/>
    <n v="92780"/>
  </r>
  <r>
    <n v="87"/>
    <d v="2026-08-11T00:00:00"/>
    <s v="Dry Rcn "/>
    <x v="10"/>
    <s v="BIN-010-DRY"/>
    <s v="Running"/>
    <n v="126"/>
    <n v="43.56"/>
    <n v="181"/>
    <n v="236"/>
    <n v="8.3000000000000007"/>
    <n v="5"/>
    <n v="18"/>
    <n v="24"/>
    <n v="2"/>
    <n v="13"/>
    <n v="694"/>
    <s v="ANA-010-DRY"/>
    <n v="1816"/>
    <n v="1816"/>
    <n v="0.65"/>
    <n v="1180.4000000000001"/>
    <n v="60"/>
    <n v="71.98"/>
    <n v="4318.8"/>
    <m/>
    <n v="139173.70000000001"/>
    <n v="137993.30000000002"/>
    <d v="2026-11-08T00:00:00"/>
    <n v="137993.30000000002"/>
    <m/>
    <m/>
    <s v="Direct Issue from Bin due to Low moisture"/>
    <n v="137993.30000000002"/>
  </r>
  <r>
    <n v="88"/>
    <d v="2026-08-12T00:00:00"/>
    <s v="Dry Rcn "/>
    <x v="10"/>
    <s v="BIN-010-DRY"/>
    <s v="Running"/>
    <n v="127"/>
    <n v="43.25"/>
    <n v="173"/>
    <n v="231"/>
    <n v="8"/>
    <n v="6"/>
    <n v="20"/>
    <n v="27"/>
    <n v="0"/>
    <n v="24"/>
    <n v="685"/>
    <s v="ANA-010-DRY"/>
    <n v="1840"/>
    <n v="1840"/>
    <n v="0.65"/>
    <n v="1196"/>
    <n v="60"/>
    <n v="73.271666666666675"/>
    <n v="4396.3"/>
    <m/>
    <n v="141222.29999999999"/>
    <n v="140026.29999999999"/>
    <d v="2026-12-08T00:00:00"/>
    <n v="140026.29999999999"/>
    <m/>
    <m/>
    <s v="Direct Issue from Bin due to Low moisture"/>
    <n v="140026.29999999999"/>
  </r>
  <r>
    <n v="89"/>
    <d v="2026-08-13T00:00:00"/>
    <s v="Dry Rcn "/>
    <x v="10"/>
    <s v="BIN-010-DRY"/>
    <s v="Running"/>
    <n v="128"/>
    <n v="44.48"/>
    <n v="177"/>
    <n v="239"/>
    <n v="7.8"/>
    <n v="9"/>
    <n v="20"/>
    <n v="21"/>
    <n v="4"/>
    <n v="2"/>
    <n v="699"/>
    <s v="ANA-010-DRY"/>
    <n v="1975"/>
    <n v="1975"/>
    <n v="0.65"/>
    <n v="1283.75"/>
    <n v="66"/>
    <n v="72.2"/>
    <n v="4765.2"/>
    <m/>
    <n v="146970"/>
    <n v="145686.25"/>
    <s v="13/08/2026"/>
    <n v="145686.25"/>
    <m/>
    <m/>
    <s v="Direct Issue from Bin due to Low moisture"/>
    <n v="145686.25"/>
  </r>
  <r>
    <n v="90"/>
    <d v="2026-08-14T00:00:00"/>
    <s v="Dry Rcn "/>
    <x v="10"/>
    <s v="BIN-010-DRY"/>
    <s v="Running"/>
    <n v="129"/>
    <n v="44.79"/>
    <n v="179"/>
    <n v="247"/>
    <n v="7.7"/>
    <n v="5"/>
    <n v="8"/>
    <n v="22"/>
    <n v="0"/>
    <n v="17"/>
    <n v="688"/>
    <s v="ANA-010-DRY"/>
    <n v="2267"/>
    <n v="2267"/>
    <n v="0.65"/>
    <n v="1473.55"/>
    <n v="75"/>
    <n v="73.304000000000002"/>
    <n v="5497.8"/>
    <m/>
    <n v="168931"/>
    <n v="167457.45000000001"/>
    <s v="14/08/2026"/>
    <n v="167457.45000000001"/>
    <m/>
    <m/>
    <s v="Direct Issue from Bin due to Low moisture"/>
    <n v="167457.45000000001"/>
  </r>
  <r>
    <n v="91"/>
    <d v="2026-08-17T00:00:00"/>
    <s v="Dry Rcn "/>
    <x v="10"/>
    <s v="BIN-010-DRY"/>
    <s v="Running"/>
    <n v="130"/>
    <n v="43.11"/>
    <n v="183"/>
    <n v="234"/>
    <n v="8.1"/>
    <n v="5"/>
    <n v="14"/>
    <n v="20"/>
    <n v="0"/>
    <n v="38"/>
    <n v="669"/>
    <s v="ANA-010-DRY"/>
    <n v="1307"/>
    <n v="1307"/>
    <n v="0.65"/>
    <n v="849.55"/>
    <n v="45"/>
    <n v="70.204444444444434"/>
    <n v="3159.2"/>
    <m/>
    <n v="98858.6"/>
    <n v="98009.05"/>
    <s v="17/08/2026"/>
    <n v="98009.05"/>
    <m/>
    <m/>
    <s v="Direct Issue from Bin due to Low moisture"/>
    <n v="98009.25"/>
  </r>
  <r>
    <n v="92"/>
    <d v="2026-08-18T00:00:00"/>
    <s v="Dry Rcn "/>
    <x v="10"/>
    <s v="BIN-010-DRY"/>
    <s v="Closed"/>
    <n v="131"/>
    <n v="43.74"/>
    <m/>
    <m/>
    <n v="7.8"/>
    <m/>
    <m/>
    <m/>
    <m/>
    <m/>
    <m/>
    <s v="ANA-010-DRY"/>
    <n v="703"/>
    <n v="703"/>
    <n v="0.65"/>
    <n v="456.95"/>
    <n v="23"/>
    <m/>
    <n v="1618.8"/>
    <m/>
    <n v="52018.5"/>
    <n v="51561.55"/>
    <s v="18/08/2026"/>
    <n v="51156.55"/>
    <m/>
    <m/>
    <s v="Direct Issue from Bin due to Low moisture"/>
    <n v="51156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BBF48-A530-4B14-ACD2-118C7E8BA0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5:AL17" firstHeaderRow="1" firstDataRow="1" firstDataCol="1"/>
  <pivotFields count="34">
    <pivotField showAll="0"/>
    <pivotField numFmtId="164" showAll="0"/>
    <pivotField showAll="0"/>
    <pivotField axis="axisRow" showAll="0">
      <items count="12">
        <item x="3"/>
        <item x="4"/>
        <item x="8"/>
        <item x="10"/>
        <item x="0"/>
        <item x="9"/>
        <item x="6"/>
        <item x="7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numFmtId="43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et Wt (Without Jute Bag)" fld="27" baseField="0" baseItem="0" numFmtId="43"/>
  </dataFields>
  <formats count="1">
    <format dxfId="6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3F075-CD1F-4886-8321-D7AF1DA09944}" name="Table4" displayName="Table4" ref="A5:AH130" totalsRowShown="0" headerRowDxfId="68">
  <autoFilter ref="A5:AH130" xr:uid="{C6B86482-4813-4644-908D-C7F3F2CF65DD}"/>
  <tableColumns count="34">
    <tableColumn id="1" xr3:uid="{8DD55E7E-8DE0-4490-B486-8FF8FA720948}" name="SI NO" dataDxfId="67" totalsRowDxfId="66"/>
    <tableColumn id="2" xr3:uid="{6C01E238-1C44-410B-B493-FF5A6732C02C}" name="Date" dataDxfId="65" totalsRowDxfId="64"/>
    <tableColumn id="3" xr3:uid="{BCB8BC8A-DCDD-4C13-83A4-541EA6F0F065}" name="RCN" dataDxfId="63" totalsRowDxfId="62"/>
    <tableColumn id="4" xr3:uid="{1586BBD9-8BBE-4355-AE75-359E38867308}" name="Source Bin" dataDxfId="61" totalsRowDxfId="60"/>
    <tableColumn id="5" xr3:uid="{94D96D9B-E2ED-479C-A554-5F34BA86CB27}" name="DRY BIN " dataDxfId="59" totalsRowDxfId="58"/>
    <tableColumn id="6" xr3:uid="{76712D1F-C4F1-4DC4-B793-E05DDEB3BB79}" name="Bin Status " dataDxfId="57" totalsRowDxfId="56"/>
    <tableColumn id="7" xr3:uid="{BEE2E31A-6914-498E-B619-204A99186E3B}" name="BTM " dataDxfId="55" totalsRowDxfId="54"/>
    <tableColumn id="8" xr3:uid="{B478FAE8-18E6-4FA9-A6F6-395E8D715F96}" name="KOR-Issued" dataDxfId="53" totalsRowDxfId="52"/>
    <tableColumn id="9" xr3:uid="{08471B15-35A8-42CD-ADEE-EA5AC2B7D4F1}" name="Nut Count" dataDxfId="51" totalsRowDxfId="50"/>
    <tableColumn id="10" xr3:uid="{09E37149-B73B-4D3D-9CA3-4BD2870D1789}" name="GK" dataDxfId="49" totalsRowDxfId="48"/>
    <tableColumn id="11" xr3:uid="{FCAA4FF2-EC5B-4329-8150-51760C27D711}" name="Moisture" dataDxfId="47" totalsRowDxfId="46"/>
    <tableColumn id="12" xr3:uid="{5F7F42FA-94A5-4947-8779-1D6EF2D4102E}" name="Immature" dataDxfId="45" totalsRowDxfId="44"/>
    <tableColumn id="13" xr3:uid="{48F5DA37-EB41-45E5-A0BE-6A29F5AD7EDE}" name="Spottd " dataDxfId="43" totalsRowDxfId="42"/>
    <tableColumn id="14" xr3:uid="{AD533E81-08B3-4BD0-AB1A-84B638336007}" name="Rejection" dataDxfId="41" totalsRowDxfId="40"/>
    <tableColumn id="15" xr3:uid="{BFA84B5E-AE8C-401C-9FA1-49BA53B39044}" name="OIL (Gram)" dataDxfId="39" totalsRowDxfId="38"/>
    <tableColumn id="16" xr3:uid="{E4E4738E-5AA6-44B8-B808-D1797C66B35F}" name="Void (Gram)" dataDxfId="37" totalsRowDxfId="36"/>
    <tableColumn id="17" xr3:uid="{C15372C2-8FBA-4392-A3EB-05C95644BAE1}" name="Shell (Gram)" dataDxfId="35" totalsRowDxfId="34"/>
    <tableColumn id="18" xr3:uid="{863F8CAF-9C17-4A3D-8AC8-792E647B6741}" name="Fiche No" dataDxfId="33" totalsRowDxfId="32"/>
    <tableColumn id="19" xr3:uid="{D98428D3-4DF3-47D7-B690-39D801DCCE48}" name="Bag inStock afetr Dry" dataDxfId="31" totalsRowDxfId="30"/>
    <tableColumn id="20" xr3:uid="{68F1027D-CBA2-494D-848D-08D2800477AF}" name="No of Bag(Issued to Production)" dataDxfId="29" totalsRowDxfId="28"/>
    <tableColumn id="21" xr3:uid="{E812C437-A28C-49E9-BAFF-BEE153456CA1}" name="Avg Bag Wt (Empty  Bag)" dataDxfId="27" totalsRowDxfId="26"/>
    <tableColumn id="22" xr3:uid="{9590FAAD-ADA2-4D13-A567-ABD9DE4DFE99}" name="Bag Wt(Empty Bag)" dataDxfId="25" totalsRowDxfId="24"/>
    <tableColumn id="23" xr3:uid="{6E11875D-1047-40DC-A2EA-CD3EB48065C4}" name="No of Pallet" dataDxfId="23" totalsRowDxfId="22"/>
    <tableColumn id="24" xr3:uid="{F62F8BEC-BFE9-4D87-82AB-BAEA72FECB64}" name="Avg Pallet Wt" dataDxfId="21" totalsRowDxfId="20"/>
    <tableColumn id="25" xr3:uid="{3FADEEEC-7ACE-43D2-901A-3887FA8D1696}" name="Pallet Weight (Kg)" dataDxfId="19" totalsRowDxfId="18"/>
    <tableColumn id="26" xr3:uid="{29C73B53-C8FB-4EC1-AEB0-1283A469380C}" name="Gross Wt (Before Dry)" dataDxfId="17" totalsRowDxfId="16"/>
    <tableColumn id="27" xr3:uid="{20D761E4-63DC-4789-AEEA-0ACE864CF11F}" name="Gross Wt (After Drying Wt with Jute Bag)" dataDxfId="15" totalsRowDxfId="14"/>
    <tableColumn id="28" xr3:uid="{B79666A2-3F11-4AFB-AAEE-CE4C89F56DC8}" name="Net Wt (Without Jute Bag)" dataDxfId="13" totalsRowDxfId="12"/>
    <tableColumn id="29" xr3:uid="{029EB46F-FCCC-46A9-B1DE-5CA5CD88CF1C}" name="Date of Issue to Calibration" dataDxfId="11" totalsRowDxfId="10"/>
    <tableColumn id="30" xr3:uid="{7AAF559A-8524-440D-91FE-83C02A8402AB}" name="Received By Production(Net Wt)" dataDxfId="9" totalsRowDxfId="8"/>
    <tableColumn id="31" xr3:uid="{30F67769-58A1-405A-90F4-270ED66EE8CF}" name="Issued from " dataDxfId="7" totalsRowDxfId="6"/>
    <tableColumn id="32" xr3:uid="{AFC52FA1-5C5B-4D0E-8B2A-73210225A816}" name="Diff in Issue" dataDxfId="5" totalsRowDxfId="4"/>
    <tableColumn id="33" xr3:uid="{3085900E-F849-4452-8267-A2E155C21258}" name="Remarks " dataDxfId="3" totalsRowDxfId="2"/>
    <tableColumn id="34" xr3:uid="{3C82A36D-346D-48ED-B414-1D6FA97ED65C}" name="Check" dataDxfId="1" totalsRow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18B3-EB1E-4584-BD17-7398FBDBDE45}">
  <dimension ref="A4:AM156"/>
  <sheetViews>
    <sheetView tabSelected="1" topLeftCell="S130" zoomScale="119" zoomScaleNormal="130" workbookViewId="0">
      <selection activeCell="AA138" sqref="AA138"/>
    </sheetView>
  </sheetViews>
  <sheetFormatPr defaultColWidth="8.90625" defaultRowHeight="12" x14ac:dyDescent="0.3"/>
  <cols>
    <col min="1" max="1" width="8.90625" style="1"/>
    <col min="2" max="2" width="16.08984375" style="60" customWidth="1"/>
    <col min="3" max="3" width="16.6328125" style="1" bestFit="1" customWidth="1"/>
    <col min="4" max="5" width="11.36328125" style="1" bestFit="1" customWidth="1"/>
    <col min="6" max="6" width="11.36328125" style="1" customWidth="1"/>
    <col min="7" max="7" width="8.90625" style="1"/>
    <col min="8" max="8" width="10.90625" style="1" customWidth="1"/>
    <col min="9" max="9" width="10.08984375" style="1" customWidth="1"/>
    <col min="10" max="10" width="8.90625" style="1" customWidth="1"/>
    <col min="11" max="11" width="9.36328125" style="1" customWidth="1"/>
    <col min="12" max="12" width="9.90625" style="1" customWidth="1"/>
    <col min="13" max="13" width="8.90625" style="1" customWidth="1"/>
    <col min="14" max="14" width="9.453125" style="1" customWidth="1"/>
    <col min="15" max="15" width="8.6328125" style="1" bestFit="1" customWidth="1"/>
    <col min="16" max="16" width="8.6328125" style="1" customWidth="1"/>
    <col min="17" max="17" width="8.54296875" style="1" customWidth="1"/>
    <col min="18" max="18" width="11.54296875" style="1" bestFit="1" customWidth="1"/>
    <col min="19" max="19" width="10" style="1" customWidth="1"/>
    <col min="20" max="20" width="13.54296875" style="1" customWidth="1"/>
    <col min="21" max="21" width="8.36328125" style="1" customWidth="1"/>
    <col min="22" max="22" width="8.08984375" style="1" customWidth="1"/>
    <col min="23" max="23" width="5.36328125" style="1" customWidth="1"/>
    <col min="24" max="24" width="7.6328125" style="1" customWidth="1"/>
    <col min="25" max="25" width="8.6328125" style="1" customWidth="1"/>
    <col min="26" max="26" width="8.54296875" style="1" customWidth="1"/>
    <col min="27" max="27" width="11.90625" style="1" customWidth="1"/>
    <col min="28" max="28" width="15.90625" style="1" customWidth="1"/>
    <col min="29" max="29" width="12.6328125" style="1" customWidth="1"/>
    <col min="30" max="30" width="16.1796875" style="1" bestFit="1" customWidth="1"/>
    <col min="31" max="31" width="8.36328125" style="1" customWidth="1"/>
    <col min="32" max="32" width="11.08984375" style="1" customWidth="1"/>
    <col min="33" max="33" width="40.36328125" style="1" customWidth="1"/>
    <col min="34" max="34" width="18.6328125" style="1" bestFit="1" customWidth="1"/>
    <col min="35" max="36" width="8.90625" style="1"/>
    <col min="37" max="37" width="12.54296875" style="1" bestFit="1" customWidth="1"/>
    <col min="38" max="38" width="30.1796875" style="1" bestFit="1" customWidth="1"/>
    <col min="39" max="16384" width="8.90625" style="1"/>
  </cols>
  <sheetData>
    <row r="4" spans="1:39" x14ac:dyDescent="0.3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</row>
    <row r="5" spans="1:39" s="5" customFormat="1" ht="36" x14ac:dyDescent="0.35">
      <c r="A5" s="2" t="s">
        <v>1</v>
      </c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  <c r="U5" s="4" t="s">
        <v>21</v>
      </c>
      <c r="V5" s="4" t="s">
        <v>22</v>
      </c>
      <c r="W5" s="4" t="s">
        <v>23</v>
      </c>
      <c r="X5" s="4" t="s">
        <v>24</v>
      </c>
      <c r="Y5" s="4" t="s">
        <v>25</v>
      </c>
      <c r="Z5" s="4" t="s">
        <v>26</v>
      </c>
      <c r="AA5" s="4" t="s">
        <v>27</v>
      </c>
      <c r="AB5" s="4" t="s">
        <v>28</v>
      </c>
      <c r="AC5" s="4" t="s">
        <v>29</v>
      </c>
      <c r="AD5" s="4" t="s">
        <v>30</v>
      </c>
      <c r="AE5" s="4" t="s">
        <v>31</v>
      </c>
      <c r="AF5" s="4" t="s">
        <v>32</v>
      </c>
      <c r="AG5" s="4" t="s">
        <v>33</v>
      </c>
      <c r="AH5" s="2" t="s">
        <v>34</v>
      </c>
      <c r="AK5" t="s">
        <v>35</v>
      </c>
      <c r="AL5" t="s">
        <v>36</v>
      </c>
      <c r="AM5"/>
    </row>
    <row r="6" spans="1:39" ht="14.5" x14ac:dyDescent="0.35">
      <c r="A6" s="6">
        <v>1</v>
      </c>
      <c r="B6" s="7">
        <v>46134</v>
      </c>
      <c r="C6" s="1" t="s">
        <v>37</v>
      </c>
      <c r="D6" s="8" t="s">
        <v>38</v>
      </c>
      <c r="E6" s="9" t="s">
        <v>39</v>
      </c>
      <c r="F6" s="9" t="s">
        <v>40</v>
      </c>
      <c r="G6" s="1">
        <v>1001</v>
      </c>
      <c r="H6" s="1">
        <v>43.12</v>
      </c>
      <c r="I6" s="1">
        <v>172</v>
      </c>
      <c r="J6" s="1">
        <v>230</v>
      </c>
      <c r="K6" s="1">
        <v>8.9</v>
      </c>
      <c r="L6" s="1">
        <v>16</v>
      </c>
      <c r="M6" s="1">
        <v>13</v>
      </c>
      <c r="N6" s="1">
        <v>20</v>
      </c>
      <c r="O6" s="1">
        <v>0</v>
      </c>
      <c r="P6" s="1">
        <v>25</v>
      </c>
      <c r="Q6" s="1">
        <v>690</v>
      </c>
      <c r="R6" s="1">
        <f>'[2]FINAL DRY RCN-YAKRO-2026'!F15</f>
        <v>89770</v>
      </c>
      <c r="S6" s="1">
        <v>644</v>
      </c>
      <c r="T6" s="6">
        <f>'[2]FINAL DRY RCN-YAKRO-2026'!AL15</f>
        <v>644</v>
      </c>
      <c r="U6" s="10">
        <f>0.69</f>
        <v>0.69</v>
      </c>
      <c r="V6" s="10">
        <f>0.69*T6</f>
        <v>444.35999999999996</v>
      </c>
      <c r="W6" s="6">
        <v>25</v>
      </c>
      <c r="X6" s="10">
        <v>71.319999999999993</v>
      </c>
      <c r="Y6" s="10">
        <f>71.32*25</f>
        <v>1782.9999999999998</v>
      </c>
      <c r="Z6" s="10"/>
      <c r="AA6" s="10">
        <f>48375</f>
        <v>48375</v>
      </c>
      <c r="AB6" s="11">
        <f>AA6-V6</f>
        <v>47930.64</v>
      </c>
      <c r="AC6" s="12">
        <v>46135</v>
      </c>
      <c r="AD6" s="13">
        <f>97398</f>
        <v>97398</v>
      </c>
      <c r="AE6" s="13" t="s">
        <v>41</v>
      </c>
      <c r="AF6" s="14">
        <f>AD6-AB6-AB7</f>
        <v>1583.5900000000038</v>
      </c>
      <c r="AG6" s="15"/>
      <c r="AH6" s="10">
        <f>AF6+AB6+AB7</f>
        <v>97398</v>
      </c>
      <c r="AK6" s="16">
        <v>0</v>
      </c>
      <c r="AL6" s="17">
        <v>0</v>
      </c>
      <c r="AM6"/>
    </row>
    <row r="7" spans="1:39" ht="14.5" x14ac:dyDescent="0.35">
      <c r="A7" s="6">
        <v>2</v>
      </c>
      <c r="B7" s="7">
        <v>46134</v>
      </c>
      <c r="C7" s="1" t="s">
        <v>37</v>
      </c>
      <c r="D7" s="8" t="s">
        <v>38</v>
      </c>
      <c r="E7" s="9" t="s">
        <v>39</v>
      </c>
      <c r="F7" s="9" t="s">
        <v>40</v>
      </c>
      <c r="G7" s="1">
        <v>1001</v>
      </c>
      <c r="H7" s="1">
        <v>42.85</v>
      </c>
      <c r="I7" s="1">
        <v>170</v>
      </c>
      <c r="J7" s="1">
        <v>230</v>
      </c>
      <c r="K7" s="1">
        <v>9.8000000000000007</v>
      </c>
      <c r="L7" s="1">
        <v>10</v>
      </c>
      <c r="M7" s="1">
        <v>16</v>
      </c>
      <c r="N7" s="1">
        <v>28</v>
      </c>
      <c r="O7" s="1">
        <v>8</v>
      </c>
      <c r="P7" s="1">
        <v>30</v>
      </c>
      <c r="Q7" s="1">
        <v>689</v>
      </c>
      <c r="R7" s="1">
        <f>'[2]FINAL DRY RCN-YAKRO-2026'!F16</f>
        <v>89781</v>
      </c>
      <c r="S7" s="1">
        <v>667</v>
      </c>
      <c r="T7" s="6">
        <f>'[2]FINAL DRY RCN-YAKRO-2026'!AL16</f>
        <v>667</v>
      </c>
      <c r="U7" s="10">
        <f>0.69</f>
        <v>0.69</v>
      </c>
      <c r="V7" s="10">
        <f t="shared" ref="V7" si="0">0.69*T7</f>
        <v>460.22999999999996</v>
      </c>
      <c r="W7" s="6">
        <v>31</v>
      </c>
      <c r="X7" s="10">
        <f>71.32</f>
        <v>71.319999999999993</v>
      </c>
      <c r="Y7" s="10">
        <f>71.32*31</f>
        <v>2210.9199999999996</v>
      </c>
      <c r="Z7" s="10"/>
      <c r="AA7" s="10">
        <v>48344</v>
      </c>
      <c r="AB7" s="11">
        <f>AA7-V7</f>
        <v>47883.77</v>
      </c>
      <c r="AC7" s="12">
        <v>46135</v>
      </c>
      <c r="AD7" s="13"/>
      <c r="AE7" s="13" t="s">
        <v>41</v>
      </c>
      <c r="AF7" s="14"/>
      <c r="AG7" s="15"/>
      <c r="AH7" s="15"/>
      <c r="AK7" s="16" t="s">
        <v>42</v>
      </c>
      <c r="AL7" s="17">
        <v>539147.95000000007</v>
      </c>
      <c r="AM7"/>
    </row>
    <row r="8" spans="1:39" ht="14.5" x14ac:dyDescent="0.35">
      <c r="A8" s="6">
        <v>3</v>
      </c>
      <c r="B8" s="7">
        <v>46135</v>
      </c>
      <c r="C8" s="1" t="s">
        <v>37</v>
      </c>
      <c r="D8" s="8" t="s">
        <v>38</v>
      </c>
      <c r="E8" s="9" t="s">
        <v>39</v>
      </c>
      <c r="F8" s="9" t="s">
        <v>40</v>
      </c>
      <c r="G8" s="1">
        <v>1004</v>
      </c>
      <c r="H8" s="1">
        <v>43.38</v>
      </c>
      <c r="I8" s="1">
        <v>180</v>
      </c>
      <c r="J8" s="1">
        <v>228</v>
      </c>
      <c r="K8" s="1">
        <v>8.6</v>
      </c>
      <c r="L8" s="1">
        <v>10</v>
      </c>
      <c r="M8" s="1">
        <v>11</v>
      </c>
      <c r="N8" s="1">
        <v>31</v>
      </c>
      <c r="O8" s="1">
        <v>0</v>
      </c>
      <c r="P8" s="1">
        <v>20</v>
      </c>
      <c r="Q8" s="1">
        <v>693</v>
      </c>
      <c r="R8" s="1">
        <v>29107</v>
      </c>
      <c r="S8" s="1">
        <v>600</v>
      </c>
      <c r="T8" s="6">
        <v>614</v>
      </c>
      <c r="U8" s="10">
        <f>0.617</f>
        <v>0.61699999999999999</v>
      </c>
      <c r="V8" s="10">
        <f>T8*U8</f>
        <v>378.83800000000002</v>
      </c>
      <c r="W8" s="6">
        <v>26</v>
      </c>
      <c r="X8" s="10">
        <f>Y8/W8</f>
        <v>74.230769230769226</v>
      </c>
      <c r="Y8" s="10">
        <v>1930</v>
      </c>
      <c r="Z8" s="10"/>
      <c r="AA8" s="10">
        <v>44380</v>
      </c>
      <c r="AB8" s="11">
        <f>AA8-V8</f>
        <v>44001.161999999997</v>
      </c>
      <c r="AC8" s="12">
        <v>46137</v>
      </c>
      <c r="AD8" s="13">
        <f>44066</f>
        <v>44066</v>
      </c>
      <c r="AE8" s="13"/>
      <c r="AF8" s="18">
        <f>AD8-AB8</f>
        <v>64.838000000003376</v>
      </c>
      <c r="AH8" s="15">
        <f>AF8+AB8</f>
        <v>44066</v>
      </c>
      <c r="AK8" s="16" t="s">
        <v>43</v>
      </c>
      <c r="AL8" s="17">
        <v>425393.99999999994</v>
      </c>
      <c r="AM8"/>
    </row>
    <row r="9" spans="1:39" ht="14.5" x14ac:dyDescent="0.35">
      <c r="A9" s="6">
        <v>4</v>
      </c>
      <c r="B9" s="7">
        <v>46137</v>
      </c>
      <c r="C9" s="1" t="s">
        <v>37</v>
      </c>
      <c r="D9" s="8" t="s">
        <v>38</v>
      </c>
      <c r="E9" s="9" t="s">
        <v>39</v>
      </c>
      <c r="F9" s="9" t="s">
        <v>40</v>
      </c>
      <c r="G9" s="1">
        <v>1004</v>
      </c>
      <c r="H9" s="1">
        <v>43.65</v>
      </c>
      <c r="I9" s="1">
        <v>171</v>
      </c>
      <c r="J9" s="1">
        <v>238</v>
      </c>
      <c r="K9" s="1">
        <v>8.8000000000000007</v>
      </c>
      <c r="L9" s="1">
        <v>11</v>
      </c>
      <c r="M9" s="1">
        <v>8</v>
      </c>
      <c r="N9" s="1">
        <v>30</v>
      </c>
      <c r="O9" s="1">
        <v>2</v>
      </c>
      <c r="P9" s="1">
        <v>20</v>
      </c>
      <c r="Q9" s="1">
        <v>685</v>
      </c>
      <c r="R9" s="1">
        <v>87146</v>
      </c>
      <c r="S9" s="1">
        <v>457</v>
      </c>
      <c r="T9" s="6">
        <v>458</v>
      </c>
      <c r="U9" s="10">
        <f>289/458</f>
        <v>0.63100436681222705</v>
      </c>
      <c r="V9" s="10">
        <f t="shared" ref="V9:V14" si="1">T9*U9</f>
        <v>289</v>
      </c>
      <c r="W9" s="6">
        <v>21</v>
      </c>
      <c r="X9" s="10">
        <f t="shared" ref="X9:X25" si="2">Y9/W9</f>
        <v>74.747619047619054</v>
      </c>
      <c r="Y9" s="10">
        <v>1569.7</v>
      </c>
      <c r="Z9" s="10"/>
      <c r="AA9" s="10">
        <v>33006</v>
      </c>
      <c r="AB9" s="11">
        <f>AA9-V9</f>
        <v>32717</v>
      </c>
      <c r="AC9" s="12">
        <v>46137</v>
      </c>
      <c r="AD9" s="13">
        <f>32913.9</f>
        <v>32913.9</v>
      </c>
      <c r="AE9" s="13"/>
      <c r="AF9" s="18">
        <f>AD9-AB9</f>
        <v>196.90000000000146</v>
      </c>
      <c r="AH9" s="15">
        <f>AF9+AB9</f>
        <v>32913.9</v>
      </c>
      <c r="AK9" s="16" t="s">
        <v>44</v>
      </c>
      <c r="AL9" s="17">
        <v>878238.90000000014</v>
      </c>
      <c r="AM9"/>
    </row>
    <row r="10" spans="1:39" ht="14.5" x14ac:dyDescent="0.35">
      <c r="A10" s="6">
        <v>5</v>
      </c>
      <c r="B10" s="7">
        <v>46137</v>
      </c>
      <c r="C10" s="1" t="s">
        <v>37</v>
      </c>
      <c r="D10" s="8" t="s">
        <v>38</v>
      </c>
      <c r="E10" s="9" t="s">
        <v>39</v>
      </c>
      <c r="F10" s="9" t="s">
        <v>40</v>
      </c>
      <c r="G10" s="1">
        <v>1002</v>
      </c>
      <c r="H10" s="1">
        <v>42.68</v>
      </c>
      <c r="I10" s="1">
        <v>176</v>
      </c>
      <c r="J10" s="1">
        <v>226</v>
      </c>
      <c r="K10" s="1">
        <v>10.5</v>
      </c>
      <c r="L10" s="1">
        <v>19</v>
      </c>
      <c r="M10" s="1">
        <v>13</v>
      </c>
      <c r="N10" s="1">
        <v>33</v>
      </c>
      <c r="O10" s="1">
        <v>2</v>
      </c>
      <c r="P10" s="1">
        <v>17</v>
      </c>
      <c r="Q10" s="1">
        <v>687</v>
      </c>
      <c r="R10" s="1">
        <v>87093</v>
      </c>
      <c r="S10" s="1">
        <v>528</v>
      </c>
      <c r="T10" s="6">
        <v>527</v>
      </c>
      <c r="U10" s="10">
        <f t="shared" ref="U10:U13" si="3">289/458</f>
        <v>0.63100436681222705</v>
      </c>
      <c r="V10" s="10">
        <f>T10*U10</f>
        <v>332.53930131004364</v>
      </c>
      <c r="W10" s="6">
        <v>23</v>
      </c>
      <c r="X10" s="10">
        <f t="shared" si="2"/>
        <v>76.847826086956516</v>
      </c>
      <c r="Y10" s="10">
        <f>1767.5</f>
        <v>1767.5</v>
      </c>
      <c r="Z10" s="10"/>
      <c r="AA10" s="10">
        <v>38919</v>
      </c>
      <c r="AB10" s="11">
        <f t="shared" ref="AB10:AB17" si="4">AA10-V10</f>
        <v>38586.46069868996</v>
      </c>
      <c r="AC10" s="12">
        <v>46140</v>
      </c>
      <c r="AD10" s="13">
        <v>38461.599999999999</v>
      </c>
      <c r="AE10" s="13"/>
      <c r="AF10" s="19">
        <f>AB10-AD10</f>
        <v>124.86069868996128</v>
      </c>
      <c r="AH10" s="15">
        <f>AF10+AD10</f>
        <v>38586.46069868996</v>
      </c>
      <c r="AK10" s="16" t="s">
        <v>38</v>
      </c>
      <c r="AL10" s="17">
        <v>595207.81269868999</v>
      </c>
      <c r="AM10"/>
    </row>
    <row r="11" spans="1:39" ht="14.5" x14ac:dyDescent="0.35">
      <c r="A11" s="6">
        <v>6</v>
      </c>
      <c r="B11" s="7">
        <v>46140</v>
      </c>
      <c r="C11" s="1" t="s">
        <v>37</v>
      </c>
      <c r="D11" s="8" t="s">
        <v>38</v>
      </c>
      <c r="E11" s="9" t="s">
        <v>39</v>
      </c>
      <c r="F11" s="9" t="s">
        <v>40</v>
      </c>
      <c r="G11" s="1">
        <v>1005</v>
      </c>
      <c r="H11" s="1">
        <v>42.59</v>
      </c>
      <c r="I11" s="1">
        <v>164</v>
      </c>
      <c r="J11" s="1">
        <v>227</v>
      </c>
      <c r="K11" s="1">
        <v>8.6999999999999993</v>
      </c>
      <c r="L11" s="1">
        <v>19</v>
      </c>
      <c r="M11" s="1">
        <v>10</v>
      </c>
      <c r="N11" s="1">
        <v>16</v>
      </c>
      <c r="O11" s="1">
        <v>5</v>
      </c>
      <c r="P11" s="1">
        <v>21</v>
      </c>
      <c r="Q11" s="1">
        <v>696</v>
      </c>
      <c r="R11" s="1">
        <v>37581</v>
      </c>
      <c r="S11" s="1">
        <v>603</v>
      </c>
      <c r="T11" s="6">
        <v>609</v>
      </c>
      <c r="U11" s="10">
        <f>439.1/609</f>
        <v>0.72101806239737276</v>
      </c>
      <c r="V11" s="10">
        <f>439.1</f>
        <v>439.1</v>
      </c>
      <c r="W11" s="6">
        <v>26</v>
      </c>
      <c r="X11" s="10">
        <f t="shared" si="2"/>
        <v>75.542307692307688</v>
      </c>
      <c r="Y11" s="10">
        <v>1964.1</v>
      </c>
      <c r="Z11" s="10"/>
      <c r="AA11" s="10">
        <v>44874</v>
      </c>
      <c r="AB11" s="11">
        <f t="shared" si="4"/>
        <v>44434.9</v>
      </c>
      <c r="AC11" s="12">
        <v>46140</v>
      </c>
      <c r="AD11" s="13">
        <f>44720</f>
        <v>44720</v>
      </c>
      <c r="AE11" s="13"/>
      <c r="AF11" s="18">
        <f>AD11-AB11</f>
        <v>285.09999999999854</v>
      </c>
      <c r="AG11" s="15"/>
      <c r="AH11" s="15">
        <f>AF11+AB11</f>
        <v>44720</v>
      </c>
      <c r="AK11" s="16" t="s">
        <v>45</v>
      </c>
      <c r="AL11" s="17">
        <v>272967.55000000005</v>
      </c>
      <c r="AM11"/>
    </row>
    <row r="12" spans="1:39" ht="14.5" x14ac:dyDescent="0.35">
      <c r="A12" s="6">
        <v>7</v>
      </c>
      <c r="B12" s="7">
        <v>46142</v>
      </c>
      <c r="C12" s="1" t="s">
        <v>37</v>
      </c>
      <c r="D12" s="8" t="s">
        <v>38</v>
      </c>
      <c r="E12" s="9" t="s">
        <v>39</v>
      </c>
      <c r="F12" s="9" t="s">
        <v>40</v>
      </c>
      <c r="G12" s="1">
        <v>1010</v>
      </c>
      <c r="H12" s="1">
        <v>42.68</v>
      </c>
      <c r="I12" s="1">
        <v>179</v>
      </c>
      <c r="J12" s="1">
        <v>232</v>
      </c>
      <c r="K12" s="1">
        <v>9.3000000000000007</v>
      </c>
      <c r="L12" s="1">
        <v>12</v>
      </c>
      <c r="M12" s="1">
        <v>8</v>
      </c>
      <c r="N12" s="1">
        <v>28</v>
      </c>
      <c r="O12" s="1">
        <v>0</v>
      </c>
      <c r="P12" s="1">
        <v>21</v>
      </c>
      <c r="Q12" s="1">
        <v>692</v>
      </c>
      <c r="R12" s="1">
        <v>35967</v>
      </c>
      <c r="S12" s="1">
        <v>564</v>
      </c>
      <c r="T12" s="6">
        <v>559</v>
      </c>
      <c r="U12" s="10">
        <f t="shared" si="3"/>
        <v>0.63100436681222705</v>
      </c>
      <c r="V12" s="10">
        <v>352.17</v>
      </c>
      <c r="W12" s="6">
        <v>20</v>
      </c>
      <c r="X12" s="10">
        <f t="shared" si="2"/>
        <v>70.424999999999997</v>
      </c>
      <c r="Y12" s="10">
        <f>1408.5</f>
        <v>1408.5</v>
      </c>
      <c r="Z12" s="10"/>
      <c r="AA12" s="10">
        <v>41366</v>
      </c>
      <c r="AB12" s="11">
        <f>AA12-V12</f>
        <v>41013.83</v>
      </c>
      <c r="AC12" s="12">
        <v>46142</v>
      </c>
      <c r="AD12" s="13">
        <f>42450.8-Y12-V12</f>
        <v>40690.130000000005</v>
      </c>
      <c r="AE12" s="13"/>
      <c r="AF12" s="19">
        <f>AB12-AD12</f>
        <v>323.69999999999709</v>
      </c>
      <c r="AG12" s="11"/>
      <c r="AH12" s="15">
        <f>AF12+AD12</f>
        <v>41013.83</v>
      </c>
      <c r="AK12" s="16" t="s">
        <v>46</v>
      </c>
      <c r="AL12" s="17">
        <v>1075633</v>
      </c>
      <c r="AM12"/>
    </row>
    <row r="13" spans="1:39" ht="14.5" x14ac:dyDescent="0.35">
      <c r="A13" s="6">
        <v>8</v>
      </c>
      <c r="B13" s="7">
        <v>46142</v>
      </c>
      <c r="C13" s="1" t="s">
        <v>37</v>
      </c>
      <c r="D13" s="8" t="s">
        <v>38</v>
      </c>
      <c r="E13" s="9" t="s">
        <v>39</v>
      </c>
      <c r="F13" s="9" t="s">
        <v>40</v>
      </c>
      <c r="G13" s="1">
        <v>1013</v>
      </c>
      <c r="H13" s="11">
        <v>43.38</v>
      </c>
      <c r="I13" s="1">
        <v>161</v>
      </c>
      <c r="J13" s="1">
        <v>232</v>
      </c>
      <c r="K13" s="1">
        <v>9.5</v>
      </c>
      <c r="L13" s="1">
        <v>10</v>
      </c>
      <c r="M13" s="1">
        <v>18</v>
      </c>
      <c r="N13" s="1">
        <v>28</v>
      </c>
      <c r="O13" s="1">
        <v>2</v>
      </c>
      <c r="P13" s="1">
        <v>18</v>
      </c>
      <c r="Q13" s="1">
        <v>687</v>
      </c>
      <c r="R13" s="1">
        <v>37582</v>
      </c>
      <c r="S13" s="1">
        <v>585</v>
      </c>
      <c r="T13" s="6">
        <v>618</v>
      </c>
      <c r="U13" s="10">
        <f t="shared" si="3"/>
        <v>0.63100436681222705</v>
      </c>
      <c r="V13" s="10">
        <v>401.7</v>
      </c>
      <c r="W13" s="6">
        <v>27</v>
      </c>
      <c r="X13" s="10">
        <f t="shared" si="2"/>
        <v>73.69</v>
      </c>
      <c r="Y13" s="10">
        <f>27*73.69</f>
        <v>1989.6299999999999</v>
      </c>
      <c r="Z13" s="10"/>
      <c r="AA13" s="10">
        <v>44038</v>
      </c>
      <c r="AB13" s="11">
        <f t="shared" si="4"/>
        <v>43636.3</v>
      </c>
      <c r="AC13" s="12">
        <v>46142</v>
      </c>
      <c r="AD13" s="13">
        <f>44024.5</f>
        <v>44024.5</v>
      </c>
      <c r="AE13" s="13"/>
      <c r="AF13" s="18">
        <f>AD13-AB13</f>
        <v>388.19999999999709</v>
      </c>
      <c r="AG13" s="5"/>
      <c r="AH13" s="10">
        <f>AF13+AB13</f>
        <v>44024.5</v>
      </c>
      <c r="AI13" s="20"/>
      <c r="AK13" s="16" t="s">
        <v>47</v>
      </c>
      <c r="AL13" s="17">
        <v>873962.9</v>
      </c>
      <c r="AM13"/>
    </row>
    <row r="14" spans="1:39" ht="14.5" x14ac:dyDescent="0.35">
      <c r="A14" s="6">
        <v>9</v>
      </c>
      <c r="B14" s="7">
        <v>46147</v>
      </c>
      <c r="C14" s="1" t="s">
        <v>37</v>
      </c>
      <c r="D14" s="8" t="s">
        <v>38</v>
      </c>
      <c r="E14" s="9" t="s">
        <v>39</v>
      </c>
      <c r="F14" s="9" t="s">
        <v>40</v>
      </c>
      <c r="G14" s="1">
        <v>1006</v>
      </c>
      <c r="H14" s="11">
        <v>43.03</v>
      </c>
      <c r="I14" s="1">
        <v>188</v>
      </c>
      <c r="J14" s="1">
        <v>227</v>
      </c>
      <c r="K14" s="1">
        <v>8.5</v>
      </c>
      <c r="L14" s="1">
        <v>17</v>
      </c>
      <c r="M14" s="1">
        <v>17</v>
      </c>
      <c r="N14" s="1">
        <v>28</v>
      </c>
      <c r="O14" s="1">
        <v>0</v>
      </c>
      <c r="P14" s="1">
        <v>21</v>
      </c>
      <c r="Q14" s="1">
        <v>684</v>
      </c>
      <c r="R14" s="1">
        <v>66919</v>
      </c>
      <c r="S14" s="1">
        <v>547</v>
      </c>
      <c r="T14" s="6">
        <v>547</v>
      </c>
      <c r="U14" s="10">
        <f>0.65</f>
        <v>0.65</v>
      </c>
      <c r="V14" s="10">
        <f t="shared" si="1"/>
        <v>355.55</v>
      </c>
      <c r="W14" s="6">
        <v>22</v>
      </c>
      <c r="X14" s="10">
        <f t="shared" si="2"/>
        <v>72.940909090909088</v>
      </c>
      <c r="Y14" s="10">
        <v>1604.7</v>
      </c>
      <c r="Z14" s="10"/>
      <c r="AA14" s="10">
        <v>40966</v>
      </c>
      <c r="AB14" s="11">
        <f t="shared" si="4"/>
        <v>40610.449999999997</v>
      </c>
      <c r="AC14" s="12">
        <v>46147</v>
      </c>
      <c r="AD14" s="13">
        <f>42570.3-1604.7-355.55</f>
        <v>40610.050000000003</v>
      </c>
      <c r="AE14" s="13"/>
      <c r="AF14" s="19">
        <f t="shared" ref="AF14:AF28" si="5">AB14-AD14</f>
        <v>0.39999999999417923</v>
      </c>
      <c r="AH14" s="10">
        <f>AF14+AD14</f>
        <v>40610.449999999997</v>
      </c>
      <c r="AI14" s="11"/>
      <c r="AK14" s="16" t="s">
        <v>48</v>
      </c>
      <c r="AL14" s="17">
        <v>2687555.6000000006</v>
      </c>
      <c r="AM14"/>
    </row>
    <row r="15" spans="1:39" ht="14.5" x14ac:dyDescent="0.35">
      <c r="A15" s="6">
        <v>10</v>
      </c>
      <c r="B15" s="7">
        <v>46147</v>
      </c>
      <c r="C15" s="1" t="s">
        <v>37</v>
      </c>
      <c r="D15" s="8" t="s">
        <v>38</v>
      </c>
      <c r="E15" s="9" t="s">
        <v>39</v>
      </c>
      <c r="F15" s="9" t="s">
        <v>40</v>
      </c>
      <c r="G15" s="1">
        <v>1007</v>
      </c>
      <c r="H15" s="11">
        <v>42.32</v>
      </c>
      <c r="I15" s="1">
        <v>199</v>
      </c>
      <c r="J15" s="1">
        <v>228</v>
      </c>
      <c r="K15" s="1">
        <v>9.6999999999999993</v>
      </c>
      <c r="L15" s="1">
        <v>12</v>
      </c>
      <c r="M15" s="1">
        <v>12</v>
      </c>
      <c r="N15" s="1">
        <v>46</v>
      </c>
      <c r="O15" s="1">
        <v>4</v>
      </c>
      <c r="P15" s="1">
        <v>26</v>
      </c>
      <c r="Q15" s="1">
        <v>667</v>
      </c>
      <c r="R15" s="1">
        <v>35051</v>
      </c>
      <c r="S15" s="1">
        <v>643</v>
      </c>
      <c r="T15" s="6">
        <v>644</v>
      </c>
      <c r="U15" s="10">
        <v>0.65</v>
      </c>
      <c r="V15" s="10">
        <f>T15*U15</f>
        <v>418.6</v>
      </c>
      <c r="W15" s="6">
        <v>28</v>
      </c>
      <c r="X15" s="10">
        <f t="shared" si="2"/>
        <v>75.421428571428578</v>
      </c>
      <c r="Y15" s="10">
        <f>2111.8</f>
        <v>2111.8000000000002</v>
      </c>
      <c r="Z15" s="10"/>
      <c r="AA15" s="10">
        <v>47959</v>
      </c>
      <c r="AB15" s="11">
        <f t="shared" si="4"/>
        <v>47540.4</v>
      </c>
      <c r="AC15" s="12">
        <v>46147</v>
      </c>
      <c r="AD15" s="13">
        <f>47464</f>
        <v>47464</v>
      </c>
      <c r="AE15" s="13"/>
      <c r="AF15" s="19">
        <f t="shared" si="5"/>
        <v>76.400000000001455</v>
      </c>
      <c r="AH15" s="10">
        <f>AF15+AD15</f>
        <v>47540.4</v>
      </c>
      <c r="AK15" s="16" t="s">
        <v>49</v>
      </c>
      <c r="AL15" s="17">
        <v>847581.45</v>
      </c>
      <c r="AM15"/>
    </row>
    <row r="16" spans="1:39" ht="14.5" x14ac:dyDescent="0.35">
      <c r="A16" s="6">
        <v>11</v>
      </c>
      <c r="B16" s="7">
        <v>46148</v>
      </c>
      <c r="C16" s="1" t="s">
        <v>37</v>
      </c>
      <c r="D16" s="8" t="s">
        <v>38</v>
      </c>
      <c r="E16" s="9" t="s">
        <v>39</v>
      </c>
      <c r="F16" s="9" t="s">
        <v>40</v>
      </c>
      <c r="G16" s="1">
        <v>1008</v>
      </c>
      <c r="H16" s="11">
        <v>43.21</v>
      </c>
      <c r="I16" s="1">
        <v>164</v>
      </c>
      <c r="J16" s="1">
        <v>230</v>
      </c>
      <c r="K16" s="1">
        <v>10.4</v>
      </c>
      <c r="L16" s="1">
        <v>12</v>
      </c>
      <c r="M16" s="1">
        <v>18</v>
      </c>
      <c r="N16" s="1">
        <v>20</v>
      </c>
      <c r="O16" s="1">
        <v>4</v>
      </c>
      <c r="P16" s="1">
        <v>36</v>
      </c>
      <c r="Q16" s="1">
        <v>675</v>
      </c>
      <c r="R16" s="1">
        <v>14643</v>
      </c>
      <c r="S16" s="1">
        <v>537</v>
      </c>
      <c r="T16" s="6">
        <v>537</v>
      </c>
      <c r="U16" s="10">
        <v>0.65</v>
      </c>
      <c r="V16" s="10">
        <f>T16*U16</f>
        <v>349.05</v>
      </c>
      <c r="W16" s="6">
        <v>22</v>
      </c>
      <c r="X16" s="10">
        <f t="shared" si="2"/>
        <v>71.640909090909091</v>
      </c>
      <c r="Y16" s="10">
        <v>1576.1</v>
      </c>
      <c r="Z16" s="10"/>
      <c r="AA16" s="10">
        <v>38952</v>
      </c>
      <c r="AB16" s="11">
        <f>AA16-V16</f>
        <v>38602.949999999997</v>
      </c>
      <c r="AC16" s="12">
        <v>46148</v>
      </c>
      <c r="AD16" s="13">
        <f>40137.1-Y16-V16</f>
        <v>38211.949999999997</v>
      </c>
      <c r="AE16" s="13"/>
      <c r="AF16" s="19">
        <f>AB16-AD16</f>
        <v>391</v>
      </c>
      <c r="AH16" s="10">
        <f t="shared" ref="AH16:AH18" si="6">AF16+AD16</f>
        <v>38602.949999999997</v>
      </c>
      <c r="AK16" s="16" t="s">
        <v>50</v>
      </c>
      <c r="AL16" s="17">
        <v>49307.45</v>
      </c>
      <c r="AM16"/>
    </row>
    <row r="17" spans="1:39" ht="14.5" x14ac:dyDescent="0.35">
      <c r="A17" s="6">
        <v>12</v>
      </c>
      <c r="B17" s="7">
        <v>46148</v>
      </c>
      <c r="C17" s="1" t="s">
        <v>37</v>
      </c>
      <c r="D17" s="8" t="s">
        <v>38</v>
      </c>
      <c r="E17" s="9" t="s">
        <v>39</v>
      </c>
      <c r="F17" s="9" t="s">
        <v>40</v>
      </c>
      <c r="G17" s="1">
        <v>1009</v>
      </c>
      <c r="H17" s="11">
        <v>42.32</v>
      </c>
      <c r="I17" s="1">
        <v>183</v>
      </c>
      <c r="J17" s="1">
        <v>227</v>
      </c>
      <c r="K17" s="1">
        <v>9.6</v>
      </c>
      <c r="L17" s="1">
        <v>10</v>
      </c>
      <c r="M17" s="1">
        <v>16</v>
      </c>
      <c r="N17" s="1">
        <v>49</v>
      </c>
      <c r="O17" s="1">
        <v>0</v>
      </c>
      <c r="P17" s="1">
        <v>17</v>
      </c>
      <c r="Q17" s="1">
        <v>675</v>
      </c>
      <c r="R17" s="1">
        <v>773</v>
      </c>
      <c r="S17" s="1">
        <v>572</v>
      </c>
      <c r="T17" s="6">
        <v>572</v>
      </c>
      <c r="U17" s="10">
        <v>0.65</v>
      </c>
      <c r="V17" s="10">
        <f t="shared" ref="V17" si="7">T17*U17</f>
        <v>371.8</v>
      </c>
      <c r="W17" s="6">
        <v>23</v>
      </c>
      <c r="X17" s="10">
        <f t="shared" si="2"/>
        <v>73.095652173913052</v>
      </c>
      <c r="Y17" s="10">
        <v>1681.2</v>
      </c>
      <c r="Z17" s="10"/>
      <c r="AA17" s="10">
        <v>42344</v>
      </c>
      <c r="AB17" s="11">
        <f t="shared" si="4"/>
        <v>41972.2</v>
      </c>
      <c r="AC17" s="12">
        <v>46148</v>
      </c>
      <c r="AD17" s="13">
        <f>41541</f>
        <v>41541</v>
      </c>
      <c r="AE17" s="13"/>
      <c r="AF17" s="19">
        <f>AB17-AD17</f>
        <v>431.19999999999709</v>
      </c>
      <c r="AH17" s="10">
        <f t="shared" si="6"/>
        <v>41972.2</v>
      </c>
      <c r="AK17" s="16" t="s">
        <v>51</v>
      </c>
      <c r="AL17" s="17">
        <v>8244996.612698691</v>
      </c>
      <c r="AM17"/>
    </row>
    <row r="18" spans="1:39" ht="14.5" x14ac:dyDescent="0.35">
      <c r="A18" s="6">
        <v>13</v>
      </c>
      <c r="B18" s="7">
        <v>46151</v>
      </c>
      <c r="C18" s="21" t="s">
        <v>37</v>
      </c>
      <c r="D18" s="8" t="s">
        <v>38</v>
      </c>
      <c r="E18" s="9" t="s">
        <v>39</v>
      </c>
      <c r="F18" s="9" t="s">
        <v>40</v>
      </c>
      <c r="G18" s="21">
        <v>1011</v>
      </c>
      <c r="H18" s="22">
        <v>42.5</v>
      </c>
      <c r="I18" s="21">
        <v>174</v>
      </c>
      <c r="J18" s="21">
        <v>225</v>
      </c>
      <c r="K18" s="21">
        <v>8.9</v>
      </c>
      <c r="L18" s="21">
        <v>14</v>
      </c>
      <c r="M18" s="21">
        <v>18</v>
      </c>
      <c r="N18" s="21">
        <v>41</v>
      </c>
      <c r="O18" s="21">
        <v>0</v>
      </c>
      <c r="P18" s="21">
        <v>13</v>
      </c>
      <c r="Q18" s="21">
        <v>684</v>
      </c>
      <c r="R18" s="21">
        <v>82154</v>
      </c>
      <c r="S18" s="21">
        <v>584</v>
      </c>
      <c r="T18" s="23">
        <v>585</v>
      </c>
      <c r="U18" s="24">
        <v>0.65</v>
      </c>
      <c r="V18" s="24">
        <f>0.65*T18</f>
        <v>380.25</v>
      </c>
      <c r="W18" s="23">
        <v>25</v>
      </c>
      <c r="X18" s="24">
        <f t="shared" si="2"/>
        <v>67.2</v>
      </c>
      <c r="Y18" s="24">
        <v>1680</v>
      </c>
      <c r="Z18" s="24"/>
      <c r="AA18" s="24">
        <f>44445</f>
        <v>44445</v>
      </c>
      <c r="AB18" s="22">
        <f>AA18-V18</f>
        <v>44064.75</v>
      </c>
      <c r="AC18" s="12">
        <v>46151</v>
      </c>
      <c r="AD18" s="13">
        <f>43454</f>
        <v>43454</v>
      </c>
      <c r="AE18" s="13"/>
      <c r="AF18" s="19">
        <f>AB18-AD18</f>
        <v>610.75</v>
      </c>
      <c r="AG18" s="25"/>
      <c r="AH18" s="10">
        <f t="shared" si="6"/>
        <v>44064.75</v>
      </c>
      <c r="AK18"/>
      <c r="AL18"/>
      <c r="AM18"/>
    </row>
    <row r="19" spans="1:39" ht="14.5" x14ac:dyDescent="0.35">
      <c r="A19" s="6">
        <v>14</v>
      </c>
      <c r="B19" s="7">
        <v>46153</v>
      </c>
      <c r="C19" s="1" t="s">
        <v>37</v>
      </c>
      <c r="D19" s="26" t="s">
        <v>50</v>
      </c>
      <c r="E19" s="9" t="s">
        <v>39</v>
      </c>
      <c r="F19" s="9" t="s">
        <v>52</v>
      </c>
      <c r="G19" s="1">
        <v>1012</v>
      </c>
      <c r="H19" s="11">
        <v>42.76</v>
      </c>
      <c r="I19" s="1">
        <v>176</v>
      </c>
      <c r="J19" s="1">
        <v>228</v>
      </c>
      <c r="K19" s="1">
        <v>8.9</v>
      </c>
      <c r="L19" s="1">
        <v>16</v>
      </c>
      <c r="M19" s="1">
        <v>13</v>
      </c>
      <c r="N19" s="1">
        <v>22</v>
      </c>
      <c r="O19" s="1">
        <v>2</v>
      </c>
      <c r="P19" s="1">
        <v>30</v>
      </c>
      <c r="Q19" s="1">
        <v>684</v>
      </c>
      <c r="R19" s="1">
        <v>82770</v>
      </c>
      <c r="S19" s="1">
        <v>667</v>
      </c>
      <c r="T19" s="6">
        <v>667</v>
      </c>
      <c r="U19" s="10">
        <v>0.65</v>
      </c>
      <c r="V19" s="10">
        <f>0.65*667</f>
        <v>433.55</v>
      </c>
      <c r="W19" s="6">
        <v>25</v>
      </c>
      <c r="X19" s="10">
        <f t="shared" si="2"/>
        <v>71.316000000000003</v>
      </c>
      <c r="Y19" s="10">
        <v>1782.9</v>
      </c>
      <c r="Z19" s="10"/>
      <c r="AA19" s="10">
        <f>49741</f>
        <v>49741</v>
      </c>
      <c r="AB19" s="11">
        <f>49741-V19</f>
        <v>49307.45</v>
      </c>
      <c r="AC19" s="12">
        <v>46153</v>
      </c>
      <c r="AD19" s="13">
        <f>49355</f>
        <v>49355</v>
      </c>
      <c r="AE19" s="13"/>
      <c r="AF19" s="19">
        <f>AD19-AB19</f>
        <v>47.55000000000291</v>
      </c>
      <c r="AH19" s="10">
        <f>AF19+AB19</f>
        <v>49355</v>
      </c>
      <c r="AK19"/>
      <c r="AL19"/>
      <c r="AM19"/>
    </row>
    <row r="20" spans="1:39" ht="14.5" x14ac:dyDescent="0.35">
      <c r="A20" s="6">
        <v>15</v>
      </c>
      <c r="B20" s="7">
        <v>46154</v>
      </c>
      <c r="C20" s="1" t="s">
        <v>37</v>
      </c>
      <c r="D20" s="27" t="s">
        <v>48</v>
      </c>
      <c r="E20" s="9" t="s">
        <v>39</v>
      </c>
      <c r="F20" s="9" t="s">
        <v>40</v>
      </c>
      <c r="G20" s="1">
        <v>1015</v>
      </c>
      <c r="H20" s="11">
        <v>43.47</v>
      </c>
      <c r="I20" s="1">
        <v>172</v>
      </c>
      <c r="J20" s="1">
        <v>230</v>
      </c>
      <c r="K20" s="1">
        <v>8.6999999999999993</v>
      </c>
      <c r="L20" s="1">
        <v>12</v>
      </c>
      <c r="M20" s="1">
        <v>21</v>
      </c>
      <c r="N20" s="1">
        <v>32</v>
      </c>
      <c r="O20" s="1">
        <v>4</v>
      </c>
      <c r="P20" s="1">
        <v>9</v>
      </c>
      <c r="Q20" s="1">
        <v>688</v>
      </c>
      <c r="R20" s="9" t="s">
        <v>48</v>
      </c>
      <c r="S20" s="1">
        <v>605</v>
      </c>
      <c r="T20" s="6">
        <v>605</v>
      </c>
      <c r="U20" s="10">
        <v>0.65</v>
      </c>
      <c r="V20" s="10">
        <f>U20*S20</f>
        <v>393.25</v>
      </c>
      <c r="W20" s="6">
        <v>25</v>
      </c>
      <c r="X20" s="10">
        <f t="shared" si="2"/>
        <v>72</v>
      </c>
      <c r="Y20" s="10">
        <v>1800</v>
      </c>
      <c r="Z20" s="10"/>
      <c r="AA20" s="10">
        <v>46136</v>
      </c>
      <c r="AB20" s="11">
        <f>46136-V20</f>
        <v>45742.75</v>
      </c>
      <c r="AC20" s="12">
        <v>46154</v>
      </c>
      <c r="AD20" s="13">
        <f>45333</f>
        <v>45333</v>
      </c>
      <c r="AE20" s="13"/>
      <c r="AF20" s="19">
        <f t="shared" ref="AF20:AF27" si="8">AB20-AD20</f>
        <v>409.75</v>
      </c>
      <c r="AH20" s="10">
        <f>AF20+AD20</f>
        <v>45742.75</v>
      </c>
      <c r="AK20"/>
      <c r="AL20"/>
      <c r="AM20"/>
    </row>
    <row r="21" spans="1:39" ht="14.5" x14ac:dyDescent="0.35">
      <c r="A21" s="6">
        <v>16</v>
      </c>
      <c r="B21" s="7">
        <v>46155</v>
      </c>
      <c r="C21" s="1" t="s">
        <v>37</v>
      </c>
      <c r="D21" s="27" t="s">
        <v>48</v>
      </c>
      <c r="E21" s="9" t="s">
        <v>39</v>
      </c>
      <c r="F21" s="9" t="s">
        <v>40</v>
      </c>
      <c r="G21" s="1">
        <v>1014</v>
      </c>
      <c r="H21" s="11">
        <v>42.15</v>
      </c>
      <c r="I21" s="1">
        <v>177</v>
      </c>
      <c r="J21" s="1">
        <v>223</v>
      </c>
      <c r="K21" s="1">
        <v>8.5</v>
      </c>
      <c r="L21" s="1">
        <v>11</v>
      </c>
      <c r="M21" s="1">
        <v>21</v>
      </c>
      <c r="N21" s="1">
        <v>40</v>
      </c>
      <c r="O21" s="1">
        <v>0</v>
      </c>
      <c r="P21" s="1">
        <v>30</v>
      </c>
      <c r="Q21" s="1">
        <v>671</v>
      </c>
      <c r="R21" s="9" t="s">
        <v>48</v>
      </c>
      <c r="S21" s="1">
        <v>575</v>
      </c>
      <c r="T21" s="6">
        <v>575</v>
      </c>
      <c r="U21" s="10">
        <v>0.65</v>
      </c>
      <c r="V21" s="10">
        <f t="shared" ref="V21" si="9">U21*S21</f>
        <v>373.75</v>
      </c>
      <c r="W21" s="6">
        <v>24</v>
      </c>
      <c r="X21" s="10">
        <f t="shared" si="2"/>
        <v>73.791666666666671</v>
      </c>
      <c r="Y21" s="10">
        <v>1771</v>
      </c>
      <c r="Z21" s="10"/>
      <c r="AA21" s="10">
        <v>43873</v>
      </c>
      <c r="AB21" s="11">
        <f>AA21-V21</f>
        <v>43499.25</v>
      </c>
      <c r="AC21" s="12">
        <v>46157</v>
      </c>
      <c r="AD21" s="13">
        <v>43110</v>
      </c>
      <c r="AE21" s="13"/>
      <c r="AF21" s="19">
        <f t="shared" si="8"/>
        <v>389.25</v>
      </c>
      <c r="AG21" s="15"/>
      <c r="AH21" s="10">
        <f t="shared" ref="AH21:AH29" si="10">AF21+AD21</f>
        <v>43499.25</v>
      </c>
      <c r="AK21"/>
      <c r="AL21"/>
      <c r="AM21"/>
    </row>
    <row r="22" spans="1:39" ht="14.5" x14ac:dyDescent="0.35">
      <c r="A22" s="6">
        <v>17</v>
      </c>
      <c r="B22" s="7">
        <v>46157</v>
      </c>
      <c r="C22" s="1" t="s">
        <v>37</v>
      </c>
      <c r="D22" s="27" t="s">
        <v>48</v>
      </c>
      <c r="E22" s="9" t="s">
        <v>39</v>
      </c>
      <c r="F22" s="9" t="s">
        <v>40</v>
      </c>
      <c r="G22" s="1">
        <v>1016</v>
      </c>
      <c r="H22" s="11">
        <v>43.47</v>
      </c>
      <c r="I22" s="1">
        <v>172</v>
      </c>
      <c r="J22" s="1">
        <v>230</v>
      </c>
      <c r="K22" s="1">
        <v>8.6999999999999993</v>
      </c>
      <c r="L22" s="1">
        <v>12</v>
      </c>
      <c r="M22" s="1">
        <v>21</v>
      </c>
      <c r="N22" s="1">
        <v>32</v>
      </c>
      <c r="O22" s="1">
        <v>4</v>
      </c>
      <c r="P22" s="1">
        <v>9</v>
      </c>
      <c r="Q22" s="1">
        <v>688</v>
      </c>
      <c r="R22" s="9" t="s">
        <v>48</v>
      </c>
      <c r="S22" s="1">
        <v>638</v>
      </c>
      <c r="T22" s="6">
        <v>638</v>
      </c>
      <c r="U22" s="10">
        <v>0.65</v>
      </c>
      <c r="V22" s="10">
        <f>U22*S22</f>
        <v>414.7</v>
      </c>
      <c r="W22" s="6">
        <v>27</v>
      </c>
      <c r="X22" s="10">
        <f t="shared" si="2"/>
        <v>73</v>
      </c>
      <c r="Y22" s="10">
        <v>1971</v>
      </c>
      <c r="Z22" s="10"/>
      <c r="AA22" s="10">
        <v>48908</v>
      </c>
      <c r="AB22" s="11">
        <f t="shared" ref="AB22:AB29" si="11">AA22-V22</f>
        <v>48493.3</v>
      </c>
      <c r="AC22" s="12">
        <v>46160</v>
      </c>
      <c r="AD22" s="13">
        <v>48024</v>
      </c>
      <c r="AE22" s="13"/>
      <c r="AF22" s="19">
        <f t="shared" si="8"/>
        <v>469.30000000000291</v>
      </c>
      <c r="AH22" s="10">
        <f t="shared" si="10"/>
        <v>48493.3</v>
      </c>
      <c r="AK22"/>
      <c r="AL22"/>
      <c r="AM22"/>
    </row>
    <row r="23" spans="1:39" x14ac:dyDescent="0.3">
      <c r="A23" s="6">
        <v>18</v>
      </c>
      <c r="B23" s="7">
        <v>46160</v>
      </c>
      <c r="C23" s="1" t="s">
        <v>37</v>
      </c>
      <c r="D23" s="8" t="s">
        <v>38</v>
      </c>
      <c r="E23" s="9" t="s">
        <v>39</v>
      </c>
      <c r="F23" s="9" t="s">
        <v>40</v>
      </c>
      <c r="G23" s="1">
        <v>1018</v>
      </c>
      <c r="H23" s="11">
        <v>43.47</v>
      </c>
      <c r="I23" s="1">
        <v>173</v>
      </c>
      <c r="J23" s="1">
        <v>233</v>
      </c>
      <c r="K23" s="1">
        <v>8.5</v>
      </c>
      <c r="L23" s="1">
        <v>16</v>
      </c>
      <c r="M23" s="1">
        <v>11</v>
      </c>
      <c r="N23" s="1">
        <v>35</v>
      </c>
      <c r="O23" s="1">
        <v>0</v>
      </c>
      <c r="P23" s="1">
        <v>22</v>
      </c>
      <c r="Q23" s="1">
        <v>678</v>
      </c>
      <c r="R23" s="1">
        <v>31510</v>
      </c>
      <c r="S23" s="1">
        <v>566</v>
      </c>
      <c r="T23" s="6">
        <v>566</v>
      </c>
      <c r="U23" s="10">
        <f>V23/T23</f>
        <v>0.65017667844522964</v>
      </c>
      <c r="V23" s="10">
        <v>368</v>
      </c>
      <c r="W23" s="6">
        <v>24</v>
      </c>
      <c r="X23" s="10">
        <f t="shared" si="2"/>
        <v>72</v>
      </c>
      <c r="Y23" s="10">
        <v>1728</v>
      </c>
      <c r="Z23" s="10"/>
      <c r="AA23" s="10">
        <v>42581</v>
      </c>
      <c r="AB23" s="11">
        <f t="shared" si="11"/>
        <v>42213</v>
      </c>
      <c r="AC23" s="12">
        <v>46162</v>
      </c>
      <c r="AD23" s="13">
        <v>41773</v>
      </c>
      <c r="AE23" s="13"/>
      <c r="AF23" s="19">
        <f t="shared" si="8"/>
        <v>440</v>
      </c>
      <c r="AH23" s="10">
        <f t="shared" si="10"/>
        <v>42213</v>
      </c>
    </row>
    <row r="24" spans="1:39" x14ac:dyDescent="0.3">
      <c r="A24" s="6">
        <v>19</v>
      </c>
      <c r="B24" s="7">
        <v>46161</v>
      </c>
      <c r="C24" s="1" t="s">
        <v>37</v>
      </c>
      <c r="D24" s="27" t="s">
        <v>48</v>
      </c>
      <c r="E24" s="9" t="s">
        <v>39</v>
      </c>
      <c r="F24" s="9" t="s">
        <v>40</v>
      </c>
      <c r="G24" s="1">
        <v>1019</v>
      </c>
      <c r="H24" s="11">
        <v>42.06</v>
      </c>
      <c r="I24" s="1">
        <v>172</v>
      </c>
      <c r="J24" s="1">
        <v>225</v>
      </c>
      <c r="K24" s="1">
        <v>8.5</v>
      </c>
      <c r="L24" s="1">
        <v>14</v>
      </c>
      <c r="M24" s="1">
        <v>13</v>
      </c>
      <c r="N24" s="1">
        <v>41</v>
      </c>
      <c r="O24" s="1">
        <v>0</v>
      </c>
      <c r="P24" s="1">
        <v>26</v>
      </c>
      <c r="Q24" s="1">
        <v>676</v>
      </c>
      <c r="R24" s="9" t="s">
        <v>48</v>
      </c>
      <c r="S24" s="1">
        <v>1322</v>
      </c>
      <c r="T24" s="6">
        <v>1323</v>
      </c>
      <c r="U24" s="10">
        <f>V24/T24</f>
        <v>0.6500377928949358</v>
      </c>
      <c r="V24" s="10">
        <v>860</v>
      </c>
      <c r="W24" s="6">
        <v>55</v>
      </c>
      <c r="X24" s="10">
        <f t="shared" si="2"/>
        <v>72.454545454545453</v>
      </c>
      <c r="Y24" s="10">
        <v>3985</v>
      </c>
      <c r="Z24" s="10"/>
      <c r="AA24" s="10">
        <v>99494</v>
      </c>
      <c r="AB24" s="11">
        <f t="shared" si="11"/>
        <v>98634</v>
      </c>
      <c r="AC24" s="12">
        <v>46164</v>
      </c>
      <c r="AD24" s="13">
        <f>97586</f>
        <v>97586</v>
      </c>
      <c r="AE24" s="13"/>
      <c r="AF24" s="19">
        <f t="shared" si="8"/>
        <v>1048</v>
      </c>
      <c r="AH24" s="10">
        <f t="shared" si="10"/>
        <v>98634</v>
      </c>
    </row>
    <row r="25" spans="1:39" x14ac:dyDescent="0.3">
      <c r="A25" s="6">
        <v>20</v>
      </c>
      <c r="B25" s="7">
        <v>46168</v>
      </c>
      <c r="C25" s="1" t="s">
        <v>37</v>
      </c>
      <c r="D25" s="27" t="s">
        <v>48</v>
      </c>
      <c r="E25" s="9" t="s">
        <v>39</v>
      </c>
      <c r="F25" s="9" t="s">
        <v>40</v>
      </c>
      <c r="G25" s="1">
        <v>1020</v>
      </c>
      <c r="H25" s="11">
        <v>42.76</v>
      </c>
      <c r="I25" s="1">
        <v>172</v>
      </c>
      <c r="J25" s="1">
        <v>230</v>
      </c>
      <c r="K25" s="1">
        <v>8.8000000000000007</v>
      </c>
      <c r="L25" s="1">
        <v>11</v>
      </c>
      <c r="M25" s="1">
        <v>14</v>
      </c>
      <c r="N25" s="1">
        <v>40</v>
      </c>
      <c r="O25" s="1">
        <v>0</v>
      </c>
      <c r="P25" s="1">
        <v>13</v>
      </c>
      <c r="Q25" s="1">
        <v>687</v>
      </c>
      <c r="R25" s="9" t="s">
        <v>48</v>
      </c>
      <c r="S25" s="1">
        <v>535</v>
      </c>
      <c r="T25" s="6">
        <v>535</v>
      </c>
      <c r="U25" s="10">
        <v>0.65</v>
      </c>
      <c r="V25" s="10">
        <f t="shared" ref="V25:V27" si="12">U25*S25</f>
        <v>347.75</v>
      </c>
      <c r="W25" s="6">
        <v>22</v>
      </c>
      <c r="X25" s="10">
        <f t="shared" si="2"/>
        <v>72.272727272727266</v>
      </c>
      <c r="Y25" s="10">
        <v>1590</v>
      </c>
      <c r="Z25" s="10"/>
      <c r="AA25" s="10">
        <v>39919</v>
      </c>
      <c r="AB25" s="11">
        <f t="shared" si="11"/>
        <v>39571.25</v>
      </c>
      <c r="AC25" s="12">
        <v>46168</v>
      </c>
      <c r="AD25" s="13">
        <f>39269</f>
        <v>39269</v>
      </c>
      <c r="AE25" s="13"/>
      <c r="AF25" s="19">
        <f t="shared" si="8"/>
        <v>302.25</v>
      </c>
      <c r="AH25" s="10">
        <f t="shared" si="10"/>
        <v>39571.25</v>
      </c>
    </row>
    <row r="26" spans="1:39" x14ac:dyDescent="0.3">
      <c r="A26" s="6">
        <v>21</v>
      </c>
      <c r="B26" s="7">
        <v>46170</v>
      </c>
      <c r="C26" s="1" t="s">
        <v>37</v>
      </c>
      <c r="D26" s="27" t="s">
        <v>48</v>
      </c>
      <c r="E26" s="9" t="s">
        <v>39</v>
      </c>
      <c r="F26" s="9" t="s">
        <v>40</v>
      </c>
      <c r="G26" s="1">
        <v>1022</v>
      </c>
      <c r="H26" s="11">
        <v>42.5</v>
      </c>
      <c r="I26" s="1">
        <v>175</v>
      </c>
      <c r="J26" s="1">
        <v>223</v>
      </c>
      <c r="K26" s="1">
        <v>8.6999999999999993</v>
      </c>
      <c r="L26" s="1">
        <v>17</v>
      </c>
      <c r="M26" s="1">
        <v>19</v>
      </c>
      <c r="N26" s="1">
        <v>36</v>
      </c>
      <c r="O26" s="1">
        <v>0</v>
      </c>
      <c r="P26" s="1">
        <v>41</v>
      </c>
      <c r="Q26" s="1">
        <v>659</v>
      </c>
      <c r="R26" s="9" t="s">
        <v>48</v>
      </c>
      <c r="S26" s="1">
        <v>414</v>
      </c>
      <c r="T26" s="6">
        <v>414</v>
      </c>
      <c r="U26" s="10">
        <f>0.65</f>
        <v>0.65</v>
      </c>
      <c r="V26" s="10">
        <f t="shared" si="12"/>
        <v>269.10000000000002</v>
      </c>
      <c r="W26" s="6">
        <v>19</v>
      </c>
      <c r="X26" s="10">
        <f>Y26/W26</f>
        <v>73.368421052631575</v>
      </c>
      <c r="Y26" s="10">
        <v>1394</v>
      </c>
      <c r="Z26" s="10"/>
      <c r="AA26" s="10">
        <v>30903</v>
      </c>
      <c r="AB26" s="11">
        <f t="shared" si="11"/>
        <v>30633.9</v>
      </c>
      <c r="AC26" s="12">
        <v>46170</v>
      </c>
      <c r="AD26" s="13">
        <v>30377</v>
      </c>
      <c r="AE26" s="13"/>
      <c r="AF26" s="19">
        <f t="shared" si="8"/>
        <v>256.90000000000146</v>
      </c>
      <c r="AH26" s="10">
        <f t="shared" si="10"/>
        <v>30633.9</v>
      </c>
    </row>
    <row r="27" spans="1:39" x14ac:dyDescent="0.3">
      <c r="A27" s="6">
        <v>22</v>
      </c>
      <c r="B27" s="7">
        <v>46170</v>
      </c>
      <c r="C27" s="1" t="s">
        <v>37</v>
      </c>
      <c r="D27" s="27" t="s">
        <v>48</v>
      </c>
      <c r="E27" s="9" t="s">
        <v>39</v>
      </c>
      <c r="F27" s="9" t="s">
        <v>40</v>
      </c>
      <c r="G27" s="1">
        <v>1021</v>
      </c>
      <c r="H27" s="11">
        <v>42.59</v>
      </c>
      <c r="I27" s="1">
        <v>171</v>
      </c>
      <c r="J27" s="1">
        <v>227</v>
      </c>
      <c r="K27" s="1">
        <v>8.8000000000000007</v>
      </c>
      <c r="L27" s="1">
        <v>19</v>
      </c>
      <c r="M27" s="1">
        <v>10</v>
      </c>
      <c r="N27" s="1">
        <v>30</v>
      </c>
      <c r="O27" s="1">
        <v>0</v>
      </c>
      <c r="P27" s="1">
        <v>36</v>
      </c>
      <c r="Q27" s="1">
        <v>670</v>
      </c>
      <c r="R27" s="9" t="s">
        <v>48</v>
      </c>
      <c r="S27" s="1">
        <v>998</v>
      </c>
      <c r="T27" s="6">
        <v>1001</v>
      </c>
      <c r="U27" s="10">
        <v>0.65</v>
      </c>
      <c r="V27" s="10">
        <f t="shared" si="12"/>
        <v>648.70000000000005</v>
      </c>
      <c r="W27" s="6">
        <v>40</v>
      </c>
      <c r="X27" s="10">
        <f>2902/40</f>
        <v>72.55</v>
      </c>
      <c r="Y27" s="10">
        <v>2902</v>
      </c>
      <c r="Z27" s="10"/>
      <c r="AA27" s="10">
        <v>74281</v>
      </c>
      <c r="AB27" s="11">
        <f t="shared" si="11"/>
        <v>73632.3</v>
      </c>
      <c r="AC27" s="12">
        <v>46170</v>
      </c>
      <c r="AD27" s="13">
        <f>73630</f>
        <v>73630</v>
      </c>
      <c r="AE27" s="13"/>
      <c r="AF27" s="19">
        <f t="shared" si="8"/>
        <v>2.3000000000029104</v>
      </c>
      <c r="AG27" s="13"/>
      <c r="AH27" s="10">
        <f t="shared" si="10"/>
        <v>73632.3</v>
      </c>
    </row>
    <row r="28" spans="1:39" x14ac:dyDescent="0.3">
      <c r="A28" s="6">
        <v>23</v>
      </c>
      <c r="B28" s="7">
        <v>46171</v>
      </c>
      <c r="C28" s="1" t="s">
        <v>37</v>
      </c>
      <c r="D28" s="27" t="s">
        <v>48</v>
      </c>
      <c r="E28" s="9" t="s">
        <v>39</v>
      </c>
      <c r="F28" s="9" t="s">
        <v>40</v>
      </c>
      <c r="G28" s="1">
        <v>1023</v>
      </c>
      <c r="H28" s="11">
        <v>42.41</v>
      </c>
      <c r="I28" s="1">
        <v>174</v>
      </c>
      <c r="J28" s="1">
        <v>226</v>
      </c>
      <c r="K28" s="1">
        <v>8.8000000000000007</v>
      </c>
      <c r="L28" s="1">
        <v>14</v>
      </c>
      <c r="M28" s="1">
        <v>15</v>
      </c>
      <c r="N28" s="1">
        <v>37</v>
      </c>
      <c r="O28" s="1">
        <v>0</v>
      </c>
      <c r="P28" s="1">
        <v>32</v>
      </c>
      <c r="Q28" s="1">
        <v>671</v>
      </c>
      <c r="R28" s="9" t="s">
        <v>48</v>
      </c>
      <c r="S28" s="1">
        <v>645</v>
      </c>
      <c r="T28" s="6">
        <v>649</v>
      </c>
      <c r="U28" s="10">
        <v>0.65</v>
      </c>
      <c r="V28" s="10">
        <f>U28*T28</f>
        <v>421.85</v>
      </c>
      <c r="W28" s="6">
        <v>27</v>
      </c>
      <c r="X28" s="10">
        <f>Y28/W28</f>
        <v>72.81481481481481</v>
      </c>
      <c r="Y28" s="10">
        <v>1966</v>
      </c>
      <c r="Z28" s="10"/>
      <c r="AA28" s="10">
        <v>47982</v>
      </c>
      <c r="AB28" s="11">
        <f t="shared" si="11"/>
        <v>47560.15</v>
      </c>
      <c r="AC28" s="12">
        <v>46171</v>
      </c>
      <c r="AD28" s="13">
        <v>47061.599999999999</v>
      </c>
      <c r="AE28" s="13"/>
      <c r="AF28" s="19">
        <f t="shared" si="5"/>
        <v>498.55000000000291</v>
      </c>
      <c r="AG28" s="13"/>
      <c r="AH28" s="10">
        <f t="shared" si="10"/>
        <v>47560.15</v>
      </c>
    </row>
    <row r="29" spans="1:39" x14ac:dyDescent="0.3">
      <c r="A29" s="6">
        <v>24</v>
      </c>
      <c r="B29" s="7">
        <v>46175</v>
      </c>
      <c r="C29" s="1" t="s">
        <v>37</v>
      </c>
      <c r="D29" s="27" t="s">
        <v>48</v>
      </c>
      <c r="E29" s="9" t="s">
        <v>39</v>
      </c>
      <c r="F29" s="9" t="s">
        <v>40</v>
      </c>
      <c r="G29" s="1">
        <v>1026</v>
      </c>
      <c r="H29" s="11">
        <v>42.53</v>
      </c>
      <c r="I29" s="1">
        <v>177</v>
      </c>
      <c r="J29" s="1">
        <v>217</v>
      </c>
      <c r="K29" s="1">
        <v>8.3000000000000007</v>
      </c>
      <c r="L29" s="1">
        <v>17</v>
      </c>
      <c r="M29" s="1">
        <v>20</v>
      </c>
      <c r="N29" s="1">
        <v>40</v>
      </c>
      <c r="O29" s="1">
        <v>2</v>
      </c>
      <c r="P29" s="1">
        <v>35</v>
      </c>
      <c r="Q29" s="1">
        <v>665</v>
      </c>
      <c r="R29" s="9" t="s">
        <v>48</v>
      </c>
      <c r="S29" s="1">
        <v>890</v>
      </c>
      <c r="T29" s="6">
        <v>890</v>
      </c>
      <c r="U29" s="10">
        <v>0.65</v>
      </c>
      <c r="V29" s="10">
        <f>T29*U29</f>
        <v>578.5</v>
      </c>
      <c r="W29" s="6">
        <v>37</v>
      </c>
      <c r="X29" s="10">
        <f>Y29/W29</f>
        <v>72.054054054054049</v>
      </c>
      <c r="Y29" s="10">
        <v>2666</v>
      </c>
      <c r="Z29" s="10"/>
      <c r="AA29" s="10">
        <v>66342</v>
      </c>
      <c r="AB29" s="11">
        <f t="shared" si="11"/>
        <v>65763.5</v>
      </c>
      <c r="AC29" s="12">
        <v>46175</v>
      </c>
      <c r="AD29" s="13">
        <v>65116</v>
      </c>
      <c r="AE29" s="13"/>
      <c r="AF29" s="19">
        <f>AB29-AD29</f>
        <v>647.5</v>
      </c>
      <c r="AG29" s="13"/>
      <c r="AH29" s="10">
        <f t="shared" si="10"/>
        <v>65763.5</v>
      </c>
    </row>
    <row r="30" spans="1:39" ht="36" x14ac:dyDescent="0.3">
      <c r="A30" s="28">
        <v>0</v>
      </c>
      <c r="B30" s="29">
        <v>46175</v>
      </c>
      <c r="C30" s="30" t="s">
        <v>37</v>
      </c>
      <c r="D30" s="31">
        <v>0</v>
      </c>
      <c r="E30" s="31"/>
      <c r="F30" s="31"/>
      <c r="G30" s="30">
        <v>1024</v>
      </c>
      <c r="H30" s="32">
        <v>41.09</v>
      </c>
      <c r="I30" s="30">
        <v>183</v>
      </c>
      <c r="J30" s="30">
        <v>220</v>
      </c>
      <c r="K30" s="30">
        <v>8.9</v>
      </c>
      <c r="L30" s="30">
        <v>12</v>
      </c>
      <c r="M30" s="30">
        <v>14</v>
      </c>
      <c r="N30" s="30">
        <v>49</v>
      </c>
      <c r="O30" s="30">
        <v>0</v>
      </c>
      <c r="P30" s="30">
        <v>17</v>
      </c>
      <c r="Q30" s="30">
        <v>682</v>
      </c>
      <c r="R30" s="31">
        <v>87036</v>
      </c>
      <c r="S30" s="30">
        <v>0</v>
      </c>
      <c r="T30" s="28">
        <v>0</v>
      </c>
      <c r="U30" s="33">
        <v>0.65</v>
      </c>
      <c r="V30" s="33">
        <f>T30*U30</f>
        <v>0</v>
      </c>
      <c r="W30" s="28">
        <v>31</v>
      </c>
      <c r="X30" s="33">
        <f>Y30/W30</f>
        <v>71.451612903225808</v>
      </c>
      <c r="Y30" s="33">
        <v>2215</v>
      </c>
      <c r="Z30" s="33"/>
      <c r="AA30" s="33">
        <v>0</v>
      </c>
      <c r="AB30" s="32">
        <v>0</v>
      </c>
      <c r="AC30" s="34">
        <v>46175</v>
      </c>
      <c r="AD30" s="35">
        <v>0</v>
      </c>
      <c r="AE30" s="35"/>
      <c r="AF30" s="36">
        <v>0</v>
      </c>
      <c r="AG30" s="37" t="s">
        <v>53</v>
      </c>
      <c r="AH30" s="10"/>
    </row>
    <row r="31" spans="1:39" x14ac:dyDescent="0.3">
      <c r="A31" s="6">
        <v>25</v>
      </c>
      <c r="B31" s="7">
        <v>46178</v>
      </c>
      <c r="C31" s="1" t="s">
        <v>37</v>
      </c>
      <c r="D31" s="38" t="s">
        <v>42</v>
      </c>
      <c r="E31" s="9" t="s">
        <v>54</v>
      </c>
      <c r="F31" s="9" t="s">
        <v>52</v>
      </c>
      <c r="G31" s="1">
        <v>1027</v>
      </c>
      <c r="H31" s="11">
        <v>44.09</v>
      </c>
      <c r="I31" s="1">
        <v>176</v>
      </c>
      <c r="J31" s="1">
        <v>232</v>
      </c>
      <c r="K31" s="1">
        <v>8.8000000000000007</v>
      </c>
      <c r="L31" s="1">
        <v>16</v>
      </c>
      <c r="M31" s="1">
        <v>20</v>
      </c>
      <c r="N31" s="1">
        <v>21</v>
      </c>
      <c r="O31" s="1">
        <v>0</v>
      </c>
      <c r="P31" s="1">
        <v>20</v>
      </c>
      <c r="Q31" s="1">
        <v>684</v>
      </c>
      <c r="R31" s="9" t="s">
        <v>54</v>
      </c>
      <c r="S31" s="1">
        <v>810</v>
      </c>
      <c r="T31" s="6">
        <v>805</v>
      </c>
      <c r="U31" s="10">
        <v>0.65</v>
      </c>
      <c r="V31" s="10">
        <v>526</v>
      </c>
      <c r="W31" s="6">
        <v>27</v>
      </c>
      <c r="X31" s="10">
        <f>Y31/W31</f>
        <v>70.111111111111114</v>
      </c>
      <c r="Y31" s="10">
        <v>1893</v>
      </c>
      <c r="Z31" s="10"/>
      <c r="AA31" s="10">
        <v>60031</v>
      </c>
      <c r="AB31" s="11">
        <f>AA31-V31</f>
        <v>59505</v>
      </c>
      <c r="AC31" s="12">
        <v>46178</v>
      </c>
      <c r="AD31" s="13">
        <v>58913.9</v>
      </c>
      <c r="AE31" s="13"/>
      <c r="AF31" s="19">
        <f t="shared" ref="AF31:AF36" si="13">AB31-AD31</f>
        <v>591.09999999999854</v>
      </c>
      <c r="AG31" s="13"/>
      <c r="AH31" s="10">
        <f t="shared" ref="AH31:AH94" si="14">AF31+AD31</f>
        <v>59505</v>
      </c>
    </row>
    <row r="32" spans="1:39" x14ac:dyDescent="0.3">
      <c r="A32" s="6">
        <v>26</v>
      </c>
      <c r="B32" s="7">
        <v>46179</v>
      </c>
      <c r="C32" s="1" t="s">
        <v>37</v>
      </c>
      <c r="D32" s="38" t="s">
        <v>42</v>
      </c>
      <c r="E32" s="9" t="s">
        <v>54</v>
      </c>
      <c r="F32" s="9" t="s">
        <v>52</v>
      </c>
      <c r="G32" s="1">
        <v>1028</v>
      </c>
      <c r="H32" s="11">
        <v>45.41</v>
      </c>
      <c r="I32" s="1">
        <v>187</v>
      </c>
      <c r="J32" s="1">
        <v>240</v>
      </c>
      <c r="K32" s="1">
        <v>7.6</v>
      </c>
      <c r="L32" s="1">
        <v>18</v>
      </c>
      <c r="M32" s="1">
        <v>17</v>
      </c>
      <c r="N32" s="1">
        <v>15</v>
      </c>
      <c r="O32" s="1">
        <v>3</v>
      </c>
      <c r="P32" s="1">
        <v>32</v>
      </c>
      <c r="Q32" s="1">
        <v>669</v>
      </c>
      <c r="R32" s="9" t="s">
        <v>54</v>
      </c>
      <c r="S32" s="1">
        <v>1201</v>
      </c>
      <c r="T32" s="6">
        <v>1201</v>
      </c>
      <c r="U32" s="10">
        <f>780/1201</f>
        <v>0.64945878434637805</v>
      </c>
      <c r="V32" s="10">
        <v>780</v>
      </c>
      <c r="W32" s="6">
        <v>40</v>
      </c>
      <c r="X32" s="10">
        <f>Y32/40</f>
        <v>69.275000000000006</v>
      </c>
      <c r="Y32" s="10">
        <v>2771</v>
      </c>
      <c r="Z32" s="10"/>
      <c r="AA32" s="10">
        <v>89375</v>
      </c>
      <c r="AB32" s="11">
        <f>AA32-V32</f>
        <v>88595</v>
      </c>
      <c r="AC32" s="12">
        <v>46179</v>
      </c>
      <c r="AD32" s="13">
        <v>88081</v>
      </c>
      <c r="AE32" s="13"/>
      <c r="AF32" s="19">
        <f t="shared" si="13"/>
        <v>514</v>
      </c>
      <c r="AG32" s="13"/>
      <c r="AH32" s="10">
        <f t="shared" si="14"/>
        <v>88595</v>
      </c>
    </row>
    <row r="33" spans="1:34" x14ac:dyDescent="0.3">
      <c r="A33" s="6">
        <v>27</v>
      </c>
      <c r="B33" s="7">
        <v>46179</v>
      </c>
      <c r="C33" s="1" t="s">
        <v>37</v>
      </c>
      <c r="D33" s="38" t="s">
        <v>42</v>
      </c>
      <c r="E33" s="9" t="s">
        <v>54</v>
      </c>
      <c r="F33" s="9" t="s">
        <v>52</v>
      </c>
      <c r="G33" s="1">
        <v>1029</v>
      </c>
      <c r="H33" s="11">
        <v>45.41</v>
      </c>
      <c r="I33" s="1">
        <v>187</v>
      </c>
      <c r="J33" s="1">
        <v>241</v>
      </c>
      <c r="K33" s="1">
        <v>8.8000000000000007</v>
      </c>
      <c r="L33" s="1">
        <v>13</v>
      </c>
      <c r="M33" s="1">
        <v>20</v>
      </c>
      <c r="N33" s="1">
        <v>23</v>
      </c>
      <c r="O33" s="1">
        <v>0</v>
      </c>
      <c r="P33" s="1">
        <v>11</v>
      </c>
      <c r="Q33" s="1">
        <v>685</v>
      </c>
      <c r="R33" s="9" t="s">
        <v>54</v>
      </c>
      <c r="S33" s="1">
        <v>746</v>
      </c>
      <c r="T33" s="6">
        <v>745</v>
      </c>
      <c r="U33" s="10">
        <f>V33/T33</f>
        <v>0.64966442953020132</v>
      </c>
      <c r="V33" s="10">
        <v>484</v>
      </c>
      <c r="W33" s="6">
        <v>25</v>
      </c>
      <c r="X33" s="10">
        <f>Y33/25</f>
        <v>72.64</v>
      </c>
      <c r="Y33" s="10">
        <v>1816</v>
      </c>
      <c r="Z33" s="10"/>
      <c r="AA33" s="10">
        <v>55159</v>
      </c>
      <c r="AB33" s="11">
        <f>AA33-V33</f>
        <v>54675</v>
      </c>
      <c r="AC33" s="12">
        <v>46179</v>
      </c>
      <c r="AD33" s="13">
        <v>54456</v>
      </c>
      <c r="AE33" s="13"/>
      <c r="AF33" s="19">
        <f t="shared" si="13"/>
        <v>219</v>
      </c>
      <c r="AG33" s="13"/>
      <c r="AH33" s="10">
        <f t="shared" si="14"/>
        <v>54675</v>
      </c>
    </row>
    <row r="34" spans="1:34" x14ac:dyDescent="0.3">
      <c r="A34" s="6">
        <v>28</v>
      </c>
      <c r="B34" s="7">
        <v>46180</v>
      </c>
      <c r="C34" s="1" t="s">
        <v>37</v>
      </c>
      <c r="D34" s="38" t="s">
        <v>42</v>
      </c>
      <c r="E34" s="9" t="s">
        <v>54</v>
      </c>
      <c r="F34" s="9" t="s">
        <v>52</v>
      </c>
      <c r="G34" s="1">
        <v>1030</v>
      </c>
      <c r="H34" s="11">
        <v>43.82</v>
      </c>
      <c r="I34" s="1">
        <v>184</v>
      </c>
      <c r="J34" s="1">
        <v>231</v>
      </c>
      <c r="K34" s="1">
        <v>91</v>
      </c>
      <c r="L34" s="1">
        <v>15</v>
      </c>
      <c r="M34" s="1">
        <v>20</v>
      </c>
      <c r="N34" s="1">
        <v>27</v>
      </c>
      <c r="O34" s="1">
        <v>0</v>
      </c>
      <c r="P34" s="1">
        <v>33</v>
      </c>
      <c r="Q34" s="1">
        <v>675</v>
      </c>
      <c r="R34" s="9" t="s">
        <v>54</v>
      </c>
      <c r="S34" s="1">
        <v>1230</v>
      </c>
      <c r="T34" s="6">
        <v>1234</v>
      </c>
      <c r="U34" s="10">
        <v>0.65</v>
      </c>
      <c r="V34" s="10">
        <v>800</v>
      </c>
      <c r="W34" s="6">
        <v>41</v>
      </c>
      <c r="X34" s="10">
        <f>Y34/W34</f>
        <v>70.487804878048777</v>
      </c>
      <c r="Y34" s="10">
        <v>2890</v>
      </c>
      <c r="Z34" s="10"/>
      <c r="AA34" s="10">
        <v>89158.5</v>
      </c>
      <c r="AB34" s="11">
        <v>88358.5</v>
      </c>
      <c r="AC34" s="12">
        <v>46180</v>
      </c>
      <c r="AD34" s="13">
        <v>87867.85</v>
      </c>
      <c r="AE34" s="13"/>
      <c r="AF34" s="19">
        <f t="shared" si="13"/>
        <v>490.64999999999418</v>
      </c>
      <c r="AG34" s="13"/>
      <c r="AH34" s="10">
        <f t="shared" si="14"/>
        <v>88358.5</v>
      </c>
    </row>
    <row r="35" spans="1:34" x14ac:dyDescent="0.3">
      <c r="A35" s="6">
        <v>29</v>
      </c>
      <c r="B35" s="7">
        <v>46182</v>
      </c>
      <c r="C35" s="1" t="s">
        <v>37</v>
      </c>
      <c r="D35" s="38" t="s">
        <v>42</v>
      </c>
      <c r="E35" s="9" t="s">
        <v>54</v>
      </c>
      <c r="F35" s="9" t="s">
        <v>52</v>
      </c>
      <c r="G35" s="1">
        <v>1031</v>
      </c>
      <c r="H35" s="11">
        <v>44.44</v>
      </c>
      <c r="I35" s="1">
        <v>188</v>
      </c>
      <c r="J35" s="1">
        <v>241</v>
      </c>
      <c r="K35" s="1">
        <v>8.5</v>
      </c>
      <c r="L35" s="1">
        <v>13</v>
      </c>
      <c r="M35" s="1">
        <v>9</v>
      </c>
      <c r="N35" s="1">
        <v>28</v>
      </c>
      <c r="O35" s="1">
        <v>2</v>
      </c>
      <c r="P35" s="1">
        <v>23</v>
      </c>
      <c r="Q35" s="1">
        <v>677</v>
      </c>
      <c r="R35" s="9" t="s">
        <v>54</v>
      </c>
      <c r="S35" s="1">
        <v>1318</v>
      </c>
      <c r="T35" s="6">
        <v>1318</v>
      </c>
      <c r="U35" s="10">
        <v>0.65</v>
      </c>
      <c r="V35" s="10">
        <f>T35*U35</f>
        <v>856.7</v>
      </c>
      <c r="W35" s="6">
        <v>44</v>
      </c>
      <c r="X35" s="10">
        <f>Y35/44</f>
        <v>71.61363636363636</v>
      </c>
      <c r="Y35" s="10">
        <v>3151</v>
      </c>
      <c r="Z35" s="10"/>
      <c r="AA35" s="10">
        <v>94315</v>
      </c>
      <c r="AB35" s="11">
        <f>AA35-V35</f>
        <v>93458.3</v>
      </c>
      <c r="AC35" s="12">
        <v>46182</v>
      </c>
      <c r="AD35" s="13">
        <v>92903</v>
      </c>
      <c r="AE35" s="13"/>
      <c r="AF35" s="19">
        <f t="shared" si="13"/>
        <v>555.30000000000291</v>
      </c>
      <c r="AG35" s="13"/>
      <c r="AH35" s="10">
        <f t="shared" si="14"/>
        <v>93458.3</v>
      </c>
    </row>
    <row r="36" spans="1:34" x14ac:dyDescent="0.3">
      <c r="A36" s="6">
        <v>30</v>
      </c>
      <c r="B36" s="7">
        <v>46182</v>
      </c>
      <c r="C36" s="1" t="s">
        <v>37</v>
      </c>
      <c r="D36" s="38" t="s">
        <v>42</v>
      </c>
      <c r="E36" s="9" t="s">
        <v>54</v>
      </c>
      <c r="F36" s="9" t="s">
        <v>52</v>
      </c>
      <c r="G36" s="1">
        <v>1032</v>
      </c>
      <c r="H36" s="11">
        <v>43.65</v>
      </c>
      <c r="I36" s="1">
        <v>184</v>
      </c>
      <c r="J36" s="1">
        <v>235</v>
      </c>
      <c r="K36" s="1">
        <v>8.1</v>
      </c>
      <c r="L36" s="1">
        <v>10</v>
      </c>
      <c r="M36" s="1">
        <v>15</v>
      </c>
      <c r="N36" s="1">
        <v>27</v>
      </c>
      <c r="O36" s="1">
        <v>0</v>
      </c>
      <c r="P36" s="1">
        <v>27</v>
      </c>
      <c r="Q36" s="1">
        <v>679</v>
      </c>
      <c r="R36" s="9" t="s">
        <v>54</v>
      </c>
      <c r="S36" s="1">
        <v>1104</v>
      </c>
      <c r="T36" s="6">
        <f>721+360</f>
        <v>1081</v>
      </c>
      <c r="U36" s="10">
        <v>0.65</v>
      </c>
      <c r="V36" s="10">
        <f>T36*U36</f>
        <v>702.65</v>
      </c>
      <c r="W36" s="6">
        <v>36</v>
      </c>
      <c r="X36" s="10">
        <f>Y36/W36</f>
        <v>71.472222222222229</v>
      </c>
      <c r="Y36" s="10">
        <v>2573</v>
      </c>
      <c r="Z36" s="10"/>
      <c r="AA36" s="10">
        <v>77198</v>
      </c>
      <c r="AB36" s="11">
        <f>AA36-V36</f>
        <v>76495.350000000006</v>
      </c>
      <c r="AC36" s="12">
        <v>46182</v>
      </c>
      <c r="AD36" s="10">
        <v>75770.100000000006</v>
      </c>
      <c r="AE36" s="13"/>
      <c r="AF36" s="19">
        <f t="shared" si="13"/>
        <v>725.25</v>
      </c>
      <c r="AG36" s="13"/>
      <c r="AH36" s="10">
        <f t="shared" si="14"/>
        <v>76495.350000000006</v>
      </c>
    </row>
    <row r="37" spans="1:34" x14ac:dyDescent="0.3">
      <c r="A37" s="6">
        <v>31</v>
      </c>
      <c r="B37" s="7">
        <v>46183</v>
      </c>
      <c r="C37" s="1" t="s">
        <v>37</v>
      </c>
      <c r="D37" s="38" t="s">
        <v>42</v>
      </c>
      <c r="E37" s="9" t="s">
        <v>54</v>
      </c>
      <c r="F37" s="9" t="s">
        <v>52</v>
      </c>
      <c r="G37" s="1">
        <v>1033</v>
      </c>
      <c r="H37" s="11">
        <v>45.06</v>
      </c>
      <c r="I37" s="1">
        <v>186</v>
      </c>
      <c r="J37" s="1">
        <v>238</v>
      </c>
      <c r="K37" s="1">
        <v>8.1</v>
      </c>
      <c r="L37" s="1">
        <v>20</v>
      </c>
      <c r="M37" s="1">
        <v>15</v>
      </c>
      <c r="N37" s="1">
        <v>18</v>
      </c>
      <c r="O37" s="1">
        <v>1</v>
      </c>
      <c r="P37" s="1">
        <v>28</v>
      </c>
      <c r="Q37" s="1">
        <v>675</v>
      </c>
      <c r="R37" s="9" t="s">
        <v>54</v>
      </c>
      <c r="S37" s="1">
        <v>1108</v>
      </c>
      <c r="T37" s="6">
        <v>1108</v>
      </c>
      <c r="U37" s="10">
        <v>0.65</v>
      </c>
      <c r="V37" s="10">
        <f>T37*0.65</f>
        <v>720.2</v>
      </c>
      <c r="W37" s="6">
        <v>37</v>
      </c>
      <c r="X37" s="10">
        <f>Y37/37</f>
        <v>72.264864864864876</v>
      </c>
      <c r="Y37" s="10">
        <v>2673.8</v>
      </c>
      <c r="Z37" s="10"/>
      <c r="AA37" s="10">
        <v>78781</v>
      </c>
      <c r="AB37" s="11">
        <f>AA37-V37</f>
        <v>78060.800000000003</v>
      </c>
      <c r="AC37" s="12">
        <v>46183</v>
      </c>
      <c r="AD37" s="10">
        <f>78060</f>
        <v>78060</v>
      </c>
      <c r="AE37" s="13"/>
      <c r="AF37" s="19"/>
      <c r="AG37" s="13" t="s">
        <v>55</v>
      </c>
      <c r="AH37" s="10">
        <f t="shared" si="14"/>
        <v>78060</v>
      </c>
    </row>
    <row r="38" spans="1:34" x14ac:dyDescent="0.3">
      <c r="A38" s="6">
        <v>32</v>
      </c>
      <c r="B38" s="7">
        <v>46184</v>
      </c>
      <c r="C38" s="1" t="s">
        <v>37</v>
      </c>
      <c r="D38" s="39" t="s">
        <v>49</v>
      </c>
      <c r="E38" s="9" t="s">
        <v>56</v>
      </c>
      <c r="F38" s="9" t="s">
        <v>52</v>
      </c>
      <c r="G38" s="1">
        <v>1034</v>
      </c>
      <c r="H38" s="11">
        <v>48.41</v>
      </c>
      <c r="I38" s="1">
        <v>185</v>
      </c>
      <c r="J38" s="1">
        <v>258</v>
      </c>
      <c r="K38" s="1">
        <v>7.4</v>
      </c>
      <c r="L38" s="1">
        <v>22</v>
      </c>
      <c r="M38" s="1">
        <v>11</v>
      </c>
      <c r="N38" s="1">
        <v>14</v>
      </c>
      <c r="O38" s="1">
        <v>0</v>
      </c>
      <c r="P38" s="1">
        <v>6</v>
      </c>
      <c r="Q38" s="1">
        <v>679</v>
      </c>
      <c r="R38" s="9" t="s">
        <v>56</v>
      </c>
      <c r="S38" s="1">
        <v>591</v>
      </c>
      <c r="T38" s="6">
        <v>591</v>
      </c>
      <c r="U38" s="10">
        <v>0.65</v>
      </c>
      <c r="V38" s="10">
        <f>T38*U38</f>
        <v>384.15000000000003</v>
      </c>
      <c r="W38" s="6">
        <v>24</v>
      </c>
      <c r="X38" s="10">
        <f>Y38/W38</f>
        <v>73.666666666666671</v>
      </c>
      <c r="Y38" s="10">
        <v>1768</v>
      </c>
      <c r="Z38" s="10"/>
      <c r="AA38" s="10">
        <v>43436</v>
      </c>
      <c r="AB38" s="11">
        <f>AA38-V38</f>
        <v>43051.85</v>
      </c>
      <c r="AC38" s="12">
        <v>46184</v>
      </c>
      <c r="AD38" s="10">
        <v>42945.65</v>
      </c>
      <c r="AE38" s="13"/>
      <c r="AF38" s="19">
        <f>AB38-AD38</f>
        <v>106.19999999999709</v>
      </c>
      <c r="AG38" s="13"/>
      <c r="AH38" s="10">
        <f t="shared" si="14"/>
        <v>43051.85</v>
      </c>
    </row>
    <row r="39" spans="1:34" x14ac:dyDescent="0.3">
      <c r="A39" s="6">
        <v>33</v>
      </c>
      <c r="B39" s="7">
        <v>46184</v>
      </c>
      <c r="C39" s="1" t="s">
        <v>37</v>
      </c>
      <c r="D39" s="39" t="s">
        <v>49</v>
      </c>
      <c r="E39" s="9" t="s">
        <v>56</v>
      </c>
      <c r="F39" s="9" t="s">
        <v>52</v>
      </c>
      <c r="G39" s="1">
        <v>1035</v>
      </c>
      <c r="H39" s="11">
        <v>45.06</v>
      </c>
      <c r="I39" s="1">
        <v>188</v>
      </c>
      <c r="J39" s="1">
        <v>240</v>
      </c>
      <c r="K39" s="1">
        <v>7.1</v>
      </c>
      <c r="L39" s="1">
        <v>23</v>
      </c>
      <c r="M39" s="1">
        <v>16</v>
      </c>
      <c r="N39" s="1">
        <v>21</v>
      </c>
      <c r="O39" s="1">
        <v>4</v>
      </c>
      <c r="P39" s="1">
        <v>15</v>
      </c>
      <c r="Q39" s="1">
        <v>665</v>
      </c>
      <c r="R39" s="9" t="s">
        <v>56</v>
      </c>
      <c r="S39" s="1">
        <v>867</v>
      </c>
      <c r="T39" s="6">
        <v>867</v>
      </c>
      <c r="U39" s="10">
        <f>0.65</f>
        <v>0.65</v>
      </c>
      <c r="V39" s="10">
        <f>U39*T39</f>
        <v>563.55000000000007</v>
      </c>
      <c r="W39" s="6">
        <v>36</v>
      </c>
      <c r="X39" s="10">
        <f>Y39/W39</f>
        <v>72.927777777777777</v>
      </c>
      <c r="Y39" s="10">
        <v>2625.4</v>
      </c>
      <c r="Z39" s="10"/>
      <c r="AA39" s="10">
        <v>61930</v>
      </c>
      <c r="AB39" s="11">
        <v>61366.55</v>
      </c>
      <c r="AC39" s="12">
        <v>46184</v>
      </c>
      <c r="AD39" s="10">
        <v>61179</v>
      </c>
      <c r="AE39" s="13"/>
      <c r="AF39" s="19">
        <f>AB39-AD39</f>
        <v>187.55000000000291</v>
      </c>
      <c r="AG39" s="13"/>
      <c r="AH39" s="10">
        <f t="shared" si="14"/>
        <v>61366.55</v>
      </c>
    </row>
    <row r="40" spans="1:34" x14ac:dyDescent="0.3">
      <c r="A40" s="6">
        <v>34</v>
      </c>
      <c r="B40" s="7">
        <v>46185</v>
      </c>
      <c r="C40" s="1" t="s">
        <v>37</v>
      </c>
      <c r="D40" s="39" t="s">
        <v>49</v>
      </c>
      <c r="E40" s="9" t="s">
        <v>56</v>
      </c>
      <c r="F40" s="9" t="s">
        <v>52</v>
      </c>
      <c r="G40" s="1">
        <v>1036</v>
      </c>
      <c r="H40" s="11">
        <v>44.88</v>
      </c>
      <c r="I40" s="1">
        <v>185</v>
      </c>
      <c r="J40" s="1">
        <v>236</v>
      </c>
      <c r="K40" s="1">
        <v>7.5</v>
      </c>
      <c r="L40" s="1">
        <v>18</v>
      </c>
      <c r="M40" s="1">
        <v>19</v>
      </c>
      <c r="N40" s="1">
        <v>27</v>
      </c>
      <c r="O40" s="1">
        <v>0</v>
      </c>
      <c r="P40" s="1">
        <v>16</v>
      </c>
      <c r="Q40" s="1">
        <v>671</v>
      </c>
      <c r="R40" s="9" t="s">
        <v>56</v>
      </c>
      <c r="S40" s="1">
        <v>884</v>
      </c>
      <c r="T40" s="6">
        <v>884</v>
      </c>
      <c r="U40" s="10">
        <v>0.65</v>
      </c>
      <c r="V40" s="10">
        <f>T40*U40</f>
        <v>574.6</v>
      </c>
      <c r="W40" s="6">
        <v>38</v>
      </c>
      <c r="X40" s="10">
        <f>Y40/38</f>
        <v>69.692105263157899</v>
      </c>
      <c r="Y40" s="10">
        <v>2648.3</v>
      </c>
      <c r="Z40" s="10"/>
      <c r="AA40" s="10">
        <v>65368</v>
      </c>
      <c r="AB40" s="11">
        <f t="shared" ref="AB40:AB103" si="15">AA40-V40</f>
        <v>64793.4</v>
      </c>
      <c r="AC40" s="12">
        <v>46185</v>
      </c>
      <c r="AD40" s="10">
        <f>64571.4</f>
        <v>64571.4</v>
      </c>
      <c r="AE40" s="13"/>
      <c r="AF40" s="19">
        <f>AB40-AD40</f>
        <v>222</v>
      </c>
      <c r="AG40" s="13"/>
      <c r="AH40" s="10">
        <f t="shared" si="14"/>
        <v>64793.4</v>
      </c>
    </row>
    <row r="41" spans="1:34" x14ac:dyDescent="0.3">
      <c r="A41" s="6">
        <v>35</v>
      </c>
      <c r="B41" s="7">
        <v>46186</v>
      </c>
      <c r="C41" s="1" t="s">
        <v>37</v>
      </c>
      <c r="D41" s="39" t="s">
        <v>49</v>
      </c>
      <c r="E41" s="9" t="s">
        <v>56</v>
      </c>
      <c r="F41" s="9" t="s">
        <v>52</v>
      </c>
      <c r="G41" s="1">
        <v>1037</v>
      </c>
      <c r="H41" s="11">
        <v>44.62</v>
      </c>
      <c r="I41" s="1">
        <v>184</v>
      </c>
      <c r="J41" s="1">
        <v>234</v>
      </c>
      <c r="K41" s="1">
        <v>7.3</v>
      </c>
      <c r="L41" s="1">
        <v>18</v>
      </c>
      <c r="M41" s="1">
        <v>20</v>
      </c>
      <c r="N41" s="1">
        <v>23</v>
      </c>
      <c r="O41" s="1">
        <v>0</v>
      </c>
      <c r="P41" s="1">
        <v>33</v>
      </c>
      <c r="Q41" s="1">
        <v>663</v>
      </c>
      <c r="R41" s="9" t="s">
        <v>56</v>
      </c>
      <c r="S41" s="1">
        <v>966</v>
      </c>
      <c r="T41" s="6">
        <v>966</v>
      </c>
      <c r="U41" s="10">
        <v>0.65</v>
      </c>
      <c r="V41" s="10">
        <f>T41*U41</f>
        <v>627.9</v>
      </c>
      <c r="W41" s="6"/>
      <c r="X41" s="10"/>
      <c r="Y41" s="10">
        <v>2853</v>
      </c>
      <c r="Z41" s="10"/>
      <c r="AA41" s="10">
        <v>70726</v>
      </c>
      <c r="AB41" s="11">
        <f t="shared" si="15"/>
        <v>70098.100000000006</v>
      </c>
      <c r="AC41" s="12">
        <v>46186</v>
      </c>
      <c r="AD41" s="10">
        <v>70098.100000000006</v>
      </c>
      <c r="AE41" s="13"/>
      <c r="AF41" s="19"/>
      <c r="AG41" s="13" t="s">
        <v>55</v>
      </c>
      <c r="AH41" s="10">
        <f t="shared" si="14"/>
        <v>70098.100000000006</v>
      </c>
    </row>
    <row r="42" spans="1:34" x14ac:dyDescent="0.3">
      <c r="A42" s="6">
        <v>36</v>
      </c>
      <c r="B42" s="7">
        <v>46188</v>
      </c>
      <c r="C42" s="1" t="s">
        <v>37</v>
      </c>
      <c r="D42" s="39" t="s">
        <v>49</v>
      </c>
      <c r="E42" s="9" t="s">
        <v>56</v>
      </c>
      <c r="F42" s="9" t="s">
        <v>52</v>
      </c>
      <c r="G42" s="1">
        <v>1038</v>
      </c>
      <c r="H42" s="11">
        <v>44</v>
      </c>
      <c r="I42" s="1">
        <v>186</v>
      </c>
      <c r="J42" s="1">
        <v>233</v>
      </c>
      <c r="K42" s="1">
        <v>7.6</v>
      </c>
      <c r="L42" s="1">
        <v>17</v>
      </c>
      <c r="M42" s="1">
        <v>16</v>
      </c>
      <c r="N42" s="1">
        <v>28</v>
      </c>
      <c r="O42" s="1">
        <v>2</v>
      </c>
      <c r="P42" s="1">
        <v>22</v>
      </c>
      <c r="Q42" s="1">
        <v>676</v>
      </c>
      <c r="R42" s="9" t="s">
        <v>56</v>
      </c>
      <c r="S42" s="1">
        <v>1325</v>
      </c>
      <c r="T42" s="6">
        <v>1325</v>
      </c>
      <c r="U42" s="10">
        <v>0.65</v>
      </c>
      <c r="V42" s="10">
        <f>T42*U42</f>
        <v>861.25</v>
      </c>
      <c r="W42" s="6"/>
      <c r="X42" s="10"/>
      <c r="Y42" s="10"/>
      <c r="Z42" s="10"/>
      <c r="AA42" s="10">
        <v>97807</v>
      </c>
      <c r="AB42" s="11">
        <f t="shared" si="15"/>
        <v>96945.75</v>
      </c>
      <c r="AC42" s="12">
        <v>46188</v>
      </c>
      <c r="AD42" s="10">
        <v>96945.75</v>
      </c>
      <c r="AE42" s="13"/>
      <c r="AF42" s="19"/>
      <c r="AG42" s="13"/>
      <c r="AH42" s="10">
        <f t="shared" si="14"/>
        <v>96945.75</v>
      </c>
    </row>
    <row r="43" spans="1:34" x14ac:dyDescent="0.3">
      <c r="A43" s="6">
        <v>37</v>
      </c>
      <c r="B43" s="7">
        <v>46189</v>
      </c>
      <c r="C43" s="1" t="s">
        <v>57</v>
      </c>
      <c r="D43" s="39" t="s">
        <v>49</v>
      </c>
      <c r="E43" s="9" t="s">
        <v>56</v>
      </c>
      <c r="F43" s="9" t="s">
        <v>52</v>
      </c>
      <c r="G43" s="1">
        <v>1039</v>
      </c>
      <c r="H43" s="11">
        <v>44.7</v>
      </c>
      <c r="I43" s="1">
        <v>186</v>
      </c>
      <c r="J43" s="1">
        <v>240</v>
      </c>
      <c r="K43" s="1">
        <v>7.1</v>
      </c>
      <c r="L43" s="1">
        <v>15</v>
      </c>
      <c r="M43" s="1">
        <v>12</v>
      </c>
      <c r="N43" s="1">
        <v>25</v>
      </c>
      <c r="O43" s="1">
        <v>3</v>
      </c>
      <c r="P43" s="1">
        <v>22</v>
      </c>
      <c r="Q43" s="1">
        <v>672</v>
      </c>
      <c r="R43" s="9" t="s">
        <v>56</v>
      </c>
      <c r="S43" s="1">
        <v>1428</v>
      </c>
      <c r="T43" s="6">
        <v>1428</v>
      </c>
      <c r="U43" s="10">
        <v>0.65</v>
      </c>
      <c r="V43" s="10">
        <f>T43*U43</f>
        <v>928.2</v>
      </c>
      <c r="W43" s="6">
        <v>60</v>
      </c>
      <c r="X43" s="10"/>
      <c r="Y43" s="10">
        <v>4281.8</v>
      </c>
      <c r="Z43" s="10"/>
      <c r="AA43" s="40">
        <v>101669</v>
      </c>
      <c r="AB43" s="11">
        <f t="shared" si="15"/>
        <v>100740.8</v>
      </c>
      <c r="AC43" s="12">
        <v>46189</v>
      </c>
      <c r="AD43" s="10">
        <f t="shared" ref="AD43:AD92" si="16">AB43</f>
        <v>100740.8</v>
      </c>
      <c r="AE43" s="13"/>
      <c r="AF43" s="19"/>
      <c r="AG43" s="13"/>
      <c r="AH43" s="10">
        <f t="shared" si="14"/>
        <v>100740.8</v>
      </c>
    </row>
    <row r="44" spans="1:34" x14ac:dyDescent="0.3">
      <c r="A44" s="6">
        <v>38</v>
      </c>
      <c r="B44" s="7">
        <v>46190</v>
      </c>
      <c r="C44" s="1" t="s">
        <v>57</v>
      </c>
      <c r="D44" s="39" t="s">
        <v>49</v>
      </c>
      <c r="E44" s="9" t="s">
        <v>56</v>
      </c>
      <c r="F44" s="9" t="s">
        <v>52</v>
      </c>
      <c r="G44" s="1">
        <v>1040</v>
      </c>
      <c r="H44" s="11">
        <v>44.07</v>
      </c>
      <c r="I44" s="1">
        <v>182</v>
      </c>
      <c r="J44" s="1">
        <v>234</v>
      </c>
      <c r="K44" s="1">
        <v>8.1999999999999993</v>
      </c>
      <c r="L44" s="1">
        <v>9</v>
      </c>
      <c r="M44" s="1">
        <v>14</v>
      </c>
      <c r="N44" s="1">
        <v>33</v>
      </c>
      <c r="O44" s="1">
        <v>5</v>
      </c>
      <c r="P44" s="1">
        <v>22</v>
      </c>
      <c r="Q44" s="1">
        <v>672</v>
      </c>
      <c r="R44" s="9" t="s">
        <v>56</v>
      </c>
      <c r="S44" s="1">
        <f>455+1030</f>
        <v>1485</v>
      </c>
      <c r="T44" s="6">
        <v>1485</v>
      </c>
      <c r="U44" s="10">
        <f>0.65</f>
        <v>0.65</v>
      </c>
      <c r="V44" s="10">
        <f>T44*U44</f>
        <v>965.25</v>
      </c>
      <c r="W44" s="6">
        <f>16+37</f>
        <v>53</v>
      </c>
      <c r="X44" s="10">
        <f>Y44/W44</f>
        <v>69.335849056603777</v>
      </c>
      <c r="Y44" s="10">
        <f>1179.8+2495</f>
        <v>3674.8</v>
      </c>
      <c r="Z44" s="10"/>
      <c r="AA44" s="41">
        <f>35047.8+77188</f>
        <v>112235.8</v>
      </c>
      <c r="AB44" s="11">
        <f t="shared" si="15"/>
        <v>111270.55</v>
      </c>
      <c r="AC44" s="12">
        <v>46190</v>
      </c>
      <c r="AD44" s="42">
        <f t="shared" si="16"/>
        <v>111270.55</v>
      </c>
      <c r="AE44" s="13"/>
      <c r="AF44" s="19"/>
      <c r="AG44" s="13" t="s">
        <v>58</v>
      </c>
      <c r="AH44" s="10">
        <f t="shared" si="14"/>
        <v>111270.55</v>
      </c>
    </row>
    <row r="45" spans="1:34" x14ac:dyDescent="0.3">
      <c r="A45" s="6">
        <v>39</v>
      </c>
      <c r="B45" s="7">
        <v>46191</v>
      </c>
      <c r="C45" s="1" t="s">
        <v>57</v>
      </c>
      <c r="D45" s="39" t="s">
        <v>49</v>
      </c>
      <c r="E45" s="9" t="s">
        <v>56</v>
      </c>
      <c r="F45" s="9" t="s">
        <v>52</v>
      </c>
      <c r="G45" s="1">
        <v>1041</v>
      </c>
      <c r="H45" s="11">
        <v>43.73</v>
      </c>
      <c r="I45" s="1">
        <v>187</v>
      </c>
      <c r="J45" s="1">
        <v>229</v>
      </c>
      <c r="K45" s="1">
        <v>8.1</v>
      </c>
      <c r="L45" s="1">
        <v>12</v>
      </c>
      <c r="M45" s="1">
        <v>15</v>
      </c>
      <c r="N45" s="1">
        <v>36</v>
      </c>
      <c r="O45" s="1">
        <v>5</v>
      </c>
      <c r="P45" s="1">
        <v>26</v>
      </c>
      <c r="Q45" s="1">
        <v>669</v>
      </c>
      <c r="R45" s="9" t="s">
        <v>56</v>
      </c>
      <c r="S45" s="1">
        <v>2039</v>
      </c>
      <c r="T45" s="6">
        <v>2039</v>
      </c>
      <c r="U45" s="10">
        <v>0.65</v>
      </c>
      <c r="V45" s="10">
        <f>U45*T45</f>
        <v>1325.3500000000001</v>
      </c>
      <c r="W45" s="6"/>
      <c r="X45" s="10"/>
      <c r="Y45" s="10"/>
      <c r="Z45" s="10"/>
      <c r="AA45" s="41">
        <v>155376</v>
      </c>
      <c r="AB45" s="11">
        <f t="shared" si="15"/>
        <v>154050.65</v>
      </c>
      <c r="AC45" s="12">
        <v>46191</v>
      </c>
      <c r="AD45" s="42">
        <f t="shared" si="16"/>
        <v>154050.65</v>
      </c>
      <c r="AE45" s="13"/>
      <c r="AF45" s="19"/>
      <c r="AG45" s="13" t="s">
        <v>58</v>
      </c>
      <c r="AH45" s="10">
        <f t="shared" si="14"/>
        <v>154050.65</v>
      </c>
    </row>
    <row r="46" spans="1:34" x14ac:dyDescent="0.3">
      <c r="A46" s="6">
        <v>40</v>
      </c>
      <c r="B46" s="7">
        <v>46192</v>
      </c>
      <c r="C46" s="1" t="s">
        <v>57</v>
      </c>
      <c r="D46" s="39" t="s">
        <v>49</v>
      </c>
      <c r="E46" s="9" t="s">
        <v>56</v>
      </c>
      <c r="F46" s="9" t="s">
        <v>52</v>
      </c>
      <c r="G46" s="1">
        <v>1042</v>
      </c>
      <c r="H46" s="11">
        <v>45.01</v>
      </c>
      <c r="I46" s="1">
        <v>188</v>
      </c>
      <c r="J46" s="1">
        <v>235</v>
      </c>
      <c r="K46" s="1">
        <v>7.4</v>
      </c>
      <c r="L46" s="1">
        <v>17</v>
      </c>
      <c r="M46" s="1">
        <v>13</v>
      </c>
      <c r="N46" s="1">
        <v>24</v>
      </c>
      <c r="O46" s="1">
        <v>0</v>
      </c>
      <c r="P46" s="1">
        <v>39</v>
      </c>
      <c r="Q46" s="1">
        <v>665</v>
      </c>
      <c r="R46" s="9" t="s">
        <v>56</v>
      </c>
      <c r="S46" s="1">
        <v>719</v>
      </c>
      <c r="T46" s="6">
        <v>719</v>
      </c>
      <c r="U46" s="10">
        <v>0.65</v>
      </c>
      <c r="V46" s="10">
        <f>U46*T46</f>
        <v>467.35</v>
      </c>
      <c r="W46" s="6">
        <v>25</v>
      </c>
      <c r="X46" s="10">
        <f>Y46/W46</f>
        <v>73.536000000000001</v>
      </c>
      <c r="Y46" s="10">
        <f>890+457.2+491.2</f>
        <v>1838.4</v>
      </c>
      <c r="Z46" s="10"/>
      <c r="AA46" s="10">
        <v>51687.6</v>
      </c>
      <c r="AB46" s="11">
        <f t="shared" si="15"/>
        <v>51220.25</v>
      </c>
      <c r="AC46" s="12">
        <v>46192</v>
      </c>
      <c r="AD46" s="10">
        <f t="shared" si="16"/>
        <v>51220.25</v>
      </c>
      <c r="AE46" s="13"/>
      <c r="AF46" s="19"/>
      <c r="AG46" s="13"/>
      <c r="AH46" s="10">
        <f t="shared" si="14"/>
        <v>51220.25</v>
      </c>
    </row>
    <row r="47" spans="1:34" x14ac:dyDescent="0.3">
      <c r="A47" s="6">
        <v>41</v>
      </c>
      <c r="B47" s="7">
        <v>46195</v>
      </c>
      <c r="C47" s="1" t="s">
        <v>57</v>
      </c>
      <c r="D47" s="39" t="s">
        <v>49</v>
      </c>
      <c r="E47" s="9" t="s">
        <v>56</v>
      </c>
      <c r="F47" s="9" t="s">
        <v>52</v>
      </c>
      <c r="G47" s="1">
        <v>1043</v>
      </c>
      <c r="H47" s="11">
        <v>44.62</v>
      </c>
      <c r="I47" s="1">
        <v>193</v>
      </c>
      <c r="J47" s="1">
        <v>231</v>
      </c>
      <c r="K47" s="1">
        <v>7.4</v>
      </c>
      <c r="L47" s="1">
        <v>17</v>
      </c>
      <c r="M47" s="1">
        <v>22</v>
      </c>
      <c r="N47" s="1">
        <v>25</v>
      </c>
      <c r="O47" s="1">
        <v>2</v>
      </c>
      <c r="P47" s="1">
        <v>27</v>
      </c>
      <c r="Q47" s="1">
        <v>666</v>
      </c>
      <c r="R47" s="9" t="s">
        <v>56</v>
      </c>
      <c r="S47" s="1">
        <v>1309</v>
      </c>
      <c r="T47" s="6">
        <v>1309</v>
      </c>
      <c r="U47" s="10">
        <v>0.65</v>
      </c>
      <c r="V47" s="10">
        <f>T47*U47</f>
        <v>850.85</v>
      </c>
      <c r="W47" s="6">
        <f>25+19</f>
        <v>44</v>
      </c>
      <c r="X47" s="10">
        <f>3221.6/44</f>
        <v>73.218181818181819</v>
      </c>
      <c r="Y47" s="10">
        <v>3221.6</v>
      </c>
      <c r="Z47" s="10"/>
      <c r="AA47" s="40">
        <v>94894.399999999994</v>
      </c>
      <c r="AB47" s="11">
        <f t="shared" si="15"/>
        <v>94043.549999999988</v>
      </c>
      <c r="AC47" s="12">
        <v>46195</v>
      </c>
      <c r="AD47" s="10">
        <f t="shared" si="16"/>
        <v>94043.549999999988</v>
      </c>
      <c r="AE47" s="13"/>
      <c r="AF47" s="19"/>
      <c r="AG47" s="13"/>
      <c r="AH47" s="10">
        <f t="shared" si="14"/>
        <v>94043.549999999988</v>
      </c>
    </row>
    <row r="48" spans="1:34" x14ac:dyDescent="0.3">
      <c r="A48" s="6">
        <v>42</v>
      </c>
      <c r="B48" s="7">
        <v>46196</v>
      </c>
      <c r="C48" s="1" t="s">
        <v>57</v>
      </c>
      <c r="D48" s="39" t="s">
        <v>46</v>
      </c>
      <c r="E48" s="9" t="s">
        <v>59</v>
      </c>
      <c r="F48" s="9" t="s">
        <v>40</v>
      </c>
      <c r="G48" s="1">
        <v>1044</v>
      </c>
      <c r="H48" s="11">
        <v>47.57</v>
      </c>
      <c r="I48" s="1">
        <v>186</v>
      </c>
      <c r="J48" s="1">
        <v>260</v>
      </c>
      <c r="K48" s="1">
        <v>7.8</v>
      </c>
      <c r="L48" s="1">
        <v>8</v>
      </c>
      <c r="M48" s="1">
        <v>10</v>
      </c>
      <c r="N48" s="1">
        <v>28</v>
      </c>
      <c r="O48" s="1">
        <v>0</v>
      </c>
      <c r="P48" s="1">
        <v>14</v>
      </c>
      <c r="Q48" s="1">
        <v>667</v>
      </c>
      <c r="R48" s="9" t="s">
        <v>59</v>
      </c>
      <c r="S48" s="1">
        <v>1440</v>
      </c>
      <c r="T48" s="6">
        <v>1440</v>
      </c>
      <c r="U48" s="10">
        <f>0.65</f>
        <v>0.65</v>
      </c>
      <c r="V48" s="10">
        <f>T48*U48</f>
        <v>936</v>
      </c>
      <c r="W48" s="6">
        <v>48</v>
      </c>
      <c r="X48" s="10">
        <f>Y48/W48</f>
        <v>74.875</v>
      </c>
      <c r="Y48" s="10">
        <v>3594</v>
      </c>
      <c r="Z48" s="10"/>
      <c r="AA48" s="41">
        <f>109098</f>
        <v>109098</v>
      </c>
      <c r="AB48" s="11">
        <f t="shared" si="15"/>
        <v>108162</v>
      </c>
      <c r="AC48" s="12">
        <v>46196</v>
      </c>
      <c r="AD48" s="10">
        <f t="shared" si="16"/>
        <v>108162</v>
      </c>
      <c r="AE48" s="13"/>
      <c r="AF48" s="19"/>
      <c r="AG48" s="13" t="s">
        <v>58</v>
      </c>
      <c r="AH48" s="10">
        <f t="shared" si="14"/>
        <v>108162</v>
      </c>
    </row>
    <row r="49" spans="1:34" x14ac:dyDescent="0.3">
      <c r="A49" s="6">
        <v>43</v>
      </c>
      <c r="B49" s="7">
        <v>46198</v>
      </c>
      <c r="C49" s="1" t="s">
        <v>57</v>
      </c>
      <c r="D49" s="39" t="s">
        <v>46</v>
      </c>
      <c r="E49" s="9" t="s">
        <v>59</v>
      </c>
      <c r="F49" s="9" t="s">
        <v>40</v>
      </c>
      <c r="G49" s="1">
        <v>1045</v>
      </c>
      <c r="H49" s="11">
        <v>46.47</v>
      </c>
      <c r="I49" s="1">
        <v>184</v>
      </c>
      <c r="J49" s="1">
        <v>253</v>
      </c>
      <c r="K49" s="1">
        <v>8.1</v>
      </c>
      <c r="L49" s="1">
        <v>13</v>
      </c>
      <c r="M49" s="1">
        <v>9</v>
      </c>
      <c r="N49" s="1">
        <v>18</v>
      </c>
      <c r="O49" s="1">
        <v>0</v>
      </c>
      <c r="P49" s="1">
        <v>31</v>
      </c>
      <c r="Q49" s="1">
        <v>666</v>
      </c>
      <c r="R49" s="9" t="s">
        <v>59</v>
      </c>
      <c r="S49" s="1">
        <v>1321</v>
      </c>
      <c r="T49" s="6">
        <v>1321</v>
      </c>
      <c r="U49" s="10">
        <v>0.65</v>
      </c>
      <c r="V49" s="10">
        <f>U49*T49</f>
        <v>858.65</v>
      </c>
      <c r="W49" s="6">
        <v>44</v>
      </c>
      <c r="X49" s="10">
        <f>Y49/W49</f>
        <v>73.931818181818187</v>
      </c>
      <c r="Y49" s="10">
        <v>3253</v>
      </c>
      <c r="Z49" s="10"/>
      <c r="AA49" s="41">
        <f>102851-Y49</f>
        <v>99598</v>
      </c>
      <c r="AB49" s="11">
        <f t="shared" si="15"/>
        <v>98739.35</v>
      </c>
      <c r="AC49" s="12">
        <v>46199</v>
      </c>
      <c r="AD49" s="10">
        <f t="shared" si="16"/>
        <v>98739.35</v>
      </c>
      <c r="AE49" s="13"/>
      <c r="AF49" s="19"/>
      <c r="AG49" s="13" t="s">
        <v>58</v>
      </c>
      <c r="AH49" s="10">
        <f t="shared" si="14"/>
        <v>98739.35</v>
      </c>
    </row>
    <row r="50" spans="1:34" x14ac:dyDescent="0.3">
      <c r="A50" s="6">
        <v>44</v>
      </c>
      <c r="B50" s="7">
        <v>46199</v>
      </c>
      <c r="C50" s="1" t="s">
        <v>57</v>
      </c>
      <c r="D50" s="39" t="s">
        <v>46</v>
      </c>
      <c r="E50" s="9" t="s">
        <v>59</v>
      </c>
      <c r="F50" s="9" t="s">
        <v>40</v>
      </c>
      <c r="G50" s="1">
        <v>1046</v>
      </c>
      <c r="H50" s="11">
        <v>45.71</v>
      </c>
      <c r="I50" s="1">
        <v>190</v>
      </c>
      <c r="J50" s="1">
        <v>239</v>
      </c>
      <c r="K50" s="1">
        <v>8.5</v>
      </c>
      <c r="L50" s="1">
        <v>20</v>
      </c>
      <c r="M50" s="1">
        <v>20</v>
      </c>
      <c r="N50" s="1">
        <v>18</v>
      </c>
      <c r="O50" s="1">
        <v>3</v>
      </c>
      <c r="P50" s="1">
        <v>22</v>
      </c>
      <c r="Q50" s="1">
        <v>673</v>
      </c>
      <c r="R50" s="9" t="s">
        <v>59</v>
      </c>
      <c r="S50" s="1">
        <v>1500</v>
      </c>
      <c r="T50" s="6">
        <v>1500</v>
      </c>
      <c r="U50" s="10">
        <v>0.65</v>
      </c>
      <c r="V50" s="10">
        <f>U50*T50</f>
        <v>975</v>
      </c>
      <c r="W50" s="6">
        <f>50</f>
        <v>50</v>
      </c>
      <c r="X50" s="10">
        <f>Y50/50</f>
        <v>72.013999999999996</v>
      </c>
      <c r="Y50" s="10">
        <f>3600.7</f>
        <v>3600.7</v>
      </c>
      <c r="Z50" s="10"/>
      <c r="AA50" s="41">
        <v>116651.4</v>
      </c>
      <c r="AB50" s="11">
        <f t="shared" si="15"/>
        <v>115676.4</v>
      </c>
      <c r="AC50" s="12">
        <v>46200</v>
      </c>
      <c r="AD50" s="10">
        <f t="shared" si="16"/>
        <v>115676.4</v>
      </c>
      <c r="AE50" s="13"/>
      <c r="AF50" s="19"/>
      <c r="AG50" s="13" t="s">
        <v>58</v>
      </c>
      <c r="AH50" s="10">
        <f t="shared" si="14"/>
        <v>115676.4</v>
      </c>
    </row>
    <row r="51" spans="1:34" x14ac:dyDescent="0.3">
      <c r="A51" s="6">
        <v>45</v>
      </c>
      <c r="B51" s="7">
        <v>46200</v>
      </c>
      <c r="C51" s="1" t="s">
        <v>57</v>
      </c>
      <c r="D51" s="39" t="s">
        <v>46</v>
      </c>
      <c r="E51" s="9" t="s">
        <v>59</v>
      </c>
      <c r="F51" s="9" t="s">
        <v>40</v>
      </c>
      <c r="G51" s="1">
        <v>1047</v>
      </c>
      <c r="H51" s="11">
        <v>45.81</v>
      </c>
      <c r="I51" s="1">
        <v>196</v>
      </c>
      <c r="J51" s="1">
        <v>240</v>
      </c>
      <c r="K51" s="1">
        <v>8</v>
      </c>
      <c r="L51" s="1">
        <v>21</v>
      </c>
      <c r="M51" s="1">
        <v>16</v>
      </c>
      <c r="N51" s="1">
        <v>24</v>
      </c>
      <c r="O51" s="1">
        <v>0</v>
      </c>
      <c r="P51" s="1">
        <v>24</v>
      </c>
      <c r="Q51" s="1">
        <v>663</v>
      </c>
      <c r="R51" s="9" t="s">
        <v>59</v>
      </c>
      <c r="S51" s="1">
        <v>1502</v>
      </c>
      <c r="T51" s="6">
        <v>1502</v>
      </c>
      <c r="U51" s="10">
        <v>0.65</v>
      </c>
      <c r="V51" s="10">
        <f>T51*U51</f>
        <v>976.30000000000007</v>
      </c>
      <c r="W51" s="6">
        <v>50</v>
      </c>
      <c r="X51" s="10">
        <f>Y51/50</f>
        <v>70.828000000000003</v>
      </c>
      <c r="Y51" s="10">
        <v>3541.4</v>
      </c>
      <c r="Z51" s="10"/>
      <c r="AA51" s="41">
        <v>110815.8</v>
      </c>
      <c r="AB51" s="11">
        <f t="shared" si="15"/>
        <v>109839.5</v>
      </c>
      <c r="AC51" s="12">
        <v>46200</v>
      </c>
      <c r="AD51" s="10">
        <f t="shared" si="16"/>
        <v>109839.5</v>
      </c>
      <c r="AE51" s="13"/>
      <c r="AF51" s="19"/>
      <c r="AG51" s="13" t="s">
        <v>58</v>
      </c>
      <c r="AH51" s="10">
        <f t="shared" si="14"/>
        <v>109839.5</v>
      </c>
    </row>
    <row r="52" spans="1:34" x14ac:dyDescent="0.3">
      <c r="A52" s="6">
        <v>46</v>
      </c>
      <c r="B52" s="7">
        <v>46201</v>
      </c>
      <c r="C52" s="1" t="s">
        <v>57</v>
      </c>
      <c r="D52" s="39" t="s">
        <v>46</v>
      </c>
      <c r="E52" s="9" t="s">
        <v>59</v>
      </c>
      <c r="F52" s="9" t="s">
        <v>40</v>
      </c>
      <c r="G52" s="1">
        <v>1048</v>
      </c>
      <c r="H52" s="11">
        <v>46.42</v>
      </c>
      <c r="I52" s="1">
        <v>197</v>
      </c>
      <c r="J52" s="1">
        <v>248</v>
      </c>
      <c r="K52" s="1">
        <v>7.8</v>
      </c>
      <c r="L52" s="1">
        <v>16</v>
      </c>
      <c r="M52" s="1">
        <v>15</v>
      </c>
      <c r="N52" s="1">
        <v>26</v>
      </c>
      <c r="O52" s="1">
        <v>0</v>
      </c>
      <c r="P52" s="1">
        <v>27</v>
      </c>
      <c r="Q52" s="1">
        <v>657</v>
      </c>
      <c r="R52" s="9" t="s">
        <v>59</v>
      </c>
      <c r="S52" s="1">
        <v>1170</v>
      </c>
      <c r="T52" s="6">
        <v>1170</v>
      </c>
      <c r="U52" s="10">
        <v>0.65</v>
      </c>
      <c r="V52" s="10">
        <f>T52*U52</f>
        <v>760.5</v>
      </c>
      <c r="W52" s="6">
        <v>39</v>
      </c>
      <c r="X52" s="10">
        <f>Y52/39</f>
        <v>74.697435897435895</v>
      </c>
      <c r="Y52" s="10">
        <f>2913.2</f>
        <v>2913.2</v>
      </c>
      <c r="Z52" s="10"/>
      <c r="AA52" s="41">
        <f>87594.5-Y52</f>
        <v>84681.3</v>
      </c>
      <c r="AB52" s="11">
        <f t="shared" si="15"/>
        <v>83920.8</v>
      </c>
      <c r="AC52" s="12">
        <v>46201</v>
      </c>
      <c r="AD52" s="10">
        <f t="shared" si="16"/>
        <v>83920.8</v>
      </c>
      <c r="AE52" s="13"/>
      <c r="AF52" s="19"/>
      <c r="AG52" s="13" t="s">
        <v>58</v>
      </c>
      <c r="AH52" s="10">
        <f t="shared" si="14"/>
        <v>83920.8</v>
      </c>
    </row>
    <row r="53" spans="1:34" x14ac:dyDescent="0.3">
      <c r="A53" s="6">
        <v>47</v>
      </c>
      <c r="B53" s="7">
        <v>46202</v>
      </c>
      <c r="C53" s="1" t="s">
        <v>57</v>
      </c>
      <c r="D53" s="39" t="s">
        <v>46</v>
      </c>
      <c r="E53" s="9" t="s">
        <v>59</v>
      </c>
      <c r="F53" s="9" t="s">
        <v>40</v>
      </c>
      <c r="G53" s="1">
        <v>1049</v>
      </c>
      <c r="H53" s="11">
        <v>45.63</v>
      </c>
      <c r="I53" s="1">
        <v>188</v>
      </c>
      <c r="J53" s="1">
        <v>250</v>
      </c>
      <c r="K53" s="1">
        <v>7.7</v>
      </c>
      <c r="L53" s="1">
        <v>3</v>
      </c>
      <c r="M53" s="1">
        <v>8</v>
      </c>
      <c r="N53" s="1">
        <v>32</v>
      </c>
      <c r="O53" s="1">
        <v>4</v>
      </c>
      <c r="P53" s="1">
        <v>21</v>
      </c>
      <c r="Q53" s="1">
        <v>673</v>
      </c>
      <c r="R53" s="9" t="s">
        <v>59</v>
      </c>
      <c r="S53" s="1">
        <v>1504</v>
      </c>
      <c r="T53" s="6">
        <v>1504</v>
      </c>
      <c r="U53" s="40">
        <v>0.65</v>
      </c>
      <c r="V53" s="10">
        <f>T53*U53</f>
        <v>977.6</v>
      </c>
      <c r="W53" s="6">
        <v>50</v>
      </c>
      <c r="X53" s="40">
        <f t="shared" ref="X53:X116" si="17">Y53/W53</f>
        <v>72.313999999999993</v>
      </c>
      <c r="Y53" s="40">
        <f>3615.7</f>
        <v>3615.7</v>
      </c>
      <c r="Z53" s="40"/>
      <c r="AA53" s="41">
        <f>107540.1-Y53</f>
        <v>103924.40000000001</v>
      </c>
      <c r="AB53" s="11">
        <f t="shared" si="15"/>
        <v>102946.8</v>
      </c>
      <c r="AC53" s="12">
        <v>46202</v>
      </c>
      <c r="AD53" s="10">
        <f t="shared" si="16"/>
        <v>102946.8</v>
      </c>
      <c r="AE53" s="43"/>
      <c r="AF53" s="44"/>
      <c r="AG53" s="13" t="s">
        <v>58</v>
      </c>
      <c r="AH53" s="10">
        <f t="shared" si="14"/>
        <v>102946.8</v>
      </c>
    </row>
    <row r="54" spans="1:34" x14ac:dyDescent="0.3">
      <c r="A54" s="6">
        <v>48</v>
      </c>
      <c r="B54" s="7">
        <v>46203</v>
      </c>
      <c r="C54" s="1" t="s">
        <v>57</v>
      </c>
      <c r="D54" s="39" t="s">
        <v>46</v>
      </c>
      <c r="E54" s="9" t="s">
        <v>59</v>
      </c>
      <c r="F54" s="9" t="s">
        <v>40</v>
      </c>
      <c r="G54" s="1">
        <v>1050</v>
      </c>
      <c r="H54" s="11">
        <v>46.07</v>
      </c>
      <c r="I54" s="1">
        <v>191</v>
      </c>
      <c r="J54" s="1">
        <v>246</v>
      </c>
      <c r="K54" s="1">
        <v>8.1</v>
      </c>
      <c r="L54" s="1">
        <v>14</v>
      </c>
      <c r="M54" s="1">
        <v>15</v>
      </c>
      <c r="N54" s="1">
        <v>26</v>
      </c>
      <c r="O54" s="1">
        <v>4</v>
      </c>
      <c r="P54" s="1">
        <v>14</v>
      </c>
      <c r="Q54" s="1">
        <v>672</v>
      </c>
      <c r="R54" s="9" t="s">
        <v>59</v>
      </c>
      <c r="S54" s="1">
        <v>3007</v>
      </c>
      <c r="T54" s="6">
        <v>3007</v>
      </c>
      <c r="U54" s="40">
        <f>0.65</f>
        <v>0.65</v>
      </c>
      <c r="V54" s="10">
        <f>T54*U54</f>
        <v>1954.55</v>
      </c>
      <c r="W54" s="6">
        <v>100</v>
      </c>
      <c r="X54" s="40">
        <f t="shared" si="17"/>
        <v>70.522999999999996</v>
      </c>
      <c r="Y54" s="40">
        <f>7052.3</f>
        <v>7052.3</v>
      </c>
      <c r="Z54" s="40"/>
      <c r="AA54" s="41">
        <f>223527.1</f>
        <v>223527.1</v>
      </c>
      <c r="AB54" s="11">
        <f t="shared" si="15"/>
        <v>221572.55000000002</v>
      </c>
      <c r="AC54" s="12">
        <v>46203</v>
      </c>
      <c r="AD54" s="10">
        <f t="shared" si="16"/>
        <v>221572.55000000002</v>
      </c>
      <c r="AE54" s="43"/>
      <c r="AF54" s="44"/>
      <c r="AG54" s="13" t="s">
        <v>58</v>
      </c>
      <c r="AH54" s="10">
        <f t="shared" si="14"/>
        <v>221572.55000000002</v>
      </c>
    </row>
    <row r="55" spans="1:34" x14ac:dyDescent="0.3">
      <c r="A55" s="6">
        <v>49</v>
      </c>
      <c r="B55" s="7">
        <v>46204</v>
      </c>
      <c r="C55" s="1" t="s">
        <v>57</v>
      </c>
      <c r="D55" s="39" t="s">
        <v>46</v>
      </c>
      <c r="E55" s="9" t="s">
        <v>59</v>
      </c>
      <c r="F55" s="9" t="s">
        <v>40</v>
      </c>
      <c r="G55" s="1">
        <v>1051</v>
      </c>
      <c r="H55" s="11">
        <v>43.82</v>
      </c>
      <c r="I55" s="1">
        <v>178</v>
      </c>
      <c r="J55" s="1">
        <v>231</v>
      </c>
      <c r="K55" s="1">
        <v>8.3000000000000007</v>
      </c>
      <c r="L55" s="1">
        <v>12</v>
      </c>
      <c r="M55" s="1">
        <v>15</v>
      </c>
      <c r="N55" s="1">
        <v>36</v>
      </c>
      <c r="O55" s="1">
        <v>4</v>
      </c>
      <c r="P55" s="1">
        <v>13</v>
      </c>
      <c r="Q55" s="1">
        <v>682</v>
      </c>
      <c r="R55" s="9" t="s">
        <v>59</v>
      </c>
      <c r="S55" s="1">
        <v>751</v>
      </c>
      <c r="T55" s="6">
        <v>751</v>
      </c>
      <c r="U55" s="40">
        <v>0.65</v>
      </c>
      <c r="V55" s="10">
        <f>T55*U55</f>
        <v>488.15000000000003</v>
      </c>
      <c r="W55" s="6">
        <v>25</v>
      </c>
      <c r="X55" s="40">
        <f t="shared" si="17"/>
        <v>71.92</v>
      </c>
      <c r="Y55" s="40">
        <f>1798</f>
        <v>1798</v>
      </c>
      <c r="Z55" s="40"/>
      <c r="AA55" s="41">
        <f>57966</f>
        <v>57966</v>
      </c>
      <c r="AB55" s="11">
        <f t="shared" si="15"/>
        <v>57477.85</v>
      </c>
      <c r="AC55" s="12">
        <v>46204</v>
      </c>
      <c r="AD55" s="10">
        <f t="shared" si="16"/>
        <v>57477.85</v>
      </c>
      <c r="AE55" s="43"/>
      <c r="AF55" s="44"/>
      <c r="AG55" s="13" t="s">
        <v>58</v>
      </c>
      <c r="AH55" s="10">
        <f t="shared" si="14"/>
        <v>57477.85</v>
      </c>
    </row>
    <row r="56" spans="1:34" x14ac:dyDescent="0.3">
      <c r="A56" s="6">
        <v>50</v>
      </c>
      <c r="B56" s="7">
        <v>46205</v>
      </c>
      <c r="C56" s="1" t="s">
        <v>57</v>
      </c>
      <c r="D56" s="39" t="s">
        <v>46</v>
      </c>
      <c r="E56" s="9" t="s">
        <v>59</v>
      </c>
      <c r="F56" s="9" t="s">
        <v>52</v>
      </c>
      <c r="G56" s="1">
        <v>1051</v>
      </c>
      <c r="H56" s="11">
        <v>43.82</v>
      </c>
      <c r="I56" s="1">
        <v>178</v>
      </c>
      <c r="J56" s="1">
        <v>231</v>
      </c>
      <c r="K56" s="1">
        <v>8.3000000000000007</v>
      </c>
      <c r="L56" s="1">
        <v>12</v>
      </c>
      <c r="M56" s="1">
        <v>15</v>
      </c>
      <c r="N56" s="1">
        <v>36</v>
      </c>
      <c r="O56" s="1">
        <v>4</v>
      </c>
      <c r="P56" s="1">
        <v>13</v>
      </c>
      <c r="Q56" s="1">
        <v>682</v>
      </c>
      <c r="R56" s="9" t="s">
        <v>59</v>
      </c>
      <c r="S56" s="1">
        <f>2407</f>
        <v>2407</v>
      </c>
      <c r="T56" s="6">
        <f>2407</f>
        <v>2407</v>
      </c>
      <c r="U56" s="40">
        <v>0.65</v>
      </c>
      <c r="V56" s="10">
        <f t="shared" ref="V56:V92" si="18">T56*U56</f>
        <v>1564.55</v>
      </c>
      <c r="W56" s="6">
        <f>81</f>
        <v>81</v>
      </c>
      <c r="X56" s="40">
        <f t="shared" si="17"/>
        <v>72.946913580246914</v>
      </c>
      <c r="Y56" s="40">
        <f>5908.7</f>
        <v>5908.7</v>
      </c>
      <c r="Z56" s="40"/>
      <c r="AA56" s="41">
        <f>178862.3</f>
        <v>178862.3</v>
      </c>
      <c r="AB56" s="11">
        <f t="shared" si="15"/>
        <v>177297.75</v>
      </c>
      <c r="AC56" s="12">
        <v>46205</v>
      </c>
      <c r="AD56" s="40">
        <f t="shared" si="16"/>
        <v>177297.75</v>
      </c>
      <c r="AE56" s="43"/>
      <c r="AF56" s="44"/>
      <c r="AG56" s="13" t="s">
        <v>58</v>
      </c>
      <c r="AH56" s="10">
        <f t="shared" si="14"/>
        <v>177297.75</v>
      </c>
    </row>
    <row r="57" spans="1:34" x14ac:dyDescent="0.3">
      <c r="A57" s="6">
        <v>51</v>
      </c>
      <c r="B57" s="7">
        <v>46209</v>
      </c>
      <c r="C57" s="1" t="s">
        <v>57</v>
      </c>
      <c r="D57" s="39" t="s">
        <v>47</v>
      </c>
      <c r="E57" s="9" t="s">
        <v>60</v>
      </c>
      <c r="F57" s="9" t="s">
        <v>40</v>
      </c>
      <c r="G57" s="1">
        <v>1052</v>
      </c>
      <c r="H57" s="11">
        <v>45.59</v>
      </c>
      <c r="I57" s="1">
        <v>184</v>
      </c>
      <c r="J57" s="1">
        <v>242</v>
      </c>
      <c r="K57" s="1">
        <v>8.1</v>
      </c>
      <c r="L57" s="1">
        <v>15</v>
      </c>
      <c r="M57" s="1">
        <v>18</v>
      </c>
      <c r="N57" s="1">
        <v>21</v>
      </c>
      <c r="O57" s="1">
        <v>0</v>
      </c>
      <c r="P57" s="1">
        <v>23</v>
      </c>
      <c r="Q57" s="1">
        <v>669</v>
      </c>
      <c r="R57" s="9" t="s">
        <v>60</v>
      </c>
      <c r="S57" s="1">
        <v>3007</v>
      </c>
      <c r="T57" s="6">
        <f>3007</f>
        <v>3007</v>
      </c>
      <c r="U57" s="40">
        <v>0.65</v>
      </c>
      <c r="V57" s="40">
        <f t="shared" si="18"/>
        <v>1954.55</v>
      </c>
      <c r="W57" s="6">
        <v>101</v>
      </c>
      <c r="X57" s="40">
        <f t="shared" si="17"/>
        <v>73.152475247524748</v>
      </c>
      <c r="Y57" s="40">
        <f>7388.4</f>
        <v>7388.4</v>
      </c>
      <c r="Z57" s="40"/>
      <c r="AA57" s="41">
        <f>218773.5</f>
        <v>218773.5</v>
      </c>
      <c r="AB57" s="11">
        <f t="shared" si="15"/>
        <v>216818.95</v>
      </c>
      <c r="AC57" s="12">
        <v>46209</v>
      </c>
      <c r="AD57" s="40">
        <f t="shared" si="16"/>
        <v>216818.95</v>
      </c>
      <c r="AE57" s="43"/>
      <c r="AF57" s="44"/>
      <c r="AG57" s="13" t="s">
        <v>58</v>
      </c>
      <c r="AH57" s="10">
        <f t="shared" si="14"/>
        <v>216818.95</v>
      </c>
    </row>
    <row r="58" spans="1:34" x14ac:dyDescent="0.3">
      <c r="A58" s="6">
        <v>52</v>
      </c>
      <c r="B58" s="7">
        <v>46210</v>
      </c>
      <c r="C58" s="1" t="s">
        <v>57</v>
      </c>
      <c r="D58" s="39" t="s">
        <v>47</v>
      </c>
      <c r="E58" s="9" t="s">
        <v>60</v>
      </c>
      <c r="F58" s="9" t="s">
        <v>40</v>
      </c>
      <c r="G58" s="1">
        <v>1053</v>
      </c>
      <c r="H58" s="11">
        <v>45.76</v>
      </c>
      <c r="I58" s="1">
        <v>182</v>
      </c>
      <c r="J58" s="1">
        <v>248</v>
      </c>
      <c r="K58" s="1">
        <v>7.9</v>
      </c>
      <c r="L58" s="1">
        <v>10</v>
      </c>
      <c r="M58" s="1">
        <v>13</v>
      </c>
      <c r="N58" s="1">
        <v>23</v>
      </c>
      <c r="O58" s="1">
        <v>0</v>
      </c>
      <c r="P58" s="1">
        <v>23</v>
      </c>
      <c r="Q58" s="1">
        <v>675</v>
      </c>
      <c r="R58" s="9" t="s">
        <v>60</v>
      </c>
      <c r="S58" s="1">
        <v>2125</v>
      </c>
      <c r="T58" s="6">
        <v>2125</v>
      </c>
      <c r="U58" s="40">
        <v>0.65</v>
      </c>
      <c r="V58" s="40">
        <f t="shared" si="18"/>
        <v>1381.25</v>
      </c>
      <c r="W58" s="6">
        <v>71</v>
      </c>
      <c r="X58" s="40">
        <f t="shared" si="17"/>
        <v>72.823943661971825</v>
      </c>
      <c r="Y58" s="40">
        <f>5170.5</f>
        <v>5170.5</v>
      </c>
      <c r="Z58" s="40"/>
      <c r="AA58" s="41">
        <f>155007</f>
        <v>155007</v>
      </c>
      <c r="AB58" s="11">
        <f t="shared" si="15"/>
        <v>153625.75</v>
      </c>
      <c r="AC58" s="12">
        <v>46210</v>
      </c>
      <c r="AD58" s="40">
        <f t="shared" si="16"/>
        <v>153625.75</v>
      </c>
      <c r="AE58" s="43"/>
      <c r="AF58" s="44"/>
      <c r="AG58" s="13" t="s">
        <v>58</v>
      </c>
      <c r="AH58" s="10">
        <f t="shared" si="14"/>
        <v>153625.75</v>
      </c>
    </row>
    <row r="59" spans="1:34" x14ac:dyDescent="0.3">
      <c r="A59" s="6">
        <v>53</v>
      </c>
      <c r="B59" s="7">
        <v>46213</v>
      </c>
      <c r="C59" s="1" t="s">
        <v>57</v>
      </c>
      <c r="D59" s="39" t="s">
        <v>47</v>
      </c>
      <c r="E59" s="9" t="s">
        <v>60</v>
      </c>
      <c r="F59" s="9" t="s">
        <v>40</v>
      </c>
      <c r="G59" s="1">
        <v>1054</v>
      </c>
      <c r="H59" s="11">
        <v>45.67</v>
      </c>
      <c r="I59" s="1">
        <v>182</v>
      </c>
      <c r="J59" s="1">
        <v>244</v>
      </c>
      <c r="K59" s="1">
        <v>8</v>
      </c>
      <c r="L59" s="1">
        <v>16</v>
      </c>
      <c r="M59" s="1">
        <v>14</v>
      </c>
      <c r="N59" s="1">
        <v>17</v>
      </c>
      <c r="O59" s="1">
        <v>3</v>
      </c>
      <c r="P59" s="1">
        <v>20</v>
      </c>
      <c r="Q59" s="1">
        <v>680</v>
      </c>
      <c r="R59" s="9" t="s">
        <v>60</v>
      </c>
      <c r="S59" s="1">
        <v>2995</v>
      </c>
      <c r="T59" s="6">
        <v>2995</v>
      </c>
      <c r="U59" s="40">
        <v>0.65</v>
      </c>
      <c r="V59" s="10">
        <f t="shared" si="18"/>
        <v>1946.75</v>
      </c>
      <c r="W59" s="6">
        <v>100</v>
      </c>
      <c r="X59" s="40">
        <f t="shared" si="17"/>
        <v>74.099999999999994</v>
      </c>
      <c r="Y59" s="40">
        <f>7410</f>
        <v>7410</v>
      </c>
      <c r="Z59" s="40"/>
      <c r="AA59" s="41">
        <v>217375.1</v>
      </c>
      <c r="AB59" s="11">
        <f t="shared" si="15"/>
        <v>215428.35</v>
      </c>
      <c r="AC59" s="12">
        <v>46213</v>
      </c>
      <c r="AD59" s="40">
        <f t="shared" si="16"/>
        <v>215428.35</v>
      </c>
      <c r="AE59" s="43"/>
      <c r="AF59" s="44"/>
      <c r="AG59" s="13" t="s">
        <v>58</v>
      </c>
      <c r="AH59" s="10">
        <f t="shared" si="14"/>
        <v>215428.35</v>
      </c>
    </row>
    <row r="60" spans="1:34" x14ac:dyDescent="0.3">
      <c r="A60" s="6">
        <v>54</v>
      </c>
      <c r="B60" s="7">
        <v>46214</v>
      </c>
      <c r="C60" s="1" t="s">
        <v>57</v>
      </c>
      <c r="D60" s="39" t="s">
        <v>47</v>
      </c>
      <c r="E60" s="9" t="s">
        <v>60</v>
      </c>
      <c r="F60" s="9" t="s">
        <v>40</v>
      </c>
      <c r="G60" s="1">
        <v>1055</v>
      </c>
      <c r="H60" s="11">
        <v>45.85</v>
      </c>
      <c r="I60" s="1">
        <v>178</v>
      </c>
      <c r="J60" s="1">
        <v>242</v>
      </c>
      <c r="K60" s="1">
        <v>8.1</v>
      </c>
      <c r="L60" s="1">
        <v>24</v>
      </c>
      <c r="M60" s="1">
        <v>12</v>
      </c>
      <c r="N60" s="1">
        <v>23</v>
      </c>
      <c r="O60" s="1">
        <v>0</v>
      </c>
      <c r="P60" s="1">
        <v>13</v>
      </c>
      <c r="Q60" s="1">
        <v>680</v>
      </c>
      <c r="R60" s="9" t="s">
        <v>60</v>
      </c>
      <c r="S60" s="1">
        <v>1529</v>
      </c>
      <c r="T60" s="6">
        <v>1529</v>
      </c>
      <c r="U60" s="40">
        <v>0.65</v>
      </c>
      <c r="V60" s="10">
        <f t="shared" si="18"/>
        <v>993.85</v>
      </c>
      <c r="W60" s="6">
        <v>50</v>
      </c>
      <c r="X60" s="40">
        <f t="shared" si="17"/>
        <v>74.213999999999999</v>
      </c>
      <c r="Y60" s="40">
        <f>3710.7</f>
        <v>3710.7</v>
      </c>
      <c r="Z60" s="40"/>
      <c r="AA60" s="41">
        <v>107790</v>
      </c>
      <c r="AB60" s="10">
        <f t="shared" si="15"/>
        <v>106796.15</v>
      </c>
      <c r="AC60" s="45">
        <v>46333</v>
      </c>
      <c r="AD60" s="40">
        <f t="shared" si="16"/>
        <v>106796.15</v>
      </c>
      <c r="AE60" s="43"/>
      <c r="AF60" s="44"/>
      <c r="AG60" s="13" t="s">
        <v>58</v>
      </c>
      <c r="AH60" s="10">
        <f t="shared" si="14"/>
        <v>106796.15</v>
      </c>
    </row>
    <row r="61" spans="1:34" x14ac:dyDescent="0.3">
      <c r="A61" s="6">
        <v>55</v>
      </c>
      <c r="B61" s="7">
        <v>46215</v>
      </c>
      <c r="C61" s="1" t="s">
        <v>57</v>
      </c>
      <c r="D61" s="39" t="s">
        <v>47</v>
      </c>
      <c r="E61" s="9" t="s">
        <v>60</v>
      </c>
      <c r="F61" s="9" t="s">
        <v>40</v>
      </c>
      <c r="G61" s="1">
        <v>101</v>
      </c>
      <c r="H61" s="11">
        <v>46.82</v>
      </c>
      <c r="I61" s="1">
        <v>181</v>
      </c>
      <c r="J61" s="1">
        <v>249</v>
      </c>
      <c r="K61" s="1">
        <v>8</v>
      </c>
      <c r="L61" s="1">
        <v>13</v>
      </c>
      <c r="M61" s="1">
        <v>20</v>
      </c>
      <c r="N61" s="1">
        <v>19</v>
      </c>
      <c r="O61" s="1">
        <v>0</v>
      </c>
      <c r="P61" s="1">
        <v>17</v>
      </c>
      <c r="Q61" s="1">
        <v>670</v>
      </c>
      <c r="R61" s="9" t="s">
        <v>60</v>
      </c>
      <c r="S61" s="1">
        <v>1314</v>
      </c>
      <c r="T61" s="6">
        <v>1314</v>
      </c>
      <c r="U61" s="40">
        <v>0.65</v>
      </c>
      <c r="V61" s="10">
        <f t="shared" si="18"/>
        <v>854.1</v>
      </c>
      <c r="W61" s="6">
        <f>19+25</f>
        <v>44</v>
      </c>
      <c r="X61" s="40">
        <f t="shared" si="17"/>
        <v>71.779545454545456</v>
      </c>
      <c r="Y61" s="40">
        <v>3158.3</v>
      </c>
      <c r="Z61" s="40"/>
      <c r="AA61" s="46">
        <v>93055.8</v>
      </c>
      <c r="AB61" s="10">
        <f t="shared" si="15"/>
        <v>92201.7</v>
      </c>
      <c r="AC61" s="45">
        <v>46363</v>
      </c>
      <c r="AD61" s="40">
        <f t="shared" si="16"/>
        <v>92201.7</v>
      </c>
      <c r="AE61" s="43"/>
      <c r="AF61" s="44"/>
      <c r="AG61" s="13" t="s">
        <v>58</v>
      </c>
      <c r="AH61" s="10">
        <f t="shared" si="14"/>
        <v>92201.7</v>
      </c>
    </row>
    <row r="62" spans="1:34" x14ac:dyDescent="0.3">
      <c r="A62" s="6">
        <v>56</v>
      </c>
      <c r="B62" s="7">
        <v>46216</v>
      </c>
      <c r="C62" s="1" t="s">
        <v>57</v>
      </c>
      <c r="D62" s="39" t="s">
        <v>47</v>
      </c>
      <c r="E62" s="9" t="s">
        <v>60</v>
      </c>
      <c r="F62" s="9" t="s">
        <v>52</v>
      </c>
      <c r="G62" s="1">
        <v>102</v>
      </c>
      <c r="H62" s="11">
        <v>46.29</v>
      </c>
      <c r="I62" s="1">
        <v>184</v>
      </c>
      <c r="J62" s="1">
        <v>250</v>
      </c>
      <c r="K62" s="1">
        <v>8.1999999999999993</v>
      </c>
      <c r="L62" s="1">
        <v>11</v>
      </c>
      <c r="M62" s="1">
        <v>14</v>
      </c>
      <c r="N62" s="1">
        <v>23</v>
      </c>
      <c r="O62" s="1">
        <v>2</v>
      </c>
      <c r="P62" s="1">
        <v>17</v>
      </c>
      <c r="Q62" s="1">
        <v>677</v>
      </c>
      <c r="R62" s="9" t="s">
        <v>60</v>
      </c>
      <c r="S62" s="1">
        <v>1284</v>
      </c>
      <c r="T62" s="6">
        <v>1284</v>
      </c>
      <c r="U62" s="40">
        <v>0.65</v>
      </c>
      <c r="V62" s="10">
        <f t="shared" si="18"/>
        <v>834.6</v>
      </c>
      <c r="W62" s="6">
        <v>43</v>
      </c>
      <c r="X62" s="40">
        <f t="shared" si="17"/>
        <v>72.123255813953492</v>
      </c>
      <c r="Y62" s="40">
        <v>3101.3</v>
      </c>
      <c r="Z62" s="40"/>
      <c r="AA62" s="46">
        <v>89926.6</v>
      </c>
      <c r="AB62" s="10">
        <f t="shared" si="15"/>
        <v>89092</v>
      </c>
      <c r="AC62" s="45" t="s">
        <v>61</v>
      </c>
      <c r="AD62" s="40">
        <f t="shared" si="16"/>
        <v>89092</v>
      </c>
      <c r="AE62" s="43"/>
      <c r="AF62" s="44"/>
      <c r="AG62" s="13" t="s">
        <v>58</v>
      </c>
      <c r="AH62" s="10">
        <f t="shared" si="14"/>
        <v>89092</v>
      </c>
    </row>
    <row r="63" spans="1:34" x14ac:dyDescent="0.3">
      <c r="A63" s="6">
        <v>57</v>
      </c>
      <c r="B63" s="7">
        <v>46217</v>
      </c>
      <c r="C63" s="1" t="s">
        <v>57</v>
      </c>
      <c r="D63" s="39" t="s">
        <v>43</v>
      </c>
      <c r="E63" s="9" t="s">
        <v>62</v>
      </c>
      <c r="F63" s="9" t="s">
        <v>40</v>
      </c>
      <c r="G63" s="1">
        <v>103</v>
      </c>
      <c r="H63" s="11">
        <v>46.29</v>
      </c>
      <c r="I63" s="1">
        <v>168</v>
      </c>
      <c r="J63" s="1">
        <v>252</v>
      </c>
      <c r="K63" s="1">
        <v>7.6</v>
      </c>
      <c r="L63" s="1">
        <v>11</v>
      </c>
      <c r="M63" s="1">
        <v>10</v>
      </c>
      <c r="N63" s="1">
        <v>19</v>
      </c>
      <c r="O63" s="1">
        <v>0</v>
      </c>
      <c r="P63" s="1">
        <v>18</v>
      </c>
      <c r="Q63" s="1">
        <v>682</v>
      </c>
      <c r="R63" s="9" t="s">
        <v>62</v>
      </c>
      <c r="S63" s="1">
        <v>1289</v>
      </c>
      <c r="T63" s="6">
        <v>1289</v>
      </c>
      <c r="U63" s="40">
        <v>0.65</v>
      </c>
      <c r="V63" s="10">
        <f t="shared" si="18"/>
        <v>837.85</v>
      </c>
      <c r="W63" s="6">
        <f>24+19</f>
        <v>43</v>
      </c>
      <c r="X63" s="40">
        <f t="shared" si="17"/>
        <v>73.958139534883713</v>
      </c>
      <c r="Y63" s="40">
        <f>3180.2</f>
        <v>3180.2</v>
      </c>
      <c r="Z63" s="40"/>
      <c r="AA63" s="46">
        <v>97176.4</v>
      </c>
      <c r="AB63" s="10">
        <f t="shared" si="15"/>
        <v>96338.549999999988</v>
      </c>
      <c r="AC63" s="45" t="s">
        <v>63</v>
      </c>
      <c r="AD63" s="40">
        <f t="shared" si="16"/>
        <v>96338.549999999988</v>
      </c>
      <c r="AE63" s="43"/>
      <c r="AF63" s="44"/>
      <c r="AG63" s="13" t="s">
        <v>58</v>
      </c>
      <c r="AH63" s="10">
        <f t="shared" si="14"/>
        <v>96338.549999999988</v>
      </c>
    </row>
    <row r="64" spans="1:34" x14ac:dyDescent="0.3">
      <c r="A64" s="6">
        <v>58</v>
      </c>
      <c r="B64" s="7">
        <v>46218</v>
      </c>
      <c r="C64" s="1" t="s">
        <v>57</v>
      </c>
      <c r="D64" s="39" t="s">
        <v>43</v>
      </c>
      <c r="E64" s="9" t="s">
        <v>62</v>
      </c>
      <c r="F64" s="9" t="s">
        <v>40</v>
      </c>
      <c r="G64" s="1">
        <v>104</v>
      </c>
      <c r="H64" s="11">
        <v>46.82</v>
      </c>
      <c r="I64" s="1">
        <v>178</v>
      </c>
      <c r="J64" s="1">
        <v>251</v>
      </c>
      <c r="K64" s="1">
        <v>7.3</v>
      </c>
      <c r="L64" s="1">
        <v>17</v>
      </c>
      <c r="M64" s="1">
        <v>12</v>
      </c>
      <c r="N64" s="1">
        <v>13</v>
      </c>
      <c r="O64" s="1">
        <v>0</v>
      </c>
      <c r="P64" s="1">
        <v>21</v>
      </c>
      <c r="Q64" s="1">
        <v>677</v>
      </c>
      <c r="R64" s="9" t="s">
        <v>62</v>
      </c>
      <c r="S64" s="1">
        <v>1333</v>
      </c>
      <c r="T64" s="6">
        <v>1333</v>
      </c>
      <c r="U64" s="40">
        <v>0.65</v>
      </c>
      <c r="V64" s="10">
        <f t="shared" si="18"/>
        <v>866.45</v>
      </c>
      <c r="W64" s="6">
        <f>25+19</f>
        <v>44</v>
      </c>
      <c r="X64" s="40">
        <f t="shared" si="17"/>
        <v>75.915909090909096</v>
      </c>
      <c r="Y64" s="40">
        <f>3340.3</f>
        <v>3340.3</v>
      </c>
      <c r="Z64" s="40"/>
      <c r="AA64" s="46">
        <f>98914</f>
        <v>98914</v>
      </c>
      <c r="AB64" s="10">
        <f t="shared" si="15"/>
        <v>98047.55</v>
      </c>
      <c r="AC64" s="45" t="s">
        <v>64</v>
      </c>
      <c r="AD64" s="40">
        <f t="shared" si="16"/>
        <v>98047.55</v>
      </c>
      <c r="AE64" s="43"/>
      <c r="AF64" s="44"/>
      <c r="AG64" s="13" t="s">
        <v>58</v>
      </c>
      <c r="AH64" s="10">
        <f t="shared" si="14"/>
        <v>98047.55</v>
      </c>
    </row>
    <row r="65" spans="1:34" x14ac:dyDescent="0.3">
      <c r="A65" s="6">
        <v>59</v>
      </c>
      <c r="B65" s="7">
        <v>46219</v>
      </c>
      <c r="C65" s="1" t="s">
        <v>57</v>
      </c>
      <c r="D65" s="39" t="s">
        <v>43</v>
      </c>
      <c r="E65" s="9" t="s">
        <v>62</v>
      </c>
      <c r="F65" s="9" t="s">
        <v>40</v>
      </c>
      <c r="G65" s="1">
        <v>105</v>
      </c>
      <c r="H65" s="11">
        <v>47.35</v>
      </c>
      <c r="I65" s="1">
        <v>173</v>
      </c>
      <c r="J65" s="1">
        <v>255</v>
      </c>
      <c r="K65" s="1">
        <v>7.4</v>
      </c>
      <c r="L65" s="1">
        <v>10</v>
      </c>
      <c r="M65" s="1">
        <v>17</v>
      </c>
      <c r="N65" s="1">
        <v>17</v>
      </c>
      <c r="O65" s="1">
        <v>3</v>
      </c>
      <c r="P65" s="1">
        <v>20</v>
      </c>
      <c r="Q65" s="1">
        <v>678</v>
      </c>
      <c r="R65" s="9" t="s">
        <v>62</v>
      </c>
      <c r="S65" s="1">
        <v>2445</v>
      </c>
      <c r="T65" s="6">
        <v>2445</v>
      </c>
      <c r="U65" s="40">
        <v>0.65</v>
      </c>
      <c r="V65" s="10">
        <f t="shared" si="18"/>
        <v>1589.25</v>
      </c>
      <c r="W65" s="6">
        <v>81</v>
      </c>
      <c r="X65" s="40">
        <f t="shared" si="17"/>
        <v>72.892592592592592</v>
      </c>
      <c r="Y65" s="40">
        <v>5904.3</v>
      </c>
      <c r="Z65" s="40"/>
      <c r="AA65" s="41">
        <f>179117.3</f>
        <v>179117.3</v>
      </c>
      <c r="AB65" s="10">
        <f t="shared" si="15"/>
        <v>177528.05</v>
      </c>
      <c r="AC65" s="45" t="s">
        <v>65</v>
      </c>
      <c r="AD65" s="40">
        <f t="shared" si="16"/>
        <v>177528.05</v>
      </c>
      <c r="AE65" s="43"/>
      <c r="AF65" s="44"/>
      <c r="AG65" s="13" t="s">
        <v>58</v>
      </c>
      <c r="AH65" s="10">
        <f t="shared" si="14"/>
        <v>177528.05</v>
      </c>
    </row>
    <row r="66" spans="1:34" x14ac:dyDescent="0.3">
      <c r="A66" s="6">
        <v>60</v>
      </c>
      <c r="B66" s="7">
        <v>46220</v>
      </c>
      <c r="C66" s="1" t="s">
        <v>57</v>
      </c>
      <c r="D66" s="39" t="s">
        <v>43</v>
      </c>
      <c r="E66" s="9" t="s">
        <v>62</v>
      </c>
      <c r="F66" s="9" t="s">
        <v>52</v>
      </c>
      <c r="G66" s="1">
        <v>106</v>
      </c>
      <c r="H66" s="11">
        <v>46.42</v>
      </c>
      <c r="I66" s="1">
        <v>178</v>
      </c>
      <c r="J66" s="1">
        <v>250</v>
      </c>
      <c r="K66" s="1">
        <v>7.7</v>
      </c>
      <c r="L66" s="1">
        <v>9</v>
      </c>
      <c r="M66" s="1">
        <v>15</v>
      </c>
      <c r="N66" s="1">
        <v>20</v>
      </c>
      <c r="O66" s="1">
        <v>0</v>
      </c>
      <c r="P66" s="1">
        <v>24</v>
      </c>
      <c r="Q66" s="1">
        <v>670</v>
      </c>
      <c r="R66" s="9" t="s">
        <v>62</v>
      </c>
      <c r="S66" s="1">
        <v>735</v>
      </c>
      <c r="T66" s="6">
        <v>735</v>
      </c>
      <c r="U66" s="40">
        <v>0.65</v>
      </c>
      <c r="V66" s="10">
        <f t="shared" si="18"/>
        <v>477.75</v>
      </c>
      <c r="W66" s="6">
        <v>25</v>
      </c>
      <c r="X66" s="40">
        <f t="shared" si="17"/>
        <v>74.396000000000001</v>
      </c>
      <c r="Y66" s="40">
        <v>1859.9</v>
      </c>
      <c r="Z66" s="40"/>
      <c r="AA66" s="41">
        <v>53957.599999999999</v>
      </c>
      <c r="AB66" s="10">
        <f t="shared" si="15"/>
        <v>53479.85</v>
      </c>
      <c r="AC66" s="45" t="s">
        <v>66</v>
      </c>
      <c r="AD66" s="40">
        <f t="shared" si="16"/>
        <v>53479.85</v>
      </c>
      <c r="AE66" s="43"/>
      <c r="AF66" s="44"/>
      <c r="AG66" s="13" t="s">
        <v>58</v>
      </c>
      <c r="AH66" s="10">
        <f t="shared" si="14"/>
        <v>53479.85</v>
      </c>
    </row>
    <row r="67" spans="1:34" x14ac:dyDescent="0.3">
      <c r="A67" s="6">
        <v>61</v>
      </c>
      <c r="B67" s="7">
        <v>46221</v>
      </c>
      <c r="C67" s="1" t="s">
        <v>57</v>
      </c>
      <c r="D67" s="27" t="s">
        <v>48</v>
      </c>
      <c r="E67" s="9" t="s">
        <v>67</v>
      </c>
      <c r="F67" s="9" t="s">
        <v>40</v>
      </c>
      <c r="G67" s="1">
        <v>107</v>
      </c>
      <c r="H67" s="11">
        <v>43.51</v>
      </c>
      <c r="I67" s="1">
        <v>180</v>
      </c>
      <c r="J67" s="1">
        <v>237</v>
      </c>
      <c r="K67" s="1">
        <v>7.9</v>
      </c>
      <c r="L67" s="1">
        <v>11</v>
      </c>
      <c r="M67" s="1">
        <v>14</v>
      </c>
      <c r="N67" s="1">
        <v>30</v>
      </c>
      <c r="O67" s="1">
        <v>0</v>
      </c>
      <c r="P67" s="1">
        <v>19</v>
      </c>
      <c r="Q67" s="1">
        <v>680</v>
      </c>
      <c r="R67" s="9" t="s">
        <v>67</v>
      </c>
      <c r="S67" s="1">
        <v>1201</v>
      </c>
      <c r="T67" s="6">
        <v>1201</v>
      </c>
      <c r="U67" s="40">
        <v>0.65</v>
      </c>
      <c r="V67" s="10">
        <f t="shared" si="18"/>
        <v>780.65</v>
      </c>
      <c r="W67" s="6">
        <v>40</v>
      </c>
      <c r="X67" s="40">
        <f t="shared" si="17"/>
        <v>75.27000000000001</v>
      </c>
      <c r="Y67" s="40">
        <v>3010.8</v>
      </c>
      <c r="Z67" s="40"/>
      <c r="AA67" s="41">
        <v>90902.9</v>
      </c>
      <c r="AB67" s="10">
        <f t="shared" si="15"/>
        <v>90122.25</v>
      </c>
      <c r="AC67" s="45" t="s">
        <v>68</v>
      </c>
      <c r="AD67" s="40">
        <f t="shared" si="16"/>
        <v>90122.25</v>
      </c>
      <c r="AE67" s="43"/>
      <c r="AF67" s="44"/>
      <c r="AG67" s="13" t="s">
        <v>58</v>
      </c>
      <c r="AH67" s="10">
        <f t="shared" si="14"/>
        <v>90122.25</v>
      </c>
    </row>
    <row r="68" spans="1:34" x14ac:dyDescent="0.3">
      <c r="A68" s="6">
        <v>62</v>
      </c>
      <c r="B68" s="7">
        <v>46223</v>
      </c>
      <c r="C68" s="1" t="s">
        <v>57</v>
      </c>
      <c r="D68" s="27" t="s">
        <v>48</v>
      </c>
      <c r="E68" s="9" t="s">
        <v>67</v>
      </c>
      <c r="F68" s="9" t="s">
        <v>40</v>
      </c>
      <c r="G68" s="1">
        <v>108</v>
      </c>
      <c r="H68" s="11">
        <v>42.9</v>
      </c>
      <c r="I68" s="1">
        <v>182</v>
      </c>
      <c r="J68" s="1">
        <v>236</v>
      </c>
      <c r="K68" s="1">
        <v>8.1999999999999993</v>
      </c>
      <c r="L68" s="1">
        <v>8</v>
      </c>
      <c r="M68" s="1">
        <v>14</v>
      </c>
      <c r="N68" s="1">
        <v>20</v>
      </c>
      <c r="O68" s="1">
        <v>0</v>
      </c>
      <c r="P68" s="1">
        <v>19</v>
      </c>
      <c r="Q68" s="1">
        <v>693</v>
      </c>
      <c r="R68" s="9" t="s">
        <v>67</v>
      </c>
      <c r="S68" s="1">
        <v>1082</v>
      </c>
      <c r="T68" s="6">
        <v>1082</v>
      </c>
      <c r="U68" s="40">
        <v>0.65</v>
      </c>
      <c r="V68" s="40">
        <f t="shared" si="18"/>
        <v>703.30000000000007</v>
      </c>
      <c r="W68" s="6">
        <f>25+1+11</f>
        <v>37</v>
      </c>
      <c r="X68" s="40">
        <f t="shared" si="17"/>
        <v>71.383783783783784</v>
      </c>
      <c r="Y68" s="40">
        <v>2641.2</v>
      </c>
      <c r="Z68" s="40"/>
      <c r="AA68" s="41">
        <v>83487.7</v>
      </c>
      <c r="AB68" s="10">
        <f t="shared" si="15"/>
        <v>82784.399999999994</v>
      </c>
      <c r="AC68" s="45" t="s">
        <v>69</v>
      </c>
      <c r="AD68" s="40">
        <f t="shared" si="16"/>
        <v>82784.399999999994</v>
      </c>
      <c r="AE68" s="43"/>
      <c r="AF68" s="44"/>
      <c r="AG68" s="13" t="s">
        <v>58</v>
      </c>
      <c r="AH68" s="10">
        <f t="shared" si="14"/>
        <v>82784.399999999994</v>
      </c>
    </row>
    <row r="69" spans="1:34" x14ac:dyDescent="0.3">
      <c r="A69" s="6">
        <v>63</v>
      </c>
      <c r="B69" s="7">
        <v>46224</v>
      </c>
      <c r="C69" s="1" t="s">
        <v>57</v>
      </c>
      <c r="D69" s="27" t="s">
        <v>48</v>
      </c>
      <c r="E69" s="9" t="s">
        <v>67</v>
      </c>
      <c r="F69" s="9" t="s">
        <v>40</v>
      </c>
      <c r="G69" s="1">
        <v>109</v>
      </c>
      <c r="H69" s="11">
        <v>44.75</v>
      </c>
      <c r="I69" s="1">
        <v>173</v>
      </c>
      <c r="J69" s="1">
        <v>242</v>
      </c>
      <c r="K69" s="1">
        <v>8.3000000000000007</v>
      </c>
      <c r="L69" s="1">
        <v>6</v>
      </c>
      <c r="M69" s="1">
        <v>10</v>
      </c>
      <c r="N69" s="1">
        <v>28</v>
      </c>
      <c r="O69" s="1">
        <v>0</v>
      </c>
      <c r="P69" s="1">
        <v>23</v>
      </c>
      <c r="Q69" s="1">
        <v>684</v>
      </c>
      <c r="R69" s="9" t="s">
        <v>67</v>
      </c>
      <c r="S69" s="1">
        <v>2219</v>
      </c>
      <c r="T69" s="6">
        <v>2219</v>
      </c>
      <c r="U69" s="40">
        <v>0.65</v>
      </c>
      <c r="V69" s="40">
        <f t="shared" si="18"/>
        <v>1442.3500000000001</v>
      </c>
      <c r="W69" s="6">
        <v>75</v>
      </c>
      <c r="X69" s="40">
        <f t="shared" si="17"/>
        <v>70.741333333333344</v>
      </c>
      <c r="Y69" s="40">
        <v>5305.6</v>
      </c>
      <c r="Z69" s="40"/>
      <c r="AA69" s="41">
        <v>169027.7</v>
      </c>
      <c r="AB69" s="10">
        <f t="shared" si="15"/>
        <v>167585.35</v>
      </c>
      <c r="AC69" s="45" t="s">
        <v>70</v>
      </c>
      <c r="AD69" s="40">
        <f t="shared" si="16"/>
        <v>167585.35</v>
      </c>
      <c r="AE69" s="43"/>
      <c r="AF69" s="44"/>
      <c r="AG69" s="13" t="s">
        <v>58</v>
      </c>
      <c r="AH69" s="10">
        <f t="shared" si="14"/>
        <v>167585.35</v>
      </c>
    </row>
    <row r="70" spans="1:34" x14ac:dyDescent="0.3">
      <c r="A70" s="6">
        <v>64</v>
      </c>
      <c r="B70" s="7">
        <v>46225</v>
      </c>
      <c r="C70" s="1" t="s">
        <v>57</v>
      </c>
      <c r="D70" s="27" t="s">
        <v>48</v>
      </c>
      <c r="E70" s="9" t="s">
        <v>67</v>
      </c>
      <c r="F70" s="9" t="s">
        <v>40</v>
      </c>
      <c r="G70" s="1">
        <v>110</v>
      </c>
      <c r="H70" s="11">
        <v>41.71</v>
      </c>
      <c r="I70" s="1">
        <v>173</v>
      </c>
      <c r="J70" s="1">
        <v>225</v>
      </c>
      <c r="K70" s="1">
        <v>7.7</v>
      </c>
      <c r="L70" s="1">
        <v>6</v>
      </c>
      <c r="M70" s="1">
        <v>17</v>
      </c>
      <c r="N70" s="1">
        <v>38</v>
      </c>
      <c r="O70" s="1">
        <v>0</v>
      </c>
      <c r="P70" s="1">
        <v>12</v>
      </c>
      <c r="Q70" s="1">
        <v>694</v>
      </c>
      <c r="R70" s="9" t="s">
        <v>67</v>
      </c>
      <c r="S70" s="1">
        <v>2389</v>
      </c>
      <c r="T70" s="6">
        <v>2389</v>
      </c>
      <c r="U70" s="40">
        <v>0.65</v>
      </c>
      <c r="V70" s="40">
        <f t="shared" si="18"/>
        <v>1552.8500000000001</v>
      </c>
      <c r="W70" s="6">
        <v>80</v>
      </c>
      <c r="X70" s="40">
        <f t="shared" si="17"/>
        <v>74.10499999999999</v>
      </c>
      <c r="Y70" s="40">
        <v>5928.4</v>
      </c>
      <c r="Z70" s="40"/>
      <c r="AA70" s="41">
        <v>180138.3</v>
      </c>
      <c r="AB70" s="10">
        <f t="shared" si="15"/>
        <v>178585.44999999998</v>
      </c>
      <c r="AC70" s="45" t="s">
        <v>71</v>
      </c>
      <c r="AD70" s="40">
        <f t="shared" si="16"/>
        <v>178585.44999999998</v>
      </c>
      <c r="AE70" s="43"/>
      <c r="AF70" s="44"/>
      <c r="AG70" s="13" t="s">
        <v>58</v>
      </c>
      <c r="AH70" s="10">
        <f t="shared" si="14"/>
        <v>178585.44999999998</v>
      </c>
    </row>
    <row r="71" spans="1:34" x14ac:dyDescent="0.3">
      <c r="A71" s="6">
        <v>65</v>
      </c>
      <c r="B71" s="7">
        <v>46226</v>
      </c>
      <c r="C71" s="1" t="s">
        <v>57</v>
      </c>
      <c r="D71" s="27" t="s">
        <v>48</v>
      </c>
      <c r="E71" s="9" t="s">
        <v>67</v>
      </c>
      <c r="F71" s="9" t="s">
        <v>40</v>
      </c>
      <c r="G71" s="1">
        <v>111</v>
      </c>
      <c r="H71" s="11">
        <v>42.19</v>
      </c>
      <c r="I71" s="1">
        <v>176</v>
      </c>
      <c r="J71" s="1">
        <v>229</v>
      </c>
      <c r="K71" s="1">
        <v>8.4</v>
      </c>
      <c r="L71" s="1">
        <v>5</v>
      </c>
      <c r="M71" s="1">
        <v>15</v>
      </c>
      <c r="N71" s="1">
        <v>34</v>
      </c>
      <c r="O71" s="1">
        <v>2</v>
      </c>
      <c r="P71" s="1">
        <v>29</v>
      </c>
      <c r="Q71" s="1">
        <v>674</v>
      </c>
      <c r="R71" s="9" t="s">
        <v>67</v>
      </c>
      <c r="S71" s="1">
        <v>3005</v>
      </c>
      <c r="T71" s="6">
        <v>3005</v>
      </c>
      <c r="U71" s="40">
        <v>0.65</v>
      </c>
      <c r="V71" s="40">
        <f t="shared" si="18"/>
        <v>1953.25</v>
      </c>
      <c r="W71" s="6">
        <v>100</v>
      </c>
      <c r="X71" s="40">
        <f t="shared" si="17"/>
        <v>73.573999999999998</v>
      </c>
      <c r="Y71" s="40">
        <v>7357.4</v>
      </c>
      <c r="Z71" s="40"/>
      <c r="AA71" s="41">
        <v>226482.5</v>
      </c>
      <c r="AB71" s="10">
        <f t="shared" si="15"/>
        <v>224529.25</v>
      </c>
      <c r="AC71" s="45" t="s">
        <v>72</v>
      </c>
      <c r="AD71" s="40">
        <f t="shared" si="16"/>
        <v>224529.25</v>
      </c>
      <c r="AE71" s="43"/>
      <c r="AF71" s="44"/>
      <c r="AG71" s="13" t="s">
        <v>58</v>
      </c>
      <c r="AH71" s="10">
        <f t="shared" si="14"/>
        <v>224529.25</v>
      </c>
    </row>
    <row r="72" spans="1:34" x14ac:dyDescent="0.3">
      <c r="A72" s="6">
        <v>66</v>
      </c>
      <c r="B72" s="7">
        <v>46227</v>
      </c>
      <c r="C72" s="1" t="s">
        <v>57</v>
      </c>
      <c r="D72" s="27" t="s">
        <v>48</v>
      </c>
      <c r="E72" s="9" t="s">
        <v>67</v>
      </c>
      <c r="F72" s="9" t="s">
        <v>40</v>
      </c>
      <c r="G72" s="1">
        <v>112</v>
      </c>
      <c r="H72" s="11">
        <v>42.1</v>
      </c>
      <c r="I72" s="1">
        <v>176</v>
      </c>
      <c r="J72" s="1">
        <v>226</v>
      </c>
      <c r="K72" s="1">
        <v>8.5</v>
      </c>
      <c r="L72" s="1">
        <v>6</v>
      </c>
      <c r="M72" s="1">
        <v>9</v>
      </c>
      <c r="N72" s="1">
        <v>33</v>
      </c>
      <c r="O72" s="1">
        <v>4</v>
      </c>
      <c r="P72" s="1">
        <v>38</v>
      </c>
      <c r="Q72" s="1">
        <v>675</v>
      </c>
      <c r="R72" s="9" t="s">
        <v>67</v>
      </c>
      <c r="S72" s="1">
        <v>2714</v>
      </c>
      <c r="T72" s="6">
        <v>2714</v>
      </c>
      <c r="U72" s="40">
        <v>0.65</v>
      </c>
      <c r="V72" s="40">
        <f t="shared" si="18"/>
        <v>1764.1000000000001</v>
      </c>
      <c r="W72" s="6">
        <v>90</v>
      </c>
      <c r="X72" s="40">
        <f t="shared" si="17"/>
        <v>73.717777777777783</v>
      </c>
      <c r="Y72" s="40">
        <v>6634.6</v>
      </c>
      <c r="Z72" s="40"/>
      <c r="AA72" s="41">
        <v>208062.5</v>
      </c>
      <c r="AB72" s="10">
        <f t="shared" si="15"/>
        <v>206298.4</v>
      </c>
      <c r="AC72" s="45" t="s">
        <v>73</v>
      </c>
      <c r="AD72" s="40">
        <f t="shared" si="16"/>
        <v>206298.4</v>
      </c>
      <c r="AE72" s="43"/>
      <c r="AF72" s="44"/>
      <c r="AG72" s="13" t="s">
        <v>58</v>
      </c>
      <c r="AH72" s="10">
        <f t="shared" si="14"/>
        <v>206298.4</v>
      </c>
    </row>
    <row r="73" spans="1:34" x14ac:dyDescent="0.3">
      <c r="A73" s="6">
        <v>67</v>
      </c>
      <c r="B73" s="7">
        <v>46228</v>
      </c>
      <c r="C73" s="1" t="s">
        <v>57</v>
      </c>
      <c r="D73" s="27" t="s">
        <v>48</v>
      </c>
      <c r="E73" s="9" t="s">
        <v>67</v>
      </c>
      <c r="F73" s="9" t="s">
        <v>40</v>
      </c>
      <c r="G73" s="1">
        <v>113</v>
      </c>
      <c r="H73" s="11">
        <v>42.28</v>
      </c>
      <c r="I73" s="1">
        <v>172</v>
      </c>
      <c r="J73" s="1">
        <v>232</v>
      </c>
      <c r="K73" s="1">
        <v>8.6999999999999993</v>
      </c>
      <c r="L73" s="1">
        <v>7</v>
      </c>
      <c r="M73" s="1">
        <v>15</v>
      </c>
      <c r="N73" s="1">
        <v>25</v>
      </c>
      <c r="O73" s="1">
        <v>5</v>
      </c>
      <c r="P73" s="1">
        <v>24</v>
      </c>
      <c r="Q73" s="1">
        <v>681</v>
      </c>
      <c r="R73" s="9" t="s">
        <v>67</v>
      </c>
      <c r="S73" s="1">
        <v>1835</v>
      </c>
      <c r="T73" s="6">
        <v>1835</v>
      </c>
      <c r="U73" s="40">
        <v>0.65</v>
      </c>
      <c r="V73" s="40">
        <f t="shared" si="18"/>
        <v>1192.75</v>
      </c>
      <c r="W73" s="6">
        <v>61</v>
      </c>
      <c r="X73" s="40">
        <f t="shared" si="17"/>
        <v>73.686885245901635</v>
      </c>
      <c r="Y73" s="40">
        <v>4494.8999999999996</v>
      </c>
      <c r="Z73" s="40"/>
      <c r="AA73" s="41">
        <v>139024.70000000001</v>
      </c>
      <c r="AB73" s="10">
        <f t="shared" si="15"/>
        <v>137831.95000000001</v>
      </c>
      <c r="AC73" s="45" t="s">
        <v>74</v>
      </c>
      <c r="AD73" s="40">
        <f t="shared" si="16"/>
        <v>137831.95000000001</v>
      </c>
      <c r="AE73" s="43"/>
      <c r="AF73" s="44"/>
      <c r="AG73" s="13" t="s">
        <v>58</v>
      </c>
      <c r="AH73" s="10">
        <f t="shared" si="14"/>
        <v>137831.95000000001</v>
      </c>
    </row>
    <row r="74" spans="1:34" x14ac:dyDescent="0.3">
      <c r="A74" s="6">
        <v>68</v>
      </c>
      <c r="B74" s="7">
        <v>46230</v>
      </c>
      <c r="C74" s="1" t="s">
        <v>57</v>
      </c>
      <c r="D74" s="27" t="s">
        <v>48</v>
      </c>
      <c r="E74" s="9" t="s">
        <v>67</v>
      </c>
      <c r="F74" s="9" t="s">
        <v>40</v>
      </c>
      <c r="G74" s="1">
        <v>114</v>
      </c>
      <c r="H74" s="11">
        <v>43.33</v>
      </c>
      <c r="I74" s="1">
        <v>178</v>
      </c>
      <c r="J74" s="1">
        <v>239</v>
      </c>
      <c r="K74" s="47">
        <v>9</v>
      </c>
      <c r="L74" s="1">
        <v>8</v>
      </c>
      <c r="M74" s="1">
        <v>16</v>
      </c>
      <c r="N74" s="1">
        <v>26</v>
      </c>
      <c r="O74" s="1">
        <v>2</v>
      </c>
      <c r="P74" s="1">
        <v>16</v>
      </c>
      <c r="Q74" s="1">
        <v>684</v>
      </c>
      <c r="R74" s="9" t="s">
        <v>67</v>
      </c>
      <c r="S74" s="1">
        <v>1653</v>
      </c>
      <c r="T74" s="6">
        <v>1653</v>
      </c>
      <c r="U74" s="40">
        <v>0.65</v>
      </c>
      <c r="V74" s="40">
        <f t="shared" si="18"/>
        <v>1074.45</v>
      </c>
      <c r="W74" s="6">
        <v>56</v>
      </c>
      <c r="X74" s="40">
        <f t="shared" si="17"/>
        <v>71.260714285714286</v>
      </c>
      <c r="Y74" s="40">
        <v>3990.6</v>
      </c>
      <c r="Z74" s="40"/>
      <c r="AA74" s="41">
        <v>123721.7</v>
      </c>
      <c r="AB74" s="10">
        <f t="shared" si="15"/>
        <v>122647.25</v>
      </c>
      <c r="AC74" s="45" t="s">
        <v>75</v>
      </c>
      <c r="AD74" s="40">
        <f t="shared" si="16"/>
        <v>122647.25</v>
      </c>
      <c r="AE74" s="43"/>
      <c r="AF74" s="44"/>
      <c r="AG74" s="13" t="s">
        <v>58</v>
      </c>
      <c r="AH74" s="10">
        <f t="shared" si="14"/>
        <v>122647.25</v>
      </c>
    </row>
    <row r="75" spans="1:34" x14ac:dyDescent="0.3">
      <c r="A75" s="6">
        <v>69</v>
      </c>
      <c r="B75" s="7">
        <v>46231</v>
      </c>
      <c r="C75" s="1" t="s">
        <v>57</v>
      </c>
      <c r="D75" s="27" t="s">
        <v>48</v>
      </c>
      <c r="E75" s="9" t="s">
        <v>67</v>
      </c>
      <c r="F75" s="9" t="s">
        <v>40</v>
      </c>
      <c r="G75" s="1">
        <v>115</v>
      </c>
      <c r="H75" s="11">
        <v>44.26</v>
      </c>
      <c r="I75" s="1">
        <v>174</v>
      </c>
      <c r="J75" s="1">
        <v>239</v>
      </c>
      <c r="K75" s="47">
        <v>9</v>
      </c>
      <c r="L75" s="1">
        <v>5</v>
      </c>
      <c r="M75" s="1">
        <v>13</v>
      </c>
      <c r="N75" s="1">
        <v>31</v>
      </c>
      <c r="O75" s="1">
        <v>1</v>
      </c>
      <c r="P75" s="1">
        <v>23</v>
      </c>
      <c r="Q75" s="1">
        <v>680</v>
      </c>
      <c r="R75" s="9" t="s">
        <v>67</v>
      </c>
      <c r="S75" s="1">
        <v>1795</v>
      </c>
      <c r="T75" s="6">
        <v>1795</v>
      </c>
      <c r="U75" s="40">
        <v>0.65</v>
      </c>
      <c r="V75" s="40">
        <f t="shared" si="18"/>
        <v>1166.75</v>
      </c>
      <c r="W75" s="6">
        <v>60</v>
      </c>
      <c r="X75" s="40">
        <f t="shared" si="17"/>
        <v>72.418333333333337</v>
      </c>
      <c r="Y75" s="40">
        <v>4345.1000000000004</v>
      </c>
      <c r="Z75" s="40"/>
      <c r="AA75" s="41">
        <v>136250.70000000001</v>
      </c>
      <c r="AB75" s="10">
        <f t="shared" si="15"/>
        <v>135083.95000000001</v>
      </c>
      <c r="AC75" s="45" t="s">
        <v>76</v>
      </c>
      <c r="AD75" s="40">
        <f t="shared" si="16"/>
        <v>135083.95000000001</v>
      </c>
      <c r="AE75" s="43"/>
      <c r="AF75" s="44"/>
      <c r="AG75" s="13" t="s">
        <v>58</v>
      </c>
      <c r="AH75" s="10">
        <f t="shared" si="14"/>
        <v>135083.95000000001</v>
      </c>
    </row>
    <row r="76" spans="1:34" x14ac:dyDescent="0.3">
      <c r="A76" s="6">
        <v>70</v>
      </c>
      <c r="B76" s="7">
        <v>46232</v>
      </c>
      <c r="C76" s="1" t="s">
        <v>57</v>
      </c>
      <c r="D76" s="27" t="s">
        <v>48</v>
      </c>
      <c r="E76" s="9" t="s">
        <v>67</v>
      </c>
      <c r="F76" s="9" t="s">
        <v>40</v>
      </c>
      <c r="G76" s="1">
        <v>116</v>
      </c>
      <c r="H76" s="11">
        <v>43.07</v>
      </c>
      <c r="I76" s="1">
        <v>172</v>
      </c>
      <c r="J76" s="1">
        <v>241</v>
      </c>
      <c r="K76" s="1">
        <v>8.8000000000000007</v>
      </c>
      <c r="L76" s="1">
        <v>5</v>
      </c>
      <c r="M76" s="1">
        <v>13</v>
      </c>
      <c r="N76" s="1">
        <v>27</v>
      </c>
      <c r="O76" s="1">
        <v>2</v>
      </c>
      <c r="P76" s="1">
        <v>26</v>
      </c>
      <c r="Q76" s="1">
        <v>679</v>
      </c>
      <c r="R76" s="9" t="s">
        <v>67</v>
      </c>
      <c r="S76" s="1">
        <v>1811</v>
      </c>
      <c r="T76" s="6">
        <v>1811</v>
      </c>
      <c r="U76" s="40">
        <v>0.65</v>
      </c>
      <c r="V76" s="40">
        <f t="shared" si="18"/>
        <v>1177.1500000000001</v>
      </c>
      <c r="W76" s="6">
        <v>60</v>
      </c>
      <c r="X76" s="40">
        <f t="shared" si="17"/>
        <v>71.681666666666658</v>
      </c>
      <c r="Y76" s="40">
        <v>4300.8999999999996</v>
      </c>
      <c r="Z76" s="40"/>
      <c r="AA76" s="41">
        <f>'[2] Dryied &amp; Undry Issued RCN'!K33</f>
        <v>137037.70000000001</v>
      </c>
      <c r="AB76" s="10">
        <f t="shared" si="15"/>
        <v>135860.55000000002</v>
      </c>
      <c r="AC76" s="45" t="s">
        <v>77</v>
      </c>
      <c r="AD76" s="40">
        <f t="shared" si="16"/>
        <v>135860.55000000002</v>
      </c>
      <c r="AE76" s="43"/>
      <c r="AF76" s="44"/>
      <c r="AG76" s="13" t="s">
        <v>58</v>
      </c>
      <c r="AH76" s="10">
        <f t="shared" si="14"/>
        <v>135860.55000000002</v>
      </c>
    </row>
    <row r="77" spans="1:34" x14ac:dyDescent="0.3">
      <c r="A77" s="6">
        <v>71</v>
      </c>
      <c r="B77" s="7">
        <v>46233</v>
      </c>
      <c r="C77" s="1" t="s">
        <v>57</v>
      </c>
      <c r="D77" s="27" t="s">
        <v>48</v>
      </c>
      <c r="E77" s="9" t="s">
        <v>67</v>
      </c>
      <c r="F77" s="9" t="s">
        <v>40</v>
      </c>
      <c r="G77" s="1">
        <v>117</v>
      </c>
      <c r="H77" s="11">
        <v>41.97</v>
      </c>
      <c r="I77" s="1">
        <v>176</v>
      </c>
      <c r="J77" s="1">
        <v>228</v>
      </c>
      <c r="K77" s="1">
        <v>8.4</v>
      </c>
      <c r="L77" s="1">
        <v>5</v>
      </c>
      <c r="M77" s="1">
        <v>16</v>
      </c>
      <c r="N77" s="1">
        <v>28</v>
      </c>
      <c r="O77" s="1">
        <v>0</v>
      </c>
      <c r="P77" s="1">
        <v>35</v>
      </c>
      <c r="Q77" s="1">
        <v>680</v>
      </c>
      <c r="R77" s="9" t="s">
        <v>67</v>
      </c>
      <c r="S77" s="1">
        <v>1797</v>
      </c>
      <c r="T77" s="6">
        <v>1797</v>
      </c>
      <c r="U77" s="40">
        <v>0.65</v>
      </c>
      <c r="V77" s="40">
        <f t="shared" si="18"/>
        <v>1168.05</v>
      </c>
      <c r="W77" s="6">
        <v>60</v>
      </c>
      <c r="X77" s="40">
        <f t="shared" si="17"/>
        <v>71.958333333333329</v>
      </c>
      <c r="Y77" s="40">
        <v>4317.5</v>
      </c>
      <c r="Z77" s="40"/>
      <c r="AA77" s="41">
        <v>136449.79999999999</v>
      </c>
      <c r="AB77" s="10">
        <f t="shared" si="15"/>
        <v>135281.75</v>
      </c>
      <c r="AC77" s="45" t="s">
        <v>78</v>
      </c>
      <c r="AD77" s="40">
        <f t="shared" si="16"/>
        <v>135281.75</v>
      </c>
      <c r="AE77" s="43"/>
      <c r="AF77" s="44"/>
      <c r="AG77" s="13" t="s">
        <v>58</v>
      </c>
      <c r="AH77" s="10">
        <f t="shared" si="14"/>
        <v>135281.75</v>
      </c>
    </row>
    <row r="78" spans="1:34" x14ac:dyDescent="0.3">
      <c r="A78" s="6">
        <v>72</v>
      </c>
      <c r="B78" s="7">
        <v>46234</v>
      </c>
      <c r="C78" s="1" t="s">
        <v>57</v>
      </c>
      <c r="D78" s="27" t="s">
        <v>48</v>
      </c>
      <c r="E78" s="9" t="s">
        <v>67</v>
      </c>
      <c r="F78" s="9" t="s">
        <v>40</v>
      </c>
      <c r="G78" s="1">
        <v>118</v>
      </c>
      <c r="H78" s="11">
        <v>43.47</v>
      </c>
      <c r="I78" s="1">
        <v>172</v>
      </c>
      <c r="J78" s="1">
        <v>232</v>
      </c>
      <c r="K78" s="1">
        <v>8.4</v>
      </c>
      <c r="L78" s="1">
        <v>5</v>
      </c>
      <c r="M78" s="1">
        <v>15</v>
      </c>
      <c r="N78" s="1">
        <v>29</v>
      </c>
      <c r="O78" s="1">
        <v>0</v>
      </c>
      <c r="P78" s="1">
        <v>37</v>
      </c>
      <c r="Q78" s="1">
        <v>673</v>
      </c>
      <c r="R78" s="9" t="s">
        <v>67</v>
      </c>
      <c r="S78" s="1">
        <v>1716</v>
      </c>
      <c r="T78" s="6">
        <v>1716</v>
      </c>
      <c r="U78" s="40">
        <v>0.65</v>
      </c>
      <c r="V78" s="40">
        <f t="shared" si="18"/>
        <v>1115.4000000000001</v>
      </c>
      <c r="W78" s="6">
        <v>57</v>
      </c>
      <c r="X78" s="40">
        <f t="shared" si="17"/>
        <v>72.280701754385959</v>
      </c>
      <c r="Y78" s="40">
        <v>4120</v>
      </c>
      <c r="Z78" s="40"/>
      <c r="AA78" s="41">
        <v>129860.2</v>
      </c>
      <c r="AB78" s="10">
        <f t="shared" si="15"/>
        <v>128744.8</v>
      </c>
      <c r="AC78" s="45" t="s">
        <v>79</v>
      </c>
      <c r="AD78" s="40">
        <f t="shared" si="16"/>
        <v>128744.8</v>
      </c>
      <c r="AE78" s="43"/>
      <c r="AF78" s="44"/>
      <c r="AG78" s="13" t="s">
        <v>58</v>
      </c>
      <c r="AH78" s="10">
        <f t="shared" si="14"/>
        <v>128744.8</v>
      </c>
    </row>
    <row r="79" spans="1:34" x14ac:dyDescent="0.3">
      <c r="A79" s="6">
        <v>73</v>
      </c>
      <c r="B79" s="7">
        <v>46236</v>
      </c>
      <c r="C79" s="1" t="s">
        <v>57</v>
      </c>
      <c r="D79" s="27" t="s">
        <v>48</v>
      </c>
      <c r="E79" s="9" t="s">
        <v>67</v>
      </c>
      <c r="F79" s="9" t="s">
        <v>40</v>
      </c>
      <c r="G79" s="1">
        <v>119</v>
      </c>
      <c r="H79" s="11">
        <v>43.47</v>
      </c>
      <c r="I79" s="1">
        <v>175</v>
      </c>
      <c r="J79" s="1">
        <v>237</v>
      </c>
      <c r="K79" s="1">
        <v>8.4</v>
      </c>
      <c r="L79" s="1">
        <v>7</v>
      </c>
      <c r="M79" s="1">
        <v>16</v>
      </c>
      <c r="N79" s="1">
        <v>25</v>
      </c>
      <c r="O79" s="1">
        <v>1</v>
      </c>
      <c r="P79" s="1">
        <v>26</v>
      </c>
      <c r="Q79" s="1">
        <v>679</v>
      </c>
      <c r="R79" s="9" t="s">
        <v>67</v>
      </c>
      <c r="S79" s="1">
        <v>1583</v>
      </c>
      <c r="T79" s="6">
        <v>1583</v>
      </c>
      <c r="U79" s="40">
        <v>0.65</v>
      </c>
      <c r="V79" s="40">
        <f t="shared" si="18"/>
        <v>1028.95</v>
      </c>
      <c r="W79" s="6">
        <v>53</v>
      </c>
      <c r="X79" s="40">
        <f t="shared" si="17"/>
        <v>73.677358490566036</v>
      </c>
      <c r="Y79" s="40">
        <v>3904.9</v>
      </c>
      <c r="Z79" s="40"/>
      <c r="AA79" s="41">
        <f>'[2] Dryied &amp; Undry Issued RCN'!K36</f>
        <v>118474.3</v>
      </c>
      <c r="AB79" s="10">
        <f t="shared" si="15"/>
        <v>117445.35</v>
      </c>
      <c r="AC79" s="45">
        <v>46030</v>
      </c>
      <c r="AD79" s="40">
        <f t="shared" si="16"/>
        <v>117445.35</v>
      </c>
      <c r="AE79" s="43"/>
      <c r="AF79" s="44"/>
      <c r="AG79" s="13" t="s">
        <v>58</v>
      </c>
      <c r="AH79" s="10">
        <f t="shared" si="14"/>
        <v>117445.35</v>
      </c>
    </row>
    <row r="80" spans="1:34" x14ac:dyDescent="0.3">
      <c r="A80" s="6">
        <v>74</v>
      </c>
      <c r="B80" s="7">
        <v>46237</v>
      </c>
      <c r="C80" s="1" t="s">
        <v>57</v>
      </c>
      <c r="D80" s="27" t="s">
        <v>48</v>
      </c>
      <c r="E80" s="9" t="s">
        <v>67</v>
      </c>
      <c r="F80" s="9" t="s">
        <v>40</v>
      </c>
      <c r="G80" s="1">
        <v>120</v>
      </c>
      <c r="H80" s="11">
        <v>42.63</v>
      </c>
      <c r="I80" s="1">
        <v>175</v>
      </c>
      <c r="J80" s="1">
        <v>224</v>
      </c>
      <c r="K80" s="1">
        <v>8.1999999999999993</v>
      </c>
      <c r="L80" s="1">
        <v>11</v>
      </c>
      <c r="M80" s="1">
        <v>15</v>
      </c>
      <c r="N80" s="1">
        <v>33</v>
      </c>
      <c r="O80" s="1">
        <v>0</v>
      </c>
      <c r="P80" s="1">
        <v>22</v>
      </c>
      <c r="Q80" s="1">
        <v>687</v>
      </c>
      <c r="R80" s="9" t="s">
        <v>67</v>
      </c>
      <c r="S80" s="1">
        <v>1506</v>
      </c>
      <c r="T80" s="6">
        <v>1506</v>
      </c>
      <c r="U80" s="40">
        <v>0.65</v>
      </c>
      <c r="V80" s="40">
        <f t="shared" si="18"/>
        <v>978.9</v>
      </c>
      <c r="W80" s="6">
        <v>50</v>
      </c>
      <c r="X80" s="40">
        <f t="shared" si="17"/>
        <v>72.546000000000006</v>
      </c>
      <c r="Y80" s="40">
        <v>3627.3</v>
      </c>
      <c r="Z80" s="40"/>
      <c r="AA80" s="41">
        <f>'[2] Dryied &amp; Undry Issued RCN'!K37</f>
        <v>113632.09999999999</v>
      </c>
      <c r="AB80" s="10">
        <f t="shared" si="15"/>
        <v>112653.2</v>
      </c>
      <c r="AC80" s="45">
        <v>46089</v>
      </c>
      <c r="AD80" s="40">
        <f t="shared" si="16"/>
        <v>112653.2</v>
      </c>
      <c r="AE80" s="43"/>
      <c r="AF80" s="44"/>
      <c r="AG80" s="13" t="s">
        <v>58</v>
      </c>
      <c r="AH80" s="10">
        <f t="shared" si="14"/>
        <v>112653.2</v>
      </c>
    </row>
    <row r="81" spans="1:35" x14ac:dyDescent="0.3">
      <c r="A81" s="6">
        <v>75</v>
      </c>
      <c r="B81" s="7">
        <v>46237</v>
      </c>
      <c r="C81" s="1" t="s">
        <v>57</v>
      </c>
      <c r="D81" s="27" t="s">
        <v>45</v>
      </c>
      <c r="E81" s="9" t="s">
        <v>80</v>
      </c>
      <c r="F81" s="9" t="s">
        <v>40</v>
      </c>
      <c r="G81" s="1">
        <v>120</v>
      </c>
      <c r="H81" s="11">
        <v>40.69</v>
      </c>
      <c r="I81" s="1">
        <v>189</v>
      </c>
      <c r="J81" s="1">
        <v>212</v>
      </c>
      <c r="K81" s="1">
        <v>8.1999999999999993</v>
      </c>
      <c r="L81" s="1">
        <v>7</v>
      </c>
      <c r="M81" s="1">
        <v>15</v>
      </c>
      <c r="N81" s="1">
        <v>64</v>
      </c>
      <c r="O81" s="1">
        <v>0</v>
      </c>
      <c r="P81" s="1">
        <v>17</v>
      </c>
      <c r="Q81" s="1">
        <v>678</v>
      </c>
      <c r="R81" s="9" t="s">
        <v>80</v>
      </c>
      <c r="S81" s="1">
        <v>300</v>
      </c>
      <c r="T81" s="6">
        <v>300</v>
      </c>
      <c r="U81" s="40">
        <v>0.65</v>
      </c>
      <c r="V81" s="40">
        <f t="shared" si="18"/>
        <v>195</v>
      </c>
      <c r="W81" s="6">
        <v>10</v>
      </c>
      <c r="X81" s="40">
        <f t="shared" si="17"/>
        <v>71.599999999999994</v>
      </c>
      <c r="Y81" s="40">
        <v>716</v>
      </c>
      <c r="Z81" s="40"/>
      <c r="AA81" s="41">
        <f>'[2] Dryied &amp; Undry Issued RCN'!K38</f>
        <v>21406.2</v>
      </c>
      <c r="AB81" s="10">
        <f t="shared" si="15"/>
        <v>21211.200000000001</v>
      </c>
      <c r="AC81" s="45">
        <v>46089</v>
      </c>
      <c r="AD81" s="40">
        <f t="shared" si="16"/>
        <v>21211.200000000001</v>
      </c>
      <c r="AE81" s="43"/>
      <c r="AF81" s="44"/>
      <c r="AG81" s="13" t="s">
        <v>58</v>
      </c>
      <c r="AH81" s="10">
        <f t="shared" si="14"/>
        <v>21211.200000000001</v>
      </c>
    </row>
    <row r="82" spans="1:35" x14ac:dyDescent="0.3">
      <c r="A82" s="6">
        <v>76</v>
      </c>
      <c r="B82" s="7">
        <v>46238</v>
      </c>
      <c r="C82" s="1" t="s">
        <v>57</v>
      </c>
      <c r="D82" s="27" t="s">
        <v>45</v>
      </c>
      <c r="E82" s="9" t="s">
        <v>80</v>
      </c>
      <c r="F82" s="9" t="s">
        <v>40</v>
      </c>
      <c r="G82" s="1">
        <v>121</v>
      </c>
      <c r="H82" s="11">
        <v>42.94</v>
      </c>
      <c r="I82" s="1">
        <v>171</v>
      </c>
      <c r="J82" s="1">
        <v>227</v>
      </c>
      <c r="K82" s="1">
        <v>8.3000000000000007</v>
      </c>
      <c r="L82" s="1">
        <v>6</v>
      </c>
      <c r="M82" s="1">
        <v>20</v>
      </c>
      <c r="N82" s="1">
        <v>27</v>
      </c>
      <c r="O82" s="1">
        <v>2</v>
      </c>
      <c r="P82" s="1">
        <v>24</v>
      </c>
      <c r="Q82" s="1">
        <v>686</v>
      </c>
      <c r="R82" s="9" t="s">
        <v>80</v>
      </c>
      <c r="S82" s="1">
        <v>450</v>
      </c>
      <c r="T82" s="6">
        <v>450</v>
      </c>
      <c r="U82" s="40">
        <v>0.65</v>
      </c>
      <c r="V82" s="40">
        <f t="shared" si="18"/>
        <v>292.5</v>
      </c>
      <c r="W82" s="6">
        <v>15</v>
      </c>
      <c r="X82" s="40">
        <f t="shared" si="17"/>
        <v>76.86666666666666</v>
      </c>
      <c r="Y82" s="40">
        <v>1153</v>
      </c>
      <c r="Z82" s="40"/>
      <c r="AA82" s="41">
        <f>'[2] Dryied &amp; Undry Issued RCN'!K40</f>
        <v>32234.699999999997</v>
      </c>
      <c r="AB82" s="10">
        <f t="shared" si="15"/>
        <v>31942.199999999997</v>
      </c>
      <c r="AC82" s="45">
        <v>46120</v>
      </c>
      <c r="AD82" s="40">
        <f t="shared" si="16"/>
        <v>31942.199999999997</v>
      </c>
      <c r="AE82" s="43"/>
      <c r="AF82" s="44"/>
      <c r="AG82" s="13" t="s">
        <v>58</v>
      </c>
      <c r="AH82" s="10">
        <f t="shared" si="14"/>
        <v>31942.199999999997</v>
      </c>
      <c r="AI82" s="1" t="s">
        <v>81</v>
      </c>
    </row>
    <row r="83" spans="1:35" x14ac:dyDescent="0.3">
      <c r="A83" s="6">
        <v>77</v>
      </c>
      <c r="B83" s="7">
        <v>46238</v>
      </c>
      <c r="C83" s="1" t="s">
        <v>57</v>
      </c>
      <c r="D83" s="27" t="s">
        <v>48</v>
      </c>
      <c r="E83" s="9" t="s">
        <v>67</v>
      </c>
      <c r="F83" s="9" t="s">
        <v>40</v>
      </c>
      <c r="G83" s="1">
        <v>121</v>
      </c>
      <c r="H83" s="11">
        <v>42.94</v>
      </c>
      <c r="I83" s="1">
        <v>171</v>
      </c>
      <c r="J83" s="1">
        <v>227</v>
      </c>
      <c r="K83" s="1">
        <v>8.3000000000000007</v>
      </c>
      <c r="L83" s="1">
        <v>6</v>
      </c>
      <c r="M83" s="1">
        <v>20</v>
      </c>
      <c r="N83" s="1">
        <v>27</v>
      </c>
      <c r="O83" s="1">
        <v>2</v>
      </c>
      <c r="P83" s="1">
        <v>24</v>
      </c>
      <c r="Q83" s="1">
        <v>686</v>
      </c>
      <c r="R83" s="9" t="s">
        <v>67</v>
      </c>
      <c r="S83" s="1">
        <v>1656</v>
      </c>
      <c r="T83" s="6">
        <v>1656</v>
      </c>
      <c r="U83" s="40">
        <v>0.65</v>
      </c>
      <c r="V83" s="40">
        <f t="shared" si="18"/>
        <v>1076.4000000000001</v>
      </c>
      <c r="W83" s="6">
        <v>55</v>
      </c>
      <c r="X83" s="40">
        <f t="shared" si="17"/>
        <v>72.965454545454548</v>
      </c>
      <c r="Y83" s="40">
        <v>4013.1</v>
      </c>
      <c r="Z83" s="40"/>
      <c r="AA83" s="41">
        <f>'[2] Dryied &amp; Undry Issued RCN'!K39</f>
        <v>125120.4</v>
      </c>
      <c r="AB83" s="10">
        <f t="shared" si="15"/>
        <v>124044</v>
      </c>
      <c r="AC83" s="45">
        <v>46120</v>
      </c>
      <c r="AD83" s="40">
        <f t="shared" si="16"/>
        <v>124044</v>
      </c>
      <c r="AE83" s="43"/>
      <c r="AF83" s="44"/>
      <c r="AG83" s="13" t="s">
        <v>58</v>
      </c>
      <c r="AH83" s="10">
        <f t="shared" si="14"/>
        <v>124044</v>
      </c>
      <c r="AI83" s="1" t="s">
        <v>81</v>
      </c>
    </row>
    <row r="84" spans="1:35" x14ac:dyDescent="0.3">
      <c r="A84" s="6">
        <v>78</v>
      </c>
      <c r="B84" s="7">
        <v>46239</v>
      </c>
      <c r="C84" s="1" t="s">
        <v>57</v>
      </c>
      <c r="D84" s="27" t="s">
        <v>48</v>
      </c>
      <c r="E84" s="9" t="s">
        <v>67</v>
      </c>
      <c r="F84" s="9" t="s">
        <v>40</v>
      </c>
      <c r="G84" s="1">
        <v>122</v>
      </c>
      <c r="H84" s="11">
        <v>42.72</v>
      </c>
      <c r="I84" s="1">
        <v>174</v>
      </c>
      <c r="J84" s="1">
        <v>231</v>
      </c>
      <c r="K84" s="1">
        <v>8.4</v>
      </c>
      <c r="L84" s="1">
        <v>7</v>
      </c>
      <c r="M84" s="1">
        <v>15</v>
      </c>
      <c r="N84" s="1">
        <v>37</v>
      </c>
      <c r="O84" s="1">
        <v>0</v>
      </c>
      <c r="P84" s="1">
        <v>15</v>
      </c>
      <c r="Q84" s="1">
        <v>687</v>
      </c>
      <c r="R84" s="9" t="s">
        <v>67</v>
      </c>
      <c r="S84" s="1">
        <f>731+115</f>
        <v>846</v>
      </c>
      <c r="T84" s="6">
        <v>846</v>
      </c>
      <c r="U84" s="40">
        <v>0.65</v>
      </c>
      <c r="V84" s="40">
        <f t="shared" si="18"/>
        <v>549.9</v>
      </c>
      <c r="W84" s="6">
        <v>29</v>
      </c>
      <c r="X84" s="40">
        <f t="shared" si="17"/>
        <v>72.258620689655174</v>
      </c>
      <c r="Y84" s="40">
        <v>2095.5</v>
      </c>
      <c r="Z84" s="40"/>
      <c r="AA84" s="41">
        <v>63793.599999999999</v>
      </c>
      <c r="AB84" s="10">
        <f t="shared" si="15"/>
        <v>63243.7</v>
      </c>
      <c r="AC84" s="45">
        <v>46150</v>
      </c>
      <c r="AD84" s="40">
        <f t="shared" si="16"/>
        <v>63243.7</v>
      </c>
      <c r="AE84" s="43"/>
      <c r="AF84" s="44"/>
      <c r="AG84" s="13" t="s">
        <v>58</v>
      </c>
      <c r="AH84" s="10">
        <f t="shared" si="14"/>
        <v>63243.7</v>
      </c>
    </row>
    <row r="85" spans="1:35" x14ac:dyDescent="0.3">
      <c r="A85" s="6">
        <v>79</v>
      </c>
      <c r="B85" s="7">
        <v>46239</v>
      </c>
      <c r="C85" s="1" t="s">
        <v>57</v>
      </c>
      <c r="D85" s="27" t="s">
        <v>45</v>
      </c>
      <c r="E85" s="9" t="s">
        <v>80</v>
      </c>
      <c r="F85" s="9" t="s">
        <v>40</v>
      </c>
      <c r="G85" s="1">
        <v>122</v>
      </c>
      <c r="H85" s="11">
        <v>40.119999999999997</v>
      </c>
      <c r="I85" s="1">
        <v>184</v>
      </c>
      <c r="J85" s="1">
        <v>212</v>
      </c>
      <c r="K85" s="1">
        <v>7.8</v>
      </c>
      <c r="L85" s="1">
        <v>11</v>
      </c>
      <c r="M85" s="1">
        <v>20</v>
      </c>
      <c r="N85" s="1">
        <v>36</v>
      </c>
      <c r="O85" s="1">
        <v>0</v>
      </c>
      <c r="P85" s="1">
        <v>17</v>
      </c>
      <c r="Q85" s="1">
        <v>695</v>
      </c>
      <c r="R85" s="9" t="s">
        <v>80</v>
      </c>
      <c r="S85" s="1">
        <v>450</v>
      </c>
      <c r="T85" s="6">
        <v>450</v>
      </c>
      <c r="U85" s="40">
        <v>0.65</v>
      </c>
      <c r="V85" s="40">
        <f t="shared" si="18"/>
        <v>292.5</v>
      </c>
      <c r="W85" s="6">
        <v>15</v>
      </c>
      <c r="X85" s="40">
        <f t="shared" si="17"/>
        <v>73.819999999999993</v>
      </c>
      <c r="Y85" s="40">
        <v>1107.3</v>
      </c>
      <c r="Z85" s="40"/>
      <c r="AA85" s="41">
        <f>'[2] Dryied &amp; Undry Issued RCN'!K42</f>
        <v>31952.500000000004</v>
      </c>
      <c r="AB85" s="10">
        <f t="shared" si="15"/>
        <v>31660.000000000004</v>
      </c>
      <c r="AC85" s="45">
        <v>46150</v>
      </c>
      <c r="AD85" s="40">
        <f t="shared" si="16"/>
        <v>31660.000000000004</v>
      </c>
      <c r="AE85" s="43"/>
      <c r="AF85" s="44"/>
      <c r="AG85" s="13" t="s">
        <v>58</v>
      </c>
      <c r="AH85" s="10">
        <f t="shared" si="14"/>
        <v>31660.000000000004</v>
      </c>
    </row>
    <row r="86" spans="1:35" x14ac:dyDescent="0.3">
      <c r="A86" s="6">
        <v>80</v>
      </c>
      <c r="B86" s="7">
        <v>46239</v>
      </c>
      <c r="C86" s="1" t="s">
        <v>57</v>
      </c>
      <c r="D86" s="27" t="s">
        <v>44</v>
      </c>
      <c r="E86" s="9" t="s">
        <v>82</v>
      </c>
      <c r="F86" s="9" t="s">
        <v>40</v>
      </c>
      <c r="G86" s="1">
        <v>122</v>
      </c>
      <c r="H86" s="11">
        <v>42.32</v>
      </c>
      <c r="I86" s="1">
        <v>173</v>
      </c>
      <c r="J86" s="1">
        <v>234</v>
      </c>
      <c r="K86" s="1">
        <v>9</v>
      </c>
      <c r="L86" s="1">
        <v>4</v>
      </c>
      <c r="M86" s="1">
        <v>8</v>
      </c>
      <c r="N86" s="1">
        <v>45</v>
      </c>
      <c r="O86" s="1">
        <v>0</v>
      </c>
      <c r="P86" s="1">
        <v>17</v>
      </c>
      <c r="Q86" s="1">
        <v>683</v>
      </c>
      <c r="R86" s="9" t="s">
        <v>83</v>
      </c>
      <c r="S86" s="1">
        <v>300</v>
      </c>
      <c r="T86" s="6">
        <v>300</v>
      </c>
      <c r="U86" s="40">
        <v>0.65</v>
      </c>
      <c r="V86" s="40">
        <f t="shared" si="18"/>
        <v>195</v>
      </c>
      <c r="W86" s="6">
        <v>10</v>
      </c>
      <c r="X86" s="40">
        <f t="shared" si="17"/>
        <v>65.58</v>
      </c>
      <c r="Y86" s="40">
        <v>655.8</v>
      </c>
      <c r="Z86" s="40"/>
      <c r="AA86" s="41">
        <f>'[2] Dryied &amp; Undry Issued RCN'!K43</f>
        <v>22623.100000000002</v>
      </c>
      <c r="AB86" s="10">
        <f t="shared" si="15"/>
        <v>22428.100000000002</v>
      </c>
      <c r="AC86" s="45">
        <v>46150</v>
      </c>
      <c r="AD86" s="40">
        <f t="shared" si="16"/>
        <v>22428.100000000002</v>
      </c>
      <c r="AE86" s="43"/>
      <c r="AF86" s="44"/>
      <c r="AG86" s="13" t="s">
        <v>58</v>
      </c>
      <c r="AH86" s="10">
        <f t="shared" si="14"/>
        <v>22428.100000000002</v>
      </c>
    </row>
    <row r="87" spans="1:35" x14ac:dyDescent="0.3">
      <c r="A87" s="6">
        <v>81</v>
      </c>
      <c r="B87" s="7">
        <v>46240</v>
      </c>
      <c r="C87" s="1" t="s">
        <v>57</v>
      </c>
      <c r="D87" s="27" t="s">
        <v>48</v>
      </c>
      <c r="E87" s="9" t="s">
        <v>67</v>
      </c>
      <c r="F87" s="9" t="s">
        <v>40</v>
      </c>
      <c r="G87" s="1">
        <v>123</v>
      </c>
      <c r="H87" s="11">
        <v>41.27</v>
      </c>
      <c r="I87" s="1">
        <v>178</v>
      </c>
      <c r="J87" s="1">
        <v>229</v>
      </c>
      <c r="K87" s="1">
        <v>8.6</v>
      </c>
      <c r="L87" s="1">
        <v>4</v>
      </c>
      <c r="M87" s="1">
        <v>6</v>
      </c>
      <c r="N87" s="1">
        <v>46</v>
      </c>
      <c r="O87" s="1">
        <v>1</v>
      </c>
      <c r="P87" s="1">
        <v>24</v>
      </c>
      <c r="Q87" s="1">
        <v>683</v>
      </c>
      <c r="R87" s="9" t="s">
        <v>67</v>
      </c>
      <c r="S87" s="1">
        <v>412</v>
      </c>
      <c r="T87" s="6">
        <v>412</v>
      </c>
      <c r="U87" s="40">
        <v>0.65</v>
      </c>
      <c r="V87" s="40">
        <f t="shared" si="18"/>
        <v>267.8</v>
      </c>
      <c r="W87" s="6">
        <v>14</v>
      </c>
      <c r="X87" s="40">
        <f t="shared" si="17"/>
        <v>76.95714285714287</v>
      </c>
      <c r="Y87" s="40">
        <v>1077.4000000000001</v>
      </c>
      <c r="Z87" s="40"/>
      <c r="AA87" s="41">
        <f>'[2] Dryied &amp; Undry Issued RCN'!K44</f>
        <v>31551.399999999998</v>
      </c>
      <c r="AB87" s="10">
        <f t="shared" si="15"/>
        <v>31283.599999999999</v>
      </c>
      <c r="AC87" s="45">
        <v>46181</v>
      </c>
      <c r="AD87" s="40">
        <f t="shared" si="16"/>
        <v>31283.599999999999</v>
      </c>
      <c r="AE87" s="43"/>
      <c r="AF87" s="44"/>
      <c r="AG87" s="13" t="s">
        <v>58</v>
      </c>
      <c r="AH87" s="10">
        <f t="shared" si="14"/>
        <v>31283.599999999999</v>
      </c>
    </row>
    <row r="88" spans="1:35" x14ac:dyDescent="0.3">
      <c r="A88" s="6">
        <v>82</v>
      </c>
      <c r="B88" s="7">
        <v>46240</v>
      </c>
      <c r="C88" s="1" t="s">
        <v>57</v>
      </c>
      <c r="D88" s="27" t="s">
        <v>45</v>
      </c>
      <c r="E88" s="9" t="s">
        <v>80</v>
      </c>
      <c r="F88" s="9" t="s">
        <v>40</v>
      </c>
      <c r="G88" s="1">
        <v>123</v>
      </c>
      <c r="H88" s="11">
        <v>39.24</v>
      </c>
      <c r="I88" s="1">
        <v>183</v>
      </c>
      <c r="J88" s="1">
        <v>214</v>
      </c>
      <c r="K88" s="1">
        <v>8.4</v>
      </c>
      <c r="L88" s="1">
        <v>3</v>
      </c>
      <c r="M88" s="1">
        <v>14</v>
      </c>
      <c r="N88" s="1">
        <v>52</v>
      </c>
      <c r="O88" s="1">
        <v>0</v>
      </c>
      <c r="P88" s="1">
        <v>18</v>
      </c>
      <c r="Q88" s="1">
        <v>691</v>
      </c>
      <c r="R88" s="9" t="s">
        <v>80</v>
      </c>
      <c r="S88" s="1">
        <v>450</v>
      </c>
      <c r="T88" s="6">
        <v>450</v>
      </c>
      <c r="U88" s="40">
        <v>0.65</v>
      </c>
      <c r="V88" s="40">
        <f t="shared" si="18"/>
        <v>292.5</v>
      </c>
      <c r="W88" s="6">
        <v>15</v>
      </c>
      <c r="X88" s="40">
        <f t="shared" si="17"/>
        <v>77.599999999999994</v>
      </c>
      <c r="Y88" s="40">
        <v>1164</v>
      </c>
      <c r="Z88" s="40"/>
      <c r="AA88" s="41">
        <f>'[2] Dryied &amp; Undry Issued RCN'!K45</f>
        <v>33165.800000000003</v>
      </c>
      <c r="AB88" s="10">
        <f t="shared" si="15"/>
        <v>32873.300000000003</v>
      </c>
      <c r="AC88" s="45">
        <v>46181</v>
      </c>
      <c r="AD88" s="40">
        <f t="shared" si="16"/>
        <v>32873.300000000003</v>
      </c>
      <c r="AE88" s="43"/>
      <c r="AF88" s="44"/>
      <c r="AG88" s="13" t="s">
        <v>58</v>
      </c>
      <c r="AH88" s="10">
        <f t="shared" si="14"/>
        <v>32873.300000000003</v>
      </c>
    </row>
    <row r="89" spans="1:35" x14ac:dyDescent="0.3">
      <c r="A89" s="6">
        <v>83</v>
      </c>
      <c r="B89" s="7">
        <v>46240</v>
      </c>
      <c r="C89" s="1" t="s">
        <v>57</v>
      </c>
      <c r="D89" s="27" t="s">
        <v>44</v>
      </c>
      <c r="E89" s="9" t="s">
        <v>82</v>
      </c>
      <c r="F89" s="9" t="s">
        <v>40</v>
      </c>
      <c r="G89" s="1">
        <v>123</v>
      </c>
      <c r="H89" s="11">
        <v>42.68</v>
      </c>
      <c r="I89" s="1">
        <v>172</v>
      </c>
      <c r="J89" s="1">
        <v>233</v>
      </c>
      <c r="K89" s="1">
        <v>8.4</v>
      </c>
      <c r="L89" s="1">
        <v>6</v>
      </c>
      <c r="M89" s="1">
        <v>12</v>
      </c>
      <c r="N89" s="1">
        <v>31</v>
      </c>
      <c r="O89" s="1">
        <v>2</v>
      </c>
      <c r="P89" s="1">
        <v>35</v>
      </c>
      <c r="Q89" s="1">
        <v>672</v>
      </c>
      <c r="R89" s="9" t="s">
        <v>83</v>
      </c>
      <c r="S89" s="1">
        <v>300</v>
      </c>
      <c r="T89" s="6">
        <v>300</v>
      </c>
      <c r="U89" s="40">
        <v>0.65</v>
      </c>
      <c r="V89" s="40">
        <f t="shared" si="18"/>
        <v>195</v>
      </c>
      <c r="W89" s="6">
        <v>10</v>
      </c>
      <c r="X89" s="40">
        <f t="shared" si="17"/>
        <v>78.08</v>
      </c>
      <c r="Y89" s="40">
        <v>780.8</v>
      </c>
      <c r="Z89" s="40"/>
      <c r="AA89" s="41">
        <f>'[2] Dryied &amp; Undry Issued RCN'!K46</f>
        <v>22491.9</v>
      </c>
      <c r="AB89" s="10">
        <f t="shared" si="15"/>
        <v>22296.9</v>
      </c>
      <c r="AC89" s="45">
        <v>46181</v>
      </c>
      <c r="AD89" s="40">
        <f t="shared" si="16"/>
        <v>22296.9</v>
      </c>
      <c r="AE89" s="43"/>
      <c r="AF89" s="44"/>
      <c r="AG89" s="13" t="s">
        <v>58</v>
      </c>
      <c r="AH89" s="10">
        <f t="shared" si="14"/>
        <v>22296.9</v>
      </c>
    </row>
    <row r="90" spans="1:35" x14ac:dyDescent="0.3">
      <c r="A90" s="6">
        <v>84</v>
      </c>
      <c r="B90" s="7">
        <v>46243</v>
      </c>
      <c r="C90" s="1" t="s">
        <v>57</v>
      </c>
      <c r="D90" s="27" t="s">
        <v>45</v>
      </c>
      <c r="E90" s="9" t="s">
        <v>80</v>
      </c>
      <c r="F90" s="9" t="s">
        <v>40</v>
      </c>
      <c r="G90" s="1">
        <v>124</v>
      </c>
      <c r="H90" s="11">
        <v>40.25</v>
      </c>
      <c r="I90" s="1">
        <v>187</v>
      </c>
      <c r="J90" s="1">
        <v>226</v>
      </c>
      <c r="K90" s="1">
        <v>7.6</v>
      </c>
      <c r="L90" s="1">
        <v>5</v>
      </c>
      <c r="M90" s="1">
        <v>13</v>
      </c>
      <c r="N90" s="1">
        <v>40</v>
      </c>
      <c r="O90" s="1">
        <v>1</v>
      </c>
      <c r="P90" s="1">
        <v>16</v>
      </c>
      <c r="Q90" s="1">
        <v>690</v>
      </c>
      <c r="R90" s="9" t="s">
        <v>80</v>
      </c>
      <c r="S90" s="1">
        <f>1451+636</f>
        <v>2087</v>
      </c>
      <c r="T90" s="6">
        <v>2087</v>
      </c>
      <c r="U90" s="40">
        <v>0.65</v>
      </c>
      <c r="V90" s="40">
        <f t="shared" si="18"/>
        <v>1356.55</v>
      </c>
      <c r="W90" s="6">
        <f>50+21</f>
        <v>71</v>
      </c>
      <c r="X90" s="40">
        <f t="shared" si="17"/>
        <v>72.825352112676057</v>
      </c>
      <c r="Y90" s="40">
        <f>3599.9+1570.7</f>
        <v>5170.6000000000004</v>
      </c>
      <c r="Z90" s="40"/>
      <c r="AA90" s="41">
        <f>'[2] Dryied &amp; Undry Issued RCN'!K47+'[2] Dryied &amp; Undry Issued RCN'!K48-'[2]FINAL DRY RCN-YAKRO-2026'!T64</f>
        <v>120296.40000000002</v>
      </c>
      <c r="AB90" s="10">
        <f t="shared" si="15"/>
        <v>118939.85000000002</v>
      </c>
      <c r="AC90" s="45">
        <v>46273</v>
      </c>
      <c r="AD90" s="40">
        <f t="shared" si="16"/>
        <v>118939.85000000002</v>
      </c>
      <c r="AE90" s="43"/>
      <c r="AF90" s="44"/>
      <c r="AG90" s="13" t="s">
        <v>58</v>
      </c>
      <c r="AH90" s="10">
        <f t="shared" si="14"/>
        <v>118939.85000000002</v>
      </c>
    </row>
    <row r="91" spans="1:35" x14ac:dyDescent="0.3">
      <c r="A91" s="6">
        <v>85</v>
      </c>
      <c r="B91" s="7">
        <v>46243</v>
      </c>
      <c r="C91" s="1" t="s">
        <v>57</v>
      </c>
      <c r="D91" s="27" t="s">
        <v>45</v>
      </c>
      <c r="E91" s="9" t="s">
        <v>80</v>
      </c>
      <c r="F91" s="9" t="s">
        <v>52</v>
      </c>
      <c r="G91" s="1">
        <v>124</v>
      </c>
      <c r="H91" s="11">
        <v>40.25</v>
      </c>
      <c r="I91" s="1">
        <v>187</v>
      </c>
      <c r="J91" s="1">
        <v>226</v>
      </c>
      <c r="K91" s="1">
        <v>7.6</v>
      </c>
      <c r="L91" s="1">
        <v>5</v>
      </c>
      <c r="M91" s="1">
        <v>13</v>
      </c>
      <c r="N91" s="1">
        <v>40</v>
      </c>
      <c r="O91" s="1">
        <v>1</v>
      </c>
      <c r="P91" s="1">
        <v>16</v>
      </c>
      <c r="Q91" s="1">
        <v>690</v>
      </c>
      <c r="R91" s="9" t="s">
        <v>80</v>
      </c>
      <c r="S91" s="1">
        <v>531</v>
      </c>
      <c r="T91" s="6">
        <v>531</v>
      </c>
      <c r="U91" s="40">
        <v>1</v>
      </c>
      <c r="V91" s="40">
        <v>531</v>
      </c>
      <c r="W91" s="6"/>
      <c r="X91" s="40"/>
      <c r="Y91" s="40"/>
      <c r="Z91" s="40"/>
      <c r="AA91" s="41">
        <f>'[2]FINAL DRY RCN-YAKRO-2026'!R64</f>
        <v>36872</v>
      </c>
      <c r="AB91" s="10">
        <f t="shared" si="15"/>
        <v>36341</v>
      </c>
      <c r="AC91" s="45">
        <v>46273</v>
      </c>
      <c r="AD91" s="40">
        <f t="shared" si="16"/>
        <v>36341</v>
      </c>
      <c r="AE91" s="43"/>
      <c r="AF91" s="44"/>
      <c r="AG91" s="13" t="s">
        <v>58</v>
      </c>
      <c r="AH91" s="10">
        <f t="shared" si="14"/>
        <v>36341</v>
      </c>
    </row>
    <row r="92" spans="1:35" x14ac:dyDescent="0.3">
      <c r="A92" s="6">
        <v>86</v>
      </c>
      <c r="B92" s="7">
        <v>46244</v>
      </c>
      <c r="C92" s="1" t="s">
        <v>57</v>
      </c>
      <c r="D92" s="27" t="s">
        <v>44</v>
      </c>
      <c r="E92" s="9" t="s">
        <v>82</v>
      </c>
      <c r="F92" s="9" t="s">
        <v>40</v>
      </c>
      <c r="G92" s="1">
        <v>125</v>
      </c>
      <c r="H92" s="11">
        <v>43.64</v>
      </c>
      <c r="I92" s="1">
        <v>177</v>
      </c>
      <c r="J92" s="1">
        <v>240</v>
      </c>
      <c r="K92" s="1">
        <v>7.8</v>
      </c>
      <c r="L92" s="1">
        <v>6</v>
      </c>
      <c r="M92" s="1">
        <v>11</v>
      </c>
      <c r="N92" s="1">
        <v>25</v>
      </c>
      <c r="O92" s="1">
        <v>0</v>
      </c>
      <c r="P92" s="1">
        <v>35</v>
      </c>
      <c r="Q92" s="1">
        <v>671</v>
      </c>
      <c r="R92" s="9" t="s">
        <v>83</v>
      </c>
      <c r="S92" s="1">
        <v>1214</v>
      </c>
      <c r="T92" s="6">
        <v>1214</v>
      </c>
      <c r="U92" s="40">
        <v>0.65</v>
      </c>
      <c r="V92" s="40">
        <f t="shared" si="18"/>
        <v>789.1</v>
      </c>
      <c r="W92" s="6">
        <v>41</v>
      </c>
      <c r="X92" s="40">
        <f t="shared" si="17"/>
        <v>71.707317073170728</v>
      </c>
      <c r="Y92" s="40">
        <v>2940</v>
      </c>
      <c r="Z92" s="40"/>
      <c r="AA92" s="41">
        <f>'[2] Dryied &amp; Undry Issued RCN'!K49</f>
        <v>93569.1</v>
      </c>
      <c r="AB92" s="10">
        <f t="shared" si="15"/>
        <v>92780</v>
      </c>
      <c r="AC92" s="45">
        <v>46303</v>
      </c>
      <c r="AD92" s="40">
        <f t="shared" si="16"/>
        <v>92780</v>
      </c>
      <c r="AE92" s="43"/>
      <c r="AF92" s="44"/>
      <c r="AG92" s="13" t="s">
        <v>58</v>
      </c>
      <c r="AH92" s="10">
        <f t="shared" si="14"/>
        <v>92780</v>
      </c>
    </row>
    <row r="93" spans="1:35" x14ac:dyDescent="0.3">
      <c r="A93" s="6">
        <v>87</v>
      </c>
      <c r="B93" s="7">
        <v>46245</v>
      </c>
      <c r="C93" s="1" t="s">
        <v>57</v>
      </c>
      <c r="D93" s="27" t="s">
        <v>44</v>
      </c>
      <c r="E93" s="9" t="s">
        <v>82</v>
      </c>
      <c r="F93" s="9" t="s">
        <v>40</v>
      </c>
      <c r="G93" s="1">
        <v>126</v>
      </c>
      <c r="H93" s="11">
        <v>43.56</v>
      </c>
      <c r="I93" s="1">
        <v>181</v>
      </c>
      <c r="J93" s="1">
        <v>236</v>
      </c>
      <c r="K93" s="1">
        <v>8.3000000000000007</v>
      </c>
      <c r="L93" s="1">
        <v>5</v>
      </c>
      <c r="M93" s="1">
        <v>18</v>
      </c>
      <c r="N93" s="1">
        <v>24</v>
      </c>
      <c r="O93" s="1">
        <v>2</v>
      </c>
      <c r="P93" s="1">
        <v>13</v>
      </c>
      <c r="Q93" s="1">
        <v>694</v>
      </c>
      <c r="R93" s="9" t="s">
        <v>83</v>
      </c>
      <c r="S93" s="1">
        <v>1816</v>
      </c>
      <c r="T93" s="6">
        <v>1816</v>
      </c>
      <c r="U93" s="40">
        <v>0.65</v>
      </c>
      <c r="V93" s="40">
        <v>1180.4000000000001</v>
      </c>
      <c r="W93" s="6">
        <v>60</v>
      </c>
      <c r="X93" s="40">
        <f t="shared" si="17"/>
        <v>71.98</v>
      </c>
      <c r="Y93" s="40">
        <v>4318.8</v>
      </c>
      <c r="Z93" s="40"/>
      <c r="AA93" s="41">
        <v>139173.70000000001</v>
      </c>
      <c r="AB93" s="10">
        <f t="shared" si="15"/>
        <v>137993.30000000002</v>
      </c>
      <c r="AC93" s="45">
        <v>46334</v>
      </c>
      <c r="AD93" s="40">
        <f>AB93</f>
        <v>137993.30000000002</v>
      </c>
      <c r="AE93" s="43"/>
      <c r="AF93" s="44"/>
      <c r="AG93" s="13" t="s">
        <v>58</v>
      </c>
      <c r="AH93" s="10">
        <f t="shared" si="14"/>
        <v>137993.30000000002</v>
      </c>
    </row>
    <row r="94" spans="1:35" x14ac:dyDescent="0.3">
      <c r="A94" s="6">
        <v>88</v>
      </c>
      <c r="B94" s="7">
        <v>46246</v>
      </c>
      <c r="C94" s="1" t="s">
        <v>57</v>
      </c>
      <c r="D94" s="27" t="s">
        <v>44</v>
      </c>
      <c r="E94" s="9" t="s">
        <v>82</v>
      </c>
      <c r="F94" s="9" t="s">
        <v>40</v>
      </c>
      <c r="G94" s="1">
        <v>127</v>
      </c>
      <c r="H94" s="11">
        <v>43.25</v>
      </c>
      <c r="I94" s="1">
        <v>173</v>
      </c>
      <c r="J94" s="1">
        <v>231</v>
      </c>
      <c r="K94" s="1">
        <v>8</v>
      </c>
      <c r="L94" s="1">
        <v>6</v>
      </c>
      <c r="M94" s="1">
        <v>20</v>
      </c>
      <c r="N94" s="1">
        <v>27</v>
      </c>
      <c r="O94" s="1">
        <v>0</v>
      </c>
      <c r="P94" s="1">
        <v>24</v>
      </c>
      <c r="Q94" s="1">
        <v>685</v>
      </c>
      <c r="R94" s="9" t="s">
        <v>83</v>
      </c>
      <c r="S94" s="1">
        <v>1840</v>
      </c>
      <c r="T94" s="6">
        <v>1840</v>
      </c>
      <c r="U94" s="40">
        <v>0.65</v>
      </c>
      <c r="V94" s="40">
        <v>1196</v>
      </c>
      <c r="W94" s="6">
        <v>60</v>
      </c>
      <c r="X94" s="40">
        <f t="shared" si="17"/>
        <v>73.271666666666675</v>
      </c>
      <c r="Y94" s="40">
        <v>4396.3</v>
      </c>
      <c r="Z94" s="40"/>
      <c r="AA94" s="41">
        <v>141222.29999999999</v>
      </c>
      <c r="AB94" s="10">
        <f t="shared" si="15"/>
        <v>140026.29999999999</v>
      </c>
      <c r="AC94" s="45">
        <v>46364</v>
      </c>
      <c r="AD94" s="40">
        <v>140026.29999999999</v>
      </c>
      <c r="AE94" s="43"/>
      <c r="AF94" s="44"/>
      <c r="AG94" s="13" t="s">
        <v>58</v>
      </c>
      <c r="AH94" s="10">
        <f t="shared" si="14"/>
        <v>140026.29999999999</v>
      </c>
    </row>
    <row r="95" spans="1:35" x14ac:dyDescent="0.3">
      <c r="A95" s="6">
        <v>89</v>
      </c>
      <c r="B95" s="7">
        <v>46247</v>
      </c>
      <c r="C95" s="1" t="s">
        <v>57</v>
      </c>
      <c r="D95" s="27" t="s">
        <v>44</v>
      </c>
      <c r="E95" s="9" t="s">
        <v>82</v>
      </c>
      <c r="F95" s="9" t="s">
        <v>40</v>
      </c>
      <c r="G95" s="1">
        <v>128</v>
      </c>
      <c r="H95" s="11">
        <v>44.48</v>
      </c>
      <c r="I95" s="1">
        <v>177</v>
      </c>
      <c r="J95" s="1">
        <v>239</v>
      </c>
      <c r="K95" s="1">
        <v>7.8</v>
      </c>
      <c r="L95" s="1">
        <v>9</v>
      </c>
      <c r="M95" s="1">
        <v>20</v>
      </c>
      <c r="N95" s="1">
        <v>21</v>
      </c>
      <c r="O95" s="1">
        <v>4</v>
      </c>
      <c r="P95" s="1">
        <v>2</v>
      </c>
      <c r="Q95" s="1">
        <v>699</v>
      </c>
      <c r="R95" s="9" t="s">
        <v>83</v>
      </c>
      <c r="S95" s="1">
        <v>1975</v>
      </c>
      <c r="T95" s="6">
        <v>1975</v>
      </c>
      <c r="U95" s="40">
        <v>0.65</v>
      </c>
      <c r="V95" s="40">
        <v>1283.75</v>
      </c>
      <c r="W95" s="6">
        <v>66</v>
      </c>
      <c r="X95" s="40">
        <f t="shared" si="17"/>
        <v>72.2</v>
      </c>
      <c r="Y95" s="40">
        <v>4765.2</v>
      </c>
      <c r="Z95" s="40"/>
      <c r="AA95" s="41">
        <v>146970</v>
      </c>
      <c r="AB95" s="10">
        <f t="shared" si="15"/>
        <v>145686.25</v>
      </c>
      <c r="AC95" s="45" t="s">
        <v>84</v>
      </c>
      <c r="AD95" s="40">
        <v>145686.25</v>
      </c>
      <c r="AE95" s="43"/>
      <c r="AF95" s="44"/>
      <c r="AG95" s="13" t="s">
        <v>58</v>
      </c>
      <c r="AH95" s="10">
        <v>145686.25</v>
      </c>
    </row>
    <row r="96" spans="1:35" x14ac:dyDescent="0.3">
      <c r="A96" s="6">
        <v>90</v>
      </c>
      <c r="B96" s="7">
        <v>46248</v>
      </c>
      <c r="C96" s="1" t="s">
        <v>57</v>
      </c>
      <c r="D96" s="27" t="s">
        <v>44</v>
      </c>
      <c r="E96" s="9" t="s">
        <v>82</v>
      </c>
      <c r="F96" s="9" t="s">
        <v>40</v>
      </c>
      <c r="G96" s="1">
        <v>129</v>
      </c>
      <c r="H96" s="11">
        <v>44.79</v>
      </c>
      <c r="I96" s="1">
        <v>179</v>
      </c>
      <c r="J96" s="1">
        <v>247</v>
      </c>
      <c r="K96" s="1">
        <v>7.7</v>
      </c>
      <c r="L96" s="1">
        <v>5</v>
      </c>
      <c r="M96" s="1">
        <v>8</v>
      </c>
      <c r="N96" s="1">
        <v>22</v>
      </c>
      <c r="O96" s="1">
        <v>0</v>
      </c>
      <c r="P96" s="1">
        <v>17</v>
      </c>
      <c r="Q96" s="1">
        <v>688</v>
      </c>
      <c r="R96" s="9" t="s">
        <v>83</v>
      </c>
      <c r="S96" s="1">
        <v>2267</v>
      </c>
      <c r="T96" s="6">
        <v>2267</v>
      </c>
      <c r="U96" s="40">
        <v>0.65</v>
      </c>
      <c r="V96" s="40">
        <v>1473.55</v>
      </c>
      <c r="W96" s="6">
        <v>75</v>
      </c>
      <c r="X96" s="40">
        <f t="shared" si="17"/>
        <v>73.304000000000002</v>
      </c>
      <c r="Y96" s="40">
        <v>5497.8</v>
      </c>
      <c r="Z96" s="40"/>
      <c r="AA96" s="41">
        <v>168931</v>
      </c>
      <c r="AB96" s="10">
        <f t="shared" si="15"/>
        <v>167457.45000000001</v>
      </c>
      <c r="AC96" s="45" t="s">
        <v>85</v>
      </c>
      <c r="AD96" s="10">
        <v>167457.45000000001</v>
      </c>
      <c r="AE96" s="43"/>
      <c r="AF96" s="44"/>
      <c r="AG96" s="13" t="s">
        <v>58</v>
      </c>
      <c r="AH96" s="10">
        <f t="shared" ref="AH96" si="19">AF96+AD96</f>
        <v>167457.45000000001</v>
      </c>
    </row>
    <row r="97" spans="1:34" x14ac:dyDescent="0.3">
      <c r="A97" s="6">
        <v>91</v>
      </c>
      <c r="B97" s="7">
        <v>46251</v>
      </c>
      <c r="C97" s="1" t="s">
        <v>57</v>
      </c>
      <c r="D97" s="27" t="s">
        <v>44</v>
      </c>
      <c r="E97" s="9" t="s">
        <v>82</v>
      </c>
      <c r="F97" s="9" t="s">
        <v>40</v>
      </c>
      <c r="G97" s="1">
        <v>130</v>
      </c>
      <c r="H97" s="11">
        <v>43.11</v>
      </c>
      <c r="I97" s="1">
        <v>183</v>
      </c>
      <c r="J97" s="1">
        <v>234</v>
      </c>
      <c r="K97" s="1">
        <v>8.1</v>
      </c>
      <c r="L97" s="1">
        <v>5</v>
      </c>
      <c r="M97" s="1">
        <v>14</v>
      </c>
      <c r="N97" s="1">
        <v>20</v>
      </c>
      <c r="O97" s="1">
        <v>0</v>
      </c>
      <c r="P97" s="1">
        <v>38</v>
      </c>
      <c r="Q97" s="1">
        <v>669</v>
      </c>
      <c r="R97" s="9" t="s">
        <v>83</v>
      </c>
      <c r="S97" s="1">
        <v>1307</v>
      </c>
      <c r="T97" s="6">
        <v>1307</v>
      </c>
      <c r="U97" s="40">
        <v>0.65</v>
      </c>
      <c r="V97" s="40">
        <v>849.55</v>
      </c>
      <c r="W97" s="6">
        <v>45</v>
      </c>
      <c r="X97" s="40">
        <f t="shared" si="17"/>
        <v>70.204444444444434</v>
      </c>
      <c r="Y97" s="40">
        <v>3159.2</v>
      </c>
      <c r="Z97" s="40"/>
      <c r="AA97" s="41">
        <v>98858.6</v>
      </c>
      <c r="AB97" s="10">
        <f t="shared" si="15"/>
        <v>98009.05</v>
      </c>
      <c r="AC97" s="48" t="s">
        <v>86</v>
      </c>
      <c r="AD97" s="40">
        <v>98009.05</v>
      </c>
      <c r="AE97" s="43"/>
      <c r="AF97" s="44"/>
      <c r="AG97" s="13" t="s">
        <v>58</v>
      </c>
      <c r="AH97" s="10">
        <v>98009.25</v>
      </c>
    </row>
    <row r="98" spans="1:34" x14ac:dyDescent="0.3">
      <c r="A98" s="6">
        <v>92</v>
      </c>
      <c r="B98" s="7">
        <v>46252</v>
      </c>
      <c r="C98" s="1" t="s">
        <v>57</v>
      </c>
      <c r="D98" s="27" t="s">
        <v>44</v>
      </c>
      <c r="E98" s="9" t="s">
        <v>82</v>
      </c>
      <c r="F98" s="9" t="s">
        <v>52</v>
      </c>
      <c r="G98" s="1">
        <v>131</v>
      </c>
      <c r="H98" s="11">
        <v>43.74</v>
      </c>
      <c r="I98" s="1">
        <v>181</v>
      </c>
      <c r="J98" s="1">
        <v>231</v>
      </c>
      <c r="K98" s="1">
        <v>7.8</v>
      </c>
      <c r="L98" s="1">
        <v>8</v>
      </c>
      <c r="M98" s="1">
        <v>21</v>
      </c>
      <c r="N98" s="1">
        <v>26</v>
      </c>
      <c r="O98" s="1">
        <v>3</v>
      </c>
      <c r="P98" s="1">
        <v>19</v>
      </c>
      <c r="Q98" s="1">
        <v>682</v>
      </c>
      <c r="R98" s="9" t="s">
        <v>83</v>
      </c>
      <c r="S98" s="1">
        <v>703</v>
      </c>
      <c r="T98" s="6">
        <v>703</v>
      </c>
      <c r="U98" s="40">
        <v>0.65</v>
      </c>
      <c r="V98" s="40">
        <v>456.95</v>
      </c>
      <c r="W98" s="6">
        <v>23</v>
      </c>
      <c r="X98" s="40">
        <f t="shared" si="17"/>
        <v>70.382608695652166</v>
      </c>
      <c r="Y98" s="40">
        <v>1618.8</v>
      </c>
      <c r="Z98" s="40"/>
      <c r="AA98" s="41">
        <v>52018.5</v>
      </c>
      <c r="AB98" s="10">
        <f t="shared" si="15"/>
        <v>51561.55</v>
      </c>
      <c r="AC98" s="48" t="s">
        <v>87</v>
      </c>
      <c r="AD98" s="40">
        <v>51156.55</v>
      </c>
      <c r="AE98" s="43"/>
      <c r="AF98" s="44"/>
      <c r="AG98" s="13" t="s">
        <v>58</v>
      </c>
      <c r="AH98" s="10">
        <v>51156.55</v>
      </c>
    </row>
    <row r="99" spans="1:34" x14ac:dyDescent="0.3">
      <c r="A99" s="6">
        <v>93</v>
      </c>
      <c r="B99" s="7">
        <v>46253</v>
      </c>
      <c r="C99" s="1" t="s">
        <v>57</v>
      </c>
      <c r="D99" s="27" t="s">
        <v>48</v>
      </c>
      <c r="E99" s="9" t="s">
        <v>67</v>
      </c>
      <c r="F99" s="9" t="s">
        <v>40</v>
      </c>
      <c r="G99" s="1">
        <v>132</v>
      </c>
      <c r="H99" s="11">
        <v>43.83</v>
      </c>
      <c r="I99" s="1">
        <v>179</v>
      </c>
      <c r="J99" s="1">
        <v>231</v>
      </c>
      <c r="K99" s="1">
        <v>7.5</v>
      </c>
      <c r="L99" s="1">
        <v>6</v>
      </c>
      <c r="M99" s="1">
        <v>25</v>
      </c>
      <c r="N99" s="1">
        <v>28</v>
      </c>
      <c r="O99" s="1">
        <v>0</v>
      </c>
      <c r="P99" s="1">
        <v>17</v>
      </c>
      <c r="Q99" s="1">
        <v>686</v>
      </c>
      <c r="R99" s="9" t="s">
        <v>67</v>
      </c>
      <c r="S99" s="1">
        <v>2262</v>
      </c>
      <c r="T99" s="6">
        <v>2262</v>
      </c>
      <c r="U99" s="40">
        <v>0.65</v>
      </c>
      <c r="V99" s="40">
        <v>1470.3</v>
      </c>
      <c r="W99" s="6">
        <v>75</v>
      </c>
      <c r="X99" s="40">
        <f t="shared" si="17"/>
        <v>71.765333333333331</v>
      </c>
      <c r="Y99" s="40">
        <v>5382.4</v>
      </c>
      <c r="Z99" s="40"/>
      <c r="AA99" s="41">
        <v>155454.79999999999</v>
      </c>
      <c r="AB99" s="10">
        <f t="shared" si="15"/>
        <v>153984.5</v>
      </c>
      <c r="AC99" s="48" t="s">
        <v>87</v>
      </c>
      <c r="AD99" s="40">
        <v>153984.5</v>
      </c>
      <c r="AE99" s="43"/>
      <c r="AF99" s="44"/>
      <c r="AG99" s="13" t="s">
        <v>88</v>
      </c>
      <c r="AH99" s="10">
        <v>153984.5</v>
      </c>
    </row>
    <row r="100" spans="1:34" x14ac:dyDescent="0.3">
      <c r="A100" s="6">
        <v>94</v>
      </c>
      <c r="B100" s="7">
        <v>46253</v>
      </c>
      <c r="C100" s="1" t="s">
        <v>57</v>
      </c>
      <c r="D100" s="27" t="s">
        <v>48</v>
      </c>
      <c r="E100" s="9" t="s">
        <v>67</v>
      </c>
      <c r="F100" s="9" t="s">
        <v>40</v>
      </c>
      <c r="G100" s="1">
        <v>133</v>
      </c>
      <c r="H100" s="11">
        <v>44.22</v>
      </c>
      <c r="I100" s="1">
        <v>175</v>
      </c>
      <c r="J100" s="1">
        <v>244</v>
      </c>
      <c r="K100" s="1">
        <v>7.7</v>
      </c>
      <c r="L100" s="1">
        <v>7</v>
      </c>
      <c r="M100" s="1">
        <v>6</v>
      </c>
      <c r="N100" s="1">
        <v>37</v>
      </c>
      <c r="O100" s="1">
        <v>2</v>
      </c>
      <c r="P100" s="1">
        <v>13</v>
      </c>
      <c r="Q100" s="1">
        <v>683</v>
      </c>
      <c r="R100" s="9" t="s">
        <v>67</v>
      </c>
      <c r="S100" s="1">
        <v>1668</v>
      </c>
      <c r="T100" s="6">
        <v>1668</v>
      </c>
      <c r="U100" s="40">
        <v>0.65</v>
      </c>
      <c r="V100" s="1">
        <v>1084.2</v>
      </c>
      <c r="W100" s="6">
        <v>56</v>
      </c>
      <c r="X100" s="40">
        <f t="shared" si="17"/>
        <v>73.776785714285708</v>
      </c>
      <c r="Y100" s="40">
        <v>4131.5</v>
      </c>
      <c r="Z100" s="40"/>
      <c r="AA100" s="49">
        <v>115785.60000000001</v>
      </c>
      <c r="AB100" s="10">
        <f t="shared" si="15"/>
        <v>114701.40000000001</v>
      </c>
      <c r="AC100" s="48" t="s">
        <v>89</v>
      </c>
      <c r="AD100" s="19">
        <v>114701.4</v>
      </c>
      <c r="AE100" s="23"/>
      <c r="AF100" s="6"/>
      <c r="AG100" s="13" t="s">
        <v>88</v>
      </c>
      <c r="AH100" s="10">
        <v>114701.4</v>
      </c>
    </row>
    <row r="101" spans="1:34" x14ac:dyDescent="0.3">
      <c r="A101" s="6">
        <v>95</v>
      </c>
      <c r="B101" s="7">
        <v>46254</v>
      </c>
      <c r="C101" s="1" t="s">
        <v>57</v>
      </c>
      <c r="D101" s="27" t="s">
        <v>48</v>
      </c>
      <c r="E101" s="9" t="s">
        <v>67</v>
      </c>
      <c r="F101" s="9" t="s">
        <v>40</v>
      </c>
      <c r="G101" s="1">
        <v>134</v>
      </c>
      <c r="H101" s="11">
        <v>43.51</v>
      </c>
      <c r="I101" s="1">
        <v>176</v>
      </c>
      <c r="J101" s="1">
        <v>230</v>
      </c>
      <c r="K101" s="1">
        <v>7.9</v>
      </c>
      <c r="L101" s="1">
        <v>6</v>
      </c>
      <c r="M101" s="1">
        <v>14</v>
      </c>
      <c r="N101" s="1">
        <v>36</v>
      </c>
      <c r="O101" s="1">
        <v>0</v>
      </c>
      <c r="P101" s="1">
        <v>24</v>
      </c>
      <c r="Q101" s="1">
        <v>684</v>
      </c>
      <c r="R101" s="9" t="s">
        <v>67</v>
      </c>
      <c r="S101" s="1">
        <v>2261</v>
      </c>
      <c r="T101" s="6">
        <v>2261</v>
      </c>
      <c r="U101" s="40">
        <v>0.65</v>
      </c>
      <c r="V101" s="1">
        <v>1469.65</v>
      </c>
      <c r="W101" s="6">
        <v>75</v>
      </c>
      <c r="X101" s="40">
        <f t="shared" si="17"/>
        <v>70.706666666666663</v>
      </c>
      <c r="Y101" s="40">
        <v>5303</v>
      </c>
      <c r="Z101" s="40"/>
      <c r="AA101" s="49">
        <v>156514.1</v>
      </c>
      <c r="AB101" s="10">
        <f t="shared" si="15"/>
        <v>155044.45000000001</v>
      </c>
      <c r="AC101" s="48" t="s">
        <v>89</v>
      </c>
      <c r="AD101" s="19">
        <v>155044.45000000001</v>
      </c>
      <c r="AE101" s="23"/>
      <c r="AF101" s="6"/>
      <c r="AG101" s="13" t="s">
        <v>88</v>
      </c>
      <c r="AH101" s="10">
        <v>155044.45000000001</v>
      </c>
    </row>
    <row r="102" spans="1:34" x14ac:dyDescent="0.3">
      <c r="A102" s="6">
        <v>96</v>
      </c>
      <c r="B102" s="7">
        <v>46255</v>
      </c>
      <c r="C102" s="1" t="s">
        <v>57</v>
      </c>
      <c r="D102" s="27" t="s">
        <v>48</v>
      </c>
      <c r="E102" s="9" t="s">
        <v>67</v>
      </c>
      <c r="F102" s="9" t="s">
        <v>40</v>
      </c>
      <c r="G102" s="1">
        <v>135</v>
      </c>
      <c r="H102" s="11">
        <v>43.29</v>
      </c>
      <c r="I102" s="1">
        <v>174</v>
      </c>
      <c r="J102" s="1">
        <v>237</v>
      </c>
      <c r="K102" s="1">
        <v>8</v>
      </c>
      <c r="L102" s="1">
        <v>7</v>
      </c>
      <c r="M102" s="1">
        <v>16</v>
      </c>
      <c r="N102" s="1">
        <v>32</v>
      </c>
      <c r="O102" s="1">
        <v>3</v>
      </c>
      <c r="P102" s="1">
        <v>13</v>
      </c>
      <c r="Q102" s="1">
        <v>686</v>
      </c>
      <c r="R102" s="9" t="s">
        <v>67</v>
      </c>
      <c r="S102" s="1">
        <v>2069</v>
      </c>
      <c r="T102" s="6">
        <v>2069</v>
      </c>
      <c r="U102" s="40">
        <v>0.65</v>
      </c>
      <c r="V102" s="1">
        <v>1344.85</v>
      </c>
      <c r="W102" s="6">
        <v>69</v>
      </c>
      <c r="X102" s="40">
        <f t="shared" si="17"/>
        <v>72.61014492753624</v>
      </c>
      <c r="Y102" s="40">
        <v>5010.1000000000004</v>
      </c>
      <c r="Z102" s="40"/>
      <c r="AA102" s="49">
        <v>145119.79999999999</v>
      </c>
      <c r="AB102" s="10">
        <f t="shared" si="15"/>
        <v>143774.94999999998</v>
      </c>
      <c r="AC102" s="48" t="s">
        <v>90</v>
      </c>
      <c r="AD102" s="19">
        <v>143774.95000000001</v>
      </c>
      <c r="AE102" s="23"/>
      <c r="AF102" s="6"/>
      <c r="AG102" s="13" t="s">
        <v>88</v>
      </c>
      <c r="AH102" s="10">
        <v>143774.95000000001</v>
      </c>
    </row>
    <row r="103" spans="1:34" x14ac:dyDescent="0.3">
      <c r="A103" s="6">
        <v>97</v>
      </c>
      <c r="B103" s="7">
        <v>46256</v>
      </c>
      <c r="C103" s="1" t="s">
        <v>57</v>
      </c>
      <c r="D103" s="27" t="s">
        <v>48</v>
      </c>
      <c r="E103" s="9" t="s">
        <v>67</v>
      </c>
      <c r="F103" s="9" t="s">
        <v>40</v>
      </c>
      <c r="G103" s="1">
        <v>136</v>
      </c>
      <c r="H103" s="11">
        <v>42.64</v>
      </c>
      <c r="I103" s="1">
        <v>170</v>
      </c>
      <c r="J103" s="1">
        <v>234</v>
      </c>
      <c r="K103" s="1">
        <v>8.4</v>
      </c>
      <c r="L103" s="1">
        <v>6</v>
      </c>
      <c r="M103" s="1">
        <v>14</v>
      </c>
      <c r="N103" s="1">
        <v>33</v>
      </c>
      <c r="O103" s="1">
        <v>0</v>
      </c>
      <c r="P103" s="1">
        <v>0</v>
      </c>
      <c r="Q103" s="1">
        <v>707</v>
      </c>
      <c r="R103" s="9" t="s">
        <v>67</v>
      </c>
      <c r="S103" s="1">
        <v>434</v>
      </c>
      <c r="T103" s="6">
        <v>434</v>
      </c>
      <c r="U103" s="40">
        <v>0.65</v>
      </c>
      <c r="V103" s="1">
        <v>282.10000000000002</v>
      </c>
      <c r="W103" s="6">
        <v>15</v>
      </c>
      <c r="X103" s="40">
        <f t="shared" si="17"/>
        <v>68.733333333333334</v>
      </c>
      <c r="Y103" s="40">
        <v>1031</v>
      </c>
      <c r="Z103" s="40"/>
      <c r="AA103" s="49">
        <v>30908.6</v>
      </c>
      <c r="AB103" s="10">
        <f t="shared" si="15"/>
        <v>30626.5</v>
      </c>
      <c r="AC103" s="48" t="s">
        <v>91</v>
      </c>
      <c r="AD103" s="19">
        <f>Table4[[#This Row],[Net Wt (Without Jute Bag)]]</f>
        <v>30626.5</v>
      </c>
      <c r="AE103" s="23"/>
      <c r="AF103" s="6"/>
      <c r="AG103" s="13" t="s">
        <v>88</v>
      </c>
      <c r="AH103" s="10">
        <f t="shared" ref="AH103:AH130" si="20">AF103+AD103</f>
        <v>30626.5</v>
      </c>
    </row>
    <row r="104" spans="1:34" x14ac:dyDescent="0.3">
      <c r="A104" s="6">
        <v>98</v>
      </c>
      <c r="B104" s="7">
        <v>46256</v>
      </c>
      <c r="C104" s="1" t="s">
        <v>57</v>
      </c>
      <c r="D104" s="27" t="s">
        <v>92</v>
      </c>
      <c r="E104" s="9" t="s">
        <v>93</v>
      </c>
      <c r="F104" s="9" t="s">
        <v>40</v>
      </c>
      <c r="G104" s="1">
        <v>136</v>
      </c>
      <c r="H104" s="11">
        <v>42.64</v>
      </c>
      <c r="I104" s="1">
        <v>170</v>
      </c>
      <c r="J104" s="1">
        <v>234</v>
      </c>
      <c r="K104" s="1">
        <v>8.4</v>
      </c>
      <c r="L104" s="1">
        <v>6</v>
      </c>
      <c r="M104" s="1">
        <v>14</v>
      </c>
      <c r="N104" s="1">
        <v>33</v>
      </c>
      <c r="O104" s="1">
        <v>0</v>
      </c>
      <c r="P104" s="1">
        <v>0</v>
      </c>
      <c r="Q104" s="1">
        <v>707</v>
      </c>
      <c r="R104" s="9" t="s">
        <v>93</v>
      </c>
      <c r="S104" s="1">
        <v>520</v>
      </c>
      <c r="T104" s="6">
        <v>520</v>
      </c>
      <c r="U104" s="40">
        <v>0.65</v>
      </c>
      <c r="V104" s="1">
        <v>338</v>
      </c>
      <c r="W104" s="6">
        <v>20</v>
      </c>
      <c r="X104" s="40">
        <f t="shared" si="17"/>
        <v>72.215000000000003</v>
      </c>
      <c r="Y104" s="40">
        <v>1444.3</v>
      </c>
      <c r="Z104" s="40"/>
      <c r="AA104" s="49">
        <v>41864.199999999997</v>
      </c>
      <c r="AB104" s="10">
        <f t="shared" ref="AB104:AB124" si="21">AA104-V104</f>
        <v>41526.199999999997</v>
      </c>
      <c r="AC104" s="48" t="s">
        <v>94</v>
      </c>
      <c r="AD104" s="50">
        <f>Table4[[#This Row],[Net Wt (Without Jute Bag)]]</f>
        <v>41526.199999999997</v>
      </c>
      <c r="AE104" s="23"/>
      <c r="AF104" s="6"/>
      <c r="AG104" s="13" t="s">
        <v>58</v>
      </c>
      <c r="AH104" s="10">
        <f t="shared" si="20"/>
        <v>41526.199999999997</v>
      </c>
    </row>
    <row r="105" spans="1:34" x14ac:dyDescent="0.3">
      <c r="A105" s="6">
        <v>99</v>
      </c>
      <c r="B105" s="7">
        <v>46256</v>
      </c>
      <c r="C105" s="1" t="s">
        <v>57</v>
      </c>
      <c r="D105" s="27" t="s">
        <v>92</v>
      </c>
      <c r="E105" s="9" t="s">
        <v>93</v>
      </c>
      <c r="F105" s="9" t="s">
        <v>52</v>
      </c>
      <c r="G105" s="1">
        <v>136</v>
      </c>
      <c r="H105" s="11">
        <v>42.64</v>
      </c>
      <c r="I105" s="1">
        <v>170</v>
      </c>
      <c r="J105" s="1">
        <v>234</v>
      </c>
      <c r="K105" s="1">
        <v>8.4</v>
      </c>
      <c r="L105" s="1">
        <v>6</v>
      </c>
      <c r="M105" s="1">
        <v>14</v>
      </c>
      <c r="N105" s="1">
        <v>33</v>
      </c>
      <c r="O105" s="1">
        <v>0</v>
      </c>
      <c r="P105" s="1">
        <v>0</v>
      </c>
      <c r="Q105" s="1">
        <v>707</v>
      </c>
      <c r="R105" s="9" t="s">
        <v>93</v>
      </c>
      <c r="S105" s="1">
        <v>724</v>
      </c>
      <c r="T105" s="6">
        <v>724</v>
      </c>
      <c r="U105" s="40">
        <v>0.65</v>
      </c>
      <c r="V105" s="1">
        <v>470.6</v>
      </c>
      <c r="W105" s="6">
        <v>24</v>
      </c>
      <c r="X105" s="40">
        <f t="shared" si="17"/>
        <v>68.916666666666671</v>
      </c>
      <c r="Y105" s="40">
        <v>1654</v>
      </c>
      <c r="Z105" s="40"/>
      <c r="AA105" s="49">
        <v>51414.400000000001</v>
      </c>
      <c r="AB105" s="10">
        <f t="shared" si="21"/>
        <v>50943.8</v>
      </c>
      <c r="AC105" s="48" t="s">
        <v>91</v>
      </c>
      <c r="AD105" s="50">
        <f>Table4[[#This Row],[Net Wt (Without Jute Bag)]]</f>
        <v>50943.8</v>
      </c>
      <c r="AE105" s="23"/>
      <c r="AF105" s="6"/>
      <c r="AG105" s="13" t="s">
        <v>88</v>
      </c>
      <c r="AH105" s="10">
        <f t="shared" si="20"/>
        <v>50943.8</v>
      </c>
    </row>
    <row r="106" spans="1:34" x14ac:dyDescent="0.3">
      <c r="A106" s="6">
        <v>100</v>
      </c>
      <c r="B106" s="7">
        <v>46258</v>
      </c>
      <c r="C106" s="1" t="s">
        <v>57</v>
      </c>
      <c r="D106" s="27" t="s">
        <v>48</v>
      </c>
      <c r="E106" s="9" t="s">
        <v>67</v>
      </c>
      <c r="F106" s="9" t="s">
        <v>52</v>
      </c>
      <c r="G106" s="1">
        <v>137</v>
      </c>
      <c r="H106" s="11">
        <v>42.19</v>
      </c>
      <c r="I106" s="1">
        <v>188</v>
      </c>
      <c r="J106" s="1">
        <v>215</v>
      </c>
      <c r="K106" s="1">
        <v>7</v>
      </c>
      <c r="L106" s="1">
        <v>13</v>
      </c>
      <c r="M106" s="1">
        <v>11</v>
      </c>
      <c r="N106" s="1">
        <v>45</v>
      </c>
      <c r="O106" s="1">
        <v>0</v>
      </c>
      <c r="P106" s="1">
        <v>13</v>
      </c>
      <c r="Q106" s="1">
        <v>694</v>
      </c>
      <c r="R106" s="9" t="s">
        <v>67</v>
      </c>
      <c r="S106" s="1">
        <v>3170</v>
      </c>
      <c r="T106" s="6">
        <v>3170</v>
      </c>
      <c r="U106" s="40">
        <v>0.65</v>
      </c>
      <c r="V106" s="1">
        <v>2060.5</v>
      </c>
      <c r="W106" s="6">
        <v>105</v>
      </c>
      <c r="X106" s="40">
        <f t="shared" si="17"/>
        <v>73.431428571428569</v>
      </c>
      <c r="Y106" s="40">
        <v>7710.3</v>
      </c>
      <c r="Z106" s="40"/>
      <c r="AA106" s="49">
        <v>225128.9</v>
      </c>
      <c r="AB106" s="10">
        <f t="shared" si="21"/>
        <v>223068.4</v>
      </c>
      <c r="AC106" s="48" t="s">
        <v>91</v>
      </c>
      <c r="AD106" s="19">
        <f>Table4[[#This Row],[Net Wt (Without Jute Bag)]]</f>
        <v>223068.4</v>
      </c>
      <c r="AE106" s="23"/>
      <c r="AF106" s="6"/>
      <c r="AG106" s="13" t="s">
        <v>88</v>
      </c>
      <c r="AH106" s="10">
        <f t="shared" si="20"/>
        <v>223068.4</v>
      </c>
    </row>
    <row r="107" spans="1:34" x14ac:dyDescent="0.3">
      <c r="A107" s="6">
        <v>101</v>
      </c>
      <c r="B107" s="7">
        <v>46261</v>
      </c>
      <c r="C107" s="1" t="s">
        <v>57</v>
      </c>
      <c r="D107" s="27" t="s">
        <v>48</v>
      </c>
      <c r="E107" s="9" t="s">
        <v>67</v>
      </c>
      <c r="F107" s="9" t="s">
        <v>52</v>
      </c>
      <c r="G107" s="1">
        <v>139</v>
      </c>
      <c r="H107" s="11">
        <v>42.19</v>
      </c>
      <c r="I107" s="1">
        <v>188</v>
      </c>
      <c r="J107" s="1">
        <v>215</v>
      </c>
      <c r="K107" s="1">
        <v>7</v>
      </c>
      <c r="L107" s="1">
        <v>13</v>
      </c>
      <c r="M107" s="1">
        <v>11</v>
      </c>
      <c r="N107" s="1">
        <v>45</v>
      </c>
      <c r="O107" s="1">
        <v>0</v>
      </c>
      <c r="P107" s="1">
        <v>13</v>
      </c>
      <c r="Q107" s="1">
        <v>694</v>
      </c>
      <c r="R107" s="9" t="s">
        <v>67</v>
      </c>
      <c r="T107" s="6"/>
      <c r="U107" s="40"/>
      <c r="W107" s="6"/>
      <c r="X107" s="40"/>
      <c r="Y107" s="40"/>
      <c r="Z107" s="40"/>
      <c r="AA107" s="49"/>
      <c r="AB107" s="10">
        <v>4078.7</v>
      </c>
      <c r="AC107" s="48" t="s">
        <v>95</v>
      </c>
      <c r="AD107" s="10">
        <v>4078.7</v>
      </c>
      <c r="AE107" s="23"/>
      <c r="AF107" s="6"/>
      <c r="AG107" s="13" t="s">
        <v>88</v>
      </c>
      <c r="AH107" s="10">
        <v>4078.7</v>
      </c>
    </row>
    <row r="108" spans="1:34" x14ac:dyDescent="0.3">
      <c r="A108" s="6">
        <v>102</v>
      </c>
      <c r="B108" s="7">
        <v>46261</v>
      </c>
      <c r="C108" s="1" t="s">
        <v>57</v>
      </c>
      <c r="D108" s="27" t="s">
        <v>96</v>
      </c>
      <c r="E108" s="9" t="s">
        <v>97</v>
      </c>
      <c r="F108" s="9" t="s">
        <v>52</v>
      </c>
      <c r="G108" s="1">
        <v>138</v>
      </c>
      <c r="H108" s="11">
        <v>43.16</v>
      </c>
      <c r="I108" s="1">
        <v>190</v>
      </c>
      <c r="J108" s="1">
        <v>238</v>
      </c>
      <c r="K108" s="1">
        <v>7.8</v>
      </c>
      <c r="L108" s="1">
        <v>4</v>
      </c>
      <c r="M108" s="1">
        <v>15</v>
      </c>
      <c r="N108" s="1">
        <v>40</v>
      </c>
      <c r="O108" s="1">
        <v>0</v>
      </c>
      <c r="P108" s="1">
        <v>14</v>
      </c>
      <c r="Q108" s="1">
        <v>683</v>
      </c>
      <c r="R108" s="9" t="s">
        <v>97</v>
      </c>
      <c r="S108" s="1">
        <v>1643</v>
      </c>
      <c r="T108" s="6">
        <v>1643</v>
      </c>
      <c r="U108" s="40">
        <v>0.65</v>
      </c>
      <c r="V108" s="1">
        <v>1067.95</v>
      </c>
      <c r="W108" s="6">
        <v>57</v>
      </c>
      <c r="X108" s="40">
        <f t="shared" si="17"/>
        <v>69.9719298245614</v>
      </c>
      <c r="Y108" s="40">
        <v>3988.4</v>
      </c>
      <c r="Z108" s="40"/>
      <c r="AA108" s="49">
        <v>121247.6</v>
      </c>
      <c r="AB108" s="10">
        <f t="shared" si="21"/>
        <v>120179.65000000001</v>
      </c>
      <c r="AC108" s="48" t="s">
        <v>95</v>
      </c>
      <c r="AD108" s="50">
        <f>Table4[[#This Row],[Net Wt (Without Jute Bag)]]</f>
        <v>120179.65000000001</v>
      </c>
      <c r="AE108" s="23"/>
      <c r="AF108" s="6"/>
      <c r="AG108" s="13" t="s">
        <v>88</v>
      </c>
      <c r="AH108" s="10">
        <f t="shared" si="20"/>
        <v>120179.65000000001</v>
      </c>
    </row>
    <row r="109" spans="1:34" x14ac:dyDescent="0.3">
      <c r="A109" s="6">
        <v>103</v>
      </c>
      <c r="B109" s="7">
        <v>46262</v>
      </c>
      <c r="C109" s="1" t="s">
        <v>57</v>
      </c>
      <c r="D109" s="27" t="s">
        <v>98</v>
      </c>
      <c r="E109" s="9" t="s">
        <v>99</v>
      </c>
      <c r="F109" s="9" t="s">
        <v>40</v>
      </c>
      <c r="G109" s="1">
        <v>140</v>
      </c>
      <c r="H109" s="11">
        <v>44.31</v>
      </c>
      <c r="I109" s="1">
        <v>186</v>
      </c>
      <c r="J109" s="1">
        <v>243</v>
      </c>
      <c r="K109" s="1">
        <v>8</v>
      </c>
      <c r="L109" s="1">
        <v>7</v>
      </c>
      <c r="M109" s="1">
        <v>15</v>
      </c>
      <c r="N109" s="1">
        <v>25</v>
      </c>
      <c r="O109" s="1">
        <v>2</v>
      </c>
      <c r="P109" s="1">
        <v>22</v>
      </c>
      <c r="Q109" s="1">
        <v>678</v>
      </c>
      <c r="R109" s="9" t="s">
        <v>99</v>
      </c>
      <c r="S109" s="1">
        <v>2750</v>
      </c>
      <c r="T109" s="6">
        <v>2750</v>
      </c>
      <c r="U109" s="40">
        <v>0.65</v>
      </c>
      <c r="V109" s="1">
        <v>1787.5</v>
      </c>
      <c r="W109" s="6">
        <v>91</v>
      </c>
      <c r="X109" s="40">
        <f t="shared" si="17"/>
        <v>72.878021978021977</v>
      </c>
      <c r="Y109" s="40">
        <v>6631.9</v>
      </c>
      <c r="Z109" s="40"/>
      <c r="AA109" s="49">
        <v>203828.6</v>
      </c>
      <c r="AB109" s="10">
        <f t="shared" si="21"/>
        <v>202041.1</v>
      </c>
      <c r="AC109" s="48" t="s">
        <v>100</v>
      </c>
      <c r="AD109" s="50">
        <f>Table4[[#This Row],[Net Wt (Without Jute Bag)]]</f>
        <v>202041.1</v>
      </c>
      <c r="AE109" s="23"/>
      <c r="AF109" s="6"/>
      <c r="AG109" s="13" t="s">
        <v>58</v>
      </c>
      <c r="AH109" s="10">
        <f t="shared" si="20"/>
        <v>202041.1</v>
      </c>
    </row>
    <row r="110" spans="1:34" x14ac:dyDescent="0.3">
      <c r="A110" s="6">
        <v>104</v>
      </c>
      <c r="B110" s="7">
        <v>46263</v>
      </c>
      <c r="C110" s="1" t="s">
        <v>57</v>
      </c>
      <c r="D110" s="27" t="s">
        <v>98</v>
      </c>
      <c r="E110" s="9" t="s">
        <v>99</v>
      </c>
      <c r="F110" s="9" t="s">
        <v>40</v>
      </c>
      <c r="G110" s="1">
        <v>141</v>
      </c>
      <c r="H110" s="11">
        <v>43.34</v>
      </c>
      <c r="I110" s="1">
        <v>180</v>
      </c>
      <c r="J110" s="1">
        <v>240</v>
      </c>
      <c r="K110" s="1">
        <v>8.3000000000000007</v>
      </c>
      <c r="L110" s="1">
        <v>4</v>
      </c>
      <c r="M110" s="1">
        <v>10</v>
      </c>
      <c r="N110" s="1">
        <v>34</v>
      </c>
      <c r="O110" s="1">
        <v>0</v>
      </c>
      <c r="P110" s="1">
        <v>9</v>
      </c>
      <c r="Q110" s="1">
        <v>694</v>
      </c>
      <c r="R110" s="9" t="s">
        <v>99</v>
      </c>
      <c r="S110" s="1">
        <v>3655</v>
      </c>
      <c r="T110" s="6">
        <v>3655</v>
      </c>
      <c r="U110" s="40">
        <v>0.65</v>
      </c>
      <c r="V110" s="1">
        <v>2375.75</v>
      </c>
      <c r="W110" s="6">
        <v>122</v>
      </c>
      <c r="X110" s="40">
        <f t="shared" si="17"/>
        <v>73.09754098360655</v>
      </c>
      <c r="Y110" s="40">
        <v>8917.9</v>
      </c>
      <c r="Z110" s="40"/>
      <c r="AA110" s="49">
        <v>271127.2</v>
      </c>
      <c r="AB110" s="10">
        <f t="shared" si="21"/>
        <v>268751.45</v>
      </c>
      <c r="AC110" s="48" t="s">
        <v>101</v>
      </c>
      <c r="AD110" s="50">
        <f>Table4[[#This Row],[Net Wt (Without Jute Bag)]]</f>
        <v>268751.45</v>
      </c>
      <c r="AE110" s="23"/>
      <c r="AF110" s="6"/>
      <c r="AG110" s="13" t="s">
        <v>58</v>
      </c>
      <c r="AH110" s="10">
        <f t="shared" si="20"/>
        <v>268751.45</v>
      </c>
    </row>
    <row r="111" spans="1:34" x14ac:dyDescent="0.3">
      <c r="A111" s="6">
        <v>105</v>
      </c>
      <c r="B111" s="7">
        <v>46265</v>
      </c>
      <c r="C111" s="1" t="s">
        <v>57</v>
      </c>
      <c r="D111" s="27" t="s">
        <v>102</v>
      </c>
      <c r="E111" s="9" t="s">
        <v>103</v>
      </c>
      <c r="F111" s="9" t="s">
        <v>40</v>
      </c>
      <c r="G111" s="1">
        <v>142</v>
      </c>
      <c r="H111" s="11">
        <v>43.07</v>
      </c>
      <c r="I111" s="1">
        <v>184</v>
      </c>
      <c r="J111" s="1">
        <v>229</v>
      </c>
      <c r="K111" s="1">
        <v>7.8</v>
      </c>
      <c r="L111" s="1">
        <v>88</v>
      </c>
      <c r="M111" s="1">
        <v>12</v>
      </c>
      <c r="N111" s="1">
        <v>33</v>
      </c>
      <c r="O111" s="1">
        <v>0</v>
      </c>
      <c r="P111" s="1">
        <v>19</v>
      </c>
      <c r="Q111" s="1">
        <v>690</v>
      </c>
      <c r="R111" s="9" t="s">
        <v>103</v>
      </c>
      <c r="S111" s="1">
        <v>3328</v>
      </c>
      <c r="T111" s="6">
        <v>3328</v>
      </c>
      <c r="U111" s="40">
        <v>0.65</v>
      </c>
      <c r="V111" s="1">
        <v>2163.1999999999998</v>
      </c>
      <c r="W111" s="6">
        <v>110</v>
      </c>
      <c r="X111" s="40">
        <f t="shared" si="17"/>
        <v>74.009090909090915</v>
      </c>
      <c r="Y111" s="40">
        <v>8141</v>
      </c>
      <c r="Z111" s="40"/>
      <c r="AA111" s="49">
        <v>249746.8</v>
      </c>
      <c r="AB111" s="10">
        <f t="shared" si="21"/>
        <v>247583.59999999998</v>
      </c>
      <c r="AC111" s="48" t="s">
        <v>104</v>
      </c>
      <c r="AD111" s="50">
        <f>Table4[[#This Row],[Net Wt (Without Jute Bag)]]</f>
        <v>247583.59999999998</v>
      </c>
      <c r="AE111" s="23"/>
      <c r="AF111" s="6"/>
      <c r="AG111" s="13" t="s">
        <v>58</v>
      </c>
      <c r="AH111" s="10">
        <f t="shared" si="20"/>
        <v>247583.59999999998</v>
      </c>
    </row>
    <row r="112" spans="1:34" x14ac:dyDescent="0.3">
      <c r="A112" s="6">
        <v>106</v>
      </c>
      <c r="B112" s="7">
        <v>46266</v>
      </c>
      <c r="C112" s="1" t="s">
        <v>57</v>
      </c>
      <c r="D112" s="27" t="s">
        <v>102</v>
      </c>
      <c r="E112" s="9" t="s">
        <v>103</v>
      </c>
      <c r="F112" s="9" t="s">
        <v>40</v>
      </c>
      <c r="G112" s="1">
        <v>143</v>
      </c>
      <c r="H112" s="11">
        <v>43.17</v>
      </c>
      <c r="I112" s="1">
        <v>177</v>
      </c>
      <c r="J112" s="1">
        <v>235</v>
      </c>
      <c r="K112" s="1">
        <v>7.3</v>
      </c>
      <c r="L112" s="1">
        <v>5</v>
      </c>
      <c r="M112" s="1">
        <v>15</v>
      </c>
      <c r="N112" s="1">
        <v>31</v>
      </c>
      <c r="O112" s="1">
        <v>0</v>
      </c>
      <c r="P112" s="1">
        <v>13</v>
      </c>
      <c r="Q112" s="1">
        <v>694</v>
      </c>
      <c r="R112" s="9" t="s">
        <v>103</v>
      </c>
      <c r="S112" s="1">
        <v>2409</v>
      </c>
      <c r="T112" s="6">
        <v>2409</v>
      </c>
      <c r="U112" s="40">
        <v>0.65</v>
      </c>
      <c r="V112" s="1">
        <v>1565.85</v>
      </c>
      <c r="W112" s="6">
        <v>80</v>
      </c>
      <c r="X112" s="40">
        <f t="shared" si="17"/>
        <v>72.849999999999994</v>
      </c>
      <c r="Y112" s="40">
        <v>5828</v>
      </c>
      <c r="Z112" s="40"/>
      <c r="AA112" s="49">
        <v>181595.3</v>
      </c>
      <c r="AB112" s="10">
        <f t="shared" si="21"/>
        <v>180029.44999999998</v>
      </c>
      <c r="AC112" s="48">
        <v>46031</v>
      </c>
      <c r="AD112" s="50">
        <f>Table4[[#This Row],[Net Wt (Without Jute Bag)]]</f>
        <v>180029.44999999998</v>
      </c>
      <c r="AE112" s="23"/>
      <c r="AF112" s="6"/>
      <c r="AG112" s="13" t="s">
        <v>58</v>
      </c>
      <c r="AH112" s="10">
        <f t="shared" si="20"/>
        <v>180029.44999999998</v>
      </c>
    </row>
    <row r="113" spans="1:34" x14ac:dyDescent="0.3">
      <c r="A113" s="6">
        <v>107</v>
      </c>
      <c r="B113" s="7">
        <v>46267</v>
      </c>
      <c r="C113" s="1" t="s">
        <v>57</v>
      </c>
      <c r="D113" s="27" t="s">
        <v>102</v>
      </c>
      <c r="E113" s="9" t="s">
        <v>103</v>
      </c>
      <c r="F113" s="9" t="s">
        <v>40</v>
      </c>
      <c r="G113" s="1">
        <v>144</v>
      </c>
      <c r="H113" s="11">
        <v>42.95</v>
      </c>
      <c r="I113" s="1">
        <v>182</v>
      </c>
      <c r="J113" s="1">
        <v>237</v>
      </c>
      <c r="K113" s="1">
        <v>7.5</v>
      </c>
      <c r="L113" s="1">
        <v>7</v>
      </c>
      <c r="M113" s="1">
        <v>9</v>
      </c>
      <c r="N113" s="1">
        <v>33</v>
      </c>
      <c r="O113" s="1">
        <v>2</v>
      </c>
      <c r="P113" s="1">
        <v>19</v>
      </c>
      <c r="Q113" s="1">
        <v>681</v>
      </c>
      <c r="R113" s="9" t="s">
        <v>103</v>
      </c>
      <c r="S113" s="1">
        <v>1509</v>
      </c>
      <c r="T113" s="6">
        <v>1509</v>
      </c>
      <c r="U113" s="40">
        <v>0.65</v>
      </c>
      <c r="V113" s="1">
        <v>980.85</v>
      </c>
      <c r="W113" s="6">
        <v>50</v>
      </c>
      <c r="X113" s="40">
        <f t="shared" si="17"/>
        <v>75.319999999999993</v>
      </c>
      <c r="Y113" s="40">
        <v>3766</v>
      </c>
      <c r="Z113" s="40"/>
      <c r="AA113" s="49">
        <v>111281.8</v>
      </c>
      <c r="AB113" s="10">
        <f t="shared" si="21"/>
        <v>110300.95</v>
      </c>
      <c r="AC113" s="48">
        <v>46062</v>
      </c>
      <c r="AD113" s="50">
        <f>Table4[[#This Row],[Net Wt (Without Jute Bag)]]</f>
        <v>110300.95</v>
      </c>
      <c r="AE113" s="23"/>
      <c r="AF113" s="6"/>
      <c r="AG113" s="13" t="s">
        <v>58</v>
      </c>
      <c r="AH113" s="10">
        <f t="shared" si="20"/>
        <v>110300.95</v>
      </c>
    </row>
    <row r="114" spans="1:34" x14ac:dyDescent="0.3">
      <c r="A114" s="6">
        <v>108</v>
      </c>
      <c r="B114" s="7">
        <v>46268</v>
      </c>
      <c r="C114" s="1" t="s">
        <v>57</v>
      </c>
      <c r="D114" s="27" t="s">
        <v>102</v>
      </c>
      <c r="E114" s="9" t="s">
        <v>103</v>
      </c>
      <c r="F114" s="9" t="s">
        <v>40</v>
      </c>
      <c r="G114" s="1">
        <v>145</v>
      </c>
      <c r="H114" s="11">
        <v>43.25</v>
      </c>
      <c r="I114" s="1">
        <v>182</v>
      </c>
      <c r="J114" s="1">
        <v>235</v>
      </c>
      <c r="K114" s="1">
        <v>7.4</v>
      </c>
      <c r="L114" s="1">
        <v>9</v>
      </c>
      <c r="M114" s="1">
        <v>18</v>
      </c>
      <c r="N114" s="1">
        <v>28</v>
      </c>
      <c r="O114" s="1">
        <v>0</v>
      </c>
      <c r="P114" s="1">
        <v>13</v>
      </c>
      <c r="Q114" s="1">
        <v>688</v>
      </c>
      <c r="R114" s="9" t="s">
        <v>103</v>
      </c>
      <c r="S114" s="1">
        <v>1878</v>
      </c>
      <c r="T114" s="6">
        <v>1878</v>
      </c>
      <c r="U114" s="40">
        <v>0.65</v>
      </c>
      <c r="V114" s="1">
        <v>1220.7</v>
      </c>
      <c r="W114" s="6">
        <v>62</v>
      </c>
      <c r="X114" s="40">
        <f t="shared" si="17"/>
        <v>74.729032258064507</v>
      </c>
      <c r="Y114" s="40">
        <v>4633.2</v>
      </c>
      <c r="Z114" s="40"/>
      <c r="AA114" s="49">
        <v>137741.79999999999</v>
      </c>
      <c r="AB114" s="10">
        <f t="shared" si="21"/>
        <v>136521.09999999998</v>
      </c>
      <c r="AC114" s="48">
        <v>46062</v>
      </c>
      <c r="AD114" s="50">
        <f>Table4[[#This Row],[Net Wt (Without Jute Bag)]]</f>
        <v>136521.09999999998</v>
      </c>
      <c r="AE114" s="23"/>
      <c r="AF114" s="6"/>
      <c r="AG114" s="13" t="s">
        <v>58</v>
      </c>
      <c r="AH114" s="10">
        <f t="shared" si="20"/>
        <v>136521.09999999998</v>
      </c>
    </row>
    <row r="115" spans="1:34" x14ac:dyDescent="0.3">
      <c r="A115" s="6">
        <v>109</v>
      </c>
      <c r="B115" s="7">
        <v>46269</v>
      </c>
      <c r="C115" s="1" t="s">
        <v>57</v>
      </c>
      <c r="D115" s="27" t="s">
        <v>102</v>
      </c>
      <c r="E115" s="9" t="s">
        <v>103</v>
      </c>
      <c r="F115" s="9" t="s">
        <v>40</v>
      </c>
      <c r="G115" s="1">
        <v>146</v>
      </c>
      <c r="H115" s="11">
        <v>43.08</v>
      </c>
      <c r="I115" s="1">
        <v>181</v>
      </c>
      <c r="J115" s="1">
        <v>237</v>
      </c>
      <c r="K115" s="1">
        <v>7.7</v>
      </c>
      <c r="L115" s="1">
        <v>6</v>
      </c>
      <c r="M115" s="1">
        <v>15</v>
      </c>
      <c r="N115" s="1">
        <v>28</v>
      </c>
      <c r="O115" s="1">
        <v>0</v>
      </c>
      <c r="P115" s="1">
        <v>31</v>
      </c>
      <c r="Q115" s="1">
        <v>673</v>
      </c>
      <c r="R115" s="9" t="s">
        <v>103</v>
      </c>
      <c r="S115" s="1">
        <v>2101</v>
      </c>
      <c r="T115" s="6">
        <v>2101</v>
      </c>
      <c r="U115" s="40">
        <v>0.65</v>
      </c>
      <c r="V115" s="1">
        <v>1365.65</v>
      </c>
      <c r="W115" s="6">
        <v>70</v>
      </c>
      <c r="X115" s="40">
        <f t="shared" si="17"/>
        <v>74.232857142857142</v>
      </c>
      <c r="Y115" s="40">
        <v>5196.3</v>
      </c>
      <c r="Z115" s="40"/>
      <c r="AA115" s="49">
        <v>157494.1</v>
      </c>
      <c r="AB115" s="10">
        <f t="shared" si="21"/>
        <v>156128.45000000001</v>
      </c>
      <c r="AC115" s="48">
        <v>46090</v>
      </c>
      <c r="AD115" s="50">
        <f>Table4[[#This Row],[Net Wt (Without Jute Bag)]]</f>
        <v>156128.45000000001</v>
      </c>
      <c r="AE115" s="23"/>
      <c r="AF115" s="6"/>
      <c r="AG115" s="13" t="s">
        <v>58</v>
      </c>
      <c r="AH115" s="10">
        <f t="shared" si="20"/>
        <v>156128.45000000001</v>
      </c>
    </row>
    <row r="116" spans="1:34" x14ac:dyDescent="0.3">
      <c r="A116" s="6">
        <v>110</v>
      </c>
      <c r="B116" s="7">
        <v>46270</v>
      </c>
      <c r="C116" s="1" t="s">
        <v>57</v>
      </c>
      <c r="D116" s="27" t="s">
        <v>102</v>
      </c>
      <c r="E116" s="9" t="s">
        <v>103</v>
      </c>
      <c r="F116" s="9" t="s">
        <v>40</v>
      </c>
      <c r="G116" s="1">
        <v>147</v>
      </c>
      <c r="H116" s="11">
        <v>42.55</v>
      </c>
      <c r="I116" s="1">
        <v>172</v>
      </c>
      <c r="J116" s="1">
        <v>229</v>
      </c>
      <c r="K116" s="1">
        <v>7.5</v>
      </c>
      <c r="L116" s="1">
        <v>8</v>
      </c>
      <c r="M116" s="1">
        <v>12</v>
      </c>
      <c r="N116" s="1">
        <v>39</v>
      </c>
      <c r="O116" s="1">
        <v>4</v>
      </c>
      <c r="P116" s="1">
        <v>25</v>
      </c>
      <c r="Q116" s="1">
        <v>673</v>
      </c>
      <c r="R116" s="9" t="s">
        <v>103</v>
      </c>
      <c r="S116" s="1">
        <v>2145</v>
      </c>
      <c r="T116" s="6">
        <v>2145</v>
      </c>
      <c r="U116" s="40">
        <v>0.65</v>
      </c>
      <c r="V116" s="1">
        <v>1394.25</v>
      </c>
      <c r="W116" s="6">
        <v>71</v>
      </c>
      <c r="X116" s="40">
        <f t="shared" si="17"/>
        <v>72.826760563380276</v>
      </c>
      <c r="Y116" s="40">
        <v>5170.7</v>
      </c>
      <c r="Z116" s="40"/>
      <c r="AA116" s="49">
        <v>162638</v>
      </c>
      <c r="AB116" s="10">
        <f t="shared" si="21"/>
        <v>161243.75</v>
      </c>
      <c r="AC116" s="48">
        <v>46121</v>
      </c>
      <c r="AD116" s="50">
        <f>Table4[[#This Row],[Net Wt (Without Jute Bag)]]</f>
        <v>161243.75</v>
      </c>
      <c r="AE116" s="23"/>
      <c r="AF116" s="6"/>
      <c r="AG116" s="13" t="s">
        <v>58</v>
      </c>
      <c r="AH116" s="10">
        <f t="shared" si="20"/>
        <v>161243.75</v>
      </c>
    </row>
    <row r="117" spans="1:34" x14ac:dyDescent="0.3">
      <c r="A117" s="6">
        <v>111</v>
      </c>
      <c r="B117" s="7">
        <v>46272</v>
      </c>
      <c r="C117" s="1" t="s">
        <v>57</v>
      </c>
      <c r="D117" s="27" t="s">
        <v>102</v>
      </c>
      <c r="E117" s="9" t="s">
        <v>103</v>
      </c>
      <c r="F117" s="9" t="s">
        <v>52</v>
      </c>
      <c r="G117" s="1">
        <v>148</v>
      </c>
      <c r="H117" s="11">
        <v>43.74</v>
      </c>
      <c r="I117" s="1">
        <v>183</v>
      </c>
      <c r="J117" s="1">
        <v>238</v>
      </c>
      <c r="K117" s="1">
        <v>7.6</v>
      </c>
      <c r="L117" s="1">
        <v>5</v>
      </c>
      <c r="M117" s="1">
        <v>9</v>
      </c>
      <c r="N117" s="1">
        <v>36</v>
      </c>
      <c r="O117" s="1">
        <v>0</v>
      </c>
      <c r="P117" s="1">
        <v>24</v>
      </c>
      <c r="Q117" s="1">
        <v>680</v>
      </c>
      <c r="R117" s="9" t="s">
        <v>103</v>
      </c>
      <c r="S117" s="1">
        <v>2513</v>
      </c>
      <c r="T117" s="6">
        <v>2513</v>
      </c>
      <c r="U117" s="40">
        <v>0.65</v>
      </c>
      <c r="V117" s="1">
        <v>1633.45</v>
      </c>
      <c r="W117" s="6">
        <v>83</v>
      </c>
      <c r="X117" s="40">
        <f t="shared" ref="X117:X130" si="22">Y117/W117</f>
        <v>70.955421686746988</v>
      </c>
      <c r="Y117" s="40">
        <v>5889.3</v>
      </c>
      <c r="Z117" s="40"/>
      <c r="AA117" s="49">
        <v>189168.4</v>
      </c>
      <c r="AB117" s="10">
        <f t="shared" si="21"/>
        <v>187534.94999999998</v>
      </c>
      <c r="AC117" s="48">
        <v>46151</v>
      </c>
      <c r="AD117" s="50">
        <f>Table4[[#This Row],[Net Wt (Without Jute Bag)]]</f>
        <v>187534.94999999998</v>
      </c>
      <c r="AE117" s="23"/>
      <c r="AF117" s="6"/>
      <c r="AG117" s="13" t="s">
        <v>58</v>
      </c>
      <c r="AH117" s="10">
        <f t="shared" si="20"/>
        <v>187534.94999999998</v>
      </c>
    </row>
    <row r="118" spans="1:34" x14ac:dyDescent="0.3">
      <c r="A118" s="6">
        <v>112</v>
      </c>
      <c r="B118" s="7">
        <v>46273</v>
      </c>
      <c r="C118" s="1" t="s">
        <v>57</v>
      </c>
      <c r="D118" s="27" t="s">
        <v>105</v>
      </c>
      <c r="E118" s="9" t="s">
        <v>106</v>
      </c>
      <c r="F118" s="9" t="s">
        <v>40</v>
      </c>
      <c r="G118" s="1">
        <v>149</v>
      </c>
      <c r="H118" s="11">
        <v>45.77</v>
      </c>
      <c r="I118" s="1">
        <v>181</v>
      </c>
      <c r="J118" s="1">
        <v>248</v>
      </c>
      <c r="K118" s="1">
        <v>7.4</v>
      </c>
      <c r="L118" s="1">
        <v>10</v>
      </c>
      <c r="M118" s="1">
        <v>11</v>
      </c>
      <c r="N118" s="1">
        <v>29</v>
      </c>
      <c r="O118" s="1">
        <v>0</v>
      </c>
      <c r="P118" s="1">
        <v>24</v>
      </c>
      <c r="Q118" s="1">
        <v>669</v>
      </c>
      <c r="R118" s="9" t="s">
        <v>106</v>
      </c>
      <c r="S118" s="1">
        <v>1712</v>
      </c>
      <c r="T118" s="6">
        <v>1712</v>
      </c>
      <c r="U118" s="40">
        <v>0.65</v>
      </c>
      <c r="V118" s="1">
        <v>1112.8</v>
      </c>
      <c r="W118" s="6">
        <v>55</v>
      </c>
      <c r="X118" s="40">
        <f t="shared" si="22"/>
        <v>70.294545454545457</v>
      </c>
      <c r="Y118" s="40">
        <v>3866.2</v>
      </c>
      <c r="Z118" s="40"/>
      <c r="AA118" s="49">
        <v>123542.7</v>
      </c>
      <c r="AB118" s="10">
        <f t="shared" si="21"/>
        <v>122429.9</v>
      </c>
      <c r="AC118" s="48">
        <v>46243</v>
      </c>
      <c r="AD118" s="50">
        <f>Table4[[#This Row],[Net Wt (Without Jute Bag)]]</f>
        <v>122429.9</v>
      </c>
      <c r="AE118" s="23"/>
      <c r="AF118" s="6"/>
      <c r="AG118" s="13" t="s">
        <v>58</v>
      </c>
      <c r="AH118" s="10">
        <f t="shared" si="20"/>
        <v>122429.9</v>
      </c>
    </row>
    <row r="119" spans="1:34" x14ac:dyDescent="0.3">
      <c r="A119" s="6">
        <v>113</v>
      </c>
      <c r="B119" s="7">
        <v>46274</v>
      </c>
      <c r="C119" s="1" t="s">
        <v>57</v>
      </c>
      <c r="D119" s="27" t="s">
        <v>105</v>
      </c>
      <c r="E119" s="9" t="s">
        <v>106</v>
      </c>
      <c r="F119" s="9" t="s">
        <v>40</v>
      </c>
      <c r="G119" s="1">
        <v>150</v>
      </c>
      <c r="H119" s="11">
        <v>43.83</v>
      </c>
      <c r="I119" s="1">
        <v>181</v>
      </c>
      <c r="J119" s="1">
        <v>241</v>
      </c>
      <c r="K119" s="1">
        <v>7.3</v>
      </c>
      <c r="L119" s="1">
        <v>7</v>
      </c>
      <c r="M119" s="1">
        <v>8</v>
      </c>
      <c r="N119" s="1">
        <v>31</v>
      </c>
      <c r="O119" s="1">
        <v>2</v>
      </c>
      <c r="P119" s="1">
        <v>15</v>
      </c>
      <c r="Q119" s="1">
        <v>687</v>
      </c>
      <c r="R119" s="9" t="s">
        <v>106</v>
      </c>
      <c r="S119" s="1">
        <v>2756</v>
      </c>
      <c r="T119" s="6">
        <v>2756</v>
      </c>
      <c r="U119" s="40">
        <v>0.65</v>
      </c>
      <c r="V119" s="1">
        <v>1791.4</v>
      </c>
      <c r="W119" s="6">
        <v>88</v>
      </c>
      <c r="X119" s="40">
        <f t="shared" si="22"/>
        <v>71.853409090909096</v>
      </c>
      <c r="Y119" s="40">
        <v>6323.1</v>
      </c>
      <c r="Z119" s="40"/>
      <c r="AA119" s="49">
        <v>197154.2</v>
      </c>
      <c r="AB119" s="10">
        <f t="shared" si="21"/>
        <v>195362.80000000002</v>
      </c>
      <c r="AC119" s="48">
        <v>46243</v>
      </c>
      <c r="AD119" s="50">
        <f>Table4[[#This Row],[Net Wt (Without Jute Bag)]]</f>
        <v>195362.80000000002</v>
      </c>
      <c r="AE119" s="23"/>
      <c r="AF119" s="6"/>
      <c r="AG119" s="13" t="s">
        <v>58</v>
      </c>
      <c r="AH119" s="10">
        <f t="shared" si="20"/>
        <v>195362.80000000002</v>
      </c>
    </row>
    <row r="120" spans="1:34" x14ac:dyDescent="0.3">
      <c r="A120" s="6">
        <v>114</v>
      </c>
      <c r="B120" s="7">
        <v>46275</v>
      </c>
      <c r="C120" s="1" t="s">
        <v>57</v>
      </c>
      <c r="D120" s="27" t="s">
        <v>105</v>
      </c>
      <c r="E120" s="9" t="s">
        <v>106</v>
      </c>
      <c r="F120" s="9" t="s">
        <v>40</v>
      </c>
      <c r="G120" s="1">
        <v>151</v>
      </c>
      <c r="H120" s="11">
        <v>44.71</v>
      </c>
      <c r="I120" s="1">
        <v>181</v>
      </c>
      <c r="J120" s="1">
        <v>242</v>
      </c>
      <c r="K120" s="1">
        <v>7.3</v>
      </c>
      <c r="L120" s="1">
        <v>7</v>
      </c>
      <c r="M120" s="1">
        <v>11</v>
      </c>
      <c r="N120" s="1">
        <v>28</v>
      </c>
      <c r="O120" s="1">
        <v>3</v>
      </c>
      <c r="P120" s="1">
        <v>12</v>
      </c>
      <c r="Q120" s="1">
        <v>690</v>
      </c>
      <c r="R120" s="9" t="s">
        <v>106</v>
      </c>
      <c r="S120" s="1">
        <v>2029</v>
      </c>
      <c r="T120" s="6">
        <v>2029</v>
      </c>
      <c r="U120" s="40">
        <v>0.65</v>
      </c>
      <c r="V120" s="1">
        <v>1318.85</v>
      </c>
      <c r="W120" s="6">
        <v>66</v>
      </c>
      <c r="X120" s="40">
        <f t="shared" si="22"/>
        <v>73.815151515151513</v>
      </c>
      <c r="Y120" s="40">
        <v>4871.8</v>
      </c>
      <c r="Z120" s="40"/>
      <c r="AA120" s="49">
        <v>145793.4</v>
      </c>
      <c r="AB120" s="10">
        <f t="shared" si="21"/>
        <v>144474.54999999999</v>
      </c>
      <c r="AC120" s="48">
        <v>46274</v>
      </c>
      <c r="AD120" s="50">
        <f>Table4[[#This Row],[Net Wt (Without Jute Bag)]]</f>
        <v>144474.54999999999</v>
      </c>
      <c r="AE120" s="23"/>
      <c r="AF120" s="6"/>
      <c r="AG120" s="13" t="s">
        <v>58</v>
      </c>
      <c r="AH120" s="10">
        <f t="shared" si="20"/>
        <v>144474.54999999999</v>
      </c>
    </row>
    <row r="121" spans="1:34" x14ac:dyDescent="0.3">
      <c r="A121" s="6">
        <v>115</v>
      </c>
      <c r="B121" s="7">
        <v>46276</v>
      </c>
      <c r="C121" s="1" t="s">
        <v>57</v>
      </c>
      <c r="D121" s="27" t="s">
        <v>105</v>
      </c>
      <c r="E121" s="9" t="s">
        <v>106</v>
      </c>
      <c r="F121" s="9" t="s">
        <v>40</v>
      </c>
      <c r="G121" s="1">
        <v>152</v>
      </c>
      <c r="H121" s="11">
        <v>45.51</v>
      </c>
      <c r="I121" s="1">
        <v>183</v>
      </c>
      <c r="J121" s="1">
        <v>246</v>
      </c>
      <c r="K121" s="1">
        <v>7.5</v>
      </c>
      <c r="L121" s="1">
        <v>7</v>
      </c>
      <c r="M121" s="1">
        <v>14</v>
      </c>
      <c r="N121" s="1">
        <v>21</v>
      </c>
      <c r="O121" s="1">
        <v>2</v>
      </c>
      <c r="P121" s="1">
        <v>19</v>
      </c>
      <c r="Q121" s="1">
        <v>682</v>
      </c>
      <c r="R121" s="9" t="s">
        <v>106</v>
      </c>
      <c r="S121" s="1">
        <v>2006</v>
      </c>
      <c r="T121" s="6">
        <v>2006</v>
      </c>
      <c r="U121" s="40">
        <v>0.65</v>
      </c>
      <c r="V121" s="1">
        <v>1303.9000000000001</v>
      </c>
      <c r="W121" s="6">
        <v>66</v>
      </c>
      <c r="X121" s="40">
        <f t="shared" si="22"/>
        <v>70.807575757575762</v>
      </c>
      <c r="Y121" s="40">
        <v>4673.3</v>
      </c>
      <c r="Z121" s="40"/>
      <c r="AA121" s="49">
        <v>143089.1</v>
      </c>
      <c r="AB121" s="10">
        <f t="shared" si="21"/>
        <v>141785.20000000001</v>
      </c>
      <c r="AC121" s="48">
        <v>46304</v>
      </c>
      <c r="AD121" s="50">
        <f>Table4[[#This Row],[Net Wt (Without Jute Bag)]]</f>
        <v>141785.20000000001</v>
      </c>
      <c r="AE121" s="23"/>
      <c r="AF121" s="6"/>
      <c r="AG121" s="13" t="s">
        <v>58</v>
      </c>
      <c r="AH121" s="10">
        <f t="shared" si="20"/>
        <v>141785.20000000001</v>
      </c>
    </row>
    <row r="122" spans="1:34" x14ac:dyDescent="0.3">
      <c r="A122" s="6">
        <v>116</v>
      </c>
      <c r="B122" s="7">
        <v>46276</v>
      </c>
      <c r="C122" s="1" t="s">
        <v>57</v>
      </c>
      <c r="D122" s="27" t="s">
        <v>105</v>
      </c>
      <c r="E122" s="9" t="s">
        <v>106</v>
      </c>
      <c r="F122" s="9" t="s">
        <v>40</v>
      </c>
      <c r="G122" s="1">
        <v>153</v>
      </c>
      <c r="H122" s="11">
        <v>45.86</v>
      </c>
      <c r="I122" s="1">
        <v>186</v>
      </c>
      <c r="J122" s="1">
        <v>252</v>
      </c>
      <c r="K122" s="1">
        <v>7.6</v>
      </c>
      <c r="L122" s="1">
        <v>7</v>
      </c>
      <c r="M122" s="1">
        <v>10</v>
      </c>
      <c r="N122" s="1">
        <v>18</v>
      </c>
      <c r="O122" s="1">
        <v>0</v>
      </c>
      <c r="P122" s="1">
        <v>19</v>
      </c>
      <c r="Q122" s="1">
        <v>687</v>
      </c>
      <c r="R122" s="9" t="s">
        <v>106</v>
      </c>
      <c r="S122" s="1">
        <v>2021</v>
      </c>
      <c r="T122" s="6">
        <v>2021</v>
      </c>
      <c r="U122" s="40">
        <v>0.65</v>
      </c>
      <c r="V122" s="1">
        <v>1313.65</v>
      </c>
      <c r="W122" s="6">
        <v>66</v>
      </c>
      <c r="X122" s="40">
        <f t="shared" si="22"/>
        <v>70.962121212121218</v>
      </c>
      <c r="Y122" s="40">
        <v>4683.5</v>
      </c>
      <c r="Z122" s="40"/>
      <c r="AA122" s="49">
        <v>148478.9</v>
      </c>
      <c r="AB122" s="10">
        <f t="shared" si="21"/>
        <v>147165.25</v>
      </c>
      <c r="AC122" s="48">
        <v>46335</v>
      </c>
      <c r="AD122" s="50">
        <f>Table4[[#This Row],[Net Wt (Without Jute Bag)]]</f>
        <v>147165.25</v>
      </c>
      <c r="AE122" s="23"/>
      <c r="AF122" s="6"/>
      <c r="AG122" s="13" t="s">
        <v>58</v>
      </c>
      <c r="AH122" s="10">
        <f t="shared" si="20"/>
        <v>147165.25</v>
      </c>
    </row>
    <row r="123" spans="1:34" x14ac:dyDescent="0.3">
      <c r="A123" s="6">
        <v>117</v>
      </c>
      <c r="B123" s="7">
        <v>46281</v>
      </c>
      <c r="C123" s="1" t="s">
        <v>57</v>
      </c>
      <c r="D123" s="27" t="s">
        <v>105</v>
      </c>
      <c r="E123" s="9" t="s">
        <v>106</v>
      </c>
      <c r="F123" s="9" t="s">
        <v>40</v>
      </c>
      <c r="G123" s="1">
        <v>154</v>
      </c>
      <c r="H123" s="11">
        <v>43.87</v>
      </c>
      <c r="I123" s="1">
        <v>187</v>
      </c>
      <c r="J123" s="1">
        <v>240</v>
      </c>
      <c r="K123" s="1">
        <v>7.5</v>
      </c>
      <c r="L123" s="1">
        <v>8</v>
      </c>
      <c r="M123" s="1">
        <v>9.5</v>
      </c>
      <c r="N123" s="1">
        <v>33</v>
      </c>
      <c r="O123" s="1">
        <v>2</v>
      </c>
      <c r="P123" s="1">
        <v>24</v>
      </c>
      <c r="Q123" s="1">
        <v>676</v>
      </c>
      <c r="R123" s="9" t="s">
        <v>106</v>
      </c>
      <c r="S123" s="1">
        <v>2301</v>
      </c>
      <c r="T123" s="6">
        <v>2301</v>
      </c>
      <c r="U123" s="40">
        <v>0.65</v>
      </c>
      <c r="V123" s="1">
        <v>1495.65</v>
      </c>
      <c r="W123" s="6">
        <v>75</v>
      </c>
      <c r="X123" s="40">
        <f t="shared" si="22"/>
        <v>73.265333333333331</v>
      </c>
      <c r="Y123" s="40">
        <v>5494.9</v>
      </c>
      <c r="Z123" s="40"/>
      <c r="AA123" s="49">
        <v>168098.7</v>
      </c>
      <c r="AB123" s="10">
        <f t="shared" si="21"/>
        <v>166603.05000000002</v>
      </c>
      <c r="AC123" s="48" t="s">
        <v>107</v>
      </c>
      <c r="AD123" s="50">
        <f>Table4[[#This Row],[Net Wt (Without Jute Bag)]]</f>
        <v>166603.05000000002</v>
      </c>
      <c r="AE123" s="23"/>
      <c r="AF123" s="6"/>
      <c r="AG123" s="13" t="s">
        <v>58</v>
      </c>
      <c r="AH123" s="10">
        <f t="shared" si="20"/>
        <v>166603.05000000002</v>
      </c>
    </row>
    <row r="124" spans="1:34" x14ac:dyDescent="0.3">
      <c r="A124" s="6">
        <v>118</v>
      </c>
      <c r="B124" s="7">
        <v>46282</v>
      </c>
      <c r="C124" s="1" t="s">
        <v>57</v>
      </c>
      <c r="D124" s="27" t="s">
        <v>105</v>
      </c>
      <c r="E124" s="9" t="s">
        <v>106</v>
      </c>
      <c r="F124" s="9" t="s">
        <v>40</v>
      </c>
      <c r="G124" s="1">
        <v>155</v>
      </c>
      <c r="H124" s="11">
        <v>45.29</v>
      </c>
      <c r="K124" s="1">
        <v>7.4</v>
      </c>
      <c r="R124" s="9" t="s">
        <v>106</v>
      </c>
      <c r="S124" s="1">
        <v>2444</v>
      </c>
      <c r="T124" s="6">
        <v>2444</v>
      </c>
      <c r="U124" s="40">
        <v>0.65</v>
      </c>
      <c r="V124" s="1">
        <v>1588.6</v>
      </c>
      <c r="W124" s="6">
        <v>80</v>
      </c>
      <c r="X124" s="40">
        <f t="shared" si="22"/>
        <v>73.462500000000006</v>
      </c>
      <c r="Y124" s="40">
        <v>5877</v>
      </c>
      <c r="Z124" s="40"/>
      <c r="AA124" s="49">
        <v>174852.5</v>
      </c>
      <c r="AB124" s="10">
        <f t="shared" si="21"/>
        <v>173263.9</v>
      </c>
      <c r="AC124" s="48" t="s">
        <v>108</v>
      </c>
      <c r="AD124" s="50">
        <f>Table4[[#This Row],[Net Wt (Without Jute Bag)]]</f>
        <v>173263.9</v>
      </c>
      <c r="AE124" s="23"/>
      <c r="AF124" s="6"/>
      <c r="AG124" s="13" t="s">
        <v>58</v>
      </c>
      <c r="AH124" s="10">
        <f t="shared" si="20"/>
        <v>173263.9</v>
      </c>
    </row>
    <row r="125" spans="1:34" x14ac:dyDescent="0.3">
      <c r="A125" s="6">
        <v>119</v>
      </c>
      <c r="B125" s="7">
        <v>46283</v>
      </c>
      <c r="C125" s="1" t="s">
        <v>57</v>
      </c>
      <c r="D125" s="27" t="s">
        <v>105</v>
      </c>
      <c r="E125" s="9" t="s">
        <v>106</v>
      </c>
      <c r="F125" s="9" t="s">
        <v>40</v>
      </c>
      <c r="G125" s="1">
        <v>156</v>
      </c>
      <c r="H125" s="11">
        <v>43.88</v>
      </c>
      <c r="I125" s="1">
        <v>184</v>
      </c>
      <c r="J125" s="1">
        <v>236</v>
      </c>
      <c r="K125" s="1">
        <v>7.8</v>
      </c>
      <c r="L125" s="1">
        <v>9.5</v>
      </c>
      <c r="M125" s="1">
        <v>15</v>
      </c>
      <c r="N125" s="1">
        <v>21</v>
      </c>
      <c r="O125" s="1">
        <v>0</v>
      </c>
      <c r="P125" s="1">
        <v>22</v>
      </c>
      <c r="Q125" s="1">
        <v>690</v>
      </c>
      <c r="R125" s="9" t="s">
        <v>106</v>
      </c>
      <c r="S125" s="1">
        <v>1566</v>
      </c>
      <c r="T125" s="6">
        <v>1566</v>
      </c>
      <c r="U125" s="40">
        <v>0.65</v>
      </c>
      <c r="V125" s="1">
        <v>1017.9</v>
      </c>
      <c r="W125" s="6">
        <v>51</v>
      </c>
      <c r="X125" s="40">
        <f t="shared" si="22"/>
        <v>73.996078431372553</v>
      </c>
      <c r="Y125" s="40">
        <v>3773.8</v>
      </c>
      <c r="Z125" s="40"/>
      <c r="AA125" s="49">
        <v>110981.8</v>
      </c>
      <c r="AB125" s="10">
        <f>AA125-V125</f>
        <v>109963.90000000001</v>
      </c>
      <c r="AC125" s="48" t="s">
        <v>109</v>
      </c>
      <c r="AD125" s="50">
        <f>Table4[[#This Row],[Net Wt (Without Jute Bag)]]</f>
        <v>109963.90000000001</v>
      </c>
      <c r="AE125" s="23"/>
      <c r="AF125" s="6"/>
      <c r="AG125" s="13" t="s">
        <v>58</v>
      </c>
      <c r="AH125" s="10">
        <f t="shared" si="20"/>
        <v>109963.90000000001</v>
      </c>
    </row>
    <row r="126" spans="1:34" x14ac:dyDescent="0.3">
      <c r="A126" s="6">
        <v>120</v>
      </c>
      <c r="B126" s="7">
        <v>46283</v>
      </c>
      <c r="C126" s="1" t="s">
        <v>57</v>
      </c>
      <c r="D126" s="27" t="s">
        <v>110</v>
      </c>
      <c r="E126" s="9" t="s">
        <v>111</v>
      </c>
      <c r="F126" s="9" t="s">
        <v>40</v>
      </c>
      <c r="G126" s="1">
        <v>156</v>
      </c>
      <c r="H126" s="11">
        <v>43.88</v>
      </c>
      <c r="I126" s="1">
        <v>184</v>
      </c>
      <c r="J126" s="1">
        <v>236</v>
      </c>
      <c r="K126" s="1">
        <v>7.8</v>
      </c>
      <c r="L126" s="1">
        <v>9.5</v>
      </c>
      <c r="M126" s="1">
        <v>15</v>
      </c>
      <c r="N126" s="1">
        <v>21</v>
      </c>
      <c r="O126" s="1">
        <v>0</v>
      </c>
      <c r="P126" s="1">
        <v>22</v>
      </c>
      <c r="Q126" s="1">
        <v>690</v>
      </c>
      <c r="R126" s="9" t="s">
        <v>111</v>
      </c>
      <c r="S126" s="1">
        <v>909</v>
      </c>
      <c r="T126" s="6">
        <v>909</v>
      </c>
      <c r="U126" s="40">
        <v>0.65</v>
      </c>
      <c r="V126" s="1">
        <v>590.85</v>
      </c>
      <c r="W126" s="6">
        <v>30</v>
      </c>
      <c r="X126" s="40">
        <f t="shared" si="22"/>
        <v>72.510000000000005</v>
      </c>
      <c r="Y126" s="40">
        <v>2175.3000000000002</v>
      </c>
      <c r="Z126" s="40"/>
      <c r="AA126" s="49">
        <v>65210.2</v>
      </c>
      <c r="AB126" s="10">
        <f t="shared" ref="AB126:AB130" si="23">AA126-V126</f>
        <v>64619.35</v>
      </c>
      <c r="AC126" s="48" t="s">
        <v>112</v>
      </c>
      <c r="AD126" s="50">
        <f>Table4[[#This Row],[Net Wt (Without Jute Bag)]]</f>
        <v>64619.35</v>
      </c>
      <c r="AE126" s="23"/>
      <c r="AF126" s="6"/>
      <c r="AG126" s="13" t="s">
        <v>58</v>
      </c>
      <c r="AH126" s="10">
        <f t="shared" si="20"/>
        <v>64619.35</v>
      </c>
    </row>
    <row r="127" spans="1:34" x14ac:dyDescent="0.3">
      <c r="A127" s="6">
        <v>121</v>
      </c>
      <c r="B127" s="7">
        <v>46284</v>
      </c>
      <c r="C127" s="1" t="s">
        <v>57</v>
      </c>
      <c r="D127" s="27" t="s">
        <v>110</v>
      </c>
      <c r="E127" s="9" t="s">
        <v>111</v>
      </c>
      <c r="F127" s="9" t="s">
        <v>40</v>
      </c>
      <c r="G127" s="1">
        <v>157</v>
      </c>
      <c r="H127" s="11">
        <v>43.44</v>
      </c>
      <c r="I127" s="1">
        <v>181</v>
      </c>
      <c r="J127" s="1">
        <v>233</v>
      </c>
      <c r="K127" s="1">
        <v>7.4</v>
      </c>
      <c r="L127" s="1">
        <v>6</v>
      </c>
      <c r="M127" s="1">
        <v>19.5</v>
      </c>
      <c r="N127" s="1">
        <v>27.5</v>
      </c>
      <c r="O127" s="1">
        <v>2</v>
      </c>
      <c r="P127" s="1">
        <v>26</v>
      </c>
      <c r="Q127" s="1">
        <v>677</v>
      </c>
      <c r="R127" s="9" t="s">
        <v>111</v>
      </c>
      <c r="S127" s="1">
        <v>2762</v>
      </c>
      <c r="T127" s="6">
        <v>2762</v>
      </c>
      <c r="U127" s="40">
        <v>0.65</v>
      </c>
      <c r="V127" s="1">
        <v>1795.3</v>
      </c>
      <c r="W127" s="6">
        <v>90</v>
      </c>
      <c r="X127" s="40">
        <f t="shared" si="22"/>
        <v>70.75</v>
      </c>
      <c r="Y127" s="40">
        <v>6367.5</v>
      </c>
      <c r="Z127" s="40"/>
      <c r="AA127" s="49">
        <v>203536.6</v>
      </c>
      <c r="AB127" s="10">
        <f t="shared" si="23"/>
        <v>201741.30000000002</v>
      </c>
      <c r="AC127" s="48" t="s">
        <v>112</v>
      </c>
      <c r="AD127" s="50">
        <f>Table4[[#This Row],[Net Wt (Without Jute Bag)]]</f>
        <v>201741.30000000002</v>
      </c>
      <c r="AE127" s="23"/>
      <c r="AF127" s="6"/>
      <c r="AG127" s="13" t="s">
        <v>58</v>
      </c>
      <c r="AH127" s="10">
        <f t="shared" si="20"/>
        <v>201741.30000000002</v>
      </c>
    </row>
    <row r="128" spans="1:34" x14ac:dyDescent="0.3">
      <c r="A128" s="6">
        <v>122</v>
      </c>
      <c r="B128" s="7">
        <v>46286</v>
      </c>
      <c r="C128" s="1" t="s">
        <v>57</v>
      </c>
      <c r="D128" s="27" t="s">
        <v>110</v>
      </c>
      <c r="E128" s="9" t="s">
        <v>111</v>
      </c>
      <c r="F128" s="9" t="s">
        <v>40</v>
      </c>
      <c r="G128" s="1">
        <v>158</v>
      </c>
      <c r="H128" s="11">
        <v>42.77</v>
      </c>
      <c r="I128" s="1">
        <v>181</v>
      </c>
      <c r="J128" s="1">
        <v>235</v>
      </c>
      <c r="K128" s="1">
        <v>7.5</v>
      </c>
      <c r="L128" s="1">
        <v>5</v>
      </c>
      <c r="M128" s="1">
        <v>10</v>
      </c>
      <c r="N128" s="1">
        <v>32.5</v>
      </c>
      <c r="O128" s="1">
        <v>0</v>
      </c>
      <c r="P128" s="1">
        <v>19</v>
      </c>
      <c r="Q128" s="1">
        <v>691</v>
      </c>
      <c r="R128" s="9" t="s">
        <v>111</v>
      </c>
      <c r="S128" s="1">
        <v>2306</v>
      </c>
      <c r="T128" s="6">
        <v>2306</v>
      </c>
      <c r="U128" s="40">
        <v>0.65</v>
      </c>
      <c r="V128" s="1">
        <v>1498.9</v>
      </c>
      <c r="W128" s="6">
        <v>75</v>
      </c>
      <c r="X128" s="40">
        <f t="shared" si="22"/>
        <v>73.564000000000007</v>
      </c>
      <c r="Y128" s="40">
        <v>5517.3</v>
      </c>
      <c r="Z128" s="40"/>
      <c r="AA128" s="49">
        <v>172185.60000000001</v>
      </c>
      <c r="AB128" s="10">
        <f t="shared" si="23"/>
        <v>170686.7</v>
      </c>
      <c r="AC128" s="48" t="s">
        <v>113</v>
      </c>
      <c r="AD128" s="50">
        <f>Table4[[#This Row],[Net Wt (Without Jute Bag)]]</f>
        <v>170686.7</v>
      </c>
      <c r="AE128" s="23"/>
      <c r="AF128" s="6"/>
      <c r="AG128" s="13" t="s">
        <v>58</v>
      </c>
      <c r="AH128" s="10">
        <f t="shared" si="20"/>
        <v>170686.7</v>
      </c>
    </row>
    <row r="129" spans="1:34" x14ac:dyDescent="0.3">
      <c r="A129" s="6">
        <v>123</v>
      </c>
      <c r="B129" s="7">
        <v>46287</v>
      </c>
      <c r="C129" s="1" t="s">
        <v>57</v>
      </c>
      <c r="D129" s="27" t="s">
        <v>110</v>
      </c>
      <c r="E129" s="9" t="s">
        <v>111</v>
      </c>
      <c r="F129" s="9" t="s">
        <v>52</v>
      </c>
      <c r="G129" s="1">
        <v>159</v>
      </c>
      <c r="H129" s="11">
        <v>44.31</v>
      </c>
      <c r="I129" s="1">
        <v>181</v>
      </c>
      <c r="J129" s="1">
        <v>240</v>
      </c>
      <c r="K129" s="1">
        <v>7.8</v>
      </c>
      <c r="L129" s="1">
        <v>7</v>
      </c>
      <c r="M129" s="1">
        <v>15</v>
      </c>
      <c r="N129" s="1">
        <v>22</v>
      </c>
      <c r="O129" s="1">
        <v>1</v>
      </c>
      <c r="P129" s="1">
        <v>21</v>
      </c>
      <c r="Q129" s="1">
        <v>687</v>
      </c>
      <c r="R129" s="9" t="s">
        <v>111</v>
      </c>
      <c r="S129" s="1">
        <v>2488</v>
      </c>
      <c r="T129" s="6">
        <v>2488</v>
      </c>
      <c r="U129" s="40">
        <v>0.65</v>
      </c>
      <c r="V129" s="1">
        <v>1617.2</v>
      </c>
      <c r="W129" s="6">
        <v>83</v>
      </c>
      <c r="X129" s="40">
        <f t="shared" si="22"/>
        <v>71.109638554216872</v>
      </c>
      <c r="Y129" s="40">
        <v>5902.1</v>
      </c>
      <c r="Z129" s="40"/>
      <c r="AA129" s="49">
        <v>185038.6</v>
      </c>
      <c r="AB129" s="10">
        <f t="shared" si="23"/>
        <v>183421.4</v>
      </c>
      <c r="AC129" s="48" t="s">
        <v>114</v>
      </c>
      <c r="AD129" s="50">
        <f>Table4[[#This Row],[Net Wt (Without Jute Bag)]]</f>
        <v>183421.4</v>
      </c>
      <c r="AE129" s="23"/>
      <c r="AF129" s="6"/>
      <c r="AG129" s="13" t="s">
        <v>58</v>
      </c>
      <c r="AH129" s="10">
        <f t="shared" si="20"/>
        <v>183421.4</v>
      </c>
    </row>
    <row r="130" spans="1:34" x14ac:dyDescent="0.3">
      <c r="A130" s="6">
        <v>124</v>
      </c>
      <c r="B130" s="7">
        <v>46288</v>
      </c>
      <c r="C130" s="1" t="s">
        <v>57</v>
      </c>
      <c r="D130" s="27" t="s">
        <v>105</v>
      </c>
      <c r="E130" s="9" t="s">
        <v>106</v>
      </c>
      <c r="F130" s="9" t="s">
        <v>40</v>
      </c>
      <c r="G130" s="1">
        <v>160</v>
      </c>
      <c r="H130" s="11">
        <v>43.52</v>
      </c>
      <c r="I130" s="1">
        <v>183</v>
      </c>
      <c r="J130" s="1">
        <v>236</v>
      </c>
      <c r="K130" s="1">
        <v>7.3</v>
      </c>
      <c r="L130" s="1">
        <v>6.5</v>
      </c>
      <c r="M130" s="1">
        <v>15</v>
      </c>
      <c r="N130" s="1">
        <v>31</v>
      </c>
      <c r="O130" s="1">
        <v>2.5</v>
      </c>
      <c r="P130" s="1">
        <v>22.5</v>
      </c>
      <c r="Q130" s="1">
        <v>678</v>
      </c>
      <c r="R130" s="9" t="s">
        <v>106</v>
      </c>
      <c r="S130" s="1">
        <v>2289</v>
      </c>
      <c r="T130" s="6">
        <v>2289</v>
      </c>
      <c r="U130" s="40">
        <v>0.65</v>
      </c>
      <c r="V130" s="1">
        <v>1487.85</v>
      </c>
      <c r="W130" s="6">
        <v>75</v>
      </c>
      <c r="X130" s="40">
        <f t="shared" si="22"/>
        <v>72.493333333333339</v>
      </c>
      <c r="Y130" s="40">
        <v>5437</v>
      </c>
      <c r="Z130" s="40"/>
      <c r="AA130" s="49">
        <v>168647.5</v>
      </c>
      <c r="AB130" s="10">
        <f t="shared" si="23"/>
        <v>167159.65</v>
      </c>
      <c r="AC130" s="48" t="s">
        <v>115</v>
      </c>
      <c r="AD130" s="50">
        <f>Table4[[#This Row],[Net Wt (Without Jute Bag)]]</f>
        <v>167159.65</v>
      </c>
      <c r="AE130" s="23"/>
      <c r="AF130" s="6"/>
      <c r="AG130" s="13" t="s">
        <v>58</v>
      </c>
      <c r="AH130" s="10">
        <f t="shared" si="20"/>
        <v>167159.65</v>
      </c>
    </row>
    <row r="131" spans="1:34" x14ac:dyDescent="0.3">
      <c r="A131" s="6"/>
      <c r="B131" s="7"/>
      <c r="D131" s="27"/>
      <c r="E131" s="9"/>
      <c r="F131" s="9"/>
      <c r="H131" s="11"/>
      <c r="R131" s="9"/>
      <c r="T131" s="6"/>
      <c r="U131" s="40"/>
      <c r="W131" s="6"/>
      <c r="X131" s="40"/>
      <c r="Y131" s="40"/>
      <c r="Z131" s="40"/>
      <c r="AA131" s="49"/>
      <c r="AC131" s="48"/>
      <c r="AD131" s="6"/>
      <c r="AE131" s="23"/>
      <c r="AF131" s="6"/>
      <c r="AG131" s="23"/>
      <c r="AH131" s="10"/>
    </row>
    <row r="132" spans="1:34" x14ac:dyDescent="0.3">
      <c r="A132" s="6"/>
      <c r="B132" s="7"/>
      <c r="D132" s="27"/>
      <c r="E132" s="9"/>
      <c r="F132" s="9"/>
      <c r="H132" s="11"/>
      <c r="R132" s="9"/>
      <c r="T132" s="6"/>
      <c r="U132" s="40"/>
      <c r="W132" s="6"/>
      <c r="X132" s="40"/>
      <c r="Y132" s="40"/>
      <c r="Z132" s="40"/>
      <c r="AA132" s="49"/>
      <c r="AC132" s="48"/>
      <c r="AD132" s="6"/>
      <c r="AE132" s="23"/>
      <c r="AF132" s="6"/>
      <c r="AG132" s="23"/>
      <c r="AH132" s="10"/>
    </row>
    <row r="133" spans="1:34" x14ac:dyDescent="0.3">
      <c r="A133" s="6"/>
      <c r="B133" s="7"/>
      <c r="D133" s="27"/>
      <c r="E133" s="9"/>
      <c r="F133" s="9"/>
      <c r="H133" s="11"/>
      <c r="R133" s="9"/>
      <c r="T133" s="6"/>
      <c r="U133" s="40"/>
      <c r="W133" s="6"/>
      <c r="X133" s="40"/>
      <c r="Y133" s="40"/>
      <c r="Z133" s="40"/>
      <c r="AA133" s="49"/>
      <c r="AC133" s="48"/>
      <c r="AD133" s="6"/>
      <c r="AE133" s="23"/>
      <c r="AF133" s="6"/>
      <c r="AG133" s="23"/>
      <c r="AH133" s="10"/>
    </row>
    <row r="134" spans="1:34" x14ac:dyDescent="0.3">
      <c r="A134" s="6"/>
      <c r="B134" s="7"/>
      <c r="D134" s="27"/>
      <c r="E134" s="9"/>
      <c r="F134" s="9"/>
      <c r="H134" s="11"/>
      <c r="R134" s="9"/>
      <c r="T134" s="6"/>
      <c r="U134" s="40"/>
      <c r="W134" s="6"/>
      <c r="X134" s="40"/>
      <c r="Y134" s="40"/>
      <c r="Z134" s="40"/>
      <c r="AA134" s="49"/>
      <c r="AC134" s="48"/>
      <c r="AD134" s="6"/>
      <c r="AE134" s="23"/>
      <c r="AF134" s="6"/>
      <c r="AG134" s="23"/>
      <c r="AH134" s="10"/>
    </row>
    <row r="135" spans="1:34" x14ac:dyDescent="0.3">
      <c r="A135" s="6"/>
      <c r="B135" s="7"/>
      <c r="D135" s="27"/>
      <c r="E135" s="9"/>
      <c r="F135" s="9"/>
      <c r="H135" s="11"/>
      <c r="R135" s="9"/>
      <c r="T135" s="6"/>
      <c r="U135" s="40"/>
      <c r="W135" s="6"/>
      <c r="X135" s="40"/>
      <c r="Y135" s="40"/>
      <c r="Z135" s="40"/>
      <c r="AA135" s="49"/>
      <c r="AC135" s="48"/>
      <c r="AD135" s="6"/>
      <c r="AE135" s="23"/>
      <c r="AF135" s="6"/>
      <c r="AG135" s="23"/>
      <c r="AH135" s="10"/>
    </row>
    <row r="136" spans="1:34" x14ac:dyDescent="0.3">
      <c r="A136" s="6"/>
      <c r="B136" s="7"/>
      <c r="D136" s="27"/>
      <c r="E136" s="9"/>
      <c r="F136" s="9"/>
      <c r="H136" s="11"/>
      <c r="R136" s="9"/>
      <c r="T136" s="6"/>
      <c r="U136" s="40"/>
      <c r="W136" s="6"/>
      <c r="X136" s="40"/>
      <c r="Y136" s="40"/>
      <c r="Z136" s="40"/>
      <c r="AA136" s="49"/>
      <c r="AC136" s="48"/>
      <c r="AD136" s="6"/>
      <c r="AE136" s="23"/>
      <c r="AF136" s="6"/>
      <c r="AG136" s="23"/>
      <c r="AH136" s="10"/>
    </row>
    <row r="137" spans="1:34" ht="14.5" x14ac:dyDescent="0.35">
      <c r="B137" s="51"/>
      <c r="C137" s="52"/>
      <c r="D137" s="53"/>
      <c r="E137" s="53"/>
      <c r="F137" s="53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4">
        <f>AVERAGE(Q6:Q130)</f>
        <v>680.77419354838707</v>
      </c>
      <c r="R137" s="52"/>
      <c r="S137" s="55">
        <f>SUM(S6:S130)</f>
        <v>177012</v>
      </c>
      <c r="T137" s="55">
        <f>SUM(T6:T130)</f>
        <v>177045</v>
      </c>
      <c r="U137" s="56">
        <f>AVERAGE(U6:U130)</f>
        <v>0.65315623560373459</v>
      </c>
      <c r="V137" s="54">
        <f>SUM(V6:V130)/1000</f>
        <v>115.30858730131004</v>
      </c>
      <c r="W137" s="55">
        <f>SUM(W6:W130)</f>
        <v>5922</v>
      </c>
      <c r="X137" s="56">
        <f>AVERAGE(X6:X130)</f>
        <v>72.596288867899972</v>
      </c>
      <c r="Y137" s="57"/>
      <c r="Z137" s="57"/>
      <c r="AA137" s="58">
        <f>SUBTOTAL(9,AA6:AA130)</f>
        <v>13032966.699999997</v>
      </c>
      <c r="AB137" s="54">
        <f>SUBTOTAL(9,AB6:AB130)</f>
        <v>12921736.912698686</v>
      </c>
      <c r="AC137" s="57"/>
      <c r="AD137" s="54">
        <f>SUM(AD6:AD130)</f>
        <v>12913864.129999995</v>
      </c>
      <c r="AE137" s="57"/>
      <c r="AF137" s="54">
        <f>SUM(AF6:AF130)/1000</f>
        <v>12.599338698689964</v>
      </c>
      <c r="AH137" s="59">
        <f>SUM(AH6:AH130)/1000</f>
        <v>12923.897490698686</v>
      </c>
    </row>
    <row r="138" spans="1:34" x14ac:dyDescent="0.3">
      <c r="AA138" s="61">
        <f>AA137/1000</f>
        <v>13032.966699999997</v>
      </c>
      <c r="AB138" s="15">
        <f>AB137/1000</f>
        <v>12921.736912698687</v>
      </c>
      <c r="AD138" s="15">
        <f>AD137/1000</f>
        <v>12913.864129999994</v>
      </c>
    </row>
    <row r="139" spans="1:34" x14ac:dyDescent="0.3">
      <c r="B139" s="60" t="s">
        <v>116</v>
      </c>
      <c r="AA139" s="15"/>
      <c r="AB139" s="15"/>
      <c r="AD139" s="15"/>
      <c r="AE139" s="15"/>
    </row>
    <row r="140" spans="1:34" x14ac:dyDescent="0.3">
      <c r="T140" s="15"/>
      <c r="AA140" s="20"/>
      <c r="AB140" s="15"/>
      <c r="AD140" s="15"/>
    </row>
    <row r="141" spans="1:34" x14ac:dyDescent="0.3">
      <c r="U141" s="15"/>
      <c r="Z141" s="15"/>
      <c r="AA141" s="15"/>
      <c r="AB141" s="15"/>
      <c r="AD141" s="15"/>
    </row>
    <row r="142" spans="1:34" x14ac:dyDescent="0.3">
      <c r="X142" s="15"/>
      <c r="Y142" s="15"/>
      <c r="Z142" s="15"/>
      <c r="AA142" s="20"/>
      <c r="AB142" s="15"/>
      <c r="AD142" s="15"/>
    </row>
    <row r="143" spans="1:34" x14ac:dyDescent="0.3">
      <c r="Y143" s="15"/>
      <c r="AA143" s="15"/>
      <c r="AB143" s="15"/>
      <c r="AD143" s="15"/>
    </row>
    <row r="144" spans="1:34" x14ac:dyDescent="0.3">
      <c r="Y144" s="15"/>
      <c r="Z144" s="15"/>
      <c r="AA144" s="15"/>
    </row>
    <row r="145" spans="15:32" x14ac:dyDescent="0.3">
      <c r="AB145" s="15"/>
    </row>
    <row r="147" spans="15:32" x14ac:dyDescent="0.3">
      <c r="AB147" s="15"/>
    </row>
    <row r="148" spans="15:32" x14ac:dyDescent="0.3">
      <c r="AB148" s="15"/>
    </row>
    <row r="155" spans="15:32" ht="14.5" x14ac:dyDescent="0.35">
      <c r="O155" s="62"/>
    </row>
    <row r="156" spans="15:32" x14ac:dyDescent="0.3">
      <c r="AF156" s="11"/>
    </row>
  </sheetData>
  <mergeCells count="1">
    <mergeCell ref="B4:AF4"/>
  </mergeCells>
  <pageMargins left="0.7" right="0.7" top="0.75" bottom="0.75" header="0.3" footer="0.3"/>
  <pageSetup paperSize="9" orientation="portrait"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Issued to Production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2026-09-24T09:59:22Z</dcterms:created>
  <dcterms:modified xsi:type="dcterms:W3CDTF">2026-09-24T10:13:18Z</dcterms:modified>
</cp:coreProperties>
</file>