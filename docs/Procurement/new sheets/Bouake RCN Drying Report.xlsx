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 WORK\IVORY COAST CASHEW 2026\AKASH EXPS SUPPORTING\Digitilization\"/>
    </mc:Choice>
  </mc:AlternateContent>
  <xr:revisionPtr revIDLastSave="0" documentId="8_{D55F6997-B4F6-4472-A1C9-4C118719B0E2}" xr6:coauthVersionLast="40" xr6:coauthVersionMax="40" xr10:uidLastSave="{00000000-0000-0000-0000-000000000000}"/>
  <bookViews>
    <workbookView xWindow="0" yWindow="0" windowWidth="19200" windowHeight="6790" xr2:uid="{6DE79F32-F6F1-449C-9FF3-1C5432ECFBD6}"/>
  </bookViews>
  <sheets>
    <sheet name="Drying &amp; Sorting Report" sheetId="1" r:id="rId1"/>
  </sheets>
  <externalReferences>
    <externalReference r:id="rId2"/>
  </externalReferences>
  <definedNames>
    <definedName name="_xlnm._FilterDatabase" localSheetId="0" hidden="1">'Drying &amp; Sorting Report'!$A$2:$AF$635</definedName>
    <definedName name="Prestataires">[1]Listes!$A$2:$A$20</definedName>
    <definedName name="Sites">[1]Listes!$B$2:$B$20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35" i="1" l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AH59" i="1"/>
  <c r="X59" i="1"/>
  <c r="W59" i="1"/>
  <c r="V59" i="1"/>
  <c r="U59" i="1"/>
  <c r="AH58" i="1"/>
  <c r="W58" i="1"/>
  <c r="X58" i="1" s="1"/>
  <c r="V58" i="1"/>
  <c r="U58" i="1"/>
  <c r="AH57" i="1"/>
  <c r="W57" i="1"/>
  <c r="X57" i="1" s="1"/>
  <c r="V57" i="1"/>
  <c r="U57" i="1"/>
  <c r="AH56" i="1"/>
  <c r="W56" i="1"/>
  <c r="X56" i="1" s="1"/>
  <c r="V56" i="1"/>
  <c r="U56" i="1"/>
  <c r="AH55" i="1"/>
  <c r="W55" i="1"/>
  <c r="X55" i="1" s="1"/>
  <c r="V55" i="1"/>
  <c r="U55" i="1"/>
  <c r="AH54" i="1"/>
  <c r="W54" i="1"/>
  <c r="X54" i="1" s="1"/>
  <c r="V54" i="1"/>
  <c r="U54" i="1"/>
  <c r="AH53" i="1"/>
  <c r="W53" i="1"/>
  <c r="X53" i="1" s="1"/>
  <c r="V53" i="1"/>
  <c r="U53" i="1"/>
  <c r="AH52" i="1"/>
  <c r="W52" i="1"/>
  <c r="X52" i="1" s="1"/>
  <c r="V52" i="1"/>
  <c r="U52" i="1"/>
  <c r="AH51" i="1"/>
  <c r="W51" i="1"/>
  <c r="X51" i="1" s="1"/>
  <c r="V51" i="1"/>
  <c r="U51" i="1"/>
  <c r="AH50" i="1"/>
  <c r="W50" i="1"/>
  <c r="X50" i="1" s="1"/>
  <c r="V50" i="1"/>
  <c r="U50" i="1"/>
  <c r="AH49" i="1"/>
  <c r="W49" i="1"/>
  <c r="X49" i="1" s="1"/>
  <c r="V49" i="1"/>
  <c r="U49" i="1"/>
  <c r="AH48" i="1"/>
  <c r="W48" i="1"/>
  <c r="X48" i="1" s="1"/>
  <c r="V48" i="1"/>
  <c r="U48" i="1"/>
  <c r="AH47" i="1"/>
  <c r="X47" i="1"/>
  <c r="W47" i="1"/>
  <c r="V47" i="1"/>
  <c r="U47" i="1"/>
  <c r="W46" i="1"/>
  <c r="X46" i="1" s="1"/>
  <c r="V46" i="1"/>
  <c r="U46" i="1"/>
  <c r="AH45" i="1"/>
  <c r="W45" i="1"/>
  <c r="X45" i="1" s="1"/>
  <c r="V45" i="1"/>
  <c r="U45" i="1"/>
  <c r="AH44" i="1"/>
  <c r="W44" i="1"/>
  <c r="X44" i="1" s="1"/>
  <c r="V44" i="1"/>
  <c r="U44" i="1"/>
  <c r="AH43" i="1"/>
  <c r="W43" i="1"/>
  <c r="X43" i="1" s="1"/>
  <c r="V43" i="1"/>
  <c r="U43" i="1"/>
  <c r="AH42" i="1"/>
  <c r="X42" i="1"/>
  <c r="W42" i="1"/>
  <c r="V42" i="1"/>
  <c r="U42" i="1"/>
  <c r="AH41" i="1"/>
  <c r="W41" i="1"/>
  <c r="X41" i="1" s="1"/>
  <c r="V41" i="1"/>
  <c r="U41" i="1"/>
  <c r="AH40" i="1"/>
  <c r="W40" i="1"/>
  <c r="X40" i="1" s="1"/>
  <c r="V40" i="1"/>
  <c r="U40" i="1"/>
  <c r="AH39" i="1"/>
  <c r="W39" i="1"/>
  <c r="X39" i="1" s="1"/>
  <c r="V39" i="1"/>
  <c r="U39" i="1"/>
  <c r="W38" i="1"/>
  <c r="X38" i="1" s="1"/>
  <c r="V38" i="1"/>
  <c r="U38" i="1"/>
  <c r="AH37" i="1"/>
  <c r="X37" i="1"/>
  <c r="W37" i="1"/>
  <c r="V37" i="1"/>
  <c r="U37" i="1"/>
  <c r="AH36" i="1"/>
  <c r="W36" i="1"/>
  <c r="X36" i="1" s="1"/>
  <c r="V36" i="1"/>
  <c r="U36" i="1"/>
  <c r="AH35" i="1"/>
  <c r="W35" i="1"/>
  <c r="X35" i="1" s="1"/>
  <c r="V35" i="1"/>
  <c r="U35" i="1"/>
  <c r="AH34" i="1"/>
  <c r="W34" i="1"/>
  <c r="X34" i="1" s="1"/>
  <c r="V34" i="1"/>
  <c r="U34" i="1"/>
  <c r="X33" i="1"/>
  <c r="V33" i="1"/>
  <c r="U33" i="1"/>
  <c r="X32" i="1"/>
  <c r="V32" i="1"/>
  <c r="U32" i="1"/>
  <c r="AH31" i="1"/>
  <c r="X31" i="1"/>
  <c r="V31" i="1"/>
  <c r="U31" i="1"/>
  <c r="AH30" i="1"/>
  <c r="W30" i="1"/>
  <c r="X30" i="1" s="1"/>
  <c r="V30" i="1"/>
  <c r="U30" i="1"/>
  <c r="AH29" i="1"/>
  <c r="W29" i="1"/>
  <c r="X29" i="1" s="1"/>
  <c r="V29" i="1"/>
  <c r="U29" i="1"/>
  <c r="AH28" i="1"/>
  <c r="W28" i="1"/>
  <c r="X28" i="1" s="1"/>
  <c r="V28" i="1"/>
  <c r="U28" i="1"/>
  <c r="AH27" i="1"/>
  <c r="W27" i="1"/>
  <c r="X27" i="1" s="1"/>
  <c r="V27" i="1"/>
  <c r="U27" i="1"/>
  <c r="AH26" i="1"/>
  <c r="W26" i="1"/>
  <c r="X26" i="1" s="1"/>
  <c r="V26" i="1"/>
  <c r="U26" i="1"/>
  <c r="AH25" i="1"/>
  <c r="W25" i="1"/>
  <c r="X25" i="1" s="1"/>
  <c r="V25" i="1"/>
  <c r="U25" i="1"/>
  <c r="AH24" i="1"/>
  <c r="X24" i="1"/>
  <c r="W24" i="1"/>
  <c r="V24" i="1"/>
  <c r="U24" i="1"/>
  <c r="AH23" i="1"/>
  <c r="W23" i="1"/>
  <c r="X23" i="1" s="1"/>
  <c r="V23" i="1"/>
  <c r="U23" i="1"/>
  <c r="AH22" i="1"/>
  <c r="W22" i="1"/>
  <c r="X22" i="1" s="1"/>
  <c r="V22" i="1"/>
  <c r="U22" i="1"/>
  <c r="X21" i="1"/>
  <c r="W21" i="1"/>
  <c r="V21" i="1"/>
  <c r="U21" i="1"/>
  <c r="AH20" i="1"/>
  <c r="W20" i="1"/>
  <c r="X20" i="1" s="1"/>
  <c r="V20" i="1"/>
  <c r="U20" i="1"/>
  <c r="W19" i="1"/>
  <c r="X19" i="1" s="1"/>
  <c r="V19" i="1"/>
  <c r="U19" i="1"/>
  <c r="AH18" i="1"/>
  <c r="W18" i="1"/>
  <c r="X18" i="1" s="1"/>
  <c r="V18" i="1"/>
  <c r="U18" i="1"/>
  <c r="W17" i="1"/>
  <c r="X17" i="1" s="1"/>
  <c r="V17" i="1"/>
  <c r="U17" i="1"/>
  <c r="X16" i="1"/>
  <c r="W16" i="1"/>
  <c r="V16" i="1"/>
  <c r="U16" i="1"/>
  <c r="W15" i="1"/>
  <c r="X15" i="1" s="1"/>
  <c r="V15" i="1"/>
  <c r="U15" i="1"/>
  <c r="W14" i="1"/>
  <c r="X14" i="1" s="1"/>
  <c r="V14" i="1"/>
  <c r="U14" i="1"/>
  <c r="X13" i="1"/>
  <c r="W13" i="1"/>
  <c r="V13" i="1"/>
  <c r="U13" i="1"/>
  <c r="W12" i="1"/>
  <c r="X12" i="1" s="1"/>
  <c r="V12" i="1"/>
  <c r="U12" i="1"/>
  <c r="W11" i="1"/>
  <c r="X11" i="1" s="1"/>
  <c r="V11" i="1"/>
  <c r="U11" i="1"/>
  <c r="X10" i="1"/>
  <c r="W10" i="1"/>
  <c r="V10" i="1"/>
  <c r="U10" i="1"/>
  <c r="W9" i="1"/>
  <c r="X9" i="1" s="1"/>
  <c r="V9" i="1"/>
  <c r="U9" i="1"/>
  <c r="W8" i="1"/>
  <c r="X8" i="1" s="1"/>
  <c r="V8" i="1"/>
  <c r="U8" i="1"/>
  <c r="X7" i="1"/>
  <c r="W7" i="1"/>
  <c r="V7" i="1"/>
  <c r="U7" i="1"/>
  <c r="W6" i="1"/>
  <c r="X6" i="1" s="1"/>
  <c r="V6" i="1"/>
  <c r="U6" i="1"/>
  <c r="W5" i="1"/>
  <c r="X5" i="1" s="1"/>
  <c r="V5" i="1"/>
  <c r="U5" i="1"/>
  <c r="X4" i="1"/>
  <c r="W4" i="1"/>
  <c r="V4" i="1"/>
  <c r="U4" i="1"/>
  <c r="W3" i="1"/>
  <c r="X3" i="1" s="1"/>
  <c r="V3" i="1"/>
  <c r="U3" i="1"/>
</calcChain>
</file>

<file path=xl/sharedStrings.xml><?xml version="1.0" encoding="utf-8"?>
<sst xmlns="http://schemas.openxmlformats.org/spreadsheetml/2006/main" count="579" uniqueCount="184">
  <si>
    <t>S.No.</t>
  </si>
  <si>
    <t>DATE</t>
  </si>
  <si>
    <t>Warehouse/Site</t>
  </si>
  <si>
    <t xml:space="preserve">Warehouse </t>
  </si>
  <si>
    <t>UNLOADING BIN</t>
  </si>
  <si>
    <t>AFTER DRYING BIN</t>
  </si>
  <si>
    <t>Lot No</t>
  </si>
  <si>
    <t>W/H Receipt No.</t>
  </si>
  <si>
    <t>Origin</t>
  </si>
  <si>
    <t>Supplier Name</t>
  </si>
  <si>
    <t>Supplier's Code (Anagroci)</t>
  </si>
  <si>
    <t>Supplier's Code (CCAK)</t>
  </si>
  <si>
    <t>Issued Net Weight (GRN)</t>
  </si>
  <si>
    <t>Received Net Weight (After Drying)</t>
  </si>
  <si>
    <t xml:space="preserve">Input Moisture                </t>
  </si>
  <si>
    <t>INPUT NUT COUNT</t>
  </si>
  <si>
    <t>INPUT KOR</t>
  </si>
  <si>
    <t xml:space="preserve">Output Moisture                </t>
  </si>
  <si>
    <t>OUTPUT NUT COUNT</t>
  </si>
  <si>
    <t>OUTPUT KOR</t>
  </si>
  <si>
    <t>Draige Loss Kg's</t>
  </si>
  <si>
    <t>Loss%</t>
  </si>
  <si>
    <t>DRIAGE LOSS  %</t>
  </si>
  <si>
    <t>Good or Dried Sacs</t>
  </si>
  <si>
    <t>Damaged nuts - KGS/ TRIAGE</t>
  </si>
  <si>
    <t>Total Sac Received</t>
  </si>
  <si>
    <t>INPUT BAGS FOR DRYING</t>
  </si>
  <si>
    <t>OUTPUT BAGS AFTER DRING</t>
  </si>
  <si>
    <t>DRYING/ PICKING</t>
  </si>
  <si>
    <t>REMARKS</t>
  </si>
  <si>
    <t>50 BAGS SCALED 1ST WEIGHT</t>
  </si>
  <si>
    <t>Row Labels</t>
  </si>
  <si>
    <t>Sum of INPUT BAGS FOR DRYING</t>
  </si>
  <si>
    <t>Sum of OUTPUT BAGS AFTER DRING</t>
  </si>
  <si>
    <t>Sum of Received Net Weight (After Drying)</t>
  </si>
  <si>
    <t>Sum of Draige Loss Kg's</t>
  </si>
  <si>
    <t>Sum of Damaged nuts - KGS/ TRIAGE</t>
  </si>
  <si>
    <t>BOUAKE</t>
  </si>
  <si>
    <t>BKE-002</t>
  </si>
  <si>
    <t>BKE-002-BIN-003</t>
  </si>
  <si>
    <t>BKE-002-BIN-003- DRIED</t>
  </si>
  <si>
    <t>12,5</t>
  </si>
  <si>
    <t>813, 805</t>
  </si>
  <si>
    <t>KOUNAHIRI/ MANKONO</t>
  </si>
  <si>
    <t>DAGNOGO KARIM/SCOPPAS SCOOPS</t>
  </si>
  <si>
    <t>LBA-013-DAG/ LBA-009-SCO</t>
  </si>
  <si>
    <t>0525-0068/ 0426-0203</t>
  </si>
  <si>
    <t>DRYING</t>
  </si>
  <si>
    <t>BKE-002-BIN-004</t>
  </si>
  <si>
    <t>BKE-002-BIN-004-DRIED</t>
  </si>
  <si>
    <t>7,9</t>
  </si>
  <si>
    <t>807, 809</t>
  </si>
  <si>
    <t>NIAKARA/ NIAKARA</t>
  </si>
  <si>
    <t>DAGNOGO KARIM/SCOOPS HERE B</t>
  </si>
  <si>
    <t>LBA-013-DAG/ LBA-003-HER</t>
  </si>
  <si>
    <t>0525-0068/ 0425-0187</t>
  </si>
  <si>
    <t>DRYING+PICKING</t>
  </si>
  <si>
    <t>11,88</t>
  </si>
  <si>
    <t>BKE-001</t>
  </si>
  <si>
    <t>BKE-001-BIN-007</t>
  </si>
  <si>
    <t>BKE-001-BIN-007-DRIED</t>
  </si>
  <si>
    <t>FERKE</t>
  </si>
  <si>
    <t>SCOOPS ASER</t>
  </si>
  <si>
    <t>LBA-011-ASR</t>
  </si>
  <si>
    <t>0426-0340</t>
  </si>
  <si>
    <t>BKE-001-BIN-016</t>
  </si>
  <si>
    <t>BKE-001-BIN-016-DRIED</t>
  </si>
  <si>
    <t>BOTRO</t>
  </si>
  <si>
    <t>SCOOPASS</t>
  </si>
  <si>
    <t>DIS-007-SPA</t>
  </si>
  <si>
    <t>BKE-002-BIN-014</t>
  </si>
  <si>
    <t>BKE-002-BIN-014-DRIED</t>
  </si>
  <si>
    <t>PRIKRO</t>
  </si>
  <si>
    <t>CAPCD SCOOPS</t>
  </si>
  <si>
    <t>LBA-010-CAP</t>
  </si>
  <si>
    <t>0431-0277</t>
  </si>
  <si>
    <t>RAIN</t>
  </si>
  <si>
    <t>REDRYING</t>
  </si>
  <si>
    <t>BKE-001-BIN-015</t>
  </si>
  <si>
    <t>BKE-001-BIN-015-DRIED</t>
  </si>
  <si>
    <t xml:space="preserve">DABAKALA </t>
  </si>
  <si>
    <t>SCOOPS HERE B</t>
  </si>
  <si>
    <t>LBA-003-HER</t>
  </si>
  <si>
    <t>0425-0187</t>
  </si>
  <si>
    <t>KATIOLA</t>
  </si>
  <si>
    <t>SCOOPS AH AL NOUR</t>
  </si>
  <si>
    <t>LBA-016-NOU</t>
  </si>
  <si>
    <t>0425-0055</t>
  </si>
  <si>
    <t>BKE-002-BIN-006</t>
  </si>
  <si>
    <t>BKE-002-BIN-006-DRIED</t>
  </si>
  <si>
    <t>809, 790</t>
  </si>
  <si>
    <t>DIANRA/ NIAKARA</t>
  </si>
  <si>
    <t>CAPCD SCOOPS/ SCOOPS HERE B</t>
  </si>
  <si>
    <t>LBA-010-CAP/ LBA-003-HER</t>
  </si>
  <si>
    <t>0431-0277/ 0425-0187</t>
  </si>
  <si>
    <t>387, 401</t>
  </si>
  <si>
    <t>BKE-001-BIN-021</t>
  </si>
  <si>
    <t>BKE-001-BIN-021-DRIED</t>
  </si>
  <si>
    <t>DUEKOUE</t>
  </si>
  <si>
    <t>BKE-001-BIN-018</t>
  </si>
  <si>
    <t>BKE-001-BIN-018-DRIED</t>
  </si>
  <si>
    <t>DUEKOUE, KOUNAHIRI</t>
  </si>
  <si>
    <t>SCOOPS ASER/ SCOOPS COBAN</t>
  </si>
  <si>
    <t>LBA-011-ASR/ LBA-008-COB</t>
  </si>
  <si>
    <t>0426-0340/ 0410-0149</t>
  </si>
  <si>
    <t>0426-0340/ 0420-0149</t>
  </si>
  <si>
    <t>BKE-002-BIN-028</t>
  </si>
  <si>
    <t>BKE-002-BIN-028-DRIED</t>
  </si>
  <si>
    <t xml:space="preserve">SCOOPS BAY SCOOPS </t>
  </si>
  <si>
    <t>LBA-014-BAY</t>
  </si>
  <si>
    <t>0426-0194</t>
  </si>
  <si>
    <t>BKE-001-BIN-024</t>
  </si>
  <si>
    <t>BKE-001-BIN-024-DRIED</t>
  </si>
  <si>
    <t>ZOUKOUGBOU</t>
  </si>
  <si>
    <t>BKE-001-BIN-023</t>
  </si>
  <si>
    <t>BKE-001-BIN-023-DRIED</t>
  </si>
  <si>
    <t>KORHOGO</t>
  </si>
  <si>
    <t>SCOOPS COOPRAKA</t>
  </si>
  <si>
    <t>LBA-018-COP</t>
  </si>
  <si>
    <t>0425-0001</t>
  </si>
  <si>
    <t>MBAHIAKRO</t>
  </si>
  <si>
    <t>DIANRA</t>
  </si>
  <si>
    <t>CASP-S SCOOPS, SCOOPS DIENE</t>
  </si>
  <si>
    <t>LBA-007-CAS</t>
  </si>
  <si>
    <t>0429-0040</t>
  </si>
  <si>
    <t>SCOOPS OUMI</t>
  </si>
  <si>
    <t>LBA-015-OUM</t>
  </si>
  <si>
    <t>0426-0347</t>
  </si>
  <si>
    <t>INCOMPLITE BECOUSE WEATHER IS NOT GOOD CLOUDY ALL DAY</t>
  </si>
  <si>
    <t>COMPLEDED</t>
  </si>
  <si>
    <t>CAPCD SCOOPS, CASP-S SCOOPS</t>
  </si>
  <si>
    <t>LBA-010-CAP, LBA-007-CAS</t>
  </si>
  <si>
    <t>CAPCD SCOOPS, SCOOPS COOPRAKA</t>
  </si>
  <si>
    <t>LBA-010-CAP, LBA-018-COP</t>
  </si>
  <si>
    <t>DIKODOUGOU</t>
  </si>
  <si>
    <t xml:space="preserve">SCOPASS SCOOPS </t>
  </si>
  <si>
    <t>LBA-009-SCO</t>
  </si>
  <si>
    <t>0426-0203</t>
  </si>
  <si>
    <t>BKE-002-BIN-027</t>
  </si>
  <si>
    <t xml:space="preserve">BKE-001-BIN-027-DRIED </t>
  </si>
  <si>
    <t>SCOOPS AC SOURCING</t>
  </si>
  <si>
    <t>0401-0106</t>
  </si>
  <si>
    <t>1125, 1105</t>
  </si>
  <si>
    <t>DABAKALA, DIANRA</t>
  </si>
  <si>
    <t>SCOOPS AC SOURCING, SCOOPS DPVICA</t>
  </si>
  <si>
    <t>0401-0106, 0420-0251</t>
  </si>
  <si>
    <t>SCOOPS DPVICA</t>
  </si>
  <si>
    <t>0420-0251</t>
  </si>
  <si>
    <t>MANKONO</t>
  </si>
  <si>
    <t>BKE-002-BIN-029</t>
  </si>
  <si>
    <t>BKE-002-BIN-029-DRIED</t>
  </si>
  <si>
    <t>SCOOPS AJCB</t>
  </si>
  <si>
    <t>0426-0489</t>
  </si>
  <si>
    <t>NIAKARA</t>
  </si>
  <si>
    <t>ZUENOULA</t>
  </si>
  <si>
    <t xml:space="preserve">SCOOPS DEMBOL, CAPCD SCOOPS </t>
  </si>
  <si>
    <t>DIS-003-DEM, LBA-010-CAP</t>
  </si>
  <si>
    <t>SCOOPS DEMBOL</t>
  </si>
  <si>
    <t>DIS-003-DEM</t>
  </si>
  <si>
    <t>BKE-002-BIN-030</t>
  </si>
  <si>
    <t>BKE-002-BIN-030-DRIED</t>
  </si>
  <si>
    <t>KANIASSO</t>
  </si>
  <si>
    <t>BKE-002-BIN-031</t>
  </si>
  <si>
    <t>BKE-002-BIN-031-DRIED</t>
  </si>
  <si>
    <t>285, 279</t>
  </si>
  <si>
    <t>KORHOGO, KONG</t>
  </si>
  <si>
    <t>SCOOPS COOPRAKA, ADAM IVOIRIE</t>
  </si>
  <si>
    <t>(blank)</t>
  </si>
  <si>
    <t>KOUASSIKRO</t>
  </si>
  <si>
    <t xml:space="preserve">CAPCD SCOOPS </t>
  </si>
  <si>
    <t>BOUNDIALI</t>
  </si>
  <si>
    <t>SCOOPS FOUNDANRA</t>
  </si>
  <si>
    <t>DIS-008-FOU</t>
  </si>
  <si>
    <t>0429-0606</t>
  </si>
  <si>
    <t>Grand Total</t>
  </si>
  <si>
    <t xml:space="preserve">DIANRA </t>
  </si>
  <si>
    <t>LBA-017-DPV</t>
  </si>
  <si>
    <t>BKE-002-BIN-026</t>
  </si>
  <si>
    <t>BKE-002-BIN-026-DRIED</t>
  </si>
  <si>
    <t>DIKODOUGOU, KATIOLA</t>
  </si>
  <si>
    <t>SCOOPS ASER, SCOOPS AH AL NOUR</t>
  </si>
  <si>
    <t>LBA-011-ASR, LBA-016-NOU</t>
  </si>
  <si>
    <t>KATIOLA, MANKONO</t>
  </si>
  <si>
    <t>SCOOPS AH AL NOUR, SCOOPS 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</si>
</sst>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 * #,##0.00_ ;_ * \-#,##0.00_ ;_ * &quot;-&quot;??_ ;_ @_ 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 Light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horizontal="right" vertical="center"/>
    </xf>
    <xf numFmtId="0" fontId="0" fillId="0" borderId="1" xfId="0" applyBorder="1"/>
    <xf numFmtId="165" fontId="0" fillId="0" borderId="1" xfId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0" fontId="2" fillId="4" borderId="1" xfId="2" applyNumberFormat="1" applyFont="1" applyFill="1" applyBorder="1" applyAlignment="1">
      <alignment vertical="center"/>
    </xf>
    <xf numFmtId="9" fontId="0" fillId="4" borderId="0" xfId="2" applyFont="1" applyFill="1" applyAlignment="1">
      <alignment vertical="center"/>
    </xf>
    <xf numFmtId="0" fontId="0" fillId="0" borderId="0" xfId="0" applyAlignment="1">
      <alignment horizontal="left"/>
    </xf>
    <xf numFmtId="0" fontId="0" fillId="4" borderId="0" xfId="0" applyFill="1" applyAlignment="1">
      <alignment vertical="center"/>
    </xf>
    <xf numFmtId="0" fontId="0" fillId="0" borderId="0" xfId="0" applyAlignment="1">
      <alignment horizontal="left" inden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vertical="center"/>
    </xf>
    <xf numFmtId="10" fontId="0" fillId="4" borderId="1" xfId="0" applyNumberFormat="1" applyFill="1" applyBorder="1" applyAlignment="1">
      <alignment horizontal="right" vertical="center"/>
    </xf>
    <xf numFmtId="0" fontId="0" fillId="4" borderId="1" xfId="0" applyFill="1" applyBorder="1"/>
    <xf numFmtId="165" fontId="0" fillId="4" borderId="1" xfId="1" applyFont="1" applyFill="1" applyBorder="1" applyAlignment="1">
      <alignment vertical="center"/>
    </xf>
    <xf numFmtId="0" fontId="0" fillId="4" borderId="0" xfId="0" applyFill="1" applyAlignment="1">
      <alignment horizontal="left" indent="1"/>
    </xf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right" vertical="center"/>
    </xf>
    <xf numFmtId="0" fontId="0" fillId="4" borderId="0" xfId="0" applyFill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right" vertical="center"/>
    </xf>
    <xf numFmtId="10" fontId="0" fillId="3" borderId="1" xfId="0" applyNumberFormat="1" applyFill="1" applyBorder="1" applyAlignment="1">
      <alignment horizontal="right" vertical="center"/>
    </xf>
    <xf numFmtId="1" fontId="0" fillId="3" borderId="1" xfId="0" applyNumberFormat="1" applyFill="1" applyBorder="1" applyAlignment="1">
      <alignment vertical="center"/>
    </xf>
    <xf numFmtId="0" fontId="0" fillId="3" borderId="1" xfId="0" applyFill="1" applyBorder="1"/>
    <xf numFmtId="165" fontId="0" fillId="3" borderId="1" xfId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6" fontId="0" fillId="4" borderId="1" xfId="0" applyNumberFormat="1" applyFill="1" applyBorder="1" applyAlignment="1">
      <alignment horizontal="center" vertical="center"/>
    </xf>
    <xf numFmtId="2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3" fontId="0" fillId="4" borderId="1" xfId="0" applyNumberForma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3" borderId="0" xfId="0" applyFill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14" fontId="0" fillId="4" borderId="1" xfId="0" applyNumberForma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1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BOUAKE%20Stock%20transf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Microsoft\Olk\Attachments\ooa-066771bb-c52c-4db1-9e1c-882fe1e03102\2168af0cf57d4a85634aada7cd11d6346bde53a98d28653ca8059f13285a59c6\BOUKE%20WAREHOUSE%20REPORT%20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4.880045138889" createdVersion="8" refreshedVersion="8" minRefreshableVersion="3" recordCount="120" xr:uid="{5D428FF2-5BAD-4297-84EC-E1C65385119B}">
  <cacheSource type="worksheet">
    <worksheetSource ref="A2:AF122" sheet="Drying &amp; Sorting Report" r:id="rId2"/>
  </cacheSource>
  <cacheFields count="32">
    <cacheField name="S.No." numFmtId="0">
      <sharedItems containsString="0" containsBlank="1" containsNumber="1" containsInteger="1" minValue="1" maxValue="57"/>
    </cacheField>
    <cacheField name="DATE" numFmtId="0">
      <sharedItems containsNonDate="0" containsDate="1" containsString="0" containsBlank="1" minDate="2026-02-20T00:00:00" maxDate="2026-07-08T00:00:00"/>
    </cacheField>
    <cacheField name="Warehouse/Site" numFmtId="0">
      <sharedItems containsBlank="1"/>
    </cacheField>
    <cacheField name="Warehouse " numFmtId="0">
      <sharedItems containsBlank="1"/>
    </cacheField>
    <cacheField name="UNLOADING BIN" numFmtId="0">
      <sharedItems containsBlank="1"/>
    </cacheField>
    <cacheField name="AFTER DRYING BIN" numFmtId="0">
      <sharedItems containsBlank="1"/>
    </cacheField>
    <cacheField name="Lot No" numFmtId="0">
      <sharedItems containsBlank="1" containsMixedTypes="1" containsNumber="1" containsInteger="1" minValue="58" maxValue="385387" count="42">
        <s v="12,5"/>
        <s v="7,9"/>
        <n v="112"/>
        <n v="113"/>
        <n v="58"/>
        <n v="206"/>
        <n v="207"/>
        <s v="11,88"/>
        <n v="262"/>
        <n v="246253"/>
        <n v="315"/>
        <n v="415"/>
        <n v="429"/>
        <n v="407"/>
        <s v="387, 401"/>
        <n v="453"/>
        <n v="385387"/>
        <n v="385381"/>
        <n v="346380"/>
        <n v="345"/>
        <n v="323"/>
        <n v="323303"/>
        <n v="303"/>
        <n v="274"/>
        <n v="354"/>
        <n v="326"/>
        <n v="325"/>
        <n v="291292"/>
        <n v="291"/>
        <n v="428"/>
        <n v="417"/>
        <n v="294"/>
        <n v="383377"/>
        <n v="361"/>
        <n v="358"/>
        <n v="293"/>
        <n v="283"/>
        <n v="275"/>
        <n v="275272"/>
        <n v="272266"/>
        <n v="266"/>
        <m/>
      </sharedItems>
    </cacheField>
    <cacheField name="W/H Receipt No." numFmtId="0">
      <sharedItems containsBlank="1" containsMixedTypes="1" containsNumber="1" containsInteger="1" minValue="108" maxValue="11931194"/>
    </cacheField>
    <cacheField name="Origin" numFmtId="0">
      <sharedItems containsBlank="1"/>
    </cacheField>
    <cacheField name="Supplier Name" numFmtId="0">
      <sharedItems containsBlank="1"/>
    </cacheField>
    <cacheField name="Supplier's Code (Anagroci)" numFmtId="0">
      <sharedItems containsBlank="1"/>
    </cacheField>
    <cacheField name="Supplier's Code (CCAK)" numFmtId="0">
      <sharedItems containsBlank="1"/>
    </cacheField>
    <cacheField name="Issued Net Weight (GRN)" numFmtId="0">
      <sharedItems containsString="0" containsBlank="1" containsNumber="1" containsInteger="1" minValue="6683" maxValue="49163"/>
    </cacheField>
    <cacheField name="Received Net Weight (After Drying)" numFmtId="0">
      <sharedItems containsString="0" containsBlank="1" containsNumber="1" minValue="6556.0230000000001" maxValue="48081.413999999997"/>
    </cacheField>
    <cacheField name="Input Moisture                " numFmtId="0">
      <sharedItems containsString="0" containsBlank="1" containsNumber="1" minValue="9.5" maxValue="14"/>
    </cacheField>
    <cacheField name="INPUT NUT COUNT" numFmtId="0">
      <sharedItems containsString="0" containsBlank="1" containsNumber="1" containsInteger="1" minValue="157" maxValue="189"/>
    </cacheField>
    <cacheField name="INPUT KOR" numFmtId="0">
      <sharedItems containsString="0" containsBlank="1" containsNumber="1" minValue="41.09" maxValue="48.18"/>
    </cacheField>
    <cacheField name="Output Moisture                " numFmtId="0">
      <sharedItems containsString="0" containsBlank="1" containsNumber="1" minValue="7.5" maxValue="12.1"/>
    </cacheField>
    <cacheField name="OUTPUT NUT COUNT" numFmtId="0">
      <sharedItems containsString="0" containsBlank="1" containsNumber="1" containsInteger="1" minValue="163" maxValue="185"/>
    </cacheField>
    <cacheField name="OUTPUT KOR" numFmtId="0">
      <sharedItems containsString="0" containsBlank="1" containsNumber="1" minValue="41.79" maxValue="48.32"/>
    </cacheField>
    <cacheField name="Draige Loss Kg's" numFmtId="0">
      <sharedItems containsString="0" containsBlank="1" containsNumber="1" minValue="90.970000000000255" maxValue="1332.7160000000003"/>
    </cacheField>
    <cacheField name="Loss%" numFmtId="0">
      <sharedItems containsString="0" containsBlank="1" containsNumber="1" minValue="1.0999999999999996E-2" maxValue="4.0999999999999995E-2"/>
    </cacheField>
    <cacheField name="Draige Loss Kg's2" numFmtId="0">
      <sharedItems containsBlank="1" containsMixedTypes="1" containsNumber="1" minValue="90.970000000000255" maxValue="1332.7160000000003"/>
    </cacheField>
    <cacheField name="DRIAGE LOSS  %" numFmtId="10">
      <sharedItems containsString="0" containsBlank="1" containsNumber="1" minValue="1.1000000000000031E-2" maxValue="4.0779283639883833E-2"/>
    </cacheField>
    <cacheField name="Good or Dried Sacs" numFmtId="0">
      <sharedItems containsNonDate="0" containsString="0" containsBlank="1"/>
    </cacheField>
    <cacheField name="Damaged nuts - KGS/ TRIAGE" numFmtId="0">
      <sharedItems containsString="0" containsBlank="1" containsNumber="1" containsInteger="1" minValue="0" maxValue="550"/>
    </cacheField>
    <cacheField name="Total Sac Received" numFmtId="0">
      <sharedItems containsNonDate="0" containsString="0" containsBlank="1"/>
    </cacheField>
    <cacheField name="INPUT BAGS FOR DRYING" numFmtId="0">
      <sharedItems containsString="0" containsBlank="1" containsNumber="1" containsInteger="1" minValue="90" maxValue="586"/>
    </cacheField>
    <cacheField name="OUTPUT BAGS AFTER DRING" numFmtId="0">
      <sharedItems containsString="0" containsBlank="1" containsNumber="1" containsInteger="1" minValue="88" maxValue="594"/>
    </cacheField>
    <cacheField name="DRYING/ PICKING" numFmtId="0">
      <sharedItems containsBlank="1" count="4">
        <s v="DRYING"/>
        <s v="DRYING+PICKING"/>
        <s v="REDRYING"/>
        <m/>
      </sharedItems>
    </cacheField>
    <cacheField name="REMARKS" numFmtId="0">
      <sharedItems containsBlank="1"/>
    </cacheField>
    <cacheField name="50 BAGS SCALED 1ST WEIGHT" numFmtId="0">
      <sharedItems containsString="0" containsBlank="1" containsNumber="1" containsInteger="1" minValue="3807" maxValue="4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d v="2026-02-20T00:00:00"/>
    <s v="BOUAKE"/>
    <s v="BKE-002"/>
    <s v="BKE-002-BIN-003"/>
    <s v="BKE-002-BIN-003- DRIED"/>
    <x v="0"/>
    <s v="813, 805"/>
    <s v="KOUNAHIRI/ MANKONO"/>
    <s v="DAGNOGO KARIM/SCOPPAS SCOOPS"/>
    <s v="LBA-013-DAG/ LBA-009-SCO"/>
    <s v="0525-0068/ 0426-0203"/>
    <n v="34292"/>
    <n v="33777.620000000003"/>
    <n v="11"/>
    <n v="170"/>
    <n v="47.61"/>
    <n v="9.5"/>
    <n v="176"/>
    <n v="47.26"/>
    <n v="514.37999999999738"/>
    <n v="1.4999999999999999E-2"/>
    <n v="514.37999999999738"/>
    <n v="1.4999999999999923E-2"/>
    <m/>
    <m/>
    <m/>
    <n v="406"/>
    <n v="434"/>
    <x v="0"/>
    <m/>
    <m/>
  </r>
  <r>
    <n v="2"/>
    <d v="2026-02-21T00:00:00"/>
    <s v="BOUAKE"/>
    <s v="BKE-002"/>
    <s v="BKE-002-BIN-004"/>
    <s v="BKE-002-BIN-004-DRIED"/>
    <x v="1"/>
    <s v="807, 809"/>
    <s v="NIAKARA/ NIAKARA"/>
    <s v="DAGNOGO KARIM/SCOOPS HERE B"/>
    <s v="LBA-013-DAG/ LBA-003-HER"/>
    <s v="0525-0068/ 0425-0187"/>
    <n v="25298"/>
    <n v="24867.934000000001"/>
    <n v="11.4"/>
    <n v="161"/>
    <n v="46.38"/>
    <n v="9.6999999999999993"/>
    <n v="171"/>
    <n v="46.73"/>
    <n v="430.06599999999889"/>
    <n v="1.7000000000000012E-2"/>
    <n v="430.06599999999889"/>
    <n v="1.6999999999999956E-2"/>
    <m/>
    <n v="216"/>
    <m/>
    <n v="290"/>
    <n v="320"/>
    <x v="1"/>
    <m/>
    <m/>
  </r>
  <r>
    <n v="3"/>
    <d v="2026-02-23T00:00:00"/>
    <s v="BOUAKE"/>
    <s v="BKE-002"/>
    <s v="BKE-002-BIN-003"/>
    <s v="BKE-002-BIN-003- DRIED"/>
    <x v="0"/>
    <s v="813, 805"/>
    <s v="KOUNAHIRI/ MANKONO"/>
    <s v="DAGNOGO KARIM/SCOPPAS SCOOPS"/>
    <s v="LBA-013-DAG/ LBA-009-SCO"/>
    <s v="0525-0068/ 0426-0203"/>
    <n v="29900"/>
    <n v="29451.5"/>
    <n v="11"/>
    <n v="170"/>
    <n v="47.61"/>
    <n v="9.5"/>
    <n v="176"/>
    <n v="47.26"/>
    <n v="448.5"/>
    <n v="1.4999999999999999E-2"/>
    <n v="448.5"/>
    <n v="1.4999999999999999E-2"/>
    <m/>
    <m/>
    <m/>
    <n v="354"/>
    <n v="386"/>
    <x v="0"/>
    <m/>
    <m/>
  </r>
  <r>
    <n v="4"/>
    <d v="2026-02-25T00:00:00"/>
    <s v="BOUAKE"/>
    <s v="BKE-002"/>
    <s v="BKE-002-BIN-003"/>
    <s v="BKE-002-BIN-003- DRIED"/>
    <x v="0"/>
    <s v="813, 805"/>
    <s v="KOUNAHIRI/ MANKONO"/>
    <s v="DAGNOGO KARIM/SCOPPAS SCOOPS"/>
    <s v="LBA-013-DAG/ LBA-009-SCO"/>
    <s v="0525-0068/ 0426-0203"/>
    <n v="35137"/>
    <n v="34609.945"/>
    <n v="11"/>
    <n v="170"/>
    <n v="47.61"/>
    <n v="9.5"/>
    <n v="176"/>
    <n v="47.26"/>
    <n v="527.05500000000029"/>
    <n v="1.4999999999999999E-2"/>
    <n v="527.05500000000029"/>
    <n v="1.5000000000000008E-2"/>
    <m/>
    <n v="76"/>
    <m/>
    <n v="416"/>
    <n v="442"/>
    <x v="1"/>
    <m/>
    <m/>
  </r>
  <r>
    <n v="5"/>
    <d v="2026-02-26T00:00:00"/>
    <s v="BOUAKE"/>
    <s v="BKE-002"/>
    <s v="BKE-002-BIN-004"/>
    <s v="BKE-002-BIN-004-DRIED"/>
    <x v="1"/>
    <s v="807, 809"/>
    <s v="KOUNAHIRI/ MANKONO"/>
    <s v="DAGNOGO KARIM/SCOOPS HERE B"/>
    <s v="LBA-013-DAG/ LBA-003-HER"/>
    <s v="0525-0068/ 0425-0187"/>
    <n v="21809"/>
    <n v="21438.246999999999"/>
    <n v="11.4"/>
    <n v="161"/>
    <n v="46.38"/>
    <n v="9.6999999999999993"/>
    <n v="171"/>
    <n v="46.73"/>
    <n v="370.75300000000061"/>
    <n v="1.7000000000000012E-2"/>
    <n v="370.75300000000061"/>
    <n v="1.7000000000000029E-2"/>
    <m/>
    <n v="43"/>
    <m/>
    <n v="250"/>
    <n v="259"/>
    <x v="1"/>
    <m/>
    <m/>
  </r>
  <r>
    <n v="6"/>
    <d v="2026-02-27T00:00:00"/>
    <s v="BOUAKE"/>
    <s v="BKE-002"/>
    <s v="BKE-002-BIN-004"/>
    <s v="BKE-002-BIN-004-DRIED"/>
    <x v="1"/>
    <s v="807, 809"/>
    <s v="KOUNAHIRI/ MANKONO"/>
    <s v="DAGNOGO KARIM/SCOOPS HERE B"/>
    <s v="LBA-013-DAG/ LBA-003-HER"/>
    <s v="0525-0068/ 0425-0187"/>
    <n v="26258"/>
    <n v="25811.614000000001"/>
    <n v="11.4"/>
    <n v="161"/>
    <n v="46.38"/>
    <n v="9.6999999999999993"/>
    <n v="171"/>
    <n v="46.73"/>
    <n v="446.3859999999986"/>
    <n v="1.7000000000000012E-2"/>
    <n v="446.3859999999986"/>
    <n v="1.6999999999999946E-2"/>
    <m/>
    <n v="64"/>
    <m/>
    <n v="301"/>
    <n v="335"/>
    <x v="1"/>
    <m/>
    <m/>
  </r>
  <r>
    <n v="7"/>
    <d v="2026-03-03T00:00:00"/>
    <s v="BOUAKE"/>
    <s v="BKE-002"/>
    <s v="BKE-002-BIN-004"/>
    <s v="BKE-002-BIN-004-DRIED"/>
    <x v="1"/>
    <s v="807, 809"/>
    <s v="KOUNAHIRI/ MANKONO"/>
    <s v="DAGNOGO KARIM/SCOOPS HERE B"/>
    <s v="LBA-013-DAG/ LBA-003-HER"/>
    <s v="0525-0068/ 0425-0187"/>
    <n v="12213"/>
    <n v="12005.378999999999"/>
    <n v="11.4"/>
    <n v="161"/>
    <n v="46.38"/>
    <n v="9.6999999999999993"/>
    <n v="171"/>
    <n v="46.73"/>
    <n v="207.621000000001"/>
    <n v="1.7000000000000012E-2"/>
    <n v="207.621000000001"/>
    <n v="1.7000000000000081E-2"/>
    <m/>
    <n v="42"/>
    <m/>
    <n v="140"/>
    <n v="126"/>
    <x v="1"/>
    <m/>
    <m/>
  </r>
  <r>
    <n v="8"/>
    <d v="2026-03-03T00:00:00"/>
    <s v="BOUAKE"/>
    <s v="BKE-001"/>
    <s v="BKE-001-BIN-007"/>
    <s v="BKE-001-BIN-007-DRIED"/>
    <x v="2"/>
    <n v="1214"/>
    <s v="FERKE"/>
    <s v="SCOOPS ASER"/>
    <s v="LBA-011-ASR"/>
    <s v="0426-0340"/>
    <n v="12123"/>
    <n v="11880.54"/>
    <n v="11.7"/>
    <n v="170"/>
    <n v="47.27"/>
    <n v="9.6999999999999993"/>
    <n v="178"/>
    <n v="47.44"/>
    <n v="242.45999999999913"/>
    <n v="0.02"/>
    <n v="242.45999999999913"/>
    <n v="1.9999999999999928E-2"/>
    <m/>
    <n v="53"/>
    <m/>
    <n v="160"/>
    <n v="139"/>
    <x v="1"/>
    <m/>
    <m/>
  </r>
  <r>
    <n v="9"/>
    <d v="2026-03-04T00:00:00"/>
    <s v="BOUAKE"/>
    <s v="BKE-001"/>
    <s v="BKE-001-BIN-016"/>
    <s v="BKE-001-BIN-016-DRIED"/>
    <x v="3"/>
    <n v="1215"/>
    <s v="BOTRO"/>
    <s v="SCOOPASS"/>
    <s v="DIS-007-SPA"/>
    <m/>
    <n v="22403"/>
    <n v="22089.358"/>
    <n v="10.5"/>
    <n v="177"/>
    <n v="47.27"/>
    <n v="9.1"/>
    <n v="180"/>
    <n v="47.61"/>
    <n v="313.64199999999983"/>
    <n v="1.4000000000000004E-2"/>
    <n v="313.64199999999983"/>
    <n v="1.3999999999999992E-2"/>
    <m/>
    <m/>
    <m/>
    <n v="257"/>
    <n v="285"/>
    <x v="0"/>
    <m/>
    <m/>
  </r>
  <r>
    <n v="10"/>
    <d v="2026-03-05T00:00:00"/>
    <s v="BOUAKE"/>
    <s v="BKE-002"/>
    <s v="BKE-002-BIN-014"/>
    <s v="BKE-002-BIN-014-DRIED"/>
    <x v="4"/>
    <n v="760"/>
    <s v="PRIKRO"/>
    <s v="CAPCD SCOOPS"/>
    <s v="LBA-010-CAP"/>
    <s v="0431-0277"/>
    <n v="33430"/>
    <n v="33062.269999999997"/>
    <n v="10.3"/>
    <n v="183"/>
    <n v="48.15"/>
    <n v="9.1999999999999993"/>
    <n v="185"/>
    <n v="48.32"/>
    <n v="367.7300000000032"/>
    <n v="1.1000000000000015E-2"/>
    <n v="367.7300000000032"/>
    <n v="1.1000000000000097E-2"/>
    <m/>
    <m/>
    <m/>
    <n v="384"/>
    <n v="127"/>
    <x v="0"/>
    <s v="RAIN"/>
    <m/>
  </r>
  <r>
    <n v="11"/>
    <d v="2026-03-06T00:00:00"/>
    <s v="BOUAKE"/>
    <s v="BKE-002"/>
    <s v="BKE-002-BIN-014"/>
    <s v="BKE-002-BIN-014-DRIED"/>
    <x v="4"/>
    <n v="760"/>
    <s v="PRIKRO"/>
    <s v="CAPCD SCOOPS"/>
    <s v="LBA-010-CAP"/>
    <s v="0431-0277"/>
    <n v="22374"/>
    <n v="22127.885999999999"/>
    <n v="10.3"/>
    <n v="183"/>
    <n v="48.15"/>
    <n v="9.1999999999999993"/>
    <n v="185"/>
    <n v="48.32"/>
    <n v="246.1140000000014"/>
    <n v="1.1000000000000015E-2"/>
    <n v="246.1140000000014"/>
    <n v="1.1000000000000062E-2"/>
    <m/>
    <m/>
    <m/>
    <n v="257"/>
    <n v="295"/>
    <x v="2"/>
    <m/>
    <m/>
  </r>
  <r>
    <n v="12"/>
    <d v="2026-03-09T00:00:00"/>
    <s v="BOUAKE"/>
    <s v="BKE-001"/>
    <s v="BKE-001-BIN-007"/>
    <s v="BKE-001-BIN-007-DRIED"/>
    <x v="2"/>
    <n v="1214"/>
    <s v="FERKE"/>
    <s v="SCOOPS ASER"/>
    <s v="LBA-011-ASR"/>
    <s v="0426-0340"/>
    <n v="10077"/>
    <n v="9875.4599999999991"/>
    <n v="11.7"/>
    <n v="170"/>
    <n v="47.27"/>
    <n v="9.6999999999999993"/>
    <n v="178"/>
    <n v="47.44"/>
    <n v="201.54000000000087"/>
    <n v="0.02"/>
    <n v="201.54000000000087"/>
    <n v="2.0000000000000087E-2"/>
    <m/>
    <n v="263"/>
    <m/>
    <n v="133"/>
    <n v="135"/>
    <x v="1"/>
    <m/>
    <m/>
  </r>
  <r>
    <n v="13"/>
    <d v="2026-03-09T00:00:00"/>
    <s v="BOUAKE"/>
    <s v="BKE-002"/>
    <s v="BKE-002-BIN-014"/>
    <s v="BKE-002-BIN-014-DRIED"/>
    <x v="4"/>
    <n v="760"/>
    <s v="PRIKRO"/>
    <s v="CAPCD SCOOPS"/>
    <s v="LBA-010-CAP"/>
    <s v="0431-0277"/>
    <n v="8270"/>
    <n v="8179.03"/>
    <n v="10.3"/>
    <n v="183"/>
    <n v="48.15"/>
    <n v="9.1999999999999993"/>
    <n v="185"/>
    <n v="48.32"/>
    <n v="90.970000000000255"/>
    <n v="1.1000000000000015E-2"/>
    <n v="90.970000000000255"/>
    <n v="1.1000000000000031E-2"/>
    <m/>
    <m/>
    <m/>
    <n v="95"/>
    <n v="127"/>
    <x v="0"/>
    <m/>
    <m/>
  </r>
  <r>
    <n v="14"/>
    <d v="2026-03-10T00:00:00"/>
    <s v="BOUAKE"/>
    <s v="BKE-001"/>
    <s v="BKE-001-BIN-007"/>
    <s v="BKE-001-BIN-007-DRIED"/>
    <x v="2"/>
    <n v="1214"/>
    <s v="FERKE"/>
    <s v="SCOOPS ASER"/>
    <s v="LBA-011-ASR"/>
    <s v="0426-0340"/>
    <n v="20534"/>
    <n v="20123.32"/>
    <n v="11.7"/>
    <n v="170"/>
    <n v="47.27"/>
    <n v="9.6999999999999993"/>
    <n v="178"/>
    <n v="47.44"/>
    <n v="410.68000000000029"/>
    <n v="0.02"/>
    <n v="410.68000000000029"/>
    <n v="2.0000000000000014E-2"/>
    <m/>
    <n v="207"/>
    <m/>
    <n v="271"/>
    <n v="262"/>
    <x v="1"/>
    <m/>
    <m/>
  </r>
  <r>
    <n v="15"/>
    <d v="2026-03-16T00:00:00"/>
    <s v="BOUAKE"/>
    <s v="BKE-001"/>
    <s v="BKE-001-BIN-015"/>
    <s v="BKE-001-BIN-015-DRIED"/>
    <x v="5"/>
    <n v="108"/>
    <s v="DABAKALA "/>
    <s v="SCOOPS HERE B"/>
    <s v="LBA-003-HER"/>
    <s v="0425-0187"/>
    <n v="39405"/>
    <n v="38538.090000000004"/>
    <n v="12.2"/>
    <n v="189"/>
    <n v="45.15"/>
    <n v="10"/>
    <n v="185"/>
    <n v="45.32"/>
    <n v="866.90999999999622"/>
    <n v="2.1999999999999992E-2"/>
    <n v="866.90999999999622"/>
    <n v="2.1999999999999905E-2"/>
    <m/>
    <n v="120"/>
    <m/>
    <n v="475"/>
    <n v="474"/>
    <x v="1"/>
    <m/>
    <m/>
  </r>
  <r>
    <n v="16"/>
    <d v="2026-03-17T00:00:00"/>
    <s v="BOUAKE"/>
    <s v="BKE-001"/>
    <s v="BKE-001-BIN-016"/>
    <s v="BKE-001-BIN-016-DRIED"/>
    <x v="6"/>
    <n v="109"/>
    <s v="KATIOLA"/>
    <s v="SCOOPS AH AL NOUR"/>
    <s v="LBA-016-NOU"/>
    <s v="0425-0055"/>
    <n v="43128"/>
    <n v="42481.08"/>
    <n v="11"/>
    <n v="164"/>
    <n v="46.03"/>
    <n v="9.5"/>
    <n v="171"/>
    <n v="46.56"/>
    <n v="646.91999999999825"/>
    <n v="1.4999999999999999E-2"/>
    <n v="646.91999999999825"/>
    <n v="1.499999999999996E-2"/>
    <m/>
    <n v="163"/>
    <m/>
    <n v="512"/>
    <n v="523"/>
    <x v="1"/>
    <m/>
    <n v="4037"/>
  </r>
  <r>
    <n v="17"/>
    <d v="2026-03-27T00:00:00"/>
    <s v="BOUAKE"/>
    <s v="BKE-002"/>
    <s v="BKE-002-BIN-006"/>
    <s v="BKE-002-BIN-006-DRIED"/>
    <x v="7"/>
    <s v="809, 790"/>
    <s v="DIANRA/ NIAKARA"/>
    <s v="CAPCD SCOOPS/ SCOOPS HERE B"/>
    <s v="LBA-010-CAP/ LBA-003-HER"/>
    <s v="0431-0277/ 0425-0187"/>
    <n v="32788"/>
    <n v="32165.028000000002"/>
    <n v="11.2"/>
    <n v="165"/>
    <n v="48.18"/>
    <n v="9.3000000000000007"/>
    <n v="177"/>
    <n v="47.97"/>
    <n v="622.97199999999793"/>
    <n v="1.8999999999999986E-2"/>
    <n v="622.97199999999793"/>
    <n v="1.8999999999999937E-2"/>
    <m/>
    <m/>
    <m/>
    <n v="376"/>
    <n v="381"/>
    <x v="0"/>
    <m/>
    <m/>
  </r>
  <r>
    <n v="18"/>
    <d v="2026-03-30T00:00:00"/>
    <s v="BOUAKE"/>
    <s v="BKE-002"/>
    <s v="BKE-002-BIN-006"/>
    <s v="BKE-002-BIN-006-DRIED"/>
    <x v="7"/>
    <s v="809, 790"/>
    <s v="DIANRA/ NIAKARA"/>
    <s v="CAPCD SCOOPS/ SCOOPS HERE B"/>
    <s v="LBA-010-CAP/ LBA-003-HER"/>
    <s v="0431-0277/ 0425-0187"/>
    <n v="21887"/>
    <n v="21471.147000000001"/>
    <n v="11.2"/>
    <n v="165"/>
    <n v="48.18"/>
    <n v="9.3000000000000007"/>
    <n v="177"/>
    <n v="47.97"/>
    <n v="415.85299999999916"/>
    <n v="1.8999999999999986E-2"/>
    <n v="415.85299999999916"/>
    <n v="1.8999999999999961E-2"/>
    <m/>
    <m/>
    <m/>
    <n v="251"/>
    <n v="268"/>
    <x v="0"/>
    <m/>
    <n v="4340"/>
  </r>
  <r>
    <n v="19"/>
    <d v="2026-03-31T00:00:00"/>
    <s v="BOUAKE"/>
    <s v="BKE-002"/>
    <s v="BKE-002-BIN-006"/>
    <s v="BKE-002-BIN-006-DRIED"/>
    <x v="7"/>
    <s v="809, 790"/>
    <s v="DIANRA/ NIAKARA"/>
    <s v="CAPCD SCOOPS/ SCOOPS HERE B"/>
    <s v="LBA-010-CAP/ LBA-003-HER"/>
    <s v="0431-0277/ 0425-0187"/>
    <n v="33136"/>
    <n v="32506.416000000001"/>
    <n v="11.2"/>
    <n v="165"/>
    <n v="48.18"/>
    <n v="9.3000000000000007"/>
    <n v="177"/>
    <n v="47.97"/>
    <n v="629.58399999999892"/>
    <n v="1.8999999999999986E-2"/>
    <n v="629.58399999999892"/>
    <n v="1.8999999999999968E-2"/>
    <m/>
    <m/>
    <m/>
    <n v="380"/>
    <n v="413"/>
    <x v="0"/>
    <m/>
    <n v="4290"/>
  </r>
  <r>
    <n v="20"/>
    <d v="2026-04-02T00:00:00"/>
    <s v="BOUAKE"/>
    <s v="BKE-001"/>
    <s v="BKE-001-BIN-021"/>
    <s v="BKE-001-BIN-021-DRIED"/>
    <x v="8"/>
    <n v="1164"/>
    <s v="DUEKOUE"/>
    <s v="SCOOPS ASER"/>
    <s v="LBA-011-ASR"/>
    <s v="0426-0340"/>
    <n v="31687"/>
    <n v="30989.885999999999"/>
    <n v="11.6"/>
    <n v="168"/>
    <n v="44.97"/>
    <n v="9.4"/>
    <n v="174"/>
    <n v="45.15"/>
    <n v="697.1140000000014"/>
    <n v="2.1999999999999992E-2"/>
    <n v="697.1140000000014"/>
    <n v="2.2000000000000044E-2"/>
    <m/>
    <n v="275"/>
    <m/>
    <n v="319"/>
    <n v="312"/>
    <x v="1"/>
    <m/>
    <n v="4217"/>
  </r>
  <r>
    <n v="21"/>
    <d v="2026-04-04T00:00:00"/>
    <s v="BOUAKE"/>
    <s v="BKE-001"/>
    <s v="BKE-001-BIN-018"/>
    <s v="BKE-001-BIN-018-DRIED"/>
    <x v="9"/>
    <n v="1481155"/>
    <s v="DUEKOUE, KOUNAHIRI"/>
    <s v="SCOOPS ASER/ SCOOPS COBAN"/>
    <s v="LBA-011-ASR/ LBA-008-COB"/>
    <s v="0426-0340/ 0410-0149"/>
    <n v="34619"/>
    <n v="34134.334000000003"/>
    <n v="11"/>
    <n v="168"/>
    <n v="44.09"/>
    <n v="9.6"/>
    <n v="174"/>
    <n v="44.35"/>
    <n v="484.66599999999744"/>
    <n v="1.4000000000000004E-2"/>
    <n v="484.66599999999744"/>
    <n v="1.3999999999999926E-2"/>
    <m/>
    <n v="291"/>
    <m/>
    <n v="423"/>
    <n v="433"/>
    <x v="1"/>
    <m/>
    <n v="4262"/>
  </r>
  <r>
    <n v="22"/>
    <d v="2026-04-07T00:00:00"/>
    <s v="BOUAKE"/>
    <s v="BKE-001"/>
    <s v="BKE-001-BIN-018"/>
    <s v="BKE-001-BIN-018-DRIED"/>
    <x v="9"/>
    <n v="1481155"/>
    <s v="DUEKOUE, KOUNAHIRI"/>
    <s v="SCOOPS ASER/ SCOOPS COBAN"/>
    <s v="LBA-011-ASR/ LBA-008-COB"/>
    <s v="0426-0340/ 0420-0149"/>
    <n v="23407"/>
    <n v="23079.302"/>
    <n v="11"/>
    <n v="168"/>
    <n v="44.09"/>
    <n v="9.6"/>
    <n v="174"/>
    <n v="44.35"/>
    <n v="327.69800000000032"/>
    <n v="1.4000000000000004E-2"/>
    <n v="327.69800000000032"/>
    <n v="1.4000000000000014E-2"/>
    <m/>
    <n v="398"/>
    <m/>
    <n v="286"/>
    <n v="292"/>
    <x v="1"/>
    <m/>
    <n v="4241"/>
  </r>
  <r>
    <n v="23"/>
    <d v="2026-04-09T00:00:00"/>
    <s v="BOUAKE"/>
    <s v="BKE-001"/>
    <s v="BKE-001-BIN-018"/>
    <s v="BKE-001-BIN-018-DRIED"/>
    <x v="9"/>
    <n v="1481155"/>
    <s v="DUEKOUE, KOUNAHIRI"/>
    <s v="SCOOPS ASER/ SCOOPS COBAN"/>
    <s v="LBA-011-ASR/ LBA-008-COB"/>
    <s v="0426-0340/ 0420-0149"/>
    <n v="42967"/>
    <n v="42365.462"/>
    <n v="11"/>
    <n v="168"/>
    <n v="44.09"/>
    <n v="9.6"/>
    <n v="174"/>
    <n v="44.35"/>
    <n v="601.53800000000047"/>
    <n v="1.4000000000000004E-2"/>
    <n v="601.53800000000047"/>
    <n v="1.4000000000000011E-2"/>
    <m/>
    <n v="177"/>
    <m/>
    <n v="525"/>
    <n v="518"/>
    <x v="1"/>
    <m/>
    <n v="4188"/>
  </r>
  <r>
    <n v="24"/>
    <d v="2026-04-13T00:00:00"/>
    <s v="BOUAKE"/>
    <s v="BKE-002"/>
    <s v="BKE-002-BIN-028"/>
    <s v="BKE-002-BIN-028-DRIED"/>
    <x v="10"/>
    <n v="1117"/>
    <m/>
    <s v="SCOOPS BAY SCOOPS "/>
    <s v="LBA-014-BAY"/>
    <s v="0426-0194"/>
    <n v="19588"/>
    <n v="18980.772000000001"/>
    <n v="13.3"/>
    <n v="161"/>
    <n v="42.51"/>
    <n v="10.199999999999999"/>
    <n v="169"/>
    <n v="42.15"/>
    <n v="607.22799999999916"/>
    <n v="3.1000000000000014E-2"/>
    <n v="607.22799999999916"/>
    <n v="3.0999999999999958E-2"/>
    <m/>
    <n v="543"/>
    <m/>
    <n v="232"/>
    <n v="228"/>
    <x v="1"/>
    <m/>
    <n v="4234"/>
  </r>
  <r>
    <n v="25"/>
    <d v="2026-04-29T00:00:00"/>
    <s v="BOUAKE"/>
    <s v="BKE-001"/>
    <s v="BKE-001-BIN-024"/>
    <s v="BKE-001-BIN-024-DRIED"/>
    <x v="11"/>
    <n v="367"/>
    <s v="ZOUKOUGBOU"/>
    <s v="CAPCD SCOOPS"/>
    <s v="LBA-010-CAP"/>
    <s v="0431-0277"/>
    <n v="32868"/>
    <n v="31914.828000000001"/>
    <n v="12.3"/>
    <n v="163"/>
    <n v="42.50517"/>
    <n v="9.4"/>
    <n v="174"/>
    <n v="43.03"/>
    <n v="953.17199999999866"/>
    <n v="2.9000000000000005E-2"/>
    <n v="953.17199999999866"/>
    <n v="2.899999999999996E-2"/>
    <m/>
    <n v="87"/>
    <m/>
    <n v="432"/>
    <n v="439"/>
    <x v="1"/>
    <m/>
    <n v="3879"/>
  </r>
  <r>
    <n v="26"/>
    <d v="2026-04-30T00:00:00"/>
    <s v="BOUAKE"/>
    <s v="BKE-001"/>
    <s v="BKE-001-BIN-023"/>
    <s v="BKE-001-BIN-023-DRIED"/>
    <x v="12"/>
    <n v="381"/>
    <s v="KORHOGO"/>
    <s v="SCOOPS COOPRAKA"/>
    <s v="LBA-018-COP"/>
    <s v="0425-0001"/>
    <n v="22331"/>
    <n v="22063.027999999998"/>
    <n v="11.6"/>
    <n v="162"/>
    <n v="41.27"/>
    <n v="10.4"/>
    <n v="168"/>
    <n v="41.79"/>
    <n v="267.97200000000157"/>
    <n v="1.1999999999999993E-2"/>
    <n v="267.97200000000157"/>
    <n v="1.200000000000007E-2"/>
    <m/>
    <n v="127"/>
    <m/>
    <n v="250"/>
    <n v="276"/>
    <x v="1"/>
    <m/>
    <n v="4418"/>
  </r>
  <r>
    <n v="27"/>
    <d v="2026-05-04T00:00:00"/>
    <s v="BOUAKE"/>
    <s v="BKE-002"/>
    <s v="BKE-002-BIN-028"/>
    <s v="BKE-002-BIN-028-DRIED"/>
    <x v="13"/>
    <n v="359"/>
    <s v="MBAHIAKRO"/>
    <s v="SCOOPS BAY SCOOPS "/>
    <s v="LBA-014-BAY"/>
    <s v="0426-0194"/>
    <n v="16393"/>
    <n v="16130.712"/>
    <n v="11.6"/>
    <n v="175"/>
    <n v="42.15"/>
    <n v="10"/>
    <n v="179"/>
    <n v="42.5"/>
    <n v="262.28800000000047"/>
    <n v="1.5999999999999997E-2"/>
    <n v="262.28800000000047"/>
    <n v="1.6000000000000028E-2"/>
    <m/>
    <n v="115"/>
    <m/>
    <n v="210"/>
    <n v="221"/>
    <x v="1"/>
    <m/>
    <n v="3952"/>
  </r>
  <r>
    <n v="28"/>
    <d v="2026-05-05T00:00:00"/>
    <s v="BOUAKE"/>
    <s v="BKE-001"/>
    <s v="BKE-001-BIN-023"/>
    <s v="BKE-001-BIN-023-DRIED"/>
    <x v="14"/>
    <n v="289353"/>
    <s v="DIANRA"/>
    <s v="CASP-S SCOOPS, SCOOPS DIENE"/>
    <s v="LBA-007-CAS"/>
    <s v="0429-0040"/>
    <n v="25863"/>
    <n v="25294.013999999999"/>
    <n v="11.9"/>
    <n v="166"/>
    <n v="41.09"/>
    <n v="9.6999999999999993"/>
    <n v="169"/>
    <n v="42.06"/>
    <n v="568.98600000000079"/>
    <n v="2.2000000000000009E-2"/>
    <n v="568.98600000000079"/>
    <n v="2.200000000000003E-2"/>
    <m/>
    <n v="122"/>
    <m/>
    <n v="322"/>
    <n v="319"/>
    <x v="1"/>
    <m/>
    <n v="4210"/>
  </r>
  <r>
    <n v="29"/>
    <d v="2026-05-06T00:00:00"/>
    <s v="BOUAKE"/>
    <s v="BKE-001"/>
    <s v="BKE-001-BIN-023"/>
    <s v="BKE-001-BIN-023-DRIED"/>
    <x v="15"/>
    <n v="305"/>
    <s v="BOUAKE"/>
    <s v="SCOOPS OUMI"/>
    <s v="LBA-015-OUM"/>
    <s v="0426-0347"/>
    <n v="27686"/>
    <n v="27159.966"/>
    <n v="14"/>
    <n v="181"/>
    <n v="42.15"/>
    <n v="12.1"/>
    <m/>
    <m/>
    <n v="526.03399999999965"/>
    <n v="1.9000000000000003E-2"/>
    <n v="689"/>
    <n v="2.4886224084374773E-2"/>
    <m/>
    <n v="146"/>
    <m/>
    <n v="335"/>
    <n v="351"/>
    <x v="1"/>
    <m/>
    <n v="4106"/>
  </r>
  <r>
    <n v="30"/>
    <d v="2026-05-08T00:00:00"/>
    <s v="BOUAKE"/>
    <s v="BKE-001"/>
    <s v="BKE-001-BIN-023"/>
    <s v="BKE-001-BIN-023-DRIED"/>
    <x v="15"/>
    <n v="305"/>
    <s v="BOUAKE"/>
    <s v="SCOOPS OUMI"/>
    <s v="LBA-015-OUM"/>
    <s v="0426-0347"/>
    <n v="27686"/>
    <n v="27049.222000000002"/>
    <n v="12.1"/>
    <n v="181"/>
    <n v="42.15"/>
    <n v="9.8000000000000007"/>
    <n v="185"/>
    <n v="43.21"/>
    <n v="636.77799999999843"/>
    <n v="2.2999999999999989E-2"/>
    <n v="555"/>
    <n v="2.0046232753015966E-2"/>
    <m/>
    <m/>
    <m/>
    <n v="351"/>
    <n v="352"/>
    <x v="2"/>
    <m/>
    <m/>
  </r>
  <r>
    <n v="31"/>
    <d v="2026-05-08T00:00:00"/>
    <s v="BOUAKE"/>
    <s v="BKE-001"/>
    <s v="BKE-001-BIN-023"/>
    <s v="BKE-001-BIN-023-DRIED"/>
    <x v="15"/>
    <n v="305"/>
    <s v="BOUAKE"/>
    <s v="SCOOPS OUMI"/>
    <s v="LBA-015-OUM"/>
    <s v="0426-0347"/>
    <n v="8264"/>
    <n v="7925.1760000000004"/>
    <n v="14"/>
    <n v="181"/>
    <n v="42.15"/>
    <n v="9.9"/>
    <n v="185"/>
    <n v="43.21"/>
    <n v="338.82399999999961"/>
    <n v="4.0999999999999995E-2"/>
    <n v="337"/>
    <n v="4.0779283639883833E-2"/>
    <m/>
    <n v="107"/>
    <m/>
    <n v="100"/>
    <n v="105"/>
    <x v="1"/>
    <m/>
    <m/>
  </r>
  <r>
    <n v="32"/>
    <d v="2026-05-13T00:00:00"/>
    <s v="BOUAKE"/>
    <s v="BKE-001"/>
    <s v="BKE-001-BIN-023"/>
    <s v="BKE-001-BIN-023-DRIED"/>
    <x v="16"/>
    <n v="287289"/>
    <s v="BOUAKE"/>
    <s v="CAPCD SCOOPS, CASP-S SCOOPS"/>
    <s v="LBA-010-CAP, LBA-007-CAS"/>
    <s v="0431-0277"/>
    <n v="47597"/>
    <n v="46264.284"/>
    <n v="12.6"/>
    <n v="165"/>
    <n v="41.27"/>
    <n v="9.8000000000000007"/>
    <n v="167"/>
    <n v="42.15"/>
    <n v="1332.7160000000003"/>
    <n v="2.799999999999999E-2"/>
    <n v="1332.7160000000003"/>
    <n v="2.8000000000000008E-2"/>
    <m/>
    <n v="185"/>
    <m/>
    <n v="586"/>
    <n v="594"/>
    <x v="1"/>
    <m/>
    <n v="4122"/>
  </r>
  <r>
    <n v="33"/>
    <d v="2026-05-14T00:00:00"/>
    <s v="BOUAKE"/>
    <s v="BKE-001"/>
    <s v="BKE-001-BIN-023"/>
    <s v="BKE-001-BIN-023-DRIED"/>
    <x v="17"/>
    <n v="287283"/>
    <s v="BOUAKE"/>
    <s v="CAPCD SCOOPS, SCOOPS COOPRAKA"/>
    <s v="LBA-010-CAP, LBA-018-COP"/>
    <s v="0431-0277"/>
    <n v="39864"/>
    <n v="39066.720000000001"/>
    <n v="12.1"/>
    <n v="158"/>
    <n v="41.27"/>
    <n v="10.1"/>
    <n v="163"/>
    <n v="42.68"/>
    <n v="797.27999999999884"/>
    <n v="0.02"/>
    <n v="797.27999999999884"/>
    <n v="1.9999999999999969E-2"/>
    <m/>
    <n v="195"/>
    <m/>
    <n v="500"/>
    <n v="465"/>
    <x v="1"/>
    <m/>
    <n v="4036"/>
  </r>
  <r>
    <n v="34"/>
    <d v="2026-05-15T00:00:00"/>
    <s v="BOUAKE"/>
    <s v="BKE-001"/>
    <s v="BKE-001-BIN-023"/>
    <s v="BKE-001-BIN-023-DRIED"/>
    <x v="18"/>
    <n v="1147282"/>
    <s v="BOUAKE"/>
    <s v="SCOOPS ASER"/>
    <s v="LBA-011-ASR"/>
    <s v="0426-0340"/>
    <n v="49163"/>
    <n v="48081.413999999997"/>
    <n v="12.2"/>
    <n v="168"/>
    <n v="41.53"/>
    <n v="10"/>
    <n v="168"/>
    <n v="42.5"/>
    <n v="1081.586000000003"/>
    <n v="2.1999999999999992E-2"/>
    <n v="1081.586000000003"/>
    <n v="2.2000000000000061E-2"/>
    <m/>
    <n v="234"/>
    <m/>
    <n v="574"/>
    <n v="589"/>
    <x v="1"/>
    <m/>
    <n v="4231"/>
  </r>
  <r>
    <n v="35"/>
    <d v="2026-05-16T00:00:00"/>
    <s v="BOUAKE"/>
    <s v="BKE-001"/>
    <s v="BKE-001-BIN-023"/>
    <s v="BKE-001-BIN-023-DRIED"/>
    <x v="19"/>
    <n v="1150"/>
    <s v="DIKODOUGOU"/>
    <s v="SCOPASS SCOOPS "/>
    <s v="LBA-009-SCO"/>
    <s v="0426-0203"/>
    <n v="22909"/>
    <n v="22588.274000000001"/>
    <n v="10.8"/>
    <n v="160"/>
    <n v="41.09"/>
    <n v="9.4"/>
    <n v="165"/>
    <n v="41.79"/>
    <n v="320.72599999999875"/>
    <n v="1.4000000000000004E-2"/>
    <n v="320.72599999999875"/>
    <n v="1.3999999999999945E-2"/>
    <m/>
    <n v="190"/>
    <m/>
    <n v="306"/>
    <n v="306"/>
    <x v="1"/>
    <m/>
    <n v="4113"/>
  </r>
  <r>
    <n v="36"/>
    <d v="2026-05-16T00:00:00"/>
    <s v="BOUAKE"/>
    <s v="BKE-002"/>
    <s v="BKE-002-BIN-027"/>
    <s v="BKE-001-BIN-027-DRIED "/>
    <x v="20"/>
    <n v="1125"/>
    <s v="DABAKALA "/>
    <s v="SCOOPS AC SOURCING"/>
    <m/>
    <s v="0401-0106"/>
    <n v="11289"/>
    <n v="11142.243"/>
    <n v="11"/>
    <n v="166"/>
    <n v="43.39"/>
    <n v="9.6999999999999993"/>
    <n v="170"/>
    <n v="43.56"/>
    <n v="146.75699999999961"/>
    <n v="1.3000000000000006E-2"/>
    <n v="146.75699999999961"/>
    <n v="1.2999999999999965E-2"/>
    <m/>
    <n v="107"/>
    <m/>
    <n v="140"/>
    <n v="150"/>
    <x v="1"/>
    <m/>
    <m/>
  </r>
  <r>
    <n v="37"/>
    <d v="2026-05-17T00:00:00"/>
    <s v="BOUAKE"/>
    <s v="BKE-002"/>
    <s v="BKE-002-BIN-027"/>
    <s v="BKE-001-BIN-027-DRIED "/>
    <x v="21"/>
    <s v="1125, 1105"/>
    <s v="DABAKALA, DIANRA"/>
    <s v="SCOOPS AC SOURCING, SCOOPS DPVICA"/>
    <m/>
    <s v="0401-0106, 0420-0251"/>
    <n v="40581"/>
    <n v="39891.123"/>
    <n v="11.5"/>
    <n v="164"/>
    <n v="43.39"/>
    <n v="9.8000000000000007"/>
    <n v="168"/>
    <n v="43.73"/>
    <n v="689.87700000000041"/>
    <n v="1.6999999999999994E-2"/>
    <n v="689.87700000000041"/>
    <n v="1.7000000000000012E-2"/>
    <m/>
    <n v="170"/>
    <m/>
    <n v="500"/>
    <n v="512"/>
    <x v="1"/>
    <m/>
    <n v="4120"/>
  </r>
  <r>
    <n v="38"/>
    <d v="2026-05-19T00:00:00"/>
    <s v="BOUAKE"/>
    <s v="BKE-002"/>
    <s v="BKE-002-BIN-027"/>
    <s v="BKE-001-BIN-027-DRIED "/>
    <x v="22"/>
    <n v="1105"/>
    <s v="DIANRA"/>
    <s v="SCOOPS DPVICA"/>
    <m/>
    <s v="0420-0251"/>
    <n v="36757"/>
    <n v="36058.616999999998"/>
    <n v="10.9"/>
    <n v="161"/>
    <n v="43.39"/>
    <n v="9"/>
    <n v="167"/>
    <n v="43.56"/>
    <n v="698.38300000000163"/>
    <n v="1.9000000000000003E-2"/>
    <n v="698.38300000000163"/>
    <n v="1.9000000000000045E-2"/>
    <m/>
    <n v="389"/>
    <m/>
    <n v="450"/>
    <n v="450"/>
    <x v="1"/>
    <m/>
    <n v="4026"/>
  </r>
  <r>
    <n v="39"/>
    <d v="2026-05-20T00:00:00"/>
    <s v="BOUAKE"/>
    <s v="BKE-002"/>
    <s v="BKE-002-BIN-027"/>
    <s v="BKE-001-BIN-027-DRIED "/>
    <x v="23"/>
    <n v="1176"/>
    <s v="MANKONO"/>
    <s v="SCOOPS ASER"/>
    <s v="LBA-011-ASR"/>
    <s v="0426-0340"/>
    <n v="42219"/>
    <n v="41290.182000000001"/>
    <n v="11.7"/>
    <n v="160"/>
    <n v="43.03"/>
    <n v="9.5"/>
    <n v="168"/>
    <n v="43.56"/>
    <n v="928.8179999999993"/>
    <n v="2.1999999999999992E-2"/>
    <n v="928.8179999999993"/>
    <n v="2.1999999999999985E-2"/>
    <m/>
    <n v="316"/>
    <m/>
    <n v="505"/>
    <n v="512"/>
    <x v="1"/>
    <m/>
    <n v="4086"/>
  </r>
  <r>
    <n v="40"/>
    <d v="2026-05-21T00:00:00"/>
    <s v="BOUAKE"/>
    <s v="BKE-002"/>
    <s v="BKE-002-BIN-029"/>
    <s v="BKE-002-BIN-029-DRIED"/>
    <x v="24"/>
    <n v="256"/>
    <s v="BOUAKE"/>
    <s v="SCOOPS AJCB"/>
    <m/>
    <s v="0426-0489"/>
    <n v="37959"/>
    <n v="37465.533000000003"/>
    <n v="10.6"/>
    <n v="160"/>
    <n v="42.51"/>
    <n v="9.3000000000000007"/>
    <n v="174"/>
    <n v="42.68"/>
    <n v="493.46699999999691"/>
    <n v="1.2999999999999989E-2"/>
    <n v="493.46699999999691"/>
    <n v="1.2999999999999918E-2"/>
    <m/>
    <n v="276"/>
    <m/>
    <n v="450"/>
    <n v="462"/>
    <x v="1"/>
    <m/>
    <n v="4131"/>
  </r>
  <r>
    <n v="41"/>
    <d v="2026-05-22T00:00:00"/>
    <s v="BOUAKE"/>
    <s v="BKE-002"/>
    <s v="BKE-002-BIN-029"/>
    <s v="BKE-002-BIN-029-DRIED"/>
    <x v="25"/>
    <n v="1128"/>
    <s v="NIAKARA"/>
    <s v="SCOOPS HERE B"/>
    <s v="LBA-003-HER"/>
    <s v="0425-0187"/>
    <n v="40562"/>
    <n v="39831.883999999998"/>
    <n v="11.5"/>
    <n v="165"/>
    <n v="42.15"/>
    <n v="9.6999999999999993"/>
    <n v="168"/>
    <n v="42.68"/>
    <n v="730.1160000000018"/>
    <n v="1.8000000000000006E-2"/>
    <n v="730.1160000000018"/>
    <n v="1.8000000000000044E-2"/>
    <m/>
    <n v="452"/>
    <m/>
    <n v="470"/>
    <n v="467"/>
    <x v="1"/>
    <m/>
    <n v="4190"/>
  </r>
  <r>
    <n v="42"/>
    <d v="2026-05-30T00:00:00"/>
    <s v="BOUAKE"/>
    <s v="BKE-002"/>
    <s v="BKE-002-BIN-029"/>
    <s v="BKE-002-BIN-029-DRIED"/>
    <x v="26"/>
    <n v="1127"/>
    <s v="ZUENOULA"/>
    <s v="SCOOPS ASER"/>
    <s v="LBA-011-ASR"/>
    <s v="0426-0340"/>
    <n v="34453"/>
    <n v="33729.487000000001"/>
    <n v="11.3"/>
    <n v="162"/>
    <n v="42.51"/>
    <n v="9.1999999999999993"/>
    <n v="170"/>
    <n v="42.32"/>
    <n v="723.51299999999901"/>
    <n v="2.1000000000000015E-2"/>
    <n v="723.51299999999901"/>
    <n v="2.099999999999997E-2"/>
    <m/>
    <n v="342"/>
    <m/>
    <n v="400"/>
    <n v="394"/>
    <x v="1"/>
    <m/>
    <n v="4247"/>
  </r>
  <r>
    <n v="43"/>
    <d v="2026-06-01T00:00:00"/>
    <s v="BOUAKE"/>
    <s v="BKE-002"/>
    <s v="BKE-002-BIN-029"/>
    <s v="BKE-002-BIN-029-DRIED"/>
    <x v="27"/>
    <n v="11931194"/>
    <s v="BOUAKE"/>
    <s v="SCOOPS DEMBOL, CAPCD SCOOPS "/>
    <s v="DIS-003-DEM, LBA-010-CAP"/>
    <m/>
    <n v="35560"/>
    <n v="34742.120000000003"/>
    <n v="11.4"/>
    <n v="166"/>
    <n v="42.24"/>
    <n v="9.1"/>
    <n v="172"/>
    <n v="42.51"/>
    <n v="817.87999999999738"/>
    <n v="2.3000000000000007E-2"/>
    <n v="817.87999999999738"/>
    <n v="2.2999999999999927E-2"/>
    <m/>
    <n v="295"/>
    <m/>
    <n v="450"/>
    <n v="444"/>
    <x v="1"/>
    <m/>
    <n v="4078"/>
  </r>
  <r>
    <n v="44"/>
    <d v="2026-06-02T00:00:00"/>
    <s v="BOUAKE"/>
    <s v="BKE-002"/>
    <s v="BKE-002-BIN-029"/>
    <s v="BKE-002-BIN-029-DRIED"/>
    <x v="28"/>
    <n v="1193"/>
    <s v="BOUAKE"/>
    <s v="SCOOPS DEMBOL"/>
    <s v="DIS-003-DEM"/>
    <m/>
    <n v="6683"/>
    <n v="6556.0230000000001"/>
    <n v="11.4"/>
    <n v="166"/>
    <n v="42.24"/>
    <n v="9.5"/>
    <n v="177"/>
    <n v="42.85"/>
    <n v="126.97699999999986"/>
    <n v="1.9000000000000003E-2"/>
    <n v="126.97699999999986"/>
    <n v="1.8999999999999979E-2"/>
    <m/>
    <n v="190"/>
    <m/>
    <n v="90"/>
    <n v="88"/>
    <x v="1"/>
    <m/>
    <m/>
  </r>
  <r>
    <n v="45"/>
    <d v="2026-06-02T00:00:00"/>
    <s v="BOUAKE"/>
    <s v="BKE-002"/>
    <s v="BKE-002-BIN-030"/>
    <s v="BKE-002-BIN-030-DRIED"/>
    <x v="29"/>
    <n v="380"/>
    <s v="NIAKARA"/>
    <s v="SCOOPS HERE B"/>
    <s v="LBA-003-HER"/>
    <m/>
    <n v="25806"/>
    <n v="25109.238000000001"/>
    <n v="11.8"/>
    <n v="157"/>
    <n v="41.09"/>
    <n v="9.1"/>
    <n v="175"/>
    <n v="41.79"/>
    <n v="696.76199999999881"/>
    <n v="2.700000000000001E-2"/>
    <n v="696.76199999999881"/>
    <n v="2.6999999999999955E-2"/>
    <m/>
    <n v="360"/>
    <m/>
    <n v="310"/>
    <n v="295"/>
    <x v="1"/>
    <m/>
    <n v="4117"/>
  </r>
  <r>
    <n v="46"/>
    <d v="2026-06-03T00:00:00"/>
    <s v="BOUAKE"/>
    <s v="BKE-002"/>
    <s v="BKE-002-BIN-030"/>
    <s v="BKE-002-BIN-030-DRIED"/>
    <x v="30"/>
    <n v="369"/>
    <s v="KANIASSO"/>
    <s v="SCOOPS ASER"/>
    <s v="LBA-011-ASR"/>
    <s v="0426-0340"/>
    <n v="34628"/>
    <n v="34004.695999999996"/>
    <n v="11.4"/>
    <n v="183"/>
    <n v="41.09"/>
    <n v="9.6"/>
    <n v="172"/>
    <n v="42.15"/>
    <n v="623.30400000000373"/>
    <n v="1.8000000000000006E-2"/>
    <n v="623.30400000000373"/>
    <n v="1.8000000000000106E-2"/>
    <m/>
    <n v="307"/>
    <m/>
    <n v="440"/>
    <n v="436"/>
    <x v="1"/>
    <m/>
    <n v="4267"/>
  </r>
  <r>
    <n v="47"/>
    <d v="2026-06-05T00:00:00"/>
    <s v="BOUAKE"/>
    <s v="BKE-002"/>
    <s v="BKE-002-BIN-030"/>
    <s v="BKE-002-BIN-030-DRIED"/>
    <x v="31"/>
    <n v="1196"/>
    <s v="BOUAKE"/>
    <s v="SCOOPS ASER"/>
    <s v="LBA-011-ASR"/>
    <s v="0426-0340"/>
    <n v="37858"/>
    <n v="37062.982000000004"/>
    <n v="11.6"/>
    <n v="172"/>
    <n v="41.62"/>
    <n v="9.5"/>
    <n v="175"/>
    <n v="42.32"/>
    <n v="795.01799999999639"/>
    <n v="2.0999999999999998E-2"/>
    <n v="795.01799999999639"/>
    <n v="2.0999999999999904E-2"/>
    <m/>
    <n v="199"/>
    <m/>
    <n v="450"/>
    <n v="455"/>
    <x v="1"/>
    <m/>
    <n v="4169"/>
  </r>
  <r>
    <n v="48"/>
    <d v="2026-06-09T00:00:00"/>
    <s v="BOUAKE"/>
    <s v="BKE-002"/>
    <s v="BKE-002-BIN-031"/>
    <s v="BKE-002-BIN-031-DRIED"/>
    <x v="32"/>
    <s v="285, 279"/>
    <s v="KORHOGO, KONG"/>
    <s v="SCOOPS COOPRAKA, ADAM IVOIRIE"/>
    <s v="LBA-018-COP"/>
    <s v="0425-0001"/>
    <n v="29985"/>
    <n v="29385.3"/>
    <n v="10.9"/>
    <n v="175"/>
    <n v="42.06"/>
    <n v="8.9"/>
    <n v="180"/>
    <n v="43.21"/>
    <n v="599.70000000000073"/>
    <n v="0.02"/>
    <n v="599.70000000000073"/>
    <n v="2.0000000000000025E-2"/>
    <m/>
    <n v="366"/>
    <m/>
    <n v="350"/>
    <n v="361"/>
    <x v="1"/>
    <m/>
    <n v="4185"/>
  </r>
  <r>
    <n v="49"/>
    <d v="2026-06-11T00:00:00"/>
    <s v="BOUAKE"/>
    <s v="BKE-002"/>
    <s v="BKE-002-BIN-031"/>
    <s v="BKE-002-BIN-031-DRIED"/>
    <x v="33"/>
    <n v="263"/>
    <s v="KOUASSIKRO"/>
    <s v="CAPCD SCOOPS "/>
    <s v="LBA-010-CAP"/>
    <s v="0431-0277"/>
    <n v="28833"/>
    <n v="28285.172999999999"/>
    <n v="10.3"/>
    <n v="159"/>
    <n v="42.15"/>
    <n v="8.4"/>
    <n v="164"/>
    <n v="42.68"/>
    <n v="547.82700000000114"/>
    <n v="1.9000000000000003E-2"/>
    <n v="547.82700000000114"/>
    <n v="1.9000000000000038E-2"/>
    <m/>
    <n v="346"/>
    <m/>
    <n v="400"/>
    <n v="409"/>
    <x v="1"/>
    <m/>
    <n v="3807"/>
  </r>
  <r>
    <n v="50"/>
    <d v="2026-06-12T00:00:00"/>
    <s v="BOUAKE"/>
    <s v="BKE-002"/>
    <s v="BKE-002-BIN-031"/>
    <s v="BKE-002-BIN-031-DRIED"/>
    <x v="34"/>
    <n v="260"/>
    <s v="BOUNDIALI"/>
    <s v="SCOOPS FOUNDANRA"/>
    <s v="DIS-008-FOU"/>
    <s v="0429-0606"/>
    <n v="31727"/>
    <n v="30997.278999999999"/>
    <n v="10.3"/>
    <n v="160"/>
    <n v="41.8"/>
    <n v="8"/>
    <n v="168"/>
    <n v="42.32"/>
    <n v="729.72100000000137"/>
    <n v="2.3000000000000007E-2"/>
    <n v="729.72100000000137"/>
    <n v="2.3000000000000045E-2"/>
    <m/>
    <n v="422"/>
    <m/>
    <n v="400"/>
    <n v="397"/>
    <x v="1"/>
    <m/>
    <n v="3886"/>
  </r>
  <r>
    <n v="51"/>
    <d v="2026-06-15T00:00:00"/>
    <s v="BOUAKE"/>
    <s v="BKE-002"/>
    <s v="BKE-002-BIN-031"/>
    <s v="BKE-002-BIN-031-DRIED"/>
    <x v="35"/>
    <n v="1195"/>
    <s v="DIANRA "/>
    <s v="SCOOPS DPVICA"/>
    <s v="LBA-017-DPV"/>
    <m/>
    <n v="29822"/>
    <n v="29165.916000000001"/>
    <n v="10"/>
    <n v="173"/>
    <n v="41.98"/>
    <n v="7.8"/>
    <n v="179"/>
    <n v="42.51"/>
    <n v="656.08399999999892"/>
    <n v="2.2000000000000002E-2"/>
    <n v="656.08399999999892"/>
    <n v="2.1999999999999964E-2"/>
    <m/>
    <n v="364"/>
    <m/>
    <n v="350"/>
    <n v="364"/>
    <x v="1"/>
    <m/>
    <n v="4021"/>
  </r>
  <r>
    <n v="52"/>
    <d v="2026-06-19T00:00:00"/>
    <s v="BOUAKE"/>
    <s v="BKE-002"/>
    <s v="BKE-002-BIN-031"/>
    <s v="BKE-002-BIN-031-DRIED"/>
    <x v="36"/>
    <n v="1185"/>
    <s v="BOUAKE"/>
    <s v="CAPCD SCOOPS"/>
    <s v="LBA-010-CAP"/>
    <s v="0431-0277"/>
    <n v="23948"/>
    <n v="23445.092000000001"/>
    <n v="9.6"/>
    <n v="175"/>
    <n v="41.62"/>
    <n v="7.5"/>
    <n v="179"/>
    <n v="42.32"/>
    <n v="502.90799999999945"/>
    <n v="2.0999999999999998E-2"/>
    <n v="502.90799999999945"/>
    <n v="2.0999999999999977E-2"/>
    <m/>
    <n v="243"/>
    <m/>
    <n v="300"/>
    <n v="311"/>
    <x v="1"/>
    <m/>
    <n v="4051"/>
  </r>
  <r>
    <n v="53"/>
    <d v="2026-06-24T00:00:00"/>
    <s v="BOUAKE"/>
    <s v="BKE-002"/>
    <s v="BKE-002-BIN-031"/>
    <s v="BKE-002-BIN-031-DRIED"/>
    <x v="36"/>
    <n v="1185"/>
    <s v="BOUAKE"/>
    <s v="CAPCD SCOOPS"/>
    <s v="LBA-010-CAP"/>
    <s v="0431-0277"/>
    <n v="17402"/>
    <n v="17193.175999999999"/>
    <n v="9.6"/>
    <n v="175"/>
    <n v="41.62"/>
    <n v="8.4"/>
    <n v="178"/>
    <n v="41.79"/>
    <n v="208.82400000000052"/>
    <n v="1.1999999999999993E-2"/>
    <n v="208.82400000000052"/>
    <n v="1.200000000000003E-2"/>
    <m/>
    <n v="375"/>
    <m/>
    <n v="218"/>
    <n v="215"/>
    <x v="1"/>
    <m/>
    <n v="4018"/>
  </r>
  <r>
    <n v="54"/>
    <d v="2026-06-25T00:00:00"/>
    <s v="BOUAKE"/>
    <s v="BKE-002"/>
    <s v="BKE-002-BIN-026"/>
    <s v="BKE-002-BIN-026-DRIED"/>
    <x v="37"/>
    <n v="1177"/>
    <s v="DIKODOUGOU"/>
    <s v="SCOOPS ASER"/>
    <s v="LBA-011-ASR"/>
    <s v="0426-0340"/>
    <n v="28148"/>
    <n v="27810.224000000002"/>
    <n v="9.5"/>
    <n v="164"/>
    <n v="44.27"/>
    <n v="8.3000000000000007"/>
    <n v="168"/>
    <n v="44.44"/>
    <n v="337.77599999999802"/>
    <n v="1.1999999999999993E-2"/>
    <n v="337.77599999999802"/>
    <n v="1.1999999999999929E-2"/>
    <m/>
    <n v="550"/>
    <m/>
    <n v="350"/>
    <n v="342"/>
    <x v="1"/>
    <m/>
    <n v="3986"/>
  </r>
  <r>
    <n v="55"/>
    <d v="2026-06-26T00:00:00"/>
    <s v="BOUAKE"/>
    <s v="BKE-002"/>
    <s v="BKE-002-BIN-026"/>
    <s v="BKE-002-BIN-026-DRIED"/>
    <x v="38"/>
    <n v="11771174"/>
    <s v="DIKODOUGOU, KATIOLA"/>
    <s v="SCOOPS ASER, SCOOPS AH AL NOUR"/>
    <s v="LBA-011-ASR, LBA-016-NOU"/>
    <s v="0426-0340"/>
    <n v="30929"/>
    <n v="30495.993999999999"/>
    <n v="9.8000000000000007"/>
    <n v="166"/>
    <n v="44.62"/>
    <n v="8.4"/>
    <n v="169"/>
    <n v="44.79"/>
    <n v="433.00600000000122"/>
    <n v="1.4000000000000004E-2"/>
    <n v="433.00600000000122"/>
    <n v="1.400000000000004E-2"/>
    <m/>
    <n v="344"/>
    <m/>
    <n v="370"/>
    <n v="384"/>
    <x v="1"/>
    <m/>
    <n v="4202"/>
  </r>
  <r>
    <n v="56"/>
    <d v="2026-06-29T00:00:00"/>
    <s v="BOUAKE"/>
    <s v="BKE-002"/>
    <s v="BKE-002-BIN-026"/>
    <s v="BKE-002-BIN-026-DRIED"/>
    <x v="39"/>
    <n v="11741168"/>
    <s v="KATIOLA, MANKONO"/>
    <s v="SCOOPS AH AL NOUR, SCOOPS ASER"/>
    <s v="LBA-011-ASR, LBA-016-NOU"/>
    <s v="0426-0340"/>
    <n v="26103"/>
    <n v="25815.866999999998"/>
    <n v="10.199999999999999"/>
    <n v="171"/>
    <n v="44.09"/>
    <n v="9.1"/>
    <n v="175"/>
    <n v="44.44"/>
    <n v="287.13300000000163"/>
    <n v="1.0999999999999996E-2"/>
    <n v="287.13300000000163"/>
    <n v="1.1000000000000062E-2"/>
    <m/>
    <n v="149"/>
    <m/>
    <n v="300"/>
    <n v="309"/>
    <x v="1"/>
    <m/>
    <n v="4217"/>
  </r>
  <r>
    <n v="57"/>
    <d v="2026-07-07T00:00:00"/>
    <s v="BOUAKE"/>
    <s v="BKE-002"/>
    <s v="BKE-002-BIN-026"/>
    <s v="BKE-002-BIN-026-DRIED"/>
    <x v="40"/>
    <n v="1168"/>
    <s v="MANKONO"/>
    <s v="SCOOPS ASER"/>
    <s v="LBA-011-ASR"/>
    <s v="0426-0340"/>
    <n v="17343"/>
    <n v="17048.169000000002"/>
    <n v="10.199999999999999"/>
    <n v="171"/>
    <n v="44.09"/>
    <n v="8.5"/>
    <n v="176"/>
    <n v="43.73"/>
    <n v="294.83099999999831"/>
    <n v="1.6999999999999994E-2"/>
    <n v="294.83099999999831"/>
    <n v="1.6999999999999904E-2"/>
    <m/>
    <n v="0"/>
    <m/>
    <n v="198"/>
    <n v="208"/>
    <x v="0"/>
    <m/>
    <n v="4216"/>
  </r>
  <r>
    <m/>
    <m/>
    <m/>
    <m/>
    <m/>
    <m/>
    <x v="41"/>
    <m/>
    <m/>
    <m/>
    <m/>
    <m/>
    <m/>
    <m/>
    <m/>
    <m/>
    <m/>
    <m/>
    <m/>
    <m/>
    <m/>
    <m/>
    <m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m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  <r>
    <m/>
    <m/>
    <m/>
    <m/>
    <m/>
    <m/>
    <x v="41"/>
    <m/>
    <m/>
    <m/>
    <m/>
    <m/>
    <m/>
    <m/>
    <m/>
    <m/>
    <m/>
    <m/>
    <m/>
    <m/>
    <m/>
    <m/>
    <s v="0"/>
    <m/>
    <m/>
    <m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6EA40-4EDF-4666-8AC3-192A3F57DF8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2:AO52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>
      <items count="43">
        <item x="4"/>
        <item x="2"/>
        <item x="3"/>
        <item x="5"/>
        <item x="6"/>
        <item x="0"/>
        <item x="1"/>
        <item x="41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2">
    <field x="29"/>
    <field x="6"/>
  </rowFields>
  <rowItems count="50">
    <i>
      <x/>
    </i>
    <i r="1">
      <x/>
    </i>
    <i r="1">
      <x v="2"/>
    </i>
    <i r="1">
      <x v="5"/>
    </i>
    <i r="1">
      <x v="8"/>
    </i>
    <i r="1">
      <x v="41"/>
    </i>
    <i>
      <x v="1"/>
    </i>
    <i r="1">
      <x v="1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2"/>
    </i>
    <i r="1">
      <x/>
    </i>
    <i r="1">
      <x v="16"/>
    </i>
    <i>
      <x v="3"/>
    </i>
    <i r="1"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NPUT BAGS FOR DRYING" fld="27" baseField="0" baseItem="0"/>
    <dataField name="Sum of OUTPUT BAGS AFTER DRING" fld="28" baseField="0" baseItem="0"/>
    <dataField name="Sum of Received Net Weight (After Drying)" fld="13" baseField="0" baseItem="0"/>
    <dataField name="Sum of Draige Loss Kg's" fld="20" baseField="0" baseItem="0"/>
    <dataField name="Sum of Damaged nuts - KGS/ TRIAGE" fld="25" baseField="0" baseItem="0"/>
  </dataFields>
  <formats count="16">
    <format dxfId="0">
      <pivotArea collapsedLevelsAreSubtotals="1" fieldPosition="0">
        <references count="2">
          <reference field="6" count="2">
            <x v="5"/>
            <x v="8"/>
          </reference>
          <reference field="29" count="1" selected="0">
            <x v="0"/>
          </reference>
        </references>
      </pivotArea>
    </format>
    <format dxfId="1">
      <pivotArea collapsedLevelsAreSubtotals="1" fieldPosition="0">
        <references count="1">
          <reference field="29" count="1">
            <x v="1"/>
          </reference>
        </references>
      </pivotArea>
    </format>
    <format dxfId="2">
      <pivotArea collapsedLevelsAreSubtotals="1" fieldPosition="0">
        <references count="2">
          <reference field="6" count="7">
            <x v="1"/>
            <x v="3"/>
            <x v="4"/>
            <x v="5"/>
            <x v="6"/>
            <x v="9"/>
            <x v="10"/>
          </reference>
          <reference field="29" count="1" selected="0">
            <x v="1"/>
          </reference>
        </references>
      </pivotArea>
    </format>
    <format dxfId="3">
      <pivotArea collapsedLevelsAreSubtotals="1" fieldPosition="0">
        <references count="1">
          <reference field="29" count="1">
            <x v="2"/>
          </reference>
        </references>
      </pivotArea>
    </format>
    <format dxfId="4">
      <pivotArea collapsedLevelsAreSubtotals="1" fieldPosition="0">
        <references count="2">
          <reference field="6" count="1">
            <x v="0"/>
          </reference>
          <reference field="29" count="1" selected="0">
            <x v="2"/>
          </reference>
        </references>
      </pivotArea>
    </format>
    <format dxfId="5">
      <pivotArea collapsedLevelsAreSubtotals="1" fieldPosition="0">
        <references count="1">
          <reference field="29" count="1">
            <x v="3"/>
          </reference>
        </references>
      </pivotArea>
    </format>
    <format dxfId="6">
      <pivotArea collapsedLevelsAreSubtotals="1" fieldPosition="0">
        <references count="2">
          <reference field="6" count="1">
            <x v="7"/>
          </reference>
          <reference field="29" count="1" selected="0">
            <x v="3"/>
          </reference>
        </references>
      </pivotArea>
    </format>
    <format dxfId="7">
      <pivotArea grandRow="1" outline="0" collapsedLevelsAreSubtotals="1" fieldPosition="0"/>
    </format>
    <format dxfId="8">
      <pivotArea dataOnly="0" labelOnly="1" fieldPosition="0">
        <references count="1">
          <reference field="29" count="3">
            <x v="1"/>
            <x v="2"/>
            <x v="3"/>
          </reference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2">
          <reference field="6" count="2">
            <x v="5"/>
            <x v="8"/>
          </reference>
          <reference field="29" count="1" selected="0">
            <x v="0"/>
          </reference>
        </references>
      </pivotArea>
    </format>
    <format dxfId="11">
      <pivotArea dataOnly="0" labelOnly="1" fieldPosition="0">
        <references count="2">
          <reference field="6" count="7">
            <x v="1"/>
            <x v="3"/>
            <x v="4"/>
            <x v="5"/>
            <x v="6"/>
            <x v="9"/>
            <x v="10"/>
          </reference>
          <reference field="29" count="1" selected="0">
            <x v="1"/>
          </reference>
        </references>
      </pivotArea>
    </format>
    <format dxfId="12">
      <pivotArea dataOnly="0" labelOnly="1" fieldPosition="0">
        <references count="2">
          <reference field="6" count="1">
            <x v="0"/>
          </reference>
          <reference field="29" count="1" selected="0">
            <x v="2"/>
          </reference>
        </references>
      </pivotArea>
    </format>
    <format dxfId="13">
      <pivotArea dataOnly="0" labelOnly="1" fieldPosition="0">
        <references count="2">
          <reference field="6" count="1">
            <x v="7"/>
          </reference>
          <reference field="29" count="1" selected="0">
            <x v="3"/>
          </reference>
        </references>
      </pivotArea>
    </format>
    <format dxfId="14">
      <pivotArea field="29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071C-4CE7-4320-83DA-1B83A30FDF13}">
  <dimension ref="A1:AP635"/>
  <sheetViews>
    <sheetView tabSelected="1" zoomScale="90" workbookViewId="0">
      <selection sqref="A1:XFD1048576"/>
    </sheetView>
  </sheetViews>
  <sheetFormatPr defaultColWidth="8.90625" defaultRowHeight="14.5" x14ac:dyDescent="0.35"/>
  <cols>
    <col min="1" max="1" width="6" style="1" customWidth="1"/>
    <col min="2" max="2" width="13.1796875" style="1" customWidth="1"/>
    <col min="3" max="4" width="12.36328125" style="1" customWidth="1"/>
    <col min="5" max="5" width="18.81640625" style="1" customWidth="1"/>
    <col min="6" max="6" width="25.453125" style="1" customWidth="1"/>
    <col min="7" max="7" width="12.36328125" style="1" customWidth="1"/>
    <col min="8" max="8" width="18.54296875" style="1" bestFit="1" customWidth="1"/>
    <col min="9" max="9" width="21.90625" style="1" bestFit="1" customWidth="1"/>
    <col min="10" max="10" width="35.1796875" style="1" bestFit="1" customWidth="1"/>
    <col min="11" max="11" width="23.90625" style="1" bestFit="1" customWidth="1"/>
    <col min="12" max="12" width="11.54296875" style="1" customWidth="1"/>
    <col min="13" max="13" width="20.453125" style="1" customWidth="1"/>
    <col min="14" max="15" width="13.453125" style="1" customWidth="1"/>
    <col min="16" max="16" width="12.1796875" style="2" customWidth="1"/>
    <col min="17" max="19" width="13.453125" style="1" customWidth="1"/>
    <col min="20" max="20" width="9.54296875" style="1" bestFit="1" customWidth="1"/>
    <col min="21" max="21" width="8.90625" style="1"/>
    <col min="22" max="25" width="11.90625" style="1" customWidth="1"/>
    <col min="26" max="26" width="8.90625" style="1"/>
    <col min="27" max="27" width="13.08984375" style="1" customWidth="1"/>
    <col min="28" max="28" width="10.81640625" style="1" customWidth="1"/>
    <col min="29" max="29" width="17.81640625" style="1" customWidth="1"/>
    <col min="30" max="30" width="16.36328125" style="1" customWidth="1"/>
    <col min="31" max="31" width="8.54296875" style="1" customWidth="1"/>
    <col min="32" max="32" width="7.6328125" style="1" customWidth="1"/>
    <col min="33" max="33" width="12.6328125" style="1" bestFit="1" customWidth="1"/>
    <col min="34" max="34" width="8.90625" style="1"/>
    <col min="35" max="36" width="18.54296875" style="1" bestFit="1" customWidth="1"/>
    <col min="37" max="37" width="30.54296875" style="1" bestFit="1" customWidth="1"/>
    <col min="38" max="38" width="20.453125" style="1" bestFit="1" customWidth="1"/>
    <col min="39" max="39" width="37.453125" style="1" bestFit="1" customWidth="1"/>
    <col min="40" max="40" width="20.81640625" style="1" bestFit="1" customWidth="1"/>
    <col min="41" max="41" width="32.453125" style="1" bestFit="1" customWidth="1"/>
    <col min="42" max="16384" width="8.90625" style="1"/>
  </cols>
  <sheetData>
    <row r="1" spans="1:42" x14ac:dyDescent="0.35">
      <c r="P1" s="1"/>
      <c r="Q1" s="2"/>
      <c r="X1" s="3"/>
      <c r="Y1" s="3"/>
      <c r="Z1" s="3"/>
      <c r="AA1" s="3"/>
      <c r="AB1" s="3"/>
      <c r="AC1" s="3"/>
      <c r="AD1" s="3"/>
    </row>
    <row r="2" spans="1:42" s="13" customFormat="1" ht="87" x14ac:dyDescent="0.35">
      <c r="A2" s="4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5" t="s">
        <v>6</v>
      </c>
      <c r="H2" s="5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7" t="s">
        <v>14</v>
      </c>
      <c r="P2" s="8" t="s">
        <v>15</v>
      </c>
      <c r="Q2" s="9" t="s">
        <v>16</v>
      </c>
      <c r="R2" s="7" t="s">
        <v>17</v>
      </c>
      <c r="S2" s="8" t="s">
        <v>18</v>
      </c>
      <c r="T2" s="9" t="s">
        <v>19</v>
      </c>
      <c r="U2" s="4" t="s">
        <v>20</v>
      </c>
      <c r="V2" s="4" t="s">
        <v>21</v>
      </c>
      <c r="W2" s="4" t="s">
        <v>20</v>
      </c>
      <c r="X2" s="4" t="s">
        <v>22</v>
      </c>
      <c r="Y2" s="4" t="s">
        <v>23</v>
      </c>
      <c r="Z2" s="4" t="s">
        <v>24</v>
      </c>
      <c r="AA2" s="4" t="s">
        <v>25</v>
      </c>
      <c r="AB2" s="10" t="s">
        <v>26</v>
      </c>
      <c r="AC2" s="10" t="s">
        <v>27</v>
      </c>
      <c r="AD2" s="10" t="s">
        <v>28</v>
      </c>
      <c r="AE2" s="11" t="s">
        <v>29</v>
      </c>
      <c r="AF2" s="12" t="s">
        <v>30</v>
      </c>
      <c r="AG2" s="12" t="s">
        <v>30</v>
      </c>
      <c r="AJ2" s="14" t="s">
        <v>31</v>
      </c>
      <c r="AK2" s="14" t="s">
        <v>32</v>
      </c>
      <c r="AL2" s="14" t="s">
        <v>33</v>
      </c>
      <c r="AM2" s="14" t="s">
        <v>34</v>
      </c>
      <c r="AN2" s="14" t="s">
        <v>35</v>
      </c>
      <c r="AO2" s="14" t="s">
        <v>36</v>
      </c>
      <c r="AP2"/>
    </row>
    <row r="3" spans="1:42" ht="29" x14ac:dyDescent="0.35">
      <c r="A3" s="15">
        <v>1</v>
      </c>
      <c r="B3" s="16">
        <v>46073</v>
      </c>
      <c r="C3" s="15" t="s">
        <v>37</v>
      </c>
      <c r="D3" s="15" t="s">
        <v>38</v>
      </c>
      <c r="E3" s="15" t="s">
        <v>39</v>
      </c>
      <c r="F3" s="17" t="s">
        <v>40</v>
      </c>
      <c r="G3" s="18" t="s">
        <v>41</v>
      </c>
      <c r="H3" s="15" t="s">
        <v>42</v>
      </c>
      <c r="I3" s="17" t="s">
        <v>43</v>
      </c>
      <c r="J3" s="17" t="s">
        <v>44</v>
      </c>
      <c r="K3" s="17" t="s">
        <v>45</v>
      </c>
      <c r="L3" s="17" t="s">
        <v>46</v>
      </c>
      <c r="M3" s="19">
        <v>34292</v>
      </c>
      <c r="N3" s="20">
        <v>33777.620000000003</v>
      </c>
      <c r="O3" s="21">
        <v>11</v>
      </c>
      <c r="P3" s="22">
        <v>170</v>
      </c>
      <c r="Q3" s="23">
        <v>47.61</v>
      </c>
      <c r="R3" s="19">
        <v>9.5</v>
      </c>
      <c r="S3" s="19">
        <v>176</v>
      </c>
      <c r="T3" s="19">
        <v>47.26</v>
      </c>
      <c r="U3" s="24">
        <f t="shared" ref="U3:U59" si="0">M3-N3</f>
        <v>514.37999999999738</v>
      </c>
      <c r="V3" s="25">
        <f>(O3-R3)/100</f>
        <v>1.4999999999999999E-2</v>
      </c>
      <c r="W3" s="24">
        <f t="shared" ref="W3:W30" si="1">M3-N3</f>
        <v>514.37999999999738</v>
      </c>
      <c r="X3" s="25">
        <f t="shared" ref="X3:X59" si="2">IFERROR(W3/M3,"0")</f>
        <v>1.4999999999999923E-2</v>
      </c>
      <c r="Y3" s="25"/>
      <c r="Z3" s="26"/>
      <c r="AA3" s="27"/>
      <c r="AB3" s="26">
        <v>406</v>
      </c>
      <c r="AC3" s="26">
        <v>434</v>
      </c>
      <c r="AD3" s="26" t="s">
        <v>47</v>
      </c>
      <c r="AE3" s="15"/>
      <c r="AF3" s="28"/>
      <c r="AG3" s="29"/>
      <c r="AH3" s="30"/>
      <c r="AJ3" s="31" t="s">
        <v>47</v>
      </c>
      <c r="AK3">
        <v>2701</v>
      </c>
      <c r="AL3">
        <v>2629</v>
      </c>
      <c r="AM3">
        <v>229750.538</v>
      </c>
      <c r="AN3">
        <v>3698.461999999995</v>
      </c>
      <c r="AO3">
        <v>0</v>
      </c>
      <c r="AP3"/>
    </row>
    <row r="4" spans="1:42" ht="29" x14ac:dyDescent="0.35">
      <c r="A4" s="15">
        <v>2</v>
      </c>
      <c r="B4" s="16">
        <v>46074</v>
      </c>
      <c r="C4" s="15" t="s">
        <v>37</v>
      </c>
      <c r="D4" s="15" t="s">
        <v>38</v>
      </c>
      <c r="E4" s="15" t="s">
        <v>48</v>
      </c>
      <c r="F4" s="17" t="s">
        <v>49</v>
      </c>
      <c r="G4" s="18" t="s">
        <v>50</v>
      </c>
      <c r="H4" s="15" t="s">
        <v>51</v>
      </c>
      <c r="I4" s="15" t="s">
        <v>52</v>
      </c>
      <c r="J4" s="17" t="s">
        <v>53</v>
      </c>
      <c r="K4" s="17" t="s">
        <v>54</v>
      </c>
      <c r="L4" s="17" t="s">
        <v>55</v>
      </c>
      <c r="M4" s="19">
        <v>25298</v>
      </c>
      <c r="N4" s="20">
        <v>24867.934000000001</v>
      </c>
      <c r="O4" s="19">
        <v>11.4</v>
      </c>
      <c r="P4" s="22">
        <v>161</v>
      </c>
      <c r="Q4" s="19">
        <v>46.38</v>
      </c>
      <c r="R4" s="19">
        <v>9.6999999999999993</v>
      </c>
      <c r="S4" s="19">
        <v>171</v>
      </c>
      <c r="T4" s="19">
        <v>46.73</v>
      </c>
      <c r="U4" s="24">
        <f t="shared" si="0"/>
        <v>430.06599999999889</v>
      </c>
      <c r="V4" s="25">
        <f>(O4-R4)/100</f>
        <v>1.7000000000000012E-2</v>
      </c>
      <c r="W4" s="24">
        <f t="shared" si="1"/>
        <v>430.06599999999889</v>
      </c>
      <c r="X4" s="25">
        <f t="shared" si="2"/>
        <v>1.6999999999999956E-2</v>
      </c>
      <c r="Y4" s="24"/>
      <c r="Z4" s="26">
        <v>216</v>
      </c>
      <c r="AA4" s="27"/>
      <c r="AB4" s="26">
        <v>290</v>
      </c>
      <c r="AC4" s="26">
        <v>320</v>
      </c>
      <c r="AD4" s="26" t="s">
        <v>56</v>
      </c>
      <c r="AE4" s="15"/>
      <c r="AF4" s="28"/>
      <c r="AG4" s="28"/>
      <c r="AH4" s="32"/>
      <c r="AJ4" s="33">
        <v>58</v>
      </c>
      <c r="AK4">
        <v>479</v>
      </c>
      <c r="AL4">
        <v>254</v>
      </c>
      <c r="AM4">
        <v>41241.299999999996</v>
      </c>
      <c r="AN4">
        <v>458.70000000000346</v>
      </c>
      <c r="AO4"/>
      <c r="AP4"/>
    </row>
    <row r="5" spans="1:42" ht="29" x14ac:dyDescent="0.35">
      <c r="A5" s="15">
        <v>3</v>
      </c>
      <c r="B5" s="16">
        <v>46076</v>
      </c>
      <c r="C5" s="15" t="s">
        <v>37</v>
      </c>
      <c r="D5" s="15" t="s">
        <v>38</v>
      </c>
      <c r="E5" s="15" t="s">
        <v>39</v>
      </c>
      <c r="F5" s="17" t="s">
        <v>40</v>
      </c>
      <c r="G5" s="18" t="s">
        <v>41</v>
      </c>
      <c r="H5" s="15" t="s">
        <v>42</v>
      </c>
      <c r="I5" s="17" t="s">
        <v>43</v>
      </c>
      <c r="J5" s="17" t="s">
        <v>44</v>
      </c>
      <c r="K5" s="17" t="s">
        <v>45</v>
      </c>
      <c r="L5" s="17" t="s">
        <v>46</v>
      </c>
      <c r="M5" s="19">
        <v>29900</v>
      </c>
      <c r="N5" s="20">
        <v>29451.5</v>
      </c>
      <c r="O5" s="21">
        <v>11</v>
      </c>
      <c r="P5" s="22">
        <v>170</v>
      </c>
      <c r="Q5" s="23">
        <v>47.61</v>
      </c>
      <c r="R5" s="19">
        <v>9.5</v>
      </c>
      <c r="S5" s="19">
        <v>176</v>
      </c>
      <c r="T5" s="19">
        <v>47.26</v>
      </c>
      <c r="U5" s="24">
        <f t="shared" si="0"/>
        <v>448.5</v>
      </c>
      <c r="V5" s="25">
        <f t="shared" ref="V5:V31" si="3">(O5-R5)/100</f>
        <v>1.4999999999999999E-2</v>
      </c>
      <c r="W5" s="24">
        <f t="shared" si="1"/>
        <v>448.5</v>
      </c>
      <c r="X5" s="25">
        <f t="shared" si="2"/>
        <v>1.4999999999999999E-2</v>
      </c>
      <c r="Y5" s="15"/>
      <c r="Z5" s="26"/>
      <c r="AA5" s="27"/>
      <c r="AB5" s="26">
        <v>354</v>
      </c>
      <c r="AC5" s="26">
        <v>386</v>
      </c>
      <c r="AD5" s="26" t="s">
        <v>47</v>
      </c>
      <c r="AE5" s="15"/>
      <c r="AF5" s="28"/>
      <c r="AG5" s="28"/>
      <c r="AH5" s="32"/>
      <c r="AJ5" s="33">
        <v>113</v>
      </c>
      <c r="AK5">
        <v>257</v>
      </c>
      <c r="AL5">
        <v>285</v>
      </c>
      <c r="AM5">
        <v>22089.358</v>
      </c>
      <c r="AN5">
        <v>313.64199999999983</v>
      </c>
      <c r="AO5"/>
      <c r="AP5"/>
    </row>
    <row r="6" spans="1:42" s="32" customFormat="1" ht="29" x14ac:dyDescent="0.35">
      <c r="A6" s="34">
        <v>4</v>
      </c>
      <c r="B6" s="16">
        <v>46078</v>
      </c>
      <c r="C6" s="34" t="s">
        <v>37</v>
      </c>
      <c r="D6" s="34" t="s">
        <v>38</v>
      </c>
      <c r="E6" s="34" t="s">
        <v>39</v>
      </c>
      <c r="F6" s="17" t="s">
        <v>40</v>
      </c>
      <c r="G6" s="35" t="s">
        <v>41</v>
      </c>
      <c r="H6" s="34" t="s">
        <v>42</v>
      </c>
      <c r="I6" s="36" t="s">
        <v>43</v>
      </c>
      <c r="J6" s="36" t="s">
        <v>44</v>
      </c>
      <c r="K6" s="36" t="s">
        <v>45</v>
      </c>
      <c r="L6" s="36" t="s">
        <v>46</v>
      </c>
      <c r="M6" s="37">
        <v>35137</v>
      </c>
      <c r="N6" s="38">
        <v>34609.945</v>
      </c>
      <c r="O6" s="39">
        <v>11</v>
      </c>
      <c r="P6" s="22">
        <v>170</v>
      </c>
      <c r="Q6" s="40">
        <v>47.61</v>
      </c>
      <c r="R6" s="37">
        <v>9.5</v>
      </c>
      <c r="S6" s="37">
        <v>176</v>
      </c>
      <c r="T6" s="37">
        <v>47.26</v>
      </c>
      <c r="U6" s="41">
        <f t="shared" si="0"/>
        <v>527.05500000000029</v>
      </c>
      <c r="V6" s="42">
        <f t="shared" si="3"/>
        <v>1.4999999999999999E-2</v>
      </c>
      <c r="W6" s="41">
        <f t="shared" si="1"/>
        <v>527.05500000000029</v>
      </c>
      <c r="X6" s="42">
        <f t="shared" si="2"/>
        <v>1.5000000000000008E-2</v>
      </c>
      <c r="Y6" s="42"/>
      <c r="Z6" s="43">
        <v>76</v>
      </c>
      <c r="AA6" s="44"/>
      <c r="AB6" s="43">
        <v>416</v>
      </c>
      <c r="AC6" s="43">
        <v>442</v>
      </c>
      <c r="AD6" s="43" t="s">
        <v>56</v>
      </c>
      <c r="AE6" s="34"/>
      <c r="AF6" s="28"/>
      <c r="AG6" s="28"/>
      <c r="AJ6" s="45" t="s">
        <v>41</v>
      </c>
      <c r="AK6" s="46">
        <v>760</v>
      </c>
      <c r="AL6" s="46">
        <v>820</v>
      </c>
      <c r="AM6" s="46">
        <v>63229.120000000003</v>
      </c>
      <c r="AN6" s="46">
        <v>962.87999999999738</v>
      </c>
      <c r="AO6" s="46"/>
      <c r="AP6"/>
    </row>
    <row r="7" spans="1:42" s="32" customFormat="1" ht="29" x14ac:dyDescent="0.35">
      <c r="A7" s="34">
        <v>5</v>
      </c>
      <c r="B7" s="16">
        <v>46079</v>
      </c>
      <c r="C7" s="34" t="s">
        <v>37</v>
      </c>
      <c r="D7" s="34" t="s">
        <v>38</v>
      </c>
      <c r="E7" s="34" t="s">
        <v>48</v>
      </c>
      <c r="F7" s="17" t="s">
        <v>49</v>
      </c>
      <c r="G7" s="35" t="s">
        <v>50</v>
      </c>
      <c r="H7" s="34" t="s">
        <v>51</v>
      </c>
      <c r="I7" s="36" t="s">
        <v>43</v>
      </c>
      <c r="J7" s="36" t="s">
        <v>53</v>
      </c>
      <c r="K7" s="36" t="s">
        <v>54</v>
      </c>
      <c r="L7" s="36" t="s">
        <v>55</v>
      </c>
      <c r="M7" s="37">
        <v>21809</v>
      </c>
      <c r="N7" s="38">
        <v>21438.246999999999</v>
      </c>
      <c r="O7" s="37">
        <v>11.4</v>
      </c>
      <c r="P7" s="47">
        <v>161</v>
      </c>
      <c r="Q7" s="37">
        <v>46.38</v>
      </c>
      <c r="R7" s="37">
        <v>9.6999999999999993</v>
      </c>
      <c r="S7" s="37">
        <v>171</v>
      </c>
      <c r="T7" s="37">
        <v>46.73</v>
      </c>
      <c r="U7" s="41">
        <f t="shared" si="0"/>
        <v>370.75300000000061</v>
      </c>
      <c r="V7" s="42">
        <f t="shared" si="3"/>
        <v>1.7000000000000012E-2</v>
      </c>
      <c r="W7" s="41">
        <f t="shared" si="1"/>
        <v>370.75300000000061</v>
      </c>
      <c r="X7" s="42">
        <f t="shared" si="2"/>
        <v>1.7000000000000029E-2</v>
      </c>
      <c r="Y7" s="42"/>
      <c r="Z7" s="43">
        <v>43</v>
      </c>
      <c r="AA7" s="44"/>
      <c r="AB7" s="43">
        <v>250</v>
      </c>
      <c r="AC7" s="43">
        <v>259</v>
      </c>
      <c r="AD7" s="43" t="s">
        <v>56</v>
      </c>
      <c r="AE7" s="34"/>
      <c r="AF7" s="28"/>
      <c r="AG7" s="28"/>
      <c r="AJ7" s="45" t="s">
        <v>57</v>
      </c>
      <c r="AK7" s="46">
        <v>1007</v>
      </c>
      <c r="AL7" s="46">
        <v>1062</v>
      </c>
      <c r="AM7" s="46">
        <v>86142.591</v>
      </c>
      <c r="AN7" s="46">
        <v>1668.408999999996</v>
      </c>
      <c r="AO7" s="46"/>
      <c r="AP7"/>
    </row>
    <row r="8" spans="1:42" s="32" customFormat="1" ht="29" x14ac:dyDescent="0.35">
      <c r="A8" s="34">
        <v>6</v>
      </c>
      <c r="B8" s="16">
        <v>46080</v>
      </c>
      <c r="C8" s="34" t="s">
        <v>37</v>
      </c>
      <c r="D8" s="34" t="s">
        <v>38</v>
      </c>
      <c r="E8" s="34" t="s">
        <v>48</v>
      </c>
      <c r="F8" s="17" t="s">
        <v>49</v>
      </c>
      <c r="G8" s="35" t="s">
        <v>50</v>
      </c>
      <c r="H8" s="34" t="s">
        <v>51</v>
      </c>
      <c r="I8" s="36" t="s">
        <v>43</v>
      </c>
      <c r="J8" s="36" t="s">
        <v>53</v>
      </c>
      <c r="K8" s="36" t="s">
        <v>54</v>
      </c>
      <c r="L8" s="36" t="s">
        <v>55</v>
      </c>
      <c r="M8" s="37">
        <v>26258</v>
      </c>
      <c r="N8" s="38">
        <v>25811.614000000001</v>
      </c>
      <c r="O8" s="37">
        <v>11.4</v>
      </c>
      <c r="P8" s="47">
        <v>161</v>
      </c>
      <c r="Q8" s="37">
        <v>46.38</v>
      </c>
      <c r="R8" s="37">
        <v>9.6999999999999993</v>
      </c>
      <c r="S8" s="37">
        <v>171</v>
      </c>
      <c r="T8" s="37">
        <v>46.73</v>
      </c>
      <c r="U8" s="41">
        <f t="shared" si="0"/>
        <v>446.3859999999986</v>
      </c>
      <c r="V8" s="42">
        <f t="shared" si="3"/>
        <v>1.7000000000000012E-2</v>
      </c>
      <c r="W8" s="41">
        <f t="shared" si="1"/>
        <v>446.3859999999986</v>
      </c>
      <c r="X8" s="42">
        <f t="shared" si="2"/>
        <v>1.6999999999999946E-2</v>
      </c>
      <c r="Y8" s="42"/>
      <c r="Z8" s="43">
        <v>64</v>
      </c>
      <c r="AA8" s="44"/>
      <c r="AB8" s="43">
        <v>301</v>
      </c>
      <c r="AC8" s="43">
        <v>335</v>
      </c>
      <c r="AD8" s="43" t="s">
        <v>56</v>
      </c>
      <c r="AE8" s="34"/>
      <c r="AF8" s="28"/>
      <c r="AG8" s="28"/>
      <c r="AJ8" s="33">
        <v>266</v>
      </c>
      <c r="AK8">
        <v>198</v>
      </c>
      <c r="AL8">
        <v>208</v>
      </c>
      <c r="AM8">
        <v>17048.169000000002</v>
      </c>
      <c r="AN8">
        <v>294.83099999999831</v>
      </c>
      <c r="AO8">
        <v>0</v>
      </c>
      <c r="AP8"/>
    </row>
    <row r="9" spans="1:42" s="32" customFormat="1" ht="29" x14ac:dyDescent="0.35">
      <c r="A9" s="34">
        <v>7</v>
      </c>
      <c r="B9" s="16">
        <v>46084</v>
      </c>
      <c r="C9" s="34" t="s">
        <v>37</v>
      </c>
      <c r="D9" s="34" t="s">
        <v>38</v>
      </c>
      <c r="E9" s="34" t="s">
        <v>48</v>
      </c>
      <c r="F9" s="17" t="s">
        <v>49</v>
      </c>
      <c r="G9" s="35" t="s">
        <v>50</v>
      </c>
      <c r="H9" s="34" t="s">
        <v>51</v>
      </c>
      <c r="I9" s="36" t="s">
        <v>43</v>
      </c>
      <c r="J9" s="36" t="s">
        <v>53</v>
      </c>
      <c r="K9" s="36" t="s">
        <v>54</v>
      </c>
      <c r="L9" s="36" t="s">
        <v>55</v>
      </c>
      <c r="M9" s="37">
        <v>12213</v>
      </c>
      <c r="N9" s="38">
        <v>12005.378999999999</v>
      </c>
      <c r="O9" s="37">
        <v>11.4</v>
      </c>
      <c r="P9" s="47">
        <v>161</v>
      </c>
      <c r="Q9" s="37">
        <v>46.38</v>
      </c>
      <c r="R9" s="37">
        <v>9.6999999999999993</v>
      </c>
      <c r="S9" s="37">
        <v>171</v>
      </c>
      <c r="T9" s="37">
        <v>46.73</v>
      </c>
      <c r="U9" s="48">
        <f t="shared" si="0"/>
        <v>207.621000000001</v>
      </c>
      <c r="V9" s="42">
        <f t="shared" si="3"/>
        <v>1.7000000000000012E-2</v>
      </c>
      <c r="W9" s="41">
        <f t="shared" si="1"/>
        <v>207.621000000001</v>
      </c>
      <c r="X9" s="42">
        <f t="shared" si="2"/>
        <v>1.7000000000000081E-2</v>
      </c>
      <c r="Y9" s="42"/>
      <c r="Z9" s="43">
        <v>42</v>
      </c>
      <c r="AA9" s="44"/>
      <c r="AB9" s="43">
        <v>140</v>
      </c>
      <c r="AC9" s="43">
        <v>126</v>
      </c>
      <c r="AD9" s="43" t="s">
        <v>56</v>
      </c>
      <c r="AE9" s="34"/>
      <c r="AF9" s="28"/>
      <c r="AG9" s="28"/>
      <c r="AJ9" s="49" t="s">
        <v>56</v>
      </c>
      <c r="AK9" s="46">
        <v>16041</v>
      </c>
      <c r="AL9" s="46">
        <v>16220</v>
      </c>
      <c r="AM9" s="46">
        <v>1297147.93</v>
      </c>
      <c r="AN9" s="46">
        <v>25292.069999999992</v>
      </c>
      <c r="AO9" s="46">
        <v>11001</v>
      </c>
      <c r="AP9"/>
    </row>
    <row r="10" spans="1:42" s="32" customFormat="1" x14ac:dyDescent="0.35">
      <c r="A10" s="34">
        <v>8</v>
      </c>
      <c r="B10" s="16">
        <v>46084</v>
      </c>
      <c r="C10" s="34" t="s">
        <v>37</v>
      </c>
      <c r="D10" s="34" t="s">
        <v>58</v>
      </c>
      <c r="E10" s="34" t="s">
        <v>59</v>
      </c>
      <c r="F10" s="34" t="s">
        <v>60</v>
      </c>
      <c r="G10" s="35">
        <v>112</v>
      </c>
      <c r="H10" s="50">
        <v>1214</v>
      </c>
      <c r="I10" s="34" t="s">
        <v>61</v>
      </c>
      <c r="J10" s="36" t="s">
        <v>62</v>
      </c>
      <c r="K10" s="34" t="s">
        <v>63</v>
      </c>
      <c r="L10" s="36" t="s">
        <v>64</v>
      </c>
      <c r="M10" s="37">
        <v>12123</v>
      </c>
      <c r="N10" s="38">
        <v>11880.54</v>
      </c>
      <c r="O10" s="37">
        <v>11.7</v>
      </c>
      <c r="P10" s="37">
        <v>170</v>
      </c>
      <c r="Q10" s="37">
        <v>47.27</v>
      </c>
      <c r="R10" s="37">
        <v>9.6999999999999993</v>
      </c>
      <c r="S10" s="37">
        <v>178</v>
      </c>
      <c r="T10" s="37">
        <v>47.44</v>
      </c>
      <c r="U10" s="48">
        <f t="shared" si="0"/>
        <v>242.45999999999913</v>
      </c>
      <c r="V10" s="42">
        <f t="shared" si="3"/>
        <v>0.02</v>
      </c>
      <c r="W10" s="41">
        <f t="shared" si="1"/>
        <v>242.45999999999913</v>
      </c>
      <c r="X10" s="42">
        <f t="shared" si="2"/>
        <v>1.9999999999999928E-2</v>
      </c>
      <c r="Y10" s="42"/>
      <c r="Z10" s="43">
        <v>53</v>
      </c>
      <c r="AA10" s="44"/>
      <c r="AB10" s="43">
        <v>160</v>
      </c>
      <c r="AC10" s="43">
        <v>139</v>
      </c>
      <c r="AD10" s="43" t="s">
        <v>56</v>
      </c>
      <c r="AE10" s="34"/>
      <c r="AF10" s="28"/>
      <c r="AG10" s="28"/>
      <c r="AJ10" s="45">
        <v>112</v>
      </c>
      <c r="AK10" s="46">
        <v>564</v>
      </c>
      <c r="AL10" s="46">
        <v>536</v>
      </c>
      <c r="AM10" s="46">
        <v>41879.32</v>
      </c>
      <c r="AN10" s="46">
        <v>854.68000000000029</v>
      </c>
      <c r="AO10" s="46">
        <v>523</v>
      </c>
      <c r="AP10"/>
    </row>
    <row r="11" spans="1:42" s="32" customFormat="1" x14ac:dyDescent="0.35">
      <c r="A11" s="34">
        <v>9</v>
      </c>
      <c r="B11" s="16">
        <v>46085</v>
      </c>
      <c r="C11" s="34" t="s">
        <v>37</v>
      </c>
      <c r="D11" s="34" t="s">
        <v>58</v>
      </c>
      <c r="E11" s="34" t="s">
        <v>65</v>
      </c>
      <c r="F11" s="34" t="s">
        <v>66</v>
      </c>
      <c r="G11" s="35">
        <v>113</v>
      </c>
      <c r="H11" s="50">
        <v>1215</v>
      </c>
      <c r="I11" s="34" t="s">
        <v>67</v>
      </c>
      <c r="J11" s="36" t="s">
        <v>68</v>
      </c>
      <c r="K11" s="34" t="s">
        <v>69</v>
      </c>
      <c r="L11" s="36"/>
      <c r="M11" s="37">
        <v>22403</v>
      </c>
      <c r="N11" s="38">
        <v>22089.358</v>
      </c>
      <c r="O11" s="37">
        <v>10.5</v>
      </c>
      <c r="P11" s="37">
        <v>177</v>
      </c>
      <c r="Q11" s="37">
        <v>47.27</v>
      </c>
      <c r="R11" s="37">
        <v>9.1</v>
      </c>
      <c r="S11" s="37">
        <v>180</v>
      </c>
      <c r="T11" s="37">
        <v>47.61</v>
      </c>
      <c r="U11" s="48">
        <f t="shared" si="0"/>
        <v>313.64199999999983</v>
      </c>
      <c r="V11" s="42">
        <f t="shared" si="3"/>
        <v>1.4000000000000004E-2</v>
      </c>
      <c r="W11" s="41">
        <f t="shared" si="1"/>
        <v>313.64199999999983</v>
      </c>
      <c r="X11" s="42">
        <f t="shared" si="2"/>
        <v>1.3999999999999992E-2</v>
      </c>
      <c r="Y11" s="42"/>
      <c r="Z11" s="43"/>
      <c r="AA11" s="44"/>
      <c r="AB11" s="43">
        <v>257</v>
      </c>
      <c r="AC11" s="43">
        <v>285</v>
      </c>
      <c r="AD11" s="43" t="s">
        <v>47</v>
      </c>
      <c r="AE11" s="34"/>
      <c r="AF11" s="28"/>
      <c r="AG11" s="28"/>
      <c r="AJ11" s="45">
        <v>206</v>
      </c>
      <c r="AK11" s="46">
        <v>475</v>
      </c>
      <c r="AL11" s="46">
        <v>474</v>
      </c>
      <c r="AM11" s="46">
        <v>38538.090000000004</v>
      </c>
      <c r="AN11" s="46">
        <v>866.90999999999622</v>
      </c>
      <c r="AO11" s="46">
        <v>120</v>
      </c>
      <c r="AP11"/>
    </row>
    <row r="12" spans="1:42" s="32" customFormat="1" x14ac:dyDescent="0.35">
      <c r="A12" s="51">
        <v>10</v>
      </c>
      <c r="B12" s="52">
        <v>46086</v>
      </c>
      <c r="C12" s="51" t="s">
        <v>37</v>
      </c>
      <c r="D12" s="51" t="s">
        <v>38</v>
      </c>
      <c r="E12" s="51" t="s">
        <v>70</v>
      </c>
      <c r="F12" s="51" t="s">
        <v>71</v>
      </c>
      <c r="G12" s="53">
        <v>58</v>
      </c>
      <c r="H12" s="54">
        <v>760</v>
      </c>
      <c r="I12" s="51" t="s">
        <v>72</v>
      </c>
      <c r="J12" s="55" t="s">
        <v>73</v>
      </c>
      <c r="K12" s="51" t="s">
        <v>74</v>
      </c>
      <c r="L12" s="55" t="s">
        <v>75</v>
      </c>
      <c r="M12" s="56">
        <v>33430</v>
      </c>
      <c r="N12" s="57">
        <v>33062.269999999997</v>
      </c>
      <c r="O12" s="56">
        <v>10.3</v>
      </c>
      <c r="P12" s="56">
        <v>183</v>
      </c>
      <c r="Q12" s="56">
        <v>48.15</v>
      </c>
      <c r="R12" s="56">
        <v>9.1999999999999993</v>
      </c>
      <c r="S12" s="56">
        <v>185</v>
      </c>
      <c r="T12" s="56">
        <v>48.32</v>
      </c>
      <c r="U12" s="58">
        <f t="shared" si="0"/>
        <v>367.7300000000032</v>
      </c>
      <c r="V12" s="59">
        <f t="shared" si="3"/>
        <v>1.1000000000000015E-2</v>
      </c>
      <c r="W12" s="60">
        <f t="shared" si="1"/>
        <v>367.7300000000032</v>
      </c>
      <c r="X12" s="59">
        <f t="shared" si="2"/>
        <v>1.1000000000000097E-2</v>
      </c>
      <c r="Y12" s="59"/>
      <c r="Z12" s="61"/>
      <c r="AA12" s="62"/>
      <c r="AB12" s="61">
        <v>384</v>
      </c>
      <c r="AC12" s="61">
        <v>127</v>
      </c>
      <c r="AD12" s="61" t="s">
        <v>47</v>
      </c>
      <c r="AE12" s="51" t="s">
        <v>76</v>
      </c>
      <c r="AF12" s="63"/>
      <c r="AG12" s="63"/>
      <c r="AJ12" s="45">
        <v>207</v>
      </c>
      <c r="AK12" s="46">
        <v>512</v>
      </c>
      <c r="AL12" s="46">
        <v>523</v>
      </c>
      <c r="AM12" s="46">
        <v>42481.08</v>
      </c>
      <c r="AN12" s="46">
        <v>646.91999999999825</v>
      </c>
      <c r="AO12" s="46">
        <v>163</v>
      </c>
      <c r="AP12"/>
    </row>
    <row r="13" spans="1:42" s="32" customFormat="1" x14ac:dyDescent="0.35">
      <c r="A13" s="34">
        <v>11</v>
      </c>
      <c r="B13" s="16">
        <v>46087</v>
      </c>
      <c r="C13" s="34" t="s">
        <v>37</v>
      </c>
      <c r="D13" s="34" t="s">
        <v>38</v>
      </c>
      <c r="E13" s="34" t="s">
        <v>70</v>
      </c>
      <c r="F13" s="34" t="s">
        <v>71</v>
      </c>
      <c r="G13" s="35">
        <v>58</v>
      </c>
      <c r="H13" s="50">
        <v>760</v>
      </c>
      <c r="I13" s="34" t="s">
        <v>72</v>
      </c>
      <c r="J13" s="36" t="s">
        <v>73</v>
      </c>
      <c r="K13" s="34" t="s">
        <v>74</v>
      </c>
      <c r="L13" s="36" t="s">
        <v>75</v>
      </c>
      <c r="M13" s="37">
        <v>22374</v>
      </c>
      <c r="N13" s="38">
        <v>22127.885999999999</v>
      </c>
      <c r="O13" s="37">
        <v>10.3</v>
      </c>
      <c r="P13" s="37">
        <v>183</v>
      </c>
      <c r="Q13" s="37">
        <v>48.15</v>
      </c>
      <c r="R13" s="37">
        <v>9.1999999999999993</v>
      </c>
      <c r="S13" s="37">
        <v>185</v>
      </c>
      <c r="T13" s="37">
        <v>48.32</v>
      </c>
      <c r="U13" s="48">
        <f t="shared" si="0"/>
        <v>246.1140000000014</v>
      </c>
      <c r="V13" s="42">
        <f t="shared" si="3"/>
        <v>1.1000000000000015E-2</v>
      </c>
      <c r="W13" s="41">
        <f t="shared" si="1"/>
        <v>246.1140000000014</v>
      </c>
      <c r="X13" s="42">
        <f t="shared" si="2"/>
        <v>1.1000000000000062E-2</v>
      </c>
      <c r="Y13" s="42"/>
      <c r="Z13" s="43"/>
      <c r="AA13" s="44"/>
      <c r="AB13" s="43">
        <v>257</v>
      </c>
      <c r="AC13" s="43">
        <v>295</v>
      </c>
      <c r="AD13" s="43" t="s">
        <v>77</v>
      </c>
      <c r="AE13" s="34"/>
      <c r="AF13" s="28"/>
      <c r="AG13" s="28"/>
      <c r="AJ13" s="45" t="s">
        <v>41</v>
      </c>
      <c r="AK13" s="46">
        <v>416</v>
      </c>
      <c r="AL13" s="46">
        <v>442</v>
      </c>
      <c r="AM13" s="46">
        <v>34609.945</v>
      </c>
      <c r="AN13" s="46">
        <v>527.05500000000029</v>
      </c>
      <c r="AO13" s="46">
        <v>76</v>
      </c>
      <c r="AP13"/>
    </row>
    <row r="14" spans="1:42" s="32" customFormat="1" x14ac:dyDescent="0.35">
      <c r="A14" s="34">
        <v>12</v>
      </c>
      <c r="B14" s="16">
        <v>46090</v>
      </c>
      <c r="C14" s="34" t="s">
        <v>37</v>
      </c>
      <c r="D14" s="34" t="s">
        <v>58</v>
      </c>
      <c r="E14" s="34" t="s">
        <v>59</v>
      </c>
      <c r="F14" s="34" t="s">
        <v>60</v>
      </c>
      <c r="G14" s="35">
        <v>112</v>
      </c>
      <c r="H14" s="50">
        <v>1214</v>
      </c>
      <c r="I14" s="34" t="s">
        <v>61</v>
      </c>
      <c r="J14" s="36" t="s">
        <v>62</v>
      </c>
      <c r="K14" s="34" t="s">
        <v>63</v>
      </c>
      <c r="L14" s="36" t="s">
        <v>64</v>
      </c>
      <c r="M14" s="37">
        <v>10077</v>
      </c>
      <c r="N14" s="38">
        <v>9875.4599999999991</v>
      </c>
      <c r="O14" s="37">
        <v>11.7</v>
      </c>
      <c r="P14" s="37">
        <v>170</v>
      </c>
      <c r="Q14" s="37">
        <v>47.27</v>
      </c>
      <c r="R14" s="37">
        <v>9.6999999999999993</v>
      </c>
      <c r="S14" s="37">
        <v>178</v>
      </c>
      <c r="T14" s="37">
        <v>47.44</v>
      </c>
      <c r="U14" s="48">
        <f t="shared" si="0"/>
        <v>201.54000000000087</v>
      </c>
      <c r="V14" s="42">
        <f t="shared" si="3"/>
        <v>0.02</v>
      </c>
      <c r="W14" s="41">
        <f t="shared" si="1"/>
        <v>201.54000000000087</v>
      </c>
      <c r="X14" s="42">
        <f t="shared" si="2"/>
        <v>2.0000000000000087E-2</v>
      </c>
      <c r="Y14" s="42"/>
      <c r="Z14" s="43">
        <v>263</v>
      </c>
      <c r="AA14" s="44"/>
      <c r="AB14" s="43">
        <v>133</v>
      </c>
      <c r="AC14" s="43">
        <v>135</v>
      </c>
      <c r="AD14" s="43" t="s">
        <v>56</v>
      </c>
      <c r="AE14" s="34"/>
      <c r="AF14" s="28"/>
      <c r="AG14" s="28"/>
      <c r="AJ14" s="45" t="s">
        <v>50</v>
      </c>
      <c r="AK14" s="46">
        <v>981</v>
      </c>
      <c r="AL14" s="46">
        <v>1040</v>
      </c>
      <c r="AM14" s="46">
        <v>84123.173999999999</v>
      </c>
      <c r="AN14" s="46">
        <v>1454.8259999999991</v>
      </c>
      <c r="AO14" s="46">
        <v>365</v>
      </c>
      <c r="AP14"/>
    </row>
    <row r="15" spans="1:42" s="32" customFormat="1" x14ac:dyDescent="0.35">
      <c r="A15" s="34">
        <v>13</v>
      </c>
      <c r="B15" s="16">
        <v>46090</v>
      </c>
      <c r="C15" s="34" t="s">
        <v>37</v>
      </c>
      <c r="D15" s="34" t="s">
        <v>38</v>
      </c>
      <c r="E15" s="34" t="s">
        <v>70</v>
      </c>
      <c r="F15" s="34" t="s">
        <v>71</v>
      </c>
      <c r="G15" s="35">
        <v>58</v>
      </c>
      <c r="H15" s="50">
        <v>760</v>
      </c>
      <c r="I15" s="34" t="s">
        <v>72</v>
      </c>
      <c r="J15" s="36" t="s">
        <v>73</v>
      </c>
      <c r="K15" s="34" t="s">
        <v>74</v>
      </c>
      <c r="L15" s="36" t="s">
        <v>75</v>
      </c>
      <c r="M15" s="37">
        <v>8270</v>
      </c>
      <c r="N15" s="38">
        <v>8179.03</v>
      </c>
      <c r="O15" s="37">
        <v>10.3</v>
      </c>
      <c r="P15" s="37">
        <v>183</v>
      </c>
      <c r="Q15" s="37">
        <v>48.15</v>
      </c>
      <c r="R15" s="37">
        <v>9.1999999999999993</v>
      </c>
      <c r="S15" s="37">
        <v>185</v>
      </c>
      <c r="T15" s="37">
        <v>48.32</v>
      </c>
      <c r="U15" s="48">
        <f t="shared" si="0"/>
        <v>90.970000000000255</v>
      </c>
      <c r="V15" s="42">
        <f t="shared" si="3"/>
        <v>1.1000000000000015E-2</v>
      </c>
      <c r="W15" s="41">
        <f t="shared" si="1"/>
        <v>90.970000000000255</v>
      </c>
      <c r="X15" s="42">
        <f t="shared" si="2"/>
        <v>1.1000000000000031E-2</v>
      </c>
      <c r="Y15" s="42"/>
      <c r="Z15" s="43"/>
      <c r="AA15" s="44"/>
      <c r="AB15" s="43">
        <v>95</v>
      </c>
      <c r="AC15" s="43">
        <v>127</v>
      </c>
      <c r="AD15" s="43" t="s">
        <v>47</v>
      </c>
      <c r="AE15" s="34"/>
      <c r="AF15" s="28"/>
      <c r="AG15" s="28"/>
      <c r="AJ15" s="45">
        <v>262</v>
      </c>
      <c r="AK15" s="46">
        <v>319</v>
      </c>
      <c r="AL15" s="46">
        <v>312</v>
      </c>
      <c r="AM15" s="46">
        <v>30989.885999999999</v>
      </c>
      <c r="AN15" s="46">
        <v>697.1140000000014</v>
      </c>
      <c r="AO15" s="46">
        <v>275</v>
      </c>
      <c r="AP15"/>
    </row>
    <row r="16" spans="1:42" s="32" customFormat="1" x14ac:dyDescent="0.35">
      <c r="A16" s="34">
        <v>14</v>
      </c>
      <c r="B16" s="16">
        <v>46091</v>
      </c>
      <c r="C16" s="34" t="s">
        <v>37</v>
      </c>
      <c r="D16" s="34" t="s">
        <v>58</v>
      </c>
      <c r="E16" s="34" t="s">
        <v>59</v>
      </c>
      <c r="F16" s="34" t="s">
        <v>60</v>
      </c>
      <c r="G16" s="35">
        <v>112</v>
      </c>
      <c r="H16" s="50">
        <v>1214</v>
      </c>
      <c r="I16" s="34" t="s">
        <v>61</v>
      </c>
      <c r="J16" s="36" t="s">
        <v>62</v>
      </c>
      <c r="K16" s="34" t="s">
        <v>63</v>
      </c>
      <c r="L16" s="36" t="s">
        <v>64</v>
      </c>
      <c r="M16" s="37">
        <v>20534</v>
      </c>
      <c r="N16" s="38">
        <v>20123.32</v>
      </c>
      <c r="O16" s="37">
        <v>11.7</v>
      </c>
      <c r="P16" s="37">
        <v>170</v>
      </c>
      <c r="Q16" s="37">
        <v>47.27</v>
      </c>
      <c r="R16" s="37">
        <v>9.6999999999999993</v>
      </c>
      <c r="S16" s="37">
        <v>178</v>
      </c>
      <c r="T16" s="37">
        <v>47.44</v>
      </c>
      <c r="U16" s="48">
        <f t="shared" si="0"/>
        <v>410.68000000000029</v>
      </c>
      <c r="V16" s="42">
        <f t="shared" si="3"/>
        <v>0.02</v>
      </c>
      <c r="W16" s="41">
        <f t="shared" si="1"/>
        <v>410.68000000000029</v>
      </c>
      <c r="X16" s="42">
        <f t="shared" si="2"/>
        <v>2.0000000000000014E-2</v>
      </c>
      <c r="Y16" s="42"/>
      <c r="Z16" s="43">
        <v>207</v>
      </c>
      <c r="AA16" s="44"/>
      <c r="AB16" s="43">
        <v>271</v>
      </c>
      <c r="AC16" s="43">
        <v>262</v>
      </c>
      <c r="AD16" s="43" t="s">
        <v>56</v>
      </c>
      <c r="AE16" s="34"/>
      <c r="AF16" s="28"/>
      <c r="AG16" s="28"/>
      <c r="AJ16" s="45">
        <v>246253</v>
      </c>
      <c r="AK16" s="46">
        <v>1234</v>
      </c>
      <c r="AL16" s="46">
        <v>1243</v>
      </c>
      <c r="AM16" s="46">
        <v>99579.097999999998</v>
      </c>
      <c r="AN16" s="46">
        <v>1413.9019999999982</v>
      </c>
      <c r="AO16" s="46">
        <v>866</v>
      </c>
      <c r="AP16"/>
    </row>
    <row r="17" spans="1:42" s="32" customFormat="1" x14ac:dyDescent="0.35">
      <c r="A17" s="34">
        <v>15</v>
      </c>
      <c r="B17" s="16">
        <v>46097</v>
      </c>
      <c r="C17" s="34" t="s">
        <v>37</v>
      </c>
      <c r="D17" s="34" t="s">
        <v>58</v>
      </c>
      <c r="E17" s="34" t="s">
        <v>78</v>
      </c>
      <c r="F17" s="34" t="s">
        <v>79</v>
      </c>
      <c r="G17" s="35">
        <v>206</v>
      </c>
      <c r="H17" s="50">
        <v>108</v>
      </c>
      <c r="I17" s="34" t="s">
        <v>80</v>
      </c>
      <c r="J17" s="36" t="s">
        <v>81</v>
      </c>
      <c r="K17" s="34" t="s">
        <v>82</v>
      </c>
      <c r="L17" s="36" t="s">
        <v>83</v>
      </c>
      <c r="M17" s="37">
        <v>39405</v>
      </c>
      <c r="N17" s="38">
        <v>38538.090000000004</v>
      </c>
      <c r="O17" s="37">
        <v>12.2</v>
      </c>
      <c r="P17" s="37">
        <v>189</v>
      </c>
      <c r="Q17" s="37">
        <v>45.15</v>
      </c>
      <c r="R17" s="64">
        <v>10</v>
      </c>
      <c r="S17" s="37">
        <v>185</v>
      </c>
      <c r="T17" s="37">
        <v>45.32</v>
      </c>
      <c r="U17" s="48">
        <f t="shared" si="0"/>
        <v>866.90999999999622</v>
      </c>
      <c r="V17" s="42">
        <f t="shared" si="3"/>
        <v>2.1999999999999992E-2</v>
      </c>
      <c r="W17" s="41">
        <f t="shared" si="1"/>
        <v>866.90999999999622</v>
      </c>
      <c r="X17" s="42">
        <f t="shared" si="2"/>
        <v>2.1999999999999905E-2</v>
      </c>
      <c r="Y17" s="42"/>
      <c r="Z17" s="43">
        <v>120</v>
      </c>
      <c r="AA17" s="44"/>
      <c r="AB17" s="43">
        <v>475</v>
      </c>
      <c r="AC17" s="43">
        <v>474</v>
      </c>
      <c r="AD17" s="43" t="s">
        <v>56</v>
      </c>
      <c r="AE17" s="34"/>
      <c r="AF17" s="28"/>
      <c r="AG17" s="28"/>
      <c r="AJ17" s="33">
        <v>315</v>
      </c>
      <c r="AK17">
        <v>232</v>
      </c>
      <c r="AL17">
        <v>228</v>
      </c>
      <c r="AM17">
        <v>18980.772000000001</v>
      </c>
      <c r="AN17">
        <v>607.22799999999916</v>
      </c>
      <c r="AO17">
        <v>543</v>
      </c>
      <c r="AP17"/>
    </row>
    <row r="18" spans="1:42" s="32" customFormat="1" x14ac:dyDescent="0.35">
      <c r="A18" s="34">
        <v>16</v>
      </c>
      <c r="B18" s="16">
        <v>46098</v>
      </c>
      <c r="C18" s="34" t="s">
        <v>37</v>
      </c>
      <c r="D18" s="34" t="s">
        <v>58</v>
      </c>
      <c r="E18" s="34" t="s">
        <v>65</v>
      </c>
      <c r="F18" s="34" t="s">
        <v>66</v>
      </c>
      <c r="G18" s="37">
        <v>207</v>
      </c>
      <c r="H18" s="50">
        <v>109</v>
      </c>
      <c r="I18" s="34" t="s">
        <v>84</v>
      </c>
      <c r="J18" s="34" t="s">
        <v>85</v>
      </c>
      <c r="K18" s="34" t="s">
        <v>86</v>
      </c>
      <c r="L18" s="36" t="s">
        <v>87</v>
      </c>
      <c r="M18" s="37">
        <v>43128</v>
      </c>
      <c r="N18" s="38">
        <v>42481.08</v>
      </c>
      <c r="O18" s="37">
        <v>11</v>
      </c>
      <c r="P18" s="37">
        <v>164</v>
      </c>
      <c r="Q18" s="37">
        <v>46.03</v>
      </c>
      <c r="R18" s="37">
        <v>9.5</v>
      </c>
      <c r="S18" s="37">
        <v>171</v>
      </c>
      <c r="T18" s="37">
        <v>46.56</v>
      </c>
      <c r="U18" s="48">
        <f t="shared" si="0"/>
        <v>646.91999999999825</v>
      </c>
      <c r="V18" s="42">
        <f t="shared" si="3"/>
        <v>1.4999999999999999E-2</v>
      </c>
      <c r="W18" s="41">
        <f t="shared" si="1"/>
        <v>646.91999999999825</v>
      </c>
      <c r="X18" s="42">
        <f t="shared" si="2"/>
        <v>1.499999999999996E-2</v>
      </c>
      <c r="Y18" s="42"/>
      <c r="Z18" s="43">
        <v>163</v>
      </c>
      <c r="AA18" s="44"/>
      <c r="AB18" s="43">
        <v>512</v>
      </c>
      <c r="AC18" s="43">
        <v>523</v>
      </c>
      <c r="AD18" s="43" t="s">
        <v>56</v>
      </c>
      <c r="AE18" s="34"/>
      <c r="AF18" s="28">
        <v>4037</v>
      </c>
      <c r="AG18" s="28">
        <v>3954</v>
      </c>
      <c r="AH18" s="65">
        <f>SUM(AF18-AG18)/AF18*100</f>
        <v>2.0559821649739907</v>
      </c>
      <c r="AJ18" s="33">
        <v>415</v>
      </c>
      <c r="AK18">
        <v>432</v>
      </c>
      <c r="AL18">
        <v>439</v>
      </c>
      <c r="AM18">
        <v>31914.828000000001</v>
      </c>
      <c r="AN18">
        <v>953.17199999999866</v>
      </c>
      <c r="AO18">
        <v>87</v>
      </c>
      <c r="AP18"/>
    </row>
    <row r="19" spans="1:42" s="32" customFormat="1" ht="29" x14ac:dyDescent="0.35">
      <c r="A19" s="34">
        <v>17</v>
      </c>
      <c r="B19" s="16">
        <v>46108</v>
      </c>
      <c r="C19" s="34" t="s">
        <v>37</v>
      </c>
      <c r="D19" s="34" t="s">
        <v>38</v>
      </c>
      <c r="E19" s="34" t="s">
        <v>88</v>
      </c>
      <c r="F19" s="34" t="s">
        <v>89</v>
      </c>
      <c r="G19" s="34" t="s">
        <v>57</v>
      </c>
      <c r="H19" s="34" t="s">
        <v>90</v>
      </c>
      <c r="I19" s="34" t="s">
        <v>91</v>
      </c>
      <c r="J19" s="36" t="s">
        <v>92</v>
      </c>
      <c r="K19" s="36" t="s">
        <v>93</v>
      </c>
      <c r="L19" s="36" t="s">
        <v>94</v>
      </c>
      <c r="M19" s="37">
        <v>32788</v>
      </c>
      <c r="N19" s="38">
        <v>32165.028000000002</v>
      </c>
      <c r="O19" s="37">
        <v>11.2</v>
      </c>
      <c r="P19" s="37">
        <v>165</v>
      </c>
      <c r="Q19" s="37">
        <v>48.18</v>
      </c>
      <c r="R19" s="37">
        <v>9.3000000000000007</v>
      </c>
      <c r="S19" s="37">
        <v>177</v>
      </c>
      <c r="T19" s="37">
        <v>47.97</v>
      </c>
      <c r="U19" s="48">
        <f t="shared" si="0"/>
        <v>622.97199999999793</v>
      </c>
      <c r="V19" s="42">
        <f t="shared" si="3"/>
        <v>1.8999999999999986E-2</v>
      </c>
      <c r="W19" s="41">
        <f t="shared" si="1"/>
        <v>622.97199999999793</v>
      </c>
      <c r="X19" s="42">
        <f t="shared" si="2"/>
        <v>1.8999999999999937E-2</v>
      </c>
      <c r="Y19" s="42"/>
      <c r="Z19" s="34"/>
      <c r="AA19" s="44"/>
      <c r="AB19" s="34">
        <v>376</v>
      </c>
      <c r="AC19" s="34">
        <v>381</v>
      </c>
      <c r="AD19" s="34" t="s">
        <v>47</v>
      </c>
      <c r="AE19" s="34"/>
      <c r="AF19" s="34"/>
      <c r="AG19" s="34"/>
      <c r="AH19" s="66"/>
      <c r="AJ19" s="33">
        <v>429</v>
      </c>
      <c r="AK19">
        <v>250</v>
      </c>
      <c r="AL19">
        <v>276</v>
      </c>
      <c r="AM19">
        <v>22063.027999999998</v>
      </c>
      <c r="AN19">
        <v>267.97200000000157</v>
      </c>
      <c r="AO19">
        <v>127</v>
      </c>
      <c r="AP19"/>
    </row>
    <row r="20" spans="1:42" s="32" customFormat="1" ht="29" x14ac:dyDescent="0.35">
      <c r="A20" s="34">
        <v>18</v>
      </c>
      <c r="B20" s="16">
        <v>46111</v>
      </c>
      <c r="C20" s="34" t="s">
        <v>37</v>
      </c>
      <c r="D20" s="34" t="s">
        <v>38</v>
      </c>
      <c r="E20" s="34" t="s">
        <v>88</v>
      </c>
      <c r="F20" s="34" t="s">
        <v>89</v>
      </c>
      <c r="G20" s="34" t="s">
        <v>57</v>
      </c>
      <c r="H20" s="34" t="s">
        <v>90</v>
      </c>
      <c r="I20" s="34" t="s">
        <v>91</v>
      </c>
      <c r="J20" s="36" t="s">
        <v>92</v>
      </c>
      <c r="K20" s="36" t="s">
        <v>93</v>
      </c>
      <c r="L20" s="36" t="s">
        <v>94</v>
      </c>
      <c r="M20" s="37">
        <v>21887</v>
      </c>
      <c r="N20" s="38">
        <v>21471.147000000001</v>
      </c>
      <c r="O20" s="37">
        <v>11.2</v>
      </c>
      <c r="P20" s="37">
        <v>165</v>
      </c>
      <c r="Q20" s="37">
        <v>48.18</v>
      </c>
      <c r="R20" s="37">
        <v>9.3000000000000007</v>
      </c>
      <c r="S20" s="37">
        <v>177</v>
      </c>
      <c r="T20" s="37">
        <v>47.97</v>
      </c>
      <c r="U20" s="48">
        <f t="shared" si="0"/>
        <v>415.85299999999916</v>
      </c>
      <c r="V20" s="42">
        <f t="shared" si="3"/>
        <v>1.8999999999999986E-2</v>
      </c>
      <c r="W20" s="41">
        <f t="shared" si="1"/>
        <v>415.85299999999916</v>
      </c>
      <c r="X20" s="42">
        <f t="shared" si="2"/>
        <v>1.8999999999999961E-2</v>
      </c>
      <c r="Y20" s="42"/>
      <c r="Z20" s="34"/>
      <c r="AA20" s="44"/>
      <c r="AB20" s="34">
        <v>251</v>
      </c>
      <c r="AC20" s="34">
        <v>268</v>
      </c>
      <c r="AD20" s="34" t="s">
        <v>47</v>
      </c>
      <c r="AE20" s="34"/>
      <c r="AF20" s="28">
        <v>4340</v>
      </c>
      <c r="AG20" s="28">
        <v>4214</v>
      </c>
      <c r="AH20" s="65">
        <f>SUM(AF20-AG20)/AF20*100</f>
        <v>2.903225806451613</v>
      </c>
      <c r="AJ20" s="33">
        <v>407</v>
      </c>
      <c r="AK20">
        <v>210</v>
      </c>
      <c r="AL20">
        <v>221</v>
      </c>
      <c r="AM20">
        <v>16130.712</v>
      </c>
      <c r="AN20">
        <v>262.28800000000047</v>
      </c>
      <c r="AO20">
        <v>115</v>
      </c>
      <c r="AP20"/>
    </row>
    <row r="21" spans="1:42" s="32" customFormat="1" ht="29" x14ac:dyDescent="0.35">
      <c r="A21" s="34">
        <v>19</v>
      </c>
      <c r="B21" s="16">
        <v>46112</v>
      </c>
      <c r="C21" s="34" t="s">
        <v>37</v>
      </c>
      <c r="D21" s="34" t="s">
        <v>38</v>
      </c>
      <c r="E21" s="34" t="s">
        <v>88</v>
      </c>
      <c r="F21" s="34" t="s">
        <v>89</v>
      </c>
      <c r="G21" s="34" t="s">
        <v>57</v>
      </c>
      <c r="H21" s="34" t="s">
        <v>90</v>
      </c>
      <c r="I21" s="34" t="s">
        <v>91</v>
      </c>
      <c r="J21" s="36" t="s">
        <v>92</v>
      </c>
      <c r="K21" s="36" t="s">
        <v>93</v>
      </c>
      <c r="L21" s="36" t="s">
        <v>94</v>
      </c>
      <c r="M21" s="37">
        <v>33136</v>
      </c>
      <c r="N21" s="38">
        <v>32506.416000000001</v>
      </c>
      <c r="O21" s="37">
        <v>11.2</v>
      </c>
      <c r="P21" s="37">
        <v>165</v>
      </c>
      <c r="Q21" s="37">
        <v>48.18</v>
      </c>
      <c r="R21" s="37">
        <v>9.3000000000000007</v>
      </c>
      <c r="S21" s="37">
        <v>177</v>
      </c>
      <c r="T21" s="37">
        <v>47.97</v>
      </c>
      <c r="U21" s="48">
        <f t="shared" si="0"/>
        <v>629.58399999999892</v>
      </c>
      <c r="V21" s="42">
        <f t="shared" si="3"/>
        <v>1.8999999999999986E-2</v>
      </c>
      <c r="W21" s="41">
        <f t="shared" si="1"/>
        <v>629.58399999999892</v>
      </c>
      <c r="X21" s="42">
        <f t="shared" si="2"/>
        <v>1.8999999999999968E-2</v>
      </c>
      <c r="Y21" s="42"/>
      <c r="Z21" s="34"/>
      <c r="AA21" s="44"/>
      <c r="AB21" s="34">
        <v>380</v>
      </c>
      <c r="AC21" s="34">
        <v>413</v>
      </c>
      <c r="AD21" s="34" t="s">
        <v>47</v>
      </c>
      <c r="AE21" s="34"/>
      <c r="AF21" s="28">
        <v>4290</v>
      </c>
      <c r="AG21" s="28">
        <v>4188</v>
      </c>
      <c r="AH21" s="66"/>
      <c r="AJ21" s="33" t="s">
        <v>95</v>
      </c>
      <c r="AK21">
        <v>322</v>
      </c>
      <c r="AL21">
        <v>319</v>
      </c>
      <c r="AM21">
        <v>25294.013999999999</v>
      </c>
      <c r="AN21">
        <v>568.98600000000079</v>
      </c>
      <c r="AO21">
        <v>122</v>
      </c>
      <c r="AP21"/>
    </row>
    <row r="22" spans="1:42" s="32" customFormat="1" x14ac:dyDescent="0.35">
      <c r="A22" s="34">
        <v>20</v>
      </c>
      <c r="B22" s="16">
        <v>46114</v>
      </c>
      <c r="C22" s="34" t="s">
        <v>37</v>
      </c>
      <c r="D22" s="34" t="s">
        <v>58</v>
      </c>
      <c r="E22" s="34" t="s">
        <v>96</v>
      </c>
      <c r="F22" s="34" t="s">
        <v>97</v>
      </c>
      <c r="G22" s="34">
        <v>262</v>
      </c>
      <c r="H22" s="34">
        <v>1164</v>
      </c>
      <c r="I22" s="34" t="s">
        <v>98</v>
      </c>
      <c r="J22" s="34" t="s">
        <v>62</v>
      </c>
      <c r="K22" s="34" t="s">
        <v>63</v>
      </c>
      <c r="L22" s="34" t="s">
        <v>64</v>
      </c>
      <c r="M22" s="37">
        <v>31687</v>
      </c>
      <c r="N22" s="38">
        <v>30989.885999999999</v>
      </c>
      <c r="O22" s="37">
        <v>11.6</v>
      </c>
      <c r="P22" s="37">
        <v>168</v>
      </c>
      <c r="Q22" s="37">
        <v>44.97</v>
      </c>
      <c r="R22" s="37">
        <v>9.4</v>
      </c>
      <c r="S22" s="37">
        <v>174</v>
      </c>
      <c r="T22" s="37">
        <v>45.15</v>
      </c>
      <c r="U22" s="41">
        <f t="shared" si="0"/>
        <v>697.1140000000014</v>
      </c>
      <c r="V22" s="42">
        <f t="shared" si="3"/>
        <v>2.1999999999999992E-2</v>
      </c>
      <c r="W22" s="41">
        <f t="shared" si="1"/>
        <v>697.1140000000014</v>
      </c>
      <c r="X22" s="42">
        <f t="shared" si="2"/>
        <v>2.2000000000000044E-2</v>
      </c>
      <c r="Y22" s="42"/>
      <c r="Z22" s="34">
        <v>275</v>
      </c>
      <c r="AA22" s="44"/>
      <c r="AB22" s="34">
        <v>319</v>
      </c>
      <c r="AC22" s="34">
        <v>312</v>
      </c>
      <c r="AD22" s="43" t="s">
        <v>56</v>
      </c>
      <c r="AE22" s="34"/>
      <c r="AF22" s="28">
        <v>4217</v>
      </c>
      <c r="AG22" s="28">
        <v>4111</v>
      </c>
      <c r="AH22" s="65">
        <f t="shared" ref="AH22:AH31" si="4">SUM(AF22-AG22)/AF22*100</f>
        <v>2.5136352857481623</v>
      </c>
      <c r="AJ22" s="33">
        <v>453</v>
      </c>
      <c r="AK22">
        <v>435</v>
      </c>
      <c r="AL22">
        <v>456</v>
      </c>
      <c r="AM22">
        <v>35085.142</v>
      </c>
      <c r="AN22">
        <v>864.85799999999927</v>
      </c>
      <c r="AO22">
        <v>253</v>
      </c>
      <c r="AP22"/>
    </row>
    <row r="23" spans="1:42" s="32" customFormat="1" ht="29" x14ac:dyDescent="0.35">
      <c r="A23" s="34">
        <v>21</v>
      </c>
      <c r="B23" s="16">
        <v>46116</v>
      </c>
      <c r="C23" s="34" t="s">
        <v>37</v>
      </c>
      <c r="D23" s="34" t="s">
        <v>58</v>
      </c>
      <c r="E23" s="34" t="s">
        <v>99</v>
      </c>
      <c r="F23" s="34" t="s">
        <v>100</v>
      </c>
      <c r="G23" s="67">
        <v>246253</v>
      </c>
      <c r="H23" s="67">
        <v>1481155</v>
      </c>
      <c r="I23" s="34" t="s">
        <v>101</v>
      </c>
      <c r="J23" s="36" t="s">
        <v>102</v>
      </c>
      <c r="K23" s="36" t="s">
        <v>103</v>
      </c>
      <c r="L23" s="36" t="s">
        <v>104</v>
      </c>
      <c r="M23" s="37">
        <v>34619</v>
      </c>
      <c r="N23" s="38">
        <v>34134.334000000003</v>
      </c>
      <c r="O23" s="37">
        <v>11</v>
      </c>
      <c r="P23" s="37">
        <v>168</v>
      </c>
      <c r="Q23" s="37">
        <v>44.09</v>
      </c>
      <c r="R23" s="37">
        <v>9.6</v>
      </c>
      <c r="S23" s="37">
        <v>174</v>
      </c>
      <c r="T23" s="37">
        <v>44.35</v>
      </c>
      <c r="U23" s="41">
        <f t="shared" si="0"/>
        <v>484.66599999999744</v>
      </c>
      <c r="V23" s="42">
        <f t="shared" si="3"/>
        <v>1.4000000000000004E-2</v>
      </c>
      <c r="W23" s="41">
        <f t="shared" si="1"/>
        <v>484.66599999999744</v>
      </c>
      <c r="X23" s="42">
        <f t="shared" si="2"/>
        <v>1.3999999999999926E-2</v>
      </c>
      <c r="Y23" s="42"/>
      <c r="Z23" s="34">
        <v>291</v>
      </c>
      <c r="AA23" s="44"/>
      <c r="AB23" s="34">
        <v>423</v>
      </c>
      <c r="AC23" s="34">
        <v>433</v>
      </c>
      <c r="AD23" s="43" t="s">
        <v>56</v>
      </c>
      <c r="AE23" s="34"/>
      <c r="AF23" s="28">
        <v>4262</v>
      </c>
      <c r="AG23" s="28">
        <v>4146</v>
      </c>
      <c r="AH23" s="65">
        <f t="shared" si="4"/>
        <v>2.721726888784608</v>
      </c>
      <c r="AJ23" s="33">
        <v>385387</v>
      </c>
      <c r="AK23">
        <v>586</v>
      </c>
      <c r="AL23">
        <v>594</v>
      </c>
      <c r="AM23">
        <v>46264.284</v>
      </c>
      <c r="AN23">
        <v>1332.7160000000003</v>
      </c>
      <c r="AO23">
        <v>185</v>
      </c>
      <c r="AP23"/>
    </row>
    <row r="24" spans="1:42" ht="29" x14ac:dyDescent="0.35">
      <c r="A24" s="15">
        <v>22</v>
      </c>
      <c r="B24" s="16">
        <v>46119</v>
      </c>
      <c r="C24" s="15" t="s">
        <v>37</v>
      </c>
      <c r="D24" s="15" t="s">
        <v>58</v>
      </c>
      <c r="E24" s="15" t="s">
        <v>99</v>
      </c>
      <c r="F24" s="15" t="s">
        <v>100</v>
      </c>
      <c r="G24" s="68">
        <v>246253</v>
      </c>
      <c r="H24" s="68">
        <v>1481155</v>
      </c>
      <c r="I24" s="15" t="s">
        <v>101</v>
      </c>
      <c r="J24" s="17" t="s">
        <v>102</v>
      </c>
      <c r="K24" s="17" t="s">
        <v>103</v>
      </c>
      <c r="L24" s="17" t="s">
        <v>105</v>
      </c>
      <c r="M24" s="19">
        <v>23407</v>
      </c>
      <c r="N24" s="38">
        <v>23079.302</v>
      </c>
      <c r="O24" s="37">
        <v>11</v>
      </c>
      <c r="P24" s="37">
        <v>168</v>
      </c>
      <c r="Q24" s="37">
        <v>44.09</v>
      </c>
      <c r="R24" s="37">
        <v>9.6</v>
      </c>
      <c r="S24" s="37">
        <v>174</v>
      </c>
      <c r="T24" s="37">
        <v>44.35</v>
      </c>
      <c r="U24" s="24">
        <f t="shared" si="0"/>
        <v>327.69800000000032</v>
      </c>
      <c r="V24" s="42">
        <f t="shared" si="3"/>
        <v>1.4000000000000004E-2</v>
      </c>
      <c r="W24" s="41">
        <f t="shared" si="1"/>
        <v>327.69800000000032</v>
      </c>
      <c r="X24" s="25">
        <f t="shared" si="2"/>
        <v>1.4000000000000014E-2</v>
      </c>
      <c r="Y24" s="25"/>
      <c r="Z24" s="15">
        <v>398</v>
      </c>
      <c r="AA24" s="27"/>
      <c r="AB24" s="15">
        <v>286</v>
      </c>
      <c r="AC24" s="15">
        <v>292</v>
      </c>
      <c r="AD24" s="26" t="s">
        <v>56</v>
      </c>
      <c r="AE24" s="15"/>
      <c r="AF24" s="28">
        <v>4241</v>
      </c>
      <c r="AG24" s="28">
        <v>4143</v>
      </c>
      <c r="AH24" s="69">
        <f t="shared" si="4"/>
        <v>2.3107757604338599</v>
      </c>
      <c r="AJ24" s="33">
        <v>385381</v>
      </c>
      <c r="AK24">
        <v>500</v>
      </c>
      <c r="AL24">
        <v>465</v>
      </c>
      <c r="AM24">
        <v>39066.720000000001</v>
      </c>
      <c r="AN24">
        <v>797.27999999999884</v>
      </c>
      <c r="AO24">
        <v>195</v>
      </c>
      <c r="AP24"/>
    </row>
    <row r="25" spans="1:42" ht="29" x14ac:dyDescent="0.35">
      <c r="A25" s="15">
        <v>23</v>
      </c>
      <c r="B25" s="16">
        <v>46121</v>
      </c>
      <c r="C25" s="15" t="s">
        <v>37</v>
      </c>
      <c r="D25" s="15" t="s">
        <v>58</v>
      </c>
      <c r="E25" s="15" t="s">
        <v>99</v>
      </c>
      <c r="F25" s="15" t="s">
        <v>100</v>
      </c>
      <c r="G25" s="68">
        <v>246253</v>
      </c>
      <c r="H25" s="68">
        <v>1481155</v>
      </c>
      <c r="I25" s="15" t="s">
        <v>101</v>
      </c>
      <c r="J25" s="17" t="s">
        <v>102</v>
      </c>
      <c r="K25" s="17" t="s">
        <v>103</v>
      </c>
      <c r="L25" s="17" t="s">
        <v>105</v>
      </c>
      <c r="M25" s="19">
        <v>42967</v>
      </c>
      <c r="N25" s="38">
        <v>42365.462</v>
      </c>
      <c r="O25" s="37">
        <v>11</v>
      </c>
      <c r="P25" s="37">
        <v>168</v>
      </c>
      <c r="Q25" s="37">
        <v>44.09</v>
      </c>
      <c r="R25" s="37">
        <v>9.6</v>
      </c>
      <c r="S25" s="37">
        <v>174</v>
      </c>
      <c r="T25" s="37">
        <v>44.35</v>
      </c>
      <c r="U25" s="24">
        <f t="shared" si="0"/>
        <v>601.53800000000047</v>
      </c>
      <c r="V25" s="42">
        <f t="shared" si="3"/>
        <v>1.4000000000000004E-2</v>
      </c>
      <c r="W25" s="41">
        <f t="shared" si="1"/>
        <v>601.53800000000047</v>
      </c>
      <c r="X25" s="25">
        <f t="shared" si="2"/>
        <v>1.4000000000000011E-2</v>
      </c>
      <c r="Y25" s="25"/>
      <c r="Z25" s="15">
        <v>177</v>
      </c>
      <c r="AA25" s="27"/>
      <c r="AB25" s="15">
        <v>525</v>
      </c>
      <c r="AC25" s="15">
        <v>518</v>
      </c>
      <c r="AD25" s="26" t="s">
        <v>56</v>
      </c>
      <c r="AE25" s="15"/>
      <c r="AF25" s="28">
        <v>4188</v>
      </c>
      <c r="AG25" s="28">
        <v>4081</v>
      </c>
      <c r="AH25" s="69">
        <f t="shared" si="4"/>
        <v>2.5549188156638012</v>
      </c>
      <c r="AJ25" s="33">
        <v>346380</v>
      </c>
      <c r="AK25">
        <v>574</v>
      </c>
      <c r="AL25">
        <v>589</v>
      </c>
      <c r="AM25">
        <v>48081.413999999997</v>
      </c>
      <c r="AN25">
        <v>1081.586000000003</v>
      </c>
      <c r="AO25">
        <v>234</v>
      </c>
      <c r="AP25"/>
    </row>
    <row r="26" spans="1:42" x14ac:dyDescent="0.35">
      <c r="A26" s="15">
        <v>24</v>
      </c>
      <c r="B26" s="16">
        <v>46125</v>
      </c>
      <c r="C26" s="15" t="s">
        <v>37</v>
      </c>
      <c r="D26" s="15" t="s">
        <v>38</v>
      </c>
      <c r="E26" s="15" t="s">
        <v>106</v>
      </c>
      <c r="F26" s="15" t="s">
        <v>107</v>
      </c>
      <c r="G26" s="15">
        <v>315</v>
      </c>
      <c r="H26" s="15">
        <v>1117</v>
      </c>
      <c r="I26" s="15"/>
      <c r="J26" s="15" t="s">
        <v>108</v>
      </c>
      <c r="K26" s="15" t="s">
        <v>109</v>
      </c>
      <c r="L26" s="15" t="s">
        <v>110</v>
      </c>
      <c r="M26" s="19">
        <v>19588</v>
      </c>
      <c r="N26" s="38">
        <v>18980.772000000001</v>
      </c>
      <c r="O26" s="19">
        <v>13.3</v>
      </c>
      <c r="P26" s="19">
        <v>161</v>
      </c>
      <c r="Q26" s="19">
        <v>42.51</v>
      </c>
      <c r="R26" s="19">
        <v>10.199999999999999</v>
      </c>
      <c r="S26" s="19">
        <v>169</v>
      </c>
      <c r="T26" s="19">
        <v>42.15</v>
      </c>
      <c r="U26" s="24">
        <f t="shared" si="0"/>
        <v>607.22799999999916</v>
      </c>
      <c r="V26" s="42">
        <f t="shared" si="3"/>
        <v>3.1000000000000014E-2</v>
      </c>
      <c r="W26" s="41">
        <f t="shared" si="1"/>
        <v>607.22799999999916</v>
      </c>
      <c r="X26" s="25">
        <f t="shared" si="2"/>
        <v>3.0999999999999958E-2</v>
      </c>
      <c r="Y26" s="25"/>
      <c r="Z26" s="15">
        <v>543</v>
      </c>
      <c r="AA26" s="27"/>
      <c r="AB26" s="15">
        <v>232</v>
      </c>
      <c r="AC26" s="15">
        <v>228</v>
      </c>
      <c r="AD26" s="26" t="s">
        <v>56</v>
      </c>
      <c r="AE26" s="15"/>
      <c r="AF26" s="28">
        <v>4234</v>
      </c>
      <c r="AG26" s="28">
        <v>4058</v>
      </c>
      <c r="AH26" s="69">
        <f t="shared" si="4"/>
        <v>4.1568256967406709</v>
      </c>
      <c r="AJ26" s="33">
        <v>345</v>
      </c>
      <c r="AK26">
        <v>306</v>
      </c>
      <c r="AL26">
        <v>306</v>
      </c>
      <c r="AM26">
        <v>22588.274000000001</v>
      </c>
      <c r="AN26">
        <v>320.72599999999875</v>
      </c>
      <c r="AO26">
        <v>190</v>
      </c>
      <c r="AP26"/>
    </row>
    <row r="27" spans="1:42" x14ac:dyDescent="0.35">
      <c r="A27" s="15">
        <v>25</v>
      </c>
      <c r="B27" s="16">
        <v>46141</v>
      </c>
      <c r="C27" s="15" t="s">
        <v>37</v>
      </c>
      <c r="D27" s="15" t="s">
        <v>58</v>
      </c>
      <c r="E27" s="15" t="s">
        <v>111</v>
      </c>
      <c r="F27" s="15" t="s">
        <v>112</v>
      </c>
      <c r="G27" s="15">
        <v>415</v>
      </c>
      <c r="H27" s="15">
        <v>367</v>
      </c>
      <c r="I27" s="70" t="s">
        <v>113</v>
      </c>
      <c r="J27" s="15" t="s">
        <v>73</v>
      </c>
      <c r="K27" s="15" t="s">
        <v>74</v>
      </c>
      <c r="L27" s="15" t="s">
        <v>75</v>
      </c>
      <c r="M27" s="19">
        <v>32868</v>
      </c>
      <c r="N27" s="38">
        <v>31914.828000000001</v>
      </c>
      <c r="O27" s="19">
        <v>12.3</v>
      </c>
      <c r="P27" s="19">
        <v>163</v>
      </c>
      <c r="Q27" s="71">
        <v>42.50517</v>
      </c>
      <c r="R27" s="19">
        <v>9.4</v>
      </c>
      <c r="S27" s="19">
        <v>174</v>
      </c>
      <c r="T27" s="19">
        <v>43.03</v>
      </c>
      <c r="U27" s="24">
        <f t="shared" si="0"/>
        <v>953.17199999999866</v>
      </c>
      <c r="V27" s="42">
        <f t="shared" si="3"/>
        <v>2.9000000000000005E-2</v>
      </c>
      <c r="W27" s="41">
        <f t="shared" si="1"/>
        <v>953.17199999999866</v>
      </c>
      <c r="X27" s="25">
        <f t="shared" si="2"/>
        <v>2.899999999999996E-2</v>
      </c>
      <c r="Y27" s="25"/>
      <c r="Z27" s="15">
        <v>87</v>
      </c>
      <c r="AA27" s="27"/>
      <c r="AB27" s="15">
        <v>432</v>
      </c>
      <c r="AC27" s="15">
        <v>439</v>
      </c>
      <c r="AD27" s="26" t="s">
        <v>56</v>
      </c>
      <c r="AE27" s="15"/>
      <c r="AF27" s="28">
        <v>3879</v>
      </c>
      <c r="AG27" s="28">
        <v>3766</v>
      </c>
      <c r="AH27" s="69">
        <f t="shared" si="4"/>
        <v>2.9131219386439802</v>
      </c>
      <c r="AJ27" s="33">
        <v>323</v>
      </c>
      <c r="AK27">
        <v>140</v>
      </c>
      <c r="AL27">
        <v>150</v>
      </c>
      <c r="AM27">
        <v>11142.243</v>
      </c>
      <c r="AN27">
        <v>146.75699999999961</v>
      </c>
      <c r="AO27">
        <v>107</v>
      </c>
      <c r="AP27"/>
    </row>
    <row r="28" spans="1:42" x14ac:dyDescent="0.35">
      <c r="A28" s="15">
        <v>26</v>
      </c>
      <c r="B28" s="16">
        <v>46142</v>
      </c>
      <c r="C28" s="15" t="s">
        <v>37</v>
      </c>
      <c r="D28" s="15" t="s">
        <v>58</v>
      </c>
      <c r="E28" s="15" t="s">
        <v>114</v>
      </c>
      <c r="F28" s="15" t="s">
        <v>115</v>
      </c>
      <c r="G28" s="15">
        <v>429</v>
      </c>
      <c r="H28" s="70">
        <v>381</v>
      </c>
      <c r="I28" s="70" t="s">
        <v>116</v>
      </c>
      <c r="J28" s="15" t="s">
        <v>117</v>
      </c>
      <c r="K28" s="15" t="s">
        <v>118</v>
      </c>
      <c r="L28" s="15" t="s">
        <v>119</v>
      </c>
      <c r="M28" s="19">
        <v>22331</v>
      </c>
      <c r="N28" s="38">
        <v>22063.027999999998</v>
      </c>
      <c r="O28" s="19">
        <v>11.6</v>
      </c>
      <c r="P28" s="19">
        <v>162</v>
      </c>
      <c r="Q28" s="19">
        <v>41.27</v>
      </c>
      <c r="R28" s="19">
        <v>10.4</v>
      </c>
      <c r="S28" s="19">
        <v>168</v>
      </c>
      <c r="T28" s="19">
        <v>41.79</v>
      </c>
      <c r="U28" s="24">
        <f t="shared" si="0"/>
        <v>267.97200000000157</v>
      </c>
      <c r="V28" s="42">
        <f t="shared" si="3"/>
        <v>1.1999999999999993E-2</v>
      </c>
      <c r="W28" s="41">
        <f t="shared" si="1"/>
        <v>267.97200000000157</v>
      </c>
      <c r="X28" s="25">
        <f t="shared" si="2"/>
        <v>1.200000000000007E-2</v>
      </c>
      <c r="Y28" s="25"/>
      <c r="Z28" s="15">
        <v>127</v>
      </c>
      <c r="AA28" s="27"/>
      <c r="AB28" s="15">
        <v>250</v>
      </c>
      <c r="AC28" s="15">
        <v>276</v>
      </c>
      <c r="AD28" s="26" t="s">
        <v>56</v>
      </c>
      <c r="AE28" s="15"/>
      <c r="AF28" s="28">
        <v>4418</v>
      </c>
      <c r="AG28" s="28">
        <v>4213</v>
      </c>
      <c r="AH28" s="69">
        <f t="shared" si="4"/>
        <v>4.6401086464463557</v>
      </c>
      <c r="AJ28" s="33">
        <v>323303</v>
      </c>
      <c r="AK28">
        <v>500</v>
      </c>
      <c r="AL28">
        <v>512</v>
      </c>
      <c r="AM28">
        <v>39891.123</v>
      </c>
      <c r="AN28">
        <v>689.87700000000041</v>
      </c>
      <c r="AO28">
        <v>170</v>
      </c>
      <c r="AP28"/>
    </row>
    <row r="29" spans="1:42" x14ac:dyDescent="0.35">
      <c r="A29" s="15">
        <v>27</v>
      </c>
      <c r="B29" s="16">
        <v>46146</v>
      </c>
      <c r="C29" s="15" t="s">
        <v>37</v>
      </c>
      <c r="D29" s="15" t="s">
        <v>38</v>
      </c>
      <c r="E29" s="15" t="s">
        <v>106</v>
      </c>
      <c r="F29" s="15" t="s">
        <v>107</v>
      </c>
      <c r="G29" s="15">
        <v>407</v>
      </c>
      <c r="H29" s="15">
        <v>359</v>
      </c>
      <c r="I29" s="15" t="s">
        <v>120</v>
      </c>
      <c r="J29" s="15" t="s">
        <v>108</v>
      </c>
      <c r="K29" s="15" t="s">
        <v>109</v>
      </c>
      <c r="L29" s="15" t="s">
        <v>110</v>
      </c>
      <c r="M29" s="19">
        <v>16393</v>
      </c>
      <c r="N29" s="38">
        <v>16130.712</v>
      </c>
      <c r="O29" s="19">
        <v>11.6</v>
      </c>
      <c r="P29" s="19">
        <v>175</v>
      </c>
      <c r="Q29" s="19">
        <v>42.15</v>
      </c>
      <c r="R29" s="19">
        <v>10</v>
      </c>
      <c r="S29" s="19">
        <v>179</v>
      </c>
      <c r="T29" s="71">
        <v>42.5</v>
      </c>
      <c r="U29" s="24">
        <f t="shared" si="0"/>
        <v>262.28800000000047</v>
      </c>
      <c r="V29" s="42">
        <f t="shared" si="3"/>
        <v>1.5999999999999997E-2</v>
      </c>
      <c r="W29" s="24">
        <f t="shared" si="1"/>
        <v>262.28800000000047</v>
      </c>
      <c r="X29" s="25">
        <f t="shared" si="2"/>
        <v>1.6000000000000028E-2</v>
      </c>
      <c r="Y29" s="25"/>
      <c r="Z29" s="15">
        <v>115</v>
      </c>
      <c r="AA29" s="27"/>
      <c r="AB29" s="15">
        <v>210</v>
      </c>
      <c r="AC29" s="15">
        <v>221</v>
      </c>
      <c r="AD29" s="26" t="s">
        <v>56</v>
      </c>
      <c r="AE29" s="15"/>
      <c r="AF29" s="28">
        <v>3952</v>
      </c>
      <c r="AG29" s="28">
        <v>3873</v>
      </c>
      <c r="AH29" s="69">
        <f t="shared" si="4"/>
        <v>1.9989878542510122</v>
      </c>
      <c r="AJ29" s="33">
        <v>303</v>
      </c>
      <c r="AK29">
        <v>450</v>
      </c>
      <c r="AL29">
        <v>450</v>
      </c>
      <c r="AM29">
        <v>36058.616999999998</v>
      </c>
      <c r="AN29">
        <v>698.38300000000163</v>
      </c>
      <c r="AO29">
        <v>389</v>
      </c>
      <c r="AP29"/>
    </row>
    <row r="30" spans="1:42" x14ac:dyDescent="0.35">
      <c r="A30" s="15">
        <v>28</v>
      </c>
      <c r="B30" s="16">
        <v>46147</v>
      </c>
      <c r="C30" s="15" t="s">
        <v>37</v>
      </c>
      <c r="D30" s="15" t="s">
        <v>58</v>
      </c>
      <c r="E30" s="15" t="s">
        <v>114</v>
      </c>
      <c r="F30" s="15" t="s">
        <v>115</v>
      </c>
      <c r="G30" s="72" t="s">
        <v>95</v>
      </c>
      <c r="H30" s="68">
        <v>289353</v>
      </c>
      <c r="I30" s="15" t="s">
        <v>121</v>
      </c>
      <c r="J30" s="70" t="s">
        <v>122</v>
      </c>
      <c r="K30" s="15" t="s">
        <v>123</v>
      </c>
      <c r="L30" s="15" t="s">
        <v>124</v>
      </c>
      <c r="M30" s="19">
        <v>25863</v>
      </c>
      <c r="N30" s="38">
        <v>25294.013999999999</v>
      </c>
      <c r="O30" s="19">
        <v>11.9</v>
      </c>
      <c r="P30" s="19">
        <v>166</v>
      </c>
      <c r="Q30" s="19">
        <v>41.09</v>
      </c>
      <c r="R30" s="19">
        <v>9.6999999999999993</v>
      </c>
      <c r="S30" s="19">
        <v>169</v>
      </c>
      <c r="T30" s="19">
        <v>42.06</v>
      </c>
      <c r="U30" s="24">
        <f t="shared" si="0"/>
        <v>568.98600000000079</v>
      </c>
      <c r="V30" s="42">
        <f t="shared" si="3"/>
        <v>2.2000000000000009E-2</v>
      </c>
      <c r="W30" s="24">
        <f t="shared" si="1"/>
        <v>568.98600000000079</v>
      </c>
      <c r="X30" s="25">
        <f t="shared" si="2"/>
        <v>2.200000000000003E-2</v>
      </c>
      <c r="Y30" s="25"/>
      <c r="Z30" s="15">
        <v>122</v>
      </c>
      <c r="AA30" s="27"/>
      <c r="AB30" s="15">
        <v>322</v>
      </c>
      <c r="AC30" s="15">
        <v>319</v>
      </c>
      <c r="AD30" s="26" t="s">
        <v>56</v>
      </c>
      <c r="AE30" s="15"/>
      <c r="AF30" s="73">
        <v>4210</v>
      </c>
      <c r="AG30" s="73">
        <v>4085</v>
      </c>
      <c r="AH30" s="69">
        <f t="shared" si="4"/>
        <v>2.9691211401425175</v>
      </c>
      <c r="AJ30" s="33">
        <v>274</v>
      </c>
      <c r="AK30">
        <v>505</v>
      </c>
      <c r="AL30">
        <v>512</v>
      </c>
      <c r="AM30">
        <v>41290.182000000001</v>
      </c>
      <c r="AN30">
        <v>928.8179999999993</v>
      </c>
      <c r="AO30">
        <v>316</v>
      </c>
      <c r="AP30"/>
    </row>
    <row r="31" spans="1:42" s="74" customFormat="1" x14ac:dyDescent="0.35">
      <c r="A31" s="51">
        <v>29</v>
      </c>
      <c r="B31" s="52">
        <v>46148</v>
      </c>
      <c r="C31" s="51" t="s">
        <v>37</v>
      </c>
      <c r="D31" s="51" t="s">
        <v>58</v>
      </c>
      <c r="E31" s="51" t="s">
        <v>114</v>
      </c>
      <c r="F31" s="51" t="s">
        <v>115</v>
      </c>
      <c r="G31" s="51">
        <v>453</v>
      </c>
      <c r="H31" s="51">
        <v>305</v>
      </c>
      <c r="I31" s="51" t="s">
        <v>37</v>
      </c>
      <c r="J31" s="51" t="s">
        <v>125</v>
      </c>
      <c r="K31" s="51" t="s">
        <v>126</v>
      </c>
      <c r="L31" s="51" t="s">
        <v>127</v>
      </c>
      <c r="M31" s="56">
        <v>27686</v>
      </c>
      <c r="N31" s="57">
        <v>27159.966</v>
      </c>
      <c r="O31" s="56">
        <v>14</v>
      </c>
      <c r="P31" s="56">
        <v>181</v>
      </c>
      <c r="Q31" s="56">
        <v>42.15</v>
      </c>
      <c r="R31" s="56">
        <v>12.1</v>
      </c>
      <c r="S31" s="56"/>
      <c r="T31" s="56"/>
      <c r="U31" s="60">
        <f t="shared" si="0"/>
        <v>526.03399999999965</v>
      </c>
      <c r="V31" s="59">
        <f t="shared" si="3"/>
        <v>1.9000000000000003E-2</v>
      </c>
      <c r="W31" s="51">
        <v>689</v>
      </c>
      <c r="X31" s="59">
        <f t="shared" si="2"/>
        <v>2.4886224084374773E-2</v>
      </c>
      <c r="Y31" s="59"/>
      <c r="Z31" s="51">
        <v>146</v>
      </c>
      <c r="AA31" s="62"/>
      <c r="AB31" s="51">
        <v>335</v>
      </c>
      <c r="AC31" s="51">
        <v>351</v>
      </c>
      <c r="AD31" s="61" t="s">
        <v>56</v>
      </c>
      <c r="AE31" s="51"/>
      <c r="AF31" s="63">
        <v>4106</v>
      </c>
      <c r="AG31" s="63">
        <v>3987</v>
      </c>
      <c r="AH31" s="69">
        <f t="shared" si="4"/>
        <v>2.8981977593765218</v>
      </c>
      <c r="AI31" s="74" t="s">
        <v>128</v>
      </c>
      <c r="AJ31" s="33">
        <v>354</v>
      </c>
      <c r="AK31">
        <v>450</v>
      </c>
      <c r="AL31">
        <v>462</v>
      </c>
      <c r="AM31">
        <v>37465.533000000003</v>
      </c>
      <c r="AN31">
        <v>493.46699999999691</v>
      </c>
      <c r="AO31">
        <v>276</v>
      </c>
      <c r="AP31"/>
    </row>
    <row r="32" spans="1:42" x14ac:dyDescent="0.35">
      <c r="A32" s="15">
        <v>30</v>
      </c>
      <c r="B32" s="16">
        <v>46150</v>
      </c>
      <c r="C32" s="34" t="s">
        <v>37</v>
      </c>
      <c r="D32" s="34" t="s">
        <v>58</v>
      </c>
      <c r="E32" s="34" t="s">
        <v>114</v>
      </c>
      <c r="F32" s="34" t="s">
        <v>115</v>
      </c>
      <c r="G32" s="34">
        <v>453</v>
      </c>
      <c r="H32" s="15">
        <v>305</v>
      </c>
      <c r="I32" s="34" t="s">
        <v>37</v>
      </c>
      <c r="J32" s="34" t="s">
        <v>125</v>
      </c>
      <c r="K32" s="34" t="s">
        <v>126</v>
      </c>
      <c r="L32" s="15" t="s">
        <v>127</v>
      </c>
      <c r="M32" s="19">
        <v>27686</v>
      </c>
      <c r="N32" s="38">
        <v>27049.222000000002</v>
      </c>
      <c r="O32" s="19">
        <v>12.1</v>
      </c>
      <c r="P32" s="19">
        <v>181</v>
      </c>
      <c r="Q32" s="37">
        <v>42.15</v>
      </c>
      <c r="R32" s="37">
        <v>9.8000000000000007</v>
      </c>
      <c r="S32" s="37">
        <v>185</v>
      </c>
      <c r="T32" s="37">
        <v>43.21</v>
      </c>
      <c r="U32" s="24">
        <f t="shared" si="0"/>
        <v>636.77799999999843</v>
      </c>
      <c r="V32" s="42">
        <f>(O32-R32)/100</f>
        <v>2.2999999999999989E-2</v>
      </c>
      <c r="W32" s="15">
        <v>555</v>
      </c>
      <c r="X32" s="25">
        <f t="shared" si="2"/>
        <v>2.0046232753015966E-2</v>
      </c>
      <c r="Y32" s="25"/>
      <c r="Z32" s="15"/>
      <c r="AA32" s="27"/>
      <c r="AB32" s="15">
        <v>351</v>
      </c>
      <c r="AC32" s="15">
        <v>352</v>
      </c>
      <c r="AD32" s="15" t="s">
        <v>77</v>
      </c>
      <c r="AE32" s="15"/>
      <c r="AF32" s="73"/>
      <c r="AG32" s="73"/>
      <c r="AH32" s="3"/>
      <c r="AI32" s="1" t="s">
        <v>129</v>
      </c>
      <c r="AJ32" s="33">
        <v>326</v>
      </c>
      <c r="AK32">
        <v>470</v>
      </c>
      <c r="AL32">
        <v>467</v>
      </c>
      <c r="AM32">
        <v>39831.883999999998</v>
      </c>
      <c r="AN32">
        <v>730.1160000000018</v>
      </c>
      <c r="AO32">
        <v>452</v>
      </c>
      <c r="AP32"/>
    </row>
    <row r="33" spans="1:42" x14ac:dyDescent="0.35">
      <c r="A33" s="15">
        <v>31</v>
      </c>
      <c r="B33" s="16">
        <v>46150</v>
      </c>
      <c r="C33" s="34" t="s">
        <v>37</v>
      </c>
      <c r="D33" s="34" t="s">
        <v>58</v>
      </c>
      <c r="E33" s="34" t="s">
        <v>114</v>
      </c>
      <c r="F33" s="34" t="s">
        <v>115</v>
      </c>
      <c r="G33" s="34">
        <v>453</v>
      </c>
      <c r="H33" s="15">
        <v>305</v>
      </c>
      <c r="I33" s="34" t="s">
        <v>37</v>
      </c>
      <c r="J33" s="34" t="s">
        <v>125</v>
      </c>
      <c r="K33" s="34" t="s">
        <v>126</v>
      </c>
      <c r="L33" s="15" t="s">
        <v>127</v>
      </c>
      <c r="M33" s="19">
        <v>8264</v>
      </c>
      <c r="N33" s="38">
        <v>7925.1760000000004</v>
      </c>
      <c r="O33" s="19">
        <v>14</v>
      </c>
      <c r="P33" s="19">
        <v>181</v>
      </c>
      <c r="Q33" s="19">
        <v>42.15</v>
      </c>
      <c r="R33" s="37">
        <v>9.9</v>
      </c>
      <c r="S33" s="37">
        <v>185</v>
      </c>
      <c r="T33" s="37">
        <v>43.21</v>
      </c>
      <c r="U33" s="24">
        <f t="shared" si="0"/>
        <v>338.82399999999961</v>
      </c>
      <c r="V33" s="42">
        <f>(O33-R33)/100</f>
        <v>4.0999999999999995E-2</v>
      </c>
      <c r="W33" s="15">
        <v>337</v>
      </c>
      <c r="X33" s="25">
        <f t="shared" si="2"/>
        <v>4.0779283639883833E-2</v>
      </c>
      <c r="Y33" s="25"/>
      <c r="Z33" s="15">
        <v>107</v>
      </c>
      <c r="AA33" s="27"/>
      <c r="AB33" s="15">
        <v>100</v>
      </c>
      <c r="AC33" s="15">
        <v>105</v>
      </c>
      <c r="AD33" s="26" t="s">
        <v>56</v>
      </c>
      <c r="AE33" s="15"/>
      <c r="AF33" s="73"/>
      <c r="AG33" s="73"/>
      <c r="AH33" s="3"/>
      <c r="AJ33" s="33">
        <v>325</v>
      </c>
      <c r="AK33">
        <v>400</v>
      </c>
      <c r="AL33">
        <v>394</v>
      </c>
      <c r="AM33">
        <v>33729.487000000001</v>
      </c>
      <c r="AN33">
        <v>723.51299999999901</v>
      </c>
      <c r="AO33">
        <v>342</v>
      </c>
      <c r="AP33"/>
    </row>
    <row r="34" spans="1:42" x14ac:dyDescent="0.35">
      <c r="A34" s="15">
        <v>32</v>
      </c>
      <c r="B34" s="16">
        <v>46155</v>
      </c>
      <c r="C34" s="34" t="s">
        <v>37</v>
      </c>
      <c r="D34" s="34" t="s">
        <v>58</v>
      </c>
      <c r="E34" s="34" t="s">
        <v>114</v>
      </c>
      <c r="F34" s="34" t="s">
        <v>115</v>
      </c>
      <c r="G34" s="67">
        <v>385387</v>
      </c>
      <c r="H34" s="68">
        <v>287289</v>
      </c>
      <c r="I34" s="34" t="s">
        <v>37</v>
      </c>
      <c r="J34" s="15" t="s">
        <v>130</v>
      </c>
      <c r="K34" s="15" t="s">
        <v>131</v>
      </c>
      <c r="L34" s="15" t="s">
        <v>75</v>
      </c>
      <c r="M34" s="19">
        <v>47597</v>
      </c>
      <c r="N34" s="38">
        <v>46264.284</v>
      </c>
      <c r="O34" s="19">
        <v>12.6</v>
      </c>
      <c r="P34" s="19">
        <v>165</v>
      </c>
      <c r="Q34" s="19">
        <v>41.27</v>
      </c>
      <c r="R34" s="37">
        <v>9.8000000000000007</v>
      </c>
      <c r="S34" s="37">
        <v>167</v>
      </c>
      <c r="T34" s="37">
        <v>42.15</v>
      </c>
      <c r="U34" s="24">
        <f t="shared" si="0"/>
        <v>1332.7160000000003</v>
      </c>
      <c r="V34" s="42">
        <f>(O34-R34)/100</f>
        <v>2.799999999999999E-2</v>
      </c>
      <c r="W34" s="24">
        <f t="shared" ref="W34:W59" si="5">M34-N34</f>
        <v>1332.7160000000003</v>
      </c>
      <c r="X34" s="25">
        <f t="shared" si="2"/>
        <v>2.8000000000000008E-2</v>
      </c>
      <c r="Y34" s="25"/>
      <c r="Z34" s="15">
        <v>185</v>
      </c>
      <c r="AA34" s="27"/>
      <c r="AB34" s="15">
        <v>586</v>
      </c>
      <c r="AC34" s="15">
        <v>594</v>
      </c>
      <c r="AD34" s="26" t="s">
        <v>56</v>
      </c>
      <c r="AE34" s="15"/>
      <c r="AF34" s="73">
        <v>4122</v>
      </c>
      <c r="AG34" s="73">
        <v>4001</v>
      </c>
      <c r="AH34" s="69">
        <f t="shared" ref="AH34:AH57" si="6">SUM(AF34-AG34)/AF34*100</f>
        <v>2.935468219311014</v>
      </c>
      <c r="AJ34" s="33">
        <v>291292</v>
      </c>
      <c r="AK34">
        <v>450</v>
      </c>
      <c r="AL34">
        <v>444</v>
      </c>
      <c r="AM34">
        <v>34742.120000000003</v>
      </c>
      <c r="AN34">
        <v>817.87999999999738</v>
      </c>
      <c r="AO34">
        <v>295</v>
      </c>
      <c r="AP34"/>
    </row>
    <row r="35" spans="1:42" x14ac:dyDescent="0.35">
      <c r="A35" s="15">
        <v>33</v>
      </c>
      <c r="B35" s="16">
        <v>46156</v>
      </c>
      <c r="C35" s="34" t="s">
        <v>37</v>
      </c>
      <c r="D35" s="34" t="s">
        <v>58</v>
      </c>
      <c r="E35" s="34" t="s">
        <v>114</v>
      </c>
      <c r="F35" s="34" t="s">
        <v>115</v>
      </c>
      <c r="G35" s="68">
        <v>385381</v>
      </c>
      <c r="H35" s="68">
        <v>287283</v>
      </c>
      <c r="I35" s="34" t="s">
        <v>37</v>
      </c>
      <c r="J35" s="15" t="s">
        <v>132</v>
      </c>
      <c r="K35" s="15" t="s">
        <v>133</v>
      </c>
      <c r="L35" s="15" t="s">
        <v>75</v>
      </c>
      <c r="M35" s="19">
        <v>39864</v>
      </c>
      <c r="N35" s="19">
        <v>39066.720000000001</v>
      </c>
      <c r="O35" s="19">
        <v>12.1</v>
      </c>
      <c r="P35" s="75">
        <v>158</v>
      </c>
      <c r="Q35" s="19">
        <v>41.27</v>
      </c>
      <c r="R35" s="19">
        <v>10.1</v>
      </c>
      <c r="S35" s="19">
        <v>163</v>
      </c>
      <c r="T35" s="19">
        <v>42.68</v>
      </c>
      <c r="U35" s="24">
        <f t="shared" si="0"/>
        <v>797.27999999999884</v>
      </c>
      <c r="V35" s="42">
        <f t="shared" ref="V35:V59" si="7">(O35-R35)/100</f>
        <v>0.02</v>
      </c>
      <c r="W35" s="24">
        <f t="shared" si="5"/>
        <v>797.27999999999884</v>
      </c>
      <c r="X35" s="25">
        <f t="shared" si="2"/>
        <v>1.9999999999999969E-2</v>
      </c>
      <c r="Y35" s="25"/>
      <c r="Z35" s="15">
        <v>195</v>
      </c>
      <c r="AA35" s="27"/>
      <c r="AB35" s="15">
        <v>500</v>
      </c>
      <c r="AC35" s="15">
        <v>465</v>
      </c>
      <c r="AD35" s="26" t="s">
        <v>56</v>
      </c>
      <c r="AE35" s="15"/>
      <c r="AF35" s="73">
        <v>4036</v>
      </c>
      <c r="AG35" s="73">
        <v>3940</v>
      </c>
      <c r="AH35" s="69">
        <f t="shared" si="6"/>
        <v>2.3785926660059467</v>
      </c>
      <c r="AJ35" s="33">
        <v>291</v>
      </c>
      <c r="AK35">
        <v>90</v>
      </c>
      <c r="AL35">
        <v>88</v>
      </c>
      <c r="AM35">
        <v>6556.0230000000001</v>
      </c>
      <c r="AN35">
        <v>126.97699999999986</v>
      </c>
      <c r="AO35">
        <v>190</v>
      </c>
      <c r="AP35"/>
    </row>
    <row r="36" spans="1:42" x14ac:dyDescent="0.35">
      <c r="A36" s="15">
        <v>34</v>
      </c>
      <c r="B36" s="16">
        <v>46157</v>
      </c>
      <c r="C36" s="34" t="s">
        <v>37</v>
      </c>
      <c r="D36" s="34" t="s">
        <v>58</v>
      </c>
      <c r="E36" s="34" t="s">
        <v>114</v>
      </c>
      <c r="F36" s="34" t="s">
        <v>115</v>
      </c>
      <c r="G36" s="68">
        <v>346380</v>
      </c>
      <c r="H36" s="68">
        <v>1147282</v>
      </c>
      <c r="I36" s="34" t="s">
        <v>37</v>
      </c>
      <c r="J36" s="15" t="s">
        <v>62</v>
      </c>
      <c r="K36" s="15" t="s">
        <v>63</v>
      </c>
      <c r="L36" s="15" t="s">
        <v>64</v>
      </c>
      <c r="M36" s="19">
        <v>49163</v>
      </c>
      <c r="N36" s="19">
        <v>48081.413999999997</v>
      </c>
      <c r="O36" s="19">
        <v>12.2</v>
      </c>
      <c r="P36" s="75">
        <v>168</v>
      </c>
      <c r="Q36" s="19">
        <v>41.53</v>
      </c>
      <c r="R36" s="19">
        <v>10</v>
      </c>
      <c r="S36" s="19">
        <v>168</v>
      </c>
      <c r="T36" s="71">
        <v>42.5</v>
      </c>
      <c r="U36" s="24">
        <f t="shared" si="0"/>
        <v>1081.586000000003</v>
      </c>
      <c r="V36" s="42">
        <f t="shared" si="7"/>
        <v>2.1999999999999992E-2</v>
      </c>
      <c r="W36" s="24">
        <f t="shared" si="5"/>
        <v>1081.586000000003</v>
      </c>
      <c r="X36" s="25">
        <f t="shared" si="2"/>
        <v>2.2000000000000061E-2</v>
      </c>
      <c r="Y36" s="25"/>
      <c r="Z36" s="15">
        <v>234</v>
      </c>
      <c r="AA36" s="27"/>
      <c r="AB36" s="15">
        <v>574</v>
      </c>
      <c r="AC36" s="15">
        <v>589</v>
      </c>
      <c r="AD36" s="26" t="s">
        <v>56</v>
      </c>
      <c r="AE36" s="15"/>
      <c r="AF36" s="73">
        <v>4231</v>
      </c>
      <c r="AG36" s="73">
        <v>4095</v>
      </c>
      <c r="AH36" s="69">
        <f t="shared" si="6"/>
        <v>3.2143701252658947</v>
      </c>
      <c r="AJ36" s="33">
        <v>428</v>
      </c>
      <c r="AK36">
        <v>310</v>
      </c>
      <c r="AL36">
        <v>295</v>
      </c>
      <c r="AM36">
        <v>25109.238000000001</v>
      </c>
      <c r="AN36">
        <v>696.76199999999881</v>
      </c>
      <c r="AO36">
        <v>360</v>
      </c>
      <c r="AP36"/>
    </row>
    <row r="37" spans="1:42" x14ac:dyDescent="0.35">
      <c r="A37" s="15">
        <v>35</v>
      </c>
      <c r="B37" s="16">
        <v>46158</v>
      </c>
      <c r="C37" s="34" t="s">
        <v>37</v>
      </c>
      <c r="D37" s="34" t="s">
        <v>58</v>
      </c>
      <c r="E37" s="34" t="s">
        <v>114</v>
      </c>
      <c r="F37" s="34" t="s">
        <v>115</v>
      </c>
      <c r="G37" s="15">
        <v>345</v>
      </c>
      <c r="H37" s="15">
        <v>1150</v>
      </c>
      <c r="I37" s="70" t="s">
        <v>134</v>
      </c>
      <c r="J37" s="15" t="s">
        <v>135</v>
      </c>
      <c r="K37" s="15" t="s">
        <v>136</v>
      </c>
      <c r="L37" s="15" t="s">
        <v>137</v>
      </c>
      <c r="M37" s="19">
        <v>22909</v>
      </c>
      <c r="N37" s="38">
        <v>22588.274000000001</v>
      </c>
      <c r="O37" s="19">
        <v>10.8</v>
      </c>
      <c r="P37" s="19">
        <v>160</v>
      </c>
      <c r="Q37" s="19">
        <v>41.09</v>
      </c>
      <c r="R37" s="19">
        <v>9.4</v>
      </c>
      <c r="S37" s="19">
        <v>165</v>
      </c>
      <c r="T37" s="19">
        <v>41.79</v>
      </c>
      <c r="U37" s="24">
        <f t="shared" si="0"/>
        <v>320.72599999999875</v>
      </c>
      <c r="V37" s="42">
        <f t="shared" si="7"/>
        <v>1.4000000000000004E-2</v>
      </c>
      <c r="W37" s="24">
        <f t="shared" si="5"/>
        <v>320.72599999999875</v>
      </c>
      <c r="X37" s="25">
        <f t="shared" si="2"/>
        <v>1.3999999999999945E-2</v>
      </c>
      <c r="Y37" s="25"/>
      <c r="Z37" s="15">
        <v>190</v>
      </c>
      <c r="AA37" s="27"/>
      <c r="AB37" s="15">
        <v>306</v>
      </c>
      <c r="AC37" s="15">
        <v>306</v>
      </c>
      <c r="AD37" s="26" t="s">
        <v>56</v>
      </c>
      <c r="AE37" s="15"/>
      <c r="AF37" s="73">
        <v>4113</v>
      </c>
      <c r="AG37" s="73">
        <v>3994</v>
      </c>
      <c r="AH37" s="69">
        <f t="shared" si="6"/>
        <v>2.8932652565037689</v>
      </c>
      <c r="AJ37" s="33">
        <v>417</v>
      </c>
      <c r="AK37">
        <v>440</v>
      </c>
      <c r="AL37">
        <v>436</v>
      </c>
      <c r="AM37">
        <v>34004.695999999996</v>
      </c>
      <c r="AN37">
        <v>623.30400000000373</v>
      </c>
      <c r="AO37">
        <v>307</v>
      </c>
      <c r="AP37"/>
    </row>
    <row r="38" spans="1:42" x14ac:dyDescent="0.35">
      <c r="A38" s="15">
        <v>36</v>
      </c>
      <c r="B38" s="16">
        <v>46158</v>
      </c>
      <c r="C38" s="34" t="s">
        <v>37</v>
      </c>
      <c r="D38" s="34" t="s">
        <v>38</v>
      </c>
      <c r="E38" s="15" t="s">
        <v>138</v>
      </c>
      <c r="F38" s="15" t="s">
        <v>139</v>
      </c>
      <c r="G38" s="15">
        <v>323</v>
      </c>
      <c r="H38" s="15">
        <v>1125</v>
      </c>
      <c r="I38" s="15" t="s">
        <v>80</v>
      </c>
      <c r="J38" s="15" t="s">
        <v>140</v>
      </c>
      <c r="K38" s="15"/>
      <c r="L38" s="15" t="s">
        <v>141</v>
      </c>
      <c r="M38" s="19">
        <v>11289</v>
      </c>
      <c r="N38" s="38">
        <v>11142.243</v>
      </c>
      <c r="O38" s="19">
        <v>11</v>
      </c>
      <c r="P38" s="19">
        <v>166</v>
      </c>
      <c r="Q38" s="19">
        <v>43.39</v>
      </c>
      <c r="R38" s="19">
        <v>9.6999999999999993</v>
      </c>
      <c r="S38" s="19">
        <v>170</v>
      </c>
      <c r="T38" s="19">
        <v>43.56</v>
      </c>
      <c r="U38" s="24">
        <f t="shared" si="0"/>
        <v>146.75699999999961</v>
      </c>
      <c r="V38" s="42">
        <f t="shared" si="7"/>
        <v>1.3000000000000006E-2</v>
      </c>
      <c r="W38" s="24">
        <f t="shared" si="5"/>
        <v>146.75699999999961</v>
      </c>
      <c r="X38" s="25">
        <f t="shared" si="2"/>
        <v>1.2999999999999965E-2</v>
      </c>
      <c r="Y38" s="25"/>
      <c r="Z38" s="15">
        <v>107</v>
      </c>
      <c r="AA38" s="27"/>
      <c r="AB38" s="15">
        <v>140</v>
      </c>
      <c r="AC38" s="15">
        <v>150</v>
      </c>
      <c r="AD38" s="26" t="s">
        <v>56</v>
      </c>
      <c r="AE38" s="15"/>
      <c r="AF38" s="15"/>
      <c r="AG38" s="15"/>
      <c r="AH38" s="3"/>
      <c r="AJ38" s="33">
        <v>294</v>
      </c>
      <c r="AK38">
        <v>450</v>
      </c>
      <c r="AL38">
        <v>455</v>
      </c>
      <c r="AM38">
        <v>37062.982000000004</v>
      </c>
      <c r="AN38">
        <v>795.01799999999639</v>
      </c>
      <c r="AO38">
        <v>199</v>
      </c>
      <c r="AP38"/>
    </row>
    <row r="39" spans="1:42" ht="29" x14ac:dyDescent="0.35">
      <c r="A39" s="15">
        <v>37</v>
      </c>
      <c r="B39" s="16">
        <v>46159</v>
      </c>
      <c r="C39" s="34" t="s">
        <v>37</v>
      </c>
      <c r="D39" s="34" t="s">
        <v>38</v>
      </c>
      <c r="E39" s="15" t="s">
        <v>138</v>
      </c>
      <c r="F39" s="15" t="s">
        <v>139</v>
      </c>
      <c r="G39" s="68">
        <v>323303</v>
      </c>
      <c r="H39" s="15" t="s">
        <v>142</v>
      </c>
      <c r="I39" s="15" t="s">
        <v>143</v>
      </c>
      <c r="J39" s="15" t="s">
        <v>144</v>
      </c>
      <c r="K39" s="15"/>
      <c r="L39" s="17" t="s">
        <v>145</v>
      </c>
      <c r="M39" s="19">
        <v>40581</v>
      </c>
      <c r="N39" s="38">
        <v>39891.123</v>
      </c>
      <c r="O39" s="19">
        <v>11.5</v>
      </c>
      <c r="P39" s="19">
        <v>164</v>
      </c>
      <c r="Q39" s="19">
        <v>43.39</v>
      </c>
      <c r="R39" s="19">
        <v>9.8000000000000007</v>
      </c>
      <c r="S39" s="19">
        <v>168</v>
      </c>
      <c r="T39" s="19">
        <v>43.73</v>
      </c>
      <c r="U39" s="24">
        <f t="shared" si="0"/>
        <v>689.87700000000041</v>
      </c>
      <c r="V39" s="42">
        <f t="shared" si="7"/>
        <v>1.6999999999999994E-2</v>
      </c>
      <c r="W39" s="24">
        <f t="shared" si="5"/>
        <v>689.87700000000041</v>
      </c>
      <c r="X39" s="25">
        <f t="shared" si="2"/>
        <v>1.7000000000000012E-2</v>
      </c>
      <c r="Y39" s="25"/>
      <c r="Z39" s="15">
        <v>170</v>
      </c>
      <c r="AA39" s="27"/>
      <c r="AB39" s="15">
        <v>500</v>
      </c>
      <c r="AC39" s="15">
        <v>512</v>
      </c>
      <c r="AD39" s="26" t="s">
        <v>56</v>
      </c>
      <c r="AE39" s="15"/>
      <c r="AF39" s="73">
        <v>4120</v>
      </c>
      <c r="AG39" s="73">
        <v>4032</v>
      </c>
      <c r="AH39" s="69">
        <f t="shared" si="6"/>
        <v>2.1359223300970873</v>
      </c>
      <c r="AJ39" s="33">
        <v>383377</v>
      </c>
      <c r="AK39">
        <v>350</v>
      </c>
      <c r="AL39">
        <v>361</v>
      </c>
      <c r="AM39">
        <v>29385.3</v>
      </c>
      <c r="AN39">
        <v>599.70000000000073</v>
      </c>
      <c r="AO39">
        <v>366</v>
      </c>
      <c r="AP39"/>
    </row>
    <row r="40" spans="1:42" x14ac:dyDescent="0.35">
      <c r="A40" s="15">
        <v>38</v>
      </c>
      <c r="B40" s="16">
        <v>46161</v>
      </c>
      <c r="C40" s="34" t="s">
        <v>37</v>
      </c>
      <c r="D40" s="34" t="s">
        <v>38</v>
      </c>
      <c r="E40" s="15" t="s">
        <v>138</v>
      </c>
      <c r="F40" s="15" t="s">
        <v>139</v>
      </c>
      <c r="G40" s="15">
        <v>303</v>
      </c>
      <c r="H40" s="15">
        <v>1105</v>
      </c>
      <c r="I40" s="15" t="s">
        <v>121</v>
      </c>
      <c r="J40" s="15" t="s">
        <v>146</v>
      </c>
      <c r="K40" s="15"/>
      <c r="L40" s="17" t="s">
        <v>147</v>
      </c>
      <c r="M40" s="19">
        <v>36757</v>
      </c>
      <c r="N40" s="19">
        <v>36058.616999999998</v>
      </c>
      <c r="O40" s="19">
        <v>10.9</v>
      </c>
      <c r="P40" s="19">
        <v>161</v>
      </c>
      <c r="Q40" s="19">
        <v>43.39</v>
      </c>
      <c r="R40" s="19">
        <v>9</v>
      </c>
      <c r="S40" s="19">
        <v>167</v>
      </c>
      <c r="T40" s="19">
        <v>43.56</v>
      </c>
      <c r="U40" s="24">
        <f t="shared" si="0"/>
        <v>698.38300000000163</v>
      </c>
      <c r="V40" s="42">
        <f t="shared" si="7"/>
        <v>1.9000000000000003E-2</v>
      </c>
      <c r="W40" s="24">
        <f t="shared" si="5"/>
        <v>698.38300000000163</v>
      </c>
      <c r="X40" s="25">
        <f t="shared" si="2"/>
        <v>1.9000000000000045E-2</v>
      </c>
      <c r="Y40" s="25"/>
      <c r="Z40" s="15">
        <v>389</v>
      </c>
      <c r="AA40" s="27"/>
      <c r="AB40" s="15">
        <v>450</v>
      </c>
      <c r="AC40" s="15">
        <v>450</v>
      </c>
      <c r="AD40" s="26" t="s">
        <v>56</v>
      </c>
      <c r="AE40" s="15"/>
      <c r="AF40" s="73">
        <v>4026</v>
      </c>
      <c r="AG40" s="73">
        <v>3897</v>
      </c>
      <c r="AH40" s="69">
        <f t="shared" si="6"/>
        <v>3.2041728763040243</v>
      </c>
      <c r="AJ40" s="33">
        <v>361</v>
      </c>
      <c r="AK40">
        <v>400</v>
      </c>
      <c r="AL40">
        <v>409</v>
      </c>
      <c r="AM40">
        <v>28285.172999999999</v>
      </c>
      <c r="AN40">
        <v>547.82700000000114</v>
      </c>
      <c r="AO40">
        <v>346</v>
      </c>
      <c r="AP40"/>
    </row>
    <row r="41" spans="1:42" x14ac:dyDescent="0.35">
      <c r="A41" s="15">
        <v>39</v>
      </c>
      <c r="B41" s="76">
        <v>46162</v>
      </c>
      <c r="C41" s="34" t="s">
        <v>37</v>
      </c>
      <c r="D41" s="34" t="s">
        <v>38</v>
      </c>
      <c r="E41" s="15" t="s">
        <v>138</v>
      </c>
      <c r="F41" s="15" t="s">
        <v>139</v>
      </c>
      <c r="G41" s="15">
        <v>274</v>
      </c>
      <c r="H41" s="15">
        <v>1176</v>
      </c>
      <c r="I41" s="15" t="s">
        <v>148</v>
      </c>
      <c r="J41" s="15" t="s">
        <v>62</v>
      </c>
      <c r="K41" s="15" t="s">
        <v>63</v>
      </c>
      <c r="L41" s="15" t="s">
        <v>64</v>
      </c>
      <c r="M41" s="19">
        <v>42219</v>
      </c>
      <c r="N41" s="19">
        <v>41290.182000000001</v>
      </c>
      <c r="O41" s="19">
        <v>11.7</v>
      </c>
      <c r="P41" s="19">
        <v>160</v>
      </c>
      <c r="Q41" s="19">
        <v>43.03</v>
      </c>
      <c r="R41" s="19">
        <v>9.5</v>
      </c>
      <c r="S41" s="19">
        <v>168</v>
      </c>
      <c r="T41" s="19">
        <v>43.56</v>
      </c>
      <c r="U41" s="24">
        <f t="shared" si="0"/>
        <v>928.8179999999993</v>
      </c>
      <c r="V41" s="42">
        <f t="shared" si="7"/>
        <v>2.1999999999999992E-2</v>
      </c>
      <c r="W41" s="24">
        <f t="shared" si="5"/>
        <v>928.8179999999993</v>
      </c>
      <c r="X41" s="25">
        <f t="shared" si="2"/>
        <v>2.1999999999999985E-2</v>
      </c>
      <c r="Y41" s="25"/>
      <c r="Z41" s="15">
        <v>316</v>
      </c>
      <c r="AA41" s="27"/>
      <c r="AB41" s="15">
        <v>505</v>
      </c>
      <c r="AC41" s="15">
        <v>512</v>
      </c>
      <c r="AD41" s="26" t="s">
        <v>56</v>
      </c>
      <c r="AE41" s="15"/>
      <c r="AF41" s="73">
        <v>4086</v>
      </c>
      <c r="AG41" s="73">
        <v>3961</v>
      </c>
      <c r="AH41" s="69">
        <f t="shared" si="6"/>
        <v>3.0592266275085658</v>
      </c>
      <c r="AJ41" s="33">
        <v>358</v>
      </c>
      <c r="AK41">
        <v>400</v>
      </c>
      <c r="AL41">
        <v>397</v>
      </c>
      <c r="AM41">
        <v>30997.278999999999</v>
      </c>
      <c r="AN41">
        <v>729.72100000000137</v>
      </c>
      <c r="AO41">
        <v>422</v>
      </c>
      <c r="AP41"/>
    </row>
    <row r="42" spans="1:42" x14ac:dyDescent="0.35">
      <c r="A42" s="15">
        <v>40</v>
      </c>
      <c r="B42" s="16">
        <v>46163</v>
      </c>
      <c r="C42" s="34" t="s">
        <v>37</v>
      </c>
      <c r="D42" s="34" t="s">
        <v>38</v>
      </c>
      <c r="E42" s="15" t="s">
        <v>149</v>
      </c>
      <c r="F42" s="15" t="s">
        <v>150</v>
      </c>
      <c r="G42" s="15">
        <v>354</v>
      </c>
      <c r="H42" s="15">
        <v>256</v>
      </c>
      <c r="I42" s="15" t="s">
        <v>37</v>
      </c>
      <c r="J42" s="15" t="s">
        <v>151</v>
      </c>
      <c r="K42" s="15"/>
      <c r="L42" s="15" t="s">
        <v>152</v>
      </c>
      <c r="M42" s="19">
        <v>37959</v>
      </c>
      <c r="N42" s="19">
        <v>37465.533000000003</v>
      </c>
      <c r="O42" s="19">
        <v>10.6</v>
      </c>
      <c r="P42" s="19">
        <v>160</v>
      </c>
      <c r="Q42" s="19">
        <v>42.51</v>
      </c>
      <c r="R42" s="19">
        <v>9.3000000000000007</v>
      </c>
      <c r="S42" s="19">
        <v>174</v>
      </c>
      <c r="T42" s="19">
        <v>42.68</v>
      </c>
      <c r="U42" s="24">
        <f t="shared" si="0"/>
        <v>493.46699999999691</v>
      </c>
      <c r="V42" s="42">
        <f t="shared" si="7"/>
        <v>1.2999999999999989E-2</v>
      </c>
      <c r="W42" s="24">
        <f t="shared" si="5"/>
        <v>493.46699999999691</v>
      </c>
      <c r="X42" s="25">
        <f t="shared" si="2"/>
        <v>1.2999999999999918E-2</v>
      </c>
      <c r="Y42" s="25"/>
      <c r="Z42" s="15">
        <v>276</v>
      </c>
      <c r="AA42" s="27"/>
      <c r="AB42" s="15">
        <v>450</v>
      </c>
      <c r="AC42" s="15">
        <v>462</v>
      </c>
      <c r="AD42" s="26" t="s">
        <v>56</v>
      </c>
      <c r="AE42" s="15"/>
      <c r="AF42" s="73">
        <v>4131</v>
      </c>
      <c r="AG42" s="73">
        <v>4005</v>
      </c>
      <c r="AH42" s="69">
        <f t="shared" si="6"/>
        <v>3.0501089324618738</v>
      </c>
      <c r="AJ42" s="33">
        <v>293</v>
      </c>
      <c r="AK42">
        <v>350</v>
      </c>
      <c r="AL42">
        <v>364</v>
      </c>
      <c r="AM42">
        <v>29165.916000000001</v>
      </c>
      <c r="AN42">
        <v>656.08399999999892</v>
      </c>
      <c r="AO42">
        <v>364</v>
      </c>
      <c r="AP42"/>
    </row>
    <row r="43" spans="1:42" x14ac:dyDescent="0.35">
      <c r="A43" s="15">
        <v>41</v>
      </c>
      <c r="B43" s="16">
        <v>46164</v>
      </c>
      <c r="C43" s="34" t="s">
        <v>37</v>
      </c>
      <c r="D43" s="34" t="s">
        <v>38</v>
      </c>
      <c r="E43" s="15" t="s">
        <v>149</v>
      </c>
      <c r="F43" s="15" t="s">
        <v>150</v>
      </c>
      <c r="G43" s="15">
        <v>326</v>
      </c>
      <c r="H43" s="15">
        <v>1128</v>
      </c>
      <c r="I43" s="15" t="s">
        <v>153</v>
      </c>
      <c r="J43" s="15" t="s">
        <v>81</v>
      </c>
      <c r="K43" s="15" t="s">
        <v>82</v>
      </c>
      <c r="L43" s="15" t="s">
        <v>83</v>
      </c>
      <c r="M43" s="19">
        <v>40562</v>
      </c>
      <c r="N43" s="19">
        <v>39831.883999999998</v>
      </c>
      <c r="O43" s="19">
        <v>11.5</v>
      </c>
      <c r="P43" s="19">
        <v>165</v>
      </c>
      <c r="Q43" s="19">
        <v>42.15</v>
      </c>
      <c r="R43" s="19">
        <v>9.6999999999999993</v>
      </c>
      <c r="S43" s="19">
        <v>168</v>
      </c>
      <c r="T43" s="19">
        <v>42.68</v>
      </c>
      <c r="U43" s="24">
        <f t="shared" si="0"/>
        <v>730.1160000000018</v>
      </c>
      <c r="V43" s="42">
        <f t="shared" si="7"/>
        <v>1.8000000000000006E-2</v>
      </c>
      <c r="W43" s="24">
        <f t="shared" si="5"/>
        <v>730.1160000000018</v>
      </c>
      <c r="X43" s="25">
        <f t="shared" si="2"/>
        <v>1.8000000000000044E-2</v>
      </c>
      <c r="Y43" s="25"/>
      <c r="Z43" s="15">
        <v>452</v>
      </c>
      <c r="AA43" s="27"/>
      <c r="AB43" s="15">
        <v>470</v>
      </c>
      <c r="AC43" s="15">
        <v>467</v>
      </c>
      <c r="AD43" s="26" t="s">
        <v>56</v>
      </c>
      <c r="AE43" s="15"/>
      <c r="AF43" s="73">
        <v>4190</v>
      </c>
      <c r="AG43" s="73">
        <v>4064</v>
      </c>
      <c r="AH43" s="69">
        <f t="shared" si="6"/>
        <v>3.007159904534606</v>
      </c>
      <c r="AJ43" s="33">
        <v>283</v>
      </c>
      <c r="AK43">
        <v>518</v>
      </c>
      <c r="AL43">
        <v>526</v>
      </c>
      <c r="AM43">
        <v>40638.267999999996</v>
      </c>
      <c r="AN43">
        <v>711.73199999999997</v>
      </c>
      <c r="AO43">
        <v>618</v>
      </c>
      <c r="AP43"/>
    </row>
    <row r="44" spans="1:42" x14ac:dyDescent="0.35">
      <c r="A44" s="15">
        <v>42</v>
      </c>
      <c r="B44" s="16">
        <v>46172</v>
      </c>
      <c r="C44" s="34" t="s">
        <v>37</v>
      </c>
      <c r="D44" s="34" t="s">
        <v>38</v>
      </c>
      <c r="E44" s="15" t="s">
        <v>149</v>
      </c>
      <c r="F44" s="15" t="s">
        <v>150</v>
      </c>
      <c r="G44" s="15">
        <v>325</v>
      </c>
      <c r="H44" s="15">
        <v>1127</v>
      </c>
      <c r="I44" s="15" t="s">
        <v>154</v>
      </c>
      <c r="J44" s="15" t="s">
        <v>62</v>
      </c>
      <c r="K44" s="15" t="s">
        <v>63</v>
      </c>
      <c r="L44" s="15" t="s">
        <v>64</v>
      </c>
      <c r="M44" s="19">
        <v>34453</v>
      </c>
      <c r="N44" s="19">
        <v>33729.487000000001</v>
      </c>
      <c r="O44" s="19">
        <v>11.3</v>
      </c>
      <c r="P44" s="19">
        <v>162</v>
      </c>
      <c r="Q44" s="19">
        <v>42.51</v>
      </c>
      <c r="R44" s="18">
        <v>9.1999999999999993</v>
      </c>
      <c r="S44" s="19">
        <v>170</v>
      </c>
      <c r="T44" s="19">
        <v>42.32</v>
      </c>
      <c r="U44" s="24">
        <f t="shared" si="0"/>
        <v>723.51299999999901</v>
      </c>
      <c r="V44" s="42">
        <f t="shared" si="7"/>
        <v>2.1000000000000015E-2</v>
      </c>
      <c r="W44" s="24">
        <f t="shared" si="5"/>
        <v>723.51299999999901</v>
      </c>
      <c r="X44" s="25">
        <f t="shared" si="2"/>
        <v>2.099999999999997E-2</v>
      </c>
      <c r="Y44" s="25"/>
      <c r="Z44" s="15">
        <v>342</v>
      </c>
      <c r="AA44" s="27"/>
      <c r="AB44" s="15">
        <v>400</v>
      </c>
      <c r="AC44" s="15">
        <v>394</v>
      </c>
      <c r="AD44" s="26" t="s">
        <v>56</v>
      </c>
      <c r="AE44" s="15"/>
      <c r="AF44" s="73">
        <v>4247</v>
      </c>
      <c r="AG44" s="73">
        <v>4101</v>
      </c>
      <c r="AH44" s="69">
        <f t="shared" si="6"/>
        <v>3.4377207440546265</v>
      </c>
      <c r="AJ44" s="33">
        <v>275</v>
      </c>
      <c r="AK44">
        <v>350</v>
      </c>
      <c r="AL44">
        <v>342</v>
      </c>
      <c r="AM44">
        <v>27810.224000000002</v>
      </c>
      <c r="AN44">
        <v>337.77599999999802</v>
      </c>
      <c r="AO44">
        <v>550</v>
      </c>
      <c r="AP44"/>
    </row>
    <row r="45" spans="1:42" x14ac:dyDescent="0.35">
      <c r="A45" s="15">
        <v>43</v>
      </c>
      <c r="B45" s="16">
        <v>46174</v>
      </c>
      <c r="C45" s="34" t="s">
        <v>37</v>
      </c>
      <c r="D45" s="34" t="s">
        <v>38</v>
      </c>
      <c r="E45" s="15" t="s">
        <v>149</v>
      </c>
      <c r="F45" s="15" t="s">
        <v>150</v>
      </c>
      <c r="G45" s="68">
        <v>291292</v>
      </c>
      <c r="H45" s="68">
        <v>11931194</v>
      </c>
      <c r="I45" s="15" t="s">
        <v>37</v>
      </c>
      <c r="J45" s="15" t="s">
        <v>155</v>
      </c>
      <c r="K45" s="15" t="s">
        <v>156</v>
      </c>
      <c r="L45" s="15"/>
      <c r="M45" s="19">
        <v>35560</v>
      </c>
      <c r="N45" s="19">
        <v>34742.120000000003</v>
      </c>
      <c r="O45" s="19">
        <v>11.4</v>
      </c>
      <c r="P45" s="19">
        <v>166</v>
      </c>
      <c r="Q45" s="19">
        <v>42.24</v>
      </c>
      <c r="R45" s="19">
        <v>9.1</v>
      </c>
      <c r="S45" s="19">
        <v>172</v>
      </c>
      <c r="T45" s="19">
        <v>42.51</v>
      </c>
      <c r="U45" s="24">
        <f t="shared" si="0"/>
        <v>817.87999999999738</v>
      </c>
      <c r="V45" s="42">
        <f t="shared" si="7"/>
        <v>2.3000000000000007E-2</v>
      </c>
      <c r="W45" s="24">
        <f t="shared" si="5"/>
        <v>817.87999999999738</v>
      </c>
      <c r="X45" s="25">
        <f t="shared" si="2"/>
        <v>2.2999999999999927E-2</v>
      </c>
      <c r="Y45" s="25"/>
      <c r="Z45" s="15">
        <v>295</v>
      </c>
      <c r="AA45" s="27"/>
      <c r="AB45" s="15">
        <v>450</v>
      </c>
      <c r="AC45" s="15">
        <v>444</v>
      </c>
      <c r="AD45" s="26" t="s">
        <v>56</v>
      </c>
      <c r="AE45" s="15"/>
      <c r="AF45" s="73">
        <v>4078</v>
      </c>
      <c r="AG45" s="73">
        <v>3960</v>
      </c>
      <c r="AH45" s="69">
        <f t="shared" si="6"/>
        <v>2.893575282000981</v>
      </c>
      <c r="AJ45" s="33">
        <v>275272</v>
      </c>
      <c r="AK45">
        <v>370</v>
      </c>
      <c r="AL45">
        <v>384</v>
      </c>
      <c r="AM45">
        <v>30495.993999999999</v>
      </c>
      <c r="AN45">
        <v>433.00600000000122</v>
      </c>
      <c r="AO45">
        <v>344</v>
      </c>
      <c r="AP45"/>
    </row>
    <row r="46" spans="1:42" x14ac:dyDescent="0.35">
      <c r="A46" s="15">
        <v>44</v>
      </c>
      <c r="B46" s="16">
        <v>46175</v>
      </c>
      <c r="C46" s="34" t="s">
        <v>37</v>
      </c>
      <c r="D46" s="34" t="s">
        <v>38</v>
      </c>
      <c r="E46" s="15" t="s">
        <v>149</v>
      </c>
      <c r="F46" s="15" t="s">
        <v>150</v>
      </c>
      <c r="G46" s="15">
        <v>291</v>
      </c>
      <c r="H46" s="15">
        <v>1193</v>
      </c>
      <c r="I46" s="15" t="s">
        <v>37</v>
      </c>
      <c r="J46" s="15" t="s">
        <v>157</v>
      </c>
      <c r="K46" s="15" t="s">
        <v>158</v>
      </c>
      <c r="L46" s="15"/>
      <c r="M46" s="19">
        <v>6683</v>
      </c>
      <c r="N46" s="19">
        <v>6556.0230000000001</v>
      </c>
      <c r="O46" s="19">
        <v>11.4</v>
      </c>
      <c r="P46" s="19">
        <v>166</v>
      </c>
      <c r="Q46" s="19">
        <v>42.24</v>
      </c>
      <c r="R46" s="19">
        <v>9.5</v>
      </c>
      <c r="S46" s="19">
        <v>177</v>
      </c>
      <c r="T46" s="19">
        <v>42.85</v>
      </c>
      <c r="U46" s="24">
        <f t="shared" si="0"/>
        <v>126.97699999999986</v>
      </c>
      <c r="V46" s="42">
        <f t="shared" si="7"/>
        <v>1.9000000000000003E-2</v>
      </c>
      <c r="W46" s="24">
        <f t="shared" si="5"/>
        <v>126.97699999999986</v>
      </c>
      <c r="X46" s="25">
        <f t="shared" si="2"/>
        <v>1.8999999999999979E-2</v>
      </c>
      <c r="Y46" s="25"/>
      <c r="Z46" s="15">
        <v>190</v>
      </c>
      <c r="AA46" s="27"/>
      <c r="AB46" s="15">
        <v>90</v>
      </c>
      <c r="AC46" s="15">
        <v>88</v>
      </c>
      <c r="AD46" s="26" t="s">
        <v>56</v>
      </c>
      <c r="AE46" s="15"/>
      <c r="AF46" s="15"/>
      <c r="AG46" s="15"/>
      <c r="AH46" s="3"/>
      <c r="AJ46" s="33">
        <v>272266</v>
      </c>
      <c r="AK46">
        <v>300</v>
      </c>
      <c r="AL46">
        <v>309</v>
      </c>
      <c r="AM46">
        <v>25815.866999999998</v>
      </c>
      <c r="AN46">
        <v>287.13300000000163</v>
      </c>
      <c r="AO46">
        <v>149</v>
      </c>
      <c r="AP46"/>
    </row>
    <row r="47" spans="1:42" x14ac:dyDescent="0.35">
      <c r="A47" s="15">
        <v>45</v>
      </c>
      <c r="B47" s="16">
        <v>46175</v>
      </c>
      <c r="C47" s="34" t="s">
        <v>37</v>
      </c>
      <c r="D47" s="34" t="s">
        <v>38</v>
      </c>
      <c r="E47" s="15" t="s">
        <v>159</v>
      </c>
      <c r="F47" s="15" t="s">
        <v>160</v>
      </c>
      <c r="G47" s="15">
        <v>428</v>
      </c>
      <c r="H47" s="15">
        <v>380</v>
      </c>
      <c r="I47" s="15" t="s">
        <v>153</v>
      </c>
      <c r="J47" s="15" t="s">
        <v>81</v>
      </c>
      <c r="K47" s="15" t="s">
        <v>82</v>
      </c>
      <c r="L47" s="15"/>
      <c r="M47" s="19">
        <v>25806</v>
      </c>
      <c r="N47" s="19">
        <v>25109.238000000001</v>
      </c>
      <c r="O47" s="19">
        <v>11.8</v>
      </c>
      <c r="P47" s="19">
        <v>157</v>
      </c>
      <c r="Q47" s="19">
        <v>41.09</v>
      </c>
      <c r="R47" s="19">
        <v>9.1</v>
      </c>
      <c r="S47" s="19">
        <v>175</v>
      </c>
      <c r="T47" s="19">
        <v>41.79</v>
      </c>
      <c r="U47" s="24">
        <f t="shared" si="0"/>
        <v>696.76199999999881</v>
      </c>
      <c r="V47" s="42">
        <f t="shared" si="7"/>
        <v>2.700000000000001E-2</v>
      </c>
      <c r="W47" s="24">
        <f t="shared" si="5"/>
        <v>696.76199999999881</v>
      </c>
      <c r="X47" s="25">
        <f t="shared" si="2"/>
        <v>2.6999999999999955E-2</v>
      </c>
      <c r="Y47" s="25"/>
      <c r="Z47" s="15">
        <v>360</v>
      </c>
      <c r="AA47" s="27"/>
      <c r="AB47" s="15">
        <v>310</v>
      </c>
      <c r="AC47" s="15">
        <v>295</v>
      </c>
      <c r="AD47" s="26" t="s">
        <v>56</v>
      </c>
      <c r="AE47" s="15"/>
      <c r="AF47" s="73">
        <v>4117</v>
      </c>
      <c r="AG47" s="73">
        <v>3941</v>
      </c>
      <c r="AH47" s="69">
        <f t="shared" si="6"/>
        <v>4.2749574933203789</v>
      </c>
      <c r="AJ47" s="49" t="s">
        <v>77</v>
      </c>
      <c r="AK47" s="46">
        <v>608</v>
      </c>
      <c r="AL47" s="46">
        <v>647</v>
      </c>
      <c r="AM47" s="46">
        <v>49177.108</v>
      </c>
      <c r="AN47" s="46">
        <v>882.89199999999983</v>
      </c>
      <c r="AO47" s="46"/>
      <c r="AP47"/>
    </row>
    <row r="48" spans="1:42" x14ac:dyDescent="0.35">
      <c r="A48" s="15">
        <v>46</v>
      </c>
      <c r="B48" s="16">
        <v>46176</v>
      </c>
      <c r="C48" s="34" t="s">
        <v>37</v>
      </c>
      <c r="D48" s="34" t="s">
        <v>38</v>
      </c>
      <c r="E48" s="15" t="s">
        <v>159</v>
      </c>
      <c r="F48" s="15" t="s">
        <v>160</v>
      </c>
      <c r="G48" s="15">
        <v>417</v>
      </c>
      <c r="H48" s="15">
        <v>369</v>
      </c>
      <c r="I48" s="15" t="s">
        <v>161</v>
      </c>
      <c r="J48" s="15" t="s">
        <v>62</v>
      </c>
      <c r="K48" s="15" t="s">
        <v>63</v>
      </c>
      <c r="L48" s="15" t="s">
        <v>64</v>
      </c>
      <c r="M48" s="19">
        <v>34628</v>
      </c>
      <c r="N48" s="19">
        <v>34004.695999999996</v>
      </c>
      <c r="O48" s="19">
        <v>11.4</v>
      </c>
      <c r="P48" s="19">
        <v>183</v>
      </c>
      <c r="Q48" s="19">
        <v>41.09</v>
      </c>
      <c r="R48" s="19">
        <v>9.6</v>
      </c>
      <c r="S48" s="19">
        <v>172</v>
      </c>
      <c r="T48" s="19">
        <v>42.15</v>
      </c>
      <c r="U48" s="24">
        <f t="shared" si="0"/>
        <v>623.30400000000373</v>
      </c>
      <c r="V48" s="42">
        <f t="shared" si="7"/>
        <v>1.8000000000000006E-2</v>
      </c>
      <c r="W48" s="24">
        <f t="shared" si="5"/>
        <v>623.30400000000373</v>
      </c>
      <c r="X48" s="25">
        <f t="shared" si="2"/>
        <v>1.8000000000000106E-2</v>
      </c>
      <c r="Y48" s="25"/>
      <c r="Z48" s="15">
        <v>307</v>
      </c>
      <c r="AA48" s="27"/>
      <c r="AB48" s="15">
        <v>440</v>
      </c>
      <c r="AC48" s="15">
        <v>436</v>
      </c>
      <c r="AD48" s="26" t="s">
        <v>56</v>
      </c>
      <c r="AE48" s="15"/>
      <c r="AF48" s="73">
        <v>4267</v>
      </c>
      <c r="AG48" s="73">
        <v>4128</v>
      </c>
      <c r="AH48" s="69">
        <f t="shared" si="6"/>
        <v>3.2575580032809937</v>
      </c>
      <c r="AJ48" s="45">
        <v>58</v>
      </c>
      <c r="AK48" s="46">
        <v>257</v>
      </c>
      <c r="AL48" s="46">
        <v>295</v>
      </c>
      <c r="AM48" s="46">
        <v>22127.885999999999</v>
      </c>
      <c r="AN48" s="46">
        <v>246.1140000000014</v>
      </c>
      <c r="AO48" s="46"/>
      <c r="AP48"/>
    </row>
    <row r="49" spans="1:42" x14ac:dyDescent="0.35">
      <c r="A49" s="15">
        <v>47</v>
      </c>
      <c r="B49" s="16">
        <v>46178</v>
      </c>
      <c r="C49" s="34" t="s">
        <v>37</v>
      </c>
      <c r="D49" s="34" t="s">
        <v>38</v>
      </c>
      <c r="E49" s="15" t="s">
        <v>159</v>
      </c>
      <c r="F49" s="15" t="s">
        <v>160</v>
      </c>
      <c r="G49" s="15">
        <v>294</v>
      </c>
      <c r="H49" s="15">
        <v>1196</v>
      </c>
      <c r="I49" s="15" t="s">
        <v>37</v>
      </c>
      <c r="J49" s="15" t="s">
        <v>62</v>
      </c>
      <c r="K49" s="15" t="s">
        <v>63</v>
      </c>
      <c r="L49" s="15" t="s">
        <v>64</v>
      </c>
      <c r="M49" s="19">
        <v>37858</v>
      </c>
      <c r="N49" s="19">
        <v>37062.982000000004</v>
      </c>
      <c r="O49" s="77">
        <v>11.6</v>
      </c>
      <c r="P49" s="77">
        <v>172</v>
      </c>
      <c r="Q49" s="19">
        <v>41.62</v>
      </c>
      <c r="R49" s="18">
        <v>9.5</v>
      </c>
      <c r="S49" s="18">
        <v>175</v>
      </c>
      <c r="T49" s="18">
        <v>42.32</v>
      </c>
      <c r="U49" s="24">
        <f t="shared" si="0"/>
        <v>795.01799999999639</v>
      </c>
      <c r="V49" s="42">
        <f t="shared" si="7"/>
        <v>2.0999999999999998E-2</v>
      </c>
      <c r="W49" s="24">
        <f t="shared" si="5"/>
        <v>795.01799999999639</v>
      </c>
      <c r="X49" s="25">
        <f t="shared" si="2"/>
        <v>2.0999999999999904E-2</v>
      </c>
      <c r="Y49" s="25"/>
      <c r="Z49" s="15">
        <v>199</v>
      </c>
      <c r="AA49" s="27"/>
      <c r="AB49" s="15">
        <v>450</v>
      </c>
      <c r="AC49" s="15">
        <v>455</v>
      </c>
      <c r="AD49" s="26" t="s">
        <v>56</v>
      </c>
      <c r="AE49" s="15"/>
      <c r="AF49" s="73">
        <v>4169</v>
      </c>
      <c r="AG49" s="73">
        <v>4046</v>
      </c>
      <c r="AH49" s="69">
        <f t="shared" si="6"/>
        <v>2.9503478052290717</v>
      </c>
      <c r="AJ49" s="33">
        <v>453</v>
      </c>
      <c r="AK49">
        <v>351</v>
      </c>
      <c r="AL49">
        <v>352</v>
      </c>
      <c r="AM49">
        <v>27049.222000000002</v>
      </c>
      <c r="AN49">
        <v>636.77799999999843</v>
      </c>
      <c r="AO49"/>
      <c r="AP49"/>
    </row>
    <row r="50" spans="1:42" x14ac:dyDescent="0.35">
      <c r="A50" s="15">
        <v>48</v>
      </c>
      <c r="B50" s="16">
        <v>46182</v>
      </c>
      <c r="C50" s="34" t="s">
        <v>37</v>
      </c>
      <c r="D50" s="34" t="s">
        <v>38</v>
      </c>
      <c r="E50" s="15" t="s">
        <v>162</v>
      </c>
      <c r="F50" s="15" t="s">
        <v>163</v>
      </c>
      <c r="G50" s="68">
        <v>383377</v>
      </c>
      <c r="H50" s="15" t="s">
        <v>164</v>
      </c>
      <c r="I50" s="15" t="s">
        <v>165</v>
      </c>
      <c r="J50" s="15" t="s">
        <v>166</v>
      </c>
      <c r="K50" s="15" t="s">
        <v>118</v>
      </c>
      <c r="L50" s="15" t="s">
        <v>119</v>
      </c>
      <c r="M50" s="19">
        <v>29985</v>
      </c>
      <c r="N50" s="19">
        <v>29385.3</v>
      </c>
      <c r="O50" s="77">
        <v>10.9</v>
      </c>
      <c r="P50" s="77">
        <v>175</v>
      </c>
      <c r="Q50" s="19">
        <v>42.06</v>
      </c>
      <c r="R50" s="19">
        <v>8.9</v>
      </c>
      <c r="S50" s="18">
        <v>180</v>
      </c>
      <c r="T50" s="18">
        <v>43.21</v>
      </c>
      <c r="U50" s="24">
        <f t="shared" si="0"/>
        <v>599.70000000000073</v>
      </c>
      <c r="V50" s="42">
        <f t="shared" si="7"/>
        <v>0.02</v>
      </c>
      <c r="W50" s="24">
        <f t="shared" si="5"/>
        <v>599.70000000000073</v>
      </c>
      <c r="X50" s="25">
        <f t="shared" si="2"/>
        <v>2.0000000000000025E-2</v>
      </c>
      <c r="Y50" s="25"/>
      <c r="Z50" s="15">
        <v>366</v>
      </c>
      <c r="AA50" s="27"/>
      <c r="AB50" s="15">
        <v>350</v>
      </c>
      <c r="AC50" s="15">
        <v>361</v>
      </c>
      <c r="AD50" s="26" t="s">
        <v>56</v>
      </c>
      <c r="AE50" s="15"/>
      <c r="AF50" s="73">
        <v>4185</v>
      </c>
      <c r="AG50" s="73">
        <v>4039</v>
      </c>
      <c r="AH50" s="69">
        <f t="shared" si="6"/>
        <v>3.4886499402628433</v>
      </c>
      <c r="AJ50" s="49" t="s">
        <v>167</v>
      </c>
      <c r="AK50" s="46"/>
      <c r="AL50" s="46"/>
      <c r="AM50" s="46"/>
      <c r="AN50" s="46"/>
      <c r="AO50" s="46"/>
      <c r="AP50"/>
    </row>
    <row r="51" spans="1:42" x14ac:dyDescent="0.35">
      <c r="A51" s="15">
        <v>49</v>
      </c>
      <c r="B51" s="16">
        <v>46184</v>
      </c>
      <c r="C51" s="34" t="s">
        <v>37</v>
      </c>
      <c r="D51" s="34" t="s">
        <v>38</v>
      </c>
      <c r="E51" s="15" t="s">
        <v>162</v>
      </c>
      <c r="F51" s="15" t="s">
        <v>163</v>
      </c>
      <c r="G51" s="15">
        <v>361</v>
      </c>
      <c r="H51" s="15">
        <v>263</v>
      </c>
      <c r="I51" s="15" t="s">
        <v>168</v>
      </c>
      <c r="J51" s="15" t="s">
        <v>169</v>
      </c>
      <c r="K51" s="15" t="s">
        <v>74</v>
      </c>
      <c r="L51" s="15" t="s">
        <v>75</v>
      </c>
      <c r="M51" s="19">
        <v>28833</v>
      </c>
      <c r="N51" s="19">
        <v>28285.172999999999</v>
      </c>
      <c r="O51" s="77">
        <v>10.3</v>
      </c>
      <c r="P51" s="77">
        <v>159</v>
      </c>
      <c r="Q51" s="19">
        <v>42.15</v>
      </c>
      <c r="R51" s="19">
        <v>8.4</v>
      </c>
      <c r="S51" s="19">
        <v>164</v>
      </c>
      <c r="T51" s="19">
        <v>42.68</v>
      </c>
      <c r="U51" s="24">
        <f t="shared" si="0"/>
        <v>547.82700000000114</v>
      </c>
      <c r="V51" s="42">
        <f t="shared" si="7"/>
        <v>1.9000000000000003E-2</v>
      </c>
      <c r="W51" s="24">
        <f t="shared" si="5"/>
        <v>547.82700000000114</v>
      </c>
      <c r="X51" s="25">
        <f t="shared" si="2"/>
        <v>1.9000000000000038E-2</v>
      </c>
      <c r="Y51" s="25"/>
      <c r="Z51" s="15">
        <v>346</v>
      </c>
      <c r="AA51" s="27"/>
      <c r="AB51" s="15">
        <v>400</v>
      </c>
      <c r="AC51" s="15">
        <v>409</v>
      </c>
      <c r="AD51" s="26" t="s">
        <v>56</v>
      </c>
      <c r="AE51" s="15"/>
      <c r="AF51" s="73">
        <v>3807</v>
      </c>
      <c r="AG51" s="73">
        <v>3657</v>
      </c>
      <c r="AH51" s="69">
        <f t="shared" si="6"/>
        <v>3.9401103230890469</v>
      </c>
      <c r="AJ51" s="45" t="s">
        <v>167</v>
      </c>
      <c r="AK51" s="46"/>
      <c r="AL51" s="46"/>
      <c r="AM51" s="46"/>
      <c r="AN51" s="46"/>
      <c r="AO51" s="46"/>
      <c r="AP51"/>
    </row>
    <row r="52" spans="1:42" x14ac:dyDescent="0.35">
      <c r="A52" s="15">
        <v>50</v>
      </c>
      <c r="B52" s="16">
        <v>46185</v>
      </c>
      <c r="C52" s="34" t="s">
        <v>37</v>
      </c>
      <c r="D52" s="34" t="s">
        <v>38</v>
      </c>
      <c r="E52" s="15" t="s">
        <v>162</v>
      </c>
      <c r="F52" s="15" t="s">
        <v>163</v>
      </c>
      <c r="G52" s="15">
        <v>358</v>
      </c>
      <c r="H52" s="15">
        <v>260</v>
      </c>
      <c r="I52" s="15" t="s">
        <v>170</v>
      </c>
      <c r="J52" s="15" t="s">
        <v>171</v>
      </c>
      <c r="K52" s="15" t="s">
        <v>172</v>
      </c>
      <c r="L52" s="15" t="s">
        <v>173</v>
      </c>
      <c r="M52" s="19">
        <v>31727</v>
      </c>
      <c r="N52" s="19">
        <v>30997.278999999999</v>
      </c>
      <c r="O52" s="77">
        <v>10.3</v>
      </c>
      <c r="P52" s="77">
        <v>160</v>
      </c>
      <c r="Q52" s="19">
        <v>41.8</v>
      </c>
      <c r="R52" s="19">
        <v>8</v>
      </c>
      <c r="S52" s="19">
        <v>168</v>
      </c>
      <c r="T52" s="19">
        <v>42.32</v>
      </c>
      <c r="U52" s="24">
        <f t="shared" si="0"/>
        <v>729.72100000000137</v>
      </c>
      <c r="V52" s="42">
        <f t="shared" si="7"/>
        <v>2.3000000000000007E-2</v>
      </c>
      <c r="W52" s="24">
        <f t="shared" si="5"/>
        <v>729.72100000000137</v>
      </c>
      <c r="X52" s="25">
        <f t="shared" si="2"/>
        <v>2.3000000000000045E-2</v>
      </c>
      <c r="Y52" s="25"/>
      <c r="Z52" s="15">
        <v>422</v>
      </c>
      <c r="AA52" s="27"/>
      <c r="AB52" s="15">
        <v>400</v>
      </c>
      <c r="AC52" s="15">
        <v>397</v>
      </c>
      <c r="AD52" s="26" t="s">
        <v>56</v>
      </c>
      <c r="AE52" s="15"/>
      <c r="AF52" s="73">
        <v>3886</v>
      </c>
      <c r="AG52" s="73">
        <v>3712</v>
      </c>
      <c r="AH52" s="69">
        <f t="shared" si="6"/>
        <v>4.4776119402985071</v>
      </c>
      <c r="AJ52" s="49" t="s">
        <v>174</v>
      </c>
      <c r="AK52" s="46">
        <v>19350</v>
      </c>
      <c r="AL52" s="46">
        <v>19496</v>
      </c>
      <c r="AM52" s="46">
        <v>1576075.5760000001</v>
      </c>
      <c r="AN52" s="46">
        <v>29873.423999999985</v>
      </c>
      <c r="AO52" s="46">
        <v>11001</v>
      </c>
      <c r="AP52"/>
    </row>
    <row r="53" spans="1:42" x14ac:dyDescent="0.35">
      <c r="A53" s="15">
        <v>51</v>
      </c>
      <c r="B53" s="16">
        <v>46188</v>
      </c>
      <c r="C53" s="34" t="s">
        <v>37</v>
      </c>
      <c r="D53" s="34" t="s">
        <v>38</v>
      </c>
      <c r="E53" s="15" t="s">
        <v>162</v>
      </c>
      <c r="F53" s="15" t="s">
        <v>163</v>
      </c>
      <c r="G53" s="15">
        <v>293</v>
      </c>
      <c r="H53" s="15">
        <v>1195</v>
      </c>
      <c r="I53" s="15" t="s">
        <v>175</v>
      </c>
      <c r="J53" s="15" t="s">
        <v>146</v>
      </c>
      <c r="K53" s="15" t="s">
        <v>176</v>
      </c>
      <c r="L53" s="15"/>
      <c r="M53" s="19">
        <v>29822</v>
      </c>
      <c r="N53" s="19">
        <v>29165.916000000001</v>
      </c>
      <c r="O53" s="19">
        <v>10</v>
      </c>
      <c r="P53" s="19">
        <v>173</v>
      </c>
      <c r="Q53" s="19">
        <v>41.98</v>
      </c>
      <c r="R53" s="19">
        <v>7.8</v>
      </c>
      <c r="S53" s="19">
        <v>179</v>
      </c>
      <c r="T53" s="19">
        <v>42.51</v>
      </c>
      <c r="U53" s="24">
        <f t="shared" si="0"/>
        <v>656.08399999999892</v>
      </c>
      <c r="V53" s="42">
        <f t="shared" si="7"/>
        <v>2.2000000000000002E-2</v>
      </c>
      <c r="W53" s="24">
        <f t="shared" si="5"/>
        <v>656.08399999999892</v>
      </c>
      <c r="X53" s="25">
        <f t="shared" si="2"/>
        <v>2.1999999999999964E-2</v>
      </c>
      <c r="Y53" s="25"/>
      <c r="Z53" s="15">
        <v>364</v>
      </c>
      <c r="AA53" s="27"/>
      <c r="AB53" s="15">
        <v>350</v>
      </c>
      <c r="AC53" s="15">
        <v>364</v>
      </c>
      <c r="AD53" s="26" t="s">
        <v>56</v>
      </c>
      <c r="AE53" s="15"/>
      <c r="AF53" s="73">
        <v>4021</v>
      </c>
      <c r="AG53" s="73">
        <v>3878</v>
      </c>
      <c r="AH53" s="69">
        <f t="shared" si="6"/>
        <v>3.556329271325541</v>
      </c>
      <c r="AK53"/>
      <c r="AL53"/>
      <c r="AM53"/>
      <c r="AN53"/>
      <c r="AO53"/>
      <c r="AP53"/>
    </row>
    <row r="54" spans="1:42" x14ac:dyDescent="0.35">
      <c r="A54" s="15">
        <v>52</v>
      </c>
      <c r="B54" s="16">
        <v>46192</v>
      </c>
      <c r="C54" s="34" t="s">
        <v>37</v>
      </c>
      <c r="D54" s="34" t="s">
        <v>38</v>
      </c>
      <c r="E54" s="15" t="s">
        <v>162</v>
      </c>
      <c r="F54" s="15" t="s">
        <v>163</v>
      </c>
      <c r="G54" s="15">
        <v>283</v>
      </c>
      <c r="H54" s="15">
        <v>1185</v>
      </c>
      <c r="I54" s="15" t="s">
        <v>37</v>
      </c>
      <c r="J54" s="15" t="s">
        <v>73</v>
      </c>
      <c r="K54" s="15" t="s">
        <v>74</v>
      </c>
      <c r="L54" s="15" t="s">
        <v>75</v>
      </c>
      <c r="M54" s="19">
        <v>23948</v>
      </c>
      <c r="N54" s="19">
        <v>23445.092000000001</v>
      </c>
      <c r="O54" s="19">
        <v>9.6</v>
      </c>
      <c r="P54" s="19">
        <v>175</v>
      </c>
      <c r="Q54" s="19">
        <v>41.62</v>
      </c>
      <c r="R54" s="19">
        <v>7.5</v>
      </c>
      <c r="S54" s="19">
        <v>179</v>
      </c>
      <c r="T54" s="19">
        <v>42.32</v>
      </c>
      <c r="U54" s="24">
        <f t="shared" si="0"/>
        <v>502.90799999999945</v>
      </c>
      <c r="V54" s="42">
        <f t="shared" si="7"/>
        <v>2.0999999999999998E-2</v>
      </c>
      <c r="W54" s="24">
        <f t="shared" si="5"/>
        <v>502.90799999999945</v>
      </c>
      <c r="X54" s="25">
        <f t="shared" si="2"/>
        <v>2.0999999999999977E-2</v>
      </c>
      <c r="Y54" s="25"/>
      <c r="Z54" s="15">
        <v>243</v>
      </c>
      <c r="AA54" s="27"/>
      <c r="AB54" s="15">
        <v>300</v>
      </c>
      <c r="AC54" s="15">
        <v>311</v>
      </c>
      <c r="AD54" s="26" t="s">
        <v>56</v>
      </c>
      <c r="AE54" s="15"/>
      <c r="AF54" s="73">
        <v>4051</v>
      </c>
      <c r="AG54" s="73">
        <v>3909</v>
      </c>
      <c r="AH54" s="69">
        <f t="shared" si="6"/>
        <v>3.5053073315230803</v>
      </c>
      <c r="AK54"/>
      <c r="AL54"/>
      <c r="AM54"/>
      <c r="AN54"/>
      <c r="AO54"/>
      <c r="AP54"/>
    </row>
    <row r="55" spans="1:42" x14ac:dyDescent="0.35">
      <c r="A55" s="15">
        <v>53</v>
      </c>
      <c r="B55" s="16">
        <v>46197</v>
      </c>
      <c r="C55" s="34" t="s">
        <v>37</v>
      </c>
      <c r="D55" s="34" t="s">
        <v>38</v>
      </c>
      <c r="E55" s="15" t="s">
        <v>162</v>
      </c>
      <c r="F55" s="15" t="s">
        <v>163</v>
      </c>
      <c r="G55" s="15">
        <v>283</v>
      </c>
      <c r="H55" s="15">
        <v>1185</v>
      </c>
      <c r="I55" s="15" t="s">
        <v>37</v>
      </c>
      <c r="J55" s="15" t="s">
        <v>73</v>
      </c>
      <c r="K55" s="15" t="s">
        <v>74</v>
      </c>
      <c r="L55" s="15" t="s">
        <v>75</v>
      </c>
      <c r="M55" s="19">
        <v>17402</v>
      </c>
      <c r="N55" s="19">
        <v>17193.175999999999</v>
      </c>
      <c r="O55" s="19">
        <v>9.6</v>
      </c>
      <c r="P55" s="19">
        <v>175</v>
      </c>
      <c r="Q55" s="19">
        <v>41.62</v>
      </c>
      <c r="R55" s="19">
        <v>8.4</v>
      </c>
      <c r="S55" s="19">
        <v>178</v>
      </c>
      <c r="T55" s="19">
        <v>41.79</v>
      </c>
      <c r="U55" s="24">
        <f t="shared" si="0"/>
        <v>208.82400000000052</v>
      </c>
      <c r="V55" s="42">
        <f t="shared" si="7"/>
        <v>1.1999999999999993E-2</v>
      </c>
      <c r="W55" s="24">
        <f t="shared" si="5"/>
        <v>208.82400000000052</v>
      </c>
      <c r="X55" s="25">
        <f t="shared" si="2"/>
        <v>1.200000000000003E-2</v>
      </c>
      <c r="Y55" s="25"/>
      <c r="Z55" s="15">
        <v>375</v>
      </c>
      <c r="AA55" s="27"/>
      <c r="AB55" s="15">
        <v>218</v>
      </c>
      <c r="AC55" s="15">
        <v>215</v>
      </c>
      <c r="AD55" s="26" t="s">
        <v>56</v>
      </c>
      <c r="AE55" s="15"/>
      <c r="AF55" s="73">
        <v>4018</v>
      </c>
      <c r="AG55" s="73">
        <v>3846</v>
      </c>
      <c r="AH55" s="69">
        <f t="shared" si="6"/>
        <v>4.2807366849178701</v>
      </c>
      <c r="AK55"/>
      <c r="AL55"/>
      <c r="AM55"/>
      <c r="AN55"/>
      <c r="AO55"/>
      <c r="AP55"/>
    </row>
    <row r="56" spans="1:42" x14ac:dyDescent="0.35">
      <c r="A56" s="15">
        <v>54</v>
      </c>
      <c r="B56" s="16">
        <v>46198</v>
      </c>
      <c r="C56" s="34" t="s">
        <v>37</v>
      </c>
      <c r="D56" s="34" t="s">
        <v>38</v>
      </c>
      <c r="E56" s="15" t="s">
        <v>177</v>
      </c>
      <c r="F56" s="15" t="s">
        <v>178</v>
      </c>
      <c r="G56" s="15">
        <v>275</v>
      </c>
      <c r="H56" s="15">
        <v>1177</v>
      </c>
      <c r="I56" s="15" t="s">
        <v>134</v>
      </c>
      <c r="J56" s="15" t="s">
        <v>62</v>
      </c>
      <c r="K56" s="15" t="s">
        <v>63</v>
      </c>
      <c r="L56" s="15" t="s">
        <v>64</v>
      </c>
      <c r="M56" s="19">
        <v>28148</v>
      </c>
      <c r="N56" s="19">
        <v>27810.224000000002</v>
      </c>
      <c r="O56" s="19">
        <v>9.5</v>
      </c>
      <c r="P56" s="19">
        <v>164</v>
      </c>
      <c r="Q56" s="19">
        <v>44.27</v>
      </c>
      <c r="R56" s="19">
        <v>8.3000000000000007</v>
      </c>
      <c r="S56" s="19">
        <v>168</v>
      </c>
      <c r="T56" s="19">
        <v>44.44</v>
      </c>
      <c r="U56" s="24">
        <f t="shared" si="0"/>
        <v>337.77599999999802</v>
      </c>
      <c r="V56" s="42">
        <f t="shared" si="7"/>
        <v>1.1999999999999993E-2</v>
      </c>
      <c r="W56" s="24">
        <f t="shared" si="5"/>
        <v>337.77599999999802</v>
      </c>
      <c r="X56" s="25">
        <f t="shared" si="2"/>
        <v>1.1999999999999929E-2</v>
      </c>
      <c r="Y56" s="25"/>
      <c r="Z56" s="15">
        <v>550</v>
      </c>
      <c r="AA56" s="27"/>
      <c r="AB56" s="15">
        <v>350</v>
      </c>
      <c r="AC56" s="15">
        <v>342</v>
      </c>
      <c r="AD56" s="26" t="s">
        <v>56</v>
      </c>
      <c r="AE56" s="15"/>
      <c r="AF56" s="73">
        <v>3986</v>
      </c>
      <c r="AG56" s="73">
        <v>3847</v>
      </c>
      <c r="AH56" s="69">
        <f t="shared" si="6"/>
        <v>3.4872052182639237</v>
      </c>
      <c r="AK56"/>
      <c r="AL56"/>
      <c r="AM56"/>
      <c r="AN56"/>
      <c r="AO56"/>
      <c r="AP56"/>
    </row>
    <row r="57" spans="1:42" x14ac:dyDescent="0.35">
      <c r="A57" s="15">
        <v>55</v>
      </c>
      <c r="B57" s="16">
        <v>46199</v>
      </c>
      <c r="C57" s="34" t="s">
        <v>37</v>
      </c>
      <c r="D57" s="34" t="s">
        <v>38</v>
      </c>
      <c r="E57" s="15" t="s">
        <v>177</v>
      </c>
      <c r="F57" s="15" t="s">
        <v>178</v>
      </c>
      <c r="G57" s="68">
        <v>275272</v>
      </c>
      <c r="H57" s="68">
        <v>11771174</v>
      </c>
      <c r="I57" s="15" t="s">
        <v>179</v>
      </c>
      <c r="J57" s="15" t="s">
        <v>180</v>
      </c>
      <c r="K57" s="15" t="s">
        <v>181</v>
      </c>
      <c r="L57" s="15" t="s">
        <v>64</v>
      </c>
      <c r="M57" s="19">
        <v>30929</v>
      </c>
      <c r="N57" s="19">
        <v>30495.993999999999</v>
      </c>
      <c r="O57" s="19">
        <v>9.8000000000000007</v>
      </c>
      <c r="P57" s="19">
        <v>166</v>
      </c>
      <c r="Q57" s="19">
        <v>44.62</v>
      </c>
      <c r="R57" s="19">
        <v>8.4</v>
      </c>
      <c r="S57" s="19">
        <v>169</v>
      </c>
      <c r="T57" s="19">
        <v>44.79</v>
      </c>
      <c r="U57" s="24">
        <f t="shared" si="0"/>
        <v>433.00600000000122</v>
      </c>
      <c r="V57" s="42">
        <f t="shared" si="7"/>
        <v>1.4000000000000004E-2</v>
      </c>
      <c r="W57" s="24">
        <f t="shared" si="5"/>
        <v>433.00600000000122</v>
      </c>
      <c r="X57" s="25">
        <f t="shared" si="2"/>
        <v>1.400000000000004E-2</v>
      </c>
      <c r="Y57" s="25"/>
      <c r="Z57" s="15">
        <v>344</v>
      </c>
      <c r="AA57" s="27"/>
      <c r="AB57" s="15">
        <v>370</v>
      </c>
      <c r="AC57" s="15">
        <v>384</v>
      </c>
      <c r="AD57" s="26" t="s">
        <v>56</v>
      </c>
      <c r="AE57" s="15"/>
      <c r="AF57" s="73">
        <v>4202</v>
      </c>
      <c r="AG57" s="73">
        <v>4051</v>
      </c>
      <c r="AH57" s="69">
        <f t="shared" si="6"/>
        <v>3.5935268919562113</v>
      </c>
      <c r="AK57"/>
      <c r="AL57"/>
      <c r="AM57"/>
      <c r="AN57"/>
      <c r="AO57"/>
      <c r="AP57"/>
    </row>
    <row r="58" spans="1:42" x14ac:dyDescent="0.35">
      <c r="A58" s="15">
        <v>56</v>
      </c>
      <c r="B58" s="16">
        <v>46202</v>
      </c>
      <c r="C58" s="34" t="s">
        <v>37</v>
      </c>
      <c r="D58" s="34" t="s">
        <v>38</v>
      </c>
      <c r="E58" s="15" t="s">
        <v>177</v>
      </c>
      <c r="F58" s="15" t="s">
        <v>178</v>
      </c>
      <c r="G58" s="68">
        <v>272266</v>
      </c>
      <c r="H58" s="68">
        <v>11741168</v>
      </c>
      <c r="I58" s="15" t="s">
        <v>182</v>
      </c>
      <c r="J58" s="15" t="s">
        <v>183</v>
      </c>
      <c r="K58" s="15" t="s">
        <v>181</v>
      </c>
      <c r="L58" s="15" t="s">
        <v>64</v>
      </c>
      <c r="M58" s="19">
        <v>26103</v>
      </c>
      <c r="N58" s="19">
        <v>25815.866999999998</v>
      </c>
      <c r="O58" s="19">
        <v>10.199999999999999</v>
      </c>
      <c r="P58" s="19">
        <v>171</v>
      </c>
      <c r="Q58" s="19">
        <v>44.09</v>
      </c>
      <c r="R58" s="19">
        <v>9.1</v>
      </c>
      <c r="S58" s="19">
        <v>175</v>
      </c>
      <c r="T58" s="19">
        <v>44.44</v>
      </c>
      <c r="U58" s="24">
        <f t="shared" si="0"/>
        <v>287.13300000000163</v>
      </c>
      <c r="V58" s="42">
        <f t="shared" si="7"/>
        <v>1.0999999999999996E-2</v>
      </c>
      <c r="W58" s="24">
        <f t="shared" si="5"/>
        <v>287.13300000000163</v>
      </c>
      <c r="X58" s="25">
        <f t="shared" si="2"/>
        <v>1.1000000000000062E-2</v>
      </c>
      <c r="Y58" s="25"/>
      <c r="Z58" s="15">
        <v>149</v>
      </c>
      <c r="AA58" s="27"/>
      <c r="AB58" s="15">
        <v>300</v>
      </c>
      <c r="AC58" s="15">
        <v>309</v>
      </c>
      <c r="AD58" s="26" t="s">
        <v>56</v>
      </c>
      <c r="AE58" s="15"/>
      <c r="AF58" s="73">
        <v>4217</v>
      </c>
      <c r="AG58" s="73">
        <v>4090</v>
      </c>
      <c r="AH58" s="69">
        <f t="shared" ref="AH58:AH59" si="8">SUM(AF58-AG58)/AF58*100</f>
        <v>3.0116196348114777</v>
      </c>
      <c r="AK58"/>
      <c r="AL58"/>
      <c r="AM58"/>
      <c r="AN58"/>
      <c r="AO58"/>
    </row>
    <row r="59" spans="1:42" x14ac:dyDescent="0.35">
      <c r="A59" s="15">
        <v>57</v>
      </c>
      <c r="B59" s="16">
        <v>46210</v>
      </c>
      <c r="C59" s="34" t="s">
        <v>37</v>
      </c>
      <c r="D59" s="34" t="s">
        <v>38</v>
      </c>
      <c r="E59" s="15" t="s">
        <v>177</v>
      </c>
      <c r="F59" s="15" t="s">
        <v>178</v>
      </c>
      <c r="G59" s="15">
        <v>266</v>
      </c>
      <c r="H59" s="15">
        <v>1168</v>
      </c>
      <c r="I59" s="15" t="s">
        <v>148</v>
      </c>
      <c r="J59" s="15" t="s">
        <v>62</v>
      </c>
      <c r="K59" s="15" t="s">
        <v>63</v>
      </c>
      <c r="L59" s="15" t="s">
        <v>64</v>
      </c>
      <c r="M59" s="19">
        <v>17343</v>
      </c>
      <c r="N59" s="19">
        <v>17048.169000000002</v>
      </c>
      <c r="O59" s="19">
        <v>10.199999999999999</v>
      </c>
      <c r="P59" s="19">
        <v>171</v>
      </c>
      <c r="Q59" s="19">
        <v>44.09</v>
      </c>
      <c r="R59" s="19">
        <v>8.5</v>
      </c>
      <c r="S59" s="19">
        <v>176</v>
      </c>
      <c r="T59" s="19">
        <v>43.73</v>
      </c>
      <c r="U59" s="24">
        <f t="shared" si="0"/>
        <v>294.83099999999831</v>
      </c>
      <c r="V59" s="42">
        <f t="shared" si="7"/>
        <v>1.6999999999999994E-2</v>
      </c>
      <c r="W59" s="24">
        <f t="shared" si="5"/>
        <v>294.83099999999831</v>
      </c>
      <c r="X59" s="25">
        <f t="shared" si="2"/>
        <v>1.6999999999999904E-2</v>
      </c>
      <c r="Y59" s="25"/>
      <c r="Z59" s="15">
        <v>0</v>
      </c>
      <c r="AA59" s="27"/>
      <c r="AB59" s="15">
        <v>198</v>
      </c>
      <c r="AC59" s="15">
        <v>208</v>
      </c>
      <c r="AD59" s="26" t="s">
        <v>47</v>
      </c>
      <c r="AE59" s="15"/>
      <c r="AF59" s="73">
        <v>4216</v>
      </c>
      <c r="AG59" s="73">
        <v>4149</v>
      </c>
      <c r="AH59" s="69">
        <f t="shared" si="8"/>
        <v>1.5891840607210626</v>
      </c>
      <c r="AK59"/>
      <c r="AL59"/>
      <c r="AM59"/>
      <c r="AN59"/>
      <c r="AO59"/>
    </row>
    <row r="60" spans="1:42" x14ac:dyDescent="0.35">
      <c r="A60" s="15"/>
      <c r="B60" s="78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42"/>
      <c r="V60" s="15"/>
      <c r="W60" s="25"/>
      <c r="X60" s="25"/>
      <c r="Y60" s="15"/>
      <c r="Z60" s="27"/>
      <c r="AA60" s="15"/>
      <c r="AB60" s="15"/>
      <c r="AC60" s="15"/>
      <c r="AD60" s="15"/>
      <c r="AE60" s="15"/>
      <c r="AF60" s="15"/>
      <c r="AJ60"/>
      <c r="AK60"/>
      <c r="AL60"/>
      <c r="AM60"/>
      <c r="AN60"/>
      <c r="AO60"/>
    </row>
    <row r="61" spans="1:42" x14ac:dyDescent="0.35">
      <c r="A61" s="15"/>
      <c r="B61" s="78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42"/>
      <c r="V61" s="15"/>
      <c r="W61" s="25"/>
      <c r="X61" s="25"/>
      <c r="Y61" s="15"/>
      <c r="Z61" s="27"/>
      <c r="AA61" s="15"/>
      <c r="AB61" s="15"/>
      <c r="AC61" s="15"/>
      <c r="AD61" s="15"/>
      <c r="AE61" s="15"/>
      <c r="AF61" s="15"/>
      <c r="AJ61"/>
      <c r="AK61"/>
      <c r="AL61"/>
      <c r="AM61"/>
      <c r="AN61"/>
      <c r="AO61"/>
    </row>
    <row r="62" spans="1:42" x14ac:dyDescent="0.35">
      <c r="A62" s="15"/>
      <c r="B62" s="78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42"/>
      <c r="V62" s="15"/>
      <c r="W62" s="25" t="str">
        <f t="shared" ref="W62:W125" si="9">IFERROR(V62/M62,"0")</f>
        <v>0</v>
      </c>
      <c r="X62" s="25"/>
      <c r="Y62" s="15"/>
      <c r="Z62" s="27"/>
      <c r="AA62" s="15"/>
      <c r="AB62" s="15"/>
      <c r="AC62" s="15"/>
      <c r="AD62" s="15"/>
      <c r="AE62" s="15"/>
      <c r="AF62" s="15"/>
      <c r="AJ62"/>
      <c r="AK62"/>
      <c r="AL62"/>
      <c r="AM62"/>
      <c r="AN62"/>
      <c r="AO62"/>
    </row>
    <row r="63" spans="1:42" x14ac:dyDescent="0.35">
      <c r="A63" s="15"/>
      <c r="B63" s="78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42"/>
      <c r="V63" s="15"/>
      <c r="W63" s="25" t="str">
        <f t="shared" si="9"/>
        <v>0</v>
      </c>
      <c r="X63" s="25"/>
      <c r="Y63" s="15"/>
      <c r="Z63" s="27"/>
      <c r="AA63" s="15"/>
      <c r="AB63" s="15"/>
      <c r="AC63" s="15"/>
      <c r="AD63" s="15"/>
      <c r="AE63" s="15"/>
      <c r="AF63" s="15"/>
      <c r="AJ63"/>
      <c r="AK63"/>
      <c r="AL63"/>
      <c r="AM63"/>
      <c r="AN63"/>
      <c r="AO63"/>
    </row>
    <row r="64" spans="1:42" x14ac:dyDescent="0.35">
      <c r="A64" s="15"/>
      <c r="B64" s="78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2"/>
      <c r="V64" s="15"/>
      <c r="W64" s="25" t="str">
        <f t="shared" si="9"/>
        <v>0</v>
      </c>
      <c r="X64" s="25"/>
      <c r="Y64" s="15"/>
      <c r="Z64" s="27"/>
      <c r="AA64" s="15"/>
      <c r="AB64" s="15"/>
      <c r="AC64" s="15"/>
      <c r="AD64" s="15"/>
      <c r="AE64" s="15"/>
      <c r="AF64" s="15"/>
      <c r="AJ64"/>
      <c r="AK64"/>
      <c r="AL64"/>
      <c r="AM64"/>
      <c r="AN64"/>
      <c r="AO64"/>
    </row>
    <row r="65" spans="1:41" x14ac:dyDescent="0.35">
      <c r="A65" s="15"/>
      <c r="B65" s="78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42"/>
      <c r="V65" s="15"/>
      <c r="W65" s="25" t="str">
        <f t="shared" si="9"/>
        <v>0</v>
      </c>
      <c r="X65" s="25"/>
      <c r="Y65" s="15"/>
      <c r="Z65" s="27"/>
      <c r="AA65" s="15"/>
      <c r="AB65" s="15"/>
      <c r="AC65" s="15"/>
      <c r="AD65" s="15"/>
      <c r="AE65" s="15"/>
      <c r="AF65" s="15"/>
      <c r="AJ65"/>
      <c r="AK65"/>
      <c r="AL65"/>
      <c r="AM65"/>
      <c r="AN65"/>
      <c r="AO65"/>
    </row>
    <row r="66" spans="1:41" x14ac:dyDescent="0.35">
      <c r="A66" s="15"/>
      <c r="B66" s="78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42"/>
      <c r="V66" s="15"/>
      <c r="W66" s="25" t="str">
        <f t="shared" si="9"/>
        <v>0</v>
      </c>
      <c r="X66" s="25"/>
      <c r="Y66" s="15"/>
      <c r="Z66" s="27"/>
      <c r="AA66" s="15"/>
      <c r="AB66" s="15"/>
      <c r="AC66" s="15"/>
      <c r="AD66" s="15"/>
      <c r="AE66" s="15"/>
      <c r="AF66" s="15"/>
      <c r="AJ66"/>
      <c r="AK66"/>
      <c r="AL66"/>
      <c r="AM66"/>
      <c r="AN66"/>
      <c r="AO66"/>
    </row>
    <row r="67" spans="1:41" x14ac:dyDescent="0.35">
      <c r="A67" s="15"/>
      <c r="B67" s="78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2"/>
      <c r="V67" s="15"/>
      <c r="W67" s="25" t="str">
        <f t="shared" si="9"/>
        <v>0</v>
      </c>
      <c r="X67" s="25"/>
      <c r="Y67" s="15"/>
      <c r="Z67" s="27"/>
      <c r="AA67" s="15"/>
      <c r="AB67" s="15"/>
      <c r="AC67" s="15"/>
      <c r="AD67" s="15"/>
      <c r="AE67" s="15"/>
      <c r="AF67" s="15"/>
      <c r="AJ67"/>
      <c r="AK67"/>
      <c r="AL67"/>
      <c r="AM67"/>
      <c r="AN67"/>
      <c r="AO67"/>
    </row>
    <row r="68" spans="1:41" x14ac:dyDescent="0.35">
      <c r="A68" s="15"/>
      <c r="B68" s="78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42"/>
      <c r="V68" s="15"/>
      <c r="W68" s="25" t="str">
        <f t="shared" si="9"/>
        <v>0</v>
      </c>
      <c r="X68" s="25"/>
      <c r="Y68" s="15"/>
      <c r="Z68" s="27"/>
      <c r="AA68" s="15"/>
      <c r="AB68" s="15"/>
      <c r="AC68" s="15"/>
      <c r="AD68" s="15"/>
      <c r="AE68" s="15"/>
      <c r="AF68" s="15"/>
      <c r="AJ68"/>
      <c r="AK68"/>
      <c r="AL68"/>
      <c r="AM68"/>
      <c r="AN68"/>
      <c r="AO68"/>
    </row>
    <row r="69" spans="1:41" x14ac:dyDescent="0.35">
      <c r="A69" s="15"/>
      <c r="B69" s="78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42"/>
      <c r="V69" s="15"/>
      <c r="W69" s="25" t="str">
        <f t="shared" si="9"/>
        <v>0</v>
      </c>
      <c r="X69" s="25"/>
      <c r="Y69" s="15"/>
      <c r="Z69" s="27"/>
      <c r="AA69" s="15"/>
      <c r="AB69" s="15"/>
      <c r="AC69" s="15"/>
      <c r="AD69" s="15"/>
      <c r="AE69" s="15"/>
      <c r="AF69" s="15"/>
      <c r="AJ69"/>
      <c r="AK69"/>
      <c r="AL69"/>
      <c r="AM69"/>
      <c r="AN69"/>
      <c r="AO69"/>
    </row>
    <row r="70" spans="1:41" x14ac:dyDescent="0.35">
      <c r="A70" s="15"/>
      <c r="B70" s="78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42"/>
      <c r="V70" s="15"/>
      <c r="W70" s="25" t="str">
        <f t="shared" si="9"/>
        <v>0</v>
      </c>
      <c r="X70" s="25"/>
      <c r="Y70" s="15"/>
      <c r="Z70" s="27"/>
      <c r="AA70" s="15"/>
      <c r="AB70" s="15"/>
      <c r="AC70" s="15"/>
      <c r="AD70" s="15"/>
      <c r="AE70" s="15"/>
      <c r="AF70" s="15"/>
      <c r="AJ70"/>
      <c r="AK70"/>
      <c r="AL70"/>
      <c r="AM70"/>
      <c r="AN70"/>
      <c r="AO70"/>
    </row>
    <row r="71" spans="1:41" x14ac:dyDescent="0.35">
      <c r="A71" s="15"/>
      <c r="B71" s="78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42"/>
      <c r="V71" s="15"/>
      <c r="W71" s="25" t="str">
        <f t="shared" si="9"/>
        <v>0</v>
      </c>
      <c r="X71" s="25"/>
      <c r="Y71" s="15"/>
      <c r="Z71" s="27"/>
      <c r="AA71" s="15"/>
      <c r="AB71" s="15"/>
      <c r="AC71" s="15"/>
      <c r="AD71" s="15"/>
      <c r="AE71" s="15"/>
      <c r="AF71" s="15"/>
      <c r="AJ71"/>
      <c r="AK71"/>
      <c r="AL71"/>
      <c r="AM71"/>
      <c r="AN71"/>
      <c r="AO71"/>
    </row>
    <row r="72" spans="1:41" x14ac:dyDescent="0.35">
      <c r="A72" s="15"/>
      <c r="B72" s="78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42"/>
      <c r="V72" s="15"/>
      <c r="W72" s="25" t="str">
        <f t="shared" si="9"/>
        <v>0</v>
      </c>
      <c r="X72" s="25"/>
      <c r="Y72" s="15"/>
      <c r="Z72" s="27"/>
      <c r="AA72" s="15"/>
      <c r="AB72" s="15"/>
      <c r="AC72" s="15"/>
      <c r="AD72" s="15"/>
      <c r="AE72" s="15"/>
      <c r="AF72" s="15"/>
      <c r="AJ72"/>
      <c r="AK72"/>
      <c r="AL72"/>
      <c r="AM72"/>
      <c r="AN72"/>
      <c r="AO72"/>
    </row>
    <row r="73" spans="1:41" x14ac:dyDescent="0.35">
      <c r="A73" s="15"/>
      <c r="B73" s="78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42"/>
      <c r="V73" s="15"/>
      <c r="W73" s="25" t="str">
        <f t="shared" si="9"/>
        <v>0</v>
      </c>
      <c r="X73" s="25"/>
      <c r="Y73" s="15"/>
      <c r="Z73" s="27"/>
      <c r="AA73" s="15"/>
      <c r="AB73" s="15"/>
      <c r="AC73" s="15"/>
      <c r="AD73" s="15"/>
      <c r="AE73" s="15"/>
      <c r="AF73" s="15"/>
      <c r="AJ73"/>
      <c r="AK73"/>
      <c r="AL73"/>
      <c r="AM73"/>
      <c r="AN73"/>
      <c r="AO73"/>
    </row>
    <row r="74" spans="1:41" x14ac:dyDescent="0.35">
      <c r="A74" s="15"/>
      <c r="B74" s="78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2"/>
      <c r="V74" s="15"/>
      <c r="W74" s="25" t="str">
        <f t="shared" si="9"/>
        <v>0</v>
      </c>
      <c r="X74" s="25"/>
      <c r="Y74" s="15"/>
      <c r="Z74" s="27"/>
      <c r="AA74" s="15"/>
      <c r="AB74" s="15"/>
      <c r="AC74" s="15"/>
      <c r="AD74" s="15"/>
      <c r="AE74" s="15"/>
      <c r="AF74" s="15"/>
      <c r="AJ74"/>
      <c r="AK74"/>
      <c r="AL74"/>
      <c r="AM74"/>
      <c r="AN74"/>
      <c r="AO74"/>
    </row>
    <row r="75" spans="1:41" x14ac:dyDescent="0.35">
      <c r="A75" s="15"/>
      <c r="B75" s="78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42"/>
      <c r="V75" s="15"/>
      <c r="W75" s="25" t="str">
        <f t="shared" si="9"/>
        <v>0</v>
      </c>
      <c r="X75" s="25"/>
      <c r="Y75" s="15"/>
      <c r="Z75" s="27"/>
      <c r="AA75" s="15"/>
      <c r="AB75" s="15"/>
      <c r="AC75" s="15"/>
      <c r="AD75" s="15"/>
      <c r="AE75" s="15"/>
      <c r="AF75" s="15"/>
      <c r="AJ75"/>
      <c r="AK75"/>
      <c r="AL75"/>
      <c r="AM75"/>
      <c r="AN75"/>
      <c r="AO75"/>
    </row>
    <row r="76" spans="1:41" x14ac:dyDescent="0.35">
      <c r="A76" s="15"/>
      <c r="B76" s="78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42"/>
      <c r="V76" s="15"/>
      <c r="W76" s="25" t="str">
        <f t="shared" si="9"/>
        <v>0</v>
      </c>
      <c r="X76" s="25"/>
      <c r="Y76" s="15"/>
      <c r="Z76" s="27"/>
      <c r="AA76" s="15"/>
      <c r="AB76" s="15"/>
      <c r="AC76" s="15"/>
      <c r="AD76" s="15"/>
      <c r="AE76" s="15"/>
      <c r="AF76" s="15"/>
      <c r="AJ76"/>
      <c r="AK76"/>
      <c r="AL76"/>
      <c r="AM76"/>
      <c r="AN76"/>
      <c r="AO76"/>
    </row>
    <row r="77" spans="1:41" x14ac:dyDescent="0.35">
      <c r="A77" s="15"/>
      <c r="B77" s="78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42"/>
      <c r="V77" s="15"/>
      <c r="W77" s="25" t="str">
        <f t="shared" si="9"/>
        <v>0</v>
      </c>
      <c r="X77" s="25"/>
      <c r="Y77" s="15"/>
      <c r="Z77" s="27"/>
      <c r="AA77" s="15"/>
      <c r="AB77" s="15"/>
      <c r="AC77" s="15"/>
      <c r="AD77" s="15"/>
      <c r="AE77" s="15"/>
      <c r="AF77" s="15"/>
      <c r="AJ77"/>
      <c r="AK77"/>
      <c r="AL77"/>
      <c r="AM77"/>
      <c r="AN77"/>
      <c r="AO77"/>
    </row>
    <row r="78" spans="1:41" x14ac:dyDescent="0.35">
      <c r="A78" s="15"/>
      <c r="B78" s="78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42"/>
      <c r="V78" s="15"/>
      <c r="W78" s="25" t="str">
        <f t="shared" si="9"/>
        <v>0</v>
      </c>
      <c r="X78" s="25"/>
      <c r="Y78" s="15"/>
      <c r="Z78" s="27"/>
      <c r="AA78" s="15"/>
      <c r="AB78" s="15"/>
      <c r="AC78" s="15"/>
      <c r="AD78" s="15"/>
      <c r="AE78" s="15"/>
      <c r="AF78" s="15"/>
      <c r="AJ78"/>
      <c r="AK78"/>
      <c r="AL78"/>
      <c r="AM78"/>
      <c r="AN78"/>
      <c r="AO78"/>
    </row>
    <row r="79" spans="1:41" x14ac:dyDescent="0.35">
      <c r="A79" s="15"/>
      <c r="B79" s="78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42"/>
      <c r="V79" s="15"/>
      <c r="W79" s="25" t="str">
        <f t="shared" si="9"/>
        <v>0</v>
      </c>
      <c r="X79" s="25"/>
      <c r="Y79" s="15"/>
      <c r="Z79" s="27"/>
      <c r="AA79" s="15"/>
      <c r="AB79" s="15"/>
      <c r="AC79" s="15"/>
      <c r="AD79" s="15"/>
      <c r="AE79" s="15"/>
      <c r="AF79" s="15"/>
      <c r="AJ79"/>
      <c r="AK79"/>
      <c r="AL79"/>
      <c r="AM79"/>
      <c r="AN79"/>
      <c r="AO79"/>
    </row>
    <row r="80" spans="1:41" x14ac:dyDescent="0.35">
      <c r="A80" s="15"/>
      <c r="B80" s="78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42"/>
      <c r="V80" s="15"/>
      <c r="W80" s="25" t="str">
        <f t="shared" si="9"/>
        <v>0</v>
      </c>
      <c r="X80" s="25"/>
      <c r="Y80" s="15"/>
      <c r="Z80" s="27"/>
      <c r="AA80" s="15"/>
      <c r="AB80" s="15"/>
      <c r="AC80" s="15"/>
      <c r="AD80" s="15"/>
      <c r="AE80" s="15"/>
      <c r="AF80" s="15"/>
      <c r="AJ80"/>
      <c r="AK80"/>
      <c r="AL80"/>
      <c r="AM80"/>
      <c r="AN80"/>
      <c r="AO80"/>
    </row>
    <row r="81" spans="1:41" x14ac:dyDescent="0.35">
      <c r="A81" s="15"/>
      <c r="B81" s="78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42"/>
      <c r="V81" s="15"/>
      <c r="W81" s="25" t="str">
        <f t="shared" si="9"/>
        <v>0</v>
      </c>
      <c r="X81" s="25"/>
      <c r="Y81" s="15"/>
      <c r="Z81" s="27"/>
      <c r="AA81" s="15"/>
      <c r="AB81" s="15"/>
      <c r="AC81" s="15"/>
      <c r="AD81" s="15"/>
      <c r="AE81" s="15"/>
      <c r="AF81" s="15"/>
      <c r="AJ81"/>
      <c r="AK81"/>
      <c r="AL81"/>
      <c r="AM81"/>
      <c r="AN81"/>
      <c r="AO81"/>
    </row>
    <row r="82" spans="1:41" x14ac:dyDescent="0.35">
      <c r="A82" s="15"/>
      <c r="B82" s="78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42"/>
      <c r="V82" s="15"/>
      <c r="W82" s="25" t="str">
        <f t="shared" si="9"/>
        <v>0</v>
      </c>
      <c r="X82" s="25"/>
      <c r="Y82" s="15"/>
      <c r="Z82" s="27"/>
      <c r="AA82" s="15"/>
      <c r="AB82" s="15"/>
      <c r="AC82" s="15"/>
      <c r="AD82" s="15"/>
      <c r="AE82" s="15"/>
      <c r="AF82" s="15"/>
      <c r="AJ82"/>
      <c r="AK82"/>
      <c r="AL82"/>
      <c r="AM82"/>
      <c r="AN82"/>
      <c r="AO82"/>
    </row>
    <row r="83" spans="1:41" x14ac:dyDescent="0.35">
      <c r="A83" s="15"/>
      <c r="B83" s="78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42"/>
      <c r="V83" s="15"/>
      <c r="W83" s="25" t="str">
        <f t="shared" si="9"/>
        <v>0</v>
      </c>
      <c r="X83" s="25"/>
      <c r="Y83" s="15"/>
      <c r="Z83" s="27"/>
      <c r="AA83" s="15"/>
      <c r="AB83" s="15"/>
      <c r="AC83" s="15"/>
      <c r="AD83" s="15"/>
      <c r="AE83" s="15"/>
      <c r="AF83" s="15"/>
      <c r="AJ83"/>
      <c r="AK83"/>
      <c r="AL83"/>
      <c r="AM83"/>
      <c r="AN83"/>
      <c r="AO83"/>
    </row>
    <row r="84" spans="1:41" x14ac:dyDescent="0.35">
      <c r="A84" s="15"/>
      <c r="B84" s="78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42"/>
      <c r="V84" s="15"/>
      <c r="W84" s="25" t="str">
        <f t="shared" si="9"/>
        <v>0</v>
      </c>
      <c r="X84" s="25"/>
      <c r="Y84" s="15"/>
      <c r="Z84" s="27"/>
      <c r="AA84" s="15"/>
      <c r="AB84" s="15"/>
      <c r="AC84" s="15"/>
      <c r="AD84" s="15"/>
      <c r="AE84" s="15"/>
      <c r="AF84" s="15"/>
      <c r="AJ84"/>
      <c r="AK84"/>
      <c r="AL84"/>
      <c r="AM84"/>
      <c r="AN84"/>
      <c r="AO84"/>
    </row>
    <row r="85" spans="1:41" x14ac:dyDescent="0.35">
      <c r="A85" s="15"/>
      <c r="B85" s="78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42"/>
      <c r="V85" s="15"/>
      <c r="W85" s="25" t="str">
        <f t="shared" si="9"/>
        <v>0</v>
      </c>
      <c r="X85" s="25"/>
      <c r="Y85" s="15"/>
      <c r="Z85" s="27"/>
      <c r="AA85" s="15"/>
      <c r="AB85" s="15"/>
      <c r="AC85" s="15"/>
      <c r="AD85" s="15"/>
      <c r="AE85" s="15"/>
      <c r="AF85" s="15"/>
      <c r="AJ85"/>
      <c r="AK85"/>
      <c r="AL85"/>
      <c r="AM85"/>
      <c r="AN85"/>
      <c r="AO85"/>
    </row>
    <row r="86" spans="1:41" x14ac:dyDescent="0.35">
      <c r="A86" s="15"/>
      <c r="B86" s="78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42"/>
      <c r="V86" s="15"/>
      <c r="W86" s="25" t="str">
        <f t="shared" si="9"/>
        <v>0</v>
      </c>
      <c r="X86" s="25"/>
      <c r="Y86" s="15"/>
      <c r="Z86" s="27"/>
      <c r="AA86" s="15"/>
      <c r="AB86" s="15"/>
      <c r="AC86" s="15"/>
      <c r="AD86" s="15"/>
      <c r="AE86" s="15"/>
      <c r="AF86" s="15"/>
      <c r="AJ86"/>
      <c r="AK86"/>
      <c r="AL86"/>
      <c r="AM86"/>
      <c r="AN86"/>
      <c r="AO86"/>
    </row>
    <row r="87" spans="1:41" x14ac:dyDescent="0.35">
      <c r="A87" s="15"/>
      <c r="B87" s="78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42"/>
      <c r="V87" s="15"/>
      <c r="W87" s="25" t="str">
        <f t="shared" si="9"/>
        <v>0</v>
      </c>
      <c r="X87" s="25"/>
      <c r="Y87" s="15"/>
      <c r="Z87" s="27"/>
      <c r="AA87" s="15"/>
      <c r="AB87" s="15"/>
      <c r="AC87" s="15"/>
      <c r="AD87" s="15"/>
      <c r="AE87" s="15"/>
      <c r="AF87" s="15"/>
    </row>
    <row r="88" spans="1:41" x14ac:dyDescent="0.35">
      <c r="A88" s="15"/>
      <c r="B88" s="78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42"/>
      <c r="V88" s="15"/>
      <c r="W88" s="25" t="str">
        <f t="shared" si="9"/>
        <v>0</v>
      </c>
      <c r="X88" s="25"/>
      <c r="Y88" s="15"/>
      <c r="Z88" s="27"/>
      <c r="AA88" s="15"/>
      <c r="AB88" s="15"/>
      <c r="AC88" s="15"/>
      <c r="AD88" s="15"/>
      <c r="AE88" s="15"/>
      <c r="AF88" s="15"/>
    </row>
    <row r="89" spans="1:41" x14ac:dyDescent="0.35">
      <c r="A89" s="15"/>
      <c r="B89" s="78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42"/>
      <c r="V89" s="15"/>
      <c r="W89" s="25" t="str">
        <f t="shared" si="9"/>
        <v>0</v>
      </c>
      <c r="X89" s="25"/>
      <c r="Y89" s="15"/>
      <c r="Z89" s="27"/>
      <c r="AA89" s="15"/>
      <c r="AB89" s="15"/>
      <c r="AC89" s="15"/>
      <c r="AD89" s="15"/>
      <c r="AE89" s="15"/>
      <c r="AF89" s="15"/>
    </row>
    <row r="90" spans="1:41" x14ac:dyDescent="0.35">
      <c r="A90" s="15"/>
      <c r="B90" s="78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42"/>
      <c r="V90" s="15"/>
      <c r="W90" s="25" t="str">
        <f t="shared" si="9"/>
        <v>0</v>
      </c>
      <c r="X90" s="25"/>
      <c r="Y90" s="15"/>
      <c r="Z90" s="27"/>
      <c r="AA90" s="15"/>
      <c r="AB90" s="15"/>
      <c r="AC90" s="15"/>
      <c r="AD90" s="15"/>
      <c r="AE90" s="15"/>
      <c r="AF90" s="15"/>
    </row>
    <row r="91" spans="1:41" x14ac:dyDescent="0.35">
      <c r="A91" s="15"/>
      <c r="B91" s="78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42"/>
      <c r="V91" s="15"/>
      <c r="W91" s="25" t="str">
        <f t="shared" si="9"/>
        <v>0</v>
      </c>
      <c r="X91" s="25"/>
      <c r="Y91" s="15"/>
      <c r="Z91" s="27"/>
      <c r="AA91" s="15"/>
      <c r="AB91" s="15"/>
      <c r="AC91" s="15"/>
      <c r="AD91" s="15"/>
      <c r="AE91" s="15"/>
      <c r="AF91" s="15"/>
    </row>
    <row r="92" spans="1:41" x14ac:dyDescent="0.35">
      <c r="A92" s="15"/>
      <c r="B92" s="78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42"/>
      <c r="V92" s="15"/>
      <c r="W92" s="25" t="str">
        <f t="shared" si="9"/>
        <v>0</v>
      </c>
      <c r="X92" s="25"/>
      <c r="Y92" s="15"/>
      <c r="Z92" s="27"/>
      <c r="AA92" s="15"/>
      <c r="AB92" s="15"/>
      <c r="AC92" s="15"/>
      <c r="AD92" s="15"/>
      <c r="AE92" s="15"/>
      <c r="AF92" s="15"/>
    </row>
    <row r="93" spans="1:41" x14ac:dyDescent="0.35">
      <c r="A93" s="15"/>
      <c r="B93" s="78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42"/>
      <c r="V93" s="15"/>
      <c r="W93" s="25" t="str">
        <f t="shared" si="9"/>
        <v>0</v>
      </c>
      <c r="X93" s="25"/>
      <c r="Y93" s="15"/>
      <c r="Z93" s="27"/>
      <c r="AA93" s="15"/>
      <c r="AB93" s="15"/>
      <c r="AC93" s="15"/>
      <c r="AD93" s="15"/>
      <c r="AE93" s="15"/>
      <c r="AF93" s="15"/>
    </row>
    <row r="94" spans="1:41" x14ac:dyDescent="0.35">
      <c r="A94" s="15"/>
      <c r="B94" s="78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42"/>
      <c r="V94" s="15"/>
      <c r="W94" s="25" t="str">
        <f t="shared" si="9"/>
        <v>0</v>
      </c>
      <c r="X94" s="25"/>
      <c r="Y94" s="15"/>
      <c r="Z94" s="27"/>
      <c r="AA94" s="15"/>
      <c r="AB94" s="15"/>
      <c r="AC94" s="15"/>
      <c r="AD94" s="15"/>
      <c r="AE94" s="15"/>
      <c r="AF94" s="15"/>
    </row>
    <row r="95" spans="1:41" x14ac:dyDescent="0.35">
      <c r="A95" s="15"/>
      <c r="B95" s="78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42"/>
      <c r="V95" s="15"/>
      <c r="W95" s="25" t="str">
        <f t="shared" si="9"/>
        <v>0</v>
      </c>
      <c r="X95" s="25"/>
      <c r="Y95" s="15"/>
      <c r="Z95" s="27"/>
      <c r="AA95" s="15"/>
      <c r="AB95" s="15"/>
      <c r="AC95" s="15"/>
      <c r="AD95" s="15"/>
      <c r="AE95" s="15"/>
      <c r="AF95" s="15"/>
    </row>
    <row r="96" spans="1:41" x14ac:dyDescent="0.35">
      <c r="A96" s="15"/>
      <c r="B96" s="78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42"/>
      <c r="V96" s="15"/>
      <c r="W96" s="25" t="str">
        <f t="shared" si="9"/>
        <v>0</v>
      </c>
      <c r="X96" s="25"/>
      <c r="Y96" s="15"/>
      <c r="Z96" s="27"/>
      <c r="AA96" s="15"/>
      <c r="AB96" s="15"/>
      <c r="AC96" s="15"/>
      <c r="AD96" s="15"/>
      <c r="AE96" s="15"/>
      <c r="AF96" s="15"/>
    </row>
    <row r="97" spans="1:32" x14ac:dyDescent="0.35">
      <c r="A97" s="15"/>
      <c r="B97" s="78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42"/>
      <c r="V97" s="15"/>
      <c r="W97" s="25" t="str">
        <f t="shared" si="9"/>
        <v>0</v>
      </c>
      <c r="X97" s="25"/>
      <c r="Y97" s="15"/>
      <c r="Z97" s="27"/>
      <c r="AA97" s="15"/>
      <c r="AB97" s="15"/>
      <c r="AC97" s="15"/>
      <c r="AD97" s="15"/>
      <c r="AE97" s="15"/>
      <c r="AF97" s="15"/>
    </row>
    <row r="98" spans="1:32" x14ac:dyDescent="0.35">
      <c r="A98" s="15"/>
      <c r="B98" s="78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42"/>
      <c r="V98" s="15"/>
      <c r="W98" s="25" t="str">
        <f t="shared" si="9"/>
        <v>0</v>
      </c>
      <c r="X98" s="25"/>
      <c r="Y98" s="15"/>
      <c r="Z98" s="27"/>
      <c r="AA98" s="15"/>
      <c r="AB98" s="15"/>
      <c r="AC98" s="15"/>
      <c r="AD98" s="15"/>
      <c r="AE98" s="15"/>
      <c r="AF98" s="15"/>
    </row>
    <row r="99" spans="1:32" x14ac:dyDescent="0.35">
      <c r="A99" s="15"/>
      <c r="B99" s="78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42"/>
      <c r="V99" s="15"/>
      <c r="W99" s="25" t="str">
        <f t="shared" si="9"/>
        <v>0</v>
      </c>
      <c r="X99" s="25"/>
      <c r="Y99" s="15"/>
      <c r="Z99" s="27"/>
      <c r="AA99" s="15"/>
      <c r="AB99" s="15"/>
      <c r="AC99" s="15"/>
      <c r="AD99" s="15"/>
      <c r="AE99" s="15"/>
      <c r="AF99" s="15"/>
    </row>
    <row r="100" spans="1:32" x14ac:dyDescent="0.35">
      <c r="A100" s="15"/>
      <c r="B100" s="78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42"/>
      <c r="V100" s="15"/>
      <c r="W100" s="25" t="str">
        <f t="shared" si="9"/>
        <v>0</v>
      </c>
      <c r="X100" s="25"/>
      <c r="Y100" s="15"/>
      <c r="Z100" s="27"/>
      <c r="AA100" s="15"/>
      <c r="AB100" s="15"/>
      <c r="AC100" s="15"/>
      <c r="AD100" s="15"/>
      <c r="AE100" s="15"/>
      <c r="AF100" s="15"/>
    </row>
    <row r="101" spans="1:32" x14ac:dyDescent="0.35">
      <c r="A101" s="15"/>
      <c r="B101" s="78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42"/>
      <c r="V101" s="15"/>
      <c r="W101" s="25" t="str">
        <f t="shared" si="9"/>
        <v>0</v>
      </c>
      <c r="X101" s="25"/>
      <c r="Y101" s="15"/>
      <c r="Z101" s="27"/>
      <c r="AA101" s="15"/>
      <c r="AB101" s="15"/>
      <c r="AC101" s="15"/>
      <c r="AD101" s="15"/>
      <c r="AE101" s="15"/>
      <c r="AF101" s="15"/>
    </row>
    <row r="102" spans="1:32" x14ac:dyDescent="0.35">
      <c r="A102" s="15"/>
      <c r="B102" s="78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42"/>
      <c r="V102" s="15"/>
      <c r="W102" s="25" t="str">
        <f t="shared" si="9"/>
        <v>0</v>
      </c>
      <c r="X102" s="25"/>
      <c r="Y102" s="15"/>
      <c r="Z102" s="27"/>
      <c r="AA102" s="15"/>
      <c r="AB102" s="15"/>
      <c r="AC102" s="15"/>
      <c r="AD102" s="15"/>
      <c r="AE102" s="15"/>
      <c r="AF102" s="15"/>
    </row>
    <row r="103" spans="1:32" x14ac:dyDescent="0.35">
      <c r="A103" s="15"/>
      <c r="B103" s="78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2"/>
      <c r="V103" s="15"/>
      <c r="W103" s="25" t="str">
        <f t="shared" si="9"/>
        <v>0</v>
      </c>
      <c r="X103" s="25"/>
      <c r="Y103" s="15"/>
      <c r="Z103" s="27"/>
      <c r="AA103" s="15"/>
      <c r="AB103" s="15"/>
      <c r="AC103" s="15"/>
      <c r="AD103" s="15"/>
      <c r="AE103" s="15"/>
      <c r="AF103" s="15"/>
    </row>
    <row r="104" spans="1:32" x14ac:dyDescent="0.35">
      <c r="A104" s="15"/>
      <c r="B104" s="78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42"/>
      <c r="V104" s="15"/>
      <c r="W104" s="25" t="str">
        <f t="shared" si="9"/>
        <v>0</v>
      </c>
      <c r="X104" s="25"/>
      <c r="Y104" s="15"/>
      <c r="Z104" s="27"/>
      <c r="AA104" s="15"/>
      <c r="AB104" s="15"/>
      <c r="AC104" s="15"/>
      <c r="AD104" s="15"/>
      <c r="AE104" s="15"/>
      <c r="AF104" s="15"/>
    </row>
    <row r="105" spans="1:32" x14ac:dyDescent="0.35">
      <c r="A105" s="15"/>
      <c r="B105" s="78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42"/>
      <c r="V105" s="15"/>
      <c r="W105" s="25" t="str">
        <f t="shared" si="9"/>
        <v>0</v>
      </c>
      <c r="X105" s="25"/>
      <c r="Y105" s="15"/>
      <c r="Z105" s="27"/>
      <c r="AA105" s="15"/>
      <c r="AB105" s="15"/>
      <c r="AC105" s="15"/>
      <c r="AD105" s="15"/>
      <c r="AE105" s="15"/>
      <c r="AF105" s="15"/>
    </row>
    <row r="106" spans="1:32" x14ac:dyDescent="0.35">
      <c r="A106" s="15"/>
      <c r="B106" s="78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42"/>
      <c r="V106" s="15"/>
      <c r="W106" s="25" t="str">
        <f t="shared" si="9"/>
        <v>0</v>
      </c>
      <c r="X106" s="25"/>
      <c r="Y106" s="15"/>
      <c r="Z106" s="27"/>
      <c r="AA106" s="15"/>
      <c r="AB106" s="15"/>
      <c r="AC106" s="15"/>
      <c r="AD106" s="15"/>
      <c r="AE106" s="15"/>
      <c r="AF106" s="15"/>
    </row>
    <row r="107" spans="1:32" x14ac:dyDescent="0.35">
      <c r="A107" s="15"/>
      <c r="B107" s="78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42"/>
      <c r="V107" s="15"/>
      <c r="W107" s="25" t="str">
        <f t="shared" si="9"/>
        <v>0</v>
      </c>
      <c r="X107" s="25"/>
      <c r="Y107" s="15"/>
      <c r="Z107" s="27"/>
      <c r="AA107" s="15"/>
      <c r="AB107" s="15"/>
      <c r="AC107" s="15"/>
      <c r="AD107" s="15"/>
      <c r="AE107" s="15"/>
      <c r="AF107" s="15"/>
    </row>
    <row r="108" spans="1:32" x14ac:dyDescent="0.35">
      <c r="A108" s="15"/>
      <c r="B108" s="78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42"/>
      <c r="V108" s="15"/>
      <c r="W108" s="25" t="str">
        <f t="shared" si="9"/>
        <v>0</v>
      </c>
      <c r="X108" s="25"/>
      <c r="Y108" s="15"/>
      <c r="Z108" s="27"/>
      <c r="AA108" s="15"/>
      <c r="AB108" s="15"/>
      <c r="AC108" s="15"/>
      <c r="AD108" s="15"/>
      <c r="AE108" s="15"/>
      <c r="AF108" s="15"/>
    </row>
    <row r="109" spans="1:32" x14ac:dyDescent="0.35">
      <c r="A109" s="15"/>
      <c r="B109" s="78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42"/>
      <c r="V109" s="15"/>
      <c r="W109" s="25" t="str">
        <f t="shared" si="9"/>
        <v>0</v>
      </c>
      <c r="X109" s="25"/>
      <c r="Y109" s="15"/>
      <c r="Z109" s="27"/>
      <c r="AA109" s="15"/>
      <c r="AB109" s="15"/>
      <c r="AC109" s="15"/>
      <c r="AD109" s="15"/>
      <c r="AE109" s="15"/>
      <c r="AF109" s="15"/>
    </row>
    <row r="110" spans="1:32" x14ac:dyDescent="0.35">
      <c r="A110" s="15"/>
      <c r="B110" s="78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42"/>
      <c r="V110" s="15"/>
      <c r="W110" s="25" t="str">
        <f t="shared" si="9"/>
        <v>0</v>
      </c>
      <c r="X110" s="25"/>
      <c r="Y110" s="15"/>
      <c r="Z110" s="27"/>
      <c r="AA110" s="15"/>
      <c r="AB110" s="15"/>
      <c r="AC110" s="15"/>
      <c r="AD110" s="15"/>
      <c r="AE110" s="15"/>
      <c r="AF110" s="15"/>
    </row>
    <row r="111" spans="1:32" x14ac:dyDescent="0.35">
      <c r="A111" s="15"/>
      <c r="B111" s="78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42"/>
      <c r="V111" s="15"/>
      <c r="W111" s="25" t="str">
        <f t="shared" si="9"/>
        <v>0</v>
      </c>
      <c r="X111" s="25"/>
      <c r="Y111" s="15"/>
      <c r="Z111" s="27"/>
      <c r="AA111" s="15"/>
      <c r="AB111" s="15"/>
      <c r="AC111" s="15"/>
      <c r="AD111" s="15"/>
      <c r="AE111" s="15"/>
      <c r="AF111" s="15"/>
    </row>
    <row r="112" spans="1:32" x14ac:dyDescent="0.35">
      <c r="A112" s="15"/>
      <c r="B112" s="78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42"/>
      <c r="V112" s="15"/>
      <c r="W112" s="25" t="str">
        <f t="shared" si="9"/>
        <v>0</v>
      </c>
      <c r="X112" s="25"/>
      <c r="Y112" s="15"/>
      <c r="Z112" s="27"/>
      <c r="AA112" s="15"/>
      <c r="AB112" s="15"/>
      <c r="AC112" s="15"/>
      <c r="AD112" s="15"/>
      <c r="AE112" s="15"/>
      <c r="AF112" s="15"/>
    </row>
    <row r="113" spans="1:32" x14ac:dyDescent="0.35">
      <c r="A113" s="15"/>
      <c r="B113" s="78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42"/>
      <c r="V113" s="15"/>
      <c r="W113" s="25" t="str">
        <f t="shared" si="9"/>
        <v>0</v>
      </c>
      <c r="X113" s="25"/>
      <c r="Y113" s="15"/>
      <c r="Z113" s="27"/>
      <c r="AA113" s="15"/>
      <c r="AB113" s="15"/>
      <c r="AC113" s="15"/>
      <c r="AD113" s="15"/>
      <c r="AE113" s="15"/>
      <c r="AF113" s="15"/>
    </row>
    <row r="114" spans="1:32" x14ac:dyDescent="0.35">
      <c r="A114" s="15"/>
      <c r="B114" s="78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42"/>
      <c r="V114" s="15"/>
      <c r="W114" s="25" t="str">
        <f t="shared" si="9"/>
        <v>0</v>
      </c>
      <c r="X114" s="25"/>
      <c r="Y114" s="15"/>
      <c r="Z114" s="27"/>
      <c r="AA114" s="15"/>
      <c r="AB114" s="15"/>
      <c r="AC114" s="15"/>
      <c r="AD114" s="15"/>
      <c r="AE114" s="15"/>
      <c r="AF114" s="15"/>
    </row>
    <row r="115" spans="1:32" x14ac:dyDescent="0.35">
      <c r="A115" s="15"/>
      <c r="B115" s="78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42"/>
      <c r="V115" s="15"/>
      <c r="W115" s="25" t="str">
        <f t="shared" si="9"/>
        <v>0</v>
      </c>
      <c r="X115" s="25"/>
      <c r="Y115" s="15"/>
      <c r="Z115" s="27"/>
      <c r="AA115" s="15"/>
      <c r="AB115" s="15"/>
      <c r="AC115" s="15"/>
      <c r="AD115" s="15"/>
      <c r="AE115" s="15"/>
      <c r="AF115" s="15"/>
    </row>
    <row r="116" spans="1:32" x14ac:dyDescent="0.35">
      <c r="A116" s="15"/>
      <c r="B116" s="78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42"/>
      <c r="V116" s="15"/>
      <c r="W116" s="25" t="str">
        <f t="shared" si="9"/>
        <v>0</v>
      </c>
      <c r="X116" s="25"/>
      <c r="Y116" s="15"/>
      <c r="Z116" s="27"/>
      <c r="AA116" s="15"/>
      <c r="AB116" s="15"/>
      <c r="AC116" s="15"/>
      <c r="AD116" s="15"/>
      <c r="AE116" s="15"/>
      <c r="AF116" s="15"/>
    </row>
    <row r="117" spans="1:32" x14ac:dyDescent="0.35">
      <c r="A117" s="15"/>
      <c r="B117" s="78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42"/>
      <c r="V117" s="15"/>
      <c r="W117" s="25" t="str">
        <f t="shared" si="9"/>
        <v>0</v>
      </c>
      <c r="X117" s="25"/>
      <c r="Y117" s="15"/>
      <c r="Z117" s="27"/>
      <c r="AA117" s="15"/>
      <c r="AB117" s="15"/>
      <c r="AC117" s="15"/>
      <c r="AD117" s="15"/>
      <c r="AE117" s="15"/>
      <c r="AF117" s="15"/>
    </row>
    <row r="118" spans="1:32" x14ac:dyDescent="0.35">
      <c r="A118" s="15"/>
      <c r="B118" s="78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42"/>
      <c r="V118" s="15"/>
      <c r="W118" s="25" t="str">
        <f t="shared" si="9"/>
        <v>0</v>
      </c>
      <c r="X118" s="25"/>
      <c r="Y118" s="15"/>
      <c r="Z118" s="27"/>
      <c r="AA118" s="15"/>
      <c r="AB118" s="15"/>
      <c r="AC118" s="15"/>
      <c r="AD118" s="15"/>
      <c r="AE118" s="15"/>
      <c r="AF118" s="15"/>
    </row>
    <row r="119" spans="1:32" x14ac:dyDescent="0.35">
      <c r="A119" s="15"/>
      <c r="B119" s="78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42"/>
      <c r="V119" s="15"/>
      <c r="W119" s="25" t="str">
        <f t="shared" si="9"/>
        <v>0</v>
      </c>
      <c r="X119" s="25"/>
      <c r="Y119" s="15"/>
      <c r="Z119" s="27"/>
      <c r="AA119" s="15"/>
      <c r="AB119" s="15"/>
      <c r="AC119" s="15"/>
      <c r="AD119" s="15"/>
      <c r="AE119" s="15"/>
      <c r="AF119" s="15"/>
    </row>
    <row r="120" spans="1:32" x14ac:dyDescent="0.35">
      <c r="A120" s="15"/>
      <c r="B120" s="78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42"/>
      <c r="V120" s="15"/>
      <c r="W120" s="25" t="str">
        <f t="shared" si="9"/>
        <v>0</v>
      </c>
      <c r="X120" s="25"/>
      <c r="Y120" s="15"/>
      <c r="Z120" s="27"/>
      <c r="AA120" s="15"/>
      <c r="AB120" s="15"/>
      <c r="AC120" s="15"/>
      <c r="AD120" s="15"/>
      <c r="AE120" s="15"/>
      <c r="AF120" s="15"/>
    </row>
    <row r="121" spans="1:32" x14ac:dyDescent="0.35">
      <c r="A121" s="15"/>
      <c r="B121" s="78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42"/>
      <c r="V121" s="15"/>
      <c r="W121" s="25" t="str">
        <f t="shared" si="9"/>
        <v>0</v>
      </c>
      <c r="X121" s="25"/>
      <c r="Y121" s="15"/>
      <c r="Z121" s="27"/>
      <c r="AA121" s="15"/>
      <c r="AB121" s="15"/>
      <c r="AC121" s="15"/>
      <c r="AD121" s="15"/>
      <c r="AE121" s="15"/>
      <c r="AF121" s="15"/>
    </row>
    <row r="122" spans="1:32" x14ac:dyDescent="0.35">
      <c r="A122" s="15"/>
      <c r="B122" s="78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42"/>
      <c r="V122" s="15"/>
      <c r="W122" s="25" t="str">
        <f t="shared" si="9"/>
        <v>0</v>
      </c>
      <c r="X122" s="25"/>
      <c r="Y122" s="15"/>
      <c r="Z122" s="27"/>
      <c r="AA122" s="15"/>
      <c r="AB122" s="15"/>
      <c r="AC122" s="15"/>
      <c r="AD122" s="15"/>
      <c r="AE122" s="15"/>
      <c r="AF122" s="15"/>
    </row>
    <row r="123" spans="1:32" x14ac:dyDescent="0.35">
      <c r="A123" s="15"/>
      <c r="B123" s="78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42"/>
      <c r="V123" s="15"/>
      <c r="W123" s="25" t="str">
        <f t="shared" si="9"/>
        <v>0</v>
      </c>
      <c r="X123" s="25"/>
      <c r="Y123" s="15"/>
      <c r="Z123" s="27"/>
      <c r="AA123" s="15"/>
      <c r="AB123" s="15"/>
      <c r="AC123" s="15"/>
      <c r="AD123" s="15"/>
      <c r="AE123" s="15"/>
      <c r="AF123" s="15"/>
    </row>
    <row r="124" spans="1:32" x14ac:dyDescent="0.35">
      <c r="A124" s="15"/>
      <c r="B124" s="78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2"/>
      <c r="V124" s="15"/>
      <c r="W124" s="25" t="str">
        <f t="shared" si="9"/>
        <v>0</v>
      </c>
      <c r="X124" s="25"/>
      <c r="Y124" s="15"/>
      <c r="Z124" s="27"/>
      <c r="AA124" s="15"/>
      <c r="AB124" s="15"/>
      <c r="AC124" s="15"/>
      <c r="AD124" s="15"/>
      <c r="AE124" s="15"/>
      <c r="AF124" s="15"/>
    </row>
    <row r="125" spans="1:32" x14ac:dyDescent="0.35">
      <c r="A125" s="15"/>
      <c r="B125" s="78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42"/>
      <c r="V125" s="15"/>
      <c r="W125" s="25" t="str">
        <f t="shared" si="9"/>
        <v>0</v>
      </c>
      <c r="X125" s="25"/>
      <c r="Y125" s="15"/>
      <c r="Z125" s="27"/>
      <c r="AA125" s="15"/>
      <c r="AB125" s="15"/>
      <c r="AC125" s="15"/>
      <c r="AD125" s="15"/>
      <c r="AE125" s="15"/>
      <c r="AF125" s="15"/>
    </row>
    <row r="126" spans="1:32" x14ac:dyDescent="0.35">
      <c r="A126" s="15"/>
      <c r="B126" s="78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42"/>
      <c r="V126" s="15"/>
      <c r="W126" s="25" t="str">
        <f t="shared" ref="W126:W189" si="10">IFERROR(V126/M126,"0")</f>
        <v>0</v>
      </c>
      <c r="X126" s="25"/>
      <c r="Y126" s="15"/>
      <c r="Z126" s="27"/>
      <c r="AA126" s="15"/>
      <c r="AB126" s="15"/>
      <c r="AC126" s="15"/>
      <c r="AD126" s="15"/>
      <c r="AE126" s="15"/>
      <c r="AF126" s="15"/>
    </row>
    <row r="127" spans="1:32" x14ac:dyDescent="0.35">
      <c r="A127" s="15"/>
      <c r="B127" s="78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42"/>
      <c r="V127" s="15"/>
      <c r="W127" s="25" t="str">
        <f t="shared" si="10"/>
        <v>0</v>
      </c>
      <c r="X127" s="25"/>
      <c r="Y127" s="15"/>
      <c r="Z127" s="27"/>
      <c r="AA127" s="15"/>
      <c r="AB127" s="15"/>
      <c r="AC127" s="15"/>
      <c r="AD127" s="15"/>
      <c r="AE127" s="15"/>
      <c r="AF127" s="15"/>
    </row>
    <row r="128" spans="1:32" x14ac:dyDescent="0.35">
      <c r="A128" s="15"/>
      <c r="B128" s="78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42"/>
      <c r="V128" s="15"/>
      <c r="W128" s="25" t="str">
        <f t="shared" si="10"/>
        <v>0</v>
      </c>
      <c r="X128" s="25"/>
      <c r="Y128" s="15"/>
      <c r="Z128" s="27"/>
      <c r="AA128" s="15"/>
      <c r="AB128" s="15"/>
      <c r="AC128" s="15"/>
      <c r="AD128" s="15"/>
      <c r="AE128" s="15"/>
      <c r="AF128" s="15"/>
    </row>
    <row r="129" spans="1:32" x14ac:dyDescent="0.35">
      <c r="A129" s="15"/>
      <c r="B129" s="78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42"/>
      <c r="V129" s="15"/>
      <c r="W129" s="25" t="str">
        <f t="shared" si="10"/>
        <v>0</v>
      </c>
      <c r="X129" s="25"/>
      <c r="Y129" s="15"/>
      <c r="Z129" s="27"/>
      <c r="AA129" s="15"/>
      <c r="AB129" s="15"/>
      <c r="AC129" s="15"/>
      <c r="AD129" s="15"/>
      <c r="AE129" s="15"/>
      <c r="AF129" s="15"/>
    </row>
    <row r="130" spans="1:32" x14ac:dyDescent="0.35">
      <c r="A130" s="15"/>
      <c r="B130" s="78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42"/>
      <c r="V130" s="15"/>
      <c r="W130" s="25" t="str">
        <f t="shared" si="10"/>
        <v>0</v>
      </c>
      <c r="X130" s="25"/>
      <c r="Y130" s="15"/>
      <c r="Z130" s="27"/>
      <c r="AA130" s="15"/>
      <c r="AB130" s="15"/>
      <c r="AC130" s="15"/>
      <c r="AD130" s="15"/>
      <c r="AE130" s="15"/>
      <c r="AF130" s="15"/>
    </row>
    <row r="131" spans="1:32" x14ac:dyDescent="0.35">
      <c r="A131" s="15"/>
      <c r="B131" s="78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42"/>
      <c r="V131" s="15"/>
      <c r="W131" s="25" t="str">
        <f t="shared" si="10"/>
        <v>0</v>
      </c>
      <c r="X131" s="25"/>
      <c r="Y131" s="15"/>
      <c r="Z131" s="27"/>
      <c r="AA131" s="15"/>
      <c r="AB131" s="15"/>
      <c r="AC131" s="15"/>
      <c r="AD131" s="15"/>
      <c r="AE131" s="15"/>
      <c r="AF131" s="15"/>
    </row>
    <row r="132" spans="1:32" x14ac:dyDescent="0.35">
      <c r="A132" s="15"/>
      <c r="B132" s="78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42"/>
      <c r="V132" s="15"/>
      <c r="W132" s="25" t="str">
        <f t="shared" si="10"/>
        <v>0</v>
      </c>
      <c r="X132" s="25"/>
      <c r="Y132" s="15"/>
      <c r="Z132" s="27"/>
      <c r="AA132" s="15"/>
      <c r="AB132" s="15"/>
      <c r="AC132" s="15"/>
      <c r="AD132" s="15"/>
      <c r="AE132" s="15"/>
      <c r="AF132" s="15"/>
    </row>
    <row r="133" spans="1:32" x14ac:dyDescent="0.35">
      <c r="A133" s="15"/>
      <c r="B133" s="78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42"/>
      <c r="V133" s="15"/>
      <c r="W133" s="25" t="str">
        <f t="shared" si="10"/>
        <v>0</v>
      </c>
      <c r="X133" s="25"/>
      <c r="Y133" s="15"/>
      <c r="Z133" s="27"/>
      <c r="AA133" s="15"/>
      <c r="AB133" s="15"/>
      <c r="AC133" s="15"/>
      <c r="AD133" s="15"/>
      <c r="AE133" s="15"/>
      <c r="AF133" s="15"/>
    </row>
    <row r="134" spans="1:32" x14ac:dyDescent="0.35">
      <c r="A134" s="15"/>
      <c r="B134" s="78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42"/>
      <c r="V134" s="15"/>
      <c r="W134" s="25" t="str">
        <f t="shared" si="10"/>
        <v>0</v>
      </c>
      <c r="X134" s="25"/>
      <c r="Y134" s="15"/>
      <c r="Z134" s="27"/>
      <c r="AA134" s="15"/>
      <c r="AB134" s="15"/>
      <c r="AC134" s="15"/>
      <c r="AD134" s="15"/>
      <c r="AE134" s="15"/>
      <c r="AF134" s="15"/>
    </row>
    <row r="135" spans="1:32" x14ac:dyDescent="0.35">
      <c r="A135" s="15"/>
      <c r="B135" s="78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42"/>
      <c r="V135" s="15"/>
      <c r="W135" s="25" t="str">
        <f t="shared" si="10"/>
        <v>0</v>
      </c>
      <c r="X135" s="25"/>
      <c r="Y135" s="15"/>
      <c r="Z135" s="27"/>
      <c r="AA135" s="15"/>
      <c r="AB135" s="15"/>
      <c r="AC135" s="15"/>
      <c r="AD135" s="15"/>
      <c r="AE135" s="15"/>
      <c r="AF135" s="15"/>
    </row>
    <row r="136" spans="1:32" x14ac:dyDescent="0.35">
      <c r="A136" s="15"/>
      <c r="B136" s="78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42"/>
      <c r="V136" s="15"/>
      <c r="W136" s="25" t="str">
        <f t="shared" si="10"/>
        <v>0</v>
      </c>
      <c r="X136" s="25"/>
      <c r="Y136" s="15"/>
      <c r="Z136" s="27"/>
      <c r="AA136" s="15"/>
      <c r="AB136" s="15"/>
      <c r="AC136" s="15"/>
      <c r="AD136" s="15"/>
      <c r="AE136" s="15"/>
      <c r="AF136" s="15"/>
    </row>
    <row r="137" spans="1:32" x14ac:dyDescent="0.35">
      <c r="A137" s="15"/>
      <c r="B137" s="78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42"/>
      <c r="V137" s="15"/>
      <c r="W137" s="25" t="str">
        <f t="shared" si="10"/>
        <v>0</v>
      </c>
      <c r="X137" s="25"/>
      <c r="Y137" s="15"/>
      <c r="Z137" s="27"/>
      <c r="AA137" s="15"/>
      <c r="AB137" s="15"/>
      <c r="AC137" s="15"/>
      <c r="AD137" s="15"/>
      <c r="AE137" s="15"/>
      <c r="AF137" s="15"/>
    </row>
    <row r="138" spans="1:32" x14ac:dyDescent="0.35">
      <c r="A138" s="15"/>
      <c r="B138" s="78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42"/>
      <c r="V138" s="15"/>
      <c r="W138" s="25" t="str">
        <f t="shared" si="10"/>
        <v>0</v>
      </c>
      <c r="X138" s="25"/>
      <c r="Y138" s="15"/>
      <c r="Z138" s="27"/>
      <c r="AA138" s="15"/>
      <c r="AB138" s="15"/>
      <c r="AC138" s="15"/>
      <c r="AD138" s="15"/>
      <c r="AE138" s="15"/>
      <c r="AF138" s="15"/>
    </row>
    <row r="139" spans="1:32" x14ac:dyDescent="0.35">
      <c r="A139" s="15"/>
      <c r="B139" s="78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42"/>
      <c r="V139" s="15"/>
      <c r="W139" s="25" t="str">
        <f t="shared" si="10"/>
        <v>0</v>
      </c>
      <c r="X139" s="25"/>
      <c r="Y139" s="15"/>
      <c r="Z139" s="27"/>
      <c r="AA139" s="15"/>
      <c r="AB139" s="15"/>
      <c r="AC139" s="15"/>
      <c r="AD139" s="15"/>
      <c r="AE139" s="15"/>
      <c r="AF139" s="15"/>
    </row>
    <row r="140" spans="1:32" x14ac:dyDescent="0.35">
      <c r="A140" s="15"/>
      <c r="B140" s="78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42"/>
      <c r="V140" s="15"/>
      <c r="W140" s="25" t="str">
        <f t="shared" si="10"/>
        <v>0</v>
      </c>
      <c r="X140" s="25"/>
      <c r="Y140" s="15"/>
      <c r="Z140" s="27"/>
      <c r="AA140" s="15"/>
      <c r="AB140" s="15"/>
      <c r="AC140" s="15"/>
      <c r="AD140" s="15"/>
      <c r="AE140" s="15"/>
      <c r="AF140" s="15"/>
    </row>
    <row r="141" spans="1:32" x14ac:dyDescent="0.35">
      <c r="A141" s="15"/>
      <c r="B141" s="78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42"/>
      <c r="V141" s="15"/>
      <c r="W141" s="25" t="str">
        <f t="shared" si="10"/>
        <v>0</v>
      </c>
      <c r="X141" s="25"/>
      <c r="Y141" s="15"/>
      <c r="Z141" s="27"/>
      <c r="AA141" s="15"/>
      <c r="AB141" s="15"/>
      <c r="AC141" s="15"/>
      <c r="AD141" s="15"/>
      <c r="AE141" s="15"/>
      <c r="AF141" s="15"/>
    </row>
    <row r="142" spans="1:32" x14ac:dyDescent="0.35">
      <c r="A142" s="15"/>
      <c r="B142" s="78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42"/>
      <c r="V142" s="15"/>
      <c r="W142" s="25" t="str">
        <f t="shared" si="10"/>
        <v>0</v>
      </c>
      <c r="X142" s="25"/>
      <c r="Y142" s="15"/>
      <c r="Z142" s="27"/>
      <c r="AA142" s="15"/>
      <c r="AB142" s="15"/>
      <c r="AC142" s="15"/>
      <c r="AD142" s="15"/>
      <c r="AE142" s="15"/>
      <c r="AF142" s="15"/>
    </row>
    <row r="143" spans="1:32" x14ac:dyDescent="0.35">
      <c r="A143" s="15"/>
      <c r="B143" s="78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42"/>
      <c r="V143" s="15"/>
      <c r="W143" s="25" t="str">
        <f t="shared" si="10"/>
        <v>0</v>
      </c>
      <c r="X143" s="25"/>
      <c r="Y143" s="15"/>
      <c r="Z143" s="27"/>
      <c r="AA143" s="15"/>
      <c r="AB143" s="15"/>
      <c r="AC143" s="15"/>
      <c r="AD143" s="15"/>
      <c r="AE143" s="15"/>
      <c r="AF143" s="15"/>
    </row>
    <row r="144" spans="1:32" x14ac:dyDescent="0.35">
      <c r="A144" s="15"/>
      <c r="B144" s="78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42"/>
      <c r="V144" s="15"/>
      <c r="W144" s="25" t="str">
        <f t="shared" si="10"/>
        <v>0</v>
      </c>
      <c r="X144" s="25"/>
      <c r="Y144" s="15"/>
      <c r="Z144" s="27"/>
      <c r="AA144" s="15"/>
      <c r="AB144" s="15"/>
      <c r="AC144" s="15"/>
      <c r="AD144" s="15"/>
      <c r="AE144" s="15"/>
      <c r="AF144" s="15"/>
    </row>
    <row r="145" spans="1:32" x14ac:dyDescent="0.35">
      <c r="A145" s="15"/>
      <c r="B145" s="78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42"/>
      <c r="V145" s="15"/>
      <c r="W145" s="25" t="str">
        <f t="shared" si="10"/>
        <v>0</v>
      </c>
      <c r="X145" s="25"/>
      <c r="Y145" s="15"/>
      <c r="Z145" s="27"/>
      <c r="AA145" s="15"/>
      <c r="AB145" s="15"/>
      <c r="AC145" s="15"/>
      <c r="AD145" s="15"/>
      <c r="AE145" s="15"/>
      <c r="AF145" s="15"/>
    </row>
    <row r="146" spans="1:32" x14ac:dyDescent="0.35">
      <c r="A146" s="15"/>
      <c r="B146" s="78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42"/>
      <c r="V146" s="15"/>
      <c r="W146" s="25" t="str">
        <f t="shared" si="10"/>
        <v>0</v>
      </c>
      <c r="X146" s="25"/>
      <c r="Y146" s="15"/>
      <c r="Z146" s="27"/>
      <c r="AA146" s="15"/>
      <c r="AB146" s="15"/>
      <c r="AC146" s="15"/>
      <c r="AD146" s="15"/>
      <c r="AE146" s="15"/>
      <c r="AF146" s="15"/>
    </row>
    <row r="147" spans="1:32" x14ac:dyDescent="0.35">
      <c r="A147" s="15"/>
      <c r="B147" s="78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42"/>
      <c r="V147" s="15"/>
      <c r="W147" s="25" t="str">
        <f t="shared" si="10"/>
        <v>0</v>
      </c>
      <c r="X147" s="25"/>
      <c r="Y147" s="15"/>
      <c r="Z147" s="27"/>
      <c r="AA147" s="15"/>
      <c r="AB147" s="15"/>
      <c r="AC147" s="15"/>
      <c r="AD147" s="15"/>
      <c r="AE147" s="15"/>
      <c r="AF147" s="15"/>
    </row>
    <row r="148" spans="1:32" x14ac:dyDescent="0.35">
      <c r="A148" s="15"/>
      <c r="B148" s="78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42"/>
      <c r="V148" s="15"/>
      <c r="W148" s="25" t="str">
        <f t="shared" si="10"/>
        <v>0</v>
      </c>
      <c r="X148" s="25"/>
      <c r="Y148" s="15"/>
      <c r="Z148" s="27"/>
      <c r="AA148" s="15"/>
      <c r="AB148" s="15"/>
      <c r="AC148" s="15"/>
      <c r="AD148" s="15"/>
      <c r="AE148" s="15"/>
      <c r="AF148" s="15"/>
    </row>
    <row r="149" spans="1:32" x14ac:dyDescent="0.35">
      <c r="A149" s="15"/>
      <c r="B149" s="78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42"/>
      <c r="V149" s="15"/>
      <c r="W149" s="25" t="str">
        <f t="shared" si="10"/>
        <v>0</v>
      </c>
      <c r="X149" s="25"/>
      <c r="Y149" s="15"/>
      <c r="Z149" s="27"/>
      <c r="AA149" s="15"/>
      <c r="AB149" s="15"/>
      <c r="AC149" s="15"/>
      <c r="AD149" s="15"/>
      <c r="AE149" s="15"/>
      <c r="AF149" s="15"/>
    </row>
    <row r="150" spans="1:32" x14ac:dyDescent="0.35">
      <c r="A150" s="15"/>
      <c r="B150" s="78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42"/>
      <c r="V150" s="15"/>
      <c r="W150" s="25" t="str">
        <f t="shared" si="10"/>
        <v>0</v>
      </c>
      <c r="X150" s="25"/>
      <c r="Y150" s="15"/>
      <c r="Z150" s="27"/>
      <c r="AA150" s="15"/>
      <c r="AB150" s="15"/>
      <c r="AC150" s="15"/>
      <c r="AD150" s="15"/>
      <c r="AE150" s="15"/>
      <c r="AF150" s="15"/>
    </row>
    <row r="151" spans="1:32" x14ac:dyDescent="0.35">
      <c r="A151" s="15"/>
      <c r="B151" s="78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42"/>
      <c r="V151" s="15"/>
      <c r="W151" s="25" t="str">
        <f t="shared" si="10"/>
        <v>0</v>
      </c>
      <c r="X151" s="25"/>
      <c r="Y151" s="15"/>
      <c r="Z151" s="27"/>
      <c r="AA151" s="15"/>
      <c r="AB151" s="15"/>
      <c r="AC151" s="15"/>
      <c r="AD151" s="15"/>
      <c r="AE151" s="15"/>
      <c r="AF151" s="15"/>
    </row>
    <row r="152" spans="1:32" x14ac:dyDescent="0.35">
      <c r="A152" s="15"/>
      <c r="B152" s="78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42"/>
      <c r="V152" s="15"/>
      <c r="W152" s="25" t="str">
        <f t="shared" si="10"/>
        <v>0</v>
      </c>
      <c r="X152" s="25"/>
      <c r="Y152" s="15"/>
      <c r="Z152" s="27"/>
      <c r="AA152" s="15"/>
      <c r="AB152" s="15"/>
      <c r="AC152" s="15"/>
      <c r="AD152" s="15"/>
      <c r="AE152" s="15"/>
      <c r="AF152" s="15"/>
    </row>
    <row r="153" spans="1:32" x14ac:dyDescent="0.35">
      <c r="A153" s="15"/>
      <c r="B153" s="78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42"/>
      <c r="V153" s="15"/>
      <c r="W153" s="25" t="str">
        <f t="shared" si="10"/>
        <v>0</v>
      </c>
      <c r="X153" s="25"/>
      <c r="Y153" s="15"/>
      <c r="Z153" s="27"/>
      <c r="AA153" s="15"/>
      <c r="AB153" s="15"/>
      <c r="AC153" s="15"/>
      <c r="AD153" s="15"/>
      <c r="AE153" s="15"/>
      <c r="AF153" s="15"/>
    </row>
    <row r="154" spans="1:32" x14ac:dyDescent="0.35">
      <c r="A154" s="15"/>
      <c r="B154" s="78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42"/>
      <c r="V154" s="15"/>
      <c r="W154" s="25" t="str">
        <f t="shared" si="10"/>
        <v>0</v>
      </c>
      <c r="X154" s="25"/>
      <c r="Y154" s="15"/>
      <c r="Z154" s="27"/>
      <c r="AA154" s="15"/>
      <c r="AB154" s="15"/>
      <c r="AC154" s="15"/>
      <c r="AD154" s="15"/>
      <c r="AE154" s="15"/>
      <c r="AF154" s="15"/>
    </row>
    <row r="155" spans="1:32" x14ac:dyDescent="0.35">
      <c r="A155" s="15"/>
      <c r="B155" s="78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42"/>
      <c r="V155" s="15"/>
      <c r="W155" s="25" t="str">
        <f t="shared" si="10"/>
        <v>0</v>
      </c>
      <c r="X155" s="25"/>
      <c r="Y155" s="15"/>
      <c r="Z155" s="27"/>
      <c r="AA155" s="15"/>
      <c r="AB155" s="15"/>
      <c r="AC155" s="15"/>
      <c r="AD155" s="15"/>
      <c r="AE155" s="15"/>
      <c r="AF155" s="15"/>
    </row>
    <row r="156" spans="1:32" x14ac:dyDescent="0.35">
      <c r="A156" s="15"/>
      <c r="B156" s="78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42"/>
      <c r="V156" s="15"/>
      <c r="W156" s="25" t="str">
        <f t="shared" si="10"/>
        <v>0</v>
      </c>
      <c r="X156" s="25"/>
      <c r="Y156" s="15"/>
      <c r="Z156" s="27"/>
      <c r="AA156" s="15"/>
      <c r="AB156" s="15"/>
      <c r="AC156" s="15"/>
      <c r="AD156" s="15"/>
      <c r="AE156" s="15"/>
      <c r="AF156" s="15"/>
    </row>
    <row r="157" spans="1:32" x14ac:dyDescent="0.35">
      <c r="A157" s="15"/>
      <c r="B157" s="78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42"/>
      <c r="V157" s="15"/>
      <c r="W157" s="25" t="str">
        <f t="shared" si="10"/>
        <v>0</v>
      </c>
      <c r="X157" s="25"/>
      <c r="Y157" s="15"/>
      <c r="Z157" s="27"/>
      <c r="AA157" s="15"/>
      <c r="AB157" s="15"/>
      <c r="AC157" s="15"/>
      <c r="AD157" s="15"/>
      <c r="AE157" s="15"/>
      <c r="AF157" s="15"/>
    </row>
    <row r="158" spans="1:32" x14ac:dyDescent="0.35">
      <c r="A158" s="15"/>
      <c r="B158" s="78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42"/>
      <c r="V158" s="15"/>
      <c r="W158" s="25" t="str">
        <f t="shared" si="10"/>
        <v>0</v>
      </c>
      <c r="X158" s="25"/>
      <c r="Y158" s="15"/>
      <c r="Z158" s="27"/>
      <c r="AA158" s="15"/>
      <c r="AB158" s="15"/>
      <c r="AC158" s="15"/>
      <c r="AD158" s="15"/>
      <c r="AE158" s="15"/>
      <c r="AF158" s="15"/>
    </row>
    <row r="159" spans="1:32" x14ac:dyDescent="0.35">
      <c r="A159" s="15"/>
      <c r="B159" s="78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42"/>
      <c r="V159" s="15"/>
      <c r="W159" s="25" t="str">
        <f t="shared" si="10"/>
        <v>0</v>
      </c>
      <c r="X159" s="25"/>
      <c r="Y159" s="15"/>
      <c r="Z159" s="27"/>
      <c r="AA159" s="15"/>
      <c r="AB159" s="15"/>
      <c r="AC159" s="15"/>
      <c r="AD159" s="15"/>
      <c r="AE159" s="15"/>
      <c r="AF159" s="15"/>
    </row>
    <row r="160" spans="1:32" x14ac:dyDescent="0.35">
      <c r="A160" s="15"/>
      <c r="B160" s="78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42"/>
      <c r="V160" s="15"/>
      <c r="W160" s="25" t="str">
        <f t="shared" si="10"/>
        <v>0</v>
      </c>
      <c r="X160" s="25"/>
      <c r="Y160" s="15"/>
      <c r="Z160" s="27"/>
      <c r="AA160" s="15"/>
      <c r="AB160" s="15"/>
      <c r="AC160" s="15"/>
      <c r="AD160" s="15"/>
      <c r="AE160" s="15"/>
      <c r="AF160" s="15"/>
    </row>
    <row r="161" spans="1:32" x14ac:dyDescent="0.35">
      <c r="A161" s="15"/>
      <c r="B161" s="78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42"/>
      <c r="V161" s="15"/>
      <c r="W161" s="25" t="str">
        <f t="shared" si="10"/>
        <v>0</v>
      </c>
      <c r="X161" s="25"/>
      <c r="Y161" s="15"/>
      <c r="Z161" s="27"/>
      <c r="AA161" s="15"/>
      <c r="AB161" s="15"/>
      <c r="AC161" s="15"/>
      <c r="AD161" s="15"/>
      <c r="AE161" s="15"/>
      <c r="AF161" s="15"/>
    </row>
    <row r="162" spans="1:32" x14ac:dyDescent="0.35">
      <c r="A162" s="15"/>
      <c r="B162" s="78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42"/>
      <c r="V162" s="15"/>
      <c r="W162" s="25" t="str">
        <f t="shared" si="10"/>
        <v>0</v>
      </c>
      <c r="X162" s="25"/>
      <c r="Y162" s="15"/>
      <c r="Z162" s="27"/>
      <c r="AA162" s="15"/>
      <c r="AB162" s="15"/>
      <c r="AC162" s="15"/>
      <c r="AD162" s="15"/>
      <c r="AE162" s="15"/>
      <c r="AF162" s="15"/>
    </row>
    <row r="163" spans="1:32" x14ac:dyDescent="0.35">
      <c r="A163" s="15"/>
      <c r="B163" s="78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42"/>
      <c r="V163" s="15"/>
      <c r="W163" s="25" t="str">
        <f t="shared" si="10"/>
        <v>0</v>
      </c>
      <c r="X163" s="25"/>
      <c r="Y163" s="15"/>
      <c r="Z163" s="27"/>
      <c r="AA163" s="15"/>
      <c r="AB163" s="15"/>
      <c r="AC163" s="15"/>
      <c r="AD163" s="15"/>
      <c r="AE163" s="15"/>
      <c r="AF163" s="15"/>
    </row>
    <row r="164" spans="1:32" x14ac:dyDescent="0.35">
      <c r="A164" s="15"/>
      <c r="B164" s="78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42"/>
      <c r="V164" s="15"/>
      <c r="W164" s="25" t="str">
        <f t="shared" si="10"/>
        <v>0</v>
      </c>
      <c r="X164" s="25"/>
      <c r="Y164" s="15"/>
      <c r="Z164" s="27"/>
      <c r="AA164" s="15"/>
      <c r="AB164" s="15"/>
      <c r="AC164" s="15"/>
      <c r="AD164" s="15"/>
      <c r="AE164" s="15"/>
      <c r="AF164" s="15"/>
    </row>
    <row r="165" spans="1:32" x14ac:dyDescent="0.35">
      <c r="A165" s="15"/>
      <c r="B165" s="78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42"/>
      <c r="V165" s="15"/>
      <c r="W165" s="25" t="str">
        <f t="shared" si="10"/>
        <v>0</v>
      </c>
      <c r="X165" s="25"/>
      <c r="Y165" s="15"/>
      <c r="Z165" s="27"/>
      <c r="AA165" s="15"/>
      <c r="AB165" s="15"/>
      <c r="AC165" s="15"/>
      <c r="AD165" s="15"/>
      <c r="AE165" s="15"/>
      <c r="AF165" s="15"/>
    </row>
    <row r="166" spans="1:32" x14ac:dyDescent="0.35">
      <c r="A166" s="15"/>
      <c r="B166" s="78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42"/>
      <c r="V166" s="15"/>
      <c r="W166" s="25" t="str">
        <f t="shared" si="10"/>
        <v>0</v>
      </c>
      <c r="X166" s="25"/>
      <c r="Y166" s="15"/>
      <c r="Z166" s="27"/>
      <c r="AA166" s="15"/>
      <c r="AB166" s="15"/>
      <c r="AC166" s="15"/>
      <c r="AD166" s="15"/>
      <c r="AE166" s="15"/>
      <c r="AF166" s="15"/>
    </row>
    <row r="167" spans="1:32" x14ac:dyDescent="0.35">
      <c r="A167" s="15"/>
      <c r="B167" s="78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42"/>
      <c r="V167" s="15"/>
      <c r="W167" s="25" t="str">
        <f t="shared" si="10"/>
        <v>0</v>
      </c>
      <c r="X167" s="25"/>
      <c r="Y167" s="15"/>
      <c r="Z167" s="27"/>
      <c r="AA167" s="15"/>
      <c r="AB167" s="15"/>
      <c r="AC167" s="15"/>
      <c r="AD167" s="15"/>
      <c r="AE167" s="15"/>
      <c r="AF167" s="15"/>
    </row>
    <row r="168" spans="1:32" x14ac:dyDescent="0.35">
      <c r="A168" s="15"/>
      <c r="B168" s="78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42"/>
      <c r="V168" s="15"/>
      <c r="W168" s="25" t="str">
        <f t="shared" si="10"/>
        <v>0</v>
      </c>
      <c r="X168" s="25"/>
      <c r="Y168" s="15"/>
      <c r="Z168" s="27"/>
      <c r="AA168" s="15"/>
      <c r="AB168" s="15"/>
      <c r="AC168" s="15"/>
      <c r="AD168" s="15"/>
      <c r="AE168" s="15"/>
      <c r="AF168" s="15"/>
    </row>
    <row r="169" spans="1:32" x14ac:dyDescent="0.35">
      <c r="A169" s="15"/>
      <c r="B169" s="78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42"/>
      <c r="V169" s="15"/>
      <c r="W169" s="25" t="str">
        <f t="shared" si="10"/>
        <v>0</v>
      </c>
      <c r="X169" s="25"/>
      <c r="Y169" s="15"/>
      <c r="Z169" s="27"/>
      <c r="AA169" s="15"/>
      <c r="AB169" s="15"/>
      <c r="AC169" s="15"/>
      <c r="AD169" s="15"/>
      <c r="AE169" s="15"/>
      <c r="AF169" s="15"/>
    </row>
    <row r="170" spans="1:32" x14ac:dyDescent="0.35">
      <c r="A170" s="15"/>
      <c r="B170" s="78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42"/>
      <c r="V170" s="15"/>
      <c r="W170" s="25" t="str">
        <f t="shared" si="10"/>
        <v>0</v>
      </c>
      <c r="X170" s="25"/>
      <c r="Y170" s="15"/>
      <c r="Z170" s="27"/>
      <c r="AA170" s="15"/>
      <c r="AB170" s="15"/>
      <c r="AC170" s="15"/>
      <c r="AD170" s="15"/>
      <c r="AE170" s="15"/>
      <c r="AF170" s="15"/>
    </row>
    <row r="171" spans="1:32" x14ac:dyDescent="0.35">
      <c r="A171" s="15"/>
      <c r="B171" s="78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42"/>
      <c r="V171" s="15"/>
      <c r="W171" s="25" t="str">
        <f t="shared" si="10"/>
        <v>0</v>
      </c>
      <c r="X171" s="25"/>
      <c r="Y171" s="15"/>
      <c r="Z171" s="27"/>
      <c r="AA171" s="15"/>
      <c r="AB171" s="15"/>
      <c r="AC171" s="15"/>
      <c r="AD171" s="15"/>
      <c r="AE171" s="15"/>
      <c r="AF171" s="15"/>
    </row>
    <row r="172" spans="1:32" x14ac:dyDescent="0.35">
      <c r="A172" s="15"/>
      <c r="B172" s="78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42"/>
      <c r="V172" s="15"/>
      <c r="W172" s="25" t="str">
        <f t="shared" si="10"/>
        <v>0</v>
      </c>
      <c r="X172" s="25"/>
      <c r="Y172" s="15"/>
      <c r="Z172" s="27"/>
      <c r="AA172" s="15"/>
      <c r="AB172" s="15"/>
      <c r="AC172" s="15"/>
      <c r="AD172" s="15"/>
      <c r="AE172" s="15"/>
      <c r="AF172" s="15"/>
    </row>
    <row r="173" spans="1:32" x14ac:dyDescent="0.35">
      <c r="A173" s="15"/>
      <c r="B173" s="78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42"/>
      <c r="V173" s="15"/>
      <c r="W173" s="25" t="str">
        <f t="shared" si="10"/>
        <v>0</v>
      </c>
      <c r="X173" s="25"/>
      <c r="Y173" s="15"/>
      <c r="Z173" s="27"/>
      <c r="AA173" s="15"/>
      <c r="AB173" s="15"/>
      <c r="AC173" s="15"/>
      <c r="AD173" s="15"/>
      <c r="AE173" s="15"/>
      <c r="AF173" s="15"/>
    </row>
    <row r="174" spans="1:32" x14ac:dyDescent="0.35">
      <c r="A174" s="15"/>
      <c r="B174" s="78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42"/>
      <c r="V174" s="15"/>
      <c r="W174" s="25" t="str">
        <f t="shared" si="10"/>
        <v>0</v>
      </c>
      <c r="X174" s="25"/>
      <c r="Y174" s="15"/>
      <c r="Z174" s="27"/>
      <c r="AA174" s="15"/>
      <c r="AB174" s="15"/>
      <c r="AC174" s="15"/>
      <c r="AD174" s="15"/>
      <c r="AE174" s="15"/>
      <c r="AF174" s="15"/>
    </row>
    <row r="175" spans="1:32" x14ac:dyDescent="0.35">
      <c r="A175" s="15"/>
      <c r="B175" s="78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42"/>
      <c r="V175" s="15"/>
      <c r="W175" s="25" t="str">
        <f t="shared" si="10"/>
        <v>0</v>
      </c>
      <c r="X175" s="25"/>
      <c r="Y175" s="15"/>
      <c r="Z175" s="27"/>
      <c r="AA175" s="15"/>
      <c r="AB175" s="15"/>
      <c r="AC175" s="15"/>
      <c r="AD175" s="15"/>
      <c r="AE175" s="15"/>
      <c r="AF175" s="15"/>
    </row>
    <row r="176" spans="1:32" x14ac:dyDescent="0.35">
      <c r="A176" s="15"/>
      <c r="B176" s="78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42"/>
      <c r="V176" s="15"/>
      <c r="W176" s="25" t="str">
        <f t="shared" si="10"/>
        <v>0</v>
      </c>
      <c r="X176" s="25"/>
      <c r="Y176" s="15"/>
      <c r="Z176" s="27"/>
      <c r="AA176" s="15"/>
      <c r="AB176" s="15"/>
      <c r="AC176" s="15"/>
      <c r="AD176" s="15"/>
      <c r="AE176" s="15"/>
      <c r="AF176" s="15"/>
    </row>
    <row r="177" spans="1:32" x14ac:dyDescent="0.35">
      <c r="A177" s="15"/>
      <c r="B177" s="78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42"/>
      <c r="V177" s="15"/>
      <c r="W177" s="25" t="str">
        <f t="shared" si="10"/>
        <v>0</v>
      </c>
      <c r="X177" s="25"/>
      <c r="Y177" s="15"/>
      <c r="Z177" s="27"/>
      <c r="AA177" s="15"/>
      <c r="AB177" s="15"/>
      <c r="AC177" s="15"/>
      <c r="AD177" s="15"/>
      <c r="AE177" s="15"/>
      <c r="AF177" s="15"/>
    </row>
    <row r="178" spans="1:32" x14ac:dyDescent="0.35">
      <c r="A178" s="15"/>
      <c r="B178" s="78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42"/>
      <c r="V178" s="15"/>
      <c r="W178" s="25" t="str">
        <f t="shared" si="10"/>
        <v>0</v>
      </c>
      <c r="X178" s="25"/>
      <c r="Y178" s="15"/>
      <c r="Z178" s="27"/>
      <c r="AA178" s="15"/>
      <c r="AB178" s="15"/>
      <c r="AC178" s="15"/>
      <c r="AD178" s="15"/>
      <c r="AE178" s="15"/>
      <c r="AF178" s="15"/>
    </row>
    <row r="179" spans="1:32" x14ac:dyDescent="0.35">
      <c r="A179" s="15"/>
      <c r="B179" s="78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42"/>
      <c r="V179" s="15"/>
      <c r="W179" s="25" t="str">
        <f t="shared" si="10"/>
        <v>0</v>
      </c>
      <c r="X179" s="25"/>
      <c r="Y179" s="15"/>
      <c r="Z179" s="27"/>
      <c r="AA179" s="15"/>
      <c r="AB179" s="15"/>
      <c r="AC179" s="15"/>
      <c r="AD179" s="15"/>
      <c r="AE179" s="15"/>
      <c r="AF179" s="15"/>
    </row>
    <row r="180" spans="1:32" x14ac:dyDescent="0.35">
      <c r="A180" s="15"/>
      <c r="B180" s="78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42"/>
      <c r="V180" s="15"/>
      <c r="W180" s="25" t="str">
        <f t="shared" si="10"/>
        <v>0</v>
      </c>
      <c r="X180" s="25"/>
      <c r="Y180" s="15"/>
      <c r="Z180" s="27"/>
      <c r="AA180" s="15"/>
      <c r="AB180" s="15"/>
      <c r="AC180" s="15"/>
      <c r="AD180" s="15"/>
      <c r="AE180" s="15"/>
      <c r="AF180" s="15"/>
    </row>
    <row r="181" spans="1:32" x14ac:dyDescent="0.35">
      <c r="A181" s="15"/>
      <c r="B181" s="78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42"/>
      <c r="V181" s="15"/>
      <c r="W181" s="25" t="str">
        <f t="shared" si="10"/>
        <v>0</v>
      </c>
      <c r="X181" s="25"/>
      <c r="Y181" s="15"/>
      <c r="Z181" s="27"/>
      <c r="AA181" s="15"/>
      <c r="AB181" s="15"/>
      <c r="AC181" s="15"/>
      <c r="AD181" s="15"/>
      <c r="AE181" s="15"/>
      <c r="AF181" s="15"/>
    </row>
    <row r="182" spans="1:32" x14ac:dyDescent="0.35">
      <c r="A182" s="15"/>
      <c r="B182" s="78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42"/>
      <c r="V182" s="15"/>
      <c r="W182" s="25" t="str">
        <f t="shared" si="10"/>
        <v>0</v>
      </c>
      <c r="X182" s="25"/>
      <c r="Y182" s="15"/>
      <c r="Z182" s="27"/>
      <c r="AA182" s="15"/>
      <c r="AB182" s="15"/>
      <c r="AC182" s="15"/>
      <c r="AD182" s="15"/>
      <c r="AE182" s="15"/>
      <c r="AF182" s="15"/>
    </row>
    <row r="183" spans="1:32" x14ac:dyDescent="0.35">
      <c r="A183" s="15"/>
      <c r="B183" s="78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42"/>
      <c r="V183" s="15"/>
      <c r="W183" s="25" t="str">
        <f t="shared" si="10"/>
        <v>0</v>
      </c>
      <c r="X183" s="25"/>
      <c r="Y183" s="15"/>
      <c r="Z183" s="27"/>
      <c r="AA183" s="15"/>
      <c r="AB183" s="15"/>
      <c r="AC183" s="15"/>
      <c r="AD183" s="15"/>
      <c r="AE183" s="15"/>
      <c r="AF183" s="15"/>
    </row>
    <row r="184" spans="1:32" x14ac:dyDescent="0.35">
      <c r="A184" s="15"/>
      <c r="B184" s="78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42"/>
      <c r="V184" s="15"/>
      <c r="W184" s="25" t="str">
        <f t="shared" si="10"/>
        <v>0</v>
      </c>
      <c r="X184" s="25"/>
      <c r="Y184" s="15"/>
      <c r="Z184" s="27"/>
      <c r="AA184" s="15"/>
      <c r="AB184" s="15"/>
      <c r="AC184" s="15"/>
      <c r="AD184" s="15"/>
      <c r="AE184" s="15"/>
      <c r="AF184" s="15"/>
    </row>
    <row r="185" spans="1:32" x14ac:dyDescent="0.35">
      <c r="A185" s="15"/>
      <c r="B185" s="78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42"/>
      <c r="V185" s="15"/>
      <c r="W185" s="25" t="str">
        <f t="shared" si="10"/>
        <v>0</v>
      </c>
      <c r="X185" s="25"/>
      <c r="Y185" s="15"/>
      <c r="Z185" s="27"/>
      <c r="AA185" s="15"/>
      <c r="AB185" s="15"/>
      <c r="AC185" s="15"/>
      <c r="AD185" s="15"/>
      <c r="AE185" s="15"/>
      <c r="AF185" s="15"/>
    </row>
    <row r="186" spans="1:32" x14ac:dyDescent="0.35">
      <c r="A186" s="15"/>
      <c r="B186" s="78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42"/>
      <c r="V186" s="15"/>
      <c r="W186" s="25" t="str">
        <f t="shared" si="10"/>
        <v>0</v>
      </c>
      <c r="X186" s="25"/>
      <c r="Y186" s="15"/>
      <c r="Z186" s="27"/>
      <c r="AA186" s="15"/>
      <c r="AB186" s="15"/>
      <c r="AC186" s="15"/>
      <c r="AD186" s="15"/>
      <c r="AE186" s="15"/>
      <c r="AF186" s="15"/>
    </row>
    <row r="187" spans="1:32" x14ac:dyDescent="0.35">
      <c r="A187" s="15"/>
      <c r="B187" s="78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42"/>
      <c r="V187" s="15"/>
      <c r="W187" s="25" t="str">
        <f t="shared" si="10"/>
        <v>0</v>
      </c>
      <c r="X187" s="25"/>
      <c r="Y187" s="15"/>
      <c r="Z187" s="27"/>
      <c r="AA187" s="15"/>
      <c r="AB187" s="15"/>
      <c r="AC187" s="15"/>
      <c r="AD187" s="15"/>
      <c r="AE187" s="15"/>
      <c r="AF187" s="15"/>
    </row>
    <row r="188" spans="1:32" x14ac:dyDescent="0.35">
      <c r="A188" s="15"/>
      <c r="B188" s="78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42"/>
      <c r="V188" s="15"/>
      <c r="W188" s="25" t="str">
        <f t="shared" si="10"/>
        <v>0</v>
      </c>
      <c r="X188" s="25"/>
      <c r="Y188" s="15"/>
      <c r="Z188" s="27"/>
      <c r="AA188" s="15"/>
      <c r="AB188" s="15"/>
      <c r="AC188" s="15"/>
      <c r="AD188" s="15"/>
      <c r="AE188" s="15"/>
      <c r="AF188" s="15"/>
    </row>
    <row r="189" spans="1:32" x14ac:dyDescent="0.35">
      <c r="A189" s="15"/>
      <c r="B189" s="78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42"/>
      <c r="V189" s="15"/>
      <c r="W189" s="25" t="str">
        <f t="shared" si="10"/>
        <v>0</v>
      </c>
      <c r="X189" s="25"/>
      <c r="Y189" s="15"/>
      <c r="Z189" s="27"/>
      <c r="AA189" s="15"/>
      <c r="AB189" s="15"/>
      <c r="AC189" s="15"/>
      <c r="AD189" s="15"/>
      <c r="AE189" s="15"/>
      <c r="AF189" s="15"/>
    </row>
    <row r="190" spans="1:32" x14ac:dyDescent="0.35">
      <c r="A190" s="15"/>
      <c r="B190" s="78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42"/>
      <c r="V190" s="15"/>
      <c r="W190" s="25" t="str">
        <f t="shared" ref="W190:W253" si="11">IFERROR(V190/M190,"0")</f>
        <v>0</v>
      </c>
      <c r="X190" s="25"/>
      <c r="Y190" s="15"/>
      <c r="Z190" s="27"/>
      <c r="AA190" s="15"/>
      <c r="AB190" s="15"/>
      <c r="AC190" s="15"/>
      <c r="AD190" s="15"/>
      <c r="AE190" s="15"/>
      <c r="AF190" s="15"/>
    </row>
    <row r="191" spans="1:32" x14ac:dyDescent="0.35">
      <c r="A191" s="15"/>
      <c r="B191" s="78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42"/>
      <c r="V191" s="15"/>
      <c r="W191" s="25" t="str">
        <f t="shared" si="11"/>
        <v>0</v>
      </c>
      <c r="X191" s="25"/>
      <c r="Y191" s="15"/>
      <c r="Z191" s="27"/>
      <c r="AA191" s="15"/>
      <c r="AB191" s="15"/>
      <c r="AC191" s="15"/>
      <c r="AD191" s="15"/>
      <c r="AE191" s="15"/>
      <c r="AF191" s="15"/>
    </row>
    <row r="192" spans="1:32" x14ac:dyDescent="0.35">
      <c r="A192" s="15"/>
      <c r="B192" s="78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42"/>
      <c r="V192" s="15"/>
      <c r="W192" s="25" t="str">
        <f t="shared" si="11"/>
        <v>0</v>
      </c>
      <c r="X192" s="25"/>
      <c r="Y192" s="15"/>
      <c r="Z192" s="27"/>
      <c r="AA192" s="15"/>
      <c r="AB192" s="15"/>
      <c r="AC192" s="15"/>
      <c r="AD192" s="15"/>
      <c r="AE192" s="15"/>
      <c r="AF192" s="15"/>
    </row>
    <row r="193" spans="1:32" x14ac:dyDescent="0.35">
      <c r="A193" s="15"/>
      <c r="B193" s="78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42"/>
      <c r="V193" s="15"/>
      <c r="W193" s="25" t="str">
        <f t="shared" si="11"/>
        <v>0</v>
      </c>
      <c r="X193" s="25"/>
      <c r="Y193" s="15"/>
      <c r="Z193" s="27"/>
      <c r="AA193" s="15"/>
      <c r="AB193" s="15"/>
      <c r="AC193" s="15"/>
      <c r="AD193" s="15"/>
      <c r="AE193" s="15"/>
      <c r="AF193" s="15"/>
    </row>
    <row r="194" spans="1:32" x14ac:dyDescent="0.35">
      <c r="A194" s="15"/>
      <c r="B194" s="78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42"/>
      <c r="V194" s="15"/>
      <c r="W194" s="25" t="str">
        <f t="shared" si="11"/>
        <v>0</v>
      </c>
      <c r="X194" s="25"/>
      <c r="Y194" s="15"/>
      <c r="Z194" s="27"/>
      <c r="AA194" s="15"/>
      <c r="AB194" s="15"/>
      <c r="AC194" s="15"/>
      <c r="AD194" s="15"/>
      <c r="AE194" s="15"/>
      <c r="AF194" s="15"/>
    </row>
    <row r="195" spans="1:32" x14ac:dyDescent="0.35">
      <c r="A195" s="15"/>
      <c r="B195" s="78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42"/>
      <c r="V195" s="15"/>
      <c r="W195" s="25" t="str">
        <f t="shared" si="11"/>
        <v>0</v>
      </c>
      <c r="X195" s="25"/>
      <c r="Y195" s="15"/>
      <c r="Z195" s="27"/>
      <c r="AA195" s="15"/>
      <c r="AB195" s="15"/>
      <c r="AC195" s="15"/>
      <c r="AD195" s="15"/>
      <c r="AE195" s="15"/>
      <c r="AF195" s="15"/>
    </row>
    <row r="196" spans="1:32" x14ac:dyDescent="0.35">
      <c r="A196" s="15"/>
      <c r="B196" s="78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42"/>
      <c r="V196" s="15"/>
      <c r="W196" s="25" t="str">
        <f t="shared" si="11"/>
        <v>0</v>
      </c>
      <c r="X196" s="25"/>
      <c r="Y196" s="15"/>
      <c r="Z196" s="27"/>
      <c r="AA196" s="15"/>
      <c r="AB196" s="15"/>
      <c r="AC196" s="15"/>
      <c r="AD196" s="15"/>
      <c r="AE196" s="15"/>
      <c r="AF196" s="15"/>
    </row>
    <row r="197" spans="1:32" x14ac:dyDescent="0.35">
      <c r="A197" s="15"/>
      <c r="B197" s="78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42"/>
      <c r="V197" s="15"/>
      <c r="W197" s="25" t="str">
        <f t="shared" si="11"/>
        <v>0</v>
      </c>
      <c r="X197" s="25"/>
      <c r="Y197" s="15"/>
      <c r="Z197" s="27"/>
      <c r="AA197" s="15"/>
      <c r="AB197" s="15"/>
      <c r="AC197" s="15"/>
      <c r="AD197" s="15"/>
      <c r="AE197" s="15"/>
      <c r="AF197" s="15"/>
    </row>
    <row r="198" spans="1:32" x14ac:dyDescent="0.35">
      <c r="A198" s="15"/>
      <c r="B198" s="78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42"/>
      <c r="V198" s="15"/>
      <c r="W198" s="25" t="str">
        <f t="shared" si="11"/>
        <v>0</v>
      </c>
      <c r="X198" s="25"/>
      <c r="Y198" s="15"/>
      <c r="Z198" s="27"/>
      <c r="AA198" s="15"/>
      <c r="AB198" s="15"/>
      <c r="AC198" s="15"/>
      <c r="AD198" s="15"/>
      <c r="AE198" s="15"/>
      <c r="AF198" s="15"/>
    </row>
    <row r="199" spans="1:32" x14ac:dyDescent="0.35">
      <c r="A199" s="15"/>
      <c r="B199" s="78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42"/>
      <c r="V199" s="15"/>
      <c r="W199" s="25" t="str">
        <f t="shared" si="11"/>
        <v>0</v>
      </c>
      <c r="X199" s="25"/>
      <c r="Y199" s="15"/>
      <c r="Z199" s="27"/>
      <c r="AA199" s="15"/>
      <c r="AB199" s="15"/>
      <c r="AC199" s="15"/>
      <c r="AD199" s="15"/>
      <c r="AE199" s="15"/>
      <c r="AF199" s="15"/>
    </row>
    <row r="200" spans="1:32" x14ac:dyDescent="0.35">
      <c r="A200" s="15"/>
      <c r="B200" s="78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42"/>
      <c r="V200" s="15"/>
      <c r="W200" s="25" t="str">
        <f t="shared" si="11"/>
        <v>0</v>
      </c>
      <c r="X200" s="25"/>
      <c r="Y200" s="15"/>
      <c r="Z200" s="27"/>
      <c r="AA200" s="15"/>
      <c r="AB200" s="15"/>
      <c r="AC200" s="15"/>
      <c r="AD200" s="15"/>
      <c r="AE200" s="15"/>
      <c r="AF200" s="15"/>
    </row>
    <row r="201" spans="1:32" x14ac:dyDescent="0.35">
      <c r="A201" s="15"/>
      <c r="B201" s="78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42"/>
      <c r="V201" s="15"/>
      <c r="W201" s="25" t="str">
        <f t="shared" si="11"/>
        <v>0</v>
      </c>
      <c r="X201" s="25"/>
      <c r="Y201" s="15"/>
      <c r="Z201" s="27"/>
      <c r="AA201" s="15"/>
      <c r="AB201" s="15"/>
      <c r="AC201" s="15"/>
      <c r="AD201" s="15"/>
      <c r="AE201" s="15"/>
      <c r="AF201" s="15"/>
    </row>
    <row r="202" spans="1:32" x14ac:dyDescent="0.35">
      <c r="A202" s="15"/>
      <c r="B202" s="78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42"/>
      <c r="V202" s="15"/>
      <c r="W202" s="25" t="str">
        <f t="shared" si="11"/>
        <v>0</v>
      </c>
      <c r="X202" s="25"/>
      <c r="Y202" s="15"/>
      <c r="Z202" s="27"/>
      <c r="AA202" s="15"/>
      <c r="AB202" s="15"/>
      <c r="AC202" s="15"/>
      <c r="AD202" s="15"/>
      <c r="AE202" s="15"/>
      <c r="AF202" s="15"/>
    </row>
    <row r="203" spans="1:32" x14ac:dyDescent="0.35">
      <c r="A203" s="15"/>
      <c r="B203" s="78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42"/>
      <c r="V203" s="15"/>
      <c r="W203" s="25" t="str">
        <f t="shared" si="11"/>
        <v>0</v>
      </c>
      <c r="X203" s="25"/>
      <c r="Y203" s="15"/>
      <c r="Z203" s="27"/>
      <c r="AA203" s="15"/>
      <c r="AB203" s="15"/>
      <c r="AC203" s="15"/>
      <c r="AD203" s="15"/>
      <c r="AE203" s="15"/>
      <c r="AF203" s="15"/>
    </row>
    <row r="204" spans="1:32" x14ac:dyDescent="0.35">
      <c r="A204" s="15"/>
      <c r="B204" s="78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42"/>
      <c r="V204" s="15"/>
      <c r="W204" s="25" t="str">
        <f t="shared" si="11"/>
        <v>0</v>
      </c>
      <c r="X204" s="25"/>
      <c r="Y204" s="15"/>
      <c r="Z204" s="27"/>
      <c r="AA204" s="15"/>
      <c r="AB204" s="15"/>
      <c r="AC204" s="15"/>
      <c r="AD204" s="15"/>
      <c r="AE204" s="15"/>
      <c r="AF204" s="15"/>
    </row>
    <row r="205" spans="1:32" x14ac:dyDescent="0.35">
      <c r="A205" s="15"/>
      <c r="B205" s="78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42"/>
      <c r="V205" s="15"/>
      <c r="W205" s="25" t="str">
        <f t="shared" si="11"/>
        <v>0</v>
      </c>
      <c r="X205" s="25"/>
      <c r="Y205" s="15"/>
      <c r="Z205" s="27"/>
      <c r="AA205" s="15"/>
      <c r="AB205" s="15"/>
      <c r="AC205" s="15"/>
      <c r="AD205" s="15"/>
      <c r="AE205" s="15"/>
      <c r="AF205" s="15"/>
    </row>
    <row r="206" spans="1:32" x14ac:dyDescent="0.35">
      <c r="A206" s="15"/>
      <c r="B206" s="78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42"/>
      <c r="V206" s="15"/>
      <c r="W206" s="25" t="str">
        <f t="shared" si="11"/>
        <v>0</v>
      </c>
      <c r="X206" s="25"/>
      <c r="Y206" s="15"/>
      <c r="Z206" s="27"/>
      <c r="AA206" s="15"/>
      <c r="AB206" s="15"/>
      <c r="AC206" s="15"/>
      <c r="AD206" s="15"/>
      <c r="AE206" s="15"/>
      <c r="AF206" s="15"/>
    </row>
    <row r="207" spans="1:32" x14ac:dyDescent="0.35">
      <c r="A207" s="15"/>
      <c r="B207" s="78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42"/>
      <c r="V207" s="15"/>
      <c r="W207" s="25" t="str">
        <f t="shared" si="11"/>
        <v>0</v>
      </c>
      <c r="X207" s="25"/>
      <c r="Y207" s="15"/>
      <c r="Z207" s="27"/>
      <c r="AA207" s="15"/>
      <c r="AB207" s="15"/>
      <c r="AC207" s="15"/>
      <c r="AD207" s="15"/>
      <c r="AE207" s="15"/>
      <c r="AF207" s="15"/>
    </row>
    <row r="208" spans="1:32" x14ac:dyDescent="0.35">
      <c r="A208" s="15"/>
      <c r="B208" s="78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42"/>
      <c r="V208" s="15"/>
      <c r="W208" s="25" t="str">
        <f t="shared" si="11"/>
        <v>0</v>
      </c>
      <c r="X208" s="25"/>
      <c r="Y208" s="15"/>
      <c r="Z208" s="27"/>
      <c r="AA208" s="15"/>
      <c r="AB208" s="15"/>
      <c r="AC208" s="15"/>
      <c r="AD208" s="15"/>
      <c r="AE208" s="15"/>
      <c r="AF208" s="15"/>
    </row>
    <row r="209" spans="1:32" x14ac:dyDescent="0.35">
      <c r="A209" s="15"/>
      <c r="B209" s="78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42"/>
      <c r="V209" s="15"/>
      <c r="W209" s="25" t="str">
        <f t="shared" si="11"/>
        <v>0</v>
      </c>
      <c r="X209" s="25"/>
      <c r="Y209" s="15"/>
      <c r="Z209" s="27"/>
      <c r="AA209" s="15"/>
      <c r="AB209" s="15"/>
      <c r="AC209" s="15"/>
      <c r="AD209" s="15"/>
      <c r="AE209" s="15"/>
      <c r="AF209" s="15"/>
    </row>
    <row r="210" spans="1:32" x14ac:dyDescent="0.35">
      <c r="A210" s="15"/>
      <c r="B210" s="78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42"/>
      <c r="V210" s="15"/>
      <c r="W210" s="25" t="str">
        <f t="shared" si="11"/>
        <v>0</v>
      </c>
      <c r="X210" s="25"/>
      <c r="Y210" s="15"/>
      <c r="Z210" s="27"/>
      <c r="AA210" s="15"/>
      <c r="AB210" s="15"/>
      <c r="AC210" s="15"/>
      <c r="AD210" s="15"/>
      <c r="AE210" s="15"/>
      <c r="AF210" s="15"/>
    </row>
    <row r="211" spans="1:32" x14ac:dyDescent="0.35">
      <c r="A211" s="15"/>
      <c r="B211" s="78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42"/>
      <c r="V211" s="15"/>
      <c r="W211" s="25" t="str">
        <f t="shared" si="11"/>
        <v>0</v>
      </c>
      <c r="X211" s="25"/>
      <c r="Y211" s="15"/>
      <c r="Z211" s="27"/>
      <c r="AA211" s="15"/>
      <c r="AB211" s="15"/>
      <c r="AC211" s="15"/>
      <c r="AD211" s="15"/>
      <c r="AE211" s="15"/>
      <c r="AF211" s="15"/>
    </row>
    <row r="212" spans="1:32" x14ac:dyDescent="0.35">
      <c r="A212" s="15"/>
      <c r="B212" s="78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42"/>
      <c r="V212" s="15"/>
      <c r="W212" s="25" t="str">
        <f t="shared" si="11"/>
        <v>0</v>
      </c>
      <c r="X212" s="25"/>
      <c r="Y212" s="15"/>
      <c r="Z212" s="27"/>
      <c r="AA212" s="15"/>
      <c r="AB212" s="15"/>
      <c r="AC212" s="15"/>
      <c r="AD212" s="15"/>
      <c r="AE212" s="15"/>
      <c r="AF212" s="15"/>
    </row>
    <row r="213" spans="1:32" x14ac:dyDescent="0.35">
      <c r="A213" s="15"/>
      <c r="B213" s="78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42"/>
      <c r="V213" s="15"/>
      <c r="W213" s="25" t="str">
        <f t="shared" si="11"/>
        <v>0</v>
      </c>
      <c r="X213" s="25"/>
      <c r="Y213" s="15"/>
      <c r="Z213" s="27"/>
      <c r="AA213" s="15"/>
      <c r="AB213" s="15"/>
      <c r="AC213" s="15"/>
      <c r="AD213" s="15"/>
      <c r="AE213" s="15"/>
      <c r="AF213" s="15"/>
    </row>
    <row r="214" spans="1:32" x14ac:dyDescent="0.35">
      <c r="A214" s="15"/>
      <c r="B214" s="78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42"/>
      <c r="V214" s="15"/>
      <c r="W214" s="25" t="str">
        <f t="shared" si="11"/>
        <v>0</v>
      </c>
      <c r="X214" s="25"/>
      <c r="Y214" s="15"/>
      <c r="Z214" s="27"/>
      <c r="AA214" s="15"/>
      <c r="AB214" s="15"/>
      <c r="AC214" s="15"/>
      <c r="AD214" s="15"/>
      <c r="AE214" s="15"/>
      <c r="AF214" s="15"/>
    </row>
    <row r="215" spans="1:32" x14ac:dyDescent="0.35">
      <c r="A215" s="15"/>
      <c r="B215" s="78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42"/>
      <c r="V215" s="15"/>
      <c r="W215" s="25" t="str">
        <f t="shared" si="11"/>
        <v>0</v>
      </c>
      <c r="X215" s="25"/>
      <c r="Y215" s="15"/>
      <c r="Z215" s="27"/>
      <c r="AA215" s="15"/>
      <c r="AB215" s="15"/>
      <c r="AC215" s="15"/>
      <c r="AD215" s="15"/>
      <c r="AE215" s="15"/>
      <c r="AF215" s="15"/>
    </row>
    <row r="216" spans="1:32" x14ac:dyDescent="0.35">
      <c r="A216" s="15"/>
      <c r="B216" s="78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42"/>
      <c r="V216" s="15"/>
      <c r="W216" s="25" t="str">
        <f t="shared" si="11"/>
        <v>0</v>
      </c>
      <c r="X216" s="25"/>
      <c r="Y216" s="15"/>
      <c r="Z216" s="27"/>
      <c r="AA216" s="15"/>
      <c r="AB216" s="15"/>
      <c r="AC216" s="15"/>
      <c r="AD216" s="15"/>
      <c r="AE216" s="15"/>
      <c r="AF216" s="15"/>
    </row>
    <row r="217" spans="1:32" x14ac:dyDescent="0.35">
      <c r="A217" s="15"/>
      <c r="B217" s="78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42"/>
      <c r="V217" s="15"/>
      <c r="W217" s="25" t="str">
        <f t="shared" si="11"/>
        <v>0</v>
      </c>
      <c r="X217" s="25"/>
      <c r="Y217" s="15"/>
      <c r="Z217" s="27"/>
      <c r="AA217" s="15"/>
      <c r="AB217" s="15"/>
      <c r="AC217" s="15"/>
      <c r="AD217" s="15"/>
      <c r="AE217" s="15"/>
      <c r="AF217" s="15"/>
    </row>
    <row r="218" spans="1:32" x14ac:dyDescent="0.35">
      <c r="A218" s="15"/>
      <c r="B218" s="78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42"/>
      <c r="V218" s="15"/>
      <c r="W218" s="25" t="str">
        <f t="shared" si="11"/>
        <v>0</v>
      </c>
      <c r="X218" s="25"/>
      <c r="Y218" s="15"/>
      <c r="Z218" s="27"/>
      <c r="AA218" s="15"/>
      <c r="AB218" s="15"/>
      <c r="AC218" s="15"/>
      <c r="AD218" s="15"/>
      <c r="AE218" s="15"/>
      <c r="AF218" s="15"/>
    </row>
    <row r="219" spans="1:32" x14ac:dyDescent="0.35">
      <c r="A219" s="15"/>
      <c r="B219" s="78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42"/>
      <c r="V219" s="15"/>
      <c r="W219" s="25" t="str">
        <f t="shared" si="11"/>
        <v>0</v>
      </c>
      <c r="X219" s="25"/>
      <c r="Y219" s="15"/>
      <c r="Z219" s="27"/>
      <c r="AA219" s="15"/>
      <c r="AB219" s="15"/>
      <c r="AC219" s="15"/>
      <c r="AD219" s="15"/>
      <c r="AE219" s="15"/>
      <c r="AF219" s="15"/>
    </row>
    <row r="220" spans="1:32" x14ac:dyDescent="0.35">
      <c r="A220" s="15"/>
      <c r="B220" s="78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42"/>
      <c r="V220" s="15"/>
      <c r="W220" s="25" t="str">
        <f t="shared" si="11"/>
        <v>0</v>
      </c>
      <c r="X220" s="25"/>
      <c r="Y220" s="15"/>
      <c r="Z220" s="27"/>
      <c r="AA220" s="15"/>
      <c r="AB220" s="15"/>
      <c r="AC220" s="15"/>
      <c r="AD220" s="15"/>
      <c r="AE220" s="15"/>
      <c r="AF220" s="15"/>
    </row>
    <row r="221" spans="1:32" x14ac:dyDescent="0.35">
      <c r="A221" s="15"/>
      <c r="B221" s="78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42"/>
      <c r="V221" s="15"/>
      <c r="W221" s="25" t="str">
        <f t="shared" si="11"/>
        <v>0</v>
      </c>
      <c r="X221" s="25"/>
      <c r="Y221" s="15"/>
      <c r="Z221" s="27"/>
      <c r="AA221" s="15"/>
      <c r="AB221" s="15"/>
      <c r="AC221" s="15"/>
      <c r="AD221" s="15"/>
      <c r="AE221" s="15"/>
      <c r="AF221" s="15"/>
    </row>
    <row r="222" spans="1:32" x14ac:dyDescent="0.35">
      <c r="A222" s="15"/>
      <c r="B222" s="78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42"/>
      <c r="V222" s="15"/>
      <c r="W222" s="25" t="str">
        <f t="shared" si="11"/>
        <v>0</v>
      </c>
      <c r="X222" s="25"/>
      <c r="Y222" s="15"/>
      <c r="Z222" s="27"/>
      <c r="AA222" s="15"/>
      <c r="AB222" s="15"/>
      <c r="AC222" s="15"/>
      <c r="AD222" s="15"/>
      <c r="AE222" s="15"/>
      <c r="AF222" s="15"/>
    </row>
    <row r="223" spans="1:32" x14ac:dyDescent="0.35">
      <c r="A223" s="15"/>
      <c r="B223" s="78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2"/>
      <c r="V223" s="15"/>
      <c r="W223" s="25" t="str">
        <f t="shared" si="11"/>
        <v>0</v>
      </c>
      <c r="X223" s="25"/>
      <c r="Y223" s="15"/>
      <c r="Z223" s="27"/>
      <c r="AA223" s="15"/>
      <c r="AB223" s="15"/>
      <c r="AC223" s="15"/>
      <c r="AD223" s="15"/>
      <c r="AE223" s="15"/>
      <c r="AF223" s="15"/>
    </row>
    <row r="224" spans="1:32" x14ac:dyDescent="0.35">
      <c r="A224" s="15"/>
      <c r="B224" s="78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42"/>
      <c r="V224" s="15"/>
      <c r="W224" s="25" t="str">
        <f t="shared" si="11"/>
        <v>0</v>
      </c>
      <c r="X224" s="25"/>
      <c r="Y224" s="15"/>
      <c r="Z224" s="27"/>
      <c r="AA224" s="15"/>
      <c r="AB224" s="15"/>
      <c r="AC224" s="15"/>
      <c r="AD224" s="15"/>
      <c r="AE224" s="15"/>
      <c r="AF224" s="15"/>
    </row>
    <row r="225" spans="1:32" x14ac:dyDescent="0.35">
      <c r="A225" s="15"/>
      <c r="B225" s="78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42"/>
      <c r="V225" s="15"/>
      <c r="W225" s="25" t="str">
        <f t="shared" si="11"/>
        <v>0</v>
      </c>
      <c r="X225" s="25"/>
      <c r="Y225" s="15"/>
      <c r="Z225" s="27"/>
      <c r="AA225" s="15"/>
      <c r="AB225" s="15"/>
      <c r="AC225" s="15"/>
      <c r="AD225" s="15"/>
      <c r="AE225" s="15"/>
      <c r="AF225" s="15"/>
    </row>
    <row r="226" spans="1:32" x14ac:dyDescent="0.35">
      <c r="A226" s="15"/>
      <c r="B226" s="78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42"/>
      <c r="V226" s="15"/>
      <c r="W226" s="25" t="str">
        <f t="shared" si="11"/>
        <v>0</v>
      </c>
      <c r="X226" s="25"/>
      <c r="Y226" s="15"/>
      <c r="Z226" s="27"/>
      <c r="AA226" s="15"/>
      <c r="AB226" s="15"/>
      <c r="AC226" s="15"/>
      <c r="AD226" s="15"/>
      <c r="AE226" s="15"/>
      <c r="AF226" s="15"/>
    </row>
    <row r="227" spans="1:32" x14ac:dyDescent="0.35">
      <c r="A227" s="15"/>
      <c r="B227" s="78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42"/>
      <c r="V227" s="15"/>
      <c r="W227" s="25" t="str">
        <f t="shared" si="11"/>
        <v>0</v>
      </c>
      <c r="X227" s="25"/>
      <c r="Y227" s="15"/>
      <c r="Z227" s="27"/>
      <c r="AA227" s="15"/>
      <c r="AB227" s="15"/>
      <c r="AC227" s="15"/>
      <c r="AD227" s="15"/>
      <c r="AE227" s="15"/>
      <c r="AF227" s="15"/>
    </row>
    <row r="228" spans="1:32" x14ac:dyDescent="0.35">
      <c r="A228" s="15"/>
      <c r="B228" s="78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42"/>
      <c r="V228" s="15"/>
      <c r="W228" s="25" t="str">
        <f t="shared" si="11"/>
        <v>0</v>
      </c>
      <c r="X228" s="25"/>
      <c r="Y228" s="15"/>
      <c r="Z228" s="27"/>
      <c r="AA228" s="15"/>
      <c r="AB228" s="15"/>
      <c r="AC228" s="15"/>
      <c r="AD228" s="15"/>
      <c r="AE228" s="15"/>
      <c r="AF228" s="15"/>
    </row>
    <row r="229" spans="1:32" x14ac:dyDescent="0.35">
      <c r="A229" s="15"/>
      <c r="B229" s="78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42"/>
      <c r="V229" s="15"/>
      <c r="W229" s="25" t="str">
        <f t="shared" si="11"/>
        <v>0</v>
      </c>
      <c r="X229" s="25"/>
      <c r="Y229" s="15"/>
      <c r="Z229" s="27"/>
      <c r="AA229" s="15"/>
      <c r="AB229" s="15"/>
      <c r="AC229" s="15"/>
      <c r="AD229" s="15"/>
      <c r="AE229" s="15"/>
      <c r="AF229" s="15"/>
    </row>
    <row r="230" spans="1:32" x14ac:dyDescent="0.35">
      <c r="A230" s="15"/>
      <c r="B230" s="78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42"/>
      <c r="V230" s="15"/>
      <c r="W230" s="25" t="str">
        <f t="shared" si="11"/>
        <v>0</v>
      </c>
      <c r="X230" s="25"/>
      <c r="Y230" s="15"/>
      <c r="Z230" s="27"/>
      <c r="AA230" s="15"/>
      <c r="AB230" s="15"/>
      <c r="AC230" s="15"/>
      <c r="AD230" s="15"/>
      <c r="AE230" s="15"/>
      <c r="AF230" s="15"/>
    </row>
    <row r="231" spans="1:32" x14ac:dyDescent="0.35">
      <c r="A231" s="15"/>
      <c r="B231" s="78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42"/>
      <c r="V231" s="15"/>
      <c r="W231" s="25" t="str">
        <f t="shared" si="11"/>
        <v>0</v>
      </c>
      <c r="X231" s="25"/>
      <c r="Y231" s="15"/>
      <c r="Z231" s="27"/>
      <c r="AA231" s="15"/>
      <c r="AB231" s="15"/>
      <c r="AC231" s="15"/>
      <c r="AD231" s="15"/>
      <c r="AE231" s="15"/>
      <c r="AF231" s="15"/>
    </row>
    <row r="232" spans="1:32" x14ac:dyDescent="0.35">
      <c r="A232" s="15"/>
      <c r="B232" s="78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42"/>
      <c r="V232" s="15"/>
      <c r="W232" s="25" t="str">
        <f t="shared" si="11"/>
        <v>0</v>
      </c>
      <c r="X232" s="25"/>
      <c r="Y232" s="15"/>
      <c r="Z232" s="27"/>
      <c r="AA232" s="15"/>
      <c r="AB232" s="15"/>
      <c r="AC232" s="15"/>
      <c r="AD232" s="15"/>
      <c r="AE232" s="15"/>
      <c r="AF232" s="15"/>
    </row>
    <row r="233" spans="1:32" x14ac:dyDescent="0.35">
      <c r="A233" s="15"/>
      <c r="B233" s="78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42"/>
      <c r="V233" s="15"/>
      <c r="W233" s="25" t="str">
        <f t="shared" si="11"/>
        <v>0</v>
      </c>
      <c r="X233" s="25"/>
      <c r="Y233" s="15"/>
      <c r="Z233" s="27"/>
      <c r="AA233" s="15"/>
      <c r="AB233" s="15"/>
      <c r="AC233" s="15"/>
      <c r="AD233" s="15"/>
      <c r="AE233" s="15"/>
      <c r="AF233" s="15"/>
    </row>
    <row r="234" spans="1:32" x14ac:dyDescent="0.35">
      <c r="A234" s="15"/>
      <c r="B234" s="78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42"/>
      <c r="V234" s="15"/>
      <c r="W234" s="25" t="str">
        <f t="shared" si="11"/>
        <v>0</v>
      </c>
      <c r="X234" s="25"/>
      <c r="Y234" s="15"/>
      <c r="Z234" s="27"/>
      <c r="AA234" s="15"/>
      <c r="AB234" s="15"/>
      <c r="AC234" s="15"/>
      <c r="AD234" s="15"/>
      <c r="AE234" s="15"/>
      <c r="AF234" s="15"/>
    </row>
    <row r="235" spans="1:32" x14ac:dyDescent="0.35">
      <c r="A235" s="15"/>
      <c r="B235" s="78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42"/>
      <c r="V235" s="15"/>
      <c r="W235" s="25" t="str">
        <f t="shared" si="11"/>
        <v>0</v>
      </c>
      <c r="X235" s="25"/>
      <c r="Y235" s="15"/>
      <c r="Z235" s="27"/>
      <c r="AA235" s="15"/>
      <c r="AB235" s="15"/>
      <c r="AC235" s="15"/>
      <c r="AD235" s="15"/>
      <c r="AE235" s="15"/>
      <c r="AF235" s="15"/>
    </row>
    <row r="236" spans="1:32" x14ac:dyDescent="0.35">
      <c r="A236" s="15"/>
      <c r="B236" s="78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42"/>
      <c r="V236" s="15"/>
      <c r="W236" s="25" t="str">
        <f t="shared" si="11"/>
        <v>0</v>
      </c>
      <c r="X236" s="25"/>
      <c r="Y236" s="15"/>
      <c r="Z236" s="27"/>
      <c r="AA236" s="15"/>
      <c r="AB236" s="15"/>
      <c r="AC236" s="15"/>
      <c r="AD236" s="15"/>
      <c r="AE236" s="15"/>
      <c r="AF236" s="15"/>
    </row>
    <row r="237" spans="1:32" x14ac:dyDescent="0.35">
      <c r="A237" s="15"/>
      <c r="B237" s="78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42"/>
      <c r="V237" s="15"/>
      <c r="W237" s="25" t="str">
        <f t="shared" si="11"/>
        <v>0</v>
      </c>
      <c r="X237" s="25"/>
      <c r="Y237" s="15"/>
      <c r="Z237" s="27"/>
      <c r="AA237" s="15"/>
      <c r="AB237" s="15"/>
      <c r="AC237" s="15"/>
      <c r="AD237" s="15"/>
      <c r="AE237" s="15"/>
      <c r="AF237" s="15"/>
    </row>
    <row r="238" spans="1:32" x14ac:dyDescent="0.35">
      <c r="A238" s="15"/>
      <c r="B238" s="78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42"/>
      <c r="V238" s="15"/>
      <c r="W238" s="25" t="str">
        <f t="shared" si="11"/>
        <v>0</v>
      </c>
      <c r="X238" s="25"/>
      <c r="Y238" s="15"/>
      <c r="Z238" s="27"/>
      <c r="AA238" s="15"/>
      <c r="AB238" s="15"/>
      <c r="AC238" s="15"/>
      <c r="AD238" s="15"/>
      <c r="AE238" s="15"/>
      <c r="AF238" s="15"/>
    </row>
    <row r="239" spans="1:32" x14ac:dyDescent="0.35">
      <c r="A239" s="15"/>
      <c r="B239" s="78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42"/>
      <c r="V239" s="15"/>
      <c r="W239" s="25" t="str">
        <f t="shared" si="11"/>
        <v>0</v>
      </c>
      <c r="X239" s="25"/>
      <c r="Y239" s="15"/>
      <c r="Z239" s="27"/>
      <c r="AA239" s="15"/>
      <c r="AB239" s="15"/>
      <c r="AC239" s="15"/>
      <c r="AD239" s="15"/>
      <c r="AE239" s="15"/>
      <c r="AF239" s="15"/>
    </row>
    <row r="240" spans="1:32" x14ac:dyDescent="0.35">
      <c r="A240" s="15"/>
      <c r="B240" s="78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42"/>
      <c r="V240" s="15"/>
      <c r="W240" s="25" t="str">
        <f t="shared" si="11"/>
        <v>0</v>
      </c>
      <c r="X240" s="25"/>
      <c r="Y240" s="15"/>
      <c r="Z240" s="27"/>
      <c r="AA240" s="15"/>
      <c r="AB240" s="15"/>
      <c r="AC240" s="15"/>
      <c r="AD240" s="15"/>
      <c r="AE240" s="15"/>
      <c r="AF240" s="15"/>
    </row>
    <row r="241" spans="1:32" x14ac:dyDescent="0.35">
      <c r="A241" s="15"/>
      <c r="B241" s="78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42"/>
      <c r="V241" s="15"/>
      <c r="W241" s="25" t="str">
        <f t="shared" si="11"/>
        <v>0</v>
      </c>
      <c r="X241" s="25"/>
      <c r="Y241" s="15"/>
      <c r="Z241" s="27"/>
      <c r="AA241" s="15"/>
      <c r="AB241" s="15"/>
      <c r="AC241" s="15"/>
      <c r="AD241" s="15"/>
      <c r="AE241" s="15"/>
      <c r="AF241" s="15"/>
    </row>
    <row r="242" spans="1:32" x14ac:dyDescent="0.35">
      <c r="A242" s="15"/>
      <c r="B242" s="78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42"/>
      <c r="V242" s="15"/>
      <c r="W242" s="25" t="str">
        <f t="shared" si="11"/>
        <v>0</v>
      </c>
      <c r="X242" s="25"/>
      <c r="Y242" s="15"/>
      <c r="Z242" s="27"/>
      <c r="AA242" s="15"/>
      <c r="AB242" s="15"/>
      <c r="AC242" s="15"/>
      <c r="AD242" s="15"/>
      <c r="AE242" s="15"/>
      <c r="AF242" s="15"/>
    </row>
    <row r="243" spans="1:32" x14ac:dyDescent="0.35">
      <c r="A243" s="15"/>
      <c r="B243" s="78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42"/>
      <c r="V243" s="15"/>
      <c r="W243" s="25" t="str">
        <f t="shared" si="11"/>
        <v>0</v>
      </c>
      <c r="X243" s="25"/>
      <c r="Y243" s="15"/>
      <c r="Z243" s="27"/>
      <c r="AA243" s="15"/>
      <c r="AB243" s="15"/>
      <c r="AC243" s="15"/>
      <c r="AD243" s="15"/>
      <c r="AE243" s="15"/>
      <c r="AF243" s="15"/>
    </row>
    <row r="244" spans="1:32" x14ac:dyDescent="0.35">
      <c r="A244" s="15"/>
      <c r="B244" s="78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42"/>
      <c r="V244" s="15"/>
      <c r="W244" s="25" t="str">
        <f t="shared" si="11"/>
        <v>0</v>
      </c>
      <c r="X244" s="25"/>
      <c r="Y244" s="15"/>
      <c r="Z244" s="27"/>
      <c r="AA244" s="15"/>
      <c r="AB244" s="15"/>
      <c r="AC244" s="15"/>
      <c r="AD244" s="15"/>
      <c r="AE244" s="15"/>
      <c r="AF244" s="15"/>
    </row>
    <row r="245" spans="1:32" x14ac:dyDescent="0.35">
      <c r="A245" s="15"/>
      <c r="B245" s="78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42"/>
      <c r="V245" s="15"/>
      <c r="W245" s="25" t="str">
        <f t="shared" si="11"/>
        <v>0</v>
      </c>
      <c r="X245" s="25"/>
      <c r="Y245" s="15"/>
      <c r="Z245" s="27"/>
      <c r="AA245" s="15"/>
      <c r="AB245" s="15"/>
      <c r="AC245" s="15"/>
      <c r="AD245" s="15"/>
      <c r="AE245" s="15"/>
      <c r="AF245" s="15"/>
    </row>
    <row r="246" spans="1:32" x14ac:dyDescent="0.35">
      <c r="A246" s="15"/>
      <c r="B246" s="78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42"/>
      <c r="V246" s="15"/>
      <c r="W246" s="25" t="str">
        <f t="shared" si="11"/>
        <v>0</v>
      </c>
      <c r="X246" s="25"/>
      <c r="Y246" s="15"/>
      <c r="Z246" s="27"/>
      <c r="AA246" s="15"/>
      <c r="AB246" s="15"/>
      <c r="AC246" s="15"/>
      <c r="AD246" s="15"/>
      <c r="AE246" s="15"/>
      <c r="AF246" s="15"/>
    </row>
    <row r="247" spans="1:32" x14ac:dyDescent="0.35">
      <c r="A247" s="15"/>
      <c r="B247" s="78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42"/>
      <c r="V247" s="15"/>
      <c r="W247" s="25" t="str">
        <f t="shared" si="11"/>
        <v>0</v>
      </c>
      <c r="X247" s="25"/>
      <c r="Y247" s="15"/>
      <c r="Z247" s="27"/>
      <c r="AA247" s="15"/>
      <c r="AB247" s="15"/>
      <c r="AC247" s="15"/>
      <c r="AD247" s="15"/>
      <c r="AE247" s="15"/>
      <c r="AF247" s="15"/>
    </row>
    <row r="248" spans="1:32" x14ac:dyDescent="0.35">
      <c r="A248" s="15"/>
      <c r="B248" s="78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42"/>
      <c r="V248" s="15"/>
      <c r="W248" s="25" t="str">
        <f t="shared" si="11"/>
        <v>0</v>
      </c>
      <c r="X248" s="25"/>
      <c r="Y248" s="15"/>
      <c r="Z248" s="27"/>
      <c r="AA248" s="15"/>
      <c r="AB248" s="15"/>
      <c r="AC248" s="15"/>
      <c r="AD248" s="15"/>
      <c r="AE248" s="15"/>
      <c r="AF248" s="15"/>
    </row>
    <row r="249" spans="1:32" x14ac:dyDescent="0.35">
      <c r="A249" s="15"/>
      <c r="B249" s="78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42"/>
      <c r="V249" s="15"/>
      <c r="W249" s="25" t="str">
        <f t="shared" si="11"/>
        <v>0</v>
      </c>
      <c r="X249" s="25"/>
      <c r="Y249" s="15"/>
      <c r="Z249" s="27"/>
      <c r="AA249" s="15"/>
      <c r="AB249" s="15"/>
      <c r="AC249" s="15"/>
      <c r="AD249" s="15"/>
      <c r="AE249" s="15"/>
      <c r="AF249" s="15"/>
    </row>
    <row r="250" spans="1:32" x14ac:dyDescent="0.35">
      <c r="A250" s="15"/>
      <c r="B250" s="78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42"/>
      <c r="V250" s="15"/>
      <c r="W250" s="25" t="str">
        <f t="shared" si="11"/>
        <v>0</v>
      </c>
      <c r="X250" s="25"/>
      <c r="Y250" s="15"/>
      <c r="Z250" s="27"/>
      <c r="AA250" s="15"/>
      <c r="AB250" s="15"/>
      <c r="AC250" s="15"/>
      <c r="AD250" s="15"/>
      <c r="AE250" s="15"/>
      <c r="AF250" s="15"/>
    </row>
    <row r="251" spans="1:32" x14ac:dyDescent="0.35">
      <c r="A251" s="15"/>
      <c r="B251" s="78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42"/>
      <c r="V251" s="15"/>
      <c r="W251" s="25" t="str">
        <f t="shared" si="11"/>
        <v>0</v>
      </c>
      <c r="X251" s="25"/>
      <c r="Y251" s="15"/>
      <c r="Z251" s="27"/>
      <c r="AA251" s="15"/>
      <c r="AB251" s="15"/>
      <c r="AC251" s="15"/>
      <c r="AD251" s="15"/>
      <c r="AE251" s="15"/>
      <c r="AF251" s="15"/>
    </row>
    <row r="252" spans="1:32" x14ac:dyDescent="0.35">
      <c r="A252" s="15"/>
      <c r="B252" s="78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42"/>
      <c r="V252" s="15"/>
      <c r="W252" s="25" t="str">
        <f t="shared" si="11"/>
        <v>0</v>
      </c>
      <c r="X252" s="25"/>
      <c r="Y252" s="15"/>
      <c r="Z252" s="27"/>
      <c r="AA252" s="15"/>
      <c r="AB252" s="15"/>
      <c r="AC252" s="15"/>
      <c r="AD252" s="15"/>
      <c r="AE252" s="15"/>
      <c r="AF252" s="15"/>
    </row>
    <row r="253" spans="1:32" x14ac:dyDescent="0.35">
      <c r="A253" s="15"/>
      <c r="B253" s="78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42"/>
      <c r="V253" s="15"/>
      <c r="W253" s="25" t="str">
        <f t="shared" si="11"/>
        <v>0</v>
      </c>
      <c r="X253" s="25"/>
      <c r="Y253" s="15"/>
      <c r="Z253" s="27"/>
      <c r="AA253" s="15"/>
      <c r="AB253" s="15"/>
      <c r="AC253" s="15"/>
      <c r="AD253" s="15"/>
      <c r="AE253" s="15"/>
      <c r="AF253" s="15"/>
    </row>
    <row r="254" spans="1:32" x14ac:dyDescent="0.35">
      <c r="A254" s="15"/>
      <c r="B254" s="78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42"/>
      <c r="V254" s="15"/>
      <c r="W254" s="25" t="str">
        <f t="shared" ref="W254:W317" si="12">IFERROR(V254/M254,"0")</f>
        <v>0</v>
      </c>
      <c r="X254" s="25"/>
      <c r="Y254" s="15"/>
      <c r="Z254" s="27"/>
      <c r="AA254" s="15"/>
      <c r="AB254" s="15"/>
      <c r="AC254" s="15"/>
      <c r="AD254" s="15"/>
      <c r="AE254" s="15"/>
      <c r="AF254" s="15"/>
    </row>
    <row r="255" spans="1:32" x14ac:dyDescent="0.35">
      <c r="A255" s="15"/>
      <c r="B255" s="78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42"/>
      <c r="V255" s="15"/>
      <c r="W255" s="25" t="str">
        <f t="shared" si="12"/>
        <v>0</v>
      </c>
      <c r="X255" s="25"/>
      <c r="Y255" s="15"/>
      <c r="Z255" s="27"/>
      <c r="AA255" s="15"/>
      <c r="AB255" s="15"/>
      <c r="AC255" s="15"/>
      <c r="AD255" s="15"/>
      <c r="AE255" s="15"/>
      <c r="AF255" s="15"/>
    </row>
    <row r="256" spans="1:32" x14ac:dyDescent="0.35">
      <c r="A256" s="15"/>
      <c r="B256" s="78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42"/>
      <c r="V256" s="15"/>
      <c r="W256" s="25" t="str">
        <f t="shared" si="12"/>
        <v>0</v>
      </c>
      <c r="X256" s="25"/>
      <c r="Y256" s="15"/>
      <c r="Z256" s="27"/>
      <c r="AA256" s="15"/>
      <c r="AB256" s="15"/>
      <c r="AC256" s="15"/>
      <c r="AD256" s="15"/>
      <c r="AE256" s="15"/>
      <c r="AF256" s="15"/>
    </row>
    <row r="257" spans="1:32" x14ac:dyDescent="0.35">
      <c r="A257" s="15"/>
      <c r="B257" s="78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42"/>
      <c r="V257" s="15"/>
      <c r="W257" s="25" t="str">
        <f t="shared" si="12"/>
        <v>0</v>
      </c>
      <c r="X257" s="25"/>
      <c r="Y257" s="15"/>
      <c r="Z257" s="27"/>
      <c r="AA257" s="15"/>
      <c r="AB257" s="15"/>
      <c r="AC257" s="15"/>
      <c r="AD257" s="15"/>
      <c r="AE257" s="15"/>
      <c r="AF257" s="15"/>
    </row>
    <row r="258" spans="1:32" x14ac:dyDescent="0.35">
      <c r="A258" s="15"/>
      <c r="B258" s="78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42"/>
      <c r="V258" s="15"/>
      <c r="W258" s="25" t="str">
        <f t="shared" si="12"/>
        <v>0</v>
      </c>
      <c r="X258" s="25"/>
      <c r="Y258" s="15"/>
      <c r="Z258" s="27"/>
      <c r="AA258" s="15"/>
      <c r="AB258" s="15"/>
      <c r="AC258" s="15"/>
      <c r="AD258" s="15"/>
      <c r="AE258" s="15"/>
      <c r="AF258" s="15"/>
    </row>
    <row r="259" spans="1:32" x14ac:dyDescent="0.35">
      <c r="A259" s="15"/>
      <c r="B259" s="78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42"/>
      <c r="V259" s="15"/>
      <c r="W259" s="25" t="str">
        <f t="shared" si="12"/>
        <v>0</v>
      </c>
      <c r="X259" s="25"/>
      <c r="Y259" s="15"/>
      <c r="Z259" s="27"/>
      <c r="AA259" s="15"/>
      <c r="AB259" s="15"/>
      <c r="AC259" s="15"/>
      <c r="AD259" s="15"/>
      <c r="AE259" s="15"/>
      <c r="AF259" s="15"/>
    </row>
    <row r="260" spans="1:32" x14ac:dyDescent="0.35">
      <c r="A260" s="15"/>
      <c r="B260" s="78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42"/>
      <c r="V260" s="15"/>
      <c r="W260" s="25" t="str">
        <f t="shared" si="12"/>
        <v>0</v>
      </c>
      <c r="X260" s="25"/>
      <c r="Y260" s="15"/>
      <c r="Z260" s="27"/>
      <c r="AA260" s="15"/>
      <c r="AB260" s="15"/>
      <c r="AC260" s="15"/>
      <c r="AD260" s="15"/>
      <c r="AE260" s="15"/>
      <c r="AF260" s="15"/>
    </row>
    <row r="261" spans="1:32" x14ac:dyDescent="0.35">
      <c r="A261" s="15"/>
      <c r="B261" s="78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42"/>
      <c r="V261" s="15"/>
      <c r="W261" s="25" t="str">
        <f t="shared" si="12"/>
        <v>0</v>
      </c>
      <c r="X261" s="25"/>
      <c r="Y261" s="15"/>
      <c r="Z261" s="27"/>
      <c r="AA261" s="15"/>
      <c r="AB261" s="15"/>
      <c r="AC261" s="15"/>
      <c r="AD261" s="15"/>
      <c r="AE261" s="15"/>
      <c r="AF261" s="15"/>
    </row>
    <row r="262" spans="1:32" x14ac:dyDescent="0.35">
      <c r="A262" s="15"/>
      <c r="B262" s="78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42"/>
      <c r="V262" s="15"/>
      <c r="W262" s="25" t="str">
        <f t="shared" si="12"/>
        <v>0</v>
      </c>
      <c r="X262" s="25"/>
      <c r="Y262" s="15"/>
      <c r="Z262" s="27"/>
      <c r="AA262" s="15"/>
      <c r="AB262" s="15"/>
      <c r="AC262" s="15"/>
      <c r="AD262" s="15"/>
      <c r="AE262" s="15"/>
      <c r="AF262" s="15"/>
    </row>
    <row r="263" spans="1:32" x14ac:dyDescent="0.35">
      <c r="A263" s="15"/>
      <c r="B263" s="78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42"/>
      <c r="V263" s="15"/>
      <c r="W263" s="25" t="str">
        <f t="shared" si="12"/>
        <v>0</v>
      </c>
      <c r="X263" s="25"/>
      <c r="Y263" s="15"/>
      <c r="Z263" s="27"/>
      <c r="AA263" s="15"/>
      <c r="AB263" s="15"/>
      <c r="AC263" s="15"/>
      <c r="AD263" s="15"/>
      <c r="AE263" s="15"/>
      <c r="AF263" s="15"/>
    </row>
    <row r="264" spans="1:32" x14ac:dyDescent="0.35">
      <c r="A264" s="15"/>
      <c r="B264" s="78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42"/>
      <c r="V264" s="15"/>
      <c r="W264" s="25" t="str">
        <f t="shared" si="12"/>
        <v>0</v>
      </c>
      <c r="X264" s="25"/>
      <c r="Y264" s="15"/>
      <c r="Z264" s="27"/>
      <c r="AA264" s="15"/>
      <c r="AB264" s="15"/>
      <c r="AC264" s="15"/>
      <c r="AD264" s="15"/>
      <c r="AE264" s="15"/>
      <c r="AF264" s="15"/>
    </row>
    <row r="265" spans="1:32" x14ac:dyDescent="0.35">
      <c r="A265" s="15"/>
      <c r="B265" s="78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42"/>
      <c r="V265" s="15"/>
      <c r="W265" s="25" t="str">
        <f t="shared" si="12"/>
        <v>0</v>
      </c>
      <c r="X265" s="25"/>
      <c r="Y265" s="15"/>
      <c r="Z265" s="27"/>
      <c r="AA265" s="15"/>
      <c r="AB265" s="15"/>
      <c r="AC265" s="15"/>
      <c r="AD265" s="15"/>
      <c r="AE265" s="15"/>
      <c r="AF265" s="15"/>
    </row>
    <row r="266" spans="1:32" x14ac:dyDescent="0.35">
      <c r="A266" s="15"/>
      <c r="B266" s="78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42"/>
      <c r="V266" s="15"/>
      <c r="W266" s="25" t="str">
        <f t="shared" si="12"/>
        <v>0</v>
      </c>
      <c r="X266" s="25"/>
      <c r="Y266" s="15"/>
      <c r="Z266" s="27"/>
      <c r="AA266" s="15"/>
      <c r="AB266" s="15"/>
      <c r="AC266" s="15"/>
      <c r="AD266" s="15"/>
      <c r="AE266" s="15"/>
      <c r="AF266" s="15"/>
    </row>
    <row r="267" spans="1:32" x14ac:dyDescent="0.35">
      <c r="A267" s="15"/>
      <c r="B267" s="78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42"/>
      <c r="V267" s="15"/>
      <c r="W267" s="25" t="str">
        <f t="shared" si="12"/>
        <v>0</v>
      </c>
      <c r="X267" s="25"/>
      <c r="Y267" s="15"/>
      <c r="Z267" s="27"/>
      <c r="AA267" s="15"/>
      <c r="AB267" s="15"/>
      <c r="AC267" s="15"/>
      <c r="AD267" s="15"/>
      <c r="AE267" s="15"/>
      <c r="AF267" s="15"/>
    </row>
    <row r="268" spans="1:32" x14ac:dyDescent="0.35">
      <c r="A268" s="15"/>
      <c r="B268" s="78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42"/>
      <c r="V268" s="15"/>
      <c r="W268" s="25" t="str">
        <f t="shared" si="12"/>
        <v>0</v>
      </c>
      <c r="X268" s="25"/>
      <c r="Y268" s="15"/>
      <c r="Z268" s="27"/>
      <c r="AA268" s="15"/>
      <c r="AB268" s="15"/>
      <c r="AC268" s="15"/>
      <c r="AD268" s="15"/>
      <c r="AE268" s="15"/>
      <c r="AF268" s="15"/>
    </row>
    <row r="269" spans="1:32" x14ac:dyDescent="0.35">
      <c r="A269" s="15"/>
      <c r="B269" s="78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42"/>
      <c r="V269" s="15"/>
      <c r="W269" s="25" t="str">
        <f t="shared" si="12"/>
        <v>0</v>
      </c>
      <c r="X269" s="25"/>
      <c r="Y269" s="15"/>
      <c r="Z269" s="27"/>
      <c r="AA269" s="15"/>
      <c r="AB269" s="15"/>
      <c r="AC269" s="15"/>
      <c r="AD269" s="15"/>
      <c r="AE269" s="15"/>
      <c r="AF269" s="15"/>
    </row>
    <row r="270" spans="1:32" x14ac:dyDescent="0.35">
      <c r="A270" s="15"/>
      <c r="B270" s="78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42"/>
      <c r="V270" s="15"/>
      <c r="W270" s="25" t="str">
        <f t="shared" si="12"/>
        <v>0</v>
      </c>
      <c r="X270" s="25"/>
      <c r="Y270" s="15"/>
      <c r="Z270" s="27"/>
      <c r="AA270" s="15"/>
      <c r="AB270" s="15"/>
      <c r="AC270" s="15"/>
      <c r="AD270" s="15"/>
      <c r="AE270" s="15"/>
      <c r="AF270" s="15"/>
    </row>
    <row r="271" spans="1:32" x14ac:dyDescent="0.35">
      <c r="A271" s="15"/>
      <c r="B271" s="78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42"/>
      <c r="V271" s="15"/>
      <c r="W271" s="25" t="str">
        <f t="shared" si="12"/>
        <v>0</v>
      </c>
      <c r="X271" s="25"/>
      <c r="Y271" s="15"/>
      <c r="Z271" s="27"/>
      <c r="AA271" s="15"/>
      <c r="AB271" s="15"/>
      <c r="AC271" s="15"/>
      <c r="AD271" s="15"/>
      <c r="AE271" s="15"/>
      <c r="AF271" s="15"/>
    </row>
    <row r="272" spans="1:32" x14ac:dyDescent="0.35">
      <c r="A272" s="15"/>
      <c r="B272" s="78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42"/>
      <c r="V272" s="15"/>
      <c r="W272" s="25" t="str">
        <f t="shared" si="12"/>
        <v>0</v>
      </c>
      <c r="X272" s="25"/>
      <c r="Y272" s="15"/>
      <c r="Z272" s="27"/>
      <c r="AA272" s="15"/>
      <c r="AB272" s="15"/>
      <c r="AC272" s="15"/>
      <c r="AD272" s="15"/>
      <c r="AE272" s="15"/>
      <c r="AF272" s="15"/>
    </row>
    <row r="273" spans="1:32" x14ac:dyDescent="0.35">
      <c r="A273" s="15"/>
      <c r="B273" s="78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42"/>
      <c r="V273" s="15"/>
      <c r="W273" s="25" t="str">
        <f t="shared" si="12"/>
        <v>0</v>
      </c>
      <c r="X273" s="25"/>
      <c r="Y273" s="15"/>
      <c r="Z273" s="27"/>
      <c r="AA273" s="15"/>
      <c r="AB273" s="15"/>
      <c r="AC273" s="15"/>
      <c r="AD273" s="15"/>
      <c r="AE273" s="15"/>
      <c r="AF273" s="15"/>
    </row>
    <row r="274" spans="1:32" x14ac:dyDescent="0.35">
      <c r="A274" s="15"/>
      <c r="B274" s="78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42"/>
      <c r="V274" s="15"/>
      <c r="W274" s="25" t="str">
        <f t="shared" si="12"/>
        <v>0</v>
      </c>
      <c r="X274" s="25"/>
      <c r="Y274" s="15"/>
      <c r="Z274" s="27"/>
      <c r="AA274" s="15"/>
      <c r="AB274" s="15"/>
      <c r="AC274" s="15"/>
      <c r="AD274" s="15"/>
      <c r="AE274" s="15"/>
      <c r="AF274" s="15"/>
    </row>
    <row r="275" spans="1:32" x14ac:dyDescent="0.35">
      <c r="A275" s="15"/>
      <c r="B275" s="78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42"/>
      <c r="V275" s="15"/>
      <c r="W275" s="25" t="str">
        <f t="shared" si="12"/>
        <v>0</v>
      </c>
      <c r="X275" s="25"/>
      <c r="Y275" s="15"/>
      <c r="Z275" s="27"/>
      <c r="AA275" s="15"/>
      <c r="AB275" s="15"/>
      <c r="AC275" s="15"/>
      <c r="AD275" s="15"/>
      <c r="AE275" s="15"/>
      <c r="AF275" s="15"/>
    </row>
    <row r="276" spans="1:32" x14ac:dyDescent="0.35">
      <c r="A276" s="15"/>
      <c r="B276" s="78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42"/>
      <c r="V276" s="15"/>
      <c r="W276" s="25" t="str">
        <f t="shared" si="12"/>
        <v>0</v>
      </c>
      <c r="X276" s="25"/>
      <c r="Y276" s="15"/>
      <c r="Z276" s="27"/>
      <c r="AA276" s="15"/>
      <c r="AB276" s="15"/>
      <c r="AC276" s="15"/>
      <c r="AD276" s="15"/>
      <c r="AE276" s="15"/>
      <c r="AF276" s="15"/>
    </row>
    <row r="277" spans="1:32" x14ac:dyDescent="0.35">
      <c r="A277" s="15"/>
      <c r="B277" s="78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42"/>
      <c r="V277" s="15"/>
      <c r="W277" s="25" t="str">
        <f t="shared" si="12"/>
        <v>0</v>
      </c>
      <c r="X277" s="25"/>
      <c r="Y277" s="15"/>
      <c r="Z277" s="27"/>
      <c r="AA277" s="15"/>
      <c r="AB277" s="15"/>
      <c r="AC277" s="15"/>
      <c r="AD277" s="15"/>
      <c r="AE277" s="15"/>
      <c r="AF277" s="15"/>
    </row>
    <row r="278" spans="1:32" x14ac:dyDescent="0.35">
      <c r="A278" s="15"/>
      <c r="B278" s="78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42"/>
      <c r="V278" s="15"/>
      <c r="W278" s="25" t="str">
        <f t="shared" si="12"/>
        <v>0</v>
      </c>
      <c r="X278" s="25"/>
      <c r="Y278" s="15"/>
      <c r="Z278" s="27"/>
      <c r="AA278" s="15"/>
      <c r="AB278" s="15"/>
      <c r="AC278" s="15"/>
      <c r="AD278" s="15"/>
      <c r="AE278" s="15"/>
      <c r="AF278" s="15"/>
    </row>
    <row r="279" spans="1:32" x14ac:dyDescent="0.35">
      <c r="A279" s="15"/>
      <c r="B279" s="78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42"/>
      <c r="V279" s="15"/>
      <c r="W279" s="25" t="str">
        <f t="shared" si="12"/>
        <v>0</v>
      </c>
      <c r="X279" s="25"/>
      <c r="Y279" s="15"/>
      <c r="Z279" s="27"/>
      <c r="AA279" s="15"/>
      <c r="AB279" s="15"/>
      <c r="AC279" s="15"/>
      <c r="AD279" s="15"/>
      <c r="AE279" s="15"/>
      <c r="AF279" s="15"/>
    </row>
    <row r="280" spans="1:32" x14ac:dyDescent="0.35">
      <c r="A280" s="15"/>
      <c r="B280" s="78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42"/>
      <c r="V280" s="15"/>
      <c r="W280" s="25" t="str">
        <f t="shared" si="12"/>
        <v>0</v>
      </c>
      <c r="X280" s="25"/>
      <c r="Y280" s="15"/>
      <c r="Z280" s="27"/>
      <c r="AA280" s="15"/>
      <c r="AB280" s="15"/>
      <c r="AC280" s="15"/>
      <c r="AD280" s="15"/>
      <c r="AE280" s="15"/>
      <c r="AF280" s="15"/>
    </row>
    <row r="281" spans="1:32" x14ac:dyDescent="0.35">
      <c r="A281" s="15"/>
      <c r="B281" s="78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42"/>
      <c r="V281" s="15"/>
      <c r="W281" s="25" t="str">
        <f t="shared" si="12"/>
        <v>0</v>
      </c>
      <c r="X281" s="25"/>
      <c r="Y281" s="15"/>
      <c r="Z281" s="27"/>
      <c r="AA281" s="15"/>
      <c r="AB281" s="15"/>
      <c r="AC281" s="15"/>
      <c r="AD281" s="15"/>
      <c r="AE281" s="15"/>
      <c r="AF281" s="15"/>
    </row>
    <row r="282" spans="1:32" x14ac:dyDescent="0.35">
      <c r="A282" s="15"/>
      <c r="B282" s="78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42"/>
      <c r="V282" s="15"/>
      <c r="W282" s="25" t="str">
        <f t="shared" si="12"/>
        <v>0</v>
      </c>
      <c r="X282" s="25"/>
      <c r="Y282" s="15"/>
      <c r="Z282" s="27"/>
      <c r="AA282" s="15"/>
      <c r="AB282" s="15"/>
      <c r="AC282" s="15"/>
      <c r="AD282" s="15"/>
      <c r="AE282" s="15"/>
      <c r="AF282" s="15"/>
    </row>
    <row r="283" spans="1:32" x14ac:dyDescent="0.35">
      <c r="A283" s="15"/>
      <c r="B283" s="78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42"/>
      <c r="V283" s="15"/>
      <c r="W283" s="25" t="str">
        <f t="shared" si="12"/>
        <v>0</v>
      </c>
      <c r="X283" s="25"/>
      <c r="Y283" s="15"/>
      <c r="Z283" s="27"/>
      <c r="AA283" s="15"/>
      <c r="AB283" s="15"/>
      <c r="AC283" s="15"/>
      <c r="AD283" s="15"/>
      <c r="AE283" s="15"/>
      <c r="AF283" s="15"/>
    </row>
    <row r="284" spans="1:32" x14ac:dyDescent="0.35">
      <c r="A284" s="15"/>
      <c r="B284" s="78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42"/>
      <c r="V284" s="15"/>
      <c r="W284" s="25" t="str">
        <f t="shared" si="12"/>
        <v>0</v>
      </c>
      <c r="X284" s="25"/>
      <c r="Y284" s="15"/>
      <c r="Z284" s="27"/>
      <c r="AA284" s="15"/>
      <c r="AB284" s="15"/>
      <c r="AC284" s="15"/>
      <c r="AD284" s="15"/>
      <c r="AE284" s="15"/>
      <c r="AF284" s="15"/>
    </row>
    <row r="285" spans="1:32" x14ac:dyDescent="0.35">
      <c r="A285" s="15"/>
      <c r="B285" s="78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42"/>
      <c r="V285" s="15"/>
      <c r="W285" s="25" t="str">
        <f t="shared" si="12"/>
        <v>0</v>
      </c>
      <c r="X285" s="25"/>
      <c r="Y285" s="15"/>
      <c r="Z285" s="27"/>
      <c r="AA285" s="15"/>
      <c r="AB285" s="15"/>
      <c r="AC285" s="15"/>
      <c r="AD285" s="15"/>
      <c r="AE285" s="15"/>
      <c r="AF285" s="15"/>
    </row>
    <row r="286" spans="1:32" x14ac:dyDescent="0.35">
      <c r="A286" s="15"/>
      <c r="B286" s="78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42"/>
      <c r="V286" s="15"/>
      <c r="W286" s="25" t="str">
        <f t="shared" si="12"/>
        <v>0</v>
      </c>
      <c r="X286" s="25"/>
      <c r="Y286" s="15"/>
      <c r="Z286" s="27"/>
      <c r="AA286" s="15"/>
      <c r="AB286" s="15"/>
      <c r="AC286" s="15"/>
      <c r="AD286" s="15"/>
      <c r="AE286" s="15"/>
      <c r="AF286" s="15"/>
    </row>
    <row r="287" spans="1:32" x14ac:dyDescent="0.35">
      <c r="A287" s="15"/>
      <c r="B287" s="78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42"/>
      <c r="V287" s="15"/>
      <c r="W287" s="25" t="str">
        <f t="shared" si="12"/>
        <v>0</v>
      </c>
      <c r="X287" s="25"/>
      <c r="Y287" s="15"/>
      <c r="Z287" s="27"/>
      <c r="AA287" s="15"/>
      <c r="AB287" s="15"/>
      <c r="AC287" s="15"/>
      <c r="AD287" s="15"/>
      <c r="AE287" s="15"/>
      <c r="AF287" s="15"/>
    </row>
    <row r="288" spans="1:32" x14ac:dyDescent="0.35">
      <c r="A288" s="15"/>
      <c r="B288" s="78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42"/>
      <c r="V288" s="15"/>
      <c r="W288" s="25" t="str">
        <f t="shared" si="12"/>
        <v>0</v>
      </c>
      <c r="X288" s="25"/>
      <c r="Y288" s="15"/>
      <c r="Z288" s="27"/>
      <c r="AA288" s="15"/>
      <c r="AB288" s="15"/>
      <c r="AC288" s="15"/>
      <c r="AD288" s="15"/>
      <c r="AE288" s="15"/>
      <c r="AF288" s="15"/>
    </row>
    <row r="289" spans="1:32" x14ac:dyDescent="0.35">
      <c r="A289" s="15"/>
      <c r="B289" s="78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42"/>
      <c r="V289" s="15"/>
      <c r="W289" s="25" t="str">
        <f t="shared" si="12"/>
        <v>0</v>
      </c>
      <c r="X289" s="25"/>
      <c r="Y289" s="15"/>
      <c r="Z289" s="27"/>
      <c r="AA289" s="15"/>
      <c r="AB289" s="15"/>
      <c r="AC289" s="15"/>
      <c r="AD289" s="15"/>
      <c r="AE289" s="15"/>
      <c r="AF289" s="15"/>
    </row>
    <row r="290" spans="1:32" x14ac:dyDescent="0.35">
      <c r="A290" s="15"/>
      <c r="B290" s="78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42"/>
      <c r="V290" s="15"/>
      <c r="W290" s="25" t="str">
        <f t="shared" si="12"/>
        <v>0</v>
      </c>
      <c r="X290" s="25"/>
      <c r="Y290" s="15"/>
      <c r="Z290" s="27"/>
      <c r="AA290" s="15"/>
      <c r="AB290" s="15"/>
      <c r="AC290" s="15"/>
      <c r="AD290" s="15"/>
      <c r="AE290" s="15"/>
      <c r="AF290" s="15"/>
    </row>
    <row r="291" spans="1:32" x14ac:dyDescent="0.35">
      <c r="A291" s="15"/>
      <c r="B291" s="78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42"/>
      <c r="V291" s="15"/>
      <c r="W291" s="25" t="str">
        <f t="shared" si="12"/>
        <v>0</v>
      </c>
      <c r="X291" s="25"/>
      <c r="Y291" s="15"/>
      <c r="Z291" s="27"/>
      <c r="AA291" s="15"/>
      <c r="AB291" s="15"/>
      <c r="AC291" s="15"/>
      <c r="AD291" s="15"/>
      <c r="AE291" s="15"/>
      <c r="AF291" s="15"/>
    </row>
    <row r="292" spans="1:32" x14ac:dyDescent="0.35">
      <c r="A292" s="15"/>
      <c r="B292" s="78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42"/>
      <c r="V292" s="15"/>
      <c r="W292" s="25" t="str">
        <f t="shared" si="12"/>
        <v>0</v>
      </c>
      <c r="X292" s="25"/>
      <c r="Y292" s="15"/>
      <c r="Z292" s="27"/>
      <c r="AA292" s="15"/>
      <c r="AB292" s="15"/>
      <c r="AC292" s="15"/>
      <c r="AD292" s="15"/>
      <c r="AE292" s="15"/>
      <c r="AF292" s="15"/>
    </row>
    <row r="293" spans="1:32" x14ac:dyDescent="0.35">
      <c r="A293" s="15"/>
      <c r="B293" s="78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42"/>
      <c r="V293" s="15"/>
      <c r="W293" s="25" t="str">
        <f t="shared" si="12"/>
        <v>0</v>
      </c>
      <c r="X293" s="25"/>
      <c r="Y293" s="15"/>
      <c r="Z293" s="27"/>
      <c r="AA293" s="15"/>
      <c r="AB293" s="15"/>
      <c r="AC293" s="15"/>
      <c r="AD293" s="15"/>
      <c r="AE293" s="15"/>
      <c r="AF293" s="15"/>
    </row>
    <row r="294" spans="1:32" x14ac:dyDescent="0.35">
      <c r="A294" s="15"/>
      <c r="B294" s="78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42"/>
      <c r="V294" s="15"/>
      <c r="W294" s="25" t="str">
        <f t="shared" si="12"/>
        <v>0</v>
      </c>
      <c r="X294" s="25"/>
      <c r="Y294" s="15"/>
      <c r="Z294" s="27"/>
      <c r="AA294" s="15"/>
      <c r="AB294" s="15"/>
      <c r="AC294" s="15"/>
      <c r="AD294" s="15"/>
      <c r="AE294" s="15"/>
      <c r="AF294" s="15"/>
    </row>
    <row r="295" spans="1:32" x14ac:dyDescent="0.35">
      <c r="A295" s="15"/>
      <c r="B295" s="78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42"/>
      <c r="V295" s="15"/>
      <c r="W295" s="25" t="str">
        <f t="shared" si="12"/>
        <v>0</v>
      </c>
      <c r="X295" s="25"/>
      <c r="Y295" s="15"/>
      <c r="Z295" s="27"/>
      <c r="AA295" s="15"/>
      <c r="AB295" s="15"/>
      <c r="AC295" s="15"/>
      <c r="AD295" s="15"/>
      <c r="AE295" s="15"/>
      <c r="AF295" s="15"/>
    </row>
    <row r="296" spans="1:32" x14ac:dyDescent="0.35">
      <c r="A296" s="15"/>
      <c r="B296" s="78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42"/>
      <c r="V296" s="15"/>
      <c r="W296" s="25" t="str">
        <f t="shared" si="12"/>
        <v>0</v>
      </c>
      <c r="X296" s="25"/>
      <c r="Y296" s="15"/>
      <c r="Z296" s="27"/>
      <c r="AA296" s="15"/>
      <c r="AB296" s="15"/>
      <c r="AC296" s="15"/>
      <c r="AD296" s="15"/>
      <c r="AE296" s="15"/>
      <c r="AF296" s="15"/>
    </row>
    <row r="297" spans="1:32" x14ac:dyDescent="0.35">
      <c r="A297" s="15"/>
      <c r="B297" s="78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42"/>
      <c r="V297" s="15"/>
      <c r="W297" s="25" t="str">
        <f t="shared" si="12"/>
        <v>0</v>
      </c>
      <c r="X297" s="25"/>
      <c r="Y297" s="15"/>
      <c r="Z297" s="27"/>
      <c r="AA297" s="15"/>
      <c r="AB297" s="15"/>
      <c r="AC297" s="15"/>
      <c r="AD297" s="15"/>
      <c r="AE297" s="15"/>
      <c r="AF297" s="15"/>
    </row>
    <row r="298" spans="1:32" x14ac:dyDescent="0.35">
      <c r="A298" s="15"/>
      <c r="B298" s="78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42"/>
      <c r="V298" s="15"/>
      <c r="W298" s="25" t="str">
        <f t="shared" si="12"/>
        <v>0</v>
      </c>
      <c r="X298" s="25"/>
      <c r="Y298" s="15"/>
      <c r="Z298" s="27"/>
      <c r="AA298" s="15"/>
      <c r="AB298" s="15"/>
      <c r="AC298" s="15"/>
      <c r="AD298" s="15"/>
      <c r="AE298" s="15"/>
      <c r="AF298" s="15"/>
    </row>
    <row r="299" spans="1:32" x14ac:dyDescent="0.35">
      <c r="A299" s="15"/>
      <c r="B299" s="78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42"/>
      <c r="V299" s="15"/>
      <c r="W299" s="25" t="str">
        <f t="shared" si="12"/>
        <v>0</v>
      </c>
      <c r="X299" s="25"/>
      <c r="Y299" s="15"/>
      <c r="Z299" s="27"/>
      <c r="AA299" s="15"/>
      <c r="AB299" s="15"/>
      <c r="AC299" s="15"/>
      <c r="AD299" s="15"/>
      <c r="AE299" s="15"/>
      <c r="AF299" s="15"/>
    </row>
    <row r="300" spans="1:32" x14ac:dyDescent="0.35">
      <c r="A300" s="15"/>
      <c r="B300" s="78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42"/>
      <c r="V300" s="15"/>
      <c r="W300" s="25" t="str">
        <f t="shared" si="12"/>
        <v>0</v>
      </c>
      <c r="X300" s="25"/>
      <c r="Y300" s="15"/>
      <c r="Z300" s="27"/>
      <c r="AA300" s="15"/>
      <c r="AB300" s="15"/>
      <c r="AC300" s="15"/>
      <c r="AD300" s="15"/>
      <c r="AE300" s="15"/>
      <c r="AF300" s="15"/>
    </row>
    <row r="301" spans="1:32" x14ac:dyDescent="0.35">
      <c r="A301" s="15"/>
      <c r="B301" s="78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42"/>
      <c r="V301" s="15"/>
      <c r="W301" s="25" t="str">
        <f t="shared" si="12"/>
        <v>0</v>
      </c>
      <c r="X301" s="25"/>
      <c r="Y301" s="15"/>
      <c r="Z301" s="27"/>
      <c r="AA301" s="15"/>
      <c r="AB301" s="15"/>
      <c r="AC301" s="15"/>
      <c r="AD301" s="15"/>
      <c r="AE301" s="15"/>
      <c r="AF301" s="15"/>
    </row>
    <row r="302" spans="1:32" x14ac:dyDescent="0.35">
      <c r="A302" s="15"/>
      <c r="B302" s="78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42"/>
      <c r="V302" s="15"/>
      <c r="W302" s="25" t="str">
        <f t="shared" si="12"/>
        <v>0</v>
      </c>
      <c r="X302" s="25"/>
      <c r="Y302" s="15"/>
      <c r="Z302" s="27"/>
      <c r="AA302" s="15"/>
      <c r="AB302" s="15"/>
      <c r="AC302" s="15"/>
    </row>
    <row r="303" spans="1:32" x14ac:dyDescent="0.35">
      <c r="A303" s="15"/>
      <c r="B303" s="78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42"/>
      <c r="V303" s="15"/>
      <c r="W303" s="25" t="str">
        <f t="shared" si="12"/>
        <v>0</v>
      </c>
      <c r="X303" s="25"/>
      <c r="Y303" s="15"/>
      <c r="Z303" s="27"/>
      <c r="AA303" s="15"/>
      <c r="AB303" s="15"/>
      <c r="AC303" s="15"/>
    </row>
    <row r="304" spans="1:32" x14ac:dyDescent="0.35">
      <c r="A304" s="15"/>
      <c r="B304" s="78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42"/>
      <c r="V304" s="15"/>
      <c r="W304" s="25" t="str">
        <f t="shared" si="12"/>
        <v>0</v>
      </c>
      <c r="X304" s="25"/>
      <c r="Y304" s="15"/>
      <c r="Z304" s="27"/>
      <c r="AA304" s="15"/>
      <c r="AB304" s="15"/>
      <c r="AC304" s="15"/>
    </row>
    <row r="305" spans="1:29" x14ac:dyDescent="0.35">
      <c r="A305" s="15"/>
      <c r="B305" s="78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42"/>
      <c r="V305" s="15"/>
      <c r="W305" s="25" t="str">
        <f t="shared" si="12"/>
        <v>0</v>
      </c>
      <c r="X305" s="25"/>
      <c r="Y305" s="15"/>
      <c r="Z305" s="27"/>
      <c r="AA305" s="15"/>
      <c r="AB305" s="15"/>
      <c r="AC305" s="15"/>
    </row>
    <row r="306" spans="1:29" x14ac:dyDescent="0.35">
      <c r="A306" s="15"/>
      <c r="B306" s="78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42"/>
      <c r="V306" s="15"/>
      <c r="W306" s="25" t="str">
        <f t="shared" si="12"/>
        <v>0</v>
      </c>
      <c r="X306" s="25"/>
      <c r="Y306" s="15"/>
      <c r="Z306" s="27"/>
      <c r="AA306" s="15"/>
      <c r="AB306" s="15"/>
      <c r="AC306" s="15"/>
    </row>
    <row r="307" spans="1:29" x14ac:dyDescent="0.35">
      <c r="A307" s="15"/>
      <c r="B307" s="78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42"/>
      <c r="V307" s="15"/>
      <c r="W307" s="25" t="str">
        <f t="shared" si="12"/>
        <v>0</v>
      </c>
      <c r="X307" s="25"/>
      <c r="Y307" s="15"/>
      <c r="Z307" s="27"/>
      <c r="AA307" s="15"/>
      <c r="AB307" s="15"/>
      <c r="AC307" s="15"/>
    </row>
    <row r="308" spans="1:29" x14ac:dyDescent="0.35">
      <c r="A308" s="15"/>
      <c r="B308" s="78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42"/>
      <c r="V308" s="15"/>
      <c r="W308" s="25" t="str">
        <f t="shared" si="12"/>
        <v>0</v>
      </c>
      <c r="X308" s="25"/>
      <c r="Y308" s="15"/>
      <c r="Z308" s="27"/>
      <c r="AA308" s="15"/>
      <c r="AB308" s="15"/>
      <c r="AC308" s="15"/>
    </row>
    <row r="309" spans="1:29" x14ac:dyDescent="0.35">
      <c r="A309" s="15"/>
      <c r="B309" s="78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42"/>
      <c r="V309" s="15"/>
      <c r="W309" s="25" t="str">
        <f t="shared" si="12"/>
        <v>0</v>
      </c>
      <c r="X309" s="25"/>
      <c r="Y309" s="15"/>
      <c r="Z309" s="27"/>
      <c r="AA309" s="15"/>
      <c r="AB309" s="15"/>
      <c r="AC309" s="15"/>
    </row>
    <row r="310" spans="1:29" x14ac:dyDescent="0.35">
      <c r="A310" s="15"/>
      <c r="B310" s="78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42"/>
      <c r="V310" s="15"/>
      <c r="W310" s="25" t="str">
        <f t="shared" si="12"/>
        <v>0</v>
      </c>
      <c r="X310" s="25"/>
      <c r="Y310" s="15"/>
      <c r="Z310" s="27"/>
      <c r="AA310" s="15"/>
      <c r="AB310" s="15"/>
      <c r="AC310" s="15"/>
    </row>
    <row r="311" spans="1:29" x14ac:dyDescent="0.35">
      <c r="A311" s="15"/>
      <c r="B311" s="78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42"/>
      <c r="V311" s="15"/>
      <c r="W311" s="25" t="str">
        <f t="shared" si="12"/>
        <v>0</v>
      </c>
      <c r="X311" s="25"/>
      <c r="Y311" s="15"/>
      <c r="Z311" s="27"/>
      <c r="AA311" s="15"/>
      <c r="AB311" s="15"/>
      <c r="AC311" s="15"/>
    </row>
    <row r="312" spans="1:29" x14ac:dyDescent="0.35">
      <c r="A312" s="15"/>
      <c r="B312" s="78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42"/>
      <c r="V312" s="15"/>
      <c r="W312" s="25" t="str">
        <f t="shared" si="12"/>
        <v>0</v>
      </c>
      <c r="X312" s="25"/>
      <c r="Y312" s="15"/>
      <c r="Z312" s="27"/>
      <c r="AA312" s="15"/>
      <c r="AB312" s="15"/>
      <c r="AC312" s="15"/>
    </row>
    <row r="313" spans="1:29" x14ac:dyDescent="0.35">
      <c r="A313" s="15"/>
      <c r="B313" s="78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42"/>
      <c r="V313" s="15"/>
      <c r="W313" s="25" t="str">
        <f t="shared" si="12"/>
        <v>0</v>
      </c>
      <c r="X313" s="25"/>
      <c r="Y313" s="15"/>
      <c r="Z313" s="27"/>
      <c r="AA313" s="15"/>
      <c r="AB313" s="15"/>
      <c r="AC313" s="15"/>
    </row>
    <row r="314" spans="1:29" x14ac:dyDescent="0.35">
      <c r="A314" s="15"/>
      <c r="B314" s="78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42"/>
      <c r="V314" s="15"/>
      <c r="W314" s="25" t="str">
        <f t="shared" si="12"/>
        <v>0</v>
      </c>
      <c r="X314" s="25"/>
      <c r="Y314" s="15"/>
      <c r="Z314" s="27"/>
      <c r="AA314" s="15"/>
      <c r="AB314" s="15"/>
      <c r="AC314" s="15"/>
    </row>
    <row r="315" spans="1:29" x14ac:dyDescent="0.35">
      <c r="A315" s="15"/>
      <c r="B315" s="78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42"/>
      <c r="V315" s="15"/>
      <c r="W315" s="25" t="str">
        <f t="shared" si="12"/>
        <v>0</v>
      </c>
      <c r="X315" s="25"/>
      <c r="Y315" s="15"/>
      <c r="Z315" s="27"/>
      <c r="AA315" s="15"/>
      <c r="AB315" s="15"/>
      <c r="AC315" s="15"/>
    </row>
    <row r="316" spans="1:29" x14ac:dyDescent="0.35">
      <c r="A316" s="15"/>
      <c r="B316" s="78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42"/>
      <c r="V316" s="15"/>
      <c r="W316" s="25" t="str">
        <f t="shared" si="12"/>
        <v>0</v>
      </c>
      <c r="X316" s="25"/>
      <c r="Y316" s="15"/>
      <c r="Z316" s="27"/>
      <c r="AA316" s="15"/>
      <c r="AB316" s="15"/>
      <c r="AC316" s="15"/>
    </row>
    <row r="317" spans="1:29" x14ac:dyDescent="0.35">
      <c r="A317" s="15"/>
      <c r="B317" s="78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42"/>
      <c r="V317" s="15"/>
      <c r="W317" s="25" t="str">
        <f t="shared" si="12"/>
        <v>0</v>
      </c>
      <c r="X317" s="25"/>
      <c r="Y317" s="15"/>
      <c r="Z317" s="27"/>
      <c r="AA317" s="15"/>
      <c r="AB317" s="15"/>
      <c r="AC317" s="15"/>
    </row>
    <row r="318" spans="1:29" x14ac:dyDescent="0.35">
      <c r="A318" s="15"/>
      <c r="B318" s="78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42"/>
      <c r="V318" s="15"/>
      <c r="W318" s="25" t="str">
        <f t="shared" ref="W318:W381" si="13">IFERROR(V318/M318,"0")</f>
        <v>0</v>
      </c>
      <c r="X318" s="25"/>
      <c r="Y318" s="15"/>
      <c r="Z318" s="27"/>
      <c r="AA318" s="15"/>
      <c r="AB318" s="15"/>
      <c r="AC318" s="15"/>
    </row>
    <row r="319" spans="1:29" x14ac:dyDescent="0.35">
      <c r="A319" s="15"/>
      <c r="B319" s="78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42"/>
      <c r="V319" s="15"/>
      <c r="W319" s="25" t="str">
        <f t="shared" si="13"/>
        <v>0</v>
      </c>
      <c r="X319" s="25"/>
      <c r="Y319" s="15"/>
      <c r="Z319" s="27"/>
      <c r="AA319" s="15"/>
      <c r="AB319" s="15"/>
      <c r="AC319" s="15"/>
    </row>
    <row r="320" spans="1:29" x14ac:dyDescent="0.35">
      <c r="A320" s="15"/>
      <c r="B320" s="78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42"/>
      <c r="V320" s="15"/>
      <c r="W320" s="25" t="str">
        <f t="shared" si="13"/>
        <v>0</v>
      </c>
      <c r="X320" s="25"/>
      <c r="Y320" s="15"/>
      <c r="Z320" s="27"/>
      <c r="AA320" s="15"/>
      <c r="AB320" s="15"/>
      <c r="AC320" s="15"/>
    </row>
    <row r="321" spans="1:29" x14ac:dyDescent="0.35">
      <c r="A321" s="15"/>
      <c r="B321" s="78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42"/>
      <c r="V321" s="15"/>
      <c r="W321" s="25" t="str">
        <f t="shared" si="13"/>
        <v>0</v>
      </c>
      <c r="X321" s="25"/>
      <c r="Y321" s="15"/>
      <c r="Z321" s="27"/>
      <c r="AA321" s="15"/>
      <c r="AB321" s="15"/>
      <c r="AC321" s="15"/>
    </row>
    <row r="322" spans="1:29" x14ac:dyDescent="0.35">
      <c r="A322" s="15"/>
      <c r="B322" s="78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42"/>
      <c r="V322" s="15"/>
      <c r="W322" s="25" t="str">
        <f t="shared" si="13"/>
        <v>0</v>
      </c>
      <c r="X322" s="25"/>
      <c r="Y322" s="15"/>
      <c r="Z322" s="27"/>
      <c r="AA322" s="15"/>
      <c r="AB322" s="15"/>
      <c r="AC322" s="15"/>
    </row>
    <row r="323" spans="1:29" x14ac:dyDescent="0.35">
      <c r="A323" s="15"/>
      <c r="B323" s="78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42"/>
      <c r="V323" s="15"/>
      <c r="W323" s="25" t="str">
        <f t="shared" si="13"/>
        <v>0</v>
      </c>
      <c r="X323" s="25"/>
      <c r="Y323" s="15"/>
      <c r="Z323" s="27"/>
      <c r="AA323" s="15"/>
      <c r="AB323" s="15"/>
      <c r="AC323" s="15"/>
    </row>
    <row r="324" spans="1:29" x14ac:dyDescent="0.35">
      <c r="A324" s="15"/>
      <c r="B324" s="78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42"/>
      <c r="V324" s="15"/>
      <c r="W324" s="25" t="str">
        <f t="shared" si="13"/>
        <v>0</v>
      </c>
      <c r="X324" s="25"/>
      <c r="Y324" s="15"/>
      <c r="Z324" s="27"/>
      <c r="AA324" s="15"/>
      <c r="AB324" s="15"/>
      <c r="AC324" s="15"/>
    </row>
    <row r="325" spans="1:29" x14ac:dyDescent="0.35">
      <c r="A325" s="15"/>
      <c r="B325" s="78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42"/>
      <c r="V325" s="15"/>
      <c r="W325" s="25" t="str">
        <f t="shared" si="13"/>
        <v>0</v>
      </c>
      <c r="X325" s="25"/>
      <c r="Y325" s="15"/>
      <c r="Z325" s="27"/>
      <c r="AA325" s="15"/>
      <c r="AB325" s="15"/>
      <c r="AC325" s="15"/>
    </row>
    <row r="326" spans="1:29" x14ac:dyDescent="0.35">
      <c r="A326" s="15"/>
      <c r="B326" s="78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42"/>
      <c r="V326" s="15"/>
      <c r="W326" s="25" t="str">
        <f t="shared" si="13"/>
        <v>0</v>
      </c>
      <c r="X326" s="25"/>
      <c r="Y326" s="15"/>
      <c r="Z326" s="27"/>
      <c r="AA326" s="15"/>
      <c r="AB326" s="15"/>
      <c r="AC326" s="15"/>
    </row>
    <row r="327" spans="1:29" x14ac:dyDescent="0.35">
      <c r="A327" s="15"/>
      <c r="B327" s="78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42"/>
      <c r="V327" s="15"/>
      <c r="W327" s="25" t="str">
        <f t="shared" si="13"/>
        <v>0</v>
      </c>
      <c r="X327" s="25"/>
      <c r="Y327" s="15"/>
      <c r="Z327" s="27"/>
      <c r="AA327" s="15"/>
      <c r="AB327" s="15"/>
      <c r="AC327" s="15"/>
    </row>
    <row r="328" spans="1:29" x14ac:dyDescent="0.35">
      <c r="A328" s="15"/>
      <c r="B328" s="78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42"/>
      <c r="V328" s="15"/>
      <c r="W328" s="25" t="str">
        <f t="shared" si="13"/>
        <v>0</v>
      </c>
      <c r="X328" s="25"/>
      <c r="Y328" s="15"/>
      <c r="Z328" s="27"/>
      <c r="AA328" s="15"/>
      <c r="AB328" s="15"/>
      <c r="AC328" s="15"/>
    </row>
    <row r="329" spans="1:29" x14ac:dyDescent="0.35">
      <c r="A329" s="15"/>
      <c r="B329" s="78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42"/>
      <c r="V329" s="15"/>
      <c r="W329" s="25" t="str">
        <f t="shared" si="13"/>
        <v>0</v>
      </c>
      <c r="X329" s="25"/>
      <c r="Y329" s="15"/>
      <c r="Z329" s="27"/>
      <c r="AA329" s="15"/>
      <c r="AB329" s="15"/>
      <c r="AC329" s="15"/>
    </row>
    <row r="330" spans="1:29" x14ac:dyDescent="0.35">
      <c r="A330" s="15"/>
      <c r="B330" s="78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42"/>
      <c r="V330" s="15"/>
      <c r="W330" s="25" t="str">
        <f t="shared" si="13"/>
        <v>0</v>
      </c>
      <c r="X330" s="25"/>
      <c r="Y330" s="15"/>
      <c r="Z330" s="27"/>
      <c r="AA330" s="15"/>
      <c r="AB330" s="15"/>
      <c r="AC330" s="15"/>
    </row>
    <row r="331" spans="1:29" x14ac:dyDescent="0.35">
      <c r="A331" s="15"/>
      <c r="B331" s="78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42"/>
      <c r="V331" s="15"/>
      <c r="W331" s="25" t="str">
        <f t="shared" si="13"/>
        <v>0</v>
      </c>
      <c r="X331" s="25"/>
      <c r="Y331" s="15"/>
      <c r="Z331" s="27"/>
      <c r="AA331" s="15"/>
      <c r="AB331" s="15"/>
      <c r="AC331" s="15"/>
    </row>
    <row r="332" spans="1:29" x14ac:dyDescent="0.35">
      <c r="A332" s="15"/>
      <c r="B332" s="78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42"/>
      <c r="V332" s="15"/>
      <c r="W332" s="25" t="str">
        <f t="shared" si="13"/>
        <v>0</v>
      </c>
      <c r="X332" s="25"/>
      <c r="Y332" s="15"/>
      <c r="Z332" s="27"/>
      <c r="AA332" s="15"/>
      <c r="AB332" s="15"/>
      <c r="AC332" s="15"/>
    </row>
    <row r="333" spans="1:29" x14ac:dyDescent="0.35">
      <c r="A333" s="15"/>
      <c r="B333" s="78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42"/>
      <c r="V333" s="15"/>
      <c r="W333" s="25" t="str">
        <f t="shared" si="13"/>
        <v>0</v>
      </c>
      <c r="X333" s="25"/>
      <c r="Y333" s="15"/>
      <c r="Z333" s="27"/>
      <c r="AA333" s="15"/>
      <c r="AB333" s="15"/>
      <c r="AC333" s="15"/>
    </row>
    <row r="334" spans="1:29" x14ac:dyDescent="0.35">
      <c r="A334" s="15"/>
      <c r="B334" s="78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42"/>
      <c r="V334" s="15"/>
      <c r="W334" s="25" t="str">
        <f t="shared" si="13"/>
        <v>0</v>
      </c>
      <c r="X334" s="25"/>
      <c r="Y334" s="15"/>
      <c r="Z334" s="27"/>
      <c r="AA334" s="15"/>
      <c r="AB334" s="15"/>
      <c r="AC334" s="15"/>
    </row>
    <row r="335" spans="1:29" x14ac:dyDescent="0.35">
      <c r="A335" s="15"/>
      <c r="B335" s="78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42"/>
      <c r="V335" s="15"/>
      <c r="W335" s="25" t="str">
        <f t="shared" si="13"/>
        <v>0</v>
      </c>
      <c r="X335" s="25"/>
      <c r="Y335" s="15"/>
      <c r="Z335" s="27"/>
      <c r="AA335" s="15"/>
      <c r="AB335" s="15"/>
      <c r="AC335" s="15"/>
    </row>
    <row r="336" spans="1:29" x14ac:dyDescent="0.35">
      <c r="A336" s="15"/>
      <c r="B336" s="78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42"/>
      <c r="V336" s="15"/>
      <c r="W336" s="25" t="str">
        <f t="shared" si="13"/>
        <v>0</v>
      </c>
      <c r="X336" s="25"/>
      <c r="Y336" s="15"/>
      <c r="Z336" s="27"/>
      <c r="AA336" s="15"/>
      <c r="AB336" s="15"/>
      <c r="AC336" s="15"/>
    </row>
    <row r="337" spans="1:29" x14ac:dyDescent="0.35">
      <c r="A337" s="15"/>
      <c r="B337" s="78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42"/>
      <c r="V337" s="15"/>
      <c r="W337" s="25" t="str">
        <f t="shared" si="13"/>
        <v>0</v>
      </c>
      <c r="X337" s="25"/>
      <c r="Y337" s="15"/>
      <c r="Z337" s="27"/>
      <c r="AA337" s="15"/>
      <c r="AB337" s="15"/>
      <c r="AC337" s="15"/>
    </row>
    <row r="338" spans="1:29" x14ac:dyDescent="0.35">
      <c r="A338" s="15"/>
      <c r="B338" s="78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42"/>
      <c r="V338" s="15"/>
      <c r="W338" s="25" t="str">
        <f t="shared" si="13"/>
        <v>0</v>
      </c>
      <c r="X338" s="25"/>
      <c r="Y338" s="15"/>
      <c r="Z338" s="27"/>
      <c r="AA338" s="15"/>
      <c r="AB338" s="15"/>
      <c r="AC338" s="15"/>
    </row>
    <row r="339" spans="1:29" x14ac:dyDescent="0.35">
      <c r="A339" s="15"/>
      <c r="B339" s="78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42"/>
      <c r="V339" s="15"/>
      <c r="W339" s="25" t="str">
        <f t="shared" si="13"/>
        <v>0</v>
      </c>
      <c r="X339" s="25"/>
      <c r="Y339" s="15"/>
      <c r="Z339" s="27"/>
      <c r="AA339" s="15"/>
      <c r="AB339" s="15"/>
      <c r="AC339" s="15"/>
    </row>
    <row r="340" spans="1:29" x14ac:dyDescent="0.35">
      <c r="A340" s="15"/>
      <c r="B340" s="78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42"/>
      <c r="V340" s="15"/>
      <c r="W340" s="25" t="str">
        <f t="shared" si="13"/>
        <v>0</v>
      </c>
      <c r="X340" s="25"/>
      <c r="Y340" s="15"/>
      <c r="Z340" s="27"/>
      <c r="AA340" s="15"/>
      <c r="AB340" s="15"/>
      <c r="AC340" s="15"/>
    </row>
    <row r="341" spans="1:29" x14ac:dyDescent="0.35">
      <c r="A341" s="15"/>
      <c r="B341" s="78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42"/>
      <c r="V341" s="15"/>
      <c r="W341" s="25" t="str">
        <f t="shared" si="13"/>
        <v>0</v>
      </c>
      <c r="X341" s="25"/>
      <c r="Y341" s="15"/>
      <c r="Z341" s="27"/>
      <c r="AA341" s="15"/>
      <c r="AB341" s="15"/>
      <c r="AC341" s="15"/>
    </row>
    <row r="342" spans="1:29" x14ac:dyDescent="0.35">
      <c r="A342" s="15"/>
      <c r="B342" s="78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42"/>
      <c r="V342" s="15"/>
      <c r="W342" s="25" t="str">
        <f t="shared" si="13"/>
        <v>0</v>
      </c>
      <c r="X342" s="25"/>
      <c r="Y342" s="15"/>
      <c r="Z342" s="27"/>
      <c r="AA342" s="15"/>
      <c r="AB342" s="15"/>
      <c r="AC342" s="15"/>
    </row>
    <row r="343" spans="1:29" x14ac:dyDescent="0.35">
      <c r="A343" s="15"/>
      <c r="B343" s="78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42"/>
      <c r="V343" s="15"/>
      <c r="W343" s="25" t="str">
        <f t="shared" si="13"/>
        <v>0</v>
      </c>
      <c r="X343" s="25"/>
      <c r="Y343" s="15"/>
      <c r="Z343" s="27"/>
      <c r="AA343" s="15"/>
      <c r="AB343" s="15"/>
      <c r="AC343" s="15"/>
    </row>
    <row r="344" spans="1:29" x14ac:dyDescent="0.35">
      <c r="A344" s="15"/>
      <c r="B344" s="78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42"/>
      <c r="V344" s="15"/>
      <c r="W344" s="25" t="str">
        <f t="shared" si="13"/>
        <v>0</v>
      </c>
      <c r="X344" s="25"/>
      <c r="Y344" s="15"/>
      <c r="Z344" s="27"/>
      <c r="AA344" s="15"/>
      <c r="AB344" s="15"/>
      <c r="AC344" s="15"/>
    </row>
    <row r="345" spans="1:29" x14ac:dyDescent="0.35">
      <c r="A345" s="15"/>
      <c r="B345" s="78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42"/>
      <c r="V345" s="15"/>
      <c r="W345" s="25" t="str">
        <f t="shared" si="13"/>
        <v>0</v>
      </c>
      <c r="X345" s="25"/>
      <c r="Y345" s="15"/>
      <c r="Z345" s="27"/>
      <c r="AA345" s="15"/>
      <c r="AB345" s="15"/>
      <c r="AC345" s="15"/>
    </row>
    <row r="346" spans="1:29" x14ac:dyDescent="0.35">
      <c r="A346" s="15"/>
      <c r="B346" s="78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42"/>
      <c r="V346" s="15"/>
      <c r="W346" s="25" t="str">
        <f t="shared" si="13"/>
        <v>0</v>
      </c>
      <c r="X346" s="25"/>
      <c r="Y346" s="15"/>
      <c r="Z346" s="27"/>
      <c r="AA346" s="15"/>
      <c r="AB346" s="15"/>
      <c r="AC346" s="15"/>
    </row>
    <row r="347" spans="1:29" x14ac:dyDescent="0.35">
      <c r="A347" s="15"/>
      <c r="B347" s="78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42"/>
      <c r="V347" s="15"/>
      <c r="W347" s="25" t="str">
        <f t="shared" si="13"/>
        <v>0</v>
      </c>
      <c r="X347" s="25"/>
      <c r="Y347" s="15"/>
      <c r="Z347" s="27"/>
      <c r="AA347" s="15"/>
      <c r="AB347" s="15"/>
      <c r="AC347" s="15"/>
    </row>
    <row r="348" spans="1:29" x14ac:dyDescent="0.35">
      <c r="A348" s="15"/>
      <c r="B348" s="78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42"/>
      <c r="V348" s="15"/>
      <c r="W348" s="25" t="str">
        <f t="shared" si="13"/>
        <v>0</v>
      </c>
      <c r="X348" s="25"/>
      <c r="Y348" s="15"/>
      <c r="Z348" s="27"/>
      <c r="AA348" s="15"/>
      <c r="AB348" s="15"/>
      <c r="AC348" s="15"/>
    </row>
    <row r="349" spans="1:29" x14ac:dyDescent="0.35">
      <c r="A349" s="15"/>
      <c r="B349" s="78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42"/>
      <c r="V349" s="15"/>
      <c r="W349" s="25" t="str">
        <f t="shared" si="13"/>
        <v>0</v>
      </c>
      <c r="X349" s="25"/>
      <c r="Y349" s="15"/>
      <c r="Z349" s="27"/>
      <c r="AA349" s="15"/>
      <c r="AB349" s="15"/>
      <c r="AC349" s="15"/>
    </row>
    <row r="350" spans="1:29" x14ac:dyDescent="0.35">
      <c r="A350" s="15"/>
      <c r="B350" s="78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42"/>
      <c r="V350" s="15"/>
      <c r="W350" s="25" t="str">
        <f t="shared" si="13"/>
        <v>0</v>
      </c>
      <c r="X350" s="25"/>
      <c r="Y350" s="15"/>
      <c r="Z350" s="27"/>
      <c r="AA350" s="15"/>
      <c r="AB350" s="15"/>
      <c r="AC350" s="15"/>
    </row>
    <row r="351" spans="1:29" x14ac:dyDescent="0.35">
      <c r="A351" s="15"/>
      <c r="B351" s="78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42"/>
      <c r="V351" s="15"/>
      <c r="W351" s="25" t="str">
        <f t="shared" si="13"/>
        <v>0</v>
      </c>
      <c r="X351" s="25"/>
      <c r="Y351" s="15"/>
      <c r="Z351" s="27"/>
      <c r="AA351" s="15"/>
      <c r="AB351" s="15"/>
      <c r="AC351" s="15"/>
    </row>
    <row r="352" spans="1:29" x14ac:dyDescent="0.35">
      <c r="A352" s="15"/>
      <c r="B352" s="78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42"/>
      <c r="V352" s="15"/>
      <c r="W352" s="25" t="str">
        <f t="shared" si="13"/>
        <v>0</v>
      </c>
      <c r="X352" s="25"/>
      <c r="Y352" s="15"/>
      <c r="Z352" s="27"/>
      <c r="AA352" s="15"/>
      <c r="AB352" s="15"/>
      <c r="AC352" s="15"/>
    </row>
    <row r="353" spans="1:29" x14ac:dyDescent="0.35">
      <c r="A353" s="15"/>
      <c r="B353" s="78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42"/>
      <c r="V353" s="15"/>
      <c r="W353" s="25" t="str">
        <f t="shared" si="13"/>
        <v>0</v>
      </c>
      <c r="X353" s="25"/>
      <c r="Y353" s="15"/>
      <c r="Z353" s="27"/>
      <c r="AA353" s="15"/>
      <c r="AB353" s="15"/>
      <c r="AC353" s="15"/>
    </row>
    <row r="354" spans="1:29" x14ac:dyDescent="0.35">
      <c r="A354" s="15"/>
      <c r="B354" s="78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42"/>
      <c r="V354" s="15"/>
      <c r="W354" s="25" t="str">
        <f t="shared" si="13"/>
        <v>0</v>
      </c>
      <c r="X354" s="25"/>
      <c r="Y354" s="15"/>
      <c r="Z354" s="27"/>
      <c r="AA354" s="15"/>
      <c r="AB354" s="15"/>
      <c r="AC354" s="15"/>
    </row>
    <row r="355" spans="1:29" x14ac:dyDescent="0.35">
      <c r="A355" s="15"/>
      <c r="B355" s="78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42"/>
      <c r="V355" s="15"/>
      <c r="W355" s="25" t="str">
        <f t="shared" si="13"/>
        <v>0</v>
      </c>
      <c r="X355" s="25"/>
      <c r="Y355" s="15"/>
      <c r="Z355" s="27"/>
      <c r="AA355" s="15"/>
      <c r="AB355" s="15"/>
      <c r="AC355" s="15"/>
    </row>
    <row r="356" spans="1:29" x14ac:dyDescent="0.35">
      <c r="A356" s="15"/>
      <c r="B356" s="78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42"/>
      <c r="V356" s="15"/>
      <c r="W356" s="25" t="str">
        <f t="shared" si="13"/>
        <v>0</v>
      </c>
      <c r="X356" s="25"/>
      <c r="Y356" s="15"/>
      <c r="Z356" s="27"/>
      <c r="AA356" s="15"/>
      <c r="AB356" s="15"/>
      <c r="AC356" s="15"/>
    </row>
    <row r="357" spans="1:29" x14ac:dyDescent="0.35">
      <c r="A357" s="15"/>
      <c r="B357" s="78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42"/>
      <c r="V357" s="15"/>
      <c r="W357" s="25" t="str">
        <f t="shared" si="13"/>
        <v>0</v>
      </c>
      <c r="X357" s="25"/>
      <c r="Y357" s="15"/>
      <c r="Z357" s="27"/>
      <c r="AA357" s="15"/>
      <c r="AB357" s="15"/>
      <c r="AC357" s="15"/>
    </row>
    <row r="358" spans="1:29" x14ac:dyDescent="0.35">
      <c r="A358" s="15"/>
      <c r="B358" s="78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42"/>
      <c r="V358" s="15"/>
      <c r="W358" s="25" t="str">
        <f t="shared" si="13"/>
        <v>0</v>
      </c>
      <c r="X358" s="25"/>
      <c r="Y358" s="15"/>
      <c r="Z358" s="27"/>
      <c r="AA358" s="15"/>
      <c r="AB358" s="15"/>
      <c r="AC358" s="15"/>
    </row>
    <row r="359" spans="1:29" x14ac:dyDescent="0.35">
      <c r="A359" s="15"/>
      <c r="B359" s="78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42"/>
      <c r="V359" s="15"/>
      <c r="W359" s="25" t="str">
        <f t="shared" si="13"/>
        <v>0</v>
      </c>
      <c r="X359" s="25"/>
      <c r="Y359" s="15"/>
      <c r="Z359" s="27"/>
      <c r="AA359" s="15"/>
      <c r="AB359" s="15"/>
      <c r="AC359" s="15"/>
    </row>
    <row r="360" spans="1:29" x14ac:dyDescent="0.35">
      <c r="A360" s="15"/>
      <c r="B360" s="78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42"/>
      <c r="V360" s="15"/>
      <c r="W360" s="25" t="str">
        <f t="shared" si="13"/>
        <v>0</v>
      </c>
      <c r="X360" s="25"/>
      <c r="Y360" s="15"/>
      <c r="Z360" s="27"/>
      <c r="AA360" s="15"/>
      <c r="AB360" s="15"/>
      <c r="AC360" s="15"/>
    </row>
    <row r="361" spans="1:29" x14ac:dyDescent="0.35">
      <c r="A361" s="15"/>
      <c r="B361" s="78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42"/>
      <c r="V361" s="15"/>
      <c r="W361" s="25" t="str">
        <f t="shared" si="13"/>
        <v>0</v>
      </c>
      <c r="X361" s="25"/>
      <c r="Y361" s="15"/>
      <c r="Z361" s="27"/>
      <c r="AA361" s="15"/>
      <c r="AB361" s="15"/>
      <c r="AC361" s="15"/>
    </row>
    <row r="362" spans="1:29" x14ac:dyDescent="0.35">
      <c r="A362" s="15"/>
      <c r="B362" s="78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42"/>
      <c r="V362" s="15"/>
      <c r="W362" s="25" t="str">
        <f t="shared" si="13"/>
        <v>0</v>
      </c>
      <c r="X362" s="25"/>
      <c r="Y362" s="15"/>
      <c r="Z362" s="27"/>
      <c r="AA362" s="15"/>
      <c r="AB362" s="15"/>
      <c r="AC362" s="15"/>
    </row>
    <row r="363" spans="1:29" x14ac:dyDescent="0.35">
      <c r="A363" s="15"/>
      <c r="B363" s="78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42"/>
      <c r="V363" s="15"/>
      <c r="W363" s="25" t="str">
        <f t="shared" si="13"/>
        <v>0</v>
      </c>
      <c r="X363" s="25"/>
      <c r="Y363" s="15"/>
      <c r="Z363" s="27"/>
      <c r="AA363" s="15"/>
      <c r="AB363" s="15"/>
      <c r="AC363" s="15"/>
    </row>
    <row r="364" spans="1:29" x14ac:dyDescent="0.35">
      <c r="A364" s="15"/>
      <c r="B364" s="78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42"/>
      <c r="V364" s="15"/>
      <c r="W364" s="25" t="str">
        <f t="shared" si="13"/>
        <v>0</v>
      </c>
      <c r="X364" s="25"/>
      <c r="Y364" s="15"/>
      <c r="Z364" s="27"/>
      <c r="AA364" s="15"/>
      <c r="AB364" s="15"/>
      <c r="AC364" s="15"/>
    </row>
    <row r="365" spans="1:29" x14ac:dyDescent="0.35">
      <c r="A365" s="15"/>
      <c r="B365" s="78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42"/>
      <c r="V365" s="15"/>
      <c r="W365" s="25" t="str">
        <f t="shared" si="13"/>
        <v>0</v>
      </c>
      <c r="X365" s="25"/>
      <c r="Y365" s="15"/>
      <c r="Z365" s="27"/>
      <c r="AA365" s="15"/>
      <c r="AB365" s="15"/>
      <c r="AC365" s="15"/>
    </row>
    <row r="366" spans="1:29" x14ac:dyDescent="0.35">
      <c r="A366" s="15"/>
      <c r="B366" s="78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42"/>
      <c r="V366" s="15"/>
      <c r="W366" s="25" t="str">
        <f t="shared" si="13"/>
        <v>0</v>
      </c>
      <c r="X366" s="25"/>
      <c r="Y366" s="15"/>
      <c r="Z366" s="27"/>
      <c r="AA366" s="15"/>
      <c r="AB366" s="15"/>
      <c r="AC366" s="15"/>
    </row>
    <row r="367" spans="1:29" x14ac:dyDescent="0.35">
      <c r="A367" s="15"/>
      <c r="B367" s="78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42"/>
      <c r="V367" s="15"/>
      <c r="W367" s="25" t="str">
        <f t="shared" si="13"/>
        <v>0</v>
      </c>
      <c r="X367" s="25"/>
      <c r="Y367" s="15"/>
      <c r="Z367" s="27"/>
      <c r="AA367" s="15"/>
      <c r="AB367" s="15"/>
      <c r="AC367" s="15"/>
    </row>
    <row r="368" spans="1:29" x14ac:dyDescent="0.35">
      <c r="A368" s="15"/>
      <c r="B368" s="78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42"/>
      <c r="V368" s="15"/>
      <c r="W368" s="25" t="str">
        <f t="shared" si="13"/>
        <v>0</v>
      </c>
      <c r="X368" s="25"/>
      <c r="Y368" s="15"/>
      <c r="Z368" s="27"/>
      <c r="AA368" s="15"/>
      <c r="AB368" s="15"/>
      <c r="AC368" s="15"/>
    </row>
    <row r="369" spans="1:29" x14ac:dyDescent="0.35">
      <c r="A369" s="15"/>
      <c r="B369" s="78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42"/>
      <c r="V369" s="15"/>
      <c r="W369" s="25" t="str">
        <f t="shared" si="13"/>
        <v>0</v>
      </c>
      <c r="X369" s="25"/>
      <c r="Y369" s="15"/>
      <c r="Z369" s="27"/>
      <c r="AA369" s="15"/>
      <c r="AB369" s="15"/>
      <c r="AC369" s="15"/>
    </row>
    <row r="370" spans="1:29" x14ac:dyDescent="0.35">
      <c r="A370" s="15"/>
      <c r="B370" s="78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42"/>
      <c r="V370" s="15"/>
      <c r="W370" s="25" t="str">
        <f t="shared" si="13"/>
        <v>0</v>
      </c>
      <c r="X370" s="25"/>
      <c r="Y370" s="15"/>
      <c r="Z370" s="27"/>
      <c r="AA370" s="15"/>
      <c r="AB370" s="15"/>
      <c r="AC370" s="15"/>
    </row>
    <row r="371" spans="1:29" x14ac:dyDescent="0.35">
      <c r="A371" s="15"/>
      <c r="B371" s="78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42"/>
      <c r="V371" s="15"/>
      <c r="W371" s="25" t="str">
        <f t="shared" si="13"/>
        <v>0</v>
      </c>
      <c r="X371" s="25"/>
      <c r="Y371" s="15"/>
      <c r="Z371" s="27"/>
      <c r="AA371" s="15"/>
      <c r="AB371" s="15"/>
      <c r="AC371" s="15"/>
    </row>
    <row r="372" spans="1:29" x14ac:dyDescent="0.35">
      <c r="A372" s="15"/>
      <c r="B372" s="78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42"/>
      <c r="V372" s="15"/>
      <c r="W372" s="25" t="str">
        <f t="shared" si="13"/>
        <v>0</v>
      </c>
      <c r="X372" s="25"/>
      <c r="Y372" s="15"/>
      <c r="Z372" s="27"/>
      <c r="AA372" s="15"/>
      <c r="AB372" s="15"/>
      <c r="AC372" s="15"/>
    </row>
    <row r="373" spans="1:29" x14ac:dyDescent="0.35">
      <c r="A373" s="15"/>
      <c r="B373" s="78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42"/>
      <c r="V373" s="15"/>
      <c r="W373" s="25" t="str">
        <f t="shared" si="13"/>
        <v>0</v>
      </c>
      <c r="X373" s="25"/>
      <c r="Y373" s="15"/>
      <c r="Z373" s="27"/>
      <c r="AA373" s="15"/>
      <c r="AB373" s="15"/>
      <c r="AC373" s="15"/>
    </row>
    <row r="374" spans="1:29" x14ac:dyDescent="0.35">
      <c r="A374" s="15"/>
      <c r="B374" s="78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42"/>
      <c r="V374" s="15"/>
      <c r="W374" s="25" t="str">
        <f t="shared" si="13"/>
        <v>0</v>
      </c>
      <c r="X374" s="25"/>
      <c r="Y374" s="15"/>
      <c r="Z374" s="27"/>
      <c r="AA374" s="15"/>
      <c r="AB374" s="15"/>
      <c r="AC374" s="15"/>
    </row>
    <row r="375" spans="1:29" x14ac:dyDescent="0.35">
      <c r="A375" s="15"/>
      <c r="B375" s="78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42"/>
      <c r="V375" s="15"/>
      <c r="W375" s="25" t="str">
        <f t="shared" si="13"/>
        <v>0</v>
      </c>
      <c r="X375" s="25"/>
      <c r="Y375" s="15"/>
      <c r="Z375" s="27"/>
      <c r="AA375" s="15"/>
      <c r="AB375" s="15"/>
      <c r="AC375" s="15"/>
    </row>
    <row r="376" spans="1:29" x14ac:dyDescent="0.35">
      <c r="A376" s="15"/>
      <c r="B376" s="78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42"/>
      <c r="V376" s="15"/>
      <c r="W376" s="25" t="str">
        <f t="shared" si="13"/>
        <v>0</v>
      </c>
      <c r="X376" s="25"/>
      <c r="Y376" s="15"/>
      <c r="Z376" s="27"/>
      <c r="AA376" s="15"/>
      <c r="AB376" s="15"/>
      <c r="AC376" s="15"/>
    </row>
    <row r="377" spans="1:29" x14ac:dyDescent="0.35">
      <c r="A377" s="15"/>
      <c r="B377" s="78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42"/>
      <c r="V377" s="15"/>
      <c r="W377" s="25" t="str">
        <f t="shared" si="13"/>
        <v>0</v>
      </c>
      <c r="X377" s="25"/>
      <c r="Y377" s="15"/>
      <c r="Z377" s="27"/>
      <c r="AA377" s="15"/>
      <c r="AB377" s="15"/>
      <c r="AC377" s="15"/>
    </row>
    <row r="378" spans="1:29" x14ac:dyDescent="0.35">
      <c r="A378" s="15"/>
      <c r="B378" s="78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42"/>
      <c r="V378" s="15"/>
      <c r="W378" s="25" t="str">
        <f t="shared" si="13"/>
        <v>0</v>
      </c>
      <c r="X378" s="25"/>
      <c r="Y378" s="15"/>
      <c r="Z378" s="27"/>
      <c r="AA378" s="15"/>
      <c r="AB378" s="15"/>
      <c r="AC378" s="15"/>
    </row>
    <row r="379" spans="1:29" x14ac:dyDescent="0.35">
      <c r="A379" s="15"/>
      <c r="B379" s="78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42"/>
      <c r="V379" s="15"/>
      <c r="W379" s="25" t="str">
        <f t="shared" si="13"/>
        <v>0</v>
      </c>
      <c r="X379" s="25"/>
      <c r="Y379" s="15"/>
      <c r="Z379" s="27"/>
      <c r="AA379" s="15"/>
      <c r="AB379" s="15"/>
      <c r="AC379" s="15"/>
    </row>
    <row r="380" spans="1:29" x14ac:dyDescent="0.35">
      <c r="A380" s="15"/>
      <c r="B380" s="78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42"/>
      <c r="V380" s="15"/>
      <c r="W380" s="25" t="str">
        <f t="shared" si="13"/>
        <v>0</v>
      </c>
      <c r="X380" s="25"/>
      <c r="Y380" s="15"/>
      <c r="Z380" s="27"/>
      <c r="AA380" s="15"/>
      <c r="AB380" s="15"/>
      <c r="AC380" s="15"/>
    </row>
    <row r="381" spans="1:29" x14ac:dyDescent="0.35">
      <c r="A381" s="15"/>
      <c r="B381" s="78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42"/>
      <c r="V381" s="15"/>
      <c r="W381" s="25" t="str">
        <f t="shared" si="13"/>
        <v>0</v>
      </c>
      <c r="X381" s="25"/>
      <c r="Y381" s="15"/>
      <c r="Z381" s="27"/>
      <c r="AA381" s="15"/>
      <c r="AB381" s="15"/>
      <c r="AC381" s="15"/>
    </row>
    <row r="382" spans="1:29" x14ac:dyDescent="0.35">
      <c r="A382" s="15"/>
      <c r="B382" s="78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42"/>
      <c r="V382" s="15"/>
      <c r="W382" s="25" t="str">
        <f t="shared" ref="W382:W445" si="14">IFERROR(V382/M382,"0")</f>
        <v>0</v>
      </c>
      <c r="X382" s="25"/>
      <c r="Y382" s="15"/>
      <c r="Z382" s="27"/>
      <c r="AA382" s="15"/>
      <c r="AB382" s="15"/>
      <c r="AC382" s="15"/>
    </row>
    <row r="383" spans="1:29" x14ac:dyDescent="0.35">
      <c r="A383" s="15"/>
      <c r="B383" s="78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42"/>
      <c r="V383" s="15"/>
      <c r="W383" s="25" t="str">
        <f t="shared" si="14"/>
        <v>0</v>
      </c>
      <c r="X383" s="25"/>
      <c r="Y383" s="15"/>
      <c r="Z383" s="27"/>
      <c r="AA383" s="15"/>
      <c r="AB383" s="15"/>
      <c r="AC383" s="15"/>
    </row>
    <row r="384" spans="1:29" x14ac:dyDescent="0.35">
      <c r="A384" s="15"/>
      <c r="B384" s="78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42"/>
      <c r="V384" s="15"/>
      <c r="W384" s="25" t="str">
        <f t="shared" si="14"/>
        <v>0</v>
      </c>
      <c r="X384" s="25"/>
      <c r="Y384" s="15"/>
      <c r="Z384" s="27"/>
      <c r="AA384" s="15"/>
      <c r="AB384" s="15"/>
      <c r="AC384" s="15"/>
    </row>
    <row r="385" spans="1:29" x14ac:dyDescent="0.35">
      <c r="A385" s="15"/>
      <c r="B385" s="78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42"/>
      <c r="V385" s="15"/>
      <c r="W385" s="25" t="str">
        <f t="shared" si="14"/>
        <v>0</v>
      </c>
      <c r="X385" s="25"/>
      <c r="Y385" s="15"/>
      <c r="Z385" s="27"/>
      <c r="AA385" s="15"/>
      <c r="AB385" s="15"/>
      <c r="AC385" s="15"/>
    </row>
    <row r="386" spans="1:29" x14ac:dyDescent="0.35">
      <c r="A386" s="15"/>
      <c r="B386" s="78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42"/>
      <c r="V386" s="15"/>
      <c r="W386" s="25" t="str">
        <f t="shared" si="14"/>
        <v>0</v>
      </c>
      <c r="X386" s="25"/>
      <c r="Y386" s="15"/>
      <c r="Z386" s="27"/>
      <c r="AA386" s="15"/>
      <c r="AB386" s="15"/>
      <c r="AC386" s="15"/>
    </row>
    <row r="387" spans="1:29" x14ac:dyDescent="0.35">
      <c r="A387" s="15"/>
      <c r="B387" s="78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42"/>
      <c r="V387" s="15"/>
      <c r="W387" s="25" t="str">
        <f t="shared" si="14"/>
        <v>0</v>
      </c>
      <c r="X387" s="25"/>
      <c r="Y387" s="15"/>
      <c r="Z387" s="27"/>
      <c r="AA387" s="15"/>
      <c r="AB387" s="15"/>
      <c r="AC387" s="15"/>
    </row>
    <row r="388" spans="1:29" x14ac:dyDescent="0.35">
      <c r="A388" s="15"/>
      <c r="B388" s="78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42"/>
      <c r="V388" s="15"/>
      <c r="W388" s="25" t="str">
        <f t="shared" si="14"/>
        <v>0</v>
      </c>
      <c r="X388" s="25"/>
      <c r="Y388" s="15"/>
      <c r="Z388" s="27"/>
      <c r="AA388" s="15"/>
      <c r="AB388" s="15"/>
      <c r="AC388" s="15"/>
    </row>
    <row r="389" spans="1:29" x14ac:dyDescent="0.35">
      <c r="A389" s="15"/>
      <c r="B389" s="78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42"/>
      <c r="V389" s="15"/>
      <c r="W389" s="25" t="str">
        <f t="shared" si="14"/>
        <v>0</v>
      </c>
      <c r="X389" s="25"/>
      <c r="Y389" s="15"/>
      <c r="Z389" s="27"/>
      <c r="AA389" s="15"/>
      <c r="AB389" s="15"/>
      <c r="AC389" s="15"/>
    </row>
    <row r="390" spans="1:29" x14ac:dyDescent="0.35">
      <c r="A390" s="15"/>
      <c r="B390" s="78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42"/>
      <c r="V390" s="15"/>
      <c r="W390" s="25" t="str">
        <f t="shared" si="14"/>
        <v>0</v>
      </c>
      <c r="X390" s="25"/>
      <c r="Y390" s="15"/>
      <c r="Z390" s="27"/>
      <c r="AA390" s="15"/>
      <c r="AB390" s="15"/>
      <c r="AC390" s="15"/>
    </row>
    <row r="391" spans="1:29" x14ac:dyDescent="0.35">
      <c r="A391" s="15"/>
      <c r="B391" s="78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42"/>
      <c r="V391" s="15"/>
      <c r="W391" s="25" t="str">
        <f t="shared" si="14"/>
        <v>0</v>
      </c>
      <c r="X391" s="25"/>
      <c r="Y391" s="15"/>
      <c r="Z391" s="27"/>
      <c r="AA391" s="15"/>
      <c r="AB391" s="15"/>
      <c r="AC391" s="15"/>
    </row>
    <row r="392" spans="1:29" x14ac:dyDescent="0.35">
      <c r="A392" s="15"/>
      <c r="B392" s="78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42"/>
      <c r="V392" s="15"/>
      <c r="W392" s="25" t="str">
        <f t="shared" si="14"/>
        <v>0</v>
      </c>
      <c r="X392" s="25"/>
      <c r="Y392" s="15"/>
      <c r="Z392" s="27"/>
      <c r="AA392" s="15"/>
      <c r="AB392" s="15"/>
      <c r="AC392" s="15"/>
    </row>
    <row r="393" spans="1:29" x14ac:dyDescent="0.35">
      <c r="A393" s="15"/>
      <c r="B393" s="78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42"/>
      <c r="V393" s="15"/>
      <c r="W393" s="25" t="str">
        <f t="shared" si="14"/>
        <v>0</v>
      </c>
      <c r="X393" s="25"/>
      <c r="Y393" s="15"/>
      <c r="Z393" s="27"/>
      <c r="AA393" s="15"/>
      <c r="AB393" s="15"/>
      <c r="AC393" s="15"/>
    </row>
    <row r="394" spans="1:29" x14ac:dyDescent="0.35">
      <c r="A394" s="15"/>
      <c r="B394" s="78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42"/>
      <c r="V394" s="15"/>
      <c r="W394" s="25" t="str">
        <f t="shared" si="14"/>
        <v>0</v>
      </c>
      <c r="X394" s="25"/>
      <c r="Y394" s="15"/>
      <c r="Z394" s="27"/>
      <c r="AA394" s="15"/>
      <c r="AB394" s="15"/>
      <c r="AC394" s="15"/>
    </row>
    <row r="395" spans="1:29" x14ac:dyDescent="0.35">
      <c r="A395" s="15"/>
      <c r="B395" s="78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42"/>
      <c r="V395" s="15"/>
      <c r="W395" s="25" t="str">
        <f t="shared" si="14"/>
        <v>0</v>
      </c>
      <c r="X395" s="25"/>
      <c r="Y395" s="15"/>
      <c r="Z395" s="27"/>
      <c r="AA395" s="15"/>
      <c r="AB395" s="15"/>
      <c r="AC395" s="15"/>
    </row>
    <row r="396" spans="1:29" x14ac:dyDescent="0.35">
      <c r="A396" s="15"/>
      <c r="B396" s="78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42"/>
      <c r="V396" s="15"/>
      <c r="W396" s="25" t="str">
        <f t="shared" si="14"/>
        <v>0</v>
      </c>
      <c r="X396" s="25"/>
      <c r="Y396" s="15"/>
      <c r="Z396" s="27"/>
      <c r="AA396" s="15"/>
      <c r="AB396" s="15"/>
      <c r="AC396" s="15"/>
    </row>
    <row r="397" spans="1:29" x14ac:dyDescent="0.35">
      <c r="A397" s="15"/>
      <c r="B397" s="78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42"/>
      <c r="V397" s="15"/>
      <c r="W397" s="25" t="str">
        <f t="shared" si="14"/>
        <v>0</v>
      </c>
      <c r="X397" s="25"/>
      <c r="Y397" s="15"/>
      <c r="Z397" s="27"/>
      <c r="AA397" s="15"/>
      <c r="AB397" s="15"/>
      <c r="AC397" s="15"/>
    </row>
    <row r="398" spans="1:29" x14ac:dyDescent="0.35">
      <c r="A398" s="15"/>
      <c r="B398" s="78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42"/>
      <c r="V398" s="15"/>
      <c r="W398" s="25" t="str">
        <f t="shared" si="14"/>
        <v>0</v>
      </c>
      <c r="X398" s="25"/>
      <c r="Y398" s="15"/>
      <c r="Z398" s="27"/>
      <c r="AA398" s="15"/>
      <c r="AB398" s="15"/>
      <c r="AC398" s="15"/>
    </row>
    <row r="399" spans="1:29" x14ac:dyDescent="0.35">
      <c r="A399" s="15"/>
      <c r="B399" s="78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42"/>
      <c r="V399" s="15"/>
      <c r="W399" s="25" t="str">
        <f t="shared" si="14"/>
        <v>0</v>
      </c>
      <c r="X399" s="25"/>
      <c r="Y399" s="15"/>
      <c r="Z399" s="27"/>
      <c r="AA399" s="15"/>
      <c r="AB399" s="15"/>
      <c r="AC399" s="15"/>
    </row>
    <row r="400" spans="1:29" x14ac:dyDescent="0.35">
      <c r="A400" s="15"/>
      <c r="B400" s="78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42"/>
      <c r="V400" s="15"/>
      <c r="W400" s="25" t="str">
        <f t="shared" si="14"/>
        <v>0</v>
      </c>
      <c r="X400" s="25"/>
      <c r="Y400" s="15"/>
      <c r="Z400" s="27"/>
      <c r="AA400" s="15"/>
      <c r="AB400" s="15"/>
      <c r="AC400" s="15"/>
    </row>
    <row r="401" spans="1:29" x14ac:dyDescent="0.35">
      <c r="A401" s="15"/>
      <c r="B401" s="78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42"/>
      <c r="V401" s="15"/>
      <c r="W401" s="25" t="str">
        <f t="shared" si="14"/>
        <v>0</v>
      </c>
      <c r="X401" s="25"/>
      <c r="Y401" s="15"/>
      <c r="Z401" s="27"/>
      <c r="AA401" s="15"/>
      <c r="AB401" s="15"/>
      <c r="AC401" s="15"/>
    </row>
    <row r="402" spans="1:29" x14ac:dyDescent="0.35">
      <c r="A402" s="15"/>
      <c r="B402" s="78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42"/>
      <c r="V402" s="15"/>
      <c r="W402" s="25" t="str">
        <f t="shared" si="14"/>
        <v>0</v>
      </c>
      <c r="X402" s="25"/>
      <c r="Y402" s="15"/>
      <c r="Z402" s="27"/>
      <c r="AA402" s="15"/>
      <c r="AB402" s="15"/>
      <c r="AC402" s="15"/>
    </row>
    <row r="403" spans="1:29" x14ac:dyDescent="0.35">
      <c r="A403" s="15"/>
      <c r="B403" s="78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42"/>
      <c r="V403" s="15"/>
      <c r="W403" s="25" t="str">
        <f t="shared" si="14"/>
        <v>0</v>
      </c>
      <c r="X403" s="25"/>
      <c r="Y403" s="15"/>
      <c r="Z403" s="27"/>
      <c r="AA403" s="15"/>
      <c r="AB403" s="15"/>
      <c r="AC403" s="15"/>
    </row>
    <row r="404" spans="1:29" x14ac:dyDescent="0.35">
      <c r="A404" s="15"/>
      <c r="B404" s="78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42"/>
      <c r="V404" s="15"/>
      <c r="W404" s="25" t="str">
        <f t="shared" si="14"/>
        <v>0</v>
      </c>
      <c r="X404" s="25"/>
      <c r="Y404" s="15"/>
      <c r="Z404" s="27"/>
      <c r="AA404" s="15"/>
      <c r="AB404" s="15"/>
      <c r="AC404" s="15"/>
    </row>
    <row r="405" spans="1:29" x14ac:dyDescent="0.35">
      <c r="A405" s="15"/>
      <c r="B405" s="78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42"/>
      <c r="V405" s="15"/>
      <c r="W405" s="25" t="str">
        <f t="shared" si="14"/>
        <v>0</v>
      </c>
      <c r="X405" s="25"/>
      <c r="Y405" s="15"/>
      <c r="Z405" s="27"/>
      <c r="AA405" s="15"/>
      <c r="AB405" s="15"/>
      <c r="AC405" s="15"/>
    </row>
    <row r="406" spans="1:29" x14ac:dyDescent="0.35">
      <c r="A406" s="15"/>
      <c r="B406" s="78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42"/>
      <c r="V406" s="15"/>
      <c r="W406" s="25" t="str">
        <f t="shared" si="14"/>
        <v>0</v>
      </c>
      <c r="X406" s="25"/>
      <c r="Y406" s="15"/>
      <c r="Z406" s="27"/>
      <c r="AA406" s="15"/>
      <c r="AB406" s="15"/>
      <c r="AC406" s="15"/>
    </row>
    <row r="407" spans="1:29" x14ac:dyDescent="0.35">
      <c r="A407" s="15"/>
      <c r="B407" s="78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42"/>
      <c r="V407" s="15"/>
      <c r="W407" s="25" t="str">
        <f t="shared" si="14"/>
        <v>0</v>
      </c>
      <c r="X407" s="25"/>
      <c r="Y407" s="15"/>
      <c r="Z407" s="27"/>
      <c r="AA407" s="15"/>
      <c r="AB407" s="15"/>
      <c r="AC407" s="15"/>
    </row>
    <row r="408" spans="1:29" x14ac:dyDescent="0.35">
      <c r="A408" s="15"/>
      <c r="B408" s="78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42"/>
      <c r="V408" s="15"/>
      <c r="W408" s="25" t="str">
        <f t="shared" si="14"/>
        <v>0</v>
      </c>
      <c r="X408" s="25"/>
      <c r="Y408" s="15"/>
      <c r="Z408" s="27"/>
      <c r="AA408" s="15"/>
      <c r="AB408" s="15"/>
      <c r="AC408" s="15"/>
    </row>
    <row r="409" spans="1:29" x14ac:dyDescent="0.35">
      <c r="A409" s="15"/>
      <c r="B409" s="78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42"/>
      <c r="V409" s="15"/>
      <c r="W409" s="25" t="str">
        <f t="shared" si="14"/>
        <v>0</v>
      </c>
      <c r="X409" s="25"/>
      <c r="Y409" s="15"/>
      <c r="Z409" s="27"/>
      <c r="AA409" s="15"/>
      <c r="AB409" s="15"/>
      <c r="AC409" s="15"/>
    </row>
    <row r="410" spans="1:29" x14ac:dyDescent="0.35">
      <c r="A410" s="15"/>
      <c r="B410" s="78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42"/>
      <c r="V410" s="15"/>
      <c r="W410" s="25" t="str">
        <f t="shared" si="14"/>
        <v>0</v>
      </c>
      <c r="X410" s="25"/>
      <c r="Y410" s="15"/>
      <c r="Z410" s="27"/>
      <c r="AA410" s="15"/>
      <c r="AB410" s="15"/>
      <c r="AC410" s="15"/>
    </row>
    <row r="411" spans="1:29" x14ac:dyDescent="0.35">
      <c r="A411" s="15"/>
      <c r="B411" s="78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42"/>
      <c r="V411" s="15"/>
      <c r="W411" s="25" t="str">
        <f t="shared" si="14"/>
        <v>0</v>
      </c>
      <c r="X411" s="25"/>
      <c r="Y411" s="15"/>
      <c r="Z411" s="27"/>
      <c r="AA411" s="15"/>
      <c r="AB411" s="15"/>
      <c r="AC411" s="15"/>
    </row>
    <row r="412" spans="1:29" x14ac:dyDescent="0.35">
      <c r="A412" s="15"/>
      <c r="B412" s="78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42"/>
      <c r="V412" s="15"/>
      <c r="W412" s="25" t="str">
        <f t="shared" si="14"/>
        <v>0</v>
      </c>
      <c r="X412" s="25"/>
      <c r="Y412" s="15"/>
      <c r="Z412" s="27"/>
      <c r="AA412" s="15"/>
      <c r="AB412" s="15"/>
      <c r="AC412" s="15"/>
    </row>
    <row r="413" spans="1:29" x14ac:dyDescent="0.35">
      <c r="A413" s="15"/>
      <c r="B413" s="78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42"/>
      <c r="V413" s="15"/>
      <c r="W413" s="25" t="str">
        <f t="shared" si="14"/>
        <v>0</v>
      </c>
      <c r="X413" s="25"/>
      <c r="Y413" s="15"/>
      <c r="Z413" s="27"/>
      <c r="AA413" s="15"/>
      <c r="AB413" s="15"/>
      <c r="AC413" s="15"/>
    </row>
    <row r="414" spans="1:29" x14ac:dyDescent="0.35">
      <c r="A414" s="15"/>
      <c r="B414" s="78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42"/>
      <c r="V414" s="15"/>
      <c r="W414" s="25" t="str">
        <f t="shared" si="14"/>
        <v>0</v>
      </c>
      <c r="X414" s="25"/>
      <c r="Y414" s="15"/>
      <c r="Z414" s="27"/>
      <c r="AA414" s="15"/>
      <c r="AB414" s="15"/>
      <c r="AC414" s="15"/>
    </row>
    <row r="415" spans="1:29" x14ac:dyDescent="0.35">
      <c r="A415" s="15"/>
      <c r="B415" s="78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42"/>
      <c r="V415" s="15"/>
      <c r="W415" s="25" t="str">
        <f t="shared" si="14"/>
        <v>0</v>
      </c>
      <c r="X415" s="25"/>
      <c r="Y415" s="15"/>
      <c r="Z415" s="27"/>
      <c r="AA415" s="15"/>
      <c r="AB415" s="15"/>
      <c r="AC415" s="15"/>
    </row>
    <row r="416" spans="1:29" x14ac:dyDescent="0.35">
      <c r="A416" s="15"/>
      <c r="B416" s="78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42"/>
      <c r="V416" s="15"/>
      <c r="W416" s="25" t="str">
        <f t="shared" si="14"/>
        <v>0</v>
      </c>
      <c r="X416" s="25"/>
      <c r="Y416" s="15"/>
      <c r="Z416" s="27"/>
      <c r="AA416" s="15"/>
      <c r="AB416" s="15"/>
      <c r="AC416" s="15"/>
    </row>
    <row r="417" spans="1:29" x14ac:dyDescent="0.35">
      <c r="A417" s="15"/>
      <c r="B417" s="78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42"/>
      <c r="V417" s="15"/>
      <c r="W417" s="25" t="str">
        <f t="shared" si="14"/>
        <v>0</v>
      </c>
      <c r="X417" s="25"/>
      <c r="Y417" s="15"/>
      <c r="Z417" s="27"/>
      <c r="AA417" s="15"/>
      <c r="AB417" s="15"/>
      <c r="AC417" s="15"/>
    </row>
    <row r="418" spans="1:29" x14ac:dyDescent="0.35">
      <c r="A418" s="15"/>
      <c r="B418" s="78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42"/>
      <c r="V418" s="15"/>
      <c r="W418" s="25" t="str">
        <f t="shared" si="14"/>
        <v>0</v>
      </c>
      <c r="X418" s="25"/>
      <c r="Y418" s="15"/>
      <c r="Z418" s="27"/>
      <c r="AA418" s="15"/>
      <c r="AB418" s="15"/>
      <c r="AC418" s="15"/>
    </row>
    <row r="419" spans="1:29" x14ac:dyDescent="0.35">
      <c r="A419" s="15"/>
      <c r="B419" s="78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42"/>
      <c r="V419" s="15"/>
      <c r="W419" s="25" t="str">
        <f t="shared" si="14"/>
        <v>0</v>
      </c>
      <c r="X419" s="25"/>
      <c r="Y419" s="15"/>
      <c r="Z419" s="27"/>
      <c r="AA419" s="15"/>
      <c r="AB419" s="15"/>
      <c r="AC419" s="15"/>
    </row>
    <row r="420" spans="1:29" x14ac:dyDescent="0.35">
      <c r="A420" s="15"/>
      <c r="B420" s="78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42"/>
      <c r="V420" s="15"/>
      <c r="W420" s="25" t="str">
        <f t="shared" si="14"/>
        <v>0</v>
      </c>
      <c r="X420" s="25"/>
      <c r="Y420" s="15"/>
      <c r="Z420" s="27"/>
      <c r="AA420" s="15"/>
      <c r="AB420" s="15"/>
      <c r="AC420" s="15"/>
    </row>
    <row r="421" spans="1:29" x14ac:dyDescent="0.35">
      <c r="A421" s="15"/>
      <c r="B421" s="78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42"/>
      <c r="V421" s="15"/>
      <c r="W421" s="25" t="str">
        <f t="shared" si="14"/>
        <v>0</v>
      </c>
      <c r="X421" s="25"/>
      <c r="Y421" s="15"/>
      <c r="Z421" s="27"/>
      <c r="AA421" s="15"/>
      <c r="AB421" s="15"/>
      <c r="AC421" s="15"/>
    </row>
    <row r="422" spans="1:29" x14ac:dyDescent="0.35">
      <c r="A422" s="15"/>
      <c r="B422" s="78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42"/>
      <c r="V422" s="15"/>
      <c r="W422" s="25" t="str">
        <f t="shared" si="14"/>
        <v>0</v>
      </c>
      <c r="X422" s="25"/>
      <c r="Y422" s="15"/>
      <c r="Z422" s="27"/>
      <c r="AA422" s="15"/>
      <c r="AB422" s="15"/>
      <c r="AC422" s="15"/>
    </row>
    <row r="423" spans="1:29" x14ac:dyDescent="0.35">
      <c r="A423" s="15"/>
      <c r="B423" s="78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42"/>
      <c r="V423" s="15"/>
      <c r="W423" s="25" t="str">
        <f t="shared" si="14"/>
        <v>0</v>
      </c>
      <c r="X423" s="25"/>
      <c r="Y423" s="15"/>
      <c r="Z423" s="27"/>
      <c r="AA423" s="15"/>
      <c r="AB423" s="15"/>
      <c r="AC423" s="15"/>
    </row>
    <row r="424" spans="1:29" x14ac:dyDescent="0.35">
      <c r="A424" s="15"/>
      <c r="B424" s="78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42"/>
      <c r="V424" s="15"/>
      <c r="W424" s="25" t="str">
        <f t="shared" si="14"/>
        <v>0</v>
      </c>
      <c r="X424" s="25"/>
      <c r="Y424" s="15"/>
      <c r="Z424" s="27"/>
      <c r="AA424" s="15"/>
      <c r="AB424" s="15"/>
      <c r="AC424" s="15"/>
    </row>
    <row r="425" spans="1:29" x14ac:dyDescent="0.35">
      <c r="A425" s="15"/>
      <c r="B425" s="78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42"/>
      <c r="V425" s="15"/>
      <c r="W425" s="25" t="str">
        <f t="shared" si="14"/>
        <v>0</v>
      </c>
      <c r="X425" s="25"/>
      <c r="Y425" s="15"/>
      <c r="Z425" s="27"/>
      <c r="AA425" s="15"/>
      <c r="AB425" s="15"/>
      <c r="AC425" s="15"/>
    </row>
    <row r="426" spans="1:29" x14ac:dyDescent="0.35">
      <c r="A426" s="15"/>
      <c r="B426" s="78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42"/>
      <c r="V426" s="15"/>
      <c r="W426" s="25" t="str">
        <f t="shared" si="14"/>
        <v>0</v>
      </c>
      <c r="X426" s="25"/>
      <c r="Y426" s="15"/>
      <c r="Z426" s="27"/>
      <c r="AA426" s="15"/>
      <c r="AB426" s="15"/>
      <c r="AC426" s="15"/>
    </row>
    <row r="427" spans="1:29" x14ac:dyDescent="0.35">
      <c r="A427" s="15"/>
      <c r="B427" s="78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42"/>
      <c r="V427" s="15"/>
      <c r="W427" s="25" t="str">
        <f t="shared" si="14"/>
        <v>0</v>
      </c>
      <c r="X427" s="25"/>
      <c r="Y427" s="15"/>
      <c r="Z427" s="27"/>
      <c r="AA427" s="15"/>
      <c r="AB427" s="15"/>
      <c r="AC427" s="15"/>
    </row>
    <row r="428" spans="1:29" x14ac:dyDescent="0.35">
      <c r="A428" s="15"/>
      <c r="B428" s="78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42"/>
      <c r="V428" s="15"/>
      <c r="W428" s="25" t="str">
        <f t="shared" si="14"/>
        <v>0</v>
      </c>
      <c r="X428" s="25"/>
      <c r="Y428" s="15"/>
      <c r="Z428" s="27"/>
      <c r="AA428" s="15"/>
      <c r="AB428" s="15"/>
      <c r="AC428" s="15"/>
    </row>
    <row r="429" spans="1:29" x14ac:dyDescent="0.35">
      <c r="A429" s="15"/>
      <c r="B429" s="78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42"/>
      <c r="V429" s="15"/>
      <c r="W429" s="25" t="str">
        <f t="shared" si="14"/>
        <v>0</v>
      </c>
      <c r="X429" s="25"/>
      <c r="Y429" s="15"/>
      <c r="Z429" s="27"/>
      <c r="AA429" s="15"/>
      <c r="AB429" s="15"/>
      <c r="AC429" s="15"/>
    </row>
    <row r="430" spans="1:29" x14ac:dyDescent="0.35">
      <c r="A430" s="15"/>
      <c r="B430" s="78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42"/>
      <c r="V430" s="15"/>
      <c r="W430" s="25" t="str">
        <f t="shared" si="14"/>
        <v>0</v>
      </c>
      <c r="X430" s="25"/>
      <c r="Y430" s="15"/>
      <c r="Z430" s="27"/>
      <c r="AA430" s="15"/>
      <c r="AB430" s="15"/>
      <c r="AC430" s="15"/>
    </row>
    <row r="431" spans="1:29" x14ac:dyDescent="0.35">
      <c r="A431" s="15"/>
      <c r="B431" s="78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42"/>
      <c r="V431" s="15"/>
      <c r="W431" s="25" t="str">
        <f t="shared" si="14"/>
        <v>0</v>
      </c>
      <c r="X431" s="25"/>
      <c r="Y431" s="15"/>
      <c r="Z431" s="27"/>
      <c r="AA431" s="15"/>
      <c r="AB431" s="15"/>
      <c r="AC431" s="15"/>
    </row>
    <row r="432" spans="1:29" x14ac:dyDescent="0.35">
      <c r="A432" s="15"/>
      <c r="B432" s="78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42"/>
      <c r="V432" s="15"/>
      <c r="W432" s="25" t="str">
        <f t="shared" si="14"/>
        <v>0</v>
      </c>
      <c r="X432" s="25"/>
      <c r="Y432" s="15"/>
      <c r="Z432" s="27"/>
      <c r="AA432" s="15"/>
      <c r="AB432" s="15"/>
      <c r="AC432" s="15"/>
    </row>
    <row r="433" spans="1:29" x14ac:dyDescent="0.35">
      <c r="A433" s="15"/>
      <c r="B433" s="78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42"/>
      <c r="V433" s="15"/>
      <c r="W433" s="25" t="str">
        <f t="shared" si="14"/>
        <v>0</v>
      </c>
      <c r="X433" s="25"/>
      <c r="Y433" s="15"/>
      <c r="Z433" s="27"/>
      <c r="AA433" s="15"/>
      <c r="AB433" s="15"/>
      <c r="AC433" s="15"/>
    </row>
    <row r="434" spans="1:29" x14ac:dyDescent="0.35">
      <c r="A434" s="15"/>
      <c r="B434" s="78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42"/>
      <c r="V434" s="15"/>
      <c r="W434" s="25" t="str">
        <f t="shared" si="14"/>
        <v>0</v>
      </c>
      <c r="X434" s="25"/>
      <c r="Y434" s="15"/>
      <c r="Z434" s="27"/>
      <c r="AA434" s="15"/>
      <c r="AB434" s="15"/>
      <c r="AC434" s="15"/>
    </row>
    <row r="435" spans="1:29" x14ac:dyDescent="0.35">
      <c r="A435" s="15"/>
      <c r="B435" s="78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42"/>
      <c r="V435" s="15"/>
      <c r="W435" s="25" t="str">
        <f t="shared" si="14"/>
        <v>0</v>
      </c>
      <c r="X435" s="25"/>
      <c r="Y435" s="15"/>
      <c r="Z435" s="27"/>
      <c r="AA435" s="15"/>
      <c r="AB435" s="15"/>
      <c r="AC435" s="15"/>
    </row>
    <row r="436" spans="1:29" x14ac:dyDescent="0.35">
      <c r="A436" s="15"/>
      <c r="B436" s="78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42"/>
      <c r="V436" s="15"/>
      <c r="W436" s="25" t="str">
        <f t="shared" si="14"/>
        <v>0</v>
      </c>
      <c r="X436" s="25"/>
      <c r="Y436" s="15"/>
      <c r="Z436" s="27"/>
      <c r="AA436" s="15"/>
      <c r="AB436" s="15"/>
      <c r="AC436" s="15"/>
    </row>
    <row r="437" spans="1:29" x14ac:dyDescent="0.35">
      <c r="A437" s="15"/>
      <c r="B437" s="78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42"/>
      <c r="V437" s="15"/>
      <c r="W437" s="25" t="str">
        <f t="shared" si="14"/>
        <v>0</v>
      </c>
      <c r="X437" s="25"/>
      <c r="Y437" s="15"/>
      <c r="Z437" s="27"/>
      <c r="AA437" s="15"/>
      <c r="AB437" s="15"/>
      <c r="AC437" s="15"/>
    </row>
    <row r="438" spans="1:29" x14ac:dyDescent="0.35">
      <c r="A438" s="15"/>
      <c r="B438" s="78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42"/>
      <c r="V438" s="15"/>
      <c r="W438" s="25" t="str">
        <f t="shared" si="14"/>
        <v>0</v>
      </c>
      <c r="X438" s="25"/>
      <c r="Y438" s="15"/>
      <c r="Z438" s="27"/>
      <c r="AA438" s="15"/>
      <c r="AB438" s="15"/>
      <c r="AC438" s="15"/>
    </row>
    <row r="439" spans="1:29" x14ac:dyDescent="0.35">
      <c r="A439" s="15"/>
      <c r="B439" s="78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42"/>
      <c r="V439" s="15"/>
      <c r="W439" s="25" t="str">
        <f t="shared" si="14"/>
        <v>0</v>
      </c>
      <c r="X439" s="25"/>
      <c r="Y439" s="15"/>
      <c r="Z439" s="27"/>
      <c r="AA439" s="15"/>
      <c r="AB439" s="15"/>
      <c r="AC439" s="15"/>
    </row>
    <row r="440" spans="1:29" x14ac:dyDescent="0.35">
      <c r="A440" s="15"/>
      <c r="B440" s="78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42"/>
      <c r="V440" s="15"/>
      <c r="W440" s="25" t="str">
        <f t="shared" si="14"/>
        <v>0</v>
      </c>
      <c r="X440" s="25"/>
      <c r="Y440" s="15"/>
      <c r="Z440" s="27"/>
      <c r="AA440" s="15"/>
      <c r="AB440" s="15"/>
      <c r="AC440" s="15"/>
    </row>
    <row r="441" spans="1:29" x14ac:dyDescent="0.35">
      <c r="A441" s="15"/>
      <c r="B441" s="78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42"/>
      <c r="V441" s="15"/>
      <c r="W441" s="25" t="str">
        <f t="shared" si="14"/>
        <v>0</v>
      </c>
      <c r="X441" s="25"/>
      <c r="Y441" s="15"/>
      <c r="Z441" s="27"/>
      <c r="AA441" s="15"/>
      <c r="AB441" s="15"/>
      <c r="AC441" s="15"/>
    </row>
    <row r="442" spans="1:29" x14ac:dyDescent="0.35">
      <c r="A442" s="15"/>
      <c r="B442" s="78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42"/>
      <c r="V442" s="15"/>
      <c r="W442" s="25" t="str">
        <f t="shared" si="14"/>
        <v>0</v>
      </c>
      <c r="X442" s="25"/>
      <c r="Y442" s="15"/>
      <c r="Z442" s="27"/>
      <c r="AA442" s="15"/>
      <c r="AB442" s="15"/>
      <c r="AC442" s="15"/>
    </row>
    <row r="443" spans="1:29" x14ac:dyDescent="0.35">
      <c r="A443" s="15"/>
      <c r="B443" s="78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42"/>
      <c r="V443" s="15"/>
      <c r="W443" s="25" t="str">
        <f t="shared" si="14"/>
        <v>0</v>
      </c>
      <c r="X443" s="25"/>
      <c r="Y443" s="15"/>
      <c r="Z443" s="27"/>
      <c r="AA443" s="15"/>
      <c r="AB443" s="15"/>
      <c r="AC443" s="15"/>
    </row>
    <row r="444" spans="1:29" x14ac:dyDescent="0.35">
      <c r="A444" s="15"/>
      <c r="B444" s="78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42"/>
      <c r="V444" s="15"/>
      <c r="W444" s="25" t="str">
        <f t="shared" si="14"/>
        <v>0</v>
      </c>
      <c r="X444" s="25"/>
      <c r="Y444" s="15"/>
      <c r="Z444" s="27"/>
      <c r="AA444" s="15"/>
      <c r="AB444" s="15"/>
      <c r="AC444" s="15"/>
    </row>
    <row r="445" spans="1:29" x14ac:dyDescent="0.35">
      <c r="A445" s="15"/>
      <c r="B445" s="78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42"/>
      <c r="V445" s="15"/>
      <c r="W445" s="25" t="str">
        <f t="shared" si="14"/>
        <v>0</v>
      </c>
      <c r="X445" s="25"/>
      <c r="Y445" s="15"/>
      <c r="Z445" s="27"/>
      <c r="AA445" s="15"/>
      <c r="AB445" s="15"/>
      <c r="AC445" s="15"/>
    </row>
    <row r="446" spans="1:29" x14ac:dyDescent="0.35">
      <c r="A446" s="15"/>
      <c r="B446" s="78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42"/>
      <c r="V446" s="15"/>
      <c r="W446" s="25" t="str">
        <f t="shared" ref="W446:W509" si="15">IFERROR(V446/M446,"0")</f>
        <v>0</v>
      </c>
      <c r="X446" s="25"/>
      <c r="Y446" s="15"/>
      <c r="Z446" s="27"/>
      <c r="AA446" s="15"/>
      <c r="AB446" s="15"/>
      <c r="AC446" s="15"/>
    </row>
    <row r="447" spans="1:29" x14ac:dyDescent="0.35">
      <c r="A447" s="15"/>
      <c r="B447" s="78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42"/>
      <c r="V447" s="15"/>
      <c r="W447" s="25" t="str">
        <f t="shared" si="15"/>
        <v>0</v>
      </c>
      <c r="X447" s="25"/>
      <c r="Y447" s="15"/>
      <c r="Z447" s="27"/>
      <c r="AA447" s="15"/>
      <c r="AB447" s="15"/>
      <c r="AC447" s="15"/>
    </row>
    <row r="448" spans="1:29" x14ac:dyDescent="0.35">
      <c r="A448" s="15"/>
      <c r="B448" s="78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42"/>
      <c r="V448" s="15"/>
      <c r="W448" s="25" t="str">
        <f t="shared" si="15"/>
        <v>0</v>
      </c>
      <c r="X448" s="25"/>
      <c r="Y448" s="15"/>
      <c r="Z448" s="27"/>
      <c r="AA448" s="15"/>
      <c r="AB448" s="15"/>
      <c r="AC448" s="15"/>
    </row>
    <row r="449" spans="1:29" x14ac:dyDescent="0.35">
      <c r="A449" s="15"/>
      <c r="B449" s="78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42"/>
      <c r="V449" s="15"/>
      <c r="W449" s="25" t="str">
        <f t="shared" si="15"/>
        <v>0</v>
      </c>
      <c r="X449" s="25"/>
      <c r="Y449" s="15"/>
      <c r="Z449" s="27"/>
      <c r="AA449" s="15"/>
      <c r="AB449" s="15"/>
      <c r="AC449" s="15"/>
    </row>
    <row r="450" spans="1:29" x14ac:dyDescent="0.35">
      <c r="A450" s="15"/>
      <c r="B450" s="78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42"/>
      <c r="V450" s="15"/>
      <c r="W450" s="25" t="str">
        <f t="shared" si="15"/>
        <v>0</v>
      </c>
      <c r="X450" s="25"/>
      <c r="Y450" s="15"/>
      <c r="Z450" s="27"/>
      <c r="AA450" s="15"/>
      <c r="AB450" s="15"/>
      <c r="AC450" s="15"/>
    </row>
    <row r="451" spans="1:29" x14ac:dyDescent="0.35">
      <c r="A451" s="15"/>
      <c r="B451" s="78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42"/>
      <c r="V451" s="15"/>
      <c r="W451" s="25" t="str">
        <f t="shared" si="15"/>
        <v>0</v>
      </c>
      <c r="X451" s="25"/>
      <c r="Y451" s="15"/>
      <c r="Z451" s="27"/>
      <c r="AA451" s="15"/>
      <c r="AB451" s="15"/>
      <c r="AC451" s="15"/>
    </row>
    <row r="452" spans="1:29" x14ac:dyDescent="0.35">
      <c r="A452" s="15"/>
      <c r="B452" s="78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42"/>
      <c r="V452" s="15"/>
      <c r="W452" s="25" t="str">
        <f t="shared" si="15"/>
        <v>0</v>
      </c>
      <c r="X452" s="25"/>
      <c r="Y452" s="15"/>
      <c r="Z452" s="27"/>
      <c r="AA452" s="15"/>
      <c r="AB452" s="15"/>
      <c r="AC452" s="15"/>
    </row>
    <row r="453" spans="1:29" x14ac:dyDescent="0.35">
      <c r="A453" s="15"/>
      <c r="B453" s="78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42"/>
      <c r="V453" s="15"/>
      <c r="W453" s="25" t="str">
        <f t="shared" si="15"/>
        <v>0</v>
      </c>
      <c r="X453" s="25"/>
      <c r="Y453" s="15"/>
      <c r="Z453" s="27"/>
      <c r="AA453" s="15"/>
      <c r="AB453" s="15"/>
      <c r="AC453" s="15"/>
    </row>
    <row r="454" spans="1:29" x14ac:dyDescent="0.35">
      <c r="A454" s="15"/>
      <c r="B454" s="78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42"/>
      <c r="V454" s="15"/>
      <c r="W454" s="25" t="str">
        <f t="shared" si="15"/>
        <v>0</v>
      </c>
      <c r="X454" s="25"/>
      <c r="Y454" s="15"/>
      <c r="Z454" s="27"/>
      <c r="AA454" s="15"/>
      <c r="AB454" s="15"/>
      <c r="AC454" s="15"/>
    </row>
    <row r="455" spans="1:29" x14ac:dyDescent="0.35">
      <c r="A455" s="15"/>
      <c r="B455" s="78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42"/>
      <c r="V455" s="15"/>
      <c r="W455" s="25" t="str">
        <f t="shared" si="15"/>
        <v>0</v>
      </c>
      <c r="X455" s="25"/>
      <c r="Y455" s="15"/>
      <c r="Z455" s="27"/>
      <c r="AA455" s="15"/>
      <c r="AB455" s="15"/>
      <c r="AC455" s="15"/>
    </row>
    <row r="456" spans="1:29" x14ac:dyDescent="0.35">
      <c r="A456" s="15"/>
      <c r="B456" s="78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42"/>
      <c r="V456" s="15"/>
      <c r="W456" s="25" t="str">
        <f t="shared" si="15"/>
        <v>0</v>
      </c>
      <c r="X456" s="25"/>
      <c r="Y456" s="15"/>
      <c r="Z456" s="27"/>
      <c r="AA456" s="15"/>
      <c r="AB456" s="15"/>
      <c r="AC456" s="15"/>
    </row>
    <row r="457" spans="1:29" x14ac:dyDescent="0.35">
      <c r="A457" s="15"/>
      <c r="B457" s="78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42"/>
      <c r="V457" s="15"/>
      <c r="W457" s="25" t="str">
        <f t="shared" si="15"/>
        <v>0</v>
      </c>
      <c r="X457" s="25"/>
      <c r="Y457" s="15"/>
      <c r="Z457" s="27"/>
      <c r="AA457" s="15"/>
      <c r="AB457" s="15"/>
      <c r="AC457" s="15"/>
    </row>
    <row r="458" spans="1:29" x14ac:dyDescent="0.35">
      <c r="A458" s="15"/>
      <c r="B458" s="78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42"/>
      <c r="V458" s="15"/>
      <c r="W458" s="25" t="str">
        <f t="shared" si="15"/>
        <v>0</v>
      </c>
      <c r="X458" s="25"/>
      <c r="Y458" s="15"/>
      <c r="Z458" s="27"/>
      <c r="AA458" s="15"/>
      <c r="AB458" s="15"/>
      <c r="AC458" s="15"/>
    </row>
    <row r="459" spans="1:29" x14ac:dyDescent="0.35">
      <c r="A459" s="15"/>
      <c r="B459" s="78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42"/>
      <c r="V459" s="15"/>
      <c r="W459" s="25" t="str">
        <f t="shared" si="15"/>
        <v>0</v>
      </c>
      <c r="X459" s="25"/>
      <c r="Y459" s="15"/>
      <c r="Z459" s="27"/>
      <c r="AA459" s="15"/>
      <c r="AB459" s="15"/>
      <c r="AC459" s="15"/>
    </row>
    <row r="460" spans="1:29" x14ac:dyDescent="0.35">
      <c r="A460" s="15"/>
      <c r="B460" s="78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42"/>
      <c r="V460" s="15"/>
      <c r="W460" s="25" t="str">
        <f t="shared" si="15"/>
        <v>0</v>
      </c>
      <c r="X460" s="25"/>
      <c r="Y460" s="15"/>
      <c r="Z460" s="27"/>
      <c r="AA460" s="15"/>
      <c r="AB460" s="15"/>
      <c r="AC460" s="15"/>
    </row>
    <row r="461" spans="1:29" x14ac:dyDescent="0.35">
      <c r="A461" s="15"/>
      <c r="B461" s="78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42"/>
      <c r="V461" s="15"/>
      <c r="W461" s="25" t="str">
        <f t="shared" si="15"/>
        <v>0</v>
      </c>
      <c r="X461" s="25"/>
      <c r="Y461" s="15"/>
      <c r="Z461" s="27"/>
      <c r="AA461" s="15"/>
      <c r="AB461" s="15"/>
      <c r="AC461" s="15"/>
    </row>
    <row r="462" spans="1:29" x14ac:dyDescent="0.35">
      <c r="A462" s="15"/>
      <c r="B462" s="78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42"/>
      <c r="V462" s="15"/>
      <c r="W462" s="25" t="str">
        <f t="shared" si="15"/>
        <v>0</v>
      </c>
      <c r="X462" s="25"/>
      <c r="Y462" s="15"/>
      <c r="Z462" s="27"/>
      <c r="AA462" s="15"/>
      <c r="AB462" s="15"/>
      <c r="AC462" s="15"/>
    </row>
    <row r="463" spans="1:29" x14ac:dyDescent="0.35">
      <c r="A463" s="15"/>
      <c r="B463" s="78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42"/>
      <c r="V463" s="15"/>
      <c r="W463" s="25" t="str">
        <f t="shared" si="15"/>
        <v>0</v>
      </c>
      <c r="X463" s="25"/>
      <c r="Y463" s="15"/>
      <c r="Z463" s="27"/>
      <c r="AA463" s="15"/>
      <c r="AB463" s="15"/>
      <c r="AC463" s="15"/>
    </row>
    <row r="464" spans="1:29" x14ac:dyDescent="0.35">
      <c r="A464" s="15"/>
      <c r="B464" s="78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42"/>
      <c r="V464" s="15"/>
      <c r="W464" s="25" t="str">
        <f t="shared" si="15"/>
        <v>0</v>
      </c>
      <c r="X464" s="25"/>
      <c r="Y464" s="15"/>
      <c r="Z464" s="27"/>
      <c r="AA464" s="15"/>
      <c r="AB464" s="15"/>
      <c r="AC464" s="15"/>
    </row>
    <row r="465" spans="1:29" x14ac:dyDescent="0.35">
      <c r="A465" s="15"/>
      <c r="B465" s="78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42"/>
      <c r="V465" s="15"/>
      <c r="W465" s="25" t="str">
        <f t="shared" si="15"/>
        <v>0</v>
      </c>
      <c r="X465" s="25"/>
      <c r="Y465" s="15"/>
      <c r="Z465" s="27"/>
      <c r="AA465" s="15"/>
      <c r="AB465" s="15"/>
      <c r="AC465" s="15"/>
    </row>
    <row r="466" spans="1:29" x14ac:dyDescent="0.35">
      <c r="A466" s="15"/>
      <c r="B466" s="78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42"/>
      <c r="V466" s="15"/>
      <c r="W466" s="25" t="str">
        <f t="shared" si="15"/>
        <v>0</v>
      </c>
      <c r="X466" s="25"/>
      <c r="Y466" s="15"/>
      <c r="Z466" s="27"/>
      <c r="AA466" s="15"/>
      <c r="AB466" s="15"/>
      <c r="AC466" s="15"/>
    </row>
    <row r="467" spans="1:29" x14ac:dyDescent="0.35">
      <c r="A467" s="15"/>
      <c r="B467" s="78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42"/>
      <c r="V467" s="15"/>
      <c r="W467" s="25" t="str">
        <f t="shared" si="15"/>
        <v>0</v>
      </c>
      <c r="X467" s="25"/>
      <c r="Y467" s="15"/>
      <c r="Z467" s="27"/>
      <c r="AA467" s="15"/>
      <c r="AB467" s="15"/>
      <c r="AC467" s="15"/>
    </row>
    <row r="468" spans="1:29" x14ac:dyDescent="0.35">
      <c r="A468" s="15"/>
      <c r="B468" s="78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42"/>
      <c r="V468" s="15"/>
      <c r="W468" s="25" t="str">
        <f t="shared" si="15"/>
        <v>0</v>
      </c>
      <c r="X468" s="25"/>
      <c r="Y468" s="15"/>
      <c r="Z468" s="27"/>
      <c r="AA468" s="15"/>
      <c r="AB468" s="15"/>
      <c r="AC468" s="15"/>
    </row>
    <row r="469" spans="1:29" x14ac:dyDescent="0.35">
      <c r="A469" s="15"/>
      <c r="B469" s="78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42"/>
      <c r="V469" s="15"/>
      <c r="W469" s="25" t="str">
        <f t="shared" si="15"/>
        <v>0</v>
      </c>
      <c r="X469" s="25"/>
      <c r="Y469" s="15"/>
      <c r="Z469" s="27"/>
      <c r="AA469" s="15"/>
      <c r="AB469" s="15"/>
      <c r="AC469" s="15"/>
    </row>
    <row r="470" spans="1:29" x14ac:dyDescent="0.35">
      <c r="A470" s="15"/>
      <c r="B470" s="78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42"/>
      <c r="V470" s="15"/>
      <c r="W470" s="25" t="str">
        <f t="shared" si="15"/>
        <v>0</v>
      </c>
      <c r="X470" s="25"/>
      <c r="Y470" s="15"/>
      <c r="Z470" s="27"/>
      <c r="AA470" s="15"/>
      <c r="AB470" s="15"/>
      <c r="AC470" s="15"/>
    </row>
    <row r="471" spans="1:29" x14ac:dyDescent="0.35">
      <c r="A471" s="15"/>
      <c r="B471" s="78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42"/>
      <c r="V471" s="15"/>
      <c r="W471" s="25" t="str">
        <f t="shared" si="15"/>
        <v>0</v>
      </c>
      <c r="X471" s="25"/>
      <c r="Y471" s="15"/>
      <c r="Z471" s="27"/>
      <c r="AA471" s="15"/>
      <c r="AB471" s="15"/>
      <c r="AC471" s="15"/>
    </row>
    <row r="472" spans="1:29" x14ac:dyDescent="0.35">
      <c r="A472" s="15"/>
      <c r="B472" s="78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42"/>
      <c r="V472" s="15"/>
      <c r="W472" s="25" t="str">
        <f t="shared" si="15"/>
        <v>0</v>
      </c>
      <c r="X472" s="25"/>
      <c r="Y472" s="15"/>
      <c r="Z472" s="27"/>
      <c r="AA472" s="15"/>
      <c r="AB472" s="15"/>
      <c r="AC472" s="15"/>
    </row>
    <row r="473" spans="1:29" x14ac:dyDescent="0.35">
      <c r="A473" s="15"/>
      <c r="B473" s="78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42"/>
      <c r="V473" s="15"/>
      <c r="W473" s="25" t="str">
        <f t="shared" si="15"/>
        <v>0</v>
      </c>
      <c r="X473" s="25"/>
      <c r="Y473" s="15"/>
      <c r="Z473" s="27"/>
      <c r="AA473" s="15"/>
      <c r="AB473" s="15"/>
      <c r="AC473" s="15"/>
    </row>
    <row r="474" spans="1:29" x14ac:dyDescent="0.35">
      <c r="A474" s="15"/>
      <c r="B474" s="78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42"/>
      <c r="V474" s="15"/>
      <c r="W474" s="25" t="str">
        <f t="shared" si="15"/>
        <v>0</v>
      </c>
      <c r="X474" s="25"/>
      <c r="Y474" s="15"/>
      <c r="Z474" s="27"/>
      <c r="AA474" s="15"/>
      <c r="AB474" s="15"/>
      <c r="AC474" s="15"/>
    </row>
    <row r="475" spans="1:29" x14ac:dyDescent="0.35">
      <c r="A475" s="15"/>
      <c r="B475" s="78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42"/>
      <c r="V475" s="15"/>
      <c r="W475" s="25" t="str">
        <f t="shared" si="15"/>
        <v>0</v>
      </c>
      <c r="X475" s="25"/>
      <c r="Y475" s="15"/>
      <c r="Z475" s="27"/>
      <c r="AA475" s="15"/>
      <c r="AB475" s="15"/>
      <c r="AC475" s="15"/>
    </row>
    <row r="476" spans="1:29" x14ac:dyDescent="0.35">
      <c r="A476" s="15"/>
      <c r="B476" s="78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42"/>
      <c r="V476" s="15"/>
      <c r="W476" s="25" t="str">
        <f t="shared" si="15"/>
        <v>0</v>
      </c>
      <c r="X476" s="25"/>
      <c r="Y476" s="15"/>
      <c r="Z476" s="27"/>
      <c r="AA476" s="15"/>
      <c r="AB476" s="15"/>
      <c r="AC476" s="15"/>
    </row>
    <row r="477" spans="1:29" x14ac:dyDescent="0.35">
      <c r="A477" s="15"/>
      <c r="B477" s="78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42"/>
      <c r="V477" s="15"/>
      <c r="W477" s="25" t="str">
        <f t="shared" si="15"/>
        <v>0</v>
      </c>
      <c r="X477" s="25"/>
      <c r="Y477" s="15"/>
      <c r="Z477" s="27"/>
      <c r="AA477" s="15"/>
      <c r="AB477" s="15"/>
      <c r="AC477" s="15"/>
    </row>
    <row r="478" spans="1:29" x14ac:dyDescent="0.35">
      <c r="A478" s="15"/>
      <c r="B478" s="78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42"/>
      <c r="V478" s="15"/>
      <c r="W478" s="25" t="str">
        <f t="shared" si="15"/>
        <v>0</v>
      </c>
      <c r="X478" s="25"/>
      <c r="Y478" s="15"/>
      <c r="Z478" s="27"/>
      <c r="AA478" s="15"/>
      <c r="AB478" s="15"/>
      <c r="AC478" s="15"/>
    </row>
    <row r="479" spans="1:29" x14ac:dyDescent="0.35">
      <c r="A479" s="15"/>
      <c r="B479" s="78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42"/>
      <c r="V479" s="15"/>
      <c r="W479" s="25" t="str">
        <f t="shared" si="15"/>
        <v>0</v>
      </c>
      <c r="X479" s="25"/>
      <c r="Y479" s="15"/>
      <c r="Z479" s="27"/>
      <c r="AA479" s="15"/>
      <c r="AB479" s="15"/>
      <c r="AC479" s="15"/>
    </row>
    <row r="480" spans="1:29" x14ac:dyDescent="0.35">
      <c r="A480" s="15"/>
      <c r="B480" s="78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42"/>
      <c r="V480" s="15"/>
      <c r="W480" s="25" t="str">
        <f t="shared" si="15"/>
        <v>0</v>
      </c>
      <c r="X480" s="25"/>
      <c r="Y480" s="15"/>
      <c r="Z480" s="27"/>
      <c r="AA480" s="15"/>
      <c r="AB480" s="15"/>
      <c r="AC480" s="15"/>
    </row>
    <row r="481" spans="1:29" x14ac:dyDescent="0.35">
      <c r="A481" s="15"/>
      <c r="B481" s="78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42"/>
      <c r="V481" s="15"/>
      <c r="W481" s="25" t="str">
        <f t="shared" si="15"/>
        <v>0</v>
      </c>
      <c r="X481" s="25"/>
      <c r="Y481" s="15"/>
      <c r="Z481" s="27"/>
      <c r="AA481" s="15"/>
      <c r="AB481" s="15"/>
      <c r="AC481" s="15"/>
    </row>
    <row r="482" spans="1:29" x14ac:dyDescent="0.35">
      <c r="A482" s="15"/>
      <c r="B482" s="78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42"/>
      <c r="V482" s="15"/>
      <c r="W482" s="25" t="str">
        <f t="shared" si="15"/>
        <v>0</v>
      </c>
      <c r="X482" s="25"/>
      <c r="Y482" s="15"/>
      <c r="Z482" s="27"/>
      <c r="AA482" s="15"/>
      <c r="AB482" s="15"/>
      <c r="AC482" s="15"/>
    </row>
    <row r="483" spans="1:29" x14ac:dyDescent="0.35">
      <c r="A483" s="15"/>
      <c r="B483" s="78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42"/>
      <c r="V483" s="15"/>
      <c r="W483" s="25" t="str">
        <f t="shared" si="15"/>
        <v>0</v>
      </c>
      <c r="X483" s="25"/>
      <c r="Y483" s="15"/>
      <c r="Z483" s="27"/>
      <c r="AA483" s="15"/>
      <c r="AB483" s="15"/>
      <c r="AC483" s="15"/>
    </row>
    <row r="484" spans="1:29" x14ac:dyDescent="0.35">
      <c r="A484" s="15"/>
      <c r="B484" s="78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42"/>
      <c r="V484" s="15"/>
      <c r="W484" s="25" t="str">
        <f t="shared" si="15"/>
        <v>0</v>
      </c>
      <c r="X484" s="25"/>
      <c r="Y484" s="15"/>
      <c r="Z484" s="27"/>
      <c r="AA484" s="15"/>
      <c r="AB484" s="15"/>
      <c r="AC484" s="15"/>
    </row>
    <row r="485" spans="1:29" x14ac:dyDescent="0.35">
      <c r="A485" s="15"/>
      <c r="B485" s="78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42"/>
      <c r="V485" s="15"/>
      <c r="W485" s="25" t="str">
        <f t="shared" si="15"/>
        <v>0</v>
      </c>
      <c r="X485" s="25"/>
      <c r="Y485" s="15"/>
      <c r="Z485" s="27"/>
      <c r="AA485" s="15"/>
      <c r="AB485" s="15"/>
      <c r="AC485" s="15"/>
    </row>
    <row r="486" spans="1:29" x14ac:dyDescent="0.35">
      <c r="A486" s="15"/>
      <c r="B486" s="78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42"/>
      <c r="V486" s="15"/>
      <c r="W486" s="25" t="str">
        <f t="shared" si="15"/>
        <v>0</v>
      </c>
      <c r="X486" s="25"/>
      <c r="Y486" s="15"/>
      <c r="Z486" s="27"/>
      <c r="AA486" s="15"/>
      <c r="AB486" s="15"/>
      <c r="AC486" s="15"/>
    </row>
    <row r="487" spans="1:29" x14ac:dyDescent="0.35">
      <c r="A487" s="15"/>
      <c r="B487" s="78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42"/>
      <c r="V487" s="15"/>
      <c r="W487" s="25" t="str">
        <f t="shared" si="15"/>
        <v>0</v>
      </c>
      <c r="X487" s="25"/>
      <c r="Y487" s="15"/>
      <c r="Z487" s="27"/>
      <c r="AA487" s="15"/>
      <c r="AB487" s="15"/>
      <c r="AC487" s="15"/>
    </row>
    <row r="488" spans="1:29" x14ac:dyDescent="0.35">
      <c r="A488" s="15"/>
      <c r="B488" s="78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42"/>
      <c r="V488" s="15"/>
      <c r="W488" s="25" t="str">
        <f t="shared" si="15"/>
        <v>0</v>
      </c>
      <c r="X488" s="25"/>
      <c r="Y488" s="15"/>
      <c r="Z488" s="27"/>
      <c r="AA488" s="15"/>
      <c r="AB488" s="15"/>
      <c r="AC488" s="15"/>
    </row>
    <row r="489" spans="1:29" x14ac:dyDescent="0.35">
      <c r="A489" s="15"/>
      <c r="B489" s="78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42"/>
      <c r="V489" s="15"/>
      <c r="W489" s="25" t="str">
        <f t="shared" si="15"/>
        <v>0</v>
      </c>
      <c r="X489" s="25"/>
      <c r="Y489" s="15"/>
      <c r="Z489" s="27"/>
      <c r="AA489" s="15"/>
      <c r="AB489" s="15"/>
      <c r="AC489" s="15"/>
    </row>
    <row r="490" spans="1:29" x14ac:dyDescent="0.35">
      <c r="A490" s="15"/>
      <c r="B490" s="78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42"/>
      <c r="V490" s="15"/>
      <c r="W490" s="25" t="str">
        <f t="shared" si="15"/>
        <v>0</v>
      </c>
      <c r="X490" s="25"/>
      <c r="Y490" s="15"/>
      <c r="Z490" s="27"/>
      <c r="AA490" s="15"/>
      <c r="AB490" s="15"/>
      <c r="AC490" s="15"/>
    </row>
    <row r="491" spans="1:29" x14ac:dyDescent="0.35">
      <c r="A491" s="15"/>
      <c r="B491" s="78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42"/>
      <c r="V491" s="15"/>
      <c r="W491" s="25" t="str">
        <f t="shared" si="15"/>
        <v>0</v>
      </c>
      <c r="X491" s="25"/>
      <c r="Y491" s="15"/>
      <c r="Z491" s="27"/>
      <c r="AA491" s="15"/>
      <c r="AB491" s="15"/>
      <c r="AC491" s="15"/>
    </row>
    <row r="492" spans="1:29" x14ac:dyDescent="0.35">
      <c r="A492" s="15"/>
      <c r="B492" s="78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42"/>
      <c r="V492" s="15"/>
      <c r="W492" s="25" t="str">
        <f t="shared" si="15"/>
        <v>0</v>
      </c>
      <c r="X492" s="25"/>
      <c r="Y492" s="15"/>
      <c r="Z492" s="27"/>
      <c r="AA492" s="15"/>
      <c r="AB492" s="15"/>
      <c r="AC492" s="15"/>
    </row>
    <row r="493" spans="1:29" x14ac:dyDescent="0.35">
      <c r="A493" s="15"/>
      <c r="B493" s="78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42"/>
      <c r="V493" s="15"/>
      <c r="W493" s="25" t="str">
        <f t="shared" si="15"/>
        <v>0</v>
      </c>
      <c r="X493" s="25"/>
      <c r="Y493" s="15"/>
      <c r="Z493" s="27"/>
      <c r="AA493" s="15"/>
      <c r="AB493" s="15"/>
      <c r="AC493" s="15"/>
    </row>
    <row r="494" spans="1:29" x14ac:dyDescent="0.35">
      <c r="A494" s="15"/>
      <c r="B494" s="78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42"/>
      <c r="V494" s="15"/>
      <c r="W494" s="25" t="str">
        <f t="shared" si="15"/>
        <v>0</v>
      </c>
      <c r="X494" s="25"/>
      <c r="Y494" s="15"/>
      <c r="Z494" s="27"/>
      <c r="AA494" s="15"/>
      <c r="AB494" s="15"/>
      <c r="AC494" s="15"/>
    </row>
    <row r="495" spans="1:29" x14ac:dyDescent="0.35">
      <c r="A495" s="15"/>
      <c r="B495" s="78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42"/>
      <c r="V495" s="15"/>
      <c r="W495" s="25" t="str">
        <f t="shared" si="15"/>
        <v>0</v>
      </c>
      <c r="X495" s="25"/>
      <c r="Y495" s="15"/>
      <c r="Z495" s="27"/>
      <c r="AA495" s="15"/>
      <c r="AB495" s="15"/>
      <c r="AC495" s="15"/>
    </row>
    <row r="496" spans="1:29" x14ac:dyDescent="0.35">
      <c r="A496" s="15"/>
      <c r="B496" s="78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42"/>
      <c r="V496" s="15"/>
      <c r="W496" s="25" t="str">
        <f t="shared" si="15"/>
        <v>0</v>
      </c>
      <c r="X496" s="25"/>
      <c r="Y496" s="15"/>
      <c r="Z496" s="27"/>
      <c r="AA496" s="15"/>
      <c r="AB496" s="15"/>
      <c r="AC496" s="15"/>
    </row>
    <row r="497" spans="1:29" x14ac:dyDescent="0.35">
      <c r="A497" s="15"/>
      <c r="B497" s="78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42"/>
      <c r="V497" s="15"/>
      <c r="W497" s="25" t="str">
        <f t="shared" si="15"/>
        <v>0</v>
      </c>
      <c r="X497" s="25"/>
      <c r="Y497" s="15"/>
      <c r="Z497" s="27"/>
      <c r="AA497" s="15"/>
      <c r="AB497" s="15"/>
      <c r="AC497" s="15"/>
    </row>
    <row r="498" spans="1:29" x14ac:dyDescent="0.35">
      <c r="A498" s="15"/>
      <c r="B498" s="78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42"/>
      <c r="V498" s="15"/>
      <c r="W498" s="25" t="str">
        <f t="shared" si="15"/>
        <v>0</v>
      </c>
      <c r="X498" s="25"/>
      <c r="Y498" s="15"/>
      <c r="Z498" s="27"/>
      <c r="AA498" s="15"/>
      <c r="AB498" s="15"/>
      <c r="AC498" s="15"/>
    </row>
    <row r="499" spans="1:29" x14ac:dyDescent="0.35">
      <c r="A499" s="15"/>
      <c r="B499" s="78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42"/>
      <c r="V499" s="15"/>
      <c r="W499" s="25" t="str">
        <f t="shared" si="15"/>
        <v>0</v>
      </c>
      <c r="X499" s="25"/>
      <c r="Y499" s="15"/>
      <c r="Z499" s="27"/>
      <c r="AA499" s="15"/>
      <c r="AB499" s="15"/>
      <c r="AC499" s="15"/>
    </row>
    <row r="500" spans="1:29" x14ac:dyDescent="0.35">
      <c r="A500" s="15"/>
      <c r="B500" s="78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42"/>
      <c r="V500" s="15"/>
      <c r="W500" s="25" t="str">
        <f t="shared" si="15"/>
        <v>0</v>
      </c>
      <c r="X500" s="25"/>
      <c r="Y500" s="15"/>
      <c r="Z500" s="27"/>
      <c r="AA500" s="15"/>
      <c r="AB500" s="15"/>
      <c r="AC500" s="15"/>
    </row>
    <row r="501" spans="1:29" x14ac:dyDescent="0.35">
      <c r="A501" s="15"/>
      <c r="B501" s="78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42"/>
      <c r="V501" s="15"/>
      <c r="W501" s="25" t="str">
        <f t="shared" si="15"/>
        <v>0</v>
      </c>
      <c r="X501" s="25"/>
      <c r="Y501" s="15"/>
      <c r="Z501" s="27"/>
      <c r="AA501" s="15"/>
      <c r="AB501" s="15"/>
      <c r="AC501" s="15"/>
    </row>
    <row r="502" spans="1:29" x14ac:dyDescent="0.35">
      <c r="A502" s="15"/>
      <c r="B502" s="78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42"/>
      <c r="V502" s="15"/>
      <c r="W502" s="25" t="str">
        <f t="shared" si="15"/>
        <v>0</v>
      </c>
      <c r="X502" s="25"/>
      <c r="Y502" s="15"/>
      <c r="Z502" s="27"/>
      <c r="AA502" s="15"/>
      <c r="AB502" s="15"/>
      <c r="AC502" s="15"/>
    </row>
    <row r="503" spans="1:29" x14ac:dyDescent="0.35">
      <c r="A503" s="15"/>
      <c r="B503" s="78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42"/>
      <c r="V503" s="15"/>
      <c r="W503" s="25" t="str">
        <f t="shared" si="15"/>
        <v>0</v>
      </c>
      <c r="X503" s="25"/>
      <c r="Y503" s="15"/>
      <c r="Z503" s="27"/>
      <c r="AA503" s="15"/>
      <c r="AB503" s="15"/>
      <c r="AC503" s="15"/>
    </row>
    <row r="504" spans="1:29" x14ac:dyDescent="0.35">
      <c r="A504" s="15"/>
      <c r="B504" s="78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42"/>
      <c r="V504" s="15"/>
      <c r="W504" s="25" t="str">
        <f t="shared" si="15"/>
        <v>0</v>
      </c>
      <c r="X504" s="25"/>
      <c r="Y504" s="15"/>
      <c r="Z504" s="27"/>
      <c r="AA504" s="15"/>
      <c r="AB504" s="15"/>
      <c r="AC504" s="15"/>
    </row>
    <row r="505" spans="1:29" x14ac:dyDescent="0.35">
      <c r="A505" s="15"/>
      <c r="B505" s="78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42"/>
      <c r="V505" s="15"/>
      <c r="W505" s="25" t="str">
        <f t="shared" si="15"/>
        <v>0</v>
      </c>
      <c r="X505" s="25"/>
      <c r="Y505" s="15"/>
      <c r="Z505" s="27"/>
      <c r="AA505" s="15"/>
      <c r="AB505" s="15"/>
      <c r="AC505" s="15"/>
    </row>
    <row r="506" spans="1:29" x14ac:dyDescent="0.35">
      <c r="A506" s="15"/>
      <c r="B506" s="78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42"/>
      <c r="V506" s="15"/>
      <c r="W506" s="25" t="str">
        <f t="shared" si="15"/>
        <v>0</v>
      </c>
      <c r="X506" s="25"/>
      <c r="Y506" s="15"/>
      <c r="Z506" s="27"/>
      <c r="AA506" s="15"/>
      <c r="AB506" s="15"/>
      <c r="AC506" s="15"/>
    </row>
    <row r="507" spans="1:29" x14ac:dyDescent="0.35">
      <c r="A507" s="15"/>
      <c r="B507" s="78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42"/>
      <c r="V507" s="15"/>
      <c r="W507" s="25" t="str">
        <f t="shared" si="15"/>
        <v>0</v>
      </c>
      <c r="X507" s="25"/>
      <c r="Y507" s="15"/>
      <c r="Z507" s="27"/>
      <c r="AA507" s="15"/>
      <c r="AB507" s="15"/>
      <c r="AC507" s="15"/>
    </row>
    <row r="508" spans="1:29" x14ac:dyDescent="0.35">
      <c r="A508" s="15"/>
      <c r="B508" s="78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42"/>
      <c r="V508" s="15"/>
      <c r="W508" s="25" t="str">
        <f t="shared" si="15"/>
        <v>0</v>
      </c>
      <c r="X508" s="25"/>
      <c r="Y508" s="15"/>
      <c r="Z508" s="27"/>
      <c r="AA508" s="15"/>
      <c r="AB508" s="15"/>
      <c r="AC508" s="15"/>
    </row>
    <row r="509" spans="1:29" x14ac:dyDescent="0.35">
      <c r="A509" s="15"/>
      <c r="B509" s="78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42"/>
      <c r="V509" s="15"/>
      <c r="W509" s="25" t="str">
        <f t="shared" si="15"/>
        <v>0</v>
      </c>
      <c r="X509" s="25"/>
      <c r="Y509" s="15"/>
      <c r="Z509" s="27"/>
      <c r="AA509" s="15"/>
      <c r="AB509" s="15"/>
      <c r="AC509" s="15"/>
    </row>
    <row r="510" spans="1:29" x14ac:dyDescent="0.35">
      <c r="A510" s="15"/>
      <c r="B510" s="78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42"/>
      <c r="V510" s="15"/>
      <c r="W510" s="25" t="str">
        <f t="shared" ref="W510:W573" si="16">IFERROR(V510/M510,"0")</f>
        <v>0</v>
      </c>
      <c r="X510" s="25"/>
      <c r="Y510" s="15"/>
      <c r="Z510" s="27"/>
      <c r="AA510" s="15"/>
      <c r="AB510" s="15"/>
      <c r="AC510" s="15"/>
    </row>
    <row r="511" spans="1:29" x14ac:dyDescent="0.35">
      <c r="A511" s="15"/>
      <c r="B511" s="78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42"/>
      <c r="V511" s="15"/>
      <c r="W511" s="25" t="str">
        <f t="shared" si="16"/>
        <v>0</v>
      </c>
      <c r="X511" s="25"/>
      <c r="Y511" s="15"/>
      <c r="Z511" s="27"/>
      <c r="AA511" s="15"/>
      <c r="AB511" s="15"/>
      <c r="AC511" s="15"/>
    </row>
    <row r="512" spans="1:29" x14ac:dyDescent="0.35">
      <c r="A512" s="15"/>
      <c r="B512" s="78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42"/>
      <c r="V512" s="15"/>
      <c r="W512" s="25" t="str">
        <f t="shared" si="16"/>
        <v>0</v>
      </c>
      <c r="X512" s="25"/>
      <c r="Y512" s="15"/>
      <c r="Z512" s="27"/>
      <c r="AA512" s="15"/>
      <c r="AB512" s="15"/>
      <c r="AC512" s="15"/>
    </row>
    <row r="513" spans="1:29" x14ac:dyDescent="0.35">
      <c r="A513" s="15"/>
      <c r="B513" s="78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42"/>
      <c r="V513" s="15"/>
      <c r="W513" s="25" t="str">
        <f t="shared" si="16"/>
        <v>0</v>
      </c>
      <c r="X513" s="25"/>
      <c r="Y513" s="15"/>
      <c r="Z513" s="27"/>
      <c r="AA513" s="15"/>
      <c r="AB513" s="15"/>
      <c r="AC513" s="15"/>
    </row>
    <row r="514" spans="1:29" x14ac:dyDescent="0.35">
      <c r="A514" s="15"/>
      <c r="B514" s="78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42"/>
      <c r="V514" s="15"/>
      <c r="W514" s="25" t="str">
        <f t="shared" si="16"/>
        <v>0</v>
      </c>
      <c r="X514" s="25"/>
      <c r="Y514" s="15"/>
      <c r="Z514" s="27"/>
      <c r="AA514" s="15"/>
      <c r="AB514" s="15"/>
      <c r="AC514" s="15"/>
    </row>
    <row r="515" spans="1:29" x14ac:dyDescent="0.35">
      <c r="A515" s="15"/>
      <c r="B515" s="78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42"/>
      <c r="V515" s="15"/>
      <c r="W515" s="25" t="str">
        <f t="shared" si="16"/>
        <v>0</v>
      </c>
      <c r="X515" s="25"/>
      <c r="Y515" s="15"/>
      <c r="Z515" s="27"/>
      <c r="AA515" s="15"/>
      <c r="AB515" s="15"/>
      <c r="AC515" s="15"/>
    </row>
    <row r="516" spans="1:29" x14ac:dyDescent="0.35">
      <c r="A516" s="15"/>
      <c r="B516" s="78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42"/>
      <c r="V516" s="15"/>
      <c r="W516" s="25" t="str">
        <f t="shared" si="16"/>
        <v>0</v>
      </c>
      <c r="X516" s="25"/>
      <c r="Y516" s="15"/>
      <c r="Z516" s="27"/>
      <c r="AA516" s="15"/>
      <c r="AB516" s="15"/>
      <c r="AC516" s="15"/>
    </row>
    <row r="517" spans="1:29" x14ac:dyDescent="0.35">
      <c r="A517" s="15"/>
      <c r="B517" s="78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42"/>
      <c r="V517" s="15"/>
      <c r="W517" s="25" t="str">
        <f t="shared" si="16"/>
        <v>0</v>
      </c>
      <c r="X517" s="25"/>
      <c r="Y517" s="15"/>
      <c r="Z517" s="27"/>
      <c r="AA517" s="15"/>
      <c r="AB517" s="15"/>
      <c r="AC517" s="15"/>
    </row>
    <row r="518" spans="1:29" x14ac:dyDescent="0.35">
      <c r="A518" s="15"/>
      <c r="B518" s="78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42"/>
      <c r="V518" s="15"/>
      <c r="W518" s="25" t="str">
        <f t="shared" si="16"/>
        <v>0</v>
      </c>
      <c r="X518" s="25"/>
      <c r="Y518" s="15"/>
      <c r="Z518" s="27"/>
      <c r="AA518" s="15"/>
      <c r="AB518" s="15"/>
      <c r="AC518" s="15"/>
    </row>
    <row r="519" spans="1:29" x14ac:dyDescent="0.35">
      <c r="A519" s="15"/>
      <c r="B519" s="78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42"/>
      <c r="V519" s="15"/>
      <c r="W519" s="25" t="str">
        <f t="shared" si="16"/>
        <v>0</v>
      </c>
      <c r="X519" s="25"/>
      <c r="Y519" s="15"/>
      <c r="Z519" s="27"/>
      <c r="AA519" s="15"/>
      <c r="AB519" s="15"/>
      <c r="AC519" s="15"/>
    </row>
    <row r="520" spans="1:29" x14ac:dyDescent="0.35">
      <c r="A520" s="15"/>
      <c r="B520" s="78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42"/>
      <c r="V520" s="15"/>
      <c r="W520" s="25" t="str">
        <f t="shared" si="16"/>
        <v>0</v>
      </c>
      <c r="X520" s="25"/>
      <c r="Y520" s="15"/>
      <c r="Z520" s="27"/>
      <c r="AA520" s="15"/>
      <c r="AB520" s="15"/>
      <c r="AC520" s="15"/>
    </row>
    <row r="521" spans="1:29" x14ac:dyDescent="0.35">
      <c r="A521" s="15"/>
      <c r="B521" s="78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42"/>
      <c r="V521" s="15"/>
      <c r="W521" s="25" t="str">
        <f t="shared" si="16"/>
        <v>0</v>
      </c>
      <c r="X521" s="25"/>
      <c r="Y521" s="15"/>
      <c r="Z521" s="27"/>
      <c r="AA521" s="15"/>
      <c r="AB521" s="15"/>
      <c r="AC521" s="15"/>
    </row>
    <row r="522" spans="1:29" x14ac:dyDescent="0.35">
      <c r="A522" s="15"/>
      <c r="B522" s="78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42"/>
      <c r="V522" s="15"/>
      <c r="W522" s="25" t="str">
        <f t="shared" si="16"/>
        <v>0</v>
      </c>
      <c r="X522" s="25"/>
      <c r="Y522" s="15"/>
      <c r="Z522" s="27"/>
      <c r="AA522" s="15"/>
      <c r="AB522" s="15"/>
      <c r="AC522" s="15"/>
    </row>
    <row r="523" spans="1:29" x14ac:dyDescent="0.35">
      <c r="A523" s="15"/>
      <c r="B523" s="78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42"/>
      <c r="V523" s="15"/>
      <c r="W523" s="25" t="str">
        <f t="shared" si="16"/>
        <v>0</v>
      </c>
      <c r="X523" s="25"/>
      <c r="Y523" s="15"/>
      <c r="Z523" s="27"/>
      <c r="AA523" s="15"/>
      <c r="AB523" s="15"/>
      <c r="AC523" s="15"/>
    </row>
    <row r="524" spans="1:29" x14ac:dyDescent="0.35">
      <c r="A524" s="15"/>
      <c r="B524" s="78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42"/>
      <c r="V524" s="15"/>
      <c r="W524" s="25" t="str">
        <f t="shared" si="16"/>
        <v>0</v>
      </c>
      <c r="X524" s="25"/>
      <c r="Y524" s="15"/>
      <c r="Z524" s="27"/>
      <c r="AA524" s="15"/>
      <c r="AB524" s="15"/>
      <c r="AC524" s="15"/>
    </row>
    <row r="525" spans="1:29" x14ac:dyDescent="0.35">
      <c r="A525" s="15"/>
      <c r="B525" s="78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42"/>
      <c r="V525" s="15"/>
      <c r="W525" s="25" t="str">
        <f t="shared" si="16"/>
        <v>0</v>
      </c>
      <c r="X525" s="25"/>
      <c r="Y525" s="15"/>
      <c r="Z525" s="27"/>
      <c r="AA525" s="15"/>
      <c r="AB525" s="15"/>
      <c r="AC525" s="15"/>
    </row>
    <row r="526" spans="1:29" x14ac:dyDescent="0.35">
      <c r="A526" s="15"/>
      <c r="B526" s="78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42"/>
      <c r="V526" s="15"/>
      <c r="W526" s="25" t="str">
        <f t="shared" si="16"/>
        <v>0</v>
      </c>
      <c r="X526" s="25"/>
      <c r="Y526" s="15"/>
      <c r="Z526" s="27"/>
      <c r="AA526" s="15"/>
      <c r="AB526" s="15"/>
      <c r="AC526" s="15"/>
    </row>
    <row r="527" spans="1:29" x14ac:dyDescent="0.35">
      <c r="A527" s="15"/>
      <c r="B527" s="78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42"/>
      <c r="V527" s="15"/>
      <c r="W527" s="25" t="str">
        <f t="shared" si="16"/>
        <v>0</v>
      </c>
      <c r="X527" s="25"/>
      <c r="Y527" s="15"/>
      <c r="Z527" s="27"/>
      <c r="AA527" s="15"/>
      <c r="AB527" s="15"/>
      <c r="AC527" s="15"/>
    </row>
    <row r="528" spans="1:29" x14ac:dyDescent="0.35">
      <c r="A528" s="15"/>
      <c r="B528" s="78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42"/>
      <c r="V528" s="15"/>
      <c r="W528" s="25" t="str">
        <f t="shared" si="16"/>
        <v>0</v>
      </c>
      <c r="X528" s="25"/>
      <c r="Y528" s="15"/>
      <c r="Z528" s="27"/>
      <c r="AA528" s="15"/>
      <c r="AB528" s="15"/>
      <c r="AC528" s="15"/>
    </row>
    <row r="529" spans="1:29" x14ac:dyDescent="0.35">
      <c r="A529" s="15"/>
      <c r="B529" s="78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42"/>
      <c r="V529" s="15"/>
      <c r="W529" s="25" t="str">
        <f t="shared" si="16"/>
        <v>0</v>
      </c>
      <c r="X529" s="25"/>
      <c r="Y529" s="15"/>
      <c r="Z529" s="27"/>
      <c r="AA529" s="15"/>
      <c r="AB529" s="15"/>
      <c r="AC529" s="15"/>
    </row>
    <row r="530" spans="1:29" x14ac:dyDescent="0.35">
      <c r="A530" s="15"/>
      <c r="B530" s="78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42"/>
      <c r="V530" s="15"/>
      <c r="W530" s="25" t="str">
        <f t="shared" si="16"/>
        <v>0</v>
      </c>
      <c r="X530" s="25"/>
      <c r="Y530" s="15"/>
      <c r="Z530" s="27"/>
      <c r="AA530" s="15"/>
      <c r="AB530" s="15"/>
      <c r="AC530" s="15"/>
    </row>
    <row r="531" spans="1:29" x14ac:dyDescent="0.35">
      <c r="A531" s="15"/>
      <c r="B531" s="78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42"/>
      <c r="V531" s="15"/>
      <c r="W531" s="25" t="str">
        <f t="shared" si="16"/>
        <v>0</v>
      </c>
      <c r="X531" s="25"/>
      <c r="Y531" s="15"/>
      <c r="Z531" s="27"/>
      <c r="AA531" s="15"/>
      <c r="AB531" s="15"/>
      <c r="AC531" s="15"/>
    </row>
    <row r="532" spans="1:29" x14ac:dyDescent="0.35">
      <c r="A532" s="15"/>
      <c r="B532" s="78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42"/>
      <c r="V532" s="15"/>
      <c r="W532" s="25" t="str">
        <f t="shared" si="16"/>
        <v>0</v>
      </c>
      <c r="X532" s="25"/>
      <c r="Y532" s="15"/>
      <c r="Z532" s="27"/>
      <c r="AA532" s="15"/>
      <c r="AB532" s="15"/>
      <c r="AC532" s="15"/>
    </row>
    <row r="533" spans="1:29" x14ac:dyDescent="0.35">
      <c r="A533" s="15"/>
      <c r="B533" s="78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42"/>
      <c r="V533" s="15"/>
      <c r="W533" s="25" t="str">
        <f t="shared" si="16"/>
        <v>0</v>
      </c>
      <c r="X533" s="25"/>
      <c r="Y533" s="15"/>
      <c r="Z533" s="27"/>
      <c r="AA533" s="15"/>
      <c r="AB533" s="15"/>
      <c r="AC533" s="15"/>
    </row>
    <row r="534" spans="1:29" x14ac:dyDescent="0.35">
      <c r="A534" s="15"/>
      <c r="B534" s="78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42"/>
      <c r="V534" s="15"/>
      <c r="W534" s="25" t="str">
        <f t="shared" si="16"/>
        <v>0</v>
      </c>
      <c r="X534" s="25"/>
      <c r="Y534" s="15"/>
      <c r="Z534" s="27"/>
      <c r="AA534" s="15"/>
      <c r="AB534" s="15"/>
      <c r="AC534" s="15"/>
    </row>
    <row r="535" spans="1:29" x14ac:dyDescent="0.35">
      <c r="A535" s="15"/>
      <c r="B535" s="78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42"/>
      <c r="V535" s="15"/>
      <c r="W535" s="25" t="str">
        <f t="shared" si="16"/>
        <v>0</v>
      </c>
      <c r="X535" s="25"/>
      <c r="Y535" s="15"/>
      <c r="Z535" s="27"/>
      <c r="AA535" s="15"/>
      <c r="AB535" s="15"/>
      <c r="AC535" s="15"/>
    </row>
    <row r="536" spans="1:29" x14ac:dyDescent="0.35">
      <c r="A536" s="15"/>
      <c r="B536" s="78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42"/>
      <c r="V536" s="15"/>
      <c r="W536" s="25" t="str">
        <f t="shared" si="16"/>
        <v>0</v>
      </c>
      <c r="X536" s="25"/>
      <c r="Y536" s="15"/>
      <c r="Z536" s="27"/>
      <c r="AA536" s="15"/>
      <c r="AB536" s="15"/>
      <c r="AC536" s="15"/>
    </row>
    <row r="537" spans="1:29" x14ac:dyDescent="0.35">
      <c r="A537" s="15"/>
      <c r="B537" s="78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42"/>
      <c r="V537" s="15"/>
      <c r="W537" s="25" t="str">
        <f t="shared" si="16"/>
        <v>0</v>
      </c>
      <c r="X537" s="25"/>
      <c r="Y537" s="15"/>
      <c r="Z537" s="27"/>
      <c r="AA537" s="15"/>
      <c r="AB537" s="15"/>
      <c r="AC537" s="15"/>
    </row>
    <row r="538" spans="1:29" x14ac:dyDescent="0.35">
      <c r="A538" s="15"/>
      <c r="B538" s="78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42"/>
      <c r="V538" s="15"/>
      <c r="W538" s="25" t="str">
        <f t="shared" si="16"/>
        <v>0</v>
      </c>
      <c r="X538" s="25"/>
      <c r="Y538" s="15"/>
      <c r="Z538" s="27"/>
      <c r="AA538" s="15"/>
      <c r="AB538" s="15"/>
      <c r="AC538" s="15"/>
    </row>
    <row r="539" spans="1:29" x14ac:dyDescent="0.35">
      <c r="A539" s="15"/>
      <c r="B539" s="78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42"/>
      <c r="V539" s="15"/>
      <c r="W539" s="25" t="str">
        <f t="shared" si="16"/>
        <v>0</v>
      </c>
      <c r="X539" s="25"/>
      <c r="Y539" s="15"/>
      <c r="Z539" s="27"/>
      <c r="AA539" s="15"/>
      <c r="AB539" s="15"/>
      <c r="AC539" s="15"/>
    </row>
    <row r="540" spans="1:29" x14ac:dyDescent="0.35">
      <c r="A540" s="15"/>
      <c r="B540" s="78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42"/>
      <c r="V540" s="15"/>
      <c r="W540" s="25" t="str">
        <f t="shared" si="16"/>
        <v>0</v>
      </c>
      <c r="X540" s="25"/>
      <c r="Y540" s="15"/>
      <c r="Z540" s="27"/>
      <c r="AA540" s="15"/>
      <c r="AB540" s="15"/>
      <c r="AC540" s="15"/>
    </row>
    <row r="541" spans="1:29" x14ac:dyDescent="0.35">
      <c r="A541" s="15"/>
      <c r="B541" s="78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42"/>
      <c r="V541" s="15"/>
      <c r="W541" s="25" t="str">
        <f t="shared" si="16"/>
        <v>0</v>
      </c>
      <c r="X541" s="25"/>
      <c r="Y541" s="15"/>
      <c r="Z541" s="27"/>
      <c r="AA541" s="15"/>
      <c r="AB541" s="15"/>
      <c r="AC541" s="15"/>
    </row>
    <row r="542" spans="1:29" x14ac:dyDescent="0.35">
      <c r="A542" s="15"/>
      <c r="B542" s="78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42"/>
      <c r="V542" s="15"/>
      <c r="W542" s="25" t="str">
        <f t="shared" si="16"/>
        <v>0</v>
      </c>
      <c r="X542" s="25"/>
      <c r="Y542" s="15"/>
      <c r="Z542" s="27"/>
      <c r="AA542" s="15"/>
      <c r="AB542" s="15"/>
      <c r="AC542" s="15"/>
    </row>
    <row r="543" spans="1:29" x14ac:dyDescent="0.35">
      <c r="A543" s="15"/>
      <c r="B543" s="78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42"/>
      <c r="V543" s="15"/>
      <c r="W543" s="25" t="str">
        <f t="shared" si="16"/>
        <v>0</v>
      </c>
      <c r="X543" s="25"/>
      <c r="Y543" s="15"/>
      <c r="Z543" s="27"/>
      <c r="AA543" s="15"/>
      <c r="AB543" s="15"/>
      <c r="AC543" s="15"/>
    </row>
    <row r="544" spans="1:29" x14ac:dyDescent="0.35">
      <c r="A544" s="15"/>
      <c r="B544" s="78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42"/>
      <c r="V544" s="15"/>
      <c r="W544" s="25" t="str">
        <f t="shared" si="16"/>
        <v>0</v>
      </c>
      <c r="X544" s="25"/>
      <c r="Y544" s="15"/>
      <c r="Z544" s="27"/>
      <c r="AA544" s="15"/>
      <c r="AB544" s="15"/>
      <c r="AC544" s="15"/>
    </row>
    <row r="545" spans="1:29" x14ac:dyDescent="0.35">
      <c r="A545" s="15"/>
      <c r="B545" s="78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42"/>
      <c r="V545" s="15"/>
      <c r="W545" s="25" t="str">
        <f t="shared" si="16"/>
        <v>0</v>
      </c>
      <c r="X545" s="25"/>
      <c r="Y545" s="15"/>
      <c r="Z545" s="27"/>
      <c r="AA545" s="15"/>
      <c r="AB545" s="15"/>
      <c r="AC545" s="15"/>
    </row>
    <row r="546" spans="1:29" x14ac:dyDescent="0.35">
      <c r="A546" s="15"/>
      <c r="B546" s="78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42"/>
      <c r="V546" s="15"/>
      <c r="W546" s="25" t="str">
        <f t="shared" si="16"/>
        <v>0</v>
      </c>
      <c r="X546" s="25"/>
      <c r="Y546" s="15"/>
      <c r="Z546" s="27"/>
      <c r="AA546" s="15"/>
      <c r="AB546" s="15"/>
      <c r="AC546" s="15"/>
    </row>
    <row r="547" spans="1:29" x14ac:dyDescent="0.35">
      <c r="A547" s="15"/>
      <c r="B547" s="78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42"/>
      <c r="V547" s="15"/>
      <c r="W547" s="25" t="str">
        <f t="shared" si="16"/>
        <v>0</v>
      </c>
      <c r="X547" s="25"/>
      <c r="Y547" s="15"/>
      <c r="Z547" s="27"/>
      <c r="AA547" s="15"/>
      <c r="AB547" s="15"/>
      <c r="AC547" s="15"/>
    </row>
    <row r="548" spans="1:29" x14ac:dyDescent="0.35">
      <c r="A548" s="15"/>
      <c r="B548" s="78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42"/>
      <c r="V548" s="15"/>
      <c r="W548" s="25" t="str">
        <f t="shared" si="16"/>
        <v>0</v>
      </c>
      <c r="X548" s="25"/>
      <c r="Y548" s="15"/>
      <c r="Z548" s="27"/>
      <c r="AA548" s="15"/>
      <c r="AB548" s="15"/>
      <c r="AC548" s="15"/>
    </row>
    <row r="549" spans="1:29" x14ac:dyDescent="0.35">
      <c r="A549" s="15"/>
      <c r="B549" s="78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42"/>
      <c r="V549" s="15"/>
      <c r="W549" s="25" t="str">
        <f t="shared" si="16"/>
        <v>0</v>
      </c>
      <c r="X549" s="25"/>
      <c r="Y549" s="15"/>
      <c r="Z549" s="27"/>
      <c r="AA549" s="15"/>
      <c r="AB549" s="15"/>
      <c r="AC549" s="15"/>
    </row>
    <row r="550" spans="1:29" x14ac:dyDescent="0.35">
      <c r="A550" s="15"/>
      <c r="B550" s="78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42"/>
      <c r="V550" s="15"/>
      <c r="W550" s="25" t="str">
        <f t="shared" si="16"/>
        <v>0</v>
      </c>
      <c r="X550" s="25"/>
      <c r="Y550" s="15"/>
      <c r="Z550" s="27"/>
      <c r="AA550" s="15"/>
      <c r="AB550" s="15"/>
      <c r="AC550" s="15"/>
    </row>
    <row r="551" spans="1:29" x14ac:dyDescent="0.35">
      <c r="A551" s="15"/>
      <c r="B551" s="78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42"/>
      <c r="V551" s="15"/>
      <c r="W551" s="25" t="str">
        <f t="shared" si="16"/>
        <v>0</v>
      </c>
      <c r="X551" s="25"/>
      <c r="Y551" s="15"/>
      <c r="Z551" s="27"/>
      <c r="AA551" s="15"/>
      <c r="AB551" s="15"/>
      <c r="AC551" s="15"/>
    </row>
    <row r="552" spans="1:29" x14ac:dyDescent="0.35">
      <c r="A552" s="15"/>
      <c r="B552" s="78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42"/>
      <c r="V552" s="15"/>
      <c r="W552" s="25" t="str">
        <f t="shared" si="16"/>
        <v>0</v>
      </c>
      <c r="X552" s="25"/>
      <c r="Y552" s="15"/>
      <c r="Z552" s="27"/>
      <c r="AA552" s="15"/>
      <c r="AB552" s="15"/>
      <c r="AC552" s="15"/>
    </row>
    <row r="553" spans="1:29" x14ac:dyDescent="0.35">
      <c r="A553" s="15"/>
      <c r="B553" s="78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42"/>
      <c r="V553" s="15"/>
      <c r="W553" s="25" t="str">
        <f t="shared" si="16"/>
        <v>0</v>
      </c>
      <c r="X553" s="25"/>
      <c r="Y553" s="15"/>
      <c r="Z553" s="27"/>
      <c r="AA553" s="15"/>
      <c r="AB553" s="15"/>
      <c r="AC553" s="15"/>
    </row>
    <row r="554" spans="1:29" x14ac:dyDescent="0.35">
      <c r="A554" s="15"/>
      <c r="B554" s="78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42"/>
      <c r="V554" s="15"/>
      <c r="W554" s="25" t="str">
        <f t="shared" si="16"/>
        <v>0</v>
      </c>
      <c r="X554" s="25"/>
      <c r="Y554" s="15"/>
      <c r="Z554" s="27"/>
      <c r="AA554" s="15"/>
      <c r="AB554" s="15"/>
      <c r="AC554" s="15"/>
    </row>
    <row r="555" spans="1:29" x14ac:dyDescent="0.35">
      <c r="A555" s="15"/>
      <c r="B555" s="78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42"/>
      <c r="V555" s="15"/>
      <c r="W555" s="25" t="str">
        <f t="shared" si="16"/>
        <v>0</v>
      </c>
      <c r="X555" s="25"/>
      <c r="Y555" s="15"/>
      <c r="Z555" s="27"/>
      <c r="AA555" s="15"/>
      <c r="AB555" s="15"/>
      <c r="AC555" s="15"/>
    </row>
    <row r="556" spans="1:29" x14ac:dyDescent="0.35">
      <c r="A556" s="15"/>
      <c r="B556" s="78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42"/>
      <c r="V556" s="15"/>
      <c r="W556" s="25" t="str">
        <f t="shared" si="16"/>
        <v>0</v>
      </c>
      <c r="X556" s="25"/>
      <c r="Y556" s="15"/>
      <c r="Z556" s="27"/>
      <c r="AA556" s="15"/>
      <c r="AB556" s="15"/>
      <c r="AC556" s="15"/>
    </row>
    <row r="557" spans="1:29" x14ac:dyDescent="0.35">
      <c r="A557" s="15"/>
      <c r="B557" s="78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42"/>
      <c r="V557" s="15"/>
      <c r="W557" s="25" t="str">
        <f t="shared" si="16"/>
        <v>0</v>
      </c>
      <c r="X557" s="25"/>
      <c r="Y557" s="15"/>
      <c r="Z557" s="27"/>
      <c r="AA557" s="15"/>
      <c r="AB557" s="15"/>
      <c r="AC557" s="15"/>
    </row>
    <row r="558" spans="1:29" x14ac:dyDescent="0.35">
      <c r="A558" s="15"/>
      <c r="B558" s="78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42"/>
      <c r="V558" s="15"/>
      <c r="W558" s="25" t="str">
        <f t="shared" si="16"/>
        <v>0</v>
      </c>
      <c r="X558" s="25"/>
      <c r="Y558" s="15"/>
      <c r="Z558" s="27"/>
      <c r="AA558" s="15"/>
      <c r="AB558" s="15"/>
      <c r="AC558" s="15"/>
    </row>
    <row r="559" spans="1:29" x14ac:dyDescent="0.35">
      <c r="A559" s="15"/>
      <c r="B559" s="78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42"/>
      <c r="V559" s="15"/>
      <c r="W559" s="25" t="str">
        <f t="shared" si="16"/>
        <v>0</v>
      </c>
      <c r="X559" s="25"/>
      <c r="Y559" s="15"/>
      <c r="Z559" s="27"/>
      <c r="AA559" s="15"/>
      <c r="AB559" s="15"/>
      <c r="AC559" s="15"/>
    </row>
    <row r="560" spans="1:29" x14ac:dyDescent="0.35">
      <c r="A560" s="15"/>
      <c r="B560" s="78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42"/>
      <c r="V560" s="15"/>
      <c r="W560" s="25" t="str">
        <f t="shared" si="16"/>
        <v>0</v>
      </c>
      <c r="X560" s="25"/>
      <c r="Y560" s="15"/>
      <c r="Z560" s="27"/>
      <c r="AA560" s="15"/>
      <c r="AB560" s="15"/>
      <c r="AC560" s="15"/>
    </row>
    <row r="561" spans="1:29" x14ac:dyDescent="0.35">
      <c r="A561" s="15"/>
      <c r="B561" s="78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42"/>
      <c r="V561" s="15"/>
      <c r="W561" s="25" t="str">
        <f t="shared" si="16"/>
        <v>0</v>
      </c>
      <c r="X561" s="25"/>
      <c r="Y561" s="15"/>
      <c r="Z561" s="27"/>
      <c r="AA561" s="15"/>
      <c r="AB561" s="15"/>
      <c r="AC561" s="15"/>
    </row>
    <row r="562" spans="1:29" x14ac:dyDescent="0.35">
      <c r="A562" s="15"/>
      <c r="B562" s="78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42"/>
      <c r="V562" s="15"/>
      <c r="W562" s="25" t="str">
        <f t="shared" si="16"/>
        <v>0</v>
      </c>
      <c r="X562" s="25"/>
      <c r="Y562" s="15"/>
      <c r="Z562" s="27"/>
      <c r="AA562" s="15"/>
      <c r="AB562" s="15"/>
      <c r="AC562" s="15"/>
    </row>
    <row r="563" spans="1:29" x14ac:dyDescent="0.35">
      <c r="A563" s="15"/>
      <c r="B563" s="78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42"/>
      <c r="V563" s="15"/>
      <c r="W563" s="25" t="str">
        <f t="shared" si="16"/>
        <v>0</v>
      </c>
      <c r="X563" s="25"/>
      <c r="Y563" s="15"/>
      <c r="Z563" s="27"/>
      <c r="AA563" s="15"/>
      <c r="AB563" s="15"/>
      <c r="AC563" s="15"/>
    </row>
    <row r="564" spans="1:29" x14ac:dyDescent="0.35">
      <c r="A564" s="15"/>
      <c r="B564" s="78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42"/>
      <c r="V564" s="15"/>
      <c r="W564" s="25" t="str">
        <f t="shared" si="16"/>
        <v>0</v>
      </c>
      <c r="X564" s="25"/>
      <c r="Y564" s="15"/>
      <c r="Z564" s="27"/>
      <c r="AA564" s="15"/>
      <c r="AB564" s="15"/>
      <c r="AC564" s="15"/>
    </row>
    <row r="565" spans="1:29" x14ac:dyDescent="0.35">
      <c r="A565" s="15"/>
      <c r="B565" s="78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42"/>
      <c r="V565" s="15"/>
      <c r="W565" s="25" t="str">
        <f t="shared" si="16"/>
        <v>0</v>
      </c>
      <c r="X565" s="25"/>
      <c r="Y565" s="15"/>
      <c r="Z565" s="27"/>
      <c r="AA565" s="15"/>
      <c r="AB565" s="15"/>
      <c r="AC565" s="15"/>
    </row>
    <row r="566" spans="1:29" x14ac:dyDescent="0.35">
      <c r="A566" s="15"/>
      <c r="B566" s="78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42"/>
      <c r="V566" s="15"/>
      <c r="W566" s="25" t="str">
        <f t="shared" si="16"/>
        <v>0</v>
      </c>
      <c r="X566" s="25"/>
      <c r="Y566" s="15"/>
      <c r="Z566" s="27"/>
      <c r="AA566" s="15"/>
      <c r="AB566" s="15"/>
      <c r="AC566" s="15"/>
    </row>
    <row r="567" spans="1:29" x14ac:dyDescent="0.35">
      <c r="A567" s="15"/>
      <c r="B567" s="78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42"/>
      <c r="V567" s="15"/>
      <c r="W567" s="25" t="str">
        <f t="shared" si="16"/>
        <v>0</v>
      </c>
      <c r="X567" s="25"/>
      <c r="Y567" s="15"/>
      <c r="Z567" s="27"/>
      <c r="AA567" s="15"/>
      <c r="AB567" s="15"/>
      <c r="AC567" s="15"/>
    </row>
    <row r="568" spans="1:29" x14ac:dyDescent="0.35">
      <c r="A568" s="15"/>
      <c r="B568" s="78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42"/>
      <c r="V568" s="15"/>
      <c r="W568" s="25" t="str">
        <f t="shared" si="16"/>
        <v>0</v>
      </c>
      <c r="X568" s="25"/>
      <c r="Y568" s="15"/>
      <c r="Z568" s="27"/>
      <c r="AA568" s="15"/>
      <c r="AB568" s="15"/>
      <c r="AC568" s="15"/>
    </row>
    <row r="569" spans="1:29" x14ac:dyDescent="0.35">
      <c r="A569" s="15"/>
      <c r="B569" s="78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42"/>
      <c r="V569" s="15"/>
      <c r="W569" s="25" t="str">
        <f t="shared" si="16"/>
        <v>0</v>
      </c>
      <c r="X569" s="25"/>
      <c r="Y569" s="15"/>
      <c r="Z569" s="27"/>
      <c r="AA569" s="15"/>
      <c r="AB569" s="15"/>
      <c r="AC569" s="15"/>
    </row>
    <row r="570" spans="1:29" x14ac:dyDescent="0.35">
      <c r="A570" s="15"/>
      <c r="B570" s="78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42"/>
      <c r="V570" s="15"/>
      <c r="W570" s="25" t="str">
        <f t="shared" si="16"/>
        <v>0</v>
      </c>
      <c r="X570" s="25"/>
      <c r="Y570" s="15"/>
      <c r="Z570" s="27"/>
      <c r="AA570" s="15"/>
      <c r="AB570" s="15"/>
      <c r="AC570" s="15"/>
    </row>
    <row r="571" spans="1:29" x14ac:dyDescent="0.35">
      <c r="A571" s="15"/>
      <c r="B571" s="78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42"/>
      <c r="V571" s="15"/>
      <c r="W571" s="25" t="str">
        <f t="shared" si="16"/>
        <v>0</v>
      </c>
      <c r="X571" s="25"/>
      <c r="Y571" s="15"/>
      <c r="Z571" s="27"/>
      <c r="AA571" s="15"/>
      <c r="AB571" s="15"/>
      <c r="AC571" s="15"/>
    </row>
    <row r="572" spans="1:29" x14ac:dyDescent="0.35">
      <c r="A572" s="15"/>
      <c r="B572" s="78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42"/>
      <c r="V572" s="15"/>
      <c r="W572" s="25" t="str">
        <f t="shared" si="16"/>
        <v>0</v>
      </c>
      <c r="X572" s="25"/>
      <c r="Y572" s="15"/>
      <c r="Z572" s="27"/>
      <c r="AA572" s="15"/>
      <c r="AB572" s="15"/>
      <c r="AC572" s="15"/>
    </row>
    <row r="573" spans="1:29" x14ac:dyDescent="0.35">
      <c r="A573" s="15"/>
      <c r="B573" s="78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42"/>
      <c r="V573" s="15"/>
      <c r="W573" s="25" t="str">
        <f t="shared" si="16"/>
        <v>0</v>
      </c>
      <c r="X573" s="25"/>
      <c r="Y573" s="15"/>
      <c r="Z573" s="27"/>
      <c r="AA573" s="15"/>
      <c r="AB573" s="15"/>
      <c r="AC573" s="15"/>
    </row>
    <row r="574" spans="1:29" x14ac:dyDescent="0.35">
      <c r="A574" s="15"/>
      <c r="B574" s="78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42"/>
      <c r="V574" s="15"/>
      <c r="W574" s="25" t="str">
        <f t="shared" ref="W574:W635" si="17">IFERROR(V574/M574,"0")</f>
        <v>0</v>
      </c>
      <c r="X574" s="25"/>
      <c r="Y574" s="15"/>
      <c r="Z574" s="27"/>
      <c r="AA574" s="15"/>
      <c r="AB574" s="15"/>
      <c r="AC574" s="15"/>
    </row>
    <row r="575" spans="1:29" x14ac:dyDescent="0.35">
      <c r="A575" s="15"/>
      <c r="B575" s="78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42"/>
      <c r="V575" s="15"/>
      <c r="W575" s="25" t="str">
        <f t="shared" si="17"/>
        <v>0</v>
      </c>
      <c r="X575" s="25"/>
      <c r="Y575" s="15"/>
      <c r="Z575" s="27"/>
      <c r="AA575" s="15"/>
      <c r="AB575" s="15"/>
      <c r="AC575" s="15"/>
    </row>
    <row r="576" spans="1:29" x14ac:dyDescent="0.35">
      <c r="A576" s="15"/>
      <c r="B576" s="78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42"/>
      <c r="V576" s="15"/>
      <c r="W576" s="25" t="str">
        <f t="shared" si="17"/>
        <v>0</v>
      </c>
      <c r="X576" s="25"/>
      <c r="Y576" s="15"/>
      <c r="Z576" s="27"/>
      <c r="AA576" s="15"/>
      <c r="AB576" s="15"/>
      <c r="AC576" s="15"/>
    </row>
    <row r="577" spans="1:29" x14ac:dyDescent="0.35">
      <c r="A577" s="15"/>
      <c r="B577" s="78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42"/>
      <c r="V577" s="15"/>
      <c r="W577" s="25" t="str">
        <f t="shared" si="17"/>
        <v>0</v>
      </c>
      <c r="X577" s="25"/>
      <c r="Y577" s="15"/>
      <c r="Z577" s="27"/>
      <c r="AA577" s="15"/>
      <c r="AB577" s="15"/>
      <c r="AC577" s="15"/>
    </row>
    <row r="578" spans="1:29" x14ac:dyDescent="0.35">
      <c r="A578" s="15"/>
      <c r="B578" s="78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42"/>
      <c r="V578" s="15"/>
      <c r="W578" s="25" t="str">
        <f t="shared" si="17"/>
        <v>0</v>
      </c>
      <c r="X578" s="25"/>
      <c r="Y578" s="15"/>
      <c r="Z578" s="27"/>
      <c r="AA578" s="15"/>
      <c r="AB578" s="15"/>
      <c r="AC578" s="15"/>
    </row>
    <row r="579" spans="1:29" x14ac:dyDescent="0.35">
      <c r="A579" s="15"/>
      <c r="B579" s="78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42"/>
      <c r="V579" s="15"/>
      <c r="W579" s="25" t="str">
        <f t="shared" si="17"/>
        <v>0</v>
      </c>
      <c r="X579" s="25"/>
      <c r="Y579" s="15"/>
      <c r="Z579" s="27"/>
      <c r="AA579" s="15"/>
      <c r="AB579" s="15"/>
      <c r="AC579" s="15"/>
    </row>
    <row r="580" spans="1:29" x14ac:dyDescent="0.35">
      <c r="A580" s="15"/>
      <c r="B580" s="78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42"/>
      <c r="V580" s="15"/>
      <c r="W580" s="25" t="str">
        <f t="shared" si="17"/>
        <v>0</v>
      </c>
      <c r="X580" s="25"/>
      <c r="Y580" s="15"/>
      <c r="Z580" s="27"/>
      <c r="AA580" s="15"/>
      <c r="AB580" s="15"/>
      <c r="AC580" s="15"/>
    </row>
    <row r="581" spans="1:29" x14ac:dyDescent="0.35">
      <c r="A581" s="15"/>
      <c r="B581" s="78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42"/>
      <c r="V581" s="15"/>
      <c r="W581" s="25" t="str">
        <f t="shared" si="17"/>
        <v>0</v>
      </c>
      <c r="X581" s="25"/>
      <c r="Y581" s="15"/>
      <c r="Z581" s="27"/>
      <c r="AA581" s="15"/>
      <c r="AB581" s="15"/>
      <c r="AC581" s="15"/>
    </row>
    <row r="582" spans="1:29" x14ac:dyDescent="0.35">
      <c r="A582" s="15"/>
      <c r="B582" s="78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42"/>
      <c r="V582" s="15"/>
      <c r="W582" s="25" t="str">
        <f t="shared" si="17"/>
        <v>0</v>
      </c>
      <c r="X582" s="25"/>
      <c r="Y582" s="15"/>
      <c r="Z582" s="27"/>
      <c r="AA582" s="15"/>
      <c r="AB582" s="15"/>
      <c r="AC582" s="15"/>
    </row>
    <row r="583" spans="1:29" x14ac:dyDescent="0.35">
      <c r="A583" s="15"/>
      <c r="B583" s="78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42"/>
      <c r="V583" s="15"/>
      <c r="W583" s="25" t="str">
        <f t="shared" si="17"/>
        <v>0</v>
      </c>
      <c r="X583" s="25"/>
      <c r="Y583" s="15"/>
      <c r="Z583" s="27"/>
      <c r="AA583" s="15"/>
      <c r="AB583" s="15"/>
      <c r="AC583" s="15"/>
    </row>
    <row r="584" spans="1:29" x14ac:dyDescent="0.35">
      <c r="A584" s="15"/>
      <c r="B584" s="78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42"/>
      <c r="V584" s="15"/>
      <c r="W584" s="25" t="str">
        <f t="shared" si="17"/>
        <v>0</v>
      </c>
      <c r="X584" s="25"/>
      <c r="Y584" s="15"/>
      <c r="Z584" s="27"/>
      <c r="AA584" s="15"/>
      <c r="AB584" s="15"/>
      <c r="AC584" s="15"/>
    </row>
    <row r="585" spans="1:29" x14ac:dyDescent="0.35">
      <c r="A585" s="15"/>
      <c r="B585" s="78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42"/>
      <c r="V585" s="15"/>
      <c r="W585" s="25" t="str">
        <f t="shared" si="17"/>
        <v>0</v>
      </c>
      <c r="X585" s="25"/>
      <c r="Y585" s="15"/>
      <c r="Z585" s="27"/>
      <c r="AA585" s="15"/>
      <c r="AB585" s="15"/>
      <c r="AC585" s="15"/>
    </row>
    <row r="586" spans="1:29" x14ac:dyDescent="0.35">
      <c r="A586" s="15"/>
      <c r="B586" s="78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42"/>
      <c r="V586" s="15"/>
      <c r="W586" s="25" t="str">
        <f t="shared" si="17"/>
        <v>0</v>
      </c>
      <c r="X586" s="25"/>
      <c r="Y586" s="15"/>
      <c r="Z586" s="27"/>
      <c r="AA586" s="15"/>
      <c r="AB586" s="15"/>
      <c r="AC586" s="15"/>
    </row>
    <row r="587" spans="1:29" x14ac:dyDescent="0.35">
      <c r="A587" s="15"/>
      <c r="B587" s="78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42"/>
      <c r="V587" s="15"/>
      <c r="W587" s="25" t="str">
        <f t="shared" si="17"/>
        <v>0</v>
      </c>
      <c r="X587" s="25"/>
      <c r="Y587" s="15"/>
      <c r="Z587" s="27"/>
      <c r="AA587" s="15"/>
      <c r="AB587" s="15"/>
      <c r="AC587" s="15"/>
    </row>
    <row r="588" spans="1:29" x14ac:dyDescent="0.35">
      <c r="A588" s="15"/>
      <c r="B588" s="78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42"/>
      <c r="V588" s="15"/>
      <c r="W588" s="25" t="str">
        <f t="shared" si="17"/>
        <v>0</v>
      </c>
      <c r="X588" s="25"/>
      <c r="Y588" s="15"/>
      <c r="Z588" s="27"/>
      <c r="AA588" s="15"/>
      <c r="AB588" s="15"/>
      <c r="AC588" s="15"/>
    </row>
    <row r="589" spans="1:29" x14ac:dyDescent="0.35">
      <c r="A589" s="15"/>
      <c r="B589" s="78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42"/>
      <c r="V589" s="15"/>
      <c r="W589" s="25" t="str">
        <f t="shared" si="17"/>
        <v>0</v>
      </c>
      <c r="X589" s="25"/>
      <c r="Y589" s="15"/>
      <c r="Z589" s="27"/>
      <c r="AA589" s="15"/>
      <c r="AB589" s="15"/>
      <c r="AC589" s="15"/>
    </row>
    <row r="590" spans="1:29" x14ac:dyDescent="0.35">
      <c r="A590" s="15"/>
      <c r="B590" s="78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42"/>
      <c r="V590" s="15"/>
      <c r="W590" s="25" t="str">
        <f t="shared" si="17"/>
        <v>0</v>
      </c>
      <c r="X590" s="25"/>
      <c r="Y590" s="15"/>
      <c r="Z590" s="27"/>
      <c r="AA590" s="15"/>
      <c r="AB590" s="15"/>
      <c r="AC590" s="15"/>
    </row>
    <row r="591" spans="1:29" x14ac:dyDescent="0.35">
      <c r="A591" s="15"/>
      <c r="B591" s="78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42"/>
      <c r="V591" s="15"/>
      <c r="W591" s="25" t="str">
        <f t="shared" si="17"/>
        <v>0</v>
      </c>
      <c r="X591" s="25"/>
      <c r="Y591" s="15"/>
      <c r="Z591" s="27"/>
      <c r="AA591" s="15"/>
      <c r="AB591" s="15"/>
      <c r="AC591" s="15"/>
    </row>
    <row r="592" spans="1:29" x14ac:dyDescent="0.35">
      <c r="A592" s="15"/>
      <c r="B592" s="78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42"/>
      <c r="V592" s="15"/>
      <c r="W592" s="25" t="str">
        <f t="shared" si="17"/>
        <v>0</v>
      </c>
      <c r="X592" s="25"/>
      <c r="Y592" s="15"/>
      <c r="Z592" s="27"/>
      <c r="AA592" s="15"/>
      <c r="AB592" s="15"/>
      <c r="AC592" s="15"/>
    </row>
    <row r="593" spans="1:29" x14ac:dyDescent="0.35">
      <c r="A593" s="15"/>
      <c r="B593" s="78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42"/>
      <c r="V593" s="15"/>
      <c r="W593" s="25" t="str">
        <f t="shared" si="17"/>
        <v>0</v>
      </c>
      <c r="X593" s="25"/>
      <c r="Y593" s="15"/>
      <c r="Z593" s="27"/>
      <c r="AA593" s="15"/>
      <c r="AB593" s="15"/>
      <c r="AC593" s="15"/>
    </row>
    <row r="594" spans="1:29" x14ac:dyDescent="0.35">
      <c r="A594" s="15"/>
      <c r="B594" s="78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42"/>
      <c r="V594" s="15"/>
      <c r="W594" s="25" t="str">
        <f t="shared" si="17"/>
        <v>0</v>
      </c>
      <c r="X594" s="25"/>
      <c r="Y594" s="15"/>
      <c r="Z594" s="27"/>
      <c r="AA594" s="15"/>
      <c r="AB594" s="15"/>
      <c r="AC594" s="15"/>
    </row>
    <row r="595" spans="1:29" x14ac:dyDescent="0.35">
      <c r="A595" s="15"/>
      <c r="B595" s="78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42"/>
      <c r="V595" s="15"/>
      <c r="W595" s="25" t="str">
        <f t="shared" si="17"/>
        <v>0</v>
      </c>
      <c r="X595" s="25"/>
      <c r="Y595" s="15"/>
      <c r="Z595" s="27"/>
      <c r="AA595" s="15"/>
      <c r="AB595" s="15"/>
      <c r="AC595" s="15"/>
    </row>
    <row r="596" spans="1:29" x14ac:dyDescent="0.35">
      <c r="A596" s="15"/>
      <c r="B596" s="78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42"/>
      <c r="V596" s="15"/>
      <c r="W596" s="25" t="str">
        <f t="shared" si="17"/>
        <v>0</v>
      </c>
      <c r="X596" s="25"/>
      <c r="Y596" s="15"/>
      <c r="Z596" s="27"/>
      <c r="AA596" s="15"/>
      <c r="AB596" s="15"/>
      <c r="AC596" s="15"/>
    </row>
    <row r="597" spans="1:29" x14ac:dyDescent="0.35">
      <c r="A597" s="15"/>
      <c r="B597" s="78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42"/>
      <c r="V597" s="15"/>
      <c r="W597" s="25" t="str">
        <f t="shared" si="17"/>
        <v>0</v>
      </c>
      <c r="X597" s="25"/>
      <c r="Y597" s="15"/>
      <c r="Z597" s="27"/>
      <c r="AA597" s="15"/>
      <c r="AB597" s="15"/>
      <c r="AC597" s="15"/>
    </row>
    <row r="598" spans="1:29" x14ac:dyDescent="0.35">
      <c r="A598" s="15"/>
      <c r="B598" s="78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42"/>
      <c r="V598" s="15"/>
      <c r="W598" s="25" t="str">
        <f t="shared" si="17"/>
        <v>0</v>
      </c>
      <c r="X598" s="25"/>
      <c r="Y598" s="15"/>
      <c r="Z598" s="27"/>
      <c r="AA598" s="15"/>
      <c r="AB598" s="15"/>
      <c r="AC598" s="15"/>
    </row>
    <row r="599" spans="1:29" x14ac:dyDescent="0.35">
      <c r="A599" s="15"/>
      <c r="B599" s="78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42"/>
      <c r="V599" s="15"/>
      <c r="W599" s="25" t="str">
        <f t="shared" si="17"/>
        <v>0</v>
      </c>
      <c r="X599" s="25"/>
      <c r="Y599" s="15"/>
      <c r="Z599" s="27"/>
      <c r="AA599" s="15"/>
      <c r="AB599" s="15"/>
      <c r="AC599" s="15"/>
    </row>
    <row r="600" spans="1:29" x14ac:dyDescent="0.35">
      <c r="A600" s="15"/>
      <c r="B600" s="78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42"/>
      <c r="V600" s="15"/>
      <c r="W600" s="25" t="str">
        <f t="shared" si="17"/>
        <v>0</v>
      </c>
      <c r="X600" s="25"/>
      <c r="Y600" s="15"/>
      <c r="Z600" s="27"/>
      <c r="AA600" s="15"/>
      <c r="AB600" s="15"/>
      <c r="AC600" s="15"/>
    </row>
    <row r="601" spans="1:29" x14ac:dyDescent="0.35">
      <c r="A601" s="15"/>
      <c r="B601" s="78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42"/>
      <c r="V601" s="15"/>
      <c r="W601" s="25" t="str">
        <f t="shared" si="17"/>
        <v>0</v>
      </c>
      <c r="X601" s="25"/>
      <c r="Y601" s="15"/>
      <c r="Z601" s="27"/>
      <c r="AA601" s="15"/>
      <c r="AB601" s="15"/>
      <c r="AC601" s="15"/>
    </row>
    <row r="602" spans="1:29" x14ac:dyDescent="0.35">
      <c r="A602" s="15"/>
      <c r="B602" s="78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42"/>
      <c r="V602" s="15"/>
      <c r="W602" s="25" t="str">
        <f t="shared" si="17"/>
        <v>0</v>
      </c>
      <c r="X602" s="25"/>
      <c r="Y602" s="15"/>
      <c r="Z602" s="27"/>
      <c r="AA602" s="15"/>
      <c r="AB602" s="15"/>
      <c r="AC602" s="15"/>
    </row>
    <row r="603" spans="1:29" x14ac:dyDescent="0.35">
      <c r="A603" s="15"/>
      <c r="B603" s="78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42"/>
      <c r="V603" s="15"/>
      <c r="W603" s="25" t="str">
        <f t="shared" si="17"/>
        <v>0</v>
      </c>
      <c r="X603" s="25"/>
      <c r="Y603" s="15"/>
      <c r="Z603" s="27"/>
      <c r="AA603" s="15"/>
      <c r="AB603" s="15"/>
      <c r="AC603" s="15"/>
    </row>
    <row r="604" spans="1:29" x14ac:dyDescent="0.35">
      <c r="A604" s="15"/>
      <c r="B604" s="78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42"/>
      <c r="V604" s="15"/>
      <c r="W604" s="25" t="str">
        <f t="shared" si="17"/>
        <v>0</v>
      </c>
      <c r="X604" s="25"/>
      <c r="Y604" s="15"/>
      <c r="Z604" s="27"/>
      <c r="AA604" s="15"/>
      <c r="AB604" s="15"/>
      <c r="AC604" s="15"/>
    </row>
    <row r="605" spans="1:29" x14ac:dyDescent="0.35">
      <c r="A605" s="15"/>
      <c r="B605" s="78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42"/>
      <c r="V605" s="15"/>
      <c r="W605" s="25" t="str">
        <f t="shared" si="17"/>
        <v>0</v>
      </c>
      <c r="X605" s="25"/>
      <c r="Y605" s="15"/>
      <c r="Z605" s="27"/>
      <c r="AA605" s="15"/>
      <c r="AB605" s="15"/>
      <c r="AC605" s="15"/>
    </row>
    <row r="606" spans="1:29" x14ac:dyDescent="0.35">
      <c r="A606" s="15"/>
      <c r="B606" s="78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42"/>
      <c r="V606" s="15"/>
      <c r="W606" s="25" t="str">
        <f t="shared" si="17"/>
        <v>0</v>
      </c>
      <c r="X606" s="25"/>
      <c r="Y606" s="15"/>
      <c r="Z606" s="27"/>
      <c r="AA606" s="15"/>
      <c r="AB606" s="15"/>
      <c r="AC606" s="15"/>
    </row>
    <row r="607" spans="1:29" x14ac:dyDescent="0.35">
      <c r="A607" s="15"/>
      <c r="B607" s="78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42"/>
      <c r="V607" s="15"/>
      <c r="W607" s="25" t="str">
        <f t="shared" si="17"/>
        <v>0</v>
      </c>
      <c r="X607" s="25"/>
      <c r="Y607" s="15"/>
      <c r="Z607" s="27"/>
      <c r="AA607" s="15"/>
      <c r="AB607" s="15"/>
      <c r="AC607" s="15"/>
    </row>
    <row r="608" spans="1:29" x14ac:dyDescent="0.35">
      <c r="A608" s="15"/>
      <c r="B608" s="78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42"/>
      <c r="V608" s="15"/>
      <c r="W608" s="25" t="str">
        <f t="shared" si="17"/>
        <v>0</v>
      </c>
      <c r="X608" s="25"/>
      <c r="Y608" s="15"/>
      <c r="Z608" s="27"/>
      <c r="AA608" s="15"/>
      <c r="AB608" s="15"/>
      <c r="AC608" s="15"/>
    </row>
    <row r="609" spans="1:29" x14ac:dyDescent="0.35">
      <c r="A609" s="15"/>
      <c r="B609" s="78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42"/>
      <c r="V609" s="15"/>
      <c r="W609" s="25" t="str">
        <f t="shared" si="17"/>
        <v>0</v>
      </c>
      <c r="X609" s="25"/>
      <c r="Y609" s="15"/>
      <c r="Z609" s="27"/>
      <c r="AA609" s="15"/>
      <c r="AB609" s="15"/>
      <c r="AC609" s="15"/>
    </row>
    <row r="610" spans="1:29" x14ac:dyDescent="0.35">
      <c r="A610" s="15"/>
      <c r="B610" s="78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42"/>
      <c r="V610" s="15"/>
      <c r="W610" s="25" t="str">
        <f t="shared" si="17"/>
        <v>0</v>
      </c>
      <c r="X610" s="25"/>
      <c r="Y610" s="15"/>
      <c r="Z610" s="27"/>
      <c r="AA610" s="15"/>
      <c r="AB610" s="15"/>
      <c r="AC610" s="15"/>
    </row>
    <row r="611" spans="1:29" x14ac:dyDescent="0.35">
      <c r="A611" s="15"/>
      <c r="B611" s="78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42"/>
      <c r="V611" s="15"/>
      <c r="W611" s="25" t="str">
        <f t="shared" si="17"/>
        <v>0</v>
      </c>
      <c r="X611" s="25"/>
      <c r="Y611" s="15"/>
      <c r="Z611" s="27"/>
      <c r="AA611" s="15"/>
      <c r="AB611" s="15"/>
      <c r="AC611" s="15"/>
    </row>
    <row r="612" spans="1:29" x14ac:dyDescent="0.35">
      <c r="A612" s="15"/>
      <c r="B612" s="78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42"/>
      <c r="V612" s="15"/>
      <c r="W612" s="25" t="str">
        <f t="shared" si="17"/>
        <v>0</v>
      </c>
      <c r="X612" s="25"/>
      <c r="Y612" s="15"/>
      <c r="Z612" s="27"/>
      <c r="AA612" s="15"/>
      <c r="AB612" s="15"/>
      <c r="AC612" s="15"/>
    </row>
    <row r="613" spans="1:29" x14ac:dyDescent="0.35">
      <c r="A613" s="15"/>
      <c r="B613" s="78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42"/>
      <c r="V613" s="15"/>
      <c r="W613" s="25" t="str">
        <f t="shared" si="17"/>
        <v>0</v>
      </c>
      <c r="X613" s="25"/>
      <c r="Y613" s="15"/>
      <c r="Z613" s="27"/>
      <c r="AA613" s="15"/>
      <c r="AB613" s="15"/>
      <c r="AC613" s="15"/>
    </row>
    <row r="614" spans="1:29" x14ac:dyDescent="0.35">
      <c r="A614" s="15"/>
      <c r="B614" s="78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42"/>
      <c r="V614" s="15"/>
      <c r="W614" s="25" t="str">
        <f t="shared" si="17"/>
        <v>0</v>
      </c>
      <c r="X614" s="25"/>
      <c r="Y614" s="15"/>
      <c r="Z614" s="27"/>
      <c r="AA614" s="15"/>
      <c r="AB614" s="15"/>
      <c r="AC614" s="15"/>
    </row>
    <row r="615" spans="1:29" x14ac:dyDescent="0.35">
      <c r="A615" s="15"/>
      <c r="B615" s="78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42"/>
      <c r="V615" s="15"/>
      <c r="W615" s="25" t="str">
        <f t="shared" si="17"/>
        <v>0</v>
      </c>
      <c r="X615" s="25"/>
      <c r="Y615" s="15"/>
      <c r="Z615" s="27"/>
      <c r="AA615" s="15"/>
      <c r="AB615" s="15"/>
      <c r="AC615" s="15"/>
    </row>
    <row r="616" spans="1:29" x14ac:dyDescent="0.35">
      <c r="A616" s="15"/>
      <c r="B616" s="78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42"/>
      <c r="V616" s="15"/>
      <c r="W616" s="25" t="str">
        <f t="shared" si="17"/>
        <v>0</v>
      </c>
      <c r="X616" s="25"/>
      <c r="Y616" s="15"/>
      <c r="Z616" s="27"/>
      <c r="AA616" s="15"/>
      <c r="AB616" s="15"/>
      <c r="AC616" s="15"/>
    </row>
    <row r="617" spans="1:29" x14ac:dyDescent="0.35">
      <c r="A617" s="15"/>
      <c r="B617" s="78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42"/>
      <c r="V617" s="15"/>
      <c r="W617" s="25" t="str">
        <f t="shared" si="17"/>
        <v>0</v>
      </c>
      <c r="X617" s="25"/>
      <c r="Y617" s="15"/>
      <c r="Z617" s="27"/>
      <c r="AA617" s="15"/>
      <c r="AB617" s="15"/>
      <c r="AC617" s="15"/>
    </row>
    <row r="618" spans="1:29" x14ac:dyDescent="0.35">
      <c r="A618" s="15"/>
      <c r="B618" s="78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42"/>
      <c r="V618" s="15"/>
      <c r="W618" s="25" t="str">
        <f t="shared" si="17"/>
        <v>0</v>
      </c>
      <c r="X618" s="25"/>
      <c r="Y618" s="15"/>
      <c r="Z618" s="27"/>
      <c r="AA618" s="15"/>
      <c r="AB618" s="15"/>
      <c r="AC618" s="15"/>
    </row>
    <row r="619" spans="1:29" x14ac:dyDescent="0.35">
      <c r="A619" s="15"/>
      <c r="B619" s="78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42"/>
      <c r="V619" s="15"/>
      <c r="W619" s="25" t="str">
        <f t="shared" si="17"/>
        <v>0</v>
      </c>
      <c r="X619" s="25"/>
      <c r="Y619" s="15"/>
      <c r="Z619" s="27"/>
      <c r="AA619" s="15"/>
      <c r="AB619" s="15"/>
      <c r="AC619" s="15"/>
    </row>
    <row r="620" spans="1:29" x14ac:dyDescent="0.35">
      <c r="A620" s="15"/>
      <c r="B620" s="78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42"/>
      <c r="V620" s="15"/>
      <c r="W620" s="25" t="str">
        <f t="shared" si="17"/>
        <v>0</v>
      </c>
      <c r="X620" s="25"/>
      <c r="Y620" s="15"/>
      <c r="Z620" s="27"/>
      <c r="AA620" s="15"/>
      <c r="AB620" s="15"/>
      <c r="AC620" s="15"/>
    </row>
    <row r="621" spans="1:29" x14ac:dyDescent="0.35">
      <c r="A621" s="15"/>
      <c r="B621" s="78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42"/>
      <c r="V621" s="15"/>
      <c r="W621" s="25" t="str">
        <f t="shared" si="17"/>
        <v>0</v>
      </c>
      <c r="X621" s="25"/>
      <c r="Y621" s="15"/>
      <c r="Z621" s="27"/>
      <c r="AA621" s="15"/>
      <c r="AB621" s="15"/>
      <c r="AC621" s="15"/>
    </row>
    <row r="622" spans="1:29" x14ac:dyDescent="0.35">
      <c r="A622" s="15"/>
      <c r="B622" s="78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42"/>
      <c r="V622" s="15"/>
      <c r="W622" s="25" t="str">
        <f t="shared" si="17"/>
        <v>0</v>
      </c>
      <c r="X622" s="25"/>
      <c r="Y622" s="15"/>
      <c r="Z622" s="27"/>
      <c r="AA622" s="15"/>
      <c r="AB622" s="15"/>
      <c r="AC622" s="15"/>
    </row>
    <row r="623" spans="1:29" x14ac:dyDescent="0.35">
      <c r="A623" s="15"/>
      <c r="B623" s="78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42"/>
      <c r="V623" s="15"/>
      <c r="W623" s="25" t="str">
        <f t="shared" si="17"/>
        <v>0</v>
      </c>
      <c r="X623" s="25"/>
      <c r="Y623" s="15"/>
      <c r="Z623" s="27"/>
      <c r="AA623" s="15"/>
      <c r="AB623" s="15"/>
      <c r="AC623" s="15"/>
    </row>
    <row r="624" spans="1:29" x14ac:dyDescent="0.35">
      <c r="A624" s="15"/>
      <c r="B624" s="78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42"/>
      <c r="V624" s="15"/>
      <c r="W624" s="25" t="str">
        <f t="shared" si="17"/>
        <v>0</v>
      </c>
      <c r="X624" s="25"/>
      <c r="Y624" s="15"/>
      <c r="Z624" s="27"/>
      <c r="AA624" s="15"/>
      <c r="AB624" s="15"/>
      <c r="AC624" s="15"/>
    </row>
    <row r="625" spans="1:29" x14ac:dyDescent="0.35">
      <c r="A625" s="15"/>
      <c r="B625" s="78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42"/>
      <c r="V625" s="15"/>
      <c r="W625" s="25" t="str">
        <f t="shared" si="17"/>
        <v>0</v>
      </c>
      <c r="X625" s="25"/>
      <c r="Y625" s="15"/>
      <c r="Z625" s="27"/>
      <c r="AA625" s="15"/>
      <c r="AB625" s="15"/>
      <c r="AC625" s="15"/>
    </row>
    <row r="626" spans="1:29" x14ac:dyDescent="0.35">
      <c r="A626" s="15"/>
      <c r="B626" s="78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42"/>
      <c r="V626" s="15"/>
      <c r="W626" s="25" t="str">
        <f t="shared" si="17"/>
        <v>0</v>
      </c>
      <c r="X626" s="25"/>
      <c r="Y626" s="15"/>
      <c r="Z626" s="27"/>
      <c r="AA626" s="15"/>
      <c r="AB626" s="15"/>
      <c r="AC626" s="15"/>
    </row>
    <row r="627" spans="1:29" x14ac:dyDescent="0.35">
      <c r="A627" s="15"/>
      <c r="B627" s="78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42"/>
      <c r="V627" s="15"/>
      <c r="W627" s="25" t="str">
        <f t="shared" si="17"/>
        <v>0</v>
      </c>
      <c r="X627" s="25"/>
      <c r="Y627" s="15"/>
      <c r="Z627" s="27"/>
      <c r="AA627" s="15"/>
      <c r="AB627" s="15"/>
      <c r="AC627" s="15"/>
    </row>
    <row r="628" spans="1:29" x14ac:dyDescent="0.35">
      <c r="A628" s="15"/>
      <c r="B628" s="78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42"/>
      <c r="V628" s="15"/>
      <c r="W628" s="25" t="str">
        <f t="shared" si="17"/>
        <v>0</v>
      </c>
      <c r="X628" s="25"/>
      <c r="Y628" s="15"/>
      <c r="Z628" s="27"/>
      <c r="AA628" s="15"/>
      <c r="AB628" s="15"/>
      <c r="AC628" s="15"/>
    </row>
    <row r="629" spans="1:29" x14ac:dyDescent="0.35">
      <c r="A629" s="15"/>
      <c r="B629" s="78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42"/>
      <c r="V629" s="15"/>
      <c r="W629" s="25" t="str">
        <f t="shared" si="17"/>
        <v>0</v>
      </c>
      <c r="X629" s="25"/>
      <c r="Y629" s="15"/>
      <c r="Z629" s="27"/>
      <c r="AA629" s="15"/>
      <c r="AB629" s="15"/>
      <c r="AC629" s="15"/>
    </row>
    <row r="630" spans="1:29" x14ac:dyDescent="0.35">
      <c r="A630" s="15"/>
      <c r="B630" s="78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42"/>
      <c r="V630" s="15"/>
      <c r="W630" s="25" t="str">
        <f t="shared" si="17"/>
        <v>0</v>
      </c>
      <c r="X630" s="25"/>
      <c r="Y630" s="15"/>
      <c r="Z630" s="27"/>
      <c r="AA630" s="15"/>
      <c r="AB630" s="15"/>
      <c r="AC630" s="15"/>
    </row>
    <row r="631" spans="1:29" x14ac:dyDescent="0.35">
      <c r="A631" s="15"/>
      <c r="B631" s="78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42"/>
      <c r="V631" s="15"/>
      <c r="W631" s="25" t="str">
        <f t="shared" si="17"/>
        <v>0</v>
      </c>
      <c r="X631" s="25"/>
      <c r="Y631" s="15"/>
      <c r="Z631" s="27"/>
      <c r="AA631" s="15"/>
      <c r="AB631" s="15"/>
      <c r="AC631" s="15"/>
    </row>
    <row r="632" spans="1:29" x14ac:dyDescent="0.35">
      <c r="A632" s="15"/>
      <c r="B632" s="78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42"/>
      <c r="V632" s="15"/>
      <c r="W632" s="25" t="str">
        <f t="shared" si="17"/>
        <v>0</v>
      </c>
      <c r="X632" s="25"/>
      <c r="Y632" s="15"/>
      <c r="Z632" s="27"/>
      <c r="AA632" s="15"/>
      <c r="AB632" s="15"/>
      <c r="AC632" s="15"/>
    </row>
    <row r="633" spans="1:29" x14ac:dyDescent="0.35">
      <c r="A633" s="15"/>
      <c r="B633" s="78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42"/>
      <c r="V633" s="15"/>
      <c r="W633" s="25" t="str">
        <f t="shared" si="17"/>
        <v>0</v>
      </c>
      <c r="X633" s="25"/>
      <c r="Y633" s="15"/>
      <c r="Z633" s="27"/>
      <c r="AA633" s="15"/>
      <c r="AB633" s="15"/>
      <c r="AC633" s="15"/>
    </row>
    <row r="634" spans="1:29" x14ac:dyDescent="0.35">
      <c r="A634" s="15"/>
      <c r="B634" s="78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42"/>
      <c r="V634" s="15"/>
      <c r="W634" s="25" t="str">
        <f t="shared" si="17"/>
        <v>0</v>
      </c>
      <c r="X634" s="25"/>
      <c r="Y634" s="15"/>
      <c r="Z634" s="27"/>
      <c r="AA634" s="15"/>
      <c r="AB634" s="15"/>
      <c r="AC634" s="15"/>
    </row>
    <row r="635" spans="1:29" x14ac:dyDescent="0.35">
      <c r="A635" s="15"/>
      <c r="B635" s="78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42"/>
      <c r="V635" s="15"/>
      <c r="W635" s="25" t="str">
        <f t="shared" si="17"/>
        <v>0</v>
      </c>
      <c r="X635" s="25"/>
      <c r="Y635" s="15"/>
      <c r="Z635" s="27"/>
      <c r="AA635" s="15"/>
      <c r="AB635" s="15"/>
      <c r="AC635" s="15"/>
    </row>
  </sheetData>
  <autoFilter ref="A2:AF635" xr:uid="{01057DF0-F1D6-414B-BC13-53D0E9BF65C9}"/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Drying &amp; Sorting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2026-09-24T09:55:35Z</dcterms:created>
  <dcterms:modified xsi:type="dcterms:W3CDTF">2026-09-24T09:56:21Z</dcterms:modified>
</cp:coreProperties>
</file>